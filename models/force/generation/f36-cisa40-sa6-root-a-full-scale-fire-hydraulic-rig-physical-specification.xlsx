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069cf85f4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4ad32461344914"/>
    <x:sheet xmlns:r="http://schemas.openxmlformats.org/officeDocument/2006/relationships" name="Controls" sheetId="2" r:id="R5bb30a9c102e4c21"/>
    <x:sheet xmlns:r="http://schemas.openxmlformats.org/officeDocument/2006/relationships" name="Rig Federation" sheetId="3" r:id="R5f2896e8f54c4c12"/>
    <x:sheet xmlns:r="http://schemas.openxmlformats.org/officeDocument/2006/relationships" name="Terrain Field" sheetId="4" r:id="R8edaea78ea0c40cc"/>
    <x:sheet xmlns:r="http://schemas.openxmlformats.org/officeDocument/2006/relationships" name="Source Dispenser" sheetId="5" r:id="R698c9b7164aa42b5"/>
    <x:sheet xmlns:r="http://schemas.openxmlformats.org/officeDocument/2006/relationships" name="Candidate Interface" sheetId="6" r:id="Rf48f903d60664213"/>
    <x:sheet xmlns:r="http://schemas.openxmlformats.org/officeDocument/2006/relationships" name="Drain Gallery" sheetId="7" r:id="Rdc9819e0459b4d35"/>
    <x:sheet xmlns:r="http://schemas.openxmlformats.org/officeDocument/2006/relationships" name="Firewater Plant" sheetId="8" r:id="Rdaba2ba685ce4e14"/>
    <x:sheet xmlns:r="http://schemas.openxmlformats.org/officeDocument/2006/relationships" name="Thermal Boundary" sheetId="9" r:id="R14eb4cc9d52343ce"/>
    <x:sheet xmlns:r="http://schemas.openxmlformats.org/officeDocument/2006/relationships" name="Environmental Perimeter" sheetId="10" r:id="R81e855b0a7ed46d6"/>
    <x:sheet xmlns:r="http://schemas.openxmlformats.org/officeDocument/2006/relationships" name="Robot Corridor" sheetId="11" r:id="R99330ce8113d47d3"/>
    <x:sheet xmlns:r="http://schemas.openxmlformats.org/officeDocument/2006/relationships" name="Casualty System" sheetId="12" r:id="R9814f6708c7c4063"/>
    <x:sheet xmlns:r="http://schemas.openxmlformats.org/officeDocument/2006/relationships" name="Sensor Plan" sheetId="13" r:id="R5bc35cabdcd84e0a"/>
    <x:sheet xmlns:r="http://schemas.openxmlformats.org/officeDocument/2006/relationships" name="Data Budget" sheetId="14" r:id="R966f59ef455d4830"/>
    <x:sheet xmlns:r="http://schemas.openxmlformats.org/officeDocument/2006/relationships" name="Mass Closure" sheetId="15" r:id="R19d55e874fca4677"/>
    <x:sheet xmlns:r="http://schemas.openxmlformats.org/officeDocument/2006/relationships" name="Safety Paths" sheetId="16" r:id="R9706cb7a6b9f44ab"/>
    <x:sheet xmlns:r="http://schemas.openxmlformats.org/officeDocument/2006/relationships" name="Challenge Realization" sheetId="17" r:id="Rcc6101c4da7c4e1e"/>
    <x:sheet xmlns:r="http://schemas.openxmlformats.org/officeDocument/2006/relationships" name="Method Admission" sheetId="18" r:id="R18416bf3613f4567"/>
    <x:sheet xmlns:r="http://schemas.openxmlformats.org/officeDocument/2006/relationships" name="Event Capacity" sheetId="19" r:id="Rc247672f7ff349ee"/>
    <x:sheet xmlns:r="http://schemas.openxmlformats.org/officeDocument/2006/relationships" name="Commissioning Ladder" sheetId="20" r:id="Rf2f7658386814bdc"/>
    <x:sheet xmlns:r="http://schemas.openxmlformats.org/officeDocument/2006/relationships" name="Drawing Register" sheetId="21" r:id="Rc622d439ef874d6a"/>
    <x:sheet xmlns:r="http://schemas.openxmlformats.org/officeDocument/2006/relationships" name="Interface Register" sheetId="22" r:id="R1f7b80aca41e4114"/>
    <x:sheet xmlns:r="http://schemas.openxmlformats.org/officeDocument/2006/relationships" name="Site Geometry" sheetId="23" r:id="R90ee8118e4fe4757"/>
    <x:sheet xmlns:r="http://schemas.openxmlformats.org/officeDocument/2006/relationships" name="Schedule" sheetId="24" r:id="R282dd4db9e034d30"/>
    <x:sheet xmlns:r="http://schemas.openxmlformats.org/officeDocument/2006/relationships" name="Workforce" sheetId="25" r:id="Rf6e37a0d1edf46a7"/>
    <x:sheet xmlns:r="http://schemas.openxmlformats.org/officeDocument/2006/relationships" name="Capital" sheetId="26" r:id="R7d0b08233ff642ca"/>
    <x:sheet xmlns:r="http://schemas.openxmlformats.org/officeDocument/2006/relationships" name="Annual Support" sheetId="27" r:id="R54d43de0ad214ad9"/>
    <x:sheet xmlns:r="http://schemas.openxmlformats.org/officeDocument/2006/relationships" name="Portfolio Boundary" sheetId="28" r:id="R3967ce07b3954196"/>
    <x:sheet xmlns:r="http://schemas.openxmlformats.org/officeDocument/2006/relationships" name="Technology Pull" sheetId="29" r:id="R71508c93b3074369"/>
    <x:sheet xmlns:r="http://schemas.openxmlformats.org/officeDocument/2006/relationships" name="Release Gates" sheetId="30" r:id="R344dc72604044ec2"/>
    <x:sheet xmlns:r="http://schemas.openxmlformats.org/officeDocument/2006/relationships" name="Audit" sheetId="31" r:id="R0e98ac0178c24caf"/>
    <x:sheet xmlns:r="http://schemas.openxmlformats.org/officeDocument/2006/relationships" name="Authority" sheetId="32" r:id="R61cca868485844ee"/>
    <x:sheet xmlns:r="http://schemas.openxmlformats.org/officeDocument/2006/relationships" name="ReadMe" sheetId="33" r:id="R3dfe209bfc8747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0.000"/>
    <x:numFmt numFmtId="201" formatCode="0.0%"/>
    <x:numFmt numFmtId="202" formatCode="#,##0.000"/>
  </x:numFmts>
  <x:fonts count="6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17365D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0" fillId="0" borderId="0" xfId="0" applyNumberFormat="1" applyFont="1" applyFill="1" applyBorder="1"/>
    <x:xf numFmtId="201" fontId="5" fillId="4" borderId="0" xfId="0" applyNumberFormat="1" applyFont="1" applyFill="1" applyBorder="1"/>
    <x:xf numFmtId="202" fontId="4" fillId="3" borderId="0" xfId="0" applyNumberFormat="1" applyFont="1" applyFill="1" applyBorder="1"/>
    <x:xf numFmtId="202" fontId="0" fillId="0" borderId="0" xfId="0" applyNumberFormat="1" applyFont="1" applyFill="1" applyBorder="1"/>
    <x:xf numFmtId="202" fontId="5" fillId="4" borderId="0" xfId="0" applyNumberFormat="1" applyFont="1" applyFill="1" applyBorder="1"/>
  </x:cellXfs>
  <x:cellStyles count="1">
    <x:cellStyle name="Normal" xfId="0"/>
  </x:cellStyles>
  <x:dxfs count="10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7438553164b90" /><Relationship Type="http://schemas.openxmlformats.org/officeDocument/2006/relationships/theme" Target="/xl/theme/theme1.xml" Id="Rdd01549401c742da" /><Relationship Type="http://schemas.openxmlformats.org/officeDocument/2006/relationships/sharedStrings" Target="/xl/sharedStrings.xml" Id="Re05ba27d572e4abe" /><Relationship Type="http://schemas.openxmlformats.org/officeDocument/2006/relationships/worksheet" Target="/xl/worksheets/sheet1.xml" Id="R064ad32461344914" /><Relationship Type="http://schemas.openxmlformats.org/officeDocument/2006/relationships/worksheet" Target="/xl/worksheets/sheet2.xml" Id="R5bb30a9c102e4c21" /><Relationship Type="http://schemas.openxmlformats.org/officeDocument/2006/relationships/worksheet" Target="/xl/worksheets/sheet3.xml" Id="R5f2896e8f54c4c12" /><Relationship Type="http://schemas.openxmlformats.org/officeDocument/2006/relationships/worksheet" Target="/xl/worksheets/sheet4.xml" Id="R8edaea78ea0c40cc" /><Relationship Type="http://schemas.openxmlformats.org/officeDocument/2006/relationships/worksheet" Target="/xl/worksheets/sheet5.xml" Id="R698c9b7164aa42b5" /><Relationship Type="http://schemas.openxmlformats.org/officeDocument/2006/relationships/worksheet" Target="/xl/worksheets/sheet6.xml" Id="Rf48f903d60664213" /><Relationship Type="http://schemas.openxmlformats.org/officeDocument/2006/relationships/worksheet" Target="/xl/worksheets/sheet7.xml" Id="Rdc9819e0459b4d35" /><Relationship Type="http://schemas.openxmlformats.org/officeDocument/2006/relationships/worksheet" Target="/xl/worksheets/sheet8.xml" Id="Rdaba2ba685ce4e14" /><Relationship Type="http://schemas.openxmlformats.org/officeDocument/2006/relationships/worksheet" Target="/xl/worksheets/sheet9.xml" Id="R14eb4cc9d52343ce" /><Relationship Type="http://schemas.openxmlformats.org/officeDocument/2006/relationships/worksheet" Target="/xl/worksheets/sheet10.xml" Id="R81e855b0a7ed46d6" /><Relationship Type="http://schemas.openxmlformats.org/officeDocument/2006/relationships/worksheet" Target="/xl/worksheets/sheet11.xml" Id="R99330ce8113d47d3" /><Relationship Type="http://schemas.openxmlformats.org/officeDocument/2006/relationships/worksheet" Target="/xl/worksheets/sheet12.xml" Id="R9814f6708c7c4063" /><Relationship Type="http://schemas.openxmlformats.org/officeDocument/2006/relationships/worksheet" Target="/xl/worksheets/sheet13.xml" Id="R5bc35cabdcd84e0a" /><Relationship Type="http://schemas.openxmlformats.org/officeDocument/2006/relationships/worksheet" Target="/xl/worksheets/sheet14.xml" Id="R966f59ef455d4830" /><Relationship Type="http://schemas.openxmlformats.org/officeDocument/2006/relationships/worksheet" Target="/xl/worksheets/sheet15.xml" Id="R19d55e874fca4677" /><Relationship Type="http://schemas.openxmlformats.org/officeDocument/2006/relationships/worksheet" Target="/xl/worksheets/sheet16.xml" Id="R9706cb7a6b9f44ab" /><Relationship Type="http://schemas.openxmlformats.org/officeDocument/2006/relationships/worksheet" Target="/xl/worksheets/sheet17.xml" Id="Rcc6101c4da7c4e1e" /><Relationship Type="http://schemas.openxmlformats.org/officeDocument/2006/relationships/worksheet" Target="/xl/worksheets/sheet18.xml" Id="R18416bf3613f4567" /><Relationship Type="http://schemas.openxmlformats.org/officeDocument/2006/relationships/worksheet" Target="/xl/worksheets/sheet19.xml" Id="Rc247672f7ff349ee" /><Relationship Type="http://schemas.openxmlformats.org/officeDocument/2006/relationships/worksheet" Target="/xl/worksheets/sheet20.xml" Id="Rf2f7658386814bdc" /><Relationship Type="http://schemas.openxmlformats.org/officeDocument/2006/relationships/worksheet" Target="/xl/worksheets/sheet21.xml" Id="Rc622d439ef874d6a" /><Relationship Type="http://schemas.openxmlformats.org/officeDocument/2006/relationships/worksheet" Target="/xl/worksheets/sheet22.xml" Id="R1f7b80aca41e4114" /><Relationship Type="http://schemas.openxmlformats.org/officeDocument/2006/relationships/worksheet" Target="/xl/worksheets/sheet23.xml" Id="R90ee8118e4fe4757" /><Relationship Type="http://schemas.openxmlformats.org/officeDocument/2006/relationships/worksheet" Target="/xl/worksheets/sheet24.xml" Id="R282dd4db9e034d30" /><Relationship Type="http://schemas.openxmlformats.org/officeDocument/2006/relationships/worksheet" Target="/xl/worksheets/sheet25.xml" Id="Rf6e37a0d1edf46a7" /><Relationship Type="http://schemas.openxmlformats.org/officeDocument/2006/relationships/worksheet" Target="/xl/worksheets/sheet26.xml" Id="R7d0b08233ff642ca" /><Relationship Type="http://schemas.openxmlformats.org/officeDocument/2006/relationships/worksheet" Target="/xl/worksheets/sheet27.xml" Id="R54d43de0ad214ad9" /><Relationship Type="http://schemas.openxmlformats.org/officeDocument/2006/relationships/worksheet" Target="/xl/worksheets/sheet28.xml" Id="R3967ce07b3954196" /><Relationship Type="http://schemas.openxmlformats.org/officeDocument/2006/relationships/worksheet" Target="/xl/worksheets/sheet29.xml" Id="R71508c93b3074369" /><Relationship Type="http://schemas.openxmlformats.org/officeDocument/2006/relationships/worksheet" Target="/xl/worksheets/sheet30.xml" Id="R344dc72604044ec2" /><Relationship Type="http://schemas.openxmlformats.org/officeDocument/2006/relationships/worksheet" Target="/xl/worksheets/sheet31.xml" Id="R0e98ac0178c24caf" /><Relationship Type="http://schemas.openxmlformats.org/officeDocument/2006/relationships/worksheet" Target="/xl/worksheets/sheet32.xml" Id="R61cca868485844ee" /><Relationship Type="http://schemas.openxmlformats.org/officeDocument/2006/relationships/worksheet" Target="/xl/worksheets/sheet33.xml" Id="R3dfe209bfc8747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40" hidden="0" customWidth="1"/>
    <x:col min="3" max="3" width="18" hidden="0" customWidth="1"/>
    <x:col min="4" max="4" width="18" hidden="0" customWidth="1"/>
    <x:col min="5" max="5" width="4" hidden="0" customWidth="1"/>
    <x:col min="6" max="6" width="38" hidden="0" customWidth="1"/>
    <x:col min="7" max="7" width="22" hidden="0" customWidth="1"/>
    <x:col min="8" max="8" width="18" hidden="0" customWidth="1"/>
  </x:cols>
  <x:sheetData>
    <x:row r="2">
      <x:c r="B2" s="1" t="str">
        <x:v>RFP-1 Root A full-scale fire/hydraulic public rig</x:v>
      </x:c>
    </x:row>
    <x:row r="3">
      <x:c r="B3" s="2" t="str">
        <x:v>Six complete public instruments compare unlike source, surface, water and recovery architectures without providing their missing functions.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Physical anatomy</x:v>
      </x:c>
      <x:c r="C6" s="7" t="str">
        <x:v>Value</x:v>
      </x:c>
      <x:c r="D6" s="7" t="str">
        <x:v>Unit</x:v>
      </x:c>
      <x:c r="F6" s="7" t="str">
        <x:v>Institution and release state</x:v>
      </x:c>
      <x:c r="G6" s="7" t="str">
        <x:v>Value</x:v>
      </x:c>
      <x:c r="H6" s="7" t="str">
        <x:v>Unit</x:v>
      </x:c>
    </x:row>
    <x:row r="7">
      <x:c r="B7" t="str">
        <x:v>public rigs</x:v>
      </x:c>
      <x:c r="C7" t="n">
        <x:v>6</x:v>
      </x:c>
      <x:c r="D7" t="str">
        <x:v>count</x:v>
      </x:c>
      <x:c r="F7" t="str">
        <x:v>workforce</x:v>
      </x:c>
      <x:c r="G7" t="n">
        <x:f>Workforce!C18</x:f>
        <x:v>418</x:v>
      </x:c>
      <x:c r="H7" t="str">
        <x:v>positions</x:v>
      </x:c>
    </x:row>
    <x:row r="8">
      <x:c r="B8" t="str">
        <x:v>terrain field per rig</x:v>
      </x:c>
      <x:c r="C8" t="n">
        <x:v>600</x:v>
      </x:c>
      <x:c r="D8" t="str">
        <x:v>m2</x:v>
      </x:c>
      <x:c r="F8" t="str">
        <x:v>capital</x:v>
      </x:c>
      <x:c r="G8" t="n">
        <x:f>Capital!C20</x:f>
        <x:v>720</x:v>
      </x:c>
      <x:c r="H8" t="str">
        <x:v>USD M</x:v>
      </x:c>
    </x:row>
    <x:row r="9">
      <x:c r="B9" t="str">
        <x:v>terrain cassettes</x:v>
      </x:c>
      <x:c r="C9" t="n">
        <x:v>900</x:v>
      </x:c>
      <x:c r="D9" t="str">
        <x:v>federation</x:v>
      </x:c>
      <x:c r="F9" t="str">
        <x:v>annual support</x:v>
      </x:c>
      <x:c r="G9" t="n">
        <x:f>'Annual Support'!C17</x:f>
        <x:v>112</x:v>
      </x:c>
      <x:c r="H9" t="str">
        <x:v>USD M/year</x:v>
      </x:c>
    </x:row>
    <x:row r="10">
      <x:c r="B10" t="str">
        <x:v>replaceable panels</x:v>
      </x:c>
      <x:c r="C10" t="n">
        <x:v>3600</x:v>
      </x:c>
      <x:c r="D10" t="str">
        <x:v>federation</x:v>
      </x:c>
      <x:c r="F10" t="str">
        <x:v>program exposure</x:v>
      </x:c>
      <x:c r="G10" t="n">
        <x:f>'Portfolio Boundary'!C22</x:f>
        <x:v>1056</x:v>
      </x:c>
      <x:c r="H10" t="str">
        <x:v>USD M</x:v>
      </x:c>
    </x:row>
    <x:row r="11">
      <x:c r="B11" t="str">
        <x:v>drain cartridge bays</x:v>
      </x:c>
      <x:c r="C11" t="n">
        <x:v>144</x:v>
      </x:c>
      <x:c r="D11" t="str">
        <x:v>federation</x:v>
      </x:c>
      <x:c r="F11" t="str">
        <x:v>net-new capital</x:v>
      </x:c>
      <x:c r="G11" t="n">
        <x:f>'Portfolio Boundary'!C9</x:f>
        <x:v>160</x:v>
      </x:c>
      <x:c r="H11" t="str">
        <x:v>USD M</x:v>
      </x:c>
    </x:row>
    <x:row r="12">
      <x:c r="B12" t="str">
        <x:v>scientific channels</x:v>
      </x:c>
      <x:c r="C12" t="n">
        <x:v>480</x:v>
      </x:c>
      <x:c r="D12" t="str">
        <x:v>per rig</x:v>
      </x:c>
      <x:c r="F12" t="str">
        <x:v>net-new annual</x:v>
      </x:c>
      <x:c r="G12" t="n">
        <x:f>'Portfolio Boundary'!D9</x:f>
        <x:v>22</x:v>
      </x:c>
      <x:c r="H12" t="str">
        <x:v>USD M/year</x:v>
      </x:c>
    </x:row>
    <x:row r="13">
      <x:c r="B13" t="str">
        <x:v>facility witness channels</x:v>
      </x:c>
      <x:c r="C13" t="n">
        <x:v>96</x:v>
      </x:c>
      <x:c r="D13" t="str">
        <x:v>per rig</x:v>
      </x:c>
      <x:c r="F13" t="str">
        <x:v>BRD-10R capital</x:v>
      </x:c>
      <x:c r="G13" t="n">
        <x:f>'Portfolio Boundary'!C17</x:f>
        <x:v>2295</x:v>
      </x:c>
      <x:c r="H13" t="str">
        <x:v>USD M</x:v>
      </x:c>
    </x:row>
    <x:row r="14">
      <x:c r="B14" t="str">
        <x:v>native channels</x:v>
      </x:c>
      <x:c r="C14" t="n">
        <x:v>576</x:v>
      </x:c>
      <x:c r="D14" t="str">
        <x:v>per rig</x:v>
      </x:c>
      <x:c r="F14" t="str">
        <x:v>BRD-10R annual</x:v>
      </x:c>
      <x:c r="G14" t="n">
        <x:f>'Portfolio Boundary'!D17</x:f>
        <x:v>386</x:v>
      </x:c>
      <x:c r="H14" t="str">
        <x:v>USD M/year</x:v>
      </x:c>
    </x:row>
    <x:row r="15">
      <x:c r="B15" t="str">
        <x:v>campaign events</x:v>
      </x:c>
      <x:c r="C15" t="n">
        <x:v>306</x:v>
      </x:c>
      <x:c r="D15" t="str">
        <x:v>events</x:v>
      </x:c>
      <x:c r="F15" t="str">
        <x:v>planning gates</x:v>
      </x:c>
      <x:c r="G15" t="n">
        <x:f>'Release Gates'!K2</x:f>
        <x:v>335</x:v>
      </x:c>
      <x:c r="H15" t="str">
        <x:v>PASS</x:v>
      </x:c>
    </x:row>
    <x:row r="16">
      <x:c r="F16" t="str">
        <x:v>physical gates</x:v>
      </x:c>
      <x:c r="G16" t="n">
        <x:f>'Release Gates'!K3</x:f>
        <x:v>2244</x:v>
      </x:c>
      <x:c r="H16" t="str">
        <x:v>OPEN</x:v>
      </x:c>
    </x:row>
    <x:row r="17">
      <x:c r="F17" t="str">
        <x:v>downstream gates</x:v>
      </x:c>
      <x:c r="G17" t="n">
        <x:f>'Release Gates'!K4</x:f>
        <x:v>9</x:v>
      </x:c>
      <x:c r="H17" t="str">
        <x:v>BLOCKED</x:v>
      </x:c>
    </x:row>
    <x:row r="18">
      <x:c r="F18" t="str">
        <x:v>audit observers</x:v>
      </x:c>
      <x:c r="G18" t="n">
        <x:f>COUNTA(Audit!B7:B6000)</x:f>
        <x:v>2614</x:v>
      </x:c>
      <x:c r="H18" t="str">
        <x:v>PASS</x:v>
      </x:c>
    </x:row>
    <x:row r="21">
      <x:c r="B21" s="14" t="str">
        <x:v>Governing interpretation</x:v>
      </x:c>
      <x:c r="C21" s="14"/>
      <x:c r="D21" s="14"/>
      <x:c r="E21" s="14"/>
      <x:c r="F21" s="14"/>
      <x:c r="G21" s="14"/>
      <x:c r="H21" s="14"/>
    </x:row>
    <x:row r="22" ht="36" customHeight="1">
      <x:c r="B22" s="11" t="str">
        <x:v>The public rig standardizes source, datum, time, challenge, safety and evidence. Candidate source, water, drain, cooling, autonomy and recovery mechanisms remain physically unlike.</x:v>
      </x:c>
      <x:c r="C22"/>
      <x:c r="D22"/>
      <x:c r="E22"/>
      <x:c r="F22"/>
      <x:c r="G22"/>
      <x:c r="H22"/>
    </x:row>
    <x:row r="23" ht="36" customHeight="1">
      <x:c r="B23" s="11" t="str">
        <x:v>A 600 m² field uses 150 adjustable 2 m × 2 m cassettes and 600 replaceable 1 m² panels per rig. Twenty-four drain bays accept candidate cartridges without a common source plenum.</x:v>
      </x:c>
      <x:c r="C23"/>
      <x:c r="D23"/>
      <x:c r="E23"/>
      <x:c r="F23"/>
      <x:c r="G23"/>
      <x:c r="H23"/>
    </x:row>
    <x:row r="24" ht="36" customHeight="1">
      <x:c r="B24" s="11" t="str">
        <x:v>A 120 m³ public casualty vault and 50 m³ casualty source tank protect the site. Their use is a candidate outcome and cannot earn performance credit.</x:v>
      </x:c>
      <x:c r="C24"/>
      <x:c r="D24"/>
      <x:c r="E24"/>
      <x:c r="F24"/>
      <x:c r="G24"/>
      <x:c r="H24"/>
    </x:row>
    <x:row r="25" ht="36" customHeight="1">
      <x:c r="B25" s="11" t="str">
        <x:v>The facility supplies 3 m³/min water, 20 MW heat rejection, a 72 MW zoned thermal field and three independent robot corridors per rig.</x:v>
      </x:c>
      <x:c r="C25"/>
      <x:c r="D25"/>
      <x:c r="E25"/>
      <x:c r="F25"/>
      <x:c r="G25"/>
      <x:c r="H25"/>
    </x:row>
    <x:row r="26" ht="36" customHeight="1">
      <x:c r="B26" s="11" t="str">
        <x:v>The data system preserves 480 scientific channels and adds 96 facility witnesses. Mass-closure expanded uncertainty remains below the inherited 5 kg screen.</x:v>
      </x:c>
      <x:c r="C26"/>
      <x:c r="D26"/>
      <x:c r="E26"/>
      <x:c r="F26"/>
      <x:c r="G26"/>
      <x:c r="H26"/>
    </x:row>
    <x:row r="27" ht="36" customHeight="1">
      <x:c r="B27" s="11" t="str">
        <x:v>RFP-1 requires 418 positions, USD 720 million capital and USD 112 million per year. Net-new gross requirement is USD 160 million and USD 22 million per year.</x:v>
      </x:c>
      <x:c r="C27"/>
      <x:c r="D27"/>
      <x:c r="E27"/>
      <x:c r="F27"/>
      <x:c r="G27"/>
      <x:c r="H27"/>
    </x:row>
    <x:row r="28" ht="36" customHeight="1">
      <x:c r="B28" s="11" t="str">
        <x:v>All physical and downstream release gates remain open or blocked. No exterior rendering is authorized.</x:v>
      </x:c>
      <x:c r="C28"/>
      <x:c r="D28"/>
      <x:c r="E28"/>
      <x:c r="F28"/>
      <x:c r="G28"/>
      <x:c r="H28"/>
    </x:row>
  </x:sheetData>
  <x:mergeCells>
    <x:mergeCell ref="B22:H22"/>
    <x:mergeCell ref="B23:H23"/>
    <x:mergeCell ref="B24:H24"/>
    <x:mergeCell ref="B25:H25"/>
    <x:mergeCell ref="B26:H26"/>
    <x:mergeCell ref="B27:H27"/>
    <x:mergeCell ref="B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8A9D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40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</x:cols>
  <x:sheetData>
    <x:row r="2">
      <x:c r="B2" s="1" t="str">
        <x:v>RFP-1 controls</x:v>
      </x:c>
    </x:row>
    <x:row r="3">
      <x:c r="B3" s="2" t="str">
        <x:v>Blue values are editable hypotheses. Physical observations and downstream authorities begin at zero.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Class</x:v>
      </x:c>
      <x:c r="G6" s="7" t="str">
        <x:v>Internal authority</x:v>
      </x:c>
    </x:row>
    <x:row r="7">
      <x:c r="B7" t="str">
        <x:v>C01</x:v>
      </x:c>
      <x:c r="C7" t="str">
        <x:v>public rigs</x:v>
      </x:c>
      <x:c r="D7" s="18" t="n">
        <x:v>6</x:v>
      </x:c>
      <x:c r="E7" t="str">
        <x:v>count</x:v>
      </x:c>
      <x:c r="F7" t="str">
        <x:v>design</x:v>
      </x:c>
      <x:c r="G7" t="str">
        <x:v>RFP-1</x:v>
      </x:c>
    </x:row>
    <x:row r="8">
      <x:c r="B8" t="str">
        <x:v>C02</x:v>
      </x:c>
      <x:c r="C8" t="str">
        <x:v>campuses</x:v>
      </x:c>
      <x:c r="D8" s="18" t="n">
        <x:v>3</x:v>
      </x:c>
      <x:c r="E8" t="str">
        <x:v>count</x:v>
      </x:c>
      <x:c r="F8" t="str">
        <x:v>inherited</x:v>
      </x:c>
      <x:c r="G8" t="str">
        <x:v>PTC-0</x:v>
      </x:c>
    </x:row>
    <x:row r="9">
      <x:c r="B9" t="str">
        <x:v>C03</x:v>
      </x:c>
      <x:c r="C9" t="str">
        <x:v>candidate architectures</x:v>
      </x:c>
      <x:c r="D9" s="18" t="n">
        <x:v>3</x:v>
      </x:c>
      <x:c r="E9" t="str">
        <x:v>count</x:v>
      </x:c>
      <x:c r="F9" t="str">
        <x:v>inherited</x:v>
      </x:c>
      <x:c r="G9" t="str">
        <x:v>RFA-1</x:v>
      </x:c>
    </x:row>
    <x:row r="10">
      <x:c r="B10" t="str">
        <x:v>C04</x:v>
      </x:c>
      <x:c r="C10" t="str">
        <x:v>builder roots</x:v>
      </x:c>
      <x:c r="D10" s="18" t="n">
        <x:v>6</x:v>
      </x:c>
      <x:c r="E10" t="str">
        <x:v>count</x:v>
      </x:c>
      <x:c r="F10" t="str">
        <x:v>inherited</x:v>
      </x:c>
      <x:c r="G10" t="str">
        <x:v>RFA-1</x:v>
      </x:c>
    </x:row>
    <x:row r="11">
      <x:c r="B11" t="str">
        <x:v>C05</x:v>
      </x:c>
      <x:c r="C11" t="str">
        <x:v>campaign events</x:v>
      </x:c>
      <x:c r="D11" s="18" t="n">
        <x:v>306</x:v>
      </x:c>
      <x:c r="E11" t="str">
        <x:v>events</x:v>
      </x:c>
      <x:c r="F11" t="str">
        <x:v>inherited</x:v>
      </x:c>
      <x:c r="G11" t="str">
        <x:v>RFA-1</x:v>
      </x:c>
    </x:row>
    <x:row r="12">
      <x:c r="B12" t="str">
        <x:v>C06</x:v>
      </x:c>
      <x:c r="C12" t="str">
        <x:v>matched pairs</x:v>
      </x:c>
      <x:c r="D12" s="18" t="n">
        <x:v>96</x:v>
      </x:c>
      <x:c r="E12" t="str">
        <x:v>pairs</x:v>
      </x:c>
      <x:c r="F12" t="str">
        <x:v>inherited</x:v>
      </x:c>
      <x:c r="G12" t="str">
        <x:v>RFA-1</x:v>
      </x:c>
    </x:row>
    <x:row r="13">
      <x:c r="B13" t="str">
        <x:v>C07</x:v>
      </x:c>
      <x:c r="C13" t="str">
        <x:v>source C1</x:v>
      </x:c>
      <x:c r="D13" s="18" t="n">
        <x:v>2000</x:v>
      </x:c>
      <x:c r="E13" t="str">
        <x:v>kg</x:v>
      </x:c>
      <x:c r="F13" t="str">
        <x:v>inherited</x:v>
      </x:c>
      <x:c r="G13" t="str">
        <x:v>MCR-1</x:v>
      </x:c>
    </x:row>
    <x:row r="14">
      <x:c r="B14" t="str">
        <x:v>C08</x:v>
      </x:c>
      <x:c r="C14" t="str">
        <x:v>source C2</x:v>
      </x:c>
      <x:c r="D14" s="18" t="n">
        <x:v>8000</x:v>
      </x:c>
      <x:c r="E14" t="str">
        <x:v>kg</x:v>
      </x:c>
      <x:c r="F14" t="str">
        <x:v>inherited</x:v>
      </x:c>
      <x:c r="G14" t="str">
        <x:v>MCR-1</x:v>
      </x:c>
    </x:row>
    <x:row r="15">
      <x:c r="B15" t="str">
        <x:v>C09</x:v>
      </x:c>
      <x:c r="C15" t="str">
        <x:v>source density</x:v>
      </x:c>
      <x:c r="D15" s="18" t="n">
        <x:v>800</x:v>
      </x:c>
      <x:c r="E15" t="str">
        <x:v>kg/m3</x:v>
      </x:c>
      <x:c r="F15" t="str">
        <x:v>inherited</x:v>
      </x:c>
      <x:c r="G15" t="str">
        <x:v>MCR-1</x:v>
      </x:c>
    </x:row>
    <x:row r="16">
      <x:c r="B16" t="str">
        <x:v>C10</x:v>
      </x:c>
      <x:c r="C16" t="str">
        <x:v>source energy</x:v>
      </x:c>
      <x:c r="D16" s="18" t="n">
        <x:v>42.588</x:v>
      </x:c>
      <x:c r="E16" t="str">
        <x:v>MJ/kg</x:v>
      </x:c>
      <x:c r="F16" t="str">
        <x:v>inherited</x:v>
      </x:c>
      <x:c r="G16" t="str">
        <x:v>MCR-1</x:v>
      </x:c>
    </x:row>
    <x:row r="17">
      <x:c r="B17" t="str">
        <x:v>C11</x:v>
      </x:c>
      <x:c r="C17" t="str">
        <x:v>source release duration</x:v>
      </x:c>
      <x:c r="D17" s="18" t="n">
        <x:v>120</x:v>
      </x:c>
      <x:c r="E17" t="str">
        <x:v>s</x:v>
      </x:c>
      <x:c r="F17" t="str">
        <x:v>inherited</x:v>
      </x:c>
      <x:c r="G17" t="str">
        <x:v>SBD-1</x:v>
      </x:c>
    </x:row>
    <x:row r="18">
      <x:c r="B18" t="str">
        <x:v>C12</x:v>
      </x:c>
      <x:c r="C18" t="str">
        <x:v>terminal-source target</x:v>
      </x:c>
      <x:c r="D18" s="18" t="n">
        <x:v>30</x:v>
      </x:c>
      <x:c r="E18" t="str">
        <x:v>s</x:v>
      </x:c>
      <x:c r="F18" t="str">
        <x:v>inherited</x:v>
      </x:c>
      <x:c r="G18" t="str">
        <x:v>SBD-1</x:v>
      </x:c>
    </x:row>
    <x:row r="19">
      <x:c r="B19" t="str">
        <x:v>C13</x:v>
      </x:c>
      <x:c r="C19" t="str">
        <x:v>candidate source sump</x:v>
      </x:c>
      <x:c r="D19" s="18" t="n">
        <x:v>15</x:v>
      </x:c>
      <x:c r="E19" t="str">
        <x:v>m3</x:v>
      </x:c>
      <x:c r="F19" t="str">
        <x:v>inherited</x:v>
      </x:c>
      <x:c r="G19" t="str">
        <x:v>SBD-1</x:v>
      </x:c>
    </x:row>
    <x:row r="20">
      <x:c r="B20" t="str">
        <x:v>C14</x:v>
      </x:c>
      <x:c r="C20" t="str">
        <x:v>candidate firewater vault</x:v>
      </x:c>
      <x:c r="D20" s="18" t="n">
        <x:v>40</x:v>
      </x:c>
      <x:c r="E20" t="str">
        <x:v>m3</x:v>
      </x:c>
      <x:c r="F20" t="str">
        <x:v>inherited</x:v>
      </x:c>
      <x:c r="G20" t="str">
        <x:v>SBD-1</x:v>
      </x:c>
    </x:row>
    <x:row r="21">
      <x:c r="B21" t="str">
        <x:v>C15</x:v>
      </x:c>
      <x:c r="C21" t="str">
        <x:v>public casualty source tank</x:v>
      </x:c>
      <x:c r="D21" s="18" t="n">
        <x:v>50</x:v>
      </x:c>
      <x:c r="E21" t="str">
        <x:v>m3</x:v>
      </x:c>
      <x:c r="F21" t="str">
        <x:v>design</x:v>
      </x:c>
      <x:c r="G21" t="str">
        <x:v>RFP-1</x:v>
      </x:c>
    </x:row>
    <x:row r="22">
      <x:c r="B22" t="str">
        <x:v>C16</x:v>
      </x:c>
      <x:c r="C22" t="str">
        <x:v>public casualty water vault</x:v>
      </x:c>
      <x:c r="D22" s="18" t="n">
        <x:v>120</x:v>
      </x:c>
      <x:c r="E22" t="str">
        <x:v>m3</x:v>
      </x:c>
      <x:c r="F22" t="str">
        <x:v>design</x:v>
      </x:c>
      <x:c r="G22" t="str">
        <x:v>RFP-1</x:v>
      </x:c>
    </x:row>
    <x:row r="23">
      <x:c r="B23" t="str">
        <x:v>C17</x:v>
      </x:c>
      <x:c r="C23" t="str">
        <x:v>terrain field length</x:v>
      </x:c>
      <x:c r="D23" s="18" t="n">
        <x:v>30</x:v>
      </x:c>
      <x:c r="E23" t="str">
        <x:v>m</x:v>
      </x:c>
      <x:c r="F23" t="str">
        <x:v>design</x:v>
      </x:c>
      <x:c r="G23" t="str">
        <x:v>RFP-1</x:v>
      </x:c>
    </x:row>
    <x:row r="24">
      <x:c r="B24" t="str">
        <x:v>C18</x:v>
      </x:c>
      <x:c r="C24" t="str">
        <x:v>terrain field width</x:v>
      </x:c>
      <x:c r="D24" s="18" t="n">
        <x:v>20</x:v>
      </x:c>
      <x:c r="E24" t="str">
        <x:v>m</x:v>
      </x:c>
      <x:c r="F24" t="str">
        <x:v>design</x:v>
      </x:c>
      <x:c r="G24" t="str">
        <x:v>RFP-1</x:v>
      </x:c>
    </x:row>
    <x:row r="25">
      <x:c r="B25" t="str">
        <x:v>C19</x:v>
      </x:c>
      <x:c r="C25" t="str">
        <x:v>terrain cassette area</x:v>
      </x:c>
      <x:c r="D25" s="18" t="n">
        <x:v>4</x:v>
      </x:c>
      <x:c r="E25" t="str">
        <x:v>m2</x:v>
      </x:c>
      <x:c r="F25" t="str">
        <x:v>design</x:v>
      </x:c>
      <x:c r="G25" t="str">
        <x:v>RFP-1</x:v>
      </x:c>
    </x:row>
    <x:row r="26">
      <x:c r="B26" t="str">
        <x:v>C20</x:v>
      </x:c>
      <x:c r="C26" t="str">
        <x:v>panel area</x:v>
      </x:c>
      <x:c r="D26" s="18" t="n">
        <x:v>1</x:v>
      </x:c>
      <x:c r="E26" t="str">
        <x:v>m2</x:v>
      </x:c>
      <x:c r="F26" t="str">
        <x:v>design</x:v>
      </x:c>
      <x:c r="G26" t="str">
        <x:v>RFP-1</x:v>
      </x:c>
    </x:row>
    <x:row r="27">
      <x:c r="B27" t="str">
        <x:v>C21</x:v>
      </x:c>
      <x:c r="C27" t="str">
        <x:v>cassette vertical travel</x:v>
      </x:c>
      <x:c r="D27" s="18" t="n">
        <x:v>150</x:v>
      </x:c>
      <x:c r="E27" t="str">
        <x:v>mm</x:v>
      </x:c>
      <x:c r="F27" t="str">
        <x:v>design</x:v>
      </x:c>
      <x:c r="G27" t="str">
        <x:v>RFP-1</x:v>
      </x:c>
    </x:row>
    <x:row r="28">
      <x:c r="B28" t="str">
        <x:v>C22</x:v>
      </x:c>
      <x:c r="C28" t="str">
        <x:v>field grade envelope</x:v>
      </x:c>
      <x:c r="D28" s="18" t="n">
        <x:v>1.5</x:v>
      </x:c>
      <x:c r="E28" t="str">
        <x:v>percent</x:v>
      </x:c>
      <x:c r="F28" t="str">
        <x:v>design</x:v>
      </x:c>
      <x:c r="G28" t="str">
        <x:v>RFP-1</x:v>
      </x:c>
    </x:row>
    <x:row r="29">
      <x:c r="B29" t="str">
        <x:v>C23</x:v>
      </x:c>
      <x:c r="C29" t="str">
        <x:v>candidate pad length</x:v>
      </x:c>
      <x:c r="D29" s="18" t="n">
        <x:v>12</x:v>
      </x:c>
      <x:c r="E29" t="str">
        <x:v>m</x:v>
      </x:c>
      <x:c r="F29" t="str">
        <x:v>design</x:v>
      </x:c>
      <x:c r="G29" t="str">
        <x:v>RFP-1</x:v>
      </x:c>
    </x:row>
    <x:row r="30">
      <x:c r="B30" t="str">
        <x:v>C24</x:v>
      </x:c>
      <x:c r="C30" t="str">
        <x:v>candidate pad width</x:v>
      </x:c>
      <x:c r="D30" s="18" t="n">
        <x:v>4</x:v>
      </x:c>
      <x:c r="E30" t="str">
        <x:v>m</x:v>
      </x:c>
      <x:c r="F30" t="str">
        <x:v>design</x:v>
      </x:c>
      <x:c r="G30" t="str">
        <x:v>RFP-1</x:v>
      </x:c>
    </x:row>
    <x:row r="31">
      <x:c r="B31" t="str">
        <x:v>C25</x:v>
      </x:c>
      <x:c r="C31" t="str">
        <x:v>pool area maximum</x:v>
      </x:c>
      <x:c r="D31" s="18" t="n">
        <x:v>100</x:v>
      </x:c>
      <x:c r="E31" t="str">
        <x:v>m2</x:v>
      </x:c>
      <x:c r="F31" t="str">
        <x:v>design</x:v>
      </x:c>
      <x:c r="G31" t="str">
        <x:v>RFP-1</x:v>
      </x:c>
    </x:row>
    <x:row r="32">
      <x:c r="B32" t="str">
        <x:v>C26</x:v>
      </x:c>
      <x:c r="C32" t="str">
        <x:v>source slot count</x:v>
      </x:c>
      <x:c r="D32" s="18" t="n">
        <x:v>24</x:v>
      </x:c>
      <x:c r="E32" t="str">
        <x:v>slots/rig</x:v>
      </x:c>
      <x:c r="F32" t="str">
        <x:v>design</x:v>
      </x:c>
      <x:c r="G32" t="str">
        <x:v>RFP-1</x:v>
      </x:c>
    </x:row>
    <x:row r="33">
      <x:c r="B33" t="str">
        <x:v>C27</x:v>
      </x:c>
      <x:c r="C33" t="str">
        <x:v>drain gallery count</x:v>
      </x:c>
      <x:c r="D33" s="18" t="n">
        <x:v>4</x:v>
      </x:c>
      <x:c r="E33" t="str">
        <x:v>galleries/rig</x:v>
      </x:c>
      <x:c r="F33" t="str">
        <x:v>design</x:v>
      </x:c>
      <x:c r="G33" t="str">
        <x:v>RFP-1</x:v>
      </x:c>
    </x:row>
    <x:row r="34">
      <x:c r="B34" t="str">
        <x:v>C28</x:v>
      </x:c>
      <x:c r="C34" t="str">
        <x:v>candidate cartridge bays</x:v>
      </x:c>
      <x:c r="D34" s="18" t="n">
        <x:v>24</x:v>
      </x:c>
      <x:c r="E34" t="str">
        <x:v>bays/rig</x:v>
      </x:c>
      <x:c r="F34" t="str">
        <x:v>design</x:v>
      </x:c>
      <x:c r="G34" t="str">
        <x:v>RFP-1</x:v>
      </x:c>
    </x:row>
    <x:row r="35">
      <x:c r="B35" t="str">
        <x:v>C29</x:v>
      </x:c>
      <x:c r="C35" t="str">
        <x:v>water delivery</x:v>
      </x:c>
      <x:c r="D35" s="18" t="n">
        <x:v>3</x:v>
      </x:c>
      <x:c r="E35" t="str">
        <x:v>m3/min/rig</x:v>
      </x:c>
      <x:c r="F35" t="str">
        <x:v>design</x:v>
      </x:c>
      <x:c r="G35" t="str">
        <x:v>RFP-1</x:v>
      </x:c>
    </x:row>
    <x:row r="36">
      <x:c r="B36" t="str">
        <x:v>C30</x:v>
      </x:c>
      <x:c r="C36" t="str">
        <x:v>water pressure</x:v>
      </x:c>
      <x:c r="D36" s="18" t="n">
        <x:v>1.2</x:v>
      </x:c>
      <x:c r="E36" t="str">
        <x:v>MPa</x:v>
      </x:c>
      <x:c r="F36" t="str">
        <x:v>design</x:v>
      </x:c>
      <x:c r="G36" t="str">
        <x:v>RFP-1</x:v>
      </x:c>
    </x:row>
    <x:row r="37">
      <x:c r="B37" t="str">
        <x:v>C31</x:v>
      </x:c>
      <x:c r="C37" t="str">
        <x:v>heat rejection</x:v>
      </x:c>
      <x:c r="D37" s="18" t="n">
        <x:v>20</x:v>
      </x:c>
      <x:c r="E37" t="str">
        <x:v>MW/rig</x:v>
      </x:c>
      <x:c r="F37" t="str">
        <x:v>design</x:v>
      </x:c>
      <x:c r="G37" t="str">
        <x:v>RFP-1</x:v>
      </x:c>
    </x:row>
    <x:row r="38">
      <x:c r="B38" t="str">
        <x:v>C32</x:v>
      </x:c>
      <x:c r="C38" t="str">
        <x:v>thermal source</x:v>
      </x:c>
      <x:c r="D38" s="18" t="n">
        <x:v>72</x:v>
      </x:c>
      <x:c r="E38" t="str">
        <x:v>MW/rig</x:v>
      </x:c>
      <x:c r="F38" t="str">
        <x:v>design</x:v>
      </x:c>
      <x:c r="G38" t="str">
        <x:v>RFP-1</x:v>
      </x:c>
    </x:row>
    <x:row r="39">
      <x:c r="B39" t="str">
        <x:v>C33</x:v>
      </x:c>
      <x:c r="C39" t="str">
        <x:v>wind boundary</x:v>
      </x:c>
      <x:c r="D39" s="18" t="n">
        <x:v>1.5</x:v>
      </x:c>
      <x:c r="E39" t="str">
        <x:v>kPa</x:v>
      </x:c>
      <x:c r="F39" t="str">
        <x:v>inherited</x:v>
      </x:c>
      <x:c r="G39" t="str">
        <x:v>RFA-1</x:v>
      </x:c>
    </x:row>
    <x:row r="40">
      <x:c r="B40" t="str">
        <x:v>C34</x:v>
      </x:c>
      <x:c r="C40" t="str">
        <x:v>exclusion radius</x:v>
      </x:c>
      <x:c r="D40" s="18" t="n">
        <x:v>250</x:v>
      </x:c>
      <x:c r="E40" t="str">
        <x:v>m/rig</x:v>
      </x:c>
      <x:c r="F40" t="str">
        <x:v>screen</x:v>
      </x:c>
      <x:c r="G40" t="str">
        <x:v>RFP-1</x:v>
      </x:c>
    </x:row>
    <x:row r="41">
      <x:c r="B41" t="str">
        <x:v>C35</x:v>
      </x:c>
      <x:c r="C41" t="str">
        <x:v>scientific channels</x:v>
      </x:c>
      <x:c r="D41" s="18" t="n">
        <x:v>480</x:v>
      </x:c>
      <x:c r="E41" t="str">
        <x:v>channels/rig</x:v>
      </x:c>
      <x:c r="F41" t="str">
        <x:v>inherited</x:v>
      </x:c>
      <x:c r="G41" t="str">
        <x:v>RFA-1</x:v>
      </x:c>
    </x:row>
    <x:row r="42">
      <x:c r="B42" t="str">
        <x:v>C36</x:v>
      </x:c>
      <x:c r="C42" t="str">
        <x:v>facility witness channels</x:v>
      </x:c>
      <x:c r="D42" s="18" t="n">
        <x:v>96</x:v>
      </x:c>
      <x:c r="E42" t="str">
        <x:v>channels/rig</x:v>
      </x:c>
      <x:c r="F42" t="str">
        <x:v>design</x:v>
      </x:c>
      <x:c r="G42" t="str">
        <x:v>RFP-1</x:v>
      </x:c>
    </x:row>
    <x:row r="43">
      <x:c r="B43" t="str">
        <x:v>C37</x:v>
      </x:c>
      <x:c r="C43" t="str">
        <x:v>high-rate interval</x:v>
      </x:c>
      <x:c r="D43" s="18" t="n">
        <x:v>600</x:v>
      </x:c>
      <x:c r="E43" t="str">
        <x:v>s</x:v>
      </x:c>
      <x:c r="F43" t="str">
        <x:v>design</x:v>
      </x:c>
      <x:c r="G43" t="str">
        <x:v>RFP-1</x:v>
      </x:c>
    </x:row>
    <x:row r="44">
      <x:c r="B44" t="str">
        <x:v>C38</x:v>
      </x:c>
      <x:c r="C44" t="str">
        <x:v>tail interval</x:v>
      </x:c>
      <x:c r="D44" s="18" t="n">
        <x:v>21600</x:v>
      </x:c>
      <x:c r="E44" t="str">
        <x:v>s</x:v>
      </x:c>
      <x:c r="F44" t="str">
        <x:v>design</x:v>
      </x:c>
      <x:c r="G44" t="str">
        <x:v>RFP-1</x:v>
      </x:c>
    </x:row>
    <x:row r="45">
      <x:c r="B45" t="str">
        <x:v>C39</x:v>
      </x:c>
      <x:c r="C45" t="str">
        <x:v>tail data fraction</x:v>
      </x:c>
      <x:c r="D45" s="18" t="n">
        <x:v>0.01</x:v>
      </x:c>
      <x:c r="E45" t="str">
        <x:v>ratio</x:v>
      </x:c>
      <x:c r="F45" t="str">
        <x:v>design</x:v>
      </x:c>
      <x:c r="G45" t="str">
        <x:v>RFP-1</x:v>
      </x:c>
    </x:row>
    <x:row r="46">
      <x:c r="B46" t="str">
        <x:v>C40</x:v>
      </x:c>
      <x:c r="C46" t="str">
        <x:v>custody originals</x:v>
      </x:c>
      <x:c r="D46" s="18" t="n">
        <x:v>2</x:v>
      </x:c>
      <x:c r="E46" t="str">
        <x:v>count</x:v>
      </x:c>
      <x:c r="F46" t="str">
        <x:v>inherited</x:v>
      </x:c>
      <x:c r="G46" t="str">
        <x:v>RHM-1</x:v>
      </x:c>
    </x:row>
    <x:row r="47">
      <x:c r="B47" t="str">
        <x:v>C41</x:v>
      </x:c>
      <x:c r="C47" t="str">
        <x:v>custody factor</x:v>
      </x:c>
      <x:c r="D47" s="18" t="n">
        <x:v>1.35</x:v>
      </x:c>
      <x:c r="E47" t="str">
        <x:v>ratio</x:v>
      </x:c>
      <x:c r="F47" t="str">
        <x:v>design</x:v>
      </x:c>
      <x:c r="G47" t="str">
        <x:v>RFP-1</x:v>
      </x:c>
    </x:row>
    <x:row r="48">
      <x:c r="B48" t="str">
        <x:v>C42</x:v>
      </x:c>
      <x:c r="C48" t="str">
        <x:v>event reserve</x:v>
      </x:c>
      <x:c r="D48" s="18" t="n">
        <x:v>0.3</x:v>
      </x:c>
      <x:c r="E48" t="str">
        <x:v>ratio</x:v>
      </x:c>
      <x:c r="F48" t="str">
        <x:v>design</x:v>
      </x:c>
      <x:c r="G48" t="str">
        <x:v>RFP-1</x:v>
      </x:c>
    </x:row>
    <x:row r="49">
      <x:c r="B49" t="str">
        <x:v>C43</x:v>
      </x:c>
      <x:c r="C49" t="str">
        <x:v>mass discrepancy ceiling</x:v>
      </x:c>
      <x:c r="D49" s="18" t="n">
        <x:v>5</x:v>
      </x:c>
      <x:c r="E49" t="str">
        <x:v>kg</x:v>
      </x:c>
      <x:c r="F49" t="str">
        <x:v>inherited</x:v>
      </x:c>
      <x:c r="G49" t="str">
        <x:v>SBD-1</x:v>
      </x:c>
    </x:row>
    <x:row r="50">
      <x:c r="B50" t="str">
        <x:v>C44</x:v>
      </x:c>
      <x:c r="C50" t="str">
        <x:v>program months</x:v>
      </x:c>
      <x:c r="D50" s="18" t="n">
        <x:v>36</x:v>
      </x:c>
      <x:c r="E50" t="str">
        <x:v>months</x:v>
      </x:c>
      <x:c r="F50" t="str">
        <x:v>design</x:v>
      </x:c>
      <x:c r="G50" t="str">
        <x:v>RFP-1</x:v>
      </x:c>
    </x:row>
    <x:row r="51">
      <x:c r="B51" t="str">
        <x:v>C45</x:v>
      </x:c>
      <x:c r="C51" t="str">
        <x:v>workforce</x:v>
      </x:c>
      <x:c r="D51" s="18" t="n">
        <x:v>418</x:v>
      </x:c>
      <x:c r="E51" t="str">
        <x:v>positions</x:v>
      </x:c>
      <x:c r="F51" t="str">
        <x:v>design</x:v>
      </x:c>
      <x:c r="G51" t="str">
        <x:v>RFP-1</x:v>
      </x:c>
    </x:row>
    <x:row r="52">
      <x:c r="B52" t="str">
        <x:v>C46</x:v>
      </x:c>
      <x:c r="C52" t="str">
        <x:v>capital</x:v>
      </x:c>
      <x:c r="D52" s="18" t="n">
        <x:v>720</x:v>
      </x:c>
      <x:c r="E52" t="str">
        <x:v>USD M</x:v>
      </x:c>
      <x:c r="F52" t="str">
        <x:v>design</x:v>
      </x:c>
      <x:c r="G52" t="str">
        <x:v>RFP-1</x:v>
      </x:c>
    </x:row>
    <x:row r="53">
      <x:c r="B53" t="str">
        <x:v>C47</x:v>
      </x:c>
      <x:c r="C53" t="str">
        <x:v>annual support</x:v>
      </x:c>
      <x:c r="D53" s="18" t="n">
        <x:v>112</x:v>
      </x:c>
      <x:c r="E53" t="str">
        <x:v>USD M/year</x:v>
      </x:c>
      <x:c r="F53" t="str">
        <x:v>design</x:v>
      </x:c>
      <x:c r="G53" t="str">
        <x:v>RFP-1</x:v>
      </x:c>
    </x:row>
    <x:row r="54">
      <x:c r="B54" t="str">
        <x:v>C48</x:v>
      </x:c>
      <x:c r="C54" t="str">
        <x:v>CISA capital share</x:v>
      </x:c>
      <x:c r="D54" s="18" t="n">
        <x:v>450</x:v>
      </x:c>
      <x:c r="E54" t="str">
        <x:v>USD M</x:v>
      </x:c>
      <x:c r="F54" t="str">
        <x:v>design</x:v>
      </x:c>
      <x:c r="G54" t="str">
        <x:v>RFP-1</x:v>
      </x:c>
    </x:row>
    <x:row r="55">
      <x:c r="B55" t="str">
        <x:v>C49</x:v>
      </x:c>
      <x:c r="C55" t="str">
        <x:v>shared capital share</x:v>
      </x:c>
      <x:c r="D55" s="18" t="n">
        <x:v>270</x:v>
      </x:c>
      <x:c r="E55" t="str">
        <x:v>USD M</x:v>
      </x:c>
      <x:c r="F55" t="str">
        <x:v>design</x:v>
      </x:c>
      <x:c r="G55" t="str">
        <x:v>RFP-1</x:v>
      </x:c>
    </x:row>
    <x:row r="56">
      <x:c r="B56" t="str">
        <x:v>C50</x:v>
      </x:c>
      <x:c r="C56" t="str">
        <x:v>CISA annual share</x:v>
      </x:c>
      <x:c r="D56" s="18" t="n">
        <x:v>70</x:v>
      </x:c>
      <x:c r="E56" t="str">
        <x:v>USD M/year</x:v>
      </x:c>
      <x:c r="F56" t="str">
        <x:v>design</x:v>
      </x:c>
      <x:c r="G56" t="str">
        <x:v>RFP-1</x:v>
      </x:c>
    </x:row>
    <x:row r="57">
      <x:c r="B57" t="str">
        <x:v>C51</x:v>
      </x:c>
      <x:c r="C57" t="str">
        <x:v>shared annual share</x:v>
      </x:c>
      <x:c r="D57" s="18" t="n">
        <x:v>42</x:v>
      </x:c>
      <x:c r="E57" t="str">
        <x:v>USD M/year</x:v>
      </x:c>
      <x:c r="F57" t="str">
        <x:v>design</x:v>
      </x:c>
      <x:c r="G57" t="str">
        <x:v>RFP-1</x:v>
      </x:c>
    </x:row>
    <x:row r="58">
      <x:c r="B58" t="str">
        <x:v>C52</x:v>
      </x:c>
      <x:c r="C58" t="str">
        <x:v>registered overlap capital</x:v>
      </x:c>
      <x:c r="D58" s="18" t="n">
        <x:v>560</x:v>
      </x:c>
      <x:c r="E58" t="str">
        <x:v>USD M</x:v>
      </x:c>
      <x:c r="F58" t="str">
        <x:v>design</x:v>
      </x:c>
      <x:c r="G58" t="str">
        <x:v>RFP-1</x:v>
      </x:c>
    </x:row>
    <x:row r="59">
      <x:c r="B59" t="str">
        <x:v>C53</x:v>
      </x:c>
      <x:c r="C59" t="str">
        <x:v>registered overlap annual</x:v>
      </x:c>
      <x:c r="D59" s="18" t="n">
        <x:v>90</x:v>
      </x:c>
      <x:c r="E59" t="str">
        <x:v>USD M/year</x:v>
      </x:c>
      <x:c r="F59" t="str">
        <x:v>design</x:v>
      </x:c>
      <x:c r="G59" t="str">
        <x:v>RFP-1</x:v>
      </x:c>
    </x:row>
    <x:row r="60">
      <x:c r="B60" t="str">
        <x:v>C54</x:v>
      </x:c>
      <x:c r="C60" t="str">
        <x:v>CISA overlap capital</x:v>
      </x:c>
      <x:c r="D60" s="18" t="n">
        <x:v>350</x:v>
      </x:c>
      <x:c r="E60" t="str">
        <x:v>USD M</x:v>
      </x:c>
      <x:c r="F60" t="str">
        <x:v>design</x:v>
      </x:c>
      <x:c r="G60" t="str">
        <x:v>RFP-1</x:v>
      </x:c>
    </x:row>
    <x:row r="61">
      <x:c r="B61" t="str">
        <x:v>C55</x:v>
      </x:c>
      <x:c r="C61" t="str">
        <x:v>CISA overlap annual</x:v>
      </x:c>
      <x:c r="D61" s="18" t="n">
        <x:v>56</x:v>
      </x:c>
      <x:c r="E61" t="str">
        <x:v>USD M/year</x:v>
      </x:c>
      <x:c r="F61" t="str">
        <x:v>design</x:v>
      </x:c>
      <x:c r="G61" t="str">
        <x:v>RFP-1</x:v>
      </x:c>
    </x:row>
    <x:row r="62">
      <x:c r="B62" t="str">
        <x:v>C56</x:v>
      </x:c>
      <x:c r="C62" t="str">
        <x:v>shared overlap capital</x:v>
      </x:c>
      <x:c r="D62" s="18" t="n">
        <x:v>210</x:v>
      </x:c>
      <x:c r="E62" t="str">
        <x:v>USD M</x:v>
      </x:c>
      <x:c r="F62" t="str">
        <x:v>design</x:v>
      </x:c>
      <x:c r="G62" t="str">
        <x:v>RFP-1</x:v>
      </x:c>
    </x:row>
    <x:row r="63">
      <x:c r="B63" t="str">
        <x:v>C57</x:v>
      </x:c>
      <x:c r="C63" t="str">
        <x:v>shared overlap annual</x:v>
      </x:c>
      <x:c r="D63" s="18" t="n">
        <x:v>34</x:v>
      </x:c>
      <x:c r="E63" t="str">
        <x:v>USD M/year</x:v>
      </x:c>
      <x:c r="F63" t="str">
        <x:v>design</x:v>
      </x:c>
      <x:c r="G63" t="str">
        <x:v>RFP-1</x:v>
      </x:c>
    </x:row>
    <x:row r="64">
      <x:c r="B64" t="str">
        <x:v>C58</x:v>
      </x:c>
      <x:c r="C64" t="str">
        <x:v>BRD-9R capital</x:v>
      </x:c>
      <x:c r="D64" s="18" t="n">
        <x:v>2195</x:v>
      </x:c>
      <x:c r="E64" t="str">
        <x:v>USD M</x:v>
      </x:c>
      <x:c r="F64" t="str">
        <x:v>inherited</x:v>
      </x:c>
      <x:c r="G64" t="str">
        <x:v>RFA-1</x:v>
      </x:c>
    </x:row>
    <x:row r="65">
      <x:c r="B65" t="str">
        <x:v>C59</x:v>
      </x:c>
      <x:c r="C65" t="str">
        <x:v>BRD-9R annual</x:v>
      </x:c>
      <x:c r="D65" s="18" t="n">
        <x:v>372</x:v>
      </x:c>
      <x:c r="E65" t="str">
        <x:v>USD M/year</x:v>
      </x:c>
      <x:c r="F65" t="str">
        <x:v>inherited</x:v>
      </x:c>
      <x:c r="G65" t="str">
        <x:v>RFA-1</x:v>
      </x:c>
    </x:row>
    <x:row r="66">
      <x:c r="B66" t="str">
        <x:v>C60</x:v>
      </x:c>
      <x:c r="C66" t="str">
        <x:v>BRD-9U capital</x:v>
      </x:c>
      <x:c r="D66" s="18" t="n">
        <x:v>2713</x:v>
      </x:c>
      <x:c r="E66" t="str">
        <x:v>USD M</x:v>
      </x:c>
      <x:c r="F66" t="str">
        <x:v>inherited</x:v>
      </x:c>
      <x:c r="G66" t="str">
        <x:v>RFA-1</x:v>
      </x:c>
    </x:row>
    <x:row r="67">
      <x:c r="B67" t="str">
        <x:v>C61</x:v>
      </x:c>
      <x:c r="C67" t="str">
        <x:v>BRD-9U annual</x:v>
      </x:c>
      <x:c r="D67" s="18" t="n">
        <x:v>493</x:v>
      </x:c>
      <x:c r="E67" t="str">
        <x:v>USD M/year</x:v>
      </x:c>
      <x:c r="F67" t="str">
        <x:v>inherited</x:v>
      </x:c>
      <x:c r="G67" t="str">
        <x:v>RFA-1</x:v>
      </x:c>
    </x:row>
    <x:row r="68">
      <x:c r="B68" t="str">
        <x:v>C62</x:v>
      </x:c>
      <x:c r="C68" t="str">
        <x:v>CISA parent capital</x:v>
      </x:c>
      <x:c r="D68" s="18" t="n">
        <x:v>960</x:v>
      </x:c>
      <x:c r="E68" t="str">
        <x:v>USD M</x:v>
      </x:c>
      <x:c r="F68" t="str">
        <x:v>inherited</x:v>
      </x:c>
      <x:c r="G68" t="str">
        <x:v>CISA-1</x:v>
      </x:c>
    </x:row>
    <x:row r="69">
      <x:c r="B69" t="str">
        <x:v>C63</x:v>
      </x:c>
      <x:c r="C69" t="str">
        <x:v>CISA parent annual</x:v>
      </x:c>
      <x:c r="D69" s="18" t="n">
        <x:v>260</x:v>
      </x:c>
      <x:c r="E69" t="str">
        <x:v>USD M/year</x:v>
      </x:c>
      <x:c r="F69" t="str">
        <x:v>inherited</x:v>
      </x:c>
      <x:c r="G69" t="str">
        <x:v>CISA-1</x:v>
      </x:c>
    </x:row>
    <x:row r="70">
      <x:c r="B70" t="str">
        <x:v>C64</x:v>
      </x:c>
      <x:c r="C70" t="str">
        <x:v>planning completion</x:v>
      </x:c>
      <x:c r="D70" s="18" t="n">
        <x:v>1</x:v>
      </x:c>
      <x:c r="E70" t="str">
        <x:v>binary</x:v>
      </x:c>
      <x:c r="F70" t="str">
        <x:v>design</x:v>
      </x:c>
      <x:c r="G70" t="str">
        <x:v>RFP-1</x:v>
      </x:c>
    </x:row>
    <x:row r="71">
      <x:c r="B71" t="str">
        <x:v>C65</x:v>
      </x:c>
      <x:c r="C71" t="str">
        <x:v>physical acceptance</x:v>
      </x:c>
      <x:c r="D71" s="18" t="n">
        <x:v>0</x:v>
      </x:c>
      <x:c r="E71" t="str">
        <x:v>binary</x:v>
      </x:c>
      <x:c r="F71" t="str">
        <x:v>physical</x:v>
      </x:c>
      <x:c r="G71" t="str">
        <x:v>authority</x:v>
      </x:c>
    </x:row>
    <x:row r="72">
      <x:c r="B72" t="str">
        <x:v>C66</x:v>
      </x:c>
      <x:c r="C72" t="str">
        <x:v>water-only authority</x:v>
      </x:c>
      <x:c r="D72" s="18" t="n">
        <x:v>0</x:v>
      </x:c>
      <x:c r="E72" t="str">
        <x:v>binary</x:v>
      </x:c>
      <x:c r="F72" t="str">
        <x:v>authority</x:v>
      </x:c>
      <x:c r="G72" t="str">
        <x:v>downstream</x:v>
      </x:c>
    </x:row>
    <x:row r="73">
      <x:c r="B73" t="str">
        <x:v>C67</x:v>
      </x:c>
      <x:c r="C73" t="str">
        <x:v>surrogate authority</x:v>
      </x:c>
      <x:c r="D73" s="18" t="n">
        <x:v>0</x:v>
      </x:c>
      <x:c r="E73" t="str">
        <x:v>binary</x:v>
      </x:c>
      <x:c r="F73" t="str">
        <x:v>authority</x:v>
      </x:c>
      <x:c r="G73" t="str">
        <x:v>downstream</x:v>
      </x:c>
    </x:row>
    <x:row r="74">
      <x:c r="B74" t="str">
        <x:v>C68</x:v>
      </x:c>
      <x:c r="C74" t="str">
        <x:v>quarter-source authority</x:v>
      </x:c>
      <x:c r="D74" s="18" t="n">
        <x:v>0</x:v>
      </x:c>
      <x:c r="E74" t="str">
        <x:v>binary</x:v>
      </x:c>
      <x:c r="F74" t="str">
        <x:v>authority</x:v>
      </x:c>
      <x:c r="G74" t="str">
        <x:v>downstream</x:v>
      </x:c>
    </x:row>
    <x:row r="75">
      <x:c r="B75" t="str">
        <x:v>C69</x:v>
      </x:c>
      <x:c r="C75" t="str">
        <x:v>full-source fire authority</x:v>
      </x:c>
      <x:c r="D75" s="18" t="n">
        <x:v>0</x:v>
      </x:c>
      <x:c r="E75" t="str">
        <x:v>binary</x:v>
      </x:c>
      <x:c r="F75" t="str">
        <x:v>authority</x:v>
      </x:c>
      <x:c r="G75" t="str">
        <x:v>downstream</x:v>
      </x:c>
    </x:row>
    <x:row r="76">
      <x:c r="B76" t="str">
        <x:v>C70</x:v>
      </x:c>
      <x:c r="C76" t="str">
        <x:v>destructive authority</x:v>
      </x:c>
      <x:c r="D76" s="18" t="n">
        <x:v>0</x:v>
      </x:c>
      <x:c r="E76" t="str">
        <x:v>binary</x:v>
      </x:c>
      <x:c r="F76" t="str">
        <x:v>authority</x:v>
      </x:c>
      <x:c r="G76" t="str">
        <x:v>downstream</x:v>
      </x:c>
    </x:row>
    <x:row r="77">
      <x:c r="B77" t="str">
        <x:v>C71</x:v>
      </x:c>
      <x:c r="C77" t="str">
        <x:v>candidate selection</x:v>
      </x:c>
      <x:c r="D77" s="18" t="n">
        <x:v>0</x:v>
      </x:c>
      <x:c r="E77" t="str">
        <x:v>binary</x:v>
      </x:c>
      <x:c r="F77" t="str">
        <x:v>authority</x:v>
      </x:c>
      <x:c r="G77" t="str">
        <x:v>downstream</x:v>
      </x:c>
    </x:row>
    <x:row r="78">
      <x:c r="B78" t="str">
        <x:v>C72</x:v>
      </x:c>
      <x:c r="C78" t="str">
        <x:v>Root A freeze</x:v>
      </x:c>
      <x:c r="D78" s="18" t="n">
        <x:v>0</x:v>
      </x:c>
      <x:c r="E78" t="str">
        <x:v>binary</x:v>
      </x:c>
      <x:c r="F78" t="str">
        <x:v>authority</x:v>
      </x:c>
      <x:c r="G78" t="str">
        <x:v>downstream</x:v>
      </x:c>
    </x:row>
    <x:row r="79">
      <x:c r="B79" t="str">
        <x:v>C73</x:v>
      </x:c>
      <x:c r="C79" t="str">
        <x:v>production authority</x:v>
      </x:c>
      <x:c r="D79" s="18" t="n">
        <x:v>0</x:v>
      </x:c>
      <x:c r="E79" t="str">
        <x:v>binary</x:v>
      </x:c>
      <x:c r="F79" t="str">
        <x:v>authority</x:v>
      </x:c>
      <x:c r="G79" t="str">
        <x:v>downstream</x:v>
      </x:c>
    </x:row>
    <x:row r="80">
      <x:c r="B80" t="str">
        <x:v>C74</x:v>
      </x:c>
      <x:c r="C80" t="str">
        <x:v>exterior-rendering authority</x:v>
      </x:c>
      <x:c r="D80" s="18" t="n">
        <x:v>0</x:v>
      </x:c>
      <x:c r="E80" t="str">
        <x:v>binary</x:v>
      </x:c>
      <x:c r="F80" t="str">
        <x:v>authority</x:v>
      </x:c>
      <x:c r="G80" t="str">
        <x:v>downstream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3" hidden="0" customWidth="1"/>
    <x:col min="3" max="3" width="12" hidden="0" customWidth="1"/>
    <x:col min="4" max="4" width="28" hidden="0" customWidth="1"/>
    <x:col min="5" max="5" width="64" hidden="0" customWidth="1"/>
    <x:col min="6" max="6" width="15" hidden="0" customWidth="1"/>
    <x:col min="7" max="7" width="15" hidden="0" customWidth="1"/>
    <x:col min="8" max="8" width="15" hidden="0" customWidth="1"/>
    <x:col min="9" max="9" width="17" hidden="0" customWidth="1"/>
    <x:col min="10" max="10" width="22" hidden="0" customWidth="1"/>
    <x:col min="11" max="11" width="14" hidden="0" customWidth="1"/>
    <x:col min="12" max="12" width="21" hidden="0" customWidth="1"/>
    <x:col min="13" max="13" width="14" hidden="0" customWidth="1"/>
  </x:cols>
  <x:sheetData>
    <x:row r="2">
      <x:c r="B2" s="1" t="str">
        <x:v>Six candidate-neutral public rigs</x:v>
      </x:c>
    </x:row>
    <x:row r="3">
      <x:c r="B3" s="2" t="str">
        <x:v>Every position is complete. Campus role changes admitted work, not the rig's functional anatomy.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Rig</x:v>
      </x:c>
      <x:c r="C6" s="7" t="str">
        <x:v>Campus</x:v>
      </x:c>
      <x:c r="D6" s="7" t="str">
        <x:v>Role</x:v>
      </x:c>
      <x:c r="E6" s="7" t="str">
        <x:v>Governing use</x:v>
      </x:c>
      <x:c r="F6" s="7" t="str">
        <x:v>Terrain m2</x:v>
      </x:c>
      <x:c r="G6" s="7" t="str">
        <x:v>Cassettes</x:v>
      </x:c>
      <x:c r="H6" s="7" t="str">
        <x:v>Panels</x:v>
      </x:c>
      <x:c r="I6" s="7" t="str">
        <x:v>Drain bays</x:v>
      </x:c>
      <x:c r="J6" s="7" t="str">
        <x:v>Casualty water m3</x:v>
      </x:c>
      <x:c r="K6" s="7" t="str">
        <x:v>Channels</x:v>
      </x:c>
      <x:c r="L6" s="7" t="str">
        <x:v>Accepted UTC</x:v>
      </x:c>
      <x:c r="M6" s="7" t="str">
        <x:v>State</x:v>
      </x:c>
    </x:row>
    <x:row r="7" ht="45" customHeight="1">
      <x:c r="B7" t="str">
        <x:v>RFP-A1</x:v>
      </x:c>
      <x:c r="C7" t="str">
        <x:v>PTC-A</x:v>
      </x:c>
      <x:c r="D7" t="str">
        <x:v>destructive fire/hydraulic</x:v>
      </x:c>
      <x:c r="E7" s="11" t="str">
        <x:v>controlled structural, drainage, vault and evidence failures</x:v>
      </x:c>
      <x:c r="F7" t="n">
        <x:v>600</x:v>
      </x:c>
      <x:c r="G7" t="n">
        <x:v>150</x:v>
      </x:c>
      <x:c r="H7" t="n">
        <x:v>600</x:v>
      </x:c>
      <x:c r="I7" t="n">
        <x:v>24</x:v>
      </x:c>
      <x:c r="J7" t="n">
        <x:v>120</x:v>
      </x:c>
      <x:c r="K7" t="n">
        <x:v>576</x:v>
      </x:c>
      <x:c r="L7" t="str"/>
      <x:c r="M7" t="str">
        <x:v>OPEN</x:v>
      </x:c>
    </x:row>
    <x:row r="8" ht="45" customHeight="1">
      <x:c r="B8" t="str">
        <x:v>RFP-A2</x:v>
      </x:c>
      <x:c r="C8" t="str">
        <x:v>PTC-A</x:v>
      </x:c>
      <x:c r="D8" t="str">
        <x:v>destructive recovery</x:v>
      </x:c>
      <x:c r="E8" s="11" t="str">
        <x:v>robot, casualty, fractionation and site-restoration failures</x:v>
      </x:c>
      <x:c r="F8" t="n">
        <x:v>600</x:v>
      </x:c>
      <x:c r="G8" t="n">
        <x:v>150</x:v>
      </x:c>
      <x:c r="H8" t="n">
        <x:v>600</x:v>
      </x:c>
      <x:c r="I8" t="n">
        <x:v>24</x:v>
      </x:c>
      <x:c r="J8" t="n">
        <x:v>120</x:v>
      </x:c>
      <x:c r="K8" t="n">
        <x:v>576</x:v>
      </x:c>
      <x:c r="L8" t="str"/>
      <x:c r="M8" t="str">
        <x:v>OPEN</x:v>
      </x:c>
    </x:row>
    <x:row r="9" ht="45" customHeight="1">
      <x:c r="B9" t="str">
        <x:v>RFP-B1</x:v>
      </x:c>
      <x:c r="C9" t="str">
        <x:v>PTC-B</x:v>
      </x:c>
      <x:c r="D9" t="str">
        <x:v>operational primary</x:v>
      </x:c>
      <x:c r="E9" s="11" t="str">
        <x:v>full method ladder and paired campaign</x:v>
      </x:c>
      <x:c r="F9" t="n">
        <x:v>600</x:v>
      </x:c>
      <x:c r="G9" t="n">
        <x:v>150</x:v>
      </x:c>
      <x:c r="H9" t="n">
        <x:v>600</x:v>
      </x:c>
      <x:c r="I9" t="n">
        <x:v>24</x:v>
      </x:c>
      <x:c r="J9" t="n">
        <x:v>120</x:v>
      </x:c>
      <x:c r="K9" t="n">
        <x:v>576</x:v>
      </x:c>
      <x:c r="L9" t="str"/>
      <x:c r="M9" t="str">
        <x:v>OPEN</x:v>
      </x:c>
    </x:row>
    <x:row r="10" ht="45" customHeight="1">
      <x:c r="B10" t="str">
        <x:v>RFP-B2</x:v>
      </x:c>
      <x:c r="C10" t="str">
        <x:v>PTC-B</x:v>
      </x:c>
      <x:c r="D10" t="str">
        <x:v>operational sibling</x:v>
      </x:c>
      <x:c r="E10" s="11" t="str">
        <x:v>within-site replication and reset</x:v>
      </x:c>
      <x:c r="F10" t="n">
        <x:v>600</x:v>
      </x:c>
      <x:c r="G10" t="n">
        <x:v>150</x:v>
      </x:c>
      <x:c r="H10" t="n">
        <x:v>600</x:v>
      </x:c>
      <x:c r="I10" t="n">
        <x:v>24</x:v>
      </x:c>
      <x:c r="J10" t="n">
        <x:v>120</x:v>
      </x:c>
      <x:c r="K10" t="n">
        <x:v>576</x:v>
      </x:c>
      <x:c r="L10" t="str"/>
      <x:c r="M10" t="str">
        <x:v>OPEN</x:v>
      </x:c>
    </x:row>
    <x:row r="11" ht="45" customHeight="1">
      <x:c r="B11" t="str">
        <x:v>RFP-C1</x:v>
      </x:c>
      <x:c r="C11" t="str">
        <x:v>PTC-C</x:v>
      </x:c>
      <x:c r="D11" t="str">
        <x:v>operational primary</x:v>
      </x:c>
      <x:c r="E11" s="11" t="str">
        <x:v>full method ladder and cross-site replication</x:v>
      </x:c>
      <x:c r="F11" t="n">
        <x:v>600</x:v>
      </x:c>
      <x:c r="G11" t="n">
        <x:v>150</x:v>
      </x:c>
      <x:c r="H11" t="n">
        <x:v>600</x:v>
      </x:c>
      <x:c r="I11" t="n">
        <x:v>24</x:v>
      </x:c>
      <x:c r="J11" t="n">
        <x:v>120</x:v>
      </x:c>
      <x:c r="K11" t="n">
        <x:v>576</x:v>
      </x:c>
      <x:c r="L11" t="str"/>
      <x:c r="M11" t="str">
        <x:v>OPEN</x:v>
      </x:c>
    </x:row>
    <x:row r="12" ht="45" customHeight="1">
      <x:c r="B12" t="str">
        <x:v>RFP-C2</x:v>
      </x:c>
      <x:c r="C12" t="str">
        <x:v>PTC-C</x:v>
      </x:c>
      <x:c r="D12" t="str">
        <x:v>operational sibling</x:v>
      </x:c>
      <x:c r="E12" s="11" t="str">
        <x:v>cross-site replication and reset</x:v>
      </x:c>
      <x:c r="F12" t="n">
        <x:v>600</x:v>
      </x:c>
      <x:c r="G12" t="n">
        <x:v>150</x:v>
      </x:c>
      <x:c r="H12" t="n">
        <x:v>600</x:v>
      </x:c>
      <x:c r="I12" t="n">
        <x:v>24</x:v>
      </x:c>
      <x:c r="J12" t="n">
        <x:v>120</x:v>
      </x:c>
      <x:c r="K12" t="n">
        <x:v>576</x:v>
      </x:c>
      <x:c r="L12" t="str"/>
      <x:c r="M12" t="str">
        <x:v>OPEN</x:v>
      </x:c>
    </x:row>
  </x:sheetData>
  <x:conditionalFormatting sqref="M7:M12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OPEN"/>
    <x:cfRule type="containsText" dxfId="3" priority="4" operator="containsText" text="GAP"/>
    <x:cfRule type="containsText" dxfId="4" priority="5" operator="containsText" text="PASS"/>
    <x:cfRule type="containsText" dxfId="5" priority="6" operator="containsText" text="INVALI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1" hidden="0" customWidth="1"/>
    <x:col min="3" max="3" width="13" hidden="0" customWidth="1"/>
    <x:col min="4" max="4" width="10" hidden="0" customWidth="1"/>
    <x:col min="5" max="5" width="12" hidden="0" customWidth="1"/>
    <x:col min="6" max="6" width="13" hidden="0" customWidth="1"/>
    <x:col min="7" max="7" width="12" hidden="0" customWidth="1"/>
    <x:col min="8" max="8" width="20" hidden="0" customWidth="1"/>
    <x:col min="9" max="9" width="19" hidden="0" customWidth="1"/>
    <x:col min="10" max="10" width="25" hidden="0" customWidth="1"/>
    <x:col min="11" max="11" width="22" hidden="0" customWidth="1"/>
    <x:col min="12" max="12" width="14" hidden="0" customWidth="1"/>
  </x:cols>
  <x:sheetData>
    <x:row r="2">
      <x:c r="B2" s="1" t="str">
        <x:v>Nine hundred terrain cassettes and 3,600 panels</x:v>
      </x:c>
    </x:row>
    <x:row r="3">
      <x:c r="B3" s="2" t="str">
        <x:v>Each 2 m × 2 m cassette carries four replaceable 1 m² panels and establishes a measured local datum.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Cassette</x:v>
      </x:c>
      <x:c r="C6" s="7" t="str">
        <x:v>Rig</x:v>
      </x:c>
      <x:c r="D6" s="7" t="str">
        <x:v>Row</x:v>
      </x:c>
      <x:c r="E6" s="7" t="str">
        <x:v>Column</x:v>
      </x:c>
      <x:c r="F6" s="7" t="str">
        <x:v>Area m2</x:v>
      </x:c>
      <x:c r="G6" s="7" t="str">
        <x:v>Panels</x:v>
      </x:c>
      <x:c r="H6" s="7" t="str">
        <x:v>Vertical travel mm</x:v>
      </x:c>
      <x:c r="I6" s="7" t="str">
        <x:v>Grade envelope %</x:v>
      </x:c>
      <x:c r="J6" s="7" t="str">
        <x:v>Geometry accepted UTC</x:v>
      </x:c>
      <x:c r="K6" s="7" t="str">
        <x:v>Load accepted UTC</x:v>
      </x:c>
      <x:c r="L6" s="7" t="str">
        <x:v>State</x:v>
      </x:c>
    </x:row>
    <x:row r="7">
      <x:c r="B7" t="str">
        <x:v>RFP-A1-TC-001</x:v>
      </x:c>
      <x:c r="C7" t="str">
        <x:v>RFP-A1</x:v>
      </x:c>
      <x:c r="D7" t="n">
        <x:v>1</x:v>
      </x:c>
      <x:c r="E7" t="n">
        <x:v>1</x:v>
      </x:c>
      <x:c r="F7" t="n">
        <x:v>4</x:v>
      </x:c>
      <x:c r="G7" t="n">
        <x:v>4</x:v>
      </x:c>
      <x:c r="H7" t="n">
        <x:v>150</x:v>
      </x:c>
      <x:c r="I7" t="n">
        <x:v>1.5</x:v>
      </x:c>
      <x:c r="J7" t="str"/>
      <x:c r="K7" t="str"/>
      <x:c r="L7" t="str">
        <x:v>OPEN</x:v>
      </x:c>
    </x:row>
    <x:row r="8">
      <x:c r="B8" t="str">
        <x:v>RFP-A1-TC-002</x:v>
      </x:c>
      <x:c r="C8" t="str">
        <x:v>RFP-A1</x:v>
      </x:c>
      <x:c r="D8" t="n">
        <x:v>1</x:v>
      </x:c>
      <x:c r="E8" t="n">
        <x:v>2</x:v>
      </x:c>
      <x:c r="F8" t="n">
        <x:v>4</x:v>
      </x:c>
      <x:c r="G8" t="n">
        <x:v>4</x:v>
      </x:c>
      <x:c r="H8" t="n">
        <x:v>150</x:v>
      </x:c>
      <x:c r="I8" t="n">
        <x:v>1.5</x:v>
      </x:c>
      <x:c r="J8" t="str"/>
      <x:c r="K8" t="str"/>
      <x:c r="L8" t="str">
        <x:v>OPEN</x:v>
      </x:c>
    </x:row>
    <x:row r="9">
      <x:c r="B9" t="str">
        <x:v>RFP-A1-TC-003</x:v>
      </x:c>
      <x:c r="C9" t="str">
        <x:v>RFP-A1</x:v>
      </x:c>
      <x:c r="D9" t="n">
        <x:v>1</x:v>
      </x:c>
      <x:c r="E9" t="n">
        <x:v>3</x:v>
      </x:c>
      <x:c r="F9" t="n">
        <x:v>4</x:v>
      </x:c>
      <x:c r="G9" t="n">
        <x:v>4</x:v>
      </x:c>
      <x:c r="H9" t="n">
        <x:v>150</x:v>
      </x:c>
      <x:c r="I9" t="n">
        <x:v>1.5</x:v>
      </x:c>
      <x:c r="J9" t="str"/>
      <x:c r="K9" t="str"/>
      <x:c r="L9" t="str">
        <x:v>OPEN</x:v>
      </x:c>
    </x:row>
    <x:row r="10">
      <x:c r="B10" t="str">
        <x:v>RFP-A1-TC-004</x:v>
      </x:c>
      <x:c r="C10" t="str">
        <x:v>RFP-A1</x:v>
      </x:c>
      <x:c r="D10" t="n">
        <x:v>1</x:v>
      </x:c>
      <x:c r="E10" t="n">
        <x:v>4</x:v>
      </x:c>
      <x:c r="F10" t="n">
        <x:v>4</x:v>
      </x:c>
      <x:c r="G10" t="n">
        <x:v>4</x:v>
      </x:c>
      <x:c r="H10" t="n">
        <x:v>150</x:v>
      </x:c>
      <x:c r="I10" t="n">
        <x:v>1.5</x:v>
      </x:c>
      <x:c r="J10" t="str"/>
      <x:c r="K10" t="str"/>
      <x:c r="L10" t="str">
        <x:v>OPEN</x:v>
      </x:c>
    </x:row>
    <x:row r="11">
      <x:c r="B11" t="str">
        <x:v>RFP-A1-TC-005</x:v>
      </x:c>
      <x:c r="C11" t="str">
        <x:v>RFP-A1</x:v>
      </x:c>
      <x:c r="D11" t="n">
        <x:v>1</x:v>
      </x:c>
      <x:c r="E11" t="n">
        <x:v>5</x:v>
      </x:c>
      <x:c r="F11" t="n">
        <x:v>4</x:v>
      </x:c>
      <x:c r="G11" t="n">
        <x:v>4</x:v>
      </x:c>
      <x:c r="H11" t="n">
        <x:v>150</x:v>
      </x:c>
      <x:c r="I11" t="n">
        <x:v>1.5</x:v>
      </x:c>
      <x:c r="J11" t="str"/>
      <x:c r="K11" t="str"/>
      <x:c r="L11" t="str">
        <x:v>OPEN</x:v>
      </x:c>
    </x:row>
    <x:row r="12">
      <x:c r="B12" t="str">
        <x:v>RFP-A1-TC-006</x:v>
      </x:c>
      <x:c r="C12" t="str">
        <x:v>RFP-A1</x:v>
      </x:c>
      <x:c r="D12" t="n">
        <x:v>1</x:v>
      </x:c>
      <x:c r="E12" t="n">
        <x:v>6</x:v>
      </x:c>
      <x:c r="F12" t="n">
        <x:v>4</x:v>
      </x:c>
      <x:c r="G12" t="n">
        <x:v>4</x:v>
      </x:c>
      <x:c r="H12" t="n">
        <x:v>150</x:v>
      </x:c>
      <x:c r="I12" t="n">
        <x:v>1.5</x:v>
      </x:c>
      <x:c r="J12" t="str"/>
      <x:c r="K12" t="str"/>
      <x:c r="L12" t="str">
        <x:v>OPEN</x:v>
      </x:c>
    </x:row>
    <x:row r="13">
      <x:c r="B13" t="str">
        <x:v>RFP-A1-TC-007</x:v>
      </x:c>
      <x:c r="C13" t="str">
        <x:v>RFP-A1</x:v>
      </x:c>
      <x:c r="D13" t="n">
        <x:v>1</x:v>
      </x:c>
      <x:c r="E13" t="n">
        <x:v>7</x:v>
      </x:c>
      <x:c r="F13" t="n">
        <x:v>4</x:v>
      </x:c>
      <x:c r="G13" t="n">
        <x:v>4</x:v>
      </x:c>
      <x:c r="H13" t="n">
        <x:v>150</x:v>
      </x:c>
      <x:c r="I13" t="n">
        <x:v>1.5</x:v>
      </x:c>
      <x:c r="J13" t="str"/>
      <x:c r="K13" t="str"/>
      <x:c r="L13" t="str">
        <x:v>OPEN</x:v>
      </x:c>
    </x:row>
    <x:row r="14">
      <x:c r="B14" t="str">
        <x:v>RFP-A1-TC-008</x:v>
      </x:c>
      <x:c r="C14" t="str">
        <x:v>RFP-A1</x:v>
      </x:c>
      <x:c r="D14" t="n">
        <x:v>1</x:v>
      </x:c>
      <x:c r="E14" t="n">
        <x:v>8</x:v>
      </x:c>
      <x:c r="F14" t="n">
        <x:v>4</x:v>
      </x:c>
      <x:c r="G14" t="n">
        <x:v>4</x:v>
      </x:c>
      <x:c r="H14" t="n">
        <x:v>150</x:v>
      </x:c>
      <x:c r="I14" t="n">
        <x:v>1.5</x:v>
      </x:c>
      <x:c r="J14" t="str"/>
      <x:c r="K14" t="str"/>
      <x:c r="L14" t="str">
        <x:v>OPEN</x:v>
      </x:c>
    </x:row>
    <x:row r="15">
      <x:c r="B15" t="str">
        <x:v>RFP-A1-TC-009</x:v>
      </x:c>
      <x:c r="C15" t="str">
        <x:v>RFP-A1</x:v>
      </x:c>
      <x:c r="D15" t="n">
        <x:v>1</x:v>
      </x:c>
      <x:c r="E15" t="n">
        <x:v>9</x:v>
      </x:c>
      <x:c r="F15" t="n">
        <x:v>4</x:v>
      </x:c>
      <x:c r="G15" t="n">
        <x:v>4</x:v>
      </x:c>
      <x:c r="H15" t="n">
        <x:v>150</x:v>
      </x:c>
      <x:c r="I15" t="n">
        <x:v>1.5</x:v>
      </x:c>
      <x:c r="J15" t="str"/>
      <x:c r="K15" t="str"/>
      <x:c r="L15" t="str">
        <x:v>OPEN</x:v>
      </x:c>
    </x:row>
    <x:row r="16">
      <x:c r="B16" t="str">
        <x:v>RFP-A1-TC-010</x:v>
      </x:c>
      <x:c r="C16" t="str">
        <x:v>RFP-A1</x:v>
      </x:c>
      <x:c r="D16" t="n">
        <x:v>1</x:v>
      </x:c>
      <x:c r="E16" t="n">
        <x:v>10</x:v>
      </x:c>
      <x:c r="F16" t="n">
        <x:v>4</x:v>
      </x:c>
      <x:c r="G16" t="n">
        <x:v>4</x:v>
      </x:c>
      <x:c r="H16" t="n">
        <x:v>150</x:v>
      </x:c>
      <x:c r="I16" t="n">
        <x:v>1.5</x:v>
      </x:c>
      <x:c r="J16" t="str"/>
      <x:c r="K16" t="str"/>
      <x:c r="L16" t="str">
        <x:v>OPEN</x:v>
      </x:c>
    </x:row>
    <x:row r="17">
      <x:c r="B17" t="str">
        <x:v>RFP-A1-TC-011</x:v>
      </x:c>
      <x:c r="C17" t="str">
        <x:v>RFP-A1</x:v>
      </x:c>
      <x:c r="D17" t="n">
        <x:v>2</x:v>
      </x:c>
      <x:c r="E17" t="n">
        <x:v>1</x:v>
      </x:c>
      <x:c r="F17" t="n">
        <x:v>4</x:v>
      </x:c>
      <x:c r="G17" t="n">
        <x:v>4</x:v>
      </x:c>
      <x:c r="H17" t="n">
        <x:v>150</x:v>
      </x:c>
      <x:c r="I17" t="n">
        <x:v>1.5</x:v>
      </x:c>
      <x:c r="J17" t="str"/>
      <x:c r="K17" t="str"/>
      <x:c r="L17" t="str">
        <x:v>OPEN</x:v>
      </x:c>
    </x:row>
    <x:row r="18">
      <x:c r="B18" t="str">
        <x:v>RFP-A1-TC-012</x:v>
      </x:c>
      <x:c r="C18" t="str">
        <x:v>RFP-A1</x:v>
      </x:c>
      <x:c r="D18" t="n">
        <x:v>2</x:v>
      </x:c>
      <x:c r="E18" t="n">
        <x:v>2</x:v>
      </x:c>
      <x:c r="F18" t="n">
        <x:v>4</x:v>
      </x:c>
      <x:c r="G18" t="n">
        <x:v>4</x:v>
      </x:c>
      <x:c r="H18" t="n">
        <x:v>150</x:v>
      </x:c>
      <x:c r="I18" t="n">
        <x:v>1.5</x:v>
      </x:c>
      <x:c r="J18" t="str"/>
      <x:c r="K18" t="str"/>
      <x:c r="L18" t="str">
        <x:v>OPEN</x:v>
      </x:c>
    </x:row>
    <x:row r="19">
      <x:c r="B19" t="str">
        <x:v>RFP-A1-TC-013</x:v>
      </x:c>
      <x:c r="C19" t="str">
        <x:v>RFP-A1</x:v>
      </x:c>
      <x:c r="D19" t="n">
        <x:v>2</x:v>
      </x:c>
      <x:c r="E19" t="n">
        <x:v>3</x:v>
      </x:c>
      <x:c r="F19" t="n">
        <x:v>4</x:v>
      </x:c>
      <x:c r="G19" t="n">
        <x:v>4</x:v>
      </x:c>
      <x:c r="H19" t="n">
        <x:v>150</x:v>
      </x:c>
      <x:c r="I19" t="n">
        <x:v>1.5</x:v>
      </x:c>
      <x:c r="J19" t="str"/>
      <x:c r="K19" t="str"/>
      <x:c r="L19" t="str">
        <x:v>OPEN</x:v>
      </x:c>
    </x:row>
    <x:row r="20">
      <x:c r="B20" t="str">
        <x:v>RFP-A1-TC-014</x:v>
      </x:c>
      <x:c r="C20" t="str">
        <x:v>RFP-A1</x:v>
      </x:c>
      <x:c r="D20" t="n">
        <x:v>2</x:v>
      </x:c>
      <x:c r="E20" t="n">
        <x:v>4</x:v>
      </x:c>
      <x:c r="F20" t="n">
        <x:v>4</x:v>
      </x:c>
      <x:c r="G20" t="n">
        <x:v>4</x:v>
      </x:c>
      <x:c r="H20" t="n">
        <x:v>150</x:v>
      </x:c>
      <x:c r="I20" t="n">
        <x:v>1.5</x:v>
      </x:c>
      <x:c r="J20" t="str"/>
      <x:c r="K20" t="str"/>
      <x:c r="L20" t="str">
        <x:v>OPEN</x:v>
      </x:c>
    </x:row>
    <x:row r="21">
      <x:c r="B21" t="str">
        <x:v>RFP-A1-TC-015</x:v>
      </x:c>
      <x:c r="C21" t="str">
        <x:v>RFP-A1</x:v>
      </x:c>
      <x:c r="D21" t="n">
        <x:v>2</x:v>
      </x:c>
      <x:c r="E21" t="n">
        <x:v>5</x:v>
      </x:c>
      <x:c r="F21" t="n">
        <x:v>4</x:v>
      </x:c>
      <x:c r="G21" t="n">
        <x:v>4</x:v>
      </x:c>
      <x:c r="H21" t="n">
        <x:v>150</x:v>
      </x:c>
      <x:c r="I21" t="n">
        <x:v>1.5</x:v>
      </x:c>
      <x:c r="J21" t="str"/>
      <x:c r="K21" t="str"/>
      <x:c r="L21" t="str">
        <x:v>OPEN</x:v>
      </x:c>
    </x:row>
    <x:row r="22">
      <x:c r="B22" t="str">
        <x:v>RFP-A1-TC-016</x:v>
      </x:c>
      <x:c r="C22" t="str">
        <x:v>RFP-A1</x:v>
      </x:c>
      <x:c r="D22" t="n">
        <x:v>2</x:v>
      </x:c>
      <x:c r="E22" t="n">
        <x:v>6</x:v>
      </x:c>
      <x:c r="F22" t="n">
        <x:v>4</x:v>
      </x:c>
      <x:c r="G22" t="n">
        <x:v>4</x:v>
      </x:c>
      <x:c r="H22" t="n">
        <x:v>150</x:v>
      </x:c>
      <x:c r="I22" t="n">
        <x:v>1.5</x:v>
      </x:c>
      <x:c r="J22" t="str"/>
      <x:c r="K22" t="str"/>
      <x:c r="L22" t="str">
        <x:v>OPEN</x:v>
      </x:c>
    </x:row>
    <x:row r="23">
      <x:c r="B23" t="str">
        <x:v>RFP-A1-TC-017</x:v>
      </x:c>
      <x:c r="C23" t="str">
        <x:v>RFP-A1</x:v>
      </x:c>
      <x:c r="D23" t="n">
        <x:v>2</x:v>
      </x:c>
      <x:c r="E23" t="n">
        <x:v>7</x:v>
      </x:c>
      <x:c r="F23" t="n">
        <x:v>4</x:v>
      </x:c>
      <x:c r="G23" t="n">
        <x:v>4</x:v>
      </x:c>
      <x:c r="H23" t="n">
        <x:v>150</x:v>
      </x:c>
      <x:c r="I23" t="n">
        <x:v>1.5</x:v>
      </x:c>
      <x:c r="J23" t="str"/>
      <x:c r="K23" t="str"/>
      <x:c r="L23" t="str">
        <x:v>OPEN</x:v>
      </x:c>
    </x:row>
    <x:row r="24">
      <x:c r="B24" t="str">
        <x:v>RFP-A1-TC-018</x:v>
      </x:c>
      <x:c r="C24" t="str">
        <x:v>RFP-A1</x:v>
      </x:c>
      <x:c r="D24" t="n">
        <x:v>2</x:v>
      </x:c>
      <x:c r="E24" t="n">
        <x:v>8</x:v>
      </x:c>
      <x:c r="F24" t="n">
        <x:v>4</x:v>
      </x:c>
      <x:c r="G24" t="n">
        <x:v>4</x:v>
      </x:c>
      <x:c r="H24" t="n">
        <x:v>150</x:v>
      </x:c>
      <x:c r="I24" t="n">
        <x:v>1.5</x:v>
      </x:c>
      <x:c r="J24" t="str"/>
      <x:c r="K24" t="str"/>
      <x:c r="L24" t="str">
        <x:v>OPEN</x:v>
      </x:c>
    </x:row>
    <x:row r="25">
      <x:c r="B25" t="str">
        <x:v>RFP-A1-TC-019</x:v>
      </x:c>
      <x:c r="C25" t="str">
        <x:v>RFP-A1</x:v>
      </x:c>
      <x:c r="D25" t="n">
        <x:v>2</x:v>
      </x:c>
      <x:c r="E25" t="n">
        <x:v>9</x:v>
      </x:c>
      <x:c r="F25" t="n">
        <x:v>4</x:v>
      </x:c>
      <x:c r="G25" t="n">
        <x:v>4</x:v>
      </x:c>
      <x:c r="H25" t="n">
        <x:v>150</x:v>
      </x:c>
      <x:c r="I25" t="n">
        <x:v>1.5</x:v>
      </x:c>
      <x:c r="J25" t="str"/>
      <x:c r="K25" t="str"/>
      <x:c r="L25" t="str">
        <x:v>OPEN</x:v>
      </x:c>
    </x:row>
    <x:row r="26">
      <x:c r="B26" t="str">
        <x:v>RFP-A1-TC-020</x:v>
      </x:c>
      <x:c r="C26" t="str">
        <x:v>RFP-A1</x:v>
      </x:c>
      <x:c r="D26" t="n">
        <x:v>2</x:v>
      </x:c>
      <x:c r="E26" t="n">
        <x:v>10</x:v>
      </x:c>
      <x:c r="F26" t="n">
        <x:v>4</x:v>
      </x:c>
      <x:c r="G26" t="n">
        <x:v>4</x:v>
      </x:c>
      <x:c r="H26" t="n">
        <x:v>150</x:v>
      </x:c>
      <x:c r="I26" t="n">
        <x:v>1.5</x:v>
      </x:c>
      <x:c r="J26" t="str"/>
      <x:c r="K26" t="str"/>
      <x:c r="L26" t="str">
        <x:v>OPEN</x:v>
      </x:c>
    </x:row>
    <x:row r="27">
      <x:c r="B27" t="str">
        <x:v>RFP-A1-TC-021</x:v>
      </x:c>
      <x:c r="C27" t="str">
        <x:v>RFP-A1</x:v>
      </x:c>
      <x:c r="D27" t="n">
        <x:v>3</x:v>
      </x:c>
      <x:c r="E27" t="n">
        <x:v>1</x:v>
      </x:c>
      <x:c r="F27" t="n">
        <x:v>4</x:v>
      </x:c>
      <x:c r="G27" t="n">
        <x:v>4</x:v>
      </x:c>
      <x:c r="H27" t="n">
        <x:v>150</x:v>
      </x:c>
      <x:c r="I27" t="n">
        <x:v>1.5</x:v>
      </x:c>
      <x:c r="J27" t="str"/>
      <x:c r="K27" t="str"/>
      <x:c r="L27" t="str">
        <x:v>OPEN</x:v>
      </x:c>
    </x:row>
    <x:row r="28">
      <x:c r="B28" t="str">
        <x:v>RFP-A1-TC-022</x:v>
      </x:c>
      <x:c r="C28" t="str">
        <x:v>RFP-A1</x:v>
      </x:c>
      <x:c r="D28" t="n">
        <x:v>3</x:v>
      </x:c>
      <x:c r="E28" t="n">
        <x:v>2</x:v>
      </x:c>
      <x:c r="F28" t="n">
        <x:v>4</x:v>
      </x:c>
      <x:c r="G28" t="n">
        <x:v>4</x:v>
      </x:c>
      <x:c r="H28" t="n">
        <x:v>150</x:v>
      </x:c>
      <x:c r="I28" t="n">
        <x:v>1.5</x:v>
      </x:c>
      <x:c r="J28" t="str"/>
      <x:c r="K28" t="str"/>
      <x:c r="L28" t="str">
        <x:v>OPEN</x:v>
      </x:c>
    </x:row>
    <x:row r="29">
      <x:c r="B29" t="str">
        <x:v>RFP-A1-TC-023</x:v>
      </x:c>
      <x:c r="C29" t="str">
        <x:v>RFP-A1</x:v>
      </x:c>
      <x:c r="D29" t="n">
        <x:v>3</x:v>
      </x:c>
      <x:c r="E29" t="n">
        <x:v>3</x:v>
      </x:c>
      <x:c r="F29" t="n">
        <x:v>4</x:v>
      </x:c>
      <x:c r="G29" t="n">
        <x:v>4</x:v>
      </x:c>
      <x:c r="H29" t="n">
        <x:v>150</x:v>
      </x:c>
      <x:c r="I29" t="n">
        <x:v>1.5</x:v>
      </x:c>
      <x:c r="J29" t="str"/>
      <x:c r="K29" t="str"/>
      <x:c r="L29" t="str">
        <x:v>OPEN</x:v>
      </x:c>
    </x:row>
    <x:row r="30">
      <x:c r="B30" t="str">
        <x:v>RFP-A1-TC-024</x:v>
      </x:c>
      <x:c r="C30" t="str">
        <x:v>RFP-A1</x:v>
      </x:c>
      <x:c r="D30" t="n">
        <x:v>3</x:v>
      </x:c>
      <x:c r="E30" t="n">
        <x:v>4</x:v>
      </x:c>
      <x:c r="F30" t="n">
        <x:v>4</x:v>
      </x:c>
      <x:c r="G30" t="n">
        <x:v>4</x:v>
      </x:c>
      <x:c r="H30" t="n">
        <x:v>150</x:v>
      </x:c>
      <x:c r="I30" t="n">
        <x:v>1.5</x:v>
      </x:c>
      <x:c r="J30" t="str"/>
      <x:c r="K30" t="str"/>
      <x:c r="L30" t="str">
        <x:v>OPEN</x:v>
      </x:c>
    </x:row>
    <x:row r="31">
      <x:c r="B31" t="str">
        <x:v>RFP-A1-TC-025</x:v>
      </x:c>
      <x:c r="C31" t="str">
        <x:v>RFP-A1</x:v>
      </x:c>
      <x:c r="D31" t="n">
        <x:v>3</x:v>
      </x:c>
      <x:c r="E31" t="n">
        <x:v>5</x:v>
      </x:c>
      <x:c r="F31" t="n">
        <x:v>4</x:v>
      </x:c>
      <x:c r="G31" t="n">
        <x:v>4</x:v>
      </x:c>
      <x:c r="H31" t="n">
        <x:v>150</x:v>
      </x:c>
      <x:c r="I31" t="n">
        <x:v>1.5</x:v>
      </x:c>
      <x:c r="J31" t="str"/>
      <x:c r="K31" t="str"/>
      <x:c r="L31" t="str">
        <x:v>OPEN</x:v>
      </x:c>
    </x:row>
    <x:row r="32">
      <x:c r="B32" t="str">
        <x:v>RFP-A1-TC-026</x:v>
      </x:c>
      <x:c r="C32" t="str">
        <x:v>RFP-A1</x:v>
      </x:c>
      <x:c r="D32" t="n">
        <x:v>3</x:v>
      </x:c>
      <x:c r="E32" t="n">
        <x:v>6</x:v>
      </x:c>
      <x:c r="F32" t="n">
        <x:v>4</x:v>
      </x:c>
      <x:c r="G32" t="n">
        <x:v>4</x:v>
      </x:c>
      <x:c r="H32" t="n">
        <x:v>150</x:v>
      </x:c>
      <x:c r="I32" t="n">
        <x:v>1.5</x:v>
      </x:c>
      <x:c r="J32" t="str"/>
      <x:c r="K32" t="str"/>
      <x:c r="L32" t="str">
        <x:v>OPEN</x:v>
      </x:c>
    </x:row>
    <x:row r="33">
      <x:c r="B33" t="str">
        <x:v>RFP-A1-TC-027</x:v>
      </x:c>
      <x:c r="C33" t="str">
        <x:v>RFP-A1</x:v>
      </x:c>
      <x:c r="D33" t="n">
        <x:v>3</x:v>
      </x:c>
      <x:c r="E33" t="n">
        <x:v>7</x:v>
      </x:c>
      <x:c r="F33" t="n">
        <x:v>4</x:v>
      </x:c>
      <x:c r="G33" t="n">
        <x:v>4</x:v>
      </x:c>
      <x:c r="H33" t="n">
        <x:v>150</x:v>
      </x:c>
      <x:c r="I33" t="n">
        <x:v>1.5</x:v>
      </x:c>
      <x:c r="J33" t="str"/>
      <x:c r="K33" t="str"/>
      <x:c r="L33" t="str">
        <x:v>OPEN</x:v>
      </x:c>
    </x:row>
    <x:row r="34">
      <x:c r="B34" t="str">
        <x:v>RFP-A1-TC-028</x:v>
      </x:c>
      <x:c r="C34" t="str">
        <x:v>RFP-A1</x:v>
      </x:c>
      <x:c r="D34" t="n">
        <x:v>3</x:v>
      </x:c>
      <x:c r="E34" t="n">
        <x:v>8</x:v>
      </x:c>
      <x:c r="F34" t="n">
        <x:v>4</x:v>
      </x:c>
      <x:c r="G34" t="n">
        <x:v>4</x:v>
      </x:c>
      <x:c r="H34" t="n">
        <x:v>150</x:v>
      </x:c>
      <x:c r="I34" t="n">
        <x:v>1.5</x:v>
      </x:c>
      <x:c r="J34" t="str"/>
      <x:c r="K34" t="str"/>
      <x:c r="L34" t="str">
        <x:v>OPEN</x:v>
      </x:c>
    </x:row>
    <x:row r="35">
      <x:c r="B35" t="str">
        <x:v>RFP-A1-TC-029</x:v>
      </x:c>
      <x:c r="C35" t="str">
        <x:v>RFP-A1</x:v>
      </x:c>
      <x:c r="D35" t="n">
        <x:v>3</x:v>
      </x:c>
      <x:c r="E35" t="n">
        <x:v>9</x:v>
      </x:c>
      <x:c r="F35" t="n">
        <x:v>4</x:v>
      </x:c>
      <x:c r="G35" t="n">
        <x:v>4</x:v>
      </x:c>
      <x:c r="H35" t="n">
        <x:v>150</x:v>
      </x:c>
      <x:c r="I35" t="n">
        <x:v>1.5</x:v>
      </x:c>
      <x:c r="J35" t="str"/>
      <x:c r="K35" t="str"/>
      <x:c r="L35" t="str">
        <x:v>OPEN</x:v>
      </x:c>
    </x:row>
    <x:row r="36">
      <x:c r="B36" t="str">
        <x:v>RFP-A1-TC-030</x:v>
      </x:c>
      <x:c r="C36" t="str">
        <x:v>RFP-A1</x:v>
      </x:c>
      <x:c r="D36" t="n">
        <x:v>3</x:v>
      </x:c>
      <x:c r="E36" t="n">
        <x:v>10</x:v>
      </x:c>
      <x:c r="F36" t="n">
        <x:v>4</x:v>
      </x:c>
      <x:c r="G36" t="n">
        <x:v>4</x:v>
      </x:c>
      <x:c r="H36" t="n">
        <x:v>150</x:v>
      </x:c>
      <x:c r="I36" t="n">
        <x:v>1.5</x:v>
      </x:c>
      <x:c r="J36" t="str"/>
      <x:c r="K36" t="str"/>
      <x:c r="L36" t="str">
        <x:v>OPEN</x:v>
      </x:c>
    </x:row>
    <x:row r="37">
      <x:c r="B37" t="str">
        <x:v>RFP-A1-TC-031</x:v>
      </x:c>
      <x:c r="C37" t="str">
        <x:v>RFP-A1</x:v>
      </x:c>
      <x:c r="D37" t="n">
        <x:v>4</x:v>
      </x:c>
      <x:c r="E37" t="n">
        <x:v>1</x:v>
      </x:c>
      <x:c r="F37" t="n">
        <x:v>4</x:v>
      </x:c>
      <x:c r="G37" t="n">
        <x:v>4</x:v>
      </x:c>
      <x:c r="H37" t="n">
        <x:v>150</x:v>
      </x:c>
      <x:c r="I37" t="n">
        <x:v>1.5</x:v>
      </x:c>
      <x:c r="J37" t="str"/>
      <x:c r="K37" t="str"/>
      <x:c r="L37" t="str">
        <x:v>OPEN</x:v>
      </x:c>
    </x:row>
    <x:row r="38">
      <x:c r="B38" t="str">
        <x:v>RFP-A1-TC-032</x:v>
      </x:c>
      <x:c r="C38" t="str">
        <x:v>RFP-A1</x:v>
      </x:c>
      <x:c r="D38" t="n">
        <x:v>4</x:v>
      </x:c>
      <x:c r="E38" t="n">
        <x:v>2</x:v>
      </x:c>
      <x:c r="F38" t="n">
        <x:v>4</x:v>
      </x:c>
      <x:c r="G38" t="n">
        <x:v>4</x:v>
      </x:c>
      <x:c r="H38" t="n">
        <x:v>150</x:v>
      </x:c>
      <x:c r="I38" t="n">
        <x:v>1.5</x:v>
      </x:c>
      <x:c r="J38" t="str"/>
      <x:c r="K38" t="str"/>
      <x:c r="L38" t="str">
        <x:v>OPEN</x:v>
      </x:c>
    </x:row>
    <x:row r="39">
      <x:c r="B39" t="str">
        <x:v>RFP-A1-TC-033</x:v>
      </x:c>
      <x:c r="C39" t="str">
        <x:v>RFP-A1</x:v>
      </x:c>
      <x:c r="D39" t="n">
        <x:v>4</x:v>
      </x:c>
      <x:c r="E39" t="n">
        <x:v>3</x:v>
      </x:c>
      <x:c r="F39" t="n">
        <x:v>4</x:v>
      </x:c>
      <x:c r="G39" t="n">
        <x:v>4</x:v>
      </x:c>
      <x:c r="H39" t="n">
        <x:v>150</x:v>
      </x:c>
      <x:c r="I39" t="n">
        <x:v>1.5</x:v>
      </x:c>
      <x:c r="J39" t="str"/>
      <x:c r="K39" t="str"/>
      <x:c r="L39" t="str">
        <x:v>OPEN</x:v>
      </x:c>
    </x:row>
    <x:row r="40">
      <x:c r="B40" t="str">
        <x:v>RFP-A1-TC-034</x:v>
      </x:c>
      <x:c r="C40" t="str">
        <x:v>RFP-A1</x:v>
      </x:c>
      <x:c r="D40" t="n">
        <x:v>4</x:v>
      </x:c>
      <x:c r="E40" t="n">
        <x:v>4</x:v>
      </x:c>
      <x:c r="F40" t="n">
        <x:v>4</x:v>
      </x:c>
      <x:c r="G40" t="n">
        <x:v>4</x:v>
      </x:c>
      <x:c r="H40" t="n">
        <x:v>150</x:v>
      </x:c>
      <x:c r="I40" t="n">
        <x:v>1.5</x:v>
      </x:c>
      <x:c r="J40" t="str"/>
      <x:c r="K40" t="str"/>
      <x:c r="L40" t="str">
        <x:v>OPEN</x:v>
      </x:c>
    </x:row>
    <x:row r="41">
      <x:c r="B41" t="str">
        <x:v>RFP-A1-TC-035</x:v>
      </x:c>
      <x:c r="C41" t="str">
        <x:v>RFP-A1</x:v>
      </x:c>
      <x:c r="D41" t="n">
        <x:v>4</x:v>
      </x:c>
      <x:c r="E41" t="n">
        <x:v>5</x:v>
      </x:c>
      <x:c r="F41" t="n">
        <x:v>4</x:v>
      </x:c>
      <x:c r="G41" t="n">
        <x:v>4</x:v>
      </x:c>
      <x:c r="H41" t="n">
        <x:v>150</x:v>
      </x:c>
      <x:c r="I41" t="n">
        <x:v>1.5</x:v>
      </x:c>
      <x:c r="J41" t="str"/>
      <x:c r="K41" t="str"/>
      <x:c r="L41" t="str">
        <x:v>OPEN</x:v>
      </x:c>
    </x:row>
    <x:row r="42">
      <x:c r="B42" t="str">
        <x:v>RFP-A1-TC-036</x:v>
      </x:c>
      <x:c r="C42" t="str">
        <x:v>RFP-A1</x:v>
      </x:c>
      <x:c r="D42" t="n">
        <x:v>4</x:v>
      </x:c>
      <x:c r="E42" t="n">
        <x:v>6</x:v>
      </x:c>
      <x:c r="F42" t="n">
        <x:v>4</x:v>
      </x:c>
      <x:c r="G42" t="n">
        <x:v>4</x:v>
      </x:c>
      <x:c r="H42" t="n">
        <x:v>150</x:v>
      </x:c>
      <x:c r="I42" t="n">
        <x:v>1.5</x:v>
      </x:c>
      <x:c r="J42" t="str"/>
      <x:c r="K42" t="str"/>
      <x:c r="L42" t="str">
        <x:v>OPEN</x:v>
      </x:c>
    </x:row>
    <x:row r="43">
      <x:c r="B43" t="str">
        <x:v>RFP-A1-TC-037</x:v>
      </x:c>
      <x:c r="C43" t="str">
        <x:v>RFP-A1</x:v>
      </x:c>
      <x:c r="D43" t="n">
        <x:v>4</x:v>
      </x:c>
      <x:c r="E43" t="n">
        <x:v>7</x:v>
      </x:c>
      <x:c r="F43" t="n">
        <x:v>4</x:v>
      </x:c>
      <x:c r="G43" t="n">
        <x:v>4</x:v>
      </x:c>
      <x:c r="H43" t="n">
        <x:v>150</x:v>
      </x:c>
      <x:c r="I43" t="n">
        <x:v>1.5</x:v>
      </x:c>
      <x:c r="J43" t="str"/>
      <x:c r="K43" t="str"/>
      <x:c r="L43" t="str">
        <x:v>OPEN</x:v>
      </x:c>
    </x:row>
    <x:row r="44">
      <x:c r="B44" t="str">
        <x:v>RFP-A1-TC-038</x:v>
      </x:c>
      <x:c r="C44" t="str">
        <x:v>RFP-A1</x:v>
      </x:c>
      <x:c r="D44" t="n">
        <x:v>4</x:v>
      </x:c>
      <x:c r="E44" t="n">
        <x:v>8</x:v>
      </x:c>
      <x:c r="F44" t="n">
        <x:v>4</x:v>
      </x:c>
      <x:c r="G44" t="n">
        <x:v>4</x:v>
      </x:c>
      <x:c r="H44" t="n">
        <x:v>150</x:v>
      </x:c>
      <x:c r="I44" t="n">
        <x:v>1.5</x:v>
      </x:c>
      <x:c r="J44" t="str"/>
      <x:c r="K44" t="str"/>
      <x:c r="L44" t="str">
        <x:v>OPEN</x:v>
      </x:c>
    </x:row>
    <x:row r="45">
      <x:c r="B45" t="str">
        <x:v>RFP-A1-TC-039</x:v>
      </x:c>
      <x:c r="C45" t="str">
        <x:v>RFP-A1</x:v>
      </x:c>
      <x:c r="D45" t="n">
        <x:v>4</x:v>
      </x:c>
      <x:c r="E45" t="n">
        <x:v>9</x:v>
      </x:c>
      <x:c r="F45" t="n">
        <x:v>4</x:v>
      </x:c>
      <x:c r="G45" t="n">
        <x:v>4</x:v>
      </x:c>
      <x:c r="H45" t="n">
        <x:v>150</x:v>
      </x:c>
      <x:c r="I45" t="n">
        <x:v>1.5</x:v>
      </x:c>
      <x:c r="J45" t="str"/>
      <x:c r="K45" t="str"/>
      <x:c r="L45" t="str">
        <x:v>OPEN</x:v>
      </x:c>
    </x:row>
    <x:row r="46">
      <x:c r="B46" t="str">
        <x:v>RFP-A1-TC-040</x:v>
      </x:c>
      <x:c r="C46" t="str">
        <x:v>RFP-A1</x:v>
      </x:c>
      <x:c r="D46" t="n">
        <x:v>4</x:v>
      </x:c>
      <x:c r="E46" t="n">
        <x:v>10</x:v>
      </x:c>
      <x:c r="F46" t="n">
        <x:v>4</x:v>
      </x:c>
      <x:c r="G46" t="n">
        <x:v>4</x:v>
      </x:c>
      <x:c r="H46" t="n">
        <x:v>150</x:v>
      </x:c>
      <x:c r="I46" t="n">
        <x:v>1.5</x:v>
      </x:c>
      <x:c r="J46" t="str"/>
      <x:c r="K46" t="str"/>
      <x:c r="L46" t="str">
        <x:v>OPEN</x:v>
      </x:c>
    </x:row>
    <x:row r="47">
      <x:c r="B47" t="str">
        <x:v>RFP-A1-TC-041</x:v>
      </x:c>
      <x:c r="C47" t="str">
        <x:v>RFP-A1</x:v>
      </x:c>
      <x:c r="D47" t="n">
        <x:v>5</x:v>
      </x:c>
      <x:c r="E47" t="n">
        <x:v>1</x:v>
      </x:c>
      <x:c r="F47" t="n">
        <x:v>4</x:v>
      </x:c>
      <x:c r="G47" t="n">
        <x:v>4</x:v>
      </x:c>
      <x:c r="H47" t="n">
        <x:v>150</x:v>
      </x:c>
      <x:c r="I47" t="n">
        <x:v>1.5</x:v>
      </x:c>
      <x:c r="J47" t="str"/>
      <x:c r="K47" t="str"/>
      <x:c r="L47" t="str">
        <x:v>OPEN</x:v>
      </x:c>
    </x:row>
    <x:row r="48">
      <x:c r="B48" t="str">
        <x:v>RFP-A1-TC-042</x:v>
      </x:c>
      <x:c r="C48" t="str">
        <x:v>RFP-A1</x:v>
      </x:c>
      <x:c r="D48" t="n">
        <x:v>5</x:v>
      </x:c>
      <x:c r="E48" t="n">
        <x:v>2</x:v>
      </x:c>
      <x:c r="F48" t="n">
        <x:v>4</x:v>
      </x:c>
      <x:c r="G48" t="n">
        <x:v>4</x:v>
      </x:c>
      <x:c r="H48" t="n">
        <x:v>150</x:v>
      </x:c>
      <x:c r="I48" t="n">
        <x:v>1.5</x:v>
      </x:c>
      <x:c r="J48" t="str"/>
      <x:c r="K48" t="str"/>
      <x:c r="L48" t="str">
        <x:v>OPEN</x:v>
      </x:c>
    </x:row>
    <x:row r="49">
      <x:c r="B49" t="str">
        <x:v>RFP-A1-TC-043</x:v>
      </x:c>
      <x:c r="C49" t="str">
        <x:v>RFP-A1</x:v>
      </x:c>
      <x:c r="D49" t="n">
        <x:v>5</x:v>
      </x:c>
      <x:c r="E49" t="n">
        <x:v>3</x:v>
      </x:c>
      <x:c r="F49" t="n">
        <x:v>4</x:v>
      </x:c>
      <x:c r="G49" t="n">
        <x:v>4</x:v>
      </x:c>
      <x:c r="H49" t="n">
        <x:v>150</x:v>
      </x:c>
      <x:c r="I49" t="n">
        <x:v>1.5</x:v>
      </x:c>
      <x:c r="J49" t="str"/>
      <x:c r="K49" t="str"/>
      <x:c r="L49" t="str">
        <x:v>OPEN</x:v>
      </x:c>
    </x:row>
    <x:row r="50">
      <x:c r="B50" t="str">
        <x:v>RFP-A1-TC-044</x:v>
      </x:c>
      <x:c r="C50" t="str">
        <x:v>RFP-A1</x:v>
      </x:c>
      <x:c r="D50" t="n">
        <x:v>5</x:v>
      </x:c>
      <x:c r="E50" t="n">
        <x:v>4</x:v>
      </x:c>
      <x:c r="F50" t="n">
        <x:v>4</x:v>
      </x:c>
      <x:c r="G50" t="n">
        <x:v>4</x:v>
      </x:c>
      <x:c r="H50" t="n">
        <x:v>150</x:v>
      </x:c>
      <x:c r="I50" t="n">
        <x:v>1.5</x:v>
      </x:c>
      <x:c r="J50" t="str"/>
      <x:c r="K50" t="str"/>
      <x:c r="L50" t="str">
        <x:v>OPEN</x:v>
      </x:c>
    </x:row>
    <x:row r="51">
      <x:c r="B51" t="str">
        <x:v>RFP-A1-TC-045</x:v>
      </x:c>
      <x:c r="C51" t="str">
        <x:v>RFP-A1</x:v>
      </x:c>
      <x:c r="D51" t="n">
        <x:v>5</x:v>
      </x:c>
      <x:c r="E51" t="n">
        <x:v>5</x:v>
      </x:c>
      <x:c r="F51" t="n">
        <x:v>4</x:v>
      </x:c>
      <x:c r="G51" t="n">
        <x:v>4</x:v>
      </x:c>
      <x:c r="H51" t="n">
        <x:v>150</x:v>
      </x:c>
      <x:c r="I51" t="n">
        <x:v>1.5</x:v>
      </x:c>
      <x:c r="J51" t="str"/>
      <x:c r="K51" t="str"/>
      <x:c r="L51" t="str">
        <x:v>OPEN</x:v>
      </x:c>
    </x:row>
    <x:row r="52">
      <x:c r="B52" t="str">
        <x:v>RFP-A1-TC-046</x:v>
      </x:c>
      <x:c r="C52" t="str">
        <x:v>RFP-A1</x:v>
      </x:c>
      <x:c r="D52" t="n">
        <x:v>5</x:v>
      </x:c>
      <x:c r="E52" t="n">
        <x:v>6</x:v>
      </x:c>
      <x:c r="F52" t="n">
        <x:v>4</x:v>
      </x:c>
      <x:c r="G52" t="n">
        <x:v>4</x:v>
      </x:c>
      <x:c r="H52" t="n">
        <x:v>150</x:v>
      </x:c>
      <x:c r="I52" t="n">
        <x:v>1.5</x:v>
      </x:c>
      <x:c r="J52" t="str"/>
      <x:c r="K52" t="str"/>
      <x:c r="L52" t="str">
        <x:v>OPEN</x:v>
      </x:c>
    </x:row>
    <x:row r="53">
      <x:c r="B53" t="str">
        <x:v>RFP-A1-TC-047</x:v>
      </x:c>
      <x:c r="C53" t="str">
        <x:v>RFP-A1</x:v>
      </x:c>
      <x:c r="D53" t="n">
        <x:v>5</x:v>
      </x:c>
      <x:c r="E53" t="n">
        <x:v>7</x:v>
      </x:c>
      <x:c r="F53" t="n">
        <x:v>4</x:v>
      </x:c>
      <x:c r="G53" t="n">
        <x:v>4</x:v>
      </x:c>
      <x:c r="H53" t="n">
        <x:v>150</x:v>
      </x:c>
      <x:c r="I53" t="n">
        <x:v>1.5</x:v>
      </x:c>
      <x:c r="J53" t="str"/>
      <x:c r="K53" t="str"/>
      <x:c r="L53" t="str">
        <x:v>OPEN</x:v>
      </x:c>
    </x:row>
    <x:row r="54">
      <x:c r="B54" t="str">
        <x:v>RFP-A1-TC-048</x:v>
      </x:c>
      <x:c r="C54" t="str">
        <x:v>RFP-A1</x:v>
      </x:c>
      <x:c r="D54" t="n">
        <x:v>5</x:v>
      </x:c>
      <x:c r="E54" t="n">
        <x:v>8</x:v>
      </x:c>
      <x:c r="F54" t="n">
        <x:v>4</x:v>
      </x:c>
      <x:c r="G54" t="n">
        <x:v>4</x:v>
      </x:c>
      <x:c r="H54" t="n">
        <x:v>150</x:v>
      </x:c>
      <x:c r="I54" t="n">
        <x:v>1.5</x:v>
      </x:c>
      <x:c r="J54" t="str"/>
      <x:c r="K54" t="str"/>
      <x:c r="L54" t="str">
        <x:v>OPEN</x:v>
      </x:c>
    </x:row>
    <x:row r="55">
      <x:c r="B55" t="str">
        <x:v>RFP-A1-TC-049</x:v>
      </x:c>
      <x:c r="C55" t="str">
        <x:v>RFP-A1</x:v>
      </x:c>
      <x:c r="D55" t="n">
        <x:v>5</x:v>
      </x:c>
      <x:c r="E55" t="n">
        <x:v>9</x:v>
      </x:c>
      <x:c r="F55" t="n">
        <x:v>4</x:v>
      </x:c>
      <x:c r="G55" t="n">
        <x:v>4</x:v>
      </x:c>
      <x:c r="H55" t="n">
        <x:v>150</x:v>
      </x:c>
      <x:c r="I55" t="n">
        <x:v>1.5</x:v>
      </x:c>
      <x:c r="J55" t="str"/>
      <x:c r="K55" t="str"/>
      <x:c r="L55" t="str">
        <x:v>OPEN</x:v>
      </x:c>
    </x:row>
    <x:row r="56">
      <x:c r="B56" t="str">
        <x:v>RFP-A1-TC-050</x:v>
      </x:c>
      <x:c r="C56" t="str">
        <x:v>RFP-A1</x:v>
      </x:c>
      <x:c r="D56" t="n">
        <x:v>5</x:v>
      </x:c>
      <x:c r="E56" t="n">
        <x:v>10</x:v>
      </x:c>
      <x:c r="F56" t="n">
        <x:v>4</x:v>
      </x:c>
      <x:c r="G56" t="n">
        <x:v>4</x:v>
      </x:c>
      <x:c r="H56" t="n">
        <x:v>150</x:v>
      </x:c>
      <x:c r="I56" t="n">
        <x:v>1.5</x:v>
      </x:c>
      <x:c r="J56" t="str"/>
      <x:c r="K56" t="str"/>
      <x:c r="L56" t="str">
        <x:v>OPEN</x:v>
      </x:c>
    </x:row>
    <x:row r="57">
      <x:c r="B57" t="str">
        <x:v>RFP-A1-TC-051</x:v>
      </x:c>
      <x:c r="C57" t="str">
        <x:v>RFP-A1</x:v>
      </x:c>
      <x:c r="D57" t="n">
        <x:v>6</x:v>
      </x:c>
      <x:c r="E57" t="n">
        <x:v>1</x:v>
      </x:c>
      <x:c r="F57" t="n">
        <x:v>4</x:v>
      </x:c>
      <x:c r="G57" t="n">
        <x:v>4</x:v>
      </x:c>
      <x:c r="H57" t="n">
        <x:v>150</x:v>
      </x:c>
      <x:c r="I57" t="n">
        <x:v>1.5</x:v>
      </x:c>
      <x:c r="J57" t="str"/>
      <x:c r="K57" t="str"/>
      <x:c r="L57" t="str">
        <x:v>OPEN</x:v>
      </x:c>
    </x:row>
    <x:row r="58">
      <x:c r="B58" t="str">
        <x:v>RFP-A1-TC-052</x:v>
      </x:c>
      <x:c r="C58" t="str">
        <x:v>RFP-A1</x:v>
      </x:c>
      <x:c r="D58" t="n">
        <x:v>6</x:v>
      </x:c>
      <x:c r="E58" t="n">
        <x:v>2</x:v>
      </x:c>
      <x:c r="F58" t="n">
        <x:v>4</x:v>
      </x:c>
      <x:c r="G58" t="n">
        <x:v>4</x:v>
      </x:c>
      <x:c r="H58" t="n">
        <x:v>150</x:v>
      </x:c>
      <x:c r="I58" t="n">
        <x:v>1.5</x:v>
      </x:c>
      <x:c r="J58" t="str"/>
      <x:c r="K58" t="str"/>
      <x:c r="L58" t="str">
        <x:v>OPEN</x:v>
      </x:c>
    </x:row>
    <x:row r="59">
      <x:c r="B59" t="str">
        <x:v>RFP-A1-TC-053</x:v>
      </x:c>
      <x:c r="C59" t="str">
        <x:v>RFP-A1</x:v>
      </x:c>
      <x:c r="D59" t="n">
        <x:v>6</x:v>
      </x:c>
      <x:c r="E59" t="n">
        <x:v>3</x:v>
      </x:c>
      <x:c r="F59" t="n">
        <x:v>4</x:v>
      </x:c>
      <x:c r="G59" t="n">
        <x:v>4</x:v>
      </x:c>
      <x:c r="H59" t="n">
        <x:v>150</x:v>
      </x:c>
      <x:c r="I59" t="n">
        <x:v>1.5</x:v>
      </x:c>
      <x:c r="J59" t="str"/>
      <x:c r="K59" t="str"/>
      <x:c r="L59" t="str">
        <x:v>OPEN</x:v>
      </x:c>
    </x:row>
    <x:row r="60">
      <x:c r="B60" t="str">
        <x:v>RFP-A1-TC-054</x:v>
      </x:c>
      <x:c r="C60" t="str">
        <x:v>RFP-A1</x:v>
      </x:c>
      <x:c r="D60" t="n">
        <x:v>6</x:v>
      </x:c>
      <x:c r="E60" t="n">
        <x:v>4</x:v>
      </x:c>
      <x:c r="F60" t="n">
        <x:v>4</x:v>
      </x:c>
      <x:c r="G60" t="n">
        <x:v>4</x:v>
      </x:c>
      <x:c r="H60" t="n">
        <x:v>150</x:v>
      </x:c>
      <x:c r="I60" t="n">
        <x:v>1.5</x:v>
      </x:c>
      <x:c r="J60" t="str"/>
      <x:c r="K60" t="str"/>
      <x:c r="L60" t="str">
        <x:v>OPEN</x:v>
      </x:c>
    </x:row>
    <x:row r="61">
      <x:c r="B61" t="str">
        <x:v>RFP-A1-TC-055</x:v>
      </x:c>
      <x:c r="C61" t="str">
        <x:v>RFP-A1</x:v>
      </x:c>
      <x:c r="D61" t="n">
        <x:v>6</x:v>
      </x:c>
      <x:c r="E61" t="n">
        <x:v>5</x:v>
      </x:c>
      <x:c r="F61" t="n">
        <x:v>4</x:v>
      </x:c>
      <x:c r="G61" t="n">
        <x:v>4</x:v>
      </x:c>
      <x:c r="H61" t="n">
        <x:v>150</x:v>
      </x:c>
      <x:c r="I61" t="n">
        <x:v>1.5</x:v>
      </x:c>
      <x:c r="J61" t="str"/>
      <x:c r="K61" t="str"/>
      <x:c r="L61" t="str">
        <x:v>OPEN</x:v>
      </x:c>
    </x:row>
    <x:row r="62">
      <x:c r="B62" t="str">
        <x:v>RFP-A1-TC-056</x:v>
      </x:c>
      <x:c r="C62" t="str">
        <x:v>RFP-A1</x:v>
      </x:c>
      <x:c r="D62" t="n">
        <x:v>6</x:v>
      </x:c>
      <x:c r="E62" t="n">
        <x:v>6</x:v>
      </x:c>
      <x:c r="F62" t="n">
        <x:v>4</x:v>
      </x:c>
      <x:c r="G62" t="n">
        <x:v>4</x:v>
      </x:c>
      <x:c r="H62" t="n">
        <x:v>150</x:v>
      </x:c>
      <x:c r="I62" t="n">
        <x:v>1.5</x:v>
      </x:c>
      <x:c r="J62" t="str"/>
      <x:c r="K62" t="str"/>
      <x:c r="L62" t="str">
        <x:v>OPEN</x:v>
      </x:c>
    </x:row>
    <x:row r="63">
      <x:c r="B63" t="str">
        <x:v>RFP-A1-TC-057</x:v>
      </x:c>
      <x:c r="C63" t="str">
        <x:v>RFP-A1</x:v>
      </x:c>
      <x:c r="D63" t="n">
        <x:v>6</x:v>
      </x:c>
      <x:c r="E63" t="n">
        <x:v>7</x:v>
      </x:c>
      <x:c r="F63" t="n">
        <x:v>4</x:v>
      </x:c>
      <x:c r="G63" t="n">
        <x:v>4</x:v>
      </x:c>
      <x:c r="H63" t="n">
        <x:v>150</x:v>
      </x:c>
      <x:c r="I63" t="n">
        <x:v>1.5</x:v>
      </x:c>
      <x:c r="J63" t="str"/>
      <x:c r="K63" t="str"/>
      <x:c r="L63" t="str">
        <x:v>OPEN</x:v>
      </x:c>
    </x:row>
    <x:row r="64">
      <x:c r="B64" t="str">
        <x:v>RFP-A1-TC-058</x:v>
      </x:c>
      <x:c r="C64" t="str">
        <x:v>RFP-A1</x:v>
      </x:c>
      <x:c r="D64" t="n">
        <x:v>6</x:v>
      </x:c>
      <x:c r="E64" t="n">
        <x:v>8</x:v>
      </x:c>
      <x:c r="F64" t="n">
        <x:v>4</x:v>
      </x:c>
      <x:c r="G64" t="n">
        <x:v>4</x:v>
      </x:c>
      <x:c r="H64" t="n">
        <x:v>150</x:v>
      </x:c>
      <x:c r="I64" t="n">
        <x:v>1.5</x:v>
      </x:c>
      <x:c r="J64" t="str"/>
      <x:c r="K64" t="str"/>
      <x:c r="L64" t="str">
        <x:v>OPEN</x:v>
      </x:c>
    </x:row>
    <x:row r="65">
      <x:c r="B65" t="str">
        <x:v>RFP-A1-TC-059</x:v>
      </x:c>
      <x:c r="C65" t="str">
        <x:v>RFP-A1</x:v>
      </x:c>
      <x:c r="D65" t="n">
        <x:v>6</x:v>
      </x:c>
      <x:c r="E65" t="n">
        <x:v>9</x:v>
      </x:c>
      <x:c r="F65" t="n">
        <x:v>4</x:v>
      </x:c>
      <x:c r="G65" t="n">
        <x:v>4</x:v>
      </x:c>
      <x:c r="H65" t="n">
        <x:v>150</x:v>
      </x:c>
      <x:c r="I65" t="n">
        <x:v>1.5</x:v>
      </x:c>
      <x:c r="J65" t="str"/>
      <x:c r="K65" t="str"/>
      <x:c r="L65" t="str">
        <x:v>OPEN</x:v>
      </x:c>
    </x:row>
    <x:row r="66">
      <x:c r="B66" t="str">
        <x:v>RFP-A1-TC-060</x:v>
      </x:c>
      <x:c r="C66" t="str">
        <x:v>RFP-A1</x:v>
      </x:c>
      <x:c r="D66" t="n">
        <x:v>6</x:v>
      </x:c>
      <x:c r="E66" t="n">
        <x:v>10</x:v>
      </x:c>
      <x:c r="F66" t="n">
        <x:v>4</x:v>
      </x:c>
      <x:c r="G66" t="n">
        <x:v>4</x:v>
      </x:c>
      <x:c r="H66" t="n">
        <x:v>150</x:v>
      </x:c>
      <x:c r="I66" t="n">
        <x:v>1.5</x:v>
      </x:c>
      <x:c r="J66" t="str"/>
      <x:c r="K66" t="str"/>
      <x:c r="L66" t="str">
        <x:v>OPEN</x:v>
      </x:c>
    </x:row>
    <x:row r="67">
      <x:c r="B67" t="str">
        <x:v>RFP-A1-TC-061</x:v>
      </x:c>
      <x:c r="C67" t="str">
        <x:v>RFP-A1</x:v>
      </x:c>
      <x:c r="D67" t="n">
        <x:v>7</x:v>
      </x:c>
      <x:c r="E67" t="n">
        <x:v>1</x:v>
      </x:c>
      <x:c r="F67" t="n">
        <x:v>4</x:v>
      </x:c>
      <x:c r="G67" t="n">
        <x:v>4</x:v>
      </x:c>
      <x:c r="H67" t="n">
        <x:v>150</x:v>
      </x:c>
      <x:c r="I67" t="n">
        <x:v>1.5</x:v>
      </x:c>
      <x:c r="J67" t="str"/>
      <x:c r="K67" t="str"/>
      <x:c r="L67" t="str">
        <x:v>OPEN</x:v>
      </x:c>
    </x:row>
    <x:row r="68">
      <x:c r="B68" t="str">
        <x:v>RFP-A1-TC-062</x:v>
      </x:c>
      <x:c r="C68" t="str">
        <x:v>RFP-A1</x:v>
      </x:c>
      <x:c r="D68" t="n">
        <x:v>7</x:v>
      </x:c>
      <x:c r="E68" t="n">
        <x:v>2</x:v>
      </x:c>
      <x:c r="F68" t="n">
        <x:v>4</x:v>
      </x:c>
      <x:c r="G68" t="n">
        <x:v>4</x:v>
      </x:c>
      <x:c r="H68" t="n">
        <x:v>150</x:v>
      </x:c>
      <x:c r="I68" t="n">
        <x:v>1.5</x:v>
      </x:c>
      <x:c r="J68" t="str"/>
      <x:c r="K68" t="str"/>
      <x:c r="L68" t="str">
        <x:v>OPEN</x:v>
      </x:c>
    </x:row>
    <x:row r="69">
      <x:c r="B69" t="str">
        <x:v>RFP-A1-TC-063</x:v>
      </x:c>
      <x:c r="C69" t="str">
        <x:v>RFP-A1</x:v>
      </x:c>
      <x:c r="D69" t="n">
        <x:v>7</x:v>
      </x:c>
      <x:c r="E69" t="n">
        <x:v>3</x:v>
      </x:c>
      <x:c r="F69" t="n">
        <x:v>4</x:v>
      </x:c>
      <x:c r="G69" t="n">
        <x:v>4</x:v>
      </x:c>
      <x:c r="H69" t="n">
        <x:v>150</x:v>
      </x:c>
      <x:c r="I69" t="n">
        <x:v>1.5</x:v>
      </x:c>
      <x:c r="J69" t="str"/>
      <x:c r="K69" t="str"/>
      <x:c r="L69" t="str">
        <x:v>OPEN</x:v>
      </x:c>
    </x:row>
    <x:row r="70">
      <x:c r="B70" t="str">
        <x:v>RFP-A1-TC-064</x:v>
      </x:c>
      <x:c r="C70" t="str">
        <x:v>RFP-A1</x:v>
      </x:c>
      <x:c r="D70" t="n">
        <x:v>7</x:v>
      </x:c>
      <x:c r="E70" t="n">
        <x:v>4</x:v>
      </x:c>
      <x:c r="F70" t="n">
        <x:v>4</x:v>
      </x:c>
      <x:c r="G70" t="n">
        <x:v>4</x:v>
      </x:c>
      <x:c r="H70" t="n">
        <x:v>150</x:v>
      </x:c>
      <x:c r="I70" t="n">
        <x:v>1.5</x:v>
      </x:c>
      <x:c r="J70" t="str"/>
      <x:c r="K70" t="str"/>
      <x:c r="L70" t="str">
        <x:v>OPEN</x:v>
      </x:c>
    </x:row>
    <x:row r="71">
      <x:c r="B71" t="str">
        <x:v>RFP-A1-TC-065</x:v>
      </x:c>
      <x:c r="C71" t="str">
        <x:v>RFP-A1</x:v>
      </x:c>
      <x:c r="D71" t="n">
        <x:v>7</x:v>
      </x:c>
      <x:c r="E71" t="n">
        <x:v>5</x:v>
      </x:c>
      <x:c r="F71" t="n">
        <x:v>4</x:v>
      </x:c>
      <x:c r="G71" t="n">
        <x:v>4</x:v>
      </x:c>
      <x:c r="H71" t="n">
        <x:v>150</x:v>
      </x:c>
      <x:c r="I71" t="n">
        <x:v>1.5</x:v>
      </x:c>
      <x:c r="J71" t="str"/>
      <x:c r="K71" t="str"/>
      <x:c r="L71" t="str">
        <x:v>OPEN</x:v>
      </x:c>
    </x:row>
    <x:row r="72">
      <x:c r="B72" t="str">
        <x:v>RFP-A1-TC-066</x:v>
      </x:c>
      <x:c r="C72" t="str">
        <x:v>RFP-A1</x:v>
      </x:c>
      <x:c r="D72" t="n">
        <x:v>7</x:v>
      </x:c>
      <x:c r="E72" t="n">
        <x:v>6</x:v>
      </x:c>
      <x:c r="F72" t="n">
        <x:v>4</x:v>
      </x:c>
      <x:c r="G72" t="n">
        <x:v>4</x:v>
      </x:c>
      <x:c r="H72" t="n">
        <x:v>150</x:v>
      </x:c>
      <x:c r="I72" t="n">
        <x:v>1.5</x:v>
      </x:c>
      <x:c r="J72" t="str"/>
      <x:c r="K72" t="str"/>
      <x:c r="L72" t="str">
        <x:v>OPEN</x:v>
      </x:c>
    </x:row>
    <x:row r="73">
      <x:c r="B73" t="str">
        <x:v>RFP-A1-TC-067</x:v>
      </x:c>
      <x:c r="C73" t="str">
        <x:v>RFP-A1</x:v>
      </x:c>
      <x:c r="D73" t="n">
        <x:v>7</x:v>
      </x:c>
      <x:c r="E73" t="n">
        <x:v>7</x:v>
      </x:c>
      <x:c r="F73" t="n">
        <x:v>4</x:v>
      </x:c>
      <x:c r="G73" t="n">
        <x:v>4</x:v>
      </x:c>
      <x:c r="H73" t="n">
        <x:v>150</x:v>
      </x:c>
      <x:c r="I73" t="n">
        <x:v>1.5</x:v>
      </x:c>
      <x:c r="J73" t="str"/>
      <x:c r="K73" t="str"/>
      <x:c r="L73" t="str">
        <x:v>OPEN</x:v>
      </x:c>
    </x:row>
    <x:row r="74">
      <x:c r="B74" t="str">
        <x:v>RFP-A1-TC-068</x:v>
      </x:c>
      <x:c r="C74" t="str">
        <x:v>RFP-A1</x:v>
      </x:c>
      <x:c r="D74" t="n">
        <x:v>7</x:v>
      </x:c>
      <x:c r="E74" t="n">
        <x:v>8</x:v>
      </x:c>
      <x:c r="F74" t="n">
        <x:v>4</x:v>
      </x:c>
      <x:c r="G74" t="n">
        <x:v>4</x:v>
      </x:c>
      <x:c r="H74" t="n">
        <x:v>150</x:v>
      </x:c>
      <x:c r="I74" t="n">
        <x:v>1.5</x:v>
      </x:c>
      <x:c r="J74" t="str"/>
      <x:c r="K74" t="str"/>
      <x:c r="L74" t="str">
        <x:v>OPEN</x:v>
      </x:c>
    </x:row>
    <x:row r="75">
      <x:c r="B75" t="str">
        <x:v>RFP-A1-TC-069</x:v>
      </x:c>
      <x:c r="C75" t="str">
        <x:v>RFP-A1</x:v>
      </x:c>
      <x:c r="D75" t="n">
        <x:v>7</x:v>
      </x:c>
      <x:c r="E75" t="n">
        <x:v>9</x:v>
      </x:c>
      <x:c r="F75" t="n">
        <x:v>4</x:v>
      </x:c>
      <x:c r="G75" t="n">
        <x:v>4</x:v>
      </x:c>
      <x:c r="H75" t="n">
        <x:v>150</x:v>
      </x:c>
      <x:c r="I75" t="n">
        <x:v>1.5</x:v>
      </x:c>
      <x:c r="J75" t="str"/>
      <x:c r="K75" t="str"/>
      <x:c r="L75" t="str">
        <x:v>OPEN</x:v>
      </x:c>
    </x:row>
    <x:row r="76">
      <x:c r="B76" t="str">
        <x:v>RFP-A1-TC-070</x:v>
      </x:c>
      <x:c r="C76" t="str">
        <x:v>RFP-A1</x:v>
      </x:c>
      <x:c r="D76" t="n">
        <x:v>7</x:v>
      </x:c>
      <x:c r="E76" t="n">
        <x:v>10</x:v>
      </x:c>
      <x:c r="F76" t="n">
        <x:v>4</x:v>
      </x:c>
      <x:c r="G76" t="n">
        <x:v>4</x:v>
      </x:c>
      <x:c r="H76" t="n">
        <x:v>150</x:v>
      </x:c>
      <x:c r="I76" t="n">
        <x:v>1.5</x:v>
      </x:c>
      <x:c r="J76" t="str"/>
      <x:c r="K76" t="str"/>
      <x:c r="L76" t="str">
        <x:v>OPEN</x:v>
      </x:c>
    </x:row>
    <x:row r="77">
      <x:c r="B77" t="str">
        <x:v>RFP-A1-TC-071</x:v>
      </x:c>
      <x:c r="C77" t="str">
        <x:v>RFP-A1</x:v>
      </x:c>
      <x:c r="D77" t="n">
        <x:v>8</x:v>
      </x:c>
      <x:c r="E77" t="n">
        <x:v>1</x:v>
      </x:c>
      <x:c r="F77" t="n">
        <x:v>4</x:v>
      </x:c>
      <x:c r="G77" t="n">
        <x:v>4</x:v>
      </x:c>
      <x:c r="H77" t="n">
        <x:v>150</x:v>
      </x:c>
      <x:c r="I77" t="n">
        <x:v>1.5</x:v>
      </x:c>
      <x:c r="J77" t="str"/>
      <x:c r="K77" t="str"/>
      <x:c r="L77" t="str">
        <x:v>OPEN</x:v>
      </x:c>
    </x:row>
    <x:row r="78">
      <x:c r="B78" t="str">
        <x:v>RFP-A1-TC-072</x:v>
      </x:c>
      <x:c r="C78" t="str">
        <x:v>RFP-A1</x:v>
      </x:c>
      <x:c r="D78" t="n">
        <x:v>8</x:v>
      </x:c>
      <x:c r="E78" t="n">
        <x:v>2</x:v>
      </x:c>
      <x:c r="F78" t="n">
        <x:v>4</x:v>
      </x:c>
      <x:c r="G78" t="n">
        <x:v>4</x:v>
      </x:c>
      <x:c r="H78" t="n">
        <x:v>150</x:v>
      </x:c>
      <x:c r="I78" t="n">
        <x:v>1.5</x:v>
      </x:c>
      <x:c r="J78" t="str"/>
      <x:c r="K78" t="str"/>
      <x:c r="L78" t="str">
        <x:v>OPEN</x:v>
      </x:c>
    </x:row>
    <x:row r="79">
      <x:c r="B79" t="str">
        <x:v>RFP-A1-TC-073</x:v>
      </x:c>
      <x:c r="C79" t="str">
        <x:v>RFP-A1</x:v>
      </x:c>
      <x:c r="D79" t="n">
        <x:v>8</x:v>
      </x:c>
      <x:c r="E79" t="n">
        <x:v>3</x:v>
      </x:c>
      <x:c r="F79" t="n">
        <x:v>4</x:v>
      </x:c>
      <x:c r="G79" t="n">
        <x:v>4</x:v>
      </x:c>
      <x:c r="H79" t="n">
        <x:v>150</x:v>
      </x:c>
      <x:c r="I79" t="n">
        <x:v>1.5</x:v>
      </x:c>
      <x:c r="J79" t="str"/>
      <x:c r="K79" t="str"/>
      <x:c r="L79" t="str">
        <x:v>OPEN</x:v>
      </x:c>
    </x:row>
    <x:row r="80">
      <x:c r="B80" t="str">
        <x:v>RFP-A1-TC-074</x:v>
      </x:c>
      <x:c r="C80" t="str">
        <x:v>RFP-A1</x:v>
      </x:c>
      <x:c r="D80" t="n">
        <x:v>8</x:v>
      </x:c>
      <x:c r="E80" t="n">
        <x:v>4</x:v>
      </x:c>
      <x:c r="F80" t="n">
        <x:v>4</x:v>
      </x:c>
      <x:c r="G80" t="n">
        <x:v>4</x:v>
      </x:c>
      <x:c r="H80" t="n">
        <x:v>150</x:v>
      </x:c>
      <x:c r="I80" t="n">
        <x:v>1.5</x:v>
      </x:c>
      <x:c r="J80" t="str"/>
      <x:c r="K80" t="str"/>
      <x:c r="L80" t="str">
        <x:v>OPEN</x:v>
      </x:c>
    </x:row>
    <x:row r="81">
      <x:c r="B81" t="str">
        <x:v>RFP-A1-TC-075</x:v>
      </x:c>
      <x:c r="C81" t="str">
        <x:v>RFP-A1</x:v>
      </x:c>
      <x:c r="D81" t="n">
        <x:v>8</x:v>
      </x:c>
      <x:c r="E81" t="n">
        <x:v>5</x:v>
      </x:c>
      <x:c r="F81" t="n">
        <x:v>4</x:v>
      </x:c>
      <x:c r="G81" t="n">
        <x:v>4</x:v>
      </x:c>
      <x:c r="H81" t="n">
        <x:v>150</x:v>
      </x:c>
      <x:c r="I81" t="n">
        <x:v>1.5</x:v>
      </x:c>
      <x:c r="J81" t="str"/>
      <x:c r="K81" t="str"/>
      <x:c r="L81" t="str">
        <x:v>OPEN</x:v>
      </x:c>
    </x:row>
    <x:row r="82">
      <x:c r="B82" t="str">
        <x:v>RFP-A1-TC-076</x:v>
      </x:c>
      <x:c r="C82" t="str">
        <x:v>RFP-A1</x:v>
      </x:c>
      <x:c r="D82" t="n">
        <x:v>8</x:v>
      </x:c>
      <x:c r="E82" t="n">
        <x:v>6</x:v>
      </x:c>
      <x:c r="F82" t="n">
        <x:v>4</x:v>
      </x:c>
      <x:c r="G82" t="n">
        <x:v>4</x:v>
      </x:c>
      <x:c r="H82" t="n">
        <x:v>150</x:v>
      </x:c>
      <x:c r="I82" t="n">
        <x:v>1.5</x:v>
      </x:c>
      <x:c r="J82" t="str"/>
      <x:c r="K82" t="str"/>
      <x:c r="L82" t="str">
        <x:v>OPEN</x:v>
      </x:c>
    </x:row>
    <x:row r="83">
      <x:c r="B83" t="str">
        <x:v>RFP-A1-TC-077</x:v>
      </x:c>
      <x:c r="C83" t="str">
        <x:v>RFP-A1</x:v>
      </x:c>
      <x:c r="D83" t="n">
        <x:v>8</x:v>
      </x:c>
      <x:c r="E83" t="n">
        <x:v>7</x:v>
      </x:c>
      <x:c r="F83" t="n">
        <x:v>4</x:v>
      </x:c>
      <x:c r="G83" t="n">
        <x:v>4</x:v>
      </x:c>
      <x:c r="H83" t="n">
        <x:v>150</x:v>
      </x:c>
      <x:c r="I83" t="n">
        <x:v>1.5</x:v>
      </x:c>
      <x:c r="J83" t="str"/>
      <x:c r="K83" t="str"/>
      <x:c r="L83" t="str">
        <x:v>OPEN</x:v>
      </x:c>
    </x:row>
    <x:row r="84">
      <x:c r="B84" t="str">
        <x:v>RFP-A1-TC-078</x:v>
      </x:c>
      <x:c r="C84" t="str">
        <x:v>RFP-A1</x:v>
      </x:c>
      <x:c r="D84" t="n">
        <x:v>8</x:v>
      </x:c>
      <x:c r="E84" t="n">
        <x:v>8</x:v>
      </x:c>
      <x:c r="F84" t="n">
        <x:v>4</x:v>
      </x:c>
      <x:c r="G84" t="n">
        <x:v>4</x:v>
      </x:c>
      <x:c r="H84" t="n">
        <x:v>150</x:v>
      </x:c>
      <x:c r="I84" t="n">
        <x:v>1.5</x:v>
      </x:c>
      <x:c r="J84" t="str"/>
      <x:c r="K84" t="str"/>
      <x:c r="L84" t="str">
        <x:v>OPEN</x:v>
      </x:c>
    </x:row>
    <x:row r="85">
      <x:c r="B85" t="str">
        <x:v>RFP-A1-TC-079</x:v>
      </x:c>
      <x:c r="C85" t="str">
        <x:v>RFP-A1</x:v>
      </x:c>
      <x:c r="D85" t="n">
        <x:v>8</x:v>
      </x:c>
      <x:c r="E85" t="n">
        <x:v>9</x:v>
      </x:c>
      <x:c r="F85" t="n">
        <x:v>4</x:v>
      </x:c>
      <x:c r="G85" t="n">
        <x:v>4</x:v>
      </x:c>
      <x:c r="H85" t="n">
        <x:v>150</x:v>
      </x:c>
      <x:c r="I85" t="n">
        <x:v>1.5</x:v>
      </x:c>
      <x:c r="J85" t="str"/>
      <x:c r="K85" t="str"/>
      <x:c r="L85" t="str">
        <x:v>OPEN</x:v>
      </x:c>
    </x:row>
    <x:row r="86">
      <x:c r="B86" t="str">
        <x:v>RFP-A1-TC-080</x:v>
      </x:c>
      <x:c r="C86" t="str">
        <x:v>RFP-A1</x:v>
      </x:c>
      <x:c r="D86" t="n">
        <x:v>8</x:v>
      </x:c>
      <x:c r="E86" t="n">
        <x:v>10</x:v>
      </x:c>
      <x:c r="F86" t="n">
        <x:v>4</x:v>
      </x:c>
      <x:c r="G86" t="n">
        <x:v>4</x:v>
      </x:c>
      <x:c r="H86" t="n">
        <x:v>150</x:v>
      </x:c>
      <x:c r="I86" t="n">
        <x:v>1.5</x:v>
      </x:c>
      <x:c r="J86" t="str"/>
      <x:c r="K86" t="str"/>
      <x:c r="L86" t="str">
        <x:v>OPEN</x:v>
      </x:c>
    </x:row>
    <x:row r="87">
      <x:c r="B87" t="str">
        <x:v>RFP-A1-TC-081</x:v>
      </x:c>
      <x:c r="C87" t="str">
        <x:v>RFP-A1</x:v>
      </x:c>
      <x:c r="D87" t="n">
        <x:v>9</x:v>
      </x:c>
      <x:c r="E87" t="n">
        <x:v>1</x:v>
      </x:c>
      <x:c r="F87" t="n">
        <x:v>4</x:v>
      </x:c>
      <x:c r="G87" t="n">
        <x:v>4</x:v>
      </x:c>
      <x:c r="H87" t="n">
        <x:v>150</x:v>
      </x:c>
      <x:c r="I87" t="n">
        <x:v>1.5</x:v>
      </x:c>
      <x:c r="J87" t="str"/>
      <x:c r="K87" t="str"/>
      <x:c r="L87" t="str">
        <x:v>OPEN</x:v>
      </x:c>
    </x:row>
    <x:row r="88">
      <x:c r="B88" t="str">
        <x:v>RFP-A1-TC-082</x:v>
      </x:c>
      <x:c r="C88" t="str">
        <x:v>RFP-A1</x:v>
      </x:c>
      <x:c r="D88" t="n">
        <x:v>9</x:v>
      </x:c>
      <x:c r="E88" t="n">
        <x:v>2</x:v>
      </x:c>
      <x:c r="F88" t="n">
        <x:v>4</x:v>
      </x:c>
      <x:c r="G88" t="n">
        <x:v>4</x:v>
      </x:c>
      <x:c r="H88" t="n">
        <x:v>150</x:v>
      </x:c>
      <x:c r="I88" t="n">
        <x:v>1.5</x:v>
      </x:c>
      <x:c r="J88" t="str"/>
      <x:c r="K88" t="str"/>
      <x:c r="L88" t="str">
        <x:v>OPEN</x:v>
      </x:c>
    </x:row>
    <x:row r="89">
      <x:c r="B89" t="str">
        <x:v>RFP-A1-TC-083</x:v>
      </x:c>
      <x:c r="C89" t="str">
        <x:v>RFP-A1</x:v>
      </x:c>
      <x:c r="D89" t="n">
        <x:v>9</x:v>
      </x:c>
      <x:c r="E89" t="n">
        <x:v>3</x:v>
      </x:c>
      <x:c r="F89" t="n">
        <x:v>4</x:v>
      </x:c>
      <x:c r="G89" t="n">
        <x:v>4</x:v>
      </x:c>
      <x:c r="H89" t="n">
        <x:v>150</x:v>
      </x:c>
      <x:c r="I89" t="n">
        <x:v>1.5</x:v>
      </x:c>
      <x:c r="J89" t="str"/>
      <x:c r="K89" t="str"/>
      <x:c r="L89" t="str">
        <x:v>OPEN</x:v>
      </x:c>
    </x:row>
    <x:row r="90">
      <x:c r="B90" t="str">
        <x:v>RFP-A1-TC-084</x:v>
      </x:c>
      <x:c r="C90" t="str">
        <x:v>RFP-A1</x:v>
      </x:c>
      <x:c r="D90" t="n">
        <x:v>9</x:v>
      </x:c>
      <x:c r="E90" t="n">
        <x:v>4</x:v>
      </x:c>
      <x:c r="F90" t="n">
        <x:v>4</x:v>
      </x:c>
      <x:c r="G90" t="n">
        <x:v>4</x:v>
      </x:c>
      <x:c r="H90" t="n">
        <x:v>150</x:v>
      </x:c>
      <x:c r="I90" t="n">
        <x:v>1.5</x:v>
      </x:c>
      <x:c r="J90" t="str"/>
      <x:c r="K90" t="str"/>
      <x:c r="L90" t="str">
        <x:v>OPEN</x:v>
      </x:c>
    </x:row>
    <x:row r="91">
      <x:c r="B91" t="str">
        <x:v>RFP-A1-TC-085</x:v>
      </x:c>
      <x:c r="C91" t="str">
        <x:v>RFP-A1</x:v>
      </x:c>
      <x:c r="D91" t="n">
        <x:v>9</x:v>
      </x:c>
      <x:c r="E91" t="n">
        <x:v>5</x:v>
      </x:c>
      <x:c r="F91" t="n">
        <x:v>4</x:v>
      </x:c>
      <x:c r="G91" t="n">
        <x:v>4</x:v>
      </x:c>
      <x:c r="H91" t="n">
        <x:v>150</x:v>
      </x:c>
      <x:c r="I91" t="n">
        <x:v>1.5</x:v>
      </x:c>
      <x:c r="J91" t="str"/>
      <x:c r="K91" t="str"/>
      <x:c r="L91" t="str">
        <x:v>OPEN</x:v>
      </x:c>
    </x:row>
    <x:row r="92">
      <x:c r="B92" t="str">
        <x:v>RFP-A1-TC-086</x:v>
      </x:c>
      <x:c r="C92" t="str">
        <x:v>RFP-A1</x:v>
      </x:c>
      <x:c r="D92" t="n">
        <x:v>9</x:v>
      </x:c>
      <x:c r="E92" t="n">
        <x:v>6</x:v>
      </x:c>
      <x:c r="F92" t="n">
        <x:v>4</x:v>
      </x:c>
      <x:c r="G92" t="n">
        <x:v>4</x:v>
      </x:c>
      <x:c r="H92" t="n">
        <x:v>150</x:v>
      </x:c>
      <x:c r="I92" t="n">
        <x:v>1.5</x:v>
      </x:c>
      <x:c r="J92" t="str"/>
      <x:c r="K92" t="str"/>
      <x:c r="L92" t="str">
        <x:v>OPEN</x:v>
      </x:c>
    </x:row>
    <x:row r="93">
      <x:c r="B93" t="str">
        <x:v>RFP-A1-TC-087</x:v>
      </x:c>
      <x:c r="C93" t="str">
        <x:v>RFP-A1</x:v>
      </x:c>
      <x:c r="D93" t="n">
        <x:v>9</x:v>
      </x:c>
      <x:c r="E93" t="n">
        <x:v>7</x:v>
      </x:c>
      <x:c r="F93" t="n">
        <x:v>4</x:v>
      </x:c>
      <x:c r="G93" t="n">
        <x:v>4</x:v>
      </x:c>
      <x:c r="H93" t="n">
        <x:v>150</x:v>
      </x:c>
      <x:c r="I93" t="n">
        <x:v>1.5</x:v>
      </x:c>
      <x:c r="J93" t="str"/>
      <x:c r="K93" t="str"/>
      <x:c r="L93" t="str">
        <x:v>OPEN</x:v>
      </x:c>
    </x:row>
    <x:row r="94">
      <x:c r="B94" t="str">
        <x:v>RFP-A1-TC-088</x:v>
      </x:c>
      <x:c r="C94" t="str">
        <x:v>RFP-A1</x:v>
      </x:c>
      <x:c r="D94" t="n">
        <x:v>9</x:v>
      </x:c>
      <x:c r="E94" t="n">
        <x:v>8</x:v>
      </x:c>
      <x:c r="F94" t="n">
        <x:v>4</x:v>
      </x:c>
      <x:c r="G94" t="n">
        <x:v>4</x:v>
      </x:c>
      <x:c r="H94" t="n">
        <x:v>150</x:v>
      </x:c>
      <x:c r="I94" t="n">
        <x:v>1.5</x:v>
      </x:c>
      <x:c r="J94" t="str"/>
      <x:c r="K94" t="str"/>
      <x:c r="L94" t="str">
        <x:v>OPEN</x:v>
      </x:c>
    </x:row>
    <x:row r="95">
      <x:c r="B95" t="str">
        <x:v>RFP-A1-TC-089</x:v>
      </x:c>
      <x:c r="C95" t="str">
        <x:v>RFP-A1</x:v>
      </x:c>
      <x:c r="D95" t="n">
        <x:v>9</x:v>
      </x:c>
      <x:c r="E95" t="n">
        <x:v>9</x:v>
      </x:c>
      <x:c r="F95" t="n">
        <x:v>4</x:v>
      </x:c>
      <x:c r="G95" t="n">
        <x:v>4</x:v>
      </x:c>
      <x:c r="H95" t="n">
        <x:v>150</x:v>
      </x:c>
      <x:c r="I95" t="n">
        <x:v>1.5</x:v>
      </x:c>
      <x:c r="J95" t="str"/>
      <x:c r="K95" t="str"/>
      <x:c r="L95" t="str">
        <x:v>OPEN</x:v>
      </x:c>
    </x:row>
    <x:row r="96">
      <x:c r="B96" t="str">
        <x:v>RFP-A1-TC-090</x:v>
      </x:c>
      <x:c r="C96" t="str">
        <x:v>RFP-A1</x:v>
      </x:c>
      <x:c r="D96" t="n">
        <x:v>9</x:v>
      </x:c>
      <x:c r="E96" t="n">
        <x:v>10</x:v>
      </x:c>
      <x:c r="F96" t="n">
        <x:v>4</x:v>
      </x:c>
      <x:c r="G96" t="n">
        <x:v>4</x:v>
      </x:c>
      <x:c r="H96" t="n">
        <x:v>150</x:v>
      </x:c>
      <x:c r="I96" t="n">
        <x:v>1.5</x:v>
      </x:c>
      <x:c r="J96" t="str"/>
      <x:c r="K96" t="str"/>
      <x:c r="L96" t="str">
        <x:v>OPEN</x:v>
      </x:c>
    </x:row>
    <x:row r="97">
      <x:c r="B97" t="str">
        <x:v>RFP-A1-TC-091</x:v>
      </x:c>
      <x:c r="C97" t="str">
        <x:v>RFP-A1</x:v>
      </x:c>
      <x:c r="D97" t="n">
        <x:v>10</x:v>
      </x:c>
      <x:c r="E97" t="n">
        <x:v>1</x:v>
      </x:c>
      <x:c r="F97" t="n">
        <x:v>4</x:v>
      </x:c>
      <x:c r="G97" t="n">
        <x:v>4</x:v>
      </x:c>
      <x:c r="H97" t="n">
        <x:v>150</x:v>
      </x:c>
      <x:c r="I97" t="n">
        <x:v>1.5</x:v>
      </x:c>
      <x:c r="J97" t="str"/>
      <x:c r="K97" t="str"/>
      <x:c r="L97" t="str">
        <x:v>OPEN</x:v>
      </x:c>
    </x:row>
    <x:row r="98">
      <x:c r="B98" t="str">
        <x:v>RFP-A1-TC-092</x:v>
      </x:c>
      <x:c r="C98" t="str">
        <x:v>RFP-A1</x:v>
      </x:c>
      <x:c r="D98" t="n">
        <x:v>10</x:v>
      </x:c>
      <x:c r="E98" t="n">
        <x:v>2</x:v>
      </x:c>
      <x:c r="F98" t="n">
        <x:v>4</x:v>
      </x:c>
      <x:c r="G98" t="n">
        <x:v>4</x:v>
      </x:c>
      <x:c r="H98" t="n">
        <x:v>150</x:v>
      </x:c>
      <x:c r="I98" t="n">
        <x:v>1.5</x:v>
      </x:c>
      <x:c r="J98" t="str"/>
      <x:c r="K98" t="str"/>
      <x:c r="L98" t="str">
        <x:v>OPEN</x:v>
      </x:c>
    </x:row>
    <x:row r="99">
      <x:c r="B99" t="str">
        <x:v>RFP-A1-TC-093</x:v>
      </x:c>
      <x:c r="C99" t="str">
        <x:v>RFP-A1</x:v>
      </x:c>
      <x:c r="D99" t="n">
        <x:v>10</x:v>
      </x:c>
      <x:c r="E99" t="n">
        <x:v>3</x:v>
      </x:c>
      <x:c r="F99" t="n">
        <x:v>4</x:v>
      </x:c>
      <x:c r="G99" t="n">
        <x:v>4</x:v>
      </x:c>
      <x:c r="H99" t="n">
        <x:v>150</x:v>
      </x:c>
      <x:c r="I99" t="n">
        <x:v>1.5</x:v>
      </x:c>
      <x:c r="J99" t="str"/>
      <x:c r="K99" t="str"/>
      <x:c r="L99" t="str">
        <x:v>OPEN</x:v>
      </x:c>
    </x:row>
    <x:row r="100">
      <x:c r="B100" t="str">
        <x:v>RFP-A1-TC-094</x:v>
      </x:c>
      <x:c r="C100" t="str">
        <x:v>RFP-A1</x:v>
      </x:c>
      <x:c r="D100" t="n">
        <x:v>10</x:v>
      </x:c>
      <x:c r="E100" t="n">
        <x:v>4</x:v>
      </x:c>
      <x:c r="F100" t="n">
        <x:v>4</x:v>
      </x:c>
      <x:c r="G100" t="n">
        <x:v>4</x:v>
      </x:c>
      <x:c r="H100" t="n">
        <x:v>150</x:v>
      </x:c>
      <x:c r="I100" t="n">
        <x:v>1.5</x:v>
      </x:c>
      <x:c r="J100" t="str"/>
      <x:c r="K100" t="str"/>
      <x:c r="L100" t="str">
        <x:v>OPEN</x:v>
      </x:c>
    </x:row>
    <x:row r="101">
      <x:c r="B101" t="str">
        <x:v>RFP-A1-TC-095</x:v>
      </x:c>
      <x:c r="C101" t="str">
        <x:v>RFP-A1</x:v>
      </x:c>
      <x:c r="D101" t="n">
        <x:v>10</x:v>
      </x:c>
      <x:c r="E101" t="n">
        <x:v>5</x:v>
      </x:c>
      <x:c r="F101" t="n">
        <x:v>4</x:v>
      </x:c>
      <x:c r="G101" t="n">
        <x:v>4</x:v>
      </x:c>
      <x:c r="H101" t="n">
        <x:v>150</x:v>
      </x:c>
      <x:c r="I101" t="n">
        <x:v>1.5</x:v>
      </x:c>
      <x:c r="J101" t="str"/>
      <x:c r="K101" t="str"/>
      <x:c r="L101" t="str">
        <x:v>OPEN</x:v>
      </x:c>
    </x:row>
    <x:row r="102">
      <x:c r="B102" t="str">
        <x:v>RFP-A1-TC-096</x:v>
      </x:c>
      <x:c r="C102" t="str">
        <x:v>RFP-A1</x:v>
      </x:c>
      <x:c r="D102" t="n">
        <x:v>10</x:v>
      </x:c>
      <x:c r="E102" t="n">
        <x:v>6</x:v>
      </x:c>
      <x:c r="F102" t="n">
        <x:v>4</x:v>
      </x:c>
      <x:c r="G102" t="n">
        <x:v>4</x:v>
      </x:c>
      <x:c r="H102" t="n">
        <x:v>150</x:v>
      </x:c>
      <x:c r="I102" t="n">
        <x:v>1.5</x:v>
      </x:c>
      <x:c r="J102" t="str"/>
      <x:c r="K102" t="str"/>
      <x:c r="L102" t="str">
        <x:v>OPEN</x:v>
      </x:c>
    </x:row>
    <x:row r="103">
      <x:c r="B103" t="str">
        <x:v>RFP-A1-TC-097</x:v>
      </x:c>
      <x:c r="C103" t="str">
        <x:v>RFP-A1</x:v>
      </x:c>
      <x:c r="D103" t="n">
        <x:v>10</x:v>
      </x:c>
      <x:c r="E103" t="n">
        <x:v>7</x:v>
      </x:c>
      <x:c r="F103" t="n">
        <x:v>4</x:v>
      </x:c>
      <x:c r="G103" t="n">
        <x:v>4</x:v>
      </x:c>
      <x:c r="H103" t="n">
        <x:v>150</x:v>
      </x:c>
      <x:c r="I103" t="n">
        <x:v>1.5</x:v>
      </x:c>
      <x:c r="J103" t="str"/>
      <x:c r="K103" t="str"/>
      <x:c r="L103" t="str">
        <x:v>OPEN</x:v>
      </x:c>
    </x:row>
    <x:row r="104">
      <x:c r="B104" t="str">
        <x:v>RFP-A1-TC-098</x:v>
      </x:c>
      <x:c r="C104" t="str">
        <x:v>RFP-A1</x:v>
      </x:c>
      <x:c r="D104" t="n">
        <x:v>10</x:v>
      </x:c>
      <x:c r="E104" t="n">
        <x:v>8</x:v>
      </x:c>
      <x:c r="F104" t="n">
        <x:v>4</x:v>
      </x:c>
      <x:c r="G104" t="n">
        <x:v>4</x:v>
      </x:c>
      <x:c r="H104" t="n">
        <x:v>150</x:v>
      </x:c>
      <x:c r="I104" t="n">
        <x:v>1.5</x:v>
      </x:c>
      <x:c r="J104" t="str"/>
      <x:c r="K104" t="str"/>
      <x:c r="L104" t="str">
        <x:v>OPEN</x:v>
      </x:c>
    </x:row>
    <x:row r="105">
      <x:c r="B105" t="str">
        <x:v>RFP-A1-TC-099</x:v>
      </x:c>
      <x:c r="C105" t="str">
        <x:v>RFP-A1</x:v>
      </x:c>
      <x:c r="D105" t="n">
        <x:v>10</x:v>
      </x:c>
      <x:c r="E105" t="n">
        <x:v>9</x:v>
      </x:c>
      <x:c r="F105" t="n">
        <x:v>4</x:v>
      </x:c>
      <x:c r="G105" t="n">
        <x:v>4</x:v>
      </x:c>
      <x:c r="H105" t="n">
        <x:v>150</x:v>
      </x:c>
      <x:c r="I105" t="n">
        <x:v>1.5</x:v>
      </x:c>
      <x:c r="J105" t="str"/>
      <x:c r="K105" t="str"/>
      <x:c r="L105" t="str">
        <x:v>OPEN</x:v>
      </x:c>
    </x:row>
    <x:row r="106">
      <x:c r="B106" t="str">
        <x:v>RFP-A1-TC-100</x:v>
      </x:c>
      <x:c r="C106" t="str">
        <x:v>RFP-A1</x:v>
      </x:c>
      <x:c r="D106" t="n">
        <x:v>10</x:v>
      </x:c>
      <x:c r="E106" t="n">
        <x:v>10</x:v>
      </x:c>
      <x:c r="F106" t="n">
        <x:v>4</x:v>
      </x:c>
      <x:c r="G106" t="n">
        <x:v>4</x:v>
      </x:c>
      <x:c r="H106" t="n">
        <x:v>150</x:v>
      </x:c>
      <x:c r="I106" t="n">
        <x:v>1.5</x:v>
      </x:c>
      <x:c r="J106" t="str"/>
      <x:c r="K106" t="str"/>
      <x:c r="L106" t="str">
        <x:v>OPEN</x:v>
      </x:c>
    </x:row>
    <x:row r="107">
      <x:c r="B107" t="str">
        <x:v>RFP-A1-TC-101</x:v>
      </x:c>
      <x:c r="C107" t="str">
        <x:v>RFP-A1</x:v>
      </x:c>
      <x:c r="D107" t="n">
        <x:v>11</x:v>
      </x:c>
      <x:c r="E107" t="n">
        <x:v>1</x:v>
      </x:c>
      <x:c r="F107" t="n">
        <x:v>4</x:v>
      </x:c>
      <x:c r="G107" t="n">
        <x:v>4</x:v>
      </x:c>
      <x:c r="H107" t="n">
        <x:v>150</x:v>
      </x:c>
      <x:c r="I107" t="n">
        <x:v>1.5</x:v>
      </x:c>
      <x:c r="J107" t="str"/>
      <x:c r="K107" t="str"/>
      <x:c r="L107" t="str">
        <x:v>OPEN</x:v>
      </x:c>
    </x:row>
    <x:row r="108">
      <x:c r="B108" t="str">
        <x:v>RFP-A1-TC-102</x:v>
      </x:c>
      <x:c r="C108" t="str">
        <x:v>RFP-A1</x:v>
      </x:c>
      <x:c r="D108" t="n">
        <x:v>11</x:v>
      </x:c>
      <x:c r="E108" t="n">
        <x:v>2</x:v>
      </x:c>
      <x:c r="F108" t="n">
        <x:v>4</x:v>
      </x:c>
      <x:c r="G108" t="n">
        <x:v>4</x:v>
      </x:c>
      <x:c r="H108" t="n">
        <x:v>150</x:v>
      </x:c>
      <x:c r="I108" t="n">
        <x:v>1.5</x:v>
      </x:c>
      <x:c r="J108" t="str"/>
      <x:c r="K108" t="str"/>
      <x:c r="L108" t="str">
        <x:v>OPEN</x:v>
      </x:c>
    </x:row>
    <x:row r="109">
      <x:c r="B109" t="str">
        <x:v>RFP-A1-TC-103</x:v>
      </x:c>
      <x:c r="C109" t="str">
        <x:v>RFP-A1</x:v>
      </x:c>
      <x:c r="D109" t="n">
        <x:v>11</x:v>
      </x:c>
      <x:c r="E109" t="n">
        <x:v>3</x:v>
      </x:c>
      <x:c r="F109" t="n">
        <x:v>4</x:v>
      </x:c>
      <x:c r="G109" t="n">
        <x:v>4</x:v>
      </x:c>
      <x:c r="H109" t="n">
        <x:v>150</x:v>
      </x:c>
      <x:c r="I109" t="n">
        <x:v>1.5</x:v>
      </x:c>
      <x:c r="J109" t="str"/>
      <x:c r="K109" t="str"/>
      <x:c r="L109" t="str">
        <x:v>OPEN</x:v>
      </x:c>
    </x:row>
    <x:row r="110">
      <x:c r="B110" t="str">
        <x:v>RFP-A1-TC-104</x:v>
      </x:c>
      <x:c r="C110" t="str">
        <x:v>RFP-A1</x:v>
      </x:c>
      <x:c r="D110" t="n">
        <x:v>11</x:v>
      </x:c>
      <x:c r="E110" t="n">
        <x:v>4</x:v>
      </x:c>
      <x:c r="F110" t="n">
        <x:v>4</x:v>
      </x:c>
      <x:c r="G110" t="n">
        <x:v>4</x:v>
      </x:c>
      <x:c r="H110" t="n">
        <x:v>150</x:v>
      </x:c>
      <x:c r="I110" t="n">
        <x:v>1.5</x:v>
      </x:c>
      <x:c r="J110" t="str"/>
      <x:c r="K110" t="str"/>
      <x:c r="L110" t="str">
        <x:v>OPEN</x:v>
      </x:c>
    </x:row>
    <x:row r="111">
      <x:c r="B111" t="str">
        <x:v>RFP-A1-TC-105</x:v>
      </x:c>
      <x:c r="C111" t="str">
        <x:v>RFP-A1</x:v>
      </x:c>
      <x:c r="D111" t="n">
        <x:v>11</x:v>
      </x:c>
      <x:c r="E111" t="n">
        <x:v>5</x:v>
      </x:c>
      <x:c r="F111" t="n">
        <x:v>4</x:v>
      </x:c>
      <x:c r="G111" t="n">
        <x:v>4</x:v>
      </x:c>
      <x:c r="H111" t="n">
        <x:v>150</x:v>
      </x:c>
      <x:c r="I111" t="n">
        <x:v>1.5</x:v>
      </x:c>
      <x:c r="J111" t="str"/>
      <x:c r="K111" t="str"/>
      <x:c r="L111" t="str">
        <x:v>OPEN</x:v>
      </x:c>
    </x:row>
    <x:row r="112">
      <x:c r="B112" t="str">
        <x:v>RFP-A1-TC-106</x:v>
      </x:c>
      <x:c r="C112" t="str">
        <x:v>RFP-A1</x:v>
      </x:c>
      <x:c r="D112" t="n">
        <x:v>11</x:v>
      </x:c>
      <x:c r="E112" t="n">
        <x:v>6</x:v>
      </x:c>
      <x:c r="F112" t="n">
        <x:v>4</x:v>
      </x:c>
      <x:c r="G112" t="n">
        <x:v>4</x:v>
      </x:c>
      <x:c r="H112" t="n">
        <x:v>150</x:v>
      </x:c>
      <x:c r="I112" t="n">
        <x:v>1.5</x:v>
      </x:c>
      <x:c r="J112" t="str"/>
      <x:c r="K112" t="str"/>
      <x:c r="L112" t="str">
        <x:v>OPEN</x:v>
      </x:c>
    </x:row>
    <x:row r="113">
      <x:c r="B113" t="str">
        <x:v>RFP-A1-TC-107</x:v>
      </x:c>
      <x:c r="C113" t="str">
        <x:v>RFP-A1</x:v>
      </x:c>
      <x:c r="D113" t="n">
        <x:v>11</x:v>
      </x:c>
      <x:c r="E113" t="n">
        <x:v>7</x:v>
      </x:c>
      <x:c r="F113" t="n">
        <x:v>4</x:v>
      </x:c>
      <x:c r="G113" t="n">
        <x:v>4</x:v>
      </x:c>
      <x:c r="H113" t="n">
        <x:v>150</x:v>
      </x:c>
      <x:c r="I113" t="n">
        <x:v>1.5</x:v>
      </x:c>
      <x:c r="J113" t="str"/>
      <x:c r="K113" t="str"/>
      <x:c r="L113" t="str">
        <x:v>OPEN</x:v>
      </x:c>
    </x:row>
    <x:row r="114">
      <x:c r="B114" t="str">
        <x:v>RFP-A1-TC-108</x:v>
      </x:c>
      <x:c r="C114" t="str">
        <x:v>RFP-A1</x:v>
      </x:c>
      <x:c r="D114" t="n">
        <x:v>11</x:v>
      </x:c>
      <x:c r="E114" t="n">
        <x:v>8</x:v>
      </x:c>
      <x:c r="F114" t="n">
        <x:v>4</x:v>
      </x:c>
      <x:c r="G114" t="n">
        <x:v>4</x:v>
      </x:c>
      <x:c r="H114" t="n">
        <x:v>150</x:v>
      </x:c>
      <x:c r="I114" t="n">
        <x:v>1.5</x:v>
      </x:c>
      <x:c r="J114" t="str"/>
      <x:c r="K114" t="str"/>
      <x:c r="L114" t="str">
        <x:v>OPEN</x:v>
      </x:c>
    </x:row>
    <x:row r="115">
      <x:c r="B115" t="str">
        <x:v>RFP-A1-TC-109</x:v>
      </x:c>
      <x:c r="C115" t="str">
        <x:v>RFP-A1</x:v>
      </x:c>
      <x:c r="D115" t="n">
        <x:v>11</x:v>
      </x:c>
      <x:c r="E115" t="n">
        <x:v>9</x:v>
      </x:c>
      <x:c r="F115" t="n">
        <x:v>4</x:v>
      </x:c>
      <x:c r="G115" t="n">
        <x:v>4</x:v>
      </x:c>
      <x:c r="H115" t="n">
        <x:v>150</x:v>
      </x:c>
      <x:c r="I115" t="n">
        <x:v>1.5</x:v>
      </x:c>
      <x:c r="J115" t="str"/>
      <x:c r="K115" t="str"/>
      <x:c r="L115" t="str">
        <x:v>OPEN</x:v>
      </x:c>
    </x:row>
    <x:row r="116">
      <x:c r="B116" t="str">
        <x:v>RFP-A1-TC-110</x:v>
      </x:c>
      <x:c r="C116" t="str">
        <x:v>RFP-A1</x:v>
      </x:c>
      <x:c r="D116" t="n">
        <x:v>11</x:v>
      </x:c>
      <x:c r="E116" t="n">
        <x:v>10</x:v>
      </x:c>
      <x:c r="F116" t="n">
        <x:v>4</x:v>
      </x:c>
      <x:c r="G116" t="n">
        <x:v>4</x:v>
      </x:c>
      <x:c r="H116" t="n">
        <x:v>150</x:v>
      </x:c>
      <x:c r="I116" t="n">
        <x:v>1.5</x:v>
      </x:c>
      <x:c r="J116" t="str"/>
      <x:c r="K116" t="str"/>
      <x:c r="L116" t="str">
        <x:v>OPEN</x:v>
      </x:c>
    </x:row>
    <x:row r="117">
      <x:c r="B117" t="str">
        <x:v>RFP-A1-TC-111</x:v>
      </x:c>
      <x:c r="C117" t="str">
        <x:v>RFP-A1</x:v>
      </x:c>
      <x:c r="D117" t="n">
        <x:v>12</x:v>
      </x:c>
      <x:c r="E117" t="n">
        <x:v>1</x:v>
      </x:c>
      <x:c r="F117" t="n">
        <x:v>4</x:v>
      </x:c>
      <x:c r="G117" t="n">
        <x:v>4</x:v>
      </x:c>
      <x:c r="H117" t="n">
        <x:v>150</x:v>
      </x:c>
      <x:c r="I117" t="n">
        <x:v>1.5</x:v>
      </x:c>
      <x:c r="J117" t="str"/>
      <x:c r="K117" t="str"/>
      <x:c r="L117" t="str">
        <x:v>OPEN</x:v>
      </x:c>
    </x:row>
    <x:row r="118">
      <x:c r="B118" t="str">
        <x:v>RFP-A1-TC-112</x:v>
      </x:c>
      <x:c r="C118" t="str">
        <x:v>RFP-A1</x:v>
      </x:c>
      <x:c r="D118" t="n">
        <x:v>12</x:v>
      </x:c>
      <x:c r="E118" t="n">
        <x:v>2</x:v>
      </x:c>
      <x:c r="F118" t="n">
        <x:v>4</x:v>
      </x:c>
      <x:c r="G118" t="n">
        <x:v>4</x:v>
      </x:c>
      <x:c r="H118" t="n">
        <x:v>150</x:v>
      </x:c>
      <x:c r="I118" t="n">
        <x:v>1.5</x:v>
      </x:c>
      <x:c r="J118" t="str"/>
      <x:c r="K118" t="str"/>
      <x:c r="L118" t="str">
        <x:v>OPEN</x:v>
      </x:c>
    </x:row>
    <x:row r="119">
      <x:c r="B119" t="str">
        <x:v>RFP-A1-TC-113</x:v>
      </x:c>
      <x:c r="C119" t="str">
        <x:v>RFP-A1</x:v>
      </x:c>
      <x:c r="D119" t="n">
        <x:v>12</x:v>
      </x:c>
      <x:c r="E119" t="n">
        <x:v>3</x:v>
      </x:c>
      <x:c r="F119" t="n">
        <x:v>4</x:v>
      </x:c>
      <x:c r="G119" t="n">
        <x:v>4</x:v>
      </x:c>
      <x:c r="H119" t="n">
        <x:v>150</x:v>
      </x:c>
      <x:c r="I119" t="n">
        <x:v>1.5</x:v>
      </x:c>
      <x:c r="J119" t="str"/>
      <x:c r="K119" t="str"/>
      <x:c r="L119" t="str">
        <x:v>OPEN</x:v>
      </x:c>
    </x:row>
    <x:row r="120">
      <x:c r="B120" t="str">
        <x:v>RFP-A1-TC-114</x:v>
      </x:c>
      <x:c r="C120" t="str">
        <x:v>RFP-A1</x:v>
      </x:c>
      <x:c r="D120" t="n">
        <x:v>12</x:v>
      </x:c>
      <x:c r="E120" t="n">
        <x:v>4</x:v>
      </x:c>
      <x:c r="F120" t="n">
        <x:v>4</x:v>
      </x:c>
      <x:c r="G120" t="n">
        <x:v>4</x:v>
      </x:c>
      <x:c r="H120" t="n">
        <x:v>150</x:v>
      </x:c>
      <x:c r="I120" t="n">
        <x:v>1.5</x:v>
      </x:c>
      <x:c r="J120" t="str"/>
      <x:c r="K120" t="str"/>
      <x:c r="L120" t="str">
        <x:v>OPEN</x:v>
      </x:c>
    </x:row>
    <x:row r="121">
      <x:c r="B121" t="str">
        <x:v>RFP-A1-TC-115</x:v>
      </x:c>
      <x:c r="C121" t="str">
        <x:v>RFP-A1</x:v>
      </x:c>
      <x:c r="D121" t="n">
        <x:v>12</x:v>
      </x:c>
      <x:c r="E121" t="n">
        <x:v>5</x:v>
      </x:c>
      <x:c r="F121" t="n">
        <x:v>4</x:v>
      </x:c>
      <x:c r="G121" t="n">
        <x:v>4</x:v>
      </x:c>
      <x:c r="H121" t="n">
        <x:v>150</x:v>
      </x:c>
      <x:c r="I121" t="n">
        <x:v>1.5</x:v>
      </x:c>
      <x:c r="J121" t="str"/>
      <x:c r="K121" t="str"/>
      <x:c r="L121" t="str">
        <x:v>OPEN</x:v>
      </x:c>
    </x:row>
    <x:row r="122">
      <x:c r="B122" t="str">
        <x:v>RFP-A1-TC-116</x:v>
      </x:c>
      <x:c r="C122" t="str">
        <x:v>RFP-A1</x:v>
      </x:c>
      <x:c r="D122" t="n">
        <x:v>12</x:v>
      </x:c>
      <x:c r="E122" t="n">
        <x:v>6</x:v>
      </x:c>
      <x:c r="F122" t="n">
        <x:v>4</x:v>
      </x:c>
      <x:c r="G122" t="n">
        <x:v>4</x:v>
      </x:c>
      <x:c r="H122" t="n">
        <x:v>150</x:v>
      </x:c>
      <x:c r="I122" t="n">
        <x:v>1.5</x:v>
      </x:c>
      <x:c r="J122" t="str"/>
      <x:c r="K122" t="str"/>
      <x:c r="L122" t="str">
        <x:v>OPEN</x:v>
      </x:c>
    </x:row>
    <x:row r="123">
      <x:c r="B123" t="str">
        <x:v>RFP-A1-TC-117</x:v>
      </x:c>
      <x:c r="C123" t="str">
        <x:v>RFP-A1</x:v>
      </x:c>
      <x:c r="D123" t="n">
        <x:v>12</x:v>
      </x:c>
      <x:c r="E123" t="n">
        <x:v>7</x:v>
      </x:c>
      <x:c r="F123" t="n">
        <x:v>4</x:v>
      </x:c>
      <x:c r="G123" t="n">
        <x:v>4</x:v>
      </x:c>
      <x:c r="H123" t="n">
        <x:v>150</x:v>
      </x:c>
      <x:c r="I123" t="n">
        <x:v>1.5</x:v>
      </x:c>
      <x:c r="J123" t="str"/>
      <x:c r="K123" t="str"/>
      <x:c r="L123" t="str">
        <x:v>OPEN</x:v>
      </x:c>
    </x:row>
    <x:row r="124">
      <x:c r="B124" t="str">
        <x:v>RFP-A1-TC-118</x:v>
      </x:c>
      <x:c r="C124" t="str">
        <x:v>RFP-A1</x:v>
      </x:c>
      <x:c r="D124" t="n">
        <x:v>12</x:v>
      </x:c>
      <x:c r="E124" t="n">
        <x:v>8</x:v>
      </x:c>
      <x:c r="F124" t="n">
        <x:v>4</x:v>
      </x:c>
      <x:c r="G124" t="n">
        <x:v>4</x:v>
      </x:c>
      <x:c r="H124" t="n">
        <x:v>150</x:v>
      </x:c>
      <x:c r="I124" t="n">
        <x:v>1.5</x:v>
      </x:c>
      <x:c r="J124" t="str"/>
      <x:c r="K124" t="str"/>
      <x:c r="L124" t="str">
        <x:v>OPEN</x:v>
      </x:c>
    </x:row>
    <x:row r="125">
      <x:c r="B125" t="str">
        <x:v>RFP-A1-TC-119</x:v>
      </x:c>
      <x:c r="C125" t="str">
        <x:v>RFP-A1</x:v>
      </x:c>
      <x:c r="D125" t="n">
        <x:v>12</x:v>
      </x:c>
      <x:c r="E125" t="n">
        <x:v>9</x:v>
      </x:c>
      <x:c r="F125" t="n">
        <x:v>4</x:v>
      </x:c>
      <x:c r="G125" t="n">
        <x:v>4</x:v>
      </x:c>
      <x:c r="H125" t="n">
        <x:v>150</x:v>
      </x:c>
      <x:c r="I125" t="n">
        <x:v>1.5</x:v>
      </x:c>
      <x:c r="J125" t="str"/>
      <x:c r="K125" t="str"/>
      <x:c r="L125" t="str">
        <x:v>OPEN</x:v>
      </x:c>
    </x:row>
    <x:row r="126">
      <x:c r="B126" t="str">
        <x:v>RFP-A1-TC-120</x:v>
      </x:c>
      <x:c r="C126" t="str">
        <x:v>RFP-A1</x:v>
      </x:c>
      <x:c r="D126" t="n">
        <x:v>12</x:v>
      </x:c>
      <x:c r="E126" t="n">
        <x:v>10</x:v>
      </x:c>
      <x:c r="F126" t="n">
        <x:v>4</x:v>
      </x:c>
      <x:c r="G126" t="n">
        <x:v>4</x:v>
      </x:c>
      <x:c r="H126" t="n">
        <x:v>150</x:v>
      </x:c>
      <x:c r="I126" t="n">
        <x:v>1.5</x:v>
      </x:c>
      <x:c r="J126" t="str"/>
      <x:c r="K126" t="str"/>
      <x:c r="L126" t="str">
        <x:v>OPEN</x:v>
      </x:c>
    </x:row>
    <x:row r="127">
      <x:c r="B127" t="str">
        <x:v>RFP-A1-TC-121</x:v>
      </x:c>
      <x:c r="C127" t="str">
        <x:v>RFP-A1</x:v>
      </x:c>
      <x:c r="D127" t="n">
        <x:v>13</x:v>
      </x:c>
      <x:c r="E127" t="n">
        <x:v>1</x:v>
      </x:c>
      <x:c r="F127" t="n">
        <x:v>4</x:v>
      </x:c>
      <x:c r="G127" t="n">
        <x:v>4</x:v>
      </x:c>
      <x:c r="H127" t="n">
        <x:v>150</x:v>
      </x:c>
      <x:c r="I127" t="n">
        <x:v>1.5</x:v>
      </x:c>
      <x:c r="J127" t="str"/>
      <x:c r="K127" t="str"/>
      <x:c r="L127" t="str">
        <x:v>OPEN</x:v>
      </x:c>
    </x:row>
    <x:row r="128">
      <x:c r="B128" t="str">
        <x:v>RFP-A1-TC-122</x:v>
      </x:c>
      <x:c r="C128" t="str">
        <x:v>RFP-A1</x:v>
      </x:c>
      <x:c r="D128" t="n">
        <x:v>13</x:v>
      </x:c>
      <x:c r="E128" t="n">
        <x:v>2</x:v>
      </x:c>
      <x:c r="F128" t="n">
        <x:v>4</x:v>
      </x:c>
      <x:c r="G128" t="n">
        <x:v>4</x:v>
      </x:c>
      <x:c r="H128" t="n">
        <x:v>150</x:v>
      </x:c>
      <x:c r="I128" t="n">
        <x:v>1.5</x:v>
      </x:c>
      <x:c r="J128" t="str"/>
      <x:c r="K128" t="str"/>
      <x:c r="L128" t="str">
        <x:v>OPEN</x:v>
      </x:c>
    </x:row>
    <x:row r="129">
      <x:c r="B129" t="str">
        <x:v>RFP-A1-TC-123</x:v>
      </x:c>
      <x:c r="C129" t="str">
        <x:v>RFP-A1</x:v>
      </x:c>
      <x:c r="D129" t="n">
        <x:v>13</x:v>
      </x:c>
      <x:c r="E129" t="n">
        <x:v>3</x:v>
      </x:c>
      <x:c r="F129" t="n">
        <x:v>4</x:v>
      </x:c>
      <x:c r="G129" t="n">
        <x:v>4</x:v>
      </x:c>
      <x:c r="H129" t="n">
        <x:v>150</x:v>
      </x:c>
      <x:c r="I129" t="n">
        <x:v>1.5</x:v>
      </x:c>
      <x:c r="J129" t="str"/>
      <x:c r="K129" t="str"/>
      <x:c r="L129" t="str">
        <x:v>OPEN</x:v>
      </x:c>
    </x:row>
    <x:row r="130">
      <x:c r="B130" t="str">
        <x:v>RFP-A1-TC-124</x:v>
      </x:c>
      <x:c r="C130" t="str">
        <x:v>RFP-A1</x:v>
      </x:c>
      <x:c r="D130" t="n">
        <x:v>13</x:v>
      </x:c>
      <x:c r="E130" t="n">
        <x:v>4</x:v>
      </x:c>
      <x:c r="F130" t="n">
        <x:v>4</x:v>
      </x:c>
      <x:c r="G130" t="n">
        <x:v>4</x:v>
      </x:c>
      <x:c r="H130" t="n">
        <x:v>150</x:v>
      </x:c>
      <x:c r="I130" t="n">
        <x:v>1.5</x:v>
      </x:c>
      <x:c r="J130" t="str"/>
      <x:c r="K130" t="str"/>
      <x:c r="L130" t="str">
        <x:v>OPEN</x:v>
      </x:c>
    </x:row>
    <x:row r="131">
      <x:c r="B131" t="str">
        <x:v>RFP-A1-TC-125</x:v>
      </x:c>
      <x:c r="C131" t="str">
        <x:v>RFP-A1</x:v>
      </x:c>
      <x:c r="D131" t="n">
        <x:v>13</x:v>
      </x:c>
      <x:c r="E131" t="n">
        <x:v>5</x:v>
      </x:c>
      <x:c r="F131" t="n">
        <x:v>4</x:v>
      </x:c>
      <x:c r="G131" t="n">
        <x:v>4</x:v>
      </x:c>
      <x:c r="H131" t="n">
        <x:v>150</x:v>
      </x:c>
      <x:c r="I131" t="n">
        <x:v>1.5</x:v>
      </x:c>
      <x:c r="J131" t="str"/>
      <x:c r="K131" t="str"/>
      <x:c r="L131" t="str">
        <x:v>OPEN</x:v>
      </x:c>
    </x:row>
    <x:row r="132">
      <x:c r="B132" t="str">
        <x:v>RFP-A1-TC-126</x:v>
      </x:c>
      <x:c r="C132" t="str">
        <x:v>RFP-A1</x:v>
      </x:c>
      <x:c r="D132" t="n">
        <x:v>13</x:v>
      </x:c>
      <x:c r="E132" t="n">
        <x:v>6</x:v>
      </x:c>
      <x:c r="F132" t="n">
        <x:v>4</x:v>
      </x:c>
      <x:c r="G132" t="n">
        <x:v>4</x:v>
      </x:c>
      <x:c r="H132" t="n">
        <x:v>150</x:v>
      </x:c>
      <x:c r="I132" t="n">
        <x:v>1.5</x:v>
      </x:c>
      <x:c r="J132" t="str"/>
      <x:c r="K132" t="str"/>
      <x:c r="L132" t="str">
        <x:v>OPEN</x:v>
      </x:c>
    </x:row>
    <x:row r="133">
      <x:c r="B133" t="str">
        <x:v>RFP-A1-TC-127</x:v>
      </x:c>
      <x:c r="C133" t="str">
        <x:v>RFP-A1</x:v>
      </x:c>
      <x:c r="D133" t="n">
        <x:v>13</x:v>
      </x:c>
      <x:c r="E133" t="n">
        <x:v>7</x:v>
      </x:c>
      <x:c r="F133" t="n">
        <x:v>4</x:v>
      </x:c>
      <x:c r="G133" t="n">
        <x:v>4</x:v>
      </x:c>
      <x:c r="H133" t="n">
        <x:v>150</x:v>
      </x:c>
      <x:c r="I133" t="n">
        <x:v>1.5</x:v>
      </x:c>
      <x:c r="J133" t="str"/>
      <x:c r="K133" t="str"/>
      <x:c r="L133" t="str">
        <x:v>OPEN</x:v>
      </x:c>
    </x:row>
    <x:row r="134">
      <x:c r="B134" t="str">
        <x:v>RFP-A1-TC-128</x:v>
      </x:c>
      <x:c r="C134" t="str">
        <x:v>RFP-A1</x:v>
      </x:c>
      <x:c r="D134" t="n">
        <x:v>13</x:v>
      </x:c>
      <x:c r="E134" t="n">
        <x:v>8</x:v>
      </x:c>
      <x:c r="F134" t="n">
        <x:v>4</x:v>
      </x:c>
      <x:c r="G134" t="n">
        <x:v>4</x:v>
      </x:c>
      <x:c r="H134" t="n">
        <x:v>150</x:v>
      </x:c>
      <x:c r="I134" t="n">
        <x:v>1.5</x:v>
      </x:c>
      <x:c r="J134" t="str"/>
      <x:c r="K134" t="str"/>
      <x:c r="L134" t="str">
        <x:v>OPEN</x:v>
      </x:c>
    </x:row>
    <x:row r="135">
      <x:c r="B135" t="str">
        <x:v>RFP-A1-TC-129</x:v>
      </x:c>
      <x:c r="C135" t="str">
        <x:v>RFP-A1</x:v>
      </x:c>
      <x:c r="D135" t="n">
        <x:v>13</x:v>
      </x:c>
      <x:c r="E135" t="n">
        <x:v>9</x:v>
      </x:c>
      <x:c r="F135" t="n">
        <x:v>4</x:v>
      </x:c>
      <x:c r="G135" t="n">
        <x:v>4</x:v>
      </x:c>
      <x:c r="H135" t="n">
        <x:v>150</x:v>
      </x:c>
      <x:c r="I135" t="n">
        <x:v>1.5</x:v>
      </x:c>
      <x:c r="J135" t="str"/>
      <x:c r="K135" t="str"/>
      <x:c r="L135" t="str">
        <x:v>OPEN</x:v>
      </x:c>
    </x:row>
    <x:row r="136">
      <x:c r="B136" t="str">
        <x:v>RFP-A1-TC-130</x:v>
      </x:c>
      <x:c r="C136" t="str">
        <x:v>RFP-A1</x:v>
      </x:c>
      <x:c r="D136" t="n">
        <x:v>13</x:v>
      </x:c>
      <x:c r="E136" t="n">
        <x:v>10</x:v>
      </x:c>
      <x:c r="F136" t="n">
        <x:v>4</x:v>
      </x:c>
      <x:c r="G136" t="n">
        <x:v>4</x:v>
      </x:c>
      <x:c r="H136" t="n">
        <x:v>150</x:v>
      </x:c>
      <x:c r="I136" t="n">
        <x:v>1.5</x:v>
      </x:c>
      <x:c r="J136" t="str"/>
      <x:c r="K136" t="str"/>
      <x:c r="L136" t="str">
        <x:v>OPEN</x:v>
      </x:c>
    </x:row>
    <x:row r="137">
      <x:c r="B137" t="str">
        <x:v>RFP-A1-TC-131</x:v>
      </x:c>
      <x:c r="C137" t="str">
        <x:v>RFP-A1</x:v>
      </x:c>
      <x:c r="D137" t="n">
        <x:v>14</x:v>
      </x:c>
      <x:c r="E137" t="n">
        <x:v>1</x:v>
      </x:c>
      <x:c r="F137" t="n">
        <x:v>4</x:v>
      </x:c>
      <x:c r="G137" t="n">
        <x:v>4</x:v>
      </x:c>
      <x:c r="H137" t="n">
        <x:v>150</x:v>
      </x:c>
      <x:c r="I137" t="n">
        <x:v>1.5</x:v>
      </x:c>
      <x:c r="J137" t="str"/>
      <x:c r="K137" t="str"/>
      <x:c r="L137" t="str">
        <x:v>OPEN</x:v>
      </x:c>
    </x:row>
    <x:row r="138">
      <x:c r="B138" t="str">
        <x:v>RFP-A1-TC-132</x:v>
      </x:c>
      <x:c r="C138" t="str">
        <x:v>RFP-A1</x:v>
      </x:c>
      <x:c r="D138" t="n">
        <x:v>14</x:v>
      </x:c>
      <x:c r="E138" t="n">
        <x:v>2</x:v>
      </x:c>
      <x:c r="F138" t="n">
        <x:v>4</x:v>
      </x:c>
      <x:c r="G138" t="n">
        <x:v>4</x:v>
      </x:c>
      <x:c r="H138" t="n">
        <x:v>150</x:v>
      </x:c>
      <x:c r="I138" t="n">
        <x:v>1.5</x:v>
      </x:c>
      <x:c r="J138" t="str"/>
      <x:c r="K138" t="str"/>
      <x:c r="L138" t="str">
        <x:v>OPEN</x:v>
      </x:c>
    </x:row>
    <x:row r="139">
      <x:c r="B139" t="str">
        <x:v>RFP-A1-TC-133</x:v>
      </x:c>
      <x:c r="C139" t="str">
        <x:v>RFP-A1</x:v>
      </x:c>
      <x:c r="D139" t="n">
        <x:v>14</x:v>
      </x:c>
      <x:c r="E139" t="n">
        <x:v>3</x:v>
      </x:c>
      <x:c r="F139" t="n">
        <x:v>4</x:v>
      </x:c>
      <x:c r="G139" t="n">
        <x:v>4</x:v>
      </x:c>
      <x:c r="H139" t="n">
        <x:v>150</x:v>
      </x:c>
      <x:c r="I139" t="n">
        <x:v>1.5</x:v>
      </x:c>
      <x:c r="J139" t="str"/>
      <x:c r="K139" t="str"/>
      <x:c r="L139" t="str">
        <x:v>OPEN</x:v>
      </x:c>
    </x:row>
    <x:row r="140">
      <x:c r="B140" t="str">
        <x:v>RFP-A1-TC-134</x:v>
      </x:c>
      <x:c r="C140" t="str">
        <x:v>RFP-A1</x:v>
      </x:c>
      <x:c r="D140" t="n">
        <x:v>14</x:v>
      </x:c>
      <x:c r="E140" t="n">
        <x:v>4</x:v>
      </x:c>
      <x:c r="F140" t="n">
        <x:v>4</x:v>
      </x:c>
      <x:c r="G140" t="n">
        <x:v>4</x:v>
      </x:c>
      <x:c r="H140" t="n">
        <x:v>150</x:v>
      </x:c>
      <x:c r="I140" t="n">
        <x:v>1.5</x:v>
      </x:c>
      <x:c r="J140" t="str"/>
      <x:c r="K140" t="str"/>
      <x:c r="L140" t="str">
        <x:v>OPEN</x:v>
      </x:c>
    </x:row>
    <x:row r="141">
      <x:c r="B141" t="str">
        <x:v>RFP-A1-TC-135</x:v>
      </x:c>
      <x:c r="C141" t="str">
        <x:v>RFP-A1</x:v>
      </x:c>
      <x:c r="D141" t="n">
        <x:v>14</x:v>
      </x:c>
      <x:c r="E141" t="n">
        <x:v>5</x:v>
      </x:c>
      <x:c r="F141" t="n">
        <x:v>4</x:v>
      </x:c>
      <x:c r="G141" t="n">
        <x:v>4</x:v>
      </x:c>
      <x:c r="H141" t="n">
        <x:v>150</x:v>
      </x:c>
      <x:c r="I141" t="n">
        <x:v>1.5</x:v>
      </x:c>
      <x:c r="J141" t="str"/>
      <x:c r="K141" t="str"/>
      <x:c r="L141" t="str">
        <x:v>OPEN</x:v>
      </x:c>
    </x:row>
    <x:row r="142">
      <x:c r="B142" t="str">
        <x:v>RFP-A1-TC-136</x:v>
      </x:c>
      <x:c r="C142" t="str">
        <x:v>RFP-A1</x:v>
      </x:c>
      <x:c r="D142" t="n">
        <x:v>14</x:v>
      </x:c>
      <x:c r="E142" t="n">
        <x:v>6</x:v>
      </x:c>
      <x:c r="F142" t="n">
        <x:v>4</x:v>
      </x:c>
      <x:c r="G142" t="n">
        <x:v>4</x:v>
      </x:c>
      <x:c r="H142" t="n">
        <x:v>150</x:v>
      </x:c>
      <x:c r="I142" t="n">
        <x:v>1.5</x:v>
      </x:c>
      <x:c r="J142" t="str"/>
      <x:c r="K142" t="str"/>
      <x:c r="L142" t="str">
        <x:v>OPEN</x:v>
      </x:c>
    </x:row>
    <x:row r="143">
      <x:c r="B143" t="str">
        <x:v>RFP-A1-TC-137</x:v>
      </x:c>
      <x:c r="C143" t="str">
        <x:v>RFP-A1</x:v>
      </x:c>
      <x:c r="D143" t="n">
        <x:v>14</x:v>
      </x:c>
      <x:c r="E143" t="n">
        <x:v>7</x:v>
      </x:c>
      <x:c r="F143" t="n">
        <x:v>4</x:v>
      </x:c>
      <x:c r="G143" t="n">
        <x:v>4</x:v>
      </x:c>
      <x:c r="H143" t="n">
        <x:v>150</x:v>
      </x:c>
      <x:c r="I143" t="n">
        <x:v>1.5</x:v>
      </x:c>
      <x:c r="J143" t="str"/>
      <x:c r="K143" t="str"/>
      <x:c r="L143" t="str">
        <x:v>OPEN</x:v>
      </x:c>
    </x:row>
    <x:row r="144">
      <x:c r="B144" t="str">
        <x:v>RFP-A1-TC-138</x:v>
      </x:c>
      <x:c r="C144" t="str">
        <x:v>RFP-A1</x:v>
      </x:c>
      <x:c r="D144" t="n">
        <x:v>14</x:v>
      </x:c>
      <x:c r="E144" t="n">
        <x:v>8</x:v>
      </x:c>
      <x:c r="F144" t="n">
        <x:v>4</x:v>
      </x:c>
      <x:c r="G144" t="n">
        <x:v>4</x:v>
      </x:c>
      <x:c r="H144" t="n">
        <x:v>150</x:v>
      </x:c>
      <x:c r="I144" t="n">
        <x:v>1.5</x:v>
      </x:c>
      <x:c r="J144" t="str"/>
      <x:c r="K144" t="str"/>
      <x:c r="L144" t="str">
        <x:v>OPEN</x:v>
      </x:c>
    </x:row>
    <x:row r="145">
      <x:c r="B145" t="str">
        <x:v>RFP-A1-TC-139</x:v>
      </x:c>
      <x:c r="C145" t="str">
        <x:v>RFP-A1</x:v>
      </x:c>
      <x:c r="D145" t="n">
        <x:v>14</x:v>
      </x:c>
      <x:c r="E145" t="n">
        <x:v>9</x:v>
      </x:c>
      <x:c r="F145" t="n">
        <x:v>4</x:v>
      </x:c>
      <x:c r="G145" t="n">
        <x:v>4</x:v>
      </x:c>
      <x:c r="H145" t="n">
        <x:v>150</x:v>
      </x:c>
      <x:c r="I145" t="n">
        <x:v>1.5</x:v>
      </x:c>
      <x:c r="J145" t="str"/>
      <x:c r="K145" t="str"/>
      <x:c r="L145" t="str">
        <x:v>OPEN</x:v>
      </x:c>
    </x:row>
    <x:row r="146">
      <x:c r="B146" t="str">
        <x:v>RFP-A1-TC-140</x:v>
      </x:c>
      <x:c r="C146" t="str">
        <x:v>RFP-A1</x:v>
      </x:c>
      <x:c r="D146" t="n">
        <x:v>14</x:v>
      </x:c>
      <x:c r="E146" t="n">
        <x:v>10</x:v>
      </x:c>
      <x:c r="F146" t="n">
        <x:v>4</x:v>
      </x:c>
      <x:c r="G146" t="n">
        <x:v>4</x:v>
      </x:c>
      <x:c r="H146" t="n">
        <x:v>150</x:v>
      </x:c>
      <x:c r="I146" t="n">
        <x:v>1.5</x:v>
      </x:c>
      <x:c r="J146" t="str"/>
      <x:c r="K146" t="str"/>
      <x:c r="L146" t="str">
        <x:v>OPEN</x:v>
      </x:c>
    </x:row>
    <x:row r="147">
      <x:c r="B147" t="str">
        <x:v>RFP-A1-TC-141</x:v>
      </x:c>
      <x:c r="C147" t="str">
        <x:v>RFP-A1</x:v>
      </x:c>
      <x:c r="D147" t="n">
        <x:v>15</x:v>
      </x:c>
      <x:c r="E147" t="n">
        <x:v>1</x:v>
      </x:c>
      <x:c r="F147" t="n">
        <x:v>4</x:v>
      </x:c>
      <x:c r="G147" t="n">
        <x:v>4</x:v>
      </x:c>
      <x:c r="H147" t="n">
        <x:v>150</x:v>
      </x:c>
      <x:c r="I147" t="n">
        <x:v>1.5</x:v>
      </x:c>
      <x:c r="J147" t="str"/>
      <x:c r="K147" t="str"/>
      <x:c r="L147" t="str">
        <x:v>OPEN</x:v>
      </x:c>
    </x:row>
    <x:row r="148">
      <x:c r="B148" t="str">
        <x:v>RFP-A1-TC-142</x:v>
      </x:c>
      <x:c r="C148" t="str">
        <x:v>RFP-A1</x:v>
      </x:c>
      <x:c r="D148" t="n">
        <x:v>15</x:v>
      </x:c>
      <x:c r="E148" t="n">
        <x:v>2</x:v>
      </x:c>
      <x:c r="F148" t="n">
        <x:v>4</x:v>
      </x:c>
      <x:c r="G148" t="n">
        <x:v>4</x:v>
      </x:c>
      <x:c r="H148" t="n">
        <x:v>150</x:v>
      </x:c>
      <x:c r="I148" t="n">
        <x:v>1.5</x:v>
      </x:c>
      <x:c r="J148" t="str"/>
      <x:c r="K148" t="str"/>
      <x:c r="L148" t="str">
        <x:v>OPEN</x:v>
      </x:c>
    </x:row>
    <x:row r="149">
      <x:c r="B149" t="str">
        <x:v>RFP-A1-TC-143</x:v>
      </x:c>
      <x:c r="C149" t="str">
        <x:v>RFP-A1</x:v>
      </x:c>
      <x:c r="D149" t="n">
        <x:v>15</x:v>
      </x:c>
      <x:c r="E149" t="n">
        <x:v>3</x:v>
      </x:c>
      <x:c r="F149" t="n">
        <x:v>4</x:v>
      </x:c>
      <x:c r="G149" t="n">
        <x:v>4</x:v>
      </x:c>
      <x:c r="H149" t="n">
        <x:v>150</x:v>
      </x:c>
      <x:c r="I149" t="n">
        <x:v>1.5</x:v>
      </x:c>
      <x:c r="J149" t="str"/>
      <x:c r="K149" t="str"/>
      <x:c r="L149" t="str">
        <x:v>OPEN</x:v>
      </x:c>
    </x:row>
    <x:row r="150">
      <x:c r="B150" t="str">
        <x:v>RFP-A1-TC-144</x:v>
      </x:c>
      <x:c r="C150" t="str">
        <x:v>RFP-A1</x:v>
      </x:c>
      <x:c r="D150" t="n">
        <x:v>15</x:v>
      </x:c>
      <x:c r="E150" t="n">
        <x:v>4</x:v>
      </x:c>
      <x:c r="F150" t="n">
        <x:v>4</x:v>
      </x:c>
      <x:c r="G150" t="n">
        <x:v>4</x:v>
      </x:c>
      <x:c r="H150" t="n">
        <x:v>150</x:v>
      </x:c>
      <x:c r="I150" t="n">
        <x:v>1.5</x:v>
      </x:c>
      <x:c r="J150" t="str"/>
      <x:c r="K150" t="str"/>
      <x:c r="L150" t="str">
        <x:v>OPEN</x:v>
      </x:c>
    </x:row>
    <x:row r="151">
      <x:c r="B151" t="str">
        <x:v>RFP-A1-TC-145</x:v>
      </x:c>
      <x:c r="C151" t="str">
        <x:v>RFP-A1</x:v>
      </x:c>
      <x:c r="D151" t="n">
        <x:v>15</x:v>
      </x:c>
      <x:c r="E151" t="n">
        <x:v>5</x:v>
      </x:c>
      <x:c r="F151" t="n">
        <x:v>4</x:v>
      </x:c>
      <x:c r="G151" t="n">
        <x:v>4</x:v>
      </x:c>
      <x:c r="H151" t="n">
        <x:v>150</x:v>
      </x:c>
      <x:c r="I151" t="n">
        <x:v>1.5</x:v>
      </x:c>
      <x:c r="J151" t="str"/>
      <x:c r="K151" t="str"/>
      <x:c r="L151" t="str">
        <x:v>OPEN</x:v>
      </x:c>
    </x:row>
    <x:row r="152">
      <x:c r="B152" t="str">
        <x:v>RFP-A1-TC-146</x:v>
      </x:c>
      <x:c r="C152" t="str">
        <x:v>RFP-A1</x:v>
      </x:c>
      <x:c r="D152" t="n">
        <x:v>15</x:v>
      </x:c>
      <x:c r="E152" t="n">
        <x:v>6</x:v>
      </x:c>
      <x:c r="F152" t="n">
        <x:v>4</x:v>
      </x:c>
      <x:c r="G152" t="n">
        <x:v>4</x:v>
      </x:c>
      <x:c r="H152" t="n">
        <x:v>150</x:v>
      </x:c>
      <x:c r="I152" t="n">
        <x:v>1.5</x:v>
      </x:c>
      <x:c r="J152" t="str"/>
      <x:c r="K152" t="str"/>
      <x:c r="L152" t="str">
        <x:v>OPEN</x:v>
      </x:c>
    </x:row>
    <x:row r="153">
      <x:c r="B153" t="str">
        <x:v>RFP-A1-TC-147</x:v>
      </x:c>
      <x:c r="C153" t="str">
        <x:v>RFP-A1</x:v>
      </x:c>
      <x:c r="D153" t="n">
        <x:v>15</x:v>
      </x:c>
      <x:c r="E153" t="n">
        <x:v>7</x:v>
      </x:c>
      <x:c r="F153" t="n">
        <x:v>4</x:v>
      </x:c>
      <x:c r="G153" t="n">
        <x:v>4</x:v>
      </x:c>
      <x:c r="H153" t="n">
        <x:v>150</x:v>
      </x:c>
      <x:c r="I153" t="n">
        <x:v>1.5</x:v>
      </x:c>
      <x:c r="J153" t="str"/>
      <x:c r="K153" t="str"/>
      <x:c r="L153" t="str">
        <x:v>OPEN</x:v>
      </x:c>
    </x:row>
    <x:row r="154">
      <x:c r="B154" t="str">
        <x:v>RFP-A1-TC-148</x:v>
      </x:c>
      <x:c r="C154" t="str">
        <x:v>RFP-A1</x:v>
      </x:c>
      <x:c r="D154" t="n">
        <x:v>15</x:v>
      </x:c>
      <x:c r="E154" t="n">
        <x:v>8</x:v>
      </x:c>
      <x:c r="F154" t="n">
        <x:v>4</x:v>
      </x:c>
      <x:c r="G154" t="n">
        <x:v>4</x:v>
      </x:c>
      <x:c r="H154" t="n">
        <x:v>150</x:v>
      </x:c>
      <x:c r="I154" t="n">
        <x:v>1.5</x:v>
      </x:c>
      <x:c r="J154" t="str"/>
      <x:c r="K154" t="str"/>
      <x:c r="L154" t="str">
        <x:v>OPEN</x:v>
      </x:c>
    </x:row>
    <x:row r="155">
      <x:c r="B155" t="str">
        <x:v>RFP-A1-TC-149</x:v>
      </x:c>
      <x:c r="C155" t="str">
        <x:v>RFP-A1</x:v>
      </x:c>
      <x:c r="D155" t="n">
        <x:v>15</x:v>
      </x:c>
      <x:c r="E155" t="n">
        <x:v>9</x:v>
      </x:c>
      <x:c r="F155" t="n">
        <x:v>4</x:v>
      </x:c>
      <x:c r="G155" t="n">
        <x:v>4</x:v>
      </x:c>
      <x:c r="H155" t="n">
        <x:v>150</x:v>
      </x:c>
      <x:c r="I155" t="n">
        <x:v>1.5</x:v>
      </x:c>
      <x:c r="J155" t="str"/>
      <x:c r="K155" t="str"/>
      <x:c r="L155" t="str">
        <x:v>OPEN</x:v>
      </x:c>
    </x:row>
    <x:row r="156">
      <x:c r="B156" t="str">
        <x:v>RFP-A1-TC-150</x:v>
      </x:c>
      <x:c r="C156" t="str">
        <x:v>RFP-A1</x:v>
      </x:c>
      <x:c r="D156" t="n">
        <x:v>15</x:v>
      </x:c>
      <x:c r="E156" t="n">
        <x:v>10</x:v>
      </x:c>
      <x:c r="F156" t="n">
        <x:v>4</x:v>
      </x:c>
      <x:c r="G156" t="n">
        <x:v>4</x:v>
      </x:c>
      <x:c r="H156" t="n">
        <x:v>150</x:v>
      </x:c>
      <x:c r="I156" t="n">
        <x:v>1.5</x:v>
      </x:c>
      <x:c r="J156" t="str"/>
      <x:c r="K156" t="str"/>
      <x:c r="L156" t="str">
        <x:v>OPEN</x:v>
      </x:c>
    </x:row>
    <x:row r="157">
      <x:c r="B157" t="str">
        <x:v>RFP-A2-TC-001</x:v>
      </x:c>
      <x:c r="C157" t="str">
        <x:v>RFP-A2</x:v>
      </x:c>
      <x:c r="D157" t="n">
        <x:v>1</x:v>
      </x:c>
      <x:c r="E157" t="n">
        <x:v>1</x:v>
      </x:c>
      <x:c r="F157" t="n">
        <x:v>4</x:v>
      </x:c>
      <x:c r="G157" t="n">
        <x:v>4</x:v>
      </x:c>
      <x:c r="H157" t="n">
        <x:v>150</x:v>
      </x:c>
      <x:c r="I157" t="n">
        <x:v>1.5</x:v>
      </x:c>
      <x:c r="J157" t="str"/>
      <x:c r="K157" t="str"/>
      <x:c r="L157" t="str">
        <x:v>OPEN</x:v>
      </x:c>
    </x:row>
    <x:row r="158">
      <x:c r="B158" t="str">
        <x:v>RFP-A2-TC-002</x:v>
      </x:c>
      <x:c r="C158" t="str">
        <x:v>RFP-A2</x:v>
      </x:c>
      <x:c r="D158" t="n">
        <x:v>1</x:v>
      </x:c>
      <x:c r="E158" t="n">
        <x:v>2</x:v>
      </x:c>
      <x:c r="F158" t="n">
        <x:v>4</x:v>
      </x:c>
      <x:c r="G158" t="n">
        <x:v>4</x:v>
      </x:c>
      <x:c r="H158" t="n">
        <x:v>150</x:v>
      </x:c>
      <x:c r="I158" t="n">
        <x:v>1.5</x:v>
      </x:c>
      <x:c r="J158" t="str"/>
      <x:c r="K158" t="str"/>
      <x:c r="L158" t="str">
        <x:v>OPEN</x:v>
      </x:c>
    </x:row>
    <x:row r="159">
      <x:c r="B159" t="str">
        <x:v>RFP-A2-TC-003</x:v>
      </x:c>
      <x:c r="C159" t="str">
        <x:v>RFP-A2</x:v>
      </x:c>
      <x:c r="D159" t="n">
        <x:v>1</x:v>
      </x:c>
      <x:c r="E159" t="n">
        <x:v>3</x:v>
      </x:c>
      <x:c r="F159" t="n">
        <x:v>4</x:v>
      </x:c>
      <x:c r="G159" t="n">
        <x:v>4</x:v>
      </x:c>
      <x:c r="H159" t="n">
        <x:v>150</x:v>
      </x:c>
      <x:c r="I159" t="n">
        <x:v>1.5</x:v>
      </x:c>
      <x:c r="J159" t="str"/>
      <x:c r="K159" t="str"/>
      <x:c r="L159" t="str">
        <x:v>OPEN</x:v>
      </x:c>
    </x:row>
    <x:row r="160">
      <x:c r="B160" t="str">
        <x:v>RFP-A2-TC-004</x:v>
      </x:c>
      <x:c r="C160" t="str">
        <x:v>RFP-A2</x:v>
      </x:c>
      <x:c r="D160" t="n">
        <x:v>1</x:v>
      </x:c>
      <x:c r="E160" t="n">
        <x:v>4</x:v>
      </x:c>
      <x:c r="F160" t="n">
        <x:v>4</x:v>
      </x:c>
      <x:c r="G160" t="n">
        <x:v>4</x:v>
      </x:c>
      <x:c r="H160" t="n">
        <x:v>150</x:v>
      </x:c>
      <x:c r="I160" t="n">
        <x:v>1.5</x:v>
      </x:c>
      <x:c r="J160" t="str"/>
      <x:c r="K160" t="str"/>
      <x:c r="L160" t="str">
        <x:v>OPEN</x:v>
      </x:c>
    </x:row>
    <x:row r="161">
      <x:c r="B161" t="str">
        <x:v>RFP-A2-TC-005</x:v>
      </x:c>
      <x:c r="C161" t="str">
        <x:v>RFP-A2</x:v>
      </x:c>
      <x:c r="D161" t="n">
        <x:v>1</x:v>
      </x:c>
      <x:c r="E161" t="n">
        <x:v>5</x:v>
      </x:c>
      <x:c r="F161" t="n">
        <x:v>4</x:v>
      </x:c>
      <x:c r="G161" t="n">
        <x:v>4</x:v>
      </x:c>
      <x:c r="H161" t="n">
        <x:v>150</x:v>
      </x:c>
      <x:c r="I161" t="n">
        <x:v>1.5</x:v>
      </x:c>
      <x:c r="J161" t="str"/>
      <x:c r="K161" t="str"/>
      <x:c r="L161" t="str">
        <x:v>OPEN</x:v>
      </x:c>
    </x:row>
    <x:row r="162">
      <x:c r="B162" t="str">
        <x:v>RFP-A2-TC-006</x:v>
      </x:c>
      <x:c r="C162" t="str">
        <x:v>RFP-A2</x:v>
      </x:c>
      <x:c r="D162" t="n">
        <x:v>1</x:v>
      </x:c>
      <x:c r="E162" t="n">
        <x:v>6</x:v>
      </x:c>
      <x:c r="F162" t="n">
        <x:v>4</x:v>
      </x:c>
      <x:c r="G162" t="n">
        <x:v>4</x:v>
      </x:c>
      <x:c r="H162" t="n">
        <x:v>150</x:v>
      </x:c>
      <x:c r="I162" t="n">
        <x:v>1.5</x:v>
      </x:c>
      <x:c r="J162" t="str"/>
      <x:c r="K162" t="str"/>
      <x:c r="L162" t="str">
        <x:v>OPEN</x:v>
      </x:c>
    </x:row>
    <x:row r="163">
      <x:c r="B163" t="str">
        <x:v>RFP-A2-TC-007</x:v>
      </x:c>
      <x:c r="C163" t="str">
        <x:v>RFP-A2</x:v>
      </x:c>
      <x:c r="D163" t="n">
        <x:v>1</x:v>
      </x:c>
      <x:c r="E163" t="n">
        <x:v>7</x:v>
      </x:c>
      <x:c r="F163" t="n">
        <x:v>4</x:v>
      </x:c>
      <x:c r="G163" t="n">
        <x:v>4</x:v>
      </x:c>
      <x:c r="H163" t="n">
        <x:v>150</x:v>
      </x:c>
      <x:c r="I163" t="n">
        <x:v>1.5</x:v>
      </x:c>
      <x:c r="J163" t="str"/>
      <x:c r="K163" t="str"/>
      <x:c r="L163" t="str">
        <x:v>OPEN</x:v>
      </x:c>
    </x:row>
    <x:row r="164">
      <x:c r="B164" t="str">
        <x:v>RFP-A2-TC-008</x:v>
      </x:c>
      <x:c r="C164" t="str">
        <x:v>RFP-A2</x:v>
      </x:c>
      <x:c r="D164" t="n">
        <x:v>1</x:v>
      </x:c>
      <x:c r="E164" t="n">
        <x:v>8</x:v>
      </x:c>
      <x:c r="F164" t="n">
        <x:v>4</x:v>
      </x:c>
      <x:c r="G164" t="n">
        <x:v>4</x:v>
      </x:c>
      <x:c r="H164" t="n">
        <x:v>150</x:v>
      </x:c>
      <x:c r="I164" t="n">
        <x:v>1.5</x:v>
      </x:c>
      <x:c r="J164" t="str"/>
      <x:c r="K164" t="str"/>
      <x:c r="L164" t="str">
        <x:v>OPEN</x:v>
      </x:c>
    </x:row>
    <x:row r="165">
      <x:c r="B165" t="str">
        <x:v>RFP-A2-TC-009</x:v>
      </x:c>
      <x:c r="C165" t="str">
        <x:v>RFP-A2</x:v>
      </x:c>
      <x:c r="D165" t="n">
        <x:v>1</x:v>
      </x:c>
      <x:c r="E165" t="n">
        <x:v>9</x:v>
      </x:c>
      <x:c r="F165" t="n">
        <x:v>4</x:v>
      </x:c>
      <x:c r="G165" t="n">
        <x:v>4</x:v>
      </x:c>
      <x:c r="H165" t="n">
        <x:v>150</x:v>
      </x:c>
      <x:c r="I165" t="n">
        <x:v>1.5</x:v>
      </x:c>
      <x:c r="J165" t="str"/>
      <x:c r="K165" t="str"/>
      <x:c r="L165" t="str">
        <x:v>OPEN</x:v>
      </x:c>
    </x:row>
    <x:row r="166">
      <x:c r="B166" t="str">
        <x:v>RFP-A2-TC-010</x:v>
      </x:c>
      <x:c r="C166" t="str">
        <x:v>RFP-A2</x:v>
      </x:c>
      <x:c r="D166" t="n">
        <x:v>1</x:v>
      </x:c>
      <x:c r="E166" t="n">
        <x:v>10</x:v>
      </x:c>
      <x:c r="F166" t="n">
        <x:v>4</x:v>
      </x:c>
      <x:c r="G166" t="n">
        <x:v>4</x:v>
      </x:c>
      <x:c r="H166" t="n">
        <x:v>150</x:v>
      </x:c>
      <x:c r="I166" t="n">
        <x:v>1.5</x:v>
      </x:c>
      <x:c r="J166" t="str"/>
      <x:c r="K166" t="str"/>
      <x:c r="L166" t="str">
        <x:v>OPEN</x:v>
      </x:c>
    </x:row>
    <x:row r="167">
      <x:c r="B167" t="str">
        <x:v>RFP-A2-TC-011</x:v>
      </x:c>
      <x:c r="C167" t="str">
        <x:v>RFP-A2</x:v>
      </x:c>
      <x:c r="D167" t="n">
        <x:v>2</x:v>
      </x:c>
      <x:c r="E167" t="n">
        <x:v>1</x:v>
      </x:c>
      <x:c r="F167" t="n">
        <x:v>4</x:v>
      </x:c>
      <x:c r="G167" t="n">
        <x:v>4</x:v>
      </x:c>
      <x:c r="H167" t="n">
        <x:v>150</x:v>
      </x:c>
      <x:c r="I167" t="n">
        <x:v>1.5</x:v>
      </x:c>
      <x:c r="J167" t="str"/>
      <x:c r="K167" t="str"/>
      <x:c r="L167" t="str">
        <x:v>OPEN</x:v>
      </x:c>
    </x:row>
    <x:row r="168">
      <x:c r="B168" t="str">
        <x:v>RFP-A2-TC-012</x:v>
      </x:c>
      <x:c r="C168" t="str">
        <x:v>RFP-A2</x:v>
      </x:c>
      <x:c r="D168" t="n">
        <x:v>2</x:v>
      </x:c>
      <x:c r="E168" t="n">
        <x:v>2</x:v>
      </x:c>
      <x:c r="F168" t="n">
        <x:v>4</x:v>
      </x:c>
      <x:c r="G168" t="n">
        <x:v>4</x:v>
      </x:c>
      <x:c r="H168" t="n">
        <x:v>150</x:v>
      </x:c>
      <x:c r="I168" t="n">
        <x:v>1.5</x:v>
      </x:c>
      <x:c r="J168" t="str"/>
      <x:c r="K168" t="str"/>
      <x:c r="L168" t="str">
        <x:v>OPEN</x:v>
      </x:c>
    </x:row>
    <x:row r="169">
      <x:c r="B169" t="str">
        <x:v>RFP-A2-TC-013</x:v>
      </x:c>
      <x:c r="C169" t="str">
        <x:v>RFP-A2</x:v>
      </x:c>
      <x:c r="D169" t="n">
        <x:v>2</x:v>
      </x:c>
      <x:c r="E169" t="n">
        <x:v>3</x:v>
      </x:c>
      <x:c r="F169" t="n">
        <x:v>4</x:v>
      </x:c>
      <x:c r="G169" t="n">
        <x:v>4</x:v>
      </x:c>
      <x:c r="H169" t="n">
        <x:v>150</x:v>
      </x:c>
      <x:c r="I169" t="n">
        <x:v>1.5</x:v>
      </x:c>
      <x:c r="J169" t="str"/>
      <x:c r="K169" t="str"/>
      <x:c r="L169" t="str">
        <x:v>OPEN</x:v>
      </x:c>
    </x:row>
    <x:row r="170">
      <x:c r="B170" t="str">
        <x:v>RFP-A2-TC-014</x:v>
      </x:c>
      <x:c r="C170" t="str">
        <x:v>RFP-A2</x:v>
      </x:c>
      <x:c r="D170" t="n">
        <x:v>2</x:v>
      </x:c>
      <x:c r="E170" t="n">
        <x:v>4</x:v>
      </x:c>
      <x:c r="F170" t="n">
        <x:v>4</x:v>
      </x:c>
      <x:c r="G170" t="n">
        <x:v>4</x:v>
      </x:c>
      <x:c r="H170" t="n">
        <x:v>150</x:v>
      </x:c>
      <x:c r="I170" t="n">
        <x:v>1.5</x:v>
      </x:c>
      <x:c r="J170" t="str"/>
      <x:c r="K170" t="str"/>
      <x:c r="L170" t="str">
        <x:v>OPEN</x:v>
      </x:c>
    </x:row>
    <x:row r="171">
      <x:c r="B171" t="str">
        <x:v>RFP-A2-TC-015</x:v>
      </x:c>
      <x:c r="C171" t="str">
        <x:v>RFP-A2</x:v>
      </x:c>
      <x:c r="D171" t="n">
        <x:v>2</x:v>
      </x:c>
      <x:c r="E171" t="n">
        <x:v>5</x:v>
      </x:c>
      <x:c r="F171" t="n">
        <x:v>4</x:v>
      </x:c>
      <x:c r="G171" t="n">
        <x:v>4</x:v>
      </x:c>
      <x:c r="H171" t="n">
        <x:v>150</x:v>
      </x:c>
      <x:c r="I171" t="n">
        <x:v>1.5</x:v>
      </x:c>
      <x:c r="J171" t="str"/>
      <x:c r="K171" t="str"/>
      <x:c r="L171" t="str">
        <x:v>OPEN</x:v>
      </x:c>
    </x:row>
    <x:row r="172">
      <x:c r="B172" t="str">
        <x:v>RFP-A2-TC-016</x:v>
      </x:c>
      <x:c r="C172" t="str">
        <x:v>RFP-A2</x:v>
      </x:c>
      <x:c r="D172" t="n">
        <x:v>2</x:v>
      </x:c>
      <x:c r="E172" t="n">
        <x:v>6</x:v>
      </x:c>
      <x:c r="F172" t="n">
        <x:v>4</x:v>
      </x:c>
      <x:c r="G172" t="n">
        <x:v>4</x:v>
      </x:c>
      <x:c r="H172" t="n">
        <x:v>150</x:v>
      </x:c>
      <x:c r="I172" t="n">
        <x:v>1.5</x:v>
      </x:c>
      <x:c r="J172" t="str"/>
      <x:c r="K172" t="str"/>
      <x:c r="L172" t="str">
        <x:v>OPEN</x:v>
      </x:c>
    </x:row>
    <x:row r="173">
      <x:c r="B173" t="str">
        <x:v>RFP-A2-TC-017</x:v>
      </x:c>
      <x:c r="C173" t="str">
        <x:v>RFP-A2</x:v>
      </x:c>
      <x:c r="D173" t="n">
        <x:v>2</x:v>
      </x:c>
      <x:c r="E173" t="n">
        <x:v>7</x:v>
      </x:c>
      <x:c r="F173" t="n">
        <x:v>4</x:v>
      </x:c>
      <x:c r="G173" t="n">
        <x:v>4</x:v>
      </x:c>
      <x:c r="H173" t="n">
        <x:v>150</x:v>
      </x:c>
      <x:c r="I173" t="n">
        <x:v>1.5</x:v>
      </x:c>
      <x:c r="J173" t="str"/>
      <x:c r="K173" t="str"/>
      <x:c r="L173" t="str">
        <x:v>OPEN</x:v>
      </x:c>
    </x:row>
    <x:row r="174">
      <x:c r="B174" t="str">
        <x:v>RFP-A2-TC-018</x:v>
      </x:c>
      <x:c r="C174" t="str">
        <x:v>RFP-A2</x:v>
      </x:c>
      <x:c r="D174" t="n">
        <x:v>2</x:v>
      </x:c>
      <x:c r="E174" t="n">
        <x:v>8</x:v>
      </x:c>
      <x:c r="F174" t="n">
        <x:v>4</x:v>
      </x:c>
      <x:c r="G174" t="n">
        <x:v>4</x:v>
      </x:c>
      <x:c r="H174" t="n">
        <x:v>150</x:v>
      </x:c>
      <x:c r="I174" t="n">
        <x:v>1.5</x:v>
      </x:c>
      <x:c r="J174" t="str"/>
      <x:c r="K174" t="str"/>
      <x:c r="L174" t="str">
        <x:v>OPEN</x:v>
      </x:c>
    </x:row>
    <x:row r="175">
      <x:c r="B175" t="str">
        <x:v>RFP-A2-TC-019</x:v>
      </x:c>
      <x:c r="C175" t="str">
        <x:v>RFP-A2</x:v>
      </x:c>
      <x:c r="D175" t="n">
        <x:v>2</x:v>
      </x:c>
      <x:c r="E175" t="n">
        <x:v>9</x:v>
      </x:c>
      <x:c r="F175" t="n">
        <x:v>4</x:v>
      </x:c>
      <x:c r="G175" t="n">
        <x:v>4</x:v>
      </x:c>
      <x:c r="H175" t="n">
        <x:v>150</x:v>
      </x:c>
      <x:c r="I175" t="n">
        <x:v>1.5</x:v>
      </x:c>
      <x:c r="J175" t="str"/>
      <x:c r="K175" t="str"/>
      <x:c r="L175" t="str">
        <x:v>OPEN</x:v>
      </x:c>
    </x:row>
    <x:row r="176">
      <x:c r="B176" t="str">
        <x:v>RFP-A2-TC-020</x:v>
      </x:c>
      <x:c r="C176" t="str">
        <x:v>RFP-A2</x:v>
      </x:c>
      <x:c r="D176" t="n">
        <x:v>2</x:v>
      </x:c>
      <x:c r="E176" t="n">
        <x:v>10</x:v>
      </x:c>
      <x:c r="F176" t="n">
        <x:v>4</x:v>
      </x:c>
      <x:c r="G176" t="n">
        <x:v>4</x:v>
      </x:c>
      <x:c r="H176" t="n">
        <x:v>150</x:v>
      </x:c>
      <x:c r="I176" t="n">
        <x:v>1.5</x:v>
      </x:c>
      <x:c r="J176" t="str"/>
      <x:c r="K176" t="str"/>
      <x:c r="L176" t="str">
        <x:v>OPEN</x:v>
      </x:c>
    </x:row>
    <x:row r="177">
      <x:c r="B177" t="str">
        <x:v>RFP-A2-TC-021</x:v>
      </x:c>
      <x:c r="C177" t="str">
        <x:v>RFP-A2</x:v>
      </x:c>
      <x:c r="D177" t="n">
        <x:v>3</x:v>
      </x:c>
      <x:c r="E177" t="n">
        <x:v>1</x:v>
      </x:c>
      <x:c r="F177" t="n">
        <x:v>4</x:v>
      </x:c>
      <x:c r="G177" t="n">
        <x:v>4</x:v>
      </x:c>
      <x:c r="H177" t="n">
        <x:v>150</x:v>
      </x:c>
      <x:c r="I177" t="n">
        <x:v>1.5</x:v>
      </x:c>
      <x:c r="J177" t="str"/>
      <x:c r="K177" t="str"/>
      <x:c r="L177" t="str">
        <x:v>OPEN</x:v>
      </x:c>
    </x:row>
    <x:row r="178">
      <x:c r="B178" t="str">
        <x:v>RFP-A2-TC-022</x:v>
      </x:c>
      <x:c r="C178" t="str">
        <x:v>RFP-A2</x:v>
      </x:c>
      <x:c r="D178" t="n">
        <x:v>3</x:v>
      </x:c>
      <x:c r="E178" t="n">
        <x:v>2</x:v>
      </x:c>
      <x:c r="F178" t="n">
        <x:v>4</x:v>
      </x:c>
      <x:c r="G178" t="n">
        <x:v>4</x:v>
      </x:c>
      <x:c r="H178" t="n">
        <x:v>150</x:v>
      </x:c>
      <x:c r="I178" t="n">
        <x:v>1.5</x:v>
      </x:c>
      <x:c r="J178" t="str"/>
      <x:c r="K178" t="str"/>
      <x:c r="L178" t="str">
        <x:v>OPEN</x:v>
      </x:c>
    </x:row>
    <x:row r="179">
      <x:c r="B179" t="str">
        <x:v>RFP-A2-TC-023</x:v>
      </x:c>
      <x:c r="C179" t="str">
        <x:v>RFP-A2</x:v>
      </x:c>
      <x:c r="D179" t="n">
        <x:v>3</x:v>
      </x:c>
      <x:c r="E179" t="n">
        <x:v>3</x:v>
      </x:c>
      <x:c r="F179" t="n">
        <x:v>4</x:v>
      </x:c>
      <x:c r="G179" t="n">
        <x:v>4</x:v>
      </x:c>
      <x:c r="H179" t="n">
        <x:v>150</x:v>
      </x:c>
      <x:c r="I179" t="n">
        <x:v>1.5</x:v>
      </x:c>
      <x:c r="J179" t="str"/>
      <x:c r="K179" t="str"/>
      <x:c r="L179" t="str">
        <x:v>OPEN</x:v>
      </x:c>
    </x:row>
    <x:row r="180">
      <x:c r="B180" t="str">
        <x:v>RFP-A2-TC-024</x:v>
      </x:c>
      <x:c r="C180" t="str">
        <x:v>RFP-A2</x:v>
      </x:c>
      <x:c r="D180" t="n">
        <x:v>3</x:v>
      </x:c>
      <x:c r="E180" t="n">
        <x:v>4</x:v>
      </x:c>
      <x:c r="F180" t="n">
        <x:v>4</x:v>
      </x:c>
      <x:c r="G180" t="n">
        <x:v>4</x:v>
      </x:c>
      <x:c r="H180" t="n">
        <x:v>150</x:v>
      </x:c>
      <x:c r="I180" t="n">
        <x:v>1.5</x:v>
      </x:c>
      <x:c r="J180" t="str"/>
      <x:c r="K180" t="str"/>
      <x:c r="L180" t="str">
        <x:v>OPEN</x:v>
      </x:c>
    </x:row>
    <x:row r="181">
      <x:c r="B181" t="str">
        <x:v>RFP-A2-TC-025</x:v>
      </x:c>
      <x:c r="C181" t="str">
        <x:v>RFP-A2</x:v>
      </x:c>
      <x:c r="D181" t="n">
        <x:v>3</x:v>
      </x:c>
      <x:c r="E181" t="n">
        <x:v>5</x:v>
      </x:c>
      <x:c r="F181" t="n">
        <x:v>4</x:v>
      </x:c>
      <x:c r="G181" t="n">
        <x:v>4</x:v>
      </x:c>
      <x:c r="H181" t="n">
        <x:v>150</x:v>
      </x:c>
      <x:c r="I181" t="n">
        <x:v>1.5</x:v>
      </x:c>
      <x:c r="J181" t="str"/>
      <x:c r="K181" t="str"/>
      <x:c r="L181" t="str">
        <x:v>OPEN</x:v>
      </x:c>
    </x:row>
    <x:row r="182">
      <x:c r="B182" t="str">
        <x:v>RFP-A2-TC-026</x:v>
      </x:c>
      <x:c r="C182" t="str">
        <x:v>RFP-A2</x:v>
      </x:c>
      <x:c r="D182" t="n">
        <x:v>3</x:v>
      </x:c>
      <x:c r="E182" t="n">
        <x:v>6</x:v>
      </x:c>
      <x:c r="F182" t="n">
        <x:v>4</x:v>
      </x:c>
      <x:c r="G182" t="n">
        <x:v>4</x:v>
      </x:c>
      <x:c r="H182" t="n">
        <x:v>150</x:v>
      </x:c>
      <x:c r="I182" t="n">
        <x:v>1.5</x:v>
      </x:c>
      <x:c r="J182" t="str"/>
      <x:c r="K182" t="str"/>
      <x:c r="L182" t="str">
        <x:v>OPEN</x:v>
      </x:c>
    </x:row>
    <x:row r="183">
      <x:c r="B183" t="str">
        <x:v>RFP-A2-TC-027</x:v>
      </x:c>
      <x:c r="C183" t="str">
        <x:v>RFP-A2</x:v>
      </x:c>
      <x:c r="D183" t="n">
        <x:v>3</x:v>
      </x:c>
      <x:c r="E183" t="n">
        <x:v>7</x:v>
      </x:c>
      <x:c r="F183" t="n">
        <x:v>4</x:v>
      </x:c>
      <x:c r="G183" t="n">
        <x:v>4</x:v>
      </x:c>
      <x:c r="H183" t="n">
        <x:v>150</x:v>
      </x:c>
      <x:c r="I183" t="n">
        <x:v>1.5</x:v>
      </x:c>
      <x:c r="J183" t="str"/>
      <x:c r="K183" t="str"/>
      <x:c r="L183" t="str">
        <x:v>OPEN</x:v>
      </x:c>
    </x:row>
    <x:row r="184">
      <x:c r="B184" t="str">
        <x:v>RFP-A2-TC-028</x:v>
      </x:c>
      <x:c r="C184" t="str">
        <x:v>RFP-A2</x:v>
      </x:c>
      <x:c r="D184" t="n">
        <x:v>3</x:v>
      </x:c>
      <x:c r="E184" t="n">
        <x:v>8</x:v>
      </x:c>
      <x:c r="F184" t="n">
        <x:v>4</x:v>
      </x:c>
      <x:c r="G184" t="n">
        <x:v>4</x:v>
      </x:c>
      <x:c r="H184" t="n">
        <x:v>150</x:v>
      </x:c>
      <x:c r="I184" t="n">
        <x:v>1.5</x:v>
      </x:c>
      <x:c r="J184" t="str"/>
      <x:c r="K184" t="str"/>
      <x:c r="L184" t="str">
        <x:v>OPEN</x:v>
      </x:c>
    </x:row>
    <x:row r="185">
      <x:c r="B185" t="str">
        <x:v>RFP-A2-TC-029</x:v>
      </x:c>
      <x:c r="C185" t="str">
        <x:v>RFP-A2</x:v>
      </x:c>
      <x:c r="D185" t="n">
        <x:v>3</x:v>
      </x:c>
      <x:c r="E185" t="n">
        <x:v>9</x:v>
      </x:c>
      <x:c r="F185" t="n">
        <x:v>4</x:v>
      </x:c>
      <x:c r="G185" t="n">
        <x:v>4</x:v>
      </x:c>
      <x:c r="H185" t="n">
        <x:v>150</x:v>
      </x:c>
      <x:c r="I185" t="n">
        <x:v>1.5</x:v>
      </x:c>
      <x:c r="J185" t="str"/>
      <x:c r="K185" t="str"/>
      <x:c r="L185" t="str">
        <x:v>OPEN</x:v>
      </x:c>
    </x:row>
    <x:row r="186">
      <x:c r="B186" t="str">
        <x:v>RFP-A2-TC-030</x:v>
      </x:c>
      <x:c r="C186" t="str">
        <x:v>RFP-A2</x:v>
      </x:c>
      <x:c r="D186" t="n">
        <x:v>3</x:v>
      </x:c>
      <x:c r="E186" t="n">
        <x:v>10</x:v>
      </x:c>
      <x:c r="F186" t="n">
        <x:v>4</x:v>
      </x:c>
      <x:c r="G186" t="n">
        <x:v>4</x:v>
      </x:c>
      <x:c r="H186" t="n">
        <x:v>150</x:v>
      </x:c>
      <x:c r="I186" t="n">
        <x:v>1.5</x:v>
      </x:c>
      <x:c r="J186" t="str"/>
      <x:c r="K186" t="str"/>
      <x:c r="L186" t="str">
        <x:v>OPEN</x:v>
      </x:c>
    </x:row>
    <x:row r="187">
      <x:c r="B187" t="str">
        <x:v>RFP-A2-TC-031</x:v>
      </x:c>
      <x:c r="C187" t="str">
        <x:v>RFP-A2</x:v>
      </x:c>
      <x:c r="D187" t="n">
        <x:v>4</x:v>
      </x:c>
      <x:c r="E187" t="n">
        <x:v>1</x:v>
      </x:c>
      <x:c r="F187" t="n">
        <x:v>4</x:v>
      </x:c>
      <x:c r="G187" t="n">
        <x:v>4</x:v>
      </x:c>
      <x:c r="H187" t="n">
        <x:v>150</x:v>
      </x:c>
      <x:c r="I187" t="n">
        <x:v>1.5</x:v>
      </x:c>
      <x:c r="J187" t="str"/>
      <x:c r="K187" t="str"/>
      <x:c r="L187" t="str">
        <x:v>OPEN</x:v>
      </x:c>
    </x:row>
    <x:row r="188">
      <x:c r="B188" t="str">
        <x:v>RFP-A2-TC-032</x:v>
      </x:c>
      <x:c r="C188" t="str">
        <x:v>RFP-A2</x:v>
      </x:c>
      <x:c r="D188" t="n">
        <x:v>4</x:v>
      </x:c>
      <x:c r="E188" t="n">
        <x:v>2</x:v>
      </x:c>
      <x:c r="F188" t="n">
        <x:v>4</x:v>
      </x:c>
      <x:c r="G188" t="n">
        <x:v>4</x:v>
      </x:c>
      <x:c r="H188" t="n">
        <x:v>150</x:v>
      </x:c>
      <x:c r="I188" t="n">
        <x:v>1.5</x:v>
      </x:c>
      <x:c r="J188" t="str"/>
      <x:c r="K188" t="str"/>
      <x:c r="L188" t="str">
        <x:v>OPEN</x:v>
      </x:c>
    </x:row>
    <x:row r="189">
      <x:c r="B189" t="str">
        <x:v>RFP-A2-TC-033</x:v>
      </x:c>
      <x:c r="C189" t="str">
        <x:v>RFP-A2</x:v>
      </x:c>
      <x:c r="D189" t="n">
        <x:v>4</x:v>
      </x:c>
      <x:c r="E189" t="n">
        <x:v>3</x:v>
      </x:c>
      <x:c r="F189" t="n">
        <x:v>4</x:v>
      </x:c>
      <x:c r="G189" t="n">
        <x:v>4</x:v>
      </x:c>
      <x:c r="H189" t="n">
        <x:v>150</x:v>
      </x:c>
      <x:c r="I189" t="n">
        <x:v>1.5</x:v>
      </x:c>
      <x:c r="J189" t="str"/>
      <x:c r="K189" t="str"/>
      <x:c r="L189" t="str">
        <x:v>OPEN</x:v>
      </x:c>
    </x:row>
    <x:row r="190">
      <x:c r="B190" t="str">
        <x:v>RFP-A2-TC-034</x:v>
      </x:c>
      <x:c r="C190" t="str">
        <x:v>RFP-A2</x:v>
      </x:c>
      <x:c r="D190" t="n">
        <x:v>4</x:v>
      </x:c>
      <x:c r="E190" t="n">
        <x:v>4</x:v>
      </x:c>
      <x:c r="F190" t="n">
        <x:v>4</x:v>
      </x:c>
      <x:c r="G190" t="n">
        <x:v>4</x:v>
      </x:c>
      <x:c r="H190" t="n">
        <x:v>150</x:v>
      </x:c>
      <x:c r="I190" t="n">
        <x:v>1.5</x:v>
      </x:c>
      <x:c r="J190" t="str"/>
      <x:c r="K190" t="str"/>
      <x:c r="L190" t="str">
        <x:v>OPEN</x:v>
      </x:c>
    </x:row>
    <x:row r="191">
      <x:c r="B191" t="str">
        <x:v>RFP-A2-TC-035</x:v>
      </x:c>
      <x:c r="C191" t="str">
        <x:v>RFP-A2</x:v>
      </x:c>
      <x:c r="D191" t="n">
        <x:v>4</x:v>
      </x:c>
      <x:c r="E191" t="n">
        <x:v>5</x:v>
      </x:c>
      <x:c r="F191" t="n">
        <x:v>4</x:v>
      </x:c>
      <x:c r="G191" t="n">
        <x:v>4</x:v>
      </x:c>
      <x:c r="H191" t="n">
        <x:v>150</x:v>
      </x:c>
      <x:c r="I191" t="n">
        <x:v>1.5</x:v>
      </x:c>
      <x:c r="J191" t="str"/>
      <x:c r="K191" t="str"/>
      <x:c r="L191" t="str">
        <x:v>OPEN</x:v>
      </x:c>
    </x:row>
    <x:row r="192">
      <x:c r="B192" t="str">
        <x:v>RFP-A2-TC-036</x:v>
      </x:c>
      <x:c r="C192" t="str">
        <x:v>RFP-A2</x:v>
      </x:c>
      <x:c r="D192" t="n">
        <x:v>4</x:v>
      </x:c>
      <x:c r="E192" t="n">
        <x:v>6</x:v>
      </x:c>
      <x:c r="F192" t="n">
        <x:v>4</x:v>
      </x:c>
      <x:c r="G192" t="n">
        <x:v>4</x:v>
      </x:c>
      <x:c r="H192" t="n">
        <x:v>150</x:v>
      </x:c>
      <x:c r="I192" t="n">
        <x:v>1.5</x:v>
      </x:c>
      <x:c r="J192" t="str"/>
      <x:c r="K192" t="str"/>
      <x:c r="L192" t="str">
        <x:v>OPEN</x:v>
      </x:c>
    </x:row>
    <x:row r="193">
      <x:c r="B193" t="str">
        <x:v>RFP-A2-TC-037</x:v>
      </x:c>
      <x:c r="C193" t="str">
        <x:v>RFP-A2</x:v>
      </x:c>
      <x:c r="D193" t="n">
        <x:v>4</x:v>
      </x:c>
      <x:c r="E193" t="n">
        <x:v>7</x:v>
      </x:c>
      <x:c r="F193" t="n">
        <x:v>4</x:v>
      </x:c>
      <x:c r="G193" t="n">
        <x:v>4</x:v>
      </x:c>
      <x:c r="H193" t="n">
        <x:v>150</x:v>
      </x:c>
      <x:c r="I193" t="n">
        <x:v>1.5</x:v>
      </x:c>
      <x:c r="J193" t="str"/>
      <x:c r="K193" t="str"/>
      <x:c r="L193" t="str">
        <x:v>OPEN</x:v>
      </x:c>
    </x:row>
    <x:row r="194">
      <x:c r="B194" t="str">
        <x:v>RFP-A2-TC-038</x:v>
      </x:c>
      <x:c r="C194" t="str">
        <x:v>RFP-A2</x:v>
      </x:c>
      <x:c r="D194" t="n">
        <x:v>4</x:v>
      </x:c>
      <x:c r="E194" t="n">
        <x:v>8</x:v>
      </x:c>
      <x:c r="F194" t="n">
        <x:v>4</x:v>
      </x:c>
      <x:c r="G194" t="n">
        <x:v>4</x:v>
      </x:c>
      <x:c r="H194" t="n">
        <x:v>150</x:v>
      </x:c>
      <x:c r="I194" t="n">
        <x:v>1.5</x:v>
      </x:c>
      <x:c r="J194" t="str"/>
      <x:c r="K194" t="str"/>
      <x:c r="L194" t="str">
        <x:v>OPEN</x:v>
      </x:c>
    </x:row>
    <x:row r="195">
      <x:c r="B195" t="str">
        <x:v>RFP-A2-TC-039</x:v>
      </x:c>
      <x:c r="C195" t="str">
        <x:v>RFP-A2</x:v>
      </x:c>
      <x:c r="D195" t="n">
        <x:v>4</x:v>
      </x:c>
      <x:c r="E195" t="n">
        <x:v>9</x:v>
      </x:c>
      <x:c r="F195" t="n">
        <x:v>4</x:v>
      </x:c>
      <x:c r="G195" t="n">
        <x:v>4</x:v>
      </x:c>
      <x:c r="H195" t="n">
        <x:v>150</x:v>
      </x:c>
      <x:c r="I195" t="n">
        <x:v>1.5</x:v>
      </x:c>
      <x:c r="J195" t="str"/>
      <x:c r="K195" t="str"/>
      <x:c r="L195" t="str">
        <x:v>OPEN</x:v>
      </x:c>
    </x:row>
    <x:row r="196">
      <x:c r="B196" t="str">
        <x:v>RFP-A2-TC-040</x:v>
      </x:c>
      <x:c r="C196" t="str">
        <x:v>RFP-A2</x:v>
      </x:c>
      <x:c r="D196" t="n">
        <x:v>4</x:v>
      </x:c>
      <x:c r="E196" t="n">
        <x:v>10</x:v>
      </x:c>
      <x:c r="F196" t="n">
        <x:v>4</x:v>
      </x:c>
      <x:c r="G196" t="n">
        <x:v>4</x:v>
      </x:c>
      <x:c r="H196" t="n">
        <x:v>150</x:v>
      </x:c>
      <x:c r="I196" t="n">
        <x:v>1.5</x:v>
      </x:c>
      <x:c r="J196" t="str"/>
      <x:c r="K196" t="str"/>
      <x:c r="L196" t="str">
        <x:v>OPEN</x:v>
      </x:c>
    </x:row>
    <x:row r="197">
      <x:c r="B197" t="str">
        <x:v>RFP-A2-TC-041</x:v>
      </x:c>
      <x:c r="C197" t="str">
        <x:v>RFP-A2</x:v>
      </x:c>
      <x:c r="D197" t="n">
        <x:v>5</x:v>
      </x:c>
      <x:c r="E197" t="n">
        <x:v>1</x:v>
      </x:c>
      <x:c r="F197" t="n">
        <x:v>4</x:v>
      </x:c>
      <x:c r="G197" t="n">
        <x:v>4</x:v>
      </x:c>
      <x:c r="H197" t="n">
        <x:v>150</x:v>
      </x:c>
      <x:c r="I197" t="n">
        <x:v>1.5</x:v>
      </x:c>
      <x:c r="J197" t="str"/>
      <x:c r="K197" t="str"/>
      <x:c r="L197" t="str">
        <x:v>OPEN</x:v>
      </x:c>
    </x:row>
    <x:row r="198">
      <x:c r="B198" t="str">
        <x:v>RFP-A2-TC-042</x:v>
      </x:c>
      <x:c r="C198" t="str">
        <x:v>RFP-A2</x:v>
      </x:c>
      <x:c r="D198" t="n">
        <x:v>5</x:v>
      </x:c>
      <x:c r="E198" t="n">
        <x:v>2</x:v>
      </x:c>
      <x:c r="F198" t="n">
        <x:v>4</x:v>
      </x:c>
      <x:c r="G198" t="n">
        <x:v>4</x:v>
      </x:c>
      <x:c r="H198" t="n">
        <x:v>150</x:v>
      </x:c>
      <x:c r="I198" t="n">
        <x:v>1.5</x:v>
      </x:c>
      <x:c r="J198" t="str"/>
      <x:c r="K198" t="str"/>
      <x:c r="L198" t="str">
        <x:v>OPEN</x:v>
      </x:c>
    </x:row>
    <x:row r="199">
      <x:c r="B199" t="str">
        <x:v>RFP-A2-TC-043</x:v>
      </x:c>
      <x:c r="C199" t="str">
        <x:v>RFP-A2</x:v>
      </x:c>
      <x:c r="D199" t="n">
        <x:v>5</x:v>
      </x:c>
      <x:c r="E199" t="n">
        <x:v>3</x:v>
      </x:c>
      <x:c r="F199" t="n">
        <x:v>4</x:v>
      </x:c>
      <x:c r="G199" t="n">
        <x:v>4</x:v>
      </x:c>
      <x:c r="H199" t="n">
        <x:v>150</x:v>
      </x:c>
      <x:c r="I199" t="n">
        <x:v>1.5</x:v>
      </x:c>
      <x:c r="J199" t="str"/>
      <x:c r="K199" t="str"/>
      <x:c r="L199" t="str">
        <x:v>OPEN</x:v>
      </x:c>
    </x:row>
    <x:row r="200">
      <x:c r="B200" t="str">
        <x:v>RFP-A2-TC-044</x:v>
      </x:c>
      <x:c r="C200" t="str">
        <x:v>RFP-A2</x:v>
      </x:c>
      <x:c r="D200" t="n">
        <x:v>5</x:v>
      </x:c>
      <x:c r="E200" t="n">
        <x:v>4</x:v>
      </x:c>
      <x:c r="F200" t="n">
        <x:v>4</x:v>
      </x:c>
      <x:c r="G200" t="n">
        <x:v>4</x:v>
      </x:c>
      <x:c r="H200" t="n">
        <x:v>150</x:v>
      </x:c>
      <x:c r="I200" t="n">
        <x:v>1.5</x:v>
      </x:c>
      <x:c r="J200" t="str"/>
      <x:c r="K200" t="str"/>
      <x:c r="L200" t="str">
        <x:v>OPEN</x:v>
      </x:c>
    </x:row>
    <x:row r="201">
      <x:c r="B201" t="str">
        <x:v>RFP-A2-TC-045</x:v>
      </x:c>
      <x:c r="C201" t="str">
        <x:v>RFP-A2</x:v>
      </x:c>
      <x:c r="D201" t="n">
        <x:v>5</x:v>
      </x:c>
      <x:c r="E201" t="n">
        <x:v>5</x:v>
      </x:c>
      <x:c r="F201" t="n">
        <x:v>4</x:v>
      </x:c>
      <x:c r="G201" t="n">
        <x:v>4</x:v>
      </x:c>
      <x:c r="H201" t="n">
        <x:v>150</x:v>
      </x:c>
      <x:c r="I201" t="n">
        <x:v>1.5</x:v>
      </x:c>
      <x:c r="J201" t="str"/>
      <x:c r="K201" t="str"/>
      <x:c r="L201" t="str">
        <x:v>OPEN</x:v>
      </x:c>
    </x:row>
    <x:row r="202">
      <x:c r="B202" t="str">
        <x:v>RFP-A2-TC-046</x:v>
      </x:c>
      <x:c r="C202" t="str">
        <x:v>RFP-A2</x:v>
      </x:c>
      <x:c r="D202" t="n">
        <x:v>5</x:v>
      </x:c>
      <x:c r="E202" t="n">
        <x:v>6</x:v>
      </x:c>
      <x:c r="F202" t="n">
        <x:v>4</x:v>
      </x:c>
      <x:c r="G202" t="n">
        <x:v>4</x:v>
      </x:c>
      <x:c r="H202" t="n">
        <x:v>150</x:v>
      </x:c>
      <x:c r="I202" t="n">
        <x:v>1.5</x:v>
      </x:c>
      <x:c r="J202" t="str"/>
      <x:c r="K202" t="str"/>
      <x:c r="L202" t="str">
        <x:v>OPEN</x:v>
      </x:c>
    </x:row>
    <x:row r="203">
      <x:c r="B203" t="str">
        <x:v>RFP-A2-TC-047</x:v>
      </x:c>
      <x:c r="C203" t="str">
        <x:v>RFP-A2</x:v>
      </x:c>
      <x:c r="D203" t="n">
        <x:v>5</x:v>
      </x:c>
      <x:c r="E203" t="n">
        <x:v>7</x:v>
      </x:c>
      <x:c r="F203" t="n">
        <x:v>4</x:v>
      </x:c>
      <x:c r="G203" t="n">
        <x:v>4</x:v>
      </x:c>
      <x:c r="H203" t="n">
        <x:v>150</x:v>
      </x:c>
      <x:c r="I203" t="n">
        <x:v>1.5</x:v>
      </x:c>
      <x:c r="J203" t="str"/>
      <x:c r="K203" t="str"/>
      <x:c r="L203" t="str">
        <x:v>OPEN</x:v>
      </x:c>
    </x:row>
    <x:row r="204">
      <x:c r="B204" t="str">
        <x:v>RFP-A2-TC-048</x:v>
      </x:c>
      <x:c r="C204" t="str">
        <x:v>RFP-A2</x:v>
      </x:c>
      <x:c r="D204" t="n">
        <x:v>5</x:v>
      </x:c>
      <x:c r="E204" t="n">
        <x:v>8</x:v>
      </x:c>
      <x:c r="F204" t="n">
        <x:v>4</x:v>
      </x:c>
      <x:c r="G204" t="n">
        <x:v>4</x:v>
      </x:c>
      <x:c r="H204" t="n">
        <x:v>150</x:v>
      </x:c>
      <x:c r="I204" t="n">
        <x:v>1.5</x:v>
      </x:c>
      <x:c r="J204" t="str"/>
      <x:c r="K204" t="str"/>
      <x:c r="L204" t="str">
        <x:v>OPEN</x:v>
      </x:c>
    </x:row>
    <x:row r="205">
      <x:c r="B205" t="str">
        <x:v>RFP-A2-TC-049</x:v>
      </x:c>
      <x:c r="C205" t="str">
        <x:v>RFP-A2</x:v>
      </x:c>
      <x:c r="D205" t="n">
        <x:v>5</x:v>
      </x:c>
      <x:c r="E205" t="n">
        <x:v>9</x:v>
      </x:c>
      <x:c r="F205" t="n">
        <x:v>4</x:v>
      </x:c>
      <x:c r="G205" t="n">
        <x:v>4</x:v>
      </x:c>
      <x:c r="H205" t="n">
        <x:v>150</x:v>
      </x:c>
      <x:c r="I205" t="n">
        <x:v>1.5</x:v>
      </x:c>
      <x:c r="J205" t="str"/>
      <x:c r="K205" t="str"/>
      <x:c r="L205" t="str">
        <x:v>OPEN</x:v>
      </x:c>
    </x:row>
    <x:row r="206">
      <x:c r="B206" t="str">
        <x:v>RFP-A2-TC-050</x:v>
      </x:c>
      <x:c r="C206" t="str">
        <x:v>RFP-A2</x:v>
      </x:c>
      <x:c r="D206" t="n">
        <x:v>5</x:v>
      </x:c>
      <x:c r="E206" t="n">
        <x:v>10</x:v>
      </x:c>
      <x:c r="F206" t="n">
        <x:v>4</x:v>
      </x:c>
      <x:c r="G206" t="n">
        <x:v>4</x:v>
      </x:c>
      <x:c r="H206" t="n">
        <x:v>150</x:v>
      </x:c>
      <x:c r="I206" t="n">
        <x:v>1.5</x:v>
      </x:c>
      <x:c r="J206" t="str"/>
      <x:c r="K206" t="str"/>
      <x:c r="L206" t="str">
        <x:v>OPEN</x:v>
      </x:c>
    </x:row>
    <x:row r="207">
      <x:c r="B207" t="str">
        <x:v>RFP-A2-TC-051</x:v>
      </x:c>
      <x:c r="C207" t="str">
        <x:v>RFP-A2</x:v>
      </x:c>
      <x:c r="D207" t="n">
        <x:v>6</x:v>
      </x:c>
      <x:c r="E207" t="n">
        <x:v>1</x:v>
      </x:c>
      <x:c r="F207" t="n">
        <x:v>4</x:v>
      </x:c>
      <x:c r="G207" t="n">
        <x:v>4</x:v>
      </x:c>
      <x:c r="H207" t="n">
        <x:v>150</x:v>
      </x:c>
      <x:c r="I207" t="n">
        <x:v>1.5</x:v>
      </x:c>
      <x:c r="J207" t="str"/>
      <x:c r="K207" t="str"/>
      <x:c r="L207" t="str">
        <x:v>OPEN</x:v>
      </x:c>
    </x:row>
    <x:row r="208">
      <x:c r="B208" t="str">
        <x:v>RFP-A2-TC-052</x:v>
      </x:c>
      <x:c r="C208" t="str">
        <x:v>RFP-A2</x:v>
      </x:c>
      <x:c r="D208" t="n">
        <x:v>6</x:v>
      </x:c>
      <x:c r="E208" t="n">
        <x:v>2</x:v>
      </x:c>
      <x:c r="F208" t="n">
        <x:v>4</x:v>
      </x:c>
      <x:c r="G208" t="n">
        <x:v>4</x:v>
      </x:c>
      <x:c r="H208" t="n">
        <x:v>150</x:v>
      </x:c>
      <x:c r="I208" t="n">
        <x:v>1.5</x:v>
      </x:c>
      <x:c r="J208" t="str"/>
      <x:c r="K208" t="str"/>
      <x:c r="L208" t="str">
        <x:v>OPEN</x:v>
      </x:c>
    </x:row>
    <x:row r="209">
      <x:c r="B209" t="str">
        <x:v>RFP-A2-TC-053</x:v>
      </x:c>
      <x:c r="C209" t="str">
        <x:v>RFP-A2</x:v>
      </x:c>
      <x:c r="D209" t="n">
        <x:v>6</x:v>
      </x:c>
      <x:c r="E209" t="n">
        <x:v>3</x:v>
      </x:c>
      <x:c r="F209" t="n">
        <x:v>4</x:v>
      </x:c>
      <x:c r="G209" t="n">
        <x:v>4</x:v>
      </x:c>
      <x:c r="H209" t="n">
        <x:v>150</x:v>
      </x:c>
      <x:c r="I209" t="n">
        <x:v>1.5</x:v>
      </x:c>
      <x:c r="J209" t="str"/>
      <x:c r="K209" t="str"/>
      <x:c r="L209" t="str">
        <x:v>OPEN</x:v>
      </x:c>
    </x:row>
    <x:row r="210">
      <x:c r="B210" t="str">
        <x:v>RFP-A2-TC-054</x:v>
      </x:c>
      <x:c r="C210" t="str">
        <x:v>RFP-A2</x:v>
      </x:c>
      <x:c r="D210" t="n">
        <x:v>6</x:v>
      </x:c>
      <x:c r="E210" t="n">
        <x:v>4</x:v>
      </x:c>
      <x:c r="F210" t="n">
        <x:v>4</x:v>
      </x:c>
      <x:c r="G210" t="n">
        <x:v>4</x:v>
      </x:c>
      <x:c r="H210" t="n">
        <x:v>150</x:v>
      </x:c>
      <x:c r="I210" t="n">
        <x:v>1.5</x:v>
      </x:c>
      <x:c r="J210" t="str"/>
      <x:c r="K210" t="str"/>
      <x:c r="L210" t="str">
        <x:v>OPEN</x:v>
      </x:c>
    </x:row>
    <x:row r="211">
      <x:c r="B211" t="str">
        <x:v>RFP-A2-TC-055</x:v>
      </x:c>
      <x:c r="C211" t="str">
        <x:v>RFP-A2</x:v>
      </x:c>
      <x:c r="D211" t="n">
        <x:v>6</x:v>
      </x:c>
      <x:c r="E211" t="n">
        <x:v>5</x:v>
      </x:c>
      <x:c r="F211" t="n">
        <x:v>4</x:v>
      </x:c>
      <x:c r="G211" t="n">
        <x:v>4</x:v>
      </x:c>
      <x:c r="H211" t="n">
        <x:v>150</x:v>
      </x:c>
      <x:c r="I211" t="n">
        <x:v>1.5</x:v>
      </x:c>
      <x:c r="J211" t="str"/>
      <x:c r="K211" t="str"/>
      <x:c r="L211" t="str">
        <x:v>OPEN</x:v>
      </x:c>
    </x:row>
    <x:row r="212">
      <x:c r="B212" t="str">
        <x:v>RFP-A2-TC-056</x:v>
      </x:c>
      <x:c r="C212" t="str">
        <x:v>RFP-A2</x:v>
      </x:c>
      <x:c r="D212" t="n">
        <x:v>6</x:v>
      </x:c>
      <x:c r="E212" t="n">
        <x:v>6</x:v>
      </x:c>
      <x:c r="F212" t="n">
        <x:v>4</x:v>
      </x:c>
      <x:c r="G212" t="n">
        <x:v>4</x:v>
      </x:c>
      <x:c r="H212" t="n">
        <x:v>150</x:v>
      </x:c>
      <x:c r="I212" t="n">
        <x:v>1.5</x:v>
      </x:c>
      <x:c r="J212" t="str"/>
      <x:c r="K212" t="str"/>
      <x:c r="L212" t="str">
        <x:v>OPEN</x:v>
      </x:c>
    </x:row>
    <x:row r="213">
      <x:c r="B213" t="str">
        <x:v>RFP-A2-TC-057</x:v>
      </x:c>
      <x:c r="C213" t="str">
        <x:v>RFP-A2</x:v>
      </x:c>
      <x:c r="D213" t="n">
        <x:v>6</x:v>
      </x:c>
      <x:c r="E213" t="n">
        <x:v>7</x:v>
      </x:c>
      <x:c r="F213" t="n">
        <x:v>4</x:v>
      </x:c>
      <x:c r="G213" t="n">
        <x:v>4</x:v>
      </x:c>
      <x:c r="H213" t="n">
        <x:v>150</x:v>
      </x:c>
      <x:c r="I213" t="n">
        <x:v>1.5</x:v>
      </x:c>
      <x:c r="J213" t="str"/>
      <x:c r="K213" t="str"/>
      <x:c r="L213" t="str">
        <x:v>OPEN</x:v>
      </x:c>
    </x:row>
    <x:row r="214">
      <x:c r="B214" t="str">
        <x:v>RFP-A2-TC-058</x:v>
      </x:c>
      <x:c r="C214" t="str">
        <x:v>RFP-A2</x:v>
      </x:c>
      <x:c r="D214" t="n">
        <x:v>6</x:v>
      </x:c>
      <x:c r="E214" t="n">
        <x:v>8</x:v>
      </x:c>
      <x:c r="F214" t="n">
        <x:v>4</x:v>
      </x:c>
      <x:c r="G214" t="n">
        <x:v>4</x:v>
      </x:c>
      <x:c r="H214" t="n">
        <x:v>150</x:v>
      </x:c>
      <x:c r="I214" t="n">
        <x:v>1.5</x:v>
      </x:c>
      <x:c r="J214" t="str"/>
      <x:c r="K214" t="str"/>
      <x:c r="L214" t="str">
        <x:v>OPEN</x:v>
      </x:c>
    </x:row>
    <x:row r="215">
      <x:c r="B215" t="str">
        <x:v>RFP-A2-TC-059</x:v>
      </x:c>
      <x:c r="C215" t="str">
        <x:v>RFP-A2</x:v>
      </x:c>
      <x:c r="D215" t="n">
        <x:v>6</x:v>
      </x:c>
      <x:c r="E215" t="n">
        <x:v>9</x:v>
      </x:c>
      <x:c r="F215" t="n">
        <x:v>4</x:v>
      </x:c>
      <x:c r="G215" t="n">
        <x:v>4</x:v>
      </x:c>
      <x:c r="H215" t="n">
        <x:v>150</x:v>
      </x:c>
      <x:c r="I215" t="n">
        <x:v>1.5</x:v>
      </x:c>
      <x:c r="J215" t="str"/>
      <x:c r="K215" t="str"/>
      <x:c r="L215" t="str">
        <x:v>OPEN</x:v>
      </x:c>
    </x:row>
    <x:row r="216">
      <x:c r="B216" t="str">
        <x:v>RFP-A2-TC-060</x:v>
      </x:c>
      <x:c r="C216" t="str">
        <x:v>RFP-A2</x:v>
      </x:c>
      <x:c r="D216" t="n">
        <x:v>6</x:v>
      </x:c>
      <x:c r="E216" t="n">
        <x:v>10</x:v>
      </x:c>
      <x:c r="F216" t="n">
        <x:v>4</x:v>
      </x:c>
      <x:c r="G216" t="n">
        <x:v>4</x:v>
      </x:c>
      <x:c r="H216" t="n">
        <x:v>150</x:v>
      </x:c>
      <x:c r="I216" t="n">
        <x:v>1.5</x:v>
      </x:c>
      <x:c r="J216" t="str"/>
      <x:c r="K216" t="str"/>
      <x:c r="L216" t="str">
        <x:v>OPEN</x:v>
      </x:c>
    </x:row>
    <x:row r="217">
      <x:c r="B217" t="str">
        <x:v>RFP-A2-TC-061</x:v>
      </x:c>
      <x:c r="C217" t="str">
        <x:v>RFP-A2</x:v>
      </x:c>
      <x:c r="D217" t="n">
        <x:v>7</x:v>
      </x:c>
      <x:c r="E217" t="n">
        <x:v>1</x:v>
      </x:c>
      <x:c r="F217" t="n">
        <x:v>4</x:v>
      </x:c>
      <x:c r="G217" t="n">
        <x:v>4</x:v>
      </x:c>
      <x:c r="H217" t="n">
        <x:v>150</x:v>
      </x:c>
      <x:c r="I217" t="n">
        <x:v>1.5</x:v>
      </x:c>
      <x:c r="J217" t="str"/>
      <x:c r="K217" t="str"/>
      <x:c r="L217" t="str">
        <x:v>OPEN</x:v>
      </x:c>
    </x:row>
    <x:row r="218">
      <x:c r="B218" t="str">
        <x:v>RFP-A2-TC-062</x:v>
      </x:c>
      <x:c r="C218" t="str">
        <x:v>RFP-A2</x:v>
      </x:c>
      <x:c r="D218" t="n">
        <x:v>7</x:v>
      </x:c>
      <x:c r="E218" t="n">
        <x:v>2</x:v>
      </x:c>
      <x:c r="F218" t="n">
        <x:v>4</x:v>
      </x:c>
      <x:c r="G218" t="n">
        <x:v>4</x:v>
      </x:c>
      <x:c r="H218" t="n">
        <x:v>150</x:v>
      </x:c>
      <x:c r="I218" t="n">
        <x:v>1.5</x:v>
      </x:c>
      <x:c r="J218" t="str"/>
      <x:c r="K218" t="str"/>
      <x:c r="L218" t="str">
        <x:v>OPEN</x:v>
      </x:c>
    </x:row>
    <x:row r="219">
      <x:c r="B219" t="str">
        <x:v>RFP-A2-TC-063</x:v>
      </x:c>
      <x:c r="C219" t="str">
        <x:v>RFP-A2</x:v>
      </x:c>
      <x:c r="D219" t="n">
        <x:v>7</x:v>
      </x:c>
      <x:c r="E219" t="n">
        <x:v>3</x:v>
      </x:c>
      <x:c r="F219" t="n">
        <x:v>4</x:v>
      </x:c>
      <x:c r="G219" t="n">
        <x:v>4</x:v>
      </x:c>
      <x:c r="H219" t="n">
        <x:v>150</x:v>
      </x:c>
      <x:c r="I219" t="n">
        <x:v>1.5</x:v>
      </x:c>
      <x:c r="J219" t="str"/>
      <x:c r="K219" t="str"/>
      <x:c r="L219" t="str">
        <x:v>OPEN</x:v>
      </x:c>
    </x:row>
    <x:row r="220">
      <x:c r="B220" t="str">
        <x:v>RFP-A2-TC-064</x:v>
      </x:c>
      <x:c r="C220" t="str">
        <x:v>RFP-A2</x:v>
      </x:c>
      <x:c r="D220" t="n">
        <x:v>7</x:v>
      </x:c>
      <x:c r="E220" t="n">
        <x:v>4</x:v>
      </x:c>
      <x:c r="F220" t="n">
        <x:v>4</x:v>
      </x:c>
      <x:c r="G220" t="n">
        <x:v>4</x:v>
      </x:c>
      <x:c r="H220" t="n">
        <x:v>150</x:v>
      </x:c>
      <x:c r="I220" t="n">
        <x:v>1.5</x:v>
      </x:c>
      <x:c r="J220" t="str"/>
      <x:c r="K220" t="str"/>
      <x:c r="L220" t="str">
        <x:v>OPEN</x:v>
      </x:c>
    </x:row>
    <x:row r="221">
      <x:c r="B221" t="str">
        <x:v>RFP-A2-TC-065</x:v>
      </x:c>
      <x:c r="C221" t="str">
        <x:v>RFP-A2</x:v>
      </x:c>
      <x:c r="D221" t="n">
        <x:v>7</x:v>
      </x:c>
      <x:c r="E221" t="n">
        <x:v>5</x:v>
      </x:c>
      <x:c r="F221" t="n">
        <x:v>4</x:v>
      </x:c>
      <x:c r="G221" t="n">
        <x:v>4</x:v>
      </x:c>
      <x:c r="H221" t="n">
        <x:v>150</x:v>
      </x:c>
      <x:c r="I221" t="n">
        <x:v>1.5</x:v>
      </x:c>
      <x:c r="J221" t="str"/>
      <x:c r="K221" t="str"/>
      <x:c r="L221" t="str">
        <x:v>OPEN</x:v>
      </x:c>
    </x:row>
    <x:row r="222">
      <x:c r="B222" t="str">
        <x:v>RFP-A2-TC-066</x:v>
      </x:c>
      <x:c r="C222" t="str">
        <x:v>RFP-A2</x:v>
      </x:c>
      <x:c r="D222" t="n">
        <x:v>7</x:v>
      </x:c>
      <x:c r="E222" t="n">
        <x:v>6</x:v>
      </x:c>
      <x:c r="F222" t="n">
        <x:v>4</x:v>
      </x:c>
      <x:c r="G222" t="n">
        <x:v>4</x:v>
      </x:c>
      <x:c r="H222" t="n">
        <x:v>150</x:v>
      </x:c>
      <x:c r="I222" t="n">
        <x:v>1.5</x:v>
      </x:c>
      <x:c r="J222" t="str"/>
      <x:c r="K222" t="str"/>
      <x:c r="L222" t="str">
        <x:v>OPEN</x:v>
      </x:c>
    </x:row>
    <x:row r="223">
      <x:c r="B223" t="str">
        <x:v>RFP-A2-TC-067</x:v>
      </x:c>
      <x:c r="C223" t="str">
        <x:v>RFP-A2</x:v>
      </x:c>
      <x:c r="D223" t="n">
        <x:v>7</x:v>
      </x:c>
      <x:c r="E223" t="n">
        <x:v>7</x:v>
      </x:c>
      <x:c r="F223" t="n">
        <x:v>4</x:v>
      </x:c>
      <x:c r="G223" t="n">
        <x:v>4</x:v>
      </x:c>
      <x:c r="H223" t="n">
        <x:v>150</x:v>
      </x:c>
      <x:c r="I223" t="n">
        <x:v>1.5</x:v>
      </x:c>
      <x:c r="J223" t="str"/>
      <x:c r="K223" t="str"/>
      <x:c r="L223" t="str">
        <x:v>OPEN</x:v>
      </x:c>
    </x:row>
    <x:row r="224">
      <x:c r="B224" t="str">
        <x:v>RFP-A2-TC-068</x:v>
      </x:c>
      <x:c r="C224" t="str">
        <x:v>RFP-A2</x:v>
      </x:c>
      <x:c r="D224" t="n">
        <x:v>7</x:v>
      </x:c>
      <x:c r="E224" t="n">
        <x:v>8</x:v>
      </x:c>
      <x:c r="F224" t="n">
        <x:v>4</x:v>
      </x:c>
      <x:c r="G224" t="n">
        <x:v>4</x:v>
      </x:c>
      <x:c r="H224" t="n">
        <x:v>150</x:v>
      </x:c>
      <x:c r="I224" t="n">
        <x:v>1.5</x:v>
      </x:c>
      <x:c r="J224" t="str"/>
      <x:c r="K224" t="str"/>
      <x:c r="L224" t="str">
        <x:v>OPEN</x:v>
      </x:c>
    </x:row>
    <x:row r="225">
      <x:c r="B225" t="str">
        <x:v>RFP-A2-TC-069</x:v>
      </x:c>
      <x:c r="C225" t="str">
        <x:v>RFP-A2</x:v>
      </x:c>
      <x:c r="D225" t="n">
        <x:v>7</x:v>
      </x:c>
      <x:c r="E225" t="n">
        <x:v>9</x:v>
      </x:c>
      <x:c r="F225" t="n">
        <x:v>4</x:v>
      </x:c>
      <x:c r="G225" t="n">
        <x:v>4</x:v>
      </x:c>
      <x:c r="H225" t="n">
        <x:v>150</x:v>
      </x:c>
      <x:c r="I225" t="n">
        <x:v>1.5</x:v>
      </x:c>
      <x:c r="J225" t="str"/>
      <x:c r="K225" t="str"/>
      <x:c r="L225" t="str">
        <x:v>OPEN</x:v>
      </x:c>
    </x:row>
    <x:row r="226">
      <x:c r="B226" t="str">
        <x:v>RFP-A2-TC-070</x:v>
      </x:c>
      <x:c r="C226" t="str">
        <x:v>RFP-A2</x:v>
      </x:c>
      <x:c r="D226" t="n">
        <x:v>7</x:v>
      </x:c>
      <x:c r="E226" t="n">
        <x:v>10</x:v>
      </x:c>
      <x:c r="F226" t="n">
        <x:v>4</x:v>
      </x:c>
      <x:c r="G226" t="n">
        <x:v>4</x:v>
      </x:c>
      <x:c r="H226" t="n">
        <x:v>150</x:v>
      </x:c>
      <x:c r="I226" t="n">
        <x:v>1.5</x:v>
      </x:c>
      <x:c r="J226" t="str"/>
      <x:c r="K226" t="str"/>
      <x:c r="L226" t="str">
        <x:v>OPEN</x:v>
      </x:c>
    </x:row>
    <x:row r="227">
      <x:c r="B227" t="str">
        <x:v>RFP-A2-TC-071</x:v>
      </x:c>
      <x:c r="C227" t="str">
        <x:v>RFP-A2</x:v>
      </x:c>
      <x:c r="D227" t="n">
        <x:v>8</x:v>
      </x:c>
      <x:c r="E227" t="n">
        <x:v>1</x:v>
      </x:c>
      <x:c r="F227" t="n">
        <x:v>4</x:v>
      </x:c>
      <x:c r="G227" t="n">
        <x:v>4</x:v>
      </x:c>
      <x:c r="H227" t="n">
        <x:v>150</x:v>
      </x:c>
      <x:c r="I227" t="n">
        <x:v>1.5</x:v>
      </x:c>
      <x:c r="J227" t="str"/>
      <x:c r="K227" t="str"/>
      <x:c r="L227" t="str">
        <x:v>OPEN</x:v>
      </x:c>
    </x:row>
    <x:row r="228">
      <x:c r="B228" t="str">
        <x:v>RFP-A2-TC-072</x:v>
      </x:c>
      <x:c r="C228" t="str">
        <x:v>RFP-A2</x:v>
      </x:c>
      <x:c r="D228" t="n">
        <x:v>8</x:v>
      </x:c>
      <x:c r="E228" t="n">
        <x:v>2</x:v>
      </x:c>
      <x:c r="F228" t="n">
        <x:v>4</x:v>
      </x:c>
      <x:c r="G228" t="n">
        <x:v>4</x:v>
      </x:c>
      <x:c r="H228" t="n">
        <x:v>150</x:v>
      </x:c>
      <x:c r="I228" t="n">
        <x:v>1.5</x:v>
      </x:c>
      <x:c r="J228" t="str"/>
      <x:c r="K228" t="str"/>
      <x:c r="L228" t="str">
        <x:v>OPEN</x:v>
      </x:c>
    </x:row>
    <x:row r="229">
      <x:c r="B229" t="str">
        <x:v>RFP-A2-TC-073</x:v>
      </x:c>
      <x:c r="C229" t="str">
        <x:v>RFP-A2</x:v>
      </x:c>
      <x:c r="D229" t="n">
        <x:v>8</x:v>
      </x:c>
      <x:c r="E229" t="n">
        <x:v>3</x:v>
      </x:c>
      <x:c r="F229" t="n">
        <x:v>4</x:v>
      </x:c>
      <x:c r="G229" t="n">
        <x:v>4</x:v>
      </x:c>
      <x:c r="H229" t="n">
        <x:v>150</x:v>
      </x:c>
      <x:c r="I229" t="n">
        <x:v>1.5</x:v>
      </x:c>
      <x:c r="J229" t="str"/>
      <x:c r="K229" t="str"/>
      <x:c r="L229" t="str">
        <x:v>OPEN</x:v>
      </x:c>
    </x:row>
    <x:row r="230">
      <x:c r="B230" t="str">
        <x:v>RFP-A2-TC-074</x:v>
      </x:c>
      <x:c r="C230" t="str">
        <x:v>RFP-A2</x:v>
      </x:c>
      <x:c r="D230" t="n">
        <x:v>8</x:v>
      </x:c>
      <x:c r="E230" t="n">
        <x:v>4</x:v>
      </x:c>
      <x:c r="F230" t="n">
        <x:v>4</x:v>
      </x:c>
      <x:c r="G230" t="n">
        <x:v>4</x:v>
      </x:c>
      <x:c r="H230" t="n">
        <x:v>150</x:v>
      </x:c>
      <x:c r="I230" t="n">
        <x:v>1.5</x:v>
      </x:c>
      <x:c r="J230" t="str"/>
      <x:c r="K230" t="str"/>
      <x:c r="L230" t="str">
        <x:v>OPEN</x:v>
      </x:c>
    </x:row>
    <x:row r="231">
      <x:c r="B231" t="str">
        <x:v>RFP-A2-TC-075</x:v>
      </x:c>
      <x:c r="C231" t="str">
        <x:v>RFP-A2</x:v>
      </x:c>
      <x:c r="D231" t="n">
        <x:v>8</x:v>
      </x:c>
      <x:c r="E231" t="n">
        <x:v>5</x:v>
      </x:c>
      <x:c r="F231" t="n">
        <x:v>4</x:v>
      </x:c>
      <x:c r="G231" t="n">
        <x:v>4</x:v>
      </x:c>
      <x:c r="H231" t="n">
        <x:v>150</x:v>
      </x:c>
      <x:c r="I231" t="n">
        <x:v>1.5</x:v>
      </x:c>
      <x:c r="J231" t="str"/>
      <x:c r="K231" t="str"/>
      <x:c r="L231" t="str">
        <x:v>OPEN</x:v>
      </x:c>
    </x:row>
    <x:row r="232">
      <x:c r="B232" t="str">
        <x:v>RFP-A2-TC-076</x:v>
      </x:c>
      <x:c r="C232" t="str">
        <x:v>RFP-A2</x:v>
      </x:c>
      <x:c r="D232" t="n">
        <x:v>8</x:v>
      </x:c>
      <x:c r="E232" t="n">
        <x:v>6</x:v>
      </x:c>
      <x:c r="F232" t="n">
        <x:v>4</x:v>
      </x:c>
      <x:c r="G232" t="n">
        <x:v>4</x:v>
      </x:c>
      <x:c r="H232" t="n">
        <x:v>150</x:v>
      </x:c>
      <x:c r="I232" t="n">
        <x:v>1.5</x:v>
      </x:c>
      <x:c r="J232" t="str"/>
      <x:c r="K232" t="str"/>
      <x:c r="L232" t="str">
        <x:v>OPEN</x:v>
      </x:c>
    </x:row>
    <x:row r="233">
      <x:c r="B233" t="str">
        <x:v>RFP-A2-TC-077</x:v>
      </x:c>
      <x:c r="C233" t="str">
        <x:v>RFP-A2</x:v>
      </x:c>
      <x:c r="D233" t="n">
        <x:v>8</x:v>
      </x:c>
      <x:c r="E233" t="n">
        <x:v>7</x:v>
      </x:c>
      <x:c r="F233" t="n">
        <x:v>4</x:v>
      </x:c>
      <x:c r="G233" t="n">
        <x:v>4</x:v>
      </x:c>
      <x:c r="H233" t="n">
        <x:v>150</x:v>
      </x:c>
      <x:c r="I233" t="n">
        <x:v>1.5</x:v>
      </x:c>
      <x:c r="J233" t="str"/>
      <x:c r="K233" t="str"/>
      <x:c r="L233" t="str">
        <x:v>OPEN</x:v>
      </x:c>
    </x:row>
    <x:row r="234">
      <x:c r="B234" t="str">
        <x:v>RFP-A2-TC-078</x:v>
      </x:c>
      <x:c r="C234" t="str">
        <x:v>RFP-A2</x:v>
      </x:c>
      <x:c r="D234" t="n">
        <x:v>8</x:v>
      </x:c>
      <x:c r="E234" t="n">
        <x:v>8</x:v>
      </x:c>
      <x:c r="F234" t="n">
        <x:v>4</x:v>
      </x:c>
      <x:c r="G234" t="n">
        <x:v>4</x:v>
      </x:c>
      <x:c r="H234" t="n">
        <x:v>150</x:v>
      </x:c>
      <x:c r="I234" t="n">
        <x:v>1.5</x:v>
      </x:c>
      <x:c r="J234" t="str"/>
      <x:c r="K234" t="str"/>
      <x:c r="L234" t="str">
        <x:v>OPEN</x:v>
      </x:c>
    </x:row>
    <x:row r="235">
      <x:c r="B235" t="str">
        <x:v>RFP-A2-TC-079</x:v>
      </x:c>
      <x:c r="C235" t="str">
        <x:v>RFP-A2</x:v>
      </x:c>
      <x:c r="D235" t="n">
        <x:v>8</x:v>
      </x:c>
      <x:c r="E235" t="n">
        <x:v>9</x:v>
      </x:c>
      <x:c r="F235" t="n">
        <x:v>4</x:v>
      </x:c>
      <x:c r="G235" t="n">
        <x:v>4</x:v>
      </x:c>
      <x:c r="H235" t="n">
        <x:v>150</x:v>
      </x:c>
      <x:c r="I235" t="n">
        <x:v>1.5</x:v>
      </x:c>
      <x:c r="J235" t="str"/>
      <x:c r="K235" t="str"/>
      <x:c r="L235" t="str">
        <x:v>OPEN</x:v>
      </x:c>
    </x:row>
    <x:row r="236">
      <x:c r="B236" t="str">
        <x:v>RFP-A2-TC-080</x:v>
      </x:c>
      <x:c r="C236" t="str">
        <x:v>RFP-A2</x:v>
      </x:c>
      <x:c r="D236" t="n">
        <x:v>8</x:v>
      </x:c>
      <x:c r="E236" t="n">
        <x:v>10</x:v>
      </x:c>
      <x:c r="F236" t="n">
        <x:v>4</x:v>
      </x:c>
      <x:c r="G236" t="n">
        <x:v>4</x:v>
      </x:c>
      <x:c r="H236" t="n">
        <x:v>150</x:v>
      </x:c>
      <x:c r="I236" t="n">
        <x:v>1.5</x:v>
      </x:c>
      <x:c r="J236" t="str"/>
      <x:c r="K236" t="str"/>
      <x:c r="L236" t="str">
        <x:v>OPEN</x:v>
      </x:c>
    </x:row>
    <x:row r="237">
      <x:c r="B237" t="str">
        <x:v>RFP-A2-TC-081</x:v>
      </x:c>
      <x:c r="C237" t="str">
        <x:v>RFP-A2</x:v>
      </x:c>
      <x:c r="D237" t="n">
        <x:v>9</x:v>
      </x:c>
      <x:c r="E237" t="n">
        <x:v>1</x:v>
      </x:c>
      <x:c r="F237" t="n">
        <x:v>4</x:v>
      </x:c>
      <x:c r="G237" t="n">
        <x:v>4</x:v>
      </x:c>
      <x:c r="H237" t="n">
        <x:v>150</x:v>
      </x:c>
      <x:c r="I237" t="n">
        <x:v>1.5</x:v>
      </x:c>
      <x:c r="J237" t="str"/>
      <x:c r="K237" t="str"/>
      <x:c r="L237" t="str">
        <x:v>OPEN</x:v>
      </x:c>
    </x:row>
    <x:row r="238">
      <x:c r="B238" t="str">
        <x:v>RFP-A2-TC-082</x:v>
      </x:c>
      <x:c r="C238" t="str">
        <x:v>RFP-A2</x:v>
      </x:c>
      <x:c r="D238" t="n">
        <x:v>9</x:v>
      </x:c>
      <x:c r="E238" t="n">
        <x:v>2</x:v>
      </x:c>
      <x:c r="F238" t="n">
        <x:v>4</x:v>
      </x:c>
      <x:c r="G238" t="n">
        <x:v>4</x:v>
      </x:c>
      <x:c r="H238" t="n">
        <x:v>150</x:v>
      </x:c>
      <x:c r="I238" t="n">
        <x:v>1.5</x:v>
      </x:c>
      <x:c r="J238" t="str"/>
      <x:c r="K238" t="str"/>
      <x:c r="L238" t="str">
        <x:v>OPEN</x:v>
      </x:c>
    </x:row>
    <x:row r="239">
      <x:c r="B239" t="str">
        <x:v>RFP-A2-TC-083</x:v>
      </x:c>
      <x:c r="C239" t="str">
        <x:v>RFP-A2</x:v>
      </x:c>
      <x:c r="D239" t="n">
        <x:v>9</x:v>
      </x:c>
      <x:c r="E239" t="n">
        <x:v>3</x:v>
      </x:c>
      <x:c r="F239" t="n">
        <x:v>4</x:v>
      </x:c>
      <x:c r="G239" t="n">
        <x:v>4</x:v>
      </x:c>
      <x:c r="H239" t="n">
        <x:v>150</x:v>
      </x:c>
      <x:c r="I239" t="n">
        <x:v>1.5</x:v>
      </x:c>
      <x:c r="J239" t="str"/>
      <x:c r="K239" t="str"/>
      <x:c r="L239" t="str">
        <x:v>OPEN</x:v>
      </x:c>
    </x:row>
    <x:row r="240">
      <x:c r="B240" t="str">
        <x:v>RFP-A2-TC-084</x:v>
      </x:c>
      <x:c r="C240" t="str">
        <x:v>RFP-A2</x:v>
      </x:c>
      <x:c r="D240" t="n">
        <x:v>9</x:v>
      </x:c>
      <x:c r="E240" t="n">
        <x:v>4</x:v>
      </x:c>
      <x:c r="F240" t="n">
        <x:v>4</x:v>
      </x:c>
      <x:c r="G240" t="n">
        <x:v>4</x:v>
      </x:c>
      <x:c r="H240" t="n">
        <x:v>150</x:v>
      </x:c>
      <x:c r="I240" t="n">
        <x:v>1.5</x:v>
      </x:c>
      <x:c r="J240" t="str"/>
      <x:c r="K240" t="str"/>
      <x:c r="L240" t="str">
        <x:v>OPEN</x:v>
      </x:c>
    </x:row>
    <x:row r="241">
      <x:c r="B241" t="str">
        <x:v>RFP-A2-TC-085</x:v>
      </x:c>
      <x:c r="C241" t="str">
        <x:v>RFP-A2</x:v>
      </x:c>
      <x:c r="D241" t="n">
        <x:v>9</x:v>
      </x:c>
      <x:c r="E241" t="n">
        <x:v>5</x:v>
      </x:c>
      <x:c r="F241" t="n">
        <x:v>4</x:v>
      </x:c>
      <x:c r="G241" t="n">
        <x:v>4</x:v>
      </x:c>
      <x:c r="H241" t="n">
        <x:v>150</x:v>
      </x:c>
      <x:c r="I241" t="n">
        <x:v>1.5</x:v>
      </x:c>
      <x:c r="J241" t="str"/>
      <x:c r="K241" t="str"/>
      <x:c r="L241" t="str">
        <x:v>OPEN</x:v>
      </x:c>
    </x:row>
    <x:row r="242">
      <x:c r="B242" t="str">
        <x:v>RFP-A2-TC-086</x:v>
      </x:c>
      <x:c r="C242" t="str">
        <x:v>RFP-A2</x:v>
      </x:c>
      <x:c r="D242" t="n">
        <x:v>9</x:v>
      </x:c>
      <x:c r="E242" t="n">
        <x:v>6</x:v>
      </x:c>
      <x:c r="F242" t="n">
        <x:v>4</x:v>
      </x:c>
      <x:c r="G242" t="n">
        <x:v>4</x:v>
      </x:c>
      <x:c r="H242" t="n">
        <x:v>150</x:v>
      </x:c>
      <x:c r="I242" t="n">
        <x:v>1.5</x:v>
      </x:c>
      <x:c r="J242" t="str"/>
      <x:c r="K242" t="str"/>
      <x:c r="L242" t="str">
        <x:v>OPEN</x:v>
      </x:c>
    </x:row>
    <x:row r="243">
      <x:c r="B243" t="str">
        <x:v>RFP-A2-TC-087</x:v>
      </x:c>
      <x:c r="C243" t="str">
        <x:v>RFP-A2</x:v>
      </x:c>
      <x:c r="D243" t="n">
        <x:v>9</x:v>
      </x:c>
      <x:c r="E243" t="n">
        <x:v>7</x:v>
      </x:c>
      <x:c r="F243" t="n">
        <x:v>4</x:v>
      </x:c>
      <x:c r="G243" t="n">
        <x:v>4</x:v>
      </x:c>
      <x:c r="H243" t="n">
        <x:v>150</x:v>
      </x:c>
      <x:c r="I243" t="n">
        <x:v>1.5</x:v>
      </x:c>
      <x:c r="J243" t="str"/>
      <x:c r="K243" t="str"/>
      <x:c r="L243" t="str">
        <x:v>OPEN</x:v>
      </x:c>
    </x:row>
    <x:row r="244">
      <x:c r="B244" t="str">
        <x:v>RFP-A2-TC-088</x:v>
      </x:c>
      <x:c r="C244" t="str">
        <x:v>RFP-A2</x:v>
      </x:c>
      <x:c r="D244" t="n">
        <x:v>9</x:v>
      </x:c>
      <x:c r="E244" t="n">
        <x:v>8</x:v>
      </x:c>
      <x:c r="F244" t="n">
        <x:v>4</x:v>
      </x:c>
      <x:c r="G244" t="n">
        <x:v>4</x:v>
      </x:c>
      <x:c r="H244" t="n">
        <x:v>150</x:v>
      </x:c>
      <x:c r="I244" t="n">
        <x:v>1.5</x:v>
      </x:c>
      <x:c r="J244" t="str"/>
      <x:c r="K244" t="str"/>
      <x:c r="L244" t="str">
        <x:v>OPEN</x:v>
      </x:c>
    </x:row>
    <x:row r="245">
      <x:c r="B245" t="str">
        <x:v>RFP-A2-TC-089</x:v>
      </x:c>
      <x:c r="C245" t="str">
        <x:v>RFP-A2</x:v>
      </x:c>
      <x:c r="D245" t="n">
        <x:v>9</x:v>
      </x:c>
      <x:c r="E245" t="n">
        <x:v>9</x:v>
      </x:c>
      <x:c r="F245" t="n">
        <x:v>4</x:v>
      </x:c>
      <x:c r="G245" t="n">
        <x:v>4</x:v>
      </x:c>
      <x:c r="H245" t="n">
        <x:v>150</x:v>
      </x:c>
      <x:c r="I245" t="n">
        <x:v>1.5</x:v>
      </x:c>
      <x:c r="J245" t="str"/>
      <x:c r="K245" t="str"/>
      <x:c r="L245" t="str">
        <x:v>OPEN</x:v>
      </x:c>
    </x:row>
    <x:row r="246">
      <x:c r="B246" t="str">
        <x:v>RFP-A2-TC-090</x:v>
      </x:c>
      <x:c r="C246" t="str">
        <x:v>RFP-A2</x:v>
      </x:c>
      <x:c r="D246" t="n">
        <x:v>9</x:v>
      </x:c>
      <x:c r="E246" t="n">
        <x:v>10</x:v>
      </x:c>
      <x:c r="F246" t="n">
        <x:v>4</x:v>
      </x:c>
      <x:c r="G246" t="n">
        <x:v>4</x:v>
      </x:c>
      <x:c r="H246" t="n">
        <x:v>150</x:v>
      </x:c>
      <x:c r="I246" t="n">
        <x:v>1.5</x:v>
      </x:c>
      <x:c r="J246" t="str"/>
      <x:c r="K246" t="str"/>
      <x:c r="L246" t="str">
        <x:v>OPEN</x:v>
      </x:c>
    </x:row>
    <x:row r="247">
      <x:c r="B247" t="str">
        <x:v>RFP-A2-TC-091</x:v>
      </x:c>
      <x:c r="C247" t="str">
        <x:v>RFP-A2</x:v>
      </x:c>
      <x:c r="D247" t="n">
        <x:v>10</x:v>
      </x:c>
      <x:c r="E247" t="n">
        <x:v>1</x:v>
      </x:c>
      <x:c r="F247" t="n">
        <x:v>4</x:v>
      </x:c>
      <x:c r="G247" t="n">
        <x:v>4</x:v>
      </x:c>
      <x:c r="H247" t="n">
        <x:v>150</x:v>
      </x:c>
      <x:c r="I247" t="n">
        <x:v>1.5</x:v>
      </x:c>
      <x:c r="J247" t="str"/>
      <x:c r="K247" t="str"/>
      <x:c r="L247" t="str">
        <x:v>OPEN</x:v>
      </x:c>
    </x:row>
    <x:row r="248">
      <x:c r="B248" t="str">
        <x:v>RFP-A2-TC-092</x:v>
      </x:c>
      <x:c r="C248" t="str">
        <x:v>RFP-A2</x:v>
      </x:c>
      <x:c r="D248" t="n">
        <x:v>10</x:v>
      </x:c>
      <x:c r="E248" t="n">
        <x:v>2</x:v>
      </x:c>
      <x:c r="F248" t="n">
        <x:v>4</x:v>
      </x:c>
      <x:c r="G248" t="n">
        <x:v>4</x:v>
      </x:c>
      <x:c r="H248" t="n">
        <x:v>150</x:v>
      </x:c>
      <x:c r="I248" t="n">
        <x:v>1.5</x:v>
      </x:c>
      <x:c r="J248" t="str"/>
      <x:c r="K248" t="str"/>
      <x:c r="L248" t="str">
        <x:v>OPEN</x:v>
      </x:c>
    </x:row>
    <x:row r="249">
      <x:c r="B249" t="str">
        <x:v>RFP-A2-TC-093</x:v>
      </x:c>
      <x:c r="C249" t="str">
        <x:v>RFP-A2</x:v>
      </x:c>
      <x:c r="D249" t="n">
        <x:v>10</x:v>
      </x:c>
      <x:c r="E249" t="n">
        <x:v>3</x:v>
      </x:c>
      <x:c r="F249" t="n">
        <x:v>4</x:v>
      </x:c>
      <x:c r="G249" t="n">
        <x:v>4</x:v>
      </x:c>
      <x:c r="H249" t="n">
        <x:v>150</x:v>
      </x:c>
      <x:c r="I249" t="n">
        <x:v>1.5</x:v>
      </x:c>
      <x:c r="J249" t="str"/>
      <x:c r="K249" t="str"/>
      <x:c r="L249" t="str">
        <x:v>OPEN</x:v>
      </x:c>
    </x:row>
    <x:row r="250">
      <x:c r="B250" t="str">
        <x:v>RFP-A2-TC-094</x:v>
      </x:c>
      <x:c r="C250" t="str">
        <x:v>RFP-A2</x:v>
      </x:c>
      <x:c r="D250" t="n">
        <x:v>10</x:v>
      </x:c>
      <x:c r="E250" t="n">
        <x:v>4</x:v>
      </x:c>
      <x:c r="F250" t="n">
        <x:v>4</x:v>
      </x:c>
      <x:c r="G250" t="n">
        <x:v>4</x:v>
      </x:c>
      <x:c r="H250" t="n">
        <x:v>150</x:v>
      </x:c>
      <x:c r="I250" t="n">
        <x:v>1.5</x:v>
      </x:c>
      <x:c r="J250" t="str"/>
      <x:c r="K250" t="str"/>
      <x:c r="L250" t="str">
        <x:v>OPEN</x:v>
      </x:c>
    </x:row>
    <x:row r="251">
      <x:c r="B251" t="str">
        <x:v>RFP-A2-TC-095</x:v>
      </x:c>
      <x:c r="C251" t="str">
        <x:v>RFP-A2</x:v>
      </x:c>
      <x:c r="D251" t="n">
        <x:v>10</x:v>
      </x:c>
      <x:c r="E251" t="n">
        <x:v>5</x:v>
      </x:c>
      <x:c r="F251" t="n">
        <x:v>4</x:v>
      </x:c>
      <x:c r="G251" t="n">
        <x:v>4</x:v>
      </x:c>
      <x:c r="H251" t="n">
        <x:v>150</x:v>
      </x:c>
      <x:c r="I251" t="n">
        <x:v>1.5</x:v>
      </x:c>
      <x:c r="J251" t="str"/>
      <x:c r="K251" t="str"/>
      <x:c r="L251" t="str">
        <x:v>OPEN</x:v>
      </x:c>
    </x:row>
    <x:row r="252">
      <x:c r="B252" t="str">
        <x:v>RFP-A2-TC-096</x:v>
      </x:c>
      <x:c r="C252" t="str">
        <x:v>RFP-A2</x:v>
      </x:c>
      <x:c r="D252" t="n">
        <x:v>10</x:v>
      </x:c>
      <x:c r="E252" t="n">
        <x:v>6</x:v>
      </x:c>
      <x:c r="F252" t="n">
        <x:v>4</x:v>
      </x:c>
      <x:c r="G252" t="n">
        <x:v>4</x:v>
      </x:c>
      <x:c r="H252" t="n">
        <x:v>150</x:v>
      </x:c>
      <x:c r="I252" t="n">
        <x:v>1.5</x:v>
      </x:c>
      <x:c r="J252" t="str"/>
      <x:c r="K252" t="str"/>
      <x:c r="L252" t="str">
        <x:v>OPEN</x:v>
      </x:c>
    </x:row>
    <x:row r="253">
      <x:c r="B253" t="str">
        <x:v>RFP-A2-TC-097</x:v>
      </x:c>
      <x:c r="C253" t="str">
        <x:v>RFP-A2</x:v>
      </x:c>
      <x:c r="D253" t="n">
        <x:v>10</x:v>
      </x:c>
      <x:c r="E253" t="n">
        <x:v>7</x:v>
      </x:c>
      <x:c r="F253" t="n">
        <x:v>4</x:v>
      </x:c>
      <x:c r="G253" t="n">
        <x:v>4</x:v>
      </x:c>
      <x:c r="H253" t="n">
        <x:v>150</x:v>
      </x:c>
      <x:c r="I253" t="n">
        <x:v>1.5</x:v>
      </x:c>
      <x:c r="J253" t="str"/>
      <x:c r="K253" t="str"/>
      <x:c r="L253" t="str">
        <x:v>OPEN</x:v>
      </x:c>
    </x:row>
    <x:row r="254">
      <x:c r="B254" t="str">
        <x:v>RFP-A2-TC-098</x:v>
      </x:c>
      <x:c r="C254" t="str">
        <x:v>RFP-A2</x:v>
      </x:c>
      <x:c r="D254" t="n">
        <x:v>10</x:v>
      </x:c>
      <x:c r="E254" t="n">
        <x:v>8</x:v>
      </x:c>
      <x:c r="F254" t="n">
        <x:v>4</x:v>
      </x:c>
      <x:c r="G254" t="n">
        <x:v>4</x:v>
      </x:c>
      <x:c r="H254" t="n">
        <x:v>150</x:v>
      </x:c>
      <x:c r="I254" t="n">
        <x:v>1.5</x:v>
      </x:c>
      <x:c r="J254" t="str"/>
      <x:c r="K254" t="str"/>
      <x:c r="L254" t="str">
        <x:v>OPEN</x:v>
      </x:c>
    </x:row>
    <x:row r="255">
      <x:c r="B255" t="str">
        <x:v>RFP-A2-TC-099</x:v>
      </x:c>
      <x:c r="C255" t="str">
        <x:v>RFP-A2</x:v>
      </x:c>
      <x:c r="D255" t="n">
        <x:v>10</x:v>
      </x:c>
      <x:c r="E255" t="n">
        <x:v>9</x:v>
      </x:c>
      <x:c r="F255" t="n">
        <x:v>4</x:v>
      </x:c>
      <x:c r="G255" t="n">
        <x:v>4</x:v>
      </x:c>
      <x:c r="H255" t="n">
        <x:v>150</x:v>
      </x:c>
      <x:c r="I255" t="n">
        <x:v>1.5</x:v>
      </x:c>
      <x:c r="J255" t="str"/>
      <x:c r="K255" t="str"/>
      <x:c r="L255" t="str">
        <x:v>OPEN</x:v>
      </x:c>
    </x:row>
    <x:row r="256">
      <x:c r="B256" t="str">
        <x:v>RFP-A2-TC-100</x:v>
      </x:c>
      <x:c r="C256" t="str">
        <x:v>RFP-A2</x:v>
      </x:c>
      <x:c r="D256" t="n">
        <x:v>10</x:v>
      </x:c>
      <x:c r="E256" t="n">
        <x:v>10</x:v>
      </x:c>
      <x:c r="F256" t="n">
        <x:v>4</x:v>
      </x:c>
      <x:c r="G256" t="n">
        <x:v>4</x:v>
      </x:c>
      <x:c r="H256" t="n">
        <x:v>150</x:v>
      </x:c>
      <x:c r="I256" t="n">
        <x:v>1.5</x:v>
      </x:c>
      <x:c r="J256" t="str"/>
      <x:c r="K256" t="str"/>
      <x:c r="L256" t="str">
        <x:v>OPEN</x:v>
      </x:c>
    </x:row>
    <x:row r="257">
      <x:c r="B257" t="str">
        <x:v>RFP-A2-TC-101</x:v>
      </x:c>
      <x:c r="C257" t="str">
        <x:v>RFP-A2</x:v>
      </x:c>
      <x:c r="D257" t="n">
        <x:v>11</x:v>
      </x:c>
      <x:c r="E257" t="n">
        <x:v>1</x:v>
      </x:c>
      <x:c r="F257" t="n">
        <x:v>4</x:v>
      </x:c>
      <x:c r="G257" t="n">
        <x:v>4</x:v>
      </x:c>
      <x:c r="H257" t="n">
        <x:v>150</x:v>
      </x:c>
      <x:c r="I257" t="n">
        <x:v>1.5</x:v>
      </x:c>
      <x:c r="J257" t="str"/>
      <x:c r="K257" t="str"/>
      <x:c r="L257" t="str">
        <x:v>OPEN</x:v>
      </x:c>
    </x:row>
    <x:row r="258">
      <x:c r="B258" t="str">
        <x:v>RFP-A2-TC-102</x:v>
      </x:c>
      <x:c r="C258" t="str">
        <x:v>RFP-A2</x:v>
      </x:c>
      <x:c r="D258" t="n">
        <x:v>11</x:v>
      </x:c>
      <x:c r="E258" t="n">
        <x:v>2</x:v>
      </x:c>
      <x:c r="F258" t="n">
        <x:v>4</x:v>
      </x:c>
      <x:c r="G258" t="n">
        <x:v>4</x:v>
      </x:c>
      <x:c r="H258" t="n">
        <x:v>150</x:v>
      </x:c>
      <x:c r="I258" t="n">
        <x:v>1.5</x:v>
      </x:c>
      <x:c r="J258" t="str"/>
      <x:c r="K258" t="str"/>
      <x:c r="L258" t="str">
        <x:v>OPEN</x:v>
      </x:c>
    </x:row>
    <x:row r="259">
      <x:c r="B259" t="str">
        <x:v>RFP-A2-TC-103</x:v>
      </x:c>
      <x:c r="C259" t="str">
        <x:v>RFP-A2</x:v>
      </x:c>
      <x:c r="D259" t="n">
        <x:v>11</x:v>
      </x:c>
      <x:c r="E259" t="n">
        <x:v>3</x:v>
      </x:c>
      <x:c r="F259" t="n">
        <x:v>4</x:v>
      </x:c>
      <x:c r="G259" t="n">
        <x:v>4</x:v>
      </x:c>
      <x:c r="H259" t="n">
        <x:v>150</x:v>
      </x:c>
      <x:c r="I259" t="n">
        <x:v>1.5</x:v>
      </x:c>
      <x:c r="J259" t="str"/>
      <x:c r="K259" t="str"/>
      <x:c r="L259" t="str">
        <x:v>OPEN</x:v>
      </x:c>
    </x:row>
    <x:row r="260">
      <x:c r="B260" t="str">
        <x:v>RFP-A2-TC-104</x:v>
      </x:c>
      <x:c r="C260" t="str">
        <x:v>RFP-A2</x:v>
      </x:c>
      <x:c r="D260" t="n">
        <x:v>11</x:v>
      </x:c>
      <x:c r="E260" t="n">
        <x:v>4</x:v>
      </x:c>
      <x:c r="F260" t="n">
        <x:v>4</x:v>
      </x:c>
      <x:c r="G260" t="n">
        <x:v>4</x:v>
      </x:c>
      <x:c r="H260" t="n">
        <x:v>150</x:v>
      </x:c>
      <x:c r="I260" t="n">
        <x:v>1.5</x:v>
      </x:c>
      <x:c r="J260" t="str"/>
      <x:c r="K260" t="str"/>
      <x:c r="L260" t="str">
        <x:v>OPEN</x:v>
      </x:c>
    </x:row>
    <x:row r="261">
      <x:c r="B261" t="str">
        <x:v>RFP-A2-TC-105</x:v>
      </x:c>
      <x:c r="C261" t="str">
        <x:v>RFP-A2</x:v>
      </x:c>
      <x:c r="D261" t="n">
        <x:v>11</x:v>
      </x:c>
      <x:c r="E261" t="n">
        <x:v>5</x:v>
      </x:c>
      <x:c r="F261" t="n">
        <x:v>4</x:v>
      </x:c>
      <x:c r="G261" t="n">
        <x:v>4</x:v>
      </x:c>
      <x:c r="H261" t="n">
        <x:v>150</x:v>
      </x:c>
      <x:c r="I261" t="n">
        <x:v>1.5</x:v>
      </x:c>
      <x:c r="J261" t="str"/>
      <x:c r="K261" t="str"/>
      <x:c r="L261" t="str">
        <x:v>OPEN</x:v>
      </x:c>
    </x:row>
    <x:row r="262">
      <x:c r="B262" t="str">
        <x:v>RFP-A2-TC-106</x:v>
      </x:c>
      <x:c r="C262" t="str">
        <x:v>RFP-A2</x:v>
      </x:c>
      <x:c r="D262" t="n">
        <x:v>11</x:v>
      </x:c>
      <x:c r="E262" t="n">
        <x:v>6</x:v>
      </x:c>
      <x:c r="F262" t="n">
        <x:v>4</x:v>
      </x:c>
      <x:c r="G262" t="n">
        <x:v>4</x:v>
      </x:c>
      <x:c r="H262" t="n">
        <x:v>150</x:v>
      </x:c>
      <x:c r="I262" t="n">
        <x:v>1.5</x:v>
      </x:c>
      <x:c r="J262" t="str"/>
      <x:c r="K262" t="str"/>
      <x:c r="L262" t="str">
        <x:v>OPEN</x:v>
      </x:c>
    </x:row>
    <x:row r="263">
      <x:c r="B263" t="str">
        <x:v>RFP-A2-TC-107</x:v>
      </x:c>
      <x:c r="C263" t="str">
        <x:v>RFP-A2</x:v>
      </x:c>
      <x:c r="D263" t="n">
        <x:v>11</x:v>
      </x:c>
      <x:c r="E263" t="n">
        <x:v>7</x:v>
      </x:c>
      <x:c r="F263" t="n">
        <x:v>4</x:v>
      </x:c>
      <x:c r="G263" t="n">
        <x:v>4</x:v>
      </x:c>
      <x:c r="H263" t="n">
        <x:v>150</x:v>
      </x:c>
      <x:c r="I263" t="n">
        <x:v>1.5</x:v>
      </x:c>
      <x:c r="J263" t="str"/>
      <x:c r="K263" t="str"/>
      <x:c r="L263" t="str">
        <x:v>OPEN</x:v>
      </x:c>
    </x:row>
    <x:row r="264">
      <x:c r="B264" t="str">
        <x:v>RFP-A2-TC-108</x:v>
      </x:c>
      <x:c r="C264" t="str">
        <x:v>RFP-A2</x:v>
      </x:c>
      <x:c r="D264" t="n">
        <x:v>11</x:v>
      </x:c>
      <x:c r="E264" t="n">
        <x:v>8</x:v>
      </x:c>
      <x:c r="F264" t="n">
        <x:v>4</x:v>
      </x:c>
      <x:c r="G264" t="n">
        <x:v>4</x:v>
      </x:c>
      <x:c r="H264" t="n">
        <x:v>150</x:v>
      </x:c>
      <x:c r="I264" t="n">
        <x:v>1.5</x:v>
      </x:c>
      <x:c r="J264" t="str"/>
      <x:c r="K264" t="str"/>
      <x:c r="L264" t="str">
        <x:v>OPEN</x:v>
      </x:c>
    </x:row>
    <x:row r="265">
      <x:c r="B265" t="str">
        <x:v>RFP-A2-TC-109</x:v>
      </x:c>
      <x:c r="C265" t="str">
        <x:v>RFP-A2</x:v>
      </x:c>
      <x:c r="D265" t="n">
        <x:v>11</x:v>
      </x:c>
      <x:c r="E265" t="n">
        <x:v>9</x:v>
      </x:c>
      <x:c r="F265" t="n">
        <x:v>4</x:v>
      </x:c>
      <x:c r="G265" t="n">
        <x:v>4</x:v>
      </x:c>
      <x:c r="H265" t="n">
        <x:v>150</x:v>
      </x:c>
      <x:c r="I265" t="n">
        <x:v>1.5</x:v>
      </x:c>
      <x:c r="J265" t="str"/>
      <x:c r="K265" t="str"/>
      <x:c r="L265" t="str">
        <x:v>OPEN</x:v>
      </x:c>
    </x:row>
    <x:row r="266">
      <x:c r="B266" t="str">
        <x:v>RFP-A2-TC-110</x:v>
      </x:c>
      <x:c r="C266" t="str">
        <x:v>RFP-A2</x:v>
      </x:c>
      <x:c r="D266" t="n">
        <x:v>11</x:v>
      </x:c>
      <x:c r="E266" t="n">
        <x:v>10</x:v>
      </x:c>
      <x:c r="F266" t="n">
        <x:v>4</x:v>
      </x:c>
      <x:c r="G266" t="n">
        <x:v>4</x:v>
      </x:c>
      <x:c r="H266" t="n">
        <x:v>150</x:v>
      </x:c>
      <x:c r="I266" t="n">
        <x:v>1.5</x:v>
      </x:c>
      <x:c r="J266" t="str"/>
      <x:c r="K266" t="str"/>
      <x:c r="L266" t="str">
        <x:v>OPEN</x:v>
      </x:c>
    </x:row>
    <x:row r="267">
      <x:c r="B267" t="str">
        <x:v>RFP-A2-TC-111</x:v>
      </x:c>
      <x:c r="C267" t="str">
        <x:v>RFP-A2</x:v>
      </x:c>
      <x:c r="D267" t="n">
        <x:v>12</x:v>
      </x:c>
      <x:c r="E267" t="n">
        <x:v>1</x:v>
      </x:c>
      <x:c r="F267" t="n">
        <x:v>4</x:v>
      </x:c>
      <x:c r="G267" t="n">
        <x:v>4</x:v>
      </x:c>
      <x:c r="H267" t="n">
        <x:v>150</x:v>
      </x:c>
      <x:c r="I267" t="n">
        <x:v>1.5</x:v>
      </x:c>
      <x:c r="J267" t="str"/>
      <x:c r="K267" t="str"/>
      <x:c r="L267" t="str">
        <x:v>OPEN</x:v>
      </x:c>
    </x:row>
    <x:row r="268">
      <x:c r="B268" t="str">
        <x:v>RFP-A2-TC-112</x:v>
      </x:c>
      <x:c r="C268" t="str">
        <x:v>RFP-A2</x:v>
      </x:c>
      <x:c r="D268" t="n">
        <x:v>12</x:v>
      </x:c>
      <x:c r="E268" t="n">
        <x:v>2</x:v>
      </x:c>
      <x:c r="F268" t="n">
        <x:v>4</x:v>
      </x:c>
      <x:c r="G268" t="n">
        <x:v>4</x:v>
      </x:c>
      <x:c r="H268" t="n">
        <x:v>150</x:v>
      </x:c>
      <x:c r="I268" t="n">
        <x:v>1.5</x:v>
      </x:c>
      <x:c r="J268" t="str"/>
      <x:c r="K268" t="str"/>
      <x:c r="L268" t="str">
        <x:v>OPEN</x:v>
      </x:c>
    </x:row>
    <x:row r="269">
      <x:c r="B269" t="str">
        <x:v>RFP-A2-TC-113</x:v>
      </x:c>
      <x:c r="C269" t="str">
        <x:v>RFP-A2</x:v>
      </x:c>
      <x:c r="D269" t="n">
        <x:v>12</x:v>
      </x:c>
      <x:c r="E269" t="n">
        <x:v>3</x:v>
      </x:c>
      <x:c r="F269" t="n">
        <x:v>4</x:v>
      </x:c>
      <x:c r="G269" t="n">
        <x:v>4</x:v>
      </x:c>
      <x:c r="H269" t="n">
        <x:v>150</x:v>
      </x:c>
      <x:c r="I269" t="n">
        <x:v>1.5</x:v>
      </x:c>
      <x:c r="J269" t="str"/>
      <x:c r="K269" t="str"/>
      <x:c r="L269" t="str">
        <x:v>OPEN</x:v>
      </x:c>
    </x:row>
    <x:row r="270">
      <x:c r="B270" t="str">
        <x:v>RFP-A2-TC-114</x:v>
      </x:c>
      <x:c r="C270" t="str">
        <x:v>RFP-A2</x:v>
      </x:c>
      <x:c r="D270" t="n">
        <x:v>12</x:v>
      </x:c>
      <x:c r="E270" t="n">
        <x:v>4</x:v>
      </x:c>
      <x:c r="F270" t="n">
        <x:v>4</x:v>
      </x:c>
      <x:c r="G270" t="n">
        <x:v>4</x:v>
      </x:c>
      <x:c r="H270" t="n">
        <x:v>150</x:v>
      </x:c>
      <x:c r="I270" t="n">
        <x:v>1.5</x:v>
      </x:c>
      <x:c r="J270" t="str"/>
      <x:c r="K270" t="str"/>
      <x:c r="L270" t="str">
        <x:v>OPEN</x:v>
      </x:c>
    </x:row>
    <x:row r="271">
      <x:c r="B271" t="str">
        <x:v>RFP-A2-TC-115</x:v>
      </x:c>
      <x:c r="C271" t="str">
        <x:v>RFP-A2</x:v>
      </x:c>
      <x:c r="D271" t="n">
        <x:v>12</x:v>
      </x:c>
      <x:c r="E271" t="n">
        <x:v>5</x:v>
      </x:c>
      <x:c r="F271" t="n">
        <x:v>4</x:v>
      </x:c>
      <x:c r="G271" t="n">
        <x:v>4</x:v>
      </x:c>
      <x:c r="H271" t="n">
        <x:v>150</x:v>
      </x:c>
      <x:c r="I271" t="n">
        <x:v>1.5</x:v>
      </x:c>
      <x:c r="J271" t="str"/>
      <x:c r="K271" t="str"/>
      <x:c r="L271" t="str">
        <x:v>OPEN</x:v>
      </x:c>
    </x:row>
    <x:row r="272">
      <x:c r="B272" t="str">
        <x:v>RFP-A2-TC-116</x:v>
      </x:c>
      <x:c r="C272" t="str">
        <x:v>RFP-A2</x:v>
      </x:c>
      <x:c r="D272" t="n">
        <x:v>12</x:v>
      </x:c>
      <x:c r="E272" t="n">
        <x:v>6</x:v>
      </x:c>
      <x:c r="F272" t="n">
        <x:v>4</x:v>
      </x:c>
      <x:c r="G272" t="n">
        <x:v>4</x:v>
      </x:c>
      <x:c r="H272" t="n">
        <x:v>150</x:v>
      </x:c>
      <x:c r="I272" t="n">
        <x:v>1.5</x:v>
      </x:c>
      <x:c r="J272" t="str"/>
      <x:c r="K272" t="str"/>
      <x:c r="L272" t="str">
        <x:v>OPEN</x:v>
      </x:c>
    </x:row>
    <x:row r="273">
      <x:c r="B273" t="str">
        <x:v>RFP-A2-TC-117</x:v>
      </x:c>
      <x:c r="C273" t="str">
        <x:v>RFP-A2</x:v>
      </x:c>
      <x:c r="D273" t="n">
        <x:v>12</x:v>
      </x:c>
      <x:c r="E273" t="n">
        <x:v>7</x:v>
      </x:c>
      <x:c r="F273" t="n">
        <x:v>4</x:v>
      </x:c>
      <x:c r="G273" t="n">
        <x:v>4</x:v>
      </x:c>
      <x:c r="H273" t="n">
        <x:v>150</x:v>
      </x:c>
      <x:c r="I273" t="n">
        <x:v>1.5</x:v>
      </x:c>
      <x:c r="J273" t="str"/>
      <x:c r="K273" t="str"/>
      <x:c r="L273" t="str">
        <x:v>OPEN</x:v>
      </x:c>
    </x:row>
    <x:row r="274">
      <x:c r="B274" t="str">
        <x:v>RFP-A2-TC-118</x:v>
      </x:c>
      <x:c r="C274" t="str">
        <x:v>RFP-A2</x:v>
      </x:c>
      <x:c r="D274" t="n">
        <x:v>12</x:v>
      </x:c>
      <x:c r="E274" t="n">
        <x:v>8</x:v>
      </x:c>
      <x:c r="F274" t="n">
        <x:v>4</x:v>
      </x:c>
      <x:c r="G274" t="n">
        <x:v>4</x:v>
      </x:c>
      <x:c r="H274" t="n">
        <x:v>150</x:v>
      </x:c>
      <x:c r="I274" t="n">
        <x:v>1.5</x:v>
      </x:c>
      <x:c r="J274" t="str"/>
      <x:c r="K274" t="str"/>
      <x:c r="L274" t="str">
        <x:v>OPEN</x:v>
      </x:c>
    </x:row>
    <x:row r="275">
      <x:c r="B275" t="str">
        <x:v>RFP-A2-TC-119</x:v>
      </x:c>
      <x:c r="C275" t="str">
        <x:v>RFP-A2</x:v>
      </x:c>
      <x:c r="D275" t="n">
        <x:v>12</x:v>
      </x:c>
      <x:c r="E275" t="n">
        <x:v>9</x:v>
      </x:c>
      <x:c r="F275" t="n">
        <x:v>4</x:v>
      </x:c>
      <x:c r="G275" t="n">
        <x:v>4</x:v>
      </x:c>
      <x:c r="H275" t="n">
        <x:v>150</x:v>
      </x:c>
      <x:c r="I275" t="n">
        <x:v>1.5</x:v>
      </x:c>
      <x:c r="J275" t="str"/>
      <x:c r="K275" t="str"/>
      <x:c r="L275" t="str">
        <x:v>OPEN</x:v>
      </x:c>
    </x:row>
    <x:row r="276">
      <x:c r="B276" t="str">
        <x:v>RFP-A2-TC-120</x:v>
      </x:c>
      <x:c r="C276" t="str">
        <x:v>RFP-A2</x:v>
      </x:c>
      <x:c r="D276" t="n">
        <x:v>12</x:v>
      </x:c>
      <x:c r="E276" t="n">
        <x:v>10</x:v>
      </x:c>
      <x:c r="F276" t="n">
        <x:v>4</x:v>
      </x:c>
      <x:c r="G276" t="n">
        <x:v>4</x:v>
      </x:c>
      <x:c r="H276" t="n">
        <x:v>150</x:v>
      </x:c>
      <x:c r="I276" t="n">
        <x:v>1.5</x:v>
      </x:c>
      <x:c r="J276" t="str"/>
      <x:c r="K276" t="str"/>
      <x:c r="L276" t="str">
        <x:v>OPEN</x:v>
      </x:c>
    </x:row>
    <x:row r="277">
      <x:c r="B277" t="str">
        <x:v>RFP-A2-TC-121</x:v>
      </x:c>
      <x:c r="C277" t="str">
        <x:v>RFP-A2</x:v>
      </x:c>
      <x:c r="D277" t="n">
        <x:v>13</x:v>
      </x:c>
      <x:c r="E277" t="n">
        <x:v>1</x:v>
      </x:c>
      <x:c r="F277" t="n">
        <x:v>4</x:v>
      </x:c>
      <x:c r="G277" t="n">
        <x:v>4</x:v>
      </x:c>
      <x:c r="H277" t="n">
        <x:v>150</x:v>
      </x:c>
      <x:c r="I277" t="n">
        <x:v>1.5</x:v>
      </x:c>
      <x:c r="J277" t="str"/>
      <x:c r="K277" t="str"/>
      <x:c r="L277" t="str">
        <x:v>OPEN</x:v>
      </x:c>
    </x:row>
    <x:row r="278">
      <x:c r="B278" t="str">
        <x:v>RFP-A2-TC-122</x:v>
      </x:c>
      <x:c r="C278" t="str">
        <x:v>RFP-A2</x:v>
      </x:c>
      <x:c r="D278" t="n">
        <x:v>13</x:v>
      </x:c>
      <x:c r="E278" t="n">
        <x:v>2</x:v>
      </x:c>
      <x:c r="F278" t="n">
        <x:v>4</x:v>
      </x:c>
      <x:c r="G278" t="n">
        <x:v>4</x:v>
      </x:c>
      <x:c r="H278" t="n">
        <x:v>150</x:v>
      </x:c>
      <x:c r="I278" t="n">
        <x:v>1.5</x:v>
      </x:c>
      <x:c r="J278" t="str"/>
      <x:c r="K278" t="str"/>
      <x:c r="L278" t="str">
        <x:v>OPEN</x:v>
      </x:c>
    </x:row>
    <x:row r="279">
      <x:c r="B279" t="str">
        <x:v>RFP-A2-TC-123</x:v>
      </x:c>
      <x:c r="C279" t="str">
        <x:v>RFP-A2</x:v>
      </x:c>
      <x:c r="D279" t="n">
        <x:v>13</x:v>
      </x:c>
      <x:c r="E279" t="n">
        <x:v>3</x:v>
      </x:c>
      <x:c r="F279" t="n">
        <x:v>4</x:v>
      </x:c>
      <x:c r="G279" t="n">
        <x:v>4</x:v>
      </x:c>
      <x:c r="H279" t="n">
        <x:v>150</x:v>
      </x:c>
      <x:c r="I279" t="n">
        <x:v>1.5</x:v>
      </x:c>
      <x:c r="J279" t="str"/>
      <x:c r="K279" t="str"/>
      <x:c r="L279" t="str">
        <x:v>OPEN</x:v>
      </x:c>
    </x:row>
    <x:row r="280">
      <x:c r="B280" t="str">
        <x:v>RFP-A2-TC-124</x:v>
      </x:c>
      <x:c r="C280" t="str">
        <x:v>RFP-A2</x:v>
      </x:c>
      <x:c r="D280" t="n">
        <x:v>13</x:v>
      </x:c>
      <x:c r="E280" t="n">
        <x:v>4</x:v>
      </x:c>
      <x:c r="F280" t="n">
        <x:v>4</x:v>
      </x:c>
      <x:c r="G280" t="n">
        <x:v>4</x:v>
      </x:c>
      <x:c r="H280" t="n">
        <x:v>150</x:v>
      </x:c>
      <x:c r="I280" t="n">
        <x:v>1.5</x:v>
      </x:c>
      <x:c r="J280" t="str"/>
      <x:c r="K280" t="str"/>
      <x:c r="L280" t="str">
        <x:v>OPEN</x:v>
      </x:c>
    </x:row>
    <x:row r="281">
      <x:c r="B281" t="str">
        <x:v>RFP-A2-TC-125</x:v>
      </x:c>
      <x:c r="C281" t="str">
        <x:v>RFP-A2</x:v>
      </x:c>
      <x:c r="D281" t="n">
        <x:v>13</x:v>
      </x:c>
      <x:c r="E281" t="n">
        <x:v>5</x:v>
      </x:c>
      <x:c r="F281" t="n">
        <x:v>4</x:v>
      </x:c>
      <x:c r="G281" t="n">
        <x:v>4</x:v>
      </x:c>
      <x:c r="H281" t="n">
        <x:v>150</x:v>
      </x:c>
      <x:c r="I281" t="n">
        <x:v>1.5</x:v>
      </x:c>
      <x:c r="J281" t="str"/>
      <x:c r="K281" t="str"/>
      <x:c r="L281" t="str">
        <x:v>OPEN</x:v>
      </x:c>
    </x:row>
    <x:row r="282">
      <x:c r="B282" t="str">
        <x:v>RFP-A2-TC-126</x:v>
      </x:c>
      <x:c r="C282" t="str">
        <x:v>RFP-A2</x:v>
      </x:c>
      <x:c r="D282" t="n">
        <x:v>13</x:v>
      </x:c>
      <x:c r="E282" t="n">
        <x:v>6</x:v>
      </x:c>
      <x:c r="F282" t="n">
        <x:v>4</x:v>
      </x:c>
      <x:c r="G282" t="n">
        <x:v>4</x:v>
      </x:c>
      <x:c r="H282" t="n">
        <x:v>150</x:v>
      </x:c>
      <x:c r="I282" t="n">
        <x:v>1.5</x:v>
      </x:c>
      <x:c r="J282" t="str"/>
      <x:c r="K282" t="str"/>
      <x:c r="L282" t="str">
        <x:v>OPEN</x:v>
      </x:c>
    </x:row>
    <x:row r="283">
      <x:c r="B283" t="str">
        <x:v>RFP-A2-TC-127</x:v>
      </x:c>
      <x:c r="C283" t="str">
        <x:v>RFP-A2</x:v>
      </x:c>
      <x:c r="D283" t="n">
        <x:v>13</x:v>
      </x:c>
      <x:c r="E283" t="n">
        <x:v>7</x:v>
      </x:c>
      <x:c r="F283" t="n">
        <x:v>4</x:v>
      </x:c>
      <x:c r="G283" t="n">
        <x:v>4</x:v>
      </x:c>
      <x:c r="H283" t="n">
        <x:v>150</x:v>
      </x:c>
      <x:c r="I283" t="n">
        <x:v>1.5</x:v>
      </x:c>
      <x:c r="J283" t="str"/>
      <x:c r="K283" t="str"/>
      <x:c r="L283" t="str">
        <x:v>OPEN</x:v>
      </x:c>
    </x:row>
    <x:row r="284">
      <x:c r="B284" t="str">
        <x:v>RFP-A2-TC-128</x:v>
      </x:c>
      <x:c r="C284" t="str">
        <x:v>RFP-A2</x:v>
      </x:c>
      <x:c r="D284" t="n">
        <x:v>13</x:v>
      </x:c>
      <x:c r="E284" t="n">
        <x:v>8</x:v>
      </x:c>
      <x:c r="F284" t="n">
        <x:v>4</x:v>
      </x:c>
      <x:c r="G284" t="n">
        <x:v>4</x:v>
      </x:c>
      <x:c r="H284" t="n">
        <x:v>150</x:v>
      </x:c>
      <x:c r="I284" t="n">
        <x:v>1.5</x:v>
      </x:c>
      <x:c r="J284" t="str"/>
      <x:c r="K284" t="str"/>
      <x:c r="L284" t="str">
        <x:v>OPEN</x:v>
      </x:c>
    </x:row>
    <x:row r="285">
      <x:c r="B285" t="str">
        <x:v>RFP-A2-TC-129</x:v>
      </x:c>
      <x:c r="C285" t="str">
        <x:v>RFP-A2</x:v>
      </x:c>
      <x:c r="D285" t="n">
        <x:v>13</x:v>
      </x:c>
      <x:c r="E285" t="n">
        <x:v>9</x:v>
      </x:c>
      <x:c r="F285" t="n">
        <x:v>4</x:v>
      </x:c>
      <x:c r="G285" t="n">
        <x:v>4</x:v>
      </x:c>
      <x:c r="H285" t="n">
        <x:v>150</x:v>
      </x:c>
      <x:c r="I285" t="n">
        <x:v>1.5</x:v>
      </x:c>
      <x:c r="J285" t="str"/>
      <x:c r="K285" t="str"/>
      <x:c r="L285" t="str">
        <x:v>OPEN</x:v>
      </x:c>
    </x:row>
    <x:row r="286">
      <x:c r="B286" t="str">
        <x:v>RFP-A2-TC-130</x:v>
      </x:c>
      <x:c r="C286" t="str">
        <x:v>RFP-A2</x:v>
      </x:c>
      <x:c r="D286" t="n">
        <x:v>13</x:v>
      </x:c>
      <x:c r="E286" t="n">
        <x:v>10</x:v>
      </x:c>
      <x:c r="F286" t="n">
        <x:v>4</x:v>
      </x:c>
      <x:c r="G286" t="n">
        <x:v>4</x:v>
      </x:c>
      <x:c r="H286" t="n">
        <x:v>150</x:v>
      </x:c>
      <x:c r="I286" t="n">
        <x:v>1.5</x:v>
      </x:c>
      <x:c r="J286" t="str"/>
      <x:c r="K286" t="str"/>
      <x:c r="L286" t="str">
        <x:v>OPEN</x:v>
      </x:c>
    </x:row>
    <x:row r="287">
      <x:c r="B287" t="str">
        <x:v>RFP-A2-TC-131</x:v>
      </x:c>
      <x:c r="C287" t="str">
        <x:v>RFP-A2</x:v>
      </x:c>
      <x:c r="D287" t="n">
        <x:v>14</x:v>
      </x:c>
      <x:c r="E287" t="n">
        <x:v>1</x:v>
      </x:c>
      <x:c r="F287" t="n">
        <x:v>4</x:v>
      </x:c>
      <x:c r="G287" t="n">
        <x:v>4</x:v>
      </x:c>
      <x:c r="H287" t="n">
        <x:v>150</x:v>
      </x:c>
      <x:c r="I287" t="n">
        <x:v>1.5</x:v>
      </x:c>
      <x:c r="J287" t="str"/>
      <x:c r="K287" t="str"/>
      <x:c r="L287" t="str">
        <x:v>OPEN</x:v>
      </x:c>
    </x:row>
    <x:row r="288">
      <x:c r="B288" t="str">
        <x:v>RFP-A2-TC-132</x:v>
      </x:c>
      <x:c r="C288" t="str">
        <x:v>RFP-A2</x:v>
      </x:c>
      <x:c r="D288" t="n">
        <x:v>14</x:v>
      </x:c>
      <x:c r="E288" t="n">
        <x:v>2</x:v>
      </x:c>
      <x:c r="F288" t="n">
        <x:v>4</x:v>
      </x:c>
      <x:c r="G288" t="n">
        <x:v>4</x:v>
      </x:c>
      <x:c r="H288" t="n">
        <x:v>150</x:v>
      </x:c>
      <x:c r="I288" t="n">
        <x:v>1.5</x:v>
      </x:c>
      <x:c r="J288" t="str"/>
      <x:c r="K288" t="str"/>
      <x:c r="L288" t="str">
        <x:v>OPEN</x:v>
      </x:c>
    </x:row>
    <x:row r="289">
      <x:c r="B289" t="str">
        <x:v>RFP-A2-TC-133</x:v>
      </x:c>
      <x:c r="C289" t="str">
        <x:v>RFP-A2</x:v>
      </x:c>
      <x:c r="D289" t="n">
        <x:v>14</x:v>
      </x:c>
      <x:c r="E289" t="n">
        <x:v>3</x:v>
      </x:c>
      <x:c r="F289" t="n">
        <x:v>4</x:v>
      </x:c>
      <x:c r="G289" t="n">
        <x:v>4</x:v>
      </x:c>
      <x:c r="H289" t="n">
        <x:v>150</x:v>
      </x:c>
      <x:c r="I289" t="n">
        <x:v>1.5</x:v>
      </x:c>
      <x:c r="J289" t="str"/>
      <x:c r="K289" t="str"/>
      <x:c r="L289" t="str">
        <x:v>OPEN</x:v>
      </x:c>
    </x:row>
    <x:row r="290">
      <x:c r="B290" t="str">
        <x:v>RFP-A2-TC-134</x:v>
      </x:c>
      <x:c r="C290" t="str">
        <x:v>RFP-A2</x:v>
      </x:c>
      <x:c r="D290" t="n">
        <x:v>14</x:v>
      </x:c>
      <x:c r="E290" t="n">
        <x:v>4</x:v>
      </x:c>
      <x:c r="F290" t="n">
        <x:v>4</x:v>
      </x:c>
      <x:c r="G290" t="n">
        <x:v>4</x:v>
      </x:c>
      <x:c r="H290" t="n">
        <x:v>150</x:v>
      </x:c>
      <x:c r="I290" t="n">
        <x:v>1.5</x:v>
      </x:c>
      <x:c r="J290" t="str"/>
      <x:c r="K290" t="str"/>
      <x:c r="L290" t="str">
        <x:v>OPEN</x:v>
      </x:c>
    </x:row>
    <x:row r="291">
      <x:c r="B291" t="str">
        <x:v>RFP-A2-TC-135</x:v>
      </x:c>
      <x:c r="C291" t="str">
        <x:v>RFP-A2</x:v>
      </x:c>
      <x:c r="D291" t="n">
        <x:v>14</x:v>
      </x:c>
      <x:c r="E291" t="n">
        <x:v>5</x:v>
      </x:c>
      <x:c r="F291" t="n">
        <x:v>4</x:v>
      </x:c>
      <x:c r="G291" t="n">
        <x:v>4</x:v>
      </x:c>
      <x:c r="H291" t="n">
        <x:v>150</x:v>
      </x:c>
      <x:c r="I291" t="n">
        <x:v>1.5</x:v>
      </x:c>
      <x:c r="J291" t="str"/>
      <x:c r="K291" t="str"/>
      <x:c r="L291" t="str">
        <x:v>OPEN</x:v>
      </x:c>
    </x:row>
    <x:row r="292">
      <x:c r="B292" t="str">
        <x:v>RFP-A2-TC-136</x:v>
      </x:c>
      <x:c r="C292" t="str">
        <x:v>RFP-A2</x:v>
      </x:c>
      <x:c r="D292" t="n">
        <x:v>14</x:v>
      </x:c>
      <x:c r="E292" t="n">
        <x:v>6</x:v>
      </x:c>
      <x:c r="F292" t="n">
        <x:v>4</x:v>
      </x:c>
      <x:c r="G292" t="n">
        <x:v>4</x:v>
      </x:c>
      <x:c r="H292" t="n">
        <x:v>150</x:v>
      </x:c>
      <x:c r="I292" t="n">
        <x:v>1.5</x:v>
      </x:c>
      <x:c r="J292" t="str"/>
      <x:c r="K292" t="str"/>
      <x:c r="L292" t="str">
        <x:v>OPEN</x:v>
      </x:c>
    </x:row>
    <x:row r="293">
      <x:c r="B293" t="str">
        <x:v>RFP-A2-TC-137</x:v>
      </x:c>
      <x:c r="C293" t="str">
        <x:v>RFP-A2</x:v>
      </x:c>
      <x:c r="D293" t="n">
        <x:v>14</x:v>
      </x:c>
      <x:c r="E293" t="n">
        <x:v>7</x:v>
      </x:c>
      <x:c r="F293" t="n">
        <x:v>4</x:v>
      </x:c>
      <x:c r="G293" t="n">
        <x:v>4</x:v>
      </x:c>
      <x:c r="H293" t="n">
        <x:v>150</x:v>
      </x:c>
      <x:c r="I293" t="n">
        <x:v>1.5</x:v>
      </x:c>
      <x:c r="J293" t="str"/>
      <x:c r="K293" t="str"/>
      <x:c r="L293" t="str">
        <x:v>OPEN</x:v>
      </x:c>
    </x:row>
    <x:row r="294">
      <x:c r="B294" t="str">
        <x:v>RFP-A2-TC-138</x:v>
      </x:c>
      <x:c r="C294" t="str">
        <x:v>RFP-A2</x:v>
      </x:c>
      <x:c r="D294" t="n">
        <x:v>14</x:v>
      </x:c>
      <x:c r="E294" t="n">
        <x:v>8</x:v>
      </x:c>
      <x:c r="F294" t="n">
        <x:v>4</x:v>
      </x:c>
      <x:c r="G294" t="n">
        <x:v>4</x:v>
      </x:c>
      <x:c r="H294" t="n">
        <x:v>150</x:v>
      </x:c>
      <x:c r="I294" t="n">
        <x:v>1.5</x:v>
      </x:c>
      <x:c r="J294" t="str"/>
      <x:c r="K294" t="str"/>
      <x:c r="L294" t="str">
        <x:v>OPEN</x:v>
      </x:c>
    </x:row>
    <x:row r="295">
      <x:c r="B295" t="str">
        <x:v>RFP-A2-TC-139</x:v>
      </x:c>
      <x:c r="C295" t="str">
        <x:v>RFP-A2</x:v>
      </x:c>
      <x:c r="D295" t="n">
        <x:v>14</x:v>
      </x:c>
      <x:c r="E295" t="n">
        <x:v>9</x:v>
      </x:c>
      <x:c r="F295" t="n">
        <x:v>4</x:v>
      </x:c>
      <x:c r="G295" t="n">
        <x:v>4</x:v>
      </x:c>
      <x:c r="H295" t="n">
        <x:v>150</x:v>
      </x:c>
      <x:c r="I295" t="n">
        <x:v>1.5</x:v>
      </x:c>
      <x:c r="J295" t="str"/>
      <x:c r="K295" t="str"/>
      <x:c r="L295" t="str">
        <x:v>OPEN</x:v>
      </x:c>
    </x:row>
    <x:row r="296">
      <x:c r="B296" t="str">
        <x:v>RFP-A2-TC-140</x:v>
      </x:c>
      <x:c r="C296" t="str">
        <x:v>RFP-A2</x:v>
      </x:c>
      <x:c r="D296" t="n">
        <x:v>14</x:v>
      </x:c>
      <x:c r="E296" t="n">
        <x:v>10</x:v>
      </x:c>
      <x:c r="F296" t="n">
        <x:v>4</x:v>
      </x:c>
      <x:c r="G296" t="n">
        <x:v>4</x:v>
      </x:c>
      <x:c r="H296" t="n">
        <x:v>150</x:v>
      </x:c>
      <x:c r="I296" t="n">
        <x:v>1.5</x:v>
      </x:c>
      <x:c r="J296" t="str"/>
      <x:c r="K296" t="str"/>
      <x:c r="L296" t="str">
        <x:v>OPEN</x:v>
      </x:c>
    </x:row>
    <x:row r="297">
      <x:c r="B297" t="str">
        <x:v>RFP-A2-TC-141</x:v>
      </x:c>
      <x:c r="C297" t="str">
        <x:v>RFP-A2</x:v>
      </x:c>
      <x:c r="D297" t="n">
        <x:v>15</x:v>
      </x:c>
      <x:c r="E297" t="n">
        <x:v>1</x:v>
      </x:c>
      <x:c r="F297" t="n">
        <x:v>4</x:v>
      </x:c>
      <x:c r="G297" t="n">
        <x:v>4</x:v>
      </x:c>
      <x:c r="H297" t="n">
        <x:v>150</x:v>
      </x:c>
      <x:c r="I297" t="n">
        <x:v>1.5</x:v>
      </x:c>
      <x:c r="J297" t="str"/>
      <x:c r="K297" t="str"/>
      <x:c r="L297" t="str">
        <x:v>OPEN</x:v>
      </x:c>
    </x:row>
    <x:row r="298">
      <x:c r="B298" t="str">
        <x:v>RFP-A2-TC-142</x:v>
      </x:c>
      <x:c r="C298" t="str">
        <x:v>RFP-A2</x:v>
      </x:c>
      <x:c r="D298" t="n">
        <x:v>15</x:v>
      </x:c>
      <x:c r="E298" t="n">
        <x:v>2</x:v>
      </x:c>
      <x:c r="F298" t="n">
        <x:v>4</x:v>
      </x:c>
      <x:c r="G298" t="n">
        <x:v>4</x:v>
      </x:c>
      <x:c r="H298" t="n">
        <x:v>150</x:v>
      </x:c>
      <x:c r="I298" t="n">
        <x:v>1.5</x:v>
      </x:c>
      <x:c r="J298" t="str"/>
      <x:c r="K298" t="str"/>
      <x:c r="L298" t="str">
        <x:v>OPEN</x:v>
      </x:c>
    </x:row>
    <x:row r="299">
      <x:c r="B299" t="str">
        <x:v>RFP-A2-TC-143</x:v>
      </x:c>
      <x:c r="C299" t="str">
        <x:v>RFP-A2</x:v>
      </x:c>
      <x:c r="D299" t="n">
        <x:v>15</x:v>
      </x:c>
      <x:c r="E299" t="n">
        <x:v>3</x:v>
      </x:c>
      <x:c r="F299" t="n">
        <x:v>4</x:v>
      </x:c>
      <x:c r="G299" t="n">
        <x:v>4</x:v>
      </x:c>
      <x:c r="H299" t="n">
        <x:v>150</x:v>
      </x:c>
      <x:c r="I299" t="n">
        <x:v>1.5</x:v>
      </x:c>
      <x:c r="J299" t="str"/>
      <x:c r="K299" t="str"/>
      <x:c r="L299" t="str">
        <x:v>OPEN</x:v>
      </x:c>
    </x:row>
    <x:row r="300">
      <x:c r="B300" t="str">
        <x:v>RFP-A2-TC-144</x:v>
      </x:c>
      <x:c r="C300" t="str">
        <x:v>RFP-A2</x:v>
      </x:c>
      <x:c r="D300" t="n">
        <x:v>15</x:v>
      </x:c>
      <x:c r="E300" t="n">
        <x:v>4</x:v>
      </x:c>
      <x:c r="F300" t="n">
        <x:v>4</x:v>
      </x:c>
      <x:c r="G300" t="n">
        <x:v>4</x:v>
      </x:c>
      <x:c r="H300" t="n">
        <x:v>150</x:v>
      </x:c>
      <x:c r="I300" t="n">
        <x:v>1.5</x:v>
      </x:c>
      <x:c r="J300" t="str"/>
      <x:c r="K300" t="str"/>
      <x:c r="L300" t="str">
        <x:v>OPEN</x:v>
      </x:c>
    </x:row>
    <x:row r="301">
      <x:c r="B301" t="str">
        <x:v>RFP-A2-TC-145</x:v>
      </x:c>
      <x:c r="C301" t="str">
        <x:v>RFP-A2</x:v>
      </x:c>
      <x:c r="D301" t="n">
        <x:v>15</x:v>
      </x:c>
      <x:c r="E301" t="n">
        <x:v>5</x:v>
      </x:c>
      <x:c r="F301" t="n">
        <x:v>4</x:v>
      </x:c>
      <x:c r="G301" t="n">
        <x:v>4</x:v>
      </x:c>
      <x:c r="H301" t="n">
        <x:v>150</x:v>
      </x:c>
      <x:c r="I301" t="n">
        <x:v>1.5</x:v>
      </x:c>
      <x:c r="J301" t="str"/>
      <x:c r="K301" t="str"/>
      <x:c r="L301" t="str">
        <x:v>OPEN</x:v>
      </x:c>
    </x:row>
    <x:row r="302">
      <x:c r="B302" t="str">
        <x:v>RFP-A2-TC-146</x:v>
      </x:c>
      <x:c r="C302" t="str">
        <x:v>RFP-A2</x:v>
      </x:c>
      <x:c r="D302" t="n">
        <x:v>15</x:v>
      </x:c>
      <x:c r="E302" t="n">
        <x:v>6</x:v>
      </x:c>
      <x:c r="F302" t="n">
        <x:v>4</x:v>
      </x:c>
      <x:c r="G302" t="n">
        <x:v>4</x:v>
      </x:c>
      <x:c r="H302" t="n">
        <x:v>150</x:v>
      </x:c>
      <x:c r="I302" t="n">
        <x:v>1.5</x:v>
      </x:c>
      <x:c r="J302" t="str"/>
      <x:c r="K302" t="str"/>
      <x:c r="L302" t="str">
        <x:v>OPEN</x:v>
      </x:c>
    </x:row>
    <x:row r="303">
      <x:c r="B303" t="str">
        <x:v>RFP-A2-TC-147</x:v>
      </x:c>
      <x:c r="C303" t="str">
        <x:v>RFP-A2</x:v>
      </x:c>
      <x:c r="D303" t="n">
        <x:v>15</x:v>
      </x:c>
      <x:c r="E303" t="n">
        <x:v>7</x:v>
      </x:c>
      <x:c r="F303" t="n">
        <x:v>4</x:v>
      </x:c>
      <x:c r="G303" t="n">
        <x:v>4</x:v>
      </x:c>
      <x:c r="H303" t="n">
        <x:v>150</x:v>
      </x:c>
      <x:c r="I303" t="n">
        <x:v>1.5</x:v>
      </x:c>
      <x:c r="J303" t="str"/>
      <x:c r="K303" t="str"/>
      <x:c r="L303" t="str">
        <x:v>OPEN</x:v>
      </x:c>
    </x:row>
    <x:row r="304">
      <x:c r="B304" t="str">
        <x:v>RFP-A2-TC-148</x:v>
      </x:c>
      <x:c r="C304" t="str">
        <x:v>RFP-A2</x:v>
      </x:c>
      <x:c r="D304" t="n">
        <x:v>15</x:v>
      </x:c>
      <x:c r="E304" t="n">
        <x:v>8</x:v>
      </x:c>
      <x:c r="F304" t="n">
        <x:v>4</x:v>
      </x:c>
      <x:c r="G304" t="n">
        <x:v>4</x:v>
      </x:c>
      <x:c r="H304" t="n">
        <x:v>150</x:v>
      </x:c>
      <x:c r="I304" t="n">
        <x:v>1.5</x:v>
      </x:c>
      <x:c r="J304" t="str"/>
      <x:c r="K304" t="str"/>
      <x:c r="L304" t="str">
        <x:v>OPEN</x:v>
      </x:c>
    </x:row>
    <x:row r="305">
      <x:c r="B305" t="str">
        <x:v>RFP-A2-TC-149</x:v>
      </x:c>
      <x:c r="C305" t="str">
        <x:v>RFP-A2</x:v>
      </x:c>
      <x:c r="D305" t="n">
        <x:v>15</x:v>
      </x:c>
      <x:c r="E305" t="n">
        <x:v>9</x:v>
      </x:c>
      <x:c r="F305" t="n">
        <x:v>4</x:v>
      </x:c>
      <x:c r="G305" t="n">
        <x:v>4</x:v>
      </x:c>
      <x:c r="H305" t="n">
        <x:v>150</x:v>
      </x:c>
      <x:c r="I305" t="n">
        <x:v>1.5</x:v>
      </x:c>
      <x:c r="J305" t="str"/>
      <x:c r="K305" t="str"/>
      <x:c r="L305" t="str">
        <x:v>OPEN</x:v>
      </x:c>
    </x:row>
    <x:row r="306">
      <x:c r="B306" t="str">
        <x:v>RFP-A2-TC-150</x:v>
      </x:c>
      <x:c r="C306" t="str">
        <x:v>RFP-A2</x:v>
      </x:c>
      <x:c r="D306" t="n">
        <x:v>15</x:v>
      </x:c>
      <x:c r="E306" t="n">
        <x:v>10</x:v>
      </x:c>
      <x:c r="F306" t="n">
        <x:v>4</x:v>
      </x:c>
      <x:c r="G306" t="n">
        <x:v>4</x:v>
      </x:c>
      <x:c r="H306" t="n">
        <x:v>150</x:v>
      </x:c>
      <x:c r="I306" t="n">
        <x:v>1.5</x:v>
      </x:c>
      <x:c r="J306" t="str"/>
      <x:c r="K306" t="str"/>
      <x:c r="L306" t="str">
        <x:v>OPEN</x:v>
      </x:c>
    </x:row>
    <x:row r="307">
      <x:c r="B307" t="str">
        <x:v>RFP-B1-TC-001</x:v>
      </x:c>
      <x:c r="C307" t="str">
        <x:v>RFP-B1</x:v>
      </x:c>
      <x:c r="D307" t="n">
        <x:v>1</x:v>
      </x:c>
      <x:c r="E307" t="n">
        <x:v>1</x:v>
      </x:c>
      <x:c r="F307" t="n">
        <x:v>4</x:v>
      </x:c>
      <x:c r="G307" t="n">
        <x:v>4</x:v>
      </x:c>
      <x:c r="H307" t="n">
        <x:v>150</x:v>
      </x:c>
      <x:c r="I307" t="n">
        <x:v>1.5</x:v>
      </x:c>
      <x:c r="J307" t="str"/>
      <x:c r="K307" t="str"/>
      <x:c r="L307" t="str">
        <x:v>OPEN</x:v>
      </x:c>
    </x:row>
    <x:row r="308">
      <x:c r="B308" t="str">
        <x:v>RFP-B1-TC-002</x:v>
      </x:c>
      <x:c r="C308" t="str">
        <x:v>RFP-B1</x:v>
      </x:c>
      <x:c r="D308" t="n">
        <x:v>1</x:v>
      </x:c>
      <x:c r="E308" t="n">
        <x:v>2</x:v>
      </x:c>
      <x:c r="F308" t="n">
        <x:v>4</x:v>
      </x:c>
      <x:c r="G308" t="n">
        <x:v>4</x:v>
      </x:c>
      <x:c r="H308" t="n">
        <x:v>150</x:v>
      </x:c>
      <x:c r="I308" t="n">
        <x:v>1.5</x:v>
      </x:c>
      <x:c r="J308" t="str"/>
      <x:c r="K308" t="str"/>
      <x:c r="L308" t="str">
        <x:v>OPEN</x:v>
      </x:c>
    </x:row>
    <x:row r="309">
      <x:c r="B309" t="str">
        <x:v>RFP-B1-TC-003</x:v>
      </x:c>
      <x:c r="C309" t="str">
        <x:v>RFP-B1</x:v>
      </x:c>
      <x:c r="D309" t="n">
        <x:v>1</x:v>
      </x:c>
      <x:c r="E309" t="n">
        <x:v>3</x:v>
      </x:c>
      <x:c r="F309" t="n">
        <x:v>4</x:v>
      </x:c>
      <x:c r="G309" t="n">
        <x:v>4</x:v>
      </x:c>
      <x:c r="H309" t="n">
        <x:v>150</x:v>
      </x:c>
      <x:c r="I309" t="n">
        <x:v>1.5</x:v>
      </x:c>
      <x:c r="J309" t="str"/>
      <x:c r="K309" t="str"/>
      <x:c r="L309" t="str">
        <x:v>OPEN</x:v>
      </x:c>
    </x:row>
    <x:row r="310">
      <x:c r="B310" t="str">
        <x:v>RFP-B1-TC-004</x:v>
      </x:c>
      <x:c r="C310" t="str">
        <x:v>RFP-B1</x:v>
      </x:c>
      <x:c r="D310" t="n">
        <x:v>1</x:v>
      </x:c>
      <x:c r="E310" t="n">
        <x:v>4</x:v>
      </x:c>
      <x:c r="F310" t="n">
        <x:v>4</x:v>
      </x:c>
      <x:c r="G310" t="n">
        <x:v>4</x:v>
      </x:c>
      <x:c r="H310" t="n">
        <x:v>150</x:v>
      </x:c>
      <x:c r="I310" t="n">
        <x:v>1.5</x:v>
      </x:c>
      <x:c r="J310" t="str"/>
      <x:c r="K310" t="str"/>
      <x:c r="L310" t="str">
        <x:v>OPEN</x:v>
      </x:c>
    </x:row>
    <x:row r="311">
      <x:c r="B311" t="str">
        <x:v>RFP-B1-TC-005</x:v>
      </x:c>
      <x:c r="C311" t="str">
        <x:v>RFP-B1</x:v>
      </x:c>
      <x:c r="D311" t="n">
        <x:v>1</x:v>
      </x:c>
      <x:c r="E311" t="n">
        <x:v>5</x:v>
      </x:c>
      <x:c r="F311" t="n">
        <x:v>4</x:v>
      </x:c>
      <x:c r="G311" t="n">
        <x:v>4</x:v>
      </x:c>
      <x:c r="H311" t="n">
        <x:v>150</x:v>
      </x:c>
      <x:c r="I311" t="n">
        <x:v>1.5</x:v>
      </x:c>
      <x:c r="J311" t="str"/>
      <x:c r="K311" t="str"/>
      <x:c r="L311" t="str">
        <x:v>OPEN</x:v>
      </x:c>
    </x:row>
    <x:row r="312">
      <x:c r="B312" t="str">
        <x:v>RFP-B1-TC-006</x:v>
      </x:c>
      <x:c r="C312" t="str">
        <x:v>RFP-B1</x:v>
      </x:c>
      <x:c r="D312" t="n">
        <x:v>1</x:v>
      </x:c>
      <x:c r="E312" t="n">
        <x:v>6</x:v>
      </x:c>
      <x:c r="F312" t="n">
        <x:v>4</x:v>
      </x:c>
      <x:c r="G312" t="n">
        <x:v>4</x:v>
      </x:c>
      <x:c r="H312" t="n">
        <x:v>150</x:v>
      </x:c>
      <x:c r="I312" t="n">
        <x:v>1.5</x:v>
      </x:c>
      <x:c r="J312" t="str"/>
      <x:c r="K312" t="str"/>
      <x:c r="L312" t="str">
        <x:v>OPEN</x:v>
      </x:c>
    </x:row>
    <x:row r="313">
      <x:c r="B313" t="str">
        <x:v>RFP-B1-TC-007</x:v>
      </x:c>
      <x:c r="C313" t="str">
        <x:v>RFP-B1</x:v>
      </x:c>
      <x:c r="D313" t="n">
        <x:v>1</x:v>
      </x:c>
      <x:c r="E313" t="n">
        <x:v>7</x:v>
      </x:c>
      <x:c r="F313" t="n">
        <x:v>4</x:v>
      </x:c>
      <x:c r="G313" t="n">
        <x:v>4</x:v>
      </x:c>
      <x:c r="H313" t="n">
        <x:v>150</x:v>
      </x:c>
      <x:c r="I313" t="n">
        <x:v>1.5</x:v>
      </x:c>
      <x:c r="J313" t="str"/>
      <x:c r="K313" t="str"/>
      <x:c r="L313" t="str">
        <x:v>OPEN</x:v>
      </x:c>
    </x:row>
    <x:row r="314">
      <x:c r="B314" t="str">
        <x:v>RFP-B1-TC-008</x:v>
      </x:c>
      <x:c r="C314" t="str">
        <x:v>RFP-B1</x:v>
      </x:c>
      <x:c r="D314" t="n">
        <x:v>1</x:v>
      </x:c>
      <x:c r="E314" t="n">
        <x:v>8</x:v>
      </x:c>
      <x:c r="F314" t="n">
        <x:v>4</x:v>
      </x:c>
      <x:c r="G314" t="n">
        <x:v>4</x:v>
      </x:c>
      <x:c r="H314" t="n">
        <x:v>150</x:v>
      </x:c>
      <x:c r="I314" t="n">
        <x:v>1.5</x:v>
      </x:c>
      <x:c r="J314" t="str"/>
      <x:c r="K314" t="str"/>
      <x:c r="L314" t="str">
        <x:v>OPEN</x:v>
      </x:c>
    </x:row>
    <x:row r="315">
      <x:c r="B315" t="str">
        <x:v>RFP-B1-TC-009</x:v>
      </x:c>
      <x:c r="C315" t="str">
        <x:v>RFP-B1</x:v>
      </x:c>
      <x:c r="D315" t="n">
        <x:v>1</x:v>
      </x:c>
      <x:c r="E315" t="n">
        <x:v>9</x:v>
      </x:c>
      <x:c r="F315" t="n">
        <x:v>4</x:v>
      </x:c>
      <x:c r="G315" t="n">
        <x:v>4</x:v>
      </x:c>
      <x:c r="H315" t="n">
        <x:v>150</x:v>
      </x:c>
      <x:c r="I315" t="n">
        <x:v>1.5</x:v>
      </x:c>
      <x:c r="J315" t="str"/>
      <x:c r="K315" t="str"/>
      <x:c r="L315" t="str">
        <x:v>OPEN</x:v>
      </x:c>
    </x:row>
    <x:row r="316">
      <x:c r="B316" t="str">
        <x:v>RFP-B1-TC-010</x:v>
      </x:c>
      <x:c r="C316" t="str">
        <x:v>RFP-B1</x:v>
      </x:c>
      <x:c r="D316" t="n">
        <x:v>1</x:v>
      </x:c>
      <x:c r="E316" t="n">
        <x:v>10</x:v>
      </x:c>
      <x:c r="F316" t="n">
        <x:v>4</x:v>
      </x:c>
      <x:c r="G316" t="n">
        <x:v>4</x:v>
      </x:c>
      <x:c r="H316" t="n">
        <x:v>150</x:v>
      </x:c>
      <x:c r="I316" t="n">
        <x:v>1.5</x:v>
      </x:c>
      <x:c r="J316" t="str"/>
      <x:c r="K316" t="str"/>
      <x:c r="L316" t="str">
        <x:v>OPEN</x:v>
      </x:c>
    </x:row>
    <x:row r="317">
      <x:c r="B317" t="str">
        <x:v>RFP-B1-TC-011</x:v>
      </x:c>
      <x:c r="C317" t="str">
        <x:v>RFP-B1</x:v>
      </x:c>
      <x:c r="D317" t="n">
        <x:v>2</x:v>
      </x:c>
      <x:c r="E317" t="n">
        <x:v>1</x:v>
      </x:c>
      <x:c r="F317" t="n">
        <x:v>4</x:v>
      </x:c>
      <x:c r="G317" t="n">
        <x:v>4</x:v>
      </x:c>
      <x:c r="H317" t="n">
        <x:v>150</x:v>
      </x:c>
      <x:c r="I317" t="n">
        <x:v>1.5</x:v>
      </x:c>
      <x:c r="J317" t="str"/>
      <x:c r="K317" t="str"/>
      <x:c r="L317" t="str">
        <x:v>OPEN</x:v>
      </x:c>
    </x:row>
    <x:row r="318">
      <x:c r="B318" t="str">
        <x:v>RFP-B1-TC-012</x:v>
      </x:c>
      <x:c r="C318" t="str">
        <x:v>RFP-B1</x:v>
      </x:c>
      <x:c r="D318" t="n">
        <x:v>2</x:v>
      </x:c>
      <x:c r="E318" t="n">
        <x:v>2</x:v>
      </x:c>
      <x:c r="F318" t="n">
        <x:v>4</x:v>
      </x:c>
      <x:c r="G318" t="n">
        <x:v>4</x:v>
      </x:c>
      <x:c r="H318" t="n">
        <x:v>150</x:v>
      </x:c>
      <x:c r="I318" t="n">
        <x:v>1.5</x:v>
      </x:c>
      <x:c r="J318" t="str"/>
      <x:c r="K318" t="str"/>
      <x:c r="L318" t="str">
        <x:v>OPEN</x:v>
      </x:c>
    </x:row>
    <x:row r="319">
      <x:c r="B319" t="str">
        <x:v>RFP-B1-TC-013</x:v>
      </x:c>
      <x:c r="C319" t="str">
        <x:v>RFP-B1</x:v>
      </x:c>
      <x:c r="D319" t="n">
        <x:v>2</x:v>
      </x:c>
      <x:c r="E319" t="n">
        <x:v>3</x:v>
      </x:c>
      <x:c r="F319" t="n">
        <x:v>4</x:v>
      </x:c>
      <x:c r="G319" t="n">
        <x:v>4</x:v>
      </x:c>
      <x:c r="H319" t="n">
        <x:v>150</x:v>
      </x:c>
      <x:c r="I319" t="n">
        <x:v>1.5</x:v>
      </x:c>
      <x:c r="J319" t="str"/>
      <x:c r="K319" t="str"/>
      <x:c r="L319" t="str">
        <x:v>OPEN</x:v>
      </x:c>
    </x:row>
    <x:row r="320">
      <x:c r="B320" t="str">
        <x:v>RFP-B1-TC-014</x:v>
      </x:c>
      <x:c r="C320" t="str">
        <x:v>RFP-B1</x:v>
      </x:c>
      <x:c r="D320" t="n">
        <x:v>2</x:v>
      </x:c>
      <x:c r="E320" t="n">
        <x:v>4</x:v>
      </x:c>
      <x:c r="F320" t="n">
        <x:v>4</x:v>
      </x:c>
      <x:c r="G320" t="n">
        <x:v>4</x:v>
      </x:c>
      <x:c r="H320" t="n">
        <x:v>150</x:v>
      </x:c>
      <x:c r="I320" t="n">
        <x:v>1.5</x:v>
      </x:c>
      <x:c r="J320" t="str"/>
      <x:c r="K320" t="str"/>
      <x:c r="L320" t="str">
        <x:v>OPEN</x:v>
      </x:c>
    </x:row>
    <x:row r="321">
      <x:c r="B321" t="str">
        <x:v>RFP-B1-TC-015</x:v>
      </x:c>
      <x:c r="C321" t="str">
        <x:v>RFP-B1</x:v>
      </x:c>
      <x:c r="D321" t="n">
        <x:v>2</x:v>
      </x:c>
      <x:c r="E321" t="n">
        <x:v>5</x:v>
      </x:c>
      <x:c r="F321" t="n">
        <x:v>4</x:v>
      </x:c>
      <x:c r="G321" t="n">
        <x:v>4</x:v>
      </x:c>
      <x:c r="H321" t="n">
        <x:v>150</x:v>
      </x:c>
      <x:c r="I321" t="n">
        <x:v>1.5</x:v>
      </x:c>
      <x:c r="J321" t="str"/>
      <x:c r="K321" t="str"/>
      <x:c r="L321" t="str">
        <x:v>OPEN</x:v>
      </x:c>
    </x:row>
    <x:row r="322">
      <x:c r="B322" t="str">
        <x:v>RFP-B1-TC-016</x:v>
      </x:c>
      <x:c r="C322" t="str">
        <x:v>RFP-B1</x:v>
      </x:c>
      <x:c r="D322" t="n">
        <x:v>2</x:v>
      </x:c>
      <x:c r="E322" t="n">
        <x:v>6</x:v>
      </x:c>
      <x:c r="F322" t="n">
        <x:v>4</x:v>
      </x:c>
      <x:c r="G322" t="n">
        <x:v>4</x:v>
      </x:c>
      <x:c r="H322" t="n">
        <x:v>150</x:v>
      </x:c>
      <x:c r="I322" t="n">
        <x:v>1.5</x:v>
      </x:c>
      <x:c r="J322" t="str"/>
      <x:c r="K322" t="str"/>
      <x:c r="L322" t="str">
        <x:v>OPEN</x:v>
      </x:c>
    </x:row>
    <x:row r="323">
      <x:c r="B323" t="str">
        <x:v>RFP-B1-TC-017</x:v>
      </x:c>
      <x:c r="C323" t="str">
        <x:v>RFP-B1</x:v>
      </x:c>
      <x:c r="D323" t="n">
        <x:v>2</x:v>
      </x:c>
      <x:c r="E323" t="n">
        <x:v>7</x:v>
      </x:c>
      <x:c r="F323" t="n">
        <x:v>4</x:v>
      </x:c>
      <x:c r="G323" t="n">
        <x:v>4</x:v>
      </x:c>
      <x:c r="H323" t="n">
        <x:v>150</x:v>
      </x:c>
      <x:c r="I323" t="n">
        <x:v>1.5</x:v>
      </x:c>
      <x:c r="J323" t="str"/>
      <x:c r="K323" t="str"/>
      <x:c r="L323" t="str">
        <x:v>OPEN</x:v>
      </x:c>
    </x:row>
    <x:row r="324">
      <x:c r="B324" t="str">
        <x:v>RFP-B1-TC-018</x:v>
      </x:c>
      <x:c r="C324" t="str">
        <x:v>RFP-B1</x:v>
      </x:c>
      <x:c r="D324" t="n">
        <x:v>2</x:v>
      </x:c>
      <x:c r="E324" t="n">
        <x:v>8</x:v>
      </x:c>
      <x:c r="F324" t="n">
        <x:v>4</x:v>
      </x:c>
      <x:c r="G324" t="n">
        <x:v>4</x:v>
      </x:c>
      <x:c r="H324" t="n">
        <x:v>150</x:v>
      </x:c>
      <x:c r="I324" t="n">
        <x:v>1.5</x:v>
      </x:c>
      <x:c r="J324" t="str"/>
      <x:c r="K324" t="str"/>
      <x:c r="L324" t="str">
        <x:v>OPEN</x:v>
      </x:c>
    </x:row>
    <x:row r="325">
      <x:c r="B325" t="str">
        <x:v>RFP-B1-TC-019</x:v>
      </x:c>
      <x:c r="C325" t="str">
        <x:v>RFP-B1</x:v>
      </x:c>
      <x:c r="D325" t="n">
        <x:v>2</x:v>
      </x:c>
      <x:c r="E325" t="n">
        <x:v>9</x:v>
      </x:c>
      <x:c r="F325" t="n">
        <x:v>4</x:v>
      </x:c>
      <x:c r="G325" t="n">
        <x:v>4</x:v>
      </x:c>
      <x:c r="H325" t="n">
        <x:v>150</x:v>
      </x:c>
      <x:c r="I325" t="n">
        <x:v>1.5</x:v>
      </x:c>
      <x:c r="J325" t="str"/>
      <x:c r="K325" t="str"/>
      <x:c r="L325" t="str">
        <x:v>OPEN</x:v>
      </x:c>
    </x:row>
    <x:row r="326">
      <x:c r="B326" t="str">
        <x:v>RFP-B1-TC-020</x:v>
      </x:c>
      <x:c r="C326" t="str">
        <x:v>RFP-B1</x:v>
      </x:c>
      <x:c r="D326" t="n">
        <x:v>2</x:v>
      </x:c>
      <x:c r="E326" t="n">
        <x:v>10</x:v>
      </x:c>
      <x:c r="F326" t="n">
        <x:v>4</x:v>
      </x:c>
      <x:c r="G326" t="n">
        <x:v>4</x:v>
      </x:c>
      <x:c r="H326" t="n">
        <x:v>150</x:v>
      </x:c>
      <x:c r="I326" t="n">
        <x:v>1.5</x:v>
      </x:c>
      <x:c r="J326" t="str"/>
      <x:c r="K326" t="str"/>
      <x:c r="L326" t="str">
        <x:v>OPEN</x:v>
      </x:c>
    </x:row>
    <x:row r="327">
      <x:c r="B327" t="str">
        <x:v>RFP-B1-TC-021</x:v>
      </x:c>
      <x:c r="C327" t="str">
        <x:v>RFP-B1</x:v>
      </x:c>
      <x:c r="D327" t="n">
        <x:v>3</x:v>
      </x:c>
      <x:c r="E327" t="n">
        <x:v>1</x:v>
      </x:c>
      <x:c r="F327" t="n">
        <x:v>4</x:v>
      </x:c>
      <x:c r="G327" t="n">
        <x:v>4</x:v>
      </x:c>
      <x:c r="H327" t="n">
        <x:v>150</x:v>
      </x:c>
      <x:c r="I327" t="n">
        <x:v>1.5</x:v>
      </x:c>
      <x:c r="J327" t="str"/>
      <x:c r="K327" t="str"/>
      <x:c r="L327" t="str">
        <x:v>OPEN</x:v>
      </x:c>
    </x:row>
    <x:row r="328">
      <x:c r="B328" t="str">
        <x:v>RFP-B1-TC-022</x:v>
      </x:c>
      <x:c r="C328" t="str">
        <x:v>RFP-B1</x:v>
      </x:c>
      <x:c r="D328" t="n">
        <x:v>3</x:v>
      </x:c>
      <x:c r="E328" t="n">
        <x:v>2</x:v>
      </x:c>
      <x:c r="F328" t="n">
        <x:v>4</x:v>
      </x:c>
      <x:c r="G328" t="n">
        <x:v>4</x:v>
      </x:c>
      <x:c r="H328" t="n">
        <x:v>150</x:v>
      </x:c>
      <x:c r="I328" t="n">
        <x:v>1.5</x:v>
      </x:c>
      <x:c r="J328" t="str"/>
      <x:c r="K328" t="str"/>
      <x:c r="L328" t="str">
        <x:v>OPEN</x:v>
      </x:c>
    </x:row>
    <x:row r="329">
      <x:c r="B329" t="str">
        <x:v>RFP-B1-TC-023</x:v>
      </x:c>
      <x:c r="C329" t="str">
        <x:v>RFP-B1</x:v>
      </x:c>
      <x:c r="D329" t="n">
        <x:v>3</x:v>
      </x:c>
      <x:c r="E329" t="n">
        <x:v>3</x:v>
      </x:c>
      <x:c r="F329" t="n">
        <x:v>4</x:v>
      </x:c>
      <x:c r="G329" t="n">
        <x:v>4</x:v>
      </x:c>
      <x:c r="H329" t="n">
        <x:v>150</x:v>
      </x:c>
      <x:c r="I329" t="n">
        <x:v>1.5</x:v>
      </x:c>
      <x:c r="J329" t="str"/>
      <x:c r="K329" t="str"/>
      <x:c r="L329" t="str">
        <x:v>OPEN</x:v>
      </x:c>
    </x:row>
    <x:row r="330">
      <x:c r="B330" t="str">
        <x:v>RFP-B1-TC-024</x:v>
      </x:c>
      <x:c r="C330" t="str">
        <x:v>RFP-B1</x:v>
      </x:c>
      <x:c r="D330" t="n">
        <x:v>3</x:v>
      </x:c>
      <x:c r="E330" t="n">
        <x:v>4</x:v>
      </x:c>
      <x:c r="F330" t="n">
        <x:v>4</x:v>
      </x:c>
      <x:c r="G330" t="n">
        <x:v>4</x:v>
      </x:c>
      <x:c r="H330" t="n">
        <x:v>150</x:v>
      </x:c>
      <x:c r="I330" t="n">
        <x:v>1.5</x:v>
      </x:c>
      <x:c r="J330" t="str"/>
      <x:c r="K330" t="str"/>
      <x:c r="L330" t="str">
        <x:v>OPEN</x:v>
      </x:c>
    </x:row>
    <x:row r="331">
      <x:c r="B331" t="str">
        <x:v>RFP-B1-TC-025</x:v>
      </x:c>
      <x:c r="C331" t="str">
        <x:v>RFP-B1</x:v>
      </x:c>
      <x:c r="D331" t="n">
        <x:v>3</x:v>
      </x:c>
      <x:c r="E331" t="n">
        <x:v>5</x:v>
      </x:c>
      <x:c r="F331" t="n">
        <x:v>4</x:v>
      </x:c>
      <x:c r="G331" t="n">
        <x:v>4</x:v>
      </x:c>
      <x:c r="H331" t="n">
        <x:v>150</x:v>
      </x:c>
      <x:c r="I331" t="n">
        <x:v>1.5</x:v>
      </x:c>
      <x:c r="J331" t="str"/>
      <x:c r="K331" t="str"/>
      <x:c r="L331" t="str">
        <x:v>OPEN</x:v>
      </x:c>
    </x:row>
    <x:row r="332">
      <x:c r="B332" t="str">
        <x:v>RFP-B1-TC-026</x:v>
      </x:c>
      <x:c r="C332" t="str">
        <x:v>RFP-B1</x:v>
      </x:c>
      <x:c r="D332" t="n">
        <x:v>3</x:v>
      </x:c>
      <x:c r="E332" t="n">
        <x:v>6</x:v>
      </x:c>
      <x:c r="F332" t="n">
        <x:v>4</x:v>
      </x:c>
      <x:c r="G332" t="n">
        <x:v>4</x:v>
      </x:c>
      <x:c r="H332" t="n">
        <x:v>150</x:v>
      </x:c>
      <x:c r="I332" t="n">
        <x:v>1.5</x:v>
      </x:c>
      <x:c r="J332" t="str"/>
      <x:c r="K332" t="str"/>
      <x:c r="L332" t="str">
        <x:v>OPEN</x:v>
      </x:c>
    </x:row>
    <x:row r="333">
      <x:c r="B333" t="str">
        <x:v>RFP-B1-TC-027</x:v>
      </x:c>
      <x:c r="C333" t="str">
        <x:v>RFP-B1</x:v>
      </x:c>
      <x:c r="D333" t="n">
        <x:v>3</x:v>
      </x:c>
      <x:c r="E333" t="n">
        <x:v>7</x:v>
      </x:c>
      <x:c r="F333" t="n">
        <x:v>4</x:v>
      </x:c>
      <x:c r="G333" t="n">
        <x:v>4</x:v>
      </x:c>
      <x:c r="H333" t="n">
        <x:v>150</x:v>
      </x:c>
      <x:c r="I333" t="n">
        <x:v>1.5</x:v>
      </x:c>
      <x:c r="J333" t="str"/>
      <x:c r="K333" t="str"/>
      <x:c r="L333" t="str">
        <x:v>OPEN</x:v>
      </x:c>
    </x:row>
    <x:row r="334">
      <x:c r="B334" t="str">
        <x:v>RFP-B1-TC-028</x:v>
      </x:c>
      <x:c r="C334" t="str">
        <x:v>RFP-B1</x:v>
      </x:c>
      <x:c r="D334" t="n">
        <x:v>3</x:v>
      </x:c>
      <x:c r="E334" t="n">
        <x:v>8</x:v>
      </x:c>
      <x:c r="F334" t="n">
        <x:v>4</x:v>
      </x:c>
      <x:c r="G334" t="n">
        <x:v>4</x:v>
      </x:c>
      <x:c r="H334" t="n">
        <x:v>150</x:v>
      </x:c>
      <x:c r="I334" t="n">
        <x:v>1.5</x:v>
      </x:c>
      <x:c r="J334" t="str"/>
      <x:c r="K334" t="str"/>
      <x:c r="L334" t="str">
        <x:v>OPEN</x:v>
      </x:c>
    </x:row>
    <x:row r="335">
      <x:c r="B335" t="str">
        <x:v>RFP-B1-TC-029</x:v>
      </x:c>
      <x:c r="C335" t="str">
        <x:v>RFP-B1</x:v>
      </x:c>
      <x:c r="D335" t="n">
        <x:v>3</x:v>
      </x:c>
      <x:c r="E335" t="n">
        <x:v>9</x:v>
      </x:c>
      <x:c r="F335" t="n">
        <x:v>4</x:v>
      </x:c>
      <x:c r="G335" t="n">
        <x:v>4</x:v>
      </x:c>
      <x:c r="H335" t="n">
        <x:v>150</x:v>
      </x:c>
      <x:c r="I335" t="n">
        <x:v>1.5</x:v>
      </x:c>
      <x:c r="J335" t="str"/>
      <x:c r="K335" t="str"/>
      <x:c r="L335" t="str">
        <x:v>OPEN</x:v>
      </x:c>
    </x:row>
    <x:row r="336">
      <x:c r="B336" t="str">
        <x:v>RFP-B1-TC-030</x:v>
      </x:c>
      <x:c r="C336" t="str">
        <x:v>RFP-B1</x:v>
      </x:c>
      <x:c r="D336" t="n">
        <x:v>3</x:v>
      </x:c>
      <x:c r="E336" t="n">
        <x:v>10</x:v>
      </x:c>
      <x:c r="F336" t="n">
        <x:v>4</x:v>
      </x:c>
      <x:c r="G336" t="n">
        <x:v>4</x:v>
      </x:c>
      <x:c r="H336" t="n">
        <x:v>150</x:v>
      </x:c>
      <x:c r="I336" t="n">
        <x:v>1.5</x:v>
      </x:c>
      <x:c r="J336" t="str"/>
      <x:c r="K336" t="str"/>
      <x:c r="L336" t="str">
        <x:v>OPEN</x:v>
      </x:c>
    </x:row>
    <x:row r="337">
      <x:c r="B337" t="str">
        <x:v>RFP-B1-TC-031</x:v>
      </x:c>
      <x:c r="C337" t="str">
        <x:v>RFP-B1</x:v>
      </x:c>
      <x:c r="D337" t="n">
        <x:v>4</x:v>
      </x:c>
      <x:c r="E337" t="n">
        <x:v>1</x:v>
      </x:c>
      <x:c r="F337" t="n">
        <x:v>4</x:v>
      </x:c>
      <x:c r="G337" t="n">
        <x:v>4</x:v>
      </x:c>
      <x:c r="H337" t="n">
        <x:v>150</x:v>
      </x:c>
      <x:c r="I337" t="n">
        <x:v>1.5</x:v>
      </x:c>
      <x:c r="J337" t="str"/>
      <x:c r="K337" t="str"/>
      <x:c r="L337" t="str">
        <x:v>OPEN</x:v>
      </x:c>
    </x:row>
    <x:row r="338">
      <x:c r="B338" t="str">
        <x:v>RFP-B1-TC-032</x:v>
      </x:c>
      <x:c r="C338" t="str">
        <x:v>RFP-B1</x:v>
      </x:c>
      <x:c r="D338" t="n">
        <x:v>4</x:v>
      </x:c>
      <x:c r="E338" t="n">
        <x:v>2</x:v>
      </x:c>
      <x:c r="F338" t="n">
        <x:v>4</x:v>
      </x:c>
      <x:c r="G338" t="n">
        <x:v>4</x:v>
      </x:c>
      <x:c r="H338" t="n">
        <x:v>150</x:v>
      </x:c>
      <x:c r="I338" t="n">
        <x:v>1.5</x:v>
      </x:c>
      <x:c r="J338" t="str"/>
      <x:c r="K338" t="str"/>
      <x:c r="L338" t="str">
        <x:v>OPEN</x:v>
      </x:c>
    </x:row>
    <x:row r="339">
      <x:c r="B339" t="str">
        <x:v>RFP-B1-TC-033</x:v>
      </x:c>
      <x:c r="C339" t="str">
        <x:v>RFP-B1</x:v>
      </x:c>
      <x:c r="D339" t="n">
        <x:v>4</x:v>
      </x:c>
      <x:c r="E339" t="n">
        <x:v>3</x:v>
      </x:c>
      <x:c r="F339" t="n">
        <x:v>4</x:v>
      </x:c>
      <x:c r="G339" t="n">
        <x:v>4</x:v>
      </x:c>
      <x:c r="H339" t="n">
        <x:v>150</x:v>
      </x:c>
      <x:c r="I339" t="n">
        <x:v>1.5</x:v>
      </x:c>
      <x:c r="J339" t="str"/>
      <x:c r="K339" t="str"/>
      <x:c r="L339" t="str">
        <x:v>OPEN</x:v>
      </x:c>
    </x:row>
    <x:row r="340">
      <x:c r="B340" t="str">
        <x:v>RFP-B1-TC-034</x:v>
      </x:c>
      <x:c r="C340" t="str">
        <x:v>RFP-B1</x:v>
      </x:c>
      <x:c r="D340" t="n">
        <x:v>4</x:v>
      </x:c>
      <x:c r="E340" t="n">
        <x:v>4</x:v>
      </x:c>
      <x:c r="F340" t="n">
        <x:v>4</x:v>
      </x:c>
      <x:c r="G340" t="n">
        <x:v>4</x:v>
      </x:c>
      <x:c r="H340" t="n">
        <x:v>150</x:v>
      </x:c>
      <x:c r="I340" t="n">
        <x:v>1.5</x:v>
      </x:c>
      <x:c r="J340" t="str"/>
      <x:c r="K340" t="str"/>
      <x:c r="L340" t="str">
        <x:v>OPEN</x:v>
      </x:c>
    </x:row>
    <x:row r="341">
      <x:c r="B341" t="str">
        <x:v>RFP-B1-TC-035</x:v>
      </x:c>
      <x:c r="C341" t="str">
        <x:v>RFP-B1</x:v>
      </x:c>
      <x:c r="D341" t="n">
        <x:v>4</x:v>
      </x:c>
      <x:c r="E341" t="n">
        <x:v>5</x:v>
      </x:c>
      <x:c r="F341" t="n">
        <x:v>4</x:v>
      </x:c>
      <x:c r="G341" t="n">
        <x:v>4</x:v>
      </x:c>
      <x:c r="H341" t="n">
        <x:v>150</x:v>
      </x:c>
      <x:c r="I341" t="n">
        <x:v>1.5</x:v>
      </x:c>
      <x:c r="J341" t="str"/>
      <x:c r="K341" t="str"/>
      <x:c r="L341" t="str">
        <x:v>OPEN</x:v>
      </x:c>
    </x:row>
    <x:row r="342">
      <x:c r="B342" t="str">
        <x:v>RFP-B1-TC-036</x:v>
      </x:c>
      <x:c r="C342" t="str">
        <x:v>RFP-B1</x:v>
      </x:c>
      <x:c r="D342" t="n">
        <x:v>4</x:v>
      </x:c>
      <x:c r="E342" t="n">
        <x:v>6</x:v>
      </x:c>
      <x:c r="F342" t="n">
        <x:v>4</x:v>
      </x:c>
      <x:c r="G342" t="n">
        <x:v>4</x:v>
      </x:c>
      <x:c r="H342" t="n">
        <x:v>150</x:v>
      </x:c>
      <x:c r="I342" t="n">
        <x:v>1.5</x:v>
      </x:c>
      <x:c r="J342" t="str"/>
      <x:c r="K342" t="str"/>
      <x:c r="L342" t="str">
        <x:v>OPEN</x:v>
      </x:c>
    </x:row>
    <x:row r="343">
      <x:c r="B343" t="str">
        <x:v>RFP-B1-TC-037</x:v>
      </x:c>
      <x:c r="C343" t="str">
        <x:v>RFP-B1</x:v>
      </x:c>
      <x:c r="D343" t="n">
        <x:v>4</x:v>
      </x:c>
      <x:c r="E343" t="n">
        <x:v>7</x:v>
      </x:c>
      <x:c r="F343" t="n">
        <x:v>4</x:v>
      </x:c>
      <x:c r="G343" t="n">
        <x:v>4</x:v>
      </x:c>
      <x:c r="H343" t="n">
        <x:v>150</x:v>
      </x:c>
      <x:c r="I343" t="n">
        <x:v>1.5</x:v>
      </x:c>
      <x:c r="J343" t="str"/>
      <x:c r="K343" t="str"/>
      <x:c r="L343" t="str">
        <x:v>OPEN</x:v>
      </x:c>
    </x:row>
    <x:row r="344">
      <x:c r="B344" t="str">
        <x:v>RFP-B1-TC-038</x:v>
      </x:c>
      <x:c r="C344" t="str">
        <x:v>RFP-B1</x:v>
      </x:c>
      <x:c r="D344" t="n">
        <x:v>4</x:v>
      </x:c>
      <x:c r="E344" t="n">
        <x:v>8</x:v>
      </x:c>
      <x:c r="F344" t="n">
        <x:v>4</x:v>
      </x:c>
      <x:c r="G344" t="n">
        <x:v>4</x:v>
      </x:c>
      <x:c r="H344" t="n">
        <x:v>150</x:v>
      </x:c>
      <x:c r="I344" t="n">
        <x:v>1.5</x:v>
      </x:c>
      <x:c r="J344" t="str"/>
      <x:c r="K344" t="str"/>
      <x:c r="L344" t="str">
        <x:v>OPEN</x:v>
      </x:c>
    </x:row>
    <x:row r="345">
      <x:c r="B345" t="str">
        <x:v>RFP-B1-TC-039</x:v>
      </x:c>
      <x:c r="C345" t="str">
        <x:v>RFP-B1</x:v>
      </x:c>
      <x:c r="D345" t="n">
        <x:v>4</x:v>
      </x:c>
      <x:c r="E345" t="n">
        <x:v>9</x:v>
      </x:c>
      <x:c r="F345" t="n">
        <x:v>4</x:v>
      </x:c>
      <x:c r="G345" t="n">
        <x:v>4</x:v>
      </x:c>
      <x:c r="H345" t="n">
        <x:v>150</x:v>
      </x:c>
      <x:c r="I345" t="n">
        <x:v>1.5</x:v>
      </x:c>
      <x:c r="J345" t="str"/>
      <x:c r="K345" t="str"/>
      <x:c r="L345" t="str">
        <x:v>OPEN</x:v>
      </x:c>
    </x:row>
    <x:row r="346">
      <x:c r="B346" t="str">
        <x:v>RFP-B1-TC-040</x:v>
      </x:c>
      <x:c r="C346" t="str">
        <x:v>RFP-B1</x:v>
      </x:c>
      <x:c r="D346" t="n">
        <x:v>4</x:v>
      </x:c>
      <x:c r="E346" t="n">
        <x:v>10</x:v>
      </x:c>
      <x:c r="F346" t="n">
        <x:v>4</x:v>
      </x:c>
      <x:c r="G346" t="n">
        <x:v>4</x:v>
      </x:c>
      <x:c r="H346" t="n">
        <x:v>150</x:v>
      </x:c>
      <x:c r="I346" t="n">
        <x:v>1.5</x:v>
      </x:c>
      <x:c r="J346" t="str"/>
      <x:c r="K346" t="str"/>
      <x:c r="L346" t="str">
        <x:v>OPEN</x:v>
      </x:c>
    </x:row>
    <x:row r="347">
      <x:c r="B347" t="str">
        <x:v>RFP-B1-TC-041</x:v>
      </x:c>
      <x:c r="C347" t="str">
        <x:v>RFP-B1</x:v>
      </x:c>
      <x:c r="D347" t="n">
        <x:v>5</x:v>
      </x:c>
      <x:c r="E347" t="n">
        <x:v>1</x:v>
      </x:c>
      <x:c r="F347" t="n">
        <x:v>4</x:v>
      </x:c>
      <x:c r="G347" t="n">
        <x:v>4</x:v>
      </x:c>
      <x:c r="H347" t="n">
        <x:v>150</x:v>
      </x:c>
      <x:c r="I347" t="n">
        <x:v>1.5</x:v>
      </x:c>
      <x:c r="J347" t="str"/>
      <x:c r="K347" t="str"/>
      <x:c r="L347" t="str">
        <x:v>OPEN</x:v>
      </x:c>
    </x:row>
    <x:row r="348">
      <x:c r="B348" t="str">
        <x:v>RFP-B1-TC-042</x:v>
      </x:c>
      <x:c r="C348" t="str">
        <x:v>RFP-B1</x:v>
      </x:c>
      <x:c r="D348" t="n">
        <x:v>5</x:v>
      </x:c>
      <x:c r="E348" t="n">
        <x:v>2</x:v>
      </x:c>
      <x:c r="F348" t="n">
        <x:v>4</x:v>
      </x:c>
      <x:c r="G348" t="n">
        <x:v>4</x:v>
      </x:c>
      <x:c r="H348" t="n">
        <x:v>150</x:v>
      </x:c>
      <x:c r="I348" t="n">
        <x:v>1.5</x:v>
      </x:c>
      <x:c r="J348" t="str"/>
      <x:c r="K348" t="str"/>
      <x:c r="L348" t="str">
        <x:v>OPEN</x:v>
      </x:c>
    </x:row>
    <x:row r="349">
      <x:c r="B349" t="str">
        <x:v>RFP-B1-TC-043</x:v>
      </x:c>
      <x:c r="C349" t="str">
        <x:v>RFP-B1</x:v>
      </x:c>
      <x:c r="D349" t="n">
        <x:v>5</x:v>
      </x:c>
      <x:c r="E349" t="n">
        <x:v>3</x:v>
      </x:c>
      <x:c r="F349" t="n">
        <x:v>4</x:v>
      </x:c>
      <x:c r="G349" t="n">
        <x:v>4</x:v>
      </x:c>
      <x:c r="H349" t="n">
        <x:v>150</x:v>
      </x:c>
      <x:c r="I349" t="n">
        <x:v>1.5</x:v>
      </x:c>
      <x:c r="J349" t="str"/>
      <x:c r="K349" t="str"/>
      <x:c r="L349" t="str">
        <x:v>OPEN</x:v>
      </x:c>
    </x:row>
    <x:row r="350">
      <x:c r="B350" t="str">
        <x:v>RFP-B1-TC-044</x:v>
      </x:c>
      <x:c r="C350" t="str">
        <x:v>RFP-B1</x:v>
      </x:c>
      <x:c r="D350" t="n">
        <x:v>5</x:v>
      </x:c>
      <x:c r="E350" t="n">
        <x:v>4</x:v>
      </x:c>
      <x:c r="F350" t="n">
        <x:v>4</x:v>
      </x:c>
      <x:c r="G350" t="n">
        <x:v>4</x:v>
      </x:c>
      <x:c r="H350" t="n">
        <x:v>150</x:v>
      </x:c>
      <x:c r="I350" t="n">
        <x:v>1.5</x:v>
      </x:c>
      <x:c r="J350" t="str"/>
      <x:c r="K350" t="str"/>
      <x:c r="L350" t="str">
        <x:v>OPEN</x:v>
      </x:c>
    </x:row>
    <x:row r="351">
      <x:c r="B351" t="str">
        <x:v>RFP-B1-TC-045</x:v>
      </x:c>
      <x:c r="C351" t="str">
        <x:v>RFP-B1</x:v>
      </x:c>
      <x:c r="D351" t="n">
        <x:v>5</x:v>
      </x:c>
      <x:c r="E351" t="n">
        <x:v>5</x:v>
      </x:c>
      <x:c r="F351" t="n">
        <x:v>4</x:v>
      </x:c>
      <x:c r="G351" t="n">
        <x:v>4</x:v>
      </x:c>
      <x:c r="H351" t="n">
        <x:v>150</x:v>
      </x:c>
      <x:c r="I351" t="n">
        <x:v>1.5</x:v>
      </x:c>
      <x:c r="J351" t="str"/>
      <x:c r="K351" t="str"/>
      <x:c r="L351" t="str">
        <x:v>OPEN</x:v>
      </x:c>
    </x:row>
    <x:row r="352">
      <x:c r="B352" t="str">
        <x:v>RFP-B1-TC-046</x:v>
      </x:c>
      <x:c r="C352" t="str">
        <x:v>RFP-B1</x:v>
      </x:c>
      <x:c r="D352" t="n">
        <x:v>5</x:v>
      </x:c>
      <x:c r="E352" t="n">
        <x:v>6</x:v>
      </x:c>
      <x:c r="F352" t="n">
        <x:v>4</x:v>
      </x:c>
      <x:c r="G352" t="n">
        <x:v>4</x:v>
      </x:c>
      <x:c r="H352" t="n">
        <x:v>150</x:v>
      </x:c>
      <x:c r="I352" t="n">
        <x:v>1.5</x:v>
      </x:c>
      <x:c r="J352" t="str"/>
      <x:c r="K352" t="str"/>
      <x:c r="L352" t="str">
        <x:v>OPEN</x:v>
      </x:c>
    </x:row>
    <x:row r="353">
      <x:c r="B353" t="str">
        <x:v>RFP-B1-TC-047</x:v>
      </x:c>
      <x:c r="C353" t="str">
        <x:v>RFP-B1</x:v>
      </x:c>
      <x:c r="D353" t="n">
        <x:v>5</x:v>
      </x:c>
      <x:c r="E353" t="n">
        <x:v>7</x:v>
      </x:c>
      <x:c r="F353" t="n">
        <x:v>4</x:v>
      </x:c>
      <x:c r="G353" t="n">
        <x:v>4</x:v>
      </x:c>
      <x:c r="H353" t="n">
        <x:v>150</x:v>
      </x:c>
      <x:c r="I353" t="n">
        <x:v>1.5</x:v>
      </x:c>
      <x:c r="J353" t="str"/>
      <x:c r="K353" t="str"/>
      <x:c r="L353" t="str">
        <x:v>OPEN</x:v>
      </x:c>
    </x:row>
    <x:row r="354">
      <x:c r="B354" t="str">
        <x:v>RFP-B1-TC-048</x:v>
      </x:c>
      <x:c r="C354" t="str">
        <x:v>RFP-B1</x:v>
      </x:c>
      <x:c r="D354" t="n">
        <x:v>5</x:v>
      </x:c>
      <x:c r="E354" t="n">
        <x:v>8</x:v>
      </x:c>
      <x:c r="F354" t="n">
        <x:v>4</x:v>
      </x:c>
      <x:c r="G354" t="n">
        <x:v>4</x:v>
      </x:c>
      <x:c r="H354" t="n">
        <x:v>150</x:v>
      </x:c>
      <x:c r="I354" t="n">
        <x:v>1.5</x:v>
      </x:c>
      <x:c r="J354" t="str"/>
      <x:c r="K354" t="str"/>
      <x:c r="L354" t="str">
        <x:v>OPEN</x:v>
      </x:c>
    </x:row>
    <x:row r="355">
      <x:c r="B355" t="str">
        <x:v>RFP-B1-TC-049</x:v>
      </x:c>
      <x:c r="C355" t="str">
        <x:v>RFP-B1</x:v>
      </x:c>
      <x:c r="D355" t="n">
        <x:v>5</x:v>
      </x:c>
      <x:c r="E355" t="n">
        <x:v>9</x:v>
      </x:c>
      <x:c r="F355" t="n">
        <x:v>4</x:v>
      </x:c>
      <x:c r="G355" t="n">
        <x:v>4</x:v>
      </x:c>
      <x:c r="H355" t="n">
        <x:v>150</x:v>
      </x:c>
      <x:c r="I355" t="n">
        <x:v>1.5</x:v>
      </x:c>
      <x:c r="J355" t="str"/>
      <x:c r="K355" t="str"/>
      <x:c r="L355" t="str">
        <x:v>OPEN</x:v>
      </x:c>
    </x:row>
    <x:row r="356">
      <x:c r="B356" t="str">
        <x:v>RFP-B1-TC-050</x:v>
      </x:c>
      <x:c r="C356" t="str">
        <x:v>RFP-B1</x:v>
      </x:c>
      <x:c r="D356" t="n">
        <x:v>5</x:v>
      </x:c>
      <x:c r="E356" t="n">
        <x:v>10</x:v>
      </x:c>
      <x:c r="F356" t="n">
        <x:v>4</x:v>
      </x:c>
      <x:c r="G356" t="n">
        <x:v>4</x:v>
      </x:c>
      <x:c r="H356" t="n">
        <x:v>150</x:v>
      </x:c>
      <x:c r="I356" t="n">
        <x:v>1.5</x:v>
      </x:c>
      <x:c r="J356" t="str"/>
      <x:c r="K356" t="str"/>
      <x:c r="L356" t="str">
        <x:v>OPEN</x:v>
      </x:c>
    </x:row>
    <x:row r="357">
      <x:c r="B357" t="str">
        <x:v>RFP-B1-TC-051</x:v>
      </x:c>
      <x:c r="C357" t="str">
        <x:v>RFP-B1</x:v>
      </x:c>
      <x:c r="D357" t="n">
        <x:v>6</x:v>
      </x:c>
      <x:c r="E357" t="n">
        <x:v>1</x:v>
      </x:c>
      <x:c r="F357" t="n">
        <x:v>4</x:v>
      </x:c>
      <x:c r="G357" t="n">
        <x:v>4</x:v>
      </x:c>
      <x:c r="H357" t="n">
        <x:v>150</x:v>
      </x:c>
      <x:c r="I357" t="n">
        <x:v>1.5</x:v>
      </x:c>
      <x:c r="J357" t="str"/>
      <x:c r="K357" t="str"/>
      <x:c r="L357" t="str">
        <x:v>OPEN</x:v>
      </x:c>
    </x:row>
    <x:row r="358">
      <x:c r="B358" t="str">
        <x:v>RFP-B1-TC-052</x:v>
      </x:c>
      <x:c r="C358" t="str">
        <x:v>RFP-B1</x:v>
      </x:c>
      <x:c r="D358" t="n">
        <x:v>6</x:v>
      </x:c>
      <x:c r="E358" t="n">
        <x:v>2</x:v>
      </x:c>
      <x:c r="F358" t="n">
        <x:v>4</x:v>
      </x:c>
      <x:c r="G358" t="n">
        <x:v>4</x:v>
      </x:c>
      <x:c r="H358" t="n">
        <x:v>150</x:v>
      </x:c>
      <x:c r="I358" t="n">
        <x:v>1.5</x:v>
      </x:c>
      <x:c r="J358" t="str"/>
      <x:c r="K358" t="str"/>
      <x:c r="L358" t="str">
        <x:v>OPEN</x:v>
      </x:c>
    </x:row>
    <x:row r="359">
      <x:c r="B359" t="str">
        <x:v>RFP-B1-TC-053</x:v>
      </x:c>
      <x:c r="C359" t="str">
        <x:v>RFP-B1</x:v>
      </x:c>
      <x:c r="D359" t="n">
        <x:v>6</x:v>
      </x:c>
      <x:c r="E359" t="n">
        <x:v>3</x:v>
      </x:c>
      <x:c r="F359" t="n">
        <x:v>4</x:v>
      </x:c>
      <x:c r="G359" t="n">
        <x:v>4</x:v>
      </x:c>
      <x:c r="H359" t="n">
        <x:v>150</x:v>
      </x:c>
      <x:c r="I359" t="n">
        <x:v>1.5</x:v>
      </x:c>
      <x:c r="J359" t="str"/>
      <x:c r="K359" t="str"/>
      <x:c r="L359" t="str">
        <x:v>OPEN</x:v>
      </x:c>
    </x:row>
    <x:row r="360">
      <x:c r="B360" t="str">
        <x:v>RFP-B1-TC-054</x:v>
      </x:c>
      <x:c r="C360" t="str">
        <x:v>RFP-B1</x:v>
      </x:c>
      <x:c r="D360" t="n">
        <x:v>6</x:v>
      </x:c>
      <x:c r="E360" t="n">
        <x:v>4</x:v>
      </x:c>
      <x:c r="F360" t="n">
        <x:v>4</x:v>
      </x:c>
      <x:c r="G360" t="n">
        <x:v>4</x:v>
      </x:c>
      <x:c r="H360" t="n">
        <x:v>150</x:v>
      </x:c>
      <x:c r="I360" t="n">
        <x:v>1.5</x:v>
      </x:c>
      <x:c r="J360" t="str"/>
      <x:c r="K360" t="str"/>
      <x:c r="L360" t="str">
        <x:v>OPEN</x:v>
      </x:c>
    </x:row>
    <x:row r="361">
      <x:c r="B361" t="str">
        <x:v>RFP-B1-TC-055</x:v>
      </x:c>
      <x:c r="C361" t="str">
        <x:v>RFP-B1</x:v>
      </x:c>
      <x:c r="D361" t="n">
        <x:v>6</x:v>
      </x:c>
      <x:c r="E361" t="n">
        <x:v>5</x:v>
      </x:c>
      <x:c r="F361" t="n">
        <x:v>4</x:v>
      </x:c>
      <x:c r="G361" t="n">
        <x:v>4</x:v>
      </x:c>
      <x:c r="H361" t="n">
        <x:v>150</x:v>
      </x:c>
      <x:c r="I361" t="n">
        <x:v>1.5</x:v>
      </x:c>
      <x:c r="J361" t="str"/>
      <x:c r="K361" t="str"/>
      <x:c r="L361" t="str">
        <x:v>OPEN</x:v>
      </x:c>
    </x:row>
    <x:row r="362">
      <x:c r="B362" t="str">
        <x:v>RFP-B1-TC-056</x:v>
      </x:c>
      <x:c r="C362" t="str">
        <x:v>RFP-B1</x:v>
      </x:c>
      <x:c r="D362" t="n">
        <x:v>6</x:v>
      </x:c>
      <x:c r="E362" t="n">
        <x:v>6</x:v>
      </x:c>
      <x:c r="F362" t="n">
        <x:v>4</x:v>
      </x:c>
      <x:c r="G362" t="n">
        <x:v>4</x:v>
      </x:c>
      <x:c r="H362" t="n">
        <x:v>150</x:v>
      </x:c>
      <x:c r="I362" t="n">
        <x:v>1.5</x:v>
      </x:c>
      <x:c r="J362" t="str"/>
      <x:c r="K362" t="str"/>
      <x:c r="L362" t="str">
        <x:v>OPEN</x:v>
      </x:c>
    </x:row>
    <x:row r="363">
      <x:c r="B363" t="str">
        <x:v>RFP-B1-TC-057</x:v>
      </x:c>
      <x:c r="C363" t="str">
        <x:v>RFP-B1</x:v>
      </x:c>
      <x:c r="D363" t="n">
        <x:v>6</x:v>
      </x:c>
      <x:c r="E363" t="n">
        <x:v>7</x:v>
      </x:c>
      <x:c r="F363" t="n">
        <x:v>4</x:v>
      </x:c>
      <x:c r="G363" t="n">
        <x:v>4</x:v>
      </x:c>
      <x:c r="H363" t="n">
        <x:v>150</x:v>
      </x:c>
      <x:c r="I363" t="n">
        <x:v>1.5</x:v>
      </x:c>
      <x:c r="J363" t="str"/>
      <x:c r="K363" t="str"/>
      <x:c r="L363" t="str">
        <x:v>OPEN</x:v>
      </x:c>
    </x:row>
    <x:row r="364">
      <x:c r="B364" t="str">
        <x:v>RFP-B1-TC-058</x:v>
      </x:c>
      <x:c r="C364" t="str">
        <x:v>RFP-B1</x:v>
      </x:c>
      <x:c r="D364" t="n">
        <x:v>6</x:v>
      </x:c>
      <x:c r="E364" t="n">
        <x:v>8</x:v>
      </x:c>
      <x:c r="F364" t="n">
        <x:v>4</x:v>
      </x:c>
      <x:c r="G364" t="n">
        <x:v>4</x:v>
      </x:c>
      <x:c r="H364" t="n">
        <x:v>150</x:v>
      </x:c>
      <x:c r="I364" t="n">
        <x:v>1.5</x:v>
      </x:c>
      <x:c r="J364" t="str"/>
      <x:c r="K364" t="str"/>
      <x:c r="L364" t="str">
        <x:v>OPEN</x:v>
      </x:c>
    </x:row>
    <x:row r="365">
      <x:c r="B365" t="str">
        <x:v>RFP-B1-TC-059</x:v>
      </x:c>
      <x:c r="C365" t="str">
        <x:v>RFP-B1</x:v>
      </x:c>
      <x:c r="D365" t="n">
        <x:v>6</x:v>
      </x:c>
      <x:c r="E365" t="n">
        <x:v>9</x:v>
      </x:c>
      <x:c r="F365" t="n">
        <x:v>4</x:v>
      </x:c>
      <x:c r="G365" t="n">
        <x:v>4</x:v>
      </x:c>
      <x:c r="H365" t="n">
        <x:v>150</x:v>
      </x:c>
      <x:c r="I365" t="n">
        <x:v>1.5</x:v>
      </x:c>
      <x:c r="J365" t="str"/>
      <x:c r="K365" t="str"/>
      <x:c r="L365" t="str">
        <x:v>OPEN</x:v>
      </x:c>
    </x:row>
    <x:row r="366">
      <x:c r="B366" t="str">
        <x:v>RFP-B1-TC-060</x:v>
      </x:c>
      <x:c r="C366" t="str">
        <x:v>RFP-B1</x:v>
      </x:c>
      <x:c r="D366" t="n">
        <x:v>6</x:v>
      </x:c>
      <x:c r="E366" t="n">
        <x:v>10</x:v>
      </x:c>
      <x:c r="F366" t="n">
        <x:v>4</x:v>
      </x:c>
      <x:c r="G366" t="n">
        <x:v>4</x:v>
      </x:c>
      <x:c r="H366" t="n">
        <x:v>150</x:v>
      </x:c>
      <x:c r="I366" t="n">
        <x:v>1.5</x:v>
      </x:c>
      <x:c r="J366" t="str"/>
      <x:c r="K366" t="str"/>
      <x:c r="L366" t="str">
        <x:v>OPEN</x:v>
      </x:c>
    </x:row>
    <x:row r="367">
      <x:c r="B367" t="str">
        <x:v>RFP-B1-TC-061</x:v>
      </x:c>
      <x:c r="C367" t="str">
        <x:v>RFP-B1</x:v>
      </x:c>
      <x:c r="D367" t="n">
        <x:v>7</x:v>
      </x:c>
      <x:c r="E367" t="n">
        <x:v>1</x:v>
      </x:c>
      <x:c r="F367" t="n">
        <x:v>4</x:v>
      </x:c>
      <x:c r="G367" t="n">
        <x:v>4</x:v>
      </x:c>
      <x:c r="H367" t="n">
        <x:v>150</x:v>
      </x:c>
      <x:c r="I367" t="n">
        <x:v>1.5</x:v>
      </x:c>
      <x:c r="J367" t="str"/>
      <x:c r="K367" t="str"/>
      <x:c r="L367" t="str">
        <x:v>OPEN</x:v>
      </x:c>
    </x:row>
    <x:row r="368">
      <x:c r="B368" t="str">
        <x:v>RFP-B1-TC-062</x:v>
      </x:c>
      <x:c r="C368" t="str">
        <x:v>RFP-B1</x:v>
      </x:c>
      <x:c r="D368" t="n">
        <x:v>7</x:v>
      </x:c>
      <x:c r="E368" t="n">
        <x:v>2</x:v>
      </x:c>
      <x:c r="F368" t="n">
        <x:v>4</x:v>
      </x:c>
      <x:c r="G368" t="n">
        <x:v>4</x:v>
      </x:c>
      <x:c r="H368" t="n">
        <x:v>150</x:v>
      </x:c>
      <x:c r="I368" t="n">
        <x:v>1.5</x:v>
      </x:c>
      <x:c r="J368" t="str"/>
      <x:c r="K368" t="str"/>
      <x:c r="L368" t="str">
        <x:v>OPEN</x:v>
      </x:c>
    </x:row>
    <x:row r="369">
      <x:c r="B369" t="str">
        <x:v>RFP-B1-TC-063</x:v>
      </x:c>
      <x:c r="C369" t="str">
        <x:v>RFP-B1</x:v>
      </x:c>
      <x:c r="D369" t="n">
        <x:v>7</x:v>
      </x:c>
      <x:c r="E369" t="n">
        <x:v>3</x:v>
      </x:c>
      <x:c r="F369" t="n">
        <x:v>4</x:v>
      </x:c>
      <x:c r="G369" t="n">
        <x:v>4</x:v>
      </x:c>
      <x:c r="H369" t="n">
        <x:v>150</x:v>
      </x:c>
      <x:c r="I369" t="n">
        <x:v>1.5</x:v>
      </x:c>
      <x:c r="J369" t="str"/>
      <x:c r="K369" t="str"/>
      <x:c r="L369" t="str">
        <x:v>OPEN</x:v>
      </x:c>
    </x:row>
    <x:row r="370">
      <x:c r="B370" t="str">
        <x:v>RFP-B1-TC-064</x:v>
      </x:c>
      <x:c r="C370" t="str">
        <x:v>RFP-B1</x:v>
      </x:c>
      <x:c r="D370" t="n">
        <x:v>7</x:v>
      </x:c>
      <x:c r="E370" t="n">
        <x:v>4</x:v>
      </x:c>
      <x:c r="F370" t="n">
        <x:v>4</x:v>
      </x:c>
      <x:c r="G370" t="n">
        <x:v>4</x:v>
      </x:c>
      <x:c r="H370" t="n">
        <x:v>150</x:v>
      </x:c>
      <x:c r="I370" t="n">
        <x:v>1.5</x:v>
      </x:c>
      <x:c r="J370" t="str"/>
      <x:c r="K370" t="str"/>
      <x:c r="L370" t="str">
        <x:v>OPEN</x:v>
      </x:c>
    </x:row>
    <x:row r="371">
      <x:c r="B371" t="str">
        <x:v>RFP-B1-TC-065</x:v>
      </x:c>
      <x:c r="C371" t="str">
        <x:v>RFP-B1</x:v>
      </x:c>
      <x:c r="D371" t="n">
        <x:v>7</x:v>
      </x:c>
      <x:c r="E371" t="n">
        <x:v>5</x:v>
      </x:c>
      <x:c r="F371" t="n">
        <x:v>4</x:v>
      </x:c>
      <x:c r="G371" t="n">
        <x:v>4</x:v>
      </x:c>
      <x:c r="H371" t="n">
        <x:v>150</x:v>
      </x:c>
      <x:c r="I371" t="n">
        <x:v>1.5</x:v>
      </x:c>
      <x:c r="J371" t="str"/>
      <x:c r="K371" t="str"/>
      <x:c r="L371" t="str">
        <x:v>OPEN</x:v>
      </x:c>
    </x:row>
    <x:row r="372">
      <x:c r="B372" t="str">
        <x:v>RFP-B1-TC-066</x:v>
      </x:c>
      <x:c r="C372" t="str">
        <x:v>RFP-B1</x:v>
      </x:c>
      <x:c r="D372" t="n">
        <x:v>7</x:v>
      </x:c>
      <x:c r="E372" t="n">
        <x:v>6</x:v>
      </x:c>
      <x:c r="F372" t="n">
        <x:v>4</x:v>
      </x:c>
      <x:c r="G372" t="n">
        <x:v>4</x:v>
      </x:c>
      <x:c r="H372" t="n">
        <x:v>150</x:v>
      </x:c>
      <x:c r="I372" t="n">
        <x:v>1.5</x:v>
      </x:c>
      <x:c r="J372" t="str"/>
      <x:c r="K372" t="str"/>
      <x:c r="L372" t="str">
        <x:v>OPEN</x:v>
      </x:c>
    </x:row>
    <x:row r="373">
      <x:c r="B373" t="str">
        <x:v>RFP-B1-TC-067</x:v>
      </x:c>
      <x:c r="C373" t="str">
        <x:v>RFP-B1</x:v>
      </x:c>
      <x:c r="D373" t="n">
        <x:v>7</x:v>
      </x:c>
      <x:c r="E373" t="n">
        <x:v>7</x:v>
      </x:c>
      <x:c r="F373" t="n">
        <x:v>4</x:v>
      </x:c>
      <x:c r="G373" t="n">
        <x:v>4</x:v>
      </x:c>
      <x:c r="H373" t="n">
        <x:v>150</x:v>
      </x:c>
      <x:c r="I373" t="n">
        <x:v>1.5</x:v>
      </x:c>
      <x:c r="J373" t="str"/>
      <x:c r="K373" t="str"/>
      <x:c r="L373" t="str">
        <x:v>OPEN</x:v>
      </x:c>
    </x:row>
    <x:row r="374">
      <x:c r="B374" t="str">
        <x:v>RFP-B1-TC-068</x:v>
      </x:c>
      <x:c r="C374" t="str">
        <x:v>RFP-B1</x:v>
      </x:c>
      <x:c r="D374" t="n">
        <x:v>7</x:v>
      </x:c>
      <x:c r="E374" t="n">
        <x:v>8</x:v>
      </x:c>
      <x:c r="F374" t="n">
        <x:v>4</x:v>
      </x:c>
      <x:c r="G374" t="n">
        <x:v>4</x:v>
      </x:c>
      <x:c r="H374" t="n">
        <x:v>150</x:v>
      </x:c>
      <x:c r="I374" t="n">
        <x:v>1.5</x:v>
      </x:c>
      <x:c r="J374" t="str"/>
      <x:c r="K374" t="str"/>
      <x:c r="L374" t="str">
        <x:v>OPEN</x:v>
      </x:c>
    </x:row>
    <x:row r="375">
      <x:c r="B375" t="str">
        <x:v>RFP-B1-TC-069</x:v>
      </x:c>
      <x:c r="C375" t="str">
        <x:v>RFP-B1</x:v>
      </x:c>
      <x:c r="D375" t="n">
        <x:v>7</x:v>
      </x:c>
      <x:c r="E375" t="n">
        <x:v>9</x:v>
      </x:c>
      <x:c r="F375" t="n">
        <x:v>4</x:v>
      </x:c>
      <x:c r="G375" t="n">
        <x:v>4</x:v>
      </x:c>
      <x:c r="H375" t="n">
        <x:v>150</x:v>
      </x:c>
      <x:c r="I375" t="n">
        <x:v>1.5</x:v>
      </x:c>
      <x:c r="J375" t="str"/>
      <x:c r="K375" t="str"/>
      <x:c r="L375" t="str">
        <x:v>OPEN</x:v>
      </x:c>
    </x:row>
    <x:row r="376">
      <x:c r="B376" t="str">
        <x:v>RFP-B1-TC-070</x:v>
      </x:c>
      <x:c r="C376" t="str">
        <x:v>RFP-B1</x:v>
      </x:c>
      <x:c r="D376" t="n">
        <x:v>7</x:v>
      </x:c>
      <x:c r="E376" t="n">
        <x:v>10</x:v>
      </x:c>
      <x:c r="F376" t="n">
        <x:v>4</x:v>
      </x:c>
      <x:c r="G376" t="n">
        <x:v>4</x:v>
      </x:c>
      <x:c r="H376" t="n">
        <x:v>150</x:v>
      </x:c>
      <x:c r="I376" t="n">
        <x:v>1.5</x:v>
      </x:c>
      <x:c r="J376" t="str"/>
      <x:c r="K376" t="str"/>
      <x:c r="L376" t="str">
        <x:v>OPEN</x:v>
      </x:c>
    </x:row>
    <x:row r="377">
      <x:c r="B377" t="str">
        <x:v>RFP-B1-TC-071</x:v>
      </x:c>
      <x:c r="C377" t="str">
        <x:v>RFP-B1</x:v>
      </x:c>
      <x:c r="D377" t="n">
        <x:v>8</x:v>
      </x:c>
      <x:c r="E377" t="n">
        <x:v>1</x:v>
      </x:c>
      <x:c r="F377" t="n">
        <x:v>4</x:v>
      </x:c>
      <x:c r="G377" t="n">
        <x:v>4</x:v>
      </x:c>
      <x:c r="H377" t="n">
        <x:v>150</x:v>
      </x:c>
      <x:c r="I377" t="n">
        <x:v>1.5</x:v>
      </x:c>
      <x:c r="J377" t="str"/>
      <x:c r="K377" t="str"/>
      <x:c r="L377" t="str">
        <x:v>OPEN</x:v>
      </x:c>
    </x:row>
    <x:row r="378">
      <x:c r="B378" t="str">
        <x:v>RFP-B1-TC-072</x:v>
      </x:c>
      <x:c r="C378" t="str">
        <x:v>RFP-B1</x:v>
      </x:c>
      <x:c r="D378" t="n">
        <x:v>8</x:v>
      </x:c>
      <x:c r="E378" t="n">
        <x:v>2</x:v>
      </x:c>
      <x:c r="F378" t="n">
        <x:v>4</x:v>
      </x:c>
      <x:c r="G378" t="n">
        <x:v>4</x:v>
      </x:c>
      <x:c r="H378" t="n">
        <x:v>150</x:v>
      </x:c>
      <x:c r="I378" t="n">
        <x:v>1.5</x:v>
      </x:c>
      <x:c r="J378" t="str"/>
      <x:c r="K378" t="str"/>
      <x:c r="L378" t="str">
        <x:v>OPEN</x:v>
      </x:c>
    </x:row>
    <x:row r="379">
      <x:c r="B379" t="str">
        <x:v>RFP-B1-TC-073</x:v>
      </x:c>
      <x:c r="C379" t="str">
        <x:v>RFP-B1</x:v>
      </x:c>
      <x:c r="D379" t="n">
        <x:v>8</x:v>
      </x:c>
      <x:c r="E379" t="n">
        <x:v>3</x:v>
      </x:c>
      <x:c r="F379" t="n">
        <x:v>4</x:v>
      </x:c>
      <x:c r="G379" t="n">
        <x:v>4</x:v>
      </x:c>
      <x:c r="H379" t="n">
        <x:v>150</x:v>
      </x:c>
      <x:c r="I379" t="n">
        <x:v>1.5</x:v>
      </x:c>
      <x:c r="J379" t="str"/>
      <x:c r="K379" t="str"/>
      <x:c r="L379" t="str">
        <x:v>OPEN</x:v>
      </x:c>
    </x:row>
    <x:row r="380">
      <x:c r="B380" t="str">
        <x:v>RFP-B1-TC-074</x:v>
      </x:c>
      <x:c r="C380" t="str">
        <x:v>RFP-B1</x:v>
      </x:c>
      <x:c r="D380" t="n">
        <x:v>8</x:v>
      </x:c>
      <x:c r="E380" t="n">
        <x:v>4</x:v>
      </x:c>
      <x:c r="F380" t="n">
        <x:v>4</x:v>
      </x:c>
      <x:c r="G380" t="n">
        <x:v>4</x:v>
      </x:c>
      <x:c r="H380" t="n">
        <x:v>150</x:v>
      </x:c>
      <x:c r="I380" t="n">
        <x:v>1.5</x:v>
      </x:c>
      <x:c r="J380" t="str"/>
      <x:c r="K380" t="str"/>
      <x:c r="L380" t="str">
        <x:v>OPEN</x:v>
      </x:c>
    </x:row>
    <x:row r="381">
      <x:c r="B381" t="str">
        <x:v>RFP-B1-TC-075</x:v>
      </x:c>
      <x:c r="C381" t="str">
        <x:v>RFP-B1</x:v>
      </x:c>
      <x:c r="D381" t="n">
        <x:v>8</x:v>
      </x:c>
      <x:c r="E381" t="n">
        <x:v>5</x:v>
      </x:c>
      <x:c r="F381" t="n">
        <x:v>4</x:v>
      </x:c>
      <x:c r="G381" t="n">
        <x:v>4</x:v>
      </x:c>
      <x:c r="H381" t="n">
        <x:v>150</x:v>
      </x:c>
      <x:c r="I381" t="n">
        <x:v>1.5</x:v>
      </x:c>
      <x:c r="J381" t="str"/>
      <x:c r="K381" t="str"/>
      <x:c r="L381" t="str">
        <x:v>OPEN</x:v>
      </x:c>
    </x:row>
    <x:row r="382">
      <x:c r="B382" t="str">
        <x:v>RFP-B1-TC-076</x:v>
      </x:c>
      <x:c r="C382" t="str">
        <x:v>RFP-B1</x:v>
      </x:c>
      <x:c r="D382" t="n">
        <x:v>8</x:v>
      </x:c>
      <x:c r="E382" t="n">
        <x:v>6</x:v>
      </x:c>
      <x:c r="F382" t="n">
        <x:v>4</x:v>
      </x:c>
      <x:c r="G382" t="n">
        <x:v>4</x:v>
      </x:c>
      <x:c r="H382" t="n">
        <x:v>150</x:v>
      </x:c>
      <x:c r="I382" t="n">
        <x:v>1.5</x:v>
      </x:c>
      <x:c r="J382" t="str"/>
      <x:c r="K382" t="str"/>
      <x:c r="L382" t="str">
        <x:v>OPEN</x:v>
      </x:c>
    </x:row>
    <x:row r="383">
      <x:c r="B383" t="str">
        <x:v>RFP-B1-TC-077</x:v>
      </x:c>
      <x:c r="C383" t="str">
        <x:v>RFP-B1</x:v>
      </x:c>
      <x:c r="D383" t="n">
        <x:v>8</x:v>
      </x:c>
      <x:c r="E383" t="n">
        <x:v>7</x:v>
      </x:c>
      <x:c r="F383" t="n">
        <x:v>4</x:v>
      </x:c>
      <x:c r="G383" t="n">
        <x:v>4</x:v>
      </x:c>
      <x:c r="H383" t="n">
        <x:v>150</x:v>
      </x:c>
      <x:c r="I383" t="n">
        <x:v>1.5</x:v>
      </x:c>
      <x:c r="J383" t="str"/>
      <x:c r="K383" t="str"/>
      <x:c r="L383" t="str">
        <x:v>OPEN</x:v>
      </x:c>
    </x:row>
    <x:row r="384">
      <x:c r="B384" t="str">
        <x:v>RFP-B1-TC-078</x:v>
      </x:c>
      <x:c r="C384" t="str">
        <x:v>RFP-B1</x:v>
      </x:c>
      <x:c r="D384" t="n">
        <x:v>8</x:v>
      </x:c>
      <x:c r="E384" t="n">
        <x:v>8</x:v>
      </x:c>
      <x:c r="F384" t="n">
        <x:v>4</x:v>
      </x:c>
      <x:c r="G384" t="n">
        <x:v>4</x:v>
      </x:c>
      <x:c r="H384" t="n">
        <x:v>150</x:v>
      </x:c>
      <x:c r="I384" t="n">
        <x:v>1.5</x:v>
      </x:c>
      <x:c r="J384" t="str"/>
      <x:c r="K384" t="str"/>
      <x:c r="L384" t="str">
        <x:v>OPEN</x:v>
      </x:c>
    </x:row>
    <x:row r="385">
      <x:c r="B385" t="str">
        <x:v>RFP-B1-TC-079</x:v>
      </x:c>
      <x:c r="C385" t="str">
        <x:v>RFP-B1</x:v>
      </x:c>
      <x:c r="D385" t="n">
        <x:v>8</x:v>
      </x:c>
      <x:c r="E385" t="n">
        <x:v>9</x:v>
      </x:c>
      <x:c r="F385" t="n">
        <x:v>4</x:v>
      </x:c>
      <x:c r="G385" t="n">
        <x:v>4</x:v>
      </x:c>
      <x:c r="H385" t="n">
        <x:v>150</x:v>
      </x:c>
      <x:c r="I385" t="n">
        <x:v>1.5</x:v>
      </x:c>
      <x:c r="J385" t="str"/>
      <x:c r="K385" t="str"/>
      <x:c r="L385" t="str">
        <x:v>OPEN</x:v>
      </x:c>
    </x:row>
    <x:row r="386">
      <x:c r="B386" t="str">
        <x:v>RFP-B1-TC-080</x:v>
      </x:c>
      <x:c r="C386" t="str">
        <x:v>RFP-B1</x:v>
      </x:c>
      <x:c r="D386" t="n">
        <x:v>8</x:v>
      </x:c>
      <x:c r="E386" t="n">
        <x:v>10</x:v>
      </x:c>
      <x:c r="F386" t="n">
        <x:v>4</x:v>
      </x:c>
      <x:c r="G386" t="n">
        <x:v>4</x:v>
      </x:c>
      <x:c r="H386" t="n">
        <x:v>150</x:v>
      </x:c>
      <x:c r="I386" t="n">
        <x:v>1.5</x:v>
      </x:c>
      <x:c r="J386" t="str"/>
      <x:c r="K386" t="str"/>
      <x:c r="L386" t="str">
        <x:v>OPEN</x:v>
      </x:c>
    </x:row>
    <x:row r="387">
      <x:c r="B387" t="str">
        <x:v>RFP-B1-TC-081</x:v>
      </x:c>
      <x:c r="C387" t="str">
        <x:v>RFP-B1</x:v>
      </x:c>
      <x:c r="D387" t="n">
        <x:v>9</x:v>
      </x:c>
      <x:c r="E387" t="n">
        <x:v>1</x:v>
      </x:c>
      <x:c r="F387" t="n">
        <x:v>4</x:v>
      </x:c>
      <x:c r="G387" t="n">
        <x:v>4</x:v>
      </x:c>
      <x:c r="H387" t="n">
        <x:v>150</x:v>
      </x:c>
      <x:c r="I387" t="n">
        <x:v>1.5</x:v>
      </x:c>
      <x:c r="J387" t="str"/>
      <x:c r="K387" t="str"/>
      <x:c r="L387" t="str">
        <x:v>OPEN</x:v>
      </x:c>
    </x:row>
    <x:row r="388">
      <x:c r="B388" t="str">
        <x:v>RFP-B1-TC-082</x:v>
      </x:c>
      <x:c r="C388" t="str">
        <x:v>RFP-B1</x:v>
      </x:c>
      <x:c r="D388" t="n">
        <x:v>9</x:v>
      </x:c>
      <x:c r="E388" t="n">
        <x:v>2</x:v>
      </x:c>
      <x:c r="F388" t="n">
        <x:v>4</x:v>
      </x:c>
      <x:c r="G388" t="n">
        <x:v>4</x:v>
      </x:c>
      <x:c r="H388" t="n">
        <x:v>150</x:v>
      </x:c>
      <x:c r="I388" t="n">
        <x:v>1.5</x:v>
      </x:c>
      <x:c r="J388" t="str"/>
      <x:c r="K388" t="str"/>
      <x:c r="L388" t="str">
        <x:v>OPEN</x:v>
      </x:c>
    </x:row>
    <x:row r="389">
      <x:c r="B389" t="str">
        <x:v>RFP-B1-TC-083</x:v>
      </x:c>
      <x:c r="C389" t="str">
        <x:v>RFP-B1</x:v>
      </x:c>
      <x:c r="D389" t="n">
        <x:v>9</x:v>
      </x:c>
      <x:c r="E389" t="n">
        <x:v>3</x:v>
      </x:c>
      <x:c r="F389" t="n">
        <x:v>4</x:v>
      </x:c>
      <x:c r="G389" t="n">
        <x:v>4</x:v>
      </x:c>
      <x:c r="H389" t="n">
        <x:v>150</x:v>
      </x:c>
      <x:c r="I389" t="n">
        <x:v>1.5</x:v>
      </x:c>
      <x:c r="J389" t="str"/>
      <x:c r="K389" t="str"/>
      <x:c r="L389" t="str">
        <x:v>OPEN</x:v>
      </x:c>
    </x:row>
    <x:row r="390">
      <x:c r="B390" t="str">
        <x:v>RFP-B1-TC-084</x:v>
      </x:c>
      <x:c r="C390" t="str">
        <x:v>RFP-B1</x:v>
      </x:c>
      <x:c r="D390" t="n">
        <x:v>9</x:v>
      </x:c>
      <x:c r="E390" t="n">
        <x:v>4</x:v>
      </x:c>
      <x:c r="F390" t="n">
        <x:v>4</x:v>
      </x:c>
      <x:c r="G390" t="n">
        <x:v>4</x:v>
      </x:c>
      <x:c r="H390" t="n">
        <x:v>150</x:v>
      </x:c>
      <x:c r="I390" t="n">
        <x:v>1.5</x:v>
      </x:c>
      <x:c r="J390" t="str"/>
      <x:c r="K390" t="str"/>
      <x:c r="L390" t="str">
        <x:v>OPEN</x:v>
      </x:c>
    </x:row>
    <x:row r="391">
      <x:c r="B391" t="str">
        <x:v>RFP-B1-TC-085</x:v>
      </x:c>
      <x:c r="C391" t="str">
        <x:v>RFP-B1</x:v>
      </x:c>
      <x:c r="D391" t="n">
        <x:v>9</x:v>
      </x:c>
      <x:c r="E391" t="n">
        <x:v>5</x:v>
      </x:c>
      <x:c r="F391" t="n">
        <x:v>4</x:v>
      </x:c>
      <x:c r="G391" t="n">
        <x:v>4</x:v>
      </x:c>
      <x:c r="H391" t="n">
        <x:v>150</x:v>
      </x:c>
      <x:c r="I391" t="n">
        <x:v>1.5</x:v>
      </x:c>
      <x:c r="J391" t="str"/>
      <x:c r="K391" t="str"/>
      <x:c r="L391" t="str">
        <x:v>OPEN</x:v>
      </x:c>
    </x:row>
    <x:row r="392">
      <x:c r="B392" t="str">
        <x:v>RFP-B1-TC-086</x:v>
      </x:c>
      <x:c r="C392" t="str">
        <x:v>RFP-B1</x:v>
      </x:c>
      <x:c r="D392" t="n">
        <x:v>9</x:v>
      </x:c>
      <x:c r="E392" t="n">
        <x:v>6</x:v>
      </x:c>
      <x:c r="F392" t="n">
        <x:v>4</x:v>
      </x:c>
      <x:c r="G392" t="n">
        <x:v>4</x:v>
      </x:c>
      <x:c r="H392" t="n">
        <x:v>150</x:v>
      </x:c>
      <x:c r="I392" t="n">
        <x:v>1.5</x:v>
      </x:c>
      <x:c r="J392" t="str"/>
      <x:c r="K392" t="str"/>
      <x:c r="L392" t="str">
        <x:v>OPEN</x:v>
      </x:c>
    </x:row>
    <x:row r="393">
      <x:c r="B393" t="str">
        <x:v>RFP-B1-TC-087</x:v>
      </x:c>
      <x:c r="C393" t="str">
        <x:v>RFP-B1</x:v>
      </x:c>
      <x:c r="D393" t="n">
        <x:v>9</x:v>
      </x:c>
      <x:c r="E393" t="n">
        <x:v>7</x:v>
      </x:c>
      <x:c r="F393" t="n">
        <x:v>4</x:v>
      </x:c>
      <x:c r="G393" t="n">
        <x:v>4</x:v>
      </x:c>
      <x:c r="H393" t="n">
        <x:v>150</x:v>
      </x:c>
      <x:c r="I393" t="n">
        <x:v>1.5</x:v>
      </x:c>
      <x:c r="J393" t="str"/>
      <x:c r="K393" t="str"/>
      <x:c r="L393" t="str">
        <x:v>OPEN</x:v>
      </x:c>
    </x:row>
    <x:row r="394">
      <x:c r="B394" t="str">
        <x:v>RFP-B1-TC-088</x:v>
      </x:c>
      <x:c r="C394" t="str">
        <x:v>RFP-B1</x:v>
      </x:c>
      <x:c r="D394" t="n">
        <x:v>9</x:v>
      </x:c>
      <x:c r="E394" t="n">
        <x:v>8</x:v>
      </x:c>
      <x:c r="F394" t="n">
        <x:v>4</x:v>
      </x:c>
      <x:c r="G394" t="n">
        <x:v>4</x:v>
      </x:c>
      <x:c r="H394" t="n">
        <x:v>150</x:v>
      </x:c>
      <x:c r="I394" t="n">
        <x:v>1.5</x:v>
      </x:c>
      <x:c r="J394" t="str"/>
      <x:c r="K394" t="str"/>
      <x:c r="L394" t="str">
        <x:v>OPEN</x:v>
      </x:c>
    </x:row>
    <x:row r="395">
      <x:c r="B395" t="str">
        <x:v>RFP-B1-TC-089</x:v>
      </x:c>
      <x:c r="C395" t="str">
        <x:v>RFP-B1</x:v>
      </x:c>
      <x:c r="D395" t="n">
        <x:v>9</x:v>
      </x:c>
      <x:c r="E395" t="n">
        <x:v>9</x:v>
      </x:c>
      <x:c r="F395" t="n">
        <x:v>4</x:v>
      </x:c>
      <x:c r="G395" t="n">
        <x:v>4</x:v>
      </x:c>
      <x:c r="H395" t="n">
        <x:v>150</x:v>
      </x:c>
      <x:c r="I395" t="n">
        <x:v>1.5</x:v>
      </x:c>
      <x:c r="J395" t="str"/>
      <x:c r="K395" t="str"/>
      <x:c r="L395" t="str">
        <x:v>OPEN</x:v>
      </x:c>
    </x:row>
    <x:row r="396">
      <x:c r="B396" t="str">
        <x:v>RFP-B1-TC-090</x:v>
      </x:c>
      <x:c r="C396" t="str">
        <x:v>RFP-B1</x:v>
      </x:c>
      <x:c r="D396" t="n">
        <x:v>9</x:v>
      </x:c>
      <x:c r="E396" t="n">
        <x:v>10</x:v>
      </x:c>
      <x:c r="F396" t="n">
        <x:v>4</x:v>
      </x:c>
      <x:c r="G396" t="n">
        <x:v>4</x:v>
      </x:c>
      <x:c r="H396" t="n">
        <x:v>150</x:v>
      </x:c>
      <x:c r="I396" t="n">
        <x:v>1.5</x:v>
      </x:c>
      <x:c r="J396" t="str"/>
      <x:c r="K396" t="str"/>
      <x:c r="L396" t="str">
        <x:v>OPEN</x:v>
      </x:c>
    </x:row>
    <x:row r="397">
      <x:c r="B397" t="str">
        <x:v>RFP-B1-TC-091</x:v>
      </x:c>
      <x:c r="C397" t="str">
        <x:v>RFP-B1</x:v>
      </x:c>
      <x:c r="D397" t="n">
        <x:v>10</x:v>
      </x:c>
      <x:c r="E397" t="n">
        <x:v>1</x:v>
      </x:c>
      <x:c r="F397" t="n">
        <x:v>4</x:v>
      </x:c>
      <x:c r="G397" t="n">
        <x:v>4</x:v>
      </x:c>
      <x:c r="H397" t="n">
        <x:v>150</x:v>
      </x:c>
      <x:c r="I397" t="n">
        <x:v>1.5</x:v>
      </x:c>
      <x:c r="J397" t="str"/>
      <x:c r="K397" t="str"/>
      <x:c r="L397" t="str">
        <x:v>OPEN</x:v>
      </x:c>
    </x:row>
    <x:row r="398">
      <x:c r="B398" t="str">
        <x:v>RFP-B1-TC-092</x:v>
      </x:c>
      <x:c r="C398" t="str">
        <x:v>RFP-B1</x:v>
      </x:c>
      <x:c r="D398" t="n">
        <x:v>10</x:v>
      </x:c>
      <x:c r="E398" t="n">
        <x:v>2</x:v>
      </x:c>
      <x:c r="F398" t="n">
        <x:v>4</x:v>
      </x:c>
      <x:c r="G398" t="n">
        <x:v>4</x:v>
      </x:c>
      <x:c r="H398" t="n">
        <x:v>150</x:v>
      </x:c>
      <x:c r="I398" t="n">
        <x:v>1.5</x:v>
      </x:c>
      <x:c r="J398" t="str"/>
      <x:c r="K398" t="str"/>
      <x:c r="L398" t="str">
        <x:v>OPEN</x:v>
      </x:c>
    </x:row>
    <x:row r="399">
      <x:c r="B399" t="str">
        <x:v>RFP-B1-TC-093</x:v>
      </x:c>
      <x:c r="C399" t="str">
        <x:v>RFP-B1</x:v>
      </x:c>
      <x:c r="D399" t="n">
        <x:v>10</x:v>
      </x:c>
      <x:c r="E399" t="n">
        <x:v>3</x:v>
      </x:c>
      <x:c r="F399" t="n">
        <x:v>4</x:v>
      </x:c>
      <x:c r="G399" t="n">
        <x:v>4</x:v>
      </x:c>
      <x:c r="H399" t="n">
        <x:v>150</x:v>
      </x:c>
      <x:c r="I399" t="n">
        <x:v>1.5</x:v>
      </x:c>
      <x:c r="J399" t="str"/>
      <x:c r="K399" t="str"/>
      <x:c r="L399" t="str">
        <x:v>OPEN</x:v>
      </x:c>
    </x:row>
    <x:row r="400">
      <x:c r="B400" t="str">
        <x:v>RFP-B1-TC-094</x:v>
      </x:c>
      <x:c r="C400" t="str">
        <x:v>RFP-B1</x:v>
      </x:c>
      <x:c r="D400" t="n">
        <x:v>10</x:v>
      </x:c>
      <x:c r="E400" t="n">
        <x:v>4</x:v>
      </x:c>
      <x:c r="F400" t="n">
        <x:v>4</x:v>
      </x:c>
      <x:c r="G400" t="n">
        <x:v>4</x:v>
      </x:c>
      <x:c r="H400" t="n">
        <x:v>150</x:v>
      </x:c>
      <x:c r="I400" t="n">
        <x:v>1.5</x:v>
      </x:c>
      <x:c r="J400" t="str"/>
      <x:c r="K400" t="str"/>
      <x:c r="L400" t="str">
        <x:v>OPEN</x:v>
      </x:c>
    </x:row>
    <x:row r="401">
      <x:c r="B401" t="str">
        <x:v>RFP-B1-TC-095</x:v>
      </x:c>
      <x:c r="C401" t="str">
        <x:v>RFP-B1</x:v>
      </x:c>
      <x:c r="D401" t="n">
        <x:v>10</x:v>
      </x:c>
      <x:c r="E401" t="n">
        <x:v>5</x:v>
      </x:c>
      <x:c r="F401" t="n">
        <x:v>4</x:v>
      </x:c>
      <x:c r="G401" t="n">
        <x:v>4</x:v>
      </x:c>
      <x:c r="H401" t="n">
        <x:v>150</x:v>
      </x:c>
      <x:c r="I401" t="n">
        <x:v>1.5</x:v>
      </x:c>
      <x:c r="J401" t="str"/>
      <x:c r="K401" t="str"/>
      <x:c r="L401" t="str">
        <x:v>OPEN</x:v>
      </x:c>
    </x:row>
    <x:row r="402">
      <x:c r="B402" t="str">
        <x:v>RFP-B1-TC-096</x:v>
      </x:c>
      <x:c r="C402" t="str">
        <x:v>RFP-B1</x:v>
      </x:c>
      <x:c r="D402" t="n">
        <x:v>10</x:v>
      </x:c>
      <x:c r="E402" t="n">
        <x:v>6</x:v>
      </x:c>
      <x:c r="F402" t="n">
        <x:v>4</x:v>
      </x:c>
      <x:c r="G402" t="n">
        <x:v>4</x:v>
      </x:c>
      <x:c r="H402" t="n">
        <x:v>150</x:v>
      </x:c>
      <x:c r="I402" t="n">
        <x:v>1.5</x:v>
      </x:c>
      <x:c r="J402" t="str"/>
      <x:c r="K402" t="str"/>
      <x:c r="L402" t="str">
        <x:v>OPEN</x:v>
      </x:c>
    </x:row>
    <x:row r="403">
      <x:c r="B403" t="str">
        <x:v>RFP-B1-TC-097</x:v>
      </x:c>
      <x:c r="C403" t="str">
        <x:v>RFP-B1</x:v>
      </x:c>
      <x:c r="D403" t="n">
        <x:v>10</x:v>
      </x:c>
      <x:c r="E403" t="n">
        <x:v>7</x:v>
      </x:c>
      <x:c r="F403" t="n">
        <x:v>4</x:v>
      </x:c>
      <x:c r="G403" t="n">
        <x:v>4</x:v>
      </x:c>
      <x:c r="H403" t="n">
        <x:v>150</x:v>
      </x:c>
      <x:c r="I403" t="n">
        <x:v>1.5</x:v>
      </x:c>
      <x:c r="J403" t="str"/>
      <x:c r="K403" t="str"/>
      <x:c r="L403" t="str">
        <x:v>OPEN</x:v>
      </x:c>
    </x:row>
    <x:row r="404">
      <x:c r="B404" t="str">
        <x:v>RFP-B1-TC-098</x:v>
      </x:c>
      <x:c r="C404" t="str">
        <x:v>RFP-B1</x:v>
      </x:c>
      <x:c r="D404" t="n">
        <x:v>10</x:v>
      </x:c>
      <x:c r="E404" t="n">
        <x:v>8</x:v>
      </x:c>
      <x:c r="F404" t="n">
        <x:v>4</x:v>
      </x:c>
      <x:c r="G404" t="n">
        <x:v>4</x:v>
      </x:c>
      <x:c r="H404" t="n">
        <x:v>150</x:v>
      </x:c>
      <x:c r="I404" t="n">
        <x:v>1.5</x:v>
      </x:c>
      <x:c r="J404" t="str"/>
      <x:c r="K404" t="str"/>
      <x:c r="L404" t="str">
        <x:v>OPEN</x:v>
      </x:c>
    </x:row>
    <x:row r="405">
      <x:c r="B405" t="str">
        <x:v>RFP-B1-TC-099</x:v>
      </x:c>
      <x:c r="C405" t="str">
        <x:v>RFP-B1</x:v>
      </x:c>
      <x:c r="D405" t="n">
        <x:v>10</x:v>
      </x:c>
      <x:c r="E405" t="n">
        <x:v>9</x:v>
      </x:c>
      <x:c r="F405" t="n">
        <x:v>4</x:v>
      </x:c>
      <x:c r="G405" t="n">
        <x:v>4</x:v>
      </x:c>
      <x:c r="H405" t="n">
        <x:v>150</x:v>
      </x:c>
      <x:c r="I405" t="n">
        <x:v>1.5</x:v>
      </x:c>
      <x:c r="J405" t="str"/>
      <x:c r="K405" t="str"/>
      <x:c r="L405" t="str">
        <x:v>OPEN</x:v>
      </x:c>
    </x:row>
    <x:row r="406">
      <x:c r="B406" t="str">
        <x:v>RFP-B1-TC-100</x:v>
      </x:c>
      <x:c r="C406" t="str">
        <x:v>RFP-B1</x:v>
      </x:c>
      <x:c r="D406" t="n">
        <x:v>10</x:v>
      </x:c>
      <x:c r="E406" t="n">
        <x:v>10</x:v>
      </x:c>
      <x:c r="F406" t="n">
        <x:v>4</x:v>
      </x:c>
      <x:c r="G406" t="n">
        <x:v>4</x:v>
      </x:c>
      <x:c r="H406" t="n">
        <x:v>150</x:v>
      </x:c>
      <x:c r="I406" t="n">
        <x:v>1.5</x:v>
      </x:c>
      <x:c r="J406" t="str"/>
      <x:c r="K406" t="str"/>
      <x:c r="L406" t="str">
        <x:v>OPEN</x:v>
      </x:c>
    </x:row>
    <x:row r="407">
      <x:c r="B407" t="str">
        <x:v>RFP-B1-TC-101</x:v>
      </x:c>
      <x:c r="C407" t="str">
        <x:v>RFP-B1</x:v>
      </x:c>
      <x:c r="D407" t="n">
        <x:v>11</x:v>
      </x:c>
      <x:c r="E407" t="n">
        <x:v>1</x:v>
      </x:c>
      <x:c r="F407" t="n">
        <x:v>4</x:v>
      </x:c>
      <x:c r="G407" t="n">
        <x:v>4</x:v>
      </x:c>
      <x:c r="H407" t="n">
        <x:v>150</x:v>
      </x:c>
      <x:c r="I407" t="n">
        <x:v>1.5</x:v>
      </x:c>
      <x:c r="J407" t="str"/>
      <x:c r="K407" t="str"/>
      <x:c r="L407" t="str">
        <x:v>OPEN</x:v>
      </x:c>
    </x:row>
    <x:row r="408">
      <x:c r="B408" t="str">
        <x:v>RFP-B1-TC-102</x:v>
      </x:c>
      <x:c r="C408" t="str">
        <x:v>RFP-B1</x:v>
      </x:c>
      <x:c r="D408" t="n">
        <x:v>11</x:v>
      </x:c>
      <x:c r="E408" t="n">
        <x:v>2</x:v>
      </x:c>
      <x:c r="F408" t="n">
        <x:v>4</x:v>
      </x:c>
      <x:c r="G408" t="n">
        <x:v>4</x:v>
      </x:c>
      <x:c r="H408" t="n">
        <x:v>150</x:v>
      </x:c>
      <x:c r="I408" t="n">
        <x:v>1.5</x:v>
      </x:c>
      <x:c r="J408" t="str"/>
      <x:c r="K408" t="str"/>
      <x:c r="L408" t="str">
        <x:v>OPEN</x:v>
      </x:c>
    </x:row>
    <x:row r="409">
      <x:c r="B409" t="str">
        <x:v>RFP-B1-TC-103</x:v>
      </x:c>
      <x:c r="C409" t="str">
        <x:v>RFP-B1</x:v>
      </x:c>
      <x:c r="D409" t="n">
        <x:v>11</x:v>
      </x:c>
      <x:c r="E409" t="n">
        <x:v>3</x:v>
      </x:c>
      <x:c r="F409" t="n">
        <x:v>4</x:v>
      </x:c>
      <x:c r="G409" t="n">
        <x:v>4</x:v>
      </x:c>
      <x:c r="H409" t="n">
        <x:v>150</x:v>
      </x:c>
      <x:c r="I409" t="n">
        <x:v>1.5</x:v>
      </x:c>
      <x:c r="J409" t="str"/>
      <x:c r="K409" t="str"/>
      <x:c r="L409" t="str">
        <x:v>OPEN</x:v>
      </x:c>
    </x:row>
    <x:row r="410">
      <x:c r="B410" t="str">
        <x:v>RFP-B1-TC-104</x:v>
      </x:c>
      <x:c r="C410" t="str">
        <x:v>RFP-B1</x:v>
      </x:c>
      <x:c r="D410" t="n">
        <x:v>11</x:v>
      </x:c>
      <x:c r="E410" t="n">
        <x:v>4</x:v>
      </x:c>
      <x:c r="F410" t="n">
        <x:v>4</x:v>
      </x:c>
      <x:c r="G410" t="n">
        <x:v>4</x:v>
      </x:c>
      <x:c r="H410" t="n">
        <x:v>150</x:v>
      </x:c>
      <x:c r="I410" t="n">
        <x:v>1.5</x:v>
      </x:c>
      <x:c r="J410" t="str"/>
      <x:c r="K410" t="str"/>
      <x:c r="L410" t="str">
        <x:v>OPEN</x:v>
      </x:c>
    </x:row>
    <x:row r="411">
      <x:c r="B411" t="str">
        <x:v>RFP-B1-TC-105</x:v>
      </x:c>
      <x:c r="C411" t="str">
        <x:v>RFP-B1</x:v>
      </x:c>
      <x:c r="D411" t="n">
        <x:v>11</x:v>
      </x:c>
      <x:c r="E411" t="n">
        <x:v>5</x:v>
      </x:c>
      <x:c r="F411" t="n">
        <x:v>4</x:v>
      </x:c>
      <x:c r="G411" t="n">
        <x:v>4</x:v>
      </x:c>
      <x:c r="H411" t="n">
        <x:v>150</x:v>
      </x:c>
      <x:c r="I411" t="n">
        <x:v>1.5</x:v>
      </x:c>
      <x:c r="J411" t="str"/>
      <x:c r="K411" t="str"/>
      <x:c r="L411" t="str">
        <x:v>OPEN</x:v>
      </x:c>
    </x:row>
    <x:row r="412">
      <x:c r="B412" t="str">
        <x:v>RFP-B1-TC-106</x:v>
      </x:c>
      <x:c r="C412" t="str">
        <x:v>RFP-B1</x:v>
      </x:c>
      <x:c r="D412" t="n">
        <x:v>11</x:v>
      </x:c>
      <x:c r="E412" t="n">
        <x:v>6</x:v>
      </x:c>
      <x:c r="F412" t="n">
        <x:v>4</x:v>
      </x:c>
      <x:c r="G412" t="n">
        <x:v>4</x:v>
      </x:c>
      <x:c r="H412" t="n">
        <x:v>150</x:v>
      </x:c>
      <x:c r="I412" t="n">
        <x:v>1.5</x:v>
      </x:c>
      <x:c r="J412" t="str"/>
      <x:c r="K412" t="str"/>
      <x:c r="L412" t="str">
        <x:v>OPEN</x:v>
      </x:c>
    </x:row>
    <x:row r="413">
      <x:c r="B413" t="str">
        <x:v>RFP-B1-TC-107</x:v>
      </x:c>
      <x:c r="C413" t="str">
        <x:v>RFP-B1</x:v>
      </x:c>
      <x:c r="D413" t="n">
        <x:v>11</x:v>
      </x:c>
      <x:c r="E413" t="n">
        <x:v>7</x:v>
      </x:c>
      <x:c r="F413" t="n">
        <x:v>4</x:v>
      </x:c>
      <x:c r="G413" t="n">
        <x:v>4</x:v>
      </x:c>
      <x:c r="H413" t="n">
        <x:v>150</x:v>
      </x:c>
      <x:c r="I413" t="n">
        <x:v>1.5</x:v>
      </x:c>
      <x:c r="J413" t="str"/>
      <x:c r="K413" t="str"/>
      <x:c r="L413" t="str">
        <x:v>OPEN</x:v>
      </x:c>
    </x:row>
    <x:row r="414">
      <x:c r="B414" t="str">
        <x:v>RFP-B1-TC-108</x:v>
      </x:c>
      <x:c r="C414" t="str">
        <x:v>RFP-B1</x:v>
      </x:c>
      <x:c r="D414" t="n">
        <x:v>11</x:v>
      </x:c>
      <x:c r="E414" t="n">
        <x:v>8</x:v>
      </x:c>
      <x:c r="F414" t="n">
        <x:v>4</x:v>
      </x:c>
      <x:c r="G414" t="n">
        <x:v>4</x:v>
      </x:c>
      <x:c r="H414" t="n">
        <x:v>150</x:v>
      </x:c>
      <x:c r="I414" t="n">
        <x:v>1.5</x:v>
      </x:c>
      <x:c r="J414" t="str"/>
      <x:c r="K414" t="str"/>
      <x:c r="L414" t="str">
        <x:v>OPEN</x:v>
      </x:c>
    </x:row>
    <x:row r="415">
      <x:c r="B415" t="str">
        <x:v>RFP-B1-TC-109</x:v>
      </x:c>
      <x:c r="C415" t="str">
        <x:v>RFP-B1</x:v>
      </x:c>
      <x:c r="D415" t="n">
        <x:v>11</x:v>
      </x:c>
      <x:c r="E415" t="n">
        <x:v>9</x:v>
      </x:c>
      <x:c r="F415" t="n">
        <x:v>4</x:v>
      </x:c>
      <x:c r="G415" t="n">
        <x:v>4</x:v>
      </x:c>
      <x:c r="H415" t="n">
        <x:v>150</x:v>
      </x:c>
      <x:c r="I415" t="n">
        <x:v>1.5</x:v>
      </x:c>
      <x:c r="J415" t="str"/>
      <x:c r="K415" t="str"/>
      <x:c r="L415" t="str">
        <x:v>OPEN</x:v>
      </x:c>
    </x:row>
    <x:row r="416">
      <x:c r="B416" t="str">
        <x:v>RFP-B1-TC-110</x:v>
      </x:c>
      <x:c r="C416" t="str">
        <x:v>RFP-B1</x:v>
      </x:c>
      <x:c r="D416" t="n">
        <x:v>11</x:v>
      </x:c>
      <x:c r="E416" t="n">
        <x:v>10</x:v>
      </x:c>
      <x:c r="F416" t="n">
        <x:v>4</x:v>
      </x:c>
      <x:c r="G416" t="n">
        <x:v>4</x:v>
      </x:c>
      <x:c r="H416" t="n">
        <x:v>150</x:v>
      </x:c>
      <x:c r="I416" t="n">
        <x:v>1.5</x:v>
      </x:c>
      <x:c r="J416" t="str"/>
      <x:c r="K416" t="str"/>
      <x:c r="L416" t="str">
        <x:v>OPEN</x:v>
      </x:c>
    </x:row>
    <x:row r="417">
      <x:c r="B417" t="str">
        <x:v>RFP-B1-TC-111</x:v>
      </x:c>
      <x:c r="C417" t="str">
        <x:v>RFP-B1</x:v>
      </x:c>
      <x:c r="D417" t="n">
        <x:v>12</x:v>
      </x:c>
      <x:c r="E417" t="n">
        <x:v>1</x:v>
      </x:c>
      <x:c r="F417" t="n">
        <x:v>4</x:v>
      </x:c>
      <x:c r="G417" t="n">
        <x:v>4</x:v>
      </x:c>
      <x:c r="H417" t="n">
        <x:v>150</x:v>
      </x:c>
      <x:c r="I417" t="n">
        <x:v>1.5</x:v>
      </x:c>
      <x:c r="J417" t="str"/>
      <x:c r="K417" t="str"/>
      <x:c r="L417" t="str">
        <x:v>OPEN</x:v>
      </x:c>
    </x:row>
    <x:row r="418">
      <x:c r="B418" t="str">
        <x:v>RFP-B1-TC-112</x:v>
      </x:c>
      <x:c r="C418" t="str">
        <x:v>RFP-B1</x:v>
      </x:c>
      <x:c r="D418" t="n">
        <x:v>12</x:v>
      </x:c>
      <x:c r="E418" t="n">
        <x:v>2</x:v>
      </x:c>
      <x:c r="F418" t="n">
        <x:v>4</x:v>
      </x:c>
      <x:c r="G418" t="n">
        <x:v>4</x:v>
      </x:c>
      <x:c r="H418" t="n">
        <x:v>150</x:v>
      </x:c>
      <x:c r="I418" t="n">
        <x:v>1.5</x:v>
      </x:c>
      <x:c r="J418" t="str"/>
      <x:c r="K418" t="str"/>
      <x:c r="L418" t="str">
        <x:v>OPEN</x:v>
      </x:c>
    </x:row>
    <x:row r="419">
      <x:c r="B419" t="str">
        <x:v>RFP-B1-TC-113</x:v>
      </x:c>
      <x:c r="C419" t="str">
        <x:v>RFP-B1</x:v>
      </x:c>
      <x:c r="D419" t="n">
        <x:v>12</x:v>
      </x:c>
      <x:c r="E419" t="n">
        <x:v>3</x:v>
      </x:c>
      <x:c r="F419" t="n">
        <x:v>4</x:v>
      </x:c>
      <x:c r="G419" t="n">
        <x:v>4</x:v>
      </x:c>
      <x:c r="H419" t="n">
        <x:v>150</x:v>
      </x:c>
      <x:c r="I419" t="n">
        <x:v>1.5</x:v>
      </x:c>
      <x:c r="J419" t="str"/>
      <x:c r="K419" t="str"/>
      <x:c r="L419" t="str">
        <x:v>OPEN</x:v>
      </x:c>
    </x:row>
    <x:row r="420">
      <x:c r="B420" t="str">
        <x:v>RFP-B1-TC-114</x:v>
      </x:c>
      <x:c r="C420" t="str">
        <x:v>RFP-B1</x:v>
      </x:c>
      <x:c r="D420" t="n">
        <x:v>12</x:v>
      </x:c>
      <x:c r="E420" t="n">
        <x:v>4</x:v>
      </x:c>
      <x:c r="F420" t="n">
        <x:v>4</x:v>
      </x:c>
      <x:c r="G420" t="n">
        <x:v>4</x:v>
      </x:c>
      <x:c r="H420" t="n">
        <x:v>150</x:v>
      </x:c>
      <x:c r="I420" t="n">
        <x:v>1.5</x:v>
      </x:c>
      <x:c r="J420" t="str"/>
      <x:c r="K420" t="str"/>
      <x:c r="L420" t="str">
        <x:v>OPEN</x:v>
      </x:c>
    </x:row>
    <x:row r="421">
      <x:c r="B421" t="str">
        <x:v>RFP-B1-TC-115</x:v>
      </x:c>
      <x:c r="C421" t="str">
        <x:v>RFP-B1</x:v>
      </x:c>
      <x:c r="D421" t="n">
        <x:v>12</x:v>
      </x:c>
      <x:c r="E421" t="n">
        <x:v>5</x:v>
      </x:c>
      <x:c r="F421" t="n">
        <x:v>4</x:v>
      </x:c>
      <x:c r="G421" t="n">
        <x:v>4</x:v>
      </x:c>
      <x:c r="H421" t="n">
        <x:v>150</x:v>
      </x:c>
      <x:c r="I421" t="n">
        <x:v>1.5</x:v>
      </x:c>
      <x:c r="J421" t="str"/>
      <x:c r="K421" t="str"/>
      <x:c r="L421" t="str">
        <x:v>OPEN</x:v>
      </x:c>
    </x:row>
    <x:row r="422">
      <x:c r="B422" t="str">
        <x:v>RFP-B1-TC-116</x:v>
      </x:c>
      <x:c r="C422" t="str">
        <x:v>RFP-B1</x:v>
      </x:c>
      <x:c r="D422" t="n">
        <x:v>12</x:v>
      </x:c>
      <x:c r="E422" t="n">
        <x:v>6</x:v>
      </x:c>
      <x:c r="F422" t="n">
        <x:v>4</x:v>
      </x:c>
      <x:c r="G422" t="n">
        <x:v>4</x:v>
      </x:c>
      <x:c r="H422" t="n">
        <x:v>150</x:v>
      </x:c>
      <x:c r="I422" t="n">
        <x:v>1.5</x:v>
      </x:c>
      <x:c r="J422" t="str"/>
      <x:c r="K422" t="str"/>
      <x:c r="L422" t="str">
        <x:v>OPEN</x:v>
      </x:c>
    </x:row>
    <x:row r="423">
      <x:c r="B423" t="str">
        <x:v>RFP-B1-TC-117</x:v>
      </x:c>
      <x:c r="C423" t="str">
        <x:v>RFP-B1</x:v>
      </x:c>
      <x:c r="D423" t="n">
        <x:v>12</x:v>
      </x:c>
      <x:c r="E423" t="n">
        <x:v>7</x:v>
      </x:c>
      <x:c r="F423" t="n">
        <x:v>4</x:v>
      </x:c>
      <x:c r="G423" t="n">
        <x:v>4</x:v>
      </x:c>
      <x:c r="H423" t="n">
        <x:v>150</x:v>
      </x:c>
      <x:c r="I423" t="n">
        <x:v>1.5</x:v>
      </x:c>
      <x:c r="J423" t="str"/>
      <x:c r="K423" t="str"/>
      <x:c r="L423" t="str">
        <x:v>OPEN</x:v>
      </x:c>
    </x:row>
    <x:row r="424">
      <x:c r="B424" t="str">
        <x:v>RFP-B1-TC-118</x:v>
      </x:c>
      <x:c r="C424" t="str">
        <x:v>RFP-B1</x:v>
      </x:c>
      <x:c r="D424" t="n">
        <x:v>12</x:v>
      </x:c>
      <x:c r="E424" t="n">
        <x:v>8</x:v>
      </x:c>
      <x:c r="F424" t="n">
        <x:v>4</x:v>
      </x:c>
      <x:c r="G424" t="n">
        <x:v>4</x:v>
      </x:c>
      <x:c r="H424" t="n">
        <x:v>150</x:v>
      </x:c>
      <x:c r="I424" t="n">
        <x:v>1.5</x:v>
      </x:c>
      <x:c r="J424" t="str"/>
      <x:c r="K424" t="str"/>
      <x:c r="L424" t="str">
        <x:v>OPEN</x:v>
      </x:c>
    </x:row>
    <x:row r="425">
      <x:c r="B425" t="str">
        <x:v>RFP-B1-TC-119</x:v>
      </x:c>
      <x:c r="C425" t="str">
        <x:v>RFP-B1</x:v>
      </x:c>
      <x:c r="D425" t="n">
        <x:v>12</x:v>
      </x:c>
      <x:c r="E425" t="n">
        <x:v>9</x:v>
      </x:c>
      <x:c r="F425" t="n">
        <x:v>4</x:v>
      </x:c>
      <x:c r="G425" t="n">
        <x:v>4</x:v>
      </x:c>
      <x:c r="H425" t="n">
        <x:v>150</x:v>
      </x:c>
      <x:c r="I425" t="n">
        <x:v>1.5</x:v>
      </x:c>
      <x:c r="J425" t="str"/>
      <x:c r="K425" t="str"/>
      <x:c r="L425" t="str">
        <x:v>OPEN</x:v>
      </x:c>
    </x:row>
    <x:row r="426">
      <x:c r="B426" t="str">
        <x:v>RFP-B1-TC-120</x:v>
      </x:c>
      <x:c r="C426" t="str">
        <x:v>RFP-B1</x:v>
      </x:c>
      <x:c r="D426" t="n">
        <x:v>12</x:v>
      </x:c>
      <x:c r="E426" t="n">
        <x:v>10</x:v>
      </x:c>
      <x:c r="F426" t="n">
        <x:v>4</x:v>
      </x:c>
      <x:c r="G426" t="n">
        <x:v>4</x:v>
      </x:c>
      <x:c r="H426" t="n">
        <x:v>150</x:v>
      </x:c>
      <x:c r="I426" t="n">
        <x:v>1.5</x:v>
      </x:c>
      <x:c r="J426" t="str"/>
      <x:c r="K426" t="str"/>
      <x:c r="L426" t="str">
        <x:v>OPEN</x:v>
      </x:c>
    </x:row>
    <x:row r="427">
      <x:c r="B427" t="str">
        <x:v>RFP-B1-TC-121</x:v>
      </x:c>
      <x:c r="C427" t="str">
        <x:v>RFP-B1</x:v>
      </x:c>
      <x:c r="D427" t="n">
        <x:v>13</x:v>
      </x:c>
      <x:c r="E427" t="n">
        <x:v>1</x:v>
      </x:c>
      <x:c r="F427" t="n">
        <x:v>4</x:v>
      </x:c>
      <x:c r="G427" t="n">
        <x:v>4</x:v>
      </x:c>
      <x:c r="H427" t="n">
        <x:v>150</x:v>
      </x:c>
      <x:c r="I427" t="n">
        <x:v>1.5</x:v>
      </x:c>
      <x:c r="J427" t="str"/>
      <x:c r="K427" t="str"/>
      <x:c r="L427" t="str">
        <x:v>OPEN</x:v>
      </x:c>
    </x:row>
    <x:row r="428">
      <x:c r="B428" t="str">
        <x:v>RFP-B1-TC-122</x:v>
      </x:c>
      <x:c r="C428" t="str">
        <x:v>RFP-B1</x:v>
      </x:c>
      <x:c r="D428" t="n">
        <x:v>13</x:v>
      </x:c>
      <x:c r="E428" t="n">
        <x:v>2</x:v>
      </x:c>
      <x:c r="F428" t="n">
        <x:v>4</x:v>
      </x:c>
      <x:c r="G428" t="n">
        <x:v>4</x:v>
      </x:c>
      <x:c r="H428" t="n">
        <x:v>150</x:v>
      </x:c>
      <x:c r="I428" t="n">
        <x:v>1.5</x:v>
      </x:c>
      <x:c r="J428" t="str"/>
      <x:c r="K428" t="str"/>
      <x:c r="L428" t="str">
        <x:v>OPEN</x:v>
      </x:c>
    </x:row>
    <x:row r="429">
      <x:c r="B429" t="str">
        <x:v>RFP-B1-TC-123</x:v>
      </x:c>
      <x:c r="C429" t="str">
        <x:v>RFP-B1</x:v>
      </x:c>
      <x:c r="D429" t="n">
        <x:v>13</x:v>
      </x:c>
      <x:c r="E429" t="n">
        <x:v>3</x:v>
      </x:c>
      <x:c r="F429" t="n">
        <x:v>4</x:v>
      </x:c>
      <x:c r="G429" t="n">
        <x:v>4</x:v>
      </x:c>
      <x:c r="H429" t="n">
        <x:v>150</x:v>
      </x:c>
      <x:c r="I429" t="n">
        <x:v>1.5</x:v>
      </x:c>
      <x:c r="J429" t="str"/>
      <x:c r="K429" t="str"/>
      <x:c r="L429" t="str">
        <x:v>OPEN</x:v>
      </x:c>
    </x:row>
    <x:row r="430">
      <x:c r="B430" t="str">
        <x:v>RFP-B1-TC-124</x:v>
      </x:c>
      <x:c r="C430" t="str">
        <x:v>RFP-B1</x:v>
      </x:c>
      <x:c r="D430" t="n">
        <x:v>13</x:v>
      </x:c>
      <x:c r="E430" t="n">
        <x:v>4</x:v>
      </x:c>
      <x:c r="F430" t="n">
        <x:v>4</x:v>
      </x:c>
      <x:c r="G430" t="n">
        <x:v>4</x:v>
      </x:c>
      <x:c r="H430" t="n">
        <x:v>150</x:v>
      </x:c>
      <x:c r="I430" t="n">
        <x:v>1.5</x:v>
      </x:c>
      <x:c r="J430" t="str"/>
      <x:c r="K430" t="str"/>
      <x:c r="L430" t="str">
        <x:v>OPEN</x:v>
      </x:c>
    </x:row>
    <x:row r="431">
      <x:c r="B431" t="str">
        <x:v>RFP-B1-TC-125</x:v>
      </x:c>
      <x:c r="C431" t="str">
        <x:v>RFP-B1</x:v>
      </x:c>
      <x:c r="D431" t="n">
        <x:v>13</x:v>
      </x:c>
      <x:c r="E431" t="n">
        <x:v>5</x:v>
      </x:c>
      <x:c r="F431" t="n">
        <x:v>4</x:v>
      </x:c>
      <x:c r="G431" t="n">
        <x:v>4</x:v>
      </x:c>
      <x:c r="H431" t="n">
        <x:v>150</x:v>
      </x:c>
      <x:c r="I431" t="n">
        <x:v>1.5</x:v>
      </x:c>
      <x:c r="J431" t="str"/>
      <x:c r="K431" t="str"/>
      <x:c r="L431" t="str">
        <x:v>OPEN</x:v>
      </x:c>
    </x:row>
    <x:row r="432">
      <x:c r="B432" t="str">
        <x:v>RFP-B1-TC-126</x:v>
      </x:c>
      <x:c r="C432" t="str">
        <x:v>RFP-B1</x:v>
      </x:c>
      <x:c r="D432" t="n">
        <x:v>13</x:v>
      </x:c>
      <x:c r="E432" t="n">
        <x:v>6</x:v>
      </x:c>
      <x:c r="F432" t="n">
        <x:v>4</x:v>
      </x:c>
      <x:c r="G432" t="n">
        <x:v>4</x:v>
      </x:c>
      <x:c r="H432" t="n">
        <x:v>150</x:v>
      </x:c>
      <x:c r="I432" t="n">
        <x:v>1.5</x:v>
      </x:c>
      <x:c r="J432" t="str"/>
      <x:c r="K432" t="str"/>
      <x:c r="L432" t="str">
        <x:v>OPEN</x:v>
      </x:c>
    </x:row>
    <x:row r="433">
      <x:c r="B433" t="str">
        <x:v>RFP-B1-TC-127</x:v>
      </x:c>
      <x:c r="C433" t="str">
        <x:v>RFP-B1</x:v>
      </x:c>
      <x:c r="D433" t="n">
        <x:v>13</x:v>
      </x:c>
      <x:c r="E433" t="n">
        <x:v>7</x:v>
      </x:c>
      <x:c r="F433" t="n">
        <x:v>4</x:v>
      </x:c>
      <x:c r="G433" t="n">
        <x:v>4</x:v>
      </x:c>
      <x:c r="H433" t="n">
        <x:v>150</x:v>
      </x:c>
      <x:c r="I433" t="n">
        <x:v>1.5</x:v>
      </x:c>
      <x:c r="J433" t="str"/>
      <x:c r="K433" t="str"/>
      <x:c r="L433" t="str">
        <x:v>OPEN</x:v>
      </x:c>
    </x:row>
    <x:row r="434">
      <x:c r="B434" t="str">
        <x:v>RFP-B1-TC-128</x:v>
      </x:c>
      <x:c r="C434" t="str">
        <x:v>RFP-B1</x:v>
      </x:c>
      <x:c r="D434" t="n">
        <x:v>13</x:v>
      </x:c>
      <x:c r="E434" t="n">
        <x:v>8</x:v>
      </x:c>
      <x:c r="F434" t="n">
        <x:v>4</x:v>
      </x:c>
      <x:c r="G434" t="n">
        <x:v>4</x:v>
      </x:c>
      <x:c r="H434" t="n">
        <x:v>150</x:v>
      </x:c>
      <x:c r="I434" t="n">
        <x:v>1.5</x:v>
      </x:c>
      <x:c r="J434" t="str"/>
      <x:c r="K434" t="str"/>
      <x:c r="L434" t="str">
        <x:v>OPEN</x:v>
      </x:c>
    </x:row>
    <x:row r="435">
      <x:c r="B435" t="str">
        <x:v>RFP-B1-TC-129</x:v>
      </x:c>
      <x:c r="C435" t="str">
        <x:v>RFP-B1</x:v>
      </x:c>
      <x:c r="D435" t="n">
        <x:v>13</x:v>
      </x:c>
      <x:c r="E435" t="n">
        <x:v>9</x:v>
      </x:c>
      <x:c r="F435" t="n">
        <x:v>4</x:v>
      </x:c>
      <x:c r="G435" t="n">
        <x:v>4</x:v>
      </x:c>
      <x:c r="H435" t="n">
        <x:v>150</x:v>
      </x:c>
      <x:c r="I435" t="n">
        <x:v>1.5</x:v>
      </x:c>
      <x:c r="J435" t="str"/>
      <x:c r="K435" t="str"/>
      <x:c r="L435" t="str">
        <x:v>OPEN</x:v>
      </x:c>
    </x:row>
    <x:row r="436">
      <x:c r="B436" t="str">
        <x:v>RFP-B1-TC-130</x:v>
      </x:c>
      <x:c r="C436" t="str">
        <x:v>RFP-B1</x:v>
      </x:c>
      <x:c r="D436" t="n">
        <x:v>13</x:v>
      </x:c>
      <x:c r="E436" t="n">
        <x:v>10</x:v>
      </x:c>
      <x:c r="F436" t="n">
        <x:v>4</x:v>
      </x:c>
      <x:c r="G436" t="n">
        <x:v>4</x:v>
      </x:c>
      <x:c r="H436" t="n">
        <x:v>150</x:v>
      </x:c>
      <x:c r="I436" t="n">
        <x:v>1.5</x:v>
      </x:c>
      <x:c r="J436" t="str"/>
      <x:c r="K436" t="str"/>
      <x:c r="L436" t="str">
        <x:v>OPEN</x:v>
      </x:c>
    </x:row>
    <x:row r="437">
      <x:c r="B437" t="str">
        <x:v>RFP-B1-TC-131</x:v>
      </x:c>
      <x:c r="C437" t="str">
        <x:v>RFP-B1</x:v>
      </x:c>
      <x:c r="D437" t="n">
        <x:v>14</x:v>
      </x:c>
      <x:c r="E437" t="n">
        <x:v>1</x:v>
      </x:c>
      <x:c r="F437" t="n">
        <x:v>4</x:v>
      </x:c>
      <x:c r="G437" t="n">
        <x:v>4</x:v>
      </x:c>
      <x:c r="H437" t="n">
        <x:v>150</x:v>
      </x:c>
      <x:c r="I437" t="n">
        <x:v>1.5</x:v>
      </x:c>
      <x:c r="J437" t="str"/>
      <x:c r="K437" t="str"/>
      <x:c r="L437" t="str">
        <x:v>OPEN</x:v>
      </x:c>
    </x:row>
    <x:row r="438">
      <x:c r="B438" t="str">
        <x:v>RFP-B1-TC-132</x:v>
      </x:c>
      <x:c r="C438" t="str">
        <x:v>RFP-B1</x:v>
      </x:c>
      <x:c r="D438" t="n">
        <x:v>14</x:v>
      </x:c>
      <x:c r="E438" t="n">
        <x:v>2</x:v>
      </x:c>
      <x:c r="F438" t="n">
        <x:v>4</x:v>
      </x:c>
      <x:c r="G438" t="n">
        <x:v>4</x:v>
      </x:c>
      <x:c r="H438" t="n">
        <x:v>150</x:v>
      </x:c>
      <x:c r="I438" t="n">
        <x:v>1.5</x:v>
      </x:c>
      <x:c r="J438" t="str"/>
      <x:c r="K438" t="str"/>
      <x:c r="L438" t="str">
        <x:v>OPEN</x:v>
      </x:c>
    </x:row>
    <x:row r="439">
      <x:c r="B439" t="str">
        <x:v>RFP-B1-TC-133</x:v>
      </x:c>
      <x:c r="C439" t="str">
        <x:v>RFP-B1</x:v>
      </x:c>
      <x:c r="D439" t="n">
        <x:v>14</x:v>
      </x:c>
      <x:c r="E439" t="n">
        <x:v>3</x:v>
      </x:c>
      <x:c r="F439" t="n">
        <x:v>4</x:v>
      </x:c>
      <x:c r="G439" t="n">
        <x:v>4</x:v>
      </x:c>
      <x:c r="H439" t="n">
        <x:v>150</x:v>
      </x:c>
      <x:c r="I439" t="n">
        <x:v>1.5</x:v>
      </x:c>
      <x:c r="J439" t="str"/>
      <x:c r="K439" t="str"/>
      <x:c r="L439" t="str">
        <x:v>OPEN</x:v>
      </x:c>
    </x:row>
    <x:row r="440">
      <x:c r="B440" t="str">
        <x:v>RFP-B1-TC-134</x:v>
      </x:c>
      <x:c r="C440" t="str">
        <x:v>RFP-B1</x:v>
      </x:c>
      <x:c r="D440" t="n">
        <x:v>14</x:v>
      </x:c>
      <x:c r="E440" t="n">
        <x:v>4</x:v>
      </x:c>
      <x:c r="F440" t="n">
        <x:v>4</x:v>
      </x:c>
      <x:c r="G440" t="n">
        <x:v>4</x:v>
      </x:c>
      <x:c r="H440" t="n">
        <x:v>150</x:v>
      </x:c>
      <x:c r="I440" t="n">
        <x:v>1.5</x:v>
      </x:c>
      <x:c r="J440" t="str"/>
      <x:c r="K440" t="str"/>
      <x:c r="L440" t="str">
        <x:v>OPEN</x:v>
      </x:c>
    </x:row>
    <x:row r="441">
      <x:c r="B441" t="str">
        <x:v>RFP-B1-TC-135</x:v>
      </x:c>
      <x:c r="C441" t="str">
        <x:v>RFP-B1</x:v>
      </x:c>
      <x:c r="D441" t="n">
        <x:v>14</x:v>
      </x:c>
      <x:c r="E441" t="n">
        <x:v>5</x:v>
      </x:c>
      <x:c r="F441" t="n">
        <x:v>4</x:v>
      </x:c>
      <x:c r="G441" t="n">
        <x:v>4</x:v>
      </x:c>
      <x:c r="H441" t="n">
        <x:v>150</x:v>
      </x:c>
      <x:c r="I441" t="n">
        <x:v>1.5</x:v>
      </x:c>
      <x:c r="J441" t="str"/>
      <x:c r="K441" t="str"/>
      <x:c r="L441" t="str">
        <x:v>OPEN</x:v>
      </x:c>
    </x:row>
    <x:row r="442">
      <x:c r="B442" t="str">
        <x:v>RFP-B1-TC-136</x:v>
      </x:c>
      <x:c r="C442" t="str">
        <x:v>RFP-B1</x:v>
      </x:c>
      <x:c r="D442" t="n">
        <x:v>14</x:v>
      </x:c>
      <x:c r="E442" t="n">
        <x:v>6</x:v>
      </x:c>
      <x:c r="F442" t="n">
        <x:v>4</x:v>
      </x:c>
      <x:c r="G442" t="n">
        <x:v>4</x:v>
      </x:c>
      <x:c r="H442" t="n">
        <x:v>150</x:v>
      </x:c>
      <x:c r="I442" t="n">
        <x:v>1.5</x:v>
      </x:c>
      <x:c r="J442" t="str"/>
      <x:c r="K442" t="str"/>
      <x:c r="L442" t="str">
        <x:v>OPEN</x:v>
      </x:c>
    </x:row>
    <x:row r="443">
      <x:c r="B443" t="str">
        <x:v>RFP-B1-TC-137</x:v>
      </x:c>
      <x:c r="C443" t="str">
        <x:v>RFP-B1</x:v>
      </x:c>
      <x:c r="D443" t="n">
        <x:v>14</x:v>
      </x:c>
      <x:c r="E443" t="n">
        <x:v>7</x:v>
      </x:c>
      <x:c r="F443" t="n">
        <x:v>4</x:v>
      </x:c>
      <x:c r="G443" t="n">
        <x:v>4</x:v>
      </x:c>
      <x:c r="H443" t="n">
        <x:v>150</x:v>
      </x:c>
      <x:c r="I443" t="n">
        <x:v>1.5</x:v>
      </x:c>
      <x:c r="J443" t="str"/>
      <x:c r="K443" t="str"/>
      <x:c r="L443" t="str">
        <x:v>OPEN</x:v>
      </x:c>
    </x:row>
    <x:row r="444">
      <x:c r="B444" t="str">
        <x:v>RFP-B1-TC-138</x:v>
      </x:c>
      <x:c r="C444" t="str">
        <x:v>RFP-B1</x:v>
      </x:c>
      <x:c r="D444" t="n">
        <x:v>14</x:v>
      </x:c>
      <x:c r="E444" t="n">
        <x:v>8</x:v>
      </x:c>
      <x:c r="F444" t="n">
        <x:v>4</x:v>
      </x:c>
      <x:c r="G444" t="n">
        <x:v>4</x:v>
      </x:c>
      <x:c r="H444" t="n">
        <x:v>150</x:v>
      </x:c>
      <x:c r="I444" t="n">
        <x:v>1.5</x:v>
      </x:c>
      <x:c r="J444" t="str"/>
      <x:c r="K444" t="str"/>
      <x:c r="L444" t="str">
        <x:v>OPEN</x:v>
      </x:c>
    </x:row>
    <x:row r="445">
      <x:c r="B445" t="str">
        <x:v>RFP-B1-TC-139</x:v>
      </x:c>
      <x:c r="C445" t="str">
        <x:v>RFP-B1</x:v>
      </x:c>
      <x:c r="D445" t="n">
        <x:v>14</x:v>
      </x:c>
      <x:c r="E445" t="n">
        <x:v>9</x:v>
      </x:c>
      <x:c r="F445" t="n">
        <x:v>4</x:v>
      </x:c>
      <x:c r="G445" t="n">
        <x:v>4</x:v>
      </x:c>
      <x:c r="H445" t="n">
        <x:v>150</x:v>
      </x:c>
      <x:c r="I445" t="n">
        <x:v>1.5</x:v>
      </x:c>
      <x:c r="J445" t="str"/>
      <x:c r="K445" t="str"/>
      <x:c r="L445" t="str">
        <x:v>OPEN</x:v>
      </x:c>
    </x:row>
    <x:row r="446">
      <x:c r="B446" t="str">
        <x:v>RFP-B1-TC-140</x:v>
      </x:c>
      <x:c r="C446" t="str">
        <x:v>RFP-B1</x:v>
      </x:c>
      <x:c r="D446" t="n">
        <x:v>14</x:v>
      </x:c>
      <x:c r="E446" t="n">
        <x:v>10</x:v>
      </x:c>
      <x:c r="F446" t="n">
        <x:v>4</x:v>
      </x:c>
      <x:c r="G446" t="n">
        <x:v>4</x:v>
      </x:c>
      <x:c r="H446" t="n">
        <x:v>150</x:v>
      </x:c>
      <x:c r="I446" t="n">
        <x:v>1.5</x:v>
      </x:c>
      <x:c r="J446" t="str"/>
      <x:c r="K446" t="str"/>
      <x:c r="L446" t="str">
        <x:v>OPEN</x:v>
      </x:c>
    </x:row>
    <x:row r="447">
      <x:c r="B447" t="str">
        <x:v>RFP-B1-TC-141</x:v>
      </x:c>
      <x:c r="C447" t="str">
        <x:v>RFP-B1</x:v>
      </x:c>
      <x:c r="D447" t="n">
        <x:v>15</x:v>
      </x:c>
      <x:c r="E447" t="n">
        <x:v>1</x:v>
      </x:c>
      <x:c r="F447" t="n">
        <x:v>4</x:v>
      </x:c>
      <x:c r="G447" t="n">
        <x:v>4</x:v>
      </x:c>
      <x:c r="H447" t="n">
        <x:v>150</x:v>
      </x:c>
      <x:c r="I447" t="n">
        <x:v>1.5</x:v>
      </x:c>
      <x:c r="J447" t="str"/>
      <x:c r="K447" t="str"/>
      <x:c r="L447" t="str">
        <x:v>OPEN</x:v>
      </x:c>
    </x:row>
    <x:row r="448">
      <x:c r="B448" t="str">
        <x:v>RFP-B1-TC-142</x:v>
      </x:c>
      <x:c r="C448" t="str">
        <x:v>RFP-B1</x:v>
      </x:c>
      <x:c r="D448" t="n">
        <x:v>15</x:v>
      </x:c>
      <x:c r="E448" t="n">
        <x:v>2</x:v>
      </x:c>
      <x:c r="F448" t="n">
        <x:v>4</x:v>
      </x:c>
      <x:c r="G448" t="n">
        <x:v>4</x:v>
      </x:c>
      <x:c r="H448" t="n">
        <x:v>150</x:v>
      </x:c>
      <x:c r="I448" t="n">
        <x:v>1.5</x:v>
      </x:c>
      <x:c r="J448" t="str"/>
      <x:c r="K448" t="str"/>
      <x:c r="L448" t="str">
        <x:v>OPEN</x:v>
      </x:c>
    </x:row>
    <x:row r="449">
      <x:c r="B449" t="str">
        <x:v>RFP-B1-TC-143</x:v>
      </x:c>
      <x:c r="C449" t="str">
        <x:v>RFP-B1</x:v>
      </x:c>
      <x:c r="D449" t="n">
        <x:v>15</x:v>
      </x:c>
      <x:c r="E449" t="n">
        <x:v>3</x:v>
      </x:c>
      <x:c r="F449" t="n">
        <x:v>4</x:v>
      </x:c>
      <x:c r="G449" t="n">
        <x:v>4</x:v>
      </x:c>
      <x:c r="H449" t="n">
        <x:v>150</x:v>
      </x:c>
      <x:c r="I449" t="n">
        <x:v>1.5</x:v>
      </x:c>
      <x:c r="J449" t="str"/>
      <x:c r="K449" t="str"/>
      <x:c r="L449" t="str">
        <x:v>OPEN</x:v>
      </x:c>
    </x:row>
    <x:row r="450">
      <x:c r="B450" t="str">
        <x:v>RFP-B1-TC-144</x:v>
      </x:c>
      <x:c r="C450" t="str">
        <x:v>RFP-B1</x:v>
      </x:c>
      <x:c r="D450" t="n">
        <x:v>15</x:v>
      </x:c>
      <x:c r="E450" t="n">
        <x:v>4</x:v>
      </x:c>
      <x:c r="F450" t="n">
        <x:v>4</x:v>
      </x:c>
      <x:c r="G450" t="n">
        <x:v>4</x:v>
      </x:c>
      <x:c r="H450" t="n">
        <x:v>150</x:v>
      </x:c>
      <x:c r="I450" t="n">
        <x:v>1.5</x:v>
      </x:c>
      <x:c r="J450" t="str"/>
      <x:c r="K450" t="str"/>
      <x:c r="L450" t="str">
        <x:v>OPEN</x:v>
      </x:c>
    </x:row>
    <x:row r="451">
      <x:c r="B451" t="str">
        <x:v>RFP-B1-TC-145</x:v>
      </x:c>
      <x:c r="C451" t="str">
        <x:v>RFP-B1</x:v>
      </x:c>
      <x:c r="D451" t="n">
        <x:v>15</x:v>
      </x:c>
      <x:c r="E451" t="n">
        <x:v>5</x:v>
      </x:c>
      <x:c r="F451" t="n">
        <x:v>4</x:v>
      </x:c>
      <x:c r="G451" t="n">
        <x:v>4</x:v>
      </x:c>
      <x:c r="H451" t="n">
        <x:v>150</x:v>
      </x:c>
      <x:c r="I451" t="n">
        <x:v>1.5</x:v>
      </x:c>
      <x:c r="J451" t="str"/>
      <x:c r="K451" t="str"/>
      <x:c r="L451" t="str">
        <x:v>OPEN</x:v>
      </x:c>
    </x:row>
    <x:row r="452">
      <x:c r="B452" t="str">
        <x:v>RFP-B1-TC-146</x:v>
      </x:c>
      <x:c r="C452" t="str">
        <x:v>RFP-B1</x:v>
      </x:c>
      <x:c r="D452" t="n">
        <x:v>15</x:v>
      </x:c>
      <x:c r="E452" t="n">
        <x:v>6</x:v>
      </x:c>
      <x:c r="F452" t="n">
        <x:v>4</x:v>
      </x:c>
      <x:c r="G452" t="n">
        <x:v>4</x:v>
      </x:c>
      <x:c r="H452" t="n">
        <x:v>150</x:v>
      </x:c>
      <x:c r="I452" t="n">
        <x:v>1.5</x:v>
      </x:c>
      <x:c r="J452" t="str"/>
      <x:c r="K452" t="str"/>
      <x:c r="L452" t="str">
        <x:v>OPEN</x:v>
      </x:c>
    </x:row>
    <x:row r="453">
      <x:c r="B453" t="str">
        <x:v>RFP-B1-TC-147</x:v>
      </x:c>
      <x:c r="C453" t="str">
        <x:v>RFP-B1</x:v>
      </x:c>
      <x:c r="D453" t="n">
        <x:v>15</x:v>
      </x:c>
      <x:c r="E453" t="n">
        <x:v>7</x:v>
      </x:c>
      <x:c r="F453" t="n">
        <x:v>4</x:v>
      </x:c>
      <x:c r="G453" t="n">
        <x:v>4</x:v>
      </x:c>
      <x:c r="H453" t="n">
        <x:v>150</x:v>
      </x:c>
      <x:c r="I453" t="n">
        <x:v>1.5</x:v>
      </x:c>
      <x:c r="J453" t="str"/>
      <x:c r="K453" t="str"/>
      <x:c r="L453" t="str">
        <x:v>OPEN</x:v>
      </x:c>
    </x:row>
    <x:row r="454">
      <x:c r="B454" t="str">
        <x:v>RFP-B1-TC-148</x:v>
      </x:c>
      <x:c r="C454" t="str">
        <x:v>RFP-B1</x:v>
      </x:c>
      <x:c r="D454" t="n">
        <x:v>15</x:v>
      </x:c>
      <x:c r="E454" t="n">
        <x:v>8</x:v>
      </x:c>
      <x:c r="F454" t="n">
        <x:v>4</x:v>
      </x:c>
      <x:c r="G454" t="n">
        <x:v>4</x:v>
      </x:c>
      <x:c r="H454" t="n">
        <x:v>150</x:v>
      </x:c>
      <x:c r="I454" t="n">
        <x:v>1.5</x:v>
      </x:c>
      <x:c r="J454" t="str"/>
      <x:c r="K454" t="str"/>
      <x:c r="L454" t="str">
        <x:v>OPEN</x:v>
      </x:c>
    </x:row>
    <x:row r="455">
      <x:c r="B455" t="str">
        <x:v>RFP-B1-TC-149</x:v>
      </x:c>
      <x:c r="C455" t="str">
        <x:v>RFP-B1</x:v>
      </x:c>
      <x:c r="D455" t="n">
        <x:v>15</x:v>
      </x:c>
      <x:c r="E455" t="n">
        <x:v>9</x:v>
      </x:c>
      <x:c r="F455" t="n">
        <x:v>4</x:v>
      </x:c>
      <x:c r="G455" t="n">
        <x:v>4</x:v>
      </x:c>
      <x:c r="H455" t="n">
        <x:v>150</x:v>
      </x:c>
      <x:c r="I455" t="n">
        <x:v>1.5</x:v>
      </x:c>
      <x:c r="J455" t="str"/>
      <x:c r="K455" t="str"/>
      <x:c r="L455" t="str">
        <x:v>OPEN</x:v>
      </x:c>
    </x:row>
    <x:row r="456">
      <x:c r="B456" t="str">
        <x:v>RFP-B1-TC-150</x:v>
      </x:c>
      <x:c r="C456" t="str">
        <x:v>RFP-B1</x:v>
      </x:c>
      <x:c r="D456" t="n">
        <x:v>15</x:v>
      </x:c>
      <x:c r="E456" t="n">
        <x:v>10</x:v>
      </x:c>
      <x:c r="F456" t="n">
        <x:v>4</x:v>
      </x:c>
      <x:c r="G456" t="n">
        <x:v>4</x:v>
      </x:c>
      <x:c r="H456" t="n">
        <x:v>150</x:v>
      </x:c>
      <x:c r="I456" t="n">
        <x:v>1.5</x:v>
      </x:c>
      <x:c r="J456" t="str"/>
      <x:c r="K456" t="str"/>
      <x:c r="L456" t="str">
        <x:v>OPEN</x:v>
      </x:c>
    </x:row>
    <x:row r="457">
      <x:c r="B457" t="str">
        <x:v>RFP-B2-TC-001</x:v>
      </x:c>
      <x:c r="C457" t="str">
        <x:v>RFP-B2</x:v>
      </x:c>
      <x:c r="D457" t="n">
        <x:v>1</x:v>
      </x:c>
      <x:c r="E457" t="n">
        <x:v>1</x:v>
      </x:c>
      <x:c r="F457" t="n">
        <x:v>4</x:v>
      </x:c>
      <x:c r="G457" t="n">
        <x:v>4</x:v>
      </x:c>
      <x:c r="H457" t="n">
        <x:v>150</x:v>
      </x:c>
      <x:c r="I457" t="n">
        <x:v>1.5</x:v>
      </x:c>
      <x:c r="J457" t="str"/>
      <x:c r="K457" t="str"/>
      <x:c r="L457" t="str">
        <x:v>OPEN</x:v>
      </x:c>
    </x:row>
    <x:row r="458">
      <x:c r="B458" t="str">
        <x:v>RFP-B2-TC-002</x:v>
      </x:c>
      <x:c r="C458" t="str">
        <x:v>RFP-B2</x:v>
      </x:c>
      <x:c r="D458" t="n">
        <x:v>1</x:v>
      </x:c>
      <x:c r="E458" t="n">
        <x:v>2</x:v>
      </x:c>
      <x:c r="F458" t="n">
        <x:v>4</x:v>
      </x:c>
      <x:c r="G458" t="n">
        <x:v>4</x:v>
      </x:c>
      <x:c r="H458" t="n">
        <x:v>150</x:v>
      </x:c>
      <x:c r="I458" t="n">
        <x:v>1.5</x:v>
      </x:c>
      <x:c r="J458" t="str"/>
      <x:c r="K458" t="str"/>
      <x:c r="L458" t="str">
        <x:v>OPEN</x:v>
      </x:c>
    </x:row>
    <x:row r="459">
      <x:c r="B459" t="str">
        <x:v>RFP-B2-TC-003</x:v>
      </x:c>
      <x:c r="C459" t="str">
        <x:v>RFP-B2</x:v>
      </x:c>
      <x:c r="D459" t="n">
        <x:v>1</x:v>
      </x:c>
      <x:c r="E459" t="n">
        <x:v>3</x:v>
      </x:c>
      <x:c r="F459" t="n">
        <x:v>4</x:v>
      </x:c>
      <x:c r="G459" t="n">
        <x:v>4</x:v>
      </x:c>
      <x:c r="H459" t="n">
        <x:v>150</x:v>
      </x:c>
      <x:c r="I459" t="n">
        <x:v>1.5</x:v>
      </x:c>
      <x:c r="J459" t="str"/>
      <x:c r="K459" t="str"/>
      <x:c r="L459" t="str">
        <x:v>OPEN</x:v>
      </x:c>
    </x:row>
    <x:row r="460">
      <x:c r="B460" t="str">
        <x:v>RFP-B2-TC-004</x:v>
      </x:c>
      <x:c r="C460" t="str">
        <x:v>RFP-B2</x:v>
      </x:c>
      <x:c r="D460" t="n">
        <x:v>1</x:v>
      </x:c>
      <x:c r="E460" t="n">
        <x:v>4</x:v>
      </x:c>
      <x:c r="F460" t="n">
        <x:v>4</x:v>
      </x:c>
      <x:c r="G460" t="n">
        <x:v>4</x:v>
      </x:c>
      <x:c r="H460" t="n">
        <x:v>150</x:v>
      </x:c>
      <x:c r="I460" t="n">
        <x:v>1.5</x:v>
      </x:c>
      <x:c r="J460" t="str"/>
      <x:c r="K460" t="str"/>
      <x:c r="L460" t="str">
        <x:v>OPEN</x:v>
      </x:c>
    </x:row>
    <x:row r="461">
      <x:c r="B461" t="str">
        <x:v>RFP-B2-TC-005</x:v>
      </x:c>
      <x:c r="C461" t="str">
        <x:v>RFP-B2</x:v>
      </x:c>
      <x:c r="D461" t="n">
        <x:v>1</x:v>
      </x:c>
      <x:c r="E461" t="n">
        <x:v>5</x:v>
      </x:c>
      <x:c r="F461" t="n">
        <x:v>4</x:v>
      </x:c>
      <x:c r="G461" t="n">
        <x:v>4</x:v>
      </x:c>
      <x:c r="H461" t="n">
        <x:v>150</x:v>
      </x:c>
      <x:c r="I461" t="n">
        <x:v>1.5</x:v>
      </x:c>
      <x:c r="J461" t="str"/>
      <x:c r="K461" t="str"/>
      <x:c r="L461" t="str">
        <x:v>OPEN</x:v>
      </x:c>
    </x:row>
    <x:row r="462">
      <x:c r="B462" t="str">
        <x:v>RFP-B2-TC-006</x:v>
      </x:c>
      <x:c r="C462" t="str">
        <x:v>RFP-B2</x:v>
      </x:c>
      <x:c r="D462" t="n">
        <x:v>1</x:v>
      </x:c>
      <x:c r="E462" t="n">
        <x:v>6</x:v>
      </x:c>
      <x:c r="F462" t="n">
        <x:v>4</x:v>
      </x:c>
      <x:c r="G462" t="n">
        <x:v>4</x:v>
      </x:c>
      <x:c r="H462" t="n">
        <x:v>150</x:v>
      </x:c>
      <x:c r="I462" t="n">
        <x:v>1.5</x:v>
      </x:c>
      <x:c r="J462" t="str"/>
      <x:c r="K462" t="str"/>
      <x:c r="L462" t="str">
        <x:v>OPEN</x:v>
      </x:c>
    </x:row>
    <x:row r="463">
      <x:c r="B463" t="str">
        <x:v>RFP-B2-TC-007</x:v>
      </x:c>
      <x:c r="C463" t="str">
        <x:v>RFP-B2</x:v>
      </x:c>
      <x:c r="D463" t="n">
        <x:v>1</x:v>
      </x:c>
      <x:c r="E463" t="n">
        <x:v>7</x:v>
      </x:c>
      <x:c r="F463" t="n">
        <x:v>4</x:v>
      </x:c>
      <x:c r="G463" t="n">
        <x:v>4</x:v>
      </x:c>
      <x:c r="H463" t="n">
        <x:v>150</x:v>
      </x:c>
      <x:c r="I463" t="n">
        <x:v>1.5</x:v>
      </x:c>
      <x:c r="J463" t="str"/>
      <x:c r="K463" t="str"/>
      <x:c r="L463" t="str">
        <x:v>OPEN</x:v>
      </x:c>
    </x:row>
    <x:row r="464">
      <x:c r="B464" t="str">
        <x:v>RFP-B2-TC-008</x:v>
      </x:c>
      <x:c r="C464" t="str">
        <x:v>RFP-B2</x:v>
      </x:c>
      <x:c r="D464" t="n">
        <x:v>1</x:v>
      </x:c>
      <x:c r="E464" t="n">
        <x:v>8</x:v>
      </x:c>
      <x:c r="F464" t="n">
        <x:v>4</x:v>
      </x:c>
      <x:c r="G464" t="n">
        <x:v>4</x:v>
      </x:c>
      <x:c r="H464" t="n">
        <x:v>150</x:v>
      </x:c>
      <x:c r="I464" t="n">
        <x:v>1.5</x:v>
      </x:c>
      <x:c r="J464" t="str"/>
      <x:c r="K464" t="str"/>
      <x:c r="L464" t="str">
        <x:v>OPEN</x:v>
      </x:c>
    </x:row>
    <x:row r="465">
      <x:c r="B465" t="str">
        <x:v>RFP-B2-TC-009</x:v>
      </x:c>
      <x:c r="C465" t="str">
        <x:v>RFP-B2</x:v>
      </x:c>
      <x:c r="D465" t="n">
        <x:v>1</x:v>
      </x:c>
      <x:c r="E465" t="n">
        <x:v>9</x:v>
      </x:c>
      <x:c r="F465" t="n">
        <x:v>4</x:v>
      </x:c>
      <x:c r="G465" t="n">
        <x:v>4</x:v>
      </x:c>
      <x:c r="H465" t="n">
        <x:v>150</x:v>
      </x:c>
      <x:c r="I465" t="n">
        <x:v>1.5</x:v>
      </x:c>
      <x:c r="J465" t="str"/>
      <x:c r="K465" t="str"/>
      <x:c r="L465" t="str">
        <x:v>OPEN</x:v>
      </x:c>
    </x:row>
    <x:row r="466">
      <x:c r="B466" t="str">
        <x:v>RFP-B2-TC-010</x:v>
      </x:c>
      <x:c r="C466" t="str">
        <x:v>RFP-B2</x:v>
      </x:c>
      <x:c r="D466" t="n">
        <x:v>1</x:v>
      </x:c>
      <x:c r="E466" t="n">
        <x:v>10</x:v>
      </x:c>
      <x:c r="F466" t="n">
        <x:v>4</x:v>
      </x:c>
      <x:c r="G466" t="n">
        <x:v>4</x:v>
      </x:c>
      <x:c r="H466" t="n">
        <x:v>150</x:v>
      </x:c>
      <x:c r="I466" t="n">
        <x:v>1.5</x:v>
      </x:c>
      <x:c r="J466" t="str"/>
      <x:c r="K466" t="str"/>
      <x:c r="L466" t="str">
        <x:v>OPEN</x:v>
      </x:c>
    </x:row>
    <x:row r="467">
      <x:c r="B467" t="str">
        <x:v>RFP-B2-TC-011</x:v>
      </x:c>
      <x:c r="C467" t="str">
        <x:v>RFP-B2</x:v>
      </x:c>
      <x:c r="D467" t="n">
        <x:v>2</x:v>
      </x:c>
      <x:c r="E467" t="n">
        <x:v>1</x:v>
      </x:c>
      <x:c r="F467" t="n">
        <x:v>4</x:v>
      </x:c>
      <x:c r="G467" t="n">
        <x:v>4</x:v>
      </x:c>
      <x:c r="H467" t="n">
        <x:v>150</x:v>
      </x:c>
      <x:c r="I467" t="n">
        <x:v>1.5</x:v>
      </x:c>
      <x:c r="J467" t="str"/>
      <x:c r="K467" t="str"/>
      <x:c r="L467" t="str">
        <x:v>OPEN</x:v>
      </x:c>
    </x:row>
    <x:row r="468">
      <x:c r="B468" t="str">
        <x:v>RFP-B2-TC-012</x:v>
      </x:c>
      <x:c r="C468" t="str">
        <x:v>RFP-B2</x:v>
      </x:c>
      <x:c r="D468" t="n">
        <x:v>2</x:v>
      </x:c>
      <x:c r="E468" t="n">
        <x:v>2</x:v>
      </x:c>
      <x:c r="F468" t="n">
        <x:v>4</x:v>
      </x:c>
      <x:c r="G468" t="n">
        <x:v>4</x:v>
      </x:c>
      <x:c r="H468" t="n">
        <x:v>150</x:v>
      </x:c>
      <x:c r="I468" t="n">
        <x:v>1.5</x:v>
      </x:c>
      <x:c r="J468" t="str"/>
      <x:c r="K468" t="str"/>
      <x:c r="L468" t="str">
        <x:v>OPEN</x:v>
      </x:c>
    </x:row>
    <x:row r="469">
      <x:c r="B469" t="str">
        <x:v>RFP-B2-TC-013</x:v>
      </x:c>
      <x:c r="C469" t="str">
        <x:v>RFP-B2</x:v>
      </x:c>
      <x:c r="D469" t="n">
        <x:v>2</x:v>
      </x:c>
      <x:c r="E469" t="n">
        <x:v>3</x:v>
      </x:c>
      <x:c r="F469" t="n">
        <x:v>4</x:v>
      </x:c>
      <x:c r="G469" t="n">
        <x:v>4</x:v>
      </x:c>
      <x:c r="H469" t="n">
        <x:v>150</x:v>
      </x:c>
      <x:c r="I469" t="n">
        <x:v>1.5</x:v>
      </x:c>
      <x:c r="J469" t="str"/>
      <x:c r="K469" t="str"/>
      <x:c r="L469" t="str">
        <x:v>OPEN</x:v>
      </x:c>
    </x:row>
    <x:row r="470">
      <x:c r="B470" t="str">
        <x:v>RFP-B2-TC-014</x:v>
      </x:c>
      <x:c r="C470" t="str">
        <x:v>RFP-B2</x:v>
      </x:c>
      <x:c r="D470" t="n">
        <x:v>2</x:v>
      </x:c>
      <x:c r="E470" t="n">
        <x:v>4</x:v>
      </x:c>
      <x:c r="F470" t="n">
        <x:v>4</x:v>
      </x:c>
      <x:c r="G470" t="n">
        <x:v>4</x:v>
      </x:c>
      <x:c r="H470" t="n">
        <x:v>150</x:v>
      </x:c>
      <x:c r="I470" t="n">
        <x:v>1.5</x:v>
      </x:c>
      <x:c r="J470" t="str"/>
      <x:c r="K470" t="str"/>
      <x:c r="L470" t="str">
        <x:v>OPEN</x:v>
      </x:c>
    </x:row>
    <x:row r="471">
      <x:c r="B471" t="str">
        <x:v>RFP-B2-TC-015</x:v>
      </x:c>
      <x:c r="C471" t="str">
        <x:v>RFP-B2</x:v>
      </x:c>
      <x:c r="D471" t="n">
        <x:v>2</x:v>
      </x:c>
      <x:c r="E471" t="n">
        <x:v>5</x:v>
      </x:c>
      <x:c r="F471" t="n">
        <x:v>4</x:v>
      </x:c>
      <x:c r="G471" t="n">
        <x:v>4</x:v>
      </x:c>
      <x:c r="H471" t="n">
        <x:v>150</x:v>
      </x:c>
      <x:c r="I471" t="n">
        <x:v>1.5</x:v>
      </x:c>
      <x:c r="J471" t="str"/>
      <x:c r="K471" t="str"/>
      <x:c r="L471" t="str">
        <x:v>OPEN</x:v>
      </x:c>
    </x:row>
    <x:row r="472">
      <x:c r="B472" t="str">
        <x:v>RFP-B2-TC-016</x:v>
      </x:c>
      <x:c r="C472" t="str">
        <x:v>RFP-B2</x:v>
      </x:c>
      <x:c r="D472" t="n">
        <x:v>2</x:v>
      </x:c>
      <x:c r="E472" t="n">
        <x:v>6</x:v>
      </x:c>
      <x:c r="F472" t="n">
        <x:v>4</x:v>
      </x:c>
      <x:c r="G472" t="n">
        <x:v>4</x:v>
      </x:c>
      <x:c r="H472" t="n">
        <x:v>150</x:v>
      </x:c>
      <x:c r="I472" t="n">
        <x:v>1.5</x:v>
      </x:c>
      <x:c r="J472" t="str"/>
      <x:c r="K472" t="str"/>
      <x:c r="L472" t="str">
        <x:v>OPEN</x:v>
      </x:c>
    </x:row>
    <x:row r="473">
      <x:c r="B473" t="str">
        <x:v>RFP-B2-TC-017</x:v>
      </x:c>
      <x:c r="C473" t="str">
        <x:v>RFP-B2</x:v>
      </x:c>
      <x:c r="D473" t="n">
        <x:v>2</x:v>
      </x:c>
      <x:c r="E473" t="n">
        <x:v>7</x:v>
      </x:c>
      <x:c r="F473" t="n">
        <x:v>4</x:v>
      </x:c>
      <x:c r="G473" t="n">
        <x:v>4</x:v>
      </x:c>
      <x:c r="H473" t="n">
        <x:v>150</x:v>
      </x:c>
      <x:c r="I473" t="n">
        <x:v>1.5</x:v>
      </x:c>
      <x:c r="J473" t="str"/>
      <x:c r="K473" t="str"/>
      <x:c r="L473" t="str">
        <x:v>OPEN</x:v>
      </x:c>
    </x:row>
    <x:row r="474">
      <x:c r="B474" t="str">
        <x:v>RFP-B2-TC-018</x:v>
      </x:c>
      <x:c r="C474" t="str">
        <x:v>RFP-B2</x:v>
      </x:c>
      <x:c r="D474" t="n">
        <x:v>2</x:v>
      </x:c>
      <x:c r="E474" t="n">
        <x:v>8</x:v>
      </x:c>
      <x:c r="F474" t="n">
        <x:v>4</x:v>
      </x:c>
      <x:c r="G474" t="n">
        <x:v>4</x:v>
      </x:c>
      <x:c r="H474" t="n">
        <x:v>150</x:v>
      </x:c>
      <x:c r="I474" t="n">
        <x:v>1.5</x:v>
      </x:c>
      <x:c r="J474" t="str"/>
      <x:c r="K474" t="str"/>
      <x:c r="L474" t="str">
        <x:v>OPEN</x:v>
      </x:c>
    </x:row>
    <x:row r="475">
      <x:c r="B475" t="str">
        <x:v>RFP-B2-TC-019</x:v>
      </x:c>
      <x:c r="C475" t="str">
        <x:v>RFP-B2</x:v>
      </x:c>
      <x:c r="D475" t="n">
        <x:v>2</x:v>
      </x:c>
      <x:c r="E475" t="n">
        <x:v>9</x:v>
      </x:c>
      <x:c r="F475" t="n">
        <x:v>4</x:v>
      </x:c>
      <x:c r="G475" t="n">
        <x:v>4</x:v>
      </x:c>
      <x:c r="H475" t="n">
        <x:v>150</x:v>
      </x:c>
      <x:c r="I475" t="n">
        <x:v>1.5</x:v>
      </x:c>
      <x:c r="J475" t="str"/>
      <x:c r="K475" t="str"/>
      <x:c r="L475" t="str">
        <x:v>OPEN</x:v>
      </x:c>
    </x:row>
    <x:row r="476">
      <x:c r="B476" t="str">
        <x:v>RFP-B2-TC-020</x:v>
      </x:c>
      <x:c r="C476" t="str">
        <x:v>RFP-B2</x:v>
      </x:c>
      <x:c r="D476" t="n">
        <x:v>2</x:v>
      </x:c>
      <x:c r="E476" t="n">
        <x:v>10</x:v>
      </x:c>
      <x:c r="F476" t="n">
        <x:v>4</x:v>
      </x:c>
      <x:c r="G476" t="n">
        <x:v>4</x:v>
      </x:c>
      <x:c r="H476" t="n">
        <x:v>150</x:v>
      </x:c>
      <x:c r="I476" t="n">
        <x:v>1.5</x:v>
      </x:c>
      <x:c r="J476" t="str"/>
      <x:c r="K476" t="str"/>
      <x:c r="L476" t="str">
        <x:v>OPEN</x:v>
      </x:c>
    </x:row>
    <x:row r="477">
      <x:c r="B477" t="str">
        <x:v>RFP-B2-TC-021</x:v>
      </x:c>
      <x:c r="C477" t="str">
        <x:v>RFP-B2</x:v>
      </x:c>
      <x:c r="D477" t="n">
        <x:v>3</x:v>
      </x:c>
      <x:c r="E477" t="n">
        <x:v>1</x:v>
      </x:c>
      <x:c r="F477" t="n">
        <x:v>4</x:v>
      </x:c>
      <x:c r="G477" t="n">
        <x:v>4</x:v>
      </x:c>
      <x:c r="H477" t="n">
        <x:v>150</x:v>
      </x:c>
      <x:c r="I477" t="n">
        <x:v>1.5</x:v>
      </x:c>
      <x:c r="J477" t="str"/>
      <x:c r="K477" t="str"/>
      <x:c r="L477" t="str">
        <x:v>OPEN</x:v>
      </x:c>
    </x:row>
    <x:row r="478">
      <x:c r="B478" t="str">
        <x:v>RFP-B2-TC-022</x:v>
      </x:c>
      <x:c r="C478" t="str">
        <x:v>RFP-B2</x:v>
      </x:c>
      <x:c r="D478" t="n">
        <x:v>3</x:v>
      </x:c>
      <x:c r="E478" t="n">
        <x:v>2</x:v>
      </x:c>
      <x:c r="F478" t="n">
        <x:v>4</x:v>
      </x:c>
      <x:c r="G478" t="n">
        <x:v>4</x:v>
      </x:c>
      <x:c r="H478" t="n">
        <x:v>150</x:v>
      </x:c>
      <x:c r="I478" t="n">
        <x:v>1.5</x:v>
      </x:c>
      <x:c r="J478" t="str"/>
      <x:c r="K478" t="str"/>
      <x:c r="L478" t="str">
        <x:v>OPEN</x:v>
      </x:c>
    </x:row>
    <x:row r="479">
      <x:c r="B479" t="str">
        <x:v>RFP-B2-TC-023</x:v>
      </x:c>
      <x:c r="C479" t="str">
        <x:v>RFP-B2</x:v>
      </x:c>
      <x:c r="D479" t="n">
        <x:v>3</x:v>
      </x:c>
      <x:c r="E479" t="n">
        <x:v>3</x:v>
      </x:c>
      <x:c r="F479" t="n">
        <x:v>4</x:v>
      </x:c>
      <x:c r="G479" t="n">
        <x:v>4</x:v>
      </x:c>
      <x:c r="H479" t="n">
        <x:v>150</x:v>
      </x:c>
      <x:c r="I479" t="n">
        <x:v>1.5</x:v>
      </x:c>
      <x:c r="J479" t="str"/>
      <x:c r="K479" t="str"/>
      <x:c r="L479" t="str">
        <x:v>OPEN</x:v>
      </x:c>
    </x:row>
    <x:row r="480">
      <x:c r="B480" t="str">
        <x:v>RFP-B2-TC-024</x:v>
      </x:c>
      <x:c r="C480" t="str">
        <x:v>RFP-B2</x:v>
      </x:c>
      <x:c r="D480" t="n">
        <x:v>3</x:v>
      </x:c>
      <x:c r="E480" t="n">
        <x:v>4</x:v>
      </x:c>
      <x:c r="F480" t="n">
        <x:v>4</x:v>
      </x:c>
      <x:c r="G480" t="n">
        <x:v>4</x:v>
      </x:c>
      <x:c r="H480" t="n">
        <x:v>150</x:v>
      </x:c>
      <x:c r="I480" t="n">
        <x:v>1.5</x:v>
      </x:c>
      <x:c r="J480" t="str"/>
      <x:c r="K480" t="str"/>
      <x:c r="L480" t="str">
        <x:v>OPEN</x:v>
      </x:c>
    </x:row>
    <x:row r="481">
      <x:c r="B481" t="str">
        <x:v>RFP-B2-TC-025</x:v>
      </x:c>
      <x:c r="C481" t="str">
        <x:v>RFP-B2</x:v>
      </x:c>
      <x:c r="D481" t="n">
        <x:v>3</x:v>
      </x:c>
      <x:c r="E481" t="n">
        <x:v>5</x:v>
      </x:c>
      <x:c r="F481" t="n">
        <x:v>4</x:v>
      </x:c>
      <x:c r="G481" t="n">
        <x:v>4</x:v>
      </x:c>
      <x:c r="H481" t="n">
        <x:v>150</x:v>
      </x:c>
      <x:c r="I481" t="n">
        <x:v>1.5</x:v>
      </x:c>
      <x:c r="J481" t="str"/>
      <x:c r="K481" t="str"/>
      <x:c r="L481" t="str">
        <x:v>OPEN</x:v>
      </x:c>
    </x:row>
    <x:row r="482">
      <x:c r="B482" t="str">
        <x:v>RFP-B2-TC-026</x:v>
      </x:c>
      <x:c r="C482" t="str">
        <x:v>RFP-B2</x:v>
      </x:c>
      <x:c r="D482" t="n">
        <x:v>3</x:v>
      </x:c>
      <x:c r="E482" t="n">
        <x:v>6</x:v>
      </x:c>
      <x:c r="F482" t="n">
        <x:v>4</x:v>
      </x:c>
      <x:c r="G482" t="n">
        <x:v>4</x:v>
      </x:c>
      <x:c r="H482" t="n">
        <x:v>150</x:v>
      </x:c>
      <x:c r="I482" t="n">
        <x:v>1.5</x:v>
      </x:c>
      <x:c r="J482" t="str"/>
      <x:c r="K482" t="str"/>
      <x:c r="L482" t="str">
        <x:v>OPEN</x:v>
      </x:c>
    </x:row>
    <x:row r="483">
      <x:c r="B483" t="str">
        <x:v>RFP-B2-TC-027</x:v>
      </x:c>
      <x:c r="C483" t="str">
        <x:v>RFP-B2</x:v>
      </x:c>
      <x:c r="D483" t="n">
        <x:v>3</x:v>
      </x:c>
      <x:c r="E483" t="n">
        <x:v>7</x:v>
      </x:c>
      <x:c r="F483" t="n">
        <x:v>4</x:v>
      </x:c>
      <x:c r="G483" t="n">
        <x:v>4</x:v>
      </x:c>
      <x:c r="H483" t="n">
        <x:v>150</x:v>
      </x:c>
      <x:c r="I483" t="n">
        <x:v>1.5</x:v>
      </x:c>
      <x:c r="J483" t="str"/>
      <x:c r="K483" t="str"/>
      <x:c r="L483" t="str">
        <x:v>OPEN</x:v>
      </x:c>
    </x:row>
    <x:row r="484">
      <x:c r="B484" t="str">
        <x:v>RFP-B2-TC-028</x:v>
      </x:c>
      <x:c r="C484" t="str">
        <x:v>RFP-B2</x:v>
      </x:c>
      <x:c r="D484" t="n">
        <x:v>3</x:v>
      </x:c>
      <x:c r="E484" t="n">
        <x:v>8</x:v>
      </x:c>
      <x:c r="F484" t="n">
        <x:v>4</x:v>
      </x:c>
      <x:c r="G484" t="n">
        <x:v>4</x:v>
      </x:c>
      <x:c r="H484" t="n">
        <x:v>150</x:v>
      </x:c>
      <x:c r="I484" t="n">
        <x:v>1.5</x:v>
      </x:c>
      <x:c r="J484" t="str"/>
      <x:c r="K484" t="str"/>
      <x:c r="L484" t="str">
        <x:v>OPEN</x:v>
      </x:c>
    </x:row>
    <x:row r="485">
      <x:c r="B485" t="str">
        <x:v>RFP-B2-TC-029</x:v>
      </x:c>
      <x:c r="C485" t="str">
        <x:v>RFP-B2</x:v>
      </x:c>
      <x:c r="D485" t="n">
        <x:v>3</x:v>
      </x:c>
      <x:c r="E485" t="n">
        <x:v>9</x:v>
      </x:c>
      <x:c r="F485" t="n">
        <x:v>4</x:v>
      </x:c>
      <x:c r="G485" t="n">
        <x:v>4</x:v>
      </x:c>
      <x:c r="H485" t="n">
        <x:v>150</x:v>
      </x:c>
      <x:c r="I485" t="n">
        <x:v>1.5</x:v>
      </x:c>
      <x:c r="J485" t="str"/>
      <x:c r="K485" t="str"/>
      <x:c r="L485" t="str">
        <x:v>OPEN</x:v>
      </x:c>
    </x:row>
    <x:row r="486">
      <x:c r="B486" t="str">
        <x:v>RFP-B2-TC-030</x:v>
      </x:c>
      <x:c r="C486" t="str">
        <x:v>RFP-B2</x:v>
      </x:c>
      <x:c r="D486" t="n">
        <x:v>3</x:v>
      </x:c>
      <x:c r="E486" t="n">
        <x:v>10</x:v>
      </x:c>
      <x:c r="F486" t="n">
        <x:v>4</x:v>
      </x:c>
      <x:c r="G486" t="n">
        <x:v>4</x:v>
      </x:c>
      <x:c r="H486" t="n">
        <x:v>150</x:v>
      </x:c>
      <x:c r="I486" t="n">
        <x:v>1.5</x:v>
      </x:c>
      <x:c r="J486" t="str"/>
      <x:c r="K486" t="str"/>
      <x:c r="L486" t="str">
        <x:v>OPEN</x:v>
      </x:c>
    </x:row>
    <x:row r="487">
      <x:c r="B487" t="str">
        <x:v>RFP-B2-TC-031</x:v>
      </x:c>
      <x:c r="C487" t="str">
        <x:v>RFP-B2</x:v>
      </x:c>
      <x:c r="D487" t="n">
        <x:v>4</x:v>
      </x:c>
      <x:c r="E487" t="n">
        <x:v>1</x:v>
      </x:c>
      <x:c r="F487" t="n">
        <x:v>4</x:v>
      </x:c>
      <x:c r="G487" t="n">
        <x:v>4</x:v>
      </x:c>
      <x:c r="H487" t="n">
        <x:v>150</x:v>
      </x:c>
      <x:c r="I487" t="n">
        <x:v>1.5</x:v>
      </x:c>
      <x:c r="J487" t="str"/>
      <x:c r="K487" t="str"/>
      <x:c r="L487" t="str">
        <x:v>OPEN</x:v>
      </x:c>
    </x:row>
    <x:row r="488">
      <x:c r="B488" t="str">
        <x:v>RFP-B2-TC-032</x:v>
      </x:c>
      <x:c r="C488" t="str">
        <x:v>RFP-B2</x:v>
      </x:c>
      <x:c r="D488" t="n">
        <x:v>4</x:v>
      </x:c>
      <x:c r="E488" t="n">
        <x:v>2</x:v>
      </x:c>
      <x:c r="F488" t="n">
        <x:v>4</x:v>
      </x:c>
      <x:c r="G488" t="n">
        <x:v>4</x:v>
      </x:c>
      <x:c r="H488" t="n">
        <x:v>150</x:v>
      </x:c>
      <x:c r="I488" t="n">
        <x:v>1.5</x:v>
      </x:c>
      <x:c r="J488" t="str"/>
      <x:c r="K488" t="str"/>
      <x:c r="L488" t="str">
        <x:v>OPEN</x:v>
      </x:c>
    </x:row>
    <x:row r="489">
      <x:c r="B489" t="str">
        <x:v>RFP-B2-TC-033</x:v>
      </x:c>
      <x:c r="C489" t="str">
        <x:v>RFP-B2</x:v>
      </x:c>
      <x:c r="D489" t="n">
        <x:v>4</x:v>
      </x:c>
      <x:c r="E489" t="n">
        <x:v>3</x:v>
      </x:c>
      <x:c r="F489" t="n">
        <x:v>4</x:v>
      </x:c>
      <x:c r="G489" t="n">
        <x:v>4</x:v>
      </x:c>
      <x:c r="H489" t="n">
        <x:v>150</x:v>
      </x:c>
      <x:c r="I489" t="n">
        <x:v>1.5</x:v>
      </x:c>
      <x:c r="J489" t="str"/>
      <x:c r="K489" t="str"/>
      <x:c r="L489" t="str">
        <x:v>OPEN</x:v>
      </x:c>
    </x:row>
    <x:row r="490">
      <x:c r="B490" t="str">
        <x:v>RFP-B2-TC-034</x:v>
      </x:c>
      <x:c r="C490" t="str">
        <x:v>RFP-B2</x:v>
      </x:c>
      <x:c r="D490" t="n">
        <x:v>4</x:v>
      </x:c>
      <x:c r="E490" t="n">
        <x:v>4</x:v>
      </x:c>
      <x:c r="F490" t="n">
        <x:v>4</x:v>
      </x:c>
      <x:c r="G490" t="n">
        <x:v>4</x:v>
      </x:c>
      <x:c r="H490" t="n">
        <x:v>150</x:v>
      </x:c>
      <x:c r="I490" t="n">
        <x:v>1.5</x:v>
      </x:c>
      <x:c r="J490" t="str"/>
      <x:c r="K490" t="str"/>
      <x:c r="L490" t="str">
        <x:v>OPEN</x:v>
      </x:c>
    </x:row>
    <x:row r="491">
      <x:c r="B491" t="str">
        <x:v>RFP-B2-TC-035</x:v>
      </x:c>
      <x:c r="C491" t="str">
        <x:v>RFP-B2</x:v>
      </x:c>
      <x:c r="D491" t="n">
        <x:v>4</x:v>
      </x:c>
      <x:c r="E491" t="n">
        <x:v>5</x:v>
      </x:c>
      <x:c r="F491" t="n">
        <x:v>4</x:v>
      </x:c>
      <x:c r="G491" t="n">
        <x:v>4</x:v>
      </x:c>
      <x:c r="H491" t="n">
        <x:v>150</x:v>
      </x:c>
      <x:c r="I491" t="n">
        <x:v>1.5</x:v>
      </x:c>
      <x:c r="J491" t="str"/>
      <x:c r="K491" t="str"/>
      <x:c r="L491" t="str">
        <x:v>OPEN</x:v>
      </x:c>
    </x:row>
    <x:row r="492">
      <x:c r="B492" t="str">
        <x:v>RFP-B2-TC-036</x:v>
      </x:c>
      <x:c r="C492" t="str">
        <x:v>RFP-B2</x:v>
      </x:c>
      <x:c r="D492" t="n">
        <x:v>4</x:v>
      </x:c>
      <x:c r="E492" t="n">
        <x:v>6</x:v>
      </x:c>
      <x:c r="F492" t="n">
        <x:v>4</x:v>
      </x:c>
      <x:c r="G492" t="n">
        <x:v>4</x:v>
      </x:c>
      <x:c r="H492" t="n">
        <x:v>150</x:v>
      </x:c>
      <x:c r="I492" t="n">
        <x:v>1.5</x:v>
      </x:c>
      <x:c r="J492" t="str"/>
      <x:c r="K492" t="str"/>
      <x:c r="L492" t="str">
        <x:v>OPEN</x:v>
      </x:c>
    </x:row>
    <x:row r="493">
      <x:c r="B493" t="str">
        <x:v>RFP-B2-TC-037</x:v>
      </x:c>
      <x:c r="C493" t="str">
        <x:v>RFP-B2</x:v>
      </x:c>
      <x:c r="D493" t="n">
        <x:v>4</x:v>
      </x:c>
      <x:c r="E493" t="n">
        <x:v>7</x:v>
      </x:c>
      <x:c r="F493" t="n">
        <x:v>4</x:v>
      </x:c>
      <x:c r="G493" t="n">
        <x:v>4</x:v>
      </x:c>
      <x:c r="H493" t="n">
        <x:v>150</x:v>
      </x:c>
      <x:c r="I493" t="n">
        <x:v>1.5</x:v>
      </x:c>
      <x:c r="J493" t="str"/>
      <x:c r="K493" t="str"/>
      <x:c r="L493" t="str">
        <x:v>OPEN</x:v>
      </x:c>
    </x:row>
    <x:row r="494">
      <x:c r="B494" t="str">
        <x:v>RFP-B2-TC-038</x:v>
      </x:c>
      <x:c r="C494" t="str">
        <x:v>RFP-B2</x:v>
      </x:c>
      <x:c r="D494" t="n">
        <x:v>4</x:v>
      </x:c>
      <x:c r="E494" t="n">
        <x:v>8</x:v>
      </x:c>
      <x:c r="F494" t="n">
        <x:v>4</x:v>
      </x:c>
      <x:c r="G494" t="n">
        <x:v>4</x:v>
      </x:c>
      <x:c r="H494" t="n">
        <x:v>150</x:v>
      </x:c>
      <x:c r="I494" t="n">
        <x:v>1.5</x:v>
      </x:c>
      <x:c r="J494" t="str"/>
      <x:c r="K494" t="str"/>
      <x:c r="L494" t="str">
        <x:v>OPEN</x:v>
      </x:c>
    </x:row>
    <x:row r="495">
      <x:c r="B495" t="str">
        <x:v>RFP-B2-TC-039</x:v>
      </x:c>
      <x:c r="C495" t="str">
        <x:v>RFP-B2</x:v>
      </x:c>
      <x:c r="D495" t="n">
        <x:v>4</x:v>
      </x:c>
      <x:c r="E495" t="n">
        <x:v>9</x:v>
      </x:c>
      <x:c r="F495" t="n">
        <x:v>4</x:v>
      </x:c>
      <x:c r="G495" t="n">
        <x:v>4</x:v>
      </x:c>
      <x:c r="H495" t="n">
        <x:v>150</x:v>
      </x:c>
      <x:c r="I495" t="n">
        <x:v>1.5</x:v>
      </x:c>
      <x:c r="J495" t="str"/>
      <x:c r="K495" t="str"/>
      <x:c r="L495" t="str">
        <x:v>OPEN</x:v>
      </x:c>
    </x:row>
    <x:row r="496">
      <x:c r="B496" t="str">
        <x:v>RFP-B2-TC-040</x:v>
      </x:c>
      <x:c r="C496" t="str">
        <x:v>RFP-B2</x:v>
      </x:c>
      <x:c r="D496" t="n">
        <x:v>4</x:v>
      </x:c>
      <x:c r="E496" t="n">
        <x:v>10</x:v>
      </x:c>
      <x:c r="F496" t="n">
        <x:v>4</x:v>
      </x:c>
      <x:c r="G496" t="n">
        <x:v>4</x:v>
      </x:c>
      <x:c r="H496" t="n">
        <x:v>150</x:v>
      </x:c>
      <x:c r="I496" t="n">
        <x:v>1.5</x:v>
      </x:c>
      <x:c r="J496" t="str"/>
      <x:c r="K496" t="str"/>
      <x:c r="L496" t="str">
        <x:v>OPEN</x:v>
      </x:c>
    </x:row>
    <x:row r="497">
      <x:c r="B497" t="str">
        <x:v>RFP-B2-TC-041</x:v>
      </x:c>
      <x:c r="C497" t="str">
        <x:v>RFP-B2</x:v>
      </x:c>
      <x:c r="D497" t="n">
        <x:v>5</x:v>
      </x:c>
      <x:c r="E497" t="n">
        <x:v>1</x:v>
      </x:c>
      <x:c r="F497" t="n">
        <x:v>4</x:v>
      </x:c>
      <x:c r="G497" t="n">
        <x:v>4</x:v>
      </x:c>
      <x:c r="H497" t="n">
        <x:v>150</x:v>
      </x:c>
      <x:c r="I497" t="n">
        <x:v>1.5</x:v>
      </x:c>
      <x:c r="J497" t="str"/>
      <x:c r="K497" t="str"/>
      <x:c r="L497" t="str">
        <x:v>OPEN</x:v>
      </x:c>
    </x:row>
    <x:row r="498">
      <x:c r="B498" t="str">
        <x:v>RFP-B2-TC-042</x:v>
      </x:c>
      <x:c r="C498" t="str">
        <x:v>RFP-B2</x:v>
      </x:c>
      <x:c r="D498" t="n">
        <x:v>5</x:v>
      </x:c>
      <x:c r="E498" t="n">
        <x:v>2</x:v>
      </x:c>
      <x:c r="F498" t="n">
        <x:v>4</x:v>
      </x:c>
      <x:c r="G498" t="n">
        <x:v>4</x:v>
      </x:c>
      <x:c r="H498" t="n">
        <x:v>150</x:v>
      </x:c>
      <x:c r="I498" t="n">
        <x:v>1.5</x:v>
      </x:c>
      <x:c r="J498" t="str"/>
      <x:c r="K498" t="str"/>
      <x:c r="L498" t="str">
        <x:v>OPEN</x:v>
      </x:c>
    </x:row>
    <x:row r="499">
      <x:c r="B499" t="str">
        <x:v>RFP-B2-TC-043</x:v>
      </x:c>
      <x:c r="C499" t="str">
        <x:v>RFP-B2</x:v>
      </x:c>
      <x:c r="D499" t="n">
        <x:v>5</x:v>
      </x:c>
      <x:c r="E499" t="n">
        <x:v>3</x:v>
      </x:c>
      <x:c r="F499" t="n">
        <x:v>4</x:v>
      </x:c>
      <x:c r="G499" t="n">
        <x:v>4</x:v>
      </x:c>
      <x:c r="H499" t="n">
        <x:v>150</x:v>
      </x:c>
      <x:c r="I499" t="n">
        <x:v>1.5</x:v>
      </x:c>
      <x:c r="J499" t="str"/>
      <x:c r="K499" t="str"/>
      <x:c r="L499" t="str">
        <x:v>OPEN</x:v>
      </x:c>
    </x:row>
    <x:row r="500">
      <x:c r="B500" t="str">
        <x:v>RFP-B2-TC-044</x:v>
      </x:c>
      <x:c r="C500" t="str">
        <x:v>RFP-B2</x:v>
      </x:c>
      <x:c r="D500" t="n">
        <x:v>5</x:v>
      </x:c>
      <x:c r="E500" t="n">
        <x:v>4</x:v>
      </x:c>
      <x:c r="F500" t="n">
        <x:v>4</x:v>
      </x:c>
      <x:c r="G500" t="n">
        <x:v>4</x:v>
      </x:c>
      <x:c r="H500" t="n">
        <x:v>150</x:v>
      </x:c>
      <x:c r="I500" t="n">
        <x:v>1.5</x:v>
      </x:c>
      <x:c r="J500" t="str"/>
      <x:c r="K500" t="str"/>
      <x:c r="L500" t="str">
        <x:v>OPEN</x:v>
      </x:c>
    </x:row>
    <x:row r="501">
      <x:c r="B501" t="str">
        <x:v>RFP-B2-TC-045</x:v>
      </x:c>
      <x:c r="C501" t="str">
        <x:v>RFP-B2</x:v>
      </x:c>
      <x:c r="D501" t="n">
        <x:v>5</x:v>
      </x:c>
      <x:c r="E501" t="n">
        <x:v>5</x:v>
      </x:c>
      <x:c r="F501" t="n">
        <x:v>4</x:v>
      </x:c>
      <x:c r="G501" t="n">
        <x:v>4</x:v>
      </x:c>
      <x:c r="H501" t="n">
        <x:v>150</x:v>
      </x:c>
      <x:c r="I501" t="n">
        <x:v>1.5</x:v>
      </x:c>
      <x:c r="J501" t="str"/>
      <x:c r="K501" t="str"/>
      <x:c r="L501" t="str">
        <x:v>OPEN</x:v>
      </x:c>
    </x:row>
    <x:row r="502">
      <x:c r="B502" t="str">
        <x:v>RFP-B2-TC-046</x:v>
      </x:c>
      <x:c r="C502" t="str">
        <x:v>RFP-B2</x:v>
      </x:c>
      <x:c r="D502" t="n">
        <x:v>5</x:v>
      </x:c>
      <x:c r="E502" t="n">
        <x:v>6</x:v>
      </x:c>
      <x:c r="F502" t="n">
        <x:v>4</x:v>
      </x:c>
      <x:c r="G502" t="n">
        <x:v>4</x:v>
      </x:c>
      <x:c r="H502" t="n">
        <x:v>150</x:v>
      </x:c>
      <x:c r="I502" t="n">
        <x:v>1.5</x:v>
      </x:c>
      <x:c r="J502" t="str"/>
      <x:c r="K502" t="str"/>
      <x:c r="L502" t="str">
        <x:v>OPEN</x:v>
      </x:c>
    </x:row>
    <x:row r="503">
      <x:c r="B503" t="str">
        <x:v>RFP-B2-TC-047</x:v>
      </x:c>
      <x:c r="C503" t="str">
        <x:v>RFP-B2</x:v>
      </x:c>
      <x:c r="D503" t="n">
        <x:v>5</x:v>
      </x:c>
      <x:c r="E503" t="n">
        <x:v>7</x:v>
      </x:c>
      <x:c r="F503" t="n">
        <x:v>4</x:v>
      </x:c>
      <x:c r="G503" t="n">
        <x:v>4</x:v>
      </x:c>
      <x:c r="H503" t="n">
        <x:v>150</x:v>
      </x:c>
      <x:c r="I503" t="n">
        <x:v>1.5</x:v>
      </x:c>
      <x:c r="J503" t="str"/>
      <x:c r="K503" t="str"/>
      <x:c r="L503" t="str">
        <x:v>OPEN</x:v>
      </x:c>
    </x:row>
    <x:row r="504">
      <x:c r="B504" t="str">
        <x:v>RFP-B2-TC-048</x:v>
      </x:c>
      <x:c r="C504" t="str">
        <x:v>RFP-B2</x:v>
      </x:c>
      <x:c r="D504" t="n">
        <x:v>5</x:v>
      </x:c>
      <x:c r="E504" t="n">
        <x:v>8</x:v>
      </x:c>
      <x:c r="F504" t="n">
        <x:v>4</x:v>
      </x:c>
      <x:c r="G504" t="n">
        <x:v>4</x:v>
      </x:c>
      <x:c r="H504" t="n">
        <x:v>150</x:v>
      </x:c>
      <x:c r="I504" t="n">
        <x:v>1.5</x:v>
      </x:c>
      <x:c r="J504" t="str"/>
      <x:c r="K504" t="str"/>
      <x:c r="L504" t="str">
        <x:v>OPEN</x:v>
      </x:c>
    </x:row>
    <x:row r="505">
      <x:c r="B505" t="str">
        <x:v>RFP-B2-TC-049</x:v>
      </x:c>
      <x:c r="C505" t="str">
        <x:v>RFP-B2</x:v>
      </x:c>
      <x:c r="D505" t="n">
        <x:v>5</x:v>
      </x:c>
      <x:c r="E505" t="n">
        <x:v>9</x:v>
      </x:c>
      <x:c r="F505" t="n">
        <x:v>4</x:v>
      </x:c>
      <x:c r="G505" t="n">
        <x:v>4</x:v>
      </x:c>
      <x:c r="H505" t="n">
        <x:v>150</x:v>
      </x:c>
      <x:c r="I505" t="n">
        <x:v>1.5</x:v>
      </x:c>
      <x:c r="J505" t="str"/>
      <x:c r="K505" t="str"/>
      <x:c r="L505" t="str">
        <x:v>OPEN</x:v>
      </x:c>
    </x:row>
    <x:row r="506">
      <x:c r="B506" t="str">
        <x:v>RFP-B2-TC-050</x:v>
      </x:c>
      <x:c r="C506" t="str">
        <x:v>RFP-B2</x:v>
      </x:c>
      <x:c r="D506" t="n">
        <x:v>5</x:v>
      </x:c>
      <x:c r="E506" t="n">
        <x:v>10</x:v>
      </x:c>
      <x:c r="F506" t="n">
        <x:v>4</x:v>
      </x:c>
      <x:c r="G506" t="n">
        <x:v>4</x:v>
      </x:c>
      <x:c r="H506" t="n">
        <x:v>150</x:v>
      </x:c>
      <x:c r="I506" t="n">
        <x:v>1.5</x:v>
      </x:c>
      <x:c r="J506" t="str"/>
      <x:c r="K506" t="str"/>
      <x:c r="L506" t="str">
        <x:v>OPEN</x:v>
      </x:c>
    </x:row>
    <x:row r="507">
      <x:c r="B507" t="str">
        <x:v>RFP-B2-TC-051</x:v>
      </x:c>
      <x:c r="C507" t="str">
        <x:v>RFP-B2</x:v>
      </x:c>
      <x:c r="D507" t="n">
        <x:v>6</x:v>
      </x:c>
      <x:c r="E507" t="n">
        <x:v>1</x:v>
      </x:c>
      <x:c r="F507" t="n">
        <x:v>4</x:v>
      </x:c>
      <x:c r="G507" t="n">
        <x:v>4</x:v>
      </x:c>
      <x:c r="H507" t="n">
        <x:v>150</x:v>
      </x:c>
      <x:c r="I507" t="n">
        <x:v>1.5</x:v>
      </x:c>
      <x:c r="J507" t="str"/>
      <x:c r="K507" t="str"/>
      <x:c r="L507" t="str">
        <x:v>OPEN</x:v>
      </x:c>
    </x:row>
    <x:row r="508">
      <x:c r="B508" t="str">
        <x:v>RFP-B2-TC-052</x:v>
      </x:c>
      <x:c r="C508" t="str">
        <x:v>RFP-B2</x:v>
      </x:c>
      <x:c r="D508" t="n">
        <x:v>6</x:v>
      </x:c>
      <x:c r="E508" t="n">
        <x:v>2</x:v>
      </x:c>
      <x:c r="F508" t="n">
        <x:v>4</x:v>
      </x:c>
      <x:c r="G508" t="n">
        <x:v>4</x:v>
      </x:c>
      <x:c r="H508" t="n">
        <x:v>150</x:v>
      </x:c>
      <x:c r="I508" t="n">
        <x:v>1.5</x:v>
      </x:c>
      <x:c r="J508" t="str"/>
      <x:c r="K508" t="str"/>
      <x:c r="L508" t="str">
        <x:v>OPEN</x:v>
      </x:c>
    </x:row>
    <x:row r="509">
      <x:c r="B509" t="str">
        <x:v>RFP-B2-TC-053</x:v>
      </x:c>
      <x:c r="C509" t="str">
        <x:v>RFP-B2</x:v>
      </x:c>
      <x:c r="D509" t="n">
        <x:v>6</x:v>
      </x:c>
      <x:c r="E509" t="n">
        <x:v>3</x:v>
      </x:c>
      <x:c r="F509" t="n">
        <x:v>4</x:v>
      </x:c>
      <x:c r="G509" t="n">
        <x:v>4</x:v>
      </x:c>
      <x:c r="H509" t="n">
        <x:v>150</x:v>
      </x:c>
      <x:c r="I509" t="n">
        <x:v>1.5</x:v>
      </x:c>
      <x:c r="J509" t="str"/>
      <x:c r="K509" t="str"/>
      <x:c r="L509" t="str">
        <x:v>OPEN</x:v>
      </x:c>
    </x:row>
    <x:row r="510">
      <x:c r="B510" t="str">
        <x:v>RFP-B2-TC-054</x:v>
      </x:c>
      <x:c r="C510" t="str">
        <x:v>RFP-B2</x:v>
      </x:c>
      <x:c r="D510" t="n">
        <x:v>6</x:v>
      </x:c>
      <x:c r="E510" t="n">
        <x:v>4</x:v>
      </x:c>
      <x:c r="F510" t="n">
        <x:v>4</x:v>
      </x:c>
      <x:c r="G510" t="n">
        <x:v>4</x:v>
      </x:c>
      <x:c r="H510" t="n">
        <x:v>150</x:v>
      </x:c>
      <x:c r="I510" t="n">
        <x:v>1.5</x:v>
      </x:c>
      <x:c r="J510" t="str"/>
      <x:c r="K510" t="str"/>
      <x:c r="L510" t="str">
        <x:v>OPEN</x:v>
      </x:c>
    </x:row>
    <x:row r="511">
      <x:c r="B511" t="str">
        <x:v>RFP-B2-TC-055</x:v>
      </x:c>
      <x:c r="C511" t="str">
        <x:v>RFP-B2</x:v>
      </x:c>
      <x:c r="D511" t="n">
        <x:v>6</x:v>
      </x:c>
      <x:c r="E511" t="n">
        <x:v>5</x:v>
      </x:c>
      <x:c r="F511" t="n">
        <x:v>4</x:v>
      </x:c>
      <x:c r="G511" t="n">
        <x:v>4</x:v>
      </x:c>
      <x:c r="H511" t="n">
        <x:v>150</x:v>
      </x:c>
      <x:c r="I511" t="n">
        <x:v>1.5</x:v>
      </x:c>
      <x:c r="J511" t="str"/>
      <x:c r="K511" t="str"/>
      <x:c r="L511" t="str">
        <x:v>OPEN</x:v>
      </x:c>
    </x:row>
    <x:row r="512">
      <x:c r="B512" t="str">
        <x:v>RFP-B2-TC-056</x:v>
      </x:c>
      <x:c r="C512" t="str">
        <x:v>RFP-B2</x:v>
      </x:c>
      <x:c r="D512" t="n">
        <x:v>6</x:v>
      </x:c>
      <x:c r="E512" t="n">
        <x:v>6</x:v>
      </x:c>
      <x:c r="F512" t="n">
        <x:v>4</x:v>
      </x:c>
      <x:c r="G512" t="n">
        <x:v>4</x:v>
      </x:c>
      <x:c r="H512" t="n">
        <x:v>150</x:v>
      </x:c>
      <x:c r="I512" t="n">
        <x:v>1.5</x:v>
      </x:c>
      <x:c r="J512" t="str"/>
      <x:c r="K512" t="str"/>
      <x:c r="L512" t="str">
        <x:v>OPEN</x:v>
      </x:c>
    </x:row>
    <x:row r="513">
      <x:c r="B513" t="str">
        <x:v>RFP-B2-TC-057</x:v>
      </x:c>
      <x:c r="C513" t="str">
        <x:v>RFP-B2</x:v>
      </x:c>
      <x:c r="D513" t="n">
        <x:v>6</x:v>
      </x:c>
      <x:c r="E513" t="n">
        <x:v>7</x:v>
      </x:c>
      <x:c r="F513" t="n">
        <x:v>4</x:v>
      </x:c>
      <x:c r="G513" t="n">
        <x:v>4</x:v>
      </x:c>
      <x:c r="H513" t="n">
        <x:v>150</x:v>
      </x:c>
      <x:c r="I513" t="n">
        <x:v>1.5</x:v>
      </x:c>
      <x:c r="J513" t="str"/>
      <x:c r="K513" t="str"/>
      <x:c r="L513" t="str">
        <x:v>OPEN</x:v>
      </x:c>
    </x:row>
    <x:row r="514">
      <x:c r="B514" t="str">
        <x:v>RFP-B2-TC-058</x:v>
      </x:c>
      <x:c r="C514" t="str">
        <x:v>RFP-B2</x:v>
      </x:c>
      <x:c r="D514" t="n">
        <x:v>6</x:v>
      </x:c>
      <x:c r="E514" t="n">
        <x:v>8</x:v>
      </x:c>
      <x:c r="F514" t="n">
        <x:v>4</x:v>
      </x:c>
      <x:c r="G514" t="n">
        <x:v>4</x:v>
      </x:c>
      <x:c r="H514" t="n">
        <x:v>150</x:v>
      </x:c>
      <x:c r="I514" t="n">
        <x:v>1.5</x:v>
      </x:c>
      <x:c r="J514" t="str"/>
      <x:c r="K514" t="str"/>
      <x:c r="L514" t="str">
        <x:v>OPEN</x:v>
      </x:c>
    </x:row>
    <x:row r="515">
      <x:c r="B515" t="str">
        <x:v>RFP-B2-TC-059</x:v>
      </x:c>
      <x:c r="C515" t="str">
        <x:v>RFP-B2</x:v>
      </x:c>
      <x:c r="D515" t="n">
        <x:v>6</x:v>
      </x:c>
      <x:c r="E515" t="n">
        <x:v>9</x:v>
      </x:c>
      <x:c r="F515" t="n">
        <x:v>4</x:v>
      </x:c>
      <x:c r="G515" t="n">
        <x:v>4</x:v>
      </x:c>
      <x:c r="H515" t="n">
        <x:v>150</x:v>
      </x:c>
      <x:c r="I515" t="n">
        <x:v>1.5</x:v>
      </x:c>
      <x:c r="J515" t="str"/>
      <x:c r="K515" t="str"/>
      <x:c r="L515" t="str">
        <x:v>OPEN</x:v>
      </x:c>
    </x:row>
    <x:row r="516">
      <x:c r="B516" t="str">
        <x:v>RFP-B2-TC-060</x:v>
      </x:c>
      <x:c r="C516" t="str">
        <x:v>RFP-B2</x:v>
      </x:c>
      <x:c r="D516" t="n">
        <x:v>6</x:v>
      </x:c>
      <x:c r="E516" t="n">
        <x:v>10</x:v>
      </x:c>
      <x:c r="F516" t="n">
        <x:v>4</x:v>
      </x:c>
      <x:c r="G516" t="n">
        <x:v>4</x:v>
      </x:c>
      <x:c r="H516" t="n">
        <x:v>150</x:v>
      </x:c>
      <x:c r="I516" t="n">
        <x:v>1.5</x:v>
      </x:c>
      <x:c r="J516" t="str"/>
      <x:c r="K516" t="str"/>
      <x:c r="L516" t="str">
        <x:v>OPEN</x:v>
      </x:c>
    </x:row>
    <x:row r="517">
      <x:c r="B517" t="str">
        <x:v>RFP-B2-TC-061</x:v>
      </x:c>
      <x:c r="C517" t="str">
        <x:v>RFP-B2</x:v>
      </x:c>
      <x:c r="D517" t="n">
        <x:v>7</x:v>
      </x:c>
      <x:c r="E517" t="n">
        <x:v>1</x:v>
      </x:c>
      <x:c r="F517" t="n">
        <x:v>4</x:v>
      </x:c>
      <x:c r="G517" t="n">
        <x:v>4</x:v>
      </x:c>
      <x:c r="H517" t="n">
        <x:v>150</x:v>
      </x:c>
      <x:c r="I517" t="n">
        <x:v>1.5</x:v>
      </x:c>
      <x:c r="J517" t="str"/>
      <x:c r="K517" t="str"/>
      <x:c r="L517" t="str">
        <x:v>OPEN</x:v>
      </x:c>
    </x:row>
    <x:row r="518">
      <x:c r="B518" t="str">
        <x:v>RFP-B2-TC-062</x:v>
      </x:c>
      <x:c r="C518" t="str">
        <x:v>RFP-B2</x:v>
      </x:c>
      <x:c r="D518" t="n">
        <x:v>7</x:v>
      </x:c>
      <x:c r="E518" t="n">
        <x:v>2</x:v>
      </x:c>
      <x:c r="F518" t="n">
        <x:v>4</x:v>
      </x:c>
      <x:c r="G518" t="n">
        <x:v>4</x:v>
      </x:c>
      <x:c r="H518" t="n">
        <x:v>150</x:v>
      </x:c>
      <x:c r="I518" t="n">
        <x:v>1.5</x:v>
      </x:c>
      <x:c r="J518" t="str"/>
      <x:c r="K518" t="str"/>
      <x:c r="L518" t="str">
        <x:v>OPEN</x:v>
      </x:c>
    </x:row>
    <x:row r="519">
      <x:c r="B519" t="str">
        <x:v>RFP-B2-TC-063</x:v>
      </x:c>
      <x:c r="C519" t="str">
        <x:v>RFP-B2</x:v>
      </x:c>
      <x:c r="D519" t="n">
        <x:v>7</x:v>
      </x:c>
      <x:c r="E519" t="n">
        <x:v>3</x:v>
      </x:c>
      <x:c r="F519" t="n">
        <x:v>4</x:v>
      </x:c>
      <x:c r="G519" t="n">
        <x:v>4</x:v>
      </x:c>
      <x:c r="H519" t="n">
        <x:v>150</x:v>
      </x:c>
      <x:c r="I519" t="n">
        <x:v>1.5</x:v>
      </x:c>
      <x:c r="J519" t="str"/>
      <x:c r="K519" t="str"/>
      <x:c r="L519" t="str">
        <x:v>OPEN</x:v>
      </x:c>
    </x:row>
    <x:row r="520">
      <x:c r="B520" t="str">
        <x:v>RFP-B2-TC-064</x:v>
      </x:c>
      <x:c r="C520" t="str">
        <x:v>RFP-B2</x:v>
      </x:c>
      <x:c r="D520" t="n">
        <x:v>7</x:v>
      </x:c>
      <x:c r="E520" t="n">
        <x:v>4</x:v>
      </x:c>
      <x:c r="F520" t="n">
        <x:v>4</x:v>
      </x:c>
      <x:c r="G520" t="n">
        <x:v>4</x:v>
      </x:c>
      <x:c r="H520" t="n">
        <x:v>150</x:v>
      </x:c>
      <x:c r="I520" t="n">
        <x:v>1.5</x:v>
      </x:c>
      <x:c r="J520" t="str"/>
      <x:c r="K520" t="str"/>
      <x:c r="L520" t="str">
        <x:v>OPEN</x:v>
      </x:c>
    </x:row>
    <x:row r="521">
      <x:c r="B521" t="str">
        <x:v>RFP-B2-TC-065</x:v>
      </x:c>
      <x:c r="C521" t="str">
        <x:v>RFP-B2</x:v>
      </x:c>
      <x:c r="D521" t="n">
        <x:v>7</x:v>
      </x:c>
      <x:c r="E521" t="n">
        <x:v>5</x:v>
      </x:c>
      <x:c r="F521" t="n">
        <x:v>4</x:v>
      </x:c>
      <x:c r="G521" t="n">
        <x:v>4</x:v>
      </x:c>
      <x:c r="H521" t="n">
        <x:v>150</x:v>
      </x:c>
      <x:c r="I521" t="n">
        <x:v>1.5</x:v>
      </x:c>
      <x:c r="J521" t="str"/>
      <x:c r="K521" t="str"/>
      <x:c r="L521" t="str">
        <x:v>OPEN</x:v>
      </x:c>
    </x:row>
    <x:row r="522">
      <x:c r="B522" t="str">
        <x:v>RFP-B2-TC-066</x:v>
      </x:c>
      <x:c r="C522" t="str">
        <x:v>RFP-B2</x:v>
      </x:c>
      <x:c r="D522" t="n">
        <x:v>7</x:v>
      </x:c>
      <x:c r="E522" t="n">
        <x:v>6</x:v>
      </x:c>
      <x:c r="F522" t="n">
        <x:v>4</x:v>
      </x:c>
      <x:c r="G522" t="n">
        <x:v>4</x:v>
      </x:c>
      <x:c r="H522" t="n">
        <x:v>150</x:v>
      </x:c>
      <x:c r="I522" t="n">
        <x:v>1.5</x:v>
      </x:c>
      <x:c r="J522" t="str"/>
      <x:c r="K522" t="str"/>
      <x:c r="L522" t="str">
        <x:v>OPEN</x:v>
      </x:c>
    </x:row>
    <x:row r="523">
      <x:c r="B523" t="str">
        <x:v>RFP-B2-TC-067</x:v>
      </x:c>
      <x:c r="C523" t="str">
        <x:v>RFP-B2</x:v>
      </x:c>
      <x:c r="D523" t="n">
        <x:v>7</x:v>
      </x:c>
      <x:c r="E523" t="n">
        <x:v>7</x:v>
      </x:c>
      <x:c r="F523" t="n">
        <x:v>4</x:v>
      </x:c>
      <x:c r="G523" t="n">
        <x:v>4</x:v>
      </x:c>
      <x:c r="H523" t="n">
        <x:v>150</x:v>
      </x:c>
      <x:c r="I523" t="n">
        <x:v>1.5</x:v>
      </x:c>
      <x:c r="J523" t="str"/>
      <x:c r="K523" t="str"/>
      <x:c r="L523" t="str">
        <x:v>OPEN</x:v>
      </x:c>
    </x:row>
    <x:row r="524">
      <x:c r="B524" t="str">
        <x:v>RFP-B2-TC-068</x:v>
      </x:c>
      <x:c r="C524" t="str">
        <x:v>RFP-B2</x:v>
      </x:c>
      <x:c r="D524" t="n">
        <x:v>7</x:v>
      </x:c>
      <x:c r="E524" t="n">
        <x:v>8</x:v>
      </x:c>
      <x:c r="F524" t="n">
        <x:v>4</x:v>
      </x:c>
      <x:c r="G524" t="n">
        <x:v>4</x:v>
      </x:c>
      <x:c r="H524" t="n">
        <x:v>150</x:v>
      </x:c>
      <x:c r="I524" t="n">
        <x:v>1.5</x:v>
      </x:c>
      <x:c r="J524" t="str"/>
      <x:c r="K524" t="str"/>
      <x:c r="L524" t="str">
        <x:v>OPEN</x:v>
      </x:c>
    </x:row>
    <x:row r="525">
      <x:c r="B525" t="str">
        <x:v>RFP-B2-TC-069</x:v>
      </x:c>
      <x:c r="C525" t="str">
        <x:v>RFP-B2</x:v>
      </x:c>
      <x:c r="D525" t="n">
        <x:v>7</x:v>
      </x:c>
      <x:c r="E525" t="n">
        <x:v>9</x:v>
      </x:c>
      <x:c r="F525" t="n">
        <x:v>4</x:v>
      </x:c>
      <x:c r="G525" t="n">
        <x:v>4</x:v>
      </x:c>
      <x:c r="H525" t="n">
        <x:v>150</x:v>
      </x:c>
      <x:c r="I525" t="n">
        <x:v>1.5</x:v>
      </x:c>
      <x:c r="J525" t="str"/>
      <x:c r="K525" t="str"/>
      <x:c r="L525" t="str">
        <x:v>OPEN</x:v>
      </x:c>
    </x:row>
    <x:row r="526">
      <x:c r="B526" t="str">
        <x:v>RFP-B2-TC-070</x:v>
      </x:c>
      <x:c r="C526" t="str">
        <x:v>RFP-B2</x:v>
      </x:c>
      <x:c r="D526" t="n">
        <x:v>7</x:v>
      </x:c>
      <x:c r="E526" t="n">
        <x:v>10</x:v>
      </x:c>
      <x:c r="F526" t="n">
        <x:v>4</x:v>
      </x:c>
      <x:c r="G526" t="n">
        <x:v>4</x:v>
      </x:c>
      <x:c r="H526" t="n">
        <x:v>150</x:v>
      </x:c>
      <x:c r="I526" t="n">
        <x:v>1.5</x:v>
      </x:c>
      <x:c r="J526" t="str"/>
      <x:c r="K526" t="str"/>
      <x:c r="L526" t="str">
        <x:v>OPEN</x:v>
      </x:c>
    </x:row>
    <x:row r="527">
      <x:c r="B527" t="str">
        <x:v>RFP-B2-TC-071</x:v>
      </x:c>
      <x:c r="C527" t="str">
        <x:v>RFP-B2</x:v>
      </x:c>
      <x:c r="D527" t="n">
        <x:v>8</x:v>
      </x:c>
      <x:c r="E527" t="n">
        <x:v>1</x:v>
      </x:c>
      <x:c r="F527" t="n">
        <x:v>4</x:v>
      </x:c>
      <x:c r="G527" t="n">
        <x:v>4</x:v>
      </x:c>
      <x:c r="H527" t="n">
        <x:v>150</x:v>
      </x:c>
      <x:c r="I527" t="n">
        <x:v>1.5</x:v>
      </x:c>
      <x:c r="J527" t="str"/>
      <x:c r="K527" t="str"/>
      <x:c r="L527" t="str">
        <x:v>OPEN</x:v>
      </x:c>
    </x:row>
    <x:row r="528">
      <x:c r="B528" t="str">
        <x:v>RFP-B2-TC-072</x:v>
      </x:c>
      <x:c r="C528" t="str">
        <x:v>RFP-B2</x:v>
      </x:c>
      <x:c r="D528" t="n">
        <x:v>8</x:v>
      </x:c>
      <x:c r="E528" t="n">
        <x:v>2</x:v>
      </x:c>
      <x:c r="F528" t="n">
        <x:v>4</x:v>
      </x:c>
      <x:c r="G528" t="n">
        <x:v>4</x:v>
      </x:c>
      <x:c r="H528" t="n">
        <x:v>150</x:v>
      </x:c>
      <x:c r="I528" t="n">
        <x:v>1.5</x:v>
      </x:c>
      <x:c r="J528" t="str"/>
      <x:c r="K528" t="str"/>
      <x:c r="L528" t="str">
        <x:v>OPEN</x:v>
      </x:c>
    </x:row>
    <x:row r="529">
      <x:c r="B529" t="str">
        <x:v>RFP-B2-TC-073</x:v>
      </x:c>
      <x:c r="C529" t="str">
        <x:v>RFP-B2</x:v>
      </x:c>
      <x:c r="D529" t="n">
        <x:v>8</x:v>
      </x:c>
      <x:c r="E529" t="n">
        <x:v>3</x:v>
      </x:c>
      <x:c r="F529" t="n">
        <x:v>4</x:v>
      </x:c>
      <x:c r="G529" t="n">
        <x:v>4</x:v>
      </x:c>
      <x:c r="H529" t="n">
        <x:v>150</x:v>
      </x:c>
      <x:c r="I529" t="n">
        <x:v>1.5</x:v>
      </x:c>
      <x:c r="J529" t="str"/>
      <x:c r="K529" t="str"/>
      <x:c r="L529" t="str">
        <x:v>OPEN</x:v>
      </x:c>
    </x:row>
    <x:row r="530">
      <x:c r="B530" t="str">
        <x:v>RFP-B2-TC-074</x:v>
      </x:c>
      <x:c r="C530" t="str">
        <x:v>RFP-B2</x:v>
      </x:c>
      <x:c r="D530" t="n">
        <x:v>8</x:v>
      </x:c>
      <x:c r="E530" t="n">
        <x:v>4</x:v>
      </x:c>
      <x:c r="F530" t="n">
        <x:v>4</x:v>
      </x:c>
      <x:c r="G530" t="n">
        <x:v>4</x:v>
      </x:c>
      <x:c r="H530" t="n">
        <x:v>150</x:v>
      </x:c>
      <x:c r="I530" t="n">
        <x:v>1.5</x:v>
      </x:c>
      <x:c r="J530" t="str"/>
      <x:c r="K530" t="str"/>
      <x:c r="L530" t="str">
        <x:v>OPEN</x:v>
      </x:c>
    </x:row>
    <x:row r="531">
      <x:c r="B531" t="str">
        <x:v>RFP-B2-TC-075</x:v>
      </x:c>
      <x:c r="C531" t="str">
        <x:v>RFP-B2</x:v>
      </x:c>
      <x:c r="D531" t="n">
        <x:v>8</x:v>
      </x:c>
      <x:c r="E531" t="n">
        <x:v>5</x:v>
      </x:c>
      <x:c r="F531" t="n">
        <x:v>4</x:v>
      </x:c>
      <x:c r="G531" t="n">
        <x:v>4</x:v>
      </x:c>
      <x:c r="H531" t="n">
        <x:v>150</x:v>
      </x:c>
      <x:c r="I531" t="n">
        <x:v>1.5</x:v>
      </x:c>
      <x:c r="J531" t="str"/>
      <x:c r="K531" t="str"/>
      <x:c r="L531" t="str">
        <x:v>OPEN</x:v>
      </x:c>
    </x:row>
    <x:row r="532">
      <x:c r="B532" t="str">
        <x:v>RFP-B2-TC-076</x:v>
      </x:c>
      <x:c r="C532" t="str">
        <x:v>RFP-B2</x:v>
      </x:c>
      <x:c r="D532" t="n">
        <x:v>8</x:v>
      </x:c>
      <x:c r="E532" t="n">
        <x:v>6</x:v>
      </x:c>
      <x:c r="F532" t="n">
        <x:v>4</x:v>
      </x:c>
      <x:c r="G532" t="n">
        <x:v>4</x:v>
      </x:c>
      <x:c r="H532" t="n">
        <x:v>150</x:v>
      </x:c>
      <x:c r="I532" t="n">
        <x:v>1.5</x:v>
      </x:c>
      <x:c r="J532" t="str"/>
      <x:c r="K532" t="str"/>
      <x:c r="L532" t="str">
        <x:v>OPEN</x:v>
      </x:c>
    </x:row>
    <x:row r="533">
      <x:c r="B533" t="str">
        <x:v>RFP-B2-TC-077</x:v>
      </x:c>
      <x:c r="C533" t="str">
        <x:v>RFP-B2</x:v>
      </x:c>
      <x:c r="D533" t="n">
        <x:v>8</x:v>
      </x:c>
      <x:c r="E533" t="n">
        <x:v>7</x:v>
      </x:c>
      <x:c r="F533" t="n">
        <x:v>4</x:v>
      </x:c>
      <x:c r="G533" t="n">
        <x:v>4</x:v>
      </x:c>
      <x:c r="H533" t="n">
        <x:v>150</x:v>
      </x:c>
      <x:c r="I533" t="n">
        <x:v>1.5</x:v>
      </x:c>
      <x:c r="J533" t="str"/>
      <x:c r="K533" t="str"/>
      <x:c r="L533" t="str">
        <x:v>OPEN</x:v>
      </x:c>
    </x:row>
    <x:row r="534">
      <x:c r="B534" t="str">
        <x:v>RFP-B2-TC-078</x:v>
      </x:c>
      <x:c r="C534" t="str">
        <x:v>RFP-B2</x:v>
      </x:c>
      <x:c r="D534" t="n">
        <x:v>8</x:v>
      </x:c>
      <x:c r="E534" t="n">
        <x:v>8</x:v>
      </x:c>
      <x:c r="F534" t="n">
        <x:v>4</x:v>
      </x:c>
      <x:c r="G534" t="n">
        <x:v>4</x:v>
      </x:c>
      <x:c r="H534" t="n">
        <x:v>150</x:v>
      </x:c>
      <x:c r="I534" t="n">
        <x:v>1.5</x:v>
      </x:c>
      <x:c r="J534" t="str"/>
      <x:c r="K534" t="str"/>
      <x:c r="L534" t="str">
        <x:v>OPEN</x:v>
      </x:c>
    </x:row>
    <x:row r="535">
      <x:c r="B535" t="str">
        <x:v>RFP-B2-TC-079</x:v>
      </x:c>
      <x:c r="C535" t="str">
        <x:v>RFP-B2</x:v>
      </x:c>
      <x:c r="D535" t="n">
        <x:v>8</x:v>
      </x:c>
      <x:c r="E535" t="n">
        <x:v>9</x:v>
      </x:c>
      <x:c r="F535" t="n">
        <x:v>4</x:v>
      </x:c>
      <x:c r="G535" t="n">
        <x:v>4</x:v>
      </x:c>
      <x:c r="H535" t="n">
        <x:v>150</x:v>
      </x:c>
      <x:c r="I535" t="n">
        <x:v>1.5</x:v>
      </x:c>
      <x:c r="J535" t="str"/>
      <x:c r="K535" t="str"/>
      <x:c r="L535" t="str">
        <x:v>OPEN</x:v>
      </x:c>
    </x:row>
    <x:row r="536">
      <x:c r="B536" t="str">
        <x:v>RFP-B2-TC-080</x:v>
      </x:c>
      <x:c r="C536" t="str">
        <x:v>RFP-B2</x:v>
      </x:c>
      <x:c r="D536" t="n">
        <x:v>8</x:v>
      </x:c>
      <x:c r="E536" t="n">
        <x:v>10</x:v>
      </x:c>
      <x:c r="F536" t="n">
        <x:v>4</x:v>
      </x:c>
      <x:c r="G536" t="n">
        <x:v>4</x:v>
      </x:c>
      <x:c r="H536" t="n">
        <x:v>150</x:v>
      </x:c>
      <x:c r="I536" t="n">
        <x:v>1.5</x:v>
      </x:c>
      <x:c r="J536" t="str"/>
      <x:c r="K536" t="str"/>
      <x:c r="L536" t="str">
        <x:v>OPEN</x:v>
      </x:c>
    </x:row>
    <x:row r="537">
      <x:c r="B537" t="str">
        <x:v>RFP-B2-TC-081</x:v>
      </x:c>
      <x:c r="C537" t="str">
        <x:v>RFP-B2</x:v>
      </x:c>
      <x:c r="D537" t="n">
        <x:v>9</x:v>
      </x:c>
      <x:c r="E537" t="n">
        <x:v>1</x:v>
      </x:c>
      <x:c r="F537" t="n">
        <x:v>4</x:v>
      </x:c>
      <x:c r="G537" t="n">
        <x:v>4</x:v>
      </x:c>
      <x:c r="H537" t="n">
        <x:v>150</x:v>
      </x:c>
      <x:c r="I537" t="n">
        <x:v>1.5</x:v>
      </x:c>
      <x:c r="J537" t="str"/>
      <x:c r="K537" t="str"/>
      <x:c r="L537" t="str">
        <x:v>OPEN</x:v>
      </x:c>
    </x:row>
    <x:row r="538">
      <x:c r="B538" t="str">
        <x:v>RFP-B2-TC-082</x:v>
      </x:c>
      <x:c r="C538" t="str">
        <x:v>RFP-B2</x:v>
      </x:c>
      <x:c r="D538" t="n">
        <x:v>9</x:v>
      </x:c>
      <x:c r="E538" t="n">
        <x:v>2</x:v>
      </x:c>
      <x:c r="F538" t="n">
        <x:v>4</x:v>
      </x:c>
      <x:c r="G538" t="n">
        <x:v>4</x:v>
      </x:c>
      <x:c r="H538" t="n">
        <x:v>150</x:v>
      </x:c>
      <x:c r="I538" t="n">
        <x:v>1.5</x:v>
      </x:c>
      <x:c r="J538" t="str"/>
      <x:c r="K538" t="str"/>
      <x:c r="L538" t="str">
        <x:v>OPEN</x:v>
      </x:c>
    </x:row>
    <x:row r="539">
      <x:c r="B539" t="str">
        <x:v>RFP-B2-TC-083</x:v>
      </x:c>
      <x:c r="C539" t="str">
        <x:v>RFP-B2</x:v>
      </x:c>
      <x:c r="D539" t="n">
        <x:v>9</x:v>
      </x:c>
      <x:c r="E539" t="n">
        <x:v>3</x:v>
      </x:c>
      <x:c r="F539" t="n">
        <x:v>4</x:v>
      </x:c>
      <x:c r="G539" t="n">
        <x:v>4</x:v>
      </x:c>
      <x:c r="H539" t="n">
        <x:v>150</x:v>
      </x:c>
      <x:c r="I539" t="n">
        <x:v>1.5</x:v>
      </x:c>
      <x:c r="J539" t="str"/>
      <x:c r="K539" t="str"/>
      <x:c r="L539" t="str">
        <x:v>OPEN</x:v>
      </x:c>
    </x:row>
    <x:row r="540">
      <x:c r="B540" t="str">
        <x:v>RFP-B2-TC-084</x:v>
      </x:c>
      <x:c r="C540" t="str">
        <x:v>RFP-B2</x:v>
      </x:c>
      <x:c r="D540" t="n">
        <x:v>9</x:v>
      </x:c>
      <x:c r="E540" t="n">
        <x:v>4</x:v>
      </x:c>
      <x:c r="F540" t="n">
        <x:v>4</x:v>
      </x:c>
      <x:c r="G540" t="n">
        <x:v>4</x:v>
      </x:c>
      <x:c r="H540" t="n">
        <x:v>150</x:v>
      </x:c>
      <x:c r="I540" t="n">
        <x:v>1.5</x:v>
      </x:c>
      <x:c r="J540" t="str"/>
      <x:c r="K540" t="str"/>
      <x:c r="L540" t="str">
        <x:v>OPEN</x:v>
      </x:c>
    </x:row>
    <x:row r="541">
      <x:c r="B541" t="str">
        <x:v>RFP-B2-TC-085</x:v>
      </x:c>
      <x:c r="C541" t="str">
        <x:v>RFP-B2</x:v>
      </x:c>
      <x:c r="D541" t="n">
        <x:v>9</x:v>
      </x:c>
      <x:c r="E541" t="n">
        <x:v>5</x:v>
      </x:c>
      <x:c r="F541" t="n">
        <x:v>4</x:v>
      </x:c>
      <x:c r="G541" t="n">
        <x:v>4</x:v>
      </x:c>
      <x:c r="H541" t="n">
        <x:v>150</x:v>
      </x:c>
      <x:c r="I541" t="n">
        <x:v>1.5</x:v>
      </x:c>
      <x:c r="J541" t="str"/>
      <x:c r="K541" t="str"/>
      <x:c r="L541" t="str">
        <x:v>OPEN</x:v>
      </x:c>
    </x:row>
    <x:row r="542">
      <x:c r="B542" t="str">
        <x:v>RFP-B2-TC-086</x:v>
      </x:c>
      <x:c r="C542" t="str">
        <x:v>RFP-B2</x:v>
      </x:c>
      <x:c r="D542" t="n">
        <x:v>9</x:v>
      </x:c>
      <x:c r="E542" t="n">
        <x:v>6</x:v>
      </x:c>
      <x:c r="F542" t="n">
        <x:v>4</x:v>
      </x:c>
      <x:c r="G542" t="n">
        <x:v>4</x:v>
      </x:c>
      <x:c r="H542" t="n">
        <x:v>150</x:v>
      </x:c>
      <x:c r="I542" t="n">
        <x:v>1.5</x:v>
      </x:c>
      <x:c r="J542" t="str"/>
      <x:c r="K542" t="str"/>
      <x:c r="L542" t="str">
        <x:v>OPEN</x:v>
      </x:c>
    </x:row>
    <x:row r="543">
      <x:c r="B543" t="str">
        <x:v>RFP-B2-TC-087</x:v>
      </x:c>
      <x:c r="C543" t="str">
        <x:v>RFP-B2</x:v>
      </x:c>
      <x:c r="D543" t="n">
        <x:v>9</x:v>
      </x:c>
      <x:c r="E543" t="n">
        <x:v>7</x:v>
      </x:c>
      <x:c r="F543" t="n">
        <x:v>4</x:v>
      </x:c>
      <x:c r="G543" t="n">
        <x:v>4</x:v>
      </x:c>
      <x:c r="H543" t="n">
        <x:v>150</x:v>
      </x:c>
      <x:c r="I543" t="n">
        <x:v>1.5</x:v>
      </x:c>
      <x:c r="J543" t="str"/>
      <x:c r="K543" t="str"/>
      <x:c r="L543" t="str">
        <x:v>OPEN</x:v>
      </x:c>
    </x:row>
    <x:row r="544">
      <x:c r="B544" t="str">
        <x:v>RFP-B2-TC-088</x:v>
      </x:c>
      <x:c r="C544" t="str">
        <x:v>RFP-B2</x:v>
      </x:c>
      <x:c r="D544" t="n">
        <x:v>9</x:v>
      </x:c>
      <x:c r="E544" t="n">
        <x:v>8</x:v>
      </x:c>
      <x:c r="F544" t="n">
        <x:v>4</x:v>
      </x:c>
      <x:c r="G544" t="n">
        <x:v>4</x:v>
      </x:c>
      <x:c r="H544" t="n">
        <x:v>150</x:v>
      </x:c>
      <x:c r="I544" t="n">
        <x:v>1.5</x:v>
      </x:c>
      <x:c r="J544" t="str"/>
      <x:c r="K544" t="str"/>
      <x:c r="L544" t="str">
        <x:v>OPEN</x:v>
      </x:c>
    </x:row>
    <x:row r="545">
      <x:c r="B545" t="str">
        <x:v>RFP-B2-TC-089</x:v>
      </x:c>
      <x:c r="C545" t="str">
        <x:v>RFP-B2</x:v>
      </x:c>
      <x:c r="D545" t="n">
        <x:v>9</x:v>
      </x:c>
      <x:c r="E545" t="n">
        <x:v>9</x:v>
      </x:c>
      <x:c r="F545" t="n">
        <x:v>4</x:v>
      </x:c>
      <x:c r="G545" t="n">
        <x:v>4</x:v>
      </x:c>
      <x:c r="H545" t="n">
        <x:v>150</x:v>
      </x:c>
      <x:c r="I545" t="n">
        <x:v>1.5</x:v>
      </x:c>
      <x:c r="J545" t="str"/>
      <x:c r="K545" t="str"/>
      <x:c r="L545" t="str">
        <x:v>OPEN</x:v>
      </x:c>
    </x:row>
    <x:row r="546">
      <x:c r="B546" t="str">
        <x:v>RFP-B2-TC-090</x:v>
      </x:c>
      <x:c r="C546" t="str">
        <x:v>RFP-B2</x:v>
      </x:c>
      <x:c r="D546" t="n">
        <x:v>9</x:v>
      </x:c>
      <x:c r="E546" t="n">
        <x:v>10</x:v>
      </x:c>
      <x:c r="F546" t="n">
        <x:v>4</x:v>
      </x:c>
      <x:c r="G546" t="n">
        <x:v>4</x:v>
      </x:c>
      <x:c r="H546" t="n">
        <x:v>150</x:v>
      </x:c>
      <x:c r="I546" t="n">
        <x:v>1.5</x:v>
      </x:c>
      <x:c r="J546" t="str"/>
      <x:c r="K546" t="str"/>
      <x:c r="L546" t="str">
        <x:v>OPEN</x:v>
      </x:c>
    </x:row>
    <x:row r="547">
      <x:c r="B547" t="str">
        <x:v>RFP-B2-TC-091</x:v>
      </x:c>
      <x:c r="C547" t="str">
        <x:v>RFP-B2</x:v>
      </x:c>
      <x:c r="D547" t="n">
        <x:v>10</x:v>
      </x:c>
      <x:c r="E547" t="n">
        <x:v>1</x:v>
      </x:c>
      <x:c r="F547" t="n">
        <x:v>4</x:v>
      </x:c>
      <x:c r="G547" t="n">
        <x:v>4</x:v>
      </x:c>
      <x:c r="H547" t="n">
        <x:v>150</x:v>
      </x:c>
      <x:c r="I547" t="n">
        <x:v>1.5</x:v>
      </x:c>
      <x:c r="J547" t="str"/>
      <x:c r="K547" t="str"/>
      <x:c r="L547" t="str">
        <x:v>OPEN</x:v>
      </x:c>
    </x:row>
    <x:row r="548">
      <x:c r="B548" t="str">
        <x:v>RFP-B2-TC-092</x:v>
      </x:c>
      <x:c r="C548" t="str">
        <x:v>RFP-B2</x:v>
      </x:c>
      <x:c r="D548" t="n">
        <x:v>10</x:v>
      </x:c>
      <x:c r="E548" t="n">
        <x:v>2</x:v>
      </x:c>
      <x:c r="F548" t="n">
        <x:v>4</x:v>
      </x:c>
      <x:c r="G548" t="n">
        <x:v>4</x:v>
      </x:c>
      <x:c r="H548" t="n">
        <x:v>150</x:v>
      </x:c>
      <x:c r="I548" t="n">
        <x:v>1.5</x:v>
      </x:c>
      <x:c r="J548" t="str"/>
      <x:c r="K548" t="str"/>
      <x:c r="L548" t="str">
        <x:v>OPEN</x:v>
      </x:c>
    </x:row>
    <x:row r="549">
      <x:c r="B549" t="str">
        <x:v>RFP-B2-TC-093</x:v>
      </x:c>
      <x:c r="C549" t="str">
        <x:v>RFP-B2</x:v>
      </x:c>
      <x:c r="D549" t="n">
        <x:v>10</x:v>
      </x:c>
      <x:c r="E549" t="n">
        <x:v>3</x:v>
      </x:c>
      <x:c r="F549" t="n">
        <x:v>4</x:v>
      </x:c>
      <x:c r="G549" t="n">
        <x:v>4</x:v>
      </x:c>
      <x:c r="H549" t="n">
        <x:v>150</x:v>
      </x:c>
      <x:c r="I549" t="n">
        <x:v>1.5</x:v>
      </x:c>
      <x:c r="J549" t="str"/>
      <x:c r="K549" t="str"/>
      <x:c r="L549" t="str">
        <x:v>OPEN</x:v>
      </x:c>
    </x:row>
    <x:row r="550">
      <x:c r="B550" t="str">
        <x:v>RFP-B2-TC-094</x:v>
      </x:c>
      <x:c r="C550" t="str">
        <x:v>RFP-B2</x:v>
      </x:c>
      <x:c r="D550" t="n">
        <x:v>10</x:v>
      </x:c>
      <x:c r="E550" t="n">
        <x:v>4</x:v>
      </x:c>
      <x:c r="F550" t="n">
        <x:v>4</x:v>
      </x:c>
      <x:c r="G550" t="n">
        <x:v>4</x:v>
      </x:c>
      <x:c r="H550" t="n">
        <x:v>150</x:v>
      </x:c>
      <x:c r="I550" t="n">
        <x:v>1.5</x:v>
      </x:c>
      <x:c r="J550" t="str"/>
      <x:c r="K550" t="str"/>
      <x:c r="L550" t="str">
        <x:v>OPEN</x:v>
      </x:c>
    </x:row>
    <x:row r="551">
      <x:c r="B551" t="str">
        <x:v>RFP-B2-TC-095</x:v>
      </x:c>
      <x:c r="C551" t="str">
        <x:v>RFP-B2</x:v>
      </x:c>
      <x:c r="D551" t="n">
        <x:v>10</x:v>
      </x:c>
      <x:c r="E551" t="n">
        <x:v>5</x:v>
      </x:c>
      <x:c r="F551" t="n">
        <x:v>4</x:v>
      </x:c>
      <x:c r="G551" t="n">
        <x:v>4</x:v>
      </x:c>
      <x:c r="H551" t="n">
        <x:v>150</x:v>
      </x:c>
      <x:c r="I551" t="n">
        <x:v>1.5</x:v>
      </x:c>
      <x:c r="J551" t="str"/>
      <x:c r="K551" t="str"/>
      <x:c r="L551" t="str">
        <x:v>OPEN</x:v>
      </x:c>
    </x:row>
    <x:row r="552">
      <x:c r="B552" t="str">
        <x:v>RFP-B2-TC-096</x:v>
      </x:c>
      <x:c r="C552" t="str">
        <x:v>RFP-B2</x:v>
      </x:c>
      <x:c r="D552" t="n">
        <x:v>10</x:v>
      </x:c>
      <x:c r="E552" t="n">
        <x:v>6</x:v>
      </x:c>
      <x:c r="F552" t="n">
        <x:v>4</x:v>
      </x:c>
      <x:c r="G552" t="n">
        <x:v>4</x:v>
      </x:c>
      <x:c r="H552" t="n">
        <x:v>150</x:v>
      </x:c>
      <x:c r="I552" t="n">
        <x:v>1.5</x:v>
      </x:c>
      <x:c r="J552" t="str"/>
      <x:c r="K552" t="str"/>
      <x:c r="L552" t="str">
        <x:v>OPEN</x:v>
      </x:c>
    </x:row>
    <x:row r="553">
      <x:c r="B553" t="str">
        <x:v>RFP-B2-TC-097</x:v>
      </x:c>
      <x:c r="C553" t="str">
        <x:v>RFP-B2</x:v>
      </x:c>
      <x:c r="D553" t="n">
        <x:v>10</x:v>
      </x:c>
      <x:c r="E553" t="n">
        <x:v>7</x:v>
      </x:c>
      <x:c r="F553" t="n">
        <x:v>4</x:v>
      </x:c>
      <x:c r="G553" t="n">
        <x:v>4</x:v>
      </x:c>
      <x:c r="H553" t="n">
        <x:v>150</x:v>
      </x:c>
      <x:c r="I553" t="n">
        <x:v>1.5</x:v>
      </x:c>
      <x:c r="J553" t="str"/>
      <x:c r="K553" t="str"/>
      <x:c r="L553" t="str">
        <x:v>OPEN</x:v>
      </x:c>
    </x:row>
    <x:row r="554">
      <x:c r="B554" t="str">
        <x:v>RFP-B2-TC-098</x:v>
      </x:c>
      <x:c r="C554" t="str">
        <x:v>RFP-B2</x:v>
      </x:c>
      <x:c r="D554" t="n">
        <x:v>10</x:v>
      </x:c>
      <x:c r="E554" t="n">
        <x:v>8</x:v>
      </x:c>
      <x:c r="F554" t="n">
        <x:v>4</x:v>
      </x:c>
      <x:c r="G554" t="n">
        <x:v>4</x:v>
      </x:c>
      <x:c r="H554" t="n">
        <x:v>150</x:v>
      </x:c>
      <x:c r="I554" t="n">
        <x:v>1.5</x:v>
      </x:c>
      <x:c r="J554" t="str"/>
      <x:c r="K554" t="str"/>
      <x:c r="L554" t="str">
        <x:v>OPEN</x:v>
      </x:c>
    </x:row>
    <x:row r="555">
      <x:c r="B555" t="str">
        <x:v>RFP-B2-TC-099</x:v>
      </x:c>
      <x:c r="C555" t="str">
        <x:v>RFP-B2</x:v>
      </x:c>
      <x:c r="D555" t="n">
        <x:v>10</x:v>
      </x:c>
      <x:c r="E555" t="n">
        <x:v>9</x:v>
      </x:c>
      <x:c r="F555" t="n">
        <x:v>4</x:v>
      </x:c>
      <x:c r="G555" t="n">
        <x:v>4</x:v>
      </x:c>
      <x:c r="H555" t="n">
        <x:v>150</x:v>
      </x:c>
      <x:c r="I555" t="n">
        <x:v>1.5</x:v>
      </x:c>
      <x:c r="J555" t="str"/>
      <x:c r="K555" t="str"/>
      <x:c r="L555" t="str">
        <x:v>OPEN</x:v>
      </x:c>
    </x:row>
    <x:row r="556">
      <x:c r="B556" t="str">
        <x:v>RFP-B2-TC-100</x:v>
      </x:c>
      <x:c r="C556" t="str">
        <x:v>RFP-B2</x:v>
      </x:c>
      <x:c r="D556" t="n">
        <x:v>10</x:v>
      </x:c>
      <x:c r="E556" t="n">
        <x:v>10</x:v>
      </x:c>
      <x:c r="F556" t="n">
        <x:v>4</x:v>
      </x:c>
      <x:c r="G556" t="n">
        <x:v>4</x:v>
      </x:c>
      <x:c r="H556" t="n">
        <x:v>150</x:v>
      </x:c>
      <x:c r="I556" t="n">
        <x:v>1.5</x:v>
      </x:c>
      <x:c r="J556" t="str"/>
      <x:c r="K556" t="str"/>
      <x:c r="L556" t="str">
        <x:v>OPEN</x:v>
      </x:c>
    </x:row>
    <x:row r="557">
      <x:c r="B557" t="str">
        <x:v>RFP-B2-TC-101</x:v>
      </x:c>
      <x:c r="C557" t="str">
        <x:v>RFP-B2</x:v>
      </x:c>
      <x:c r="D557" t="n">
        <x:v>11</x:v>
      </x:c>
      <x:c r="E557" t="n">
        <x:v>1</x:v>
      </x:c>
      <x:c r="F557" t="n">
        <x:v>4</x:v>
      </x:c>
      <x:c r="G557" t="n">
        <x:v>4</x:v>
      </x:c>
      <x:c r="H557" t="n">
        <x:v>150</x:v>
      </x:c>
      <x:c r="I557" t="n">
        <x:v>1.5</x:v>
      </x:c>
      <x:c r="J557" t="str"/>
      <x:c r="K557" t="str"/>
      <x:c r="L557" t="str">
        <x:v>OPEN</x:v>
      </x:c>
    </x:row>
    <x:row r="558">
      <x:c r="B558" t="str">
        <x:v>RFP-B2-TC-102</x:v>
      </x:c>
      <x:c r="C558" t="str">
        <x:v>RFP-B2</x:v>
      </x:c>
      <x:c r="D558" t="n">
        <x:v>11</x:v>
      </x:c>
      <x:c r="E558" t="n">
        <x:v>2</x:v>
      </x:c>
      <x:c r="F558" t="n">
        <x:v>4</x:v>
      </x:c>
      <x:c r="G558" t="n">
        <x:v>4</x:v>
      </x:c>
      <x:c r="H558" t="n">
        <x:v>150</x:v>
      </x:c>
      <x:c r="I558" t="n">
        <x:v>1.5</x:v>
      </x:c>
      <x:c r="J558" t="str"/>
      <x:c r="K558" t="str"/>
      <x:c r="L558" t="str">
        <x:v>OPEN</x:v>
      </x:c>
    </x:row>
    <x:row r="559">
      <x:c r="B559" t="str">
        <x:v>RFP-B2-TC-103</x:v>
      </x:c>
      <x:c r="C559" t="str">
        <x:v>RFP-B2</x:v>
      </x:c>
      <x:c r="D559" t="n">
        <x:v>11</x:v>
      </x:c>
      <x:c r="E559" t="n">
        <x:v>3</x:v>
      </x:c>
      <x:c r="F559" t="n">
        <x:v>4</x:v>
      </x:c>
      <x:c r="G559" t="n">
        <x:v>4</x:v>
      </x:c>
      <x:c r="H559" t="n">
        <x:v>150</x:v>
      </x:c>
      <x:c r="I559" t="n">
        <x:v>1.5</x:v>
      </x:c>
      <x:c r="J559" t="str"/>
      <x:c r="K559" t="str"/>
      <x:c r="L559" t="str">
        <x:v>OPEN</x:v>
      </x:c>
    </x:row>
    <x:row r="560">
      <x:c r="B560" t="str">
        <x:v>RFP-B2-TC-104</x:v>
      </x:c>
      <x:c r="C560" t="str">
        <x:v>RFP-B2</x:v>
      </x:c>
      <x:c r="D560" t="n">
        <x:v>11</x:v>
      </x:c>
      <x:c r="E560" t="n">
        <x:v>4</x:v>
      </x:c>
      <x:c r="F560" t="n">
        <x:v>4</x:v>
      </x:c>
      <x:c r="G560" t="n">
        <x:v>4</x:v>
      </x:c>
      <x:c r="H560" t="n">
        <x:v>150</x:v>
      </x:c>
      <x:c r="I560" t="n">
        <x:v>1.5</x:v>
      </x:c>
      <x:c r="J560" t="str"/>
      <x:c r="K560" t="str"/>
      <x:c r="L560" t="str">
        <x:v>OPEN</x:v>
      </x:c>
    </x:row>
    <x:row r="561">
      <x:c r="B561" t="str">
        <x:v>RFP-B2-TC-105</x:v>
      </x:c>
      <x:c r="C561" t="str">
        <x:v>RFP-B2</x:v>
      </x:c>
      <x:c r="D561" t="n">
        <x:v>11</x:v>
      </x:c>
      <x:c r="E561" t="n">
        <x:v>5</x:v>
      </x:c>
      <x:c r="F561" t="n">
        <x:v>4</x:v>
      </x:c>
      <x:c r="G561" t="n">
        <x:v>4</x:v>
      </x:c>
      <x:c r="H561" t="n">
        <x:v>150</x:v>
      </x:c>
      <x:c r="I561" t="n">
        <x:v>1.5</x:v>
      </x:c>
      <x:c r="J561" t="str"/>
      <x:c r="K561" t="str"/>
      <x:c r="L561" t="str">
        <x:v>OPEN</x:v>
      </x:c>
    </x:row>
    <x:row r="562">
      <x:c r="B562" t="str">
        <x:v>RFP-B2-TC-106</x:v>
      </x:c>
      <x:c r="C562" t="str">
        <x:v>RFP-B2</x:v>
      </x:c>
      <x:c r="D562" t="n">
        <x:v>11</x:v>
      </x:c>
      <x:c r="E562" t="n">
        <x:v>6</x:v>
      </x:c>
      <x:c r="F562" t="n">
        <x:v>4</x:v>
      </x:c>
      <x:c r="G562" t="n">
        <x:v>4</x:v>
      </x:c>
      <x:c r="H562" t="n">
        <x:v>150</x:v>
      </x:c>
      <x:c r="I562" t="n">
        <x:v>1.5</x:v>
      </x:c>
      <x:c r="J562" t="str"/>
      <x:c r="K562" t="str"/>
      <x:c r="L562" t="str">
        <x:v>OPEN</x:v>
      </x:c>
    </x:row>
    <x:row r="563">
      <x:c r="B563" t="str">
        <x:v>RFP-B2-TC-107</x:v>
      </x:c>
      <x:c r="C563" t="str">
        <x:v>RFP-B2</x:v>
      </x:c>
      <x:c r="D563" t="n">
        <x:v>11</x:v>
      </x:c>
      <x:c r="E563" t="n">
        <x:v>7</x:v>
      </x:c>
      <x:c r="F563" t="n">
        <x:v>4</x:v>
      </x:c>
      <x:c r="G563" t="n">
        <x:v>4</x:v>
      </x:c>
      <x:c r="H563" t="n">
        <x:v>150</x:v>
      </x:c>
      <x:c r="I563" t="n">
        <x:v>1.5</x:v>
      </x:c>
      <x:c r="J563" t="str"/>
      <x:c r="K563" t="str"/>
      <x:c r="L563" t="str">
        <x:v>OPEN</x:v>
      </x:c>
    </x:row>
    <x:row r="564">
      <x:c r="B564" t="str">
        <x:v>RFP-B2-TC-108</x:v>
      </x:c>
      <x:c r="C564" t="str">
        <x:v>RFP-B2</x:v>
      </x:c>
      <x:c r="D564" t="n">
        <x:v>11</x:v>
      </x:c>
      <x:c r="E564" t="n">
        <x:v>8</x:v>
      </x:c>
      <x:c r="F564" t="n">
        <x:v>4</x:v>
      </x:c>
      <x:c r="G564" t="n">
        <x:v>4</x:v>
      </x:c>
      <x:c r="H564" t="n">
        <x:v>150</x:v>
      </x:c>
      <x:c r="I564" t="n">
        <x:v>1.5</x:v>
      </x:c>
      <x:c r="J564" t="str"/>
      <x:c r="K564" t="str"/>
      <x:c r="L564" t="str">
        <x:v>OPEN</x:v>
      </x:c>
    </x:row>
    <x:row r="565">
      <x:c r="B565" t="str">
        <x:v>RFP-B2-TC-109</x:v>
      </x:c>
      <x:c r="C565" t="str">
        <x:v>RFP-B2</x:v>
      </x:c>
      <x:c r="D565" t="n">
        <x:v>11</x:v>
      </x:c>
      <x:c r="E565" t="n">
        <x:v>9</x:v>
      </x:c>
      <x:c r="F565" t="n">
        <x:v>4</x:v>
      </x:c>
      <x:c r="G565" t="n">
        <x:v>4</x:v>
      </x:c>
      <x:c r="H565" t="n">
        <x:v>150</x:v>
      </x:c>
      <x:c r="I565" t="n">
        <x:v>1.5</x:v>
      </x:c>
      <x:c r="J565" t="str"/>
      <x:c r="K565" t="str"/>
      <x:c r="L565" t="str">
        <x:v>OPEN</x:v>
      </x:c>
    </x:row>
    <x:row r="566">
      <x:c r="B566" t="str">
        <x:v>RFP-B2-TC-110</x:v>
      </x:c>
      <x:c r="C566" t="str">
        <x:v>RFP-B2</x:v>
      </x:c>
      <x:c r="D566" t="n">
        <x:v>11</x:v>
      </x:c>
      <x:c r="E566" t="n">
        <x:v>10</x:v>
      </x:c>
      <x:c r="F566" t="n">
        <x:v>4</x:v>
      </x:c>
      <x:c r="G566" t="n">
        <x:v>4</x:v>
      </x:c>
      <x:c r="H566" t="n">
        <x:v>150</x:v>
      </x:c>
      <x:c r="I566" t="n">
        <x:v>1.5</x:v>
      </x:c>
      <x:c r="J566" t="str"/>
      <x:c r="K566" t="str"/>
      <x:c r="L566" t="str">
        <x:v>OPEN</x:v>
      </x:c>
    </x:row>
    <x:row r="567">
      <x:c r="B567" t="str">
        <x:v>RFP-B2-TC-111</x:v>
      </x:c>
      <x:c r="C567" t="str">
        <x:v>RFP-B2</x:v>
      </x:c>
      <x:c r="D567" t="n">
        <x:v>12</x:v>
      </x:c>
      <x:c r="E567" t="n">
        <x:v>1</x:v>
      </x:c>
      <x:c r="F567" t="n">
        <x:v>4</x:v>
      </x:c>
      <x:c r="G567" t="n">
        <x:v>4</x:v>
      </x:c>
      <x:c r="H567" t="n">
        <x:v>150</x:v>
      </x:c>
      <x:c r="I567" t="n">
        <x:v>1.5</x:v>
      </x:c>
      <x:c r="J567" t="str"/>
      <x:c r="K567" t="str"/>
      <x:c r="L567" t="str">
        <x:v>OPEN</x:v>
      </x:c>
    </x:row>
    <x:row r="568">
      <x:c r="B568" t="str">
        <x:v>RFP-B2-TC-112</x:v>
      </x:c>
      <x:c r="C568" t="str">
        <x:v>RFP-B2</x:v>
      </x:c>
      <x:c r="D568" t="n">
        <x:v>12</x:v>
      </x:c>
      <x:c r="E568" t="n">
        <x:v>2</x:v>
      </x:c>
      <x:c r="F568" t="n">
        <x:v>4</x:v>
      </x:c>
      <x:c r="G568" t="n">
        <x:v>4</x:v>
      </x:c>
      <x:c r="H568" t="n">
        <x:v>150</x:v>
      </x:c>
      <x:c r="I568" t="n">
        <x:v>1.5</x:v>
      </x:c>
      <x:c r="J568" t="str"/>
      <x:c r="K568" t="str"/>
      <x:c r="L568" t="str">
        <x:v>OPEN</x:v>
      </x:c>
    </x:row>
    <x:row r="569">
      <x:c r="B569" t="str">
        <x:v>RFP-B2-TC-113</x:v>
      </x:c>
      <x:c r="C569" t="str">
        <x:v>RFP-B2</x:v>
      </x:c>
      <x:c r="D569" t="n">
        <x:v>12</x:v>
      </x:c>
      <x:c r="E569" t="n">
        <x:v>3</x:v>
      </x:c>
      <x:c r="F569" t="n">
        <x:v>4</x:v>
      </x:c>
      <x:c r="G569" t="n">
        <x:v>4</x:v>
      </x:c>
      <x:c r="H569" t="n">
        <x:v>150</x:v>
      </x:c>
      <x:c r="I569" t="n">
        <x:v>1.5</x:v>
      </x:c>
      <x:c r="J569" t="str"/>
      <x:c r="K569" t="str"/>
      <x:c r="L569" t="str">
        <x:v>OPEN</x:v>
      </x:c>
    </x:row>
    <x:row r="570">
      <x:c r="B570" t="str">
        <x:v>RFP-B2-TC-114</x:v>
      </x:c>
      <x:c r="C570" t="str">
        <x:v>RFP-B2</x:v>
      </x:c>
      <x:c r="D570" t="n">
        <x:v>12</x:v>
      </x:c>
      <x:c r="E570" t="n">
        <x:v>4</x:v>
      </x:c>
      <x:c r="F570" t="n">
        <x:v>4</x:v>
      </x:c>
      <x:c r="G570" t="n">
        <x:v>4</x:v>
      </x:c>
      <x:c r="H570" t="n">
        <x:v>150</x:v>
      </x:c>
      <x:c r="I570" t="n">
        <x:v>1.5</x:v>
      </x:c>
      <x:c r="J570" t="str"/>
      <x:c r="K570" t="str"/>
      <x:c r="L570" t="str">
        <x:v>OPEN</x:v>
      </x:c>
    </x:row>
    <x:row r="571">
      <x:c r="B571" t="str">
        <x:v>RFP-B2-TC-115</x:v>
      </x:c>
      <x:c r="C571" t="str">
        <x:v>RFP-B2</x:v>
      </x:c>
      <x:c r="D571" t="n">
        <x:v>12</x:v>
      </x:c>
      <x:c r="E571" t="n">
        <x:v>5</x:v>
      </x:c>
      <x:c r="F571" t="n">
        <x:v>4</x:v>
      </x:c>
      <x:c r="G571" t="n">
        <x:v>4</x:v>
      </x:c>
      <x:c r="H571" t="n">
        <x:v>150</x:v>
      </x:c>
      <x:c r="I571" t="n">
        <x:v>1.5</x:v>
      </x:c>
      <x:c r="J571" t="str"/>
      <x:c r="K571" t="str"/>
      <x:c r="L571" t="str">
        <x:v>OPEN</x:v>
      </x:c>
    </x:row>
    <x:row r="572">
      <x:c r="B572" t="str">
        <x:v>RFP-B2-TC-116</x:v>
      </x:c>
      <x:c r="C572" t="str">
        <x:v>RFP-B2</x:v>
      </x:c>
      <x:c r="D572" t="n">
        <x:v>12</x:v>
      </x:c>
      <x:c r="E572" t="n">
        <x:v>6</x:v>
      </x:c>
      <x:c r="F572" t="n">
        <x:v>4</x:v>
      </x:c>
      <x:c r="G572" t="n">
        <x:v>4</x:v>
      </x:c>
      <x:c r="H572" t="n">
        <x:v>150</x:v>
      </x:c>
      <x:c r="I572" t="n">
        <x:v>1.5</x:v>
      </x:c>
      <x:c r="J572" t="str"/>
      <x:c r="K572" t="str"/>
      <x:c r="L572" t="str">
        <x:v>OPEN</x:v>
      </x:c>
    </x:row>
    <x:row r="573">
      <x:c r="B573" t="str">
        <x:v>RFP-B2-TC-117</x:v>
      </x:c>
      <x:c r="C573" t="str">
        <x:v>RFP-B2</x:v>
      </x:c>
      <x:c r="D573" t="n">
        <x:v>12</x:v>
      </x:c>
      <x:c r="E573" t="n">
        <x:v>7</x:v>
      </x:c>
      <x:c r="F573" t="n">
        <x:v>4</x:v>
      </x:c>
      <x:c r="G573" t="n">
        <x:v>4</x:v>
      </x:c>
      <x:c r="H573" t="n">
        <x:v>150</x:v>
      </x:c>
      <x:c r="I573" t="n">
        <x:v>1.5</x:v>
      </x:c>
      <x:c r="J573" t="str"/>
      <x:c r="K573" t="str"/>
      <x:c r="L573" t="str">
        <x:v>OPEN</x:v>
      </x:c>
    </x:row>
    <x:row r="574">
      <x:c r="B574" t="str">
        <x:v>RFP-B2-TC-118</x:v>
      </x:c>
      <x:c r="C574" t="str">
        <x:v>RFP-B2</x:v>
      </x:c>
      <x:c r="D574" t="n">
        <x:v>12</x:v>
      </x:c>
      <x:c r="E574" t="n">
        <x:v>8</x:v>
      </x:c>
      <x:c r="F574" t="n">
        <x:v>4</x:v>
      </x:c>
      <x:c r="G574" t="n">
        <x:v>4</x:v>
      </x:c>
      <x:c r="H574" t="n">
        <x:v>150</x:v>
      </x:c>
      <x:c r="I574" t="n">
        <x:v>1.5</x:v>
      </x:c>
      <x:c r="J574" t="str"/>
      <x:c r="K574" t="str"/>
      <x:c r="L574" t="str">
        <x:v>OPEN</x:v>
      </x:c>
    </x:row>
    <x:row r="575">
      <x:c r="B575" t="str">
        <x:v>RFP-B2-TC-119</x:v>
      </x:c>
      <x:c r="C575" t="str">
        <x:v>RFP-B2</x:v>
      </x:c>
      <x:c r="D575" t="n">
        <x:v>12</x:v>
      </x:c>
      <x:c r="E575" t="n">
        <x:v>9</x:v>
      </x:c>
      <x:c r="F575" t="n">
        <x:v>4</x:v>
      </x:c>
      <x:c r="G575" t="n">
        <x:v>4</x:v>
      </x:c>
      <x:c r="H575" t="n">
        <x:v>150</x:v>
      </x:c>
      <x:c r="I575" t="n">
        <x:v>1.5</x:v>
      </x:c>
      <x:c r="J575" t="str"/>
      <x:c r="K575" t="str"/>
      <x:c r="L575" t="str">
        <x:v>OPEN</x:v>
      </x:c>
    </x:row>
    <x:row r="576">
      <x:c r="B576" t="str">
        <x:v>RFP-B2-TC-120</x:v>
      </x:c>
      <x:c r="C576" t="str">
        <x:v>RFP-B2</x:v>
      </x:c>
      <x:c r="D576" t="n">
        <x:v>12</x:v>
      </x:c>
      <x:c r="E576" t="n">
        <x:v>10</x:v>
      </x:c>
      <x:c r="F576" t="n">
        <x:v>4</x:v>
      </x:c>
      <x:c r="G576" t="n">
        <x:v>4</x:v>
      </x:c>
      <x:c r="H576" t="n">
        <x:v>150</x:v>
      </x:c>
      <x:c r="I576" t="n">
        <x:v>1.5</x:v>
      </x:c>
      <x:c r="J576" t="str"/>
      <x:c r="K576" t="str"/>
      <x:c r="L576" t="str">
        <x:v>OPEN</x:v>
      </x:c>
    </x:row>
    <x:row r="577">
      <x:c r="B577" t="str">
        <x:v>RFP-B2-TC-121</x:v>
      </x:c>
      <x:c r="C577" t="str">
        <x:v>RFP-B2</x:v>
      </x:c>
      <x:c r="D577" t="n">
        <x:v>13</x:v>
      </x:c>
      <x:c r="E577" t="n">
        <x:v>1</x:v>
      </x:c>
      <x:c r="F577" t="n">
        <x:v>4</x:v>
      </x:c>
      <x:c r="G577" t="n">
        <x:v>4</x:v>
      </x:c>
      <x:c r="H577" t="n">
        <x:v>150</x:v>
      </x:c>
      <x:c r="I577" t="n">
        <x:v>1.5</x:v>
      </x:c>
      <x:c r="J577" t="str"/>
      <x:c r="K577" t="str"/>
      <x:c r="L577" t="str">
        <x:v>OPEN</x:v>
      </x:c>
    </x:row>
    <x:row r="578">
      <x:c r="B578" t="str">
        <x:v>RFP-B2-TC-122</x:v>
      </x:c>
      <x:c r="C578" t="str">
        <x:v>RFP-B2</x:v>
      </x:c>
      <x:c r="D578" t="n">
        <x:v>13</x:v>
      </x:c>
      <x:c r="E578" t="n">
        <x:v>2</x:v>
      </x:c>
      <x:c r="F578" t="n">
        <x:v>4</x:v>
      </x:c>
      <x:c r="G578" t="n">
        <x:v>4</x:v>
      </x:c>
      <x:c r="H578" t="n">
        <x:v>150</x:v>
      </x:c>
      <x:c r="I578" t="n">
        <x:v>1.5</x:v>
      </x:c>
      <x:c r="J578" t="str"/>
      <x:c r="K578" t="str"/>
      <x:c r="L578" t="str">
        <x:v>OPEN</x:v>
      </x:c>
    </x:row>
    <x:row r="579">
      <x:c r="B579" t="str">
        <x:v>RFP-B2-TC-123</x:v>
      </x:c>
      <x:c r="C579" t="str">
        <x:v>RFP-B2</x:v>
      </x:c>
      <x:c r="D579" t="n">
        <x:v>13</x:v>
      </x:c>
      <x:c r="E579" t="n">
        <x:v>3</x:v>
      </x:c>
      <x:c r="F579" t="n">
        <x:v>4</x:v>
      </x:c>
      <x:c r="G579" t="n">
        <x:v>4</x:v>
      </x:c>
      <x:c r="H579" t="n">
        <x:v>150</x:v>
      </x:c>
      <x:c r="I579" t="n">
        <x:v>1.5</x:v>
      </x:c>
      <x:c r="J579" t="str"/>
      <x:c r="K579" t="str"/>
      <x:c r="L579" t="str">
        <x:v>OPEN</x:v>
      </x:c>
    </x:row>
    <x:row r="580">
      <x:c r="B580" t="str">
        <x:v>RFP-B2-TC-124</x:v>
      </x:c>
      <x:c r="C580" t="str">
        <x:v>RFP-B2</x:v>
      </x:c>
      <x:c r="D580" t="n">
        <x:v>13</x:v>
      </x:c>
      <x:c r="E580" t="n">
        <x:v>4</x:v>
      </x:c>
      <x:c r="F580" t="n">
        <x:v>4</x:v>
      </x:c>
      <x:c r="G580" t="n">
        <x:v>4</x:v>
      </x:c>
      <x:c r="H580" t="n">
        <x:v>150</x:v>
      </x:c>
      <x:c r="I580" t="n">
        <x:v>1.5</x:v>
      </x:c>
      <x:c r="J580" t="str"/>
      <x:c r="K580" t="str"/>
      <x:c r="L580" t="str">
        <x:v>OPEN</x:v>
      </x:c>
    </x:row>
    <x:row r="581">
      <x:c r="B581" t="str">
        <x:v>RFP-B2-TC-125</x:v>
      </x:c>
      <x:c r="C581" t="str">
        <x:v>RFP-B2</x:v>
      </x:c>
      <x:c r="D581" t="n">
        <x:v>13</x:v>
      </x:c>
      <x:c r="E581" t="n">
        <x:v>5</x:v>
      </x:c>
      <x:c r="F581" t="n">
        <x:v>4</x:v>
      </x:c>
      <x:c r="G581" t="n">
        <x:v>4</x:v>
      </x:c>
      <x:c r="H581" t="n">
        <x:v>150</x:v>
      </x:c>
      <x:c r="I581" t="n">
        <x:v>1.5</x:v>
      </x:c>
      <x:c r="J581" t="str"/>
      <x:c r="K581" t="str"/>
      <x:c r="L581" t="str">
        <x:v>OPEN</x:v>
      </x:c>
    </x:row>
    <x:row r="582">
      <x:c r="B582" t="str">
        <x:v>RFP-B2-TC-126</x:v>
      </x:c>
      <x:c r="C582" t="str">
        <x:v>RFP-B2</x:v>
      </x:c>
      <x:c r="D582" t="n">
        <x:v>13</x:v>
      </x:c>
      <x:c r="E582" t="n">
        <x:v>6</x:v>
      </x:c>
      <x:c r="F582" t="n">
        <x:v>4</x:v>
      </x:c>
      <x:c r="G582" t="n">
        <x:v>4</x:v>
      </x:c>
      <x:c r="H582" t="n">
        <x:v>150</x:v>
      </x:c>
      <x:c r="I582" t="n">
        <x:v>1.5</x:v>
      </x:c>
      <x:c r="J582" t="str"/>
      <x:c r="K582" t="str"/>
      <x:c r="L582" t="str">
        <x:v>OPEN</x:v>
      </x:c>
    </x:row>
    <x:row r="583">
      <x:c r="B583" t="str">
        <x:v>RFP-B2-TC-127</x:v>
      </x:c>
      <x:c r="C583" t="str">
        <x:v>RFP-B2</x:v>
      </x:c>
      <x:c r="D583" t="n">
        <x:v>13</x:v>
      </x:c>
      <x:c r="E583" t="n">
        <x:v>7</x:v>
      </x:c>
      <x:c r="F583" t="n">
        <x:v>4</x:v>
      </x:c>
      <x:c r="G583" t="n">
        <x:v>4</x:v>
      </x:c>
      <x:c r="H583" t="n">
        <x:v>150</x:v>
      </x:c>
      <x:c r="I583" t="n">
        <x:v>1.5</x:v>
      </x:c>
      <x:c r="J583" t="str"/>
      <x:c r="K583" t="str"/>
      <x:c r="L583" t="str">
        <x:v>OPEN</x:v>
      </x:c>
    </x:row>
    <x:row r="584">
      <x:c r="B584" t="str">
        <x:v>RFP-B2-TC-128</x:v>
      </x:c>
      <x:c r="C584" t="str">
        <x:v>RFP-B2</x:v>
      </x:c>
      <x:c r="D584" t="n">
        <x:v>13</x:v>
      </x:c>
      <x:c r="E584" t="n">
        <x:v>8</x:v>
      </x:c>
      <x:c r="F584" t="n">
        <x:v>4</x:v>
      </x:c>
      <x:c r="G584" t="n">
        <x:v>4</x:v>
      </x:c>
      <x:c r="H584" t="n">
        <x:v>150</x:v>
      </x:c>
      <x:c r="I584" t="n">
        <x:v>1.5</x:v>
      </x:c>
      <x:c r="J584" t="str"/>
      <x:c r="K584" t="str"/>
      <x:c r="L584" t="str">
        <x:v>OPEN</x:v>
      </x:c>
    </x:row>
    <x:row r="585">
      <x:c r="B585" t="str">
        <x:v>RFP-B2-TC-129</x:v>
      </x:c>
      <x:c r="C585" t="str">
        <x:v>RFP-B2</x:v>
      </x:c>
      <x:c r="D585" t="n">
        <x:v>13</x:v>
      </x:c>
      <x:c r="E585" t="n">
        <x:v>9</x:v>
      </x:c>
      <x:c r="F585" t="n">
        <x:v>4</x:v>
      </x:c>
      <x:c r="G585" t="n">
        <x:v>4</x:v>
      </x:c>
      <x:c r="H585" t="n">
        <x:v>150</x:v>
      </x:c>
      <x:c r="I585" t="n">
        <x:v>1.5</x:v>
      </x:c>
      <x:c r="J585" t="str"/>
      <x:c r="K585" t="str"/>
      <x:c r="L585" t="str">
        <x:v>OPEN</x:v>
      </x:c>
    </x:row>
    <x:row r="586">
      <x:c r="B586" t="str">
        <x:v>RFP-B2-TC-130</x:v>
      </x:c>
      <x:c r="C586" t="str">
        <x:v>RFP-B2</x:v>
      </x:c>
      <x:c r="D586" t="n">
        <x:v>13</x:v>
      </x:c>
      <x:c r="E586" t="n">
        <x:v>10</x:v>
      </x:c>
      <x:c r="F586" t="n">
        <x:v>4</x:v>
      </x:c>
      <x:c r="G586" t="n">
        <x:v>4</x:v>
      </x:c>
      <x:c r="H586" t="n">
        <x:v>150</x:v>
      </x:c>
      <x:c r="I586" t="n">
        <x:v>1.5</x:v>
      </x:c>
      <x:c r="J586" t="str"/>
      <x:c r="K586" t="str"/>
      <x:c r="L586" t="str">
        <x:v>OPEN</x:v>
      </x:c>
    </x:row>
    <x:row r="587">
      <x:c r="B587" t="str">
        <x:v>RFP-B2-TC-131</x:v>
      </x:c>
      <x:c r="C587" t="str">
        <x:v>RFP-B2</x:v>
      </x:c>
      <x:c r="D587" t="n">
        <x:v>14</x:v>
      </x:c>
      <x:c r="E587" t="n">
        <x:v>1</x:v>
      </x:c>
      <x:c r="F587" t="n">
        <x:v>4</x:v>
      </x:c>
      <x:c r="G587" t="n">
        <x:v>4</x:v>
      </x:c>
      <x:c r="H587" t="n">
        <x:v>150</x:v>
      </x:c>
      <x:c r="I587" t="n">
        <x:v>1.5</x:v>
      </x:c>
      <x:c r="J587" t="str"/>
      <x:c r="K587" t="str"/>
      <x:c r="L587" t="str">
        <x:v>OPEN</x:v>
      </x:c>
    </x:row>
    <x:row r="588">
      <x:c r="B588" t="str">
        <x:v>RFP-B2-TC-132</x:v>
      </x:c>
      <x:c r="C588" t="str">
        <x:v>RFP-B2</x:v>
      </x:c>
      <x:c r="D588" t="n">
        <x:v>14</x:v>
      </x:c>
      <x:c r="E588" t="n">
        <x:v>2</x:v>
      </x:c>
      <x:c r="F588" t="n">
        <x:v>4</x:v>
      </x:c>
      <x:c r="G588" t="n">
        <x:v>4</x:v>
      </x:c>
      <x:c r="H588" t="n">
        <x:v>150</x:v>
      </x:c>
      <x:c r="I588" t="n">
        <x:v>1.5</x:v>
      </x:c>
      <x:c r="J588" t="str"/>
      <x:c r="K588" t="str"/>
      <x:c r="L588" t="str">
        <x:v>OPEN</x:v>
      </x:c>
    </x:row>
    <x:row r="589">
      <x:c r="B589" t="str">
        <x:v>RFP-B2-TC-133</x:v>
      </x:c>
      <x:c r="C589" t="str">
        <x:v>RFP-B2</x:v>
      </x:c>
      <x:c r="D589" t="n">
        <x:v>14</x:v>
      </x:c>
      <x:c r="E589" t="n">
        <x:v>3</x:v>
      </x:c>
      <x:c r="F589" t="n">
        <x:v>4</x:v>
      </x:c>
      <x:c r="G589" t="n">
        <x:v>4</x:v>
      </x:c>
      <x:c r="H589" t="n">
        <x:v>150</x:v>
      </x:c>
      <x:c r="I589" t="n">
        <x:v>1.5</x:v>
      </x:c>
      <x:c r="J589" t="str"/>
      <x:c r="K589" t="str"/>
      <x:c r="L589" t="str">
        <x:v>OPEN</x:v>
      </x:c>
    </x:row>
    <x:row r="590">
      <x:c r="B590" t="str">
        <x:v>RFP-B2-TC-134</x:v>
      </x:c>
      <x:c r="C590" t="str">
        <x:v>RFP-B2</x:v>
      </x:c>
      <x:c r="D590" t="n">
        <x:v>14</x:v>
      </x:c>
      <x:c r="E590" t="n">
        <x:v>4</x:v>
      </x:c>
      <x:c r="F590" t="n">
        <x:v>4</x:v>
      </x:c>
      <x:c r="G590" t="n">
        <x:v>4</x:v>
      </x:c>
      <x:c r="H590" t="n">
        <x:v>150</x:v>
      </x:c>
      <x:c r="I590" t="n">
        <x:v>1.5</x:v>
      </x:c>
      <x:c r="J590" t="str"/>
      <x:c r="K590" t="str"/>
      <x:c r="L590" t="str">
        <x:v>OPEN</x:v>
      </x:c>
    </x:row>
    <x:row r="591">
      <x:c r="B591" t="str">
        <x:v>RFP-B2-TC-135</x:v>
      </x:c>
      <x:c r="C591" t="str">
        <x:v>RFP-B2</x:v>
      </x:c>
      <x:c r="D591" t="n">
        <x:v>14</x:v>
      </x:c>
      <x:c r="E591" t="n">
        <x:v>5</x:v>
      </x:c>
      <x:c r="F591" t="n">
        <x:v>4</x:v>
      </x:c>
      <x:c r="G591" t="n">
        <x:v>4</x:v>
      </x:c>
      <x:c r="H591" t="n">
        <x:v>150</x:v>
      </x:c>
      <x:c r="I591" t="n">
        <x:v>1.5</x:v>
      </x:c>
      <x:c r="J591" t="str"/>
      <x:c r="K591" t="str"/>
      <x:c r="L591" t="str">
        <x:v>OPEN</x:v>
      </x:c>
    </x:row>
    <x:row r="592">
      <x:c r="B592" t="str">
        <x:v>RFP-B2-TC-136</x:v>
      </x:c>
      <x:c r="C592" t="str">
        <x:v>RFP-B2</x:v>
      </x:c>
      <x:c r="D592" t="n">
        <x:v>14</x:v>
      </x:c>
      <x:c r="E592" t="n">
        <x:v>6</x:v>
      </x:c>
      <x:c r="F592" t="n">
        <x:v>4</x:v>
      </x:c>
      <x:c r="G592" t="n">
        <x:v>4</x:v>
      </x:c>
      <x:c r="H592" t="n">
        <x:v>150</x:v>
      </x:c>
      <x:c r="I592" t="n">
        <x:v>1.5</x:v>
      </x:c>
      <x:c r="J592" t="str"/>
      <x:c r="K592" t="str"/>
      <x:c r="L592" t="str">
        <x:v>OPEN</x:v>
      </x:c>
    </x:row>
    <x:row r="593">
      <x:c r="B593" t="str">
        <x:v>RFP-B2-TC-137</x:v>
      </x:c>
      <x:c r="C593" t="str">
        <x:v>RFP-B2</x:v>
      </x:c>
      <x:c r="D593" t="n">
        <x:v>14</x:v>
      </x:c>
      <x:c r="E593" t="n">
        <x:v>7</x:v>
      </x:c>
      <x:c r="F593" t="n">
        <x:v>4</x:v>
      </x:c>
      <x:c r="G593" t="n">
        <x:v>4</x:v>
      </x:c>
      <x:c r="H593" t="n">
        <x:v>150</x:v>
      </x:c>
      <x:c r="I593" t="n">
        <x:v>1.5</x:v>
      </x:c>
      <x:c r="J593" t="str"/>
      <x:c r="K593" t="str"/>
      <x:c r="L593" t="str">
        <x:v>OPEN</x:v>
      </x:c>
    </x:row>
    <x:row r="594">
      <x:c r="B594" t="str">
        <x:v>RFP-B2-TC-138</x:v>
      </x:c>
      <x:c r="C594" t="str">
        <x:v>RFP-B2</x:v>
      </x:c>
      <x:c r="D594" t="n">
        <x:v>14</x:v>
      </x:c>
      <x:c r="E594" t="n">
        <x:v>8</x:v>
      </x:c>
      <x:c r="F594" t="n">
        <x:v>4</x:v>
      </x:c>
      <x:c r="G594" t="n">
        <x:v>4</x:v>
      </x:c>
      <x:c r="H594" t="n">
        <x:v>150</x:v>
      </x:c>
      <x:c r="I594" t="n">
        <x:v>1.5</x:v>
      </x:c>
      <x:c r="J594" t="str"/>
      <x:c r="K594" t="str"/>
      <x:c r="L594" t="str">
        <x:v>OPEN</x:v>
      </x:c>
    </x:row>
    <x:row r="595">
      <x:c r="B595" t="str">
        <x:v>RFP-B2-TC-139</x:v>
      </x:c>
      <x:c r="C595" t="str">
        <x:v>RFP-B2</x:v>
      </x:c>
      <x:c r="D595" t="n">
        <x:v>14</x:v>
      </x:c>
      <x:c r="E595" t="n">
        <x:v>9</x:v>
      </x:c>
      <x:c r="F595" t="n">
        <x:v>4</x:v>
      </x:c>
      <x:c r="G595" t="n">
        <x:v>4</x:v>
      </x:c>
      <x:c r="H595" t="n">
        <x:v>150</x:v>
      </x:c>
      <x:c r="I595" t="n">
        <x:v>1.5</x:v>
      </x:c>
      <x:c r="J595" t="str"/>
      <x:c r="K595" t="str"/>
      <x:c r="L595" t="str">
        <x:v>OPEN</x:v>
      </x:c>
    </x:row>
    <x:row r="596">
      <x:c r="B596" t="str">
        <x:v>RFP-B2-TC-140</x:v>
      </x:c>
      <x:c r="C596" t="str">
        <x:v>RFP-B2</x:v>
      </x:c>
      <x:c r="D596" t="n">
        <x:v>14</x:v>
      </x:c>
      <x:c r="E596" t="n">
        <x:v>10</x:v>
      </x:c>
      <x:c r="F596" t="n">
        <x:v>4</x:v>
      </x:c>
      <x:c r="G596" t="n">
        <x:v>4</x:v>
      </x:c>
      <x:c r="H596" t="n">
        <x:v>150</x:v>
      </x:c>
      <x:c r="I596" t="n">
        <x:v>1.5</x:v>
      </x:c>
      <x:c r="J596" t="str"/>
      <x:c r="K596" t="str"/>
      <x:c r="L596" t="str">
        <x:v>OPEN</x:v>
      </x:c>
    </x:row>
    <x:row r="597">
      <x:c r="B597" t="str">
        <x:v>RFP-B2-TC-141</x:v>
      </x:c>
      <x:c r="C597" t="str">
        <x:v>RFP-B2</x:v>
      </x:c>
      <x:c r="D597" t="n">
        <x:v>15</x:v>
      </x:c>
      <x:c r="E597" t="n">
        <x:v>1</x:v>
      </x:c>
      <x:c r="F597" t="n">
        <x:v>4</x:v>
      </x:c>
      <x:c r="G597" t="n">
        <x:v>4</x:v>
      </x:c>
      <x:c r="H597" t="n">
        <x:v>150</x:v>
      </x:c>
      <x:c r="I597" t="n">
        <x:v>1.5</x:v>
      </x:c>
      <x:c r="J597" t="str"/>
      <x:c r="K597" t="str"/>
      <x:c r="L597" t="str">
        <x:v>OPEN</x:v>
      </x:c>
    </x:row>
    <x:row r="598">
      <x:c r="B598" t="str">
        <x:v>RFP-B2-TC-142</x:v>
      </x:c>
      <x:c r="C598" t="str">
        <x:v>RFP-B2</x:v>
      </x:c>
      <x:c r="D598" t="n">
        <x:v>15</x:v>
      </x:c>
      <x:c r="E598" t="n">
        <x:v>2</x:v>
      </x:c>
      <x:c r="F598" t="n">
        <x:v>4</x:v>
      </x:c>
      <x:c r="G598" t="n">
        <x:v>4</x:v>
      </x:c>
      <x:c r="H598" t="n">
        <x:v>150</x:v>
      </x:c>
      <x:c r="I598" t="n">
        <x:v>1.5</x:v>
      </x:c>
      <x:c r="J598" t="str"/>
      <x:c r="K598" t="str"/>
      <x:c r="L598" t="str">
        <x:v>OPEN</x:v>
      </x:c>
    </x:row>
    <x:row r="599">
      <x:c r="B599" t="str">
        <x:v>RFP-B2-TC-143</x:v>
      </x:c>
      <x:c r="C599" t="str">
        <x:v>RFP-B2</x:v>
      </x:c>
      <x:c r="D599" t="n">
        <x:v>15</x:v>
      </x:c>
      <x:c r="E599" t="n">
        <x:v>3</x:v>
      </x:c>
      <x:c r="F599" t="n">
        <x:v>4</x:v>
      </x:c>
      <x:c r="G599" t="n">
        <x:v>4</x:v>
      </x:c>
      <x:c r="H599" t="n">
        <x:v>150</x:v>
      </x:c>
      <x:c r="I599" t="n">
        <x:v>1.5</x:v>
      </x:c>
      <x:c r="J599" t="str"/>
      <x:c r="K599" t="str"/>
      <x:c r="L599" t="str">
        <x:v>OPEN</x:v>
      </x:c>
    </x:row>
    <x:row r="600">
      <x:c r="B600" t="str">
        <x:v>RFP-B2-TC-144</x:v>
      </x:c>
      <x:c r="C600" t="str">
        <x:v>RFP-B2</x:v>
      </x:c>
      <x:c r="D600" t="n">
        <x:v>15</x:v>
      </x:c>
      <x:c r="E600" t="n">
        <x:v>4</x:v>
      </x:c>
      <x:c r="F600" t="n">
        <x:v>4</x:v>
      </x:c>
      <x:c r="G600" t="n">
        <x:v>4</x:v>
      </x:c>
      <x:c r="H600" t="n">
        <x:v>150</x:v>
      </x:c>
      <x:c r="I600" t="n">
        <x:v>1.5</x:v>
      </x:c>
      <x:c r="J600" t="str"/>
      <x:c r="K600" t="str"/>
      <x:c r="L600" t="str">
        <x:v>OPEN</x:v>
      </x:c>
    </x:row>
    <x:row r="601">
      <x:c r="B601" t="str">
        <x:v>RFP-B2-TC-145</x:v>
      </x:c>
      <x:c r="C601" t="str">
        <x:v>RFP-B2</x:v>
      </x:c>
      <x:c r="D601" t="n">
        <x:v>15</x:v>
      </x:c>
      <x:c r="E601" t="n">
        <x:v>5</x:v>
      </x:c>
      <x:c r="F601" t="n">
        <x:v>4</x:v>
      </x:c>
      <x:c r="G601" t="n">
        <x:v>4</x:v>
      </x:c>
      <x:c r="H601" t="n">
        <x:v>150</x:v>
      </x:c>
      <x:c r="I601" t="n">
        <x:v>1.5</x:v>
      </x:c>
      <x:c r="J601" t="str"/>
      <x:c r="K601" t="str"/>
      <x:c r="L601" t="str">
        <x:v>OPEN</x:v>
      </x:c>
    </x:row>
    <x:row r="602">
      <x:c r="B602" t="str">
        <x:v>RFP-B2-TC-146</x:v>
      </x:c>
      <x:c r="C602" t="str">
        <x:v>RFP-B2</x:v>
      </x:c>
      <x:c r="D602" t="n">
        <x:v>15</x:v>
      </x:c>
      <x:c r="E602" t="n">
        <x:v>6</x:v>
      </x:c>
      <x:c r="F602" t="n">
        <x:v>4</x:v>
      </x:c>
      <x:c r="G602" t="n">
        <x:v>4</x:v>
      </x:c>
      <x:c r="H602" t="n">
        <x:v>150</x:v>
      </x:c>
      <x:c r="I602" t="n">
        <x:v>1.5</x:v>
      </x:c>
      <x:c r="J602" t="str"/>
      <x:c r="K602" t="str"/>
      <x:c r="L602" t="str">
        <x:v>OPEN</x:v>
      </x:c>
    </x:row>
    <x:row r="603">
      <x:c r="B603" t="str">
        <x:v>RFP-B2-TC-147</x:v>
      </x:c>
      <x:c r="C603" t="str">
        <x:v>RFP-B2</x:v>
      </x:c>
      <x:c r="D603" t="n">
        <x:v>15</x:v>
      </x:c>
      <x:c r="E603" t="n">
        <x:v>7</x:v>
      </x:c>
      <x:c r="F603" t="n">
        <x:v>4</x:v>
      </x:c>
      <x:c r="G603" t="n">
        <x:v>4</x:v>
      </x:c>
      <x:c r="H603" t="n">
        <x:v>150</x:v>
      </x:c>
      <x:c r="I603" t="n">
        <x:v>1.5</x:v>
      </x:c>
      <x:c r="J603" t="str"/>
      <x:c r="K603" t="str"/>
      <x:c r="L603" t="str">
        <x:v>OPEN</x:v>
      </x:c>
    </x:row>
    <x:row r="604">
      <x:c r="B604" t="str">
        <x:v>RFP-B2-TC-148</x:v>
      </x:c>
      <x:c r="C604" t="str">
        <x:v>RFP-B2</x:v>
      </x:c>
      <x:c r="D604" t="n">
        <x:v>15</x:v>
      </x:c>
      <x:c r="E604" t="n">
        <x:v>8</x:v>
      </x:c>
      <x:c r="F604" t="n">
        <x:v>4</x:v>
      </x:c>
      <x:c r="G604" t="n">
        <x:v>4</x:v>
      </x:c>
      <x:c r="H604" t="n">
        <x:v>150</x:v>
      </x:c>
      <x:c r="I604" t="n">
        <x:v>1.5</x:v>
      </x:c>
      <x:c r="J604" t="str"/>
      <x:c r="K604" t="str"/>
      <x:c r="L604" t="str">
        <x:v>OPEN</x:v>
      </x:c>
    </x:row>
    <x:row r="605">
      <x:c r="B605" t="str">
        <x:v>RFP-B2-TC-149</x:v>
      </x:c>
      <x:c r="C605" t="str">
        <x:v>RFP-B2</x:v>
      </x:c>
      <x:c r="D605" t="n">
        <x:v>15</x:v>
      </x:c>
      <x:c r="E605" t="n">
        <x:v>9</x:v>
      </x:c>
      <x:c r="F605" t="n">
        <x:v>4</x:v>
      </x:c>
      <x:c r="G605" t="n">
        <x:v>4</x:v>
      </x:c>
      <x:c r="H605" t="n">
        <x:v>150</x:v>
      </x:c>
      <x:c r="I605" t="n">
        <x:v>1.5</x:v>
      </x:c>
      <x:c r="J605" t="str"/>
      <x:c r="K605" t="str"/>
      <x:c r="L605" t="str">
        <x:v>OPEN</x:v>
      </x:c>
    </x:row>
    <x:row r="606">
      <x:c r="B606" t="str">
        <x:v>RFP-B2-TC-150</x:v>
      </x:c>
      <x:c r="C606" t="str">
        <x:v>RFP-B2</x:v>
      </x:c>
      <x:c r="D606" t="n">
        <x:v>15</x:v>
      </x:c>
      <x:c r="E606" t="n">
        <x:v>10</x:v>
      </x:c>
      <x:c r="F606" t="n">
        <x:v>4</x:v>
      </x:c>
      <x:c r="G606" t="n">
        <x:v>4</x:v>
      </x:c>
      <x:c r="H606" t="n">
        <x:v>150</x:v>
      </x:c>
      <x:c r="I606" t="n">
        <x:v>1.5</x:v>
      </x:c>
      <x:c r="J606" t="str"/>
      <x:c r="K606" t="str"/>
      <x:c r="L606" t="str">
        <x:v>OPEN</x:v>
      </x:c>
    </x:row>
    <x:row r="607">
      <x:c r="B607" t="str">
        <x:v>RFP-C1-TC-001</x:v>
      </x:c>
      <x:c r="C607" t="str">
        <x:v>RFP-C1</x:v>
      </x:c>
      <x:c r="D607" t="n">
        <x:v>1</x:v>
      </x:c>
      <x:c r="E607" t="n">
        <x:v>1</x:v>
      </x:c>
      <x:c r="F607" t="n">
        <x:v>4</x:v>
      </x:c>
      <x:c r="G607" t="n">
        <x:v>4</x:v>
      </x:c>
      <x:c r="H607" t="n">
        <x:v>150</x:v>
      </x:c>
      <x:c r="I607" t="n">
        <x:v>1.5</x:v>
      </x:c>
      <x:c r="J607" t="str"/>
      <x:c r="K607" t="str"/>
      <x:c r="L607" t="str">
        <x:v>OPEN</x:v>
      </x:c>
    </x:row>
    <x:row r="608">
      <x:c r="B608" t="str">
        <x:v>RFP-C1-TC-002</x:v>
      </x:c>
      <x:c r="C608" t="str">
        <x:v>RFP-C1</x:v>
      </x:c>
      <x:c r="D608" t="n">
        <x:v>1</x:v>
      </x:c>
      <x:c r="E608" t="n">
        <x:v>2</x:v>
      </x:c>
      <x:c r="F608" t="n">
        <x:v>4</x:v>
      </x:c>
      <x:c r="G608" t="n">
        <x:v>4</x:v>
      </x:c>
      <x:c r="H608" t="n">
        <x:v>150</x:v>
      </x:c>
      <x:c r="I608" t="n">
        <x:v>1.5</x:v>
      </x:c>
      <x:c r="J608" t="str"/>
      <x:c r="K608" t="str"/>
      <x:c r="L608" t="str">
        <x:v>OPEN</x:v>
      </x:c>
    </x:row>
    <x:row r="609">
      <x:c r="B609" t="str">
        <x:v>RFP-C1-TC-003</x:v>
      </x:c>
      <x:c r="C609" t="str">
        <x:v>RFP-C1</x:v>
      </x:c>
      <x:c r="D609" t="n">
        <x:v>1</x:v>
      </x:c>
      <x:c r="E609" t="n">
        <x:v>3</x:v>
      </x:c>
      <x:c r="F609" t="n">
        <x:v>4</x:v>
      </x:c>
      <x:c r="G609" t="n">
        <x:v>4</x:v>
      </x:c>
      <x:c r="H609" t="n">
        <x:v>150</x:v>
      </x:c>
      <x:c r="I609" t="n">
        <x:v>1.5</x:v>
      </x:c>
      <x:c r="J609" t="str"/>
      <x:c r="K609" t="str"/>
      <x:c r="L609" t="str">
        <x:v>OPEN</x:v>
      </x:c>
    </x:row>
    <x:row r="610">
      <x:c r="B610" t="str">
        <x:v>RFP-C1-TC-004</x:v>
      </x:c>
      <x:c r="C610" t="str">
        <x:v>RFP-C1</x:v>
      </x:c>
      <x:c r="D610" t="n">
        <x:v>1</x:v>
      </x:c>
      <x:c r="E610" t="n">
        <x:v>4</x:v>
      </x:c>
      <x:c r="F610" t="n">
        <x:v>4</x:v>
      </x:c>
      <x:c r="G610" t="n">
        <x:v>4</x:v>
      </x:c>
      <x:c r="H610" t="n">
        <x:v>150</x:v>
      </x:c>
      <x:c r="I610" t="n">
        <x:v>1.5</x:v>
      </x:c>
      <x:c r="J610" t="str"/>
      <x:c r="K610" t="str"/>
      <x:c r="L610" t="str">
        <x:v>OPEN</x:v>
      </x:c>
    </x:row>
    <x:row r="611">
      <x:c r="B611" t="str">
        <x:v>RFP-C1-TC-005</x:v>
      </x:c>
      <x:c r="C611" t="str">
        <x:v>RFP-C1</x:v>
      </x:c>
      <x:c r="D611" t="n">
        <x:v>1</x:v>
      </x:c>
      <x:c r="E611" t="n">
        <x:v>5</x:v>
      </x:c>
      <x:c r="F611" t="n">
        <x:v>4</x:v>
      </x:c>
      <x:c r="G611" t="n">
        <x:v>4</x:v>
      </x:c>
      <x:c r="H611" t="n">
        <x:v>150</x:v>
      </x:c>
      <x:c r="I611" t="n">
        <x:v>1.5</x:v>
      </x:c>
      <x:c r="J611" t="str"/>
      <x:c r="K611" t="str"/>
      <x:c r="L611" t="str">
        <x:v>OPEN</x:v>
      </x:c>
    </x:row>
    <x:row r="612">
      <x:c r="B612" t="str">
        <x:v>RFP-C1-TC-006</x:v>
      </x:c>
      <x:c r="C612" t="str">
        <x:v>RFP-C1</x:v>
      </x:c>
      <x:c r="D612" t="n">
        <x:v>1</x:v>
      </x:c>
      <x:c r="E612" t="n">
        <x:v>6</x:v>
      </x:c>
      <x:c r="F612" t="n">
        <x:v>4</x:v>
      </x:c>
      <x:c r="G612" t="n">
        <x:v>4</x:v>
      </x:c>
      <x:c r="H612" t="n">
        <x:v>150</x:v>
      </x:c>
      <x:c r="I612" t="n">
        <x:v>1.5</x:v>
      </x:c>
      <x:c r="J612" t="str"/>
      <x:c r="K612" t="str"/>
      <x:c r="L612" t="str">
        <x:v>OPEN</x:v>
      </x:c>
    </x:row>
    <x:row r="613">
      <x:c r="B613" t="str">
        <x:v>RFP-C1-TC-007</x:v>
      </x:c>
      <x:c r="C613" t="str">
        <x:v>RFP-C1</x:v>
      </x:c>
      <x:c r="D613" t="n">
        <x:v>1</x:v>
      </x:c>
      <x:c r="E613" t="n">
        <x:v>7</x:v>
      </x:c>
      <x:c r="F613" t="n">
        <x:v>4</x:v>
      </x:c>
      <x:c r="G613" t="n">
        <x:v>4</x:v>
      </x:c>
      <x:c r="H613" t="n">
        <x:v>150</x:v>
      </x:c>
      <x:c r="I613" t="n">
        <x:v>1.5</x:v>
      </x:c>
      <x:c r="J613" t="str"/>
      <x:c r="K613" t="str"/>
      <x:c r="L613" t="str">
        <x:v>OPEN</x:v>
      </x:c>
    </x:row>
    <x:row r="614">
      <x:c r="B614" t="str">
        <x:v>RFP-C1-TC-008</x:v>
      </x:c>
      <x:c r="C614" t="str">
        <x:v>RFP-C1</x:v>
      </x:c>
      <x:c r="D614" t="n">
        <x:v>1</x:v>
      </x:c>
      <x:c r="E614" t="n">
        <x:v>8</x:v>
      </x:c>
      <x:c r="F614" t="n">
        <x:v>4</x:v>
      </x:c>
      <x:c r="G614" t="n">
        <x:v>4</x:v>
      </x:c>
      <x:c r="H614" t="n">
        <x:v>150</x:v>
      </x:c>
      <x:c r="I614" t="n">
        <x:v>1.5</x:v>
      </x:c>
      <x:c r="J614" t="str"/>
      <x:c r="K614" t="str"/>
      <x:c r="L614" t="str">
        <x:v>OPEN</x:v>
      </x:c>
    </x:row>
    <x:row r="615">
      <x:c r="B615" t="str">
        <x:v>RFP-C1-TC-009</x:v>
      </x:c>
      <x:c r="C615" t="str">
        <x:v>RFP-C1</x:v>
      </x:c>
      <x:c r="D615" t="n">
        <x:v>1</x:v>
      </x:c>
      <x:c r="E615" t="n">
        <x:v>9</x:v>
      </x:c>
      <x:c r="F615" t="n">
        <x:v>4</x:v>
      </x:c>
      <x:c r="G615" t="n">
        <x:v>4</x:v>
      </x:c>
      <x:c r="H615" t="n">
        <x:v>150</x:v>
      </x:c>
      <x:c r="I615" t="n">
        <x:v>1.5</x:v>
      </x:c>
      <x:c r="J615" t="str"/>
      <x:c r="K615" t="str"/>
      <x:c r="L615" t="str">
        <x:v>OPEN</x:v>
      </x:c>
    </x:row>
    <x:row r="616">
      <x:c r="B616" t="str">
        <x:v>RFP-C1-TC-010</x:v>
      </x:c>
      <x:c r="C616" t="str">
        <x:v>RFP-C1</x:v>
      </x:c>
      <x:c r="D616" t="n">
        <x:v>1</x:v>
      </x:c>
      <x:c r="E616" t="n">
        <x:v>10</x:v>
      </x:c>
      <x:c r="F616" t="n">
        <x:v>4</x:v>
      </x:c>
      <x:c r="G616" t="n">
        <x:v>4</x:v>
      </x:c>
      <x:c r="H616" t="n">
        <x:v>150</x:v>
      </x:c>
      <x:c r="I616" t="n">
        <x:v>1.5</x:v>
      </x:c>
      <x:c r="J616" t="str"/>
      <x:c r="K616" t="str"/>
      <x:c r="L616" t="str">
        <x:v>OPEN</x:v>
      </x:c>
    </x:row>
    <x:row r="617">
      <x:c r="B617" t="str">
        <x:v>RFP-C1-TC-011</x:v>
      </x:c>
      <x:c r="C617" t="str">
        <x:v>RFP-C1</x:v>
      </x:c>
      <x:c r="D617" t="n">
        <x:v>2</x:v>
      </x:c>
      <x:c r="E617" t="n">
        <x:v>1</x:v>
      </x:c>
      <x:c r="F617" t="n">
        <x:v>4</x:v>
      </x:c>
      <x:c r="G617" t="n">
        <x:v>4</x:v>
      </x:c>
      <x:c r="H617" t="n">
        <x:v>150</x:v>
      </x:c>
      <x:c r="I617" t="n">
        <x:v>1.5</x:v>
      </x:c>
      <x:c r="J617" t="str"/>
      <x:c r="K617" t="str"/>
      <x:c r="L617" t="str">
        <x:v>OPEN</x:v>
      </x:c>
    </x:row>
    <x:row r="618">
      <x:c r="B618" t="str">
        <x:v>RFP-C1-TC-012</x:v>
      </x:c>
      <x:c r="C618" t="str">
        <x:v>RFP-C1</x:v>
      </x:c>
      <x:c r="D618" t="n">
        <x:v>2</x:v>
      </x:c>
      <x:c r="E618" t="n">
        <x:v>2</x:v>
      </x:c>
      <x:c r="F618" t="n">
        <x:v>4</x:v>
      </x:c>
      <x:c r="G618" t="n">
        <x:v>4</x:v>
      </x:c>
      <x:c r="H618" t="n">
        <x:v>150</x:v>
      </x:c>
      <x:c r="I618" t="n">
        <x:v>1.5</x:v>
      </x:c>
      <x:c r="J618" t="str"/>
      <x:c r="K618" t="str"/>
      <x:c r="L618" t="str">
        <x:v>OPEN</x:v>
      </x:c>
    </x:row>
    <x:row r="619">
      <x:c r="B619" t="str">
        <x:v>RFP-C1-TC-013</x:v>
      </x:c>
      <x:c r="C619" t="str">
        <x:v>RFP-C1</x:v>
      </x:c>
      <x:c r="D619" t="n">
        <x:v>2</x:v>
      </x:c>
      <x:c r="E619" t="n">
        <x:v>3</x:v>
      </x:c>
      <x:c r="F619" t="n">
        <x:v>4</x:v>
      </x:c>
      <x:c r="G619" t="n">
        <x:v>4</x:v>
      </x:c>
      <x:c r="H619" t="n">
        <x:v>150</x:v>
      </x:c>
      <x:c r="I619" t="n">
        <x:v>1.5</x:v>
      </x:c>
      <x:c r="J619" t="str"/>
      <x:c r="K619" t="str"/>
      <x:c r="L619" t="str">
        <x:v>OPEN</x:v>
      </x:c>
    </x:row>
    <x:row r="620">
      <x:c r="B620" t="str">
        <x:v>RFP-C1-TC-014</x:v>
      </x:c>
      <x:c r="C620" t="str">
        <x:v>RFP-C1</x:v>
      </x:c>
      <x:c r="D620" t="n">
        <x:v>2</x:v>
      </x:c>
      <x:c r="E620" t="n">
        <x:v>4</x:v>
      </x:c>
      <x:c r="F620" t="n">
        <x:v>4</x:v>
      </x:c>
      <x:c r="G620" t="n">
        <x:v>4</x:v>
      </x:c>
      <x:c r="H620" t="n">
        <x:v>150</x:v>
      </x:c>
      <x:c r="I620" t="n">
        <x:v>1.5</x:v>
      </x:c>
      <x:c r="J620" t="str"/>
      <x:c r="K620" t="str"/>
      <x:c r="L620" t="str">
        <x:v>OPEN</x:v>
      </x:c>
    </x:row>
    <x:row r="621">
      <x:c r="B621" t="str">
        <x:v>RFP-C1-TC-015</x:v>
      </x:c>
      <x:c r="C621" t="str">
        <x:v>RFP-C1</x:v>
      </x:c>
      <x:c r="D621" t="n">
        <x:v>2</x:v>
      </x:c>
      <x:c r="E621" t="n">
        <x:v>5</x:v>
      </x:c>
      <x:c r="F621" t="n">
        <x:v>4</x:v>
      </x:c>
      <x:c r="G621" t="n">
        <x:v>4</x:v>
      </x:c>
      <x:c r="H621" t="n">
        <x:v>150</x:v>
      </x:c>
      <x:c r="I621" t="n">
        <x:v>1.5</x:v>
      </x:c>
      <x:c r="J621" t="str"/>
      <x:c r="K621" t="str"/>
      <x:c r="L621" t="str">
        <x:v>OPEN</x:v>
      </x:c>
    </x:row>
    <x:row r="622">
      <x:c r="B622" t="str">
        <x:v>RFP-C1-TC-016</x:v>
      </x:c>
      <x:c r="C622" t="str">
        <x:v>RFP-C1</x:v>
      </x:c>
      <x:c r="D622" t="n">
        <x:v>2</x:v>
      </x:c>
      <x:c r="E622" t="n">
        <x:v>6</x:v>
      </x:c>
      <x:c r="F622" t="n">
        <x:v>4</x:v>
      </x:c>
      <x:c r="G622" t="n">
        <x:v>4</x:v>
      </x:c>
      <x:c r="H622" t="n">
        <x:v>150</x:v>
      </x:c>
      <x:c r="I622" t="n">
        <x:v>1.5</x:v>
      </x:c>
      <x:c r="J622" t="str"/>
      <x:c r="K622" t="str"/>
      <x:c r="L622" t="str">
        <x:v>OPEN</x:v>
      </x:c>
    </x:row>
    <x:row r="623">
      <x:c r="B623" t="str">
        <x:v>RFP-C1-TC-017</x:v>
      </x:c>
      <x:c r="C623" t="str">
        <x:v>RFP-C1</x:v>
      </x:c>
      <x:c r="D623" t="n">
        <x:v>2</x:v>
      </x:c>
      <x:c r="E623" t="n">
        <x:v>7</x:v>
      </x:c>
      <x:c r="F623" t="n">
        <x:v>4</x:v>
      </x:c>
      <x:c r="G623" t="n">
        <x:v>4</x:v>
      </x:c>
      <x:c r="H623" t="n">
        <x:v>150</x:v>
      </x:c>
      <x:c r="I623" t="n">
        <x:v>1.5</x:v>
      </x:c>
      <x:c r="J623" t="str"/>
      <x:c r="K623" t="str"/>
      <x:c r="L623" t="str">
        <x:v>OPEN</x:v>
      </x:c>
    </x:row>
    <x:row r="624">
      <x:c r="B624" t="str">
        <x:v>RFP-C1-TC-018</x:v>
      </x:c>
      <x:c r="C624" t="str">
        <x:v>RFP-C1</x:v>
      </x:c>
      <x:c r="D624" t="n">
        <x:v>2</x:v>
      </x:c>
      <x:c r="E624" t="n">
        <x:v>8</x:v>
      </x:c>
      <x:c r="F624" t="n">
        <x:v>4</x:v>
      </x:c>
      <x:c r="G624" t="n">
        <x:v>4</x:v>
      </x:c>
      <x:c r="H624" t="n">
        <x:v>150</x:v>
      </x:c>
      <x:c r="I624" t="n">
        <x:v>1.5</x:v>
      </x:c>
      <x:c r="J624" t="str"/>
      <x:c r="K624" t="str"/>
      <x:c r="L624" t="str">
        <x:v>OPEN</x:v>
      </x:c>
    </x:row>
    <x:row r="625">
      <x:c r="B625" t="str">
        <x:v>RFP-C1-TC-019</x:v>
      </x:c>
      <x:c r="C625" t="str">
        <x:v>RFP-C1</x:v>
      </x:c>
      <x:c r="D625" t="n">
        <x:v>2</x:v>
      </x:c>
      <x:c r="E625" t="n">
        <x:v>9</x:v>
      </x:c>
      <x:c r="F625" t="n">
        <x:v>4</x:v>
      </x:c>
      <x:c r="G625" t="n">
        <x:v>4</x:v>
      </x:c>
      <x:c r="H625" t="n">
        <x:v>150</x:v>
      </x:c>
      <x:c r="I625" t="n">
        <x:v>1.5</x:v>
      </x:c>
      <x:c r="J625" t="str"/>
      <x:c r="K625" t="str"/>
      <x:c r="L625" t="str">
        <x:v>OPEN</x:v>
      </x:c>
    </x:row>
    <x:row r="626">
      <x:c r="B626" t="str">
        <x:v>RFP-C1-TC-020</x:v>
      </x:c>
      <x:c r="C626" t="str">
        <x:v>RFP-C1</x:v>
      </x:c>
      <x:c r="D626" t="n">
        <x:v>2</x:v>
      </x:c>
      <x:c r="E626" t="n">
        <x:v>10</x:v>
      </x:c>
      <x:c r="F626" t="n">
        <x:v>4</x:v>
      </x:c>
      <x:c r="G626" t="n">
        <x:v>4</x:v>
      </x:c>
      <x:c r="H626" t="n">
        <x:v>150</x:v>
      </x:c>
      <x:c r="I626" t="n">
        <x:v>1.5</x:v>
      </x:c>
      <x:c r="J626" t="str"/>
      <x:c r="K626" t="str"/>
      <x:c r="L626" t="str">
        <x:v>OPEN</x:v>
      </x:c>
    </x:row>
    <x:row r="627">
      <x:c r="B627" t="str">
        <x:v>RFP-C1-TC-021</x:v>
      </x:c>
      <x:c r="C627" t="str">
        <x:v>RFP-C1</x:v>
      </x:c>
      <x:c r="D627" t="n">
        <x:v>3</x:v>
      </x:c>
      <x:c r="E627" t="n">
        <x:v>1</x:v>
      </x:c>
      <x:c r="F627" t="n">
        <x:v>4</x:v>
      </x:c>
      <x:c r="G627" t="n">
        <x:v>4</x:v>
      </x:c>
      <x:c r="H627" t="n">
        <x:v>150</x:v>
      </x:c>
      <x:c r="I627" t="n">
        <x:v>1.5</x:v>
      </x:c>
      <x:c r="J627" t="str"/>
      <x:c r="K627" t="str"/>
      <x:c r="L627" t="str">
        <x:v>OPEN</x:v>
      </x:c>
    </x:row>
    <x:row r="628">
      <x:c r="B628" t="str">
        <x:v>RFP-C1-TC-022</x:v>
      </x:c>
      <x:c r="C628" t="str">
        <x:v>RFP-C1</x:v>
      </x:c>
      <x:c r="D628" t="n">
        <x:v>3</x:v>
      </x:c>
      <x:c r="E628" t="n">
        <x:v>2</x:v>
      </x:c>
      <x:c r="F628" t="n">
        <x:v>4</x:v>
      </x:c>
      <x:c r="G628" t="n">
        <x:v>4</x:v>
      </x:c>
      <x:c r="H628" t="n">
        <x:v>150</x:v>
      </x:c>
      <x:c r="I628" t="n">
        <x:v>1.5</x:v>
      </x:c>
      <x:c r="J628" t="str"/>
      <x:c r="K628" t="str"/>
      <x:c r="L628" t="str">
        <x:v>OPEN</x:v>
      </x:c>
    </x:row>
    <x:row r="629">
      <x:c r="B629" t="str">
        <x:v>RFP-C1-TC-023</x:v>
      </x:c>
      <x:c r="C629" t="str">
        <x:v>RFP-C1</x:v>
      </x:c>
      <x:c r="D629" t="n">
        <x:v>3</x:v>
      </x:c>
      <x:c r="E629" t="n">
        <x:v>3</x:v>
      </x:c>
      <x:c r="F629" t="n">
        <x:v>4</x:v>
      </x:c>
      <x:c r="G629" t="n">
        <x:v>4</x:v>
      </x:c>
      <x:c r="H629" t="n">
        <x:v>150</x:v>
      </x:c>
      <x:c r="I629" t="n">
        <x:v>1.5</x:v>
      </x:c>
      <x:c r="J629" t="str"/>
      <x:c r="K629" t="str"/>
      <x:c r="L629" t="str">
        <x:v>OPEN</x:v>
      </x:c>
    </x:row>
    <x:row r="630">
      <x:c r="B630" t="str">
        <x:v>RFP-C1-TC-024</x:v>
      </x:c>
      <x:c r="C630" t="str">
        <x:v>RFP-C1</x:v>
      </x:c>
      <x:c r="D630" t="n">
        <x:v>3</x:v>
      </x:c>
      <x:c r="E630" t="n">
        <x:v>4</x:v>
      </x:c>
      <x:c r="F630" t="n">
        <x:v>4</x:v>
      </x:c>
      <x:c r="G630" t="n">
        <x:v>4</x:v>
      </x:c>
      <x:c r="H630" t="n">
        <x:v>150</x:v>
      </x:c>
      <x:c r="I630" t="n">
        <x:v>1.5</x:v>
      </x:c>
      <x:c r="J630" t="str"/>
      <x:c r="K630" t="str"/>
      <x:c r="L630" t="str">
        <x:v>OPEN</x:v>
      </x:c>
    </x:row>
    <x:row r="631">
      <x:c r="B631" t="str">
        <x:v>RFP-C1-TC-025</x:v>
      </x:c>
      <x:c r="C631" t="str">
        <x:v>RFP-C1</x:v>
      </x:c>
      <x:c r="D631" t="n">
        <x:v>3</x:v>
      </x:c>
      <x:c r="E631" t="n">
        <x:v>5</x:v>
      </x:c>
      <x:c r="F631" t="n">
        <x:v>4</x:v>
      </x:c>
      <x:c r="G631" t="n">
        <x:v>4</x:v>
      </x:c>
      <x:c r="H631" t="n">
        <x:v>150</x:v>
      </x:c>
      <x:c r="I631" t="n">
        <x:v>1.5</x:v>
      </x:c>
      <x:c r="J631" t="str"/>
      <x:c r="K631" t="str"/>
      <x:c r="L631" t="str">
        <x:v>OPEN</x:v>
      </x:c>
    </x:row>
    <x:row r="632">
      <x:c r="B632" t="str">
        <x:v>RFP-C1-TC-026</x:v>
      </x:c>
      <x:c r="C632" t="str">
        <x:v>RFP-C1</x:v>
      </x:c>
      <x:c r="D632" t="n">
        <x:v>3</x:v>
      </x:c>
      <x:c r="E632" t="n">
        <x:v>6</x:v>
      </x:c>
      <x:c r="F632" t="n">
        <x:v>4</x:v>
      </x:c>
      <x:c r="G632" t="n">
        <x:v>4</x:v>
      </x:c>
      <x:c r="H632" t="n">
        <x:v>150</x:v>
      </x:c>
      <x:c r="I632" t="n">
        <x:v>1.5</x:v>
      </x:c>
      <x:c r="J632" t="str"/>
      <x:c r="K632" t="str"/>
      <x:c r="L632" t="str">
        <x:v>OPEN</x:v>
      </x:c>
    </x:row>
    <x:row r="633">
      <x:c r="B633" t="str">
        <x:v>RFP-C1-TC-027</x:v>
      </x:c>
      <x:c r="C633" t="str">
        <x:v>RFP-C1</x:v>
      </x:c>
      <x:c r="D633" t="n">
        <x:v>3</x:v>
      </x:c>
      <x:c r="E633" t="n">
        <x:v>7</x:v>
      </x:c>
      <x:c r="F633" t="n">
        <x:v>4</x:v>
      </x:c>
      <x:c r="G633" t="n">
        <x:v>4</x:v>
      </x:c>
      <x:c r="H633" t="n">
        <x:v>150</x:v>
      </x:c>
      <x:c r="I633" t="n">
        <x:v>1.5</x:v>
      </x:c>
      <x:c r="J633" t="str"/>
      <x:c r="K633" t="str"/>
      <x:c r="L633" t="str">
        <x:v>OPEN</x:v>
      </x:c>
    </x:row>
    <x:row r="634">
      <x:c r="B634" t="str">
        <x:v>RFP-C1-TC-028</x:v>
      </x:c>
      <x:c r="C634" t="str">
        <x:v>RFP-C1</x:v>
      </x:c>
      <x:c r="D634" t="n">
        <x:v>3</x:v>
      </x:c>
      <x:c r="E634" t="n">
        <x:v>8</x:v>
      </x:c>
      <x:c r="F634" t="n">
        <x:v>4</x:v>
      </x:c>
      <x:c r="G634" t="n">
        <x:v>4</x:v>
      </x:c>
      <x:c r="H634" t="n">
        <x:v>150</x:v>
      </x:c>
      <x:c r="I634" t="n">
        <x:v>1.5</x:v>
      </x:c>
      <x:c r="J634" t="str"/>
      <x:c r="K634" t="str"/>
      <x:c r="L634" t="str">
        <x:v>OPEN</x:v>
      </x:c>
    </x:row>
    <x:row r="635">
      <x:c r="B635" t="str">
        <x:v>RFP-C1-TC-029</x:v>
      </x:c>
      <x:c r="C635" t="str">
        <x:v>RFP-C1</x:v>
      </x:c>
      <x:c r="D635" t="n">
        <x:v>3</x:v>
      </x:c>
      <x:c r="E635" t="n">
        <x:v>9</x:v>
      </x:c>
      <x:c r="F635" t="n">
        <x:v>4</x:v>
      </x:c>
      <x:c r="G635" t="n">
        <x:v>4</x:v>
      </x:c>
      <x:c r="H635" t="n">
        <x:v>150</x:v>
      </x:c>
      <x:c r="I635" t="n">
        <x:v>1.5</x:v>
      </x:c>
      <x:c r="J635" t="str"/>
      <x:c r="K635" t="str"/>
      <x:c r="L635" t="str">
        <x:v>OPEN</x:v>
      </x:c>
    </x:row>
    <x:row r="636">
      <x:c r="B636" t="str">
        <x:v>RFP-C1-TC-030</x:v>
      </x:c>
      <x:c r="C636" t="str">
        <x:v>RFP-C1</x:v>
      </x:c>
      <x:c r="D636" t="n">
        <x:v>3</x:v>
      </x:c>
      <x:c r="E636" t="n">
        <x:v>10</x:v>
      </x:c>
      <x:c r="F636" t="n">
        <x:v>4</x:v>
      </x:c>
      <x:c r="G636" t="n">
        <x:v>4</x:v>
      </x:c>
      <x:c r="H636" t="n">
        <x:v>150</x:v>
      </x:c>
      <x:c r="I636" t="n">
        <x:v>1.5</x:v>
      </x:c>
      <x:c r="J636" t="str"/>
      <x:c r="K636" t="str"/>
      <x:c r="L636" t="str">
        <x:v>OPEN</x:v>
      </x:c>
    </x:row>
    <x:row r="637">
      <x:c r="B637" t="str">
        <x:v>RFP-C1-TC-031</x:v>
      </x:c>
      <x:c r="C637" t="str">
        <x:v>RFP-C1</x:v>
      </x:c>
      <x:c r="D637" t="n">
        <x:v>4</x:v>
      </x:c>
      <x:c r="E637" t="n">
        <x:v>1</x:v>
      </x:c>
      <x:c r="F637" t="n">
        <x:v>4</x:v>
      </x:c>
      <x:c r="G637" t="n">
        <x:v>4</x:v>
      </x:c>
      <x:c r="H637" t="n">
        <x:v>150</x:v>
      </x:c>
      <x:c r="I637" t="n">
        <x:v>1.5</x:v>
      </x:c>
      <x:c r="J637" t="str"/>
      <x:c r="K637" t="str"/>
      <x:c r="L637" t="str">
        <x:v>OPEN</x:v>
      </x:c>
    </x:row>
    <x:row r="638">
      <x:c r="B638" t="str">
        <x:v>RFP-C1-TC-032</x:v>
      </x:c>
      <x:c r="C638" t="str">
        <x:v>RFP-C1</x:v>
      </x:c>
      <x:c r="D638" t="n">
        <x:v>4</x:v>
      </x:c>
      <x:c r="E638" t="n">
        <x:v>2</x:v>
      </x:c>
      <x:c r="F638" t="n">
        <x:v>4</x:v>
      </x:c>
      <x:c r="G638" t="n">
        <x:v>4</x:v>
      </x:c>
      <x:c r="H638" t="n">
        <x:v>150</x:v>
      </x:c>
      <x:c r="I638" t="n">
        <x:v>1.5</x:v>
      </x:c>
      <x:c r="J638" t="str"/>
      <x:c r="K638" t="str"/>
      <x:c r="L638" t="str">
        <x:v>OPEN</x:v>
      </x:c>
    </x:row>
    <x:row r="639">
      <x:c r="B639" t="str">
        <x:v>RFP-C1-TC-033</x:v>
      </x:c>
      <x:c r="C639" t="str">
        <x:v>RFP-C1</x:v>
      </x:c>
      <x:c r="D639" t="n">
        <x:v>4</x:v>
      </x:c>
      <x:c r="E639" t="n">
        <x:v>3</x:v>
      </x:c>
      <x:c r="F639" t="n">
        <x:v>4</x:v>
      </x:c>
      <x:c r="G639" t="n">
        <x:v>4</x:v>
      </x:c>
      <x:c r="H639" t="n">
        <x:v>150</x:v>
      </x:c>
      <x:c r="I639" t="n">
        <x:v>1.5</x:v>
      </x:c>
      <x:c r="J639" t="str"/>
      <x:c r="K639" t="str"/>
      <x:c r="L639" t="str">
        <x:v>OPEN</x:v>
      </x:c>
    </x:row>
    <x:row r="640">
      <x:c r="B640" t="str">
        <x:v>RFP-C1-TC-034</x:v>
      </x:c>
      <x:c r="C640" t="str">
        <x:v>RFP-C1</x:v>
      </x:c>
      <x:c r="D640" t="n">
        <x:v>4</x:v>
      </x:c>
      <x:c r="E640" t="n">
        <x:v>4</x:v>
      </x:c>
      <x:c r="F640" t="n">
        <x:v>4</x:v>
      </x:c>
      <x:c r="G640" t="n">
        <x:v>4</x:v>
      </x:c>
      <x:c r="H640" t="n">
        <x:v>150</x:v>
      </x:c>
      <x:c r="I640" t="n">
        <x:v>1.5</x:v>
      </x:c>
      <x:c r="J640" t="str"/>
      <x:c r="K640" t="str"/>
      <x:c r="L640" t="str">
        <x:v>OPEN</x:v>
      </x:c>
    </x:row>
    <x:row r="641">
      <x:c r="B641" t="str">
        <x:v>RFP-C1-TC-035</x:v>
      </x:c>
      <x:c r="C641" t="str">
        <x:v>RFP-C1</x:v>
      </x:c>
      <x:c r="D641" t="n">
        <x:v>4</x:v>
      </x:c>
      <x:c r="E641" t="n">
        <x:v>5</x:v>
      </x:c>
      <x:c r="F641" t="n">
        <x:v>4</x:v>
      </x:c>
      <x:c r="G641" t="n">
        <x:v>4</x:v>
      </x:c>
      <x:c r="H641" t="n">
        <x:v>150</x:v>
      </x:c>
      <x:c r="I641" t="n">
        <x:v>1.5</x:v>
      </x:c>
      <x:c r="J641" t="str"/>
      <x:c r="K641" t="str"/>
      <x:c r="L641" t="str">
        <x:v>OPEN</x:v>
      </x:c>
    </x:row>
    <x:row r="642">
      <x:c r="B642" t="str">
        <x:v>RFP-C1-TC-036</x:v>
      </x:c>
      <x:c r="C642" t="str">
        <x:v>RFP-C1</x:v>
      </x:c>
      <x:c r="D642" t="n">
        <x:v>4</x:v>
      </x:c>
      <x:c r="E642" t="n">
        <x:v>6</x:v>
      </x:c>
      <x:c r="F642" t="n">
        <x:v>4</x:v>
      </x:c>
      <x:c r="G642" t="n">
        <x:v>4</x:v>
      </x:c>
      <x:c r="H642" t="n">
        <x:v>150</x:v>
      </x:c>
      <x:c r="I642" t="n">
        <x:v>1.5</x:v>
      </x:c>
      <x:c r="J642" t="str"/>
      <x:c r="K642" t="str"/>
      <x:c r="L642" t="str">
        <x:v>OPEN</x:v>
      </x:c>
    </x:row>
    <x:row r="643">
      <x:c r="B643" t="str">
        <x:v>RFP-C1-TC-037</x:v>
      </x:c>
      <x:c r="C643" t="str">
        <x:v>RFP-C1</x:v>
      </x:c>
      <x:c r="D643" t="n">
        <x:v>4</x:v>
      </x:c>
      <x:c r="E643" t="n">
        <x:v>7</x:v>
      </x:c>
      <x:c r="F643" t="n">
        <x:v>4</x:v>
      </x:c>
      <x:c r="G643" t="n">
        <x:v>4</x:v>
      </x:c>
      <x:c r="H643" t="n">
        <x:v>150</x:v>
      </x:c>
      <x:c r="I643" t="n">
        <x:v>1.5</x:v>
      </x:c>
      <x:c r="J643" t="str"/>
      <x:c r="K643" t="str"/>
      <x:c r="L643" t="str">
        <x:v>OPEN</x:v>
      </x:c>
    </x:row>
    <x:row r="644">
      <x:c r="B644" t="str">
        <x:v>RFP-C1-TC-038</x:v>
      </x:c>
      <x:c r="C644" t="str">
        <x:v>RFP-C1</x:v>
      </x:c>
      <x:c r="D644" t="n">
        <x:v>4</x:v>
      </x:c>
      <x:c r="E644" t="n">
        <x:v>8</x:v>
      </x:c>
      <x:c r="F644" t="n">
        <x:v>4</x:v>
      </x:c>
      <x:c r="G644" t="n">
        <x:v>4</x:v>
      </x:c>
      <x:c r="H644" t="n">
        <x:v>150</x:v>
      </x:c>
      <x:c r="I644" t="n">
        <x:v>1.5</x:v>
      </x:c>
      <x:c r="J644" t="str"/>
      <x:c r="K644" t="str"/>
      <x:c r="L644" t="str">
        <x:v>OPEN</x:v>
      </x:c>
    </x:row>
    <x:row r="645">
      <x:c r="B645" t="str">
        <x:v>RFP-C1-TC-039</x:v>
      </x:c>
      <x:c r="C645" t="str">
        <x:v>RFP-C1</x:v>
      </x:c>
      <x:c r="D645" t="n">
        <x:v>4</x:v>
      </x:c>
      <x:c r="E645" t="n">
        <x:v>9</x:v>
      </x:c>
      <x:c r="F645" t="n">
        <x:v>4</x:v>
      </x:c>
      <x:c r="G645" t="n">
        <x:v>4</x:v>
      </x:c>
      <x:c r="H645" t="n">
        <x:v>150</x:v>
      </x:c>
      <x:c r="I645" t="n">
        <x:v>1.5</x:v>
      </x:c>
      <x:c r="J645" t="str"/>
      <x:c r="K645" t="str"/>
      <x:c r="L645" t="str">
        <x:v>OPEN</x:v>
      </x:c>
    </x:row>
    <x:row r="646">
      <x:c r="B646" t="str">
        <x:v>RFP-C1-TC-040</x:v>
      </x:c>
      <x:c r="C646" t="str">
        <x:v>RFP-C1</x:v>
      </x:c>
      <x:c r="D646" t="n">
        <x:v>4</x:v>
      </x:c>
      <x:c r="E646" t="n">
        <x:v>10</x:v>
      </x:c>
      <x:c r="F646" t="n">
        <x:v>4</x:v>
      </x:c>
      <x:c r="G646" t="n">
        <x:v>4</x:v>
      </x:c>
      <x:c r="H646" t="n">
        <x:v>150</x:v>
      </x:c>
      <x:c r="I646" t="n">
        <x:v>1.5</x:v>
      </x:c>
      <x:c r="J646" t="str"/>
      <x:c r="K646" t="str"/>
      <x:c r="L646" t="str">
        <x:v>OPEN</x:v>
      </x:c>
    </x:row>
    <x:row r="647">
      <x:c r="B647" t="str">
        <x:v>RFP-C1-TC-041</x:v>
      </x:c>
      <x:c r="C647" t="str">
        <x:v>RFP-C1</x:v>
      </x:c>
      <x:c r="D647" t="n">
        <x:v>5</x:v>
      </x:c>
      <x:c r="E647" t="n">
        <x:v>1</x:v>
      </x:c>
      <x:c r="F647" t="n">
        <x:v>4</x:v>
      </x:c>
      <x:c r="G647" t="n">
        <x:v>4</x:v>
      </x:c>
      <x:c r="H647" t="n">
        <x:v>150</x:v>
      </x:c>
      <x:c r="I647" t="n">
        <x:v>1.5</x:v>
      </x:c>
      <x:c r="J647" t="str"/>
      <x:c r="K647" t="str"/>
      <x:c r="L647" t="str">
        <x:v>OPEN</x:v>
      </x:c>
    </x:row>
    <x:row r="648">
      <x:c r="B648" t="str">
        <x:v>RFP-C1-TC-042</x:v>
      </x:c>
      <x:c r="C648" t="str">
        <x:v>RFP-C1</x:v>
      </x:c>
      <x:c r="D648" t="n">
        <x:v>5</x:v>
      </x:c>
      <x:c r="E648" t="n">
        <x:v>2</x:v>
      </x:c>
      <x:c r="F648" t="n">
        <x:v>4</x:v>
      </x:c>
      <x:c r="G648" t="n">
        <x:v>4</x:v>
      </x:c>
      <x:c r="H648" t="n">
        <x:v>150</x:v>
      </x:c>
      <x:c r="I648" t="n">
        <x:v>1.5</x:v>
      </x:c>
      <x:c r="J648" t="str"/>
      <x:c r="K648" t="str"/>
      <x:c r="L648" t="str">
        <x:v>OPEN</x:v>
      </x:c>
    </x:row>
    <x:row r="649">
      <x:c r="B649" t="str">
        <x:v>RFP-C1-TC-043</x:v>
      </x:c>
      <x:c r="C649" t="str">
        <x:v>RFP-C1</x:v>
      </x:c>
      <x:c r="D649" t="n">
        <x:v>5</x:v>
      </x:c>
      <x:c r="E649" t="n">
        <x:v>3</x:v>
      </x:c>
      <x:c r="F649" t="n">
        <x:v>4</x:v>
      </x:c>
      <x:c r="G649" t="n">
        <x:v>4</x:v>
      </x:c>
      <x:c r="H649" t="n">
        <x:v>150</x:v>
      </x:c>
      <x:c r="I649" t="n">
        <x:v>1.5</x:v>
      </x:c>
      <x:c r="J649" t="str"/>
      <x:c r="K649" t="str"/>
      <x:c r="L649" t="str">
        <x:v>OPEN</x:v>
      </x:c>
    </x:row>
    <x:row r="650">
      <x:c r="B650" t="str">
        <x:v>RFP-C1-TC-044</x:v>
      </x:c>
      <x:c r="C650" t="str">
        <x:v>RFP-C1</x:v>
      </x:c>
      <x:c r="D650" t="n">
        <x:v>5</x:v>
      </x:c>
      <x:c r="E650" t="n">
        <x:v>4</x:v>
      </x:c>
      <x:c r="F650" t="n">
        <x:v>4</x:v>
      </x:c>
      <x:c r="G650" t="n">
        <x:v>4</x:v>
      </x:c>
      <x:c r="H650" t="n">
        <x:v>150</x:v>
      </x:c>
      <x:c r="I650" t="n">
        <x:v>1.5</x:v>
      </x:c>
      <x:c r="J650" t="str"/>
      <x:c r="K650" t="str"/>
      <x:c r="L650" t="str">
        <x:v>OPEN</x:v>
      </x:c>
    </x:row>
    <x:row r="651">
      <x:c r="B651" t="str">
        <x:v>RFP-C1-TC-045</x:v>
      </x:c>
      <x:c r="C651" t="str">
        <x:v>RFP-C1</x:v>
      </x:c>
      <x:c r="D651" t="n">
        <x:v>5</x:v>
      </x:c>
      <x:c r="E651" t="n">
        <x:v>5</x:v>
      </x:c>
      <x:c r="F651" t="n">
        <x:v>4</x:v>
      </x:c>
      <x:c r="G651" t="n">
        <x:v>4</x:v>
      </x:c>
      <x:c r="H651" t="n">
        <x:v>150</x:v>
      </x:c>
      <x:c r="I651" t="n">
        <x:v>1.5</x:v>
      </x:c>
      <x:c r="J651" t="str"/>
      <x:c r="K651" t="str"/>
      <x:c r="L651" t="str">
        <x:v>OPEN</x:v>
      </x:c>
    </x:row>
    <x:row r="652">
      <x:c r="B652" t="str">
        <x:v>RFP-C1-TC-046</x:v>
      </x:c>
      <x:c r="C652" t="str">
        <x:v>RFP-C1</x:v>
      </x:c>
      <x:c r="D652" t="n">
        <x:v>5</x:v>
      </x:c>
      <x:c r="E652" t="n">
        <x:v>6</x:v>
      </x:c>
      <x:c r="F652" t="n">
        <x:v>4</x:v>
      </x:c>
      <x:c r="G652" t="n">
        <x:v>4</x:v>
      </x:c>
      <x:c r="H652" t="n">
        <x:v>150</x:v>
      </x:c>
      <x:c r="I652" t="n">
        <x:v>1.5</x:v>
      </x:c>
      <x:c r="J652" t="str"/>
      <x:c r="K652" t="str"/>
      <x:c r="L652" t="str">
        <x:v>OPEN</x:v>
      </x:c>
    </x:row>
    <x:row r="653">
      <x:c r="B653" t="str">
        <x:v>RFP-C1-TC-047</x:v>
      </x:c>
      <x:c r="C653" t="str">
        <x:v>RFP-C1</x:v>
      </x:c>
      <x:c r="D653" t="n">
        <x:v>5</x:v>
      </x:c>
      <x:c r="E653" t="n">
        <x:v>7</x:v>
      </x:c>
      <x:c r="F653" t="n">
        <x:v>4</x:v>
      </x:c>
      <x:c r="G653" t="n">
        <x:v>4</x:v>
      </x:c>
      <x:c r="H653" t="n">
        <x:v>150</x:v>
      </x:c>
      <x:c r="I653" t="n">
        <x:v>1.5</x:v>
      </x:c>
      <x:c r="J653" t="str"/>
      <x:c r="K653" t="str"/>
      <x:c r="L653" t="str">
        <x:v>OPEN</x:v>
      </x:c>
    </x:row>
    <x:row r="654">
      <x:c r="B654" t="str">
        <x:v>RFP-C1-TC-048</x:v>
      </x:c>
      <x:c r="C654" t="str">
        <x:v>RFP-C1</x:v>
      </x:c>
      <x:c r="D654" t="n">
        <x:v>5</x:v>
      </x:c>
      <x:c r="E654" t="n">
        <x:v>8</x:v>
      </x:c>
      <x:c r="F654" t="n">
        <x:v>4</x:v>
      </x:c>
      <x:c r="G654" t="n">
        <x:v>4</x:v>
      </x:c>
      <x:c r="H654" t="n">
        <x:v>150</x:v>
      </x:c>
      <x:c r="I654" t="n">
        <x:v>1.5</x:v>
      </x:c>
      <x:c r="J654" t="str"/>
      <x:c r="K654" t="str"/>
      <x:c r="L654" t="str">
        <x:v>OPEN</x:v>
      </x:c>
    </x:row>
    <x:row r="655">
      <x:c r="B655" t="str">
        <x:v>RFP-C1-TC-049</x:v>
      </x:c>
      <x:c r="C655" t="str">
        <x:v>RFP-C1</x:v>
      </x:c>
      <x:c r="D655" t="n">
        <x:v>5</x:v>
      </x:c>
      <x:c r="E655" t="n">
        <x:v>9</x:v>
      </x:c>
      <x:c r="F655" t="n">
        <x:v>4</x:v>
      </x:c>
      <x:c r="G655" t="n">
        <x:v>4</x:v>
      </x:c>
      <x:c r="H655" t="n">
        <x:v>150</x:v>
      </x:c>
      <x:c r="I655" t="n">
        <x:v>1.5</x:v>
      </x:c>
      <x:c r="J655" t="str"/>
      <x:c r="K655" t="str"/>
      <x:c r="L655" t="str">
        <x:v>OPEN</x:v>
      </x:c>
    </x:row>
    <x:row r="656">
      <x:c r="B656" t="str">
        <x:v>RFP-C1-TC-050</x:v>
      </x:c>
      <x:c r="C656" t="str">
        <x:v>RFP-C1</x:v>
      </x:c>
      <x:c r="D656" t="n">
        <x:v>5</x:v>
      </x:c>
      <x:c r="E656" t="n">
        <x:v>10</x:v>
      </x:c>
      <x:c r="F656" t="n">
        <x:v>4</x:v>
      </x:c>
      <x:c r="G656" t="n">
        <x:v>4</x:v>
      </x:c>
      <x:c r="H656" t="n">
        <x:v>150</x:v>
      </x:c>
      <x:c r="I656" t="n">
        <x:v>1.5</x:v>
      </x:c>
      <x:c r="J656" t="str"/>
      <x:c r="K656" t="str"/>
      <x:c r="L656" t="str">
        <x:v>OPEN</x:v>
      </x:c>
    </x:row>
    <x:row r="657">
      <x:c r="B657" t="str">
        <x:v>RFP-C1-TC-051</x:v>
      </x:c>
      <x:c r="C657" t="str">
        <x:v>RFP-C1</x:v>
      </x:c>
      <x:c r="D657" t="n">
        <x:v>6</x:v>
      </x:c>
      <x:c r="E657" t="n">
        <x:v>1</x:v>
      </x:c>
      <x:c r="F657" t="n">
        <x:v>4</x:v>
      </x:c>
      <x:c r="G657" t="n">
        <x:v>4</x:v>
      </x:c>
      <x:c r="H657" t="n">
        <x:v>150</x:v>
      </x:c>
      <x:c r="I657" t="n">
        <x:v>1.5</x:v>
      </x:c>
      <x:c r="J657" t="str"/>
      <x:c r="K657" t="str"/>
      <x:c r="L657" t="str">
        <x:v>OPEN</x:v>
      </x:c>
    </x:row>
    <x:row r="658">
      <x:c r="B658" t="str">
        <x:v>RFP-C1-TC-052</x:v>
      </x:c>
      <x:c r="C658" t="str">
        <x:v>RFP-C1</x:v>
      </x:c>
      <x:c r="D658" t="n">
        <x:v>6</x:v>
      </x:c>
      <x:c r="E658" t="n">
        <x:v>2</x:v>
      </x:c>
      <x:c r="F658" t="n">
        <x:v>4</x:v>
      </x:c>
      <x:c r="G658" t="n">
        <x:v>4</x:v>
      </x:c>
      <x:c r="H658" t="n">
        <x:v>150</x:v>
      </x:c>
      <x:c r="I658" t="n">
        <x:v>1.5</x:v>
      </x:c>
      <x:c r="J658" t="str"/>
      <x:c r="K658" t="str"/>
      <x:c r="L658" t="str">
        <x:v>OPEN</x:v>
      </x:c>
    </x:row>
    <x:row r="659">
      <x:c r="B659" t="str">
        <x:v>RFP-C1-TC-053</x:v>
      </x:c>
      <x:c r="C659" t="str">
        <x:v>RFP-C1</x:v>
      </x:c>
      <x:c r="D659" t="n">
        <x:v>6</x:v>
      </x:c>
      <x:c r="E659" t="n">
        <x:v>3</x:v>
      </x:c>
      <x:c r="F659" t="n">
        <x:v>4</x:v>
      </x:c>
      <x:c r="G659" t="n">
        <x:v>4</x:v>
      </x:c>
      <x:c r="H659" t="n">
        <x:v>150</x:v>
      </x:c>
      <x:c r="I659" t="n">
        <x:v>1.5</x:v>
      </x:c>
      <x:c r="J659" t="str"/>
      <x:c r="K659" t="str"/>
      <x:c r="L659" t="str">
        <x:v>OPEN</x:v>
      </x:c>
    </x:row>
    <x:row r="660">
      <x:c r="B660" t="str">
        <x:v>RFP-C1-TC-054</x:v>
      </x:c>
      <x:c r="C660" t="str">
        <x:v>RFP-C1</x:v>
      </x:c>
      <x:c r="D660" t="n">
        <x:v>6</x:v>
      </x:c>
      <x:c r="E660" t="n">
        <x:v>4</x:v>
      </x:c>
      <x:c r="F660" t="n">
        <x:v>4</x:v>
      </x:c>
      <x:c r="G660" t="n">
        <x:v>4</x:v>
      </x:c>
      <x:c r="H660" t="n">
        <x:v>150</x:v>
      </x:c>
      <x:c r="I660" t="n">
        <x:v>1.5</x:v>
      </x:c>
      <x:c r="J660" t="str"/>
      <x:c r="K660" t="str"/>
      <x:c r="L660" t="str">
        <x:v>OPEN</x:v>
      </x:c>
    </x:row>
    <x:row r="661">
      <x:c r="B661" t="str">
        <x:v>RFP-C1-TC-055</x:v>
      </x:c>
      <x:c r="C661" t="str">
        <x:v>RFP-C1</x:v>
      </x:c>
      <x:c r="D661" t="n">
        <x:v>6</x:v>
      </x:c>
      <x:c r="E661" t="n">
        <x:v>5</x:v>
      </x:c>
      <x:c r="F661" t="n">
        <x:v>4</x:v>
      </x:c>
      <x:c r="G661" t="n">
        <x:v>4</x:v>
      </x:c>
      <x:c r="H661" t="n">
        <x:v>150</x:v>
      </x:c>
      <x:c r="I661" t="n">
        <x:v>1.5</x:v>
      </x:c>
      <x:c r="J661" t="str"/>
      <x:c r="K661" t="str"/>
      <x:c r="L661" t="str">
        <x:v>OPEN</x:v>
      </x:c>
    </x:row>
    <x:row r="662">
      <x:c r="B662" t="str">
        <x:v>RFP-C1-TC-056</x:v>
      </x:c>
      <x:c r="C662" t="str">
        <x:v>RFP-C1</x:v>
      </x:c>
      <x:c r="D662" t="n">
        <x:v>6</x:v>
      </x:c>
      <x:c r="E662" t="n">
        <x:v>6</x:v>
      </x:c>
      <x:c r="F662" t="n">
        <x:v>4</x:v>
      </x:c>
      <x:c r="G662" t="n">
        <x:v>4</x:v>
      </x:c>
      <x:c r="H662" t="n">
        <x:v>150</x:v>
      </x:c>
      <x:c r="I662" t="n">
        <x:v>1.5</x:v>
      </x:c>
      <x:c r="J662" t="str"/>
      <x:c r="K662" t="str"/>
      <x:c r="L662" t="str">
        <x:v>OPEN</x:v>
      </x:c>
    </x:row>
    <x:row r="663">
      <x:c r="B663" t="str">
        <x:v>RFP-C1-TC-057</x:v>
      </x:c>
      <x:c r="C663" t="str">
        <x:v>RFP-C1</x:v>
      </x:c>
      <x:c r="D663" t="n">
        <x:v>6</x:v>
      </x:c>
      <x:c r="E663" t="n">
        <x:v>7</x:v>
      </x:c>
      <x:c r="F663" t="n">
        <x:v>4</x:v>
      </x:c>
      <x:c r="G663" t="n">
        <x:v>4</x:v>
      </x:c>
      <x:c r="H663" t="n">
        <x:v>150</x:v>
      </x:c>
      <x:c r="I663" t="n">
        <x:v>1.5</x:v>
      </x:c>
      <x:c r="J663" t="str"/>
      <x:c r="K663" t="str"/>
      <x:c r="L663" t="str">
        <x:v>OPEN</x:v>
      </x:c>
    </x:row>
    <x:row r="664">
      <x:c r="B664" t="str">
        <x:v>RFP-C1-TC-058</x:v>
      </x:c>
      <x:c r="C664" t="str">
        <x:v>RFP-C1</x:v>
      </x:c>
      <x:c r="D664" t="n">
        <x:v>6</x:v>
      </x:c>
      <x:c r="E664" t="n">
        <x:v>8</x:v>
      </x:c>
      <x:c r="F664" t="n">
        <x:v>4</x:v>
      </x:c>
      <x:c r="G664" t="n">
        <x:v>4</x:v>
      </x:c>
      <x:c r="H664" t="n">
        <x:v>150</x:v>
      </x:c>
      <x:c r="I664" t="n">
        <x:v>1.5</x:v>
      </x:c>
      <x:c r="J664" t="str"/>
      <x:c r="K664" t="str"/>
      <x:c r="L664" t="str">
        <x:v>OPEN</x:v>
      </x:c>
    </x:row>
    <x:row r="665">
      <x:c r="B665" t="str">
        <x:v>RFP-C1-TC-059</x:v>
      </x:c>
      <x:c r="C665" t="str">
        <x:v>RFP-C1</x:v>
      </x:c>
      <x:c r="D665" t="n">
        <x:v>6</x:v>
      </x:c>
      <x:c r="E665" t="n">
        <x:v>9</x:v>
      </x:c>
      <x:c r="F665" t="n">
        <x:v>4</x:v>
      </x:c>
      <x:c r="G665" t="n">
        <x:v>4</x:v>
      </x:c>
      <x:c r="H665" t="n">
        <x:v>150</x:v>
      </x:c>
      <x:c r="I665" t="n">
        <x:v>1.5</x:v>
      </x:c>
      <x:c r="J665" t="str"/>
      <x:c r="K665" t="str"/>
      <x:c r="L665" t="str">
        <x:v>OPEN</x:v>
      </x:c>
    </x:row>
    <x:row r="666">
      <x:c r="B666" t="str">
        <x:v>RFP-C1-TC-060</x:v>
      </x:c>
      <x:c r="C666" t="str">
        <x:v>RFP-C1</x:v>
      </x:c>
      <x:c r="D666" t="n">
        <x:v>6</x:v>
      </x:c>
      <x:c r="E666" t="n">
        <x:v>10</x:v>
      </x:c>
      <x:c r="F666" t="n">
        <x:v>4</x:v>
      </x:c>
      <x:c r="G666" t="n">
        <x:v>4</x:v>
      </x:c>
      <x:c r="H666" t="n">
        <x:v>150</x:v>
      </x:c>
      <x:c r="I666" t="n">
        <x:v>1.5</x:v>
      </x:c>
      <x:c r="J666" t="str"/>
      <x:c r="K666" t="str"/>
      <x:c r="L666" t="str">
        <x:v>OPEN</x:v>
      </x:c>
    </x:row>
    <x:row r="667">
      <x:c r="B667" t="str">
        <x:v>RFP-C1-TC-061</x:v>
      </x:c>
      <x:c r="C667" t="str">
        <x:v>RFP-C1</x:v>
      </x:c>
      <x:c r="D667" t="n">
        <x:v>7</x:v>
      </x:c>
      <x:c r="E667" t="n">
        <x:v>1</x:v>
      </x:c>
      <x:c r="F667" t="n">
        <x:v>4</x:v>
      </x:c>
      <x:c r="G667" t="n">
        <x:v>4</x:v>
      </x:c>
      <x:c r="H667" t="n">
        <x:v>150</x:v>
      </x:c>
      <x:c r="I667" t="n">
        <x:v>1.5</x:v>
      </x:c>
      <x:c r="J667" t="str"/>
      <x:c r="K667" t="str"/>
      <x:c r="L667" t="str">
        <x:v>OPEN</x:v>
      </x:c>
    </x:row>
    <x:row r="668">
      <x:c r="B668" t="str">
        <x:v>RFP-C1-TC-062</x:v>
      </x:c>
      <x:c r="C668" t="str">
        <x:v>RFP-C1</x:v>
      </x:c>
      <x:c r="D668" t="n">
        <x:v>7</x:v>
      </x:c>
      <x:c r="E668" t="n">
        <x:v>2</x:v>
      </x:c>
      <x:c r="F668" t="n">
        <x:v>4</x:v>
      </x:c>
      <x:c r="G668" t="n">
        <x:v>4</x:v>
      </x:c>
      <x:c r="H668" t="n">
        <x:v>150</x:v>
      </x:c>
      <x:c r="I668" t="n">
        <x:v>1.5</x:v>
      </x:c>
      <x:c r="J668" t="str"/>
      <x:c r="K668" t="str"/>
      <x:c r="L668" t="str">
        <x:v>OPEN</x:v>
      </x:c>
    </x:row>
    <x:row r="669">
      <x:c r="B669" t="str">
        <x:v>RFP-C1-TC-063</x:v>
      </x:c>
      <x:c r="C669" t="str">
        <x:v>RFP-C1</x:v>
      </x:c>
      <x:c r="D669" t="n">
        <x:v>7</x:v>
      </x:c>
      <x:c r="E669" t="n">
        <x:v>3</x:v>
      </x:c>
      <x:c r="F669" t="n">
        <x:v>4</x:v>
      </x:c>
      <x:c r="G669" t="n">
        <x:v>4</x:v>
      </x:c>
      <x:c r="H669" t="n">
        <x:v>150</x:v>
      </x:c>
      <x:c r="I669" t="n">
        <x:v>1.5</x:v>
      </x:c>
      <x:c r="J669" t="str"/>
      <x:c r="K669" t="str"/>
      <x:c r="L669" t="str">
        <x:v>OPEN</x:v>
      </x:c>
    </x:row>
    <x:row r="670">
      <x:c r="B670" t="str">
        <x:v>RFP-C1-TC-064</x:v>
      </x:c>
      <x:c r="C670" t="str">
        <x:v>RFP-C1</x:v>
      </x:c>
      <x:c r="D670" t="n">
        <x:v>7</x:v>
      </x:c>
      <x:c r="E670" t="n">
        <x:v>4</x:v>
      </x:c>
      <x:c r="F670" t="n">
        <x:v>4</x:v>
      </x:c>
      <x:c r="G670" t="n">
        <x:v>4</x:v>
      </x:c>
      <x:c r="H670" t="n">
        <x:v>150</x:v>
      </x:c>
      <x:c r="I670" t="n">
        <x:v>1.5</x:v>
      </x:c>
      <x:c r="J670" t="str"/>
      <x:c r="K670" t="str"/>
      <x:c r="L670" t="str">
        <x:v>OPEN</x:v>
      </x:c>
    </x:row>
    <x:row r="671">
      <x:c r="B671" t="str">
        <x:v>RFP-C1-TC-065</x:v>
      </x:c>
      <x:c r="C671" t="str">
        <x:v>RFP-C1</x:v>
      </x:c>
      <x:c r="D671" t="n">
        <x:v>7</x:v>
      </x:c>
      <x:c r="E671" t="n">
        <x:v>5</x:v>
      </x:c>
      <x:c r="F671" t="n">
        <x:v>4</x:v>
      </x:c>
      <x:c r="G671" t="n">
        <x:v>4</x:v>
      </x:c>
      <x:c r="H671" t="n">
        <x:v>150</x:v>
      </x:c>
      <x:c r="I671" t="n">
        <x:v>1.5</x:v>
      </x:c>
      <x:c r="J671" t="str"/>
      <x:c r="K671" t="str"/>
      <x:c r="L671" t="str">
        <x:v>OPEN</x:v>
      </x:c>
    </x:row>
    <x:row r="672">
      <x:c r="B672" t="str">
        <x:v>RFP-C1-TC-066</x:v>
      </x:c>
      <x:c r="C672" t="str">
        <x:v>RFP-C1</x:v>
      </x:c>
      <x:c r="D672" t="n">
        <x:v>7</x:v>
      </x:c>
      <x:c r="E672" t="n">
        <x:v>6</x:v>
      </x:c>
      <x:c r="F672" t="n">
        <x:v>4</x:v>
      </x:c>
      <x:c r="G672" t="n">
        <x:v>4</x:v>
      </x:c>
      <x:c r="H672" t="n">
        <x:v>150</x:v>
      </x:c>
      <x:c r="I672" t="n">
        <x:v>1.5</x:v>
      </x:c>
      <x:c r="J672" t="str"/>
      <x:c r="K672" t="str"/>
      <x:c r="L672" t="str">
        <x:v>OPEN</x:v>
      </x:c>
    </x:row>
    <x:row r="673">
      <x:c r="B673" t="str">
        <x:v>RFP-C1-TC-067</x:v>
      </x:c>
      <x:c r="C673" t="str">
        <x:v>RFP-C1</x:v>
      </x:c>
      <x:c r="D673" t="n">
        <x:v>7</x:v>
      </x:c>
      <x:c r="E673" t="n">
        <x:v>7</x:v>
      </x:c>
      <x:c r="F673" t="n">
        <x:v>4</x:v>
      </x:c>
      <x:c r="G673" t="n">
        <x:v>4</x:v>
      </x:c>
      <x:c r="H673" t="n">
        <x:v>150</x:v>
      </x:c>
      <x:c r="I673" t="n">
        <x:v>1.5</x:v>
      </x:c>
      <x:c r="J673" t="str"/>
      <x:c r="K673" t="str"/>
      <x:c r="L673" t="str">
        <x:v>OPEN</x:v>
      </x:c>
    </x:row>
    <x:row r="674">
      <x:c r="B674" t="str">
        <x:v>RFP-C1-TC-068</x:v>
      </x:c>
      <x:c r="C674" t="str">
        <x:v>RFP-C1</x:v>
      </x:c>
      <x:c r="D674" t="n">
        <x:v>7</x:v>
      </x:c>
      <x:c r="E674" t="n">
        <x:v>8</x:v>
      </x:c>
      <x:c r="F674" t="n">
        <x:v>4</x:v>
      </x:c>
      <x:c r="G674" t="n">
        <x:v>4</x:v>
      </x:c>
      <x:c r="H674" t="n">
        <x:v>150</x:v>
      </x:c>
      <x:c r="I674" t="n">
        <x:v>1.5</x:v>
      </x:c>
      <x:c r="J674" t="str"/>
      <x:c r="K674" t="str"/>
      <x:c r="L674" t="str">
        <x:v>OPEN</x:v>
      </x:c>
    </x:row>
    <x:row r="675">
      <x:c r="B675" t="str">
        <x:v>RFP-C1-TC-069</x:v>
      </x:c>
      <x:c r="C675" t="str">
        <x:v>RFP-C1</x:v>
      </x:c>
      <x:c r="D675" t="n">
        <x:v>7</x:v>
      </x:c>
      <x:c r="E675" t="n">
        <x:v>9</x:v>
      </x:c>
      <x:c r="F675" t="n">
        <x:v>4</x:v>
      </x:c>
      <x:c r="G675" t="n">
        <x:v>4</x:v>
      </x:c>
      <x:c r="H675" t="n">
        <x:v>150</x:v>
      </x:c>
      <x:c r="I675" t="n">
        <x:v>1.5</x:v>
      </x:c>
      <x:c r="J675" t="str"/>
      <x:c r="K675" t="str"/>
      <x:c r="L675" t="str">
        <x:v>OPEN</x:v>
      </x:c>
    </x:row>
    <x:row r="676">
      <x:c r="B676" t="str">
        <x:v>RFP-C1-TC-070</x:v>
      </x:c>
      <x:c r="C676" t="str">
        <x:v>RFP-C1</x:v>
      </x:c>
      <x:c r="D676" t="n">
        <x:v>7</x:v>
      </x:c>
      <x:c r="E676" t="n">
        <x:v>10</x:v>
      </x:c>
      <x:c r="F676" t="n">
        <x:v>4</x:v>
      </x:c>
      <x:c r="G676" t="n">
        <x:v>4</x:v>
      </x:c>
      <x:c r="H676" t="n">
        <x:v>150</x:v>
      </x:c>
      <x:c r="I676" t="n">
        <x:v>1.5</x:v>
      </x:c>
      <x:c r="J676" t="str"/>
      <x:c r="K676" t="str"/>
      <x:c r="L676" t="str">
        <x:v>OPEN</x:v>
      </x:c>
    </x:row>
    <x:row r="677">
      <x:c r="B677" t="str">
        <x:v>RFP-C1-TC-071</x:v>
      </x:c>
      <x:c r="C677" t="str">
        <x:v>RFP-C1</x:v>
      </x:c>
      <x:c r="D677" t="n">
        <x:v>8</x:v>
      </x:c>
      <x:c r="E677" t="n">
        <x:v>1</x:v>
      </x:c>
      <x:c r="F677" t="n">
        <x:v>4</x:v>
      </x:c>
      <x:c r="G677" t="n">
        <x:v>4</x:v>
      </x:c>
      <x:c r="H677" t="n">
        <x:v>150</x:v>
      </x:c>
      <x:c r="I677" t="n">
        <x:v>1.5</x:v>
      </x:c>
      <x:c r="J677" t="str"/>
      <x:c r="K677" t="str"/>
      <x:c r="L677" t="str">
        <x:v>OPEN</x:v>
      </x:c>
    </x:row>
    <x:row r="678">
      <x:c r="B678" t="str">
        <x:v>RFP-C1-TC-072</x:v>
      </x:c>
      <x:c r="C678" t="str">
        <x:v>RFP-C1</x:v>
      </x:c>
      <x:c r="D678" t="n">
        <x:v>8</x:v>
      </x:c>
      <x:c r="E678" t="n">
        <x:v>2</x:v>
      </x:c>
      <x:c r="F678" t="n">
        <x:v>4</x:v>
      </x:c>
      <x:c r="G678" t="n">
        <x:v>4</x:v>
      </x:c>
      <x:c r="H678" t="n">
        <x:v>150</x:v>
      </x:c>
      <x:c r="I678" t="n">
        <x:v>1.5</x:v>
      </x:c>
      <x:c r="J678" t="str"/>
      <x:c r="K678" t="str"/>
      <x:c r="L678" t="str">
        <x:v>OPEN</x:v>
      </x:c>
    </x:row>
    <x:row r="679">
      <x:c r="B679" t="str">
        <x:v>RFP-C1-TC-073</x:v>
      </x:c>
      <x:c r="C679" t="str">
        <x:v>RFP-C1</x:v>
      </x:c>
      <x:c r="D679" t="n">
        <x:v>8</x:v>
      </x:c>
      <x:c r="E679" t="n">
        <x:v>3</x:v>
      </x:c>
      <x:c r="F679" t="n">
        <x:v>4</x:v>
      </x:c>
      <x:c r="G679" t="n">
        <x:v>4</x:v>
      </x:c>
      <x:c r="H679" t="n">
        <x:v>150</x:v>
      </x:c>
      <x:c r="I679" t="n">
        <x:v>1.5</x:v>
      </x:c>
      <x:c r="J679" t="str"/>
      <x:c r="K679" t="str"/>
      <x:c r="L679" t="str">
        <x:v>OPEN</x:v>
      </x:c>
    </x:row>
    <x:row r="680">
      <x:c r="B680" t="str">
        <x:v>RFP-C1-TC-074</x:v>
      </x:c>
      <x:c r="C680" t="str">
        <x:v>RFP-C1</x:v>
      </x:c>
      <x:c r="D680" t="n">
        <x:v>8</x:v>
      </x:c>
      <x:c r="E680" t="n">
        <x:v>4</x:v>
      </x:c>
      <x:c r="F680" t="n">
        <x:v>4</x:v>
      </x:c>
      <x:c r="G680" t="n">
        <x:v>4</x:v>
      </x:c>
      <x:c r="H680" t="n">
        <x:v>150</x:v>
      </x:c>
      <x:c r="I680" t="n">
        <x:v>1.5</x:v>
      </x:c>
      <x:c r="J680" t="str"/>
      <x:c r="K680" t="str"/>
      <x:c r="L680" t="str">
        <x:v>OPEN</x:v>
      </x:c>
    </x:row>
    <x:row r="681">
      <x:c r="B681" t="str">
        <x:v>RFP-C1-TC-075</x:v>
      </x:c>
      <x:c r="C681" t="str">
        <x:v>RFP-C1</x:v>
      </x:c>
      <x:c r="D681" t="n">
        <x:v>8</x:v>
      </x:c>
      <x:c r="E681" t="n">
        <x:v>5</x:v>
      </x:c>
      <x:c r="F681" t="n">
        <x:v>4</x:v>
      </x:c>
      <x:c r="G681" t="n">
        <x:v>4</x:v>
      </x:c>
      <x:c r="H681" t="n">
        <x:v>150</x:v>
      </x:c>
      <x:c r="I681" t="n">
        <x:v>1.5</x:v>
      </x:c>
      <x:c r="J681" t="str"/>
      <x:c r="K681" t="str"/>
      <x:c r="L681" t="str">
        <x:v>OPEN</x:v>
      </x:c>
    </x:row>
    <x:row r="682">
      <x:c r="B682" t="str">
        <x:v>RFP-C1-TC-076</x:v>
      </x:c>
      <x:c r="C682" t="str">
        <x:v>RFP-C1</x:v>
      </x:c>
      <x:c r="D682" t="n">
        <x:v>8</x:v>
      </x:c>
      <x:c r="E682" t="n">
        <x:v>6</x:v>
      </x:c>
      <x:c r="F682" t="n">
        <x:v>4</x:v>
      </x:c>
      <x:c r="G682" t="n">
        <x:v>4</x:v>
      </x:c>
      <x:c r="H682" t="n">
        <x:v>150</x:v>
      </x:c>
      <x:c r="I682" t="n">
        <x:v>1.5</x:v>
      </x:c>
      <x:c r="J682" t="str"/>
      <x:c r="K682" t="str"/>
      <x:c r="L682" t="str">
        <x:v>OPEN</x:v>
      </x:c>
    </x:row>
    <x:row r="683">
      <x:c r="B683" t="str">
        <x:v>RFP-C1-TC-077</x:v>
      </x:c>
      <x:c r="C683" t="str">
        <x:v>RFP-C1</x:v>
      </x:c>
      <x:c r="D683" t="n">
        <x:v>8</x:v>
      </x:c>
      <x:c r="E683" t="n">
        <x:v>7</x:v>
      </x:c>
      <x:c r="F683" t="n">
        <x:v>4</x:v>
      </x:c>
      <x:c r="G683" t="n">
        <x:v>4</x:v>
      </x:c>
      <x:c r="H683" t="n">
        <x:v>150</x:v>
      </x:c>
      <x:c r="I683" t="n">
        <x:v>1.5</x:v>
      </x:c>
      <x:c r="J683" t="str"/>
      <x:c r="K683" t="str"/>
      <x:c r="L683" t="str">
        <x:v>OPEN</x:v>
      </x:c>
    </x:row>
    <x:row r="684">
      <x:c r="B684" t="str">
        <x:v>RFP-C1-TC-078</x:v>
      </x:c>
      <x:c r="C684" t="str">
        <x:v>RFP-C1</x:v>
      </x:c>
      <x:c r="D684" t="n">
        <x:v>8</x:v>
      </x:c>
      <x:c r="E684" t="n">
        <x:v>8</x:v>
      </x:c>
      <x:c r="F684" t="n">
        <x:v>4</x:v>
      </x:c>
      <x:c r="G684" t="n">
        <x:v>4</x:v>
      </x:c>
      <x:c r="H684" t="n">
        <x:v>150</x:v>
      </x:c>
      <x:c r="I684" t="n">
        <x:v>1.5</x:v>
      </x:c>
      <x:c r="J684" t="str"/>
      <x:c r="K684" t="str"/>
      <x:c r="L684" t="str">
        <x:v>OPEN</x:v>
      </x:c>
    </x:row>
    <x:row r="685">
      <x:c r="B685" t="str">
        <x:v>RFP-C1-TC-079</x:v>
      </x:c>
      <x:c r="C685" t="str">
        <x:v>RFP-C1</x:v>
      </x:c>
      <x:c r="D685" t="n">
        <x:v>8</x:v>
      </x:c>
      <x:c r="E685" t="n">
        <x:v>9</x:v>
      </x:c>
      <x:c r="F685" t="n">
        <x:v>4</x:v>
      </x:c>
      <x:c r="G685" t="n">
        <x:v>4</x:v>
      </x:c>
      <x:c r="H685" t="n">
        <x:v>150</x:v>
      </x:c>
      <x:c r="I685" t="n">
        <x:v>1.5</x:v>
      </x:c>
      <x:c r="J685" t="str"/>
      <x:c r="K685" t="str"/>
      <x:c r="L685" t="str">
        <x:v>OPEN</x:v>
      </x:c>
    </x:row>
    <x:row r="686">
      <x:c r="B686" t="str">
        <x:v>RFP-C1-TC-080</x:v>
      </x:c>
      <x:c r="C686" t="str">
        <x:v>RFP-C1</x:v>
      </x:c>
      <x:c r="D686" t="n">
        <x:v>8</x:v>
      </x:c>
      <x:c r="E686" t="n">
        <x:v>10</x:v>
      </x:c>
      <x:c r="F686" t="n">
        <x:v>4</x:v>
      </x:c>
      <x:c r="G686" t="n">
        <x:v>4</x:v>
      </x:c>
      <x:c r="H686" t="n">
        <x:v>150</x:v>
      </x:c>
      <x:c r="I686" t="n">
        <x:v>1.5</x:v>
      </x:c>
      <x:c r="J686" t="str"/>
      <x:c r="K686" t="str"/>
      <x:c r="L686" t="str">
        <x:v>OPEN</x:v>
      </x:c>
    </x:row>
    <x:row r="687">
      <x:c r="B687" t="str">
        <x:v>RFP-C1-TC-081</x:v>
      </x:c>
      <x:c r="C687" t="str">
        <x:v>RFP-C1</x:v>
      </x:c>
      <x:c r="D687" t="n">
        <x:v>9</x:v>
      </x:c>
      <x:c r="E687" t="n">
        <x:v>1</x:v>
      </x:c>
      <x:c r="F687" t="n">
        <x:v>4</x:v>
      </x:c>
      <x:c r="G687" t="n">
        <x:v>4</x:v>
      </x:c>
      <x:c r="H687" t="n">
        <x:v>150</x:v>
      </x:c>
      <x:c r="I687" t="n">
        <x:v>1.5</x:v>
      </x:c>
      <x:c r="J687" t="str"/>
      <x:c r="K687" t="str"/>
      <x:c r="L687" t="str">
        <x:v>OPEN</x:v>
      </x:c>
    </x:row>
    <x:row r="688">
      <x:c r="B688" t="str">
        <x:v>RFP-C1-TC-082</x:v>
      </x:c>
      <x:c r="C688" t="str">
        <x:v>RFP-C1</x:v>
      </x:c>
      <x:c r="D688" t="n">
        <x:v>9</x:v>
      </x:c>
      <x:c r="E688" t="n">
        <x:v>2</x:v>
      </x:c>
      <x:c r="F688" t="n">
        <x:v>4</x:v>
      </x:c>
      <x:c r="G688" t="n">
        <x:v>4</x:v>
      </x:c>
      <x:c r="H688" t="n">
        <x:v>150</x:v>
      </x:c>
      <x:c r="I688" t="n">
        <x:v>1.5</x:v>
      </x:c>
      <x:c r="J688" t="str"/>
      <x:c r="K688" t="str"/>
      <x:c r="L688" t="str">
        <x:v>OPEN</x:v>
      </x:c>
    </x:row>
    <x:row r="689">
      <x:c r="B689" t="str">
        <x:v>RFP-C1-TC-083</x:v>
      </x:c>
      <x:c r="C689" t="str">
        <x:v>RFP-C1</x:v>
      </x:c>
      <x:c r="D689" t="n">
        <x:v>9</x:v>
      </x:c>
      <x:c r="E689" t="n">
        <x:v>3</x:v>
      </x:c>
      <x:c r="F689" t="n">
        <x:v>4</x:v>
      </x:c>
      <x:c r="G689" t="n">
        <x:v>4</x:v>
      </x:c>
      <x:c r="H689" t="n">
        <x:v>150</x:v>
      </x:c>
      <x:c r="I689" t="n">
        <x:v>1.5</x:v>
      </x:c>
      <x:c r="J689" t="str"/>
      <x:c r="K689" t="str"/>
      <x:c r="L689" t="str">
        <x:v>OPEN</x:v>
      </x:c>
    </x:row>
    <x:row r="690">
      <x:c r="B690" t="str">
        <x:v>RFP-C1-TC-084</x:v>
      </x:c>
      <x:c r="C690" t="str">
        <x:v>RFP-C1</x:v>
      </x:c>
      <x:c r="D690" t="n">
        <x:v>9</x:v>
      </x:c>
      <x:c r="E690" t="n">
        <x:v>4</x:v>
      </x:c>
      <x:c r="F690" t="n">
        <x:v>4</x:v>
      </x:c>
      <x:c r="G690" t="n">
        <x:v>4</x:v>
      </x:c>
      <x:c r="H690" t="n">
        <x:v>150</x:v>
      </x:c>
      <x:c r="I690" t="n">
        <x:v>1.5</x:v>
      </x:c>
      <x:c r="J690" t="str"/>
      <x:c r="K690" t="str"/>
      <x:c r="L690" t="str">
        <x:v>OPEN</x:v>
      </x:c>
    </x:row>
    <x:row r="691">
      <x:c r="B691" t="str">
        <x:v>RFP-C1-TC-085</x:v>
      </x:c>
      <x:c r="C691" t="str">
        <x:v>RFP-C1</x:v>
      </x:c>
      <x:c r="D691" t="n">
        <x:v>9</x:v>
      </x:c>
      <x:c r="E691" t="n">
        <x:v>5</x:v>
      </x:c>
      <x:c r="F691" t="n">
        <x:v>4</x:v>
      </x:c>
      <x:c r="G691" t="n">
        <x:v>4</x:v>
      </x:c>
      <x:c r="H691" t="n">
        <x:v>150</x:v>
      </x:c>
      <x:c r="I691" t="n">
        <x:v>1.5</x:v>
      </x:c>
      <x:c r="J691" t="str"/>
      <x:c r="K691" t="str"/>
      <x:c r="L691" t="str">
        <x:v>OPEN</x:v>
      </x:c>
    </x:row>
    <x:row r="692">
      <x:c r="B692" t="str">
        <x:v>RFP-C1-TC-086</x:v>
      </x:c>
      <x:c r="C692" t="str">
        <x:v>RFP-C1</x:v>
      </x:c>
      <x:c r="D692" t="n">
        <x:v>9</x:v>
      </x:c>
      <x:c r="E692" t="n">
        <x:v>6</x:v>
      </x:c>
      <x:c r="F692" t="n">
        <x:v>4</x:v>
      </x:c>
      <x:c r="G692" t="n">
        <x:v>4</x:v>
      </x:c>
      <x:c r="H692" t="n">
        <x:v>150</x:v>
      </x:c>
      <x:c r="I692" t="n">
        <x:v>1.5</x:v>
      </x:c>
      <x:c r="J692" t="str"/>
      <x:c r="K692" t="str"/>
      <x:c r="L692" t="str">
        <x:v>OPEN</x:v>
      </x:c>
    </x:row>
    <x:row r="693">
      <x:c r="B693" t="str">
        <x:v>RFP-C1-TC-087</x:v>
      </x:c>
      <x:c r="C693" t="str">
        <x:v>RFP-C1</x:v>
      </x:c>
      <x:c r="D693" t="n">
        <x:v>9</x:v>
      </x:c>
      <x:c r="E693" t="n">
        <x:v>7</x:v>
      </x:c>
      <x:c r="F693" t="n">
        <x:v>4</x:v>
      </x:c>
      <x:c r="G693" t="n">
        <x:v>4</x:v>
      </x:c>
      <x:c r="H693" t="n">
        <x:v>150</x:v>
      </x:c>
      <x:c r="I693" t="n">
        <x:v>1.5</x:v>
      </x:c>
      <x:c r="J693" t="str"/>
      <x:c r="K693" t="str"/>
      <x:c r="L693" t="str">
        <x:v>OPEN</x:v>
      </x:c>
    </x:row>
    <x:row r="694">
      <x:c r="B694" t="str">
        <x:v>RFP-C1-TC-088</x:v>
      </x:c>
      <x:c r="C694" t="str">
        <x:v>RFP-C1</x:v>
      </x:c>
      <x:c r="D694" t="n">
        <x:v>9</x:v>
      </x:c>
      <x:c r="E694" t="n">
        <x:v>8</x:v>
      </x:c>
      <x:c r="F694" t="n">
        <x:v>4</x:v>
      </x:c>
      <x:c r="G694" t="n">
        <x:v>4</x:v>
      </x:c>
      <x:c r="H694" t="n">
        <x:v>150</x:v>
      </x:c>
      <x:c r="I694" t="n">
        <x:v>1.5</x:v>
      </x:c>
      <x:c r="J694" t="str"/>
      <x:c r="K694" t="str"/>
      <x:c r="L694" t="str">
        <x:v>OPEN</x:v>
      </x:c>
    </x:row>
    <x:row r="695">
      <x:c r="B695" t="str">
        <x:v>RFP-C1-TC-089</x:v>
      </x:c>
      <x:c r="C695" t="str">
        <x:v>RFP-C1</x:v>
      </x:c>
      <x:c r="D695" t="n">
        <x:v>9</x:v>
      </x:c>
      <x:c r="E695" t="n">
        <x:v>9</x:v>
      </x:c>
      <x:c r="F695" t="n">
        <x:v>4</x:v>
      </x:c>
      <x:c r="G695" t="n">
        <x:v>4</x:v>
      </x:c>
      <x:c r="H695" t="n">
        <x:v>150</x:v>
      </x:c>
      <x:c r="I695" t="n">
        <x:v>1.5</x:v>
      </x:c>
      <x:c r="J695" t="str"/>
      <x:c r="K695" t="str"/>
      <x:c r="L695" t="str">
        <x:v>OPEN</x:v>
      </x:c>
    </x:row>
    <x:row r="696">
      <x:c r="B696" t="str">
        <x:v>RFP-C1-TC-090</x:v>
      </x:c>
      <x:c r="C696" t="str">
        <x:v>RFP-C1</x:v>
      </x:c>
      <x:c r="D696" t="n">
        <x:v>9</x:v>
      </x:c>
      <x:c r="E696" t="n">
        <x:v>10</x:v>
      </x:c>
      <x:c r="F696" t="n">
        <x:v>4</x:v>
      </x:c>
      <x:c r="G696" t="n">
        <x:v>4</x:v>
      </x:c>
      <x:c r="H696" t="n">
        <x:v>150</x:v>
      </x:c>
      <x:c r="I696" t="n">
        <x:v>1.5</x:v>
      </x:c>
      <x:c r="J696" t="str"/>
      <x:c r="K696" t="str"/>
      <x:c r="L696" t="str">
        <x:v>OPEN</x:v>
      </x:c>
    </x:row>
    <x:row r="697">
      <x:c r="B697" t="str">
        <x:v>RFP-C1-TC-091</x:v>
      </x:c>
      <x:c r="C697" t="str">
        <x:v>RFP-C1</x:v>
      </x:c>
      <x:c r="D697" t="n">
        <x:v>10</x:v>
      </x:c>
      <x:c r="E697" t="n">
        <x:v>1</x:v>
      </x:c>
      <x:c r="F697" t="n">
        <x:v>4</x:v>
      </x:c>
      <x:c r="G697" t="n">
        <x:v>4</x:v>
      </x:c>
      <x:c r="H697" t="n">
        <x:v>150</x:v>
      </x:c>
      <x:c r="I697" t="n">
        <x:v>1.5</x:v>
      </x:c>
      <x:c r="J697" t="str"/>
      <x:c r="K697" t="str"/>
      <x:c r="L697" t="str">
        <x:v>OPEN</x:v>
      </x:c>
    </x:row>
    <x:row r="698">
      <x:c r="B698" t="str">
        <x:v>RFP-C1-TC-092</x:v>
      </x:c>
      <x:c r="C698" t="str">
        <x:v>RFP-C1</x:v>
      </x:c>
      <x:c r="D698" t="n">
        <x:v>10</x:v>
      </x:c>
      <x:c r="E698" t="n">
        <x:v>2</x:v>
      </x:c>
      <x:c r="F698" t="n">
        <x:v>4</x:v>
      </x:c>
      <x:c r="G698" t="n">
        <x:v>4</x:v>
      </x:c>
      <x:c r="H698" t="n">
        <x:v>150</x:v>
      </x:c>
      <x:c r="I698" t="n">
        <x:v>1.5</x:v>
      </x:c>
      <x:c r="J698" t="str"/>
      <x:c r="K698" t="str"/>
      <x:c r="L698" t="str">
        <x:v>OPEN</x:v>
      </x:c>
    </x:row>
    <x:row r="699">
      <x:c r="B699" t="str">
        <x:v>RFP-C1-TC-093</x:v>
      </x:c>
      <x:c r="C699" t="str">
        <x:v>RFP-C1</x:v>
      </x:c>
      <x:c r="D699" t="n">
        <x:v>10</x:v>
      </x:c>
      <x:c r="E699" t="n">
        <x:v>3</x:v>
      </x:c>
      <x:c r="F699" t="n">
        <x:v>4</x:v>
      </x:c>
      <x:c r="G699" t="n">
        <x:v>4</x:v>
      </x:c>
      <x:c r="H699" t="n">
        <x:v>150</x:v>
      </x:c>
      <x:c r="I699" t="n">
        <x:v>1.5</x:v>
      </x:c>
      <x:c r="J699" t="str"/>
      <x:c r="K699" t="str"/>
      <x:c r="L699" t="str">
        <x:v>OPEN</x:v>
      </x:c>
    </x:row>
    <x:row r="700">
      <x:c r="B700" t="str">
        <x:v>RFP-C1-TC-094</x:v>
      </x:c>
      <x:c r="C700" t="str">
        <x:v>RFP-C1</x:v>
      </x:c>
      <x:c r="D700" t="n">
        <x:v>10</x:v>
      </x:c>
      <x:c r="E700" t="n">
        <x:v>4</x:v>
      </x:c>
      <x:c r="F700" t="n">
        <x:v>4</x:v>
      </x:c>
      <x:c r="G700" t="n">
        <x:v>4</x:v>
      </x:c>
      <x:c r="H700" t="n">
        <x:v>150</x:v>
      </x:c>
      <x:c r="I700" t="n">
        <x:v>1.5</x:v>
      </x:c>
      <x:c r="J700" t="str"/>
      <x:c r="K700" t="str"/>
      <x:c r="L700" t="str">
        <x:v>OPEN</x:v>
      </x:c>
    </x:row>
    <x:row r="701">
      <x:c r="B701" t="str">
        <x:v>RFP-C1-TC-095</x:v>
      </x:c>
      <x:c r="C701" t="str">
        <x:v>RFP-C1</x:v>
      </x:c>
      <x:c r="D701" t="n">
        <x:v>10</x:v>
      </x:c>
      <x:c r="E701" t="n">
        <x:v>5</x:v>
      </x:c>
      <x:c r="F701" t="n">
        <x:v>4</x:v>
      </x:c>
      <x:c r="G701" t="n">
        <x:v>4</x:v>
      </x:c>
      <x:c r="H701" t="n">
        <x:v>150</x:v>
      </x:c>
      <x:c r="I701" t="n">
        <x:v>1.5</x:v>
      </x:c>
      <x:c r="J701" t="str"/>
      <x:c r="K701" t="str"/>
      <x:c r="L701" t="str">
        <x:v>OPEN</x:v>
      </x:c>
    </x:row>
    <x:row r="702">
      <x:c r="B702" t="str">
        <x:v>RFP-C1-TC-096</x:v>
      </x:c>
      <x:c r="C702" t="str">
        <x:v>RFP-C1</x:v>
      </x:c>
      <x:c r="D702" t="n">
        <x:v>10</x:v>
      </x:c>
      <x:c r="E702" t="n">
        <x:v>6</x:v>
      </x:c>
      <x:c r="F702" t="n">
        <x:v>4</x:v>
      </x:c>
      <x:c r="G702" t="n">
        <x:v>4</x:v>
      </x:c>
      <x:c r="H702" t="n">
        <x:v>150</x:v>
      </x:c>
      <x:c r="I702" t="n">
        <x:v>1.5</x:v>
      </x:c>
      <x:c r="J702" t="str"/>
      <x:c r="K702" t="str"/>
      <x:c r="L702" t="str">
        <x:v>OPEN</x:v>
      </x:c>
    </x:row>
    <x:row r="703">
      <x:c r="B703" t="str">
        <x:v>RFP-C1-TC-097</x:v>
      </x:c>
      <x:c r="C703" t="str">
        <x:v>RFP-C1</x:v>
      </x:c>
      <x:c r="D703" t="n">
        <x:v>10</x:v>
      </x:c>
      <x:c r="E703" t="n">
        <x:v>7</x:v>
      </x:c>
      <x:c r="F703" t="n">
        <x:v>4</x:v>
      </x:c>
      <x:c r="G703" t="n">
        <x:v>4</x:v>
      </x:c>
      <x:c r="H703" t="n">
        <x:v>150</x:v>
      </x:c>
      <x:c r="I703" t="n">
        <x:v>1.5</x:v>
      </x:c>
      <x:c r="J703" t="str"/>
      <x:c r="K703" t="str"/>
      <x:c r="L703" t="str">
        <x:v>OPEN</x:v>
      </x:c>
    </x:row>
    <x:row r="704">
      <x:c r="B704" t="str">
        <x:v>RFP-C1-TC-098</x:v>
      </x:c>
      <x:c r="C704" t="str">
        <x:v>RFP-C1</x:v>
      </x:c>
      <x:c r="D704" t="n">
        <x:v>10</x:v>
      </x:c>
      <x:c r="E704" t="n">
        <x:v>8</x:v>
      </x:c>
      <x:c r="F704" t="n">
        <x:v>4</x:v>
      </x:c>
      <x:c r="G704" t="n">
        <x:v>4</x:v>
      </x:c>
      <x:c r="H704" t="n">
        <x:v>150</x:v>
      </x:c>
      <x:c r="I704" t="n">
        <x:v>1.5</x:v>
      </x:c>
      <x:c r="J704" t="str"/>
      <x:c r="K704" t="str"/>
      <x:c r="L704" t="str">
        <x:v>OPEN</x:v>
      </x:c>
    </x:row>
    <x:row r="705">
      <x:c r="B705" t="str">
        <x:v>RFP-C1-TC-099</x:v>
      </x:c>
      <x:c r="C705" t="str">
        <x:v>RFP-C1</x:v>
      </x:c>
      <x:c r="D705" t="n">
        <x:v>10</x:v>
      </x:c>
      <x:c r="E705" t="n">
        <x:v>9</x:v>
      </x:c>
      <x:c r="F705" t="n">
        <x:v>4</x:v>
      </x:c>
      <x:c r="G705" t="n">
        <x:v>4</x:v>
      </x:c>
      <x:c r="H705" t="n">
        <x:v>150</x:v>
      </x:c>
      <x:c r="I705" t="n">
        <x:v>1.5</x:v>
      </x:c>
      <x:c r="J705" t="str"/>
      <x:c r="K705" t="str"/>
      <x:c r="L705" t="str">
        <x:v>OPEN</x:v>
      </x:c>
    </x:row>
    <x:row r="706">
      <x:c r="B706" t="str">
        <x:v>RFP-C1-TC-100</x:v>
      </x:c>
      <x:c r="C706" t="str">
        <x:v>RFP-C1</x:v>
      </x:c>
      <x:c r="D706" t="n">
        <x:v>10</x:v>
      </x:c>
      <x:c r="E706" t="n">
        <x:v>10</x:v>
      </x:c>
      <x:c r="F706" t="n">
        <x:v>4</x:v>
      </x:c>
      <x:c r="G706" t="n">
        <x:v>4</x:v>
      </x:c>
      <x:c r="H706" t="n">
        <x:v>150</x:v>
      </x:c>
      <x:c r="I706" t="n">
        <x:v>1.5</x:v>
      </x:c>
      <x:c r="J706" t="str"/>
      <x:c r="K706" t="str"/>
      <x:c r="L706" t="str">
        <x:v>OPEN</x:v>
      </x:c>
    </x:row>
    <x:row r="707">
      <x:c r="B707" t="str">
        <x:v>RFP-C1-TC-101</x:v>
      </x:c>
      <x:c r="C707" t="str">
        <x:v>RFP-C1</x:v>
      </x:c>
      <x:c r="D707" t="n">
        <x:v>11</x:v>
      </x:c>
      <x:c r="E707" t="n">
        <x:v>1</x:v>
      </x:c>
      <x:c r="F707" t="n">
        <x:v>4</x:v>
      </x:c>
      <x:c r="G707" t="n">
        <x:v>4</x:v>
      </x:c>
      <x:c r="H707" t="n">
        <x:v>150</x:v>
      </x:c>
      <x:c r="I707" t="n">
        <x:v>1.5</x:v>
      </x:c>
      <x:c r="J707" t="str"/>
      <x:c r="K707" t="str"/>
      <x:c r="L707" t="str">
        <x:v>OPEN</x:v>
      </x:c>
    </x:row>
    <x:row r="708">
      <x:c r="B708" t="str">
        <x:v>RFP-C1-TC-102</x:v>
      </x:c>
      <x:c r="C708" t="str">
        <x:v>RFP-C1</x:v>
      </x:c>
      <x:c r="D708" t="n">
        <x:v>11</x:v>
      </x:c>
      <x:c r="E708" t="n">
        <x:v>2</x:v>
      </x:c>
      <x:c r="F708" t="n">
        <x:v>4</x:v>
      </x:c>
      <x:c r="G708" t="n">
        <x:v>4</x:v>
      </x:c>
      <x:c r="H708" t="n">
        <x:v>150</x:v>
      </x:c>
      <x:c r="I708" t="n">
        <x:v>1.5</x:v>
      </x:c>
      <x:c r="J708" t="str"/>
      <x:c r="K708" t="str"/>
      <x:c r="L708" t="str">
        <x:v>OPEN</x:v>
      </x:c>
    </x:row>
    <x:row r="709">
      <x:c r="B709" t="str">
        <x:v>RFP-C1-TC-103</x:v>
      </x:c>
      <x:c r="C709" t="str">
        <x:v>RFP-C1</x:v>
      </x:c>
      <x:c r="D709" t="n">
        <x:v>11</x:v>
      </x:c>
      <x:c r="E709" t="n">
        <x:v>3</x:v>
      </x:c>
      <x:c r="F709" t="n">
        <x:v>4</x:v>
      </x:c>
      <x:c r="G709" t="n">
        <x:v>4</x:v>
      </x:c>
      <x:c r="H709" t="n">
        <x:v>150</x:v>
      </x:c>
      <x:c r="I709" t="n">
        <x:v>1.5</x:v>
      </x:c>
      <x:c r="J709" t="str"/>
      <x:c r="K709" t="str"/>
      <x:c r="L709" t="str">
        <x:v>OPEN</x:v>
      </x:c>
    </x:row>
    <x:row r="710">
      <x:c r="B710" t="str">
        <x:v>RFP-C1-TC-104</x:v>
      </x:c>
      <x:c r="C710" t="str">
        <x:v>RFP-C1</x:v>
      </x:c>
      <x:c r="D710" t="n">
        <x:v>11</x:v>
      </x:c>
      <x:c r="E710" t="n">
        <x:v>4</x:v>
      </x:c>
      <x:c r="F710" t="n">
        <x:v>4</x:v>
      </x:c>
      <x:c r="G710" t="n">
        <x:v>4</x:v>
      </x:c>
      <x:c r="H710" t="n">
        <x:v>150</x:v>
      </x:c>
      <x:c r="I710" t="n">
        <x:v>1.5</x:v>
      </x:c>
      <x:c r="J710" t="str"/>
      <x:c r="K710" t="str"/>
      <x:c r="L710" t="str">
        <x:v>OPEN</x:v>
      </x:c>
    </x:row>
    <x:row r="711">
      <x:c r="B711" t="str">
        <x:v>RFP-C1-TC-105</x:v>
      </x:c>
      <x:c r="C711" t="str">
        <x:v>RFP-C1</x:v>
      </x:c>
      <x:c r="D711" t="n">
        <x:v>11</x:v>
      </x:c>
      <x:c r="E711" t="n">
        <x:v>5</x:v>
      </x:c>
      <x:c r="F711" t="n">
        <x:v>4</x:v>
      </x:c>
      <x:c r="G711" t="n">
        <x:v>4</x:v>
      </x:c>
      <x:c r="H711" t="n">
        <x:v>150</x:v>
      </x:c>
      <x:c r="I711" t="n">
        <x:v>1.5</x:v>
      </x:c>
      <x:c r="J711" t="str"/>
      <x:c r="K711" t="str"/>
      <x:c r="L711" t="str">
        <x:v>OPEN</x:v>
      </x:c>
    </x:row>
    <x:row r="712">
      <x:c r="B712" t="str">
        <x:v>RFP-C1-TC-106</x:v>
      </x:c>
      <x:c r="C712" t="str">
        <x:v>RFP-C1</x:v>
      </x:c>
      <x:c r="D712" t="n">
        <x:v>11</x:v>
      </x:c>
      <x:c r="E712" t="n">
        <x:v>6</x:v>
      </x:c>
      <x:c r="F712" t="n">
        <x:v>4</x:v>
      </x:c>
      <x:c r="G712" t="n">
        <x:v>4</x:v>
      </x:c>
      <x:c r="H712" t="n">
        <x:v>150</x:v>
      </x:c>
      <x:c r="I712" t="n">
        <x:v>1.5</x:v>
      </x:c>
      <x:c r="J712" t="str"/>
      <x:c r="K712" t="str"/>
      <x:c r="L712" t="str">
        <x:v>OPEN</x:v>
      </x:c>
    </x:row>
    <x:row r="713">
      <x:c r="B713" t="str">
        <x:v>RFP-C1-TC-107</x:v>
      </x:c>
      <x:c r="C713" t="str">
        <x:v>RFP-C1</x:v>
      </x:c>
      <x:c r="D713" t="n">
        <x:v>11</x:v>
      </x:c>
      <x:c r="E713" t="n">
        <x:v>7</x:v>
      </x:c>
      <x:c r="F713" t="n">
        <x:v>4</x:v>
      </x:c>
      <x:c r="G713" t="n">
        <x:v>4</x:v>
      </x:c>
      <x:c r="H713" t="n">
        <x:v>150</x:v>
      </x:c>
      <x:c r="I713" t="n">
        <x:v>1.5</x:v>
      </x:c>
      <x:c r="J713" t="str"/>
      <x:c r="K713" t="str"/>
      <x:c r="L713" t="str">
        <x:v>OPEN</x:v>
      </x:c>
    </x:row>
    <x:row r="714">
      <x:c r="B714" t="str">
        <x:v>RFP-C1-TC-108</x:v>
      </x:c>
      <x:c r="C714" t="str">
        <x:v>RFP-C1</x:v>
      </x:c>
      <x:c r="D714" t="n">
        <x:v>11</x:v>
      </x:c>
      <x:c r="E714" t="n">
        <x:v>8</x:v>
      </x:c>
      <x:c r="F714" t="n">
        <x:v>4</x:v>
      </x:c>
      <x:c r="G714" t="n">
        <x:v>4</x:v>
      </x:c>
      <x:c r="H714" t="n">
        <x:v>150</x:v>
      </x:c>
      <x:c r="I714" t="n">
        <x:v>1.5</x:v>
      </x:c>
      <x:c r="J714" t="str"/>
      <x:c r="K714" t="str"/>
      <x:c r="L714" t="str">
        <x:v>OPEN</x:v>
      </x:c>
    </x:row>
    <x:row r="715">
      <x:c r="B715" t="str">
        <x:v>RFP-C1-TC-109</x:v>
      </x:c>
      <x:c r="C715" t="str">
        <x:v>RFP-C1</x:v>
      </x:c>
      <x:c r="D715" t="n">
        <x:v>11</x:v>
      </x:c>
      <x:c r="E715" t="n">
        <x:v>9</x:v>
      </x:c>
      <x:c r="F715" t="n">
        <x:v>4</x:v>
      </x:c>
      <x:c r="G715" t="n">
        <x:v>4</x:v>
      </x:c>
      <x:c r="H715" t="n">
        <x:v>150</x:v>
      </x:c>
      <x:c r="I715" t="n">
        <x:v>1.5</x:v>
      </x:c>
      <x:c r="J715" t="str"/>
      <x:c r="K715" t="str"/>
      <x:c r="L715" t="str">
        <x:v>OPEN</x:v>
      </x:c>
    </x:row>
    <x:row r="716">
      <x:c r="B716" t="str">
        <x:v>RFP-C1-TC-110</x:v>
      </x:c>
      <x:c r="C716" t="str">
        <x:v>RFP-C1</x:v>
      </x:c>
      <x:c r="D716" t="n">
        <x:v>11</x:v>
      </x:c>
      <x:c r="E716" t="n">
        <x:v>10</x:v>
      </x:c>
      <x:c r="F716" t="n">
        <x:v>4</x:v>
      </x:c>
      <x:c r="G716" t="n">
        <x:v>4</x:v>
      </x:c>
      <x:c r="H716" t="n">
        <x:v>150</x:v>
      </x:c>
      <x:c r="I716" t="n">
        <x:v>1.5</x:v>
      </x:c>
      <x:c r="J716" t="str"/>
      <x:c r="K716" t="str"/>
      <x:c r="L716" t="str">
        <x:v>OPEN</x:v>
      </x:c>
    </x:row>
    <x:row r="717">
      <x:c r="B717" t="str">
        <x:v>RFP-C1-TC-111</x:v>
      </x:c>
      <x:c r="C717" t="str">
        <x:v>RFP-C1</x:v>
      </x:c>
      <x:c r="D717" t="n">
        <x:v>12</x:v>
      </x:c>
      <x:c r="E717" t="n">
        <x:v>1</x:v>
      </x:c>
      <x:c r="F717" t="n">
        <x:v>4</x:v>
      </x:c>
      <x:c r="G717" t="n">
        <x:v>4</x:v>
      </x:c>
      <x:c r="H717" t="n">
        <x:v>150</x:v>
      </x:c>
      <x:c r="I717" t="n">
        <x:v>1.5</x:v>
      </x:c>
      <x:c r="J717" t="str"/>
      <x:c r="K717" t="str"/>
      <x:c r="L717" t="str">
        <x:v>OPEN</x:v>
      </x:c>
    </x:row>
    <x:row r="718">
      <x:c r="B718" t="str">
        <x:v>RFP-C1-TC-112</x:v>
      </x:c>
      <x:c r="C718" t="str">
        <x:v>RFP-C1</x:v>
      </x:c>
      <x:c r="D718" t="n">
        <x:v>12</x:v>
      </x:c>
      <x:c r="E718" t="n">
        <x:v>2</x:v>
      </x:c>
      <x:c r="F718" t="n">
        <x:v>4</x:v>
      </x:c>
      <x:c r="G718" t="n">
        <x:v>4</x:v>
      </x:c>
      <x:c r="H718" t="n">
        <x:v>150</x:v>
      </x:c>
      <x:c r="I718" t="n">
        <x:v>1.5</x:v>
      </x:c>
      <x:c r="J718" t="str"/>
      <x:c r="K718" t="str"/>
      <x:c r="L718" t="str">
        <x:v>OPEN</x:v>
      </x:c>
    </x:row>
    <x:row r="719">
      <x:c r="B719" t="str">
        <x:v>RFP-C1-TC-113</x:v>
      </x:c>
      <x:c r="C719" t="str">
        <x:v>RFP-C1</x:v>
      </x:c>
      <x:c r="D719" t="n">
        <x:v>12</x:v>
      </x:c>
      <x:c r="E719" t="n">
        <x:v>3</x:v>
      </x:c>
      <x:c r="F719" t="n">
        <x:v>4</x:v>
      </x:c>
      <x:c r="G719" t="n">
        <x:v>4</x:v>
      </x:c>
      <x:c r="H719" t="n">
        <x:v>150</x:v>
      </x:c>
      <x:c r="I719" t="n">
        <x:v>1.5</x:v>
      </x:c>
      <x:c r="J719" t="str"/>
      <x:c r="K719" t="str"/>
      <x:c r="L719" t="str">
        <x:v>OPEN</x:v>
      </x:c>
    </x:row>
    <x:row r="720">
      <x:c r="B720" t="str">
        <x:v>RFP-C1-TC-114</x:v>
      </x:c>
      <x:c r="C720" t="str">
        <x:v>RFP-C1</x:v>
      </x:c>
      <x:c r="D720" t="n">
        <x:v>12</x:v>
      </x:c>
      <x:c r="E720" t="n">
        <x:v>4</x:v>
      </x:c>
      <x:c r="F720" t="n">
        <x:v>4</x:v>
      </x:c>
      <x:c r="G720" t="n">
        <x:v>4</x:v>
      </x:c>
      <x:c r="H720" t="n">
        <x:v>150</x:v>
      </x:c>
      <x:c r="I720" t="n">
        <x:v>1.5</x:v>
      </x:c>
      <x:c r="J720" t="str"/>
      <x:c r="K720" t="str"/>
      <x:c r="L720" t="str">
        <x:v>OPEN</x:v>
      </x:c>
    </x:row>
    <x:row r="721">
      <x:c r="B721" t="str">
        <x:v>RFP-C1-TC-115</x:v>
      </x:c>
      <x:c r="C721" t="str">
        <x:v>RFP-C1</x:v>
      </x:c>
      <x:c r="D721" t="n">
        <x:v>12</x:v>
      </x:c>
      <x:c r="E721" t="n">
        <x:v>5</x:v>
      </x:c>
      <x:c r="F721" t="n">
        <x:v>4</x:v>
      </x:c>
      <x:c r="G721" t="n">
        <x:v>4</x:v>
      </x:c>
      <x:c r="H721" t="n">
        <x:v>150</x:v>
      </x:c>
      <x:c r="I721" t="n">
        <x:v>1.5</x:v>
      </x:c>
      <x:c r="J721" t="str"/>
      <x:c r="K721" t="str"/>
      <x:c r="L721" t="str">
        <x:v>OPEN</x:v>
      </x:c>
    </x:row>
    <x:row r="722">
      <x:c r="B722" t="str">
        <x:v>RFP-C1-TC-116</x:v>
      </x:c>
      <x:c r="C722" t="str">
        <x:v>RFP-C1</x:v>
      </x:c>
      <x:c r="D722" t="n">
        <x:v>12</x:v>
      </x:c>
      <x:c r="E722" t="n">
        <x:v>6</x:v>
      </x:c>
      <x:c r="F722" t="n">
        <x:v>4</x:v>
      </x:c>
      <x:c r="G722" t="n">
        <x:v>4</x:v>
      </x:c>
      <x:c r="H722" t="n">
        <x:v>150</x:v>
      </x:c>
      <x:c r="I722" t="n">
        <x:v>1.5</x:v>
      </x:c>
      <x:c r="J722" t="str"/>
      <x:c r="K722" t="str"/>
      <x:c r="L722" t="str">
        <x:v>OPEN</x:v>
      </x:c>
    </x:row>
    <x:row r="723">
      <x:c r="B723" t="str">
        <x:v>RFP-C1-TC-117</x:v>
      </x:c>
      <x:c r="C723" t="str">
        <x:v>RFP-C1</x:v>
      </x:c>
      <x:c r="D723" t="n">
        <x:v>12</x:v>
      </x:c>
      <x:c r="E723" t="n">
        <x:v>7</x:v>
      </x:c>
      <x:c r="F723" t="n">
        <x:v>4</x:v>
      </x:c>
      <x:c r="G723" t="n">
        <x:v>4</x:v>
      </x:c>
      <x:c r="H723" t="n">
        <x:v>150</x:v>
      </x:c>
      <x:c r="I723" t="n">
        <x:v>1.5</x:v>
      </x:c>
      <x:c r="J723" t="str"/>
      <x:c r="K723" t="str"/>
      <x:c r="L723" t="str">
        <x:v>OPEN</x:v>
      </x:c>
    </x:row>
    <x:row r="724">
      <x:c r="B724" t="str">
        <x:v>RFP-C1-TC-118</x:v>
      </x:c>
      <x:c r="C724" t="str">
        <x:v>RFP-C1</x:v>
      </x:c>
      <x:c r="D724" t="n">
        <x:v>12</x:v>
      </x:c>
      <x:c r="E724" t="n">
        <x:v>8</x:v>
      </x:c>
      <x:c r="F724" t="n">
        <x:v>4</x:v>
      </x:c>
      <x:c r="G724" t="n">
        <x:v>4</x:v>
      </x:c>
      <x:c r="H724" t="n">
        <x:v>150</x:v>
      </x:c>
      <x:c r="I724" t="n">
        <x:v>1.5</x:v>
      </x:c>
      <x:c r="J724" t="str"/>
      <x:c r="K724" t="str"/>
      <x:c r="L724" t="str">
        <x:v>OPEN</x:v>
      </x:c>
    </x:row>
    <x:row r="725">
      <x:c r="B725" t="str">
        <x:v>RFP-C1-TC-119</x:v>
      </x:c>
      <x:c r="C725" t="str">
        <x:v>RFP-C1</x:v>
      </x:c>
      <x:c r="D725" t="n">
        <x:v>12</x:v>
      </x:c>
      <x:c r="E725" t="n">
        <x:v>9</x:v>
      </x:c>
      <x:c r="F725" t="n">
        <x:v>4</x:v>
      </x:c>
      <x:c r="G725" t="n">
        <x:v>4</x:v>
      </x:c>
      <x:c r="H725" t="n">
        <x:v>150</x:v>
      </x:c>
      <x:c r="I725" t="n">
        <x:v>1.5</x:v>
      </x:c>
      <x:c r="J725" t="str"/>
      <x:c r="K725" t="str"/>
      <x:c r="L725" t="str">
        <x:v>OPEN</x:v>
      </x:c>
    </x:row>
    <x:row r="726">
      <x:c r="B726" t="str">
        <x:v>RFP-C1-TC-120</x:v>
      </x:c>
      <x:c r="C726" t="str">
        <x:v>RFP-C1</x:v>
      </x:c>
      <x:c r="D726" t="n">
        <x:v>12</x:v>
      </x:c>
      <x:c r="E726" t="n">
        <x:v>10</x:v>
      </x:c>
      <x:c r="F726" t="n">
        <x:v>4</x:v>
      </x:c>
      <x:c r="G726" t="n">
        <x:v>4</x:v>
      </x:c>
      <x:c r="H726" t="n">
        <x:v>150</x:v>
      </x:c>
      <x:c r="I726" t="n">
        <x:v>1.5</x:v>
      </x:c>
      <x:c r="J726" t="str"/>
      <x:c r="K726" t="str"/>
      <x:c r="L726" t="str">
        <x:v>OPEN</x:v>
      </x:c>
    </x:row>
    <x:row r="727">
      <x:c r="B727" t="str">
        <x:v>RFP-C1-TC-121</x:v>
      </x:c>
      <x:c r="C727" t="str">
        <x:v>RFP-C1</x:v>
      </x:c>
      <x:c r="D727" t="n">
        <x:v>13</x:v>
      </x:c>
      <x:c r="E727" t="n">
        <x:v>1</x:v>
      </x:c>
      <x:c r="F727" t="n">
        <x:v>4</x:v>
      </x:c>
      <x:c r="G727" t="n">
        <x:v>4</x:v>
      </x:c>
      <x:c r="H727" t="n">
        <x:v>150</x:v>
      </x:c>
      <x:c r="I727" t="n">
        <x:v>1.5</x:v>
      </x:c>
      <x:c r="J727" t="str"/>
      <x:c r="K727" t="str"/>
      <x:c r="L727" t="str">
        <x:v>OPEN</x:v>
      </x:c>
    </x:row>
    <x:row r="728">
      <x:c r="B728" t="str">
        <x:v>RFP-C1-TC-122</x:v>
      </x:c>
      <x:c r="C728" t="str">
        <x:v>RFP-C1</x:v>
      </x:c>
      <x:c r="D728" t="n">
        <x:v>13</x:v>
      </x:c>
      <x:c r="E728" t="n">
        <x:v>2</x:v>
      </x:c>
      <x:c r="F728" t="n">
        <x:v>4</x:v>
      </x:c>
      <x:c r="G728" t="n">
        <x:v>4</x:v>
      </x:c>
      <x:c r="H728" t="n">
        <x:v>150</x:v>
      </x:c>
      <x:c r="I728" t="n">
        <x:v>1.5</x:v>
      </x:c>
      <x:c r="J728" t="str"/>
      <x:c r="K728" t="str"/>
      <x:c r="L728" t="str">
        <x:v>OPEN</x:v>
      </x:c>
    </x:row>
    <x:row r="729">
      <x:c r="B729" t="str">
        <x:v>RFP-C1-TC-123</x:v>
      </x:c>
      <x:c r="C729" t="str">
        <x:v>RFP-C1</x:v>
      </x:c>
      <x:c r="D729" t="n">
        <x:v>13</x:v>
      </x:c>
      <x:c r="E729" t="n">
        <x:v>3</x:v>
      </x:c>
      <x:c r="F729" t="n">
        <x:v>4</x:v>
      </x:c>
      <x:c r="G729" t="n">
        <x:v>4</x:v>
      </x:c>
      <x:c r="H729" t="n">
        <x:v>150</x:v>
      </x:c>
      <x:c r="I729" t="n">
        <x:v>1.5</x:v>
      </x:c>
      <x:c r="J729" t="str"/>
      <x:c r="K729" t="str"/>
      <x:c r="L729" t="str">
        <x:v>OPEN</x:v>
      </x:c>
    </x:row>
    <x:row r="730">
      <x:c r="B730" t="str">
        <x:v>RFP-C1-TC-124</x:v>
      </x:c>
      <x:c r="C730" t="str">
        <x:v>RFP-C1</x:v>
      </x:c>
      <x:c r="D730" t="n">
        <x:v>13</x:v>
      </x:c>
      <x:c r="E730" t="n">
        <x:v>4</x:v>
      </x:c>
      <x:c r="F730" t="n">
        <x:v>4</x:v>
      </x:c>
      <x:c r="G730" t="n">
        <x:v>4</x:v>
      </x:c>
      <x:c r="H730" t="n">
        <x:v>150</x:v>
      </x:c>
      <x:c r="I730" t="n">
        <x:v>1.5</x:v>
      </x:c>
      <x:c r="J730" t="str"/>
      <x:c r="K730" t="str"/>
      <x:c r="L730" t="str">
        <x:v>OPEN</x:v>
      </x:c>
    </x:row>
    <x:row r="731">
      <x:c r="B731" t="str">
        <x:v>RFP-C1-TC-125</x:v>
      </x:c>
      <x:c r="C731" t="str">
        <x:v>RFP-C1</x:v>
      </x:c>
      <x:c r="D731" t="n">
        <x:v>13</x:v>
      </x:c>
      <x:c r="E731" t="n">
        <x:v>5</x:v>
      </x:c>
      <x:c r="F731" t="n">
        <x:v>4</x:v>
      </x:c>
      <x:c r="G731" t="n">
        <x:v>4</x:v>
      </x:c>
      <x:c r="H731" t="n">
        <x:v>150</x:v>
      </x:c>
      <x:c r="I731" t="n">
        <x:v>1.5</x:v>
      </x:c>
      <x:c r="J731" t="str"/>
      <x:c r="K731" t="str"/>
      <x:c r="L731" t="str">
        <x:v>OPEN</x:v>
      </x:c>
    </x:row>
    <x:row r="732">
      <x:c r="B732" t="str">
        <x:v>RFP-C1-TC-126</x:v>
      </x:c>
      <x:c r="C732" t="str">
        <x:v>RFP-C1</x:v>
      </x:c>
      <x:c r="D732" t="n">
        <x:v>13</x:v>
      </x:c>
      <x:c r="E732" t="n">
        <x:v>6</x:v>
      </x:c>
      <x:c r="F732" t="n">
        <x:v>4</x:v>
      </x:c>
      <x:c r="G732" t="n">
        <x:v>4</x:v>
      </x:c>
      <x:c r="H732" t="n">
        <x:v>150</x:v>
      </x:c>
      <x:c r="I732" t="n">
        <x:v>1.5</x:v>
      </x:c>
      <x:c r="J732" t="str"/>
      <x:c r="K732" t="str"/>
      <x:c r="L732" t="str">
        <x:v>OPEN</x:v>
      </x:c>
    </x:row>
    <x:row r="733">
      <x:c r="B733" t="str">
        <x:v>RFP-C1-TC-127</x:v>
      </x:c>
      <x:c r="C733" t="str">
        <x:v>RFP-C1</x:v>
      </x:c>
      <x:c r="D733" t="n">
        <x:v>13</x:v>
      </x:c>
      <x:c r="E733" t="n">
        <x:v>7</x:v>
      </x:c>
      <x:c r="F733" t="n">
        <x:v>4</x:v>
      </x:c>
      <x:c r="G733" t="n">
        <x:v>4</x:v>
      </x:c>
      <x:c r="H733" t="n">
        <x:v>150</x:v>
      </x:c>
      <x:c r="I733" t="n">
        <x:v>1.5</x:v>
      </x:c>
      <x:c r="J733" t="str"/>
      <x:c r="K733" t="str"/>
      <x:c r="L733" t="str">
        <x:v>OPEN</x:v>
      </x:c>
    </x:row>
    <x:row r="734">
      <x:c r="B734" t="str">
        <x:v>RFP-C1-TC-128</x:v>
      </x:c>
      <x:c r="C734" t="str">
        <x:v>RFP-C1</x:v>
      </x:c>
      <x:c r="D734" t="n">
        <x:v>13</x:v>
      </x:c>
      <x:c r="E734" t="n">
        <x:v>8</x:v>
      </x:c>
      <x:c r="F734" t="n">
        <x:v>4</x:v>
      </x:c>
      <x:c r="G734" t="n">
        <x:v>4</x:v>
      </x:c>
      <x:c r="H734" t="n">
        <x:v>150</x:v>
      </x:c>
      <x:c r="I734" t="n">
        <x:v>1.5</x:v>
      </x:c>
      <x:c r="J734" t="str"/>
      <x:c r="K734" t="str"/>
      <x:c r="L734" t="str">
        <x:v>OPEN</x:v>
      </x:c>
    </x:row>
    <x:row r="735">
      <x:c r="B735" t="str">
        <x:v>RFP-C1-TC-129</x:v>
      </x:c>
      <x:c r="C735" t="str">
        <x:v>RFP-C1</x:v>
      </x:c>
      <x:c r="D735" t="n">
        <x:v>13</x:v>
      </x:c>
      <x:c r="E735" t="n">
        <x:v>9</x:v>
      </x:c>
      <x:c r="F735" t="n">
        <x:v>4</x:v>
      </x:c>
      <x:c r="G735" t="n">
        <x:v>4</x:v>
      </x:c>
      <x:c r="H735" t="n">
        <x:v>150</x:v>
      </x:c>
      <x:c r="I735" t="n">
        <x:v>1.5</x:v>
      </x:c>
      <x:c r="J735" t="str"/>
      <x:c r="K735" t="str"/>
      <x:c r="L735" t="str">
        <x:v>OPEN</x:v>
      </x:c>
    </x:row>
    <x:row r="736">
      <x:c r="B736" t="str">
        <x:v>RFP-C1-TC-130</x:v>
      </x:c>
      <x:c r="C736" t="str">
        <x:v>RFP-C1</x:v>
      </x:c>
      <x:c r="D736" t="n">
        <x:v>13</x:v>
      </x:c>
      <x:c r="E736" t="n">
        <x:v>10</x:v>
      </x:c>
      <x:c r="F736" t="n">
        <x:v>4</x:v>
      </x:c>
      <x:c r="G736" t="n">
        <x:v>4</x:v>
      </x:c>
      <x:c r="H736" t="n">
        <x:v>150</x:v>
      </x:c>
      <x:c r="I736" t="n">
        <x:v>1.5</x:v>
      </x:c>
      <x:c r="J736" t="str"/>
      <x:c r="K736" t="str"/>
      <x:c r="L736" t="str">
        <x:v>OPEN</x:v>
      </x:c>
    </x:row>
    <x:row r="737">
      <x:c r="B737" t="str">
        <x:v>RFP-C1-TC-131</x:v>
      </x:c>
      <x:c r="C737" t="str">
        <x:v>RFP-C1</x:v>
      </x:c>
      <x:c r="D737" t="n">
        <x:v>14</x:v>
      </x:c>
      <x:c r="E737" t="n">
        <x:v>1</x:v>
      </x:c>
      <x:c r="F737" t="n">
        <x:v>4</x:v>
      </x:c>
      <x:c r="G737" t="n">
        <x:v>4</x:v>
      </x:c>
      <x:c r="H737" t="n">
        <x:v>150</x:v>
      </x:c>
      <x:c r="I737" t="n">
        <x:v>1.5</x:v>
      </x:c>
      <x:c r="J737" t="str"/>
      <x:c r="K737" t="str"/>
      <x:c r="L737" t="str">
        <x:v>OPEN</x:v>
      </x:c>
    </x:row>
    <x:row r="738">
      <x:c r="B738" t="str">
        <x:v>RFP-C1-TC-132</x:v>
      </x:c>
      <x:c r="C738" t="str">
        <x:v>RFP-C1</x:v>
      </x:c>
      <x:c r="D738" t="n">
        <x:v>14</x:v>
      </x:c>
      <x:c r="E738" t="n">
        <x:v>2</x:v>
      </x:c>
      <x:c r="F738" t="n">
        <x:v>4</x:v>
      </x:c>
      <x:c r="G738" t="n">
        <x:v>4</x:v>
      </x:c>
      <x:c r="H738" t="n">
        <x:v>150</x:v>
      </x:c>
      <x:c r="I738" t="n">
        <x:v>1.5</x:v>
      </x:c>
      <x:c r="J738" t="str"/>
      <x:c r="K738" t="str"/>
      <x:c r="L738" t="str">
        <x:v>OPEN</x:v>
      </x:c>
    </x:row>
    <x:row r="739">
      <x:c r="B739" t="str">
        <x:v>RFP-C1-TC-133</x:v>
      </x:c>
      <x:c r="C739" t="str">
        <x:v>RFP-C1</x:v>
      </x:c>
      <x:c r="D739" t="n">
        <x:v>14</x:v>
      </x:c>
      <x:c r="E739" t="n">
        <x:v>3</x:v>
      </x:c>
      <x:c r="F739" t="n">
        <x:v>4</x:v>
      </x:c>
      <x:c r="G739" t="n">
        <x:v>4</x:v>
      </x:c>
      <x:c r="H739" t="n">
        <x:v>150</x:v>
      </x:c>
      <x:c r="I739" t="n">
        <x:v>1.5</x:v>
      </x:c>
      <x:c r="J739" t="str"/>
      <x:c r="K739" t="str"/>
      <x:c r="L739" t="str">
        <x:v>OPEN</x:v>
      </x:c>
    </x:row>
    <x:row r="740">
      <x:c r="B740" t="str">
        <x:v>RFP-C1-TC-134</x:v>
      </x:c>
      <x:c r="C740" t="str">
        <x:v>RFP-C1</x:v>
      </x:c>
      <x:c r="D740" t="n">
        <x:v>14</x:v>
      </x:c>
      <x:c r="E740" t="n">
        <x:v>4</x:v>
      </x:c>
      <x:c r="F740" t="n">
        <x:v>4</x:v>
      </x:c>
      <x:c r="G740" t="n">
        <x:v>4</x:v>
      </x:c>
      <x:c r="H740" t="n">
        <x:v>150</x:v>
      </x:c>
      <x:c r="I740" t="n">
        <x:v>1.5</x:v>
      </x:c>
      <x:c r="J740" t="str"/>
      <x:c r="K740" t="str"/>
      <x:c r="L740" t="str">
        <x:v>OPEN</x:v>
      </x:c>
    </x:row>
    <x:row r="741">
      <x:c r="B741" t="str">
        <x:v>RFP-C1-TC-135</x:v>
      </x:c>
      <x:c r="C741" t="str">
        <x:v>RFP-C1</x:v>
      </x:c>
      <x:c r="D741" t="n">
        <x:v>14</x:v>
      </x:c>
      <x:c r="E741" t="n">
        <x:v>5</x:v>
      </x:c>
      <x:c r="F741" t="n">
        <x:v>4</x:v>
      </x:c>
      <x:c r="G741" t="n">
        <x:v>4</x:v>
      </x:c>
      <x:c r="H741" t="n">
        <x:v>150</x:v>
      </x:c>
      <x:c r="I741" t="n">
        <x:v>1.5</x:v>
      </x:c>
      <x:c r="J741" t="str"/>
      <x:c r="K741" t="str"/>
      <x:c r="L741" t="str">
        <x:v>OPEN</x:v>
      </x:c>
    </x:row>
    <x:row r="742">
      <x:c r="B742" t="str">
        <x:v>RFP-C1-TC-136</x:v>
      </x:c>
      <x:c r="C742" t="str">
        <x:v>RFP-C1</x:v>
      </x:c>
      <x:c r="D742" t="n">
        <x:v>14</x:v>
      </x:c>
      <x:c r="E742" t="n">
        <x:v>6</x:v>
      </x:c>
      <x:c r="F742" t="n">
        <x:v>4</x:v>
      </x:c>
      <x:c r="G742" t="n">
        <x:v>4</x:v>
      </x:c>
      <x:c r="H742" t="n">
        <x:v>150</x:v>
      </x:c>
      <x:c r="I742" t="n">
        <x:v>1.5</x:v>
      </x:c>
      <x:c r="J742" t="str"/>
      <x:c r="K742" t="str"/>
      <x:c r="L742" t="str">
        <x:v>OPEN</x:v>
      </x:c>
    </x:row>
    <x:row r="743">
      <x:c r="B743" t="str">
        <x:v>RFP-C1-TC-137</x:v>
      </x:c>
      <x:c r="C743" t="str">
        <x:v>RFP-C1</x:v>
      </x:c>
      <x:c r="D743" t="n">
        <x:v>14</x:v>
      </x:c>
      <x:c r="E743" t="n">
        <x:v>7</x:v>
      </x:c>
      <x:c r="F743" t="n">
        <x:v>4</x:v>
      </x:c>
      <x:c r="G743" t="n">
        <x:v>4</x:v>
      </x:c>
      <x:c r="H743" t="n">
        <x:v>150</x:v>
      </x:c>
      <x:c r="I743" t="n">
        <x:v>1.5</x:v>
      </x:c>
      <x:c r="J743" t="str"/>
      <x:c r="K743" t="str"/>
      <x:c r="L743" t="str">
        <x:v>OPEN</x:v>
      </x:c>
    </x:row>
    <x:row r="744">
      <x:c r="B744" t="str">
        <x:v>RFP-C1-TC-138</x:v>
      </x:c>
      <x:c r="C744" t="str">
        <x:v>RFP-C1</x:v>
      </x:c>
      <x:c r="D744" t="n">
        <x:v>14</x:v>
      </x:c>
      <x:c r="E744" t="n">
        <x:v>8</x:v>
      </x:c>
      <x:c r="F744" t="n">
        <x:v>4</x:v>
      </x:c>
      <x:c r="G744" t="n">
        <x:v>4</x:v>
      </x:c>
      <x:c r="H744" t="n">
        <x:v>150</x:v>
      </x:c>
      <x:c r="I744" t="n">
        <x:v>1.5</x:v>
      </x:c>
      <x:c r="J744" t="str"/>
      <x:c r="K744" t="str"/>
      <x:c r="L744" t="str">
        <x:v>OPEN</x:v>
      </x:c>
    </x:row>
    <x:row r="745">
      <x:c r="B745" t="str">
        <x:v>RFP-C1-TC-139</x:v>
      </x:c>
      <x:c r="C745" t="str">
        <x:v>RFP-C1</x:v>
      </x:c>
      <x:c r="D745" t="n">
        <x:v>14</x:v>
      </x:c>
      <x:c r="E745" t="n">
        <x:v>9</x:v>
      </x:c>
      <x:c r="F745" t="n">
        <x:v>4</x:v>
      </x:c>
      <x:c r="G745" t="n">
        <x:v>4</x:v>
      </x:c>
      <x:c r="H745" t="n">
        <x:v>150</x:v>
      </x:c>
      <x:c r="I745" t="n">
        <x:v>1.5</x:v>
      </x:c>
      <x:c r="J745" t="str"/>
      <x:c r="K745" t="str"/>
      <x:c r="L745" t="str">
        <x:v>OPEN</x:v>
      </x:c>
    </x:row>
    <x:row r="746">
      <x:c r="B746" t="str">
        <x:v>RFP-C1-TC-140</x:v>
      </x:c>
      <x:c r="C746" t="str">
        <x:v>RFP-C1</x:v>
      </x:c>
      <x:c r="D746" t="n">
        <x:v>14</x:v>
      </x:c>
      <x:c r="E746" t="n">
        <x:v>10</x:v>
      </x:c>
      <x:c r="F746" t="n">
        <x:v>4</x:v>
      </x:c>
      <x:c r="G746" t="n">
        <x:v>4</x:v>
      </x:c>
      <x:c r="H746" t="n">
        <x:v>150</x:v>
      </x:c>
      <x:c r="I746" t="n">
        <x:v>1.5</x:v>
      </x:c>
      <x:c r="J746" t="str"/>
      <x:c r="K746" t="str"/>
      <x:c r="L746" t="str">
        <x:v>OPEN</x:v>
      </x:c>
    </x:row>
    <x:row r="747">
      <x:c r="B747" t="str">
        <x:v>RFP-C1-TC-141</x:v>
      </x:c>
      <x:c r="C747" t="str">
        <x:v>RFP-C1</x:v>
      </x:c>
      <x:c r="D747" t="n">
        <x:v>15</x:v>
      </x:c>
      <x:c r="E747" t="n">
        <x:v>1</x:v>
      </x:c>
      <x:c r="F747" t="n">
        <x:v>4</x:v>
      </x:c>
      <x:c r="G747" t="n">
        <x:v>4</x:v>
      </x:c>
      <x:c r="H747" t="n">
        <x:v>150</x:v>
      </x:c>
      <x:c r="I747" t="n">
        <x:v>1.5</x:v>
      </x:c>
      <x:c r="J747" t="str"/>
      <x:c r="K747" t="str"/>
      <x:c r="L747" t="str">
        <x:v>OPEN</x:v>
      </x:c>
    </x:row>
    <x:row r="748">
      <x:c r="B748" t="str">
        <x:v>RFP-C1-TC-142</x:v>
      </x:c>
      <x:c r="C748" t="str">
        <x:v>RFP-C1</x:v>
      </x:c>
      <x:c r="D748" t="n">
        <x:v>15</x:v>
      </x:c>
      <x:c r="E748" t="n">
        <x:v>2</x:v>
      </x:c>
      <x:c r="F748" t="n">
        <x:v>4</x:v>
      </x:c>
      <x:c r="G748" t="n">
        <x:v>4</x:v>
      </x:c>
      <x:c r="H748" t="n">
        <x:v>150</x:v>
      </x:c>
      <x:c r="I748" t="n">
        <x:v>1.5</x:v>
      </x:c>
      <x:c r="J748" t="str"/>
      <x:c r="K748" t="str"/>
      <x:c r="L748" t="str">
        <x:v>OPEN</x:v>
      </x:c>
    </x:row>
    <x:row r="749">
      <x:c r="B749" t="str">
        <x:v>RFP-C1-TC-143</x:v>
      </x:c>
      <x:c r="C749" t="str">
        <x:v>RFP-C1</x:v>
      </x:c>
      <x:c r="D749" t="n">
        <x:v>15</x:v>
      </x:c>
      <x:c r="E749" t="n">
        <x:v>3</x:v>
      </x:c>
      <x:c r="F749" t="n">
        <x:v>4</x:v>
      </x:c>
      <x:c r="G749" t="n">
        <x:v>4</x:v>
      </x:c>
      <x:c r="H749" t="n">
        <x:v>150</x:v>
      </x:c>
      <x:c r="I749" t="n">
        <x:v>1.5</x:v>
      </x:c>
      <x:c r="J749" t="str"/>
      <x:c r="K749" t="str"/>
      <x:c r="L749" t="str">
        <x:v>OPEN</x:v>
      </x:c>
    </x:row>
    <x:row r="750">
      <x:c r="B750" t="str">
        <x:v>RFP-C1-TC-144</x:v>
      </x:c>
      <x:c r="C750" t="str">
        <x:v>RFP-C1</x:v>
      </x:c>
      <x:c r="D750" t="n">
        <x:v>15</x:v>
      </x:c>
      <x:c r="E750" t="n">
        <x:v>4</x:v>
      </x:c>
      <x:c r="F750" t="n">
        <x:v>4</x:v>
      </x:c>
      <x:c r="G750" t="n">
        <x:v>4</x:v>
      </x:c>
      <x:c r="H750" t="n">
        <x:v>150</x:v>
      </x:c>
      <x:c r="I750" t="n">
        <x:v>1.5</x:v>
      </x:c>
      <x:c r="J750" t="str"/>
      <x:c r="K750" t="str"/>
      <x:c r="L750" t="str">
        <x:v>OPEN</x:v>
      </x:c>
    </x:row>
    <x:row r="751">
      <x:c r="B751" t="str">
        <x:v>RFP-C1-TC-145</x:v>
      </x:c>
      <x:c r="C751" t="str">
        <x:v>RFP-C1</x:v>
      </x:c>
      <x:c r="D751" t="n">
        <x:v>15</x:v>
      </x:c>
      <x:c r="E751" t="n">
        <x:v>5</x:v>
      </x:c>
      <x:c r="F751" t="n">
        <x:v>4</x:v>
      </x:c>
      <x:c r="G751" t="n">
        <x:v>4</x:v>
      </x:c>
      <x:c r="H751" t="n">
        <x:v>150</x:v>
      </x:c>
      <x:c r="I751" t="n">
        <x:v>1.5</x:v>
      </x:c>
      <x:c r="J751" t="str"/>
      <x:c r="K751" t="str"/>
      <x:c r="L751" t="str">
        <x:v>OPEN</x:v>
      </x:c>
    </x:row>
    <x:row r="752">
      <x:c r="B752" t="str">
        <x:v>RFP-C1-TC-146</x:v>
      </x:c>
      <x:c r="C752" t="str">
        <x:v>RFP-C1</x:v>
      </x:c>
      <x:c r="D752" t="n">
        <x:v>15</x:v>
      </x:c>
      <x:c r="E752" t="n">
        <x:v>6</x:v>
      </x:c>
      <x:c r="F752" t="n">
        <x:v>4</x:v>
      </x:c>
      <x:c r="G752" t="n">
        <x:v>4</x:v>
      </x:c>
      <x:c r="H752" t="n">
        <x:v>150</x:v>
      </x:c>
      <x:c r="I752" t="n">
        <x:v>1.5</x:v>
      </x:c>
      <x:c r="J752" t="str"/>
      <x:c r="K752" t="str"/>
      <x:c r="L752" t="str">
        <x:v>OPEN</x:v>
      </x:c>
    </x:row>
    <x:row r="753">
      <x:c r="B753" t="str">
        <x:v>RFP-C1-TC-147</x:v>
      </x:c>
      <x:c r="C753" t="str">
        <x:v>RFP-C1</x:v>
      </x:c>
      <x:c r="D753" t="n">
        <x:v>15</x:v>
      </x:c>
      <x:c r="E753" t="n">
        <x:v>7</x:v>
      </x:c>
      <x:c r="F753" t="n">
        <x:v>4</x:v>
      </x:c>
      <x:c r="G753" t="n">
        <x:v>4</x:v>
      </x:c>
      <x:c r="H753" t="n">
        <x:v>150</x:v>
      </x:c>
      <x:c r="I753" t="n">
        <x:v>1.5</x:v>
      </x:c>
      <x:c r="J753" t="str"/>
      <x:c r="K753" t="str"/>
      <x:c r="L753" t="str">
        <x:v>OPEN</x:v>
      </x:c>
    </x:row>
    <x:row r="754">
      <x:c r="B754" t="str">
        <x:v>RFP-C1-TC-148</x:v>
      </x:c>
      <x:c r="C754" t="str">
        <x:v>RFP-C1</x:v>
      </x:c>
      <x:c r="D754" t="n">
        <x:v>15</x:v>
      </x:c>
      <x:c r="E754" t="n">
        <x:v>8</x:v>
      </x:c>
      <x:c r="F754" t="n">
        <x:v>4</x:v>
      </x:c>
      <x:c r="G754" t="n">
        <x:v>4</x:v>
      </x:c>
      <x:c r="H754" t="n">
        <x:v>150</x:v>
      </x:c>
      <x:c r="I754" t="n">
        <x:v>1.5</x:v>
      </x:c>
      <x:c r="J754" t="str"/>
      <x:c r="K754" t="str"/>
      <x:c r="L754" t="str">
        <x:v>OPEN</x:v>
      </x:c>
    </x:row>
    <x:row r="755">
      <x:c r="B755" t="str">
        <x:v>RFP-C1-TC-149</x:v>
      </x:c>
      <x:c r="C755" t="str">
        <x:v>RFP-C1</x:v>
      </x:c>
      <x:c r="D755" t="n">
        <x:v>15</x:v>
      </x:c>
      <x:c r="E755" t="n">
        <x:v>9</x:v>
      </x:c>
      <x:c r="F755" t="n">
        <x:v>4</x:v>
      </x:c>
      <x:c r="G755" t="n">
        <x:v>4</x:v>
      </x:c>
      <x:c r="H755" t="n">
        <x:v>150</x:v>
      </x:c>
      <x:c r="I755" t="n">
        <x:v>1.5</x:v>
      </x:c>
      <x:c r="J755" t="str"/>
      <x:c r="K755" t="str"/>
      <x:c r="L755" t="str">
        <x:v>OPEN</x:v>
      </x:c>
    </x:row>
    <x:row r="756">
      <x:c r="B756" t="str">
        <x:v>RFP-C1-TC-150</x:v>
      </x:c>
      <x:c r="C756" t="str">
        <x:v>RFP-C1</x:v>
      </x:c>
      <x:c r="D756" t="n">
        <x:v>15</x:v>
      </x:c>
      <x:c r="E756" t="n">
        <x:v>10</x:v>
      </x:c>
      <x:c r="F756" t="n">
        <x:v>4</x:v>
      </x:c>
      <x:c r="G756" t="n">
        <x:v>4</x:v>
      </x:c>
      <x:c r="H756" t="n">
        <x:v>150</x:v>
      </x:c>
      <x:c r="I756" t="n">
        <x:v>1.5</x:v>
      </x:c>
      <x:c r="J756" t="str"/>
      <x:c r="K756" t="str"/>
      <x:c r="L756" t="str">
        <x:v>OPEN</x:v>
      </x:c>
    </x:row>
    <x:row r="757">
      <x:c r="B757" t="str">
        <x:v>RFP-C2-TC-001</x:v>
      </x:c>
      <x:c r="C757" t="str">
        <x:v>RFP-C2</x:v>
      </x:c>
      <x:c r="D757" t="n">
        <x:v>1</x:v>
      </x:c>
      <x:c r="E757" t="n">
        <x:v>1</x:v>
      </x:c>
      <x:c r="F757" t="n">
        <x:v>4</x:v>
      </x:c>
      <x:c r="G757" t="n">
        <x:v>4</x:v>
      </x:c>
      <x:c r="H757" t="n">
        <x:v>150</x:v>
      </x:c>
      <x:c r="I757" t="n">
        <x:v>1.5</x:v>
      </x:c>
      <x:c r="J757" t="str"/>
      <x:c r="K757" t="str"/>
      <x:c r="L757" t="str">
        <x:v>OPEN</x:v>
      </x:c>
    </x:row>
    <x:row r="758">
      <x:c r="B758" t="str">
        <x:v>RFP-C2-TC-002</x:v>
      </x:c>
      <x:c r="C758" t="str">
        <x:v>RFP-C2</x:v>
      </x:c>
      <x:c r="D758" t="n">
        <x:v>1</x:v>
      </x:c>
      <x:c r="E758" t="n">
        <x:v>2</x:v>
      </x:c>
      <x:c r="F758" t="n">
        <x:v>4</x:v>
      </x:c>
      <x:c r="G758" t="n">
        <x:v>4</x:v>
      </x:c>
      <x:c r="H758" t="n">
        <x:v>150</x:v>
      </x:c>
      <x:c r="I758" t="n">
        <x:v>1.5</x:v>
      </x:c>
      <x:c r="J758" t="str"/>
      <x:c r="K758" t="str"/>
      <x:c r="L758" t="str">
        <x:v>OPEN</x:v>
      </x:c>
    </x:row>
    <x:row r="759">
      <x:c r="B759" t="str">
        <x:v>RFP-C2-TC-003</x:v>
      </x:c>
      <x:c r="C759" t="str">
        <x:v>RFP-C2</x:v>
      </x:c>
      <x:c r="D759" t="n">
        <x:v>1</x:v>
      </x:c>
      <x:c r="E759" t="n">
        <x:v>3</x:v>
      </x:c>
      <x:c r="F759" t="n">
        <x:v>4</x:v>
      </x:c>
      <x:c r="G759" t="n">
        <x:v>4</x:v>
      </x:c>
      <x:c r="H759" t="n">
        <x:v>150</x:v>
      </x:c>
      <x:c r="I759" t="n">
        <x:v>1.5</x:v>
      </x:c>
      <x:c r="J759" t="str"/>
      <x:c r="K759" t="str"/>
      <x:c r="L759" t="str">
        <x:v>OPEN</x:v>
      </x:c>
    </x:row>
    <x:row r="760">
      <x:c r="B760" t="str">
        <x:v>RFP-C2-TC-004</x:v>
      </x:c>
      <x:c r="C760" t="str">
        <x:v>RFP-C2</x:v>
      </x:c>
      <x:c r="D760" t="n">
        <x:v>1</x:v>
      </x:c>
      <x:c r="E760" t="n">
        <x:v>4</x:v>
      </x:c>
      <x:c r="F760" t="n">
        <x:v>4</x:v>
      </x:c>
      <x:c r="G760" t="n">
        <x:v>4</x:v>
      </x:c>
      <x:c r="H760" t="n">
        <x:v>150</x:v>
      </x:c>
      <x:c r="I760" t="n">
        <x:v>1.5</x:v>
      </x:c>
      <x:c r="J760" t="str"/>
      <x:c r="K760" t="str"/>
      <x:c r="L760" t="str">
        <x:v>OPEN</x:v>
      </x:c>
    </x:row>
    <x:row r="761">
      <x:c r="B761" t="str">
        <x:v>RFP-C2-TC-005</x:v>
      </x:c>
      <x:c r="C761" t="str">
        <x:v>RFP-C2</x:v>
      </x:c>
      <x:c r="D761" t="n">
        <x:v>1</x:v>
      </x:c>
      <x:c r="E761" t="n">
        <x:v>5</x:v>
      </x:c>
      <x:c r="F761" t="n">
        <x:v>4</x:v>
      </x:c>
      <x:c r="G761" t="n">
        <x:v>4</x:v>
      </x:c>
      <x:c r="H761" t="n">
        <x:v>150</x:v>
      </x:c>
      <x:c r="I761" t="n">
        <x:v>1.5</x:v>
      </x:c>
      <x:c r="J761" t="str"/>
      <x:c r="K761" t="str"/>
      <x:c r="L761" t="str">
        <x:v>OPEN</x:v>
      </x:c>
    </x:row>
    <x:row r="762">
      <x:c r="B762" t="str">
        <x:v>RFP-C2-TC-006</x:v>
      </x:c>
      <x:c r="C762" t="str">
        <x:v>RFP-C2</x:v>
      </x:c>
      <x:c r="D762" t="n">
        <x:v>1</x:v>
      </x:c>
      <x:c r="E762" t="n">
        <x:v>6</x:v>
      </x:c>
      <x:c r="F762" t="n">
        <x:v>4</x:v>
      </x:c>
      <x:c r="G762" t="n">
        <x:v>4</x:v>
      </x:c>
      <x:c r="H762" t="n">
        <x:v>150</x:v>
      </x:c>
      <x:c r="I762" t="n">
        <x:v>1.5</x:v>
      </x:c>
      <x:c r="J762" t="str"/>
      <x:c r="K762" t="str"/>
      <x:c r="L762" t="str">
        <x:v>OPEN</x:v>
      </x:c>
    </x:row>
    <x:row r="763">
      <x:c r="B763" t="str">
        <x:v>RFP-C2-TC-007</x:v>
      </x:c>
      <x:c r="C763" t="str">
        <x:v>RFP-C2</x:v>
      </x:c>
      <x:c r="D763" t="n">
        <x:v>1</x:v>
      </x:c>
      <x:c r="E763" t="n">
        <x:v>7</x:v>
      </x:c>
      <x:c r="F763" t="n">
        <x:v>4</x:v>
      </x:c>
      <x:c r="G763" t="n">
        <x:v>4</x:v>
      </x:c>
      <x:c r="H763" t="n">
        <x:v>150</x:v>
      </x:c>
      <x:c r="I763" t="n">
        <x:v>1.5</x:v>
      </x:c>
      <x:c r="J763" t="str"/>
      <x:c r="K763" t="str"/>
      <x:c r="L763" t="str">
        <x:v>OPEN</x:v>
      </x:c>
    </x:row>
    <x:row r="764">
      <x:c r="B764" t="str">
        <x:v>RFP-C2-TC-008</x:v>
      </x:c>
      <x:c r="C764" t="str">
        <x:v>RFP-C2</x:v>
      </x:c>
      <x:c r="D764" t="n">
        <x:v>1</x:v>
      </x:c>
      <x:c r="E764" t="n">
        <x:v>8</x:v>
      </x:c>
      <x:c r="F764" t="n">
        <x:v>4</x:v>
      </x:c>
      <x:c r="G764" t="n">
        <x:v>4</x:v>
      </x:c>
      <x:c r="H764" t="n">
        <x:v>150</x:v>
      </x:c>
      <x:c r="I764" t="n">
        <x:v>1.5</x:v>
      </x:c>
      <x:c r="J764" t="str"/>
      <x:c r="K764" t="str"/>
      <x:c r="L764" t="str">
        <x:v>OPEN</x:v>
      </x:c>
    </x:row>
    <x:row r="765">
      <x:c r="B765" t="str">
        <x:v>RFP-C2-TC-009</x:v>
      </x:c>
      <x:c r="C765" t="str">
        <x:v>RFP-C2</x:v>
      </x:c>
      <x:c r="D765" t="n">
        <x:v>1</x:v>
      </x:c>
      <x:c r="E765" t="n">
        <x:v>9</x:v>
      </x:c>
      <x:c r="F765" t="n">
        <x:v>4</x:v>
      </x:c>
      <x:c r="G765" t="n">
        <x:v>4</x:v>
      </x:c>
      <x:c r="H765" t="n">
        <x:v>150</x:v>
      </x:c>
      <x:c r="I765" t="n">
        <x:v>1.5</x:v>
      </x:c>
      <x:c r="J765" t="str"/>
      <x:c r="K765" t="str"/>
      <x:c r="L765" t="str">
        <x:v>OPEN</x:v>
      </x:c>
    </x:row>
    <x:row r="766">
      <x:c r="B766" t="str">
        <x:v>RFP-C2-TC-010</x:v>
      </x:c>
      <x:c r="C766" t="str">
        <x:v>RFP-C2</x:v>
      </x:c>
      <x:c r="D766" t="n">
        <x:v>1</x:v>
      </x:c>
      <x:c r="E766" t="n">
        <x:v>10</x:v>
      </x:c>
      <x:c r="F766" t="n">
        <x:v>4</x:v>
      </x:c>
      <x:c r="G766" t="n">
        <x:v>4</x:v>
      </x:c>
      <x:c r="H766" t="n">
        <x:v>150</x:v>
      </x:c>
      <x:c r="I766" t="n">
        <x:v>1.5</x:v>
      </x:c>
      <x:c r="J766" t="str"/>
      <x:c r="K766" t="str"/>
      <x:c r="L766" t="str">
        <x:v>OPEN</x:v>
      </x:c>
    </x:row>
    <x:row r="767">
      <x:c r="B767" t="str">
        <x:v>RFP-C2-TC-011</x:v>
      </x:c>
      <x:c r="C767" t="str">
        <x:v>RFP-C2</x:v>
      </x:c>
      <x:c r="D767" t="n">
        <x:v>2</x:v>
      </x:c>
      <x:c r="E767" t="n">
        <x:v>1</x:v>
      </x:c>
      <x:c r="F767" t="n">
        <x:v>4</x:v>
      </x:c>
      <x:c r="G767" t="n">
        <x:v>4</x:v>
      </x:c>
      <x:c r="H767" t="n">
        <x:v>150</x:v>
      </x:c>
      <x:c r="I767" t="n">
        <x:v>1.5</x:v>
      </x:c>
      <x:c r="J767" t="str"/>
      <x:c r="K767" t="str"/>
      <x:c r="L767" t="str">
        <x:v>OPEN</x:v>
      </x:c>
    </x:row>
    <x:row r="768">
      <x:c r="B768" t="str">
        <x:v>RFP-C2-TC-012</x:v>
      </x:c>
      <x:c r="C768" t="str">
        <x:v>RFP-C2</x:v>
      </x:c>
      <x:c r="D768" t="n">
        <x:v>2</x:v>
      </x:c>
      <x:c r="E768" t="n">
        <x:v>2</x:v>
      </x:c>
      <x:c r="F768" t="n">
        <x:v>4</x:v>
      </x:c>
      <x:c r="G768" t="n">
        <x:v>4</x:v>
      </x:c>
      <x:c r="H768" t="n">
        <x:v>150</x:v>
      </x:c>
      <x:c r="I768" t="n">
        <x:v>1.5</x:v>
      </x:c>
      <x:c r="J768" t="str"/>
      <x:c r="K768" t="str"/>
      <x:c r="L768" t="str">
        <x:v>OPEN</x:v>
      </x:c>
    </x:row>
    <x:row r="769">
      <x:c r="B769" t="str">
        <x:v>RFP-C2-TC-013</x:v>
      </x:c>
      <x:c r="C769" t="str">
        <x:v>RFP-C2</x:v>
      </x:c>
      <x:c r="D769" t="n">
        <x:v>2</x:v>
      </x:c>
      <x:c r="E769" t="n">
        <x:v>3</x:v>
      </x:c>
      <x:c r="F769" t="n">
        <x:v>4</x:v>
      </x:c>
      <x:c r="G769" t="n">
        <x:v>4</x:v>
      </x:c>
      <x:c r="H769" t="n">
        <x:v>150</x:v>
      </x:c>
      <x:c r="I769" t="n">
        <x:v>1.5</x:v>
      </x:c>
      <x:c r="J769" t="str"/>
      <x:c r="K769" t="str"/>
      <x:c r="L769" t="str">
        <x:v>OPEN</x:v>
      </x:c>
    </x:row>
    <x:row r="770">
      <x:c r="B770" t="str">
        <x:v>RFP-C2-TC-014</x:v>
      </x:c>
      <x:c r="C770" t="str">
        <x:v>RFP-C2</x:v>
      </x:c>
      <x:c r="D770" t="n">
        <x:v>2</x:v>
      </x:c>
      <x:c r="E770" t="n">
        <x:v>4</x:v>
      </x:c>
      <x:c r="F770" t="n">
        <x:v>4</x:v>
      </x:c>
      <x:c r="G770" t="n">
        <x:v>4</x:v>
      </x:c>
      <x:c r="H770" t="n">
        <x:v>150</x:v>
      </x:c>
      <x:c r="I770" t="n">
        <x:v>1.5</x:v>
      </x:c>
      <x:c r="J770" t="str"/>
      <x:c r="K770" t="str"/>
      <x:c r="L770" t="str">
        <x:v>OPEN</x:v>
      </x:c>
    </x:row>
    <x:row r="771">
      <x:c r="B771" t="str">
        <x:v>RFP-C2-TC-015</x:v>
      </x:c>
      <x:c r="C771" t="str">
        <x:v>RFP-C2</x:v>
      </x:c>
      <x:c r="D771" t="n">
        <x:v>2</x:v>
      </x:c>
      <x:c r="E771" t="n">
        <x:v>5</x:v>
      </x:c>
      <x:c r="F771" t="n">
        <x:v>4</x:v>
      </x:c>
      <x:c r="G771" t="n">
        <x:v>4</x:v>
      </x:c>
      <x:c r="H771" t="n">
        <x:v>150</x:v>
      </x:c>
      <x:c r="I771" t="n">
        <x:v>1.5</x:v>
      </x:c>
      <x:c r="J771" t="str"/>
      <x:c r="K771" t="str"/>
      <x:c r="L771" t="str">
        <x:v>OPEN</x:v>
      </x:c>
    </x:row>
    <x:row r="772">
      <x:c r="B772" t="str">
        <x:v>RFP-C2-TC-016</x:v>
      </x:c>
      <x:c r="C772" t="str">
        <x:v>RFP-C2</x:v>
      </x:c>
      <x:c r="D772" t="n">
        <x:v>2</x:v>
      </x:c>
      <x:c r="E772" t="n">
        <x:v>6</x:v>
      </x:c>
      <x:c r="F772" t="n">
        <x:v>4</x:v>
      </x:c>
      <x:c r="G772" t="n">
        <x:v>4</x:v>
      </x:c>
      <x:c r="H772" t="n">
        <x:v>150</x:v>
      </x:c>
      <x:c r="I772" t="n">
        <x:v>1.5</x:v>
      </x:c>
      <x:c r="J772" t="str"/>
      <x:c r="K772" t="str"/>
      <x:c r="L772" t="str">
        <x:v>OPEN</x:v>
      </x:c>
    </x:row>
    <x:row r="773">
      <x:c r="B773" t="str">
        <x:v>RFP-C2-TC-017</x:v>
      </x:c>
      <x:c r="C773" t="str">
        <x:v>RFP-C2</x:v>
      </x:c>
      <x:c r="D773" t="n">
        <x:v>2</x:v>
      </x:c>
      <x:c r="E773" t="n">
        <x:v>7</x:v>
      </x:c>
      <x:c r="F773" t="n">
        <x:v>4</x:v>
      </x:c>
      <x:c r="G773" t="n">
        <x:v>4</x:v>
      </x:c>
      <x:c r="H773" t="n">
        <x:v>150</x:v>
      </x:c>
      <x:c r="I773" t="n">
        <x:v>1.5</x:v>
      </x:c>
      <x:c r="J773" t="str"/>
      <x:c r="K773" t="str"/>
      <x:c r="L773" t="str">
        <x:v>OPEN</x:v>
      </x:c>
    </x:row>
    <x:row r="774">
      <x:c r="B774" t="str">
        <x:v>RFP-C2-TC-018</x:v>
      </x:c>
      <x:c r="C774" t="str">
        <x:v>RFP-C2</x:v>
      </x:c>
      <x:c r="D774" t="n">
        <x:v>2</x:v>
      </x:c>
      <x:c r="E774" t="n">
        <x:v>8</x:v>
      </x:c>
      <x:c r="F774" t="n">
        <x:v>4</x:v>
      </x:c>
      <x:c r="G774" t="n">
        <x:v>4</x:v>
      </x:c>
      <x:c r="H774" t="n">
        <x:v>150</x:v>
      </x:c>
      <x:c r="I774" t="n">
        <x:v>1.5</x:v>
      </x:c>
      <x:c r="J774" t="str"/>
      <x:c r="K774" t="str"/>
      <x:c r="L774" t="str">
        <x:v>OPEN</x:v>
      </x:c>
    </x:row>
    <x:row r="775">
      <x:c r="B775" t="str">
        <x:v>RFP-C2-TC-019</x:v>
      </x:c>
      <x:c r="C775" t="str">
        <x:v>RFP-C2</x:v>
      </x:c>
      <x:c r="D775" t="n">
        <x:v>2</x:v>
      </x:c>
      <x:c r="E775" t="n">
        <x:v>9</x:v>
      </x:c>
      <x:c r="F775" t="n">
        <x:v>4</x:v>
      </x:c>
      <x:c r="G775" t="n">
        <x:v>4</x:v>
      </x:c>
      <x:c r="H775" t="n">
        <x:v>150</x:v>
      </x:c>
      <x:c r="I775" t="n">
        <x:v>1.5</x:v>
      </x:c>
      <x:c r="J775" t="str"/>
      <x:c r="K775" t="str"/>
      <x:c r="L775" t="str">
        <x:v>OPEN</x:v>
      </x:c>
    </x:row>
    <x:row r="776">
      <x:c r="B776" t="str">
        <x:v>RFP-C2-TC-020</x:v>
      </x:c>
      <x:c r="C776" t="str">
        <x:v>RFP-C2</x:v>
      </x:c>
      <x:c r="D776" t="n">
        <x:v>2</x:v>
      </x:c>
      <x:c r="E776" t="n">
        <x:v>10</x:v>
      </x:c>
      <x:c r="F776" t="n">
        <x:v>4</x:v>
      </x:c>
      <x:c r="G776" t="n">
        <x:v>4</x:v>
      </x:c>
      <x:c r="H776" t="n">
        <x:v>150</x:v>
      </x:c>
      <x:c r="I776" t="n">
        <x:v>1.5</x:v>
      </x:c>
      <x:c r="J776" t="str"/>
      <x:c r="K776" t="str"/>
      <x:c r="L776" t="str">
        <x:v>OPEN</x:v>
      </x:c>
    </x:row>
    <x:row r="777">
      <x:c r="B777" t="str">
        <x:v>RFP-C2-TC-021</x:v>
      </x:c>
      <x:c r="C777" t="str">
        <x:v>RFP-C2</x:v>
      </x:c>
      <x:c r="D777" t="n">
        <x:v>3</x:v>
      </x:c>
      <x:c r="E777" t="n">
        <x:v>1</x:v>
      </x:c>
      <x:c r="F777" t="n">
        <x:v>4</x:v>
      </x:c>
      <x:c r="G777" t="n">
        <x:v>4</x:v>
      </x:c>
      <x:c r="H777" t="n">
        <x:v>150</x:v>
      </x:c>
      <x:c r="I777" t="n">
        <x:v>1.5</x:v>
      </x:c>
      <x:c r="J777" t="str"/>
      <x:c r="K777" t="str"/>
      <x:c r="L777" t="str">
        <x:v>OPEN</x:v>
      </x:c>
    </x:row>
    <x:row r="778">
      <x:c r="B778" t="str">
        <x:v>RFP-C2-TC-022</x:v>
      </x:c>
      <x:c r="C778" t="str">
        <x:v>RFP-C2</x:v>
      </x:c>
      <x:c r="D778" t="n">
        <x:v>3</x:v>
      </x:c>
      <x:c r="E778" t="n">
        <x:v>2</x:v>
      </x:c>
      <x:c r="F778" t="n">
        <x:v>4</x:v>
      </x:c>
      <x:c r="G778" t="n">
        <x:v>4</x:v>
      </x:c>
      <x:c r="H778" t="n">
        <x:v>150</x:v>
      </x:c>
      <x:c r="I778" t="n">
        <x:v>1.5</x:v>
      </x:c>
      <x:c r="J778" t="str"/>
      <x:c r="K778" t="str"/>
      <x:c r="L778" t="str">
        <x:v>OPEN</x:v>
      </x:c>
    </x:row>
    <x:row r="779">
      <x:c r="B779" t="str">
        <x:v>RFP-C2-TC-023</x:v>
      </x:c>
      <x:c r="C779" t="str">
        <x:v>RFP-C2</x:v>
      </x:c>
      <x:c r="D779" t="n">
        <x:v>3</x:v>
      </x:c>
      <x:c r="E779" t="n">
        <x:v>3</x:v>
      </x:c>
      <x:c r="F779" t="n">
        <x:v>4</x:v>
      </x:c>
      <x:c r="G779" t="n">
        <x:v>4</x:v>
      </x:c>
      <x:c r="H779" t="n">
        <x:v>150</x:v>
      </x:c>
      <x:c r="I779" t="n">
        <x:v>1.5</x:v>
      </x:c>
      <x:c r="J779" t="str"/>
      <x:c r="K779" t="str"/>
      <x:c r="L779" t="str">
        <x:v>OPEN</x:v>
      </x:c>
    </x:row>
    <x:row r="780">
      <x:c r="B780" t="str">
        <x:v>RFP-C2-TC-024</x:v>
      </x:c>
      <x:c r="C780" t="str">
        <x:v>RFP-C2</x:v>
      </x:c>
      <x:c r="D780" t="n">
        <x:v>3</x:v>
      </x:c>
      <x:c r="E780" t="n">
        <x:v>4</x:v>
      </x:c>
      <x:c r="F780" t="n">
        <x:v>4</x:v>
      </x:c>
      <x:c r="G780" t="n">
        <x:v>4</x:v>
      </x:c>
      <x:c r="H780" t="n">
        <x:v>150</x:v>
      </x:c>
      <x:c r="I780" t="n">
        <x:v>1.5</x:v>
      </x:c>
      <x:c r="J780" t="str"/>
      <x:c r="K780" t="str"/>
      <x:c r="L780" t="str">
        <x:v>OPEN</x:v>
      </x:c>
    </x:row>
    <x:row r="781">
      <x:c r="B781" t="str">
        <x:v>RFP-C2-TC-025</x:v>
      </x:c>
      <x:c r="C781" t="str">
        <x:v>RFP-C2</x:v>
      </x:c>
      <x:c r="D781" t="n">
        <x:v>3</x:v>
      </x:c>
      <x:c r="E781" t="n">
        <x:v>5</x:v>
      </x:c>
      <x:c r="F781" t="n">
        <x:v>4</x:v>
      </x:c>
      <x:c r="G781" t="n">
        <x:v>4</x:v>
      </x:c>
      <x:c r="H781" t="n">
        <x:v>150</x:v>
      </x:c>
      <x:c r="I781" t="n">
        <x:v>1.5</x:v>
      </x:c>
      <x:c r="J781" t="str"/>
      <x:c r="K781" t="str"/>
      <x:c r="L781" t="str">
        <x:v>OPEN</x:v>
      </x:c>
    </x:row>
    <x:row r="782">
      <x:c r="B782" t="str">
        <x:v>RFP-C2-TC-026</x:v>
      </x:c>
      <x:c r="C782" t="str">
        <x:v>RFP-C2</x:v>
      </x:c>
      <x:c r="D782" t="n">
        <x:v>3</x:v>
      </x:c>
      <x:c r="E782" t="n">
        <x:v>6</x:v>
      </x:c>
      <x:c r="F782" t="n">
        <x:v>4</x:v>
      </x:c>
      <x:c r="G782" t="n">
        <x:v>4</x:v>
      </x:c>
      <x:c r="H782" t="n">
        <x:v>150</x:v>
      </x:c>
      <x:c r="I782" t="n">
        <x:v>1.5</x:v>
      </x:c>
      <x:c r="J782" t="str"/>
      <x:c r="K782" t="str"/>
      <x:c r="L782" t="str">
        <x:v>OPEN</x:v>
      </x:c>
    </x:row>
    <x:row r="783">
      <x:c r="B783" t="str">
        <x:v>RFP-C2-TC-027</x:v>
      </x:c>
      <x:c r="C783" t="str">
        <x:v>RFP-C2</x:v>
      </x:c>
      <x:c r="D783" t="n">
        <x:v>3</x:v>
      </x:c>
      <x:c r="E783" t="n">
        <x:v>7</x:v>
      </x:c>
      <x:c r="F783" t="n">
        <x:v>4</x:v>
      </x:c>
      <x:c r="G783" t="n">
        <x:v>4</x:v>
      </x:c>
      <x:c r="H783" t="n">
        <x:v>150</x:v>
      </x:c>
      <x:c r="I783" t="n">
        <x:v>1.5</x:v>
      </x:c>
      <x:c r="J783" t="str"/>
      <x:c r="K783" t="str"/>
      <x:c r="L783" t="str">
        <x:v>OPEN</x:v>
      </x:c>
    </x:row>
    <x:row r="784">
      <x:c r="B784" t="str">
        <x:v>RFP-C2-TC-028</x:v>
      </x:c>
      <x:c r="C784" t="str">
        <x:v>RFP-C2</x:v>
      </x:c>
      <x:c r="D784" t="n">
        <x:v>3</x:v>
      </x:c>
      <x:c r="E784" t="n">
        <x:v>8</x:v>
      </x:c>
      <x:c r="F784" t="n">
        <x:v>4</x:v>
      </x:c>
      <x:c r="G784" t="n">
        <x:v>4</x:v>
      </x:c>
      <x:c r="H784" t="n">
        <x:v>150</x:v>
      </x:c>
      <x:c r="I784" t="n">
        <x:v>1.5</x:v>
      </x:c>
      <x:c r="J784" t="str"/>
      <x:c r="K784" t="str"/>
      <x:c r="L784" t="str">
        <x:v>OPEN</x:v>
      </x:c>
    </x:row>
    <x:row r="785">
      <x:c r="B785" t="str">
        <x:v>RFP-C2-TC-029</x:v>
      </x:c>
      <x:c r="C785" t="str">
        <x:v>RFP-C2</x:v>
      </x:c>
      <x:c r="D785" t="n">
        <x:v>3</x:v>
      </x:c>
      <x:c r="E785" t="n">
        <x:v>9</x:v>
      </x:c>
      <x:c r="F785" t="n">
        <x:v>4</x:v>
      </x:c>
      <x:c r="G785" t="n">
        <x:v>4</x:v>
      </x:c>
      <x:c r="H785" t="n">
        <x:v>150</x:v>
      </x:c>
      <x:c r="I785" t="n">
        <x:v>1.5</x:v>
      </x:c>
      <x:c r="J785" t="str"/>
      <x:c r="K785" t="str"/>
      <x:c r="L785" t="str">
        <x:v>OPEN</x:v>
      </x:c>
    </x:row>
    <x:row r="786">
      <x:c r="B786" t="str">
        <x:v>RFP-C2-TC-030</x:v>
      </x:c>
      <x:c r="C786" t="str">
        <x:v>RFP-C2</x:v>
      </x:c>
      <x:c r="D786" t="n">
        <x:v>3</x:v>
      </x:c>
      <x:c r="E786" t="n">
        <x:v>10</x:v>
      </x:c>
      <x:c r="F786" t="n">
        <x:v>4</x:v>
      </x:c>
      <x:c r="G786" t="n">
        <x:v>4</x:v>
      </x:c>
      <x:c r="H786" t="n">
        <x:v>150</x:v>
      </x:c>
      <x:c r="I786" t="n">
        <x:v>1.5</x:v>
      </x:c>
      <x:c r="J786" t="str"/>
      <x:c r="K786" t="str"/>
      <x:c r="L786" t="str">
        <x:v>OPEN</x:v>
      </x:c>
    </x:row>
    <x:row r="787">
      <x:c r="B787" t="str">
        <x:v>RFP-C2-TC-031</x:v>
      </x:c>
      <x:c r="C787" t="str">
        <x:v>RFP-C2</x:v>
      </x:c>
      <x:c r="D787" t="n">
        <x:v>4</x:v>
      </x:c>
      <x:c r="E787" t="n">
        <x:v>1</x:v>
      </x:c>
      <x:c r="F787" t="n">
        <x:v>4</x:v>
      </x:c>
      <x:c r="G787" t="n">
        <x:v>4</x:v>
      </x:c>
      <x:c r="H787" t="n">
        <x:v>150</x:v>
      </x:c>
      <x:c r="I787" t="n">
        <x:v>1.5</x:v>
      </x:c>
      <x:c r="J787" t="str"/>
      <x:c r="K787" t="str"/>
      <x:c r="L787" t="str">
        <x:v>OPEN</x:v>
      </x:c>
    </x:row>
    <x:row r="788">
      <x:c r="B788" t="str">
        <x:v>RFP-C2-TC-032</x:v>
      </x:c>
      <x:c r="C788" t="str">
        <x:v>RFP-C2</x:v>
      </x:c>
      <x:c r="D788" t="n">
        <x:v>4</x:v>
      </x:c>
      <x:c r="E788" t="n">
        <x:v>2</x:v>
      </x:c>
      <x:c r="F788" t="n">
        <x:v>4</x:v>
      </x:c>
      <x:c r="G788" t="n">
        <x:v>4</x:v>
      </x:c>
      <x:c r="H788" t="n">
        <x:v>150</x:v>
      </x:c>
      <x:c r="I788" t="n">
        <x:v>1.5</x:v>
      </x:c>
      <x:c r="J788" t="str"/>
      <x:c r="K788" t="str"/>
      <x:c r="L788" t="str">
        <x:v>OPEN</x:v>
      </x:c>
    </x:row>
    <x:row r="789">
      <x:c r="B789" t="str">
        <x:v>RFP-C2-TC-033</x:v>
      </x:c>
      <x:c r="C789" t="str">
        <x:v>RFP-C2</x:v>
      </x:c>
      <x:c r="D789" t="n">
        <x:v>4</x:v>
      </x:c>
      <x:c r="E789" t="n">
        <x:v>3</x:v>
      </x:c>
      <x:c r="F789" t="n">
        <x:v>4</x:v>
      </x:c>
      <x:c r="G789" t="n">
        <x:v>4</x:v>
      </x:c>
      <x:c r="H789" t="n">
        <x:v>150</x:v>
      </x:c>
      <x:c r="I789" t="n">
        <x:v>1.5</x:v>
      </x:c>
      <x:c r="J789" t="str"/>
      <x:c r="K789" t="str"/>
      <x:c r="L789" t="str">
        <x:v>OPEN</x:v>
      </x:c>
    </x:row>
    <x:row r="790">
      <x:c r="B790" t="str">
        <x:v>RFP-C2-TC-034</x:v>
      </x:c>
      <x:c r="C790" t="str">
        <x:v>RFP-C2</x:v>
      </x:c>
      <x:c r="D790" t="n">
        <x:v>4</x:v>
      </x:c>
      <x:c r="E790" t="n">
        <x:v>4</x:v>
      </x:c>
      <x:c r="F790" t="n">
        <x:v>4</x:v>
      </x:c>
      <x:c r="G790" t="n">
        <x:v>4</x:v>
      </x:c>
      <x:c r="H790" t="n">
        <x:v>150</x:v>
      </x:c>
      <x:c r="I790" t="n">
        <x:v>1.5</x:v>
      </x:c>
      <x:c r="J790" t="str"/>
      <x:c r="K790" t="str"/>
      <x:c r="L790" t="str">
        <x:v>OPEN</x:v>
      </x:c>
    </x:row>
    <x:row r="791">
      <x:c r="B791" t="str">
        <x:v>RFP-C2-TC-035</x:v>
      </x:c>
      <x:c r="C791" t="str">
        <x:v>RFP-C2</x:v>
      </x:c>
      <x:c r="D791" t="n">
        <x:v>4</x:v>
      </x:c>
      <x:c r="E791" t="n">
        <x:v>5</x:v>
      </x:c>
      <x:c r="F791" t="n">
        <x:v>4</x:v>
      </x:c>
      <x:c r="G791" t="n">
        <x:v>4</x:v>
      </x:c>
      <x:c r="H791" t="n">
        <x:v>150</x:v>
      </x:c>
      <x:c r="I791" t="n">
        <x:v>1.5</x:v>
      </x:c>
      <x:c r="J791" t="str"/>
      <x:c r="K791" t="str"/>
      <x:c r="L791" t="str">
        <x:v>OPEN</x:v>
      </x:c>
    </x:row>
    <x:row r="792">
      <x:c r="B792" t="str">
        <x:v>RFP-C2-TC-036</x:v>
      </x:c>
      <x:c r="C792" t="str">
        <x:v>RFP-C2</x:v>
      </x:c>
      <x:c r="D792" t="n">
        <x:v>4</x:v>
      </x:c>
      <x:c r="E792" t="n">
        <x:v>6</x:v>
      </x:c>
      <x:c r="F792" t="n">
        <x:v>4</x:v>
      </x:c>
      <x:c r="G792" t="n">
        <x:v>4</x:v>
      </x:c>
      <x:c r="H792" t="n">
        <x:v>150</x:v>
      </x:c>
      <x:c r="I792" t="n">
        <x:v>1.5</x:v>
      </x:c>
      <x:c r="J792" t="str"/>
      <x:c r="K792" t="str"/>
      <x:c r="L792" t="str">
        <x:v>OPEN</x:v>
      </x:c>
    </x:row>
    <x:row r="793">
      <x:c r="B793" t="str">
        <x:v>RFP-C2-TC-037</x:v>
      </x:c>
      <x:c r="C793" t="str">
        <x:v>RFP-C2</x:v>
      </x:c>
      <x:c r="D793" t="n">
        <x:v>4</x:v>
      </x:c>
      <x:c r="E793" t="n">
        <x:v>7</x:v>
      </x:c>
      <x:c r="F793" t="n">
        <x:v>4</x:v>
      </x:c>
      <x:c r="G793" t="n">
        <x:v>4</x:v>
      </x:c>
      <x:c r="H793" t="n">
        <x:v>150</x:v>
      </x:c>
      <x:c r="I793" t="n">
        <x:v>1.5</x:v>
      </x:c>
      <x:c r="J793" t="str"/>
      <x:c r="K793" t="str"/>
      <x:c r="L793" t="str">
        <x:v>OPEN</x:v>
      </x:c>
    </x:row>
    <x:row r="794">
      <x:c r="B794" t="str">
        <x:v>RFP-C2-TC-038</x:v>
      </x:c>
      <x:c r="C794" t="str">
        <x:v>RFP-C2</x:v>
      </x:c>
      <x:c r="D794" t="n">
        <x:v>4</x:v>
      </x:c>
      <x:c r="E794" t="n">
        <x:v>8</x:v>
      </x:c>
      <x:c r="F794" t="n">
        <x:v>4</x:v>
      </x:c>
      <x:c r="G794" t="n">
        <x:v>4</x:v>
      </x:c>
      <x:c r="H794" t="n">
        <x:v>150</x:v>
      </x:c>
      <x:c r="I794" t="n">
        <x:v>1.5</x:v>
      </x:c>
      <x:c r="J794" t="str"/>
      <x:c r="K794" t="str"/>
      <x:c r="L794" t="str">
        <x:v>OPEN</x:v>
      </x:c>
    </x:row>
    <x:row r="795">
      <x:c r="B795" t="str">
        <x:v>RFP-C2-TC-039</x:v>
      </x:c>
      <x:c r="C795" t="str">
        <x:v>RFP-C2</x:v>
      </x:c>
      <x:c r="D795" t="n">
        <x:v>4</x:v>
      </x:c>
      <x:c r="E795" t="n">
        <x:v>9</x:v>
      </x:c>
      <x:c r="F795" t="n">
        <x:v>4</x:v>
      </x:c>
      <x:c r="G795" t="n">
        <x:v>4</x:v>
      </x:c>
      <x:c r="H795" t="n">
        <x:v>150</x:v>
      </x:c>
      <x:c r="I795" t="n">
        <x:v>1.5</x:v>
      </x:c>
      <x:c r="J795" t="str"/>
      <x:c r="K795" t="str"/>
      <x:c r="L795" t="str">
        <x:v>OPEN</x:v>
      </x:c>
    </x:row>
    <x:row r="796">
      <x:c r="B796" t="str">
        <x:v>RFP-C2-TC-040</x:v>
      </x:c>
      <x:c r="C796" t="str">
        <x:v>RFP-C2</x:v>
      </x:c>
      <x:c r="D796" t="n">
        <x:v>4</x:v>
      </x:c>
      <x:c r="E796" t="n">
        <x:v>10</x:v>
      </x:c>
      <x:c r="F796" t="n">
        <x:v>4</x:v>
      </x:c>
      <x:c r="G796" t="n">
        <x:v>4</x:v>
      </x:c>
      <x:c r="H796" t="n">
        <x:v>150</x:v>
      </x:c>
      <x:c r="I796" t="n">
        <x:v>1.5</x:v>
      </x:c>
      <x:c r="J796" t="str"/>
      <x:c r="K796" t="str"/>
      <x:c r="L796" t="str">
        <x:v>OPEN</x:v>
      </x:c>
    </x:row>
    <x:row r="797">
      <x:c r="B797" t="str">
        <x:v>RFP-C2-TC-041</x:v>
      </x:c>
      <x:c r="C797" t="str">
        <x:v>RFP-C2</x:v>
      </x:c>
      <x:c r="D797" t="n">
        <x:v>5</x:v>
      </x:c>
      <x:c r="E797" t="n">
        <x:v>1</x:v>
      </x:c>
      <x:c r="F797" t="n">
        <x:v>4</x:v>
      </x:c>
      <x:c r="G797" t="n">
        <x:v>4</x:v>
      </x:c>
      <x:c r="H797" t="n">
        <x:v>150</x:v>
      </x:c>
      <x:c r="I797" t="n">
        <x:v>1.5</x:v>
      </x:c>
      <x:c r="J797" t="str"/>
      <x:c r="K797" t="str"/>
      <x:c r="L797" t="str">
        <x:v>OPEN</x:v>
      </x:c>
    </x:row>
    <x:row r="798">
      <x:c r="B798" t="str">
        <x:v>RFP-C2-TC-042</x:v>
      </x:c>
      <x:c r="C798" t="str">
        <x:v>RFP-C2</x:v>
      </x:c>
      <x:c r="D798" t="n">
        <x:v>5</x:v>
      </x:c>
      <x:c r="E798" t="n">
        <x:v>2</x:v>
      </x:c>
      <x:c r="F798" t="n">
        <x:v>4</x:v>
      </x:c>
      <x:c r="G798" t="n">
        <x:v>4</x:v>
      </x:c>
      <x:c r="H798" t="n">
        <x:v>150</x:v>
      </x:c>
      <x:c r="I798" t="n">
        <x:v>1.5</x:v>
      </x:c>
      <x:c r="J798" t="str"/>
      <x:c r="K798" t="str"/>
      <x:c r="L798" t="str">
        <x:v>OPEN</x:v>
      </x:c>
    </x:row>
    <x:row r="799">
      <x:c r="B799" t="str">
        <x:v>RFP-C2-TC-043</x:v>
      </x:c>
      <x:c r="C799" t="str">
        <x:v>RFP-C2</x:v>
      </x:c>
      <x:c r="D799" t="n">
        <x:v>5</x:v>
      </x:c>
      <x:c r="E799" t="n">
        <x:v>3</x:v>
      </x:c>
      <x:c r="F799" t="n">
        <x:v>4</x:v>
      </x:c>
      <x:c r="G799" t="n">
        <x:v>4</x:v>
      </x:c>
      <x:c r="H799" t="n">
        <x:v>150</x:v>
      </x:c>
      <x:c r="I799" t="n">
        <x:v>1.5</x:v>
      </x:c>
      <x:c r="J799" t="str"/>
      <x:c r="K799" t="str"/>
      <x:c r="L799" t="str">
        <x:v>OPEN</x:v>
      </x:c>
    </x:row>
    <x:row r="800">
      <x:c r="B800" t="str">
        <x:v>RFP-C2-TC-044</x:v>
      </x:c>
      <x:c r="C800" t="str">
        <x:v>RFP-C2</x:v>
      </x:c>
      <x:c r="D800" t="n">
        <x:v>5</x:v>
      </x:c>
      <x:c r="E800" t="n">
        <x:v>4</x:v>
      </x:c>
      <x:c r="F800" t="n">
        <x:v>4</x:v>
      </x:c>
      <x:c r="G800" t="n">
        <x:v>4</x:v>
      </x:c>
      <x:c r="H800" t="n">
        <x:v>150</x:v>
      </x:c>
      <x:c r="I800" t="n">
        <x:v>1.5</x:v>
      </x:c>
      <x:c r="J800" t="str"/>
      <x:c r="K800" t="str"/>
      <x:c r="L800" t="str">
        <x:v>OPEN</x:v>
      </x:c>
    </x:row>
    <x:row r="801">
      <x:c r="B801" t="str">
        <x:v>RFP-C2-TC-045</x:v>
      </x:c>
      <x:c r="C801" t="str">
        <x:v>RFP-C2</x:v>
      </x:c>
      <x:c r="D801" t="n">
        <x:v>5</x:v>
      </x:c>
      <x:c r="E801" t="n">
        <x:v>5</x:v>
      </x:c>
      <x:c r="F801" t="n">
        <x:v>4</x:v>
      </x:c>
      <x:c r="G801" t="n">
        <x:v>4</x:v>
      </x:c>
      <x:c r="H801" t="n">
        <x:v>150</x:v>
      </x:c>
      <x:c r="I801" t="n">
        <x:v>1.5</x:v>
      </x:c>
      <x:c r="J801" t="str"/>
      <x:c r="K801" t="str"/>
      <x:c r="L801" t="str">
        <x:v>OPEN</x:v>
      </x:c>
    </x:row>
    <x:row r="802">
      <x:c r="B802" t="str">
        <x:v>RFP-C2-TC-046</x:v>
      </x:c>
      <x:c r="C802" t="str">
        <x:v>RFP-C2</x:v>
      </x:c>
      <x:c r="D802" t="n">
        <x:v>5</x:v>
      </x:c>
      <x:c r="E802" t="n">
        <x:v>6</x:v>
      </x:c>
      <x:c r="F802" t="n">
        <x:v>4</x:v>
      </x:c>
      <x:c r="G802" t="n">
        <x:v>4</x:v>
      </x:c>
      <x:c r="H802" t="n">
        <x:v>150</x:v>
      </x:c>
      <x:c r="I802" t="n">
        <x:v>1.5</x:v>
      </x:c>
      <x:c r="J802" t="str"/>
      <x:c r="K802" t="str"/>
      <x:c r="L802" t="str">
        <x:v>OPEN</x:v>
      </x:c>
    </x:row>
    <x:row r="803">
      <x:c r="B803" t="str">
        <x:v>RFP-C2-TC-047</x:v>
      </x:c>
      <x:c r="C803" t="str">
        <x:v>RFP-C2</x:v>
      </x:c>
      <x:c r="D803" t="n">
        <x:v>5</x:v>
      </x:c>
      <x:c r="E803" t="n">
        <x:v>7</x:v>
      </x:c>
      <x:c r="F803" t="n">
        <x:v>4</x:v>
      </x:c>
      <x:c r="G803" t="n">
        <x:v>4</x:v>
      </x:c>
      <x:c r="H803" t="n">
        <x:v>150</x:v>
      </x:c>
      <x:c r="I803" t="n">
        <x:v>1.5</x:v>
      </x:c>
      <x:c r="J803" t="str"/>
      <x:c r="K803" t="str"/>
      <x:c r="L803" t="str">
        <x:v>OPEN</x:v>
      </x:c>
    </x:row>
    <x:row r="804">
      <x:c r="B804" t="str">
        <x:v>RFP-C2-TC-048</x:v>
      </x:c>
      <x:c r="C804" t="str">
        <x:v>RFP-C2</x:v>
      </x:c>
      <x:c r="D804" t="n">
        <x:v>5</x:v>
      </x:c>
      <x:c r="E804" t="n">
        <x:v>8</x:v>
      </x:c>
      <x:c r="F804" t="n">
        <x:v>4</x:v>
      </x:c>
      <x:c r="G804" t="n">
        <x:v>4</x:v>
      </x:c>
      <x:c r="H804" t="n">
        <x:v>150</x:v>
      </x:c>
      <x:c r="I804" t="n">
        <x:v>1.5</x:v>
      </x:c>
      <x:c r="J804" t="str"/>
      <x:c r="K804" t="str"/>
      <x:c r="L804" t="str">
        <x:v>OPEN</x:v>
      </x:c>
    </x:row>
    <x:row r="805">
      <x:c r="B805" t="str">
        <x:v>RFP-C2-TC-049</x:v>
      </x:c>
      <x:c r="C805" t="str">
        <x:v>RFP-C2</x:v>
      </x:c>
      <x:c r="D805" t="n">
        <x:v>5</x:v>
      </x:c>
      <x:c r="E805" t="n">
        <x:v>9</x:v>
      </x:c>
      <x:c r="F805" t="n">
        <x:v>4</x:v>
      </x:c>
      <x:c r="G805" t="n">
        <x:v>4</x:v>
      </x:c>
      <x:c r="H805" t="n">
        <x:v>150</x:v>
      </x:c>
      <x:c r="I805" t="n">
        <x:v>1.5</x:v>
      </x:c>
      <x:c r="J805" t="str"/>
      <x:c r="K805" t="str"/>
      <x:c r="L805" t="str">
        <x:v>OPEN</x:v>
      </x:c>
    </x:row>
    <x:row r="806">
      <x:c r="B806" t="str">
        <x:v>RFP-C2-TC-050</x:v>
      </x:c>
      <x:c r="C806" t="str">
        <x:v>RFP-C2</x:v>
      </x:c>
      <x:c r="D806" t="n">
        <x:v>5</x:v>
      </x:c>
      <x:c r="E806" t="n">
        <x:v>10</x:v>
      </x:c>
      <x:c r="F806" t="n">
        <x:v>4</x:v>
      </x:c>
      <x:c r="G806" t="n">
        <x:v>4</x:v>
      </x:c>
      <x:c r="H806" t="n">
        <x:v>150</x:v>
      </x:c>
      <x:c r="I806" t="n">
        <x:v>1.5</x:v>
      </x:c>
      <x:c r="J806" t="str"/>
      <x:c r="K806" t="str"/>
      <x:c r="L806" t="str">
        <x:v>OPEN</x:v>
      </x:c>
    </x:row>
    <x:row r="807">
      <x:c r="B807" t="str">
        <x:v>RFP-C2-TC-051</x:v>
      </x:c>
      <x:c r="C807" t="str">
        <x:v>RFP-C2</x:v>
      </x:c>
      <x:c r="D807" t="n">
        <x:v>6</x:v>
      </x:c>
      <x:c r="E807" t="n">
        <x:v>1</x:v>
      </x:c>
      <x:c r="F807" t="n">
        <x:v>4</x:v>
      </x:c>
      <x:c r="G807" t="n">
        <x:v>4</x:v>
      </x:c>
      <x:c r="H807" t="n">
        <x:v>150</x:v>
      </x:c>
      <x:c r="I807" t="n">
        <x:v>1.5</x:v>
      </x:c>
      <x:c r="J807" t="str"/>
      <x:c r="K807" t="str"/>
      <x:c r="L807" t="str">
        <x:v>OPEN</x:v>
      </x:c>
    </x:row>
    <x:row r="808">
      <x:c r="B808" t="str">
        <x:v>RFP-C2-TC-052</x:v>
      </x:c>
      <x:c r="C808" t="str">
        <x:v>RFP-C2</x:v>
      </x:c>
      <x:c r="D808" t="n">
        <x:v>6</x:v>
      </x:c>
      <x:c r="E808" t="n">
        <x:v>2</x:v>
      </x:c>
      <x:c r="F808" t="n">
        <x:v>4</x:v>
      </x:c>
      <x:c r="G808" t="n">
        <x:v>4</x:v>
      </x:c>
      <x:c r="H808" t="n">
        <x:v>150</x:v>
      </x:c>
      <x:c r="I808" t="n">
        <x:v>1.5</x:v>
      </x:c>
      <x:c r="J808" t="str"/>
      <x:c r="K808" t="str"/>
      <x:c r="L808" t="str">
        <x:v>OPEN</x:v>
      </x:c>
    </x:row>
    <x:row r="809">
      <x:c r="B809" t="str">
        <x:v>RFP-C2-TC-053</x:v>
      </x:c>
      <x:c r="C809" t="str">
        <x:v>RFP-C2</x:v>
      </x:c>
      <x:c r="D809" t="n">
        <x:v>6</x:v>
      </x:c>
      <x:c r="E809" t="n">
        <x:v>3</x:v>
      </x:c>
      <x:c r="F809" t="n">
        <x:v>4</x:v>
      </x:c>
      <x:c r="G809" t="n">
        <x:v>4</x:v>
      </x:c>
      <x:c r="H809" t="n">
        <x:v>150</x:v>
      </x:c>
      <x:c r="I809" t="n">
        <x:v>1.5</x:v>
      </x:c>
      <x:c r="J809" t="str"/>
      <x:c r="K809" t="str"/>
      <x:c r="L809" t="str">
        <x:v>OPEN</x:v>
      </x:c>
    </x:row>
    <x:row r="810">
      <x:c r="B810" t="str">
        <x:v>RFP-C2-TC-054</x:v>
      </x:c>
      <x:c r="C810" t="str">
        <x:v>RFP-C2</x:v>
      </x:c>
      <x:c r="D810" t="n">
        <x:v>6</x:v>
      </x:c>
      <x:c r="E810" t="n">
        <x:v>4</x:v>
      </x:c>
      <x:c r="F810" t="n">
        <x:v>4</x:v>
      </x:c>
      <x:c r="G810" t="n">
        <x:v>4</x:v>
      </x:c>
      <x:c r="H810" t="n">
        <x:v>150</x:v>
      </x:c>
      <x:c r="I810" t="n">
        <x:v>1.5</x:v>
      </x:c>
      <x:c r="J810" t="str"/>
      <x:c r="K810" t="str"/>
      <x:c r="L810" t="str">
        <x:v>OPEN</x:v>
      </x:c>
    </x:row>
    <x:row r="811">
      <x:c r="B811" t="str">
        <x:v>RFP-C2-TC-055</x:v>
      </x:c>
      <x:c r="C811" t="str">
        <x:v>RFP-C2</x:v>
      </x:c>
      <x:c r="D811" t="n">
        <x:v>6</x:v>
      </x:c>
      <x:c r="E811" t="n">
        <x:v>5</x:v>
      </x:c>
      <x:c r="F811" t="n">
        <x:v>4</x:v>
      </x:c>
      <x:c r="G811" t="n">
        <x:v>4</x:v>
      </x:c>
      <x:c r="H811" t="n">
        <x:v>150</x:v>
      </x:c>
      <x:c r="I811" t="n">
        <x:v>1.5</x:v>
      </x:c>
      <x:c r="J811" t="str"/>
      <x:c r="K811" t="str"/>
      <x:c r="L811" t="str">
        <x:v>OPEN</x:v>
      </x:c>
    </x:row>
    <x:row r="812">
      <x:c r="B812" t="str">
        <x:v>RFP-C2-TC-056</x:v>
      </x:c>
      <x:c r="C812" t="str">
        <x:v>RFP-C2</x:v>
      </x:c>
      <x:c r="D812" t="n">
        <x:v>6</x:v>
      </x:c>
      <x:c r="E812" t="n">
        <x:v>6</x:v>
      </x:c>
      <x:c r="F812" t="n">
        <x:v>4</x:v>
      </x:c>
      <x:c r="G812" t="n">
        <x:v>4</x:v>
      </x:c>
      <x:c r="H812" t="n">
        <x:v>150</x:v>
      </x:c>
      <x:c r="I812" t="n">
        <x:v>1.5</x:v>
      </x:c>
      <x:c r="J812" t="str"/>
      <x:c r="K812" t="str"/>
      <x:c r="L812" t="str">
        <x:v>OPEN</x:v>
      </x:c>
    </x:row>
    <x:row r="813">
      <x:c r="B813" t="str">
        <x:v>RFP-C2-TC-057</x:v>
      </x:c>
      <x:c r="C813" t="str">
        <x:v>RFP-C2</x:v>
      </x:c>
      <x:c r="D813" t="n">
        <x:v>6</x:v>
      </x:c>
      <x:c r="E813" t="n">
        <x:v>7</x:v>
      </x:c>
      <x:c r="F813" t="n">
        <x:v>4</x:v>
      </x:c>
      <x:c r="G813" t="n">
        <x:v>4</x:v>
      </x:c>
      <x:c r="H813" t="n">
        <x:v>150</x:v>
      </x:c>
      <x:c r="I813" t="n">
        <x:v>1.5</x:v>
      </x:c>
      <x:c r="J813" t="str"/>
      <x:c r="K813" t="str"/>
      <x:c r="L813" t="str">
        <x:v>OPEN</x:v>
      </x:c>
    </x:row>
    <x:row r="814">
      <x:c r="B814" t="str">
        <x:v>RFP-C2-TC-058</x:v>
      </x:c>
      <x:c r="C814" t="str">
        <x:v>RFP-C2</x:v>
      </x:c>
      <x:c r="D814" t="n">
        <x:v>6</x:v>
      </x:c>
      <x:c r="E814" t="n">
        <x:v>8</x:v>
      </x:c>
      <x:c r="F814" t="n">
        <x:v>4</x:v>
      </x:c>
      <x:c r="G814" t="n">
        <x:v>4</x:v>
      </x:c>
      <x:c r="H814" t="n">
        <x:v>150</x:v>
      </x:c>
      <x:c r="I814" t="n">
        <x:v>1.5</x:v>
      </x:c>
      <x:c r="J814" t="str"/>
      <x:c r="K814" t="str"/>
      <x:c r="L814" t="str">
        <x:v>OPEN</x:v>
      </x:c>
    </x:row>
    <x:row r="815">
      <x:c r="B815" t="str">
        <x:v>RFP-C2-TC-059</x:v>
      </x:c>
      <x:c r="C815" t="str">
        <x:v>RFP-C2</x:v>
      </x:c>
      <x:c r="D815" t="n">
        <x:v>6</x:v>
      </x:c>
      <x:c r="E815" t="n">
        <x:v>9</x:v>
      </x:c>
      <x:c r="F815" t="n">
        <x:v>4</x:v>
      </x:c>
      <x:c r="G815" t="n">
        <x:v>4</x:v>
      </x:c>
      <x:c r="H815" t="n">
        <x:v>150</x:v>
      </x:c>
      <x:c r="I815" t="n">
        <x:v>1.5</x:v>
      </x:c>
      <x:c r="J815" t="str"/>
      <x:c r="K815" t="str"/>
      <x:c r="L815" t="str">
        <x:v>OPEN</x:v>
      </x:c>
    </x:row>
    <x:row r="816">
      <x:c r="B816" t="str">
        <x:v>RFP-C2-TC-060</x:v>
      </x:c>
      <x:c r="C816" t="str">
        <x:v>RFP-C2</x:v>
      </x:c>
      <x:c r="D816" t="n">
        <x:v>6</x:v>
      </x:c>
      <x:c r="E816" t="n">
        <x:v>10</x:v>
      </x:c>
      <x:c r="F816" t="n">
        <x:v>4</x:v>
      </x:c>
      <x:c r="G816" t="n">
        <x:v>4</x:v>
      </x:c>
      <x:c r="H816" t="n">
        <x:v>150</x:v>
      </x:c>
      <x:c r="I816" t="n">
        <x:v>1.5</x:v>
      </x:c>
      <x:c r="J816" t="str"/>
      <x:c r="K816" t="str"/>
      <x:c r="L816" t="str">
        <x:v>OPEN</x:v>
      </x:c>
    </x:row>
    <x:row r="817">
      <x:c r="B817" t="str">
        <x:v>RFP-C2-TC-061</x:v>
      </x:c>
      <x:c r="C817" t="str">
        <x:v>RFP-C2</x:v>
      </x:c>
      <x:c r="D817" t="n">
        <x:v>7</x:v>
      </x:c>
      <x:c r="E817" t="n">
        <x:v>1</x:v>
      </x:c>
      <x:c r="F817" t="n">
        <x:v>4</x:v>
      </x:c>
      <x:c r="G817" t="n">
        <x:v>4</x:v>
      </x:c>
      <x:c r="H817" t="n">
        <x:v>150</x:v>
      </x:c>
      <x:c r="I817" t="n">
        <x:v>1.5</x:v>
      </x:c>
      <x:c r="J817" t="str"/>
      <x:c r="K817" t="str"/>
      <x:c r="L817" t="str">
        <x:v>OPEN</x:v>
      </x:c>
    </x:row>
    <x:row r="818">
      <x:c r="B818" t="str">
        <x:v>RFP-C2-TC-062</x:v>
      </x:c>
      <x:c r="C818" t="str">
        <x:v>RFP-C2</x:v>
      </x:c>
      <x:c r="D818" t="n">
        <x:v>7</x:v>
      </x:c>
      <x:c r="E818" t="n">
        <x:v>2</x:v>
      </x:c>
      <x:c r="F818" t="n">
        <x:v>4</x:v>
      </x:c>
      <x:c r="G818" t="n">
        <x:v>4</x:v>
      </x:c>
      <x:c r="H818" t="n">
        <x:v>150</x:v>
      </x:c>
      <x:c r="I818" t="n">
        <x:v>1.5</x:v>
      </x:c>
      <x:c r="J818" t="str"/>
      <x:c r="K818" t="str"/>
      <x:c r="L818" t="str">
        <x:v>OPEN</x:v>
      </x:c>
    </x:row>
    <x:row r="819">
      <x:c r="B819" t="str">
        <x:v>RFP-C2-TC-063</x:v>
      </x:c>
      <x:c r="C819" t="str">
        <x:v>RFP-C2</x:v>
      </x:c>
      <x:c r="D819" t="n">
        <x:v>7</x:v>
      </x:c>
      <x:c r="E819" t="n">
        <x:v>3</x:v>
      </x:c>
      <x:c r="F819" t="n">
        <x:v>4</x:v>
      </x:c>
      <x:c r="G819" t="n">
        <x:v>4</x:v>
      </x:c>
      <x:c r="H819" t="n">
        <x:v>150</x:v>
      </x:c>
      <x:c r="I819" t="n">
        <x:v>1.5</x:v>
      </x:c>
      <x:c r="J819" t="str"/>
      <x:c r="K819" t="str"/>
      <x:c r="L819" t="str">
        <x:v>OPEN</x:v>
      </x:c>
    </x:row>
    <x:row r="820">
      <x:c r="B820" t="str">
        <x:v>RFP-C2-TC-064</x:v>
      </x:c>
      <x:c r="C820" t="str">
        <x:v>RFP-C2</x:v>
      </x:c>
      <x:c r="D820" t="n">
        <x:v>7</x:v>
      </x:c>
      <x:c r="E820" t="n">
        <x:v>4</x:v>
      </x:c>
      <x:c r="F820" t="n">
        <x:v>4</x:v>
      </x:c>
      <x:c r="G820" t="n">
        <x:v>4</x:v>
      </x:c>
      <x:c r="H820" t="n">
        <x:v>150</x:v>
      </x:c>
      <x:c r="I820" t="n">
        <x:v>1.5</x:v>
      </x:c>
      <x:c r="J820" t="str"/>
      <x:c r="K820" t="str"/>
      <x:c r="L820" t="str">
        <x:v>OPEN</x:v>
      </x:c>
    </x:row>
    <x:row r="821">
      <x:c r="B821" t="str">
        <x:v>RFP-C2-TC-065</x:v>
      </x:c>
      <x:c r="C821" t="str">
        <x:v>RFP-C2</x:v>
      </x:c>
      <x:c r="D821" t="n">
        <x:v>7</x:v>
      </x:c>
      <x:c r="E821" t="n">
        <x:v>5</x:v>
      </x:c>
      <x:c r="F821" t="n">
        <x:v>4</x:v>
      </x:c>
      <x:c r="G821" t="n">
        <x:v>4</x:v>
      </x:c>
      <x:c r="H821" t="n">
        <x:v>150</x:v>
      </x:c>
      <x:c r="I821" t="n">
        <x:v>1.5</x:v>
      </x:c>
      <x:c r="J821" t="str"/>
      <x:c r="K821" t="str"/>
      <x:c r="L821" t="str">
        <x:v>OPEN</x:v>
      </x:c>
    </x:row>
    <x:row r="822">
      <x:c r="B822" t="str">
        <x:v>RFP-C2-TC-066</x:v>
      </x:c>
      <x:c r="C822" t="str">
        <x:v>RFP-C2</x:v>
      </x:c>
      <x:c r="D822" t="n">
        <x:v>7</x:v>
      </x:c>
      <x:c r="E822" t="n">
        <x:v>6</x:v>
      </x:c>
      <x:c r="F822" t="n">
        <x:v>4</x:v>
      </x:c>
      <x:c r="G822" t="n">
        <x:v>4</x:v>
      </x:c>
      <x:c r="H822" t="n">
        <x:v>150</x:v>
      </x:c>
      <x:c r="I822" t="n">
        <x:v>1.5</x:v>
      </x:c>
      <x:c r="J822" t="str"/>
      <x:c r="K822" t="str"/>
      <x:c r="L822" t="str">
        <x:v>OPEN</x:v>
      </x:c>
    </x:row>
    <x:row r="823">
      <x:c r="B823" t="str">
        <x:v>RFP-C2-TC-067</x:v>
      </x:c>
      <x:c r="C823" t="str">
        <x:v>RFP-C2</x:v>
      </x:c>
      <x:c r="D823" t="n">
        <x:v>7</x:v>
      </x:c>
      <x:c r="E823" t="n">
        <x:v>7</x:v>
      </x:c>
      <x:c r="F823" t="n">
        <x:v>4</x:v>
      </x:c>
      <x:c r="G823" t="n">
        <x:v>4</x:v>
      </x:c>
      <x:c r="H823" t="n">
        <x:v>150</x:v>
      </x:c>
      <x:c r="I823" t="n">
        <x:v>1.5</x:v>
      </x:c>
      <x:c r="J823" t="str"/>
      <x:c r="K823" t="str"/>
      <x:c r="L823" t="str">
        <x:v>OPEN</x:v>
      </x:c>
    </x:row>
    <x:row r="824">
      <x:c r="B824" t="str">
        <x:v>RFP-C2-TC-068</x:v>
      </x:c>
      <x:c r="C824" t="str">
        <x:v>RFP-C2</x:v>
      </x:c>
      <x:c r="D824" t="n">
        <x:v>7</x:v>
      </x:c>
      <x:c r="E824" t="n">
        <x:v>8</x:v>
      </x:c>
      <x:c r="F824" t="n">
        <x:v>4</x:v>
      </x:c>
      <x:c r="G824" t="n">
        <x:v>4</x:v>
      </x:c>
      <x:c r="H824" t="n">
        <x:v>150</x:v>
      </x:c>
      <x:c r="I824" t="n">
        <x:v>1.5</x:v>
      </x:c>
      <x:c r="J824" t="str"/>
      <x:c r="K824" t="str"/>
      <x:c r="L824" t="str">
        <x:v>OPEN</x:v>
      </x:c>
    </x:row>
    <x:row r="825">
      <x:c r="B825" t="str">
        <x:v>RFP-C2-TC-069</x:v>
      </x:c>
      <x:c r="C825" t="str">
        <x:v>RFP-C2</x:v>
      </x:c>
      <x:c r="D825" t="n">
        <x:v>7</x:v>
      </x:c>
      <x:c r="E825" t="n">
        <x:v>9</x:v>
      </x:c>
      <x:c r="F825" t="n">
        <x:v>4</x:v>
      </x:c>
      <x:c r="G825" t="n">
        <x:v>4</x:v>
      </x:c>
      <x:c r="H825" t="n">
        <x:v>150</x:v>
      </x:c>
      <x:c r="I825" t="n">
        <x:v>1.5</x:v>
      </x:c>
      <x:c r="J825" t="str"/>
      <x:c r="K825" t="str"/>
      <x:c r="L825" t="str">
        <x:v>OPEN</x:v>
      </x:c>
    </x:row>
    <x:row r="826">
      <x:c r="B826" t="str">
        <x:v>RFP-C2-TC-070</x:v>
      </x:c>
      <x:c r="C826" t="str">
        <x:v>RFP-C2</x:v>
      </x:c>
      <x:c r="D826" t="n">
        <x:v>7</x:v>
      </x:c>
      <x:c r="E826" t="n">
        <x:v>10</x:v>
      </x:c>
      <x:c r="F826" t="n">
        <x:v>4</x:v>
      </x:c>
      <x:c r="G826" t="n">
        <x:v>4</x:v>
      </x:c>
      <x:c r="H826" t="n">
        <x:v>150</x:v>
      </x:c>
      <x:c r="I826" t="n">
        <x:v>1.5</x:v>
      </x:c>
      <x:c r="J826" t="str"/>
      <x:c r="K826" t="str"/>
      <x:c r="L826" t="str">
        <x:v>OPEN</x:v>
      </x:c>
    </x:row>
    <x:row r="827">
      <x:c r="B827" t="str">
        <x:v>RFP-C2-TC-071</x:v>
      </x:c>
      <x:c r="C827" t="str">
        <x:v>RFP-C2</x:v>
      </x:c>
      <x:c r="D827" t="n">
        <x:v>8</x:v>
      </x:c>
      <x:c r="E827" t="n">
        <x:v>1</x:v>
      </x:c>
      <x:c r="F827" t="n">
        <x:v>4</x:v>
      </x:c>
      <x:c r="G827" t="n">
        <x:v>4</x:v>
      </x:c>
      <x:c r="H827" t="n">
        <x:v>150</x:v>
      </x:c>
      <x:c r="I827" t="n">
        <x:v>1.5</x:v>
      </x:c>
      <x:c r="J827" t="str"/>
      <x:c r="K827" t="str"/>
      <x:c r="L827" t="str">
        <x:v>OPEN</x:v>
      </x:c>
    </x:row>
    <x:row r="828">
      <x:c r="B828" t="str">
        <x:v>RFP-C2-TC-072</x:v>
      </x:c>
      <x:c r="C828" t="str">
        <x:v>RFP-C2</x:v>
      </x:c>
      <x:c r="D828" t="n">
        <x:v>8</x:v>
      </x:c>
      <x:c r="E828" t="n">
        <x:v>2</x:v>
      </x:c>
      <x:c r="F828" t="n">
        <x:v>4</x:v>
      </x:c>
      <x:c r="G828" t="n">
        <x:v>4</x:v>
      </x:c>
      <x:c r="H828" t="n">
        <x:v>150</x:v>
      </x:c>
      <x:c r="I828" t="n">
        <x:v>1.5</x:v>
      </x:c>
      <x:c r="J828" t="str"/>
      <x:c r="K828" t="str"/>
      <x:c r="L828" t="str">
        <x:v>OPEN</x:v>
      </x:c>
    </x:row>
    <x:row r="829">
      <x:c r="B829" t="str">
        <x:v>RFP-C2-TC-073</x:v>
      </x:c>
      <x:c r="C829" t="str">
        <x:v>RFP-C2</x:v>
      </x:c>
      <x:c r="D829" t="n">
        <x:v>8</x:v>
      </x:c>
      <x:c r="E829" t="n">
        <x:v>3</x:v>
      </x:c>
      <x:c r="F829" t="n">
        <x:v>4</x:v>
      </x:c>
      <x:c r="G829" t="n">
        <x:v>4</x:v>
      </x:c>
      <x:c r="H829" t="n">
        <x:v>150</x:v>
      </x:c>
      <x:c r="I829" t="n">
        <x:v>1.5</x:v>
      </x:c>
      <x:c r="J829" t="str"/>
      <x:c r="K829" t="str"/>
      <x:c r="L829" t="str">
        <x:v>OPEN</x:v>
      </x:c>
    </x:row>
    <x:row r="830">
      <x:c r="B830" t="str">
        <x:v>RFP-C2-TC-074</x:v>
      </x:c>
      <x:c r="C830" t="str">
        <x:v>RFP-C2</x:v>
      </x:c>
      <x:c r="D830" t="n">
        <x:v>8</x:v>
      </x:c>
      <x:c r="E830" t="n">
        <x:v>4</x:v>
      </x:c>
      <x:c r="F830" t="n">
        <x:v>4</x:v>
      </x:c>
      <x:c r="G830" t="n">
        <x:v>4</x:v>
      </x:c>
      <x:c r="H830" t="n">
        <x:v>150</x:v>
      </x:c>
      <x:c r="I830" t="n">
        <x:v>1.5</x:v>
      </x:c>
      <x:c r="J830" t="str"/>
      <x:c r="K830" t="str"/>
      <x:c r="L830" t="str">
        <x:v>OPEN</x:v>
      </x:c>
    </x:row>
    <x:row r="831">
      <x:c r="B831" t="str">
        <x:v>RFP-C2-TC-075</x:v>
      </x:c>
      <x:c r="C831" t="str">
        <x:v>RFP-C2</x:v>
      </x:c>
      <x:c r="D831" t="n">
        <x:v>8</x:v>
      </x:c>
      <x:c r="E831" t="n">
        <x:v>5</x:v>
      </x:c>
      <x:c r="F831" t="n">
        <x:v>4</x:v>
      </x:c>
      <x:c r="G831" t="n">
        <x:v>4</x:v>
      </x:c>
      <x:c r="H831" t="n">
        <x:v>150</x:v>
      </x:c>
      <x:c r="I831" t="n">
        <x:v>1.5</x:v>
      </x:c>
      <x:c r="J831" t="str"/>
      <x:c r="K831" t="str"/>
      <x:c r="L831" t="str">
        <x:v>OPEN</x:v>
      </x:c>
    </x:row>
    <x:row r="832">
      <x:c r="B832" t="str">
        <x:v>RFP-C2-TC-076</x:v>
      </x:c>
      <x:c r="C832" t="str">
        <x:v>RFP-C2</x:v>
      </x:c>
      <x:c r="D832" t="n">
        <x:v>8</x:v>
      </x:c>
      <x:c r="E832" t="n">
        <x:v>6</x:v>
      </x:c>
      <x:c r="F832" t="n">
        <x:v>4</x:v>
      </x:c>
      <x:c r="G832" t="n">
        <x:v>4</x:v>
      </x:c>
      <x:c r="H832" t="n">
        <x:v>150</x:v>
      </x:c>
      <x:c r="I832" t="n">
        <x:v>1.5</x:v>
      </x:c>
      <x:c r="J832" t="str"/>
      <x:c r="K832" t="str"/>
      <x:c r="L832" t="str">
        <x:v>OPEN</x:v>
      </x:c>
    </x:row>
    <x:row r="833">
      <x:c r="B833" t="str">
        <x:v>RFP-C2-TC-077</x:v>
      </x:c>
      <x:c r="C833" t="str">
        <x:v>RFP-C2</x:v>
      </x:c>
      <x:c r="D833" t="n">
        <x:v>8</x:v>
      </x:c>
      <x:c r="E833" t="n">
        <x:v>7</x:v>
      </x:c>
      <x:c r="F833" t="n">
        <x:v>4</x:v>
      </x:c>
      <x:c r="G833" t="n">
        <x:v>4</x:v>
      </x:c>
      <x:c r="H833" t="n">
        <x:v>150</x:v>
      </x:c>
      <x:c r="I833" t="n">
        <x:v>1.5</x:v>
      </x:c>
      <x:c r="J833" t="str"/>
      <x:c r="K833" t="str"/>
      <x:c r="L833" t="str">
        <x:v>OPEN</x:v>
      </x:c>
    </x:row>
    <x:row r="834">
      <x:c r="B834" t="str">
        <x:v>RFP-C2-TC-078</x:v>
      </x:c>
      <x:c r="C834" t="str">
        <x:v>RFP-C2</x:v>
      </x:c>
      <x:c r="D834" t="n">
        <x:v>8</x:v>
      </x:c>
      <x:c r="E834" t="n">
        <x:v>8</x:v>
      </x:c>
      <x:c r="F834" t="n">
        <x:v>4</x:v>
      </x:c>
      <x:c r="G834" t="n">
        <x:v>4</x:v>
      </x:c>
      <x:c r="H834" t="n">
        <x:v>150</x:v>
      </x:c>
      <x:c r="I834" t="n">
        <x:v>1.5</x:v>
      </x:c>
      <x:c r="J834" t="str"/>
      <x:c r="K834" t="str"/>
      <x:c r="L834" t="str">
        <x:v>OPEN</x:v>
      </x:c>
    </x:row>
    <x:row r="835">
      <x:c r="B835" t="str">
        <x:v>RFP-C2-TC-079</x:v>
      </x:c>
      <x:c r="C835" t="str">
        <x:v>RFP-C2</x:v>
      </x:c>
      <x:c r="D835" t="n">
        <x:v>8</x:v>
      </x:c>
      <x:c r="E835" t="n">
        <x:v>9</x:v>
      </x:c>
      <x:c r="F835" t="n">
        <x:v>4</x:v>
      </x:c>
      <x:c r="G835" t="n">
        <x:v>4</x:v>
      </x:c>
      <x:c r="H835" t="n">
        <x:v>150</x:v>
      </x:c>
      <x:c r="I835" t="n">
        <x:v>1.5</x:v>
      </x:c>
      <x:c r="J835" t="str"/>
      <x:c r="K835" t="str"/>
      <x:c r="L835" t="str">
        <x:v>OPEN</x:v>
      </x:c>
    </x:row>
    <x:row r="836">
      <x:c r="B836" t="str">
        <x:v>RFP-C2-TC-080</x:v>
      </x:c>
      <x:c r="C836" t="str">
        <x:v>RFP-C2</x:v>
      </x:c>
      <x:c r="D836" t="n">
        <x:v>8</x:v>
      </x:c>
      <x:c r="E836" t="n">
        <x:v>10</x:v>
      </x:c>
      <x:c r="F836" t="n">
        <x:v>4</x:v>
      </x:c>
      <x:c r="G836" t="n">
        <x:v>4</x:v>
      </x:c>
      <x:c r="H836" t="n">
        <x:v>150</x:v>
      </x:c>
      <x:c r="I836" t="n">
        <x:v>1.5</x:v>
      </x:c>
      <x:c r="J836" t="str"/>
      <x:c r="K836" t="str"/>
      <x:c r="L836" t="str">
        <x:v>OPEN</x:v>
      </x:c>
    </x:row>
    <x:row r="837">
      <x:c r="B837" t="str">
        <x:v>RFP-C2-TC-081</x:v>
      </x:c>
      <x:c r="C837" t="str">
        <x:v>RFP-C2</x:v>
      </x:c>
      <x:c r="D837" t="n">
        <x:v>9</x:v>
      </x:c>
      <x:c r="E837" t="n">
        <x:v>1</x:v>
      </x:c>
      <x:c r="F837" t="n">
        <x:v>4</x:v>
      </x:c>
      <x:c r="G837" t="n">
        <x:v>4</x:v>
      </x:c>
      <x:c r="H837" t="n">
        <x:v>150</x:v>
      </x:c>
      <x:c r="I837" t="n">
        <x:v>1.5</x:v>
      </x:c>
      <x:c r="J837" t="str"/>
      <x:c r="K837" t="str"/>
      <x:c r="L837" t="str">
        <x:v>OPEN</x:v>
      </x:c>
    </x:row>
    <x:row r="838">
      <x:c r="B838" t="str">
        <x:v>RFP-C2-TC-082</x:v>
      </x:c>
      <x:c r="C838" t="str">
        <x:v>RFP-C2</x:v>
      </x:c>
      <x:c r="D838" t="n">
        <x:v>9</x:v>
      </x:c>
      <x:c r="E838" t="n">
        <x:v>2</x:v>
      </x:c>
      <x:c r="F838" t="n">
        <x:v>4</x:v>
      </x:c>
      <x:c r="G838" t="n">
        <x:v>4</x:v>
      </x:c>
      <x:c r="H838" t="n">
        <x:v>150</x:v>
      </x:c>
      <x:c r="I838" t="n">
        <x:v>1.5</x:v>
      </x:c>
      <x:c r="J838" t="str"/>
      <x:c r="K838" t="str"/>
      <x:c r="L838" t="str">
        <x:v>OPEN</x:v>
      </x:c>
    </x:row>
    <x:row r="839">
      <x:c r="B839" t="str">
        <x:v>RFP-C2-TC-083</x:v>
      </x:c>
      <x:c r="C839" t="str">
        <x:v>RFP-C2</x:v>
      </x:c>
      <x:c r="D839" t="n">
        <x:v>9</x:v>
      </x:c>
      <x:c r="E839" t="n">
        <x:v>3</x:v>
      </x:c>
      <x:c r="F839" t="n">
        <x:v>4</x:v>
      </x:c>
      <x:c r="G839" t="n">
        <x:v>4</x:v>
      </x:c>
      <x:c r="H839" t="n">
        <x:v>150</x:v>
      </x:c>
      <x:c r="I839" t="n">
        <x:v>1.5</x:v>
      </x:c>
      <x:c r="J839" t="str"/>
      <x:c r="K839" t="str"/>
      <x:c r="L839" t="str">
        <x:v>OPEN</x:v>
      </x:c>
    </x:row>
    <x:row r="840">
      <x:c r="B840" t="str">
        <x:v>RFP-C2-TC-084</x:v>
      </x:c>
      <x:c r="C840" t="str">
        <x:v>RFP-C2</x:v>
      </x:c>
      <x:c r="D840" t="n">
        <x:v>9</x:v>
      </x:c>
      <x:c r="E840" t="n">
        <x:v>4</x:v>
      </x:c>
      <x:c r="F840" t="n">
        <x:v>4</x:v>
      </x:c>
      <x:c r="G840" t="n">
        <x:v>4</x:v>
      </x:c>
      <x:c r="H840" t="n">
        <x:v>150</x:v>
      </x:c>
      <x:c r="I840" t="n">
        <x:v>1.5</x:v>
      </x:c>
      <x:c r="J840" t="str"/>
      <x:c r="K840" t="str"/>
      <x:c r="L840" t="str">
        <x:v>OPEN</x:v>
      </x:c>
    </x:row>
    <x:row r="841">
      <x:c r="B841" t="str">
        <x:v>RFP-C2-TC-085</x:v>
      </x:c>
      <x:c r="C841" t="str">
        <x:v>RFP-C2</x:v>
      </x:c>
      <x:c r="D841" t="n">
        <x:v>9</x:v>
      </x:c>
      <x:c r="E841" t="n">
        <x:v>5</x:v>
      </x:c>
      <x:c r="F841" t="n">
        <x:v>4</x:v>
      </x:c>
      <x:c r="G841" t="n">
        <x:v>4</x:v>
      </x:c>
      <x:c r="H841" t="n">
        <x:v>150</x:v>
      </x:c>
      <x:c r="I841" t="n">
        <x:v>1.5</x:v>
      </x:c>
      <x:c r="J841" t="str"/>
      <x:c r="K841" t="str"/>
      <x:c r="L841" t="str">
        <x:v>OPEN</x:v>
      </x:c>
    </x:row>
    <x:row r="842">
      <x:c r="B842" t="str">
        <x:v>RFP-C2-TC-086</x:v>
      </x:c>
      <x:c r="C842" t="str">
        <x:v>RFP-C2</x:v>
      </x:c>
      <x:c r="D842" t="n">
        <x:v>9</x:v>
      </x:c>
      <x:c r="E842" t="n">
        <x:v>6</x:v>
      </x:c>
      <x:c r="F842" t="n">
        <x:v>4</x:v>
      </x:c>
      <x:c r="G842" t="n">
        <x:v>4</x:v>
      </x:c>
      <x:c r="H842" t="n">
        <x:v>150</x:v>
      </x:c>
      <x:c r="I842" t="n">
        <x:v>1.5</x:v>
      </x:c>
      <x:c r="J842" t="str"/>
      <x:c r="K842" t="str"/>
      <x:c r="L842" t="str">
        <x:v>OPEN</x:v>
      </x:c>
    </x:row>
    <x:row r="843">
      <x:c r="B843" t="str">
        <x:v>RFP-C2-TC-087</x:v>
      </x:c>
      <x:c r="C843" t="str">
        <x:v>RFP-C2</x:v>
      </x:c>
      <x:c r="D843" t="n">
        <x:v>9</x:v>
      </x:c>
      <x:c r="E843" t="n">
        <x:v>7</x:v>
      </x:c>
      <x:c r="F843" t="n">
        <x:v>4</x:v>
      </x:c>
      <x:c r="G843" t="n">
        <x:v>4</x:v>
      </x:c>
      <x:c r="H843" t="n">
        <x:v>150</x:v>
      </x:c>
      <x:c r="I843" t="n">
        <x:v>1.5</x:v>
      </x:c>
      <x:c r="J843" t="str"/>
      <x:c r="K843" t="str"/>
      <x:c r="L843" t="str">
        <x:v>OPEN</x:v>
      </x:c>
    </x:row>
    <x:row r="844">
      <x:c r="B844" t="str">
        <x:v>RFP-C2-TC-088</x:v>
      </x:c>
      <x:c r="C844" t="str">
        <x:v>RFP-C2</x:v>
      </x:c>
      <x:c r="D844" t="n">
        <x:v>9</x:v>
      </x:c>
      <x:c r="E844" t="n">
        <x:v>8</x:v>
      </x:c>
      <x:c r="F844" t="n">
        <x:v>4</x:v>
      </x:c>
      <x:c r="G844" t="n">
        <x:v>4</x:v>
      </x:c>
      <x:c r="H844" t="n">
        <x:v>150</x:v>
      </x:c>
      <x:c r="I844" t="n">
        <x:v>1.5</x:v>
      </x:c>
      <x:c r="J844" t="str"/>
      <x:c r="K844" t="str"/>
      <x:c r="L844" t="str">
        <x:v>OPEN</x:v>
      </x:c>
    </x:row>
    <x:row r="845">
      <x:c r="B845" t="str">
        <x:v>RFP-C2-TC-089</x:v>
      </x:c>
      <x:c r="C845" t="str">
        <x:v>RFP-C2</x:v>
      </x:c>
      <x:c r="D845" t="n">
        <x:v>9</x:v>
      </x:c>
      <x:c r="E845" t="n">
        <x:v>9</x:v>
      </x:c>
      <x:c r="F845" t="n">
        <x:v>4</x:v>
      </x:c>
      <x:c r="G845" t="n">
        <x:v>4</x:v>
      </x:c>
      <x:c r="H845" t="n">
        <x:v>150</x:v>
      </x:c>
      <x:c r="I845" t="n">
        <x:v>1.5</x:v>
      </x:c>
      <x:c r="J845" t="str"/>
      <x:c r="K845" t="str"/>
      <x:c r="L845" t="str">
        <x:v>OPEN</x:v>
      </x:c>
    </x:row>
    <x:row r="846">
      <x:c r="B846" t="str">
        <x:v>RFP-C2-TC-090</x:v>
      </x:c>
      <x:c r="C846" t="str">
        <x:v>RFP-C2</x:v>
      </x:c>
      <x:c r="D846" t="n">
        <x:v>9</x:v>
      </x:c>
      <x:c r="E846" t="n">
        <x:v>10</x:v>
      </x:c>
      <x:c r="F846" t="n">
        <x:v>4</x:v>
      </x:c>
      <x:c r="G846" t="n">
        <x:v>4</x:v>
      </x:c>
      <x:c r="H846" t="n">
        <x:v>150</x:v>
      </x:c>
      <x:c r="I846" t="n">
        <x:v>1.5</x:v>
      </x:c>
      <x:c r="J846" t="str"/>
      <x:c r="K846" t="str"/>
      <x:c r="L846" t="str">
        <x:v>OPEN</x:v>
      </x:c>
    </x:row>
    <x:row r="847">
      <x:c r="B847" t="str">
        <x:v>RFP-C2-TC-091</x:v>
      </x:c>
      <x:c r="C847" t="str">
        <x:v>RFP-C2</x:v>
      </x:c>
      <x:c r="D847" t="n">
        <x:v>10</x:v>
      </x:c>
      <x:c r="E847" t="n">
        <x:v>1</x:v>
      </x:c>
      <x:c r="F847" t="n">
        <x:v>4</x:v>
      </x:c>
      <x:c r="G847" t="n">
        <x:v>4</x:v>
      </x:c>
      <x:c r="H847" t="n">
        <x:v>150</x:v>
      </x:c>
      <x:c r="I847" t="n">
        <x:v>1.5</x:v>
      </x:c>
      <x:c r="J847" t="str"/>
      <x:c r="K847" t="str"/>
      <x:c r="L847" t="str">
        <x:v>OPEN</x:v>
      </x:c>
    </x:row>
    <x:row r="848">
      <x:c r="B848" t="str">
        <x:v>RFP-C2-TC-092</x:v>
      </x:c>
      <x:c r="C848" t="str">
        <x:v>RFP-C2</x:v>
      </x:c>
      <x:c r="D848" t="n">
        <x:v>10</x:v>
      </x:c>
      <x:c r="E848" t="n">
        <x:v>2</x:v>
      </x:c>
      <x:c r="F848" t="n">
        <x:v>4</x:v>
      </x:c>
      <x:c r="G848" t="n">
        <x:v>4</x:v>
      </x:c>
      <x:c r="H848" t="n">
        <x:v>150</x:v>
      </x:c>
      <x:c r="I848" t="n">
        <x:v>1.5</x:v>
      </x:c>
      <x:c r="J848" t="str"/>
      <x:c r="K848" t="str"/>
      <x:c r="L848" t="str">
        <x:v>OPEN</x:v>
      </x:c>
    </x:row>
    <x:row r="849">
      <x:c r="B849" t="str">
        <x:v>RFP-C2-TC-093</x:v>
      </x:c>
      <x:c r="C849" t="str">
        <x:v>RFP-C2</x:v>
      </x:c>
      <x:c r="D849" t="n">
        <x:v>10</x:v>
      </x:c>
      <x:c r="E849" t="n">
        <x:v>3</x:v>
      </x:c>
      <x:c r="F849" t="n">
        <x:v>4</x:v>
      </x:c>
      <x:c r="G849" t="n">
        <x:v>4</x:v>
      </x:c>
      <x:c r="H849" t="n">
        <x:v>150</x:v>
      </x:c>
      <x:c r="I849" t="n">
        <x:v>1.5</x:v>
      </x:c>
      <x:c r="J849" t="str"/>
      <x:c r="K849" t="str"/>
      <x:c r="L849" t="str">
        <x:v>OPEN</x:v>
      </x:c>
    </x:row>
    <x:row r="850">
      <x:c r="B850" t="str">
        <x:v>RFP-C2-TC-094</x:v>
      </x:c>
      <x:c r="C850" t="str">
        <x:v>RFP-C2</x:v>
      </x:c>
      <x:c r="D850" t="n">
        <x:v>10</x:v>
      </x:c>
      <x:c r="E850" t="n">
        <x:v>4</x:v>
      </x:c>
      <x:c r="F850" t="n">
        <x:v>4</x:v>
      </x:c>
      <x:c r="G850" t="n">
        <x:v>4</x:v>
      </x:c>
      <x:c r="H850" t="n">
        <x:v>150</x:v>
      </x:c>
      <x:c r="I850" t="n">
        <x:v>1.5</x:v>
      </x:c>
      <x:c r="J850" t="str"/>
      <x:c r="K850" t="str"/>
      <x:c r="L850" t="str">
        <x:v>OPEN</x:v>
      </x:c>
    </x:row>
    <x:row r="851">
      <x:c r="B851" t="str">
        <x:v>RFP-C2-TC-095</x:v>
      </x:c>
      <x:c r="C851" t="str">
        <x:v>RFP-C2</x:v>
      </x:c>
      <x:c r="D851" t="n">
        <x:v>10</x:v>
      </x:c>
      <x:c r="E851" t="n">
        <x:v>5</x:v>
      </x:c>
      <x:c r="F851" t="n">
        <x:v>4</x:v>
      </x:c>
      <x:c r="G851" t="n">
        <x:v>4</x:v>
      </x:c>
      <x:c r="H851" t="n">
        <x:v>150</x:v>
      </x:c>
      <x:c r="I851" t="n">
        <x:v>1.5</x:v>
      </x:c>
      <x:c r="J851" t="str"/>
      <x:c r="K851" t="str"/>
      <x:c r="L851" t="str">
        <x:v>OPEN</x:v>
      </x:c>
    </x:row>
    <x:row r="852">
      <x:c r="B852" t="str">
        <x:v>RFP-C2-TC-096</x:v>
      </x:c>
      <x:c r="C852" t="str">
        <x:v>RFP-C2</x:v>
      </x:c>
      <x:c r="D852" t="n">
        <x:v>10</x:v>
      </x:c>
      <x:c r="E852" t="n">
        <x:v>6</x:v>
      </x:c>
      <x:c r="F852" t="n">
        <x:v>4</x:v>
      </x:c>
      <x:c r="G852" t="n">
        <x:v>4</x:v>
      </x:c>
      <x:c r="H852" t="n">
        <x:v>150</x:v>
      </x:c>
      <x:c r="I852" t="n">
        <x:v>1.5</x:v>
      </x:c>
      <x:c r="J852" t="str"/>
      <x:c r="K852" t="str"/>
      <x:c r="L852" t="str">
        <x:v>OPEN</x:v>
      </x:c>
    </x:row>
    <x:row r="853">
      <x:c r="B853" t="str">
        <x:v>RFP-C2-TC-097</x:v>
      </x:c>
      <x:c r="C853" t="str">
        <x:v>RFP-C2</x:v>
      </x:c>
      <x:c r="D853" t="n">
        <x:v>10</x:v>
      </x:c>
      <x:c r="E853" t="n">
        <x:v>7</x:v>
      </x:c>
      <x:c r="F853" t="n">
        <x:v>4</x:v>
      </x:c>
      <x:c r="G853" t="n">
        <x:v>4</x:v>
      </x:c>
      <x:c r="H853" t="n">
        <x:v>150</x:v>
      </x:c>
      <x:c r="I853" t="n">
        <x:v>1.5</x:v>
      </x:c>
      <x:c r="J853" t="str"/>
      <x:c r="K853" t="str"/>
      <x:c r="L853" t="str">
        <x:v>OPEN</x:v>
      </x:c>
    </x:row>
    <x:row r="854">
      <x:c r="B854" t="str">
        <x:v>RFP-C2-TC-098</x:v>
      </x:c>
      <x:c r="C854" t="str">
        <x:v>RFP-C2</x:v>
      </x:c>
      <x:c r="D854" t="n">
        <x:v>10</x:v>
      </x:c>
      <x:c r="E854" t="n">
        <x:v>8</x:v>
      </x:c>
      <x:c r="F854" t="n">
        <x:v>4</x:v>
      </x:c>
      <x:c r="G854" t="n">
        <x:v>4</x:v>
      </x:c>
      <x:c r="H854" t="n">
        <x:v>150</x:v>
      </x:c>
      <x:c r="I854" t="n">
        <x:v>1.5</x:v>
      </x:c>
      <x:c r="J854" t="str"/>
      <x:c r="K854" t="str"/>
      <x:c r="L854" t="str">
        <x:v>OPEN</x:v>
      </x:c>
    </x:row>
    <x:row r="855">
      <x:c r="B855" t="str">
        <x:v>RFP-C2-TC-099</x:v>
      </x:c>
      <x:c r="C855" t="str">
        <x:v>RFP-C2</x:v>
      </x:c>
      <x:c r="D855" t="n">
        <x:v>10</x:v>
      </x:c>
      <x:c r="E855" t="n">
        <x:v>9</x:v>
      </x:c>
      <x:c r="F855" t="n">
        <x:v>4</x:v>
      </x:c>
      <x:c r="G855" t="n">
        <x:v>4</x:v>
      </x:c>
      <x:c r="H855" t="n">
        <x:v>150</x:v>
      </x:c>
      <x:c r="I855" t="n">
        <x:v>1.5</x:v>
      </x:c>
      <x:c r="J855" t="str"/>
      <x:c r="K855" t="str"/>
      <x:c r="L855" t="str">
        <x:v>OPEN</x:v>
      </x:c>
    </x:row>
    <x:row r="856">
      <x:c r="B856" t="str">
        <x:v>RFP-C2-TC-100</x:v>
      </x:c>
      <x:c r="C856" t="str">
        <x:v>RFP-C2</x:v>
      </x:c>
      <x:c r="D856" t="n">
        <x:v>10</x:v>
      </x:c>
      <x:c r="E856" t="n">
        <x:v>10</x:v>
      </x:c>
      <x:c r="F856" t="n">
        <x:v>4</x:v>
      </x:c>
      <x:c r="G856" t="n">
        <x:v>4</x:v>
      </x:c>
      <x:c r="H856" t="n">
        <x:v>150</x:v>
      </x:c>
      <x:c r="I856" t="n">
        <x:v>1.5</x:v>
      </x:c>
      <x:c r="J856" t="str"/>
      <x:c r="K856" t="str"/>
      <x:c r="L856" t="str">
        <x:v>OPEN</x:v>
      </x:c>
    </x:row>
    <x:row r="857">
      <x:c r="B857" t="str">
        <x:v>RFP-C2-TC-101</x:v>
      </x:c>
      <x:c r="C857" t="str">
        <x:v>RFP-C2</x:v>
      </x:c>
      <x:c r="D857" t="n">
        <x:v>11</x:v>
      </x:c>
      <x:c r="E857" t="n">
        <x:v>1</x:v>
      </x:c>
      <x:c r="F857" t="n">
        <x:v>4</x:v>
      </x:c>
      <x:c r="G857" t="n">
        <x:v>4</x:v>
      </x:c>
      <x:c r="H857" t="n">
        <x:v>150</x:v>
      </x:c>
      <x:c r="I857" t="n">
        <x:v>1.5</x:v>
      </x:c>
      <x:c r="J857" t="str"/>
      <x:c r="K857" t="str"/>
      <x:c r="L857" t="str">
        <x:v>OPEN</x:v>
      </x:c>
    </x:row>
    <x:row r="858">
      <x:c r="B858" t="str">
        <x:v>RFP-C2-TC-102</x:v>
      </x:c>
      <x:c r="C858" t="str">
        <x:v>RFP-C2</x:v>
      </x:c>
      <x:c r="D858" t="n">
        <x:v>11</x:v>
      </x:c>
      <x:c r="E858" t="n">
        <x:v>2</x:v>
      </x:c>
      <x:c r="F858" t="n">
        <x:v>4</x:v>
      </x:c>
      <x:c r="G858" t="n">
        <x:v>4</x:v>
      </x:c>
      <x:c r="H858" t="n">
        <x:v>150</x:v>
      </x:c>
      <x:c r="I858" t="n">
        <x:v>1.5</x:v>
      </x:c>
      <x:c r="J858" t="str"/>
      <x:c r="K858" t="str"/>
      <x:c r="L858" t="str">
        <x:v>OPEN</x:v>
      </x:c>
    </x:row>
    <x:row r="859">
      <x:c r="B859" t="str">
        <x:v>RFP-C2-TC-103</x:v>
      </x:c>
      <x:c r="C859" t="str">
        <x:v>RFP-C2</x:v>
      </x:c>
      <x:c r="D859" t="n">
        <x:v>11</x:v>
      </x:c>
      <x:c r="E859" t="n">
        <x:v>3</x:v>
      </x:c>
      <x:c r="F859" t="n">
        <x:v>4</x:v>
      </x:c>
      <x:c r="G859" t="n">
        <x:v>4</x:v>
      </x:c>
      <x:c r="H859" t="n">
        <x:v>150</x:v>
      </x:c>
      <x:c r="I859" t="n">
        <x:v>1.5</x:v>
      </x:c>
      <x:c r="J859" t="str"/>
      <x:c r="K859" t="str"/>
      <x:c r="L859" t="str">
        <x:v>OPEN</x:v>
      </x:c>
    </x:row>
    <x:row r="860">
      <x:c r="B860" t="str">
        <x:v>RFP-C2-TC-104</x:v>
      </x:c>
      <x:c r="C860" t="str">
        <x:v>RFP-C2</x:v>
      </x:c>
      <x:c r="D860" t="n">
        <x:v>11</x:v>
      </x:c>
      <x:c r="E860" t="n">
        <x:v>4</x:v>
      </x:c>
      <x:c r="F860" t="n">
        <x:v>4</x:v>
      </x:c>
      <x:c r="G860" t="n">
        <x:v>4</x:v>
      </x:c>
      <x:c r="H860" t="n">
        <x:v>150</x:v>
      </x:c>
      <x:c r="I860" t="n">
        <x:v>1.5</x:v>
      </x:c>
      <x:c r="J860" t="str"/>
      <x:c r="K860" t="str"/>
      <x:c r="L860" t="str">
        <x:v>OPEN</x:v>
      </x:c>
    </x:row>
    <x:row r="861">
      <x:c r="B861" t="str">
        <x:v>RFP-C2-TC-105</x:v>
      </x:c>
      <x:c r="C861" t="str">
        <x:v>RFP-C2</x:v>
      </x:c>
      <x:c r="D861" t="n">
        <x:v>11</x:v>
      </x:c>
      <x:c r="E861" t="n">
        <x:v>5</x:v>
      </x:c>
      <x:c r="F861" t="n">
        <x:v>4</x:v>
      </x:c>
      <x:c r="G861" t="n">
        <x:v>4</x:v>
      </x:c>
      <x:c r="H861" t="n">
        <x:v>150</x:v>
      </x:c>
      <x:c r="I861" t="n">
        <x:v>1.5</x:v>
      </x:c>
      <x:c r="J861" t="str"/>
      <x:c r="K861" t="str"/>
      <x:c r="L861" t="str">
        <x:v>OPEN</x:v>
      </x:c>
    </x:row>
    <x:row r="862">
      <x:c r="B862" t="str">
        <x:v>RFP-C2-TC-106</x:v>
      </x:c>
      <x:c r="C862" t="str">
        <x:v>RFP-C2</x:v>
      </x:c>
      <x:c r="D862" t="n">
        <x:v>11</x:v>
      </x:c>
      <x:c r="E862" t="n">
        <x:v>6</x:v>
      </x:c>
      <x:c r="F862" t="n">
        <x:v>4</x:v>
      </x:c>
      <x:c r="G862" t="n">
        <x:v>4</x:v>
      </x:c>
      <x:c r="H862" t="n">
        <x:v>150</x:v>
      </x:c>
      <x:c r="I862" t="n">
        <x:v>1.5</x:v>
      </x:c>
      <x:c r="J862" t="str"/>
      <x:c r="K862" t="str"/>
      <x:c r="L862" t="str">
        <x:v>OPEN</x:v>
      </x:c>
    </x:row>
    <x:row r="863">
      <x:c r="B863" t="str">
        <x:v>RFP-C2-TC-107</x:v>
      </x:c>
      <x:c r="C863" t="str">
        <x:v>RFP-C2</x:v>
      </x:c>
      <x:c r="D863" t="n">
        <x:v>11</x:v>
      </x:c>
      <x:c r="E863" t="n">
        <x:v>7</x:v>
      </x:c>
      <x:c r="F863" t="n">
        <x:v>4</x:v>
      </x:c>
      <x:c r="G863" t="n">
        <x:v>4</x:v>
      </x:c>
      <x:c r="H863" t="n">
        <x:v>150</x:v>
      </x:c>
      <x:c r="I863" t="n">
        <x:v>1.5</x:v>
      </x:c>
      <x:c r="J863" t="str"/>
      <x:c r="K863" t="str"/>
      <x:c r="L863" t="str">
        <x:v>OPEN</x:v>
      </x:c>
    </x:row>
    <x:row r="864">
      <x:c r="B864" t="str">
        <x:v>RFP-C2-TC-108</x:v>
      </x:c>
      <x:c r="C864" t="str">
        <x:v>RFP-C2</x:v>
      </x:c>
      <x:c r="D864" t="n">
        <x:v>11</x:v>
      </x:c>
      <x:c r="E864" t="n">
        <x:v>8</x:v>
      </x:c>
      <x:c r="F864" t="n">
        <x:v>4</x:v>
      </x:c>
      <x:c r="G864" t="n">
        <x:v>4</x:v>
      </x:c>
      <x:c r="H864" t="n">
        <x:v>150</x:v>
      </x:c>
      <x:c r="I864" t="n">
        <x:v>1.5</x:v>
      </x:c>
      <x:c r="J864" t="str"/>
      <x:c r="K864" t="str"/>
      <x:c r="L864" t="str">
        <x:v>OPEN</x:v>
      </x:c>
    </x:row>
    <x:row r="865">
      <x:c r="B865" t="str">
        <x:v>RFP-C2-TC-109</x:v>
      </x:c>
      <x:c r="C865" t="str">
        <x:v>RFP-C2</x:v>
      </x:c>
      <x:c r="D865" t="n">
        <x:v>11</x:v>
      </x:c>
      <x:c r="E865" t="n">
        <x:v>9</x:v>
      </x:c>
      <x:c r="F865" t="n">
        <x:v>4</x:v>
      </x:c>
      <x:c r="G865" t="n">
        <x:v>4</x:v>
      </x:c>
      <x:c r="H865" t="n">
        <x:v>150</x:v>
      </x:c>
      <x:c r="I865" t="n">
        <x:v>1.5</x:v>
      </x:c>
      <x:c r="J865" t="str"/>
      <x:c r="K865" t="str"/>
      <x:c r="L865" t="str">
        <x:v>OPEN</x:v>
      </x:c>
    </x:row>
    <x:row r="866">
      <x:c r="B866" t="str">
        <x:v>RFP-C2-TC-110</x:v>
      </x:c>
      <x:c r="C866" t="str">
        <x:v>RFP-C2</x:v>
      </x:c>
      <x:c r="D866" t="n">
        <x:v>11</x:v>
      </x:c>
      <x:c r="E866" t="n">
        <x:v>10</x:v>
      </x:c>
      <x:c r="F866" t="n">
        <x:v>4</x:v>
      </x:c>
      <x:c r="G866" t="n">
        <x:v>4</x:v>
      </x:c>
      <x:c r="H866" t="n">
        <x:v>150</x:v>
      </x:c>
      <x:c r="I866" t="n">
        <x:v>1.5</x:v>
      </x:c>
      <x:c r="J866" t="str"/>
      <x:c r="K866" t="str"/>
      <x:c r="L866" t="str">
        <x:v>OPEN</x:v>
      </x:c>
    </x:row>
    <x:row r="867">
      <x:c r="B867" t="str">
        <x:v>RFP-C2-TC-111</x:v>
      </x:c>
      <x:c r="C867" t="str">
        <x:v>RFP-C2</x:v>
      </x:c>
      <x:c r="D867" t="n">
        <x:v>12</x:v>
      </x:c>
      <x:c r="E867" t="n">
        <x:v>1</x:v>
      </x:c>
      <x:c r="F867" t="n">
        <x:v>4</x:v>
      </x:c>
      <x:c r="G867" t="n">
        <x:v>4</x:v>
      </x:c>
      <x:c r="H867" t="n">
        <x:v>150</x:v>
      </x:c>
      <x:c r="I867" t="n">
        <x:v>1.5</x:v>
      </x:c>
      <x:c r="J867" t="str"/>
      <x:c r="K867" t="str"/>
      <x:c r="L867" t="str">
        <x:v>OPEN</x:v>
      </x:c>
    </x:row>
    <x:row r="868">
      <x:c r="B868" t="str">
        <x:v>RFP-C2-TC-112</x:v>
      </x:c>
      <x:c r="C868" t="str">
        <x:v>RFP-C2</x:v>
      </x:c>
      <x:c r="D868" t="n">
        <x:v>12</x:v>
      </x:c>
      <x:c r="E868" t="n">
        <x:v>2</x:v>
      </x:c>
      <x:c r="F868" t="n">
        <x:v>4</x:v>
      </x:c>
      <x:c r="G868" t="n">
        <x:v>4</x:v>
      </x:c>
      <x:c r="H868" t="n">
        <x:v>150</x:v>
      </x:c>
      <x:c r="I868" t="n">
        <x:v>1.5</x:v>
      </x:c>
      <x:c r="J868" t="str"/>
      <x:c r="K868" t="str"/>
      <x:c r="L868" t="str">
        <x:v>OPEN</x:v>
      </x:c>
    </x:row>
    <x:row r="869">
      <x:c r="B869" t="str">
        <x:v>RFP-C2-TC-113</x:v>
      </x:c>
      <x:c r="C869" t="str">
        <x:v>RFP-C2</x:v>
      </x:c>
      <x:c r="D869" t="n">
        <x:v>12</x:v>
      </x:c>
      <x:c r="E869" t="n">
        <x:v>3</x:v>
      </x:c>
      <x:c r="F869" t="n">
        <x:v>4</x:v>
      </x:c>
      <x:c r="G869" t="n">
        <x:v>4</x:v>
      </x:c>
      <x:c r="H869" t="n">
        <x:v>150</x:v>
      </x:c>
      <x:c r="I869" t="n">
        <x:v>1.5</x:v>
      </x:c>
      <x:c r="J869" t="str"/>
      <x:c r="K869" t="str"/>
      <x:c r="L869" t="str">
        <x:v>OPEN</x:v>
      </x:c>
    </x:row>
    <x:row r="870">
      <x:c r="B870" t="str">
        <x:v>RFP-C2-TC-114</x:v>
      </x:c>
      <x:c r="C870" t="str">
        <x:v>RFP-C2</x:v>
      </x:c>
      <x:c r="D870" t="n">
        <x:v>12</x:v>
      </x:c>
      <x:c r="E870" t="n">
        <x:v>4</x:v>
      </x:c>
      <x:c r="F870" t="n">
        <x:v>4</x:v>
      </x:c>
      <x:c r="G870" t="n">
        <x:v>4</x:v>
      </x:c>
      <x:c r="H870" t="n">
        <x:v>150</x:v>
      </x:c>
      <x:c r="I870" t="n">
        <x:v>1.5</x:v>
      </x:c>
      <x:c r="J870" t="str"/>
      <x:c r="K870" t="str"/>
      <x:c r="L870" t="str">
        <x:v>OPEN</x:v>
      </x:c>
    </x:row>
    <x:row r="871">
      <x:c r="B871" t="str">
        <x:v>RFP-C2-TC-115</x:v>
      </x:c>
      <x:c r="C871" t="str">
        <x:v>RFP-C2</x:v>
      </x:c>
      <x:c r="D871" t="n">
        <x:v>12</x:v>
      </x:c>
      <x:c r="E871" t="n">
        <x:v>5</x:v>
      </x:c>
      <x:c r="F871" t="n">
        <x:v>4</x:v>
      </x:c>
      <x:c r="G871" t="n">
        <x:v>4</x:v>
      </x:c>
      <x:c r="H871" t="n">
        <x:v>150</x:v>
      </x:c>
      <x:c r="I871" t="n">
        <x:v>1.5</x:v>
      </x:c>
      <x:c r="J871" t="str"/>
      <x:c r="K871" t="str"/>
      <x:c r="L871" t="str">
        <x:v>OPEN</x:v>
      </x:c>
    </x:row>
    <x:row r="872">
      <x:c r="B872" t="str">
        <x:v>RFP-C2-TC-116</x:v>
      </x:c>
      <x:c r="C872" t="str">
        <x:v>RFP-C2</x:v>
      </x:c>
      <x:c r="D872" t="n">
        <x:v>12</x:v>
      </x:c>
      <x:c r="E872" t="n">
        <x:v>6</x:v>
      </x:c>
      <x:c r="F872" t="n">
        <x:v>4</x:v>
      </x:c>
      <x:c r="G872" t="n">
        <x:v>4</x:v>
      </x:c>
      <x:c r="H872" t="n">
        <x:v>150</x:v>
      </x:c>
      <x:c r="I872" t="n">
        <x:v>1.5</x:v>
      </x:c>
      <x:c r="J872" t="str"/>
      <x:c r="K872" t="str"/>
      <x:c r="L872" t="str">
        <x:v>OPEN</x:v>
      </x:c>
    </x:row>
    <x:row r="873">
      <x:c r="B873" t="str">
        <x:v>RFP-C2-TC-117</x:v>
      </x:c>
      <x:c r="C873" t="str">
        <x:v>RFP-C2</x:v>
      </x:c>
      <x:c r="D873" t="n">
        <x:v>12</x:v>
      </x:c>
      <x:c r="E873" t="n">
        <x:v>7</x:v>
      </x:c>
      <x:c r="F873" t="n">
        <x:v>4</x:v>
      </x:c>
      <x:c r="G873" t="n">
        <x:v>4</x:v>
      </x:c>
      <x:c r="H873" t="n">
        <x:v>150</x:v>
      </x:c>
      <x:c r="I873" t="n">
        <x:v>1.5</x:v>
      </x:c>
      <x:c r="J873" t="str"/>
      <x:c r="K873" t="str"/>
      <x:c r="L873" t="str">
        <x:v>OPEN</x:v>
      </x:c>
    </x:row>
    <x:row r="874">
      <x:c r="B874" t="str">
        <x:v>RFP-C2-TC-118</x:v>
      </x:c>
      <x:c r="C874" t="str">
        <x:v>RFP-C2</x:v>
      </x:c>
      <x:c r="D874" t="n">
        <x:v>12</x:v>
      </x:c>
      <x:c r="E874" t="n">
        <x:v>8</x:v>
      </x:c>
      <x:c r="F874" t="n">
        <x:v>4</x:v>
      </x:c>
      <x:c r="G874" t="n">
        <x:v>4</x:v>
      </x:c>
      <x:c r="H874" t="n">
        <x:v>150</x:v>
      </x:c>
      <x:c r="I874" t="n">
        <x:v>1.5</x:v>
      </x:c>
      <x:c r="J874" t="str"/>
      <x:c r="K874" t="str"/>
      <x:c r="L874" t="str">
        <x:v>OPEN</x:v>
      </x:c>
    </x:row>
    <x:row r="875">
      <x:c r="B875" t="str">
        <x:v>RFP-C2-TC-119</x:v>
      </x:c>
      <x:c r="C875" t="str">
        <x:v>RFP-C2</x:v>
      </x:c>
      <x:c r="D875" t="n">
        <x:v>12</x:v>
      </x:c>
      <x:c r="E875" t="n">
        <x:v>9</x:v>
      </x:c>
      <x:c r="F875" t="n">
        <x:v>4</x:v>
      </x:c>
      <x:c r="G875" t="n">
        <x:v>4</x:v>
      </x:c>
      <x:c r="H875" t="n">
        <x:v>150</x:v>
      </x:c>
      <x:c r="I875" t="n">
        <x:v>1.5</x:v>
      </x:c>
      <x:c r="J875" t="str"/>
      <x:c r="K875" t="str"/>
      <x:c r="L875" t="str">
        <x:v>OPEN</x:v>
      </x:c>
    </x:row>
    <x:row r="876">
      <x:c r="B876" t="str">
        <x:v>RFP-C2-TC-120</x:v>
      </x:c>
      <x:c r="C876" t="str">
        <x:v>RFP-C2</x:v>
      </x:c>
      <x:c r="D876" t="n">
        <x:v>12</x:v>
      </x:c>
      <x:c r="E876" t="n">
        <x:v>10</x:v>
      </x:c>
      <x:c r="F876" t="n">
        <x:v>4</x:v>
      </x:c>
      <x:c r="G876" t="n">
        <x:v>4</x:v>
      </x:c>
      <x:c r="H876" t="n">
        <x:v>150</x:v>
      </x:c>
      <x:c r="I876" t="n">
        <x:v>1.5</x:v>
      </x:c>
      <x:c r="J876" t="str"/>
      <x:c r="K876" t="str"/>
      <x:c r="L876" t="str">
        <x:v>OPEN</x:v>
      </x:c>
    </x:row>
    <x:row r="877">
      <x:c r="B877" t="str">
        <x:v>RFP-C2-TC-121</x:v>
      </x:c>
      <x:c r="C877" t="str">
        <x:v>RFP-C2</x:v>
      </x:c>
      <x:c r="D877" t="n">
        <x:v>13</x:v>
      </x:c>
      <x:c r="E877" t="n">
        <x:v>1</x:v>
      </x:c>
      <x:c r="F877" t="n">
        <x:v>4</x:v>
      </x:c>
      <x:c r="G877" t="n">
        <x:v>4</x:v>
      </x:c>
      <x:c r="H877" t="n">
        <x:v>150</x:v>
      </x:c>
      <x:c r="I877" t="n">
        <x:v>1.5</x:v>
      </x:c>
      <x:c r="J877" t="str"/>
      <x:c r="K877" t="str"/>
      <x:c r="L877" t="str">
        <x:v>OPEN</x:v>
      </x:c>
    </x:row>
    <x:row r="878">
      <x:c r="B878" t="str">
        <x:v>RFP-C2-TC-122</x:v>
      </x:c>
      <x:c r="C878" t="str">
        <x:v>RFP-C2</x:v>
      </x:c>
      <x:c r="D878" t="n">
        <x:v>13</x:v>
      </x:c>
      <x:c r="E878" t="n">
        <x:v>2</x:v>
      </x:c>
      <x:c r="F878" t="n">
        <x:v>4</x:v>
      </x:c>
      <x:c r="G878" t="n">
        <x:v>4</x:v>
      </x:c>
      <x:c r="H878" t="n">
        <x:v>150</x:v>
      </x:c>
      <x:c r="I878" t="n">
        <x:v>1.5</x:v>
      </x:c>
      <x:c r="J878" t="str"/>
      <x:c r="K878" t="str"/>
      <x:c r="L878" t="str">
        <x:v>OPEN</x:v>
      </x:c>
    </x:row>
    <x:row r="879">
      <x:c r="B879" t="str">
        <x:v>RFP-C2-TC-123</x:v>
      </x:c>
      <x:c r="C879" t="str">
        <x:v>RFP-C2</x:v>
      </x:c>
      <x:c r="D879" t="n">
        <x:v>13</x:v>
      </x:c>
      <x:c r="E879" t="n">
        <x:v>3</x:v>
      </x:c>
      <x:c r="F879" t="n">
        <x:v>4</x:v>
      </x:c>
      <x:c r="G879" t="n">
        <x:v>4</x:v>
      </x:c>
      <x:c r="H879" t="n">
        <x:v>150</x:v>
      </x:c>
      <x:c r="I879" t="n">
        <x:v>1.5</x:v>
      </x:c>
      <x:c r="J879" t="str"/>
      <x:c r="K879" t="str"/>
      <x:c r="L879" t="str">
        <x:v>OPEN</x:v>
      </x:c>
    </x:row>
    <x:row r="880">
      <x:c r="B880" t="str">
        <x:v>RFP-C2-TC-124</x:v>
      </x:c>
      <x:c r="C880" t="str">
        <x:v>RFP-C2</x:v>
      </x:c>
      <x:c r="D880" t="n">
        <x:v>13</x:v>
      </x:c>
      <x:c r="E880" t="n">
        <x:v>4</x:v>
      </x:c>
      <x:c r="F880" t="n">
        <x:v>4</x:v>
      </x:c>
      <x:c r="G880" t="n">
        <x:v>4</x:v>
      </x:c>
      <x:c r="H880" t="n">
        <x:v>150</x:v>
      </x:c>
      <x:c r="I880" t="n">
        <x:v>1.5</x:v>
      </x:c>
      <x:c r="J880" t="str"/>
      <x:c r="K880" t="str"/>
      <x:c r="L880" t="str">
        <x:v>OPEN</x:v>
      </x:c>
    </x:row>
    <x:row r="881">
      <x:c r="B881" t="str">
        <x:v>RFP-C2-TC-125</x:v>
      </x:c>
      <x:c r="C881" t="str">
        <x:v>RFP-C2</x:v>
      </x:c>
      <x:c r="D881" t="n">
        <x:v>13</x:v>
      </x:c>
      <x:c r="E881" t="n">
        <x:v>5</x:v>
      </x:c>
      <x:c r="F881" t="n">
        <x:v>4</x:v>
      </x:c>
      <x:c r="G881" t="n">
        <x:v>4</x:v>
      </x:c>
      <x:c r="H881" t="n">
        <x:v>150</x:v>
      </x:c>
      <x:c r="I881" t="n">
        <x:v>1.5</x:v>
      </x:c>
      <x:c r="J881" t="str"/>
      <x:c r="K881" t="str"/>
      <x:c r="L881" t="str">
        <x:v>OPEN</x:v>
      </x:c>
    </x:row>
    <x:row r="882">
      <x:c r="B882" t="str">
        <x:v>RFP-C2-TC-126</x:v>
      </x:c>
      <x:c r="C882" t="str">
        <x:v>RFP-C2</x:v>
      </x:c>
      <x:c r="D882" t="n">
        <x:v>13</x:v>
      </x:c>
      <x:c r="E882" t="n">
        <x:v>6</x:v>
      </x:c>
      <x:c r="F882" t="n">
        <x:v>4</x:v>
      </x:c>
      <x:c r="G882" t="n">
        <x:v>4</x:v>
      </x:c>
      <x:c r="H882" t="n">
        <x:v>150</x:v>
      </x:c>
      <x:c r="I882" t="n">
        <x:v>1.5</x:v>
      </x:c>
      <x:c r="J882" t="str"/>
      <x:c r="K882" t="str"/>
      <x:c r="L882" t="str">
        <x:v>OPEN</x:v>
      </x:c>
    </x:row>
    <x:row r="883">
      <x:c r="B883" t="str">
        <x:v>RFP-C2-TC-127</x:v>
      </x:c>
      <x:c r="C883" t="str">
        <x:v>RFP-C2</x:v>
      </x:c>
      <x:c r="D883" t="n">
        <x:v>13</x:v>
      </x:c>
      <x:c r="E883" t="n">
        <x:v>7</x:v>
      </x:c>
      <x:c r="F883" t="n">
        <x:v>4</x:v>
      </x:c>
      <x:c r="G883" t="n">
        <x:v>4</x:v>
      </x:c>
      <x:c r="H883" t="n">
        <x:v>150</x:v>
      </x:c>
      <x:c r="I883" t="n">
        <x:v>1.5</x:v>
      </x:c>
      <x:c r="J883" t="str"/>
      <x:c r="K883" t="str"/>
      <x:c r="L883" t="str">
        <x:v>OPEN</x:v>
      </x:c>
    </x:row>
    <x:row r="884">
      <x:c r="B884" t="str">
        <x:v>RFP-C2-TC-128</x:v>
      </x:c>
      <x:c r="C884" t="str">
        <x:v>RFP-C2</x:v>
      </x:c>
      <x:c r="D884" t="n">
        <x:v>13</x:v>
      </x:c>
      <x:c r="E884" t="n">
        <x:v>8</x:v>
      </x:c>
      <x:c r="F884" t="n">
        <x:v>4</x:v>
      </x:c>
      <x:c r="G884" t="n">
        <x:v>4</x:v>
      </x:c>
      <x:c r="H884" t="n">
        <x:v>150</x:v>
      </x:c>
      <x:c r="I884" t="n">
        <x:v>1.5</x:v>
      </x:c>
      <x:c r="J884" t="str"/>
      <x:c r="K884" t="str"/>
      <x:c r="L884" t="str">
        <x:v>OPEN</x:v>
      </x:c>
    </x:row>
    <x:row r="885">
      <x:c r="B885" t="str">
        <x:v>RFP-C2-TC-129</x:v>
      </x:c>
      <x:c r="C885" t="str">
        <x:v>RFP-C2</x:v>
      </x:c>
      <x:c r="D885" t="n">
        <x:v>13</x:v>
      </x:c>
      <x:c r="E885" t="n">
        <x:v>9</x:v>
      </x:c>
      <x:c r="F885" t="n">
        <x:v>4</x:v>
      </x:c>
      <x:c r="G885" t="n">
        <x:v>4</x:v>
      </x:c>
      <x:c r="H885" t="n">
        <x:v>150</x:v>
      </x:c>
      <x:c r="I885" t="n">
        <x:v>1.5</x:v>
      </x:c>
      <x:c r="J885" t="str"/>
      <x:c r="K885" t="str"/>
      <x:c r="L885" t="str">
        <x:v>OPEN</x:v>
      </x:c>
    </x:row>
    <x:row r="886">
      <x:c r="B886" t="str">
        <x:v>RFP-C2-TC-130</x:v>
      </x:c>
      <x:c r="C886" t="str">
        <x:v>RFP-C2</x:v>
      </x:c>
      <x:c r="D886" t="n">
        <x:v>13</x:v>
      </x:c>
      <x:c r="E886" t="n">
        <x:v>10</x:v>
      </x:c>
      <x:c r="F886" t="n">
        <x:v>4</x:v>
      </x:c>
      <x:c r="G886" t="n">
        <x:v>4</x:v>
      </x:c>
      <x:c r="H886" t="n">
        <x:v>150</x:v>
      </x:c>
      <x:c r="I886" t="n">
        <x:v>1.5</x:v>
      </x:c>
      <x:c r="J886" t="str"/>
      <x:c r="K886" t="str"/>
      <x:c r="L886" t="str">
        <x:v>OPEN</x:v>
      </x:c>
    </x:row>
    <x:row r="887">
      <x:c r="B887" t="str">
        <x:v>RFP-C2-TC-131</x:v>
      </x:c>
      <x:c r="C887" t="str">
        <x:v>RFP-C2</x:v>
      </x:c>
      <x:c r="D887" t="n">
        <x:v>14</x:v>
      </x:c>
      <x:c r="E887" t="n">
        <x:v>1</x:v>
      </x:c>
      <x:c r="F887" t="n">
        <x:v>4</x:v>
      </x:c>
      <x:c r="G887" t="n">
        <x:v>4</x:v>
      </x:c>
      <x:c r="H887" t="n">
        <x:v>150</x:v>
      </x:c>
      <x:c r="I887" t="n">
        <x:v>1.5</x:v>
      </x:c>
      <x:c r="J887" t="str"/>
      <x:c r="K887" t="str"/>
      <x:c r="L887" t="str">
        <x:v>OPEN</x:v>
      </x:c>
    </x:row>
    <x:row r="888">
      <x:c r="B888" t="str">
        <x:v>RFP-C2-TC-132</x:v>
      </x:c>
      <x:c r="C888" t="str">
        <x:v>RFP-C2</x:v>
      </x:c>
      <x:c r="D888" t="n">
        <x:v>14</x:v>
      </x:c>
      <x:c r="E888" t="n">
        <x:v>2</x:v>
      </x:c>
      <x:c r="F888" t="n">
        <x:v>4</x:v>
      </x:c>
      <x:c r="G888" t="n">
        <x:v>4</x:v>
      </x:c>
      <x:c r="H888" t="n">
        <x:v>150</x:v>
      </x:c>
      <x:c r="I888" t="n">
        <x:v>1.5</x:v>
      </x:c>
      <x:c r="J888" t="str"/>
      <x:c r="K888" t="str"/>
      <x:c r="L888" t="str">
        <x:v>OPEN</x:v>
      </x:c>
    </x:row>
    <x:row r="889">
      <x:c r="B889" t="str">
        <x:v>RFP-C2-TC-133</x:v>
      </x:c>
      <x:c r="C889" t="str">
        <x:v>RFP-C2</x:v>
      </x:c>
      <x:c r="D889" t="n">
        <x:v>14</x:v>
      </x:c>
      <x:c r="E889" t="n">
        <x:v>3</x:v>
      </x:c>
      <x:c r="F889" t="n">
        <x:v>4</x:v>
      </x:c>
      <x:c r="G889" t="n">
        <x:v>4</x:v>
      </x:c>
      <x:c r="H889" t="n">
        <x:v>150</x:v>
      </x:c>
      <x:c r="I889" t="n">
        <x:v>1.5</x:v>
      </x:c>
      <x:c r="J889" t="str"/>
      <x:c r="K889" t="str"/>
      <x:c r="L889" t="str">
        <x:v>OPEN</x:v>
      </x:c>
    </x:row>
    <x:row r="890">
      <x:c r="B890" t="str">
        <x:v>RFP-C2-TC-134</x:v>
      </x:c>
      <x:c r="C890" t="str">
        <x:v>RFP-C2</x:v>
      </x:c>
      <x:c r="D890" t="n">
        <x:v>14</x:v>
      </x:c>
      <x:c r="E890" t="n">
        <x:v>4</x:v>
      </x:c>
      <x:c r="F890" t="n">
        <x:v>4</x:v>
      </x:c>
      <x:c r="G890" t="n">
        <x:v>4</x:v>
      </x:c>
      <x:c r="H890" t="n">
        <x:v>150</x:v>
      </x:c>
      <x:c r="I890" t="n">
        <x:v>1.5</x:v>
      </x:c>
      <x:c r="J890" t="str"/>
      <x:c r="K890" t="str"/>
      <x:c r="L890" t="str">
        <x:v>OPEN</x:v>
      </x:c>
    </x:row>
    <x:row r="891">
      <x:c r="B891" t="str">
        <x:v>RFP-C2-TC-135</x:v>
      </x:c>
      <x:c r="C891" t="str">
        <x:v>RFP-C2</x:v>
      </x:c>
      <x:c r="D891" t="n">
        <x:v>14</x:v>
      </x:c>
      <x:c r="E891" t="n">
        <x:v>5</x:v>
      </x:c>
      <x:c r="F891" t="n">
        <x:v>4</x:v>
      </x:c>
      <x:c r="G891" t="n">
        <x:v>4</x:v>
      </x:c>
      <x:c r="H891" t="n">
        <x:v>150</x:v>
      </x:c>
      <x:c r="I891" t="n">
        <x:v>1.5</x:v>
      </x:c>
      <x:c r="J891" t="str"/>
      <x:c r="K891" t="str"/>
      <x:c r="L891" t="str">
        <x:v>OPEN</x:v>
      </x:c>
    </x:row>
    <x:row r="892">
      <x:c r="B892" t="str">
        <x:v>RFP-C2-TC-136</x:v>
      </x:c>
      <x:c r="C892" t="str">
        <x:v>RFP-C2</x:v>
      </x:c>
      <x:c r="D892" t="n">
        <x:v>14</x:v>
      </x:c>
      <x:c r="E892" t="n">
        <x:v>6</x:v>
      </x:c>
      <x:c r="F892" t="n">
        <x:v>4</x:v>
      </x:c>
      <x:c r="G892" t="n">
        <x:v>4</x:v>
      </x:c>
      <x:c r="H892" t="n">
        <x:v>150</x:v>
      </x:c>
      <x:c r="I892" t="n">
        <x:v>1.5</x:v>
      </x:c>
      <x:c r="J892" t="str"/>
      <x:c r="K892" t="str"/>
      <x:c r="L892" t="str">
        <x:v>OPEN</x:v>
      </x:c>
    </x:row>
    <x:row r="893">
      <x:c r="B893" t="str">
        <x:v>RFP-C2-TC-137</x:v>
      </x:c>
      <x:c r="C893" t="str">
        <x:v>RFP-C2</x:v>
      </x:c>
      <x:c r="D893" t="n">
        <x:v>14</x:v>
      </x:c>
      <x:c r="E893" t="n">
        <x:v>7</x:v>
      </x:c>
      <x:c r="F893" t="n">
        <x:v>4</x:v>
      </x:c>
      <x:c r="G893" t="n">
        <x:v>4</x:v>
      </x:c>
      <x:c r="H893" t="n">
        <x:v>150</x:v>
      </x:c>
      <x:c r="I893" t="n">
        <x:v>1.5</x:v>
      </x:c>
      <x:c r="J893" t="str"/>
      <x:c r="K893" t="str"/>
      <x:c r="L893" t="str">
        <x:v>OPEN</x:v>
      </x:c>
    </x:row>
    <x:row r="894">
      <x:c r="B894" t="str">
        <x:v>RFP-C2-TC-138</x:v>
      </x:c>
      <x:c r="C894" t="str">
        <x:v>RFP-C2</x:v>
      </x:c>
      <x:c r="D894" t="n">
        <x:v>14</x:v>
      </x:c>
      <x:c r="E894" t="n">
        <x:v>8</x:v>
      </x:c>
      <x:c r="F894" t="n">
        <x:v>4</x:v>
      </x:c>
      <x:c r="G894" t="n">
        <x:v>4</x:v>
      </x:c>
      <x:c r="H894" t="n">
        <x:v>150</x:v>
      </x:c>
      <x:c r="I894" t="n">
        <x:v>1.5</x:v>
      </x:c>
      <x:c r="J894" t="str"/>
      <x:c r="K894" t="str"/>
      <x:c r="L894" t="str">
        <x:v>OPEN</x:v>
      </x:c>
    </x:row>
    <x:row r="895">
      <x:c r="B895" t="str">
        <x:v>RFP-C2-TC-139</x:v>
      </x:c>
      <x:c r="C895" t="str">
        <x:v>RFP-C2</x:v>
      </x:c>
      <x:c r="D895" t="n">
        <x:v>14</x:v>
      </x:c>
      <x:c r="E895" t="n">
        <x:v>9</x:v>
      </x:c>
      <x:c r="F895" t="n">
        <x:v>4</x:v>
      </x:c>
      <x:c r="G895" t="n">
        <x:v>4</x:v>
      </x:c>
      <x:c r="H895" t="n">
        <x:v>150</x:v>
      </x:c>
      <x:c r="I895" t="n">
        <x:v>1.5</x:v>
      </x:c>
      <x:c r="J895" t="str"/>
      <x:c r="K895" t="str"/>
      <x:c r="L895" t="str">
        <x:v>OPEN</x:v>
      </x:c>
    </x:row>
    <x:row r="896">
      <x:c r="B896" t="str">
        <x:v>RFP-C2-TC-140</x:v>
      </x:c>
      <x:c r="C896" t="str">
        <x:v>RFP-C2</x:v>
      </x:c>
      <x:c r="D896" t="n">
        <x:v>14</x:v>
      </x:c>
      <x:c r="E896" t="n">
        <x:v>10</x:v>
      </x:c>
      <x:c r="F896" t="n">
        <x:v>4</x:v>
      </x:c>
      <x:c r="G896" t="n">
        <x:v>4</x:v>
      </x:c>
      <x:c r="H896" t="n">
        <x:v>150</x:v>
      </x:c>
      <x:c r="I896" t="n">
        <x:v>1.5</x:v>
      </x:c>
      <x:c r="J896" t="str"/>
      <x:c r="K896" t="str"/>
      <x:c r="L896" t="str">
        <x:v>OPEN</x:v>
      </x:c>
    </x:row>
    <x:row r="897">
      <x:c r="B897" t="str">
        <x:v>RFP-C2-TC-141</x:v>
      </x:c>
      <x:c r="C897" t="str">
        <x:v>RFP-C2</x:v>
      </x:c>
      <x:c r="D897" t="n">
        <x:v>15</x:v>
      </x:c>
      <x:c r="E897" t="n">
        <x:v>1</x:v>
      </x:c>
      <x:c r="F897" t="n">
        <x:v>4</x:v>
      </x:c>
      <x:c r="G897" t="n">
        <x:v>4</x:v>
      </x:c>
      <x:c r="H897" t="n">
        <x:v>150</x:v>
      </x:c>
      <x:c r="I897" t="n">
        <x:v>1.5</x:v>
      </x:c>
      <x:c r="J897" t="str"/>
      <x:c r="K897" t="str"/>
      <x:c r="L897" t="str">
        <x:v>OPEN</x:v>
      </x:c>
    </x:row>
    <x:row r="898">
      <x:c r="B898" t="str">
        <x:v>RFP-C2-TC-142</x:v>
      </x:c>
      <x:c r="C898" t="str">
        <x:v>RFP-C2</x:v>
      </x:c>
      <x:c r="D898" t="n">
        <x:v>15</x:v>
      </x:c>
      <x:c r="E898" t="n">
        <x:v>2</x:v>
      </x:c>
      <x:c r="F898" t="n">
        <x:v>4</x:v>
      </x:c>
      <x:c r="G898" t="n">
        <x:v>4</x:v>
      </x:c>
      <x:c r="H898" t="n">
        <x:v>150</x:v>
      </x:c>
      <x:c r="I898" t="n">
        <x:v>1.5</x:v>
      </x:c>
      <x:c r="J898" t="str"/>
      <x:c r="K898" t="str"/>
      <x:c r="L898" t="str">
        <x:v>OPEN</x:v>
      </x:c>
    </x:row>
    <x:row r="899">
      <x:c r="B899" t="str">
        <x:v>RFP-C2-TC-143</x:v>
      </x:c>
      <x:c r="C899" t="str">
        <x:v>RFP-C2</x:v>
      </x:c>
      <x:c r="D899" t="n">
        <x:v>15</x:v>
      </x:c>
      <x:c r="E899" t="n">
        <x:v>3</x:v>
      </x:c>
      <x:c r="F899" t="n">
        <x:v>4</x:v>
      </x:c>
      <x:c r="G899" t="n">
        <x:v>4</x:v>
      </x:c>
      <x:c r="H899" t="n">
        <x:v>150</x:v>
      </x:c>
      <x:c r="I899" t="n">
        <x:v>1.5</x:v>
      </x:c>
      <x:c r="J899" t="str"/>
      <x:c r="K899" t="str"/>
      <x:c r="L899" t="str">
        <x:v>OPEN</x:v>
      </x:c>
    </x:row>
    <x:row r="900">
      <x:c r="B900" t="str">
        <x:v>RFP-C2-TC-144</x:v>
      </x:c>
      <x:c r="C900" t="str">
        <x:v>RFP-C2</x:v>
      </x:c>
      <x:c r="D900" t="n">
        <x:v>15</x:v>
      </x:c>
      <x:c r="E900" t="n">
        <x:v>4</x:v>
      </x:c>
      <x:c r="F900" t="n">
        <x:v>4</x:v>
      </x:c>
      <x:c r="G900" t="n">
        <x:v>4</x:v>
      </x:c>
      <x:c r="H900" t="n">
        <x:v>150</x:v>
      </x:c>
      <x:c r="I900" t="n">
        <x:v>1.5</x:v>
      </x:c>
      <x:c r="J900" t="str"/>
      <x:c r="K900" t="str"/>
      <x:c r="L900" t="str">
        <x:v>OPEN</x:v>
      </x:c>
    </x:row>
    <x:row r="901">
      <x:c r="B901" t="str">
        <x:v>RFP-C2-TC-145</x:v>
      </x:c>
      <x:c r="C901" t="str">
        <x:v>RFP-C2</x:v>
      </x:c>
      <x:c r="D901" t="n">
        <x:v>15</x:v>
      </x:c>
      <x:c r="E901" t="n">
        <x:v>5</x:v>
      </x:c>
      <x:c r="F901" t="n">
        <x:v>4</x:v>
      </x:c>
      <x:c r="G901" t="n">
        <x:v>4</x:v>
      </x:c>
      <x:c r="H901" t="n">
        <x:v>150</x:v>
      </x:c>
      <x:c r="I901" t="n">
        <x:v>1.5</x:v>
      </x:c>
      <x:c r="J901" t="str"/>
      <x:c r="K901" t="str"/>
      <x:c r="L901" t="str">
        <x:v>OPEN</x:v>
      </x:c>
    </x:row>
    <x:row r="902">
      <x:c r="B902" t="str">
        <x:v>RFP-C2-TC-146</x:v>
      </x:c>
      <x:c r="C902" t="str">
        <x:v>RFP-C2</x:v>
      </x:c>
      <x:c r="D902" t="n">
        <x:v>15</x:v>
      </x:c>
      <x:c r="E902" t="n">
        <x:v>6</x:v>
      </x:c>
      <x:c r="F902" t="n">
        <x:v>4</x:v>
      </x:c>
      <x:c r="G902" t="n">
        <x:v>4</x:v>
      </x:c>
      <x:c r="H902" t="n">
        <x:v>150</x:v>
      </x:c>
      <x:c r="I902" t="n">
        <x:v>1.5</x:v>
      </x:c>
      <x:c r="J902" t="str"/>
      <x:c r="K902" t="str"/>
      <x:c r="L902" t="str">
        <x:v>OPEN</x:v>
      </x:c>
    </x:row>
    <x:row r="903">
      <x:c r="B903" t="str">
        <x:v>RFP-C2-TC-147</x:v>
      </x:c>
      <x:c r="C903" t="str">
        <x:v>RFP-C2</x:v>
      </x:c>
      <x:c r="D903" t="n">
        <x:v>15</x:v>
      </x:c>
      <x:c r="E903" t="n">
        <x:v>7</x:v>
      </x:c>
      <x:c r="F903" t="n">
        <x:v>4</x:v>
      </x:c>
      <x:c r="G903" t="n">
        <x:v>4</x:v>
      </x:c>
      <x:c r="H903" t="n">
        <x:v>150</x:v>
      </x:c>
      <x:c r="I903" t="n">
        <x:v>1.5</x:v>
      </x:c>
      <x:c r="J903" t="str"/>
      <x:c r="K903" t="str"/>
      <x:c r="L903" t="str">
        <x:v>OPEN</x:v>
      </x:c>
    </x:row>
    <x:row r="904">
      <x:c r="B904" t="str">
        <x:v>RFP-C2-TC-148</x:v>
      </x:c>
      <x:c r="C904" t="str">
        <x:v>RFP-C2</x:v>
      </x:c>
      <x:c r="D904" t="n">
        <x:v>15</x:v>
      </x:c>
      <x:c r="E904" t="n">
        <x:v>8</x:v>
      </x:c>
      <x:c r="F904" t="n">
        <x:v>4</x:v>
      </x:c>
      <x:c r="G904" t="n">
        <x:v>4</x:v>
      </x:c>
      <x:c r="H904" t="n">
        <x:v>150</x:v>
      </x:c>
      <x:c r="I904" t="n">
        <x:v>1.5</x:v>
      </x:c>
      <x:c r="J904" t="str"/>
      <x:c r="K904" t="str"/>
      <x:c r="L904" t="str">
        <x:v>OPEN</x:v>
      </x:c>
    </x:row>
    <x:row r="905">
      <x:c r="B905" t="str">
        <x:v>RFP-C2-TC-149</x:v>
      </x:c>
      <x:c r="C905" t="str">
        <x:v>RFP-C2</x:v>
      </x:c>
      <x:c r="D905" t="n">
        <x:v>15</x:v>
      </x:c>
      <x:c r="E905" t="n">
        <x:v>9</x:v>
      </x:c>
      <x:c r="F905" t="n">
        <x:v>4</x:v>
      </x:c>
      <x:c r="G905" t="n">
        <x:v>4</x:v>
      </x:c>
      <x:c r="H905" t="n">
        <x:v>150</x:v>
      </x:c>
      <x:c r="I905" t="n">
        <x:v>1.5</x:v>
      </x:c>
      <x:c r="J905" t="str"/>
      <x:c r="K905" t="str"/>
      <x:c r="L905" t="str">
        <x:v>OPEN</x:v>
      </x:c>
    </x:row>
    <x:row r="906">
      <x:c r="B906" t="str">
        <x:v>RFP-C2-TC-150</x:v>
      </x:c>
      <x:c r="C906" t="str">
        <x:v>RFP-C2</x:v>
      </x:c>
      <x:c r="D906" t="n">
        <x:v>15</x:v>
      </x:c>
      <x:c r="E906" t="n">
        <x:v>10</x:v>
      </x:c>
      <x:c r="F906" t="n">
        <x:v>4</x:v>
      </x:c>
      <x:c r="G906" t="n">
        <x:v>4</x:v>
      </x:c>
      <x:c r="H906" t="n">
        <x:v>150</x:v>
      </x:c>
      <x:c r="I906" t="n">
        <x:v>1.5</x:v>
      </x:c>
      <x:c r="J906" t="str"/>
      <x:c r="K906" t="str"/>
      <x:c r="L906" t="str">
        <x:v>OPEN</x:v>
      </x:c>
    </x:row>
  </x:sheetData>
  <x:conditionalFormatting sqref="L7:L906">
    <x:cfRule type="containsText" dxfId="6" priority="1" operator="containsText" text="FAIL"/>
    <x:cfRule type="containsText" dxfId="7" priority="2" operator="containsText" text="BLOCKED"/>
    <x:cfRule type="containsText" dxfId="8" priority="3" operator="containsText" text="OPEN"/>
    <x:cfRule type="containsText" dxfId="9" priority="4" operator="containsText" text="GAP"/>
    <x:cfRule type="containsText" dxfId="10" priority="5" operator="containsText" text="PASS"/>
    <x:cfRule type="containsText" dxfId="11" priority="6" operator="containsText" text="INVALI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0" hidden="0" customWidth="1"/>
    <x:col min="4" max="4" width="67" hidden="0" customWidth="1"/>
    <x:col min="5" max="5" width="18" hidden="0" customWidth="1"/>
    <x:col min="6" max="6" width="17" hidden="0" customWidth="1"/>
    <x:col min="7" max="7" width="20" hidden="0" customWidth="1"/>
    <x:col min="8" max="8" width="20" hidden="0" customWidth="1"/>
    <x:col min="9" max="9" width="14" hidden="0" customWidth="1"/>
  </x:cols>
  <x:sheetData>
    <x:row r="2">
      <x:c r="B2" s="1" t="str">
        <x:v>Public source preparation and dispenser</x:v>
      </x:c>
    </x:row>
    <x:row r="3">
      <x:c r="B3" s="2" t="str">
        <x:v>The common boundary creates a known source. It does not prescribe the candidate's drain or receiver.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Object</x:v>
      </x:c>
      <x:c r="C6" s="7" t="str">
        <x:v>Element</x:v>
      </x:c>
      <x:c r="D6" s="7" t="str">
        <x:v>Function</x:v>
      </x:c>
      <x:c r="E6" s="7" t="str">
        <x:v>Design value</x:v>
      </x:c>
      <x:c r="F6" s="7" t="str">
        <x:v>Unit</x:v>
      </x:c>
      <x:c r="G6" s="7" t="str">
        <x:v>Planning defined</x:v>
      </x:c>
      <x:c r="H6" s="7" t="str">
        <x:v>Physical accepted</x:v>
      </x:c>
      <x:c r="I6" s="7" t="str">
        <x:v>State</x:v>
      </x:c>
    </x:row>
    <x:row r="7" ht="42" customHeight="1">
      <x:c r="B7" t="str">
        <x:v>SD-01</x:v>
      </x:c>
      <x:c r="C7" t="str">
        <x:v>source preparation vessel</x:v>
      </x:c>
      <x:c r="D7" s="11" t="str">
        <x:v>condition and weigh C1 inventory</x:v>
      </x:c>
      <x:c r="E7" t="n">
        <x:v>3.5</x:v>
      </x:c>
      <x:c r="F7" t="str">
        <x:v>m3</x:v>
      </x:c>
      <x:c r="G7" t="n">
        <x:v>1</x:v>
      </x:c>
      <x:c r="H7" t="str"/>
      <x:c r="I7" t="str">
        <x:v>OPEN</x:v>
      </x:c>
    </x:row>
    <x:row r="8" ht="42" customHeight="1">
      <x:c r="B8" t="str">
        <x:v>SD-02</x:v>
      </x:c>
      <x:c r="C8" t="str">
        <x:v>native mass metrology</x:v>
      </x:c>
      <x:c r="D8" s="11" t="str">
        <x:v>initial and residual source custody</x:v>
      </x:c>
      <x:c r="E8" t="n">
        <x:v>0.8</x:v>
      </x:c>
      <x:c r="F8" t="str">
        <x:v>kg k=1</x:v>
      </x:c>
      <x:c r="G8" t="n">
        <x:v>1</x:v>
      </x:c>
      <x:c r="H8" t="str"/>
      <x:c r="I8" t="str">
        <x:v>OPEN</x:v>
      </x:c>
    </x:row>
    <x:row r="9" ht="42" customHeight="1">
      <x:c r="B9" t="str">
        <x:v>SD-03</x:v>
      </x:c>
      <x:c r="C9" t="str">
        <x:v>public source manifold</x:v>
      </x:c>
      <x:c r="D9" s="11" t="str">
        <x:v>measured boundary before candidate adapter</x:v>
      </x:c>
      <x:c r="E9" t="n">
        <x:v>1.2</x:v>
      </x:c>
      <x:c r="F9" t="str">
        <x:v>m diameter</x:v>
      </x:c>
      <x:c r="G9" t="n">
        <x:v>1</x:v>
      </x:c>
      <x:c r="H9" t="str"/>
      <x:c r="I9" t="str">
        <x:v>OPEN</x:v>
      </x:c>
    </x:row>
    <x:row r="10" ht="42" customHeight="1">
      <x:c r="B10" t="str">
        <x:v>SD-04</x:v>
      </x:c>
      <x:c r="C10" t="str">
        <x:v>replaceable release adapters</x:v>
      </x:c>
      <x:c r="D10" s="11" t="str">
        <x:v>40–200 mm equivalent apertures at sixteen locations</x:v>
      </x:c>
      <x:c r="E10" t="n">
        <x:v>16</x:v>
      </x:c>
      <x:c r="F10" t="str">
        <x:v>positions</x:v>
      </x:c>
      <x:c r="G10" t="n">
        <x:v>1</x:v>
      </x:c>
      <x:c r="H10" t="str"/>
      <x:c r="I10" t="str">
        <x:v>OPEN</x:v>
      </x:c>
    </x:row>
    <x:row r="11" ht="42" customHeight="1">
      <x:c r="B11" t="str">
        <x:v>SD-05</x:v>
      </x:c>
      <x:c r="C11" t="str">
        <x:v>metered isolation train</x:v>
      </x:c>
      <x:c r="D11" s="11" t="str">
        <x:v>terminate new release inside thirty seconds</x:v>
      </x:c>
      <x:c r="E11" t="n">
        <x:v>30</x:v>
      </x:c>
      <x:c r="F11" t="str">
        <x:v>s</x:v>
      </x:c>
      <x:c r="G11" t="n">
        <x:v>1</x:v>
      </x:c>
      <x:c r="H11" t="str"/>
      <x:c r="I11" t="str">
        <x:v>OPEN</x:v>
      </x:c>
    </x:row>
    <x:row r="12" ht="42" customHeight="1">
      <x:c r="B12" t="str">
        <x:v>SD-06</x:v>
      </x:c>
      <x:c r="C12" t="str">
        <x:v>source purge and inerting</x:v>
      </x:c>
      <x:c r="D12" s="11" t="str">
        <x:v>remove recoverable source without unrecorded dilution</x:v>
      </x:c>
      <x:c r="E12" t="n">
        <x:v>2</x:v>
      </x:c>
      <x:c r="F12" t="str">
        <x:v>unlike paths</x:v>
      </x:c>
      <x:c r="G12" t="n">
        <x:v>1</x:v>
      </x:c>
      <x:c r="H12" t="str"/>
      <x:c r="I12" t="str">
        <x:v>OPEN</x:v>
      </x:c>
    </x:row>
    <x:row r="13" ht="42" customHeight="1">
      <x:c r="B13" t="str">
        <x:v>SD-07</x:v>
      </x:c>
      <x:c r="C13" t="str">
        <x:v>casualty diversion</x:v>
      </x:c>
      <x:c r="D13" s="11" t="str">
        <x:v>route failed candidate source to isolated public tank</x:v>
      </x:c>
      <x:c r="E13" t="n">
        <x:v>50</x:v>
      </x:c>
      <x:c r="F13" t="str">
        <x:v>m3</x:v>
      </x:c>
      <x:c r="G13" t="n">
        <x:v>1</x:v>
      </x:c>
      <x:c r="H13" t="str"/>
      <x:c r="I13" t="str">
        <x:v>OPEN</x:v>
      </x:c>
    </x:row>
    <x:row r="14" ht="42" customHeight="1">
      <x:c r="B14" t="str">
        <x:v>SD-08</x:v>
      </x:c>
      <x:c r="C14" t="str">
        <x:v>C2 physical interface</x:v>
      </x:c>
      <x:c r="D14" s="11" t="str">
        <x:v>reserve structural and custody interface without C2 authority</x:v>
      </x:c>
      <x:c r="E14" t="n">
        <x:v>8000</x:v>
      </x:c>
      <x:c r="F14" t="str">
        <x:v>kg</x:v>
      </x:c>
      <x:c r="G14" t="n">
        <x:v>1</x:v>
      </x:c>
      <x:c r="H14" t="str"/>
      <x:c r="I14" t="str">
        <x:v>OPEN</x:v>
      </x:c>
    </x:row>
  </x:sheetData>
  <x:conditionalFormatting sqref="I7:I14">
    <x:cfRule type="containsText" dxfId="12" priority="1" operator="containsText" text="FAIL"/>
    <x:cfRule type="containsText" dxfId="13" priority="2" operator="containsText" text="BLOCKED"/>
    <x:cfRule type="containsText" dxfId="14" priority="3" operator="containsText" text="OPEN"/>
    <x:cfRule type="containsText" dxfId="15" priority="4" operator="containsText" text="GAP"/>
    <x:cfRule type="containsText" dxfId="16" priority="5" operator="containsText" text="PASS"/>
    <x:cfRule type="containsText" dxfId="17" priority="6" operator="containsText" text="INVALI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27" hidden="0" customWidth="1"/>
    <x:col min="4" max="4" width="27" hidden="0" customWidth="1"/>
    <x:col min="5" max="5" width="29" hidden="0" customWidth="1"/>
    <x:col min="6" max="6" width="52" hidden="0" customWidth="1"/>
    <x:col min="7" max="7" width="55" hidden="0" customWidth="1"/>
  </x:cols>
  <x:sheetData>
    <x:row r="2">
      <x:c r="B2" s="1" t="str">
        <x:v>Twelve neutrality-defining interfaces</x:v>
      </x:c>
    </x:row>
    <x:row r="3">
      <x:c r="B3" s="2" t="str">
        <x:v>Common truth, safety and evidence coexist with candidate-owned mechanism.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Interface</x:v>
      </x:c>
      <x:c r="C6" s="7" t="str">
        <x:v>Boundary</x:v>
      </x:c>
      <x:c r="D6" s="7" t="str">
        <x:v>Public side</x:v>
      </x:c>
      <x:c r="E6" s="7" t="str">
        <x:v>Candidate side</x:v>
      </x:c>
      <x:c r="F6" s="7" t="str">
        <x:v>Invariant</x:v>
      </x:c>
      <x:c r="G6" s="7" t="str">
        <x:v>Prohibited hidden aid</x:v>
      </x:c>
    </x:row>
    <x:row r="7" ht="50" customHeight="1">
      <x:c r="B7" t="str">
        <x:v>IF-01</x:v>
      </x:c>
      <x:c r="C7" t="str">
        <x:v>source origin volume</x:v>
      </x:c>
      <x:c r="D7" t="str">
        <x:v>public</x:v>
      </x:c>
      <x:c r="E7" t="str">
        <x:v>candidate adapter</x:v>
      </x:c>
      <x:c r="F7" s="11" t="str">
        <x:v>mass, temperature, time, aperture and location fixed</x:v>
      </x:c>
      <x:c r="G7" s="11" t="str">
        <x:v>candidate may change downstream geometry</x:v>
      </x:c>
    </x:row>
    <x:row r="8" ht="50" customHeight="1">
      <x:c r="B8" t="str">
        <x:v>IF-02</x:v>
      </x:c>
      <x:c r="C8" t="str">
        <x:v>terrain datum</x:v>
      </x:c>
      <x:c r="D8" t="str">
        <x:v>public</x:v>
      </x:c>
      <x:c r="E8" t="str">
        <x:v>candidate surface module</x:v>
      </x:c>
      <x:c r="F8" s="11" t="str">
        <x:v>six-axis surveyed frame</x:v>
      </x:c>
      <x:c r="G8" s="11" t="str">
        <x:v>candidate owns contact surface and local grade devices</x:v>
      </x:c>
    </x:row>
    <x:row r="9" ht="50" customHeight="1">
      <x:c r="B9" t="str">
        <x:v>IF-03</x:v>
      </x:c>
      <x:c r="C9" t="str">
        <x:v>drain opening</x:v>
      </x:c>
      <x:c r="D9" t="str">
        <x:v>public frame</x:v>
      </x:c>
      <x:c r="E9" t="str">
        <x:v>candidate cartridge</x:v>
      </x:c>
      <x:c r="F9" s="11" t="str">
        <x:v>twenty-four bounded bays</x:v>
      </x:c>
      <x:c r="G9" s="11" t="str">
        <x:v>no common source plenum</x:v>
      </x:c>
    </x:row>
    <x:row r="10" ht="50" customHeight="1">
      <x:c r="B10" t="str">
        <x:v>IF-04</x:v>
      </x:c>
      <x:c r="C10" t="str">
        <x:v>source custody</x:v>
      </x:c>
      <x:c r="D10" t="str">
        <x:v>candidate</x:v>
      </x:c>
      <x:c r="E10" t="str">
        <x:v>candidate receiver</x:v>
      </x:c>
      <x:c r="F10" s="11" t="str">
        <x:v>separate 15 m3 minimum</x:v>
      </x:c>
      <x:c r="G10" s="11" t="str">
        <x:v>public casualty diversion earns no performance credit</x:v>
      </x:c>
    </x:row>
    <x:row r="11" ht="50" customHeight="1">
      <x:c r="B11" t="str">
        <x:v>IF-05</x:v>
      </x:c>
      <x:c r="C11" t="str">
        <x:v>water supply</x:v>
      </x:c>
      <x:c r="D11" t="str">
        <x:v>public</x:v>
      </x:c>
      <x:c r="E11" t="str">
        <x:v>candidate nozzles or loop</x:v>
      </x:c>
      <x:c r="F11" s="11" t="str">
        <x:v>3 m3/min at 1.2 MPa</x:v>
      </x:c>
      <x:c r="G11" s="11" t="str">
        <x:v>candidate owns application and return topology</x:v>
      </x:c>
    </x:row>
    <x:row r="12" ht="50" customHeight="1">
      <x:c r="B12" t="str">
        <x:v>IF-06</x:v>
      </x:c>
      <x:c r="C12" t="str">
        <x:v>heat rejection</x:v>
      </x:c>
      <x:c r="D12" t="str">
        <x:v>public structural/utility</x:v>
      </x:c>
      <x:c r="E12" t="str">
        <x:v>candidate exchanger</x:v>
      </x:c>
      <x:c r="F12" s="11" t="str">
        <x:v>20 MW acceptance envelope</x:v>
      </x:c>
      <x:c r="G12" s="11" t="str">
        <x:v>no common candidate heat exchanger</x:v>
      </x:c>
    </x:row>
    <x:row r="13" ht="50" customHeight="1">
      <x:c r="B13" t="str">
        <x:v>IF-07</x:v>
      </x:c>
      <x:c r="C13" t="str">
        <x:v>robot corridor</x:v>
      </x:c>
      <x:c r="D13" t="str">
        <x:v>public datum</x:v>
      </x:c>
      <x:c r="E13" t="str">
        <x:v>candidate autonomy</x:v>
      </x:c>
      <x:c r="F13" s="11" t="str">
        <x:v>three 4 m corridors</x:v>
      </x:c>
      <x:c r="G13" s="11" t="str">
        <x:v>no common navigation or control service</x:v>
      </x:c>
    </x:row>
    <x:row r="14" ht="50" customHeight="1">
      <x:c r="B14" t="str">
        <x:v>IF-08</x:v>
      </x:c>
      <x:c r="C14" t="str">
        <x:v>clock and evidence</x:v>
      </x:c>
      <x:c r="D14" t="str">
        <x:v>public</x:v>
      </x:c>
      <x:c r="E14" t="str">
        <x:v>candidate read-only feed</x:v>
      </x:c>
      <x:c r="F14" s="11" t="str">
        <x:v>native time plus independent witness</x:v>
      </x:c>
      <x:c r="G14" s="11" t="str">
        <x:v>candidate cannot suppress public record</x:v>
      </x:c>
    </x:row>
    <x:row r="15" ht="50" customHeight="1">
      <x:c r="B15" t="str">
        <x:v>IF-09</x:v>
      </x:c>
      <x:c r="C15" t="str">
        <x:v>casualty source path</x:v>
      </x:c>
      <x:c r="D15" t="str">
        <x:v>public safety</x:v>
      </x:c>
      <x:c r="E15" t="str">
        <x:v>isolated tank</x:v>
      </x:c>
      <x:c r="F15" s="11" t="str">
        <x:v>one-way intervention only</x:v>
      </x:c>
      <x:c r="G15" s="11" t="str">
        <x:v>intervention recorded as candidate outcome</x:v>
      </x:c>
    </x:row>
    <x:row r="16" ht="50" customHeight="1">
      <x:c r="B16" t="str">
        <x:v>IF-10</x:v>
      </x:c>
      <x:c r="C16" t="str">
        <x:v>casualty water path</x:v>
      </x:c>
      <x:c r="D16" t="str">
        <x:v>public safety</x:v>
      </x:c>
      <x:c r="E16" t="str">
        <x:v>isolated vault</x:v>
      </x:c>
      <x:c r="F16" s="11" t="str">
        <x:v>one-way intervention only</x:v>
      </x:c>
      <x:c r="G16" s="11" t="str">
        <x:v>not available in nominal score</x:v>
      </x:c>
    </x:row>
    <x:row r="17" ht="50" customHeight="1">
      <x:c r="B17" t="str">
        <x:v>IF-11</x:v>
      </x:c>
      <x:c r="C17" t="str">
        <x:v>environmental perimeter</x:v>
      </x:c>
      <x:c r="D17" t="str">
        <x:v>public</x:v>
      </x:c>
      <x:c r="E17" t="str">
        <x:v>candidate handoff</x:v>
      </x:c>
      <x:c r="F17" s="11" t="str">
        <x:v>closed custody after candidate boundary</x:v>
      </x:c>
      <x:c r="G17" s="11" t="str">
        <x:v>public system does not repair candidate mixing</x:v>
      </x:c>
    </x:row>
    <x:row r="18" ht="50" customHeight="1">
      <x:c r="B18" t="str">
        <x:v>IF-12</x:v>
      </x:c>
      <x:c r="C18" t="str">
        <x:v>restoration</x:v>
      </x:c>
      <x:c r="D18" t="str">
        <x:v>joint custody</x:v>
      </x:c>
      <x:c r="E18" t="str">
        <x:v>serialized article</x:v>
      </x:c>
      <x:c r="F18" s="11" t="str">
        <x:v>known baseline restored</x:v>
      </x:c>
      <x:c r="G18" s="11" t="str">
        <x:v>all substitutions and cleaning recorded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1" hidden="0" customWidth="1"/>
    <x:col min="3" max="3" width="13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18" hidden="0" customWidth="1"/>
    <x:col min="9" max="9" width="16" hidden="0" customWidth="1"/>
    <x:col min="10" max="10" width="24" hidden="0" customWidth="1"/>
    <x:col min="11" max="11" width="36" hidden="0" customWidth="1"/>
    <x:col min="12" max="12" width="21" hidden="0" customWidth="1"/>
    <x:col min="13" max="13" width="14" hidden="0" customWidth="1"/>
  </x:cols>
  <x:sheetData>
    <x:row r="2">
      <x:c r="B2" s="1" t="str">
        <x:v>One hundred forty-four candidate cartridge bays</x:v>
      </x:c>
    </x:row>
    <x:row r="3">
      <x:c r="B3" s="2" t="str">
        <x:v>Four galleries preserve local ancestry; the public casualty gutter is isolated and inactive during nominal scoring.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Bay</x:v>
      </x:c>
      <x:c r="C6" s="7" t="str">
        <x:v>Rig</x:v>
      </x:c>
      <x:c r="D6" s="7" t="str">
        <x:v>Gallery</x:v>
      </x:c>
      <x:c r="E6" s="7" t="str">
        <x:v>Bay no.</x:v>
      </x:c>
      <x:c r="F6" s="7" t="str">
        <x:v>Length m</x:v>
      </x:c>
      <x:c r="G6" s="7" t="str">
        <x:v>Width m</x:v>
      </x:c>
      <x:c r="H6" s="7" t="str">
        <x:v>Service load t</x:v>
      </x:c>
      <x:c r="I6" s="7" t="str">
        <x:v>Slot limit mm</x:v>
      </x:c>
      <x:c r="J6" s="7" t="str">
        <x:v>Nominal insert</x:v>
      </x:c>
      <x:c r="K6" s="7" t="str">
        <x:v>Casualty boundary</x:v>
      </x:c>
      <x:c r="L6" s="7" t="str">
        <x:v>Accepted UTC</x:v>
      </x:c>
      <x:c r="M6" s="7" t="str">
        <x:v>State</x:v>
      </x:c>
    </x:row>
    <x:row r="7">
      <x:c r="B7" t="str">
        <x:v>RFP-A1-DG1-B1</x:v>
      </x:c>
      <x:c r="C7" t="str">
        <x:v>RFP-A1</x:v>
      </x:c>
      <x:c r="D7" t="n">
        <x:v>1</x:v>
      </x:c>
      <x:c r="E7" t="n">
        <x:v>1</x:v>
      </x:c>
      <x:c r="F7" t="n">
        <x:v>5</x:v>
      </x:c>
      <x:c r="G7" t="n">
        <x:v>0.6</x:v>
      </x:c>
      <x:c r="H7" t="n">
        <x:v>3</x:v>
      </x:c>
      <x:c r="I7" t="n">
        <x:v>150</x:v>
      </x:c>
      <x:c r="J7" t="str">
        <x:v>candidate cartridge</x:v>
      </x:c>
      <x:c r="K7" t="str">
        <x:v>separate public casualty gutter</x:v>
      </x:c>
      <x:c r="L7" t="str"/>
      <x:c r="M7" t="str">
        <x:v>OPEN</x:v>
      </x:c>
    </x:row>
    <x:row r="8">
      <x:c r="B8" t="str">
        <x:v>RFP-A1-DG1-B2</x:v>
      </x:c>
      <x:c r="C8" t="str">
        <x:v>RFP-A1</x:v>
      </x:c>
      <x:c r="D8" t="n">
        <x:v>1</x:v>
      </x:c>
      <x:c r="E8" t="n">
        <x:v>2</x:v>
      </x:c>
      <x:c r="F8" t="n">
        <x:v>5</x:v>
      </x:c>
      <x:c r="G8" t="n">
        <x:v>0.6</x:v>
      </x:c>
      <x:c r="H8" t="n">
        <x:v>3</x:v>
      </x:c>
      <x:c r="I8" t="n">
        <x:v>150</x:v>
      </x:c>
      <x:c r="J8" t="str">
        <x:v>candidate cartridge</x:v>
      </x:c>
      <x:c r="K8" t="str">
        <x:v>separate public casualty gutter</x:v>
      </x:c>
      <x:c r="L8" t="str"/>
      <x:c r="M8" t="str">
        <x:v>OPEN</x:v>
      </x:c>
    </x:row>
    <x:row r="9">
      <x:c r="B9" t="str">
        <x:v>RFP-A1-DG1-B3</x:v>
      </x:c>
      <x:c r="C9" t="str">
        <x:v>RFP-A1</x:v>
      </x:c>
      <x:c r="D9" t="n">
        <x:v>1</x:v>
      </x:c>
      <x:c r="E9" t="n">
        <x:v>3</x:v>
      </x:c>
      <x:c r="F9" t="n">
        <x:v>5</x:v>
      </x:c>
      <x:c r="G9" t="n">
        <x:v>0.6</x:v>
      </x:c>
      <x:c r="H9" t="n">
        <x:v>3</x:v>
      </x:c>
      <x:c r="I9" t="n">
        <x:v>150</x:v>
      </x:c>
      <x:c r="J9" t="str">
        <x:v>candidate cartridge</x:v>
      </x:c>
      <x:c r="K9" t="str">
        <x:v>separate public casualty gutter</x:v>
      </x:c>
      <x:c r="L9" t="str"/>
      <x:c r="M9" t="str">
        <x:v>OPEN</x:v>
      </x:c>
    </x:row>
    <x:row r="10">
      <x:c r="B10" t="str">
        <x:v>RFP-A1-DG1-B4</x:v>
      </x:c>
      <x:c r="C10" t="str">
        <x:v>RFP-A1</x:v>
      </x:c>
      <x:c r="D10" t="n">
        <x:v>1</x:v>
      </x:c>
      <x:c r="E10" t="n">
        <x:v>4</x:v>
      </x:c>
      <x:c r="F10" t="n">
        <x:v>5</x:v>
      </x:c>
      <x:c r="G10" t="n">
        <x:v>0.6</x:v>
      </x:c>
      <x:c r="H10" t="n">
        <x:v>3</x:v>
      </x:c>
      <x:c r="I10" t="n">
        <x:v>150</x:v>
      </x:c>
      <x:c r="J10" t="str">
        <x:v>candidate cartridge</x:v>
      </x:c>
      <x:c r="K10" t="str">
        <x:v>separate public casualty gutter</x:v>
      </x:c>
      <x:c r="L10" t="str"/>
      <x:c r="M10" t="str">
        <x:v>OPEN</x:v>
      </x:c>
    </x:row>
    <x:row r="11">
      <x:c r="B11" t="str">
        <x:v>RFP-A1-DG1-B5</x:v>
      </x:c>
      <x:c r="C11" t="str">
        <x:v>RFP-A1</x:v>
      </x:c>
      <x:c r="D11" t="n">
        <x:v>1</x:v>
      </x:c>
      <x:c r="E11" t="n">
        <x:v>5</x:v>
      </x:c>
      <x:c r="F11" t="n">
        <x:v>5</x:v>
      </x:c>
      <x:c r="G11" t="n">
        <x:v>0.6</x:v>
      </x:c>
      <x:c r="H11" t="n">
        <x:v>3</x:v>
      </x:c>
      <x:c r="I11" t="n">
        <x:v>150</x:v>
      </x:c>
      <x:c r="J11" t="str">
        <x:v>candidate cartridge</x:v>
      </x:c>
      <x:c r="K11" t="str">
        <x:v>separate public casualty gutter</x:v>
      </x:c>
      <x:c r="L11" t="str"/>
      <x:c r="M11" t="str">
        <x:v>OPEN</x:v>
      </x:c>
    </x:row>
    <x:row r="12">
      <x:c r="B12" t="str">
        <x:v>RFP-A1-DG1-B6</x:v>
      </x:c>
      <x:c r="C12" t="str">
        <x:v>RFP-A1</x:v>
      </x:c>
      <x:c r="D12" t="n">
        <x:v>1</x:v>
      </x:c>
      <x:c r="E12" t="n">
        <x:v>6</x:v>
      </x:c>
      <x:c r="F12" t="n">
        <x:v>5</x:v>
      </x:c>
      <x:c r="G12" t="n">
        <x:v>0.6</x:v>
      </x:c>
      <x:c r="H12" t="n">
        <x:v>3</x:v>
      </x:c>
      <x:c r="I12" t="n">
        <x:v>150</x:v>
      </x:c>
      <x:c r="J12" t="str">
        <x:v>candidate cartridge</x:v>
      </x:c>
      <x:c r="K12" t="str">
        <x:v>separate public casualty gutter</x:v>
      </x:c>
      <x:c r="L12" t="str"/>
      <x:c r="M12" t="str">
        <x:v>OPEN</x:v>
      </x:c>
    </x:row>
    <x:row r="13">
      <x:c r="B13" t="str">
        <x:v>RFP-A1-DG2-B1</x:v>
      </x:c>
      <x:c r="C13" t="str">
        <x:v>RFP-A1</x:v>
      </x:c>
      <x:c r="D13" t="n">
        <x:v>2</x:v>
      </x:c>
      <x:c r="E13" t="n">
        <x:v>1</x:v>
      </x:c>
      <x:c r="F13" t="n">
        <x:v>5</x:v>
      </x:c>
      <x:c r="G13" t="n">
        <x:v>0.6</x:v>
      </x:c>
      <x:c r="H13" t="n">
        <x:v>3</x:v>
      </x:c>
      <x:c r="I13" t="n">
        <x:v>150</x:v>
      </x:c>
      <x:c r="J13" t="str">
        <x:v>candidate cartridge</x:v>
      </x:c>
      <x:c r="K13" t="str">
        <x:v>separate public casualty gutter</x:v>
      </x:c>
      <x:c r="L13" t="str"/>
      <x:c r="M13" t="str">
        <x:v>OPEN</x:v>
      </x:c>
    </x:row>
    <x:row r="14">
      <x:c r="B14" t="str">
        <x:v>RFP-A1-DG2-B2</x:v>
      </x:c>
      <x:c r="C14" t="str">
        <x:v>RFP-A1</x:v>
      </x:c>
      <x:c r="D14" t="n">
        <x:v>2</x:v>
      </x:c>
      <x:c r="E14" t="n">
        <x:v>2</x:v>
      </x:c>
      <x:c r="F14" t="n">
        <x:v>5</x:v>
      </x:c>
      <x:c r="G14" t="n">
        <x:v>0.6</x:v>
      </x:c>
      <x:c r="H14" t="n">
        <x:v>3</x:v>
      </x:c>
      <x:c r="I14" t="n">
        <x:v>150</x:v>
      </x:c>
      <x:c r="J14" t="str">
        <x:v>candidate cartridge</x:v>
      </x:c>
      <x:c r="K14" t="str">
        <x:v>separate public casualty gutter</x:v>
      </x:c>
      <x:c r="L14" t="str"/>
      <x:c r="M14" t="str">
        <x:v>OPEN</x:v>
      </x:c>
    </x:row>
    <x:row r="15">
      <x:c r="B15" t="str">
        <x:v>RFP-A1-DG2-B3</x:v>
      </x:c>
      <x:c r="C15" t="str">
        <x:v>RFP-A1</x:v>
      </x:c>
      <x:c r="D15" t="n">
        <x:v>2</x:v>
      </x:c>
      <x:c r="E15" t="n">
        <x:v>3</x:v>
      </x:c>
      <x:c r="F15" t="n">
        <x:v>5</x:v>
      </x:c>
      <x:c r="G15" t="n">
        <x:v>0.6</x:v>
      </x:c>
      <x:c r="H15" t="n">
        <x:v>3</x:v>
      </x:c>
      <x:c r="I15" t="n">
        <x:v>150</x:v>
      </x:c>
      <x:c r="J15" t="str">
        <x:v>candidate cartridge</x:v>
      </x:c>
      <x:c r="K15" t="str">
        <x:v>separate public casualty gutter</x:v>
      </x:c>
      <x:c r="L15" t="str"/>
      <x:c r="M15" t="str">
        <x:v>OPEN</x:v>
      </x:c>
    </x:row>
    <x:row r="16">
      <x:c r="B16" t="str">
        <x:v>RFP-A1-DG2-B4</x:v>
      </x:c>
      <x:c r="C16" t="str">
        <x:v>RFP-A1</x:v>
      </x:c>
      <x:c r="D16" t="n">
        <x:v>2</x:v>
      </x:c>
      <x:c r="E16" t="n">
        <x:v>4</x:v>
      </x:c>
      <x:c r="F16" t="n">
        <x:v>5</x:v>
      </x:c>
      <x:c r="G16" t="n">
        <x:v>0.6</x:v>
      </x:c>
      <x:c r="H16" t="n">
        <x:v>3</x:v>
      </x:c>
      <x:c r="I16" t="n">
        <x:v>150</x:v>
      </x:c>
      <x:c r="J16" t="str">
        <x:v>candidate cartridge</x:v>
      </x:c>
      <x:c r="K16" t="str">
        <x:v>separate public casualty gutter</x:v>
      </x:c>
      <x:c r="L16" t="str"/>
      <x:c r="M16" t="str">
        <x:v>OPEN</x:v>
      </x:c>
    </x:row>
    <x:row r="17">
      <x:c r="B17" t="str">
        <x:v>RFP-A1-DG2-B5</x:v>
      </x:c>
      <x:c r="C17" t="str">
        <x:v>RFP-A1</x:v>
      </x:c>
      <x:c r="D17" t="n">
        <x:v>2</x:v>
      </x:c>
      <x:c r="E17" t="n">
        <x:v>5</x:v>
      </x:c>
      <x:c r="F17" t="n">
        <x:v>5</x:v>
      </x:c>
      <x:c r="G17" t="n">
        <x:v>0.6</x:v>
      </x:c>
      <x:c r="H17" t="n">
        <x:v>3</x:v>
      </x:c>
      <x:c r="I17" t="n">
        <x:v>150</x:v>
      </x:c>
      <x:c r="J17" t="str">
        <x:v>candidate cartridge</x:v>
      </x:c>
      <x:c r="K17" t="str">
        <x:v>separate public casualty gutter</x:v>
      </x:c>
      <x:c r="L17" t="str"/>
      <x:c r="M17" t="str">
        <x:v>OPEN</x:v>
      </x:c>
    </x:row>
    <x:row r="18">
      <x:c r="B18" t="str">
        <x:v>RFP-A1-DG2-B6</x:v>
      </x:c>
      <x:c r="C18" t="str">
        <x:v>RFP-A1</x:v>
      </x:c>
      <x:c r="D18" t="n">
        <x:v>2</x:v>
      </x:c>
      <x:c r="E18" t="n">
        <x:v>6</x:v>
      </x:c>
      <x:c r="F18" t="n">
        <x:v>5</x:v>
      </x:c>
      <x:c r="G18" t="n">
        <x:v>0.6</x:v>
      </x:c>
      <x:c r="H18" t="n">
        <x:v>3</x:v>
      </x:c>
      <x:c r="I18" t="n">
        <x:v>150</x:v>
      </x:c>
      <x:c r="J18" t="str">
        <x:v>candidate cartridge</x:v>
      </x:c>
      <x:c r="K18" t="str">
        <x:v>separate public casualty gutter</x:v>
      </x:c>
      <x:c r="L18" t="str"/>
      <x:c r="M18" t="str">
        <x:v>OPEN</x:v>
      </x:c>
    </x:row>
    <x:row r="19">
      <x:c r="B19" t="str">
        <x:v>RFP-A1-DG3-B1</x:v>
      </x:c>
      <x:c r="C19" t="str">
        <x:v>RFP-A1</x:v>
      </x:c>
      <x:c r="D19" t="n">
        <x:v>3</x:v>
      </x:c>
      <x:c r="E19" t="n">
        <x:v>1</x:v>
      </x:c>
      <x:c r="F19" t="n">
        <x:v>5</x:v>
      </x:c>
      <x:c r="G19" t="n">
        <x:v>0.6</x:v>
      </x:c>
      <x:c r="H19" t="n">
        <x:v>3</x:v>
      </x:c>
      <x:c r="I19" t="n">
        <x:v>150</x:v>
      </x:c>
      <x:c r="J19" t="str">
        <x:v>candidate cartridge</x:v>
      </x:c>
      <x:c r="K19" t="str">
        <x:v>separate public casualty gutter</x:v>
      </x:c>
      <x:c r="L19" t="str"/>
      <x:c r="M19" t="str">
        <x:v>OPEN</x:v>
      </x:c>
    </x:row>
    <x:row r="20">
      <x:c r="B20" t="str">
        <x:v>RFP-A1-DG3-B2</x:v>
      </x:c>
      <x:c r="C20" t="str">
        <x:v>RFP-A1</x:v>
      </x:c>
      <x:c r="D20" t="n">
        <x:v>3</x:v>
      </x:c>
      <x:c r="E20" t="n">
        <x:v>2</x:v>
      </x:c>
      <x:c r="F20" t="n">
        <x:v>5</x:v>
      </x:c>
      <x:c r="G20" t="n">
        <x:v>0.6</x:v>
      </x:c>
      <x:c r="H20" t="n">
        <x:v>3</x:v>
      </x:c>
      <x:c r="I20" t="n">
        <x:v>150</x:v>
      </x:c>
      <x:c r="J20" t="str">
        <x:v>candidate cartridge</x:v>
      </x:c>
      <x:c r="K20" t="str">
        <x:v>separate public casualty gutter</x:v>
      </x:c>
      <x:c r="L20" t="str"/>
      <x:c r="M20" t="str">
        <x:v>OPEN</x:v>
      </x:c>
    </x:row>
    <x:row r="21">
      <x:c r="B21" t="str">
        <x:v>RFP-A1-DG3-B3</x:v>
      </x:c>
      <x:c r="C21" t="str">
        <x:v>RFP-A1</x:v>
      </x:c>
      <x:c r="D21" t="n">
        <x:v>3</x:v>
      </x:c>
      <x:c r="E21" t="n">
        <x:v>3</x:v>
      </x:c>
      <x:c r="F21" t="n">
        <x:v>5</x:v>
      </x:c>
      <x:c r="G21" t="n">
        <x:v>0.6</x:v>
      </x:c>
      <x:c r="H21" t="n">
        <x:v>3</x:v>
      </x:c>
      <x:c r="I21" t="n">
        <x:v>150</x:v>
      </x:c>
      <x:c r="J21" t="str">
        <x:v>candidate cartridge</x:v>
      </x:c>
      <x:c r="K21" t="str">
        <x:v>separate public casualty gutter</x:v>
      </x:c>
      <x:c r="L21" t="str"/>
      <x:c r="M21" t="str">
        <x:v>OPEN</x:v>
      </x:c>
    </x:row>
    <x:row r="22">
      <x:c r="B22" t="str">
        <x:v>RFP-A1-DG3-B4</x:v>
      </x:c>
      <x:c r="C22" t="str">
        <x:v>RFP-A1</x:v>
      </x:c>
      <x:c r="D22" t="n">
        <x:v>3</x:v>
      </x:c>
      <x:c r="E22" t="n">
        <x:v>4</x:v>
      </x:c>
      <x:c r="F22" t="n">
        <x:v>5</x:v>
      </x:c>
      <x:c r="G22" t="n">
        <x:v>0.6</x:v>
      </x:c>
      <x:c r="H22" t="n">
        <x:v>3</x:v>
      </x:c>
      <x:c r="I22" t="n">
        <x:v>150</x:v>
      </x:c>
      <x:c r="J22" t="str">
        <x:v>candidate cartridge</x:v>
      </x:c>
      <x:c r="K22" t="str">
        <x:v>separate public casualty gutter</x:v>
      </x:c>
      <x:c r="L22" t="str"/>
      <x:c r="M22" t="str">
        <x:v>OPEN</x:v>
      </x:c>
    </x:row>
    <x:row r="23">
      <x:c r="B23" t="str">
        <x:v>RFP-A1-DG3-B5</x:v>
      </x:c>
      <x:c r="C23" t="str">
        <x:v>RFP-A1</x:v>
      </x:c>
      <x:c r="D23" t="n">
        <x:v>3</x:v>
      </x:c>
      <x:c r="E23" t="n">
        <x:v>5</x:v>
      </x:c>
      <x:c r="F23" t="n">
        <x:v>5</x:v>
      </x:c>
      <x:c r="G23" t="n">
        <x:v>0.6</x:v>
      </x:c>
      <x:c r="H23" t="n">
        <x:v>3</x:v>
      </x:c>
      <x:c r="I23" t="n">
        <x:v>150</x:v>
      </x:c>
      <x:c r="J23" t="str">
        <x:v>candidate cartridge</x:v>
      </x:c>
      <x:c r="K23" t="str">
        <x:v>separate public casualty gutter</x:v>
      </x:c>
      <x:c r="L23" t="str"/>
      <x:c r="M23" t="str">
        <x:v>OPEN</x:v>
      </x:c>
    </x:row>
    <x:row r="24">
      <x:c r="B24" t="str">
        <x:v>RFP-A1-DG3-B6</x:v>
      </x:c>
      <x:c r="C24" t="str">
        <x:v>RFP-A1</x:v>
      </x:c>
      <x:c r="D24" t="n">
        <x:v>3</x:v>
      </x:c>
      <x:c r="E24" t="n">
        <x:v>6</x:v>
      </x:c>
      <x:c r="F24" t="n">
        <x:v>5</x:v>
      </x:c>
      <x:c r="G24" t="n">
        <x:v>0.6</x:v>
      </x:c>
      <x:c r="H24" t="n">
        <x:v>3</x:v>
      </x:c>
      <x:c r="I24" t="n">
        <x:v>150</x:v>
      </x:c>
      <x:c r="J24" t="str">
        <x:v>candidate cartridge</x:v>
      </x:c>
      <x:c r="K24" t="str">
        <x:v>separate public casualty gutter</x:v>
      </x:c>
      <x:c r="L24" t="str"/>
      <x:c r="M24" t="str">
        <x:v>OPEN</x:v>
      </x:c>
    </x:row>
    <x:row r="25">
      <x:c r="B25" t="str">
        <x:v>RFP-A1-DG4-B1</x:v>
      </x:c>
      <x:c r="C25" t="str">
        <x:v>RFP-A1</x:v>
      </x:c>
      <x:c r="D25" t="n">
        <x:v>4</x:v>
      </x:c>
      <x:c r="E25" t="n">
        <x:v>1</x:v>
      </x:c>
      <x:c r="F25" t="n">
        <x:v>5</x:v>
      </x:c>
      <x:c r="G25" t="n">
        <x:v>0.6</x:v>
      </x:c>
      <x:c r="H25" t="n">
        <x:v>3</x:v>
      </x:c>
      <x:c r="I25" t="n">
        <x:v>150</x:v>
      </x:c>
      <x:c r="J25" t="str">
        <x:v>candidate cartridge</x:v>
      </x:c>
      <x:c r="K25" t="str">
        <x:v>separate public casualty gutter</x:v>
      </x:c>
      <x:c r="L25" t="str"/>
      <x:c r="M25" t="str">
        <x:v>OPEN</x:v>
      </x:c>
    </x:row>
    <x:row r="26">
      <x:c r="B26" t="str">
        <x:v>RFP-A1-DG4-B2</x:v>
      </x:c>
      <x:c r="C26" t="str">
        <x:v>RFP-A1</x:v>
      </x:c>
      <x:c r="D26" t="n">
        <x:v>4</x:v>
      </x:c>
      <x:c r="E26" t="n">
        <x:v>2</x:v>
      </x:c>
      <x:c r="F26" t="n">
        <x:v>5</x:v>
      </x:c>
      <x:c r="G26" t="n">
        <x:v>0.6</x:v>
      </x:c>
      <x:c r="H26" t="n">
        <x:v>3</x:v>
      </x:c>
      <x:c r="I26" t="n">
        <x:v>150</x:v>
      </x:c>
      <x:c r="J26" t="str">
        <x:v>candidate cartridge</x:v>
      </x:c>
      <x:c r="K26" t="str">
        <x:v>separate public casualty gutter</x:v>
      </x:c>
      <x:c r="L26" t="str"/>
      <x:c r="M26" t="str">
        <x:v>OPEN</x:v>
      </x:c>
    </x:row>
    <x:row r="27">
      <x:c r="B27" t="str">
        <x:v>RFP-A1-DG4-B3</x:v>
      </x:c>
      <x:c r="C27" t="str">
        <x:v>RFP-A1</x:v>
      </x:c>
      <x:c r="D27" t="n">
        <x:v>4</x:v>
      </x:c>
      <x:c r="E27" t="n">
        <x:v>3</x:v>
      </x:c>
      <x:c r="F27" t="n">
        <x:v>5</x:v>
      </x:c>
      <x:c r="G27" t="n">
        <x:v>0.6</x:v>
      </x:c>
      <x:c r="H27" t="n">
        <x:v>3</x:v>
      </x:c>
      <x:c r="I27" t="n">
        <x:v>150</x:v>
      </x:c>
      <x:c r="J27" t="str">
        <x:v>candidate cartridge</x:v>
      </x:c>
      <x:c r="K27" t="str">
        <x:v>separate public casualty gutter</x:v>
      </x:c>
      <x:c r="L27" t="str"/>
      <x:c r="M27" t="str">
        <x:v>OPEN</x:v>
      </x:c>
    </x:row>
    <x:row r="28">
      <x:c r="B28" t="str">
        <x:v>RFP-A1-DG4-B4</x:v>
      </x:c>
      <x:c r="C28" t="str">
        <x:v>RFP-A1</x:v>
      </x:c>
      <x:c r="D28" t="n">
        <x:v>4</x:v>
      </x:c>
      <x:c r="E28" t="n">
        <x:v>4</x:v>
      </x:c>
      <x:c r="F28" t="n">
        <x:v>5</x:v>
      </x:c>
      <x:c r="G28" t="n">
        <x:v>0.6</x:v>
      </x:c>
      <x:c r="H28" t="n">
        <x:v>3</x:v>
      </x:c>
      <x:c r="I28" t="n">
        <x:v>150</x:v>
      </x:c>
      <x:c r="J28" t="str">
        <x:v>candidate cartridge</x:v>
      </x:c>
      <x:c r="K28" t="str">
        <x:v>separate public casualty gutter</x:v>
      </x:c>
      <x:c r="L28" t="str"/>
      <x:c r="M28" t="str">
        <x:v>OPEN</x:v>
      </x:c>
    </x:row>
    <x:row r="29">
      <x:c r="B29" t="str">
        <x:v>RFP-A1-DG4-B5</x:v>
      </x:c>
      <x:c r="C29" t="str">
        <x:v>RFP-A1</x:v>
      </x:c>
      <x:c r="D29" t="n">
        <x:v>4</x:v>
      </x:c>
      <x:c r="E29" t="n">
        <x:v>5</x:v>
      </x:c>
      <x:c r="F29" t="n">
        <x:v>5</x:v>
      </x:c>
      <x:c r="G29" t="n">
        <x:v>0.6</x:v>
      </x:c>
      <x:c r="H29" t="n">
        <x:v>3</x:v>
      </x:c>
      <x:c r="I29" t="n">
        <x:v>150</x:v>
      </x:c>
      <x:c r="J29" t="str">
        <x:v>candidate cartridge</x:v>
      </x:c>
      <x:c r="K29" t="str">
        <x:v>separate public casualty gutter</x:v>
      </x:c>
      <x:c r="L29" t="str"/>
      <x:c r="M29" t="str">
        <x:v>OPEN</x:v>
      </x:c>
    </x:row>
    <x:row r="30">
      <x:c r="B30" t="str">
        <x:v>RFP-A1-DG4-B6</x:v>
      </x:c>
      <x:c r="C30" t="str">
        <x:v>RFP-A1</x:v>
      </x:c>
      <x:c r="D30" t="n">
        <x:v>4</x:v>
      </x:c>
      <x:c r="E30" t="n">
        <x:v>6</x:v>
      </x:c>
      <x:c r="F30" t="n">
        <x:v>5</x:v>
      </x:c>
      <x:c r="G30" t="n">
        <x:v>0.6</x:v>
      </x:c>
      <x:c r="H30" t="n">
        <x:v>3</x:v>
      </x:c>
      <x:c r="I30" t="n">
        <x:v>150</x:v>
      </x:c>
      <x:c r="J30" t="str">
        <x:v>candidate cartridge</x:v>
      </x:c>
      <x:c r="K30" t="str">
        <x:v>separate public casualty gutter</x:v>
      </x:c>
      <x:c r="L30" t="str"/>
      <x:c r="M30" t="str">
        <x:v>OPEN</x:v>
      </x:c>
    </x:row>
    <x:row r="31">
      <x:c r="B31" t="str">
        <x:v>RFP-A2-DG1-B1</x:v>
      </x:c>
      <x:c r="C31" t="str">
        <x:v>RFP-A2</x:v>
      </x:c>
      <x:c r="D31" t="n">
        <x:v>1</x:v>
      </x:c>
      <x:c r="E31" t="n">
        <x:v>1</x:v>
      </x:c>
      <x:c r="F31" t="n">
        <x:v>5</x:v>
      </x:c>
      <x:c r="G31" t="n">
        <x:v>0.6</x:v>
      </x:c>
      <x:c r="H31" t="n">
        <x:v>3</x:v>
      </x:c>
      <x:c r="I31" t="n">
        <x:v>150</x:v>
      </x:c>
      <x:c r="J31" t="str">
        <x:v>candidate cartridge</x:v>
      </x:c>
      <x:c r="K31" t="str">
        <x:v>separate public casualty gutter</x:v>
      </x:c>
      <x:c r="L31" t="str"/>
      <x:c r="M31" t="str">
        <x:v>OPEN</x:v>
      </x:c>
    </x:row>
    <x:row r="32">
      <x:c r="B32" t="str">
        <x:v>RFP-A2-DG1-B2</x:v>
      </x:c>
      <x:c r="C32" t="str">
        <x:v>RFP-A2</x:v>
      </x:c>
      <x:c r="D32" t="n">
        <x:v>1</x:v>
      </x:c>
      <x:c r="E32" t="n">
        <x:v>2</x:v>
      </x:c>
      <x:c r="F32" t="n">
        <x:v>5</x:v>
      </x:c>
      <x:c r="G32" t="n">
        <x:v>0.6</x:v>
      </x:c>
      <x:c r="H32" t="n">
        <x:v>3</x:v>
      </x:c>
      <x:c r="I32" t="n">
        <x:v>150</x:v>
      </x:c>
      <x:c r="J32" t="str">
        <x:v>candidate cartridge</x:v>
      </x:c>
      <x:c r="K32" t="str">
        <x:v>separate public casualty gutter</x:v>
      </x:c>
      <x:c r="L32" t="str"/>
      <x:c r="M32" t="str">
        <x:v>OPEN</x:v>
      </x:c>
    </x:row>
    <x:row r="33">
      <x:c r="B33" t="str">
        <x:v>RFP-A2-DG1-B3</x:v>
      </x:c>
      <x:c r="C33" t="str">
        <x:v>RFP-A2</x:v>
      </x:c>
      <x:c r="D33" t="n">
        <x:v>1</x:v>
      </x:c>
      <x:c r="E33" t="n">
        <x:v>3</x:v>
      </x:c>
      <x:c r="F33" t="n">
        <x:v>5</x:v>
      </x:c>
      <x:c r="G33" t="n">
        <x:v>0.6</x:v>
      </x:c>
      <x:c r="H33" t="n">
        <x:v>3</x:v>
      </x:c>
      <x:c r="I33" t="n">
        <x:v>150</x:v>
      </x:c>
      <x:c r="J33" t="str">
        <x:v>candidate cartridge</x:v>
      </x:c>
      <x:c r="K33" t="str">
        <x:v>separate public casualty gutter</x:v>
      </x:c>
      <x:c r="L33" t="str"/>
      <x:c r="M33" t="str">
        <x:v>OPEN</x:v>
      </x:c>
    </x:row>
    <x:row r="34">
      <x:c r="B34" t="str">
        <x:v>RFP-A2-DG1-B4</x:v>
      </x:c>
      <x:c r="C34" t="str">
        <x:v>RFP-A2</x:v>
      </x:c>
      <x:c r="D34" t="n">
        <x:v>1</x:v>
      </x:c>
      <x:c r="E34" t="n">
        <x:v>4</x:v>
      </x:c>
      <x:c r="F34" t="n">
        <x:v>5</x:v>
      </x:c>
      <x:c r="G34" t="n">
        <x:v>0.6</x:v>
      </x:c>
      <x:c r="H34" t="n">
        <x:v>3</x:v>
      </x:c>
      <x:c r="I34" t="n">
        <x:v>150</x:v>
      </x:c>
      <x:c r="J34" t="str">
        <x:v>candidate cartridge</x:v>
      </x:c>
      <x:c r="K34" t="str">
        <x:v>separate public casualty gutter</x:v>
      </x:c>
      <x:c r="L34" t="str"/>
      <x:c r="M34" t="str">
        <x:v>OPEN</x:v>
      </x:c>
    </x:row>
    <x:row r="35">
      <x:c r="B35" t="str">
        <x:v>RFP-A2-DG1-B5</x:v>
      </x:c>
      <x:c r="C35" t="str">
        <x:v>RFP-A2</x:v>
      </x:c>
      <x:c r="D35" t="n">
        <x:v>1</x:v>
      </x:c>
      <x:c r="E35" t="n">
        <x:v>5</x:v>
      </x:c>
      <x:c r="F35" t="n">
        <x:v>5</x:v>
      </x:c>
      <x:c r="G35" t="n">
        <x:v>0.6</x:v>
      </x:c>
      <x:c r="H35" t="n">
        <x:v>3</x:v>
      </x:c>
      <x:c r="I35" t="n">
        <x:v>150</x:v>
      </x:c>
      <x:c r="J35" t="str">
        <x:v>candidate cartridge</x:v>
      </x:c>
      <x:c r="K35" t="str">
        <x:v>separate public casualty gutter</x:v>
      </x:c>
      <x:c r="L35" t="str"/>
      <x:c r="M35" t="str">
        <x:v>OPEN</x:v>
      </x:c>
    </x:row>
    <x:row r="36">
      <x:c r="B36" t="str">
        <x:v>RFP-A2-DG1-B6</x:v>
      </x:c>
      <x:c r="C36" t="str">
        <x:v>RFP-A2</x:v>
      </x:c>
      <x:c r="D36" t="n">
        <x:v>1</x:v>
      </x:c>
      <x:c r="E36" t="n">
        <x:v>6</x:v>
      </x:c>
      <x:c r="F36" t="n">
        <x:v>5</x:v>
      </x:c>
      <x:c r="G36" t="n">
        <x:v>0.6</x:v>
      </x:c>
      <x:c r="H36" t="n">
        <x:v>3</x:v>
      </x:c>
      <x:c r="I36" t="n">
        <x:v>150</x:v>
      </x:c>
      <x:c r="J36" t="str">
        <x:v>candidate cartridge</x:v>
      </x:c>
      <x:c r="K36" t="str">
        <x:v>separate public casualty gutter</x:v>
      </x:c>
      <x:c r="L36" t="str"/>
      <x:c r="M36" t="str">
        <x:v>OPEN</x:v>
      </x:c>
    </x:row>
    <x:row r="37">
      <x:c r="B37" t="str">
        <x:v>RFP-A2-DG2-B1</x:v>
      </x:c>
      <x:c r="C37" t="str">
        <x:v>RFP-A2</x:v>
      </x:c>
      <x:c r="D37" t="n">
        <x:v>2</x:v>
      </x:c>
      <x:c r="E37" t="n">
        <x:v>1</x:v>
      </x:c>
      <x:c r="F37" t="n">
        <x:v>5</x:v>
      </x:c>
      <x:c r="G37" t="n">
        <x:v>0.6</x:v>
      </x:c>
      <x:c r="H37" t="n">
        <x:v>3</x:v>
      </x:c>
      <x:c r="I37" t="n">
        <x:v>150</x:v>
      </x:c>
      <x:c r="J37" t="str">
        <x:v>candidate cartridge</x:v>
      </x:c>
      <x:c r="K37" t="str">
        <x:v>separate public casualty gutter</x:v>
      </x:c>
      <x:c r="L37" t="str"/>
      <x:c r="M37" t="str">
        <x:v>OPEN</x:v>
      </x:c>
    </x:row>
    <x:row r="38">
      <x:c r="B38" t="str">
        <x:v>RFP-A2-DG2-B2</x:v>
      </x:c>
      <x:c r="C38" t="str">
        <x:v>RFP-A2</x:v>
      </x:c>
      <x:c r="D38" t="n">
        <x:v>2</x:v>
      </x:c>
      <x:c r="E38" t="n">
        <x:v>2</x:v>
      </x:c>
      <x:c r="F38" t="n">
        <x:v>5</x:v>
      </x:c>
      <x:c r="G38" t="n">
        <x:v>0.6</x:v>
      </x:c>
      <x:c r="H38" t="n">
        <x:v>3</x:v>
      </x:c>
      <x:c r="I38" t="n">
        <x:v>150</x:v>
      </x:c>
      <x:c r="J38" t="str">
        <x:v>candidate cartridge</x:v>
      </x:c>
      <x:c r="K38" t="str">
        <x:v>separate public casualty gutter</x:v>
      </x:c>
      <x:c r="L38" t="str"/>
      <x:c r="M38" t="str">
        <x:v>OPEN</x:v>
      </x:c>
    </x:row>
    <x:row r="39">
      <x:c r="B39" t="str">
        <x:v>RFP-A2-DG2-B3</x:v>
      </x:c>
      <x:c r="C39" t="str">
        <x:v>RFP-A2</x:v>
      </x:c>
      <x:c r="D39" t="n">
        <x:v>2</x:v>
      </x:c>
      <x:c r="E39" t="n">
        <x:v>3</x:v>
      </x:c>
      <x:c r="F39" t="n">
        <x:v>5</x:v>
      </x:c>
      <x:c r="G39" t="n">
        <x:v>0.6</x:v>
      </x:c>
      <x:c r="H39" t="n">
        <x:v>3</x:v>
      </x:c>
      <x:c r="I39" t="n">
        <x:v>150</x:v>
      </x:c>
      <x:c r="J39" t="str">
        <x:v>candidate cartridge</x:v>
      </x:c>
      <x:c r="K39" t="str">
        <x:v>separate public casualty gutter</x:v>
      </x:c>
      <x:c r="L39" t="str"/>
      <x:c r="M39" t="str">
        <x:v>OPEN</x:v>
      </x:c>
    </x:row>
    <x:row r="40">
      <x:c r="B40" t="str">
        <x:v>RFP-A2-DG2-B4</x:v>
      </x:c>
      <x:c r="C40" t="str">
        <x:v>RFP-A2</x:v>
      </x:c>
      <x:c r="D40" t="n">
        <x:v>2</x:v>
      </x:c>
      <x:c r="E40" t="n">
        <x:v>4</x:v>
      </x:c>
      <x:c r="F40" t="n">
        <x:v>5</x:v>
      </x:c>
      <x:c r="G40" t="n">
        <x:v>0.6</x:v>
      </x:c>
      <x:c r="H40" t="n">
        <x:v>3</x:v>
      </x:c>
      <x:c r="I40" t="n">
        <x:v>150</x:v>
      </x:c>
      <x:c r="J40" t="str">
        <x:v>candidate cartridge</x:v>
      </x:c>
      <x:c r="K40" t="str">
        <x:v>separate public casualty gutter</x:v>
      </x:c>
      <x:c r="L40" t="str"/>
      <x:c r="M40" t="str">
        <x:v>OPEN</x:v>
      </x:c>
    </x:row>
    <x:row r="41">
      <x:c r="B41" t="str">
        <x:v>RFP-A2-DG2-B5</x:v>
      </x:c>
      <x:c r="C41" t="str">
        <x:v>RFP-A2</x:v>
      </x:c>
      <x:c r="D41" t="n">
        <x:v>2</x:v>
      </x:c>
      <x:c r="E41" t="n">
        <x:v>5</x:v>
      </x:c>
      <x:c r="F41" t="n">
        <x:v>5</x:v>
      </x:c>
      <x:c r="G41" t="n">
        <x:v>0.6</x:v>
      </x:c>
      <x:c r="H41" t="n">
        <x:v>3</x:v>
      </x:c>
      <x:c r="I41" t="n">
        <x:v>150</x:v>
      </x:c>
      <x:c r="J41" t="str">
        <x:v>candidate cartridge</x:v>
      </x:c>
      <x:c r="K41" t="str">
        <x:v>separate public casualty gutter</x:v>
      </x:c>
      <x:c r="L41" t="str"/>
      <x:c r="M41" t="str">
        <x:v>OPEN</x:v>
      </x:c>
    </x:row>
    <x:row r="42">
      <x:c r="B42" t="str">
        <x:v>RFP-A2-DG2-B6</x:v>
      </x:c>
      <x:c r="C42" t="str">
        <x:v>RFP-A2</x:v>
      </x:c>
      <x:c r="D42" t="n">
        <x:v>2</x:v>
      </x:c>
      <x:c r="E42" t="n">
        <x:v>6</x:v>
      </x:c>
      <x:c r="F42" t="n">
        <x:v>5</x:v>
      </x:c>
      <x:c r="G42" t="n">
        <x:v>0.6</x:v>
      </x:c>
      <x:c r="H42" t="n">
        <x:v>3</x:v>
      </x:c>
      <x:c r="I42" t="n">
        <x:v>150</x:v>
      </x:c>
      <x:c r="J42" t="str">
        <x:v>candidate cartridge</x:v>
      </x:c>
      <x:c r="K42" t="str">
        <x:v>separate public casualty gutter</x:v>
      </x:c>
      <x:c r="L42" t="str"/>
      <x:c r="M42" t="str">
        <x:v>OPEN</x:v>
      </x:c>
    </x:row>
    <x:row r="43">
      <x:c r="B43" t="str">
        <x:v>RFP-A2-DG3-B1</x:v>
      </x:c>
      <x:c r="C43" t="str">
        <x:v>RFP-A2</x:v>
      </x:c>
      <x:c r="D43" t="n">
        <x:v>3</x:v>
      </x:c>
      <x:c r="E43" t="n">
        <x:v>1</x:v>
      </x:c>
      <x:c r="F43" t="n">
        <x:v>5</x:v>
      </x:c>
      <x:c r="G43" t="n">
        <x:v>0.6</x:v>
      </x:c>
      <x:c r="H43" t="n">
        <x:v>3</x:v>
      </x:c>
      <x:c r="I43" t="n">
        <x:v>150</x:v>
      </x:c>
      <x:c r="J43" t="str">
        <x:v>candidate cartridge</x:v>
      </x:c>
      <x:c r="K43" t="str">
        <x:v>separate public casualty gutter</x:v>
      </x:c>
      <x:c r="L43" t="str"/>
      <x:c r="M43" t="str">
        <x:v>OPEN</x:v>
      </x:c>
    </x:row>
    <x:row r="44">
      <x:c r="B44" t="str">
        <x:v>RFP-A2-DG3-B2</x:v>
      </x:c>
      <x:c r="C44" t="str">
        <x:v>RFP-A2</x:v>
      </x:c>
      <x:c r="D44" t="n">
        <x:v>3</x:v>
      </x:c>
      <x:c r="E44" t="n">
        <x:v>2</x:v>
      </x:c>
      <x:c r="F44" t="n">
        <x:v>5</x:v>
      </x:c>
      <x:c r="G44" t="n">
        <x:v>0.6</x:v>
      </x:c>
      <x:c r="H44" t="n">
        <x:v>3</x:v>
      </x:c>
      <x:c r="I44" t="n">
        <x:v>150</x:v>
      </x:c>
      <x:c r="J44" t="str">
        <x:v>candidate cartridge</x:v>
      </x:c>
      <x:c r="K44" t="str">
        <x:v>separate public casualty gutter</x:v>
      </x:c>
      <x:c r="L44" t="str"/>
      <x:c r="M44" t="str">
        <x:v>OPEN</x:v>
      </x:c>
    </x:row>
    <x:row r="45">
      <x:c r="B45" t="str">
        <x:v>RFP-A2-DG3-B3</x:v>
      </x:c>
      <x:c r="C45" t="str">
        <x:v>RFP-A2</x:v>
      </x:c>
      <x:c r="D45" t="n">
        <x:v>3</x:v>
      </x:c>
      <x:c r="E45" t="n">
        <x:v>3</x:v>
      </x:c>
      <x:c r="F45" t="n">
        <x:v>5</x:v>
      </x:c>
      <x:c r="G45" t="n">
        <x:v>0.6</x:v>
      </x:c>
      <x:c r="H45" t="n">
        <x:v>3</x:v>
      </x:c>
      <x:c r="I45" t="n">
        <x:v>150</x:v>
      </x:c>
      <x:c r="J45" t="str">
        <x:v>candidate cartridge</x:v>
      </x:c>
      <x:c r="K45" t="str">
        <x:v>separate public casualty gutter</x:v>
      </x:c>
      <x:c r="L45" t="str"/>
      <x:c r="M45" t="str">
        <x:v>OPEN</x:v>
      </x:c>
    </x:row>
    <x:row r="46">
      <x:c r="B46" t="str">
        <x:v>RFP-A2-DG3-B4</x:v>
      </x:c>
      <x:c r="C46" t="str">
        <x:v>RFP-A2</x:v>
      </x:c>
      <x:c r="D46" t="n">
        <x:v>3</x:v>
      </x:c>
      <x:c r="E46" t="n">
        <x:v>4</x:v>
      </x:c>
      <x:c r="F46" t="n">
        <x:v>5</x:v>
      </x:c>
      <x:c r="G46" t="n">
        <x:v>0.6</x:v>
      </x:c>
      <x:c r="H46" t="n">
        <x:v>3</x:v>
      </x:c>
      <x:c r="I46" t="n">
        <x:v>150</x:v>
      </x:c>
      <x:c r="J46" t="str">
        <x:v>candidate cartridge</x:v>
      </x:c>
      <x:c r="K46" t="str">
        <x:v>separate public casualty gutter</x:v>
      </x:c>
      <x:c r="L46" t="str"/>
      <x:c r="M46" t="str">
        <x:v>OPEN</x:v>
      </x:c>
    </x:row>
    <x:row r="47">
      <x:c r="B47" t="str">
        <x:v>RFP-A2-DG3-B5</x:v>
      </x:c>
      <x:c r="C47" t="str">
        <x:v>RFP-A2</x:v>
      </x:c>
      <x:c r="D47" t="n">
        <x:v>3</x:v>
      </x:c>
      <x:c r="E47" t="n">
        <x:v>5</x:v>
      </x:c>
      <x:c r="F47" t="n">
        <x:v>5</x:v>
      </x:c>
      <x:c r="G47" t="n">
        <x:v>0.6</x:v>
      </x:c>
      <x:c r="H47" t="n">
        <x:v>3</x:v>
      </x:c>
      <x:c r="I47" t="n">
        <x:v>150</x:v>
      </x:c>
      <x:c r="J47" t="str">
        <x:v>candidate cartridge</x:v>
      </x:c>
      <x:c r="K47" t="str">
        <x:v>separate public casualty gutter</x:v>
      </x:c>
      <x:c r="L47" t="str"/>
      <x:c r="M47" t="str">
        <x:v>OPEN</x:v>
      </x:c>
    </x:row>
    <x:row r="48">
      <x:c r="B48" t="str">
        <x:v>RFP-A2-DG3-B6</x:v>
      </x:c>
      <x:c r="C48" t="str">
        <x:v>RFP-A2</x:v>
      </x:c>
      <x:c r="D48" t="n">
        <x:v>3</x:v>
      </x:c>
      <x:c r="E48" t="n">
        <x:v>6</x:v>
      </x:c>
      <x:c r="F48" t="n">
        <x:v>5</x:v>
      </x:c>
      <x:c r="G48" t="n">
        <x:v>0.6</x:v>
      </x:c>
      <x:c r="H48" t="n">
        <x:v>3</x:v>
      </x:c>
      <x:c r="I48" t="n">
        <x:v>150</x:v>
      </x:c>
      <x:c r="J48" t="str">
        <x:v>candidate cartridge</x:v>
      </x:c>
      <x:c r="K48" t="str">
        <x:v>separate public casualty gutter</x:v>
      </x:c>
      <x:c r="L48" t="str"/>
      <x:c r="M48" t="str">
        <x:v>OPEN</x:v>
      </x:c>
    </x:row>
    <x:row r="49">
      <x:c r="B49" t="str">
        <x:v>RFP-A2-DG4-B1</x:v>
      </x:c>
      <x:c r="C49" t="str">
        <x:v>RFP-A2</x:v>
      </x:c>
      <x:c r="D49" t="n">
        <x:v>4</x:v>
      </x:c>
      <x:c r="E49" t="n">
        <x:v>1</x:v>
      </x:c>
      <x:c r="F49" t="n">
        <x:v>5</x:v>
      </x:c>
      <x:c r="G49" t="n">
        <x:v>0.6</x:v>
      </x:c>
      <x:c r="H49" t="n">
        <x:v>3</x:v>
      </x:c>
      <x:c r="I49" t="n">
        <x:v>150</x:v>
      </x:c>
      <x:c r="J49" t="str">
        <x:v>candidate cartridge</x:v>
      </x:c>
      <x:c r="K49" t="str">
        <x:v>separate public casualty gutter</x:v>
      </x:c>
      <x:c r="L49" t="str"/>
      <x:c r="M49" t="str">
        <x:v>OPEN</x:v>
      </x:c>
    </x:row>
    <x:row r="50">
      <x:c r="B50" t="str">
        <x:v>RFP-A2-DG4-B2</x:v>
      </x:c>
      <x:c r="C50" t="str">
        <x:v>RFP-A2</x:v>
      </x:c>
      <x:c r="D50" t="n">
        <x:v>4</x:v>
      </x:c>
      <x:c r="E50" t="n">
        <x:v>2</x:v>
      </x:c>
      <x:c r="F50" t="n">
        <x:v>5</x:v>
      </x:c>
      <x:c r="G50" t="n">
        <x:v>0.6</x:v>
      </x:c>
      <x:c r="H50" t="n">
        <x:v>3</x:v>
      </x:c>
      <x:c r="I50" t="n">
        <x:v>150</x:v>
      </x:c>
      <x:c r="J50" t="str">
        <x:v>candidate cartridge</x:v>
      </x:c>
      <x:c r="K50" t="str">
        <x:v>separate public casualty gutter</x:v>
      </x:c>
      <x:c r="L50" t="str"/>
      <x:c r="M50" t="str">
        <x:v>OPEN</x:v>
      </x:c>
    </x:row>
    <x:row r="51">
      <x:c r="B51" t="str">
        <x:v>RFP-A2-DG4-B3</x:v>
      </x:c>
      <x:c r="C51" t="str">
        <x:v>RFP-A2</x:v>
      </x:c>
      <x:c r="D51" t="n">
        <x:v>4</x:v>
      </x:c>
      <x:c r="E51" t="n">
        <x:v>3</x:v>
      </x:c>
      <x:c r="F51" t="n">
        <x:v>5</x:v>
      </x:c>
      <x:c r="G51" t="n">
        <x:v>0.6</x:v>
      </x:c>
      <x:c r="H51" t="n">
        <x:v>3</x:v>
      </x:c>
      <x:c r="I51" t="n">
        <x:v>150</x:v>
      </x:c>
      <x:c r="J51" t="str">
        <x:v>candidate cartridge</x:v>
      </x:c>
      <x:c r="K51" t="str">
        <x:v>separate public casualty gutter</x:v>
      </x:c>
      <x:c r="L51" t="str"/>
      <x:c r="M51" t="str">
        <x:v>OPEN</x:v>
      </x:c>
    </x:row>
    <x:row r="52">
      <x:c r="B52" t="str">
        <x:v>RFP-A2-DG4-B4</x:v>
      </x:c>
      <x:c r="C52" t="str">
        <x:v>RFP-A2</x:v>
      </x:c>
      <x:c r="D52" t="n">
        <x:v>4</x:v>
      </x:c>
      <x:c r="E52" t="n">
        <x:v>4</x:v>
      </x:c>
      <x:c r="F52" t="n">
        <x:v>5</x:v>
      </x:c>
      <x:c r="G52" t="n">
        <x:v>0.6</x:v>
      </x:c>
      <x:c r="H52" t="n">
        <x:v>3</x:v>
      </x:c>
      <x:c r="I52" t="n">
        <x:v>150</x:v>
      </x:c>
      <x:c r="J52" t="str">
        <x:v>candidate cartridge</x:v>
      </x:c>
      <x:c r="K52" t="str">
        <x:v>separate public casualty gutter</x:v>
      </x:c>
      <x:c r="L52" t="str"/>
      <x:c r="M52" t="str">
        <x:v>OPEN</x:v>
      </x:c>
    </x:row>
    <x:row r="53">
      <x:c r="B53" t="str">
        <x:v>RFP-A2-DG4-B5</x:v>
      </x:c>
      <x:c r="C53" t="str">
        <x:v>RFP-A2</x:v>
      </x:c>
      <x:c r="D53" t="n">
        <x:v>4</x:v>
      </x:c>
      <x:c r="E53" t="n">
        <x:v>5</x:v>
      </x:c>
      <x:c r="F53" t="n">
        <x:v>5</x:v>
      </x:c>
      <x:c r="G53" t="n">
        <x:v>0.6</x:v>
      </x:c>
      <x:c r="H53" t="n">
        <x:v>3</x:v>
      </x:c>
      <x:c r="I53" t="n">
        <x:v>150</x:v>
      </x:c>
      <x:c r="J53" t="str">
        <x:v>candidate cartridge</x:v>
      </x:c>
      <x:c r="K53" t="str">
        <x:v>separate public casualty gutter</x:v>
      </x:c>
      <x:c r="L53" t="str"/>
      <x:c r="M53" t="str">
        <x:v>OPEN</x:v>
      </x:c>
    </x:row>
    <x:row r="54">
      <x:c r="B54" t="str">
        <x:v>RFP-A2-DG4-B6</x:v>
      </x:c>
      <x:c r="C54" t="str">
        <x:v>RFP-A2</x:v>
      </x:c>
      <x:c r="D54" t="n">
        <x:v>4</x:v>
      </x:c>
      <x:c r="E54" t="n">
        <x:v>6</x:v>
      </x:c>
      <x:c r="F54" t="n">
        <x:v>5</x:v>
      </x:c>
      <x:c r="G54" t="n">
        <x:v>0.6</x:v>
      </x:c>
      <x:c r="H54" t="n">
        <x:v>3</x:v>
      </x:c>
      <x:c r="I54" t="n">
        <x:v>150</x:v>
      </x:c>
      <x:c r="J54" t="str">
        <x:v>candidate cartridge</x:v>
      </x:c>
      <x:c r="K54" t="str">
        <x:v>separate public casualty gutter</x:v>
      </x:c>
      <x:c r="L54" t="str"/>
      <x:c r="M54" t="str">
        <x:v>OPEN</x:v>
      </x:c>
    </x:row>
    <x:row r="55">
      <x:c r="B55" t="str">
        <x:v>RFP-B1-DG1-B1</x:v>
      </x:c>
      <x:c r="C55" t="str">
        <x:v>RFP-B1</x:v>
      </x:c>
      <x:c r="D55" t="n">
        <x:v>1</x:v>
      </x:c>
      <x:c r="E55" t="n">
        <x:v>1</x:v>
      </x:c>
      <x:c r="F55" t="n">
        <x:v>5</x:v>
      </x:c>
      <x:c r="G55" t="n">
        <x:v>0.6</x:v>
      </x:c>
      <x:c r="H55" t="n">
        <x:v>3</x:v>
      </x:c>
      <x:c r="I55" t="n">
        <x:v>150</x:v>
      </x:c>
      <x:c r="J55" t="str">
        <x:v>candidate cartridge</x:v>
      </x:c>
      <x:c r="K55" t="str">
        <x:v>separate public casualty gutter</x:v>
      </x:c>
      <x:c r="L55" t="str"/>
      <x:c r="M55" t="str">
        <x:v>OPEN</x:v>
      </x:c>
    </x:row>
    <x:row r="56">
      <x:c r="B56" t="str">
        <x:v>RFP-B1-DG1-B2</x:v>
      </x:c>
      <x:c r="C56" t="str">
        <x:v>RFP-B1</x:v>
      </x:c>
      <x:c r="D56" t="n">
        <x:v>1</x:v>
      </x:c>
      <x:c r="E56" t="n">
        <x:v>2</x:v>
      </x:c>
      <x:c r="F56" t="n">
        <x:v>5</x:v>
      </x:c>
      <x:c r="G56" t="n">
        <x:v>0.6</x:v>
      </x:c>
      <x:c r="H56" t="n">
        <x:v>3</x:v>
      </x:c>
      <x:c r="I56" t="n">
        <x:v>150</x:v>
      </x:c>
      <x:c r="J56" t="str">
        <x:v>candidate cartridge</x:v>
      </x:c>
      <x:c r="K56" t="str">
        <x:v>separate public casualty gutter</x:v>
      </x:c>
      <x:c r="L56" t="str"/>
      <x:c r="M56" t="str">
        <x:v>OPEN</x:v>
      </x:c>
    </x:row>
    <x:row r="57">
      <x:c r="B57" t="str">
        <x:v>RFP-B1-DG1-B3</x:v>
      </x:c>
      <x:c r="C57" t="str">
        <x:v>RFP-B1</x:v>
      </x:c>
      <x:c r="D57" t="n">
        <x:v>1</x:v>
      </x:c>
      <x:c r="E57" t="n">
        <x:v>3</x:v>
      </x:c>
      <x:c r="F57" t="n">
        <x:v>5</x:v>
      </x:c>
      <x:c r="G57" t="n">
        <x:v>0.6</x:v>
      </x:c>
      <x:c r="H57" t="n">
        <x:v>3</x:v>
      </x:c>
      <x:c r="I57" t="n">
        <x:v>150</x:v>
      </x:c>
      <x:c r="J57" t="str">
        <x:v>candidate cartridge</x:v>
      </x:c>
      <x:c r="K57" t="str">
        <x:v>separate public casualty gutter</x:v>
      </x:c>
      <x:c r="L57" t="str"/>
      <x:c r="M57" t="str">
        <x:v>OPEN</x:v>
      </x:c>
    </x:row>
    <x:row r="58">
      <x:c r="B58" t="str">
        <x:v>RFP-B1-DG1-B4</x:v>
      </x:c>
      <x:c r="C58" t="str">
        <x:v>RFP-B1</x:v>
      </x:c>
      <x:c r="D58" t="n">
        <x:v>1</x:v>
      </x:c>
      <x:c r="E58" t="n">
        <x:v>4</x:v>
      </x:c>
      <x:c r="F58" t="n">
        <x:v>5</x:v>
      </x:c>
      <x:c r="G58" t="n">
        <x:v>0.6</x:v>
      </x:c>
      <x:c r="H58" t="n">
        <x:v>3</x:v>
      </x:c>
      <x:c r="I58" t="n">
        <x:v>150</x:v>
      </x:c>
      <x:c r="J58" t="str">
        <x:v>candidate cartridge</x:v>
      </x:c>
      <x:c r="K58" t="str">
        <x:v>separate public casualty gutter</x:v>
      </x:c>
      <x:c r="L58" t="str"/>
      <x:c r="M58" t="str">
        <x:v>OPEN</x:v>
      </x:c>
    </x:row>
    <x:row r="59">
      <x:c r="B59" t="str">
        <x:v>RFP-B1-DG1-B5</x:v>
      </x:c>
      <x:c r="C59" t="str">
        <x:v>RFP-B1</x:v>
      </x:c>
      <x:c r="D59" t="n">
        <x:v>1</x:v>
      </x:c>
      <x:c r="E59" t="n">
        <x:v>5</x:v>
      </x:c>
      <x:c r="F59" t="n">
        <x:v>5</x:v>
      </x:c>
      <x:c r="G59" t="n">
        <x:v>0.6</x:v>
      </x:c>
      <x:c r="H59" t="n">
        <x:v>3</x:v>
      </x:c>
      <x:c r="I59" t="n">
        <x:v>150</x:v>
      </x:c>
      <x:c r="J59" t="str">
        <x:v>candidate cartridge</x:v>
      </x:c>
      <x:c r="K59" t="str">
        <x:v>separate public casualty gutter</x:v>
      </x:c>
      <x:c r="L59" t="str"/>
      <x:c r="M59" t="str">
        <x:v>OPEN</x:v>
      </x:c>
    </x:row>
    <x:row r="60">
      <x:c r="B60" t="str">
        <x:v>RFP-B1-DG1-B6</x:v>
      </x:c>
      <x:c r="C60" t="str">
        <x:v>RFP-B1</x:v>
      </x:c>
      <x:c r="D60" t="n">
        <x:v>1</x:v>
      </x:c>
      <x:c r="E60" t="n">
        <x:v>6</x:v>
      </x:c>
      <x:c r="F60" t="n">
        <x:v>5</x:v>
      </x:c>
      <x:c r="G60" t="n">
        <x:v>0.6</x:v>
      </x:c>
      <x:c r="H60" t="n">
        <x:v>3</x:v>
      </x:c>
      <x:c r="I60" t="n">
        <x:v>150</x:v>
      </x:c>
      <x:c r="J60" t="str">
        <x:v>candidate cartridge</x:v>
      </x:c>
      <x:c r="K60" t="str">
        <x:v>separate public casualty gutter</x:v>
      </x:c>
      <x:c r="L60" t="str"/>
      <x:c r="M60" t="str">
        <x:v>OPEN</x:v>
      </x:c>
    </x:row>
    <x:row r="61">
      <x:c r="B61" t="str">
        <x:v>RFP-B1-DG2-B1</x:v>
      </x:c>
      <x:c r="C61" t="str">
        <x:v>RFP-B1</x:v>
      </x:c>
      <x:c r="D61" t="n">
        <x:v>2</x:v>
      </x:c>
      <x:c r="E61" t="n">
        <x:v>1</x:v>
      </x:c>
      <x:c r="F61" t="n">
        <x:v>5</x:v>
      </x:c>
      <x:c r="G61" t="n">
        <x:v>0.6</x:v>
      </x:c>
      <x:c r="H61" t="n">
        <x:v>3</x:v>
      </x:c>
      <x:c r="I61" t="n">
        <x:v>150</x:v>
      </x:c>
      <x:c r="J61" t="str">
        <x:v>candidate cartridge</x:v>
      </x:c>
      <x:c r="K61" t="str">
        <x:v>separate public casualty gutter</x:v>
      </x:c>
      <x:c r="L61" t="str"/>
      <x:c r="M61" t="str">
        <x:v>OPEN</x:v>
      </x:c>
    </x:row>
    <x:row r="62">
      <x:c r="B62" t="str">
        <x:v>RFP-B1-DG2-B2</x:v>
      </x:c>
      <x:c r="C62" t="str">
        <x:v>RFP-B1</x:v>
      </x:c>
      <x:c r="D62" t="n">
        <x:v>2</x:v>
      </x:c>
      <x:c r="E62" t="n">
        <x:v>2</x:v>
      </x:c>
      <x:c r="F62" t="n">
        <x:v>5</x:v>
      </x:c>
      <x:c r="G62" t="n">
        <x:v>0.6</x:v>
      </x:c>
      <x:c r="H62" t="n">
        <x:v>3</x:v>
      </x:c>
      <x:c r="I62" t="n">
        <x:v>150</x:v>
      </x:c>
      <x:c r="J62" t="str">
        <x:v>candidate cartridge</x:v>
      </x:c>
      <x:c r="K62" t="str">
        <x:v>separate public casualty gutter</x:v>
      </x:c>
      <x:c r="L62" t="str"/>
      <x:c r="M62" t="str">
        <x:v>OPEN</x:v>
      </x:c>
    </x:row>
    <x:row r="63">
      <x:c r="B63" t="str">
        <x:v>RFP-B1-DG2-B3</x:v>
      </x:c>
      <x:c r="C63" t="str">
        <x:v>RFP-B1</x:v>
      </x:c>
      <x:c r="D63" t="n">
        <x:v>2</x:v>
      </x:c>
      <x:c r="E63" t="n">
        <x:v>3</x:v>
      </x:c>
      <x:c r="F63" t="n">
        <x:v>5</x:v>
      </x:c>
      <x:c r="G63" t="n">
        <x:v>0.6</x:v>
      </x:c>
      <x:c r="H63" t="n">
        <x:v>3</x:v>
      </x:c>
      <x:c r="I63" t="n">
        <x:v>150</x:v>
      </x:c>
      <x:c r="J63" t="str">
        <x:v>candidate cartridge</x:v>
      </x:c>
      <x:c r="K63" t="str">
        <x:v>separate public casualty gutter</x:v>
      </x:c>
      <x:c r="L63" t="str"/>
      <x:c r="M63" t="str">
        <x:v>OPEN</x:v>
      </x:c>
    </x:row>
    <x:row r="64">
      <x:c r="B64" t="str">
        <x:v>RFP-B1-DG2-B4</x:v>
      </x:c>
      <x:c r="C64" t="str">
        <x:v>RFP-B1</x:v>
      </x:c>
      <x:c r="D64" t="n">
        <x:v>2</x:v>
      </x:c>
      <x:c r="E64" t="n">
        <x:v>4</x:v>
      </x:c>
      <x:c r="F64" t="n">
        <x:v>5</x:v>
      </x:c>
      <x:c r="G64" t="n">
        <x:v>0.6</x:v>
      </x:c>
      <x:c r="H64" t="n">
        <x:v>3</x:v>
      </x:c>
      <x:c r="I64" t="n">
        <x:v>150</x:v>
      </x:c>
      <x:c r="J64" t="str">
        <x:v>candidate cartridge</x:v>
      </x:c>
      <x:c r="K64" t="str">
        <x:v>separate public casualty gutter</x:v>
      </x:c>
      <x:c r="L64" t="str"/>
      <x:c r="M64" t="str">
        <x:v>OPEN</x:v>
      </x:c>
    </x:row>
    <x:row r="65">
      <x:c r="B65" t="str">
        <x:v>RFP-B1-DG2-B5</x:v>
      </x:c>
      <x:c r="C65" t="str">
        <x:v>RFP-B1</x:v>
      </x:c>
      <x:c r="D65" t="n">
        <x:v>2</x:v>
      </x:c>
      <x:c r="E65" t="n">
        <x:v>5</x:v>
      </x:c>
      <x:c r="F65" t="n">
        <x:v>5</x:v>
      </x:c>
      <x:c r="G65" t="n">
        <x:v>0.6</x:v>
      </x:c>
      <x:c r="H65" t="n">
        <x:v>3</x:v>
      </x:c>
      <x:c r="I65" t="n">
        <x:v>150</x:v>
      </x:c>
      <x:c r="J65" t="str">
        <x:v>candidate cartridge</x:v>
      </x:c>
      <x:c r="K65" t="str">
        <x:v>separate public casualty gutter</x:v>
      </x:c>
      <x:c r="L65" t="str"/>
      <x:c r="M65" t="str">
        <x:v>OPEN</x:v>
      </x:c>
    </x:row>
    <x:row r="66">
      <x:c r="B66" t="str">
        <x:v>RFP-B1-DG2-B6</x:v>
      </x:c>
      <x:c r="C66" t="str">
        <x:v>RFP-B1</x:v>
      </x:c>
      <x:c r="D66" t="n">
        <x:v>2</x:v>
      </x:c>
      <x:c r="E66" t="n">
        <x:v>6</x:v>
      </x:c>
      <x:c r="F66" t="n">
        <x:v>5</x:v>
      </x:c>
      <x:c r="G66" t="n">
        <x:v>0.6</x:v>
      </x:c>
      <x:c r="H66" t="n">
        <x:v>3</x:v>
      </x:c>
      <x:c r="I66" t="n">
        <x:v>150</x:v>
      </x:c>
      <x:c r="J66" t="str">
        <x:v>candidate cartridge</x:v>
      </x:c>
      <x:c r="K66" t="str">
        <x:v>separate public casualty gutter</x:v>
      </x:c>
      <x:c r="L66" t="str"/>
      <x:c r="M66" t="str">
        <x:v>OPEN</x:v>
      </x:c>
    </x:row>
    <x:row r="67">
      <x:c r="B67" t="str">
        <x:v>RFP-B1-DG3-B1</x:v>
      </x:c>
      <x:c r="C67" t="str">
        <x:v>RFP-B1</x:v>
      </x:c>
      <x:c r="D67" t="n">
        <x:v>3</x:v>
      </x:c>
      <x:c r="E67" t="n">
        <x:v>1</x:v>
      </x:c>
      <x:c r="F67" t="n">
        <x:v>5</x:v>
      </x:c>
      <x:c r="G67" t="n">
        <x:v>0.6</x:v>
      </x:c>
      <x:c r="H67" t="n">
        <x:v>3</x:v>
      </x:c>
      <x:c r="I67" t="n">
        <x:v>150</x:v>
      </x:c>
      <x:c r="J67" t="str">
        <x:v>candidate cartridge</x:v>
      </x:c>
      <x:c r="K67" t="str">
        <x:v>separate public casualty gutter</x:v>
      </x:c>
      <x:c r="L67" t="str"/>
      <x:c r="M67" t="str">
        <x:v>OPEN</x:v>
      </x:c>
    </x:row>
    <x:row r="68">
      <x:c r="B68" t="str">
        <x:v>RFP-B1-DG3-B2</x:v>
      </x:c>
      <x:c r="C68" t="str">
        <x:v>RFP-B1</x:v>
      </x:c>
      <x:c r="D68" t="n">
        <x:v>3</x:v>
      </x:c>
      <x:c r="E68" t="n">
        <x:v>2</x:v>
      </x:c>
      <x:c r="F68" t="n">
        <x:v>5</x:v>
      </x:c>
      <x:c r="G68" t="n">
        <x:v>0.6</x:v>
      </x:c>
      <x:c r="H68" t="n">
        <x:v>3</x:v>
      </x:c>
      <x:c r="I68" t="n">
        <x:v>150</x:v>
      </x:c>
      <x:c r="J68" t="str">
        <x:v>candidate cartridge</x:v>
      </x:c>
      <x:c r="K68" t="str">
        <x:v>separate public casualty gutter</x:v>
      </x:c>
      <x:c r="L68" t="str"/>
      <x:c r="M68" t="str">
        <x:v>OPEN</x:v>
      </x:c>
    </x:row>
    <x:row r="69">
      <x:c r="B69" t="str">
        <x:v>RFP-B1-DG3-B3</x:v>
      </x:c>
      <x:c r="C69" t="str">
        <x:v>RFP-B1</x:v>
      </x:c>
      <x:c r="D69" t="n">
        <x:v>3</x:v>
      </x:c>
      <x:c r="E69" t="n">
        <x:v>3</x:v>
      </x:c>
      <x:c r="F69" t="n">
        <x:v>5</x:v>
      </x:c>
      <x:c r="G69" t="n">
        <x:v>0.6</x:v>
      </x:c>
      <x:c r="H69" t="n">
        <x:v>3</x:v>
      </x:c>
      <x:c r="I69" t="n">
        <x:v>150</x:v>
      </x:c>
      <x:c r="J69" t="str">
        <x:v>candidate cartridge</x:v>
      </x:c>
      <x:c r="K69" t="str">
        <x:v>separate public casualty gutter</x:v>
      </x:c>
      <x:c r="L69" t="str"/>
      <x:c r="M69" t="str">
        <x:v>OPEN</x:v>
      </x:c>
    </x:row>
    <x:row r="70">
      <x:c r="B70" t="str">
        <x:v>RFP-B1-DG3-B4</x:v>
      </x:c>
      <x:c r="C70" t="str">
        <x:v>RFP-B1</x:v>
      </x:c>
      <x:c r="D70" t="n">
        <x:v>3</x:v>
      </x:c>
      <x:c r="E70" t="n">
        <x:v>4</x:v>
      </x:c>
      <x:c r="F70" t="n">
        <x:v>5</x:v>
      </x:c>
      <x:c r="G70" t="n">
        <x:v>0.6</x:v>
      </x:c>
      <x:c r="H70" t="n">
        <x:v>3</x:v>
      </x:c>
      <x:c r="I70" t="n">
        <x:v>150</x:v>
      </x:c>
      <x:c r="J70" t="str">
        <x:v>candidate cartridge</x:v>
      </x:c>
      <x:c r="K70" t="str">
        <x:v>separate public casualty gutter</x:v>
      </x:c>
      <x:c r="L70" t="str"/>
      <x:c r="M70" t="str">
        <x:v>OPEN</x:v>
      </x:c>
    </x:row>
    <x:row r="71">
      <x:c r="B71" t="str">
        <x:v>RFP-B1-DG3-B5</x:v>
      </x:c>
      <x:c r="C71" t="str">
        <x:v>RFP-B1</x:v>
      </x:c>
      <x:c r="D71" t="n">
        <x:v>3</x:v>
      </x:c>
      <x:c r="E71" t="n">
        <x:v>5</x:v>
      </x:c>
      <x:c r="F71" t="n">
        <x:v>5</x:v>
      </x:c>
      <x:c r="G71" t="n">
        <x:v>0.6</x:v>
      </x:c>
      <x:c r="H71" t="n">
        <x:v>3</x:v>
      </x:c>
      <x:c r="I71" t="n">
        <x:v>150</x:v>
      </x:c>
      <x:c r="J71" t="str">
        <x:v>candidate cartridge</x:v>
      </x:c>
      <x:c r="K71" t="str">
        <x:v>separate public casualty gutter</x:v>
      </x:c>
      <x:c r="L71" t="str"/>
      <x:c r="M71" t="str">
        <x:v>OPEN</x:v>
      </x:c>
    </x:row>
    <x:row r="72">
      <x:c r="B72" t="str">
        <x:v>RFP-B1-DG3-B6</x:v>
      </x:c>
      <x:c r="C72" t="str">
        <x:v>RFP-B1</x:v>
      </x:c>
      <x:c r="D72" t="n">
        <x:v>3</x:v>
      </x:c>
      <x:c r="E72" t="n">
        <x:v>6</x:v>
      </x:c>
      <x:c r="F72" t="n">
        <x:v>5</x:v>
      </x:c>
      <x:c r="G72" t="n">
        <x:v>0.6</x:v>
      </x:c>
      <x:c r="H72" t="n">
        <x:v>3</x:v>
      </x:c>
      <x:c r="I72" t="n">
        <x:v>150</x:v>
      </x:c>
      <x:c r="J72" t="str">
        <x:v>candidate cartridge</x:v>
      </x:c>
      <x:c r="K72" t="str">
        <x:v>separate public casualty gutter</x:v>
      </x:c>
      <x:c r="L72" t="str"/>
      <x:c r="M72" t="str">
        <x:v>OPEN</x:v>
      </x:c>
    </x:row>
    <x:row r="73">
      <x:c r="B73" t="str">
        <x:v>RFP-B1-DG4-B1</x:v>
      </x:c>
      <x:c r="C73" t="str">
        <x:v>RFP-B1</x:v>
      </x:c>
      <x:c r="D73" t="n">
        <x:v>4</x:v>
      </x:c>
      <x:c r="E73" t="n">
        <x:v>1</x:v>
      </x:c>
      <x:c r="F73" t="n">
        <x:v>5</x:v>
      </x:c>
      <x:c r="G73" t="n">
        <x:v>0.6</x:v>
      </x:c>
      <x:c r="H73" t="n">
        <x:v>3</x:v>
      </x:c>
      <x:c r="I73" t="n">
        <x:v>150</x:v>
      </x:c>
      <x:c r="J73" t="str">
        <x:v>candidate cartridge</x:v>
      </x:c>
      <x:c r="K73" t="str">
        <x:v>separate public casualty gutter</x:v>
      </x:c>
      <x:c r="L73" t="str"/>
      <x:c r="M73" t="str">
        <x:v>OPEN</x:v>
      </x:c>
    </x:row>
    <x:row r="74">
      <x:c r="B74" t="str">
        <x:v>RFP-B1-DG4-B2</x:v>
      </x:c>
      <x:c r="C74" t="str">
        <x:v>RFP-B1</x:v>
      </x:c>
      <x:c r="D74" t="n">
        <x:v>4</x:v>
      </x:c>
      <x:c r="E74" t="n">
        <x:v>2</x:v>
      </x:c>
      <x:c r="F74" t="n">
        <x:v>5</x:v>
      </x:c>
      <x:c r="G74" t="n">
        <x:v>0.6</x:v>
      </x:c>
      <x:c r="H74" t="n">
        <x:v>3</x:v>
      </x:c>
      <x:c r="I74" t="n">
        <x:v>150</x:v>
      </x:c>
      <x:c r="J74" t="str">
        <x:v>candidate cartridge</x:v>
      </x:c>
      <x:c r="K74" t="str">
        <x:v>separate public casualty gutter</x:v>
      </x:c>
      <x:c r="L74" t="str"/>
      <x:c r="M74" t="str">
        <x:v>OPEN</x:v>
      </x:c>
    </x:row>
    <x:row r="75">
      <x:c r="B75" t="str">
        <x:v>RFP-B1-DG4-B3</x:v>
      </x:c>
      <x:c r="C75" t="str">
        <x:v>RFP-B1</x:v>
      </x:c>
      <x:c r="D75" t="n">
        <x:v>4</x:v>
      </x:c>
      <x:c r="E75" t="n">
        <x:v>3</x:v>
      </x:c>
      <x:c r="F75" t="n">
        <x:v>5</x:v>
      </x:c>
      <x:c r="G75" t="n">
        <x:v>0.6</x:v>
      </x:c>
      <x:c r="H75" t="n">
        <x:v>3</x:v>
      </x:c>
      <x:c r="I75" t="n">
        <x:v>150</x:v>
      </x:c>
      <x:c r="J75" t="str">
        <x:v>candidate cartridge</x:v>
      </x:c>
      <x:c r="K75" t="str">
        <x:v>separate public casualty gutter</x:v>
      </x:c>
      <x:c r="L75" t="str"/>
      <x:c r="M75" t="str">
        <x:v>OPEN</x:v>
      </x:c>
    </x:row>
    <x:row r="76">
      <x:c r="B76" t="str">
        <x:v>RFP-B1-DG4-B4</x:v>
      </x:c>
      <x:c r="C76" t="str">
        <x:v>RFP-B1</x:v>
      </x:c>
      <x:c r="D76" t="n">
        <x:v>4</x:v>
      </x:c>
      <x:c r="E76" t="n">
        <x:v>4</x:v>
      </x:c>
      <x:c r="F76" t="n">
        <x:v>5</x:v>
      </x:c>
      <x:c r="G76" t="n">
        <x:v>0.6</x:v>
      </x:c>
      <x:c r="H76" t="n">
        <x:v>3</x:v>
      </x:c>
      <x:c r="I76" t="n">
        <x:v>150</x:v>
      </x:c>
      <x:c r="J76" t="str">
        <x:v>candidate cartridge</x:v>
      </x:c>
      <x:c r="K76" t="str">
        <x:v>separate public casualty gutter</x:v>
      </x:c>
      <x:c r="L76" t="str"/>
      <x:c r="M76" t="str">
        <x:v>OPEN</x:v>
      </x:c>
    </x:row>
    <x:row r="77">
      <x:c r="B77" t="str">
        <x:v>RFP-B1-DG4-B5</x:v>
      </x:c>
      <x:c r="C77" t="str">
        <x:v>RFP-B1</x:v>
      </x:c>
      <x:c r="D77" t="n">
        <x:v>4</x:v>
      </x:c>
      <x:c r="E77" t="n">
        <x:v>5</x:v>
      </x:c>
      <x:c r="F77" t="n">
        <x:v>5</x:v>
      </x:c>
      <x:c r="G77" t="n">
        <x:v>0.6</x:v>
      </x:c>
      <x:c r="H77" t="n">
        <x:v>3</x:v>
      </x:c>
      <x:c r="I77" t="n">
        <x:v>150</x:v>
      </x:c>
      <x:c r="J77" t="str">
        <x:v>candidate cartridge</x:v>
      </x:c>
      <x:c r="K77" t="str">
        <x:v>separate public casualty gutter</x:v>
      </x:c>
      <x:c r="L77" t="str"/>
      <x:c r="M77" t="str">
        <x:v>OPEN</x:v>
      </x:c>
    </x:row>
    <x:row r="78">
      <x:c r="B78" t="str">
        <x:v>RFP-B1-DG4-B6</x:v>
      </x:c>
      <x:c r="C78" t="str">
        <x:v>RFP-B1</x:v>
      </x:c>
      <x:c r="D78" t="n">
        <x:v>4</x:v>
      </x:c>
      <x:c r="E78" t="n">
        <x:v>6</x:v>
      </x:c>
      <x:c r="F78" t="n">
        <x:v>5</x:v>
      </x:c>
      <x:c r="G78" t="n">
        <x:v>0.6</x:v>
      </x:c>
      <x:c r="H78" t="n">
        <x:v>3</x:v>
      </x:c>
      <x:c r="I78" t="n">
        <x:v>150</x:v>
      </x:c>
      <x:c r="J78" t="str">
        <x:v>candidate cartridge</x:v>
      </x:c>
      <x:c r="K78" t="str">
        <x:v>separate public casualty gutter</x:v>
      </x:c>
      <x:c r="L78" t="str"/>
      <x:c r="M78" t="str">
        <x:v>OPEN</x:v>
      </x:c>
    </x:row>
    <x:row r="79">
      <x:c r="B79" t="str">
        <x:v>RFP-B2-DG1-B1</x:v>
      </x:c>
      <x:c r="C79" t="str">
        <x:v>RFP-B2</x:v>
      </x:c>
      <x:c r="D79" t="n">
        <x:v>1</x:v>
      </x:c>
      <x:c r="E79" t="n">
        <x:v>1</x:v>
      </x:c>
      <x:c r="F79" t="n">
        <x:v>5</x:v>
      </x:c>
      <x:c r="G79" t="n">
        <x:v>0.6</x:v>
      </x:c>
      <x:c r="H79" t="n">
        <x:v>3</x:v>
      </x:c>
      <x:c r="I79" t="n">
        <x:v>150</x:v>
      </x:c>
      <x:c r="J79" t="str">
        <x:v>candidate cartridge</x:v>
      </x:c>
      <x:c r="K79" t="str">
        <x:v>separate public casualty gutter</x:v>
      </x:c>
      <x:c r="L79" t="str"/>
      <x:c r="M79" t="str">
        <x:v>OPEN</x:v>
      </x:c>
    </x:row>
    <x:row r="80">
      <x:c r="B80" t="str">
        <x:v>RFP-B2-DG1-B2</x:v>
      </x:c>
      <x:c r="C80" t="str">
        <x:v>RFP-B2</x:v>
      </x:c>
      <x:c r="D80" t="n">
        <x:v>1</x:v>
      </x:c>
      <x:c r="E80" t="n">
        <x:v>2</x:v>
      </x:c>
      <x:c r="F80" t="n">
        <x:v>5</x:v>
      </x:c>
      <x:c r="G80" t="n">
        <x:v>0.6</x:v>
      </x:c>
      <x:c r="H80" t="n">
        <x:v>3</x:v>
      </x:c>
      <x:c r="I80" t="n">
        <x:v>150</x:v>
      </x:c>
      <x:c r="J80" t="str">
        <x:v>candidate cartridge</x:v>
      </x:c>
      <x:c r="K80" t="str">
        <x:v>separate public casualty gutter</x:v>
      </x:c>
      <x:c r="L80" t="str"/>
      <x:c r="M80" t="str">
        <x:v>OPEN</x:v>
      </x:c>
    </x:row>
    <x:row r="81">
      <x:c r="B81" t="str">
        <x:v>RFP-B2-DG1-B3</x:v>
      </x:c>
      <x:c r="C81" t="str">
        <x:v>RFP-B2</x:v>
      </x:c>
      <x:c r="D81" t="n">
        <x:v>1</x:v>
      </x:c>
      <x:c r="E81" t="n">
        <x:v>3</x:v>
      </x:c>
      <x:c r="F81" t="n">
        <x:v>5</x:v>
      </x:c>
      <x:c r="G81" t="n">
        <x:v>0.6</x:v>
      </x:c>
      <x:c r="H81" t="n">
        <x:v>3</x:v>
      </x:c>
      <x:c r="I81" t="n">
        <x:v>150</x:v>
      </x:c>
      <x:c r="J81" t="str">
        <x:v>candidate cartridge</x:v>
      </x:c>
      <x:c r="K81" t="str">
        <x:v>separate public casualty gutter</x:v>
      </x:c>
      <x:c r="L81" t="str"/>
      <x:c r="M81" t="str">
        <x:v>OPEN</x:v>
      </x:c>
    </x:row>
    <x:row r="82">
      <x:c r="B82" t="str">
        <x:v>RFP-B2-DG1-B4</x:v>
      </x:c>
      <x:c r="C82" t="str">
        <x:v>RFP-B2</x:v>
      </x:c>
      <x:c r="D82" t="n">
        <x:v>1</x:v>
      </x:c>
      <x:c r="E82" t="n">
        <x:v>4</x:v>
      </x:c>
      <x:c r="F82" t="n">
        <x:v>5</x:v>
      </x:c>
      <x:c r="G82" t="n">
        <x:v>0.6</x:v>
      </x:c>
      <x:c r="H82" t="n">
        <x:v>3</x:v>
      </x:c>
      <x:c r="I82" t="n">
        <x:v>150</x:v>
      </x:c>
      <x:c r="J82" t="str">
        <x:v>candidate cartridge</x:v>
      </x:c>
      <x:c r="K82" t="str">
        <x:v>separate public casualty gutter</x:v>
      </x:c>
      <x:c r="L82" t="str"/>
      <x:c r="M82" t="str">
        <x:v>OPEN</x:v>
      </x:c>
    </x:row>
    <x:row r="83">
      <x:c r="B83" t="str">
        <x:v>RFP-B2-DG1-B5</x:v>
      </x:c>
      <x:c r="C83" t="str">
        <x:v>RFP-B2</x:v>
      </x:c>
      <x:c r="D83" t="n">
        <x:v>1</x:v>
      </x:c>
      <x:c r="E83" t="n">
        <x:v>5</x:v>
      </x:c>
      <x:c r="F83" t="n">
        <x:v>5</x:v>
      </x:c>
      <x:c r="G83" t="n">
        <x:v>0.6</x:v>
      </x:c>
      <x:c r="H83" t="n">
        <x:v>3</x:v>
      </x:c>
      <x:c r="I83" t="n">
        <x:v>150</x:v>
      </x:c>
      <x:c r="J83" t="str">
        <x:v>candidate cartridge</x:v>
      </x:c>
      <x:c r="K83" t="str">
        <x:v>separate public casualty gutter</x:v>
      </x:c>
      <x:c r="L83" t="str"/>
      <x:c r="M83" t="str">
        <x:v>OPEN</x:v>
      </x:c>
    </x:row>
    <x:row r="84">
      <x:c r="B84" t="str">
        <x:v>RFP-B2-DG1-B6</x:v>
      </x:c>
      <x:c r="C84" t="str">
        <x:v>RFP-B2</x:v>
      </x:c>
      <x:c r="D84" t="n">
        <x:v>1</x:v>
      </x:c>
      <x:c r="E84" t="n">
        <x:v>6</x:v>
      </x:c>
      <x:c r="F84" t="n">
        <x:v>5</x:v>
      </x:c>
      <x:c r="G84" t="n">
        <x:v>0.6</x:v>
      </x:c>
      <x:c r="H84" t="n">
        <x:v>3</x:v>
      </x:c>
      <x:c r="I84" t="n">
        <x:v>150</x:v>
      </x:c>
      <x:c r="J84" t="str">
        <x:v>candidate cartridge</x:v>
      </x:c>
      <x:c r="K84" t="str">
        <x:v>separate public casualty gutter</x:v>
      </x:c>
      <x:c r="L84" t="str"/>
      <x:c r="M84" t="str">
        <x:v>OPEN</x:v>
      </x:c>
    </x:row>
    <x:row r="85">
      <x:c r="B85" t="str">
        <x:v>RFP-B2-DG2-B1</x:v>
      </x:c>
      <x:c r="C85" t="str">
        <x:v>RFP-B2</x:v>
      </x:c>
      <x:c r="D85" t="n">
        <x:v>2</x:v>
      </x:c>
      <x:c r="E85" t="n">
        <x:v>1</x:v>
      </x:c>
      <x:c r="F85" t="n">
        <x:v>5</x:v>
      </x:c>
      <x:c r="G85" t="n">
        <x:v>0.6</x:v>
      </x:c>
      <x:c r="H85" t="n">
        <x:v>3</x:v>
      </x:c>
      <x:c r="I85" t="n">
        <x:v>150</x:v>
      </x:c>
      <x:c r="J85" t="str">
        <x:v>candidate cartridge</x:v>
      </x:c>
      <x:c r="K85" t="str">
        <x:v>separate public casualty gutter</x:v>
      </x:c>
      <x:c r="L85" t="str"/>
      <x:c r="M85" t="str">
        <x:v>OPEN</x:v>
      </x:c>
    </x:row>
    <x:row r="86">
      <x:c r="B86" t="str">
        <x:v>RFP-B2-DG2-B2</x:v>
      </x:c>
      <x:c r="C86" t="str">
        <x:v>RFP-B2</x:v>
      </x:c>
      <x:c r="D86" t="n">
        <x:v>2</x:v>
      </x:c>
      <x:c r="E86" t="n">
        <x:v>2</x:v>
      </x:c>
      <x:c r="F86" t="n">
        <x:v>5</x:v>
      </x:c>
      <x:c r="G86" t="n">
        <x:v>0.6</x:v>
      </x:c>
      <x:c r="H86" t="n">
        <x:v>3</x:v>
      </x:c>
      <x:c r="I86" t="n">
        <x:v>150</x:v>
      </x:c>
      <x:c r="J86" t="str">
        <x:v>candidate cartridge</x:v>
      </x:c>
      <x:c r="K86" t="str">
        <x:v>separate public casualty gutter</x:v>
      </x:c>
      <x:c r="L86" t="str"/>
      <x:c r="M86" t="str">
        <x:v>OPEN</x:v>
      </x:c>
    </x:row>
    <x:row r="87">
      <x:c r="B87" t="str">
        <x:v>RFP-B2-DG2-B3</x:v>
      </x:c>
      <x:c r="C87" t="str">
        <x:v>RFP-B2</x:v>
      </x:c>
      <x:c r="D87" t="n">
        <x:v>2</x:v>
      </x:c>
      <x:c r="E87" t="n">
        <x:v>3</x:v>
      </x:c>
      <x:c r="F87" t="n">
        <x:v>5</x:v>
      </x:c>
      <x:c r="G87" t="n">
        <x:v>0.6</x:v>
      </x:c>
      <x:c r="H87" t="n">
        <x:v>3</x:v>
      </x:c>
      <x:c r="I87" t="n">
        <x:v>150</x:v>
      </x:c>
      <x:c r="J87" t="str">
        <x:v>candidate cartridge</x:v>
      </x:c>
      <x:c r="K87" t="str">
        <x:v>separate public casualty gutter</x:v>
      </x:c>
      <x:c r="L87" t="str"/>
      <x:c r="M87" t="str">
        <x:v>OPEN</x:v>
      </x:c>
    </x:row>
    <x:row r="88">
      <x:c r="B88" t="str">
        <x:v>RFP-B2-DG2-B4</x:v>
      </x:c>
      <x:c r="C88" t="str">
        <x:v>RFP-B2</x:v>
      </x:c>
      <x:c r="D88" t="n">
        <x:v>2</x:v>
      </x:c>
      <x:c r="E88" t="n">
        <x:v>4</x:v>
      </x:c>
      <x:c r="F88" t="n">
        <x:v>5</x:v>
      </x:c>
      <x:c r="G88" t="n">
        <x:v>0.6</x:v>
      </x:c>
      <x:c r="H88" t="n">
        <x:v>3</x:v>
      </x:c>
      <x:c r="I88" t="n">
        <x:v>150</x:v>
      </x:c>
      <x:c r="J88" t="str">
        <x:v>candidate cartridge</x:v>
      </x:c>
      <x:c r="K88" t="str">
        <x:v>separate public casualty gutter</x:v>
      </x:c>
      <x:c r="L88" t="str"/>
      <x:c r="M88" t="str">
        <x:v>OPEN</x:v>
      </x:c>
    </x:row>
    <x:row r="89">
      <x:c r="B89" t="str">
        <x:v>RFP-B2-DG2-B5</x:v>
      </x:c>
      <x:c r="C89" t="str">
        <x:v>RFP-B2</x:v>
      </x:c>
      <x:c r="D89" t="n">
        <x:v>2</x:v>
      </x:c>
      <x:c r="E89" t="n">
        <x:v>5</x:v>
      </x:c>
      <x:c r="F89" t="n">
        <x:v>5</x:v>
      </x:c>
      <x:c r="G89" t="n">
        <x:v>0.6</x:v>
      </x:c>
      <x:c r="H89" t="n">
        <x:v>3</x:v>
      </x:c>
      <x:c r="I89" t="n">
        <x:v>150</x:v>
      </x:c>
      <x:c r="J89" t="str">
        <x:v>candidate cartridge</x:v>
      </x:c>
      <x:c r="K89" t="str">
        <x:v>separate public casualty gutter</x:v>
      </x:c>
      <x:c r="L89" t="str"/>
      <x:c r="M89" t="str">
        <x:v>OPEN</x:v>
      </x:c>
    </x:row>
    <x:row r="90">
      <x:c r="B90" t="str">
        <x:v>RFP-B2-DG2-B6</x:v>
      </x:c>
      <x:c r="C90" t="str">
        <x:v>RFP-B2</x:v>
      </x:c>
      <x:c r="D90" t="n">
        <x:v>2</x:v>
      </x:c>
      <x:c r="E90" t="n">
        <x:v>6</x:v>
      </x:c>
      <x:c r="F90" t="n">
        <x:v>5</x:v>
      </x:c>
      <x:c r="G90" t="n">
        <x:v>0.6</x:v>
      </x:c>
      <x:c r="H90" t="n">
        <x:v>3</x:v>
      </x:c>
      <x:c r="I90" t="n">
        <x:v>150</x:v>
      </x:c>
      <x:c r="J90" t="str">
        <x:v>candidate cartridge</x:v>
      </x:c>
      <x:c r="K90" t="str">
        <x:v>separate public casualty gutter</x:v>
      </x:c>
      <x:c r="L90" t="str"/>
      <x:c r="M90" t="str">
        <x:v>OPEN</x:v>
      </x:c>
    </x:row>
    <x:row r="91">
      <x:c r="B91" t="str">
        <x:v>RFP-B2-DG3-B1</x:v>
      </x:c>
      <x:c r="C91" t="str">
        <x:v>RFP-B2</x:v>
      </x:c>
      <x:c r="D91" t="n">
        <x:v>3</x:v>
      </x:c>
      <x:c r="E91" t="n">
        <x:v>1</x:v>
      </x:c>
      <x:c r="F91" t="n">
        <x:v>5</x:v>
      </x:c>
      <x:c r="G91" t="n">
        <x:v>0.6</x:v>
      </x:c>
      <x:c r="H91" t="n">
        <x:v>3</x:v>
      </x:c>
      <x:c r="I91" t="n">
        <x:v>150</x:v>
      </x:c>
      <x:c r="J91" t="str">
        <x:v>candidate cartridge</x:v>
      </x:c>
      <x:c r="K91" t="str">
        <x:v>separate public casualty gutter</x:v>
      </x:c>
      <x:c r="L91" t="str"/>
      <x:c r="M91" t="str">
        <x:v>OPEN</x:v>
      </x:c>
    </x:row>
    <x:row r="92">
      <x:c r="B92" t="str">
        <x:v>RFP-B2-DG3-B2</x:v>
      </x:c>
      <x:c r="C92" t="str">
        <x:v>RFP-B2</x:v>
      </x:c>
      <x:c r="D92" t="n">
        <x:v>3</x:v>
      </x:c>
      <x:c r="E92" t="n">
        <x:v>2</x:v>
      </x:c>
      <x:c r="F92" t="n">
        <x:v>5</x:v>
      </x:c>
      <x:c r="G92" t="n">
        <x:v>0.6</x:v>
      </x:c>
      <x:c r="H92" t="n">
        <x:v>3</x:v>
      </x:c>
      <x:c r="I92" t="n">
        <x:v>150</x:v>
      </x:c>
      <x:c r="J92" t="str">
        <x:v>candidate cartridge</x:v>
      </x:c>
      <x:c r="K92" t="str">
        <x:v>separate public casualty gutter</x:v>
      </x:c>
      <x:c r="L92" t="str"/>
      <x:c r="M92" t="str">
        <x:v>OPEN</x:v>
      </x:c>
    </x:row>
    <x:row r="93">
      <x:c r="B93" t="str">
        <x:v>RFP-B2-DG3-B3</x:v>
      </x:c>
      <x:c r="C93" t="str">
        <x:v>RFP-B2</x:v>
      </x:c>
      <x:c r="D93" t="n">
        <x:v>3</x:v>
      </x:c>
      <x:c r="E93" t="n">
        <x:v>3</x:v>
      </x:c>
      <x:c r="F93" t="n">
        <x:v>5</x:v>
      </x:c>
      <x:c r="G93" t="n">
        <x:v>0.6</x:v>
      </x:c>
      <x:c r="H93" t="n">
        <x:v>3</x:v>
      </x:c>
      <x:c r="I93" t="n">
        <x:v>150</x:v>
      </x:c>
      <x:c r="J93" t="str">
        <x:v>candidate cartridge</x:v>
      </x:c>
      <x:c r="K93" t="str">
        <x:v>separate public casualty gutter</x:v>
      </x:c>
      <x:c r="L93" t="str"/>
      <x:c r="M93" t="str">
        <x:v>OPEN</x:v>
      </x:c>
    </x:row>
    <x:row r="94">
      <x:c r="B94" t="str">
        <x:v>RFP-B2-DG3-B4</x:v>
      </x:c>
      <x:c r="C94" t="str">
        <x:v>RFP-B2</x:v>
      </x:c>
      <x:c r="D94" t="n">
        <x:v>3</x:v>
      </x:c>
      <x:c r="E94" t="n">
        <x:v>4</x:v>
      </x:c>
      <x:c r="F94" t="n">
        <x:v>5</x:v>
      </x:c>
      <x:c r="G94" t="n">
        <x:v>0.6</x:v>
      </x:c>
      <x:c r="H94" t="n">
        <x:v>3</x:v>
      </x:c>
      <x:c r="I94" t="n">
        <x:v>150</x:v>
      </x:c>
      <x:c r="J94" t="str">
        <x:v>candidate cartridge</x:v>
      </x:c>
      <x:c r="K94" t="str">
        <x:v>separate public casualty gutter</x:v>
      </x:c>
      <x:c r="L94" t="str"/>
      <x:c r="M94" t="str">
        <x:v>OPEN</x:v>
      </x:c>
    </x:row>
    <x:row r="95">
      <x:c r="B95" t="str">
        <x:v>RFP-B2-DG3-B5</x:v>
      </x:c>
      <x:c r="C95" t="str">
        <x:v>RFP-B2</x:v>
      </x:c>
      <x:c r="D95" t="n">
        <x:v>3</x:v>
      </x:c>
      <x:c r="E95" t="n">
        <x:v>5</x:v>
      </x:c>
      <x:c r="F95" t="n">
        <x:v>5</x:v>
      </x:c>
      <x:c r="G95" t="n">
        <x:v>0.6</x:v>
      </x:c>
      <x:c r="H95" t="n">
        <x:v>3</x:v>
      </x:c>
      <x:c r="I95" t="n">
        <x:v>150</x:v>
      </x:c>
      <x:c r="J95" t="str">
        <x:v>candidate cartridge</x:v>
      </x:c>
      <x:c r="K95" t="str">
        <x:v>separate public casualty gutter</x:v>
      </x:c>
      <x:c r="L95" t="str"/>
      <x:c r="M95" t="str">
        <x:v>OPEN</x:v>
      </x:c>
    </x:row>
    <x:row r="96">
      <x:c r="B96" t="str">
        <x:v>RFP-B2-DG3-B6</x:v>
      </x:c>
      <x:c r="C96" t="str">
        <x:v>RFP-B2</x:v>
      </x:c>
      <x:c r="D96" t="n">
        <x:v>3</x:v>
      </x:c>
      <x:c r="E96" t="n">
        <x:v>6</x:v>
      </x:c>
      <x:c r="F96" t="n">
        <x:v>5</x:v>
      </x:c>
      <x:c r="G96" t="n">
        <x:v>0.6</x:v>
      </x:c>
      <x:c r="H96" t="n">
        <x:v>3</x:v>
      </x:c>
      <x:c r="I96" t="n">
        <x:v>150</x:v>
      </x:c>
      <x:c r="J96" t="str">
        <x:v>candidate cartridge</x:v>
      </x:c>
      <x:c r="K96" t="str">
        <x:v>separate public casualty gutter</x:v>
      </x:c>
      <x:c r="L96" t="str"/>
      <x:c r="M96" t="str">
        <x:v>OPEN</x:v>
      </x:c>
    </x:row>
    <x:row r="97">
      <x:c r="B97" t="str">
        <x:v>RFP-B2-DG4-B1</x:v>
      </x:c>
      <x:c r="C97" t="str">
        <x:v>RFP-B2</x:v>
      </x:c>
      <x:c r="D97" t="n">
        <x:v>4</x:v>
      </x:c>
      <x:c r="E97" t="n">
        <x:v>1</x:v>
      </x:c>
      <x:c r="F97" t="n">
        <x:v>5</x:v>
      </x:c>
      <x:c r="G97" t="n">
        <x:v>0.6</x:v>
      </x:c>
      <x:c r="H97" t="n">
        <x:v>3</x:v>
      </x:c>
      <x:c r="I97" t="n">
        <x:v>150</x:v>
      </x:c>
      <x:c r="J97" t="str">
        <x:v>candidate cartridge</x:v>
      </x:c>
      <x:c r="K97" t="str">
        <x:v>separate public casualty gutter</x:v>
      </x:c>
      <x:c r="L97" t="str"/>
      <x:c r="M97" t="str">
        <x:v>OPEN</x:v>
      </x:c>
    </x:row>
    <x:row r="98">
      <x:c r="B98" t="str">
        <x:v>RFP-B2-DG4-B2</x:v>
      </x:c>
      <x:c r="C98" t="str">
        <x:v>RFP-B2</x:v>
      </x:c>
      <x:c r="D98" t="n">
        <x:v>4</x:v>
      </x:c>
      <x:c r="E98" t="n">
        <x:v>2</x:v>
      </x:c>
      <x:c r="F98" t="n">
        <x:v>5</x:v>
      </x:c>
      <x:c r="G98" t="n">
        <x:v>0.6</x:v>
      </x:c>
      <x:c r="H98" t="n">
        <x:v>3</x:v>
      </x:c>
      <x:c r="I98" t="n">
        <x:v>150</x:v>
      </x:c>
      <x:c r="J98" t="str">
        <x:v>candidate cartridge</x:v>
      </x:c>
      <x:c r="K98" t="str">
        <x:v>separate public casualty gutter</x:v>
      </x:c>
      <x:c r="L98" t="str"/>
      <x:c r="M98" t="str">
        <x:v>OPEN</x:v>
      </x:c>
    </x:row>
    <x:row r="99">
      <x:c r="B99" t="str">
        <x:v>RFP-B2-DG4-B3</x:v>
      </x:c>
      <x:c r="C99" t="str">
        <x:v>RFP-B2</x:v>
      </x:c>
      <x:c r="D99" t="n">
        <x:v>4</x:v>
      </x:c>
      <x:c r="E99" t="n">
        <x:v>3</x:v>
      </x:c>
      <x:c r="F99" t="n">
        <x:v>5</x:v>
      </x:c>
      <x:c r="G99" t="n">
        <x:v>0.6</x:v>
      </x:c>
      <x:c r="H99" t="n">
        <x:v>3</x:v>
      </x:c>
      <x:c r="I99" t="n">
        <x:v>150</x:v>
      </x:c>
      <x:c r="J99" t="str">
        <x:v>candidate cartridge</x:v>
      </x:c>
      <x:c r="K99" t="str">
        <x:v>separate public casualty gutter</x:v>
      </x:c>
      <x:c r="L99" t="str"/>
      <x:c r="M99" t="str">
        <x:v>OPEN</x:v>
      </x:c>
    </x:row>
    <x:row r="100">
      <x:c r="B100" t="str">
        <x:v>RFP-B2-DG4-B4</x:v>
      </x:c>
      <x:c r="C100" t="str">
        <x:v>RFP-B2</x:v>
      </x:c>
      <x:c r="D100" t="n">
        <x:v>4</x:v>
      </x:c>
      <x:c r="E100" t="n">
        <x:v>4</x:v>
      </x:c>
      <x:c r="F100" t="n">
        <x:v>5</x:v>
      </x:c>
      <x:c r="G100" t="n">
        <x:v>0.6</x:v>
      </x:c>
      <x:c r="H100" t="n">
        <x:v>3</x:v>
      </x:c>
      <x:c r="I100" t="n">
        <x:v>150</x:v>
      </x:c>
      <x:c r="J100" t="str">
        <x:v>candidate cartridge</x:v>
      </x:c>
      <x:c r="K100" t="str">
        <x:v>separate public casualty gutter</x:v>
      </x:c>
      <x:c r="L100" t="str"/>
      <x:c r="M100" t="str">
        <x:v>OPEN</x:v>
      </x:c>
    </x:row>
    <x:row r="101">
      <x:c r="B101" t="str">
        <x:v>RFP-B2-DG4-B5</x:v>
      </x:c>
      <x:c r="C101" t="str">
        <x:v>RFP-B2</x:v>
      </x:c>
      <x:c r="D101" t="n">
        <x:v>4</x:v>
      </x:c>
      <x:c r="E101" t="n">
        <x:v>5</x:v>
      </x:c>
      <x:c r="F101" t="n">
        <x:v>5</x:v>
      </x:c>
      <x:c r="G101" t="n">
        <x:v>0.6</x:v>
      </x:c>
      <x:c r="H101" t="n">
        <x:v>3</x:v>
      </x:c>
      <x:c r="I101" t="n">
        <x:v>150</x:v>
      </x:c>
      <x:c r="J101" t="str">
        <x:v>candidate cartridge</x:v>
      </x:c>
      <x:c r="K101" t="str">
        <x:v>separate public casualty gutter</x:v>
      </x:c>
      <x:c r="L101" t="str"/>
      <x:c r="M101" t="str">
        <x:v>OPEN</x:v>
      </x:c>
    </x:row>
    <x:row r="102">
      <x:c r="B102" t="str">
        <x:v>RFP-B2-DG4-B6</x:v>
      </x:c>
      <x:c r="C102" t="str">
        <x:v>RFP-B2</x:v>
      </x:c>
      <x:c r="D102" t="n">
        <x:v>4</x:v>
      </x:c>
      <x:c r="E102" t="n">
        <x:v>6</x:v>
      </x:c>
      <x:c r="F102" t="n">
        <x:v>5</x:v>
      </x:c>
      <x:c r="G102" t="n">
        <x:v>0.6</x:v>
      </x:c>
      <x:c r="H102" t="n">
        <x:v>3</x:v>
      </x:c>
      <x:c r="I102" t="n">
        <x:v>150</x:v>
      </x:c>
      <x:c r="J102" t="str">
        <x:v>candidate cartridge</x:v>
      </x:c>
      <x:c r="K102" t="str">
        <x:v>separate public casualty gutter</x:v>
      </x:c>
      <x:c r="L102" t="str"/>
      <x:c r="M102" t="str">
        <x:v>OPEN</x:v>
      </x:c>
    </x:row>
    <x:row r="103">
      <x:c r="B103" t="str">
        <x:v>RFP-C1-DG1-B1</x:v>
      </x:c>
      <x:c r="C103" t="str">
        <x:v>RFP-C1</x:v>
      </x:c>
      <x:c r="D103" t="n">
        <x:v>1</x:v>
      </x:c>
      <x:c r="E103" t="n">
        <x:v>1</x:v>
      </x:c>
      <x:c r="F103" t="n">
        <x:v>5</x:v>
      </x:c>
      <x:c r="G103" t="n">
        <x:v>0.6</x:v>
      </x:c>
      <x:c r="H103" t="n">
        <x:v>3</x:v>
      </x:c>
      <x:c r="I103" t="n">
        <x:v>150</x:v>
      </x:c>
      <x:c r="J103" t="str">
        <x:v>candidate cartridge</x:v>
      </x:c>
      <x:c r="K103" t="str">
        <x:v>separate public casualty gutter</x:v>
      </x:c>
      <x:c r="L103" t="str"/>
      <x:c r="M103" t="str">
        <x:v>OPEN</x:v>
      </x:c>
    </x:row>
    <x:row r="104">
      <x:c r="B104" t="str">
        <x:v>RFP-C1-DG1-B2</x:v>
      </x:c>
      <x:c r="C104" t="str">
        <x:v>RFP-C1</x:v>
      </x:c>
      <x:c r="D104" t="n">
        <x:v>1</x:v>
      </x:c>
      <x:c r="E104" t="n">
        <x:v>2</x:v>
      </x:c>
      <x:c r="F104" t="n">
        <x:v>5</x:v>
      </x:c>
      <x:c r="G104" t="n">
        <x:v>0.6</x:v>
      </x:c>
      <x:c r="H104" t="n">
        <x:v>3</x:v>
      </x:c>
      <x:c r="I104" t="n">
        <x:v>150</x:v>
      </x:c>
      <x:c r="J104" t="str">
        <x:v>candidate cartridge</x:v>
      </x:c>
      <x:c r="K104" t="str">
        <x:v>separate public casualty gutter</x:v>
      </x:c>
      <x:c r="L104" t="str"/>
      <x:c r="M104" t="str">
        <x:v>OPEN</x:v>
      </x:c>
    </x:row>
    <x:row r="105">
      <x:c r="B105" t="str">
        <x:v>RFP-C1-DG1-B3</x:v>
      </x:c>
      <x:c r="C105" t="str">
        <x:v>RFP-C1</x:v>
      </x:c>
      <x:c r="D105" t="n">
        <x:v>1</x:v>
      </x:c>
      <x:c r="E105" t="n">
        <x:v>3</x:v>
      </x:c>
      <x:c r="F105" t="n">
        <x:v>5</x:v>
      </x:c>
      <x:c r="G105" t="n">
        <x:v>0.6</x:v>
      </x:c>
      <x:c r="H105" t="n">
        <x:v>3</x:v>
      </x:c>
      <x:c r="I105" t="n">
        <x:v>150</x:v>
      </x:c>
      <x:c r="J105" t="str">
        <x:v>candidate cartridge</x:v>
      </x:c>
      <x:c r="K105" t="str">
        <x:v>separate public casualty gutter</x:v>
      </x:c>
      <x:c r="L105" t="str"/>
      <x:c r="M105" t="str">
        <x:v>OPEN</x:v>
      </x:c>
    </x:row>
    <x:row r="106">
      <x:c r="B106" t="str">
        <x:v>RFP-C1-DG1-B4</x:v>
      </x:c>
      <x:c r="C106" t="str">
        <x:v>RFP-C1</x:v>
      </x:c>
      <x:c r="D106" t="n">
        <x:v>1</x:v>
      </x:c>
      <x:c r="E106" t="n">
        <x:v>4</x:v>
      </x:c>
      <x:c r="F106" t="n">
        <x:v>5</x:v>
      </x:c>
      <x:c r="G106" t="n">
        <x:v>0.6</x:v>
      </x:c>
      <x:c r="H106" t="n">
        <x:v>3</x:v>
      </x:c>
      <x:c r="I106" t="n">
        <x:v>150</x:v>
      </x:c>
      <x:c r="J106" t="str">
        <x:v>candidate cartridge</x:v>
      </x:c>
      <x:c r="K106" t="str">
        <x:v>separate public casualty gutter</x:v>
      </x:c>
      <x:c r="L106" t="str"/>
      <x:c r="M106" t="str">
        <x:v>OPEN</x:v>
      </x:c>
    </x:row>
    <x:row r="107">
      <x:c r="B107" t="str">
        <x:v>RFP-C1-DG1-B5</x:v>
      </x:c>
      <x:c r="C107" t="str">
        <x:v>RFP-C1</x:v>
      </x:c>
      <x:c r="D107" t="n">
        <x:v>1</x:v>
      </x:c>
      <x:c r="E107" t="n">
        <x:v>5</x:v>
      </x:c>
      <x:c r="F107" t="n">
        <x:v>5</x:v>
      </x:c>
      <x:c r="G107" t="n">
        <x:v>0.6</x:v>
      </x:c>
      <x:c r="H107" t="n">
        <x:v>3</x:v>
      </x:c>
      <x:c r="I107" t="n">
        <x:v>150</x:v>
      </x:c>
      <x:c r="J107" t="str">
        <x:v>candidate cartridge</x:v>
      </x:c>
      <x:c r="K107" t="str">
        <x:v>separate public casualty gutter</x:v>
      </x:c>
      <x:c r="L107" t="str"/>
      <x:c r="M107" t="str">
        <x:v>OPEN</x:v>
      </x:c>
    </x:row>
    <x:row r="108">
      <x:c r="B108" t="str">
        <x:v>RFP-C1-DG1-B6</x:v>
      </x:c>
      <x:c r="C108" t="str">
        <x:v>RFP-C1</x:v>
      </x:c>
      <x:c r="D108" t="n">
        <x:v>1</x:v>
      </x:c>
      <x:c r="E108" t="n">
        <x:v>6</x:v>
      </x:c>
      <x:c r="F108" t="n">
        <x:v>5</x:v>
      </x:c>
      <x:c r="G108" t="n">
        <x:v>0.6</x:v>
      </x:c>
      <x:c r="H108" t="n">
        <x:v>3</x:v>
      </x:c>
      <x:c r="I108" t="n">
        <x:v>150</x:v>
      </x:c>
      <x:c r="J108" t="str">
        <x:v>candidate cartridge</x:v>
      </x:c>
      <x:c r="K108" t="str">
        <x:v>separate public casualty gutter</x:v>
      </x:c>
      <x:c r="L108" t="str"/>
      <x:c r="M108" t="str">
        <x:v>OPEN</x:v>
      </x:c>
    </x:row>
    <x:row r="109">
      <x:c r="B109" t="str">
        <x:v>RFP-C1-DG2-B1</x:v>
      </x:c>
      <x:c r="C109" t="str">
        <x:v>RFP-C1</x:v>
      </x:c>
      <x:c r="D109" t="n">
        <x:v>2</x:v>
      </x:c>
      <x:c r="E109" t="n">
        <x:v>1</x:v>
      </x:c>
      <x:c r="F109" t="n">
        <x:v>5</x:v>
      </x:c>
      <x:c r="G109" t="n">
        <x:v>0.6</x:v>
      </x:c>
      <x:c r="H109" t="n">
        <x:v>3</x:v>
      </x:c>
      <x:c r="I109" t="n">
        <x:v>150</x:v>
      </x:c>
      <x:c r="J109" t="str">
        <x:v>candidate cartridge</x:v>
      </x:c>
      <x:c r="K109" t="str">
        <x:v>separate public casualty gutter</x:v>
      </x:c>
      <x:c r="L109" t="str"/>
      <x:c r="M109" t="str">
        <x:v>OPEN</x:v>
      </x:c>
    </x:row>
    <x:row r="110">
      <x:c r="B110" t="str">
        <x:v>RFP-C1-DG2-B2</x:v>
      </x:c>
      <x:c r="C110" t="str">
        <x:v>RFP-C1</x:v>
      </x:c>
      <x:c r="D110" t="n">
        <x:v>2</x:v>
      </x:c>
      <x:c r="E110" t="n">
        <x:v>2</x:v>
      </x:c>
      <x:c r="F110" t="n">
        <x:v>5</x:v>
      </x:c>
      <x:c r="G110" t="n">
        <x:v>0.6</x:v>
      </x:c>
      <x:c r="H110" t="n">
        <x:v>3</x:v>
      </x:c>
      <x:c r="I110" t="n">
        <x:v>150</x:v>
      </x:c>
      <x:c r="J110" t="str">
        <x:v>candidate cartridge</x:v>
      </x:c>
      <x:c r="K110" t="str">
        <x:v>separate public casualty gutter</x:v>
      </x:c>
      <x:c r="L110" t="str"/>
      <x:c r="M110" t="str">
        <x:v>OPEN</x:v>
      </x:c>
    </x:row>
    <x:row r="111">
      <x:c r="B111" t="str">
        <x:v>RFP-C1-DG2-B3</x:v>
      </x:c>
      <x:c r="C111" t="str">
        <x:v>RFP-C1</x:v>
      </x:c>
      <x:c r="D111" t="n">
        <x:v>2</x:v>
      </x:c>
      <x:c r="E111" t="n">
        <x:v>3</x:v>
      </x:c>
      <x:c r="F111" t="n">
        <x:v>5</x:v>
      </x:c>
      <x:c r="G111" t="n">
        <x:v>0.6</x:v>
      </x:c>
      <x:c r="H111" t="n">
        <x:v>3</x:v>
      </x:c>
      <x:c r="I111" t="n">
        <x:v>150</x:v>
      </x:c>
      <x:c r="J111" t="str">
        <x:v>candidate cartridge</x:v>
      </x:c>
      <x:c r="K111" t="str">
        <x:v>separate public casualty gutter</x:v>
      </x:c>
      <x:c r="L111" t="str"/>
      <x:c r="M111" t="str">
        <x:v>OPEN</x:v>
      </x:c>
    </x:row>
    <x:row r="112">
      <x:c r="B112" t="str">
        <x:v>RFP-C1-DG2-B4</x:v>
      </x:c>
      <x:c r="C112" t="str">
        <x:v>RFP-C1</x:v>
      </x:c>
      <x:c r="D112" t="n">
        <x:v>2</x:v>
      </x:c>
      <x:c r="E112" t="n">
        <x:v>4</x:v>
      </x:c>
      <x:c r="F112" t="n">
        <x:v>5</x:v>
      </x:c>
      <x:c r="G112" t="n">
        <x:v>0.6</x:v>
      </x:c>
      <x:c r="H112" t="n">
        <x:v>3</x:v>
      </x:c>
      <x:c r="I112" t="n">
        <x:v>150</x:v>
      </x:c>
      <x:c r="J112" t="str">
        <x:v>candidate cartridge</x:v>
      </x:c>
      <x:c r="K112" t="str">
        <x:v>separate public casualty gutter</x:v>
      </x:c>
      <x:c r="L112" t="str"/>
      <x:c r="M112" t="str">
        <x:v>OPEN</x:v>
      </x:c>
    </x:row>
    <x:row r="113">
      <x:c r="B113" t="str">
        <x:v>RFP-C1-DG2-B5</x:v>
      </x:c>
      <x:c r="C113" t="str">
        <x:v>RFP-C1</x:v>
      </x:c>
      <x:c r="D113" t="n">
        <x:v>2</x:v>
      </x:c>
      <x:c r="E113" t="n">
        <x:v>5</x:v>
      </x:c>
      <x:c r="F113" t="n">
        <x:v>5</x:v>
      </x:c>
      <x:c r="G113" t="n">
        <x:v>0.6</x:v>
      </x:c>
      <x:c r="H113" t="n">
        <x:v>3</x:v>
      </x:c>
      <x:c r="I113" t="n">
        <x:v>150</x:v>
      </x:c>
      <x:c r="J113" t="str">
        <x:v>candidate cartridge</x:v>
      </x:c>
      <x:c r="K113" t="str">
        <x:v>separate public casualty gutter</x:v>
      </x:c>
      <x:c r="L113" t="str"/>
      <x:c r="M113" t="str">
        <x:v>OPEN</x:v>
      </x:c>
    </x:row>
    <x:row r="114">
      <x:c r="B114" t="str">
        <x:v>RFP-C1-DG2-B6</x:v>
      </x:c>
      <x:c r="C114" t="str">
        <x:v>RFP-C1</x:v>
      </x:c>
      <x:c r="D114" t="n">
        <x:v>2</x:v>
      </x:c>
      <x:c r="E114" t="n">
        <x:v>6</x:v>
      </x:c>
      <x:c r="F114" t="n">
        <x:v>5</x:v>
      </x:c>
      <x:c r="G114" t="n">
        <x:v>0.6</x:v>
      </x:c>
      <x:c r="H114" t="n">
        <x:v>3</x:v>
      </x:c>
      <x:c r="I114" t="n">
        <x:v>150</x:v>
      </x:c>
      <x:c r="J114" t="str">
        <x:v>candidate cartridge</x:v>
      </x:c>
      <x:c r="K114" t="str">
        <x:v>separate public casualty gutter</x:v>
      </x:c>
      <x:c r="L114" t="str"/>
      <x:c r="M114" t="str">
        <x:v>OPEN</x:v>
      </x:c>
    </x:row>
    <x:row r="115">
      <x:c r="B115" t="str">
        <x:v>RFP-C1-DG3-B1</x:v>
      </x:c>
      <x:c r="C115" t="str">
        <x:v>RFP-C1</x:v>
      </x:c>
      <x:c r="D115" t="n">
        <x:v>3</x:v>
      </x:c>
      <x:c r="E115" t="n">
        <x:v>1</x:v>
      </x:c>
      <x:c r="F115" t="n">
        <x:v>5</x:v>
      </x:c>
      <x:c r="G115" t="n">
        <x:v>0.6</x:v>
      </x:c>
      <x:c r="H115" t="n">
        <x:v>3</x:v>
      </x:c>
      <x:c r="I115" t="n">
        <x:v>150</x:v>
      </x:c>
      <x:c r="J115" t="str">
        <x:v>candidate cartridge</x:v>
      </x:c>
      <x:c r="K115" t="str">
        <x:v>separate public casualty gutter</x:v>
      </x:c>
      <x:c r="L115" t="str"/>
      <x:c r="M115" t="str">
        <x:v>OPEN</x:v>
      </x:c>
    </x:row>
    <x:row r="116">
      <x:c r="B116" t="str">
        <x:v>RFP-C1-DG3-B2</x:v>
      </x:c>
      <x:c r="C116" t="str">
        <x:v>RFP-C1</x:v>
      </x:c>
      <x:c r="D116" t="n">
        <x:v>3</x:v>
      </x:c>
      <x:c r="E116" t="n">
        <x:v>2</x:v>
      </x:c>
      <x:c r="F116" t="n">
        <x:v>5</x:v>
      </x:c>
      <x:c r="G116" t="n">
        <x:v>0.6</x:v>
      </x:c>
      <x:c r="H116" t="n">
        <x:v>3</x:v>
      </x:c>
      <x:c r="I116" t="n">
        <x:v>150</x:v>
      </x:c>
      <x:c r="J116" t="str">
        <x:v>candidate cartridge</x:v>
      </x:c>
      <x:c r="K116" t="str">
        <x:v>separate public casualty gutter</x:v>
      </x:c>
      <x:c r="L116" t="str"/>
      <x:c r="M116" t="str">
        <x:v>OPEN</x:v>
      </x:c>
    </x:row>
    <x:row r="117">
      <x:c r="B117" t="str">
        <x:v>RFP-C1-DG3-B3</x:v>
      </x:c>
      <x:c r="C117" t="str">
        <x:v>RFP-C1</x:v>
      </x:c>
      <x:c r="D117" t="n">
        <x:v>3</x:v>
      </x:c>
      <x:c r="E117" t="n">
        <x:v>3</x:v>
      </x:c>
      <x:c r="F117" t="n">
        <x:v>5</x:v>
      </x:c>
      <x:c r="G117" t="n">
        <x:v>0.6</x:v>
      </x:c>
      <x:c r="H117" t="n">
        <x:v>3</x:v>
      </x:c>
      <x:c r="I117" t="n">
        <x:v>150</x:v>
      </x:c>
      <x:c r="J117" t="str">
        <x:v>candidate cartridge</x:v>
      </x:c>
      <x:c r="K117" t="str">
        <x:v>separate public casualty gutter</x:v>
      </x:c>
      <x:c r="L117" t="str"/>
      <x:c r="M117" t="str">
        <x:v>OPEN</x:v>
      </x:c>
    </x:row>
    <x:row r="118">
      <x:c r="B118" t="str">
        <x:v>RFP-C1-DG3-B4</x:v>
      </x:c>
      <x:c r="C118" t="str">
        <x:v>RFP-C1</x:v>
      </x:c>
      <x:c r="D118" t="n">
        <x:v>3</x:v>
      </x:c>
      <x:c r="E118" t="n">
        <x:v>4</x:v>
      </x:c>
      <x:c r="F118" t="n">
        <x:v>5</x:v>
      </x:c>
      <x:c r="G118" t="n">
        <x:v>0.6</x:v>
      </x:c>
      <x:c r="H118" t="n">
        <x:v>3</x:v>
      </x:c>
      <x:c r="I118" t="n">
        <x:v>150</x:v>
      </x:c>
      <x:c r="J118" t="str">
        <x:v>candidate cartridge</x:v>
      </x:c>
      <x:c r="K118" t="str">
        <x:v>separate public casualty gutter</x:v>
      </x:c>
      <x:c r="L118" t="str"/>
      <x:c r="M118" t="str">
        <x:v>OPEN</x:v>
      </x:c>
    </x:row>
    <x:row r="119">
      <x:c r="B119" t="str">
        <x:v>RFP-C1-DG3-B5</x:v>
      </x:c>
      <x:c r="C119" t="str">
        <x:v>RFP-C1</x:v>
      </x:c>
      <x:c r="D119" t="n">
        <x:v>3</x:v>
      </x:c>
      <x:c r="E119" t="n">
        <x:v>5</x:v>
      </x:c>
      <x:c r="F119" t="n">
        <x:v>5</x:v>
      </x:c>
      <x:c r="G119" t="n">
        <x:v>0.6</x:v>
      </x:c>
      <x:c r="H119" t="n">
        <x:v>3</x:v>
      </x:c>
      <x:c r="I119" t="n">
        <x:v>150</x:v>
      </x:c>
      <x:c r="J119" t="str">
        <x:v>candidate cartridge</x:v>
      </x:c>
      <x:c r="K119" t="str">
        <x:v>separate public casualty gutter</x:v>
      </x:c>
      <x:c r="L119" t="str"/>
      <x:c r="M119" t="str">
        <x:v>OPEN</x:v>
      </x:c>
    </x:row>
    <x:row r="120">
      <x:c r="B120" t="str">
        <x:v>RFP-C1-DG3-B6</x:v>
      </x:c>
      <x:c r="C120" t="str">
        <x:v>RFP-C1</x:v>
      </x:c>
      <x:c r="D120" t="n">
        <x:v>3</x:v>
      </x:c>
      <x:c r="E120" t="n">
        <x:v>6</x:v>
      </x:c>
      <x:c r="F120" t="n">
        <x:v>5</x:v>
      </x:c>
      <x:c r="G120" t="n">
        <x:v>0.6</x:v>
      </x:c>
      <x:c r="H120" t="n">
        <x:v>3</x:v>
      </x:c>
      <x:c r="I120" t="n">
        <x:v>150</x:v>
      </x:c>
      <x:c r="J120" t="str">
        <x:v>candidate cartridge</x:v>
      </x:c>
      <x:c r="K120" t="str">
        <x:v>separate public casualty gutter</x:v>
      </x:c>
      <x:c r="L120" t="str"/>
      <x:c r="M120" t="str">
        <x:v>OPEN</x:v>
      </x:c>
    </x:row>
    <x:row r="121">
      <x:c r="B121" t="str">
        <x:v>RFP-C1-DG4-B1</x:v>
      </x:c>
      <x:c r="C121" t="str">
        <x:v>RFP-C1</x:v>
      </x:c>
      <x:c r="D121" t="n">
        <x:v>4</x:v>
      </x:c>
      <x:c r="E121" t="n">
        <x:v>1</x:v>
      </x:c>
      <x:c r="F121" t="n">
        <x:v>5</x:v>
      </x:c>
      <x:c r="G121" t="n">
        <x:v>0.6</x:v>
      </x:c>
      <x:c r="H121" t="n">
        <x:v>3</x:v>
      </x:c>
      <x:c r="I121" t="n">
        <x:v>150</x:v>
      </x:c>
      <x:c r="J121" t="str">
        <x:v>candidate cartridge</x:v>
      </x:c>
      <x:c r="K121" t="str">
        <x:v>separate public casualty gutter</x:v>
      </x:c>
      <x:c r="L121" t="str"/>
      <x:c r="M121" t="str">
        <x:v>OPEN</x:v>
      </x:c>
    </x:row>
    <x:row r="122">
      <x:c r="B122" t="str">
        <x:v>RFP-C1-DG4-B2</x:v>
      </x:c>
      <x:c r="C122" t="str">
        <x:v>RFP-C1</x:v>
      </x:c>
      <x:c r="D122" t="n">
        <x:v>4</x:v>
      </x:c>
      <x:c r="E122" t="n">
        <x:v>2</x:v>
      </x:c>
      <x:c r="F122" t="n">
        <x:v>5</x:v>
      </x:c>
      <x:c r="G122" t="n">
        <x:v>0.6</x:v>
      </x:c>
      <x:c r="H122" t="n">
        <x:v>3</x:v>
      </x:c>
      <x:c r="I122" t="n">
        <x:v>150</x:v>
      </x:c>
      <x:c r="J122" t="str">
        <x:v>candidate cartridge</x:v>
      </x:c>
      <x:c r="K122" t="str">
        <x:v>separate public casualty gutter</x:v>
      </x:c>
      <x:c r="L122" t="str"/>
      <x:c r="M122" t="str">
        <x:v>OPEN</x:v>
      </x:c>
    </x:row>
    <x:row r="123">
      <x:c r="B123" t="str">
        <x:v>RFP-C1-DG4-B3</x:v>
      </x:c>
      <x:c r="C123" t="str">
        <x:v>RFP-C1</x:v>
      </x:c>
      <x:c r="D123" t="n">
        <x:v>4</x:v>
      </x:c>
      <x:c r="E123" t="n">
        <x:v>3</x:v>
      </x:c>
      <x:c r="F123" t="n">
        <x:v>5</x:v>
      </x:c>
      <x:c r="G123" t="n">
        <x:v>0.6</x:v>
      </x:c>
      <x:c r="H123" t="n">
        <x:v>3</x:v>
      </x:c>
      <x:c r="I123" t="n">
        <x:v>150</x:v>
      </x:c>
      <x:c r="J123" t="str">
        <x:v>candidate cartridge</x:v>
      </x:c>
      <x:c r="K123" t="str">
        <x:v>separate public casualty gutter</x:v>
      </x:c>
      <x:c r="L123" t="str"/>
      <x:c r="M123" t="str">
        <x:v>OPEN</x:v>
      </x:c>
    </x:row>
    <x:row r="124">
      <x:c r="B124" t="str">
        <x:v>RFP-C1-DG4-B4</x:v>
      </x:c>
      <x:c r="C124" t="str">
        <x:v>RFP-C1</x:v>
      </x:c>
      <x:c r="D124" t="n">
        <x:v>4</x:v>
      </x:c>
      <x:c r="E124" t="n">
        <x:v>4</x:v>
      </x:c>
      <x:c r="F124" t="n">
        <x:v>5</x:v>
      </x:c>
      <x:c r="G124" t="n">
        <x:v>0.6</x:v>
      </x:c>
      <x:c r="H124" t="n">
        <x:v>3</x:v>
      </x:c>
      <x:c r="I124" t="n">
        <x:v>150</x:v>
      </x:c>
      <x:c r="J124" t="str">
        <x:v>candidate cartridge</x:v>
      </x:c>
      <x:c r="K124" t="str">
        <x:v>separate public casualty gutter</x:v>
      </x:c>
      <x:c r="L124" t="str"/>
      <x:c r="M124" t="str">
        <x:v>OPEN</x:v>
      </x:c>
    </x:row>
    <x:row r="125">
      <x:c r="B125" t="str">
        <x:v>RFP-C1-DG4-B5</x:v>
      </x:c>
      <x:c r="C125" t="str">
        <x:v>RFP-C1</x:v>
      </x:c>
      <x:c r="D125" t="n">
        <x:v>4</x:v>
      </x:c>
      <x:c r="E125" t="n">
        <x:v>5</x:v>
      </x:c>
      <x:c r="F125" t="n">
        <x:v>5</x:v>
      </x:c>
      <x:c r="G125" t="n">
        <x:v>0.6</x:v>
      </x:c>
      <x:c r="H125" t="n">
        <x:v>3</x:v>
      </x:c>
      <x:c r="I125" t="n">
        <x:v>150</x:v>
      </x:c>
      <x:c r="J125" t="str">
        <x:v>candidate cartridge</x:v>
      </x:c>
      <x:c r="K125" t="str">
        <x:v>separate public casualty gutter</x:v>
      </x:c>
      <x:c r="L125" t="str"/>
      <x:c r="M125" t="str">
        <x:v>OPEN</x:v>
      </x:c>
    </x:row>
    <x:row r="126">
      <x:c r="B126" t="str">
        <x:v>RFP-C1-DG4-B6</x:v>
      </x:c>
      <x:c r="C126" t="str">
        <x:v>RFP-C1</x:v>
      </x:c>
      <x:c r="D126" t="n">
        <x:v>4</x:v>
      </x:c>
      <x:c r="E126" t="n">
        <x:v>6</x:v>
      </x:c>
      <x:c r="F126" t="n">
        <x:v>5</x:v>
      </x:c>
      <x:c r="G126" t="n">
        <x:v>0.6</x:v>
      </x:c>
      <x:c r="H126" t="n">
        <x:v>3</x:v>
      </x:c>
      <x:c r="I126" t="n">
        <x:v>150</x:v>
      </x:c>
      <x:c r="J126" t="str">
        <x:v>candidate cartridge</x:v>
      </x:c>
      <x:c r="K126" t="str">
        <x:v>separate public casualty gutter</x:v>
      </x:c>
      <x:c r="L126" t="str"/>
      <x:c r="M126" t="str">
        <x:v>OPEN</x:v>
      </x:c>
    </x:row>
    <x:row r="127">
      <x:c r="B127" t="str">
        <x:v>RFP-C2-DG1-B1</x:v>
      </x:c>
      <x:c r="C127" t="str">
        <x:v>RFP-C2</x:v>
      </x:c>
      <x:c r="D127" t="n">
        <x:v>1</x:v>
      </x:c>
      <x:c r="E127" t="n">
        <x:v>1</x:v>
      </x:c>
      <x:c r="F127" t="n">
        <x:v>5</x:v>
      </x:c>
      <x:c r="G127" t="n">
        <x:v>0.6</x:v>
      </x:c>
      <x:c r="H127" t="n">
        <x:v>3</x:v>
      </x:c>
      <x:c r="I127" t="n">
        <x:v>150</x:v>
      </x:c>
      <x:c r="J127" t="str">
        <x:v>candidate cartridge</x:v>
      </x:c>
      <x:c r="K127" t="str">
        <x:v>separate public casualty gutter</x:v>
      </x:c>
      <x:c r="L127" t="str"/>
      <x:c r="M127" t="str">
        <x:v>OPEN</x:v>
      </x:c>
    </x:row>
    <x:row r="128">
      <x:c r="B128" t="str">
        <x:v>RFP-C2-DG1-B2</x:v>
      </x:c>
      <x:c r="C128" t="str">
        <x:v>RFP-C2</x:v>
      </x:c>
      <x:c r="D128" t="n">
        <x:v>1</x:v>
      </x:c>
      <x:c r="E128" t="n">
        <x:v>2</x:v>
      </x:c>
      <x:c r="F128" t="n">
        <x:v>5</x:v>
      </x:c>
      <x:c r="G128" t="n">
        <x:v>0.6</x:v>
      </x:c>
      <x:c r="H128" t="n">
        <x:v>3</x:v>
      </x:c>
      <x:c r="I128" t="n">
        <x:v>150</x:v>
      </x:c>
      <x:c r="J128" t="str">
        <x:v>candidate cartridge</x:v>
      </x:c>
      <x:c r="K128" t="str">
        <x:v>separate public casualty gutter</x:v>
      </x:c>
      <x:c r="L128" t="str"/>
      <x:c r="M128" t="str">
        <x:v>OPEN</x:v>
      </x:c>
    </x:row>
    <x:row r="129">
      <x:c r="B129" t="str">
        <x:v>RFP-C2-DG1-B3</x:v>
      </x:c>
      <x:c r="C129" t="str">
        <x:v>RFP-C2</x:v>
      </x:c>
      <x:c r="D129" t="n">
        <x:v>1</x:v>
      </x:c>
      <x:c r="E129" t="n">
        <x:v>3</x:v>
      </x:c>
      <x:c r="F129" t="n">
        <x:v>5</x:v>
      </x:c>
      <x:c r="G129" t="n">
        <x:v>0.6</x:v>
      </x:c>
      <x:c r="H129" t="n">
        <x:v>3</x:v>
      </x:c>
      <x:c r="I129" t="n">
        <x:v>150</x:v>
      </x:c>
      <x:c r="J129" t="str">
        <x:v>candidate cartridge</x:v>
      </x:c>
      <x:c r="K129" t="str">
        <x:v>separate public casualty gutter</x:v>
      </x:c>
      <x:c r="L129" t="str"/>
      <x:c r="M129" t="str">
        <x:v>OPEN</x:v>
      </x:c>
    </x:row>
    <x:row r="130">
      <x:c r="B130" t="str">
        <x:v>RFP-C2-DG1-B4</x:v>
      </x:c>
      <x:c r="C130" t="str">
        <x:v>RFP-C2</x:v>
      </x:c>
      <x:c r="D130" t="n">
        <x:v>1</x:v>
      </x:c>
      <x:c r="E130" t="n">
        <x:v>4</x:v>
      </x:c>
      <x:c r="F130" t="n">
        <x:v>5</x:v>
      </x:c>
      <x:c r="G130" t="n">
        <x:v>0.6</x:v>
      </x:c>
      <x:c r="H130" t="n">
        <x:v>3</x:v>
      </x:c>
      <x:c r="I130" t="n">
        <x:v>150</x:v>
      </x:c>
      <x:c r="J130" t="str">
        <x:v>candidate cartridge</x:v>
      </x:c>
      <x:c r="K130" t="str">
        <x:v>separate public casualty gutter</x:v>
      </x:c>
      <x:c r="L130" t="str"/>
      <x:c r="M130" t="str">
        <x:v>OPEN</x:v>
      </x:c>
    </x:row>
    <x:row r="131">
      <x:c r="B131" t="str">
        <x:v>RFP-C2-DG1-B5</x:v>
      </x:c>
      <x:c r="C131" t="str">
        <x:v>RFP-C2</x:v>
      </x:c>
      <x:c r="D131" t="n">
        <x:v>1</x:v>
      </x:c>
      <x:c r="E131" t="n">
        <x:v>5</x:v>
      </x:c>
      <x:c r="F131" t="n">
        <x:v>5</x:v>
      </x:c>
      <x:c r="G131" t="n">
        <x:v>0.6</x:v>
      </x:c>
      <x:c r="H131" t="n">
        <x:v>3</x:v>
      </x:c>
      <x:c r="I131" t="n">
        <x:v>150</x:v>
      </x:c>
      <x:c r="J131" t="str">
        <x:v>candidate cartridge</x:v>
      </x:c>
      <x:c r="K131" t="str">
        <x:v>separate public casualty gutter</x:v>
      </x:c>
      <x:c r="L131" t="str"/>
      <x:c r="M131" t="str">
        <x:v>OPEN</x:v>
      </x:c>
    </x:row>
    <x:row r="132">
      <x:c r="B132" t="str">
        <x:v>RFP-C2-DG1-B6</x:v>
      </x:c>
      <x:c r="C132" t="str">
        <x:v>RFP-C2</x:v>
      </x:c>
      <x:c r="D132" t="n">
        <x:v>1</x:v>
      </x:c>
      <x:c r="E132" t="n">
        <x:v>6</x:v>
      </x:c>
      <x:c r="F132" t="n">
        <x:v>5</x:v>
      </x:c>
      <x:c r="G132" t="n">
        <x:v>0.6</x:v>
      </x:c>
      <x:c r="H132" t="n">
        <x:v>3</x:v>
      </x:c>
      <x:c r="I132" t="n">
        <x:v>150</x:v>
      </x:c>
      <x:c r="J132" t="str">
        <x:v>candidate cartridge</x:v>
      </x:c>
      <x:c r="K132" t="str">
        <x:v>separate public casualty gutter</x:v>
      </x:c>
      <x:c r="L132" t="str"/>
      <x:c r="M132" t="str">
        <x:v>OPEN</x:v>
      </x:c>
    </x:row>
    <x:row r="133">
      <x:c r="B133" t="str">
        <x:v>RFP-C2-DG2-B1</x:v>
      </x:c>
      <x:c r="C133" t="str">
        <x:v>RFP-C2</x:v>
      </x:c>
      <x:c r="D133" t="n">
        <x:v>2</x:v>
      </x:c>
      <x:c r="E133" t="n">
        <x:v>1</x:v>
      </x:c>
      <x:c r="F133" t="n">
        <x:v>5</x:v>
      </x:c>
      <x:c r="G133" t="n">
        <x:v>0.6</x:v>
      </x:c>
      <x:c r="H133" t="n">
        <x:v>3</x:v>
      </x:c>
      <x:c r="I133" t="n">
        <x:v>150</x:v>
      </x:c>
      <x:c r="J133" t="str">
        <x:v>candidate cartridge</x:v>
      </x:c>
      <x:c r="K133" t="str">
        <x:v>separate public casualty gutter</x:v>
      </x:c>
      <x:c r="L133" t="str"/>
      <x:c r="M133" t="str">
        <x:v>OPEN</x:v>
      </x:c>
    </x:row>
    <x:row r="134">
      <x:c r="B134" t="str">
        <x:v>RFP-C2-DG2-B2</x:v>
      </x:c>
      <x:c r="C134" t="str">
        <x:v>RFP-C2</x:v>
      </x:c>
      <x:c r="D134" t="n">
        <x:v>2</x:v>
      </x:c>
      <x:c r="E134" t="n">
        <x:v>2</x:v>
      </x:c>
      <x:c r="F134" t="n">
        <x:v>5</x:v>
      </x:c>
      <x:c r="G134" t="n">
        <x:v>0.6</x:v>
      </x:c>
      <x:c r="H134" t="n">
        <x:v>3</x:v>
      </x:c>
      <x:c r="I134" t="n">
        <x:v>150</x:v>
      </x:c>
      <x:c r="J134" t="str">
        <x:v>candidate cartridge</x:v>
      </x:c>
      <x:c r="K134" t="str">
        <x:v>separate public casualty gutter</x:v>
      </x:c>
      <x:c r="L134" t="str"/>
      <x:c r="M134" t="str">
        <x:v>OPEN</x:v>
      </x:c>
    </x:row>
    <x:row r="135">
      <x:c r="B135" t="str">
        <x:v>RFP-C2-DG2-B3</x:v>
      </x:c>
      <x:c r="C135" t="str">
        <x:v>RFP-C2</x:v>
      </x:c>
      <x:c r="D135" t="n">
        <x:v>2</x:v>
      </x:c>
      <x:c r="E135" t="n">
        <x:v>3</x:v>
      </x:c>
      <x:c r="F135" t="n">
        <x:v>5</x:v>
      </x:c>
      <x:c r="G135" t="n">
        <x:v>0.6</x:v>
      </x:c>
      <x:c r="H135" t="n">
        <x:v>3</x:v>
      </x:c>
      <x:c r="I135" t="n">
        <x:v>150</x:v>
      </x:c>
      <x:c r="J135" t="str">
        <x:v>candidate cartridge</x:v>
      </x:c>
      <x:c r="K135" t="str">
        <x:v>separate public casualty gutter</x:v>
      </x:c>
      <x:c r="L135" t="str"/>
      <x:c r="M135" t="str">
        <x:v>OPEN</x:v>
      </x:c>
    </x:row>
    <x:row r="136">
      <x:c r="B136" t="str">
        <x:v>RFP-C2-DG2-B4</x:v>
      </x:c>
      <x:c r="C136" t="str">
        <x:v>RFP-C2</x:v>
      </x:c>
      <x:c r="D136" t="n">
        <x:v>2</x:v>
      </x:c>
      <x:c r="E136" t="n">
        <x:v>4</x:v>
      </x:c>
      <x:c r="F136" t="n">
        <x:v>5</x:v>
      </x:c>
      <x:c r="G136" t="n">
        <x:v>0.6</x:v>
      </x:c>
      <x:c r="H136" t="n">
        <x:v>3</x:v>
      </x:c>
      <x:c r="I136" t="n">
        <x:v>150</x:v>
      </x:c>
      <x:c r="J136" t="str">
        <x:v>candidate cartridge</x:v>
      </x:c>
      <x:c r="K136" t="str">
        <x:v>separate public casualty gutter</x:v>
      </x:c>
      <x:c r="L136" t="str"/>
      <x:c r="M136" t="str">
        <x:v>OPEN</x:v>
      </x:c>
    </x:row>
    <x:row r="137">
      <x:c r="B137" t="str">
        <x:v>RFP-C2-DG2-B5</x:v>
      </x:c>
      <x:c r="C137" t="str">
        <x:v>RFP-C2</x:v>
      </x:c>
      <x:c r="D137" t="n">
        <x:v>2</x:v>
      </x:c>
      <x:c r="E137" t="n">
        <x:v>5</x:v>
      </x:c>
      <x:c r="F137" t="n">
        <x:v>5</x:v>
      </x:c>
      <x:c r="G137" t="n">
        <x:v>0.6</x:v>
      </x:c>
      <x:c r="H137" t="n">
        <x:v>3</x:v>
      </x:c>
      <x:c r="I137" t="n">
        <x:v>150</x:v>
      </x:c>
      <x:c r="J137" t="str">
        <x:v>candidate cartridge</x:v>
      </x:c>
      <x:c r="K137" t="str">
        <x:v>separate public casualty gutter</x:v>
      </x:c>
      <x:c r="L137" t="str"/>
      <x:c r="M137" t="str">
        <x:v>OPEN</x:v>
      </x:c>
    </x:row>
    <x:row r="138">
      <x:c r="B138" t="str">
        <x:v>RFP-C2-DG2-B6</x:v>
      </x:c>
      <x:c r="C138" t="str">
        <x:v>RFP-C2</x:v>
      </x:c>
      <x:c r="D138" t="n">
        <x:v>2</x:v>
      </x:c>
      <x:c r="E138" t="n">
        <x:v>6</x:v>
      </x:c>
      <x:c r="F138" t="n">
        <x:v>5</x:v>
      </x:c>
      <x:c r="G138" t="n">
        <x:v>0.6</x:v>
      </x:c>
      <x:c r="H138" t="n">
        <x:v>3</x:v>
      </x:c>
      <x:c r="I138" t="n">
        <x:v>150</x:v>
      </x:c>
      <x:c r="J138" t="str">
        <x:v>candidate cartridge</x:v>
      </x:c>
      <x:c r="K138" t="str">
        <x:v>separate public casualty gutter</x:v>
      </x:c>
      <x:c r="L138" t="str"/>
      <x:c r="M138" t="str">
        <x:v>OPEN</x:v>
      </x:c>
    </x:row>
    <x:row r="139">
      <x:c r="B139" t="str">
        <x:v>RFP-C2-DG3-B1</x:v>
      </x:c>
      <x:c r="C139" t="str">
        <x:v>RFP-C2</x:v>
      </x:c>
      <x:c r="D139" t="n">
        <x:v>3</x:v>
      </x:c>
      <x:c r="E139" t="n">
        <x:v>1</x:v>
      </x:c>
      <x:c r="F139" t="n">
        <x:v>5</x:v>
      </x:c>
      <x:c r="G139" t="n">
        <x:v>0.6</x:v>
      </x:c>
      <x:c r="H139" t="n">
        <x:v>3</x:v>
      </x:c>
      <x:c r="I139" t="n">
        <x:v>150</x:v>
      </x:c>
      <x:c r="J139" t="str">
        <x:v>candidate cartridge</x:v>
      </x:c>
      <x:c r="K139" t="str">
        <x:v>separate public casualty gutter</x:v>
      </x:c>
      <x:c r="L139" t="str"/>
      <x:c r="M139" t="str">
        <x:v>OPEN</x:v>
      </x:c>
    </x:row>
    <x:row r="140">
      <x:c r="B140" t="str">
        <x:v>RFP-C2-DG3-B2</x:v>
      </x:c>
      <x:c r="C140" t="str">
        <x:v>RFP-C2</x:v>
      </x:c>
      <x:c r="D140" t="n">
        <x:v>3</x:v>
      </x:c>
      <x:c r="E140" t="n">
        <x:v>2</x:v>
      </x:c>
      <x:c r="F140" t="n">
        <x:v>5</x:v>
      </x:c>
      <x:c r="G140" t="n">
        <x:v>0.6</x:v>
      </x:c>
      <x:c r="H140" t="n">
        <x:v>3</x:v>
      </x:c>
      <x:c r="I140" t="n">
        <x:v>150</x:v>
      </x:c>
      <x:c r="J140" t="str">
        <x:v>candidate cartridge</x:v>
      </x:c>
      <x:c r="K140" t="str">
        <x:v>separate public casualty gutter</x:v>
      </x:c>
      <x:c r="L140" t="str"/>
      <x:c r="M140" t="str">
        <x:v>OPEN</x:v>
      </x:c>
    </x:row>
    <x:row r="141">
      <x:c r="B141" t="str">
        <x:v>RFP-C2-DG3-B3</x:v>
      </x:c>
      <x:c r="C141" t="str">
        <x:v>RFP-C2</x:v>
      </x:c>
      <x:c r="D141" t="n">
        <x:v>3</x:v>
      </x:c>
      <x:c r="E141" t="n">
        <x:v>3</x:v>
      </x:c>
      <x:c r="F141" t="n">
        <x:v>5</x:v>
      </x:c>
      <x:c r="G141" t="n">
        <x:v>0.6</x:v>
      </x:c>
      <x:c r="H141" t="n">
        <x:v>3</x:v>
      </x:c>
      <x:c r="I141" t="n">
        <x:v>150</x:v>
      </x:c>
      <x:c r="J141" t="str">
        <x:v>candidate cartridge</x:v>
      </x:c>
      <x:c r="K141" t="str">
        <x:v>separate public casualty gutter</x:v>
      </x:c>
      <x:c r="L141" t="str"/>
      <x:c r="M141" t="str">
        <x:v>OPEN</x:v>
      </x:c>
    </x:row>
    <x:row r="142">
      <x:c r="B142" t="str">
        <x:v>RFP-C2-DG3-B4</x:v>
      </x:c>
      <x:c r="C142" t="str">
        <x:v>RFP-C2</x:v>
      </x:c>
      <x:c r="D142" t="n">
        <x:v>3</x:v>
      </x:c>
      <x:c r="E142" t="n">
        <x:v>4</x:v>
      </x:c>
      <x:c r="F142" t="n">
        <x:v>5</x:v>
      </x:c>
      <x:c r="G142" t="n">
        <x:v>0.6</x:v>
      </x:c>
      <x:c r="H142" t="n">
        <x:v>3</x:v>
      </x:c>
      <x:c r="I142" t="n">
        <x:v>150</x:v>
      </x:c>
      <x:c r="J142" t="str">
        <x:v>candidate cartridge</x:v>
      </x:c>
      <x:c r="K142" t="str">
        <x:v>separate public casualty gutter</x:v>
      </x:c>
      <x:c r="L142" t="str"/>
      <x:c r="M142" t="str">
        <x:v>OPEN</x:v>
      </x:c>
    </x:row>
    <x:row r="143">
      <x:c r="B143" t="str">
        <x:v>RFP-C2-DG3-B5</x:v>
      </x:c>
      <x:c r="C143" t="str">
        <x:v>RFP-C2</x:v>
      </x:c>
      <x:c r="D143" t="n">
        <x:v>3</x:v>
      </x:c>
      <x:c r="E143" t="n">
        <x:v>5</x:v>
      </x:c>
      <x:c r="F143" t="n">
        <x:v>5</x:v>
      </x:c>
      <x:c r="G143" t="n">
        <x:v>0.6</x:v>
      </x:c>
      <x:c r="H143" t="n">
        <x:v>3</x:v>
      </x:c>
      <x:c r="I143" t="n">
        <x:v>150</x:v>
      </x:c>
      <x:c r="J143" t="str">
        <x:v>candidate cartridge</x:v>
      </x:c>
      <x:c r="K143" t="str">
        <x:v>separate public casualty gutter</x:v>
      </x:c>
      <x:c r="L143" t="str"/>
      <x:c r="M143" t="str">
        <x:v>OPEN</x:v>
      </x:c>
    </x:row>
    <x:row r="144">
      <x:c r="B144" t="str">
        <x:v>RFP-C2-DG3-B6</x:v>
      </x:c>
      <x:c r="C144" t="str">
        <x:v>RFP-C2</x:v>
      </x:c>
      <x:c r="D144" t="n">
        <x:v>3</x:v>
      </x:c>
      <x:c r="E144" t="n">
        <x:v>6</x:v>
      </x:c>
      <x:c r="F144" t="n">
        <x:v>5</x:v>
      </x:c>
      <x:c r="G144" t="n">
        <x:v>0.6</x:v>
      </x:c>
      <x:c r="H144" t="n">
        <x:v>3</x:v>
      </x:c>
      <x:c r="I144" t="n">
        <x:v>150</x:v>
      </x:c>
      <x:c r="J144" t="str">
        <x:v>candidate cartridge</x:v>
      </x:c>
      <x:c r="K144" t="str">
        <x:v>separate public casualty gutter</x:v>
      </x:c>
      <x:c r="L144" t="str"/>
      <x:c r="M144" t="str">
        <x:v>OPEN</x:v>
      </x:c>
    </x:row>
    <x:row r="145">
      <x:c r="B145" t="str">
        <x:v>RFP-C2-DG4-B1</x:v>
      </x:c>
      <x:c r="C145" t="str">
        <x:v>RFP-C2</x:v>
      </x:c>
      <x:c r="D145" t="n">
        <x:v>4</x:v>
      </x:c>
      <x:c r="E145" t="n">
        <x:v>1</x:v>
      </x:c>
      <x:c r="F145" t="n">
        <x:v>5</x:v>
      </x:c>
      <x:c r="G145" t="n">
        <x:v>0.6</x:v>
      </x:c>
      <x:c r="H145" t="n">
        <x:v>3</x:v>
      </x:c>
      <x:c r="I145" t="n">
        <x:v>150</x:v>
      </x:c>
      <x:c r="J145" t="str">
        <x:v>candidate cartridge</x:v>
      </x:c>
      <x:c r="K145" t="str">
        <x:v>separate public casualty gutter</x:v>
      </x:c>
      <x:c r="L145" t="str"/>
      <x:c r="M145" t="str">
        <x:v>OPEN</x:v>
      </x:c>
    </x:row>
    <x:row r="146">
      <x:c r="B146" t="str">
        <x:v>RFP-C2-DG4-B2</x:v>
      </x:c>
      <x:c r="C146" t="str">
        <x:v>RFP-C2</x:v>
      </x:c>
      <x:c r="D146" t="n">
        <x:v>4</x:v>
      </x:c>
      <x:c r="E146" t="n">
        <x:v>2</x:v>
      </x:c>
      <x:c r="F146" t="n">
        <x:v>5</x:v>
      </x:c>
      <x:c r="G146" t="n">
        <x:v>0.6</x:v>
      </x:c>
      <x:c r="H146" t="n">
        <x:v>3</x:v>
      </x:c>
      <x:c r="I146" t="n">
        <x:v>150</x:v>
      </x:c>
      <x:c r="J146" t="str">
        <x:v>candidate cartridge</x:v>
      </x:c>
      <x:c r="K146" t="str">
        <x:v>separate public casualty gutter</x:v>
      </x:c>
      <x:c r="L146" t="str"/>
      <x:c r="M146" t="str">
        <x:v>OPEN</x:v>
      </x:c>
    </x:row>
    <x:row r="147">
      <x:c r="B147" t="str">
        <x:v>RFP-C2-DG4-B3</x:v>
      </x:c>
      <x:c r="C147" t="str">
        <x:v>RFP-C2</x:v>
      </x:c>
      <x:c r="D147" t="n">
        <x:v>4</x:v>
      </x:c>
      <x:c r="E147" t="n">
        <x:v>3</x:v>
      </x:c>
      <x:c r="F147" t="n">
        <x:v>5</x:v>
      </x:c>
      <x:c r="G147" t="n">
        <x:v>0.6</x:v>
      </x:c>
      <x:c r="H147" t="n">
        <x:v>3</x:v>
      </x:c>
      <x:c r="I147" t="n">
        <x:v>150</x:v>
      </x:c>
      <x:c r="J147" t="str">
        <x:v>candidate cartridge</x:v>
      </x:c>
      <x:c r="K147" t="str">
        <x:v>separate public casualty gutter</x:v>
      </x:c>
      <x:c r="L147" t="str"/>
      <x:c r="M147" t="str">
        <x:v>OPEN</x:v>
      </x:c>
    </x:row>
    <x:row r="148">
      <x:c r="B148" t="str">
        <x:v>RFP-C2-DG4-B4</x:v>
      </x:c>
      <x:c r="C148" t="str">
        <x:v>RFP-C2</x:v>
      </x:c>
      <x:c r="D148" t="n">
        <x:v>4</x:v>
      </x:c>
      <x:c r="E148" t="n">
        <x:v>4</x:v>
      </x:c>
      <x:c r="F148" t="n">
        <x:v>5</x:v>
      </x:c>
      <x:c r="G148" t="n">
        <x:v>0.6</x:v>
      </x:c>
      <x:c r="H148" t="n">
        <x:v>3</x:v>
      </x:c>
      <x:c r="I148" t="n">
        <x:v>150</x:v>
      </x:c>
      <x:c r="J148" t="str">
        <x:v>candidate cartridge</x:v>
      </x:c>
      <x:c r="K148" t="str">
        <x:v>separate public casualty gutter</x:v>
      </x:c>
      <x:c r="L148" t="str"/>
      <x:c r="M148" t="str">
        <x:v>OPEN</x:v>
      </x:c>
    </x:row>
    <x:row r="149">
      <x:c r="B149" t="str">
        <x:v>RFP-C2-DG4-B5</x:v>
      </x:c>
      <x:c r="C149" t="str">
        <x:v>RFP-C2</x:v>
      </x:c>
      <x:c r="D149" t="n">
        <x:v>4</x:v>
      </x:c>
      <x:c r="E149" t="n">
        <x:v>5</x:v>
      </x:c>
      <x:c r="F149" t="n">
        <x:v>5</x:v>
      </x:c>
      <x:c r="G149" t="n">
        <x:v>0.6</x:v>
      </x:c>
      <x:c r="H149" t="n">
        <x:v>3</x:v>
      </x:c>
      <x:c r="I149" t="n">
        <x:v>150</x:v>
      </x:c>
      <x:c r="J149" t="str">
        <x:v>candidate cartridge</x:v>
      </x:c>
      <x:c r="K149" t="str">
        <x:v>separate public casualty gutter</x:v>
      </x:c>
      <x:c r="L149" t="str"/>
      <x:c r="M149" t="str">
        <x:v>OPEN</x:v>
      </x:c>
    </x:row>
    <x:row r="150">
      <x:c r="B150" t="str">
        <x:v>RFP-C2-DG4-B6</x:v>
      </x:c>
      <x:c r="C150" t="str">
        <x:v>RFP-C2</x:v>
      </x:c>
      <x:c r="D150" t="n">
        <x:v>4</x:v>
      </x:c>
      <x:c r="E150" t="n">
        <x:v>6</x:v>
      </x:c>
      <x:c r="F150" t="n">
        <x:v>5</x:v>
      </x:c>
      <x:c r="G150" t="n">
        <x:v>0.6</x:v>
      </x:c>
      <x:c r="H150" t="n">
        <x:v>3</x:v>
      </x:c>
      <x:c r="I150" t="n">
        <x:v>150</x:v>
      </x:c>
      <x:c r="J150" t="str">
        <x:v>candidate cartridge</x:v>
      </x:c>
      <x:c r="K150" t="str">
        <x:v>separate public casualty gutter</x:v>
      </x:c>
      <x:c r="L150" t="str"/>
      <x:c r="M150" t="str">
        <x:v>OPEN</x:v>
      </x:c>
    </x:row>
  </x:sheetData>
  <x:conditionalFormatting sqref="M7:M150">
    <x:cfRule type="containsText" dxfId="18" priority="1" operator="containsText" text="FAIL"/>
    <x:cfRule type="containsText" dxfId="19" priority="2" operator="containsText" text="BLOCKED"/>
    <x:cfRule type="containsText" dxfId="20" priority="3" operator="containsText" text="OPEN"/>
    <x:cfRule type="containsText" dxfId="21" priority="4" operator="containsText" text="GAP"/>
    <x:cfRule type="containsText" dxfId="22" priority="5" operator="containsText" text="PASS"/>
    <x:cfRule type="containsText" dxfId="23" priority="6" operator="containsText" text="INVALI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27" hidden="0" customWidth="1"/>
    <x:col min="4" max="4" width="21" hidden="0" customWidth="1"/>
    <x:col min="5" max="5" width="17" hidden="0" customWidth="1"/>
    <x:col min="6" max="6" width="23" hidden="0" customWidth="1"/>
    <x:col min="7" max="7" width="31" hidden="0" customWidth="1"/>
    <x:col min="8" max="8" width="35" hidden="0" customWidth="1"/>
    <x:col min="9" max="9" width="21" hidden="0" customWidth="1"/>
    <x:col min="10" max="10" width="14" hidden="0" customWidth="1"/>
  </x:cols>
  <x:sheetData>
    <x:row r="2">
      <x:c r="B2" s="1" t="str">
        <x:v>Separate normal, return, casualty and quarantine paths</x:v>
      </x:c>
    </x:row>
    <x:row r="3">
      <x:c r="B3" s="2" t="str">
        <x:v>The facility may rescue an event without concealing article failure.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Rig</x:v>
      </x:c>
      <x:c r="C6" s="7" t="str">
        <x:v>Path</x:v>
      </x:c>
      <x:c r="D6" s="7" t="str">
        <x:v>Capacity m3/min</x:v>
      </x:c>
      <x:c r="E6" s="7" t="str">
        <x:v>Pressure MPa</x:v>
      </x:c>
      <x:c r="F6" s="7" t="str">
        <x:v>Heat rejection MW</x:v>
      </x:c>
      <x:c r="G6" s="7" t="str">
        <x:v>Physical route</x:v>
      </x:c>
      <x:c r="H6" s="7" t="str">
        <x:v>Scoring meaning</x:v>
      </x:c>
      <x:c r="I6" s="7" t="str">
        <x:v>Accepted UTC</x:v>
      </x:c>
      <x:c r="J6" s="7" t="str">
        <x:v>State</x:v>
      </x:c>
    </x:row>
    <x:row r="7" ht="42" customHeight="1">
      <x:c r="B7" t="str">
        <x:v>RFP-A1</x:v>
      </x:c>
      <x:c r="C7" t="str">
        <x:v>normal supply</x:v>
      </x:c>
      <x:c r="D7" t="n">
        <x:v>3</x:v>
      </x:c>
      <x:c r="E7" t="n">
        <x:v>1.2</x:v>
      </x:c>
      <x:c r="F7" t="n">
        <x:v>0</x:v>
      </x:c>
      <x:c r="G7" s="11" t="str">
        <x:v>candidate path</x:v>
      </x:c>
      <x:c r="H7" s="11" t="str">
        <x:v>nominal evidence</x:v>
      </x:c>
      <x:c r="I7" t="str"/>
      <x:c r="J7" t="str">
        <x:v>OPEN</x:v>
      </x:c>
    </x:row>
    <x:row r="8" ht="42" customHeight="1">
      <x:c r="B8" t="str">
        <x:v>RFP-A1</x:v>
      </x:c>
      <x:c r="C8" t="str">
        <x:v>candidate return</x:v>
      </x:c>
      <x:c r="D8" t="n">
        <x:v>3</x:v>
      </x:c>
      <x:c r="E8" t="n">
        <x:v>0.6</x:v>
      </x:c>
      <x:c r="F8" t="n">
        <x:v>20</x:v>
      </x:c>
      <x:c r="G8" s="11" t="str">
        <x:v>candidate exchanger</x:v>
      </x:c>
      <x:c r="H8" s="11" t="str">
        <x:v>candidate performance</x:v>
      </x:c>
      <x:c r="I8" t="str"/>
      <x:c r="J8" t="str">
        <x:v>OPEN</x:v>
      </x:c>
    </x:row>
    <x:row r="9" ht="42" customHeight="1">
      <x:c r="B9" t="str">
        <x:v>RFP-A1</x:v>
      </x:c>
      <x:c r="C9" t="str">
        <x:v>public casualty capture</x:v>
      </x:c>
      <x:c r="D9" t="n">
        <x:v>4</x:v>
      </x:c>
      <x:c r="E9" t="n">
        <x:v>0.2</x:v>
      </x:c>
      <x:c r="F9" t="n">
        <x:v>0</x:v>
      </x:c>
      <x:c r="G9" s="11" t="str">
        <x:v>isolated 120 m3 vault</x:v>
      </x:c>
      <x:c r="H9" s="11" t="str">
        <x:v>safety intervention; no credit</x:v>
      </x:c>
      <x:c r="I9" t="str"/>
      <x:c r="J9" t="str">
        <x:v>OPEN</x:v>
      </x:c>
    </x:row>
    <x:row r="10" ht="42" customHeight="1">
      <x:c r="B10" t="str">
        <x:v>RFP-A1</x:v>
      </x:c>
      <x:c r="C10" t="str">
        <x:v>quarantine transfer</x:v>
      </x:c>
      <x:c r="D10" t="n">
        <x:v>1</x:v>
      </x:c>
      <x:c r="E10" t="n">
        <x:v>0.4</x:v>
      </x:c>
      <x:c r="F10" t="n">
        <x:v>0</x:v>
      </x:c>
      <x:c r="G10" s="11" t="str">
        <x:v>independent disposal train</x:v>
      </x:c>
      <x:c r="H10" s="11" t="str">
        <x:v>post-event custody</x:v>
      </x:c>
      <x:c r="I10" t="str"/>
      <x:c r="J10" t="str">
        <x:v>OPEN</x:v>
      </x:c>
    </x:row>
    <x:row r="11" ht="42" customHeight="1">
      <x:c r="B11" t="str">
        <x:v>RFP-A2</x:v>
      </x:c>
      <x:c r="C11" t="str">
        <x:v>normal supply</x:v>
      </x:c>
      <x:c r="D11" t="n">
        <x:v>3</x:v>
      </x:c>
      <x:c r="E11" t="n">
        <x:v>1.2</x:v>
      </x:c>
      <x:c r="F11" t="n">
        <x:v>0</x:v>
      </x:c>
      <x:c r="G11" s="11" t="str">
        <x:v>candidate path</x:v>
      </x:c>
      <x:c r="H11" s="11" t="str">
        <x:v>nominal evidence</x:v>
      </x:c>
      <x:c r="I11" t="str"/>
      <x:c r="J11" t="str">
        <x:v>OPEN</x:v>
      </x:c>
    </x:row>
    <x:row r="12" ht="42" customHeight="1">
      <x:c r="B12" t="str">
        <x:v>RFP-A2</x:v>
      </x:c>
      <x:c r="C12" t="str">
        <x:v>candidate return</x:v>
      </x:c>
      <x:c r="D12" t="n">
        <x:v>3</x:v>
      </x:c>
      <x:c r="E12" t="n">
        <x:v>0.6</x:v>
      </x:c>
      <x:c r="F12" t="n">
        <x:v>20</x:v>
      </x:c>
      <x:c r="G12" s="11" t="str">
        <x:v>candidate exchanger</x:v>
      </x:c>
      <x:c r="H12" s="11" t="str">
        <x:v>candidate performance</x:v>
      </x:c>
      <x:c r="I12" t="str"/>
      <x:c r="J12" t="str">
        <x:v>OPEN</x:v>
      </x:c>
    </x:row>
    <x:row r="13" ht="42" customHeight="1">
      <x:c r="B13" t="str">
        <x:v>RFP-A2</x:v>
      </x:c>
      <x:c r="C13" t="str">
        <x:v>public casualty capture</x:v>
      </x:c>
      <x:c r="D13" t="n">
        <x:v>4</x:v>
      </x:c>
      <x:c r="E13" t="n">
        <x:v>0.2</x:v>
      </x:c>
      <x:c r="F13" t="n">
        <x:v>0</x:v>
      </x:c>
      <x:c r="G13" s="11" t="str">
        <x:v>isolated 120 m3 vault</x:v>
      </x:c>
      <x:c r="H13" s="11" t="str">
        <x:v>safety intervention; no credit</x:v>
      </x:c>
      <x:c r="I13" t="str"/>
      <x:c r="J13" t="str">
        <x:v>OPEN</x:v>
      </x:c>
    </x:row>
    <x:row r="14" ht="42" customHeight="1">
      <x:c r="B14" t="str">
        <x:v>RFP-A2</x:v>
      </x:c>
      <x:c r="C14" t="str">
        <x:v>quarantine transfer</x:v>
      </x:c>
      <x:c r="D14" t="n">
        <x:v>1</x:v>
      </x:c>
      <x:c r="E14" t="n">
        <x:v>0.4</x:v>
      </x:c>
      <x:c r="F14" t="n">
        <x:v>0</x:v>
      </x:c>
      <x:c r="G14" s="11" t="str">
        <x:v>independent disposal train</x:v>
      </x:c>
      <x:c r="H14" s="11" t="str">
        <x:v>post-event custody</x:v>
      </x:c>
      <x:c r="I14" t="str"/>
      <x:c r="J14" t="str">
        <x:v>OPEN</x:v>
      </x:c>
    </x:row>
    <x:row r="15" ht="42" customHeight="1">
      <x:c r="B15" t="str">
        <x:v>RFP-B1</x:v>
      </x:c>
      <x:c r="C15" t="str">
        <x:v>normal supply</x:v>
      </x:c>
      <x:c r="D15" t="n">
        <x:v>3</x:v>
      </x:c>
      <x:c r="E15" t="n">
        <x:v>1.2</x:v>
      </x:c>
      <x:c r="F15" t="n">
        <x:v>0</x:v>
      </x:c>
      <x:c r="G15" s="11" t="str">
        <x:v>candidate path</x:v>
      </x:c>
      <x:c r="H15" s="11" t="str">
        <x:v>nominal evidence</x:v>
      </x:c>
      <x:c r="I15" t="str"/>
      <x:c r="J15" t="str">
        <x:v>OPEN</x:v>
      </x:c>
    </x:row>
    <x:row r="16" ht="42" customHeight="1">
      <x:c r="B16" t="str">
        <x:v>RFP-B1</x:v>
      </x:c>
      <x:c r="C16" t="str">
        <x:v>candidate return</x:v>
      </x:c>
      <x:c r="D16" t="n">
        <x:v>3</x:v>
      </x:c>
      <x:c r="E16" t="n">
        <x:v>0.6</x:v>
      </x:c>
      <x:c r="F16" t="n">
        <x:v>20</x:v>
      </x:c>
      <x:c r="G16" s="11" t="str">
        <x:v>candidate exchanger</x:v>
      </x:c>
      <x:c r="H16" s="11" t="str">
        <x:v>candidate performance</x:v>
      </x:c>
      <x:c r="I16" t="str"/>
      <x:c r="J16" t="str">
        <x:v>OPEN</x:v>
      </x:c>
    </x:row>
    <x:row r="17" ht="42" customHeight="1">
      <x:c r="B17" t="str">
        <x:v>RFP-B1</x:v>
      </x:c>
      <x:c r="C17" t="str">
        <x:v>public casualty capture</x:v>
      </x:c>
      <x:c r="D17" t="n">
        <x:v>4</x:v>
      </x:c>
      <x:c r="E17" t="n">
        <x:v>0.2</x:v>
      </x:c>
      <x:c r="F17" t="n">
        <x:v>0</x:v>
      </x:c>
      <x:c r="G17" s="11" t="str">
        <x:v>isolated 120 m3 vault</x:v>
      </x:c>
      <x:c r="H17" s="11" t="str">
        <x:v>safety intervention; no credit</x:v>
      </x:c>
      <x:c r="I17" t="str"/>
      <x:c r="J17" t="str">
        <x:v>OPEN</x:v>
      </x:c>
    </x:row>
    <x:row r="18" ht="42" customHeight="1">
      <x:c r="B18" t="str">
        <x:v>RFP-B1</x:v>
      </x:c>
      <x:c r="C18" t="str">
        <x:v>quarantine transfer</x:v>
      </x:c>
      <x:c r="D18" t="n">
        <x:v>1</x:v>
      </x:c>
      <x:c r="E18" t="n">
        <x:v>0.4</x:v>
      </x:c>
      <x:c r="F18" t="n">
        <x:v>0</x:v>
      </x:c>
      <x:c r="G18" s="11" t="str">
        <x:v>independent disposal train</x:v>
      </x:c>
      <x:c r="H18" s="11" t="str">
        <x:v>post-event custody</x:v>
      </x:c>
      <x:c r="I18" t="str"/>
      <x:c r="J18" t="str">
        <x:v>OPEN</x:v>
      </x:c>
    </x:row>
    <x:row r="19" ht="42" customHeight="1">
      <x:c r="B19" t="str">
        <x:v>RFP-B2</x:v>
      </x:c>
      <x:c r="C19" t="str">
        <x:v>normal supply</x:v>
      </x:c>
      <x:c r="D19" t="n">
        <x:v>3</x:v>
      </x:c>
      <x:c r="E19" t="n">
        <x:v>1.2</x:v>
      </x:c>
      <x:c r="F19" t="n">
        <x:v>0</x:v>
      </x:c>
      <x:c r="G19" s="11" t="str">
        <x:v>candidate path</x:v>
      </x:c>
      <x:c r="H19" s="11" t="str">
        <x:v>nominal evidence</x:v>
      </x:c>
      <x:c r="I19" t="str"/>
      <x:c r="J19" t="str">
        <x:v>OPEN</x:v>
      </x:c>
    </x:row>
    <x:row r="20" ht="42" customHeight="1">
      <x:c r="B20" t="str">
        <x:v>RFP-B2</x:v>
      </x:c>
      <x:c r="C20" t="str">
        <x:v>candidate return</x:v>
      </x:c>
      <x:c r="D20" t="n">
        <x:v>3</x:v>
      </x:c>
      <x:c r="E20" t="n">
        <x:v>0.6</x:v>
      </x:c>
      <x:c r="F20" t="n">
        <x:v>20</x:v>
      </x:c>
      <x:c r="G20" s="11" t="str">
        <x:v>candidate exchanger</x:v>
      </x:c>
      <x:c r="H20" s="11" t="str">
        <x:v>candidate performance</x:v>
      </x:c>
      <x:c r="I20" t="str"/>
      <x:c r="J20" t="str">
        <x:v>OPEN</x:v>
      </x:c>
    </x:row>
    <x:row r="21" ht="42" customHeight="1">
      <x:c r="B21" t="str">
        <x:v>RFP-B2</x:v>
      </x:c>
      <x:c r="C21" t="str">
        <x:v>public casualty capture</x:v>
      </x:c>
      <x:c r="D21" t="n">
        <x:v>4</x:v>
      </x:c>
      <x:c r="E21" t="n">
        <x:v>0.2</x:v>
      </x:c>
      <x:c r="F21" t="n">
        <x:v>0</x:v>
      </x:c>
      <x:c r="G21" s="11" t="str">
        <x:v>isolated 120 m3 vault</x:v>
      </x:c>
      <x:c r="H21" s="11" t="str">
        <x:v>safety intervention; no credit</x:v>
      </x:c>
      <x:c r="I21" t="str"/>
      <x:c r="J21" t="str">
        <x:v>OPEN</x:v>
      </x:c>
    </x:row>
    <x:row r="22" ht="42" customHeight="1">
      <x:c r="B22" t="str">
        <x:v>RFP-B2</x:v>
      </x:c>
      <x:c r="C22" t="str">
        <x:v>quarantine transfer</x:v>
      </x:c>
      <x:c r="D22" t="n">
        <x:v>1</x:v>
      </x:c>
      <x:c r="E22" t="n">
        <x:v>0.4</x:v>
      </x:c>
      <x:c r="F22" t="n">
        <x:v>0</x:v>
      </x:c>
      <x:c r="G22" s="11" t="str">
        <x:v>independent disposal train</x:v>
      </x:c>
      <x:c r="H22" s="11" t="str">
        <x:v>post-event custody</x:v>
      </x:c>
      <x:c r="I22" t="str"/>
      <x:c r="J22" t="str">
        <x:v>OPEN</x:v>
      </x:c>
    </x:row>
    <x:row r="23" ht="42" customHeight="1">
      <x:c r="B23" t="str">
        <x:v>RFP-C1</x:v>
      </x:c>
      <x:c r="C23" t="str">
        <x:v>normal supply</x:v>
      </x:c>
      <x:c r="D23" t="n">
        <x:v>3</x:v>
      </x:c>
      <x:c r="E23" t="n">
        <x:v>1.2</x:v>
      </x:c>
      <x:c r="F23" t="n">
        <x:v>0</x:v>
      </x:c>
      <x:c r="G23" s="11" t="str">
        <x:v>candidate path</x:v>
      </x:c>
      <x:c r="H23" s="11" t="str">
        <x:v>nominal evidence</x:v>
      </x:c>
      <x:c r="I23" t="str"/>
      <x:c r="J23" t="str">
        <x:v>OPEN</x:v>
      </x:c>
    </x:row>
    <x:row r="24" ht="42" customHeight="1">
      <x:c r="B24" t="str">
        <x:v>RFP-C1</x:v>
      </x:c>
      <x:c r="C24" t="str">
        <x:v>candidate return</x:v>
      </x:c>
      <x:c r="D24" t="n">
        <x:v>3</x:v>
      </x:c>
      <x:c r="E24" t="n">
        <x:v>0.6</x:v>
      </x:c>
      <x:c r="F24" t="n">
        <x:v>20</x:v>
      </x:c>
      <x:c r="G24" s="11" t="str">
        <x:v>candidate exchanger</x:v>
      </x:c>
      <x:c r="H24" s="11" t="str">
        <x:v>candidate performance</x:v>
      </x:c>
      <x:c r="I24" t="str"/>
      <x:c r="J24" t="str">
        <x:v>OPEN</x:v>
      </x:c>
    </x:row>
    <x:row r="25" ht="42" customHeight="1">
      <x:c r="B25" t="str">
        <x:v>RFP-C1</x:v>
      </x:c>
      <x:c r="C25" t="str">
        <x:v>public casualty capture</x:v>
      </x:c>
      <x:c r="D25" t="n">
        <x:v>4</x:v>
      </x:c>
      <x:c r="E25" t="n">
        <x:v>0.2</x:v>
      </x:c>
      <x:c r="F25" t="n">
        <x:v>0</x:v>
      </x:c>
      <x:c r="G25" s="11" t="str">
        <x:v>isolated 120 m3 vault</x:v>
      </x:c>
      <x:c r="H25" s="11" t="str">
        <x:v>safety intervention; no credit</x:v>
      </x:c>
      <x:c r="I25" t="str"/>
      <x:c r="J25" t="str">
        <x:v>OPEN</x:v>
      </x:c>
    </x:row>
    <x:row r="26" ht="42" customHeight="1">
      <x:c r="B26" t="str">
        <x:v>RFP-C1</x:v>
      </x:c>
      <x:c r="C26" t="str">
        <x:v>quarantine transfer</x:v>
      </x:c>
      <x:c r="D26" t="n">
        <x:v>1</x:v>
      </x:c>
      <x:c r="E26" t="n">
        <x:v>0.4</x:v>
      </x:c>
      <x:c r="F26" t="n">
        <x:v>0</x:v>
      </x:c>
      <x:c r="G26" s="11" t="str">
        <x:v>independent disposal train</x:v>
      </x:c>
      <x:c r="H26" s="11" t="str">
        <x:v>post-event custody</x:v>
      </x:c>
      <x:c r="I26" t="str"/>
      <x:c r="J26" t="str">
        <x:v>OPEN</x:v>
      </x:c>
    </x:row>
    <x:row r="27" ht="42" customHeight="1">
      <x:c r="B27" t="str">
        <x:v>RFP-C2</x:v>
      </x:c>
      <x:c r="C27" t="str">
        <x:v>normal supply</x:v>
      </x:c>
      <x:c r="D27" t="n">
        <x:v>3</x:v>
      </x:c>
      <x:c r="E27" t="n">
        <x:v>1.2</x:v>
      </x:c>
      <x:c r="F27" t="n">
        <x:v>0</x:v>
      </x:c>
      <x:c r="G27" s="11" t="str">
        <x:v>candidate path</x:v>
      </x:c>
      <x:c r="H27" s="11" t="str">
        <x:v>nominal evidence</x:v>
      </x:c>
      <x:c r="I27" t="str"/>
      <x:c r="J27" t="str">
        <x:v>OPEN</x:v>
      </x:c>
    </x:row>
    <x:row r="28" ht="42" customHeight="1">
      <x:c r="B28" t="str">
        <x:v>RFP-C2</x:v>
      </x:c>
      <x:c r="C28" t="str">
        <x:v>candidate return</x:v>
      </x:c>
      <x:c r="D28" t="n">
        <x:v>3</x:v>
      </x:c>
      <x:c r="E28" t="n">
        <x:v>0.6</x:v>
      </x:c>
      <x:c r="F28" t="n">
        <x:v>20</x:v>
      </x:c>
      <x:c r="G28" s="11" t="str">
        <x:v>candidate exchanger</x:v>
      </x:c>
      <x:c r="H28" s="11" t="str">
        <x:v>candidate performance</x:v>
      </x:c>
      <x:c r="I28" t="str"/>
      <x:c r="J28" t="str">
        <x:v>OPEN</x:v>
      </x:c>
    </x:row>
    <x:row r="29" ht="42" customHeight="1">
      <x:c r="B29" t="str">
        <x:v>RFP-C2</x:v>
      </x:c>
      <x:c r="C29" t="str">
        <x:v>public casualty capture</x:v>
      </x:c>
      <x:c r="D29" t="n">
        <x:v>4</x:v>
      </x:c>
      <x:c r="E29" t="n">
        <x:v>0.2</x:v>
      </x:c>
      <x:c r="F29" t="n">
        <x:v>0</x:v>
      </x:c>
      <x:c r="G29" s="11" t="str">
        <x:v>isolated 120 m3 vault</x:v>
      </x:c>
      <x:c r="H29" s="11" t="str">
        <x:v>safety intervention; no credit</x:v>
      </x:c>
      <x:c r="I29" t="str"/>
      <x:c r="J29" t="str">
        <x:v>OPEN</x:v>
      </x:c>
    </x:row>
    <x:row r="30" ht="42" customHeight="1">
      <x:c r="B30" t="str">
        <x:v>RFP-C2</x:v>
      </x:c>
      <x:c r="C30" t="str">
        <x:v>quarantine transfer</x:v>
      </x:c>
      <x:c r="D30" t="n">
        <x:v>1</x:v>
      </x:c>
      <x:c r="E30" t="n">
        <x:v>0.4</x:v>
      </x:c>
      <x:c r="F30" t="n">
        <x:v>0</x:v>
      </x:c>
      <x:c r="G30" s="11" t="str">
        <x:v>independent disposal train</x:v>
      </x:c>
      <x:c r="H30" s="11" t="str">
        <x:v>post-event custody</x:v>
      </x:c>
      <x:c r="I30" t="str"/>
      <x:c r="J30" t="str">
        <x:v>OPEN</x:v>
      </x:c>
    </x:row>
  </x:sheetData>
  <x:conditionalFormatting sqref="J7:J30">
    <x:cfRule type="containsText" dxfId="24" priority="1" operator="containsText" text="FAIL"/>
    <x:cfRule type="containsText" dxfId="25" priority="2" operator="containsText" text="BLOCKED"/>
    <x:cfRule type="containsText" dxfId="26" priority="3" operator="containsText" text="OPEN"/>
    <x:cfRule type="containsText" dxfId="27" priority="4" operator="containsText" text="GAP"/>
    <x:cfRule type="containsText" dxfId="28" priority="5" operator="containsText" text="PASS"/>
    <x:cfRule type="containsText" dxfId="29" priority="6" operator="containsText" text="INVALI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5" hidden="0" customWidth="1"/>
    <x:col min="4" max="4" width="25" hidden="0" customWidth="1"/>
    <x:col min="5" max="5" width="18" hidden="0" customWidth="1"/>
    <x:col min="6" max="6" width="70" hidden="0" customWidth="1"/>
  </x:cols>
  <x:sheetData>
    <x:row r="2">
      <x:c r="B2" s="1" t="str">
        <x:v>Heat, ignition and wind boundary</x:v>
      </x:c>
    </x:row>
    <x:row r="3">
      <x:c r="B3" s="2" t="str">
        <x:v>The public field imposes a measured challenge; the candidate owns protection and intervention.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Object</x:v>
      </x:c>
      <x:c r="C6" s="7" t="str">
        <x:v>Element</x:v>
      </x:c>
      <x:c r="D6" s="7" t="str">
        <x:v>Design value</x:v>
      </x:c>
      <x:c r="E6" s="7" t="str">
        <x:v>Unit</x:v>
      </x:c>
      <x:c r="F6" s="7" t="str">
        <x:v>Purpose</x:v>
      </x:c>
    </x:row>
    <x:row r="7" ht="42" customHeight="1">
      <x:c r="B7" t="str">
        <x:v>TB-01</x:v>
      </x:c>
      <x:c r="C7" t="str">
        <x:v>configurable pool boundary</x:v>
      </x:c>
      <x:c r="D7" t="str">
        <x:v>5 / 10 / 25 / 50 / 100</x:v>
      </x:c>
      <x:c r="E7" t="str">
        <x:v>m2</x:v>
      </x:c>
      <x:c r="F7" s="11" t="str">
        <x:v>bounded pool geometry</x:v>
      </x:c>
    </x:row>
    <x:row r="8" ht="42" customHeight="1">
      <x:c r="B8" t="str">
        <x:v>TB-02</x:v>
      </x:c>
      <x:c r="C8" t="str">
        <x:v>radiant source field</x:v>
      </x:c>
      <x:c r="D8" t="n">
        <x:v>72</x:v>
      </x:c>
      <x:c r="E8" t="str">
        <x:v>MW thermal</x:v>
      </x:c>
      <x:c r="F8" s="11" t="str">
        <x:v>25 m2 source plus margin and spatial shaping</x:v>
      </x:c>
    </x:row>
    <x:row r="9" ht="42" customHeight="1">
      <x:c r="B9" t="str">
        <x:v>TB-03</x:v>
      </x:c>
      <x:c r="C9" t="str">
        <x:v>zoned emitters</x:v>
      </x:c>
      <x:c r="D9" t="n">
        <x:v>24</x:v>
      </x:c>
      <x:c r="E9" t="str">
        <x:v>zones/rig</x:v>
      </x:c>
      <x:c r="F9" s="11" t="str">
        <x:v>localized and asymmetric radiant histories</x:v>
      </x:c>
    </x:row>
    <x:row r="10" ht="42" customHeight="1">
      <x:c r="B10" t="str">
        <x:v>TB-04</x:v>
      </x:c>
      <x:c r="C10" t="str">
        <x:v>wind field</x:v>
      </x:c>
      <x:c r="D10" t="n">
        <x:v>1.5</x:v>
      </x:c>
      <x:c r="E10" t="str">
        <x:v>kPa</x:v>
      </x:c>
      <x:c r="F10" s="11" t="str">
        <x:v>A07 challenge and plume response</x:v>
      </x:c>
    </x:row>
    <x:row r="11" ht="42" customHeight="1">
      <x:c r="B11" t="str">
        <x:v>TB-05</x:v>
      </x:c>
      <x:c r="C11" t="str">
        <x:v>candidate shielding datum</x:v>
      </x:c>
      <x:c r="D11" t="n">
        <x:v>16</x:v>
      </x:c>
      <x:c r="E11" t="str">
        <x:v>planes/rig</x:v>
      </x:c>
      <x:c r="F11" s="11" t="str">
        <x:v>shield position and heat-flux lineage</x:v>
      </x:c>
    </x:row>
    <x:row r="12" ht="42" customHeight="1">
      <x:c r="B12" t="str">
        <x:v>TB-06</x:v>
      </x:c>
      <x:c r="C12" t="str">
        <x:v>protected instrument galleries</x:v>
      </x:c>
      <x:c r="D12" t="n">
        <x:v>4</x:v>
      </x:c>
      <x:c r="E12" t="str">
        <x:v>galleries/rig</x:v>
      </x:c>
      <x:c r="F12" s="11" t="str">
        <x:v>survive candidate and casualty states</x:v>
      </x:c>
    </x:row>
    <x:row r="13" ht="42" customHeight="1">
      <x:c r="B13" t="str">
        <x:v>TB-07</x:v>
      </x:c>
      <x:c r="C13" t="str">
        <x:v>remote ignition</x:v>
      </x:c>
      <x:c r="D13" t="n">
        <x:v>4</x:v>
      </x:c>
      <x:c r="E13" t="str">
        <x:v>unlike modes</x:v>
      </x:c>
      <x:c r="F13" s="11" t="str">
        <x:v>known ignition without human exposure</x:v>
      </x:c>
    </x:row>
    <x:row r="14" ht="42" customHeight="1">
      <x:c r="B14" t="str">
        <x:v>TB-08</x:v>
      </x:c>
      <x:c r="C14" t="str">
        <x:v>quench boundary</x:v>
      </x:c>
      <x:c r="D14" t="n">
        <x:v>2</x:v>
      </x:c>
      <x:c r="E14" t="str">
        <x:v>independent paths</x:v>
      </x:c>
      <x:c r="F14" s="11" t="str">
        <x:v>public safeing separate from candidate suppression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1" hidden="0" customWidth="1"/>
    <x:col min="4" max="4" width="37" hidden="0" customWidth="1"/>
    <x:col min="5" max="5" width="24" hidden="0" customWidth="1"/>
    <x:col min="6" max="6" width="59" hidden="0" customWidth="1"/>
  </x:cols>
  <x:sheetData>
    <x:row r="2">
      <x:c r="B2" s="1" t="str">
        <x:v>Nested environmental custody</x:v>
      </x:c>
    </x:row>
    <x:row r="3">
      <x:c r="B3" s="2" t="str">
        <x:v>Nominal candidate performance ends before public casualty systems begin.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Boundary</x:v>
      </x:c>
      <x:c r="C6" s="7" t="str">
        <x:v>Inventory</x:v>
      </x:c>
      <x:c r="D6" s="7" t="str">
        <x:v>Physical object</x:v>
      </x:c>
      <x:c r="E6" s="7" t="str">
        <x:v>Owner</x:v>
      </x:c>
      <x:c r="F6" s="7" t="str">
        <x:v>Decision rule</x:v>
      </x:c>
    </x:row>
    <x:row r="7" ht="45" customHeight="1">
      <x:c r="B7" t="str">
        <x:v>EP-01</x:v>
      </x:c>
      <x:c r="C7" t="str">
        <x:v>candidate source route</x:v>
      </x:c>
      <x:c r="D7" s="11" t="str">
        <x:v>inside article boundary</x:v>
      </x:c>
      <x:c r="E7" t="str">
        <x:v>candidate-owned</x:v>
      </x:c>
      <x:c r="F7" s="11" t="str">
        <x:v>no credit without closed mass ledger</x:v>
      </x:c>
    </x:row>
    <x:row r="8" ht="45" customHeight="1">
      <x:c r="B8" t="str">
        <x:v>EP-02</x:v>
      </x:c>
      <x:c r="C8" t="str">
        <x:v>candidate water route</x:v>
      </x:c>
      <x:c r="D8" s="11" t="str">
        <x:v>inside article boundary</x:v>
      </x:c>
      <x:c r="E8" t="str">
        <x:v>candidate-owned</x:v>
      </x:c>
      <x:c r="F8" s="11" t="str">
        <x:v>no credit if source and water ancestry collapse</x:v>
      </x:c>
    </x:row>
    <x:row r="9" ht="45" customHeight="1">
      <x:c r="B9" t="str">
        <x:v>EP-03</x:v>
      </x:c>
      <x:c r="C9" t="str">
        <x:v>public casualty source</x:v>
      </x:c>
      <x:c r="D9" s="11" t="str">
        <x:v>50 m3 isolated tank</x:v>
      </x:c>
      <x:c r="E9" t="str">
        <x:v>public safety</x:v>
      </x:c>
      <x:c r="F9" s="11" t="str">
        <x:v>use recorded as article failure fact</x:v>
      </x:c>
    </x:row>
    <x:row r="10" ht="45" customHeight="1">
      <x:c r="B10" t="str">
        <x:v>EP-04</x:v>
      </x:c>
      <x:c r="C10" t="str">
        <x:v>public casualty water</x:v>
      </x:c>
      <x:c r="D10" s="11" t="str">
        <x:v>120 m3 isolated vault</x:v>
      </x:c>
      <x:c r="E10" t="str">
        <x:v>public safety</x:v>
      </x:c>
      <x:c r="F10" s="11" t="str">
        <x:v>use recorded as article failure fact</x:v>
      </x:c>
    </x:row>
    <x:row r="11" ht="45" customHeight="1">
      <x:c r="B11" t="str">
        <x:v>EP-05</x:v>
      </x:c>
      <x:c r="C11" t="str">
        <x:v>secondary field basin</x:v>
      </x:c>
      <x:c r="D11" s="11" t="str">
        <x:v>entire 600 m2 field</x:v>
      </x:c>
      <x:c r="E11" t="str">
        <x:v>public safety</x:v>
      </x:c>
      <x:c r="F11" s="11" t="str">
        <x:v>dry and isolated during nominal work</x:v>
      </x:c>
    </x:row>
    <x:row r="12" ht="45" customHeight="1">
      <x:c r="B12" t="str">
        <x:v>EP-06</x:v>
      </x:c>
      <x:c r="C12" t="str">
        <x:v>tertiary site cell</x:v>
      </x:c>
      <x:c r="D12" s="11" t="str">
        <x:v>rig occupied zone</x:v>
      </x:c>
      <x:c r="E12" t="str">
        <x:v>site safety</x:v>
      </x:c>
      <x:c r="F12" s="11" t="str">
        <x:v>last public liquid boundary</x:v>
      </x:c>
    </x:row>
    <x:row r="13" ht="45" customHeight="1">
      <x:c r="B13" t="str">
        <x:v>EP-07</x:v>
      </x:c>
      <x:c r="C13" t="str">
        <x:v>air and combustion custody</x:v>
      </x:c>
      <x:c r="D13" s="11" t="str">
        <x:v>plume, gas and products</x:v>
      </x:c>
      <x:c r="E13" t="str">
        <x:v>joint evidence</x:v>
      </x:c>
      <x:c r="F13" s="11" t="str">
        <x:v>mass and chemistry reconstruction</x:v>
      </x:c>
    </x:row>
    <x:row r="14" ht="45" customHeight="1">
      <x:c r="B14" t="str">
        <x:v>EP-08</x:v>
      </x:c>
      <x:c r="C14" t="str">
        <x:v>solid and sorbent custody</x:v>
      </x:c>
      <x:c r="D14" s="11" t="str">
        <x:v>debris, filters and protective media</x:v>
      </x:c>
      <x:c r="E14" t="str">
        <x:v>joint evidence</x:v>
      </x:c>
      <x:c r="F14" s="11" t="str">
        <x:v>serialized disposition</x:v>
      </x:c>
    </x:row>
    <x:row r="15" ht="45" customHeight="1">
      <x:c r="B15" t="str">
        <x:v>EP-09</x:v>
      </x:c>
      <x:c r="C15" t="str">
        <x:v>controlled discharge</x:v>
      </x:c>
      <x:c r="D15" s="11" t="str">
        <x:v>no default discharge</x:v>
      </x:c>
      <x:c r="E15" t="str">
        <x:v>environmental authority</x:v>
      </x:c>
      <x:c r="F15" s="11" t="str">
        <x:v>sampling and independent release</x:v>
      </x:c>
    </x:row>
    <x:row r="16" ht="45" customHeight="1">
      <x:c r="B16" t="str">
        <x:v>EP-10</x:v>
      </x:c>
      <x:c r="C16" t="str">
        <x:v>soil and groundwater witness</x:v>
      </x:c>
      <x:c r="D16" s="11" t="str">
        <x:v>upgradient and downgradient arrays</x:v>
      </x:c>
      <x:c r="E16" t="str">
        <x:v>public evidence</x:v>
      </x:c>
      <x:c r="F16" s="11" t="str">
        <x:v>detect migration beyond designed paths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3" hidden="0" customWidth="1"/>
    <x:col min="4" max="4" width="10" hidden="0" customWidth="1"/>
    <x:col min="5" max="5" width="19" hidden="0" customWidth="1"/>
    <x:col min="6" max="6" width="15" hidden="0" customWidth="1"/>
    <x:col min="7" max="7" width="43" hidden="0" customWidth="1"/>
    <x:col min="8" max="8" width="29" hidden="0" customWidth="1"/>
    <x:col min="9" max="9" width="21" hidden="0" customWidth="1"/>
    <x:col min="10" max="10" width="14" hidden="0" customWidth="1"/>
  </x:cols>
  <x:sheetData>
    <x:row r="2">
      <x:c r="B2" s="1" t="str">
        <x:v>Eighteen public robot corridors</x:v>
      </x:c>
    </x:row>
    <x:row r="3">
      <x:c r="B3" s="2" t="str">
        <x:v>Geometry and witness localization are public; candidate autonomy, tools and mission logic remain unlike.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Corridor</x:v>
      </x:c>
      <x:c r="C6" s="7" t="str">
        <x:v>Rig</x:v>
      </x:c>
      <x:c r="D6" s="7" t="str">
        <x:v>No.</x:v>
      </x:c>
      <x:c r="E6" s="7" t="str">
        <x:v>Clear width m</x:v>
      </x:c>
      <x:c r="F6" s="7" t="str">
        <x:v>Length m</x:v>
      </x:c>
      <x:c r="G6" s="7" t="str">
        <x:v>Role</x:v>
      </x:c>
      <x:c r="H6" s="7" t="str">
        <x:v>Independent witness beacons</x:v>
      </x:c>
      <x:c r="I6" s="7" t="str">
        <x:v>Accepted UTC</x:v>
      </x:c>
      <x:c r="J6" s="7" t="str">
        <x:v>State</x:v>
      </x:c>
    </x:row>
    <x:row r="7" ht="42" customHeight="1">
      <x:c r="B7" t="str">
        <x:v>RFP-A1-RC1</x:v>
      </x:c>
      <x:c r="C7" t="str">
        <x:v>RFP-A1</x:v>
      </x:c>
      <x:c r="D7" t="n">
        <x:v>1</x:v>
      </x:c>
      <x:c r="E7" t="n">
        <x:v>4</x:v>
      </x:c>
      <x:c r="F7" t="n">
        <x:v>60</x:v>
      </x:c>
      <x:c r="G7" s="11" t="str">
        <x:v>hot approach and extraction</x:v>
      </x:c>
      <x:c r="H7" t="n">
        <x:v>1</x:v>
      </x:c>
      <x:c r="I7" t="str"/>
      <x:c r="J7" t="str">
        <x:v>OPEN</x:v>
      </x:c>
    </x:row>
    <x:row r="8" ht="42" customHeight="1">
      <x:c r="B8" t="str">
        <x:v>RFP-A1-RC2</x:v>
      </x:c>
      <x:c r="C8" t="str">
        <x:v>RFP-A1</x:v>
      </x:c>
      <x:c r="D8" t="n">
        <x:v>2</x:v>
      </x:c>
      <x:c r="E8" t="n">
        <x:v>4</x:v>
      </x:c>
      <x:c r="F8" t="n">
        <x:v>60</x:v>
      </x:c>
      <x:c r="G8" s="11" t="str">
        <x:v>candidate service and drain access</x:v>
      </x:c>
      <x:c r="H8" t="n">
        <x:v>1</x:v>
      </x:c>
      <x:c r="I8" t="str"/>
      <x:c r="J8" t="str">
        <x:v>OPEN</x:v>
      </x:c>
    </x:row>
    <x:row r="9" ht="42" customHeight="1">
      <x:c r="B9" t="str">
        <x:v>RFP-A1-RC3</x:v>
      </x:c>
      <x:c r="C9" t="str">
        <x:v>RFP-A1</x:v>
      </x:c>
      <x:c r="D9" t="n">
        <x:v>3</x:v>
      </x:c>
      <x:c r="E9" t="n">
        <x:v>4</x:v>
      </x:c>
      <x:c r="F9" t="n">
        <x:v>60</x:v>
      </x:c>
      <x:c r="G9" s="11" t="str">
        <x:v>clean return and decontamination</x:v>
      </x:c>
      <x:c r="H9" t="n">
        <x:v>1</x:v>
      </x:c>
      <x:c r="I9" t="str"/>
      <x:c r="J9" t="str">
        <x:v>OPEN</x:v>
      </x:c>
    </x:row>
    <x:row r="10" ht="42" customHeight="1">
      <x:c r="B10" t="str">
        <x:v>RFP-A2-RC1</x:v>
      </x:c>
      <x:c r="C10" t="str">
        <x:v>RFP-A2</x:v>
      </x:c>
      <x:c r="D10" t="n">
        <x:v>1</x:v>
      </x:c>
      <x:c r="E10" t="n">
        <x:v>4</x:v>
      </x:c>
      <x:c r="F10" t="n">
        <x:v>60</x:v>
      </x:c>
      <x:c r="G10" s="11" t="str">
        <x:v>hot approach and extraction</x:v>
      </x:c>
      <x:c r="H10" t="n">
        <x:v>1</x:v>
      </x:c>
      <x:c r="I10" t="str"/>
      <x:c r="J10" t="str">
        <x:v>OPEN</x:v>
      </x:c>
    </x:row>
    <x:row r="11" ht="42" customHeight="1">
      <x:c r="B11" t="str">
        <x:v>RFP-A2-RC2</x:v>
      </x:c>
      <x:c r="C11" t="str">
        <x:v>RFP-A2</x:v>
      </x:c>
      <x:c r="D11" t="n">
        <x:v>2</x:v>
      </x:c>
      <x:c r="E11" t="n">
        <x:v>4</x:v>
      </x:c>
      <x:c r="F11" t="n">
        <x:v>60</x:v>
      </x:c>
      <x:c r="G11" s="11" t="str">
        <x:v>candidate service and drain access</x:v>
      </x:c>
      <x:c r="H11" t="n">
        <x:v>1</x:v>
      </x:c>
      <x:c r="I11" t="str"/>
      <x:c r="J11" t="str">
        <x:v>OPEN</x:v>
      </x:c>
    </x:row>
    <x:row r="12" ht="42" customHeight="1">
      <x:c r="B12" t="str">
        <x:v>RFP-A2-RC3</x:v>
      </x:c>
      <x:c r="C12" t="str">
        <x:v>RFP-A2</x:v>
      </x:c>
      <x:c r="D12" t="n">
        <x:v>3</x:v>
      </x:c>
      <x:c r="E12" t="n">
        <x:v>4</x:v>
      </x:c>
      <x:c r="F12" t="n">
        <x:v>60</x:v>
      </x:c>
      <x:c r="G12" s="11" t="str">
        <x:v>clean return and decontamination</x:v>
      </x:c>
      <x:c r="H12" t="n">
        <x:v>1</x:v>
      </x:c>
      <x:c r="I12" t="str"/>
      <x:c r="J12" t="str">
        <x:v>OPEN</x:v>
      </x:c>
    </x:row>
    <x:row r="13" ht="42" customHeight="1">
      <x:c r="B13" t="str">
        <x:v>RFP-B1-RC1</x:v>
      </x:c>
      <x:c r="C13" t="str">
        <x:v>RFP-B1</x:v>
      </x:c>
      <x:c r="D13" t="n">
        <x:v>1</x:v>
      </x:c>
      <x:c r="E13" t="n">
        <x:v>4</x:v>
      </x:c>
      <x:c r="F13" t="n">
        <x:v>60</x:v>
      </x:c>
      <x:c r="G13" s="11" t="str">
        <x:v>hot approach and extraction</x:v>
      </x:c>
      <x:c r="H13" t="n">
        <x:v>1</x:v>
      </x:c>
      <x:c r="I13" t="str"/>
      <x:c r="J13" t="str">
        <x:v>OPEN</x:v>
      </x:c>
    </x:row>
    <x:row r="14" ht="42" customHeight="1">
      <x:c r="B14" t="str">
        <x:v>RFP-B1-RC2</x:v>
      </x:c>
      <x:c r="C14" t="str">
        <x:v>RFP-B1</x:v>
      </x:c>
      <x:c r="D14" t="n">
        <x:v>2</x:v>
      </x:c>
      <x:c r="E14" t="n">
        <x:v>4</x:v>
      </x:c>
      <x:c r="F14" t="n">
        <x:v>60</x:v>
      </x:c>
      <x:c r="G14" s="11" t="str">
        <x:v>candidate service and drain access</x:v>
      </x:c>
      <x:c r="H14" t="n">
        <x:v>1</x:v>
      </x:c>
      <x:c r="I14" t="str"/>
      <x:c r="J14" t="str">
        <x:v>OPEN</x:v>
      </x:c>
    </x:row>
    <x:row r="15" ht="42" customHeight="1">
      <x:c r="B15" t="str">
        <x:v>RFP-B1-RC3</x:v>
      </x:c>
      <x:c r="C15" t="str">
        <x:v>RFP-B1</x:v>
      </x:c>
      <x:c r="D15" t="n">
        <x:v>3</x:v>
      </x:c>
      <x:c r="E15" t="n">
        <x:v>4</x:v>
      </x:c>
      <x:c r="F15" t="n">
        <x:v>60</x:v>
      </x:c>
      <x:c r="G15" s="11" t="str">
        <x:v>clean return and decontamination</x:v>
      </x:c>
      <x:c r="H15" t="n">
        <x:v>1</x:v>
      </x:c>
      <x:c r="I15" t="str"/>
      <x:c r="J15" t="str">
        <x:v>OPEN</x:v>
      </x:c>
    </x:row>
    <x:row r="16" ht="42" customHeight="1">
      <x:c r="B16" t="str">
        <x:v>RFP-B2-RC1</x:v>
      </x:c>
      <x:c r="C16" t="str">
        <x:v>RFP-B2</x:v>
      </x:c>
      <x:c r="D16" t="n">
        <x:v>1</x:v>
      </x:c>
      <x:c r="E16" t="n">
        <x:v>4</x:v>
      </x:c>
      <x:c r="F16" t="n">
        <x:v>60</x:v>
      </x:c>
      <x:c r="G16" s="11" t="str">
        <x:v>hot approach and extraction</x:v>
      </x:c>
      <x:c r="H16" t="n">
        <x:v>1</x:v>
      </x:c>
      <x:c r="I16" t="str"/>
      <x:c r="J16" t="str">
        <x:v>OPEN</x:v>
      </x:c>
    </x:row>
    <x:row r="17" ht="42" customHeight="1">
      <x:c r="B17" t="str">
        <x:v>RFP-B2-RC2</x:v>
      </x:c>
      <x:c r="C17" t="str">
        <x:v>RFP-B2</x:v>
      </x:c>
      <x:c r="D17" t="n">
        <x:v>2</x:v>
      </x:c>
      <x:c r="E17" t="n">
        <x:v>4</x:v>
      </x:c>
      <x:c r="F17" t="n">
        <x:v>60</x:v>
      </x:c>
      <x:c r="G17" s="11" t="str">
        <x:v>candidate service and drain access</x:v>
      </x:c>
      <x:c r="H17" t="n">
        <x:v>1</x:v>
      </x:c>
      <x:c r="I17" t="str"/>
      <x:c r="J17" t="str">
        <x:v>OPEN</x:v>
      </x:c>
    </x:row>
    <x:row r="18" ht="42" customHeight="1">
      <x:c r="B18" t="str">
        <x:v>RFP-B2-RC3</x:v>
      </x:c>
      <x:c r="C18" t="str">
        <x:v>RFP-B2</x:v>
      </x:c>
      <x:c r="D18" t="n">
        <x:v>3</x:v>
      </x:c>
      <x:c r="E18" t="n">
        <x:v>4</x:v>
      </x:c>
      <x:c r="F18" t="n">
        <x:v>60</x:v>
      </x:c>
      <x:c r="G18" s="11" t="str">
        <x:v>clean return and decontamination</x:v>
      </x:c>
      <x:c r="H18" t="n">
        <x:v>1</x:v>
      </x:c>
      <x:c r="I18" t="str"/>
      <x:c r="J18" t="str">
        <x:v>OPEN</x:v>
      </x:c>
    </x:row>
    <x:row r="19" ht="42" customHeight="1">
      <x:c r="B19" t="str">
        <x:v>RFP-C1-RC1</x:v>
      </x:c>
      <x:c r="C19" t="str">
        <x:v>RFP-C1</x:v>
      </x:c>
      <x:c r="D19" t="n">
        <x:v>1</x:v>
      </x:c>
      <x:c r="E19" t="n">
        <x:v>4</x:v>
      </x:c>
      <x:c r="F19" t="n">
        <x:v>60</x:v>
      </x:c>
      <x:c r="G19" s="11" t="str">
        <x:v>hot approach and extraction</x:v>
      </x:c>
      <x:c r="H19" t="n">
        <x:v>1</x:v>
      </x:c>
      <x:c r="I19" t="str"/>
      <x:c r="J19" t="str">
        <x:v>OPEN</x:v>
      </x:c>
    </x:row>
    <x:row r="20" ht="42" customHeight="1">
      <x:c r="B20" t="str">
        <x:v>RFP-C1-RC2</x:v>
      </x:c>
      <x:c r="C20" t="str">
        <x:v>RFP-C1</x:v>
      </x:c>
      <x:c r="D20" t="n">
        <x:v>2</x:v>
      </x:c>
      <x:c r="E20" t="n">
        <x:v>4</x:v>
      </x:c>
      <x:c r="F20" t="n">
        <x:v>60</x:v>
      </x:c>
      <x:c r="G20" s="11" t="str">
        <x:v>candidate service and drain access</x:v>
      </x:c>
      <x:c r="H20" t="n">
        <x:v>1</x:v>
      </x:c>
      <x:c r="I20" t="str"/>
      <x:c r="J20" t="str">
        <x:v>OPEN</x:v>
      </x:c>
    </x:row>
    <x:row r="21" ht="42" customHeight="1">
      <x:c r="B21" t="str">
        <x:v>RFP-C1-RC3</x:v>
      </x:c>
      <x:c r="C21" t="str">
        <x:v>RFP-C1</x:v>
      </x:c>
      <x:c r="D21" t="n">
        <x:v>3</x:v>
      </x:c>
      <x:c r="E21" t="n">
        <x:v>4</x:v>
      </x:c>
      <x:c r="F21" t="n">
        <x:v>60</x:v>
      </x:c>
      <x:c r="G21" s="11" t="str">
        <x:v>clean return and decontamination</x:v>
      </x:c>
      <x:c r="H21" t="n">
        <x:v>1</x:v>
      </x:c>
      <x:c r="I21" t="str"/>
      <x:c r="J21" t="str">
        <x:v>OPEN</x:v>
      </x:c>
    </x:row>
    <x:row r="22" ht="42" customHeight="1">
      <x:c r="B22" t="str">
        <x:v>RFP-C2-RC1</x:v>
      </x:c>
      <x:c r="C22" t="str">
        <x:v>RFP-C2</x:v>
      </x:c>
      <x:c r="D22" t="n">
        <x:v>1</x:v>
      </x:c>
      <x:c r="E22" t="n">
        <x:v>4</x:v>
      </x:c>
      <x:c r="F22" t="n">
        <x:v>60</x:v>
      </x:c>
      <x:c r="G22" s="11" t="str">
        <x:v>hot approach and extraction</x:v>
      </x:c>
      <x:c r="H22" t="n">
        <x:v>1</x:v>
      </x:c>
      <x:c r="I22" t="str"/>
      <x:c r="J22" t="str">
        <x:v>OPEN</x:v>
      </x:c>
    </x:row>
    <x:row r="23" ht="42" customHeight="1">
      <x:c r="B23" t="str">
        <x:v>RFP-C2-RC2</x:v>
      </x:c>
      <x:c r="C23" t="str">
        <x:v>RFP-C2</x:v>
      </x:c>
      <x:c r="D23" t="n">
        <x:v>2</x:v>
      </x:c>
      <x:c r="E23" t="n">
        <x:v>4</x:v>
      </x:c>
      <x:c r="F23" t="n">
        <x:v>60</x:v>
      </x:c>
      <x:c r="G23" s="11" t="str">
        <x:v>candidate service and drain access</x:v>
      </x:c>
      <x:c r="H23" t="n">
        <x:v>1</x:v>
      </x:c>
      <x:c r="I23" t="str"/>
      <x:c r="J23" t="str">
        <x:v>OPEN</x:v>
      </x:c>
    </x:row>
    <x:row r="24" ht="42" customHeight="1">
      <x:c r="B24" t="str">
        <x:v>RFP-C2-RC3</x:v>
      </x:c>
      <x:c r="C24" t="str">
        <x:v>RFP-C2</x:v>
      </x:c>
      <x:c r="D24" t="n">
        <x:v>3</x:v>
      </x:c>
      <x:c r="E24" t="n">
        <x:v>4</x:v>
      </x:c>
      <x:c r="F24" t="n">
        <x:v>60</x:v>
      </x:c>
      <x:c r="G24" s="11" t="str">
        <x:v>clean return and decontamination</x:v>
      </x:c>
      <x:c r="H24" t="n">
        <x:v>1</x:v>
      </x:c>
      <x:c r="I24" t="str"/>
      <x:c r="J24" t="str">
        <x:v>OPEN</x:v>
      </x:c>
    </x:row>
  </x:sheetData>
  <x:conditionalFormatting sqref="J7:J24">
    <x:cfRule type="containsText" dxfId="30" priority="1" operator="containsText" text="FAIL"/>
    <x:cfRule type="containsText" dxfId="31" priority="2" operator="containsText" text="BLOCKED"/>
    <x:cfRule type="containsText" dxfId="32" priority="3" operator="containsText" text="OPEN"/>
    <x:cfRule type="containsText" dxfId="33" priority="4" operator="containsText" text="GAP"/>
    <x:cfRule type="containsText" dxfId="34" priority="5" operator="containsText" text="PASS"/>
    <x:cfRule type="containsText" dxfId="35" priority="6" operator="containsText" text="INVALI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9" hidden="0" customWidth="1"/>
    <x:col min="4" max="4" width="45" hidden="0" customWidth="1"/>
    <x:col min="5" max="5" width="31" hidden="0" customWidth="1"/>
    <x:col min="6" max="6" width="53" hidden="0" customWidth="1"/>
  </x:cols>
  <x:sheetData>
    <x:row r="2">
      <x:c r="B2" s="1" t="str">
        <x:v>Rig-native rescue and casualty capability</x:v>
      </x:c>
    </x:row>
    <x:row r="3">
      <x:c r="B3" s="2" t="str">
        <x:v>A campus plan cannot substitute for physical access, extraction, decontamination and evidence at each position.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Object</x:v>
      </x:c>
      <x:c r="C6" s="7" t="str">
        <x:v>Function</x:v>
      </x:c>
      <x:c r="D6" s="7" t="str">
        <x:v>Physical scope</x:v>
      </x:c>
      <x:c r="E6" s="7" t="str">
        <x:v>Design basis</x:v>
      </x:c>
      <x:c r="F6" s="7" t="str">
        <x:v>Independence rule</x:v>
      </x:c>
    </x:row>
    <x:row r="7" ht="45" customHeight="1">
      <x:c r="B7" t="str">
        <x:v>CS-01</x:v>
      </x:c>
      <x:c r="C7" t="str">
        <x:v>remote reconnaissance</x:v>
      </x:c>
      <x:c r="D7" s="11" t="str">
        <x:v>thermal, gas, acoustic and visual</x:v>
      </x:c>
      <x:c r="E7" t="str">
        <x:v>two independent robots</x:v>
      </x:c>
      <x:c r="F7" s="11" t="str">
        <x:v>no human entry to uncertain state</x:v>
      </x:c>
    </x:row>
    <x:row r="8" ht="45" customHeight="1">
      <x:c r="B8" t="str">
        <x:v>CS-02</x:v>
      </x:c>
      <x:c r="C8" t="str">
        <x:v>casualty localization</x:v>
      </x:c>
      <x:c r="D8" s="11" t="str">
        <x:v>instrumented mannequin and responder tag</x:v>
      </x:c>
      <x:c r="E8" t="str">
        <x:v>0.25 m planning target</x:v>
      </x:c>
      <x:c r="F8" s="11" t="str">
        <x:v>independent of candidate network</x:v>
      </x:c>
    </x:row>
    <x:row r="9" ht="45" customHeight="1">
      <x:c r="B9" t="str">
        <x:v>CS-03</x:v>
      </x:c>
      <x:c r="C9" t="str">
        <x:v>extraction</x:v>
      </x:c>
      <x:c r="D9" s="11" t="str">
        <x:v>drag, lift and protected transfer</x:v>
      </x:c>
      <x:c r="E9" t="str">
        <x:v>one 150 kg casualty</x:v>
      </x:c>
      <x:c r="F9" s="11" t="str">
        <x:v>two unlike mechanical paths</x:v>
      </x:c>
    </x:row>
    <x:row r="10" ht="45" customHeight="1">
      <x:c r="B10" t="str">
        <x:v>CS-04</x:v>
      </x:c>
      <x:c r="C10" t="str">
        <x:v>decontamination</x:v>
      </x:c>
      <x:c r="D10" s="11" t="str">
        <x:v>source, water and agent separation</x:v>
      </x:c>
      <x:c r="E10" t="str">
        <x:v>one hot and one warm lane</x:v>
      </x:c>
      <x:c r="F10" s="11" t="str">
        <x:v>do not destroy evidence during life safety</x:v>
      </x:c>
    </x:row>
    <x:row r="11" ht="45" customHeight="1">
      <x:c r="B11" t="str">
        <x:v>CS-05</x:v>
      </x:c>
      <x:c r="C11" t="str">
        <x:v>clinical stabilization</x:v>
      </x:c>
      <x:c r="D11" s="11" t="str">
        <x:v>burn, inhalation, trauma and toxic exposure</x:v>
      </x:c>
      <x:c r="E11" t="str">
        <x:v>two simultaneous patients</x:v>
      </x:c>
      <x:c r="F11" s="11" t="str">
        <x:v>local care through transport handoff</x:v>
      </x:c>
    </x:row>
    <x:row r="12" ht="45" customHeight="1">
      <x:c r="B12" t="str">
        <x:v>CS-06</x:v>
      </x:c>
      <x:c r="C12" t="str">
        <x:v>independent breathing air</x:v>
      </x:c>
      <x:c r="D12" s="11" t="str">
        <x:v>responder and refuge supply</x:v>
      </x:c>
      <x:c r="E12" t="str">
        <x:v>120 minutes</x:v>
      </x:c>
      <x:c r="F12" s="11" t="str">
        <x:v>not dependent on rig utilities</x:v>
      </x:c>
    </x:row>
    <x:row r="13" ht="45" customHeight="1">
      <x:c r="B13" t="str">
        <x:v>CS-07</x:v>
      </x:c>
      <x:c r="C13" t="str">
        <x:v>rescue communications</x:v>
      </x:c>
      <x:c r="D13" s="11" t="str">
        <x:v>local voice, data and event time</x:v>
      </x:c>
      <x:c r="E13" t="str">
        <x:v>three unlike bearers</x:v>
      </x:c>
      <x:c r="F13" s="11" t="str">
        <x:v>survive site network denial</x:v>
      </x:c>
    </x:row>
    <x:row r="14" ht="45" customHeight="1">
      <x:c r="B14" t="str">
        <x:v>CS-08</x:v>
      </x:c>
      <x:c r="C14" t="str">
        <x:v>evidence during rescue</x:v>
      </x:c>
      <x:c r="D14" s="11" t="str">
        <x:v>native recorder and witness log</x:v>
      </x:c>
      <x:c r="E14" t="str">
        <x:v>two originals</x:v>
      </x:c>
      <x:c r="F14" s="11" t="str">
        <x:v>rescue changes become event facts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2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22" hidden="0" customWidth="1"/>
    <x:col min="9" max="9" width="21" hidden="0" customWidth="1"/>
    <x:col min="10" max="10" width="14" hidden="0" customWidth="1"/>
  </x:cols>
  <x:sheetData>
    <x:row r="2">
      <x:c r="B2" s="1" t="str">
        <x:v>Twenty-four functions and 576 native channels</x:v>
      </x:c>
    </x:row>
    <x:row r="3">
      <x:c r="B3" s="2" t="str">
        <x:v>The first twenty functions preserve 480 scientific channels. Four facility-witness families add 96 independent channels.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Function</x:v>
      </x:c>
      <x:c r="C6" s="7" t="str">
        <x:v>Measure</x:v>
      </x:c>
      <x:c r="D6" s="7" t="str">
        <x:v>Channels</x:v>
      </x:c>
      <x:c r="E6" s="7" t="str">
        <x:v>Rate Hz</x:v>
      </x:c>
      <x:c r="F6" s="7" t="str">
        <x:v>Bytes/sample</x:v>
      </x:c>
      <x:c r="G6" s="7" t="str">
        <x:v>MB/s</x:v>
      </x:c>
      <x:c r="H6" s="7" t="str">
        <x:v>Scientific or facility</x:v>
      </x:c>
      <x:c r="I6" s="7" t="str">
        <x:v>Accepted UTC</x:v>
      </x:c>
      <x:c r="J6" s="7" t="str">
        <x:v>State</x:v>
      </x:c>
    </x:row>
    <x:row r="7">
      <x:c r="B7" t="str">
        <x:v>MF-01</x:v>
      </x:c>
      <x:c r="C7" t="str">
        <x:v>source initial mass</x:v>
      </x:c>
      <x:c r="D7" s="19" t="n">
        <x:v>18</x:v>
      </x:c>
      <x:c r="E7" s="19" t="n">
        <x:v>100</x:v>
      </x:c>
      <x:c r="F7" s="19" t="n">
        <x:v>8</x:v>
      </x:c>
      <x:c r="G7" s="19" t="n">
        <x:f>D7*E7*F7/1000000</x:f>
        <x:v>0.0144</x:v>
      </x:c>
      <x:c r="H7" t="str">
        <x:v>scientific</x:v>
      </x:c>
      <x:c r="I7" t="str"/>
      <x:c r="J7" t="str">
        <x:v>OPEN</x:v>
      </x:c>
    </x:row>
    <x:row r="8">
      <x:c r="B8" t="str">
        <x:v>MF-02</x:v>
      </x:c>
      <x:c r="C8" t="str">
        <x:v>source flow and residual</x:v>
      </x:c>
      <x:c r="D8" s="19" t="n">
        <x:v>30</x:v>
      </x:c>
      <x:c r="E8" s="19" t="n">
        <x:v>2000</x:v>
      </x:c>
      <x:c r="F8" s="19" t="n">
        <x:v>8</x:v>
      </x:c>
      <x:c r="G8" s="19" t="n">
        <x:f>D8*E8*F8/1000000</x:f>
        <x:v>0.48</x:v>
      </x:c>
      <x:c r="H8" t="str">
        <x:v>scientific</x:v>
      </x:c>
      <x:c r="I8" t="str"/>
      <x:c r="J8" t="str">
        <x:v>OPEN</x:v>
      </x:c>
    </x:row>
    <x:row r="9">
      <x:c r="B9" t="str">
        <x:v>MF-03</x:v>
      </x:c>
      <x:c r="C9" t="str">
        <x:v>surface depth and extent</x:v>
      </x:c>
      <x:c r="D9" s="19" t="n">
        <x:v>42</x:v>
      </x:c>
      <x:c r="E9" s="19" t="n">
        <x:v>1000</x:v>
      </x:c>
      <x:c r="F9" s="19" t="n">
        <x:v>8</x:v>
      </x:c>
      <x:c r="G9" s="19" t="n">
        <x:f>D9*E9*F9/1000000</x:f>
        <x:v>0.336</x:v>
      </x:c>
      <x:c r="H9" t="str">
        <x:v>scientific</x:v>
      </x:c>
      <x:c r="I9" t="str"/>
      <x:c r="J9" t="str">
        <x:v>OPEN</x:v>
      </x:c>
    </x:row>
    <x:row r="10">
      <x:c r="B10" t="str">
        <x:v>MF-04</x:v>
      </x:c>
      <x:c r="C10" t="str">
        <x:v>terrain datum and motion</x:v>
      </x:c>
      <x:c r="D10" s="19" t="n">
        <x:v>36</x:v>
      </x:c>
      <x:c r="E10" s="19" t="n">
        <x:v>200</x:v>
      </x:c>
      <x:c r="F10" s="19" t="n">
        <x:v>8</x:v>
      </x:c>
      <x:c r="G10" s="19" t="n">
        <x:f>D10*E10*F10/1000000</x:f>
        <x:v>0.0576</x:v>
      </x:c>
      <x:c r="H10" t="str">
        <x:v>scientific</x:v>
      </x:c>
      <x:c r="I10" t="str"/>
      <x:c r="J10" t="str">
        <x:v>OPEN</x:v>
      </x:c>
    </x:row>
    <x:row r="11">
      <x:c r="B11" t="str">
        <x:v>MF-05</x:v>
      </x:c>
      <x:c r="C11" t="str">
        <x:v>drain flow and inventory</x:v>
      </x:c>
      <x:c r="D11" s="19" t="n">
        <x:v>36</x:v>
      </x:c>
      <x:c r="E11" s="19" t="n">
        <x:v>2000</x:v>
      </x:c>
      <x:c r="F11" s="19" t="n">
        <x:v>8</x:v>
      </x:c>
      <x:c r="G11" s="19" t="n">
        <x:f>D11*E11*F11/1000000</x:f>
        <x:v>0.576</x:v>
      </x:c>
      <x:c r="H11" t="str">
        <x:v>scientific</x:v>
      </x:c>
      <x:c r="I11" t="str"/>
      <x:c r="J11" t="str">
        <x:v>OPEN</x:v>
      </x:c>
    </x:row>
    <x:row r="12">
      <x:c r="B12" t="str">
        <x:v>MF-06</x:v>
      </x:c>
      <x:c r="C12" t="str">
        <x:v>candidate receiver inventory</x:v>
      </x:c>
      <x:c r="D12" s="19" t="n">
        <x:v>24</x:v>
      </x:c>
      <x:c r="E12" s="19" t="n">
        <x:v>500</x:v>
      </x:c>
      <x:c r="F12" s="19" t="n">
        <x:v>8</x:v>
      </x:c>
      <x:c r="G12" s="19" t="n">
        <x:f>D12*E12*F12/1000000</x:f>
        <x:v>0.096</x:v>
      </x:c>
      <x:c r="H12" t="str">
        <x:v>scientific</x:v>
      </x:c>
      <x:c r="I12" t="str"/>
      <x:c r="J12" t="str">
        <x:v>OPEN</x:v>
      </x:c>
    </x:row>
    <x:row r="13">
      <x:c r="B13" t="str">
        <x:v>MF-07</x:v>
      </x:c>
      <x:c r="C13" t="str">
        <x:v>water supply and return</x:v>
      </x:c>
      <x:c r="D13" s="19" t="n">
        <x:v>24</x:v>
      </x:c>
      <x:c r="E13" s="19" t="n">
        <x:v>1000</x:v>
      </x:c>
      <x:c r="F13" s="19" t="n">
        <x:v>8</x:v>
      </x:c>
      <x:c r="G13" s="19" t="n">
        <x:f>D13*E13*F13/1000000</x:f>
        <x:v>0.192</x:v>
      </x:c>
      <x:c r="H13" t="str">
        <x:v>scientific</x:v>
      </x:c>
      <x:c r="I13" t="str"/>
      <x:c r="J13" t="str">
        <x:v>OPEN</x:v>
      </x:c>
    </x:row>
    <x:row r="14">
      <x:c r="B14" t="str">
        <x:v>MF-08</x:v>
      </x:c>
      <x:c r="C14" t="str">
        <x:v>casualty routes</x:v>
      </x:c>
      <x:c r="D14" s="19" t="n">
        <x:v>18</x:v>
      </x:c>
      <x:c r="E14" s="19" t="n">
        <x:v>1000</x:v>
      </x:c>
      <x:c r="F14" s="19" t="n">
        <x:v>8</x:v>
      </x:c>
      <x:c r="G14" s="19" t="n">
        <x:f>D14*E14*F14/1000000</x:f>
        <x:v>0.144</x:v>
      </x:c>
      <x:c r="H14" t="str">
        <x:v>scientific</x:v>
      </x:c>
      <x:c r="I14" t="str"/>
      <x:c r="J14" t="str">
        <x:v>OPEN</x:v>
      </x:c>
    </x:row>
    <x:row r="15">
      <x:c r="B15" t="str">
        <x:v>MF-09</x:v>
      </x:c>
      <x:c r="C15" t="str">
        <x:v>temperature</x:v>
      </x:c>
      <x:c r="D15" s="19" t="n">
        <x:v>48</x:v>
      </x:c>
      <x:c r="E15" s="19" t="n">
        <x:v>500</x:v>
      </x:c>
      <x:c r="F15" s="19" t="n">
        <x:v>8</x:v>
      </x:c>
      <x:c r="G15" s="19" t="n">
        <x:f>D15*E15*F15/1000000</x:f>
        <x:v>0.192</x:v>
      </x:c>
      <x:c r="H15" t="str">
        <x:v>scientific</x:v>
      </x:c>
      <x:c r="I15" t="str"/>
      <x:c r="J15" t="str">
        <x:v>OPEN</x:v>
      </x:c>
    </x:row>
    <x:row r="16">
      <x:c r="B16" t="str">
        <x:v>MF-10</x:v>
      </x:c>
      <x:c r="C16" t="str">
        <x:v>heat flux and radiation</x:v>
      </x:c>
      <x:c r="D16" s="19" t="n">
        <x:v>30</x:v>
      </x:c>
      <x:c r="E16" s="19" t="n">
        <x:v>2000</x:v>
      </x:c>
      <x:c r="F16" s="19" t="n">
        <x:v>8</x:v>
      </x:c>
      <x:c r="G16" s="19" t="n">
        <x:f>D16*E16*F16/1000000</x:f>
        <x:v>0.48</x:v>
      </x:c>
      <x:c r="H16" t="str">
        <x:v>scientific</x:v>
      </x:c>
      <x:c r="I16" t="str"/>
      <x:c r="J16" t="str">
        <x:v>OPEN</x:v>
      </x:c>
    </x:row>
    <x:row r="17">
      <x:c r="B17" t="str">
        <x:v>MF-11</x:v>
      </x:c>
      <x:c r="C17" t="str">
        <x:v>flame and combustion gas</x:v>
      </x:c>
      <x:c r="D17" s="19" t="n">
        <x:v>24</x:v>
      </x:c>
      <x:c r="E17" s="19" t="n">
        <x:v>5000</x:v>
      </x:c>
      <x:c r="F17" s="19" t="n">
        <x:v>8</x:v>
      </x:c>
      <x:c r="G17" s="19" t="n">
        <x:f>D17*E17*F17/1000000</x:f>
        <x:v>0.96</x:v>
      </x:c>
      <x:c r="H17" t="str">
        <x:v>scientific</x:v>
      </x:c>
      <x:c r="I17" t="str"/>
      <x:c r="J17" t="str">
        <x:v>OPEN</x:v>
      </x:c>
    </x:row>
    <x:row r="18">
      <x:c r="B18" t="str">
        <x:v>MF-12</x:v>
      </x:c>
      <x:c r="C18" t="str">
        <x:v>structural load and strain</x:v>
      </x:c>
      <x:c r="D18" s="19" t="n">
        <x:v>30</x:v>
      </x:c>
      <x:c r="E18" s="19" t="n">
        <x:v>5000</x:v>
      </x:c>
      <x:c r="F18" s="19" t="n">
        <x:v>8</x:v>
      </x:c>
      <x:c r="G18" s="19" t="n">
        <x:f>D18*E18*F18/1000000</x:f>
        <x:v>1.2</x:v>
      </x:c>
      <x:c r="H18" t="str">
        <x:v>scientific</x:v>
      </x:c>
      <x:c r="I18" t="str"/>
      <x:c r="J18" t="str">
        <x:v>OPEN</x:v>
      </x:c>
    </x:row>
    <x:row r="19">
      <x:c r="B19" t="str">
        <x:v>MF-13</x:v>
      </x:c>
      <x:c r="C19" t="str">
        <x:v>water/source chemistry</x:v>
      </x:c>
      <x:c r="D19" s="19" t="n">
        <x:v>18</x:v>
      </x:c>
      <x:c r="E19" s="19" t="n">
        <x:v>100</x:v>
      </x:c>
      <x:c r="F19" s="19" t="n">
        <x:v>16</x:v>
      </x:c>
      <x:c r="G19" s="19" t="n">
        <x:f>D19*E19*F19/1000000</x:f>
        <x:v>0.0288</x:v>
      </x:c>
      <x:c r="H19" t="str">
        <x:v>scientific</x:v>
      </x:c>
      <x:c r="I19" t="str"/>
      <x:c r="J19" t="str">
        <x:v>OPEN</x:v>
      </x:c>
    </x:row>
    <x:row r="20">
      <x:c r="B20" t="str">
        <x:v>MF-14</x:v>
      </x:c>
      <x:c r="C20" t="str">
        <x:v>robot state</x:v>
      </x:c>
      <x:c r="D20" s="19" t="n">
        <x:v>24</x:v>
      </x:c>
      <x:c r="E20" s="19" t="n">
        <x:v>500</x:v>
      </x:c>
      <x:c r="F20" s="19" t="n">
        <x:v>8</x:v>
      </x:c>
      <x:c r="G20" s="19" t="n">
        <x:f>D20*E20*F20/1000000</x:f>
        <x:v>0.096</x:v>
      </x:c>
      <x:c r="H20" t="str">
        <x:v>scientific</x:v>
      </x:c>
      <x:c r="I20" t="str"/>
      <x:c r="J20" t="str">
        <x:v>OPEN</x:v>
      </x:c>
    </x:row>
    <x:row r="21">
      <x:c r="B21" t="str">
        <x:v>MF-15</x:v>
      </x:c>
      <x:c r="C21" t="str">
        <x:v>safety power and action</x:v>
      </x:c>
      <x:c r="D21" s="19" t="n">
        <x:v>18</x:v>
      </x:c>
      <x:c r="E21" s="19" t="n">
        <x:v>10000</x:v>
      </x:c>
      <x:c r="F21" s="19" t="n">
        <x:v>8</x:v>
      </x:c>
      <x:c r="G21" s="19" t="n">
        <x:f>D21*E21*F21/1000000</x:f>
        <x:v>1.44</x:v>
      </x:c>
      <x:c r="H21" t="str">
        <x:v>scientific</x:v>
      </x:c>
      <x:c r="I21" t="str"/>
      <x:c r="J21" t="str">
        <x:v>OPEN</x:v>
      </x:c>
    </x:row>
    <x:row r="22">
      <x:c r="B22" t="str">
        <x:v>MF-16</x:v>
      </x:c>
      <x:c r="C22" t="str">
        <x:v>weather and plume</x:v>
      </x:c>
      <x:c r="D22" s="19" t="n">
        <x:v>12</x:v>
      </x:c>
      <x:c r="E22" s="19" t="n">
        <x:v>100</x:v>
      </x:c>
      <x:c r="F22" s="19" t="n">
        <x:v>8</x:v>
      </x:c>
      <x:c r="G22" s="19" t="n">
        <x:f>D22*E22*F22/1000000</x:f>
        <x:v>0.0096</x:v>
      </x:c>
      <x:c r="H22" t="str">
        <x:v>scientific</x:v>
      </x:c>
      <x:c r="I22" t="str"/>
      <x:c r="J22" t="str">
        <x:v>OPEN</x:v>
      </x:c>
    </x:row>
    <x:row r="23">
      <x:c r="B23" t="str">
        <x:v>MF-17</x:v>
      </x:c>
      <x:c r="C23" t="str">
        <x:v>high-speed imagery</x:v>
      </x:c>
      <x:c r="D23" s="19" t="n">
        <x:v>18</x:v>
      </x:c>
      <x:c r="E23" s="19" t="n">
        <x:v>2000</x:v>
      </x:c>
      <x:c r="F23" s="19" t="n">
        <x:v>1024</x:v>
      </x:c>
      <x:c r="G23" s="19" t="n">
        <x:f>D23*E23*F23/1000000</x:f>
        <x:v>36.864</x:v>
      </x:c>
      <x:c r="H23" t="str">
        <x:v>scientific</x:v>
      </x:c>
      <x:c r="I23" t="str"/>
      <x:c r="J23" t="str">
        <x:v>OPEN</x:v>
      </x:c>
    </x:row>
    <x:row r="24">
      <x:c r="B24" t="str">
        <x:v>MF-18</x:v>
      </x:c>
      <x:c r="C24" t="str">
        <x:v>thermal imagery</x:v>
      </x:c>
      <x:c r="D24" s="19" t="n">
        <x:v>12</x:v>
      </x:c>
      <x:c r="E24" s="19" t="n">
        <x:v>500</x:v>
      </x:c>
      <x:c r="F24" s="19" t="n">
        <x:v>512</x:v>
      </x:c>
      <x:c r="G24" s="19" t="n">
        <x:f>D24*E24*F24/1000000</x:f>
        <x:v>3.072</x:v>
      </x:c>
      <x:c r="H24" t="str">
        <x:v>scientific</x:v>
      </x:c>
      <x:c r="I24" t="str"/>
      <x:c r="J24" t="str">
        <x:v>OPEN</x:v>
      </x:c>
    </x:row>
    <x:row r="25">
      <x:c r="B25" t="str">
        <x:v>MF-19</x:v>
      </x:c>
      <x:c r="C25" t="str">
        <x:v>event time and trigger</x:v>
      </x:c>
      <x:c r="D25" s="19" t="n">
        <x:v>12</x:v>
      </x:c>
      <x:c r="E25" s="19" t="n">
        <x:v>10000</x:v>
      </x:c>
      <x:c r="F25" s="19" t="n">
        <x:v>8</x:v>
      </x:c>
      <x:c r="G25" s="19" t="n">
        <x:f>D25*E25*F25/1000000</x:f>
        <x:v>0.96</x:v>
      </x:c>
      <x:c r="H25" t="str">
        <x:v>scientific</x:v>
      </x:c>
      <x:c r="I25" t="str"/>
      <x:c r="J25" t="str">
        <x:v>OPEN</x:v>
      </x:c>
    </x:row>
    <x:row r="26">
      <x:c r="B26" t="str">
        <x:v>MF-20</x:v>
      </x:c>
      <x:c r="C26" t="str">
        <x:v>custody and configuration</x:v>
      </x:c>
      <x:c r="D26" s="19" t="n">
        <x:v>6</x:v>
      </x:c>
      <x:c r="E26" s="19" t="n">
        <x:v>10</x:v>
      </x:c>
      <x:c r="F26" s="19" t="n">
        <x:v>64</x:v>
      </x:c>
      <x:c r="G26" s="19" t="n">
        <x:f>D26*E26*F26/1000000</x:f>
        <x:v>0.00384</x:v>
      </x:c>
      <x:c r="H26" t="str">
        <x:v>scientific</x:v>
      </x:c>
      <x:c r="I26" t="str"/>
      <x:c r="J26" t="str">
        <x:v>OPEN</x:v>
      </x:c>
    </x:row>
    <x:row r="27">
      <x:c r="B27" t="str">
        <x:v>FW-01</x:v>
      </x:c>
      <x:c r="C27" t="str">
        <x:v>facility utilities</x:v>
      </x:c>
      <x:c r="D27" s="19" t="n">
        <x:v>24</x:v>
      </x:c>
      <x:c r="E27" s="19" t="n">
        <x:v>100</x:v>
      </x:c>
      <x:c r="F27" s="19" t="n">
        <x:v>8</x:v>
      </x:c>
      <x:c r="G27" s="19" t="n">
        <x:f>D27*E27*F27/1000000</x:f>
        <x:v>0.0192</x:v>
      </x:c>
      <x:c r="H27" t="str">
        <x:v>facility witness</x:v>
      </x:c>
      <x:c r="I27" t="str"/>
      <x:c r="J27" t="str">
        <x:v>OPEN</x:v>
      </x:c>
    </x:row>
    <x:row r="28">
      <x:c r="B28" t="str">
        <x:v>FW-02</x:v>
      </x:c>
      <x:c r="C28" t="str">
        <x:v>environmental witness</x:v>
      </x:c>
      <x:c r="D28" s="19" t="n">
        <x:v>24</x:v>
      </x:c>
      <x:c r="E28" s="19" t="n">
        <x:v>50</x:v>
      </x:c>
      <x:c r="F28" s="19" t="n">
        <x:v>16</x:v>
      </x:c>
      <x:c r="G28" s="19" t="n">
        <x:f>D28*E28*F28/1000000</x:f>
        <x:v>0.0192</x:v>
      </x:c>
      <x:c r="H28" t="str">
        <x:v>facility witness</x:v>
      </x:c>
      <x:c r="I28" t="str"/>
      <x:c r="J28" t="str">
        <x:v>OPEN</x:v>
      </x:c>
    </x:row>
    <x:row r="29">
      <x:c r="B29" t="str">
        <x:v>FW-03</x:v>
      </x:c>
      <x:c r="C29" t="str">
        <x:v>casualty system state</x:v>
      </x:c>
      <x:c r="D29" s="19" t="n">
        <x:v>24</x:v>
      </x:c>
      <x:c r="E29" s="19" t="n">
        <x:v>100</x:v>
      </x:c>
      <x:c r="F29" s="19" t="n">
        <x:v>8</x:v>
      </x:c>
      <x:c r="G29" s="19" t="n">
        <x:f>D29*E29*F29/1000000</x:f>
        <x:v>0.0192</x:v>
      </x:c>
      <x:c r="H29" t="str">
        <x:v>facility witness</x:v>
      </x:c>
      <x:c r="I29" t="str"/>
      <x:c r="J29" t="str">
        <x:v>OPEN</x:v>
      </x:c>
    </x:row>
    <x:row r="30">
      <x:c r="B30" t="str">
        <x:v>FW-04</x:v>
      </x:c>
      <x:c r="C30" t="str">
        <x:v>independent field video</x:v>
      </x:c>
      <x:c r="D30" s="19" t="n">
        <x:v>24</x:v>
      </x:c>
      <x:c r="E30" s="19" t="n">
        <x:v>1000</x:v>
      </x:c>
      <x:c r="F30" s="19" t="n">
        <x:v>256</x:v>
      </x:c>
      <x:c r="G30" s="19" t="n">
        <x:f>D30*E30*F30/1000000</x:f>
        <x:v>6.144</x:v>
      </x:c>
      <x:c r="H30" t="str">
        <x:v>facility witness</x:v>
      </x:c>
      <x:c r="I30" t="str"/>
      <x:c r="J30" t="str">
        <x:v>OPEN</x:v>
      </x:c>
    </x:row>
    <x:row r="31">
      <x:c r="B31" s="14" t="str">
        <x:v>TOTAL</x:v>
      </x:c>
      <x:c r="C31" s="14" t="str"/>
      <x:c r="D31" s="20" t="n">
        <x:f>SUM(D7:D30)</x:f>
        <x:v>576</x:v>
      </x:c>
      <x:c r="E31" s="20" t="str"/>
      <x:c r="F31" s="20" t="str">
        <x:v>TOTAL MB/s</x:v>
      </x:c>
      <x:c r="G31" s="20" t="n">
        <x:f>SUM(G7:G30)</x:f>
        <x:v>53.40383999999999</x:v>
      </x:c>
    </x:row>
  </x:sheetData>
  <x:conditionalFormatting sqref="J7:J30">
    <x:cfRule type="containsText" dxfId="36" priority="1" operator="containsText" text="FAIL"/>
    <x:cfRule type="containsText" dxfId="37" priority="2" operator="containsText" text="BLOCKED"/>
    <x:cfRule type="containsText" dxfId="38" priority="3" operator="containsText" text="OPEN"/>
    <x:cfRule type="containsText" dxfId="39" priority="4" operator="containsText" text="GAP"/>
    <x:cfRule type="containsText" dxfId="40" priority="5" operator="containsText" text="PASS"/>
    <x:cfRule type="containsText" dxfId="41" priority="6" operator="containsText" text="INVALI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8" hidden="0" customWidth="1"/>
    <x:col min="4" max="4" width="16" hidden="0" customWidth="1"/>
    <x:col min="5" max="5" width="14" hidden="0" customWidth="1"/>
    <x:col min="6" max="6" width="17" hidden="0" customWidth="1"/>
    <x:col min="7" max="7" width="14" hidden="0" customWidth="1"/>
    <x:col min="8" max="8" width="19" hidden="0" customWidth="1"/>
    <x:col min="9" max="9" width="18" hidden="0" customWidth="1"/>
    <x:col min="10" max="10" width="18" hidden="0" customWidth="1"/>
    <x:col min="11" max="11" width="18" hidden="0" customWidth="1"/>
    <x:col min="12" max="12" width="17" hidden="0" customWidth="1"/>
    <x:col min="13" max="13" width="20" hidden="0" customWidth="1"/>
  </x:cols>
  <x:sheetData>
    <x:row r="2">
      <x:c r="B2" s="1" t="str">
        <x:v>Native evidence volume by rig</x:v>
      </x:c>
    </x:row>
    <x:row r="3">
      <x:c r="B3" s="2" t="str">
        <x:v>Full-rate windows, long tails, two originals and custody overhead are explicit.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Rig</x:v>
      </x:c>
      <x:c r="C6" s="7" t="str">
        <x:v>Native MB/s</x:v>
      </x:c>
      <x:c r="D6" s="7" t="str">
        <x:v>Full-rate s</x:v>
      </x:c>
      <x:c r="E6" s="7" t="str">
        <x:v>Tail s</x:v>
      </x:c>
      <x:c r="F6" s="7" t="str">
        <x:v>Tail fraction</x:v>
      </x:c>
      <x:c r="G6" s="7" t="str">
        <x:v>Originals</x:v>
      </x:c>
      <x:c r="H6" s="7" t="str">
        <x:v>Custody factor</x:v>
      </x:c>
      <x:c r="I6" s="7" t="str">
        <x:v>GB/event</x:v>
      </x:c>
      <x:c r="J6" s="7" t="str">
        <x:v>TB/event</x:v>
      </x:c>
      <x:c r="K6" s="7" t="str">
        <x:v>Assigned events</x:v>
      </x:c>
      <x:c r="L6" s="7" t="str">
        <x:v>TB base</x:v>
      </x:c>
      <x:c r="M6" s="7" t="str">
        <x:v>TB with reserve</x:v>
      </x:c>
    </x:row>
    <x:row r="7">
      <x:c r="B7" t="str">
        <x:v>RFP-A1</x:v>
      </x:c>
      <x:c r="C7" s="19" t="n">
        <x:f>'Sensor Plan'!G31</x:f>
        <x:v>53.40383999999999</x:v>
      </x:c>
      <x:c r="D7" s="19" t="n">
        <x:f>Controls!$D$43</x:f>
        <x:v>600</x:v>
      </x:c>
      <x:c r="E7" s="19" t="n">
        <x:f>Controls!$D$44</x:f>
        <x:v>21600</x:v>
      </x:c>
      <x:c r="F7" s="19" t="n">
        <x:f>Controls!$D$45</x:f>
        <x:v>0.01</x:v>
      </x:c>
      <x:c r="G7" s="19" t="n">
        <x:f>Controls!$D$46</x:f>
        <x:v>2</x:v>
      </x:c>
      <x:c r="H7" s="19" t="n">
        <x:f>Controls!$D$47</x:f>
        <x:v>1.35</x:v>
      </x:c>
      <x:c r="I7" s="19" t="n">
        <x:f>C7*(D7+E7*F7)*G7*H7/1000</x:f>
        <x:v>117.659340288</x:v>
      </x:c>
      <x:c r="J7" s="19" t="n">
        <x:f>I7/1000</x:f>
        <x:v>0.117659340288</x:v>
      </x:c>
      <x:c r="K7" s="19" t="n">
        <x:v>51</x:v>
      </x:c>
      <x:c r="L7" s="19" t="n">
        <x:f>J7*K7</x:f>
        <x:v>6.000626354688</x:v>
      </x:c>
      <x:c r="M7" s="19" t="n">
        <x:f>L7*(1+Controls!$D$48)</x:f>
        <x:v>7.800814261094401</x:v>
      </x:c>
    </x:row>
    <x:row r="8">
      <x:c r="B8" t="str">
        <x:v>RFP-A2</x:v>
      </x:c>
      <x:c r="C8" s="19" t="n">
        <x:f>'Sensor Plan'!G31</x:f>
        <x:v>53.40383999999999</x:v>
      </x:c>
      <x:c r="D8" s="19" t="n">
        <x:f>Controls!$D$43</x:f>
        <x:v>600</x:v>
      </x:c>
      <x:c r="E8" s="19" t="n">
        <x:f>Controls!$D$44</x:f>
        <x:v>21600</x:v>
      </x:c>
      <x:c r="F8" s="19" t="n">
        <x:f>Controls!$D$45</x:f>
        <x:v>0.01</x:v>
      </x:c>
      <x:c r="G8" s="19" t="n">
        <x:f>Controls!$D$46</x:f>
        <x:v>2</x:v>
      </x:c>
      <x:c r="H8" s="19" t="n">
        <x:f>Controls!$D$47</x:f>
        <x:v>1.35</x:v>
      </x:c>
      <x:c r="I8" s="19" t="n">
        <x:f>C8*(D8+E8*F8)*G8*H8/1000</x:f>
        <x:v>117.659340288</x:v>
      </x:c>
      <x:c r="J8" s="19" t="n">
        <x:f>I8/1000</x:f>
        <x:v>0.117659340288</x:v>
      </x:c>
      <x:c r="K8" s="19" t="n">
        <x:v>51</x:v>
      </x:c>
      <x:c r="L8" s="19" t="n">
        <x:f>J8*K8</x:f>
        <x:v>6.000626354688</x:v>
      </x:c>
      <x:c r="M8" s="19" t="n">
        <x:f>L8*(1+Controls!$D$48)</x:f>
        <x:v>7.800814261094401</x:v>
      </x:c>
    </x:row>
    <x:row r="9">
      <x:c r="B9" t="str">
        <x:v>RFP-B1</x:v>
      </x:c>
      <x:c r="C9" s="19" t="n">
        <x:f>'Sensor Plan'!G31</x:f>
        <x:v>53.40383999999999</x:v>
      </x:c>
      <x:c r="D9" s="19" t="n">
        <x:f>Controls!$D$43</x:f>
        <x:v>600</x:v>
      </x:c>
      <x:c r="E9" s="19" t="n">
        <x:f>Controls!$D$44</x:f>
        <x:v>21600</x:v>
      </x:c>
      <x:c r="F9" s="19" t="n">
        <x:f>Controls!$D$45</x:f>
        <x:v>0.01</x:v>
      </x:c>
      <x:c r="G9" s="19" t="n">
        <x:f>Controls!$D$46</x:f>
        <x:v>2</x:v>
      </x:c>
      <x:c r="H9" s="19" t="n">
        <x:f>Controls!$D$47</x:f>
        <x:v>1.35</x:v>
      </x:c>
      <x:c r="I9" s="19" t="n">
        <x:f>C9*(D9+E9*F9)*G9*H9/1000</x:f>
        <x:v>117.659340288</x:v>
      </x:c>
      <x:c r="J9" s="19" t="n">
        <x:f>I9/1000</x:f>
        <x:v>0.117659340288</x:v>
      </x:c>
      <x:c r="K9" s="19" t="n">
        <x:v>51</x:v>
      </x:c>
      <x:c r="L9" s="19" t="n">
        <x:f>J9*K9</x:f>
        <x:v>6.000626354688</x:v>
      </x:c>
      <x:c r="M9" s="19" t="n">
        <x:f>L9*(1+Controls!$D$48)</x:f>
        <x:v>7.800814261094401</x:v>
      </x:c>
    </x:row>
    <x:row r="10">
      <x:c r="B10" t="str">
        <x:v>RFP-B2</x:v>
      </x:c>
      <x:c r="C10" s="19" t="n">
        <x:f>'Sensor Plan'!G31</x:f>
        <x:v>53.40383999999999</x:v>
      </x:c>
      <x:c r="D10" s="19" t="n">
        <x:f>Controls!$D$43</x:f>
        <x:v>600</x:v>
      </x:c>
      <x:c r="E10" s="19" t="n">
        <x:f>Controls!$D$44</x:f>
        <x:v>21600</x:v>
      </x:c>
      <x:c r="F10" s="19" t="n">
        <x:f>Controls!$D$45</x:f>
        <x:v>0.01</x:v>
      </x:c>
      <x:c r="G10" s="19" t="n">
        <x:f>Controls!$D$46</x:f>
        <x:v>2</x:v>
      </x:c>
      <x:c r="H10" s="19" t="n">
        <x:f>Controls!$D$47</x:f>
        <x:v>1.35</x:v>
      </x:c>
      <x:c r="I10" s="19" t="n">
        <x:f>C10*(D10+E10*F10)*G10*H10/1000</x:f>
        <x:v>117.659340288</x:v>
      </x:c>
      <x:c r="J10" s="19" t="n">
        <x:f>I10/1000</x:f>
        <x:v>0.117659340288</x:v>
      </x:c>
      <x:c r="K10" s="19" t="n">
        <x:v>51</x:v>
      </x:c>
      <x:c r="L10" s="19" t="n">
        <x:f>J10*K10</x:f>
        <x:v>6.000626354688</x:v>
      </x:c>
      <x:c r="M10" s="19" t="n">
        <x:f>L10*(1+Controls!$D$48)</x:f>
        <x:v>7.800814261094401</x:v>
      </x:c>
    </x:row>
    <x:row r="11">
      <x:c r="B11" t="str">
        <x:v>RFP-C1</x:v>
      </x:c>
      <x:c r="C11" s="19" t="n">
        <x:f>'Sensor Plan'!G31</x:f>
        <x:v>53.40383999999999</x:v>
      </x:c>
      <x:c r="D11" s="19" t="n">
        <x:f>Controls!$D$43</x:f>
        <x:v>600</x:v>
      </x:c>
      <x:c r="E11" s="19" t="n">
        <x:f>Controls!$D$44</x:f>
        <x:v>21600</x:v>
      </x:c>
      <x:c r="F11" s="19" t="n">
        <x:f>Controls!$D$45</x:f>
        <x:v>0.01</x:v>
      </x:c>
      <x:c r="G11" s="19" t="n">
        <x:f>Controls!$D$46</x:f>
        <x:v>2</x:v>
      </x:c>
      <x:c r="H11" s="19" t="n">
        <x:f>Controls!$D$47</x:f>
        <x:v>1.35</x:v>
      </x:c>
      <x:c r="I11" s="19" t="n">
        <x:f>C11*(D11+E11*F11)*G11*H11/1000</x:f>
        <x:v>117.659340288</x:v>
      </x:c>
      <x:c r="J11" s="19" t="n">
        <x:f>I11/1000</x:f>
        <x:v>0.117659340288</x:v>
      </x:c>
      <x:c r="K11" s="19" t="n">
        <x:v>51</x:v>
      </x:c>
      <x:c r="L11" s="19" t="n">
        <x:f>J11*K11</x:f>
        <x:v>6.000626354688</x:v>
      </x:c>
      <x:c r="M11" s="19" t="n">
        <x:f>L11*(1+Controls!$D$48)</x:f>
        <x:v>7.800814261094401</x:v>
      </x:c>
    </x:row>
    <x:row r="12">
      <x:c r="B12" t="str">
        <x:v>RFP-C2</x:v>
      </x:c>
      <x:c r="C12" s="19" t="n">
        <x:f>'Sensor Plan'!G31</x:f>
        <x:v>53.40383999999999</x:v>
      </x:c>
      <x:c r="D12" s="19" t="n">
        <x:f>Controls!$D$43</x:f>
        <x:v>600</x:v>
      </x:c>
      <x:c r="E12" s="19" t="n">
        <x:f>Controls!$D$44</x:f>
        <x:v>21600</x:v>
      </x:c>
      <x:c r="F12" s="19" t="n">
        <x:f>Controls!$D$45</x:f>
        <x:v>0.01</x:v>
      </x:c>
      <x:c r="G12" s="19" t="n">
        <x:f>Controls!$D$46</x:f>
        <x:v>2</x:v>
      </x:c>
      <x:c r="H12" s="19" t="n">
        <x:f>Controls!$D$47</x:f>
        <x:v>1.35</x:v>
      </x:c>
      <x:c r="I12" s="19" t="n">
        <x:f>C12*(D12+E12*F12)*G12*H12/1000</x:f>
        <x:v>117.659340288</x:v>
      </x:c>
      <x:c r="J12" s="19" t="n">
        <x:f>I12/1000</x:f>
        <x:v>0.117659340288</x:v>
      </x:c>
      <x:c r="K12" s="19" t="n">
        <x:v>51</x:v>
      </x:c>
      <x:c r="L12" s="19" t="n">
        <x:f>J12*K12</x:f>
        <x:v>6.000626354688</x:v>
      </x:c>
      <x:c r="M12" s="19" t="n">
        <x:f>L12*(1+Controls!$D$48)</x:f>
        <x:v>7.800814261094401</x:v>
      </x:c>
    </x:row>
    <x:row r="13"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</x:row>
    <x:row r="14">
      <x:c r="B14" s="14" t="str">
        <x:v>FEDERATION</x:v>
      </x:c>
      <x:c r="C14" s="20" t="str"/>
      <x:c r="D14" s="20" t="str"/>
      <x:c r="E14" s="20" t="str"/>
      <x:c r="F14" s="20" t="str"/>
      <x:c r="G14" s="20" t="str"/>
      <x:c r="H14" s="20" t="str"/>
      <x:c r="I14" s="20" t="str"/>
      <x:c r="J14" s="20" t="str"/>
      <x:c r="K14" s="20" t="n">
        <x:f>SUM(K7:K12)</x:f>
        <x:v>306</x:v>
      </x:c>
      <x:c r="L14" s="20" t="n">
        <x:f>SUM(L7:L12)</x:f>
        <x:v>36.003758128128005</x:v>
      </x:c>
      <x:c r="M14" s="20" t="n">
        <x:f>SUM(M7:M12)</x:f>
        <x:v>46.804885566566405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3" hidden="0" customWidth="1"/>
    <x:col min="4" max="4" width="23" hidden="0" customWidth="1"/>
    <x:col min="5" max="5" width="17" hidden="0" customWidth="1"/>
    <x:col min="6" max="6" width="43" hidden="0" customWidth="1"/>
    <x:col min="7" max="7" width="18" hidden="0" customWidth="1"/>
  </x:cols>
  <x:sheetData>
    <x:row r="2">
      <x:c r="B2" s="1" t="str">
        <x:v>Mass-closure uncertainty allocation</x:v>
      </x:c>
    </x:row>
    <x:row r="3">
      <x:c r="B3" s="2" t="str">
        <x:v>Passing the allocation sets a metrology burden; it does not close an event.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Allocation</x:v>
      </x:c>
      <x:c r="C6" s="7" t="str">
        <x:v>Inventory</x:v>
      </x:c>
      <x:c r="D6" s="7" t="str">
        <x:v>Standard uncertainty</x:v>
      </x:c>
      <x:c r="E6" s="7" t="str">
        <x:v>Unit</x:v>
      </x:c>
      <x:c r="F6" s="7" t="str">
        <x:v>Evidence owner</x:v>
      </x:c>
      <x:c r="G6" s="7" t="str">
        <x:v>Variance kg2</x:v>
      </x:c>
    </x:row>
    <x:row r="7">
      <x:c r="B7" t="str">
        <x:v>MB-01</x:v>
      </x:c>
      <x:c r="C7" t="str">
        <x:v>initial source</x:v>
      </x:c>
      <x:c r="D7" s="19" t="n">
        <x:v>0.8</x:v>
      </x:c>
      <x:c r="E7" s="19" t="str">
        <x:v>kg k=1</x:v>
      </x:c>
      <x:c r="F7" s="19" t="str">
        <x:v>public weigh system</x:v>
      </x:c>
      <x:c r="G7" s="19" t="n">
        <x:f>D7^2</x:f>
        <x:v>0.6400000000000001</x:v>
      </x:c>
    </x:row>
    <x:row r="8">
      <x:c r="B8" t="str">
        <x:v>MB-02</x:v>
      </x:c>
      <x:c r="C8" t="str">
        <x:v>dispenser residual</x:v>
      </x:c>
      <x:c r="D8" s="19" t="n">
        <x:v>0.9</x:v>
      </x:c>
      <x:c r="E8" s="19" t="str">
        <x:v>kg k=1</x:v>
      </x:c>
      <x:c r="F8" s="19" t="str">
        <x:v>public vessel and manifold</x:v>
      </x:c>
      <x:c r="G8" s="19" t="n">
        <x:f>D8^2</x:f>
        <x:v>0.81</x:v>
      </x:c>
    </x:row>
    <x:row r="9">
      <x:c r="B9" t="str">
        <x:v>MB-03</x:v>
      </x:c>
      <x:c r="C9" t="str">
        <x:v>terrain and drain residual</x:v>
      </x:c>
      <x:c r="D9" s="19" t="n">
        <x:v>0.95</x:v>
      </x:c>
      <x:c r="E9" s="19" t="str">
        <x:v>kg k=1</x:v>
      </x:c>
      <x:c r="F9" s="19" t="str">
        <x:v>survey, recovery and sampling</x:v>
      </x:c>
      <x:c r="G9" s="19" t="n">
        <x:f>D9^2</x:f>
        <x:v>0.9025</x:v>
      </x:c>
    </x:row>
    <x:row r="10">
      <x:c r="B10" t="str">
        <x:v>MB-04</x:v>
      </x:c>
      <x:c r="C10" t="str">
        <x:v>candidate receiver</x:v>
      </x:c>
      <x:c r="D10" s="19" t="n">
        <x:v>1</x:v>
      </x:c>
      <x:c r="E10" s="19" t="str">
        <x:v>kg k=1</x:v>
      </x:c>
      <x:c r="F10" s="19" t="str">
        <x:v>candidate plus public witness</x:v>
      </x:c>
      <x:c r="G10" s="19" t="n">
        <x:f>D10^2</x:f>
        <x:v>1</x:v>
      </x:c>
    </x:row>
    <x:row r="11">
      <x:c r="B11" t="str">
        <x:v>MB-05</x:v>
      </x:c>
      <x:c r="C11" t="str">
        <x:v>casualty source inventory</x:v>
      </x:c>
      <x:c r="D11" s="19" t="n">
        <x:v>1.2</x:v>
      </x:c>
      <x:c r="E11" s="19" t="str">
        <x:v>kg k=1</x:v>
      </x:c>
      <x:c r="F11" s="19" t="str">
        <x:v>isolated public tank</x:v>
      </x:c>
      <x:c r="G11" s="19" t="n">
        <x:f>D11^2</x:f>
        <x:v>1.44</x:v>
      </x:c>
    </x:row>
    <x:row r="12">
      <x:c r="B12" t="str">
        <x:v>MB-06</x:v>
      </x:c>
      <x:c r="C12" t="str">
        <x:v>burned, emitted or sampled</x:v>
      </x:c>
      <x:c r="D12" s="19" t="n">
        <x:v>1</x:v>
      </x:c>
      <x:c r="E12" s="19" t="str">
        <x:v>kg k=1</x:v>
      </x:c>
      <x:c r="F12" s="19" t="str">
        <x:v>combustion and chemistry reconstruction</x:v>
      </x:c>
      <x:c r="G12" s="19" t="n">
        <x:f>D12^2</x:f>
        <x:v>1</x:v>
      </x:c>
    </x:row>
    <x:row r="13">
      <x:c r="D13" s="19"/>
      <x:c r="E13" s="19"/>
      <x:c r="F13" s="19"/>
      <x:c r="G13" s="19"/>
    </x:row>
    <x:row r="14">
      <x:c r="B14" s="14" t="str">
        <x:v>TOTAL</x:v>
      </x:c>
      <x:c r="C14" s="14" t="str">
        <x:v>RSS standard</x:v>
      </x:c>
      <x:c r="D14" s="20" t="n">
        <x:f>SQRT(SUM(G7:G12))</x:f>
        <x:v>2.406761309311748</x:v>
      </x:c>
      <x:c r="E14" s="20" t="str"/>
      <x:c r="F14" s="20" t="str">
        <x:v>expanded k=2</x:v>
      </x:c>
      <x:c r="G14" s="20" t="n">
        <x:f>2*D14</x:f>
        <x:v>4.813522618623496</x:v>
      </x:c>
    </x:row>
    <x:row r="15">
      <x:c r="B15" t="str">
        <x:v>SCREEN</x:v>
      </x:c>
      <x:c r="C15" t="str">
        <x:v>expanded ≤ 5 kg</x:v>
      </x:c>
      <x:c r="D15" s="19" t="str"/>
      <x:c r="E15" s="19" t="str"/>
      <x:c r="F15" s="19" t="str"/>
      <x:c r="G15" s="19" t="str">
        <x:f>IF(G14&lt;=Controls!$D$49,"SCREEN","REOPEN")</x:f>
        <x:v>SCREEN</x:v>
      </x:c>
    </x:row>
  </x:sheetData>
  <x:conditionalFormatting sqref="G15:G15">
    <x:cfRule type="containsText" dxfId="42" priority="1" operator="containsText" text="FAIL"/>
    <x:cfRule type="containsText" dxfId="43" priority="2" operator="containsText" text="BLOCKED"/>
    <x:cfRule type="containsText" dxfId="44" priority="3" operator="containsText" text="OPEN"/>
    <x:cfRule type="containsText" dxfId="45" priority="4" operator="containsText" text="GAP"/>
    <x:cfRule type="containsText" dxfId="46" priority="5" operator="containsText" text="PASS"/>
    <x:cfRule type="containsText" dxfId="47" priority="6" operator="containsText" text="INVALI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3" hidden="0" customWidth="1"/>
    <x:col min="4" max="4" width="30" hidden="0" customWidth="1"/>
    <x:col min="5" max="5" width="34" hidden="0" customWidth="1"/>
    <x:col min="6" max="6" width="60" hidden="0" customWidth="1"/>
    <x:col min="7" max="7" width="21" hidden="0" customWidth="1"/>
    <x:col min="8" max="8" width="14" hidden="0" customWidth="1"/>
  </x:cols>
  <x:sheetData>
    <x:row r="2">
      <x:c r="B2" s="1" t="str">
        <x:v>Eighteen independent safeing paths</x:v>
      </x:c>
    </x:row>
    <x:row r="3">
      <x:c r="B3" s="2" t="str">
        <x:v>Independence includes sensing, logic, energy, transmission and final action.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Path</x:v>
      </x:c>
      <x:c r="C6" s="7" t="str">
        <x:v>Rig</x:v>
      </x:c>
      <x:c r="D6" s="7" t="str">
        <x:v>Class</x:v>
      </x:c>
      <x:c r="E6" s="7" t="str">
        <x:v>Energy</x:v>
      </x:c>
      <x:c r="F6" s="7" t="str">
        <x:v>Final action</x:v>
      </x:c>
      <x:c r="G6" s="7" t="str">
        <x:v>Accepted UTC</x:v>
      </x:c>
      <x:c r="H6" s="7" t="str">
        <x:v>State</x:v>
      </x:c>
    </x:row>
    <x:row r="7" ht="42" customHeight="1">
      <x:c r="B7" t="str">
        <x:v>RFP-A1-P</x:v>
      </x:c>
      <x:c r="C7" t="str">
        <x:v>RFP-A1</x:v>
      </x:c>
      <x:c r="D7" t="str">
        <x:v>passive mechanical/thermal</x:v>
      </x:c>
      <x:c r="E7" t="str">
        <x:v>stored mechanical state</x:v>
      </x:c>
      <x:c r="F7" s="11" t="str">
        <x:v>independent source isolation and gravity casualty route</x:v>
      </x:c>
      <x:c r="G7" t="str"/>
      <x:c r="H7" t="str">
        <x:v>OPEN</x:v>
      </x:c>
    </x:row>
    <x:row r="8" ht="42" customHeight="1">
      <x:c r="B8" t="str">
        <x:v>RFP-A1-A</x:v>
      </x:c>
      <x:c r="C8" t="str">
        <x:v>RFP-A1</x:v>
      </x:c>
      <x:c r="D8" t="str">
        <x:v>analog hardwired DC</x:v>
      </x:c>
      <x:c r="E8" t="str">
        <x:v>separate battery and wiring</x:v>
      </x:c>
      <x:c r="F8" s="11" t="str">
        <x:v>local sensors command separate final elements</x:v>
      </x:c>
      <x:c r="G8" t="str"/>
      <x:c r="H8" t="str">
        <x:v>OPEN</x:v>
      </x:c>
    </x:row>
    <x:row r="9" ht="42" customHeight="1">
      <x:c r="B9" t="str">
        <x:v>RFP-A1-D</x:v>
      </x:c>
      <x:c r="C9" t="str">
        <x:v>RFP-A1</x:v>
      </x:c>
      <x:c r="D9" t="str">
        <x:v>diverse programmable</x:v>
      </x:c>
      <x:c r="E9" t="str">
        <x:v>local stored actuation energy</x:v>
      </x:c>
      <x:c r="F9" s="11" t="str">
        <x:v>independent processor, logic and final elements</x:v>
      </x:c>
      <x:c r="G9" t="str"/>
      <x:c r="H9" t="str">
        <x:v>OPEN</x:v>
      </x:c>
    </x:row>
    <x:row r="10" ht="42" customHeight="1">
      <x:c r="B10" t="str">
        <x:v>RFP-A2-P</x:v>
      </x:c>
      <x:c r="C10" t="str">
        <x:v>RFP-A2</x:v>
      </x:c>
      <x:c r="D10" t="str">
        <x:v>passive mechanical/thermal</x:v>
      </x:c>
      <x:c r="E10" t="str">
        <x:v>stored mechanical state</x:v>
      </x:c>
      <x:c r="F10" s="11" t="str">
        <x:v>independent source isolation and gravity casualty route</x:v>
      </x:c>
      <x:c r="G10" t="str"/>
      <x:c r="H10" t="str">
        <x:v>OPEN</x:v>
      </x:c>
    </x:row>
    <x:row r="11" ht="42" customHeight="1">
      <x:c r="B11" t="str">
        <x:v>RFP-A2-A</x:v>
      </x:c>
      <x:c r="C11" t="str">
        <x:v>RFP-A2</x:v>
      </x:c>
      <x:c r="D11" t="str">
        <x:v>analog hardwired DC</x:v>
      </x:c>
      <x:c r="E11" t="str">
        <x:v>separate battery and wiring</x:v>
      </x:c>
      <x:c r="F11" s="11" t="str">
        <x:v>local sensors command separate final elements</x:v>
      </x:c>
      <x:c r="G11" t="str"/>
      <x:c r="H11" t="str">
        <x:v>OPEN</x:v>
      </x:c>
    </x:row>
    <x:row r="12" ht="42" customHeight="1">
      <x:c r="B12" t="str">
        <x:v>RFP-A2-D</x:v>
      </x:c>
      <x:c r="C12" t="str">
        <x:v>RFP-A2</x:v>
      </x:c>
      <x:c r="D12" t="str">
        <x:v>diverse programmable</x:v>
      </x:c>
      <x:c r="E12" t="str">
        <x:v>local stored actuation energy</x:v>
      </x:c>
      <x:c r="F12" s="11" t="str">
        <x:v>independent processor, logic and final elements</x:v>
      </x:c>
      <x:c r="G12" t="str"/>
      <x:c r="H12" t="str">
        <x:v>OPEN</x:v>
      </x:c>
    </x:row>
    <x:row r="13" ht="42" customHeight="1">
      <x:c r="B13" t="str">
        <x:v>RFP-B1-P</x:v>
      </x:c>
      <x:c r="C13" t="str">
        <x:v>RFP-B1</x:v>
      </x:c>
      <x:c r="D13" t="str">
        <x:v>passive mechanical/thermal</x:v>
      </x:c>
      <x:c r="E13" t="str">
        <x:v>stored mechanical state</x:v>
      </x:c>
      <x:c r="F13" s="11" t="str">
        <x:v>independent source isolation and gravity casualty route</x:v>
      </x:c>
      <x:c r="G13" t="str"/>
      <x:c r="H13" t="str">
        <x:v>OPEN</x:v>
      </x:c>
    </x:row>
    <x:row r="14" ht="42" customHeight="1">
      <x:c r="B14" t="str">
        <x:v>RFP-B1-A</x:v>
      </x:c>
      <x:c r="C14" t="str">
        <x:v>RFP-B1</x:v>
      </x:c>
      <x:c r="D14" t="str">
        <x:v>analog hardwired DC</x:v>
      </x:c>
      <x:c r="E14" t="str">
        <x:v>separate battery and wiring</x:v>
      </x:c>
      <x:c r="F14" s="11" t="str">
        <x:v>local sensors command separate final elements</x:v>
      </x:c>
      <x:c r="G14" t="str"/>
      <x:c r="H14" t="str">
        <x:v>OPEN</x:v>
      </x:c>
    </x:row>
    <x:row r="15" ht="42" customHeight="1">
      <x:c r="B15" t="str">
        <x:v>RFP-B1-D</x:v>
      </x:c>
      <x:c r="C15" t="str">
        <x:v>RFP-B1</x:v>
      </x:c>
      <x:c r="D15" t="str">
        <x:v>diverse programmable</x:v>
      </x:c>
      <x:c r="E15" t="str">
        <x:v>local stored actuation energy</x:v>
      </x:c>
      <x:c r="F15" s="11" t="str">
        <x:v>independent processor, logic and final elements</x:v>
      </x:c>
      <x:c r="G15" t="str"/>
      <x:c r="H15" t="str">
        <x:v>OPEN</x:v>
      </x:c>
    </x:row>
    <x:row r="16" ht="42" customHeight="1">
      <x:c r="B16" t="str">
        <x:v>RFP-B2-P</x:v>
      </x:c>
      <x:c r="C16" t="str">
        <x:v>RFP-B2</x:v>
      </x:c>
      <x:c r="D16" t="str">
        <x:v>passive mechanical/thermal</x:v>
      </x:c>
      <x:c r="E16" t="str">
        <x:v>stored mechanical state</x:v>
      </x:c>
      <x:c r="F16" s="11" t="str">
        <x:v>independent source isolation and gravity casualty route</x:v>
      </x:c>
      <x:c r="G16" t="str"/>
      <x:c r="H16" t="str">
        <x:v>OPEN</x:v>
      </x:c>
    </x:row>
    <x:row r="17" ht="42" customHeight="1">
      <x:c r="B17" t="str">
        <x:v>RFP-B2-A</x:v>
      </x:c>
      <x:c r="C17" t="str">
        <x:v>RFP-B2</x:v>
      </x:c>
      <x:c r="D17" t="str">
        <x:v>analog hardwired DC</x:v>
      </x:c>
      <x:c r="E17" t="str">
        <x:v>separate battery and wiring</x:v>
      </x:c>
      <x:c r="F17" s="11" t="str">
        <x:v>local sensors command separate final elements</x:v>
      </x:c>
      <x:c r="G17" t="str"/>
      <x:c r="H17" t="str">
        <x:v>OPEN</x:v>
      </x:c>
    </x:row>
    <x:row r="18" ht="42" customHeight="1">
      <x:c r="B18" t="str">
        <x:v>RFP-B2-D</x:v>
      </x:c>
      <x:c r="C18" t="str">
        <x:v>RFP-B2</x:v>
      </x:c>
      <x:c r="D18" t="str">
        <x:v>diverse programmable</x:v>
      </x:c>
      <x:c r="E18" t="str">
        <x:v>local stored actuation energy</x:v>
      </x:c>
      <x:c r="F18" s="11" t="str">
        <x:v>independent processor, logic and final elements</x:v>
      </x:c>
      <x:c r="G18" t="str"/>
      <x:c r="H18" t="str">
        <x:v>OPEN</x:v>
      </x:c>
    </x:row>
    <x:row r="19" ht="42" customHeight="1">
      <x:c r="B19" t="str">
        <x:v>RFP-C1-P</x:v>
      </x:c>
      <x:c r="C19" t="str">
        <x:v>RFP-C1</x:v>
      </x:c>
      <x:c r="D19" t="str">
        <x:v>passive mechanical/thermal</x:v>
      </x:c>
      <x:c r="E19" t="str">
        <x:v>stored mechanical state</x:v>
      </x:c>
      <x:c r="F19" s="11" t="str">
        <x:v>independent source isolation and gravity casualty route</x:v>
      </x:c>
      <x:c r="G19" t="str"/>
      <x:c r="H19" t="str">
        <x:v>OPEN</x:v>
      </x:c>
    </x:row>
    <x:row r="20" ht="42" customHeight="1">
      <x:c r="B20" t="str">
        <x:v>RFP-C1-A</x:v>
      </x:c>
      <x:c r="C20" t="str">
        <x:v>RFP-C1</x:v>
      </x:c>
      <x:c r="D20" t="str">
        <x:v>analog hardwired DC</x:v>
      </x:c>
      <x:c r="E20" t="str">
        <x:v>separate battery and wiring</x:v>
      </x:c>
      <x:c r="F20" s="11" t="str">
        <x:v>local sensors command separate final elements</x:v>
      </x:c>
      <x:c r="G20" t="str"/>
      <x:c r="H20" t="str">
        <x:v>OPEN</x:v>
      </x:c>
    </x:row>
    <x:row r="21" ht="42" customHeight="1">
      <x:c r="B21" t="str">
        <x:v>RFP-C1-D</x:v>
      </x:c>
      <x:c r="C21" t="str">
        <x:v>RFP-C1</x:v>
      </x:c>
      <x:c r="D21" t="str">
        <x:v>diverse programmable</x:v>
      </x:c>
      <x:c r="E21" t="str">
        <x:v>local stored actuation energy</x:v>
      </x:c>
      <x:c r="F21" s="11" t="str">
        <x:v>independent processor, logic and final elements</x:v>
      </x:c>
      <x:c r="G21" t="str"/>
      <x:c r="H21" t="str">
        <x:v>OPEN</x:v>
      </x:c>
    </x:row>
    <x:row r="22" ht="42" customHeight="1">
      <x:c r="B22" t="str">
        <x:v>RFP-C2-P</x:v>
      </x:c>
      <x:c r="C22" t="str">
        <x:v>RFP-C2</x:v>
      </x:c>
      <x:c r="D22" t="str">
        <x:v>passive mechanical/thermal</x:v>
      </x:c>
      <x:c r="E22" t="str">
        <x:v>stored mechanical state</x:v>
      </x:c>
      <x:c r="F22" s="11" t="str">
        <x:v>independent source isolation and gravity casualty route</x:v>
      </x:c>
      <x:c r="G22" t="str"/>
      <x:c r="H22" t="str">
        <x:v>OPEN</x:v>
      </x:c>
    </x:row>
    <x:row r="23" ht="42" customHeight="1">
      <x:c r="B23" t="str">
        <x:v>RFP-C2-A</x:v>
      </x:c>
      <x:c r="C23" t="str">
        <x:v>RFP-C2</x:v>
      </x:c>
      <x:c r="D23" t="str">
        <x:v>analog hardwired DC</x:v>
      </x:c>
      <x:c r="E23" t="str">
        <x:v>separate battery and wiring</x:v>
      </x:c>
      <x:c r="F23" s="11" t="str">
        <x:v>local sensors command separate final elements</x:v>
      </x:c>
      <x:c r="G23" t="str"/>
      <x:c r="H23" t="str">
        <x:v>OPEN</x:v>
      </x:c>
    </x:row>
    <x:row r="24" ht="42" customHeight="1">
      <x:c r="B24" t="str">
        <x:v>RFP-C2-D</x:v>
      </x:c>
      <x:c r="C24" t="str">
        <x:v>RFP-C2</x:v>
      </x:c>
      <x:c r="D24" t="str">
        <x:v>diverse programmable</x:v>
      </x:c>
      <x:c r="E24" t="str">
        <x:v>local stored actuation energy</x:v>
      </x:c>
      <x:c r="F24" s="11" t="str">
        <x:v>independent processor, logic and final elements</x:v>
      </x:c>
      <x:c r="G24" t="str"/>
      <x:c r="H24" t="str">
        <x:v>OPEN</x:v>
      </x:c>
    </x:row>
  </x:sheetData>
  <x:conditionalFormatting sqref="H7:H24">
    <x:cfRule type="containsText" dxfId="48" priority="1" operator="containsText" text="FAIL"/>
    <x:cfRule type="containsText" dxfId="49" priority="2" operator="containsText" text="BLOCKED"/>
    <x:cfRule type="containsText" dxfId="50" priority="3" operator="containsText" text="OPEN"/>
    <x:cfRule type="containsText" dxfId="51" priority="4" operator="containsText" text="GAP"/>
    <x:cfRule type="containsText" dxfId="52" priority="5" operator="containsText" text="PASS"/>
    <x:cfRule type="containsText" dxfId="53" priority="6" operator="containsText" text="INVALI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8" hidden="0" customWidth="1"/>
    <x:col min="4" max="4" width="61" hidden="0" customWidth="1"/>
    <x:col min="5" max="5" width="59" hidden="0" customWidth="1"/>
    <x:col min="6" max="6" width="13" hidden="0" customWidth="1"/>
  </x:cols>
  <x:sheetData>
    <x:row r="2">
      <x:c r="B2" s="1" t="str">
        <x:v>Eight physical challenge mechanisms</x:v>
      </x:c>
    </x:row>
    <x:row r="3">
      <x:c r="B3" s="2" t="str">
        <x:v>A challenge is accepted only when its physical realization and uncertainty are known.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Challenge</x:v>
      </x:c>
      <x:c r="C6" s="7" t="str">
        <x:v>Name</x:v>
      </x:c>
      <x:c r="D6" s="7" t="str">
        <x:v>Registered state</x:v>
      </x:c>
      <x:c r="E6" s="7" t="str">
        <x:v>Rig mechanism</x:v>
      </x:c>
      <x:c r="F6" s="7" t="str">
        <x:v>Tier</x:v>
      </x:c>
    </x:row>
    <x:row r="7" ht="48" customHeight="1">
      <x:c r="B7" t="str">
        <x:v>A01</x:v>
      </x:c>
      <x:c r="C7" t="str">
        <x:v>adverse grade</x:v>
      </x:c>
      <x:c r="D7" s="11" t="str">
        <x:v>1.0% reverse local grade plus ±25 mm error</x:v>
      </x:c>
      <x:c r="E7" s="11" t="str">
        <x:v>terrain cassettes and public survey</x:v>
      </x:c>
      <x:c r="F7" t="str">
        <x:v>quarter</x:v>
      </x:c>
    </x:row>
    <x:row r="8" ht="48" customHeight="1">
      <x:c r="B8" t="str">
        <x:v>A02</x:v>
      </x:c>
      <x:c r="C8" t="str">
        <x:v>half drain area</x:v>
      </x:c>
      <x:c r="D8" s="11" t="str">
        <x:v>50% effective source-drain area</x:v>
      </x:c>
      <x:c r="E8" s="11" t="str">
        <x:v>blind serialized bay inserts</x:v>
      </x:c>
      <x:c r="F8" t="str">
        <x:v>quarter</x:v>
      </x:c>
    </x:row>
    <x:row r="9" ht="48" customHeight="1">
      <x:c r="B9" t="str">
        <x:v>A03</x:v>
      </x:c>
      <x:c r="C9" t="str">
        <x:v>sump half full</x:v>
      </x:c>
      <x:c r="D9" s="11" t="str">
        <x:v>candidate sump at 50% liquid-equivalent fill</x:v>
      </x:c>
      <x:c r="E9" s="11" t="str">
        <x:v>weighed candidate inventory</x:v>
      </x:c>
      <x:c r="F9" t="str">
        <x:v>quarter</x:v>
      </x:c>
    </x:row>
    <x:row r="10" ht="48" customHeight="1">
      <x:c r="B10" t="str">
        <x:v>A04</x:v>
      </x:c>
      <x:c r="C10" t="str">
        <x:v>debris field</x:v>
      </x:c>
      <x:c r="D10" s="11" t="str">
        <x:v>25% grate coverage plus ten fragments</x:v>
      </x:c>
      <x:c r="E10" s="11" t="str">
        <x:v>blind fragment map and imaging</x:v>
      </x:c>
      <x:c r="F10" t="str">
        <x:v>quarter</x:v>
      </x:c>
    </x:row>
    <x:row r="11" ht="48" customHeight="1">
      <x:c r="B11" t="str">
        <x:v>A05</x:v>
      </x:c>
      <x:c r="C11" t="str">
        <x:v>bounded pool fire</x:v>
      </x:c>
      <x:c r="D11" s="11" t="str">
        <x:v>25 m2 ignited pool</x:v>
      </x:c>
      <x:c r="E11" s="11" t="str">
        <x:v>configurable pool and thermal field</x:v>
      </x:c>
      <x:c r="F11" t="str">
        <x:v>full</x:v>
      </x:c>
    </x:row>
    <x:row r="12" ht="48" customHeight="1">
      <x:c r="B12" t="str">
        <x:v>A06</x:v>
      </x:c>
      <x:c r="C12" t="str">
        <x:v>water capacity shock</x:v>
      </x:c>
      <x:c r="D12" s="11" t="str">
        <x:v>20 min demand; candidate vault starts 50% full</x:v>
      </x:c>
      <x:c r="E12" s="11" t="str">
        <x:v>metered water and candidate inventory</x:v>
      </x:c>
      <x:c r="F12" t="str">
        <x:v>full</x:v>
      </x:c>
    </x:row>
    <x:row r="13" ht="48" customHeight="1">
      <x:c r="B13" t="str">
        <x:v>A07</x:v>
      </x:c>
      <x:c r="C13" t="str">
        <x:v>partial barrier plus wind</x:v>
      </x:c>
      <x:c r="D13" s="11" t="str">
        <x:v>50% barrier plus 1.5 kPa wind</x:v>
      </x:c>
      <x:c r="E13" s="11" t="str">
        <x:v>wind field, geometry witness and heat-flux planes</x:v>
      </x:c>
      <x:c r="F13" t="str">
        <x:v>full</x:v>
      </x:c>
    </x:row>
    <x:row r="14" ht="48" customHeight="1">
      <x:c r="B14" t="str">
        <x:v>A08</x:v>
      </x:c>
      <x:c r="C14" t="str">
        <x:v>compound service denial</x:v>
      </x:c>
      <x:c r="D14" s="11" t="str">
        <x:v>normal energy, network and primary time denied</x:v>
      </x:c>
      <x:c r="E14" s="11" t="str">
        <x:v>three safety paths and native evidence</x:v>
      </x:c>
      <x:c r="F14" t="str">
        <x:v>full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2" hidden="0" customWidth="1"/>
    <x:col min="4" max="4" width="25" hidden="0" customWidth="1"/>
    <x:col min="5" max="5" width="59" hidden="0" customWidth="1"/>
    <x:col min="6" max="6" width="20" hidden="0" customWidth="1"/>
    <x:col min="7" max="7" width="17" hidden="0" customWidth="1"/>
    <x:col min="8" max="8" width="14" hidden="0" customWidth="1"/>
  </x:cols>
  <x:sheetData>
    <x:row r="2">
      <x:c r="B2" s="1" t="str">
        <x:v>Ten methods and rig admission state</x:v>
      </x:c>
    </x:row>
    <x:row r="3">
      <x:c r="B3" s="2" t="str">
        <x:v>Physical commissioning and source authority remain separate from planning completeness.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Method</x:v>
      </x:c>
      <x:c r="C6" s="7" t="str">
        <x:v>Name</x:v>
      </x:c>
      <x:c r="D6" s="7" t="str">
        <x:v>Medium</x:v>
      </x:c>
      <x:c r="E6" s="7" t="str">
        <x:v>Rig burden</x:v>
      </x:c>
      <x:c r="F6" s="7" t="str">
        <x:v>Planning accepted</x:v>
      </x:c>
      <x:c r="G6" s="7" t="str">
        <x:v>Rig admitted</x:v>
      </x:c>
      <x:c r="H6" s="7" t="str">
        <x:v>State</x:v>
      </x:c>
    </x:row>
    <x:row r="7" ht="42" customHeight="1">
      <x:c r="B7" t="str">
        <x:v>AM-00</x:v>
      </x:c>
      <x:c r="C7" t="str">
        <x:v>geometry and grade map</x:v>
      </x:c>
      <x:c r="D7" t="str">
        <x:v>empty</x:v>
      </x:c>
      <x:c r="E7" s="11" t="str">
        <x:v>survey datum, cassette motion and custody</x:v>
      </x:c>
      <x:c r="F7" t="n">
        <x:v>1</x:v>
      </x:c>
      <x:c r="G7" t="n">
        <x:v>0</x:v>
      </x:c>
      <x:c r="H7" t="str">
        <x:v>OPEN</x:v>
      </x:c>
    </x:row>
    <x:row r="8" ht="42" customHeight="1">
      <x:c r="B8" t="str">
        <x:v>AM-01</x:v>
      </x:c>
      <x:c r="C8" t="str">
        <x:v>water-only hydraulics</x:v>
      </x:c>
      <x:c r="D8" t="str">
        <x:v>water</x:v>
      </x:c>
      <x:c r="E8" s="11" t="str">
        <x:v>separate source, water and casualty paths</x:v>
      </x:c>
      <x:c r="F8" t="n">
        <x:v>1</x:v>
      </x:c>
      <x:c r="G8" t="n">
        <x:v>0</x:v>
      </x:c>
      <x:c r="H8" t="str">
        <x:v>OPEN</x:v>
      </x:c>
    </x:row>
    <x:row r="9" ht="42" customHeight="1">
      <x:c r="B9" t="str">
        <x:v>AM-02</x:v>
      </x:c>
      <x:c r="C9" t="str">
        <x:v>safe surrogate capture</x:v>
      </x:c>
      <x:c r="D9" t="str">
        <x:v>500 kg nonflammable</x:v>
      </x:c>
      <x:c r="E9" s="11" t="str">
        <x:v>surface, drain and receiver ledger</x:v>
      </x:c>
      <x:c r="F9" t="n">
        <x:v>1</x:v>
      </x:c>
      <x:c r="G9" t="n">
        <x:v>0</x:v>
      </x:c>
      <x:c r="H9" t="str">
        <x:v>OPEN</x:v>
      </x:c>
    </x:row>
    <x:row r="10" ht="42" customHeight="1">
      <x:c r="B10" t="str">
        <x:v>AM-03</x:v>
      </x:c>
      <x:c r="C10" t="str">
        <x:v>debris and obstruction</x:v>
      </x:c>
      <x:c r="D10" t="str">
        <x:v>500 kg surrogate</x:v>
      </x:c>
      <x:c r="E10" s="11" t="str">
        <x:v>blind obstruction and remote clearing</x:v>
      </x:c>
      <x:c r="F10" t="n">
        <x:v>1</x:v>
      </x:c>
      <x:c r="G10" t="n">
        <x:v>0</x:v>
      </x:c>
      <x:c r="H10" t="str">
        <x:v>OPEN</x:v>
      </x:c>
    </x:row>
    <x:row r="11" ht="42" customHeight="1">
      <x:c r="B11" t="str">
        <x:v>AM-04</x:v>
      </x:c>
      <x:c r="C11" t="str">
        <x:v>firewater segregation</x:v>
      </x:c>
      <x:c r="D11" t="str">
        <x:v>water plus tracer</x:v>
      </x:c>
      <x:c r="E11" s="11" t="str">
        <x:v>cross-path transfer and fractionation</x:v>
      </x:c>
      <x:c r="F11" t="n">
        <x:v>1</x:v>
      </x:c>
      <x:c r="G11" t="n">
        <x:v>0</x:v>
      </x:c>
      <x:c r="H11" t="str">
        <x:v>OPEN</x:v>
      </x:c>
    </x:row>
    <x:row r="12" ht="42" customHeight="1">
      <x:c r="B12" t="str">
        <x:v>AM-05</x:v>
      </x:c>
      <x:c r="C12" t="str">
        <x:v>quarter-source unignited</x:v>
      </x:c>
      <x:c r="D12" t="str">
        <x:v>500 kg source</x:v>
      </x:c>
      <x:c r="E12" s="11" t="str">
        <x:v>source isolation and recovery</x:v>
      </x:c>
      <x:c r="F12" t="n">
        <x:v>1</x:v>
      </x:c>
      <x:c r="G12" t="n">
        <x:v>0</x:v>
      </x:c>
      <x:c r="H12" t="str">
        <x:v>OPEN</x:v>
      </x:c>
    </x:row>
    <x:row r="13" ht="42" customHeight="1">
      <x:c r="B13" t="str">
        <x:v>AM-06</x:v>
      </x:c>
      <x:c r="C13" t="str">
        <x:v>quarter-source fire</x:v>
      </x:c>
      <x:c r="D13" t="str">
        <x:v>500 kg source</x:v>
      </x:c>
      <x:c r="E13" s="11" t="str">
        <x:v>ignition, heat, intervention and runoff</x:v>
      </x:c>
      <x:c r="F13" t="n">
        <x:v>1</x:v>
      </x:c>
      <x:c r="G13" t="n">
        <x:v>0</x:v>
      </x:c>
      <x:c r="H13" t="str">
        <x:v>OPEN</x:v>
      </x:c>
    </x:row>
    <x:row r="14" ht="42" customHeight="1">
      <x:c r="B14" t="str">
        <x:v>AM-07</x:v>
      </x:c>
      <x:c r="C14" t="str">
        <x:v>full-source fire</x:v>
      </x:c>
      <x:c r="D14" t="str">
        <x:v>2,000 kg source</x:v>
      </x:c>
      <x:c r="E14" s="11" t="str">
        <x:v>terminal state and paired contrast</x:v>
      </x:c>
      <x:c r="F14" t="n">
        <x:v>1</x:v>
      </x:c>
      <x:c r="G14" t="n">
        <x:v>0</x:v>
      </x:c>
      <x:c r="H14" t="str">
        <x:v>OPEN</x:v>
      </x:c>
    </x:row>
    <x:row r="15" ht="42" customHeight="1">
      <x:c r="B15" t="str">
        <x:v>AM-08</x:v>
      </x:c>
      <x:c r="C15" t="str">
        <x:v>destructive compound</x:v>
      </x:c>
      <x:c r="D15" t="str">
        <x:v>2,000 kg source</x:v>
      </x:c>
      <x:c r="E15" s="11" t="str">
        <x:v>candidate failure inside public safe state</x:v>
      </x:c>
      <x:c r="F15" t="n">
        <x:v>1</x:v>
      </x:c>
      <x:c r="G15" t="n">
        <x:v>0</x:v>
      </x:c>
      <x:c r="H15" t="str">
        <x:v>OPEN</x:v>
      </x:c>
    </x:row>
    <x:row r="16" ht="42" customHeight="1">
      <x:c r="B16" t="str">
        <x:v>AM-09</x:v>
      </x:c>
      <x:c r="C16" t="str">
        <x:v>recovery and reconstruction</x:v>
      </x:c>
      <x:c r="D16" t="str">
        <x:v>residual/evidence</x:v>
      </x:c>
      <x:c r="E16" s="11" t="str">
        <x:v>restore and replay without origin site</x:v>
      </x:c>
      <x:c r="F16" t="n">
        <x:v>1</x:v>
      </x:c>
      <x:c r="G16" t="n">
        <x:v>0</x:v>
      </x:c>
      <x:c r="H16" t="str">
        <x:v>OPEN</x:v>
      </x:c>
    </x:row>
  </x:sheetData>
  <x:conditionalFormatting sqref="H7:H16">
    <x:cfRule type="containsText" dxfId="54" priority="1" operator="containsText" text="FAIL"/>
    <x:cfRule type="containsText" dxfId="55" priority="2" operator="containsText" text="BLOCKED"/>
    <x:cfRule type="containsText" dxfId="56" priority="3" operator="containsText" text="OPEN"/>
    <x:cfRule type="containsText" dxfId="57" priority="4" operator="containsText" text="GAP"/>
    <x:cfRule type="containsText" dxfId="58" priority="5" operator="containsText" text="PASS"/>
    <x:cfRule type="containsText" dxfId="59" priority="6" operator="containsText" text="INVALI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2" hidden="0" customWidth="1"/>
    <x:col min="4" max="4" width="18" hidden="0" customWidth="1"/>
    <x:col min="5" max="5" width="19" hidden="0" customWidth="1"/>
    <x:col min="6" max="6" width="27" hidden="0" customWidth="1"/>
    <x:col min="7" max="7" width="15" hidden="0" customWidth="1"/>
    <x:col min="8" max="8" width="14" hidden="0" customWidth="1"/>
  </x:cols>
  <x:sheetData>
    <x:row r="2">
      <x:c r="B2" s="1" t="str">
        <x:v>Campaign allocation across six rigs</x:v>
      </x:c>
    </x:row>
    <x:row r="3">
      <x:c r="B3" s="2" t="str">
        <x:v>The planning allocation preserves 306 inherited events and exposes destructive-site concentration.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Rig</x:v>
      </x:c>
      <x:c r="C6" s="7" t="str">
        <x:v>Campus</x:v>
      </x:c>
      <x:c r="D6" s="7" t="str">
        <x:v>Class</x:v>
      </x:c>
      <x:c r="E6" s="7" t="str">
        <x:v>Assigned events</x:v>
      </x:c>
      <x:c r="F6" s="7" t="str">
        <x:v>Planning basis</x:v>
      </x:c>
      <x:c r="G6" s="7" t="str">
        <x:v>Executed</x:v>
      </x:c>
      <x:c r="H6" s="7" t="str">
        <x:v>State</x:v>
      </x:c>
    </x:row>
    <x:row r="7">
      <x:c r="B7" t="str">
        <x:v>RFP-A1</x:v>
      </x:c>
      <x:c r="C7" t="str">
        <x:v>PTC-A</x:v>
      </x:c>
      <x:c r="D7" t="str">
        <x:v>development</x:v>
      </x:c>
      <x:c r="E7" t="n">
        <x:v>12</x:v>
      </x:c>
      <x:c r="F7" t="str">
        <x:v>allocated</x:v>
      </x:c>
      <x:c r="G7" t="n">
        <x:v>0</x:v>
      </x:c>
      <x:c r="H7" t="str">
        <x:v>OPEN</x:v>
      </x:c>
    </x:row>
    <x:row r="8">
      <x:c r="B8" t="str">
        <x:v>RFP-A1</x:v>
      </x:c>
      <x:c r="C8" t="str">
        <x:v>PTC-A</x:v>
      </x:c>
      <x:c r="D8" t="str">
        <x:v>paired</x:v>
      </x:c>
      <x:c r="E8" t="n">
        <x:v>32</x:v>
      </x:c>
      <x:c r="F8" t="str">
        <x:v>allocated</x:v>
      </x:c>
      <x:c r="G8" t="n">
        <x:v>0</x:v>
      </x:c>
      <x:c r="H8" t="str">
        <x:v>OPEN</x:v>
      </x:c>
    </x:row>
    <x:row r="9">
      <x:c r="B9" t="str">
        <x:v>RFP-A1</x:v>
      </x:c>
      <x:c r="C9" t="str">
        <x:v>PTC-A</x:v>
      </x:c>
      <x:c r="D9" t="str">
        <x:v>destructive</x:v>
      </x:c>
      <x:c r="E9" t="n">
        <x:v>12</x:v>
      </x:c>
      <x:c r="F9" t="str">
        <x:v>allocated</x:v>
      </x:c>
      <x:c r="G9" t="n">
        <x:v>0</x:v>
      </x:c>
      <x:c r="H9" t="str">
        <x:v>OPEN</x:v>
      </x:c>
    </x:row>
    <x:row r="10">
      <x:c r="B10" t="str">
        <x:v>RFP-A1</x:v>
      </x:c>
      <x:c r="C10" t="str">
        <x:v>PTC-A</x:v>
      </x:c>
      <x:c r="D10" t="str">
        <x:v>reset</x:v>
      </x:c>
      <x:c r="E10" t="n">
        <x:v>2</x:v>
      </x:c>
      <x:c r="F10" t="str">
        <x:v>allocated</x:v>
      </x:c>
      <x:c r="G10" t="n">
        <x:v>0</x:v>
      </x:c>
      <x:c r="H10" t="str">
        <x:v>OPEN</x:v>
      </x:c>
    </x:row>
    <x:row r="11">
      <x:c r="B11" t="str">
        <x:v>RFP-A1</x:v>
      </x:c>
      <x:c r="C11" t="str">
        <x:v>PTC-A</x:v>
      </x:c>
      <x:c r="D11" t="str">
        <x:v>replay</x:v>
      </x:c>
      <x:c r="E11" t="n">
        <x:v>1</x:v>
      </x:c>
      <x:c r="F11" t="str">
        <x:v>allocated</x:v>
      </x:c>
      <x:c r="G11" t="n">
        <x:v>0</x:v>
      </x:c>
      <x:c r="H11" t="str">
        <x:v>OPEN</x:v>
      </x:c>
    </x:row>
    <x:row r="12">
      <x:c r="B12" t="str">
        <x:v>RFP-A2</x:v>
      </x:c>
      <x:c r="C12" t="str">
        <x:v>PTC-A</x:v>
      </x:c>
      <x:c r="D12" t="str">
        <x:v>development</x:v>
      </x:c>
      <x:c r="E12" t="n">
        <x:v>12</x:v>
      </x:c>
      <x:c r="F12" t="str">
        <x:v>allocated</x:v>
      </x:c>
      <x:c r="G12" t="n">
        <x:v>0</x:v>
      </x:c>
      <x:c r="H12" t="str">
        <x:v>OPEN</x:v>
      </x:c>
    </x:row>
    <x:row r="13">
      <x:c r="B13" t="str">
        <x:v>RFP-A2</x:v>
      </x:c>
      <x:c r="C13" t="str">
        <x:v>PTC-A</x:v>
      </x:c>
      <x:c r="D13" t="str">
        <x:v>paired</x:v>
      </x:c>
      <x:c r="E13" t="n">
        <x:v>32</x:v>
      </x:c>
      <x:c r="F13" t="str">
        <x:v>allocated</x:v>
      </x:c>
      <x:c r="G13" t="n">
        <x:v>0</x:v>
      </x:c>
      <x:c r="H13" t="str">
        <x:v>OPEN</x:v>
      </x:c>
    </x:row>
    <x:row r="14">
      <x:c r="B14" t="str">
        <x:v>RFP-A2</x:v>
      </x:c>
      <x:c r="C14" t="str">
        <x:v>PTC-A</x:v>
      </x:c>
      <x:c r="D14" t="str">
        <x:v>destructive</x:v>
      </x:c>
      <x:c r="E14" t="n">
        <x:v>12</x:v>
      </x:c>
      <x:c r="F14" t="str">
        <x:v>allocated</x:v>
      </x:c>
      <x:c r="G14" t="n">
        <x:v>0</x:v>
      </x:c>
      <x:c r="H14" t="str">
        <x:v>OPEN</x:v>
      </x:c>
    </x:row>
    <x:row r="15">
      <x:c r="B15" t="str">
        <x:v>RFP-A2</x:v>
      </x:c>
      <x:c r="C15" t="str">
        <x:v>PTC-A</x:v>
      </x:c>
      <x:c r="D15" t="str">
        <x:v>reset</x:v>
      </x:c>
      <x:c r="E15" t="n">
        <x:v>2</x:v>
      </x:c>
      <x:c r="F15" t="str">
        <x:v>allocated</x:v>
      </x:c>
      <x:c r="G15" t="n">
        <x:v>0</x:v>
      </x:c>
      <x:c r="H15" t="str">
        <x:v>OPEN</x:v>
      </x:c>
    </x:row>
    <x:row r="16">
      <x:c r="B16" t="str">
        <x:v>RFP-A2</x:v>
      </x:c>
      <x:c r="C16" t="str">
        <x:v>PTC-A</x:v>
      </x:c>
      <x:c r="D16" t="str">
        <x:v>replay</x:v>
      </x:c>
      <x:c r="E16" t="n">
        <x:v>1</x:v>
      </x:c>
      <x:c r="F16" t="str">
        <x:v>allocated</x:v>
      </x:c>
      <x:c r="G16" t="n">
        <x:v>0</x:v>
      </x:c>
      <x:c r="H16" t="str">
        <x:v>OPEN</x:v>
      </x:c>
    </x:row>
    <x:row r="17">
      <x:c r="B17" t="str">
        <x:v>RFP-B1</x:v>
      </x:c>
      <x:c r="C17" t="str">
        <x:v>PTC-B</x:v>
      </x:c>
      <x:c r="D17" t="str">
        <x:v>development</x:v>
      </x:c>
      <x:c r="E17" t="n">
        <x:v>12</x:v>
      </x:c>
      <x:c r="F17" t="str">
        <x:v>allocated</x:v>
      </x:c>
      <x:c r="G17" t="n">
        <x:v>0</x:v>
      </x:c>
      <x:c r="H17" t="str">
        <x:v>OPEN</x:v>
      </x:c>
    </x:row>
    <x:row r="18">
      <x:c r="B18" t="str">
        <x:v>RFP-B1</x:v>
      </x:c>
      <x:c r="C18" t="str">
        <x:v>PTC-B</x:v>
      </x:c>
      <x:c r="D18" t="str">
        <x:v>paired</x:v>
      </x:c>
      <x:c r="E18" t="n">
        <x:v>32</x:v>
      </x:c>
      <x:c r="F18" t="str">
        <x:v>allocated</x:v>
      </x:c>
      <x:c r="G18" t="n">
        <x:v>0</x:v>
      </x:c>
      <x:c r="H18" t="str">
        <x:v>OPEN</x:v>
      </x:c>
    </x:row>
    <x:row r="19">
      <x:c r="B19" t="str">
        <x:v>RFP-B1</x:v>
      </x:c>
      <x:c r="C19" t="str">
        <x:v>PTC-B</x:v>
      </x:c>
      <x:c r="D19" t="str">
        <x:v>destructive</x:v>
      </x:c>
      <x:c r="E19" t="n">
        <x:v>0</x:v>
      </x:c>
      <x:c r="F19" t="str">
        <x:v>not assigned</x:v>
      </x:c>
      <x:c r="G19" t="n">
        <x:v>0</x:v>
      </x:c>
      <x:c r="H19" t="str">
        <x:v>OPEN</x:v>
      </x:c>
    </x:row>
    <x:row r="20">
      <x:c r="B20" t="str">
        <x:v>RFP-B1</x:v>
      </x:c>
      <x:c r="C20" t="str">
        <x:v>PTC-B</x:v>
      </x:c>
      <x:c r="D20" t="str">
        <x:v>reset</x:v>
      </x:c>
      <x:c r="E20" t="n">
        <x:v>2</x:v>
      </x:c>
      <x:c r="F20" t="str">
        <x:v>allocated</x:v>
      </x:c>
      <x:c r="G20" t="n">
        <x:v>0</x:v>
      </x:c>
      <x:c r="H20" t="str">
        <x:v>OPEN</x:v>
      </x:c>
    </x:row>
    <x:row r="21">
      <x:c r="B21" t="str">
        <x:v>RFP-B1</x:v>
      </x:c>
      <x:c r="C21" t="str">
        <x:v>PTC-B</x:v>
      </x:c>
      <x:c r="D21" t="str">
        <x:v>replay</x:v>
      </x:c>
      <x:c r="E21" t="n">
        <x:v>1</x:v>
      </x:c>
      <x:c r="F21" t="str">
        <x:v>allocated</x:v>
      </x:c>
      <x:c r="G21" t="n">
        <x:v>0</x:v>
      </x:c>
      <x:c r="H21" t="str">
        <x:v>OPEN</x:v>
      </x:c>
    </x:row>
    <x:row r="22">
      <x:c r="B22" t="str">
        <x:v>RFP-B2</x:v>
      </x:c>
      <x:c r="C22" t="str">
        <x:v>PTC-B</x:v>
      </x:c>
      <x:c r="D22" t="str">
        <x:v>development</x:v>
      </x:c>
      <x:c r="E22" t="n">
        <x:v>12</x:v>
      </x:c>
      <x:c r="F22" t="str">
        <x:v>allocated</x:v>
      </x:c>
      <x:c r="G22" t="n">
        <x:v>0</x:v>
      </x:c>
      <x:c r="H22" t="str">
        <x:v>OPEN</x:v>
      </x:c>
    </x:row>
    <x:row r="23">
      <x:c r="B23" t="str">
        <x:v>RFP-B2</x:v>
      </x:c>
      <x:c r="C23" t="str">
        <x:v>PTC-B</x:v>
      </x:c>
      <x:c r="D23" t="str">
        <x:v>paired</x:v>
      </x:c>
      <x:c r="E23" t="n">
        <x:v>32</x:v>
      </x:c>
      <x:c r="F23" t="str">
        <x:v>allocated</x:v>
      </x:c>
      <x:c r="G23" t="n">
        <x:v>0</x:v>
      </x:c>
      <x:c r="H23" t="str">
        <x:v>OPEN</x:v>
      </x:c>
    </x:row>
    <x:row r="24">
      <x:c r="B24" t="str">
        <x:v>RFP-B2</x:v>
      </x:c>
      <x:c r="C24" t="str">
        <x:v>PTC-B</x:v>
      </x:c>
      <x:c r="D24" t="str">
        <x:v>destructive</x:v>
      </x:c>
      <x:c r="E24" t="n">
        <x:v>0</x:v>
      </x:c>
      <x:c r="F24" t="str">
        <x:v>not assigned</x:v>
      </x:c>
      <x:c r="G24" t="n">
        <x:v>0</x:v>
      </x:c>
      <x:c r="H24" t="str">
        <x:v>OPEN</x:v>
      </x:c>
    </x:row>
    <x:row r="25">
      <x:c r="B25" t="str">
        <x:v>RFP-B2</x:v>
      </x:c>
      <x:c r="C25" t="str">
        <x:v>PTC-B</x:v>
      </x:c>
      <x:c r="D25" t="str">
        <x:v>reset</x:v>
      </x:c>
      <x:c r="E25" t="n">
        <x:v>2</x:v>
      </x:c>
      <x:c r="F25" t="str">
        <x:v>allocated</x:v>
      </x:c>
      <x:c r="G25" t="n">
        <x:v>0</x:v>
      </x:c>
      <x:c r="H25" t="str">
        <x:v>OPEN</x:v>
      </x:c>
    </x:row>
    <x:row r="26">
      <x:c r="B26" t="str">
        <x:v>RFP-B2</x:v>
      </x:c>
      <x:c r="C26" t="str">
        <x:v>PTC-B</x:v>
      </x:c>
      <x:c r="D26" t="str">
        <x:v>replay</x:v>
      </x:c>
      <x:c r="E26" t="n">
        <x:v>1</x:v>
      </x:c>
      <x:c r="F26" t="str">
        <x:v>allocated</x:v>
      </x:c>
      <x:c r="G26" t="n">
        <x:v>0</x:v>
      </x:c>
      <x:c r="H26" t="str">
        <x:v>OPEN</x:v>
      </x:c>
    </x:row>
    <x:row r="27">
      <x:c r="B27" t="str">
        <x:v>RFP-C1</x:v>
      </x:c>
      <x:c r="C27" t="str">
        <x:v>PTC-C</x:v>
      </x:c>
      <x:c r="D27" t="str">
        <x:v>development</x:v>
      </x:c>
      <x:c r="E27" t="n">
        <x:v>12</x:v>
      </x:c>
      <x:c r="F27" t="str">
        <x:v>allocated</x:v>
      </x:c>
      <x:c r="G27" t="n">
        <x:v>0</x:v>
      </x:c>
      <x:c r="H27" t="str">
        <x:v>OPEN</x:v>
      </x:c>
    </x:row>
    <x:row r="28">
      <x:c r="B28" t="str">
        <x:v>RFP-C1</x:v>
      </x:c>
      <x:c r="C28" t="str">
        <x:v>PTC-C</x:v>
      </x:c>
      <x:c r="D28" t="str">
        <x:v>paired</x:v>
      </x:c>
      <x:c r="E28" t="n">
        <x:v>32</x:v>
      </x:c>
      <x:c r="F28" t="str">
        <x:v>allocated</x:v>
      </x:c>
      <x:c r="G28" t="n">
        <x:v>0</x:v>
      </x:c>
      <x:c r="H28" t="str">
        <x:v>OPEN</x:v>
      </x:c>
    </x:row>
    <x:row r="29">
      <x:c r="B29" t="str">
        <x:v>RFP-C1</x:v>
      </x:c>
      <x:c r="C29" t="str">
        <x:v>PTC-C</x:v>
      </x:c>
      <x:c r="D29" t="str">
        <x:v>destructive</x:v>
      </x:c>
      <x:c r="E29" t="n">
        <x:v>0</x:v>
      </x:c>
      <x:c r="F29" t="str">
        <x:v>not assigned</x:v>
      </x:c>
      <x:c r="G29" t="n">
        <x:v>0</x:v>
      </x:c>
      <x:c r="H29" t="str">
        <x:v>OPEN</x:v>
      </x:c>
    </x:row>
    <x:row r="30">
      <x:c r="B30" t="str">
        <x:v>RFP-C1</x:v>
      </x:c>
      <x:c r="C30" t="str">
        <x:v>PTC-C</x:v>
      </x:c>
      <x:c r="D30" t="str">
        <x:v>reset</x:v>
      </x:c>
      <x:c r="E30" t="n">
        <x:v>2</x:v>
      </x:c>
      <x:c r="F30" t="str">
        <x:v>allocated</x:v>
      </x:c>
      <x:c r="G30" t="n">
        <x:v>0</x:v>
      </x:c>
      <x:c r="H30" t="str">
        <x:v>OPEN</x:v>
      </x:c>
    </x:row>
    <x:row r="31">
      <x:c r="B31" t="str">
        <x:v>RFP-C1</x:v>
      </x:c>
      <x:c r="C31" t="str">
        <x:v>PTC-C</x:v>
      </x:c>
      <x:c r="D31" t="str">
        <x:v>replay</x:v>
      </x:c>
      <x:c r="E31" t="n">
        <x:v>1</x:v>
      </x:c>
      <x:c r="F31" t="str">
        <x:v>allocated</x:v>
      </x:c>
      <x:c r="G31" t="n">
        <x:v>0</x:v>
      </x:c>
      <x:c r="H31" t="str">
        <x:v>OPEN</x:v>
      </x:c>
    </x:row>
    <x:row r="32">
      <x:c r="B32" t="str">
        <x:v>RFP-C2</x:v>
      </x:c>
      <x:c r="C32" t="str">
        <x:v>PTC-C</x:v>
      </x:c>
      <x:c r="D32" t="str">
        <x:v>development</x:v>
      </x:c>
      <x:c r="E32" t="n">
        <x:v>12</x:v>
      </x:c>
      <x:c r="F32" t="str">
        <x:v>allocated</x:v>
      </x:c>
      <x:c r="G32" t="n">
        <x:v>0</x:v>
      </x:c>
      <x:c r="H32" t="str">
        <x:v>OPEN</x:v>
      </x:c>
    </x:row>
    <x:row r="33">
      <x:c r="B33" t="str">
        <x:v>RFP-C2</x:v>
      </x:c>
      <x:c r="C33" t="str">
        <x:v>PTC-C</x:v>
      </x:c>
      <x:c r="D33" t="str">
        <x:v>paired</x:v>
      </x:c>
      <x:c r="E33" t="n">
        <x:v>32</x:v>
      </x:c>
      <x:c r="F33" t="str">
        <x:v>allocated</x:v>
      </x:c>
      <x:c r="G33" t="n">
        <x:v>0</x:v>
      </x:c>
      <x:c r="H33" t="str">
        <x:v>OPEN</x:v>
      </x:c>
    </x:row>
    <x:row r="34">
      <x:c r="B34" t="str">
        <x:v>RFP-C2</x:v>
      </x:c>
      <x:c r="C34" t="str">
        <x:v>PTC-C</x:v>
      </x:c>
      <x:c r="D34" t="str">
        <x:v>destructive</x:v>
      </x:c>
      <x:c r="E34" t="n">
        <x:v>0</x:v>
      </x:c>
      <x:c r="F34" t="str">
        <x:v>not assigned</x:v>
      </x:c>
      <x:c r="G34" t="n">
        <x:v>0</x:v>
      </x:c>
      <x:c r="H34" t="str">
        <x:v>OPEN</x:v>
      </x:c>
    </x:row>
    <x:row r="35">
      <x:c r="B35" t="str">
        <x:v>RFP-C2</x:v>
      </x:c>
      <x:c r="C35" t="str">
        <x:v>PTC-C</x:v>
      </x:c>
      <x:c r="D35" t="str">
        <x:v>reset</x:v>
      </x:c>
      <x:c r="E35" t="n">
        <x:v>2</x:v>
      </x:c>
      <x:c r="F35" t="str">
        <x:v>allocated</x:v>
      </x:c>
      <x:c r="G35" t="n">
        <x:v>0</x:v>
      </x:c>
      <x:c r="H35" t="str">
        <x:v>OPEN</x:v>
      </x:c>
    </x:row>
    <x:row r="36">
      <x:c r="B36" t="str">
        <x:v>RFP-C2</x:v>
      </x:c>
      <x:c r="C36" t="str">
        <x:v>PTC-C</x:v>
      </x:c>
      <x:c r="D36" t="str">
        <x:v>replay</x:v>
      </x:c>
      <x:c r="E36" t="n">
        <x:v>1</x:v>
      </x:c>
      <x:c r="F36" t="str">
        <x:v>allocated</x:v>
      </x:c>
      <x:c r="G36" t="n">
        <x:v>0</x:v>
      </x:c>
      <x:c r="H36" t="str">
        <x:v>OPEN</x:v>
      </x:c>
    </x:row>
    <x:row r="38">
      <x:c r="B38" s="14" t="str">
        <x:v>TOTAL</x:v>
      </x:c>
      <x:c r="C38" s="14" t="str"/>
      <x:c r="D38" s="14" t="str"/>
      <x:c r="E38" s="14" t="n">
        <x:f>SUM(E7:E36)</x:f>
        <x:v>306</x:v>
      </x:c>
      <x:c r="F38" s="14" t="str">
        <x:v>must equal 306</x:v>
      </x:c>
      <x:c r="G38" s="14" t="str"/>
      <x:c r="H38" s="14" t="str"/>
    </x:row>
  </x:sheetData>
  <x:conditionalFormatting sqref="H7:H36">
    <x:cfRule type="containsText" dxfId="60" priority="1" operator="containsText" text="FAIL"/>
    <x:cfRule type="containsText" dxfId="61" priority="2" operator="containsText" text="BLOCKED"/>
    <x:cfRule type="containsText" dxfId="62" priority="3" operator="containsText" text="OPEN"/>
    <x:cfRule type="containsText" dxfId="63" priority="4" operator="containsText" text="GAP"/>
    <x:cfRule type="containsText" dxfId="64" priority="5" operator="containsText" text="PASS"/>
    <x:cfRule type="containsText" dxfId="65" priority="6" operator="containsText" text="INVALI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6" hidden="0" customWidth="1"/>
    <x:col min="4" max="4" width="26" hidden="0" customWidth="1"/>
    <x:col min="5" max="5" width="72" hidden="0" customWidth="1"/>
  </x:cols>
  <x:sheetData>
    <x:row r="2">
      <x:c r="B2" s="1" t="str">
        <x:v>Twelve-stage commissioning ladder</x:v>
      </x:c>
    </x:row>
    <x:row r="3">
      <x:c r="B3" s="2" t="str">
        <x:v>A stage accepts only its exact state. Hardware changes trigger declared regression.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Stage</x:v>
      </x:c>
      <x:c r="C6" s="7" t="str">
        <x:v>Name</x:v>
      </x:c>
      <x:c r="D6" s="7" t="str">
        <x:v>Medium</x:v>
      </x:c>
      <x:c r="E6" s="7" t="str">
        <x:v>Exit evidence</x:v>
      </x:c>
    </x:row>
    <x:row r="7" ht="42" customHeight="1">
      <x:c r="B7" t="str">
        <x:v>CQ-00</x:v>
      </x:c>
      <x:c r="C7" t="str">
        <x:v>design and hazard basis</x:v>
      </x:c>
      <x:c r="D7" t="str">
        <x:v>no medium</x:v>
      </x:c>
      <x:c r="E7" s="11" t="str">
        <x:v>interface, casualty and evidence reviews</x:v>
      </x:c>
    </x:row>
    <x:row r="8" ht="42" customHeight="1">
      <x:c r="B8" t="str">
        <x:v>CQ-01</x:v>
      </x:c>
      <x:c r="C8" t="str">
        <x:v>civil and terrain load proof</x:v>
      </x:c>
      <x:c r="D8" t="str">
        <x:v>water ballast</x:v>
      </x:c>
      <x:c r="E8" s="11" t="str">
        <x:v>field reaction and settlement</x:v>
      </x:c>
    </x:row>
    <x:row r="9" ht="42" customHeight="1">
      <x:c r="B9" t="str">
        <x:v>CQ-02</x:v>
      </x:c>
      <x:c r="C9" t="str">
        <x:v>drain and vault hydrostatic</x:v>
      </x:c>
      <x:c r="D9" t="str">
        <x:v>water</x:v>
      </x:c>
      <x:c r="E9" s="11" t="str">
        <x:v>all normal and casualty paths isolated</x:v>
      </x:c>
    </x:row>
    <x:row r="10" ht="42" customHeight="1">
      <x:c r="B10" t="str">
        <x:v>CQ-03</x:v>
      </x:c>
      <x:c r="C10" t="str">
        <x:v>dry command and safeing</x:v>
      </x:c>
      <x:c r="D10" t="str">
        <x:v>air/inert</x:v>
      </x:c>
      <x:c r="E10" s="11" t="str">
        <x:v>three paths and independent clock</x:v>
      </x:c>
    </x:row>
    <x:row r="11" ht="42" customHeight="1">
      <x:c r="B11" t="str">
        <x:v>CQ-04</x:v>
      </x:c>
      <x:c r="C11" t="str">
        <x:v>water-only full rate</x:v>
      </x:c>
      <x:c r="D11" t="str">
        <x:v>water</x:v>
      </x:c>
      <x:c r="E11" s="11" t="str">
        <x:v>3 m3/min supply and public overflow route</x:v>
      </x:c>
    </x:row>
    <x:row r="12" ht="42" customHeight="1">
      <x:c r="B12" t="str">
        <x:v>CQ-05</x:v>
      </x:c>
      <x:c r="C12" t="str">
        <x:v>tracer separation</x:v>
      </x:c>
      <x:c r="D12" t="str">
        <x:v>water plus tracer</x:v>
      </x:c>
      <x:c r="E12" s="11" t="str">
        <x:v>detect source/water crossover</x:v>
      </x:c>
    </x:row>
    <x:row r="13" ht="42" customHeight="1">
      <x:c r="B13" t="str">
        <x:v>CQ-06</x:v>
      </x:c>
      <x:c r="C13" t="str">
        <x:v>safe surrogate</x:v>
      </x:c>
      <x:c r="D13" t="str">
        <x:v>500 kg</x:v>
      </x:c>
      <x:c r="E13" s="11" t="str">
        <x:v>mass closure and candidate exchange</x:v>
      </x:c>
    </x:row>
    <x:row r="14" ht="42" customHeight="1">
      <x:c r="B14" t="str">
        <x:v>CQ-07</x:v>
      </x:c>
      <x:c r="C14" t="str">
        <x:v>cold ignition surrogate</x:v>
      </x:c>
      <x:c r="D14" t="str">
        <x:v>non-source thermal</x:v>
      </x:c>
      <x:c r="E14" s="11" t="str">
        <x:v>ignition, wind and evidence survival</x:v>
      </x:c>
    </x:row>
    <x:row r="15" ht="42" customHeight="1">
      <x:c r="B15" t="str">
        <x:v>CQ-08</x:v>
      </x:c>
      <x:c r="C15" t="str">
        <x:v>quarter source</x:v>
      </x:c>
      <x:c r="D15" t="str">
        <x:v>500 kg</x:v>
      </x:c>
      <x:c r="E15" s="11" t="str">
        <x:v>separate authority required</x:v>
      </x:c>
    </x:row>
    <x:row r="16" ht="42" customHeight="1">
      <x:c r="B16" t="str">
        <x:v>CQ-09</x:v>
      </x:c>
      <x:c r="C16" t="str">
        <x:v>full source fire</x:v>
      </x:c>
      <x:c r="D16" t="str">
        <x:v>2,000 kg</x:v>
      </x:c>
      <x:c r="E16" s="11" t="str">
        <x:v>separate authority required</x:v>
      </x:c>
    </x:row>
    <x:row r="17" ht="42" customHeight="1">
      <x:c r="B17" t="str">
        <x:v>CQ-10</x:v>
      </x:c>
      <x:c r="C17" t="str">
        <x:v>compound destructive</x:v>
      </x:c>
      <x:c r="D17" t="str">
        <x:v>2,000 kg</x:v>
      </x:c>
      <x:c r="E17" s="11" t="str">
        <x:v>separate authority required</x:v>
      </x:c>
    </x:row>
    <x:row r="18" ht="42" customHeight="1">
      <x:c r="B18" t="str">
        <x:v>CQ-11</x:v>
      </x:c>
      <x:c r="C18" t="str">
        <x:v>recovery and independent replay</x:v>
      </x:c>
      <x:c r="D18" t="str">
        <x:v>residual/evidence</x:v>
      </x:c>
      <x:c r="E18" s="11" t="str">
        <x:v>restore known state at sibling site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42" hidden="0" customWidth="1"/>
    <x:col min="4" max="4" width="12" hidden="0" customWidth="1"/>
    <x:col min="5" max="5" width="21" hidden="0" customWidth="1"/>
    <x:col min="6" max="6" width="14" hidden="0" customWidth="1"/>
  </x:cols>
  <x:sheetData>
    <x:row r="2">
      <x:c r="B2" s="1" t="str">
        <x:v>One hundred forty controlled internal drawing objects</x:v>
      </x:c>
    </x:row>
    <x:row r="3">
      <x:c r="B3" s="2" t="str">
        <x:v>Functional, interface and construction-definition drawings; no production exterior is authorized.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Drawing</x:v>
      </x:c>
      <x:c r="C6" s="7" t="str">
        <x:v>Family</x:v>
      </x:c>
      <x:c r="D6" s="7" t="str">
        <x:v>Sheet</x:v>
      </x:c>
      <x:c r="E6" s="7" t="str">
        <x:v>Released UTC</x:v>
      </x:c>
      <x:c r="F6" s="7" t="str">
        <x:v>State</x:v>
      </x:c>
    </x:row>
    <x:row r="7">
      <x:c r="B7" t="str">
        <x:v>GA-001</x:v>
      </x:c>
      <x:c r="C7" t="str">
        <x:v>general arrangement and datum</x:v>
      </x:c>
      <x:c r="D7" t="n">
        <x:v>1</x:v>
      </x:c>
      <x:c r="E7" t="str"/>
      <x:c r="F7" t="str">
        <x:v>OPEN</x:v>
      </x:c>
    </x:row>
    <x:row r="8">
      <x:c r="B8" t="str">
        <x:v>GA-002</x:v>
      </x:c>
      <x:c r="C8" t="str">
        <x:v>general arrangement and datum</x:v>
      </x:c>
      <x:c r="D8" t="n">
        <x:v>2</x:v>
      </x:c>
      <x:c r="E8" t="str"/>
      <x:c r="F8" t="str">
        <x:v>OPEN</x:v>
      </x:c>
    </x:row>
    <x:row r="9">
      <x:c r="B9" t="str">
        <x:v>GA-003</x:v>
      </x:c>
      <x:c r="C9" t="str">
        <x:v>general arrangement and datum</x:v>
      </x:c>
      <x:c r="D9" t="n">
        <x:v>3</x:v>
      </x:c>
      <x:c r="E9" t="str"/>
      <x:c r="F9" t="str">
        <x:v>OPEN</x:v>
      </x:c>
    </x:row>
    <x:row r="10">
      <x:c r="B10" t="str">
        <x:v>GA-004</x:v>
      </x:c>
      <x:c r="C10" t="str">
        <x:v>general arrangement and datum</x:v>
      </x:c>
      <x:c r="D10" t="n">
        <x:v>4</x:v>
      </x:c>
      <x:c r="E10" t="str"/>
      <x:c r="F10" t="str">
        <x:v>OPEN</x:v>
      </x:c>
    </x:row>
    <x:row r="11">
      <x:c r="B11" t="str">
        <x:v>GA-005</x:v>
      </x:c>
      <x:c r="C11" t="str">
        <x:v>general arrangement and datum</x:v>
      </x:c>
      <x:c r="D11" t="n">
        <x:v>5</x:v>
      </x:c>
      <x:c r="E11" t="str"/>
      <x:c r="F11" t="str">
        <x:v>OPEN</x:v>
      </x:c>
    </x:row>
    <x:row r="12">
      <x:c r="B12" t="str">
        <x:v>GA-006</x:v>
      </x:c>
      <x:c r="C12" t="str">
        <x:v>general arrangement and datum</x:v>
      </x:c>
      <x:c r="D12" t="n">
        <x:v>6</x:v>
      </x:c>
      <x:c r="E12" t="str"/>
      <x:c r="F12" t="str">
        <x:v>OPEN</x:v>
      </x:c>
    </x:row>
    <x:row r="13">
      <x:c r="B13" t="str">
        <x:v>GA-007</x:v>
      </x:c>
      <x:c r="C13" t="str">
        <x:v>general arrangement and datum</x:v>
      </x:c>
      <x:c r="D13" t="n">
        <x:v>7</x:v>
      </x:c>
      <x:c r="E13" t="str"/>
      <x:c r="F13" t="str">
        <x:v>OPEN</x:v>
      </x:c>
    </x:row>
    <x:row r="14">
      <x:c r="B14" t="str">
        <x:v>GA-008</x:v>
      </x:c>
      <x:c r="C14" t="str">
        <x:v>general arrangement and datum</x:v>
      </x:c>
      <x:c r="D14" t="n">
        <x:v>8</x:v>
      </x:c>
      <x:c r="E14" t="str"/>
      <x:c r="F14" t="str">
        <x:v>OPEN</x:v>
      </x:c>
    </x:row>
    <x:row r="15">
      <x:c r="B15" t="str">
        <x:v>GA-009</x:v>
      </x:c>
      <x:c r="C15" t="str">
        <x:v>general arrangement and datum</x:v>
      </x:c>
      <x:c r="D15" t="n">
        <x:v>9</x:v>
      </x:c>
      <x:c r="E15" t="str"/>
      <x:c r="F15" t="str">
        <x:v>OPEN</x:v>
      </x:c>
    </x:row>
    <x:row r="16">
      <x:c r="B16" t="str">
        <x:v>GA-010</x:v>
      </x:c>
      <x:c r="C16" t="str">
        <x:v>general arrangement and datum</x:v>
      </x:c>
      <x:c r="D16" t="n">
        <x:v>10</x:v>
      </x:c>
      <x:c r="E16" t="str"/>
      <x:c r="F16" t="str">
        <x:v>OPEN</x:v>
      </x:c>
    </x:row>
    <x:row r="17">
      <x:c r="B17" t="str">
        <x:v>GA-011</x:v>
      </x:c>
      <x:c r="C17" t="str">
        <x:v>general arrangement and datum</x:v>
      </x:c>
      <x:c r="D17" t="n">
        <x:v>11</x:v>
      </x:c>
      <x:c r="E17" t="str"/>
      <x:c r="F17" t="str">
        <x:v>OPEN</x:v>
      </x:c>
    </x:row>
    <x:row r="18">
      <x:c r="B18" t="str">
        <x:v>GA-012</x:v>
      </x:c>
      <x:c r="C18" t="str">
        <x:v>general arrangement and datum</x:v>
      </x:c>
      <x:c r="D18" t="n">
        <x:v>12</x:v>
      </x:c>
      <x:c r="E18" t="str"/>
      <x:c r="F18" t="str">
        <x:v>OPEN</x:v>
      </x:c>
    </x:row>
    <x:row r="19">
      <x:c r="B19" t="str">
        <x:v>TF-001</x:v>
      </x:c>
      <x:c r="C19" t="str">
        <x:v>terrain field</x:v>
      </x:c>
      <x:c r="D19" t="n">
        <x:v>1</x:v>
      </x:c>
      <x:c r="E19" t="str"/>
      <x:c r="F19" t="str">
        <x:v>OPEN</x:v>
      </x:c>
    </x:row>
    <x:row r="20">
      <x:c r="B20" t="str">
        <x:v>TF-002</x:v>
      </x:c>
      <x:c r="C20" t="str">
        <x:v>terrain field</x:v>
      </x:c>
      <x:c r="D20" t="n">
        <x:v>2</x:v>
      </x:c>
      <x:c r="E20" t="str"/>
      <x:c r="F20" t="str">
        <x:v>OPEN</x:v>
      </x:c>
    </x:row>
    <x:row r="21">
      <x:c r="B21" t="str">
        <x:v>TF-003</x:v>
      </x:c>
      <x:c r="C21" t="str">
        <x:v>terrain field</x:v>
      </x:c>
      <x:c r="D21" t="n">
        <x:v>3</x:v>
      </x:c>
      <x:c r="E21" t="str"/>
      <x:c r="F21" t="str">
        <x:v>OPEN</x:v>
      </x:c>
    </x:row>
    <x:row r="22">
      <x:c r="B22" t="str">
        <x:v>TF-004</x:v>
      </x:c>
      <x:c r="C22" t="str">
        <x:v>terrain field</x:v>
      </x:c>
      <x:c r="D22" t="n">
        <x:v>4</x:v>
      </x:c>
      <x:c r="E22" t="str"/>
      <x:c r="F22" t="str">
        <x:v>OPEN</x:v>
      </x:c>
    </x:row>
    <x:row r="23">
      <x:c r="B23" t="str">
        <x:v>TF-005</x:v>
      </x:c>
      <x:c r="C23" t="str">
        <x:v>terrain field</x:v>
      </x:c>
      <x:c r="D23" t="n">
        <x:v>5</x:v>
      </x:c>
      <x:c r="E23" t="str"/>
      <x:c r="F23" t="str">
        <x:v>OPEN</x:v>
      </x:c>
    </x:row>
    <x:row r="24">
      <x:c r="B24" t="str">
        <x:v>TF-006</x:v>
      </x:c>
      <x:c r="C24" t="str">
        <x:v>terrain field</x:v>
      </x:c>
      <x:c r="D24" t="n">
        <x:v>6</x:v>
      </x:c>
      <x:c r="E24" t="str"/>
      <x:c r="F24" t="str">
        <x:v>OPEN</x:v>
      </x:c>
    </x:row>
    <x:row r="25">
      <x:c r="B25" t="str">
        <x:v>TF-007</x:v>
      </x:c>
      <x:c r="C25" t="str">
        <x:v>terrain field</x:v>
      </x:c>
      <x:c r="D25" t="n">
        <x:v>7</x:v>
      </x:c>
      <x:c r="E25" t="str"/>
      <x:c r="F25" t="str">
        <x:v>OPEN</x:v>
      </x:c>
    </x:row>
    <x:row r="26">
      <x:c r="B26" t="str">
        <x:v>TF-008</x:v>
      </x:c>
      <x:c r="C26" t="str">
        <x:v>terrain field</x:v>
      </x:c>
      <x:c r="D26" t="n">
        <x:v>8</x:v>
      </x:c>
      <x:c r="E26" t="str"/>
      <x:c r="F26" t="str">
        <x:v>OPEN</x:v>
      </x:c>
    </x:row>
    <x:row r="27">
      <x:c r="B27" t="str">
        <x:v>TF-009</x:v>
      </x:c>
      <x:c r="C27" t="str">
        <x:v>terrain field</x:v>
      </x:c>
      <x:c r="D27" t="n">
        <x:v>9</x:v>
      </x:c>
      <x:c r="E27" t="str"/>
      <x:c r="F27" t="str">
        <x:v>OPEN</x:v>
      </x:c>
    </x:row>
    <x:row r="28">
      <x:c r="B28" t="str">
        <x:v>TF-010</x:v>
      </x:c>
      <x:c r="C28" t="str">
        <x:v>terrain field</x:v>
      </x:c>
      <x:c r="D28" t="n">
        <x:v>10</x:v>
      </x:c>
      <x:c r="E28" t="str"/>
      <x:c r="F28" t="str">
        <x:v>OPEN</x:v>
      </x:c>
    </x:row>
    <x:row r="29">
      <x:c r="B29" t="str">
        <x:v>TF-011</x:v>
      </x:c>
      <x:c r="C29" t="str">
        <x:v>terrain field</x:v>
      </x:c>
      <x:c r="D29" t="n">
        <x:v>11</x:v>
      </x:c>
      <x:c r="E29" t="str"/>
      <x:c r="F29" t="str">
        <x:v>OPEN</x:v>
      </x:c>
    </x:row>
    <x:row r="30">
      <x:c r="B30" t="str">
        <x:v>TF-012</x:v>
      </x:c>
      <x:c r="C30" t="str">
        <x:v>terrain field</x:v>
      </x:c>
      <x:c r="D30" t="n">
        <x:v>12</x:v>
      </x:c>
      <x:c r="E30" t="str"/>
      <x:c r="F30" t="str">
        <x:v>OPEN</x:v>
      </x:c>
    </x:row>
    <x:row r="31">
      <x:c r="B31" t="str">
        <x:v>TF-013</x:v>
      </x:c>
      <x:c r="C31" t="str">
        <x:v>terrain field</x:v>
      </x:c>
      <x:c r="D31" t="n">
        <x:v>13</x:v>
      </x:c>
      <x:c r="E31" t="str"/>
      <x:c r="F31" t="str">
        <x:v>OPEN</x:v>
      </x:c>
    </x:row>
    <x:row r="32">
      <x:c r="B32" t="str">
        <x:v>TF-014</x:v>
      </x:c>
      <x:c r="C32" t="str">
        <x:v>terrain field</x:v>
      </x:c>
      <x:c r="D32" t="n">
        <x:v>14</x:v>
      </x:c>
      <x:c r="E32" t="str"/>
      <x:c r="F32" t="str">
        <x:v>OPEN</x:v>
      </x:c>
    </x:row>
    <x:row r="33">
      <x:c r="B33" t="str">
        <x:v>TF-015</x:v>
      </x:c>
      <x:c r="C33" t="str">
        <x:v>terrain field</x:v>
      </x:c>
      <x:c r="D33" t="n">
        <x:v>15</x:v>
      </x:c>
      <x:c r="E33" t="str"/>
      <x:c r="F33" t="str">
        <x:v>OPEN</x:v>
      </x:c>
    </x:row>
    <x:row r="34">
      <x:c r="B34" t="str">
        <x:v>TF-016</x:v>
      </x:c>
      <x:c r="C34" t="str">
        <x:v>terrain field</x:v>
      </x:c>
      <x:c r="D34" t="n">
        <x:v>16</x:v>
      </x:c>
      <x:c r="E34" t="str"/>
      <x:c r="F34" t="str">
        <x:v>OPEN</x:v>
      </x:c>
    </x:row>
    <x:row r="35">
      <x:c r="B35" t="str">
        <x:v>TF-017</x:v>
      </x:c>
      <x:c r="C35" t="str">
        <x:v>terrain field</x:v>
      </x:c>
      <x:c r="D35" t="n">
        <x:v>17</x:v>
      </x:c>
      <x:c r="E35" t="str"/>
      <x:c r="F35" t="str">
        <x:v>OPEN</x:v>
      </x:c>
    </x:row>
    <x:row r="36">
      <x:c r="B36" t="str">
        <x:v>TF-018</x:v>
      </x:c>
      <x:c r="C36" t="str">
        <x:v>terrain field</x:v>
      </x:c>
      <x:c r="D36" t="n">
        <x:v>18</x:v>
      </x:c>
      <x:c r="E36" t="str"/>
      <x:c r="F36" t="str">
        <x:v>OPEN</x:v>
      </x:c>
    </x:row>
    <x:row r="37">
      <x:c r="B37" t="str">
        <x:v>SD-001</x:v>
      </x:c>
      <x:c r="C37" t="str">
        <x:v>source dispenser</x:v>
      </x:c>
      <x:c r="D37" t="n">
        <x:v>1</x:v>
      </x:c>
      <x:c r="E37" t="str"/>
      <x:c r="F37" t="str">
        <x:v>OPEN</x:v>
      </x:c>
    </x:row>
    <x:row r="38">
      <x:c r="B38" t="str">
        <x:v>SD-002</x:v>
      </x:c>
      <x:c r="C38" t="str">
        <x:v>source dispenser</x:v>
      </x:c>
      <x:c r="D38" t="n">
        <x:v>2</x:v>
      </x:c>
      <x:c r="E38" t="str"/>
      <x:c r="F38" t="str">
        <x:v>OPEN</x:v>
      </x:c>
    </x:row>
    <x:row r="39">
      <x:c r="B39" t="str">
        <x:v>SD-003</x:v>
      </x:c>
      <x:c r="C39" t="str">
        <x:v>source dispenser</x:v>
      </x:c>
      <x:c r="D39" t="n">
        <x:v>3</x:v>
      </x:c>
      <x:c r="E39" t="str"/>
      <x:c r="F39" t="str">
        <x:v>OPEN</x:v>
      </x:c>
    </x:row>
    <x:row r="40">
      <x:c r="B40" t="str">
        <x:v>SD-004</x:v>
      </x:c>
      <x:c r="C40" t="str">
        <x:v>source dispenser</x:v>
      </x:c>
      <x:c r="D40" t="n">
        <x:v>4</x:v>
      </x:c>
      <x:c r="E40" t="str"/>
      <x:c r="F40" t="str">
        <x:v>OPEN</x:v>
      </x:c>
    </x:row>
    <x:row r="41">
      <x:c r="B41" t="str">
        <x:v>SD-005</x:v>
      </x:c>
      <x:c r="C41" t="str">
        <x:v>source dispenser</x:v>
      </x:c>
      <x:c r="D41" t="n">
        <x:v>5</x:v>
      </x:c>
      <x:c r="E41" t="str"/>
      <x:c r="F41" t="str">
        <x:v>OPEN</x:v>
      </x:c>
    </x:row>
    <x:row r="42">
      <x:c r="B42" t="str">
        <x:v>SD-006</x:v>
      </x:c>
      <x:c r="C42" t="str">
        <x:v>source dispenser</x:v>
      </x:c>
      <x:c r="D42" t="n">
        <x:v>6</x:v>
      </x:c>
      <x:c r="E42" t="str"/>
      <x:c r="F42" t="str">
        <x:v>OPEN</x:v>
      </x:c>
    </x:row>
    <x:row r="43">
      <x:c r="B43" t="str">
        <x:v>SD-007</x:v>
      </x:c>
      <x:c r="C43" t="str">
        <x:v>source dispenser</x:v>
      </x:c>
      <x:c r="D43" t="n">
        <x:v>7</x:v>
      </x:c>
      <x:c r="E43" t="str"/>
      <x:c r="F43" t="str">
        <x:v>OPEN</x:v>
      </x:c>
    </x:row>
    <x:row r="44">
      <x:c r="B44" t="str">
        <x:v>SD-008</x:v>
      </x:c>
      <x:c r="C44" t="str">
        <x:v>source dispenser</x:v>
      </x:c>
      <x:c r="D44" t="n">
        <x:v>8</x:v>
      </x:c>
      <x:c r="E44" t="str"/>
      <x:c r="F44" t="str">
        <x:v>OPEN</x:v>
      </x:c>
    </x:row>
    <x:row r="45">
      <x:c r="B45" t="str">
        <x:v>SD-009</x:v>
      </x:c>
      <x:c r="C45" t="str">
        <x:v>source dispenser</x:v>
      </x:c>
      <x:c r="D45" t="n">
        <x:v>9</x:v>
      </x:c>
      <x:c r="E45" t="str"/>
      <x:c r="F45" t="str">
        <x:v>OPEN</x:v>
      </x:c>
    </x:row>
    <x:row r="46">
      <x:c r="B46" t="str">
        <x:v>SD-010</x:v>
      </x:c>
      <x:c r="C46" t="str">
        <x:v>source dispenser</x:v>
      </x:c>
      <x:c r="D46" t="n">
        <x:v>10</x:v>
      </x:c>
      <x:c r="E46" t="str"/>
      <x:c r="F46" t="str">
        <x:v>OPEN</x:v>
      </x:c>
    </x:row>
    <x:row r="47">
      <x:c r="B47" t="str">
        <x:v>SD-011</x:v>
      </x:c>
      <x:c r="C47" t="str">
        <x:v>source dispenser</x:v>
      </x:c>
      <x:c r="D47" t="n">
        <x:v>11</x:v>
      </x:c>
      <x:c r="E47" t="str"/>
      <x:c r="F47" t="str">
        <x:v>OPEN</x:v>
      </x:c>
    </x:row>
    <x:row r="48">
      <x:c r="B48" t="str">
        <x:v>SD-012</x:v>
      </x:c>
      <x:c r="C48" t="str">
        <x:v>source dispenser</x:v>
      </x:c>
      <x:c r="D48" t="n">
        <x:v>12</x:v>
      </x:c>
      <x:c r="E48" t="str"/>
      <x:c r="F48" t="str">
        <x:v>OPEN</x:v>
      </x:c>
    </x:row>
    <x:row r="49">
      <x:c r="B49" t="str">
        <x:v>SD-013</x:v>
      </x:c>
      <x:c r="C49" t="str">
        <x:v>source dispenser</x:v>
      </x:c>
      <x:c r="D49" t="n">
        <x:v>13</x:v>
      </x:c>
      <x:c r="E49" t="str"/>
      <x:c r="F49" t="str">
        <x:v>OPEN</x:v>
      </x:c>
    </x:row>
    <x:row r="50">
      <x:c r="B50" t="str">
        <x:v>SD-014</x:v>
      </x:c>
      <x:c r="C50" t="str">
        <x:v>source dispenser</x:v>
      </x:c>
      <x:c r="D50" t="n">
        <x:v>14</x:v>
      </x:c>
      <x:c r="E50" t="str"/>
      <x:c r="F50" t="str">
        <x:v>OPEN</x:v>
      </x:c>
    </x:row>
    <x:row r="51">
      <x:c r="B51" t="str">
        <x:v>DG-001</x:v>
      </x:c>
      <x:c r="C51" t="str">
        <x:v>drain galleries</x:v>
      </x:c>
      <x:c r="D51" t="n">
        <x:v>1</x:v>
      </x:c>
      <x:c r="E51" t="str"/>
      <x:c r="F51" t="str">
        <x:v>OPEN</x:v>
      </x:c>
    </x:row>
    <x:row r="52">
      <x:c r="B52" t="str">
        <x:v>DG-002</x:v>
      </x:c>
      <x:c r="C52" t="str">
        <x:v>drain galleries</x:v>
      </x:c>
      <x:c r="D52" t="n">
        <x:v>2</x:v>
      </x:c>
      <x:c r="E52" t="str"/>
      <x:c r="F52" t="str">
        <x:v>OPEN</x:v>
      </x:c>
    </x:row>
    <x:row r="53">
      <x:c r="B53" t="str">
        <x:v>DG-003</x:v>
      </x:c>
      <x:c r="C53" t="str">
        <x:v>drain galleries</x:v>
      </x:c>
      <x:c r="D53" t="n">
        <x:v>3</x:v>
      </x:c>
      <x:c r="E53" t="str"/>
      <x:c r="F53" t="str">
        <x:v>OPEN</x:v>
      </x:c>
    </x:row>
    <x:row r="54">
      <x:c r="B54" t="str">
        <x:v>DG-004</x:v>
      </x:c>
      <x:c r="C54" t="str">
        <x:v>drain galleries</x:v>
      </x:c>
      <x:c r="D54" t="n">
        <x:v>4</x:v>
      </x:c>
      <x:c r="E54" t="str"/>
      <x:c r="F54" t="str">
        <x:v>OPEN</x:v>
      </x:c>
    </x:row>
    <x:row r="55">
      <x:c r="B55" t="str">
        <x:v>DG-005</x:v>
      </x:c>
      <x:c r="C55" t="str">
        <x:v>drain galleries</x:v>
      </x:c>
      <x:c r="D55" t="n">
        <x:v>5</x:v>
      </x:c>
      <x:c r="E55" t="str"/>
      <x:c r="F55" t="str">
        <x:v>OPEN</x:v>
      </x:c>
    </x:row>
    <x:row r="56">
      <x:c r="B56" t="str">
        <x:v>DG-006</x:v>
      </x:c>
      <x:c r="C56" t="str">
        <x:v>drain galleries</x:v>
      </x:c>
      <x:c r="D56" t="n">
        <x:v>6</x:v>
      </x:c>
      <x:c r="E56" t="str"/>
      <x:c r="F56" t="str">
        <x:v>OPEN</x:v>
      </x:c>
    </x:row>
    <x:row r="57">
      <x:c r="B57" t="str">
        <x:v>DG-007</x:v>
      </x:c>
      <x:c r="C57" t="str">
        <x:v>drain galleries</x:v>
      </x:c>
      <x:c r="D57" t="n">
        <x:v>7</x:v>
      </x:c>
      <x:c r="E57" t="str"/>
      <x:c r="F57" t="str">
        <x:v>OPEN</x:v>
      </x:c>
    </x:row>
    <x:row r="58">
      <x:c r="B58" t="str">
        <x:v>DG-008</x:v>
      </x:c>
      <x:c r="C58" t="str">
        <x:v>drain galleries</x:v>
      </x:c>
      <x:c r="D58" t="n">
        <x:v>8</x:v>
      </x:c>
      <x:c r="E58" t="str"/>
      <x:c r="F58" t="str">
        <x:v>OPEN</x:v>
      </x:c>
    </x:row>
    <x:row r="59">
      <x:c r="B59" t="str">
        <x:v>DG-009</x:v>
      </x:c>
      <x:c r="C59" t="str">
        <x:v>drain galleries</x:v>
      </x:c>
      <x:c r="D59" t="n">
        <x:v>9</x:v>
      </x:c>
      <x:c r="E59" t="str"/>
      <x:c r="F59" t="str">
        <x:v>OPEN</x:v>
      </x:c>
    </x:row>
    <x:row r="60">
      <x:c r="B60" t="str">
        <x:v>DG-010</x:v>
      </x:c>
      <x:c r="C60" t="str">
        <x:v>drain galleries</x:v>
      </x:c>
      <x:c r="D60" t="n">
        <x:v>10</x:v>
      </x:c>
      <x:c r="E60" t="str"/>
      <x:c r="F60" t="str">
        <x:v>OPEN</x:v>
      </x:c>
    </x:row>
    <x:row r="61">
      <x:c r="B61" t="str">
        <x:v>DG-011</x:v>
      </x:c>
      <x:c r="C61" t="str">
        <x:v>drain galleries</x:v>
      </x:c>
      <x:c r="D61" t="n">
        <x:v>11</x:v>
      </x:c>
      <x:c r="E61" t="str"/>
      <x:c r="F61" t="str">
        <x:v>OPEN</x:v>
      </x:c>
    </x:row>
    <x:row r="62">
      <x:c r="B62" t="str">
        <x:v>DG-012</x:v>
      </x:c>
      <x:c r="C62" t="str">
        <x:v>drain galleries</x:v>
      </x:c>
      <x:c r="D62" t="n">
        <x:v>12</x:v>
      </x:c>
      <x:c r="E62" t="str"/>
      <x:c r="F62" t="str">
        <x:v>OPEN</x:v>
      </x:c>
    </x:row>
    <x:row r="63">
      <x:c r="B63" t="str">
        <x:v>DG-013</x:v>
      </x:c>
      <x:c r="C63" t="str">
        <x:v>drain galleries</x:v>
      </x:c>
      <x:c r="D63" t="n">
        <x:v>13</x:v>
      </x:c>
      <x:c r="E63" t="str"/>
      <x:c r="F63" t="str">
        <x:v>OPEN</x:v>
      </x:c>
    </x:row>
    <x:row r="64">
      <x:c r="B64" t="str">
        <x:v>DG-014</x:v>
      </x:c>
      <x:c r="C64" t="str">
        <x:v>drain galleries</x:v>
      </x:c>
      <x:c r="D64" t="n">
        <x:v>14</x:v>
      </x:c>
      <x:c r="E64" t="str"/>
      <x:c r="F64" t="str">
        <x:v>OPEN</x:v>
      </x:c>
    </x:row>
    <x:row r="65">
      <x:c r="B65" t="str">
        <x:v>DG-015</x:v>
      </x:c>
      <x:c r="C65" t="str">
        <x:v>drain galleries</x:v>
      </x:c>
      <x:c r="D65" t="n">
        <x:v>15</x:v>
      </x:c>
      <x:c r="E65" t="str"/>
      <x:c r="F65" t="str">
        <x:v>OPEN</x:v>
      </x:c>
    </x:row>
    <x:row r="66">
      <x:c r="B66" t="str">
        <x:v>DG-016</x:v>
      </x:c>
      <x:c r="C66" t="str">
        <x:v>drain galleries</x:v>
      </x:c>
      <x:c r="D66" t="n">
        <x:v>16</x:v>
      </x:c>
      <x:c r="E66" t="str"/>
      <x:c r="F66" t="str">
        <x:v>OPEN</x:v>
      </x:c>
    </x:row>
    <x:row r="67">
      <x:c r="B67" t="str">
        <x:v>FW-001</x:v>
      </x:c>
      <x:c r="C67" t="str">
        <x:v>firewater and heat rejection</x:v>
      </x:c>
      <x:c r="D67" t="n">
        <x:v>1</x:v>
      </x:c>
      <x:c r="E67" t="str"/>
      <x:c r="F67" t="str">
        <x:v>OPEN</x:v>
      </x:c>
    </x:row>
    <x:row r="68">
      <x:c r="B68" t="str">
        <x:v>FW-002</x:v>
      </x:c>
      <x:c r="C68" t="str">
        <x:v>firewater and heat rejection</x:v>
      </x:c>
      <x:c r="D68" t="n">
        <x:v>2</x:v>
      </x:c>
      <x:c r="E68" t="str"/>
      <x:c r="F68" t="str">
        <x:v>OPEN</x:v>
      </x:c>
    </x:row>
    <x:row r="69">
      <x:c r="B69" t="str">
        <x:v>FW-003</x:v>
      </x:c>
      <x:c r="C69" t="str">
        <x:v>firewater and heat rejection</x:v>
      </x:c>
      <x:c r="D69" t="n">
        <x:v>3</x:v>
      </x:c>
      <x:c r="E69" t="str"/>
      <x:c r="F69" t="str">
        <x:v>OPEN</x:v>
      </x:c>
    </x:row>
    <x:row r="70">
      <x:c r="B70" t="str">
        <x:v>FW-004</x:v>
      </x:c>
      <x:c r="C70" t="str">
        <x:v>firewater and heat rejection</x:v>
      </x:c>
      <x:c r="D70" t="n">
        <x:v>4</x:v>
      </x:c>
      <x:c r="E70" t="str"/>
      <x:c r="F70" t="str">
        <x:v>OPEN</x:v>
      </x:c>
    </x:row>
    <x:row r="71">
      <x:c r="B71" t="str">
        <x:v>FW-005</x:v>
      </x:c>
      <x:c r="C71" t="str">
        <x:v>firewater and heat rejection</x:v>
      </x:c>
      <x:c r="D71" t="n">
        <x:v>5</x:v>
      </x:c>
      <x:c r="E71" t="str"/>
      <x:c r="F71" t="str">
        <x:v>OPEN</x:v>
      </x:c>
    </x:row>
    <x:row r="72">
      <x:c r="B72" t="str">
        <x:v>FW-006</x:v>
      </x:c>
      <x:c r="C72" t="str">
        <x:v>firewater and heat rejection</x:v>
      </x:c>
      <x:c r="D72" t="n">
        <x:v>6</x:v>
      </x:c>
      <x:c r="E72" t="str"/>
      <x:c r="F72" t="str">
        <x:v>OPEN</x:v>
      </x:c>
    </x:row>
    <x:row r="73">
      <x:c r="B73" t="str">
        <x:v>FW-007</x:v>
      </x:c>
      <x:c r="C73" t="str">
        <x:v>firewater and heat rejection</x:v>
      </x:c>
      <x:c r="D73" t="n">
        <x:v>7</x:v>
      </x:c>
      <x:c r="E73" t="str"/>
      <x:c r="F73" t="str">
        <x:v>OPEN</x:v>
      </x:c>
    </x:row>
    <x:row r="74">
      <x:c r="B74" t="str">
        <x:v>FW-008</x:v>
      </x:c>
      <x:c r="C74" t="str">
        <x:v>firewater and heat rejection</x:v>
      </x:c>
      <x:c r="D74" t="n">
        <x:v>8</x:v>
      </x:c>
      <x:c r="E74" t="str"/>
      <x:c r="F74" t="str">
        <x:v>OPEN</x:v>
      </x:c>
    </x:row>
    <x:row r="75">
      <x:c r="B75" t="str">
        <x:v>FW-009</x:v>
      </x:c>
      <x:c r="C75" t="str">
        <x:v>firewater and heat rejection</x:v>
      </x:c>
      <x:c r="D75" t="n">
        <x:v>9</x:v>
      </x:c>
      <x:c r="E75" t="str"/>
      <x:c r="F75" t="str">
        <x:v>OPEN</x:v>
      </x:c>
    </x:row>
    <x:row r="76">
      <x:c r="B76" t="str">
        <x:v>FW-010</x:v>
      </x:c>
      <x:c r="C76" t="str">
        <x:v>firewater and heat rejection</x:v>
      </x:c>
      <x:c r="D76" t="n">
        <x:v>10</x:v>
      </x:c>
      <x:c r="E76" t="str"/>
      <x:c r="F76" t="str">
        <x:v>OPEN</x:v>
      </x:c>
    </x:row>
    <x:row r="77">
      <x:c r="B77" t="str">
        <x:v>FW-011</x:v>
      </x:c>
      <x:c r="C77" t="str">
        <x:v>firewater and heat rejection</x:v>
      </x:c>
      <x:c r="D77" t="n">
        <x:v>11</x:v>
      </x:c>
      <x:c r="E77" t="str"/>
      <x:c r="F77" t="str">
        <x:v>OPEN</x:v>
      </x:c>
    </x:row>
    <x:row r="78">
      <x:c r="B78" t="str">
        <x:v>FW-012</x:v>
      </x:c>
      <x:c r="C78" t="str">
        <x:v>firewater and heat rejection</x:v>
      </x:c>
      <x:c r="D78" t="n">
        <x:v>12</x:v>
      </x:c>
      <x:c r="E78" t="str"/>
      <x:c r="F78" t="str">
        <x:v>OPEN</x:v>
      </x:c>
    </x:row>
    <x:row r="79">
      <x:c r="B79" t="str">
        <x:v>FW-013</x:v>
      </x:c>
      <x:c r="C79" t="str">
        <x:v>firewater and heat rejection</x:v>
      </x:c>
      <x:c r="D79" t="n">
        <x:v>13</x:v>
      </x:c>
      <x:c r="E79" t="str"/>
      <x:c r="F79" t="str">
        <x:v>OPEN</x:v>
      </x:c>
    </x:row>
    <x:row r="80">
      <x:c r="B80" t="str">
        <x:v>FW-014</x:v>
      </x:c>
      <x:c r="C80" t="str">
        <x:v>firewater and heat rejection</x:v>
      </x:c>
      <x:c r="D80" t="n">
        <x:v>14</x:v>
      </x:c>
      <x:c r="E80" t="str"/>
      <x:c r="F80" t="str">
        <x:v>OPEN</x:v>
      </x:c>
    </x:row>
    <x:row r="81">
      <x:c r="B81" t="str">
        <x:v>TB-001</x:v>
      </x:c>
      <x:c r="C81" t="str">
        <x:v>thermal and wind boundary</x:v>
      </x:c>
      <x:c r="D81" t="n">
        <x:v>1</x:v>
      </x:c>
      <x:c r="E81" t="str"/>
      <x:c r="F81" t="str">
        <x:v>OPEN</x:v>
      </x:c>
    </x:row>
    <x:row r="82">
      <x:c r="B82" t="str">
        <x:v>TB-002</x:v>
      </x:c>
      <x:c r="C82" t="str">
        <x:v>thermal and wind boundary</x:v>
      </x:c>
      <x:c r="D82" t="n">
        <x:v>2</x:v>
      </x:c>
      <x:c r="E82" t="str"/>
      <x:c r="F82" t="str">
        <x:v>OPEN</x:v>
      </x:c>
    </x:row>
    <x:row r="83">
      <x:c r="B83" t="str">
        <x:v>TB-003</x:v>
      </x:c>
      <x:c r="C83" t="str">
        <x:v>thermal and wind boundary</x:v>
      </x:c>
      <x:c r="D83" t="n">
        <x:v>3</x:v>
      </x:c>
      <x:c r="E83" t="str"/>
      <x:c r="F83" t="str">
        <x:v>OPEN</x:v>
      </x:c>
    </x:row>
    <x:row r="84">
      <x:c r="B84" t="str">
        <x:v>TB-004</x:v>
      </x:c>
      <x:c r="C84" t="str">
        <x:v>thermal and wind boundary</x:v>
      </x:c>
      <x:c r="D84" t="n">
        <x:v>4</x:v>
      </x:c>
      <x:c r="E84" t="str"/>
      <x:c r="F84" t="str">
        <x:v>OPEN</x:v>
      </x:c>
    </x:row>
    <x:row r="85">
      <x:c r="B85" t="str">
        <x:v>TB-005</x:v>
      </x:c>
      <x:c r="C85" t="str">
        <x:v>thermal and wind boundary</x:v>
      </x:c>
      <x:c r="D85" t="n">
        <x:v>5</x:v>
      </x:c>
      <x:c r="E85" t="str"/>
      <x:c r="F85" t="str">
        <x:v>OPEN</x:v>
      </x:c>
    </x:row>
    <x:row r="86">
      <x:c r="B86" t="str">
        <x:v>TB-006</x:v>
      </x:c>
      <x:c r="C86" t="str">
        <x:v>thermal and wind boundary</x:v>
      </x:c>
      <x:c r="D86" t="n">
        <x:v>6</x:v>
      </x:c>
      <x:c r="E86" t="str"/>
      <x:c r="F86" t="str">
        <x:v>OPEN</x:v>
      </x:c>
    </x:row>
    <x:row r="87">
      <x:c r="B87" t="str">
        <x:v>TB-007</x:v>
      </x:c>
      <x:c r="C87" t="str">
        <x:v>thermal and wind boundary</x:v>
      </x:c>
      <x:c r="D87" t="n">
        <x:v>7</x:v>
      </x:c>
      <x:c r="E87" t="str"/>
      <x:c r="F87" t="str">
        <x:v>OPEN</x:v>
      </x:c>
    </x:row>
    <x:row r="88">
      <x:c r="B88" t="str">
        <x:v>TB-008</x:v>
      </x:c>
      <x:c r="C88" t="str">
        <x:v>thermal and wind boundary</x:v>
      </x:c>
      <x:c r="D88" t="n">
        <x:v>8</x:v>
      </x:c>
      <x:c r="E88" t="str"/>
      <x:c r="F88" t="str">
        <x:v>OPEN</x:v>
      </x:c>
    </x:row>
    <x:row r="89">
      <x:c r="B89" t="str">
        <x:v>TB-009</x:v>
      </x:c>
      <x:c r="C89" t="str">
        <x:v>thermal and wind boundary</x:v>
      </x:c>
      <x:c r="D89" t="n">
        <x:v>9</x:v>
      </x:c>
      <x:c r="E89" t="str"/>
      <x:c r="F89" t="str">
        <x:v>OPEN</x:v>
      </x:c>
    </x:row>
    <x:row r="90">
      <x:c r="B90" t="str">
        <x:v>TB-010</x:v>
      </x:c>
      <x:c r="C90" t="str">
        <x:v>thermal and wind boundary</x:v>
      </x:c>
      <x:c r="D90" t="n">
        <x:v>10</x:v>
      </x:c>
      <x:c r="E90" t="str"/>
      <x:c r="F90" t="str">
        <x:v>OPEN</x:v>
      </x:c>
    </x:row>
    <x:row r="91">
      <x:c r="B91" t="str">
        <x:v>TB-011</x:v>
      </x:c>
      <x:c r="C91" t="str">
        <x:v>thermal and wind boundary</x:v>
      </x:c>
      <x:c r="D91" t="n">
        <x:v>11</x:v>
      </x:c>
      <x:c r="E91" t="str"/>
      <x:c r="F91" t="str">
        <x:v>OPEN</x:v>
      </x:c>
    </x:row>
    <x:row r="92">
      <x:c r="B92" t="str">
        <x:v>TB-012</x:v>
      </x:c>
      <x:c r="C92" t="str">
        <x:v>thermal and wind boundary</x:v>
      </x:c>
      <x:c r="D92" t="n">
        <x:v>12</x:v>
      </x:c>
      <x:c r="E92" t="str"/>
      <x:c r="F92" t="str">
        <x:v>OPEN</x:v>
      </x:c>
    </x:row>
    <x:row r="93">
      <x:c r="B93" t="str">
        <x:v>EP-001</x:v>
      </x:c>
      <x:c r="C93" t="str">
        <x:v>environmental custody</x:v>
      </x:c>
      <x:c r="D93" t="n">
        <x:v>1</x:v>
      </x:c>
      <x:c r="E93" t="str"/>
      <x:c r="F93" t="str">
        <x:v>OPEN</x:v>
      </x:c>
    </x:row>
    <x:row r="94">
      <x:c r="B94" t="str">
        <x:v>EP-002</x:v>
      </x:c>
      <x:c r="C94" t="str">
        <x:v>environmental custody</x:v>
      </x:c>
      <x:c r="D94" t="n">
        <x:v>2</x:v>
      </x:c>
      <x:c r="E94" t="str"/>
      <x:c r="F94" t="str">
        <x:v>OPEN</x:v>
      </x:c>
    </x:row>
    <x:row r="95">
      <x:c r="B95" t="str">
        <x:v>EP-003</x:v>
      </x:c>
      <x:c r="C95" t="str">
        <x:v>environmental custody</x:v>
      </x:c>
      <x:c r="D95" t="n">
        <x:v>3</x:v>
      </x:c>
      <x:c r="E95" t="str"/>
      <x:c r="F95" t="str">
        <x:v>OPEN</x:v>
      </x:c>
    </x:row>
    <x:row r="96">
      <x:c r="B96" t="str">
        <x:v>EP-004</x:v>
      </x:c>
      <x:c r="C96" t="str">
        <x:v>environmental custody</x:v>
      </x:c>
      <x:c r="D96" t="n">
        <x:v>4</x:v>
      </x:c>
      <x:c r="E96" t="str"/>
      <x:c r="F96" t="str">
        <x:v>OPEN</x:v>
      </x:c>
    </x:row>
    <x:row r="97">
      <x:c r="B97" t="str">
        <x:v>EP-005</x:v>
      </x:c>
      <x:c r="C97" t="str">
        <x:v>environmental custody</x:v>
      </x:c>
      <x:c r="D97" t="n">
        <x:v>5</x:v>
      </x:c>
      <x:c r="E97" t="str"/>
      <x:c r="F97" t="str">
        <x:v>OPEN</x:v>
      </x:c>
    </x:row>
    <x:row r="98">
      <x:c r="B98" t="str">
        <x:v>EP-006</x:v>
      </x:c>
      <x:c r="C98" t="str">
        <x:v>environmental custody</x:v>
      </x:c>
      <x:c r="D98" t="n">
        <x:v>6</x:v>
      </x:c>
      <x:c r="E98" t="str"/>
      <x:c r="F98" t="str">
        <x:v>OPEN</x:v>
      </x:c>
    </x:row>
    <x:row r="99">
      <x:c r="B99" t="str">
        <x:v>EP-007</x:v>
      </x:c>
      <x:c r="C99" t="str">
        <x:v>environmental custody</x:v>
      </x:c>
      <x:c r="D99" t="n">
        <x:v>7</x:v>
      </x:c>
      <x:c r="E99" t="str"/>
      <x:c r="F99" t="str">
        <x:v>OPEN</x:v>
      </x:c>
    </x:row>
    <x:row r="100">
      <x:c r="B100" t="str">
        <x:v>EP-008</x:v>
      </x:c>
      <x:c r="C100" t="str">
        <x:v>environmental custody</x:v>
      </x:c>
      <x:c r="D100" t="n">
        <x:v>8</x:v>
      </x:c>
      <x:c r="E100" t="str"/>
      <x:c r="F100" t="str">
        <x:v>OPEN</x:v>
      </x:c>
    </x:row>
    <x:row r="101">
      <x:c r="B101" t="str">
        <x:v>EP-009</x:v>
      </x:c>
      <x:c r="C101" t="str">
        <x:v>environmental custody</x:v>
      </x:c>
      <x:c r="D101" t="n">
        <x:v>9</x:v>
      </x:c>
      <x:c r="E101" t="str"/>
      <x:c r="F101" t="str">
        <x:v>OPEN</x:v>
      </x:c>
    </x:row>
    <x:row r="102">
      <x:c r="B102" t="str">
        <x:v>EP-010</x:v>
      </x:c>
      <x:c r="C102" t="str">
        <x:v>environmental custody</x:v>
      </x:c>
      <x:c r="D102" t="n">
        <x:v>10</x:v>
      </x:c>
      <x:c r="E102" t="str"/>
      <x:c r="F102" t="str">
        <x:v>OPEN</x:v>
      </x:c>
    </x:row>
    <x:row r="103">
      <x:c r="B103" t="str">
        <x:v>EP-011</x:v>
      </x:c>
      <x:c r="C103" t="str">
        <x:v>environmental custody</x:v>
      </x:c>
      <x:c r="D103" t="n">
        <x:v>11</x:v>
      </x:c>
      <x:c r="E103" t="str"/>
      <x:c r="F103" t="str">
        <x:v>OPEN</x:v>
      </x:c>
    </x:row>
    <x:row r="104">
      <x:c r="B104" t="str">
        <x:v>EP-012</x:v>
      </x:c>
      <x:c r="C104" t="str">
        <x:v>environmental custody</x:v>
      </x:c>
      <x:c r="D104" t="n">
        <x:v>12</x:v>
      </x:c>
      <x:c r="E104" t="str"/>
      <x:c r="F104" t="str">
        <x:v>OPEN</x:v>
      </x:c>
    </x:row>
    <x:row r="105">
      <x:c r="B105" t="str">
        <x:v>RC-001</x:v>
      </x:c>
      <x:c r="C105" t="str">
        <x:v>robot and casualty</x:v>
      </x:c>
      <x:c r="D105" t="n">
        <x:v>1</x:v>
      </x:c>
      <x:c r="E105" t="str"/>
      <x:c r="F105" t="str">
        <x:v>OPEN</x:v>
      </x:c>
    </x:row>
    <x:row r="106">
      <x:c r="B106" t="str">
        <x:v>RC-002</x:v>
      </x:c>
      <x:c r="C106" t="str">
        <x:v>robot and casualty</x:v>
      </x:c>
      <x:c r="D106" t="n">
        <x:v>2</x:v>
      </x:c>
      <x:c r="E106" t="str"/>
      <x:c r="F106" t="str">
        <x:v>OPEN</x:v>
      </x:c>
    </x:row>
    <x:row r="107">
      <x:c r="B107" t="str">
        <x:v>RC-003</x:v>
      </x:c>
      <x:c r="C107" t="str">
        <x:v>robot and casualty</x:v>
      </x:c>
      <x:c r="D107" t="n">
        <x:v>3</x:v>
      </x:c>
      <x:c r="E107" t="str"/>
      <x:c r="F107" t="str">
        <x:v>OPEN</x:v>
      </x:c>
    </x:row>
    <x:row r="108">
      <x:c r="B108" t="str">
        <x:v>RC-004</x:v>
      </x:c>
      <x:c r="C108" t="str">
        <x:v>robot and casualty</x:v>
      </x:c>
      <x:c r="D108" t="n">
        <x:v>4</x:v>
      </x:c>
      <x:c r="E108" t="str"/>
      <x:c r="F108" t="str">
        <x:v>OPEN</x:v>
      </x:c>
    </x:row>
    <x:row r="109">
      <x:c r="B109" t="str">
        <x:v>RC-005</x:v>
      </x:c>
      <x:c r="C109" t="str">
        <x:v>robot and casualty</x:v>
      </x:c>
      <x:c r="D109" t="n">
        <x:v>5</x:v>
      </x:c>
      <x:c r="E109" t="str"/>
      <x:c r="F109" t="str">
        <x:v>OPEN</x:v>
      </x:c>
    </x:row>
    <x:row r="110">
      <x:c r="B110" t="str">
        <x:v>RC-006</x:v>
      </x:c>
      <x:c r="C110" t="str">
        <x:v>robot and casualty</x:v>
      </x:c>
      <x:c r="D110" t="n">
        <x:v>6</x:v>
      </x:c>
      <x:c r="E110" t="str"/>
      <x:c r="F110" t="str">
        <x:v>OPEN</x:v>
      </x:c>
    </x:row>
    <x:row r="111">
      <x:c r="B111" t="str">
        <x:v>RC-007</x:v>
      </x:c>
      <x:c r="C111" t="str">
        <x:v>robot and casualty</x:v>
      </x:c>
      <x:c r="D111" t="n">
        <x:v>7</x:v>
      </x:c>
      <x:c r="E111" t="str"/>
      <x:c r="F111" t="str">
        <x:v>OPEN</x:v>
      </x:c>
    </x:row>
    <x:row r="112">
      <x:c r="B112" t="str">
        <x:v>RC-008</x:v>
      </x:c>
      <x:c r="C112" t="str">
        <x:v>robot and casualty</x:v>
      </x:c>
      <x:c r="D112" t="n">
        <x:v>8</x:v>
      </x:c>
      <x:c r="E112" t="str"/>
      <x:c r="F112" t="str">
        <x:v>OPEN</x:v>
      </x:c>
    </x:row>
    <x:row r="113">
      <x:c r="B113" t="str">
        <x:v>RC-009</x:v>
      </x:c>
      <x:c r="C113" t="str">
        <x:v>robot and casualty</x:v>
      </x:c>
      <x:c r="D113" t="n">
        <x:v>9</x:v>
      </x:c>
      <x:c r="E113" t="str"/>
      <x:c r="F113" t="str">
        <x:v>OPEN</x:v>
      </x:c>
    </x:row>
    <x:row r="114">
      <x:c r="B114" t="str">
        <x:v>RC-010</x:v>
      </x:c>
      <x:c r="C114" t="str">
        <x:v>robot and casualty</x:v>
      </x:c>
      <x:c r="D114" t="n">
        <x:v>10</x:v>
      </x:c>
      <x:c r="E114" t="str"/>
      <x:c r="F114" t="str">
        <x:v>OPEN</x:v>
      </x:c>
    </x:row>
    <x:row r="115">
      <x:c r="B115" t="str">
        <x:v>ME-001</x:v>
      </x:c>
      <x:c r="C115" t="str">
        <x:v>measurement and evidence</x:v>
      </x:c>
      <x:c r="D115" t="n">
        <x:v>1</x:v>
      </x:c>
      <x:c r="E115" t="str"/>
      <x:c r="F115" t="str">
        <x:v>OPEN</x:v>
      </x:c>
    </x:row>
    <x:row r="116">
      <x:c r="B116" t="str">
        <x:v>ME-002</x:v>
      </x:c>
      <x:c r="C116" t="str">
        <x:v>measurement and evidence</x:v>
      </x:c>
      <x:c r="D116" t="n">
        <x:v>2</x:v>
      </x:c>
      <x:c r="E116" t="str"/>
      <x:c r="F116" t="str">
        <x:v>OPEN</x:v>
      </x:c>
    </x:row>
    <x:row r="117">
      <x:c r="B117" t="str">
        <x:v>ME-003</x:v>
      </x:c>
      <x:c r="C117" t="str">
        <x:v>measurement and evidence</x:v>
      </x:c>
      <x:c r="D117" t="n">
        <x:v>3</x:v>
      </x:c>
      <x:c r="E117" t="str"/>
      <x:c r="F117" t="str">
        <x:v>OPEN</x:v>
      </x:c>
    </x:row>
    <x:row r="118">
      <x:c r="B118" t="str">
        <x:v>ME-004</x:v>
      </x:c>
      <x:c r="C118" t="str">
        <x:v>measurement and evidence</x:v>
      </x:c>
      <x:c r="D118" t="n">
        <x:v>4</x:v>
      </x:c>
      <x:c r="E118" t="str"/>
      <x:c r="F118" t="str">
        <x:v>OPEN</x:v>
      </x:c>
    </x:row>
    <x:row r="119">
      <x:c r="B119" t="str">
        <x:v>ME-005</x:v>
      </x:c>
      <x:c r="C119" t="str">
        <x:v>measurement and evidence</x:v>
      </x:c>
      <x:c r="D119" t="n">
        <x:v>5</x:v>
      </x:c>
      <x:c r="E119" t="str"/>
      <x:c r="F119" t="str">
        <x:v>OPEN</x:v>
      </x:c>
    </x:row>
    <x:row r="120">
      <x:c r="B120" t="str">
        <x:v>ME-006</x:v>
      </x:c>
      <x:c r="C120" t="str">
        <x:v>measurement and evidence</x:v>
      </x:c>
      <x:c r="D120" t="n">
        <x:v>6</x:v>
      </x:c>
      <x:c r="E120" t="str"/>
      <x:c r="F120" t="str">
        <x:v>OPEN</x:v>
      </x:c>
    </x:row>
    <x:row r="121">
      <x:c r="B121" t="str">
        <x:v>ME-007</x:v>
      </x:c>
      <x:c r="C121" t="str">
        <x:v>measurement and evidence</x:v>
      </x:c>
      <x:c r="D121" t="n">
        <x:v>7</x:v>
      </x:c>
      <x:c r="E121" t="str"/>
      <x:c r="F121" t="str">
        <x:v>OPEN</x:v>
      </x:c>
    </x:row>
    <x:row r="122">
      <x:c r="B122" t="str">
        <x:v>ME-008</x:v>
      </x:c>
      <x:c r="C122" t="str">
        <x:v>measurement and evidence</x:v>
      </x:c>
      <x:c r="D122" t="n">
        <x:v>8</x:v>
      </x:c>
      <x:c r="E122" t="str"/>
      <x:c r="F122" t="str">
        <x:v>OPEN</x:v>
      </x:c>
    </x:row>
    <x:row r="123">
      <x:c r="B123" t="str">
        <x:v>ME-009</x:v>
      </x:c>
      <x:c r="C123" t="str">
        <x:v>measurement and evidence</x:v>
      </x:c>
      <x:c r="D123" t="n">
        <x:v>9</x:v>
      </x:c>
      <x:c r="E123" t="str"/>
      <x:c r="F123" t="str">
        <x:v>OPEN</x:v>
      </x:c>
    </x:row>
    <x:row r="124">
      <x:c r="B124" t="str">
        <x:v>ME-010</x:v>
      </x:c>
      <x:c r="C124" t="str">
        <x:v>measurement and evidence</x:v>
      </x:c>
      <x:c r="D124" t="n">
        <x:v>10</x:v>
      </x:c>
      <x:c r="E124" t="str"/>
      <x:c r="F124" t="str">
        <x:v>OPEN</x:v>
      </x:c>
    </x:row>
    <x:row r="125">
      <x:c r="B125" t="str">
        <x:v>ME-011</x:v>
      </x:c>
      <x:c r="C125" t="str">
        <x:v>measurement and evidence</x:v>
      </x:c>
      <x:c r="D125" t="n">
        <x:v>11</x:v>
      </x:c>
      <x:c r="E125" t="str"/>
      <x:c r="F125" t="str">
        <x:v>OPEN</x:v>
      </x:c>
    </x:row>
    <x:row r="126">
      <x:c r="B126" t="str">
        <x:v>ME-012</x:v>
      </x:c>
      <x:c r="C126" t="str">
        <x:v>measurement and evidence</x:v>
      </x:c>
      <x:c r="D126" t="n">
        <x:v>12</x:v>
      </x:c>
      <x:c r="E126" t="str"/>
      <x:c r="F126" t="str">
        <x:v>OPEN</x:v>
      </x:c>
    </x:row>
    <x:row r="127">
      <x:c r="B127" t="str">
        <x:v>SF-001</x:v>
      </x:c>
      <x:c r="C127" t="str">
        <x:v>safeing</x:v>
      </x:c>
      <x:c r="D127" t="n">
        <x:v>1</x:v>
      </x:c>
      <x:c r="E127" t="str"/>
      <x:c r="F127" t="str">
        <x:v>OPEN</x:v>
      </x:c>
    </x:row>
    <x:row r="128">
      <x:c r="B128" t="str">
        <x:v>SF-002</x:v>
      </x:c>
      <x:c r="C128" t="str">
        <x:v>safeing</x:v>
      </x:c>
      <x:c r="D128" t="n">
        <x:v>2</x:v>
      </x:c>
      <x:c r="E128" t="str"/>
      <x:c r="F128" t="str">
        <x:v>OPEN</x:v>
      </x:c>
    </x:row>
    <x:row r="129">
      <x:c r="B129" t="str">
        <x:v>SF-003</x:v>
      </x:c>
      <x:c r="C129" t="str">
        <x:v>safeing</x:v>
      </x:c>
      <x:c r="D129" t="n">
        <x:v>3</x:v>
      </x:c>
      <x:c r="E129" t="str"/>
      <x:c r="F129" t="str">
        <x:v>OPEN</x:v>
      </x:c>
    </x:row>
    <x:row r="130">
      <x:c r="B130" t="str">
        <x:v>SF-004</x:v>
      </x:c>
      <x:c r="C130" t="str">
        <x:v>safeing</x:v>
      </x:c>
      <x:c r="D130" t="n">
        <x:v>4</x:v>
      </x:c>
      <x:c r="E130" t="str"/>
      <x:c r="F130" t="str">
        <x:v>OPEN</x:v>
      </x:c>
    </x:row>
    <x:row r="131">
      <x:c r="B131" t="str">
        <x:v>SF-005</x:v>
      </x:c>
      <x:c r="C131" t="str">
        <x:v>safeing</x:v>
      </x:c>
      <x:c r="D131" t="n">
        <x:v>5</x:v>
      </x:c>
      <x:c r="E131" t="str"/>
      <x:c r="F131" t="str">
        <x:v>OPEN</x:v>
      </x:c>
    </x:row>
    <x:row r="132">
      <x:c r="B132" t="str">
        <x:v>SF-006</x:v>
      </x:c>
      <x:c r="C132" t="str">
        <x:v>safeing</x:v>
      </x:c>
      <x:c r="D132" t="n">
        <x:v>6</x:v>
      </x:c>
      <x:c r="E132" t="str"/>
      <x:c r="F132" t="str">
        <x:v>OPEN</x:v>
      </x:c>
    </x:row>
    <x:row r="133">
      <x:c r="B133" t="str">
        <x:v>SF-007</x:v>
      </x:c>
      <x:c r="C133" t="str">
        <x:v>safeing</x:v>
      </x:c>
      <x:c r="D133" t="n">
        <x:v>7</x:v>
      </x:c>
      <x:c r="E133" t="str"/>
      <x:c r="F133" t="str">
        <x:v>OPEN</x:v>
      </x:c>
    </x:row>
    <x:row r="134">
      <x:c r="B134" t="str">
        <x:v>SF-008</x:v>
      </x:c>
      <x:c r="C134" t="str">
        <x:v>safeing</x:v>
      </x:c>
      <x:c r="D134" t="n">
        <x:v>8</x:v>
      </x:c>
      <x:c r="E134" t="str"/>
      <x:c r="F134" t="str">
        <x:v>OPEN</x:v>
      </x:c>
    </x:row>
    <x:row r="135">
      <x:c r="B135" t="str">
        <x:v>SF-009</x:v>
      </x:c>
      <x:c r="C135" t="str">
        <x:v>safeing</x:v>
      </x:c>
      <x:c r="D135" t="n">
        <x:v>9</x:v>
      </x:c>
      <x:c r="E135" t="str"/>
      <x:c r="F135" t="str">
        <x:v>OPEN</x:v>
      </x:c>
    </x:row>
    <x:row r="136">
      <x:c r="B136" t="str">
        <x:v>SF-010</x:v>
      </x:c>
      <x:c r="C136" t="str">
        <x:v>safeing</x:v>
      </x:c>
      <x:c r="D136" t="n">
        <x:v>10</x:v>
      </x:c>
      <x:c r="E136" t="str"/>
      <x:c r="F136" t="str">
        <x:v>OPEN</x:v>
      </x:c>
    </x:row>
  </x:sheetData>
  <x:conditionalFormatting sqref="F7:F136">
    <x:cfRule type="containsText" dxfId="66" priority="1" operator="containsText" text="FAIL"/>
    <x:cfRule type="containsText" dxfId="67" priority="2" operator="containsText" text="BLOCKED"/>
    <x:cfRule type="containsText" dxfId="68" priority="3" operator="containsText" text="OPEN"/>
    <x:cfRule type="containsText" dxfId="69" priority="4" operator="containsText" text="GAP"/>
    <x:cfRule type="containsText" dxfId="70" priority="5" operator="containsText" text="PASS"/>
    <x:cfRule type="containsText" dxfId="71" priority="6" operator="containsText" text="INVALID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1" hidden="0" customWidth="1"/>
    <x:col min="3" max="3" width="13" hidden="0" customWidth="1"/>
    <x:col min="4" max="4" width="27" hidden="0" customWidth="1"/>
    <x:col min="5" max="5" width="27" hidden="0" customWidth="1"/>
    <x:col min="6" max="6" width="29" hidden="0" customWidth="1"/>
    <x:col min="7" max="7" width="52" hidden="0" customWidth="1"/>
    <x:col min="8" max="8" width="21" hidden="0" customWidth="1"/>
    <x:col min="9" max="9" width="14" hidden="0" customWidth="1"/>
  </x:cols>
  <x:sheetData>
    <x:row r="2">
      <x:c r="B2" s="1" t="str">
        <x:v>Seventy-two rig-specific interface records</x:v>
      </x:c>
    </x:row>
    <x:row r="3">
      <x:c r="B3" s="2" t="str">
        <x:v>Each interface defines geometry, loads, state, ownership, evidence and physical acceptance.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Record</x:v>
      </x:c>
      <x:c r="C6" s="7" t="str">
        <x:v>Rig</x:v>
      </x:c>
      <x:c r="D6" s="7" t="str">
        <x:v>Boundary</x:v>
      </x:c>
      <x:c r="E6" s="7" t="str">
        <x:v>Public side</x:v>
      </x:c>
      <x:c r="F6" s="7" t="str">
        <x:v>Candidate side</x:v>
      </x:c>
      <x:c r="G6" s="7" t="str">
        <x:v>Invariant</x:v>
      </x:c>
      <x:c r="H6" s="7" t="str">
        <x:v>Accepted UTC</x:v>
      </x:c>
      <x:c r="I6" s="7" t="str">
        <x:v>State</x:v>
      </x:c>
    </x:row>
    <x:row r="7" ht="45" customHeight="1">
      <x:c r="B7" t="str">
        <x:v>RFP-A1-IF-01</x:v>
      </x:c>
      <x:c r="C7" t="str">
        <x:v>RFP-A1</x:v>
      </x:c>
      <x:c r="D7" t="str">
        <x:v>source origin volume</x:v>
      </x:c>
      <x:c r="E7" t="str">
        <x:v>public</x:v>
      </x:c>
      <x:c r="F7" t="str">
        <x:v>candidate adapter</x:v>
      </x:c>
      <x:c r="G7" s="11" t="str">
        <x:v>mass, temperature, time, aperture and location fixed</x:v>
      </x:c>
      <x:c r="H7" t="str"/>
      <x:c r="I7" t="str">
        <x:v>OPEN</x:v>
      </x:c>
    </x:row>
    <x:row r="8" ht="45" customHeight="1">
      <x:c r="B8" t="str">
        <x:v>RFP-A1-IF-02</x:v>
      </x:c>
      <x:c r="C8" t="str">
        <x:v>RFP-A1</x:v>
      </x:c>
      <x:c r="D8" t="str">
        <x:v>terrain datum</x:v>
      </x:c>
      <x:c r="E8" t="str">
        <x:v>public</x:v>
      </x:c>
      <x:c r="F8" t="str">
        <x:v>candidate surface module</x:v>
      </x:c>
      <x:c r="G8" s="11" t="str">
        <x:v>six-axis surveyed frame</x:v>
      </x:c>
      <x:c r="H8" t="str"/>
      <x:c r="I8" t="str">
        <x:v>OPEN</x:v>
      </x:c>
    </x:row>
    <x:row r="9" ht="45" customHeight="1">
      <x:c r="B9" t="str">
        <x:v>RFP-A1-IF-03</x:v>
      </x:c>
      <x:c r="C9" t="str">
        <x:v>RFP-A1</x:v>
      </x:c>
      <x:c r="D9" t="str">
        <x:v>drain opening</x:v>
      </x:c>
      <x:c r="E9" t="str">
        <x:v>public frame</x:v>
      </x:c>
      <x:c r="F9" t="str">
        <x:v>candidate cartridge</x:v>
      </x:c>
      <x:c r="G9" s="11" t="str">
        <x:v>twenty-four bounded bays</x:v>
      </x:c>
      <x:c r="H9" t="str"/>
      <x:c r="I9" t="str">
        <x:v>OPEN</x:v>
      </x:c>
    </x:row>
    <x:row r="10" ht="45" customHeight="1">
      <x:c r="B10" t="str">
        <x:v>RFP-A1-IF-04</x:v>
      </x:c>
      <x:c r="C10" t="str">
        <x:v>RFP-A1</x:v>
      </x:c>
      <x:c r="D10" t="str">
        <x:v>source custody</x:v>
      </x:c>
      <x:c r="E10" t="str">
        <x:v>candidate</x:v>
      </x:c>
      <x:c r="F10" t="str">
        <x:v>candidate receiver</x:v>
      </x:c>
      <x:c r="G10" s="11" t="str">
        <x:v>separate 15 m3 minimum</x:v>
      </x:c>
      <x:c r="H10" t="str"/>
      <x:c r="I10" t="str">
        <x:v>OPEN</x:v>
      </x:c>
    </x:row>
    <x:row r="11" ht="45" customHeight="1">
      <x:c r="B11" t="str">
        <x:v>RFP-A1-IF-05</x:v>
      </x:c>
      <x:c r="C11" t="str">
        <x:v>RFP-A1</x:v>
      </x:c>
      <x:c r="D11" t="str">
        <x:v>water supply</x:v>
      </x:c>
      <x:c r="E11" t="str">
        <x:v>public</x:v>
      </x:c>
      <x:c r="F11" t="str">
        <x:v>candidate nozzles or loop</x:v>
      </x:c>
      <x:c r="G11" s="11" t="str">
        <x:v>3 m3/min at 1.2 MPa</x:v>
      </x:c>
      <x:c r="H11" t="str"/>
      <x:c r="I11" t="str">
        <x:v>OPEN</x:v>
      </x:c>
    </x:row>
    <x:row r="12" ht="45" customHeight="1">
      <x:c r="B12" t="str">
        <x:v>RFP-A1-IF-06</x:v>
      </x:c>
      <x:c r="C12" t="str">
        <x:v>RFP-A1</x:v>
      </x:c>
      <x:c r="D12" t="str">
        <x:v>heat rejection</x:v>
      </x:c>
      <x:c r="E12" t="str">
        <x:v>public structural/utility</x:v>
      </x:c>
      <x:c r="F12" t="str">
        <x:v>candidate exchanger</x:v>
      </x:c>
      <x:c r="G12" s="11" t="str">
        <x:v>20 MW acceptance envelope</x:v>
      </x:c>
      <x:c r="H12" t="str"/>
      <x:c r="I12" t="str">
        <x:v>OPEN</x:v>
      </x:c>
    </x:row>
    <x:row r="13" ht="45" customHeight="1">
      <x:c r="B13" t="str">
        <x:v>RFP-A1-IF-07</x:v>
      </x:c>
      <x:c r="C13" t="str">
        <x:v>RFP-A1</x:v>
      </x:c>
      <x:c r="D13" t="str">
        <x:v>robot corridor</x:v>
      </x:c>
      <x:c r="E13" t="str">
        <x:v>public datum</x:v>
      </x:c>
      <x:c r="F13" t="str">
        <x:v>candidate autonomy</x:v>
      </x:c>
      <x:c r="G13" s="11" t="str">
        <x:v>three 4 m corridors</x:v>
      </x:c>
      <x:c r="H13" t="str"/>
      <x:c r="I13" t="str">
        <x:v>OPEN</x:v>
      </x:c>
    </x:row>
    <x:row r="14" ht="45" customHeight="1">
      <x:c r="B14" t="str">
        <x:v>RFP-A1-IF-08</x:v>
      </x:c>
      <x:c r="C14" t="str">
        <x:v>RFP-A1</x:v>
      </x:c>
      <x:c r="D14" t="str">
        <x:v>clock and evidence</x:v>
      </x:c>
      <x:c r="E14" t="str">
        <x:v>public</x:v>
      </x:c>
      <x:c r="F14" t="str">
        <x:v>candidate read-only feed</x:v>
      </x:c>
      <x:c r="G14" s="11" t="str">
        <x:v>native time plus independent witness</x:v>
      </x:c>
      <x:c r="H14" t="str"/>
      <x:c r="I14" t="str">
        <x:v>OPEN</x:v>
      </x:c>
    </x:row>
    <x:row r="15" ht="45" customHeight="1">
      <x:c r="B15" t="str">
        <x:v>RFP-A1-IF-09</x:v>
      </x:c>
      <x:c r="C15" t="str">
        <x:v>RFP-A1</x:v>
      </x:c>
      <x:c r="D15" t="str">
        <x:v>casualty source path</x:v>
      </x:c>
      <x:c r="E15" t="str">
        <x:v>public safety</x:v>
      </x:c>
      <x:c r="F15" t="str">
        <x:v>isolated tank</x:v>
      </x:c>
      <x:c r="G15" s="11" t="str">
        <x:v>one-way intervention only</x:v>
      </x:c>
      <x:c r="H15" t="str"/>
      <x:c r="I15" t="str">
        <x:v>OPEN</x:v>
      </x:c>
    </x:row>
    <x:row r="16" ht="45" customHeight="1">
      <x:c r="B16" t="str">
        <x:v>RFP-A1-IF-10</x:v>
      </x:c>
      <x:c r="C16" t="str">
        <x:v>RFP-A1</x:v>
      </x:c>
      <x:c r="D16" t="str">
        <x:v>casualty water path</x:v>
      </x:c>
      <x:c r="E16" t="str">
        <x:v>public safety</x:v>
      </x:c>
      <x:c r="F16" t="str">
        <x:v>isolated vault</x:v>
      </x:c>
      <x:c r="G16" s="11" t="str">
        <x:v>one-way intervention only</x:v>
      </x:c>
      <x:c r="H16" t="str"/>
      <x:c r="I16" t="str">
        <x:v>OPEN</x:v>
      </x:c>
    </x:row>
    <x:row r="17" ht="45" customHeight="1">
      <x:c r="B17" t="str">
        <x:v>RFP-A1-IF-11</x:v>
      </x:c>
      <x:c r="C17" t="str">
        <x:v>RFP-A1</x:v>
      </x:c>
      <x:c r="D17" t="str">
        <x:v>environmental perimeter</x:v>
      </x:c>
      <x:c r="E17" t="str">
        <x:v>public</x:v>
      </x:c>
      <x:c r="F17" t="str">
        <x:v>candidate handoff</x:v>
      </x:c>
      <x:c r="G17" s="11" t="str">
        <x:v>closed custody after candidate boundary</x:v>
      </x:c>
      <x:c r="H17" t="str"/>
      <x:c r="I17" t="str">
        <x:v>OPEN</x:v>
      </x:c>
    </x:row>
    <x:row r="18" ht="45" customHeight="1">
      <x:c r="B18" t="str">
        <x:v>RFP-A1-IF-12</x:v>
      </x:c>
      <x:c r="C18" t="str">
        <x:v>RFP-A1</x:v>
      </x:c>
      <x:c r="D18" t="str">
        <x:v>restoration</x:v>
      </x:c>
      <x:c r="E18" t="str">
        <x:v>joint custody</x:v>
      </x:c>
      <x:c r="F18" t="str">
        <x:v>serialized article</x:v>
      </x:c>
      <x:c r="G18" s="11" t="str">
        <x:v>known baseline restored</x:v>
      </x:c>
      <x:c r="H18" t="str"/>
      <x:c r="I18" t="str">
        <x:v>OPEN</x:v>
      </x:c>
    </x:row>
    <x:row r="19" ht="45" customHeight="1">
      <x:c r="B19" t="str">
        <x:v>RFP-A2-IF-01</x:v>
      </x:c>
      <x:c r="C19" t="str">
        <x:v>RFP-A2</x:v>
      </x:c>
      <x:c r="D19" t="str">
        <x:v>source origin volume</x:v>
      </x:c>
      <x:c r="E19" t="str">
        <x:v>public</x:v>
      </x:c>
      <x:c r="F19" t="str">
        <x:v>candidate adapter</x:v>
      </x:c>
      <x:c r="G19" s="11" t="str">
        <x:v>mass, temperature, time, aperture and location fixed</x:v>
      </x:c>
      <x:c r="H19" t="str"/>
      <x:c r="I19" t="str">
        <x:v>OPEN</x:v>
      </x:c>
    </x:row>
    <x:row r="20" ht="45" customHeight="1">
      <x:c r="B20" t="str">
        <x:v>RFP-A2-IF-02</x:v>
      </x:c>
      <x:c r="C20" t="str">
        <x:v>RFP-A2</x:v>
      </x:c>
      <x:c r="D20" t="str">
        <x:v>terrain datum</x:v>
      </x:c>
      <x:c r="E20" t="str">
        <x:v>public</x:v>
      </x:c>
      <x:c r="F20" t="str">
        <x:v>candidate surface module</x:v>
      </x:c>
      <x:c r="G20" s="11" t="str">
        <x:v>six-axis surveyed frame</x:v>
      </x:c>
      <x:c r="H20" t="str"/>
      <x:c r="I20" t="str">
        <x:v>OPEN</x:v>
      </x:c>
    </x:row>
    <x:row r="21" ht="45" customHeight="1">
      <x:c r="B21" t="str">
        <x:v>RFP-A2-IF-03</x:v>
      </x:c>
      <x:c r="C21" t="str">
        <x:v>RFP-A2</x:v>
      </x:c>
      <x:c r="D21" t="str">
        <x:v>drain opening</x:v>
      </x:c>
      <x:c r="E21" t="str">
        <x:v>public frame</x:v>
      </x:c>
      <x:c r="F21" t="str">
        <x:v>candidate cartridge</x:v>
      </x:c>
      <x:c r="G21" s="11" t="str">
        <x:v>twenty-four bounded bays</x:v>
      </x:c>
      <x:c r="H21" t="str"/>
      <x:c r="I21" t="str">
        <x:v>OPEN</x:v>
      </x:c>
    </x:row>
    <x:row r="22" ht="45" customHeight="1">
      <x:c r="B22" t="str">
        <x:v>RFP-A2-IF-04</x:v>
      </x:c>
      <x:c r="C22" t="str">
        <x:v>RFP-A2</x:v>
      </x:c>
      <x:c r="D22" t="str">
        <x:v>source custody</x:v>
      </x:c>
      <x:c r="E22" t="str">
        <x:v>candidate</x:v>
      </x:c>
      <x:c r="F22" t="str">
        <x:v>candidate receiver</x:v>
      </x:c>
      <x:c r="G22" s="11" t="str">
        <x:v>separate 15 m3 minimum</x:v>
      </x:c>
      <x:c r="H22" t="str"/>
      <x:c r="I22" t="str">
        <x:v>OPEN</x:v>
      </x:c>
    </x:row>
    <x:row r="23" ht="45" customHeight="1">
      <x:c r="B23" t="str">
        <x:v>RFP-A2-IF-05</x:v>
      </x:c>
      <x:c r="C23" t="str">
        <x:v>RFP-A2</x:v>
      </x:c>
      <x:c r="D23" t="str">
        <x:v>water supply</x:v>
      </x:c>
      <x:c r="E23" t="str">
        <x:v>public</x:v>
      </x:c>
      <x:c r="F23" t="str">
        <x:v>candidate nozzles or loop</x:v>
      </x:c>
      <x:c r="G23" s="11" t="str">
        <x:v>3 m3/min at 1.2 MPa</x:v>
      </x:c>
      <x:c r="H23" t="str"/>
      <x:c r="I23" t="str">
        <x:v>OPEN</x:v>
      </x:c>
    </x:row>
    <x:row r="24" ht="45" customHeight="1">
      <x:c r="B24" t="str">
        <x:v>RFP-A2-IF-06</x:v>
      </x:c>
      <x:c r="C24" t="str">
        <x:v>RFP-A2</x:v>
      </x:c>
      <x:c r="D24" t="str">
        <x:v>heat rejection</x:v>
      </x:c>
      <x:c r="E24" t="str">
        <x:v>public structural/utility</x:v>
      </x:c>
      <x:c r="F24" t="str">
        <x:v>candidate exchanger</x:v>
      </x:c>
      <x:c r="G24" s="11" t="str">
        <x:v>20 MW acceptance envelope</x:v>
      </x:c>
      <x:c r="H24" t="str"/>
      <x:c r="I24" t="str">
        <x:v>OPEN</x:v>
      </x:c>
    </x:row>
    <x:row r="25" ht="45" customHeight="1">
      <x:c r="B25" t="str">
        <x:v>RFP-A2-IF-07</x:v>
      </x:c>
      <x:c r="C25" t="str">
        <x:v>RFP-A2</x:v>
      </x:c>
      <x:c r="D25" t="str">
        <x:v>robot corridor</x:v>
      </x:c>
      <x:c r="E25" t="str">
        <x:v>public datum</x:v>
      </x:c>
      <x:c r="F25" t="str">
        <x:v>candidate autonomy</x:v>
      </x:c>
      <x:c r="G25" s="11" t="str">
        <x:v>three 4 m corridors</x:v>
      </x:c>
      <x:c r="H25" t="str"/>
      <x:c r="I25" t="str">
        <x:v>OPEN</x:v>
      </x:c>
    </x:row>
    <x:row r="26" ht="45" customHeight="1">
      <x:c r="B26" t="str">
        <x:v>RFP-A2-IF-08</x:v>
      </x:c>
      <x:c r="C26" t="str">
        <x:v>RFP-A2</x:v>
      </x:c>
      <x:c r="D26" t="str">
        <x:v>clock and evidence</x:v>
      </x:c>
      <x:c r="E26" t="str">
        <x:v>public</x:v>
      </x:c>
      <x:c r="F26" t="str">
        <x:v>candidate read-only feed</x:v>
      </x:c>
      <x:c r="G26" s="11" t="str">
        <x:v>native time plus independent witness</x:v>
      </x:c>
      <x:c r="H26" t="str"/>
      <x:c r="I26" t="str">
        <x:v>OPEN</x:v>
      </x:c>
    </x:row>
    <x:row r="27" ht="45" customHeight="1">
      <x:c r="B27" t="str">
        <x:v>RFP-A2-IF-09</x:v>
      </x:c>
      <x:c r="C27" t="str">
        <x:v>RFP-A2</x:v>
      </x:c>
      <x:c r="D27" t="str">
        <x:v>casualty source path</x:v>
      </x:c>
      <x:c r="E27" t="str">
        <x:v>public safety</x:v>
      </x:c>
      <x:c r="F27" t="str">
        <x:v>isolated tank</x:v>
      </x:c>
      <x:c r="G27" s="11" t="str">
        <x:v>one-way intervention only</x:v>
      </x:c>
      <x:c r="H27" t="str"/>
      <x:c r="I27" t="str">
        <x:v>OPEN</x:v>
      </x:c>
    </x:row>
    <x:row r="28" ht="45" customHeight="1">
      <x:c r="B28" t="str">
        <x:v>RFP-A2-IF-10</x:v>
      </x:c>
      <x:c r="C28" t="str">
        <x:v>RFP-A2</x:v>
      </x:c>
      <x:c r="D28" t="str">
        <x:v>casualty water path</x:v>
      </x:c>
      <x:c r="E28" t="str">
        <x:v>public safety</x:v>
      </x:c>
      <x:c r="F28" t="str">
        <x:v>isolated vault</x:v>
      </x:c>
      <x:c r="G28" s="11" t="str">
        <x:v>one-way intervention only</x:v>
      </x:c>
      <x:c r="H28" t="str"/>
      <x:c r="I28" t="str">
        <x:v>OPEN</x:v>
      </x:c>
    </x:row>
    <x:row r="29" ht="45" customHeight="1">
      <x:c r="B29" t="str">
        <x:v>RFP-A2-IF-11</x:v>
      </x:c>
      <x:c r="C29" t="str">
        <x:v>RFP-A2</x:v>
      </x:c>
      <x:c r="D29" t="str">
        <x:v>environmental perimeter</x:v>
      </x:c>
      <x:c r="E29" t="str">
        <x:v>public</x:v>
      </x:c>
      <x:c r="F29" t="str">
        <x:v>candidate handoff</x:v>
      </x:c>
      <x:c r="G29" s="11" t="str">
        <x:v>closed custody after candidate boundary</x:v>
      </x:c>
      <x:c r="H29" t="str"/>
      <x:c r="I29" t="str">
        <x:v>OPEN</x:v>
      </x:c>
    </x:row>
    <x:row r="30" ht="45" customHeight="1">
      <x:c r="B30" t="str">
        <x:v>RFP-A2-IF-12</x:v>
      </x:c>
      <x:c r="C30" t="str">
        <x:v>RFP-A2</x:v>
      </x:c>
      <x:c r="D30" t="str">
        <x:v>restoration</x:v>
      </x:c>
      <x:c r="E30" t="str">
        <x:v>joint custody</x:v>
      </x:c>
      <x:c r="F30" t="str">
        <x:v>serialized article</x:v>
      </x:c>
      <x:c r="G30" s="11" t="str">
        <x:v>known baseline restored</x:v>
      </x:c>
      <x:c r="H30" t="str"/>
      <x:c r="I30" t="str">
        <x:v>OPEN</x:v>
      </x:c>
    </x:row>
    <x:row r="31" ht="45" customHeight="1">
      <x:c r="B31" t="str">
        <x:v>RFP-B1-IF-01</x:v>
      </x:c>
      <x:c r="C31" t="str">
        <x:v>RFP-B1</x:v>
      </x:c>
      <x:c r="D31" t="str">
        <x:v>source origin volume</x:v>
      </x:c>
      <x:c r="E31" t="str">
        <x:v>public</x:v>
      </x:c>
      <x:c r="F31" t="str">
        <x:v>candidate adapter</x:v>
      </x:c>
      <x:c r="G31" s="11" t="str">
        <x:v>mass, temperature, time, aperture and location fixed</x:v>
      </x:c>
      <x:c r="H31" t="str"/>
      <x:c r="I31" t="str">
        <x:v>OPEN</x:v>
      </x:c>
    </x:row>
    <x:row r="32" ht="45" customHeight="1">
      <x:c r="B32" t="str">
        <x:v>RFP-B1-IF-02</x:v>
      </x:c>
      <x:c r="C32" t="str">
        <x:v>RFP-B1</x:v>
      </x:c>
      <x:c r="D32" t="str">
        <x:v>terrain datum</x:v>
      </x:c>
      <x:c r="E32" t="str">
        <x:v>public</x:v>
      </x:c>
      <x:c r="F32" t="str">
        <x:v>candidate surface module</x:v>
      </x:c>
      <x:c r="G32" s="11" t="str">
        <x:v>six-axis surveyed frame</x:v>
      </x:c>
      <x:c r="H32" t="str"/>
      <x:c r="I32" t="str">
        <x:v>OPEN</x:v>
      </x:c>
    </x:row>
    <x:row r="33" ht="45" customHeight="1">
      <x:c r="B33" t="str">
        <x:v>RFP-B1-IF-03</x:v>
      </x:c>
      <x:c r="C33" t="str">
        <x:v>RFP-B1</x:v>
      </x:c>
      <x:c r="D33" t="str">
        <x:v>drain opening</x:v>
      </x:c>
      <x:c r="E33" t="str">
        <x:v>public frame</x:v>
      </x:c>
      <x:c r="F33" t="str">
        <x:v>candidate cartridge</x:v>
      </x:c>
      <x:c r="G33" s="11" t="str">
        <x:v>twenty-four bounded bays</x:v>
      </x:c>
      <x:c r="H33" t="str"/>
      <x:c r="I33" t="str">
        <x:v>OPEN</x:v>
      </x:c>
    </x:row>
    <x:row r="34" ht="45" customHeight="1">
      <x:c r="B34" t="str">
        <x:v>RFP-B1-IF-04</x:v>
      </x:c>
      <x:c r="C34" t="str">
        <x:v>RFP-B1</x:v>
      </x:c>
      <x:c r="D34" t="str">
        <x:v>source custody</x:v>
      </x:c>
      <x:c r="E34" t="str">
        <x:v>candidate</x:v>
      </x:c>
      <x:c r="F34" t="str">
        <x:v>candidate receiver</x:v>
      </x:c>
      <x:c r="G34" s="11" t="str">
        <x:v>separate 15 m3 minimum</x:v>
      </x:c>
      <x:c r="H34" t="str"/>
      <x:c r="I34" t="str">
        <x:v>OPEN</x:v>
      </x:c>
    </x:row>
    <x:row r="35" ht="45" customHeight="1">
      <x:c r="B35" t="str">
        <x:v>RFP-B1-IF-05</x:v>
      </x:c>
      <x:c r="C35" t="str">
        <x:v>RFP-B1</x:v>
      </x:c>
      <x:c r="D35" t="str">
        <x:v>water supply</x:v>
      </x:c>
      <x:c r="E35" t="str">
        <x:v>public</x:v>
      </x:c>
      <x:c r="F35" t="str">
        <x:v>candidate nozzles or loop</x:v>
      </x:c>
      <x:c r="G35" s="11" t="str">
        <x:v>3 m3/min at 1.2 MPa</x:v>
      </x:c>
      <x:c r="H35" t="str"/>
      <x:c r="I35" t="str">
        <x:v>OPEN</x:v>
      </x:c>
    </x:row>
    <x:row r="36" ht="45" customHeight="1">
      <x:c r="B36" t="str">
        <x:v>RFP-B1-IF-06</x:v>
      </x:c>
      <x:c r="C36" t="str">
        <x:v>RFP-B1</x:v>
      </x:c>
      <x:c r="D36" t="str">
        <x:v>heat rejection</x:v>
      </x:c>
      <x:c r="E36" t="str">
        <x:v>public structural/utility</x:v>
      </x:c>
      <x:c r="F36" t="str">
        <x:v>candidate exchanger</x:v>
      </x:c>
      <x:c r="G36" s="11" t="str">
        <x:v>20 MW acceptance envelope</x:v>
      </x:c>
      <x:c r="H36" t="str"/>
      <x:c r="I36" t="str">
        <x:v>OPEN</x:v>
      </x:c>
    </x:row>
    <x:row r="37" ht="45" customHeight="1">
      <x:c r="B37" t="str">
        <x:v>RFP-B1-IF-07</x:v>
      </x:c>
      <x:c r="C37" t="str">
        <x:v>RFP-B1</x:v>
      </x:c>
      <x:c r="D37" t="str">
        <x:v>robot corridor</x:v>
      </x:c>
      <x:c r="E37" t="str">
        <x:v>public datum</x:v>
      </x:c>
      <x:c r="F37" t="str">
        <x:v>candidate autonomy</x:v>
      </x:c>
      <x:c r="G37" s="11" t="str">
        <x:v>three 4 m corridors</x:v>
      </x:c>
      <x:c r="H37" t="str"/>
      <x:c r="I37" t="str">
        <x:v>OPEN</x:v>
      </x:c>
    </x:row>
    <x:row r="38" ht="45" customHeight="1">
      <x:c r="B38" t="str">
        <x:v>RFP-B1-IF-08</x:v>
      </x:c>
      <x:c r="C38" t="str">
        <x:v>RFP-B1</x:v>
      </x:c>
      <x:c r="D38" t="str">
        <x:v>clock and evidence</x:v>
      </x:c>
      <x:c r="E38" t="str">
        <x:v>public</x:v>
      </x:c>
      <x:c r="F38" t="str">
        <x:v>candidate read-only feed</x:v>
      </x:c>
      <x:c r="G38" s="11" t="str">
        <x:v>native time plus independent witness</x:v>
      </x:c>
      <x:c r="H38" t="str"/>
      <x:c r="I38" t="str">
        <x:v>OPEN</x:v>
      </x:c>
    </x:row>
    <x:row r="39" ht="45" customHeight="1">
      <x:c r="B39" t="str">
        <x:v>RFP-B1-IF-09</x:v>
      </x:c>
      <x:c r="C39" t="str">
        <x:v>RFP-B1</x:v>
      </x:c>
      <x:c r="D39" t="str">
        <x:v>casualty source path</x:v>
      </x:c>
      <x:c r="E39" t="str">
        <x:v>public safety</x:v>
      </x:c>
      <x:c r="F39" t="str">
        <x:v>isolated tank</x:v>
      </x:c>
      <x:c r="G39" s="11" t="str">
        <x:v>one-way intervention only</x:v>
      </x:c>
      <x:c r="H39" t="str"/>
      <x:c r="I39" t="str">
        <x:v>OPEN</x:v>
      </x:c>
    </x:row>
    <x:row r="40" ht="45" customHeight="1">
      <x:c r="B40" t="str">
        <x:v>RFP-B1-IF-10</x:v>
      </x:c>
      <x:c r="C40" t="str">
        <x:v>RFP-B1</x:v>
      </x:c>
      <x:c r="D40" t="str">
        <x:v>casualty water path</x:v>
      </x:c>
      <x:c r="E40" t="str">
        <x:v>public safety</x:v>
      </x:c>
      <x:c r="F40" t="str">
        <x:v>isolated vault</x:v>
      </x:c>
      <x:c r="G40" s="11" t="str">
        <x:v>one-way intervention only</x:v>
      </x:c>
      <x:c r="H40" t="str"/>
      <x:c r="I40" t="str">
        <x:v>OPEN</x:v>
      </x:c>
    </x:row>
    <x:row r="41" ht="45" customHeight="1">
      <x:c r="B41" t="str">
        <x:v>RFP-B1-IF-11</x:v>
      </x:c>
      <x:c r="C41" t="str">
        <x:v>RFP-B1</x:v>
      </x:c>
      <x:c r="D41" t="str">
        <x:v>environmental perimeter</x:v>
      </x:c>
      <x:c r="E41" t="str">
        <x:v>public</x:v>
      </x:c>
      <x:c r="F41" t="str">
        <x:v>candidate handoff</x:v>
      </x:c>
      <x:c r="G41" s="11" t="str">
        <x:v>closed custody after candidate boundary</x:v>
      </x:c>
      <x:c r="H41" t="str"/>
      <x:c r="I41" t="str">
        <x:v>OPEN</x:v>
      </x:c>
    </x:row>
    <x:row r="42" ht="45" customHeight="1">
      <x:c r="B42" t="str">
        <x:v>RFP-B1-IF-12</x:v>
      </x:c>
      <x:c r="C42" t="str">
        <x:v>RFP-B1</x:v>
      </x:c>
      <x:c r="D42" t="str">
        <x:v>restoration</x:v>
      </x:c>
      <x:c r="E42" t="str">
        <x:v>joint custody</x:v>
      </x:c>
      <x:c r="F42" t="str">
        <x:v>serialized article</x:v>
      </x:c>
      <x:c r="G42" s="11" t="str">
        <x:v>known baseline restored</x:v>
      </x:c>
      <x:c r="H42" t="str"/>
      <x:c r="I42" t="str">
        <x:v>OPEN</x:v>
      </x:c>
    </x:row>
    <x:row r="43" ht="45" customHeight="1">
      <x:c r="B43" t="str">
        <x:v>RFP-B2-IF-01</x:v>
      </x:c>
      <x:c r="C43" t="str">
        <x:v>RFP-B2</x:v>
      </x:c>
      <x:c r="D43" t="str">
        <x:v>source origin volume</x:v>
      </x:c>
      <x:c r="E43" t="str">
        <x:v>public</x:v>
      </x:c>
      <x:c r="F43" t="str">
        <x:v>candidate adapter</x:v>
      </x:c>
      <x:c r="G43" s="11" t="str">
        <x:v>mass, temperature, time, aperture and location fixed</x:v>
      </x:c>
      <x:c r="H43" t="str"/>
      <x:c r="I43" t="str">
        <x:v>OPEN</x:v>
      </x:c>
    </x:row>
    <x:row r="44" ht="45" customHeight="1">
      <x:c r="B44" t="str">
        <x:v>RFP-B2-IF-02</x:v>
      </x:c>
      <x:c r="C44" t="str">
        <x:v>RFP-B2</x:v>
      </x:c>
      <x:c r="D44" t="str">
        <x:v>terrain datum</x:v>
      </x:c>
      <x:c r="E44" t="str">
        <x:v>public</x:v>
      </x:c>
      <x:c r="F44" t="str">
        <x:v>candidate surface module</x:v>
      </x:c>
      <x:c r="G44" s="11" t="str">
        <x:v>six-axis surveyed frame</x:v>
      </x:c>
      <x:c r="H44" t="str"/>
      <x:c r="I44" t="str">
        <x:v>OPEN</x:v>
      </x:c>
    </x:row>
    <x:row r="45" ht="45" customHeight="1">
      <x:c r="B45" t="str">
        <x:v>RFP-B2-IF-03</x:v>
      </x:c>
      <x:c r="C45" t="str">
        <x:v>RFP-B2</x:v>
      </x:c>
      <x:c r="D45" t="str">
        <x:v>drain opening</x:v>
      </x:c>
      <x:c r="E45" t="str">
        <x:v>public frame</x:v>
      </x:c>
      <x:c r="F45" t="str">
        <x:v>candidate cartridge</x:v>
      </x:c>
      <x:c r="G45" s="11" t="str">
        <x:v>twenty-four bounded bays</x:v>
      </x:c>
      <x:c r="H45" t="str"/>
      <x:c r="I45" t="str">
        <x:v>OPEN</x:v>
      </x:c>
    </x:row>
    <x:row r="46" ht="45" customHeight="1">
      <x:c r="B46" t="str">
        <x:v>RFP-B2-IF-04</x:v>
      </x:c>
      <x:c r="C46" t="str">
        <x:v>RFP-B2</x:v>
      </x:c>
      <x:c r="D46" t="str">
        <x:v>source custody</x:v>
      </x:c>
      <x:c r="E46" t="str">
        <x:v>candidate</x:v>
      </x:c>
      <x:c r="F46" t="str">
        <x:v>candidate receiver</x:v>
      </x:c>
      <x:c r="G46" s="11" t="str">
        <x:v>separate 15 m3 minimum</x:v>
      </x:c>
      <x:c r="H46" t="str"/>
      <x:c r="I46" t="str">
        <x:v>OPEN</x:v>
      </x:c>
    </x:row>
    <x:row r="47" ht="45" customHeight="1">
      <x:c r="B47" t="str">
        <x:v>RFP-B2-IF-05</x:v>
      </x:c>
      <x:c r="C47" t="str">
        <x:v>RFP-B2</x:v>
      </x:c>
      <x:c r="D47" t="str">
        <x:v>water supply</x:v>
      </x:c>
      <x:c r="E47" t="str">
        <x:v>public</x:v>
      </x:c>
      <x:c r="F47" t="str">
        <x:v>candidate nozzles or loop</x:v>
      </x:c>
      <x:c r="G47" s="11" t="str">
        <x:v>3 m3/min at 1.2 MPa</x:v>
      </x:c>
      <x:c r="H47" t="str"/>
      <x:c r="I47" t="str">
        <x:v>OPEN</x:v>
      </x:c>
    </x:row>
    <x:row r="48" ht="45" customHeight="1">
      <x:c r="B48" t="str">
        <x:v>RFP-B2-IF-06</x:v>
      </x:c>
      <x:c r="C48" t="str">
        <x:v>RFP-B2</x:v>
      </x:c>
      <x:c r="D48" t="str">
        <x:v>heat rejection</x:v>
      </x:c>
      <x:c r="E48" t="str">
        <x:v>public structural/utility</x:v>
      </x:c>
      <x:c r="F48" t="str">
        <x:v>candidate exchanger</x:v>
      </x:c>
      <x:c r="G48" s="11" t="str">
        <x:v>20 MW acceptance envelope</x:v>
      </x:c>
      <x:c r="H48" t="str"/>
      <x:c r="I48" t="str">
        <x:v>OPEN</x:v>
      </x:c>
    </x:row>
    <x:row r="49" ht="45" customHeight="1">
      <x:c r="B49" t="str">
        <x:v>RFP-B2-IF-07</x:v>
      </x:c>
      <x:c r="C49" t="str">
        <x:v>RFP-B2</x:v>
      </x:c>
      <x:c r="D49" t="str">
        <x:v>robot corridor</x:v>
      </x:c>
      <x:c r="E49" t="str">
        <x:v>public datum</x:v>
      </x:c>
      <x:c r="F49" t="str">
        <x:v>candidate autonomy</x:v>
      </x:c>
      <x:c r="G49" s="11" t="str">
        <x:v>three 4 m corridors</x:v>
      </x:c>
      <x:c r="H49" t="str"/>
      <x:c r="I49" t="str">
        <x:v>OPEN</x:v>
      </x:c>
    </x:row>
    <x:row r="50" ht="45" customHeight="1">
      <x:c r="B50" t="str">
        <x:v>RFP-B2-IF-08</x:v>
      </x:c>
      <x:c r="C50" t="str">
        <x:v>RFP-B2</x:v>
      </x:c>
      <x:c r="D50" t="str">
        <x:v>clock and evidence</x:v>
      </x:c>
      <x:c r="E50" t="str">
        <x:v>public</x:v>
      </x:c>
      <x:c r="F50" t="str">
        <x:v>candidate read-only feed</x:v>
      </x:c>
      <x:c r="G50" s="11" t="str">
        <x:v>native time plus independent witness</x:v>
      </x:c>
      <x:c r="H50" t="str"/>
      <x:c r="I50" t="str">
        <x:v>OPEN</x:v>
      </x:c>
    </x:row>
    <x:row r="51" ht="45" customHeight="1">
      <x:c r="B51" t="str">
        <x:v>RFP-B2-IF-09</x:v>
      </x:c>
      <x:c r="C51" t="str">
        <x:v>RFP-B2</x:v>
      </x:c>
      <x:c r="D51" t="str">
        <x:v>casualty source path</x:v>
      </x:c>
      <x:c r="E51" t="str">
        <x:v>public safety</x:v>
      </x:c>
      <x:c r="F51" t="str">
        <x:v>isolated tank</x:v>
      </x:c>
      <x:c r="G51" s="11" t="str">
        <x:v>one-way intervention only</x:v>
      </x:c>
      <x:c r="H51" t="str"/>
      <x:c r="I51" t="str">
        <x:v>OPEN</x:v>
      </x:c>
    </x:row>
    <x:row r="52" ht="45" customHeight="1">
      <x:c r="B52" t="str">
        <x:v>RFP-B2-IF-10</x:v>
      </x:c>
      <x:c r="C52" t="str">
        <x:v>RFP-B2</x:v>
      </x:c>
      <x:c r="D52" t="str">
        <x:v>casualty water path</x:v>
      </x:c>
      <x:c r="E52" t="str">
        <x:v>public safety</x:v>
      </x:c>
      <x:c r="F52" t="str">
        <x:v>isolated vault</x:v>
      </x:c>
      <x:c r="G52" s="11" t="str">
        <x:v>one-way intervention only</x:v>
      </x:c>
      <x:c r="H52" t="str"/>
      <x:c r="I52" t="str">
        <x:v>OPEN</x:v>
      </x:c>
    </x:row>
    <x:row r="53" ht="45" customHeight="1">
      <x:c r="B53" t="str">
        <x:v>RFP-B2-IF-11</x:v>
      </x:c>
      <x:c r="C53" t="str">
        <x:v>RFP-B2</x:v>
      </x:c>
      <x:c r="D53" t="str">
        <x:v>environmental perimeter</x:v>
      </x:c>
      <x:c r="E53" t="str">
        <x:v>public</x:v>
      </x:c>
      <x:c r="F53" t="str">
        <x:v>candidate handoff</x:v>
      </x:c>
      <x:c r="G53" s="11" t="str">
        <x:v>closed custody after candidate boundary</x:v>
      </x:c>
      <x:c r="H53" t="str"/>
      <x:c r="I53" t="str">
        <x:v>OPEN</x:v>
      </x:c>
    </x:row>
    <x:row r="54" ht="45" customHeight="1">
      <x:c r="B54" t="str">
        <x:v>RFP-B2-IF-12</x:v>
      </x:c>
      <x:c r="C54" t="str">
        <x:v>RFP-B2</x:v>
      </x:c>
      <x:c r="D54" t="str">
        <x:v>restoration</x:v>
      </x:c>
      <x:c r="E54" t="str">
        <x:v>joint custody</x:v>
      </x:c>
      <x:c r="F54" t="str">
        <x:v>serialized article</x:v>
      </x:c>
      <x:c r="G54" s="11" t="str">
        <x:v>known baseline restored</x:v>
      </x:c>
      <x:c r="H54" t="str"/>
      <x:c r="I54" t="str">
        <x:v>OPEN</x:v>
      </x:c>
    </x:row>
    <x:row r="55" ht="45" customHeight="1">
      <x:c r="B55" t="str">
        <x:v>RFP-C1-IF-01</x:v>
      </x:c>
      <x:c r="C55" t="str">
        <x:v>RFP-C1</x:v>
      </x:c>
      <x:c r="D55" t="str">
        <x:v>source origin volume</x:v>
      </x:c>
      <x:c r="E55" t="str">
        <x:v>public</x:v>
      </x:c>
      <x:c r="F55" t="str">
        <x:v>candidate adapter</x:v>
      </x:c>
      <x:c r="G55" s="11" t="str">
        <x:v>mass, temperature, time, aperture and location fixed</x:v>
      </x:c>
      <x:c r="H55" t="str"/>
      <x:c r="I55" t="str">
        <x:v>OPEN</x:v>
      </x:c>
    </x:row>
    <x:row r="56" ht="45" customHeight="1">
      <x:c r="B56" t="str">
        <x:v>RFP-C1-IF-02</x:v>
      </x:c>
      <x:c r="C56" t="str">
        <x:v>RFP-C1</x:v>
      </x:c>
      <x:c r="D56" t="str">
        <x:v>terrain datum</x:v>
      </x:c>
      <x:c r="E56" t="str">
        <x:v>public</x:v>
      </x:c>
      <x:c r="F56" t="str">
        <x:v>candidate surface module</x:v>
      </x:c>
      <x:c r="G56" s="11" t="str">
        <x:v>six-axis surveyed frame</x:v>
      </x:c>
      <x:c r="H56" t="str"/>
      <x:c r="I56" t="str">
        <x:v>OPEN</x:v>
      </x:c>
    </x:row>
    <x:row r="57" ht="45" customHeight="1">
      <x:c r="B57" t="str">
        <x:v>RFP-C1-IF-03</x:v>
      </x:c>
      <x:c r="C57" t="str">
        <x:v>RFP-C1</x:v>
      </x:c>
      <x:c r="D57" t="str">
        <x:v>drain opening</x:v>
      </x:c>
      <x:c r="E57" t="str">
        <x:v>public frame</x:v>
      </x:c>
      <x:c r="F57" t="str">
        <x:v>candidate cartridge</x:v>
      </x:c>
      <x:c r="G57" s="11" t="str">
        <x:v>twenty-four bounded bays</x:v>
      </x:c>
      <x:c r="H57" t="str"/>
      <x:c r="I57" t="str">
        <x:v>OPEN</x:v>
      </x:c>
    </x:row>
    <x:row r="58" ht="45" customHeight="1">
      <x:c r="B58" t="str">
        <x:v>RFP-C1-IF-04</x:v>
      </x:c>
      <x:c r="C58" t="str">
        <x:v>RFP-C1</x:v>
      </x:c>
      <x:c r="D58" t="str">
        <x:v>source custody</x:v>
      </x:c>
      <x:c r="E58" t="str">
        <x:v>candidate</x:v>
      </x:c>
      <x:c r="F58" t="str">
        <x:v>candidate receiver</x:v>
      </x:c>
      <x:c r="G58" s="11" t="str">
        <x:v>separate 15 m3 minimum</x:v>
      </x:c>
      <x:c r="H58" t="str"/>
      <x:c r="I58" t="str">
        <x:v>OPEN</x:v>
      </x:c>
    </x:row>
    <x:row r="59" ht="45" customHeight="1">
      <x:c r="B59" t="str">
        <x:v>RFP-C1-IF-05</x:v>
      </x:c>
      <x:c r="C59" t="str">
        <x:v>RFP-C1</x:v>
      </x:c>
      <x:c r="D59" t="str">
        <x:v>water supply</x:v>
      </x:c>
      <x:c r="E59" t="str">
        <x:v>public</x:v>
      </x:c>
      <x:c r="F59" t="str">
        <x:v>candidate nozzles or loop</x:v>
      </x:c>
      <x:c r="G59" s="11" t="str">
        <x:v>3 m3/min at 1.2 MPa</x:v>
      </x:c>
      <x:c r="H59" t="str"/>
      <x:c r="I59" t="str">
        <x:v>OPEN</x:v>
      </x:c>
    </x:row>
    <x:row r="60" ht="45" customHeight="1">
      <x:c r="B60" t="str">
        <x:v>RFP-C1-IF-06</x:v>
      </x:c>
      <x:c r="C60" t="str">
        <x:v>RFP-C1</x:v>
      </x:c>
      <x:c r="D60" t="str">
        <x:v>heat rejection</x:v>
      </x:c>
      <x:c r="E60" t="str">
        <x:v>public structural/utility</x:v>
      </x:c>
      <x:c r="F60" t="str">
        <x:v>candidate exchanger</x:v>
      </x:c>
      <x:c r="G60" s="11" t="str">
        <x:v>20 MW acceptance envelope</x:v>
      </x:c>
      <x:c r="H60" t="str"/>
      <x:c r="I60" t="str">
        <x:v>OPEN</x:v>
      </x:c>
    </x:row>
    <x:row r="61" ht="45" customHeight="1">
      <x:c r="B61" t="str">
        <x:v>RFP-C1-IF-07</x:v>
      </x:c>
      <x:c r="C61" t="str">
        <x:v>RFP-C1</x:v>
      </x:c>
      <x:c r="D61" t="str">
        <x:v>robot corridor</x:v>
      </x:c>
      <x:c r="E61" t="str">
        <x:v>public datum</x:v>
      </x:c>
      <x:c r="F61" t="str">
        <x:v>candidate autonomy</x:v>
      </x:c>
      <x:c r="G61" s="11" t="str">
        <x:v>three 4 m corridors</x:v>
      </x:c>
      <x:c r="H61" t="str"/>
      <x:c r="I61" t="str">
        <x:v>OPEN</x:v>
      </x:c>
    </x:row>
    <x:row r="62" ht="45" customHeight="1">
      <x:c r="B62" t="str">
        <x:v>RFP-C1-IF-08</x:v>
      </x:c>
      <x:c r="C62" t="str">
        <x:v>RFP-C1</x:v>
      </x:c>
      <x:c r="D62" t="str">
        <x:v>clock and evidence</x:v>
      </x:c>
      <x:c r="E62" t="str">
        <x:v>public</x:v>
      </x:c>
      <x:c r="F62" t="str">
        <x:v>candidate read-only feed</x:v>
      </x:c>
      <x:c r="G62" s="11" t="str">
        <x:v>native time plus independent witness</x:v>
      </x:c>
      <x:c r="H62" t="str"/>
      <x:c r="I62" t="str">
        <x:v>OPEN</x:v>
      </x:c>
    </x:row>
    <x:row r="63" ht="45" customHeight="1">
      <x:c r="B63" t="str">
        <x:v>RFP-C1-IF-09</x:v>
      </x:c>
      <x:c r="C63" t="str">
        <x:v>RFP-C1</x:v>
      </x:c>
      <x:c r="D63" t="str">
        <x:v>casualty source path</x:v>
      </x:c>
      <x:c r="E63" t="str">
        <x:v>public safety</x:v>
      </x:c>
      <x:c r="F63" t="str">
        <x:v>isolated tank</x:v>
      </x:c>
      <x:c r="G63" s="11" t="str">
        <x:v>one-way intervention only</x:v>
      </x:c>
      <x:c r="H63" t="str"/>
      <x:c r="I63" t="str">
        <x:v>OPEN</x:v>
      </x:c>
    </x:row>
    <x:row r="64" ht="45" customHeight="1">
      <x:c r="B64" t="str">
        <x:v>RFP-C1-IF-10</x:v>
      </x:c>
      <x:c r="C64" t="str">
        <x:v>RFP-C1</x:v>
      </x:c>
      <x:c r="D64" t="str">
        <x:v>casualty water path</x:v>
      </x:c>
      <x:c r="E64" t="str">
        <x:v>public safety</x:v>
      </x:c>
      <x:c r="F64" t="str">
        <x:v>isolated vault</x:v>
      </x:c>
      <x:c r="G64" s="11" t="str">
        <x:v>one-way intervention only</x:v>
      </x:c>
      <x:c r="H64" t="str"/>
      <x:c r="I64" t="str">
        <x:v>OPEN</x:v>
      </x:c>
    </x:row>
    <x:row r="65" ht="45" customHeight="1">
      <x:c r="B65" t="str">
        <x:v>RFP-C1-IF-11</x:v>
      </x:c>
      <x:c r="C65" t="str">
        <x:v>RFP-C1</x:v>
      </x:c>
      <x:c r="D65" t="str">
        <x:v>environmental perimeter</x:v>
      </x:c>
      <x:c r="E65" t="str">
        <x:v>public</x:v>
      </x:c>
      <x:c r="F65" t="str">
        <x:v>candidate handoff</x:v>
      </x:c>
      <x:c r="G65" s="11" t="str">
        <x:v>closed custody after candidate boundary</x:v>
      </x:c>
      <x:c r="H65" t="str"/>
      <x:c r="I65" t="str">
        <x:v>OPEN</x:v>
      </x:c>
    </x:row>
    <x:row r="66" ht="45" customHeight="1">
      <x:c r="B66" t="str">
        <x:v>RFP-C1-IF-12</x:v>
      </x:c>
      <x:c r="C66" t="str">
        <x:v>RFP-C1</x:v>
      </x:c>
      <x:c r="D66" t="str">
        <x:v>restoration</x:v>
      </x:c>
      <x:c r="E66" t="str">
        <x:v>joint custody</x:v>
      </x:c>
      <x:c r="F66" t="str">
        <x:v>serialized article</x:v>
      </x:c>
      <x:c r="G66" s="11" t="str">
        <x:v>known baseline restored</x:v>
      </x:c>
      <x:c r="H66" t="str"/>
      <x:c r="I66" t="str">
        <x:v>OPEN</x:v>
      </x:c>
    </x:row>
    <x:row r="67" ht="45" customHeight="1">
      <x:c r="B67" t="str">
        <x:v>RFP-C2-IF-01</x:v>
      </x:c>
      <x:c r="C67" t="str">
        <x:v>RFP-C2</x:v>
      </x:c>
      <x:c r="D67" t="str">
        <x:v>source origin volume</x:v>
      </x:c>
      <x:c r="E67" t="str">
        <x:v>public</x:v>
      </x:c>
      <x:c r="F67" t="str">
        <x:v>candidate adapter</x:v>
      </x:c>
      <x:c r="G67" s="11" t="str">
        <x:v>mass, temperature, time, aperture and location fixed</x:v>
      </x:c>
      <x:c r="H67" t="str"/>
      <x:c r="I67" t="str">
        <x:v>OPEN</x:v>
      </x:c>
    </x:row>
    <x:row r="68" ht="45" customHeight="1">
      <x:c r="B68" t="str">
        <x:v>RFP-C2-IF-02</x:v>
      </x:c>
      <x:c r="C68" t="str">
        <x:v>RFP-C2</x:v>
      </x:c>
      <x:c r="D68" t="str">
        <x:v>terrain datum</x:v>
      </x:c>
      <x:c r="E68" t="str">
        <x:v>public</x:v>
      </x:c>
      <x:c r="F68" t="str">
        <x:v>candidate surface module</x:v>
      </x:c>
      <x:c r="G68" s="11" t="str">
        <x:v>six-axis surveyed frame</x:v>
      </x:c>
      <x:c r="H68" t="str"/>
      <x:c r="I68" t="str">
        <x:v>OPEN</x:v>
      </x:c>
    </x:row>
    <x:row r="69" ht="45" customHeight="1">
      <x:c r="B69" t="str">
        <x:v>RFP-C2-IF-03</x:v>
      </x:c>
      <x:c r="C69" t="str">
        <x:v>RFP-C2</x:v>
      </x:c>
      <x:c r="D69" t="str">
        <x:v>drain opening</x:v>
      </x:c>
      <x:c r="E69" t="str">
        <x:v>public frame</x:v>
      </x:c>
      <x:c r="F69" t="str">
        <x:v>candidate cartridge</x:v>
      </x:c>
      <x:c r="G69" s="11" t="str">
        <x:v>twenty-four bounded bays</x:v>
      </x:c>
      <x:c r="H69" t="str"/>
      <x:c r="I69" t="str">
        <x:v>OPEN</x:v>
      </x:c>
    </x:row>
    <x:row r="70" ht="45" customHeight="1">
      <x:c r="B70" t="str">
        <x:v>RFP-C2-IF-04</x:v>
      </x:c>
      <x:c r="C70" t="str">
        <x:v>RFP-C2</x:v>
      </x:c>
      <x:c r="D70" t="str">
        <x:v>source custody</x:v>
      </x:c>
      <x:c r="E70" t="str">
        <x:v>candidate</x:v>
      </x:c>
      <x:c r="F70" t="str">
        <x:v>candidate receiver</x:v>
      </x:c>
      <x:c r="G70" s="11" t="str">
        <x:v>separate 15 m3 minimum</x:v>
      </x:c>
      <x:c r="H70" t="str"/>
      <x:c r="I70" t="str">
        <x:v>OPEN</x:v>
      </x:c>
    </x:row>
    <x:row r="71" ht="45" customHeight="1">
      <x:c r="B71" t="str">
        <x:v>RFP-C2-IF-05</x:v>
      </x:c>
      <x:c r="C71" t="str">
        <x:v>RFP-C2</x:v>
      </x:c>
      <x:c r="D71" t="str">
        <x:v>water supply</x:v>
      </x:c>
      <x:c r="E71" t="str">
        <x:v>public</x:v>
      </x:c>
      <x:c r="F71" t="str">
        <x:v>candidate nozzles or loop</x:v>
      </x:c>
      <x:c r="G71" s="11" t="str">
        <x:v>3 m3/min at 1.2 MPa</x:v>
      </x:c>
      <x:c r="H71" t="str"/>
      <x:c r="I71" t="str">
        <x:v>OPEN</x:v>
      </x:c>
    </x:row>
    <x:row r="72" ht="45" customHeight="1">
      <x:c r="B72" t="str">
        <x:v>RFP-C2-IF-06</x:v>
      </x:c>
      <x:c r="C72" t="str">
        <x:v>RFP-C2</x:v>
      </x:c>
      <x:c r="D72" t="str">
        <x:v>heat rejection</x:v>
      </x:c>
      <x:c r="E72" t="str">
        <x:v>public structural/utility</x:v>
      </x:c>
      <x:c r="F72" t="str">
        <x:v>candidate exchanger</x:v>
      </x:c>
      <x:c r="G72" s="11" t="str">
        <x:v>20 MW acceptance envelope</x:v>
      </x:c>
      <x:c r="H72" t="str"/>
      <x:c r="I72" t="str">
        <x:v>OPEN</x:v>
      </x:c>
    </x:row>
    <x:row r="73" ht="45" customHeight="1">
      <x:c r="B73" t="str">
        <x:v>RFP-C2-IF-07</x:v>
      </x:c>
      <x:c r="C73" t="str">
        <x:v>RFP-C2</x:v>
      </x:c>
      <x:c r="D73" t="str">
        <x:v>robot corridor</x:v>
      </x:c>
      <x:c r="E73" t="str">
        <x:v>public datum</x:v>
      </x:c>
      <x:c r="F73" t="str">
        <x:v>candidate autonomy</x:v>
      </x:c>
      <x:c r="G73" s="11" t="str">
        <x:v>three 4 m corridors</x:v>
      </x:c>
      <x:c r="H73" t="str"/>
      <x:c r="I73" t="str">
        <x:v>OPEN</x:v>
      </x:c>
    </x:row>
    <x:row r="74" ht="45" customHeight="1">
      <x:c r="B74" t="str">
        <x:v>RFP-C2-IF-08</x:v>
      </x:c>
      <x:c r="C74" t="str">
        <x:v>RFP-C2</x:v>
      </x:c>
      <x:c r="D74" t="str">
        <x:v>clock and evidence</x:v>
      </x:c>
      <x:c r="E74" t="str">
        <x:v>public</x:v>
      </x:c>
      <x:c r="F74" t="str">
        <x:v>candidate read-only feed</x:v>
      </x:c>
      <x:c r="G74" s="11" t="str">
        <x:v>native time plus independent witness</x:v>
      </x:c>
      <x:c r="H74" t="str"/>
      <x:c r="I74" t="str">
        <x:v>OPEN</x:v>
      </x:c>
    </x:row>
    <x:row r="75" ht="45" customHeight="1">
      <x:c r="B75" t="str">
        <x:v>RFP-C2-IF-09</x:v>
      </x:c>
      <x:c r="C75" t="str">
        <x:v>RFP-C2</x:v>
      </x:c>
      <x:c r="D75" t="str">
        <x:v>casualty source path</x:v>
      </x:c>
      <x:c r="E75" t="str">
        <x:v>public safety</x:v>
      </x:c>
      <x:c r="F75" t="str">
        <x:v>isolated tank</x:v>
      </x:c>
      <x:c r="G75" s="11" t="str">
        <x:v>one-way intervention only</x:v>
      </x:c>
      <x:c r="H75" t="str"/>
      <x:c r="I75" t="str">
        <x:v>OPEN</x:v>
      </x:c>
    </x:row>
    <x:row r="76" ht="45" customHeight="1">
      <x:c r="B76" t="str">
        <x:v>RFP-C2-IF-10</x:v>
      </x:c>
      <x:c r="C76" t="str">
        <x:v>RFP-C2</x:v>
      </x:c>
      <x:c r="D76" t="str">
        <x:v>casualty water path</x:v>
      </x:c>
      <x:c r="E76" t="str">
        <x:v>public safety</x:v>
      </x:c>
      <x:c r="F76" t="str">
        <x:v>isolated vault</x:v>
      </x:c>
      <x:c r="G76" s="11" t="str">
        <x:v>one-way intervention only</x:v>
      </x:c>
      <x:c r="H76" t="str"/>
      <x:c r="I76" t="str">
        <x:v>OPEN</x:v>
      </x:c>
    </x:row>
    <x:row r="77" ht="45" customHeight="1">
      <x:c r="B77" t="str">
        <x:v>RFP-C2-IF-11</x:v>
      </x:c>
      <x:c r="C77" t="str">
        <x:v>RFP-C2</x:v>
      </x:c>
      <x:c r="D77" t="str">
        <x:v>environmental perimeter</x:v>
      </x:c>
      <x:c r="E77" t="str">
        <x:v>public</x:v>
      </x:c>
      <x:c r="F77" t="str">
        <x:v>candidate handoff</x:v>
      </x:c>
      <x:c r="G77" s="11" t="str">
        <x:v>closed custody after candidate boundary</x:v>
      </x:c>
      <x:c r="H77" t="str"/>
      <x:c r="I77" t="str">
        <x:v>OPEN</x:v>
      </x:c>
    </x:row>
    <x:row r="78" ht="45" customHeight="1">
      <x:c r="B78" t="str">
        <x:v>RFP-C2-IF-12</x:v>
      </x:c>
      <x:c r="C78" t="str">
        <x:v>RFP-C2</x:v>
      </x:c>
      <x:c r="D78" t="str">
        <x:v>restoration</x:v>
      </x:c>
      <x:c r="E78" t="str">
        <x:v>joint custody</x:v>
      </x:c>
      <x:c r="F78" t="str">
        <x:v>serialized article</x:v>
      </x:c>
      <x:c r="G78" s="11" t="str">
        <x:v>known baseline restored</x:v>
      </x:c>
      <x:c r="H78" t="str"/>
      <x:c r="I78" t="str">
        <x:v>OPEN</x:v>
      </x:c>
    </x:row>
  </x:sheetData>
  <x:conditionalFormatting sqref="I7:I78">
    <x:cfRule type="containsText" dxfId="72" priority="1" operator="containsText" text="FAIL"/>
    <x:cfRule type="containsText" dxfId="73" priority="2" operator="containsText" text="BLOCKED"/>
    <x:cfRule type="containsText" dxfId="74" priority="3" operator="containsText" text="OPEN"/>
    <x:cfRule type="containsText" dxfId="75" priority="4" operator="containsText" text="GAP"/>
    <x:cfRule type="containsText" dxfId="76" priority="5" operator="containsText" text="PASS"/>
    <x:cfRule type="containsText" dxfId="77" priority="6" operator="containsText" text="INVALID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21" hidden="0" customWidth="1"/>
    <x:col min="4" max="4" width="17" hidden="0" customWidth="1"/>
    <x:col min="5" max="5" width="76" hidden="0" customWidth="1"/>
  </x:cols>
  <x:sheetData>
    <x:row r="2">
      <x:c r="B2" s="1" t="str">
        <x:v>Rig and federation land screen</x:v>
      </x:c>
    </x:row>
    <x:row r="3">
      <x:c r="B3" s="2" t="str">
        <x:v>Exclusion circles expose scale only; consequence and terrain work determine the final boundary.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Zone</x:v>
      </x:c>
      <x:c r="C6" s="7" t="str">
        <x:v>Area</x:v>
      </x:c>
      <x:c r="D6" s="7" t="str">
        <x:v>Unit</x:v>
      </x:c>
      <x:c r="E6" s="7" t="str">
        <x:v>Basis</x:v>
      </x:c>
    </x:row>
    <x:row r="7" ht="40" customHeight="1">
      <x:c r="B7" t="str">
        <x:v>active terrain field</x:v>
      </x:c>
      <x:c r="C7" s="19" t="n">
        <x:v>600</x:v>
      </x:c>
      <x:c r="D7" t="str">
        <x:v>m2/rig</x:v>
      </x:c>
      <x:c r="E7" s="11" t="str">
        <x:v>30 m × 20 m replaceable experiment surface</x:v>
      </x:c>
    </x:row>
    <x:row r="8" ht="40" customHeight="1">
      <x:c r="B8" t="str">
        <x:v>thermal and wind field</x:v>
      </x:c>
      <x:c r="C8" s="19" t="n">
        <x:v>1800</x:v>
      </x:c>
      <x:c r="D8" t="str">
        <x:v>m2/rig</x:v>
      </x:c>
      <x:c r="E8" s="11" t="str">
        <x:v>heat sources, shielding planes and plume access</x:v>
      </x:c>
    </x:row>
    <x:row r="9" ht="40" customHeight="1">
      <x:c r="B9" t="str">
        <x:v>water and recovery plant</x:v>
      </x:c>
      <x:c r="C9" s="19" t="n">
        <x:v>1800</x:v>
      </x:c>
      <x:c r="D9" t="str">
        <x:v>m2/rig</x:v>
      </x:c>
      <x:c r="E9" s="11" t="str">
        <x:v>normal, return, casualty and quarantine trains</x:v>
      </x:c>
    </x:row>
    <x:row r="10" ht="40" customHeight="1">
      <x:c r="B10" t="str">
        <x:v>robot and rescue zone</x:v>
      </x:c>
      <x:c r="C10" s="19" t="n">
        <x:v>1200</x:v>
      </x:c>
      <x:c r="D10" t="str">
        <x:v>m2/rig</x:v>
      </x:c>
      <x:c r="E10" s="11" t="str">
        <x:v>three corridors, decontamination and clinical handoff</x:v>
      </x:c>
    </x:row>
    <x:row r="11" ht="40" customHeight="1">
      <x:c r="B11" t="str">
        <x:v>control and evidence zone</x:v>
      </x:c>
      <x:c r="C11" s="19" t="n">
        <x:v>1200</x:v>
      </x:c>
      <x:c r="D11" t="str">
        <x:v>m2/rig</x:v>
      </x:c>
      <x:c r="E11" s="11" t="str">
        <x:v>protected control, calibration and two originals</x:v>
      </x:c>
    </x:row>
    <x:row r="12" ht="40" customHeight="1">
      <x:c r="B12" t="str">
        <x:v>direct occupied area</x:v>
      </x:c>
      <x:c r="C12" s="19" t="n">
        <x:v>6600</x:v>
      </x:c>
      <x:c r="D12" t="str">
        <x:v>m2/rig</x:v>
      </x:c>
      <x:c r="E12" s="11" t="str">
        <x:v>functional footprint before exclusion</x:v>
      </x:c>
    </x:row>
    <x:row r="13" ht="40" customHeight="1">
      <x:c r="B13" t="str">
        <x:v>federation direct area</x:v>
      </x:c>
      <x:c r="C13" s="19" t="n">
        <x:v>39600</x:v>
      </x:c>
      <x:c r="D13" t="str">
        <x:v>m2</x:v>
      </x:c>
      <x:c r="E13" s="11" t="str">
        <x:v>six positions</x:v>
      </x:c>
    </x:row>
    <x:row r="14" ht="40" customHeight="1">
      <x:c r="B14" t="str">
        <x:v>screened exclusion area</x:v>
      </x:c>
      <x:c r="C14" s="19" t="n">
        <x:f>6*PI()*Controls!$D$40^2/10000</x:f>
        <x:v>117.80972450961724</x:v>
      </x:c>
      <x:c r="D14" t="str">
        <x:v>ha</x:v>
      </x:c>
      <x:c r="E14" s="11" t="str">
        <x:v>six non-overlapping 250 m circles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9" hidden="0" customWidth="1"/>
    <x:col min="4" max="4" width="16" hidden="0" customWidth="1"/>
    <x:col min="5" max="5" width="16" hidden="0" customWidth="1"/>
    <x:col min="6" max="6" width="64" hidden="0" customWidth="1"/>
  </x:cols>
  <x:sheetData>
    <x:row r="2">
      <x:c r="B2" s="1" t="str">
        <x:v>Thirty-six-month realization</x:v>
      </x:c>
    </x:row>
    <x:row r="3">
      <x:c r="B3" s="2" t="str">
        <x:v>Parallel phases require controlled interfaces and regression after physical change.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Phase</x:v>
      </x:c>
      <x:c r="C6" s="7" t="str">
        <x:v>Work</x:v>
      </x:c>
      <x:c r="D6" s="7" t="str">
        <x:v>Start month</x:v>
      </x:c>
      <x:c r="E6" s="7" t="str">
        <x:v>End month</x:v>
      </x:c>
      <x:c r="F6" s="7" t="str">
        <x:v>Exit condition</x:v>
      </x:c>
    </x:row>
    <x:row r="7" ht="42" customHeight="1">
      <x:c r="B7" t="str">
        <x:v>PH-01</x:v>
      </x:c>
      <x:c r="C7" t="str">
        <x:v>constitution and independent neutrality review</x:v>
      </x:c>
      <x:c r="D7" t="n">
        <x:v>1</x:v>
      </x:c>
      <x:c r="E7" t="n">
        <x:v>4</x:v>
      </x:c>
      <x:c r="F7" s="11" t="str">
        <x:v>interfaces and prohibited aids frozen</x:v>
      </x:c>
    </x:row>
    <x:row r="8" ht="42" customHeight="1">
      <x:c r="B8" t="str">
        <x:v>PH-02</x:v>
      </x:c>
      <x:c r="C8" t="str">
        <x:v>site enabling and environmental baselines</x:v>
      </x:c>
      <x:c r="D8" t="n">
        <x:v>2</x:v>
      </x:c>
      <x:c r="E8" t="n">
        <x:v>10</x:v>
      </x:c>
      <x:c r="F8" s="11" t="str">
        <x:v>three sites ready for heavy civil work</x:v>
      </x:c>
    </x:row>
    <x:row r="9" ht="42" customHeight="1">
      <x:c r="B9" t="str">
        <x:v>PH-03</x:v>
      </x:c>
      <x:c r="C9" t="str">
        <x:v>terrain cassette prototypes</x:v>
      </x:c>
      <x:c r="D9" t="n">
        <x:v>2</x:v>
      </x:c>
      <x:c r="E9" t="n">
        <x:v>11</x:v>
      </x:c>
      <x:c r="F9" s="11" t="str">
        <x:v>two unlike mechanisms survive load and heat</x:v>
      </x:c>
    </x:row>
    <x:row r="10" ht="42" customHeight="1">
      <x:c r="B10" t="str">
        <x:v>PH-04</x:v>
      </x:c>
      <x:c r="C10" t="str">
        <x:v>source dispenser and casualty train</x:v>
      </x:c>
      <x:c r="D10" t="n">
        <x:v>3</x:v>
      </x:c>
      <x:c r="E10" t="n">
        <x:v>14</x:v>
      </x:c>
      <x:c r="F10" s="11" t="str">
        <x:v>known mass and safe one-way diversion</x:v>
      </x:c>
    </x:row>
    <x:row r="11" ht="42" customHeight="1">
      <x:c r="B11" t="str">
        <x:v>PH-05</x:v>
      </x:c>
      <x:c r="C11" t="str">
        <x:v>drain gallery and water plant</x:v>
      </x:c>
      <x:c r="D11" t="n">
        <x:v>5</x:v>
      </x:c>
      <x:c r="E11" t="n">
        <x:v>17</x:v>
      </x:c>
      <x:c r="F11" s="11" t="str">
        <x:v>separate normal and casualty paths</x:v>
      </x:c>
    </x:row>
    <x:row r="12" ht="42" customHeight="1">
      <x:c r="B12" t="str">
        <x:v>PH-06</x:v>
      </x:c>
      <x:c r="C12" t="str">
        <x:v>thermal and wind boundary</x:v>
      </x:c>
      <x:c r="D12" t="n">
        <x:v>6</x:v>
      </x:c>
      <x:c r="E12" t="n">
        <x:v>18</x:v>
      </x:c>
      <x:c r="F12" s="11" t="str">
        <x:v>zoned heat and challenge realization</x:v>
      </x:c>
    </x:row>
    <x:row r="13" ht="42" customHeight="1">
      <x:c r="B13" t="str">
        <x:v>PH-07</x:v>
      </x:c>
      <x:c r="C13" t="str">
        <x:v>measurement and native evidence</x:v>
      </x:c>
      <x:c r="D13" t="n">
        <x:v>8</x:v>
      </x:c>
      <x:c r="E13" t="n">
        <x:v>20</x:v>
      </x:c>
      <x:c r="F13" s="11" t="str">
        <x:v>576 channels per rig and two originals</x:v>
      </x:c>
    </x:row>
    <x:row r="14" ht="42" customHeight="1">
      <x:c r="B14" t="str">
        <x:v>PH-08</x:v>
      </x:c>
      <x:c r="C14" t="str">
        <x:v>robot, rescue and decontamination</x:v>
      </x:c>
      <x:c r="D14" t="n">
        <x:v>9</x:v>
      </x:c>
      <x:c r="E14" t="n">
        <x:v>21</x:v>
      </x:c>
      <x:c r="F14" s="11" t="str">
        <x:v>no-entry recovery and medical handoff</x:v>
      </x:c>
    </x:row>
    <x:row r="15" ht="42" customHeight="1">
      <x:c r="B15" t="str">
        <x:v>PH-09</x:v>
      </x:c>
      <x:c r="C15" t="str">
        <x:v>civil/field integration</x:v>
      </x:c>
      <x:c r="D15" t="n">
        <x:v>12</x:v>
      </x:c>
      <x:c r="E15" t="n">
        <x:v>25</x:v>
      </x:c>
      <x:c r="F15" s="11" t="str">
        <x:v>six mechanically complete positions</x:v>
      </x:c>
    </x:row>
    <x:row r="16" ht="42" customHeight="1">
      <x:c r="B16" t="str">
        <x:v>PH-10</x:v>
      </x:c>
      <x:c r="C16" t="str">
        <x:v>empty, hydrostatic and dry commissioning</x:v>
      </x:c>
      <x:c r="D16" t="n">
        <x:v>22</x:v>
      </x:c>
      <x:c r="E16" t="n">
        <x:v>28</x:v>
      </x:c>
      <x:c r="F16" s="11" t="str">
        <x:v>CQ-00 through CQ-04</x:v>
      </x:c>
    </x:row>
    <x:row r="17" ht="42" customHeight="1">
      <x:c r="B17" t="str">
        <x:v>PH-11</x:v>
      </x:c>
      <x:c r="C17" t="str">
        <x:v>tracer, surrogate and ignition commissioning</x:v>
      </x:c>
      <x:c r="D17" t="n">
        <x:v>27</x:v>
      </x:c>
      <x:c r="E17" t="n">
        <x:v>33</x:v>
      </x:c>
      <x:c r="F17" s="11" t="str">
        <x:v>CQ-05 through CQ-07</x:v>
      </x:c>
    </x:row>
    <x:row r="18" ht="42" customHeight="1">
      <x:c r="B18" t="str">
        <x:v>PH-12</x:v>
      </x:c>
      <x:c r="C18" t="str">
        <x:v>campaign handover</x:v>
      </x:c>
      <x:c r="D18" t="n">
        <x:v>33</x:v>
      </x:c>
      <x:c r="E18" t="n">
        <x:v>36</x:v>
      </x:c>
      <x:c r="F18" s="11" t="str">
        <x:v>rig offered to separate source authority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5" hidden="0" customWidth="1"/>
    <x:col min="3" max="3" width="18" hidden="0" customWidth="1"/>
    <x:col min="4" max="4" width="16" hidden="0" customWidth="1"/>
    <x:col min="5" max="5" width="56" hidden="0" customWidth="1"/>
  </x:cols>
  <x:sheetData>
    <x:row r="2">
      <x:c r="B2" s="1" t="str">
        <x:v>Mission workforce</x:v>
      </x:c>
    </x:row>
    <x:row r="3">
      <x:c r="B3" s="2" t="str">
        <x:v>Construction labor and candidate-builder personnel are additional contract capacity.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Function</x:v>
      </x:c>
      <x:c r="C6" s="7" t="str">
        <x:v>Positions</x:v>
      </x:c>
      <x:c r="D6" s="7" t="str">
        <x:v>Share</x:v>
      </x:c>
      <x:c r="E6" s="7" t="str">
        <x:v>Mission</x:v>
      </x:c>
    </x:row>
    <x:row r="7">
      <x:c r="B7" t="str">
        <x:v>rig science and methods</x:v>
      </x:c>
      <x:c r="C7" t="n">
        <x:v>44</x:v>
      </x:c>
      <x:c r="D7" s="16" t="n">
        <x:f>C7/C18</x:f>
        <x:v>0.10526315789473684</x:v>
      </x:c>
      <x:c r="E7" t="str">
        <x:v>rig science and methods</x:v>
      </x:c>
    </x:row>
    <x:row r="8">
      <x:c r="B8" t="str">
        <x:v>terrain, drainage and civil</x:v>
      </x:c>
      <x:c r="C8" t="n">
        <x:v>56</x:v>
      </x:c>
      <x:c r="D8" s="16" t="n">
        <x:f>C8/C18</x:f>
        <x:v>0.1339712918660287</x:v>
      </x:c>
      <x:c r="E8" t="str">
        <x:v>terrain, drainage and civil</x:v>
      </x:c>
    </x:row>
    <x:row r="9">
      <x:c r="B9" t="str">
        <x:v>source, water and thermal operations</x:v>
      </x:c>
      <x:c r="C9" t="n">
        <x:v>60</x:v>
      </x:c>
      <x:c r="D9" s="16" t="n">
        <x:f>C9/C18</x:f>
        <x:v>0.14354066985645933</x:v>
      </x:c>
      <x:c r="E9" t="str">
        <x:v>source, water and thermal operations</x:v>
      </x:c>
    </x:row>
    <x:row r="10">
      <x:c r="B10" t="str">
        <x:v>instrumentation and evidence</x:v>
      </x:c>
      <x:c r="C10" t="n">
        <x:v>58</x:v>
      </x:c>
      <x:c r="D10" s="16" t="n">
        <x:f>C10/C18</x:f>
        <x:v>0.13875598086124402</x:v>
      </x:c>
      <x:c r="E10" t="str">
        <x:v>instrumentation and evidence</x:v>
      </x:c>
    </x:row>
    <x:row r="11">
      <x:c r="B11" t="str">
        <x:v>robotics and remote recovery</x:v>
      </x:c>
      <x:c r="C11" t="n">
        <x:v>38</x:v>
      </x:c>
      <x:c r="D11" s="16" t="n">
        <x:f>C11/C18</x:f>
        <x:v>0.09090909090909091</x:v>
      </x:c>
      <x:c r="E11" t="str">
        <x:v>robotics and remote recovery</x:v>
      </x:c>
    </x:row>
    <x:row r="12">
      <x:c r="B12" t="str">
        <x:v>environmental chemistry and custody</x:v>
      </x:c>
      <x:c r="C12" t="n">
        <x:v>34</x:v>
      </x:c>
      <x:c r="D12" s="16" t="n">
        <x:f>C12/C18</x:f>
        <x:v>0.08133971291866028</x:v>
      </x:c>
      <x:c r="E12" t="str">
        <x:v>environmental chemistry and custody</x:v>
      </x:c>
    </x:row>
    <x:row r="13">
      <x:c r="B13" t="str">
        <x:v>safety, rescue and clinical</x:v>
      </x:c>
      <x:c r="C13" t="n">
        <x:v>48</x:v>
      </x:c>
      <x:c r="D13" s="16" t="n">
        <x:f>C13/C18</x:f>
        <x:v>0.11483253588516747</x:v>
      </x:c>
      <x:c r="E13" t="str">
        <x:v>safety, rescue and clinical</x:v>
      </x:c>
    </x:row>
    <x:row r="14">
      <x:c r="B14" t="str">
        <x:v>configuration and public authority</x:v>
      </x:c>
      <x:c r="C14" t="n">
        <x:v>28</x:v>
      </x:c>
      <x:c r="D14" s="16" t="n">
        <x:f>C14/C18</x:f>
        <x:v>0.06698564593301436</x:v>
      </x:c>
      <x:c r="E14" t="str">
        <x:v>configuration and public authority</x:v>
      </x:c>
    </x:row>
    <x:row r="15">
      <x:c r="B15" t="str">
        <x:v>six builder-integration cells</x:v>
      </x:c>
      <x:c r="C15" t="n">
        <x:v>42</x:v>
      </x:c>
      <x:c r="D15" s="16" t="n">
        <x:f>C15/C18</x:f>
        <x:v>0.10047846889952153</x:v>
      </x:c>
      <x:c r="E15" t="str">
        <x:v>six builder-integration cells</x:v>
      </x:c>
    </x:row>
    <x:row r="16">
      <x:c r="B16" t="str">
        <x:v>program and site command</x:v>
      </x:c>
      <x:c r="C16" t="n">
        <x:v>10</x:v>
      </x:c>
      <x:c r="D16" s="16" t="n">
        <x:f>C16/C18</x:f>
        <x:v>0.023923444976076555</x:v>
      </x:c>
      <x:c r="E16" t="str">
        <x:v>program and site command</x:v>
      </x:c>
    </x:row>
    <x:row r="17">
      <x:c r="D17" s="16"/>
    </x:row>
    <x:row r="18">
      <x:c r="B18" s="14" t="str">
        <x:v>TOTAL</x:v>
      </x:c>
      <x:c r="C18" s="14" t="n">
        <x:f>SUM(C7:C16)</x:f>
        <x:v>418</x:v>
      </x:c>
      <x:c r="D18" s="17" t="n">
        <x:v>1</x:v>
      </x:c>
      <x:c r="E18" s="14" t="str">
        <x:v>mission establishment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9" hidden="0" customWidth="1"/>
    <x:col min="3" max="3" width="20" hidden="0" customWidth="1"/>
    <x:col min="4" max="4" width="19" hidden="0" customWidth="1"/>
    <x:col min="5" max="5" width="21" hidden="0" customWidth="1"/>
    <x:col min="6" max="6" width="18" hidden="0" customWidth="1"/>
    <x:col min="7" max="7" width="14" hidden="0" customWidth="1"/>
  </x:cols>
  <x:sheetData>
    <x:row r="2">
      <x:c r="B2" s="1" t="str">
        <x:v>Capital allocation</x:v>
      </x:c>
    </x:row>
    <x:row r="3">
      <x:c r="B3" s="2" t="str">
        <x:v>Gross, CISA and shared-technology ownership sum explicitly.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Element</x:v>
      </x:c>
      <x:c r="C6" s="7" t="str">
        <x:v>Gross USD M</x:v>
      </x:c>
      <x:c r="D6" s="7" t="str">
        <x:v>CISA USD M</x:v>
      </x:c>
      <x:c r="E6" s="7" t="str">
        <x:v>Shared USD M</x:v>
      </x:c>
      <x:c r="F6" s="7" t="str">
        <x:v>Share check</x:v>
      </x:c>
      <x:c r="G6" s="7" t="str">
        <x:v>State</x:v>
      </x:c>
    </x:row>
    <x:row r="7">
      <x:c r="B7" t="str">
        <x:v>six complete rig fields</x:v>
      </x:c>
      <x:c r="C7" s="19" t="n">
        <x:v>180</x:v>
      </x:c>
      <x:c r="D7" s="19" t="n">
        <x:v>112</x:v>
      </x:c>
      <x:c r="E7" s="19" t="n">
        <x:v>68</x:v>
      </x:c>
      <x:c r="F7" s="19" t="n">
        <x:f>C7-D7-E7</x:f>
        <x:v>0</x:v>
      </x:c>
      <x:c r="G7" t="str">
        <x:f>IF(ABS(F7)&lt;0.001,"PASS","FAIL")</x:f>
        <x:v>PASS</x:v>
      </x:c>
    </x:row>
    <x:row r="8">
      <x:c r="B8" t="str">
        <x:v>source dispensers and metrology</x:v>
      </x:c>
      <x:c r="C8" s="19" t="n">
        <x:v>72</x:v>
      </x:c>
      <x:c r="D8" s="19" t="n">
        <x:v>50</x:v>
      </x:c>
      <x:c r="E8" s="19" t="n">
        <x:v>22</x:v>
      </x:c>
      <x:c r="F8" s="19" t="n">
        <x:f>C8-D8-E8</x:f>
        <x:v>0</x:v>
      </x:c>
      <x:c r="G8" t="str">
        <x:f>IF(ABS(F8)&lt;0.001,"PASS","FAIL")</x:f>
        <x:v>PASS</x:v>
      </x:c>
    </x:row>
    <x:row r="9">
      <x:c r="B9" t="str">
        <x:v>terrain cassettes and panels</x:v>
      </x:c>
      <x:c r="C9" s="19" t="n">
        <x:v>78</x:v>
      </x:c>
      <x:c r="D9" s="19" t="n">
        <x:v>48</x:v>
      </x:c>
      <x:c r="E9" s="19" t="n">
        <x:v>30</x:v>
      </x:c>
      <x:c r="F9" s="19" t="n">
        <x:f>C9-D9-E9</x:f>
        <x:v>0</x:v>
      </x:c>
      <x:c r="G9" t="str">
        <x:f>IF(ABS(F9)&lt;0.001,"PASS","FAIL")</x:f>
        <x:v>PASS</x:v>
      </x:c>
    </x:row>
    <x:row r="10">
      <x:c r="B10" t="str">
        <x:v>drain galleries and candidate bays</x:v>
      </x:c>
      <x:c r="C10" s="19" t="n">
        <x:v>66</x:v>
      </x:c>
      <x:c r="D10" s="19" t="n">
        <x:v>42</x:v>
      </x:c>
      <x:c r="E10" s="19" t="n">
        <x:v>24</x:v>
      </x:c>
      <x:c r="F10" s="19" t="n">
        <x:f>C10-D10-E10</x:f>
        <x:v>0</x:v>
      </x:c>
      <x:c r="G10" t="str">
        <x:f>IF(ABS(F10)&lt;0.001,"PASS","FAIL")</x:f>
        <x:v>PASS</x:v>
      </x:c>
    </x:row>
    <x:row r="11">
      <x:c r="B11" t="str">
        <x:v>water and heat-rejection plants</x:v>
      </x:c>
      <x:c r="C11" s="19" t="n">
        <x:v>84</x:v>
      </x:c>
      <x:c r="D11" s="19" t="n">
        <x:v>52</x:v>
      </x:c>
      <x:c r="E11" s="19" t="n">
        <x:v>32</x:v>
      </x:c>
      <x:c r="F11" s="19" t="n">
        <x:f>C11-D11-E11</x:f>
        <x:v>0</x:v>
      </x:c>
      <x:c r="G11" t="str">
        <x:f>IF(ABS(F11)&lt;0.001,"PASS","FAIL")</x:f>
        <x:v>PASS</x:v>
      </x:c>
    </x:row>
    <x:row r="12">
      <x:c r="B12" t="str">
        <x:v>environmental and casualty trains</x:v>
      </x:c>
      <x:c r="C12" s="19" t="n">
        <x:v>60</x:v>
      </x:c>
      <x:c r="D12" s="19" t="n">
        <x:v>40</x:v>
      </x:c>
      <x:c r="E12" s="19" t="n">
        <x:v>20</x:v>
      </x:c>
      <x:c r="F12" s="19" t="n">
        <x:f>C12-D12-E12</x:f>
        <x:v>0</x:v>
      </x:c>
      <x:c r="G12" t="str">
        <x:f>IF(ABS(F12)&lt;0.001,"PASS","FAIL")</x:f>
        <x:v>PASS</x:v>
      </x:c>
    </x:row>
    <x:row r="13">
      <x:c r="B13" t="str">
        <x:v>thermal and wind boundaries</x:v>
      </x:c>
      <x:c r="C13" s="19" t="n">
        <x:v>54</x:v>
      </x:c>
      <x:c r="D13" s="19" t="n">
        <x:v>32</x:v>
      </x:c>
      <x:c r="E13" s="19" t="n">
        <x:v>22</x:v>
      </x:c>
      <x:c r="F13" s="19" t="n">
        <x:f>C13-D13-E13</x:f>
        <x:v>0</x:v>
      </x:c>
      <x:c r="G13" t="str">
        <x:f>IF(ABS(F13)&lt;0.001,"PASS","FAIL")</x:f>
        <x:v>PASS</x:v>
      </x:c>
    </x:row>
    <x:row r="14">
      <x:c r="B14" t="str">
        <x:v>robot, rescue and clinical systems</x:v>
      </x:c>
      <x:c r="C14" s="19" t="n">
        <x:v>36</x:v>
      </x:c>
      <x:c r="D14" s="19" t="n">
        <x:v>24</x:v>
      </x:c>
      <x:c r="E14" s="19" t="n">
        <x:v>12</x:v>
      </x:c>
      <x:c r="F14" s="19" t="n">
        <x:f>C14-D14-E14</x:f>
        <x:v>0</x:v>
      </x:c>
      <x:c r="G14" t="str">
        <x:f>IF(ABS(F14)&lt;0.001,"PASS","FAIL")</x:f>
        <x:v>PASS</x:v>
      </x:c>
    </x:row>
    <x:row r="15">
      <x:c r="B15" t="str">
        <x:v>instrumentation and evidence</x:v>
      </x:c>
      <x:c r="C15" s="19" t="n">
        <x:v>54</x:v>
      </x:c>
      <x:c r="D15" s="19" t="n">
        <x:v>28</x:v>
      </x:c>
      <x:c r="E15" s="19" t="n">
        <x:v>26</x:v>
      </x:c>
      <x:c r="F15" s="19" t="n">
        <x:f>C15-D15-E15</x:f>
        <x:v>0</x:v>
      </x:c>
      <x:c r="G15" t="str">
        <x:f>IF(ABS(F15)&lt;0.001,"PASS","FAIL")</x:f>
        <x:v>PASS</x:v>
      </x:c>
    </x:row>
    <x:row r="16">
      <x:c r="B16" t="str">
        <x:v>civil and site integration</x:v>
      </x:c>
      <x:c r="C16" s="19" t="n">
        <x:v>24</x:v>
      </x:c>
      <x:c r="D16" s="19" t="n">
        <x:v>16</x:v>
      </x:c>
      <x:c r="E16" s="19" t="n">
        <x:v>8</x:v>
      </x:c>
      <x:c r="F16" s="19" t="n">
        <x:f>C16-D16-E16</x:f>
        <x:v>0</x:v>
      </x:c>
      <x:c r="G16" t="str">
        <x:f>IF(ABS(F16)&lt;0.001,"PASS","FAIL")</x:f>
        <x:v>PASS</x:v>
      </x:c>
    </x:row>
    <x:row r="17">
      <x:c r="B17" t="str">
        <x:v>data, design and authority</x:v>
      </x:c>
      <x:c r="C17" s="19" t="n">
        <x:v>6</x:v>
      </x:c>
      <x:c r="D17" s="19" t="n">
        <x:v>2</x:v>
      </x:c>
      <x:c r="E17" s="19" t="n">
        <x:v>4</x:v>
      </x:c>
      <x:c r="F17" s="19" t="n">
        <x:f>C17-D17-E17</x:f>
        <x:v>0</x:v>
      </x:c>
      <x:c r="G17" t="str">
        <x:f>IF(ABS(F17)&lt;0.001,"PASS","FAIL")</x:f>
        <x:v>PASS</x:v>
      </x:c>
    </x:row>
    <x:row r="18">
      <x:c r="B18" t="str">
        <x:v>uncertainty reserve</x:v>
      </x:c>
      <x:c r="C18" s="19" t="n">
        <x:v>6</x:v>
      </x:c>
      <x:c r="D18" s="19" t="n">
        <x:v>4</x:v>
      </x:c>
      <x:c r="E18" s="19" t="n">
        <x:v>2</x:v>
      </x:c>
      <x:c r="F18" s="19" t="n">
        <x:f>C18-D18-E18</x:f>
        <x:v>0</x:v>
      </x:c>
      <x:c r="G18" t="str">
        <x:f>IF(ABS(F18)&lt;0.001,"PASS","FAIL")</x:f>
        <x:v>PASS</x:v>
      </x:c>
    </x:row>
    <x:row r="19">
      <x:c r="C19" s="19"/>
      <x:c r="D19" s="19"/>
      <x:c r="E19" s="19"/>
      <x:c r="F19" s="19"/>
    </x:row>
    <x:row r="20">
      <x:c r="B20" s="14" t="str">
        <x:v>TOTAL</x:v>
      </x:c>
      <x:c r="C20" s="20" t="n">
        <x:f>SUM(C7:C18)</x:f>
        <x:v>720</x:v>
      </x:c>
      <x:c r="D20" s="20" t="n">
        <x:f>SUM(D7:D18)</x:f>
        <x:v>450</x:v>
      </x:c>
      <x:c r="E20" s="20" t="n">
        <x:f>SUM(E7:E18)</x:f>
        <x:v>270</x:v>
      </x:c>
      <x:c r="F20" s="20" t="n">
        <x:f>C20-D20-E20</x:f>
        <x:v>0</x:v>
      </x:c>
      <x:c r="G20" s="14" t="str">
        <x:f>IF(ABS(F20)&lt;0.001,"PASS","FAIL")</x:f>
        <x:v>PASS</x:v>
      </x:c>
    </x:row>
  </x:sheetData>
  <x:conditionalFormatting sqref="G7:G20">
    <x:cfRule type="containsText" dxfId="78" priority="1" operator="containsText" text="FAIL"/>
    <x:cfRule type="containsText" dxfId="79" priority="2" operator="containsText" text="BLOCKED"/>
    <x:cfRule type="containsText" dxfId="80" priority="3" operator="containsText" text="OPEN"/>
    <x:cfRule type="containsText" dxfId="81" priority="4" operator="containsText" text="GAP"/>
    <x:cfRule type="containsText" dxfId="82" priority="5" operator="containsText" text="PASS"/>
    <x:cfRule type="containsText" dxfId="83" priority="6" operator="containsText" text="INVALID"/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9" hidden="0" customWidth="1"/>
    <x:col min="3" max="3" width="23" hidden="0" customWidth="1"/>
    <x:col min="4" max="4" width="22" hidden="0" customWidth="1"/>
    <x:col min="5" max="5" width="24" hidden="0" customWidth="1"/>
    <x:col min="6" max="6" width="18" hidden="0" customWidth="1"/>
    <x:col min="7" max="7" width="14" hidden="0" customWidth="1"/>
  </x:cols>
  <x:sheetData>
    <x:row r="2">
      <x:c r="B2" s="1" t="str">
        <x:v>Annual support allocation</x:v>
      </x:c>
    </x:row>
    <x:row r="3">
      <x:c r="B3" s="2" t="str">
        <x:v>Permanent mission capability is not hidden inside construction capital.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Element</x:v>
      </x:c>
      <x:c r="C6" s="7" t="str">
        <x:v>Gross USD M/year</x:v>
      </x:c>
      <x:c r="D6" s="7" t="str">
        <x:v>CISA USD M/year</x:v>
      </x:c>
      <x:c r="E6" s="7" t="str">
        <x:v>Shared USD M/year</x:v>
      </x:c>
      <x:c r="F6" s="7" t="str">
        <x:v>Share check</x:v>
      </x:c>
      <x:c r="G6" s="7" t="str">
        <x:v>State</x:v>
      </x:c>
    </x:row>
    <x:row r="7">
      <x:c r="B7" t="str">
        <x:v>rig operations</x:v>
      </x:c>
      <x:c r="C7" s="19" t="n">
        <x:v>28</x:v>
      </x:c>
      <x:c r="D7" s="19" t="n">
        <x:v>19</x:v>
      </x:c>
      <x:c r="E7" s="19" t="n">
        <x:v>9</x:v>
      </x:c>
      <x:c r="F7" s="19" t="n">
        <x:f>C7-D7-E7</x:f>
        <x:v>0</x:v>
      </x:c>
      <x:c r="G7" t="str">
        <x:f>IF(ABS(F7)&lt;0.001,"PASS","FAIL")</x:f>
        <x:v>PASS</x:v>
      </x:c>
    </x:row>
    <x:row r="8">
      <x:c r="B8" t="str">
        <x:v>source and media</x:v>
      </x:c>
      <x:c r="C8" s="19" t="n">
        <x:v>12</x:v>
      </x:c>
      <x:c r="D8" s="19" t="n">
        <x:v>8</x:v>
      </x:c>
      <x:c r="E8" s="19" t="n">
        <x:v>4</x:v>
      </x:c>
      <x:c r="F8" s="19" t="n">
        <x:f>C8-D8-E8</x:f>
        <x:v>0</x:v>
      </x:c>
      <x:c r="G8" t="str">
        <x:f>IF(ABS(F8)&lt;0.001,"PASS","FAIL")</x:f>
        <x:v>PASS</x:v>
      </x:c>
    </x:row>
    <x:row r="9">
      <x:c r="B9" t="str">
        <x:v>terrain, drain and field reset</x:v>
      </x:c>
      <x:c r="C9" s="19" t="n">
        <x:v>12</x:v>
      </x:c>
      <x:c r="D9" s="19" t="n">
        <x:v>8</x:v>
      </x:c>
      <x:c r="E9" s="19" t="n">
        <x:v>4</x:v>
      </x:c>
      <x:c r="F9" s="19" t="n">
        <x:f>C9-D9-E9</x:f>
        <x:v>0</x:v>
      </x:c>
      <x:c r="G9" t="str">
        <x:f>IF(ABS(F9)&lt;0.001,"PASS","FAIL")</x:f>
        <x:v>PASS</x:v>
      </x:c>
    </x:row>
    <x:row r="10">
      <x:c r="B10" t="str">
        <x:v>thermal, water and heat rejection</x:v>
      </x:c>
      <x:c r="C10" s="19" t="n">
        <x:v>14</x:v>
      </x:c>
      <x:c r="D10" s="19" t="n">
        <x:v>9</x:v>
      </x:c>
      <x:c r="E10" s="19" t="n">
        <x:v>5</x:v>
      </x:c>
      <x:c r="F10" s="19" t="n">
        <x:f>C10-D10-E10</x:f>
        <x:v>0</x:v>
      </x:c>
      <x:c r="G10" t="str">
        <x:f>IF(ABS(F10)&lt;0.001,"PASS","FAIL")</x:f>
        <x:v>PASS</x:v>
      </x:c>
    </x:row>
    <x:row r="11">
      <x:c r="B11" t="str">
        <x:v>metrology and evidence</x:v>
      </x:c>
      <x:c r="C11" s="19" t="n">
        <x:v>16</x:v>
      </x:c>
      <x:c r="D11" s="19" t="n">
        <x:v>8</x:v>
      </x:c>
      <x:c r="E11" s="19" t="n">
        <x:v>8</x:v>
      </x:c>
      <x:c r="F11" s="19" t="n">
        <x:f>C11-D11-E11</x:f>
        <x:v>0</x:v>
      </x:c>
      <x:c r="G11" t="str">
        <x:f>IF(ABS(F11)&lt;0.001,"PASS","FAIL")</x:f>
        <x:v>PASS</x:v>
      </x:c>
    </x:row>
    <x:row r="12">
      <x:c r="B12" t="str">
        <x:v>safety, environment and casualty</x:v>
      </x:c>
      <x:c r="C12" s="19" t="n">
        <x:v>12</x:v>
      </x:c>
      <x:c r="D12" s="19" t="n">
        <x:v>8</x:v>
      </x:c>
      <x:c r="E12" s="19" t="n">
        <x:v>4</x:v>
      </x:c>
      <x:c r="F12" s="19" t="n">
        <x:f>C12-D12-E12</x:f>
        <x:v>0</x:v>
      </x:c>
      <x:c r="G12" t="str">
        <x:f>IF(ABS(F12)&lt;0.001,"PASS","FAIL")</x:f>
        <x:v>PASS</x:v>
      </x:c>
    </x:row>
    <x:row r="13">
      <x:c r="B13" t="str">
        <x:v>builder integration</x:v>
      </x:c>
      <x:c r="C13" s="19" t="n">
        <x:v>12</x:v>
      </x:c>
      <x:c r="D13" s="19" t="n">
        <x:v>7</x:v>
      </x:c>
      <x:c r="E13" s="19" t="n">
        <x:v>5</x:v>
      </x:c>
      <x:c r="F13" s="19" t="n">
        <x:f>C13-D13-E13</x:f>
        <x:v>0</x:v>
      </x:c>
      <x:c r="G13" t="str">
        <x:f>IF(ABS(F13)&lt;0.001,"PASS","FAIL")</x:f>
        <x:v>PASS</x:v>
      </x:c>
    </x:row>
    <x:row r="14">
      <x:c r="B14" t="str">
        <x:v>maintenance and spares</x:v>
      </x:c>
      <x:c r="C14" s="19" t="n">
        <x:v>4</x:v>
      </x:c>
      <x:c r="D14" s="19" t="n">
        <x:v>3</x:v>
      </x:c>
      <x:c r="E14" s="19" t="n">
        <x:v>1</x:v>
      </x:c>
      <x:c r="F14" s="19" t="n">
        <x:f>C14-D14-E14</x:f>
        <x:v>0</x:v>
      </x:c>
      <x:c r="G14" t="str">
        <x:f>IF(ABS(F14)&lt;0.001,"PASS","FAIL")</x:f>
        <x:v>PASS</x:v>
      </x:c>
    </x:row>
    <x:row r="15">
      <x:c r="B15" t="str">
        <x:v>authority and data</x:v>
      </x:c>
      <x:c r="C15" s="19" t="n">
        <x:v>2</x:v>
      </x:c>
      <x:c r="D15" s="19" t="n">
        <x:v>0</x:v>
      </x:c>
      <x:c r="E15" s="19" t="n">
        <x:v>2</x:v>
      </x:c>
      <x:c r="F15" s="19" t="n">
        <x:f>C15-D15-E15</x:f>
        <x:v>0</x:v>
      </x:c>
      <x:c r="G15" t="str">
        <x:f>IF(ABS(F15)&lt;0.001,"PASS","FAIL")</x:f>
        <x:v>PASS</x:v>
      </x:c>
    </x:row>
    <x:row r="16">
      <x:c r="C16" s="19"/>
      <x:c r="D16" s="19"/>
      <x:c r="E16" s="19"/>
      <x:c r="F16" s="19"/>
    </x:row>
    <x:row r="17">
      <x:c r="B17" s="14" t="str">
        <x:v>TOTAL</x:v>
      </x:c>
      <x:c r="C17" s="20" t="n">
        <x:f>SUM(C7:C15)</x:f>
        <x:v>112</x:v>
      </x:c>
      <x:c r="D17" s="20" t="n">
        <x:f>SUM(D7:D15)</x:f>
        <x:v>70</x:v>
      </x:c>
      <x:c r="E17" s="20" t="n">
        <x:f>SUM(E7:E15)</x:f>
        <x:v>42</x:v>
      </x:c>
      <x:c r="F17" s="20" t="n">
        <x:f>C17-D17-E17</x:f>
        <x:v>0</x:v>
      </x:c>
      <x:c r="G17" s="14" t="str">
        <x:f>IF(ABS(F17)&lt;0.001,"PASS","FAIL")</x:f>
        <x:v>PASS</x:v>
      </x:c>
    </x:row>
  </x:sheetData>
  <x:conditionalFormatting sqref="G7:G17">
    <x:cfRule type="containsText" dxfId="84" priority="1" operator="containsText" text="FAIL"/>
    <x:cfRule type="containsText" dxfId="85" priority="2" operator="containsText" text="BLOCKED"/>
    <x:cfRule type="containsText" dxfId="86" priority="3" operator="containsText" text="OPEN"/>
    <x:cfRule type="containsText" dxfId="87" priority="4" operator="containsText" text="GAP"/>
    <x:cfRule type="containsText" dxfId="88" priority="5" operator="containsText" text="PASS"/>
    <x:cfRule type="containsText" dxfId="89" priority="6" operator="containsText" text="INVALID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3" hidden="0" customWidth="1"/>
    <x:col min="3" max="3" width="22" hidden="0" customWidth="1"/>
    <x:col min="4" max="4" width="24" hidden="0" customWidth="1"/>
    <x:col min="5" max="5" width="57" hidden="0" customWidth="1"/>
  </x:cols>
  <x:sheetData>
    <x:row r="2">
      <x:c r="B2" s="1" t="str">
        <x:v>Gross, overlap, ownership and corrected boundary</x:v>
      </x:c>
    </x:row>
    <x:row r="3">
      <x:c r="B3" s="2" t="str">
        <x:v>Overlap prevents double counting; it does not make the physical plant free.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View</x:v>
      </x:c>
      <x:c r="C6" s="7" t="str">
        <x:v>Capital USD M</x:v>
      </x:c>
      <x:c r="D6" s="7" t="str">
        <x:v>Annual USD M/year</x:v>
      </x:c>
      <x:c r="E6" s="7" t="str">
        <x:v>Formula note</x:v>
      </x:c>
    </x:row>
    <x:row r="7">
      <x:c r="B7" t="str">
        <x:v>RFP-1 gross</x:v>
      </x:c>
      <x:c r="C7" s="19" t="n">
        <x:f>Controls!$D$52</x:f>
        <x:v>720</x:v>
      </x:c>
      <x:c r="D7" s="19" t="n">
        <x:f>Controls!$D$53</x:f>
        <x:v>112</x:v>
      </x:c>
      <x:c r="E7" t="str"/>
    </x:row>
    <x:row r="8">
      <x:c r="B8" t="str">
        <x:v>registered overlap</x:v>
      </x:c>
      <x:c r="C8" s="19" t="n">
        <x:f>Controls!$D$58</x:f>
        <x:v>560</x:v>
      </x:c>
      <x:c r="D8" s="19" t="n">
        <x:f>Controls!$D$59</x:f>
        <x:v>90</x:v>
      </x:c>
      <x:c r="E8" t="str"/>
    </x:row>
    <x:row r="9">
      <x:c r="B9" t="str">
        <x:v>gross net-new</x:v>
      </x:c>
      <x:c r="C9" s="19" t="n">
        <x:f>C7-C8</x:f>
        <x:v>160</x:v>
      </x:c>
      <x:c r="D9" s="19" t="n">
        <x:f>D7-D8</x:f>
        <x:v>22</x:v>
      </x:c>
      <x:c r="E9" t="str"/>
    </x:row>
    <x:row r="10">
      <x:c r="B10" t="str">
        <x:v>CISA gross share</x:v>
      </x:c>
      <x:c r="C10" s="19" t="n">
        <x:f>Controls!$D$54</x:f>
        <x:v>450</x:v>
      </x:c>
      <x:c r="D10" s="19" t="n">
        <x:f>Controls!$D$56</x:f>
        <x:v>70</x:v>
      </x:c>
      <x:c r="E10" t="str"/>
    </x:row>
    <x:row r="11">
      <x:c r="B11" t="str">
        <x:v>CISA overlap</x:v>
      </x:c>
      <x:c r="C11" s="19" t="n">
        <x:f>Controls!$D$60</x:f>
        <x:v>350</x:v>
      </x:c>
      <x:c r="D11" s="19" t="n">
        <x:f>Controls!$D$61</x:f>
        <x:v>56</x:v>
      </x:c>
      <x:c r="E11" t="str"/>
    </x:row>
    <x:row r="12">
      <x:c r="B12" t="str">
        <x:v>CISA net-new</x:v>
      </x:c>
      <x:c r="C12" s="19" t="n">
        <x:f>C10-C11</x:f>
        <x:v>100</x:v>
      </x:c>
      <x:c r="D12" s="19" t="n">
        <x:f>D10-D11</x:f>
        <x:v>14</x:v>
      </x:c>
      <x:c r="E12" t="str"/>
    </x:row>
    <x:row r="13">
      <x:c r="B13" t="str">
        <x:v>shared gross share</x:v>
      </x:c>
      <x:c r="C13" s="19" t="n">
        <x:f>Controls!$D$55</x:f>
        <x:v>270</x:v>
      </x:c>
      <x:c r="D13" s="19" t="n">
        <x:f>Controls!$D$57</x:f>
        <x:v>42</x:v>
      </x:c>
      <x:c r="E13" t="str"/>
    </x:row>
    <x:row r="14">
      <x:c r="B14" t="str">
        <x:v>shared overlap</x:v>
      </x:c>
      <x:c r="C14" s="19" t="n">
        <x:f>Controls!$D$62</x:f>
        <x:v>210</x:v>
      </x:c>
      <x:c r="D14" s="19" t="n">
        <x:f>Controls!$D$63</x:f>
        <x:v>34</x:v>
      </x:c>
      <x:c r="E14" t="str"/>
    </x:row>
    <x:row r="15">
      <x:c r="B15" t="str">
        <x:v>shared net-new</x:v>
      </x:c>
      <x:c r="C15" s="19" t="n">
        <x:f>C13-C14</x:f>
        <x:v>60</x:v>
      </x:c>
      <x:c r="D15" s="19" t="n">
        <x:f>D13-D14</x:f>
        <x:v>8</x:v>
      </x:c>
      <x:c r="E15" t="str"/>
    </x:row>
    <x:row r="16">
      <x:c r="B16" t="str">
        <x:v>BRD-9R inherited</x:v>
      </x:c>
      <x:c r="C16" s="19" t="n">
        <x:f>Controls!$D$64</x:f>
        <x:v>2195</x:v>
      </x:c>
      <x:c r="D16" s="19" t="n">
        <x:f>Controls!$D$65</x:f>
        <x:v>372</x:v>
      </x:c>
      <x:c r="E16" t="str"/>
    </x:row>
    <x:row r="17">
      <x:c r="B17" t="str">
        <x:v>BRD-10R corrected</x:v>
      </x:c>
      <x:c r="C17" s="19" t="n">
        <x:f>C16+C12</x:f>
        <x:v>2295</x:v>
      </x:c>
      <x:c r="D17" s="19" t="n">
        <x:f>D16+D12</x:f>
        <x:v>386</x:v>
      </x:c>
      <x:c r="E17" t="str"/>
    </x:row>
    <x:row r="18">
      <x:c r="B18" t="str">
        <x:v>CISA parent</x:v>
      </x:c>
      <x:c r="C18" s="19" t="n">
        <x:f>Controls!$D$68</x:f>
        <x:v>960</x:v>
      </x:c>
      <x:c r="D18" s="19" t="n">
        <x:f>Controls!$D$69</x:f>
        <x:v>260</x:v>
      </x:c>
      <x:c r="E18" t="str"/>
    </x:row>
    <x:row r="19">
      <x:c r="B19" t="str">
        <x:v>BRD-10R remainder</x:v>
      </x:c>
      <x:c r="C19" s="19" t="n">
        <x:f>C18-C17</x:f>
        <x:v>-1335</x:v>
      </x:c>
      <x:c r="D19" s="19" t="n">
        <x:f>D18-D17</x:f>
        <x:v>-126</x:v>
      </x:c>
      <x:c r="E19" t="str"/>
    </x:row>
    <x:row r="20">
      <x:c r="B20" t="str">
        <x:v>BRD-9U inherited</x:v>
      </x:c>
      <x:c r="C20" s="19" t="n">
        <x:f>Controls!$D$66</x:f>
        <x:v>2713</x:v>
      </x:c>
      <x:c r="D20" s="19" t="n">
        <x:f>Controls!$D$67</x:f>
        <x:v>493</x:v>
      </x:c>
      <x:c r="E20" t="str"/>
    </x:row>
    <x:row r="21">
      <x:c r="B21" t="str">
        <x:v>BRD-10U uncredited</x:v>
      </x:c>
      <x:c r="C21" s="19" t="n">
        <x:f>C20+C9</x:f>
        <x:v>2873</x:v>
      </x:c>
      <x:c r="D21" s="19" t="n">
        <x:f>D20+D9</x:f>
        <x:v>515</x:v>
      </x:c>
      <x:c r="E21" t="str"/>
    </x:row>
    <x:row r="22">
      <x:c r="B22" t="str">
        <x:v>program-period exposure</x:v>
      </x:c>
      <x:c r="C22" s="19" t="n">
        <x:f>Controls!$D$52+Controls!$D$53*Controls!$D$50/12</x:f>
        <x:v>1056</x:v>
      </x:c>
      <x:c r="D22" s="19" t="str"/>
      <x:c r="E22" t="str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9" hidden="0" customWidth="1"/>
    <x:col min="4" max="4" width="79" hidden="0" customWidth="1"/>
    <x:col min="5" max="5" width="48" hidden="0" customWidth="1"/>
  </x:cols>
  <x:sheetData>
    <x:row r="2">
      <x:c r="B2" s="1" t="str">
        <x:v>Novel capability portfolio</x:v>
      </x:c>
    </x:row>
    <x:row r="3">
      <x:c r="B3" s="2" t="str">
        <x:v>The Department funds enabling technology because current products do not satisfy the acceptance burden.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Program</x:v>
      </x:c>
      <x:c r="C6" s="7" t="str">
        <x:v>Technology</x:v>
      </x:c>
      <x:c r="D6" s="7" t="str">
        <x:v>First-principles target</x:v>
      </x:c>
      <x:c r="E6" s="7" t="str">
        <x:v>Broader civil use</x:v>
      </x:c>
    </x:row>
    <x:row r="7" ht="52" customHeight="1">
      <x:c r="B7" t="str">
        <x:v>TP-01</x:v>
      </x:c>
      <x:c r="C7" t="str">
        <x:v>self-mapping high-temperature terrain</x:v>
      </x:c>
      <x:c r="D7" s="11" t="str">
        <x:v>terrain cassettes report geometry, thermal damage and residual inventory after fire</x:v>
      </x:c>
      <x:c r="E7" s="11" t="str">
        <x:v>field civil systems, rail yards, industrial response</x:v>
      </x:c>
    </x:row>
    <x:row r="8" ht="52" customHeight="1">
      <x:c r="B8" t="str">
        <x:v>TP-02</x:v>
      </x:c>
      <x:c r="C8" t="str">
        <x:v>source-selective refractory drainage</x:v>
      </x:c>
      <x:c r="D8" s="11" t="str">
        <x:v>separate fuel, water, agent and solids under heat and debris</x:v>
      </x:c>
      <x:c r="E8" s="11" t="str">
        <x:v>ports, refineries, wildfire operations</x:v>
      </x:c>
    </x:row>
    <x:row r="9" ht="52" customHeight="1">
      <x:c r="B9" t="str">
        <x:v>TP-03</x:v>
      </x:c>
      <x:c r="C9" t="str">
        <x:v>megawatt closed-loop mobile cooling</x:v>
      </x:c>
      <x:c r="D9" s="11" t="str">
        <x:v>reject 20 MW while proving water ancestry and low net retention</x:v>
      </x:c>
      <x:c r="E9" s="11" t="str">
        <x:v>data centers, reactors, district cooling</x:v>
      </x:c>
    </x:row>
    <x:row r="10" ht="52" customHeight="1">
      <x:c r="B10" t="str">
        <x:v>TP-04</x:v>
      </x:c>
      <x:c r="C10" t="str">
        <x:v>robotic liquid ancestry</x:v>
      </x:c>
      <x:c r="D10" s="11" t="str">
        <x:v>robots sample, skim, clear and label recovered material without human entry</x:v>
      </x:c>
      <x:c r="E10" s="11" t="str">
        <x:v>chemical incidents, contaminated floods</x:v>
      </x:c>
    </x:row>
    <x:row r="11" ht="52" customHeight="1">
      <x:c r="B11" t="str">
        <x:v>TP-05</x:v>
      </x:c>
      <x:c r="C11" t="str">
        <x:v>causal fire instrumentation</x:v>
      </x:c>
      <x:c r="D11" s="11" t="str">
        <x:v>reconstruct intervention, heat, spread and custody at subsecond resolution</x:v>
      </x:c>
      <x:c r="E11" s="11" t="str">
        <x:v>aviation, energy storage, urban fire</x:v>
      </x:c>
    </x:row>
    <x:row r="12" ht="52" customHeight="1">
      <x:c r="B12" t="str">
        <x:v>TP-06</x:v>
      </x:c>
      <x:c r="C12" t="str">
        <x:v>stored-energy public safeing</x:v>
      </x:c>
      <x:c r="D12" s="11" t="str">
        <x:v>three truly independent paths survive network and utility loss</x:v>
      </x:c>
      <x:c r="E12" s="11" t="str">
        <x:v>critical infrastructure and remote industry</x:v>
      </x:c>
    </x:row>
    <x:row r="13" ht="52" customHeight="1">
      <x:c r="B13" t="str">
        <x:v>TP-07</x:v>
      </x:c>
      <x:c r="C13" t="str">
        <x:v>rapid environmental custody</x:v>
      </x:c>
      <x:c r="D13" s="11" t="str">
        <x:v>field fractionation and disposition with native audit lineage</x:v>
      </x:c>
      <x:c r="E13" s="11" t="str">
        <x:v>post-disaster water and soil recovery</x:v>
      </x:c>
    </x:row>
    <x:row r="14" ht="52" customHeight="1">
      <x:c r="B14" t="str">
        <x:v>TP-08</x:v>
      </x:c>
      <x:c r="C14" t="str">
        <x:v>transferable public test grammar</x:v>
      </x:c>
      <x:c r="D14" s="11" t="str">
        <x:v>candidate-neutral mechanical, data and evidence interfaces</x:v>
      </x:c>
      <x:c r="E14" s="11" t="str">
        <x:v>all Department mission acquisition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4" hidden="0" customWidth="1"/>
    <x:col min="3" max="3" width="15" hidden="0" customWidth="1"/>
    <x:col min="4" max="4" width="47" hidden="0" customWidth="1"/>
    <x:col min="5" max="5" width="14" hidden="0" customWidth="1"/>
    <x:col min="6" max="6" width="14" hidden="0" customWidth="1"/>
    <x:col min="7" max="7" width="14" hidden="0" customWidth="1"/>
    <x:col min="8" max="8" width="31" hidden="0" customWidth="1"/>
    <x:col min="9" max="9" width="14" hidden="0" customWidth="1"/>
    <x:col min="11" max="11" width="16" hidden="0" customWidth="1"/>
    <x:col min="12" max="12" width="22" hidden="0" customWidth="1"/>
  </x:cols>
  <x:sheetData>
    <x:row r="2">
      <x:c r="B2" s="1" t="str">
        <x:v>RFP-1 release ledger</x:v>
      </x:c>
      <x:c r="K2" t="n">
        <x:v>335</x:v>
      </x:c>
      <x:c r="L2" t="str">
        <x:v>planning count</x:v>
      </x:c>
    </x:row>
    <x:row r="3">
      <x:c r="B3" s="2" t="str">
        <x:v>Planning completeness cannot grant physical acceptance or downstream authority.</x:v>
      </x:c>
      <x:c r="K3" t="n">
        <x:v>2244</x:v>
      </x:c>
      <x:c r="L3" t="str">
        <x:v>physical count</x:v>
      </x:c>
    </x:row>
    <x:row r="4">
      <x:c r="K4" t="n">
        <x:v>9</x:v>
      </x:c>
      <x:c r="L4" t="str">
        <x:v>downstream count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Gate</x:v>
      </x:c>
      <x:c r="C6" s="7" t="str">
        <x:v>Class</x:v>
      </x:c>
      <x:c r="D6" s="7" t="str">
        <x:v>Requirement</x:v>
      </x:c>
      <x:c r="E6" s="7" t="str">
        <x:v>Observed</x:v>
      </x:c>
      <x:c r="F6" s="7" t="str">
        <x:v>Required</x:v>
      </x:c>
      <x:c r="G6" s="7" t="str">
        <x:v>Comparator</x:v>
      </x:c>
      <x:c r="H6" s="7" t="str">
        <x:v>Owner</x:v>
      </x:c>
      <x:c r="I6" s="7" t="str">
        <x:v>State</x:v>
      </x:c>
    </x:row>
    <x:row r="7">
      <x:c r="B7" t="str">
        <x:v>PL-RIG-RFP-A1</x:v>
      </x:c>
      <x:c r="C7" t="str">
        <x:v>PLANNING</x:v>
      </x:c>
      <x:c r="D7" t="str">
        <x:v>RFP-A1 role and full anatomy defined</x:v>
      </x:c>
      <x:c r="E7" t="n">
        <x:f>Controls!$D$70</x:f>
        <x:v>1</x:v>
      </x:c>
      <x:c r="F7" t="n">
        <x:v>1</x:v>
      </x:c>
      <x:c r="G7" t="str">
        <x:v>equals</x:v>
      </x:c>
      <x:c r="H7" t="str">
        <x:v>RFP-1 design authority</x:v>
      </x:c>
      <x:c r="I7" t="str">
        <x:f>IF(E7=1,"PASS","GAP")</x:f>
        <x:v>PASS</x:v>
      </x:c>
    </x:row>
    <x:row r="8">
      <x:c r="B8" t="str">
        <x:v>PL-RIG-RFP-A2</x:v>
      </x:c>
      <x:c r="C8" t="str">
        <x:v>PLANNING</x:v>
      </x:c>
      <x:c r="D8" t="str">
        <x:v>RFP-A2 role and full anatomy defined</x:v>
      </x:c>
      <x:c r="E8" t="n">
        <x:f>Controls!$D$70</x:f>
        <x:v>1</x:v>
      </x:c>
      <x:c r="F8" t="n">
        <x:v>1</x:v>
      </x:c>
      <x:c r="G8" t="str">
        <x:v>equals</x:v>
      </x:c>
      <x:c r="H8" t="str">
        <x:v>RFP-1 design authority</x:v>
      </x:c>
      <x:c r="I8" t="str">
        <x:f>IF(E8=1,"PASS","GAP")</x:f>
        <x:v>PASS</x:v>
      </x:c>
    </x:row>
    <x:row r="9">
      <x:c r="B9" t="str">
        <x:v>PL-RIG-RFP-B1</x:v>
      </x:c>
      <x:c r="C9" t="str">
        <x:v>PLANNING</x:v>
      </x:c>
      <x:c r="D9" t="str">
        <x:v>RFP-B1 role and full anatomy defined</x:v>
      </x:c>
      <x:c r="E9" t="n">
        <x:f>Controls!$D$70</x:f>
        <x:v>1</x:v>
      </x:c>
      <x:c r="F9" t="n">
        <x:v>1</x:v>
      </x:c>
      <x:c r="G9" t="str">
        <x:v>equals</x:v>
      </x:c>
      <x:c r="H9" t="str">
        <x:v>RFP-1 design authority</x:v>
      </x:c>
      <x:c r="I9" t="str">
        <x:f>IF(E9=1,"PASS","GAP")</x:f>
        <x:v>PASS</x:v>
      </x:c>
    </x:row>
    <x:row r="10">
      <x:c r="B10" t="str">
        <x:v>PL-RIG-RFP-B2</x:v>
      </x:c>
      <x:c r="C10" t="str">
        <x:v>PLANNING</x:v>
      </x:c>
      <x:c r="D10" t="str">
        <x:v>RFP-B2 role and full anatomy defined</x:v>
      </x:c>
      <x:c r="E10" t="n">
        <x:f>Controls!$D$70</x:f>
        <x:v>1</x:v>
      </x:c>
      <x:c r="F10" t="n">
        <x:v>1</x:v>
      </x:c>
      <x:c r="G10" t="str">
        <x:v>equals</x:v>
      </x:c>
      <x:c r="H10" t="str">
        <x:v>RFP-1 design authority</x:v>
      </x:c>
      <x:c r="I10" t="str">
        <x:f>IF(E10=1,"PASS","GAP")</x:f>
        <x:v>PASS</x:v>
      </x:c>
    </x:row>
    <x:row r="11">
      <x:c r="B11" t="str">
        <x:v>PL-RIG-RFP-C1</x:v>
      </x:c>
      <x:c r="C11" t="str">
        <x:v>PLANNING</x:v>
      </x:c>
      <x:c r="D11" t="str">
        <x:v>RFP-C1 role and full anatomy defined</x:v>
      </x:c>
      <x:c r="E11" t="n">
        <x:f>Controls!$D$70</x:f>
        <x:v>1</x:v>
      </x:c>
      <x:c r="F11" t="n">
        <x:v>1</x:v>
      </x:c>
      <x:c r="G11" t="str">
        <x:v>equals</x:v>
      </x:c>
      <x:c r="H11" t="str">
        <x:v>RFP-1 design authority</x:v>
      </x:c>
      <x:c r="I11" t="str">
        <x:f>IF(E11=1,"PASS","GAP")</x:f>
        <x:v>PASS</x:v>
      </x:c>
    </x:row>
    <x:row r="12">
      <x:c r="B12" t="str">
        <x:v>PL-RIG-RFP-C2</x:v>
      </x:c>
      <x:c r="C12" t="str">
        <x:v>PLANNING</x:v>
      </x:c>
      <x:c r="D12" t="str">
        <x:v>RFP-C2 role and full anatomy defined</x:v>
      </x:c>
      <x:c r="E12" t="n">
        <x:f>Controls!$D$70</x:f>
        <x:v>1</x:v>
      </x:c>
      <x:c r="F12" t="n">
        <x:v>1</x:v>
      </x:c>
      <x:c r="G12" t="str">
        <x:v>equals</x:v>
      </x:c>
      <x:c r="H12" t="str">
        <x:v>RFP-1 design authority</x:v>
      </x:c>
      <x:c r="I12" t="str">
        <x:f>IF(E12=1,"PASS","GAP")</x:f>
        <x:v>PASS</x:v>
      </x:c>
    </x:row>
    <x:row r="13">
      <x:c r="B13" t="str">
        <x:v>PL-IF-01</x:v>
      </x:c>
      <x:c r="C13" t="str">
        <x:v>PLANNING</x:v>
      </x:c>
      <x:c r="D13" t="str">
        <x:v>source origin volume neutrality rule defined</x:v>
      </x:c>
      <x:c r="E13" t="n">
        <x:f>Controls!$D$70</x:f>
        <x:v>1</x:v>
      </x:c>
      <x:c r="F13" t="n">
        <x:v>1</x:v>
      </x:c>
      <x:c r="G13" t="str">
        <x:v>equals</x:v>
      </x:c>
      <x:c r="H13" t="str">
        <x:v>RFP-1 design authority</x:v>
      </x:c>
      <x:c r="I13" t="str">
        <x:f>IF(E13=1,"PASS","GAP")</x:f>
        <x:v>PASS</x:v>
      </x:c>
    </x:row>
    <x:row r="14">
      <x:c r="B14" t="str">
        <x:v>PL-IF-02</x:v>
      </x:c>
      <x:c r="C14" t="str">
        <x:v>PLANNING</x:v>
      </x:c>
      <x:c r="D14" t="str">
        <x:v>terrain datum neutrality rule defined</x:v>
      </x:c>
      <x:c r="E14" t="n">
        <x:f>Controls!$D$70</x:f>
        <x:v>1</x:v>
      </x:c>
      <x:c r="F14" t="n">
        <x:v>1</x:v>
      </x:c>
      <x:c r="G14" t="str">
        <x:v>equals</x:v>
      </x:c>
      <x:c r="H14" t="str">
        <x:v>RFP-1 design authority</x:v>
      </x:c>
      <x:c r="I14" t="str">
        <x:f>IF(E14=1,"PASS","GAP")</x:f>
        <x:v>PASS</x:v>
      </x:c>
    </x:row>
    <x:row r="15">
      <x:c r="B15" t="str">
        <x:v>PL-IF-03</x:v>
      </x:c>
      <x:c r="C15" t="str">
        <x:v>PLANNING</x:v>
      </x:c>
      <x:c r="D15" t="str">
        <x:v>drain opening neutrality rule defined</x:v>
      </x:c>
      <x:c r="E15" t="n">
        <x:f>Controls!$D$70</x:f>
        <x:v>1</x:v>
      </x:c>
      <x:c r="F15" t="n">
        <x:v>1</x:v>
      </x:c>
      <x:c r="G15" t="str">
        <x:v>equals</x:v>
      </x:c>
      <x:c r="H15" t="str">
        <x:v>RFP-1 design authority</x:v>
      </x:c>
      <x:c r="I15" t="str">
        <x:f>IF(E15=1,"PASS","GAP")</x:f>
        <x:v>PASS</x:v>
      </x:c>
    </x:row>
    <x:row r="16">
      <x:c r="B16" t="str">
        <x:v>PL-IF-04</x:v>
      </x:c>
      <x:c r="C16" t="str">
        <x:v>PLANNING</x:v>
      </x:c>
      <x:c r="D16" t="str">
        <x:v>source custody neutrality rule defined</x:v>
      </x:c>
      <x:c r="E16" t="n">
        <x:f>Controls!$D$70</x:f>
        <x:v>1</x:v>
      </x:c>
      <x:c r="F16" t="n">
        <x:v>1</x:v>
      </x:c>
      <x:c r="G16" t="str">
        <x:v>equals</x:v>
      </x:c>
      <x:c r="H16" t="str">
        <x:v>RFP-1 design authority</x:v>
      </x:c>
      <x:c r="I16" t="str">
        <x:f>IF(E16=1,"PASS","GAP")</x:f>
        <x:v>PASS</x:v>
      </x:c>
    </x:row>
    <x:row r="17">
      <x:c r="B17" t="str">
        <x:v>PL-IF-05</x:v>
      </x:c>
      <x:c r="C17" t="str">
        <x:v>PLANNING</x:v>
      </x:c>
      <x:c r="D17" t="str">
        <x:v>water supply neutrality rule defined</x:v>
      </x:c>
      <x:c r="E17" t="n">
        <x:f>Controls!$D$70</x:f>
        <x:v>1</x:v>
      </x:c>
      <x:c r="F17" t="n">
        <x:v>1</x:v>
      </x:c>
      <x:c r="G17" t="str">
        <x:v>equals</x:v>
      </x:c>
      <x:c r="H17" t="str">
        <x:v>RFP-1 design authority</x:v>
      </x:c>
      <x:c r="I17" t="str">
        <x:f>IF(E17=1,"PASS","GAP")</x:f>
        <x:v>PASS</x:v>
      </x:c>
    </x:row>
    <x:row r="18">
      <x:c r="B18" t="str">
        <x:v>PL-IF-06</x:v>
      </x:c>
      <x:c r="C18" t="str">
        <x:v>PLANNING</x:v>
      </x:c>
      <x:c r="D18" t="str">
        <x:v>heat rejection neutrality rule defined</x:v>
      </x:c>
      <x:c r="E18" t="n">
        <x:f>Controls!$D$70</x:f>
        <x:v>1</x:v>
      </x:c>
      <x:c r="F18" t="n">
        <x:v>1</x:v>
      </x:c>
      <x:c r="G18" t="str">
        <x:v>equals</x:v>
      </x:c>
      <x:c r="H18" t="str">
        <x:v>RFP-1 design authority</x:v>
      </x:c>
      <x:c r="I18" t="str">
        <x:f>IF(E18=1,"PASS","GAP")</x:f>
        <x:v>PASS</x:v>
      </x:c>
    </x:row>
    <x:row r="19">
      <x:c r="B19" t="str">
        <x:v>PL-IF-07</x:v>
      </x:c>
      <x:c r="C19" t="str">
        <x:v>PLANNING</x:v>
      </x:c>
      <x:c r="D19" t="str">
        <x:v>robot corridor neutrality rule defined</x:v>
      </x:c>
      <x:c r="E19" t="n">
        <x:f>Controls!$D$70</x:f>
        <x:v>1</x:v>
      </x:c>
      <x:c r="F19" t="n">
        <x:v>1</x:v>
      </x:c>
      <x:c r="G19" t="str">
        <x:v>equals</x:v>
      </x:c>
      <x:c r="H19" t="str">
        <x:v>RFP-1 design authority</x:v>
      </x:c>
      <x:c r="I19" t="str">
        <x:f>IF(E19=1,"PASS","GAP")</x:f>
        <x:v>PASS</x:v>
      </x:c>
    </x:row>
    <x:row r="20">
      <x:c r="B20" t="str">
        <x:v>PL-IF-08</x:v>
      </x:c>
      <x:c r="C20" t="str">
        <x:v>PLANNING</x:v>
      </x:c>
      <x:c r="D20" t="str">
        <x:v>clock and evidence neutrality rule defined</x:v>
      </x:c>
      <x:c r="E20" t="n">
        <x:f>Controls!$D$70</x:f>
        <x:v>1</x:v>
      </x:c>
      <x:c r="F20" t="n">
        <x:v>1</x:v>
      </x:c>
      <x:c r="G20" t="str">
        <x:v>equals</x:v>
      </x:c>
      <x:c r="H20" t="str">
        <x:v>RFP-1 design authority</x:v>
      </x:c>
      <x:c r="I20" t="str">
        <x:f>IF(E20=1,"PASS","GAP")</x:f>
        <x:v>PASS</x:v>
      </x:c>
    </x:row>
    <x:row r="21">
      <x:c r="B21" t="str">
        <x:v>PL-IF-09</x:v>
      </x:c>
      <x:c r="C21" t="str">
        <x:v>PLANNING</x:v>
      </x:c>
      <x:c r="D21" t="str">
        <x:v>casualty source path neutrality rule defined</x:v>
      </x:c>
      <x:c r="E21" t="n">
        <x:f>Controls!$D$70</x:f>
        <x:v>1</x:v>
      </x:c>
      <x:c r="F21" t="n">
        <x:v>1</x:v>
      </x:c>
      <x:c r="G21" t="str">
        <x:v>equals</x:v>
      </x:c>
      <x:c r="H21" t="str">
        <x:v>RFP-1 design authority</x:v>
      </x:c>
      <x:c r="I21" t="str">
        <x:f>IF(E21=1,"PASS","GAP")</x:f>
        <x:v>PASS</x:v>
      </x:c>
    </x:row>
    <x:row r="22">
      <x:c r="B22" t="str">
        <x:v>PL-IF-10</x:v>
      </x:c>
      <x:c r="C22" t="str">
        <x:v>PLANNING</x:v>
      </x:c>
      <x:c r="D22" t="str">
        <x:v>casualty water path neutrality rule defined</x:v>
      </x:c>
      <x:c r="E22" t="n">
        <x:f>Controls!$D$70</x:f>
        <x:v>1</x:v>
      </x:c>
      <x:c r="F22" t="n">
        <x:v>1</x:v>
      </x:c>
      <x:c r="G22" t="str">
        <x:v>equals</x:v>
      </x:c>
      <x:c r="H22" t="str">
        <x:v>RFP-1 design authority</x:v>
      </x:c>
      <x:c r="I22" t="str">
        <x:f>IF(E22=1,"PASS","GAP")</x:f>
        <x:v>PASS</x:v>
      </x:c>
    </x:row>
    <x:row r="23">
      <x:c r="B23" t="str">
        <x:v>PL-IF-11</x:v>
      </x:c>
      <x:c r="C23" t="str">
        <x:v>PLANNING</x:v>
      </x:c>
      <x:c r="D23" t="str">
        <x:v>environmental perimeter neutrality rule defined</x:v>
      </x:c>
      <x:c r="E23" t="n">
        <x:f>Controls!$D$70</x:f>
        <x:v>1</x:v>
      </x:c>
      <x:c r="F23" t="n">
        <x:v>1</x:v>
      </x:c>
      <x:c r="G23" t="str">
        <x:v>equals</x:v>
      </x:c>
      <x:c r="H23" t="str">
        <x:v>RFP-1 design authority</x:v>
      </x:c>
      <x:c r="I23" t="str">
        <x:f>IF(E23=1,"PASS","GAP")</x:f>
        <x:v>PASS</x:v>
      </x:c>
    </x:row>
    <x:row r="24">
      <x:c r="B24" t="str">
        <x:v>PL-IF-12</x:v>
      </x:c>
      <x:c r="C24" t="str">
        <x:v>PLANNING</x:v>
      </x:c>
      <x:c r="D24" t="str">
        <x:v>restoration neutrality rule defined</x:v>
      </x:c>
      <x:c r="E24" t="n">
        <x:f>Controls!$D$70</x:f>
        <x:v>1</x:v>
      </x:c>
      <x:c r="F24" t="n">
        <x:v>1</x:v>
      </x:c>
      <x:c r="G24" t="str">
        <x:v>equals</x:v>
      </x:c>
      <x:c r="H24" t="str">
        <x:v>RFP-1 design authority</x:v>
      </x:c>
      <x:c r="I24" t="str">
        <x:f>IF(E24=1,"PASS","GAP")</x:f>
        <x:v>PASS</x:v>
      </x:c>
    </x:row>
    <x:row r="25">
      <x:c r="B25" t="str">
        <x:v>PL-SD-01</x:v>
      </x:c>
      <x:c r="C25" t="str">
        <x:v>PLANNING</x:v>
      </x:c>
      <x:c r="D25" t="str">
        <x:v>source preparation vessel design basis defined</x:v>
      </x:c>
      <x:c r="E25" t="n">
        <x:f>Controls!$D$70</x:f>
        <x:v>1</x:v>
      </x:c>
      <x:c r="F25" t="n">
        <x:v>1</x:v>
      </x:c>
      <x:c r="G25" t="str">
        <x:v>equals</x:v>
      </x:c>
      <x:c r="H25" t="str">
        <x:v>RFP-1 design authority</x:v>
      </x:c>
      <x:c r="I25" t="str">
        <x:f>IF(E25=1,"PASS","GAP")</x:f>
        <x:v>PASS</x:v>
      </x:c>
    </x:row>
    <x:row r="26">
      <x:c r="B26" t="str">
        <x:v>PL-SD-02</x:v>
      </x:c>
      <x:c r="C26" t="str">
        <x:v>PLANNING</x:v>
      </x:c>
      <x:c r="D26" t="str">
        <x:v>native mass metrology design basis defined</x:v>
      </x:c>
      <x:c r="E26" t="n">
        <x:f>Controls!$D$70</x:f>
        <x:v>1</x:v>
      </x:c>
      <x:c r="F26" t="n">
        <x:v>1</x:v>
      </x:c>
      <x:c r="G26" t="str">
        <x:v>equals</x:v>
      </x:c>
      <x:c r="H26" t="str">
        <x:v>RFP-1 design authority</x:v>
      </x:c>
      <x:c r="I26" t="str">
        <x:f>IF(E26=1,"PASS","GAP")</x:f>
        <x:v>PASS</x:v>
      </x:c>
    </x:row>
    <x:row r="27">
      <x:c r="B27" t="str">
        <x:v>PL-SD-03</x:v>
      </x:c>
      <x:c r="C27" t="str">
        <x:v>PLANNING</x:v>
      </x:c>
      <x:c r="D27" t="str">
        <x:v>public source manifold design basis defined</x:v>
      </x:c>
      <x:c r="E27" t="n">
        <x:f>Controls!$D$70</x:f>
        <x:v>1</x:v>
      </x:c>
      <x:c r="F27" t="n">
        <x:v>1</x:v>
      </x:c>
      <x:c r="G27" t="str">
        <x:v>equals</x:v>
      </x:c>
      <x:c r="H27" t="str">
        <x:v>RFP-1 design authority</x:v>
      </x:c>
      <x:c r="I27" t="str">
        <x:f>IF(E27=1,"PASS","GAP")</x:f>
        <x:v>PASS</x:v>
      </x:c>
    </x:row>
    <x:row r="28">
      <x:c r="B28" t="str">
        <x:v>PL-SD-04</x:v>
      </x:c>
      <x:c r="C28" t="str">
        <x:v>PLANNING</x:v>
      </x:c>
      <x:c r="D28" t="str">
        <x:v>replaceable release adapters design basis defined</x:v>
      </x:c>
      <x:c r="E28" t="n">
        <x:f>Controls!$D$70</x:f>
        <x:v>1</x:v>
      </x:c>
      <x:c r="F28" t="n">
        <x:v>1</x:v>
      </x:c>
      <x:c r="G28" t="str">
        <x:v>equals</x:v>
      </x:c>
      <x:c r="H28" t="str">
        <x:v>RFP-1 design authority</x:v>
      </x:c>
      <x:c r="I28" t="str">
        <x:f>IF(E28=1,"PASS","GAP")</x:f>
        <x:v>PASS</x:v>
      </x:c>
    </x:row>
    <x:row r="29">
      <x:c r="B29" t="str">
        <x:v>PL-SD-05</x:v>
      </x:c>
      <x:c r="C29" t="str">
        <x:v>PLANNING</x:v>
      </x:c>
      <x:c r="D29" t="str">
        <x:v>metered isolation train design basis defined</x:v>
      </x:c>
      <x:c r="E29" t="n">
        <x:f>Controls!$D$70</x:f>
        <x:v>1</x:v>
      </x:c>
      <x:c r="F29" t="n">
        <x:v>1</x:v>
      </x:c>
      <x:c r="G29" t="str">
        <x:v>equals</x:v>
      </x:c>
      <x:c r="H29" t="str">
        <x:v>RFP-1 design authority</x:v>
      </x:c>
      <x:c r="I29" t="str">
        <x:f>IF(E29=1,"PASS","GAP")</x:f>
        <x:v>PASS</x:v>
      </x:c>
    </x:row>
    <x:row r="30">
      <x:c r="B30" t="str">
        <x:v>PL-SD-06</x:v>
      </x:c>
      <x:c r="C30" t="str">
        <x:v>PLANNING</x:v>
      </x:c>
      <x:c r="D30" t="str">
        <x:v>source purge and inerting design basis defined</x:v>
      </x:c>
      <x:c r="E30" t="n">
        <x:f>Controls!$D$70</x:f>
        <x:v>1</x:v>
      </x:c>
      <x:c r="F30" t="n">
        <x:v>1</x:v>
      </x:c>
      <x:c r="G30" t="str">
        <x:v>equals</x:v>
      </x:c>
      <x:c r="H30" t="str">
        <x:v>RFP-1 design authority</x:v>
      </x:c>
      <x:c r="I30" t="str">
        <x:f>IF(E30=1,"PASS","GAP")</x:f>
        <x:v>PASS</x:v>
      </x:c>
    </x:row>
    <x:row r="31">
      <x:c r="B31" t="str">
        <x:v>PL-SD-07</x:v>
      </x:c>
      <x:c r="C31" t="str">
        <x:v>PLANNING</x:v>
      </x:c>
      <x:c r="D31" t="str">
        <x:v>casualty diversion design basis defined</x:v>
      </x:c>
      <x:c r="E31" t="n">
        <x:f>Controls!$D$70</x:f>
        <x:v>1</x:v>
      </x:c>
      <x:c r="F31" t="n">
        <x:v>1</x:v>
      </x:c>
      <x:c r="G31" t="str">
        <x:v>equals</x:v>
      </x:c>
      <x:c r="H31" t="str">
        <x:v>RFP-1 design authority</x:v>
      </x:c>
      <x:c r="I31" t="str">
        <x:f>IF(E31=1,"PASS","GAP")</x:f>
        <x:v>PASS</x:v>
      </x:c>
    </x:row>
    <x:row r="32">
      <x:c r="B32" t="str">
        <x:v>PL-SD-08</x:v>
      </x:c>
      <x:c r="C32" t="str">
        <x:v>PLANNING</x:v>
      </x:c>
      <x:c r="D32" t="str">
        <x:v>C2 physical interface design basis defined</x:v>
      </x:c>
      <x:c r="E32" t="n">
        <x:f>Controls!$D$70</x:f>
        <x:v>1</x:v>
      </x:c>
      <x:c r="F32" t="n">
        <x:v>1</x:v>
      </x:c>
      <x:c r="G32" t="str">
        <x:v>equals</x:v>
      </x:c>
      <x:c r="H32" t="str">
        <x:v>RFP-1 design authority</x:v>
      </x:c>
      <x:c r="I32" t="str">
        <x:f>IF(E32=1,"PASS","GAP")</x:f>
        <x:v>PASS</x:v>
      </x:c>
    </x:row>
    <x:row r="33">
      <x:c r="B33" t="str">
        <x:v>PL-TB-01</x:v>
      </x:c>
      <x:c r="C33" t="str">
        <x:v>PLANNING</x:v>
      </x:c>
      <x:c r="D33" t="str">
        <x:v>configurable pool boundary defined</x:v>
      </x:c>
      <x:c r="E33" t="n">
        <x:f>Controls!$D$70</x:f>
        <x:v>1</x:v>
      </x:c>
      <x:c r="F33" t="n">
        <x:v>1</x:v>
      </x:c>
      <x:c r="G33" t="str">
        <x:v>equals</x:v>
      </x:c>
      <x:c r="H33" t="str">
        <x:v>RFP-1 design authority</x:v>
      </x:c>
      <x:c r="I33" t="str">
        <x:f>IF(E33=1,"PASS","GAP")</x:f>
        <x:v>PASS</x:v>
      </x:c>
    </x:row>
    <x:row r="34">
      <x:c r="B34" t="str">
        <x:v>PL-TB-02</x:v>
      </x:c>
      <x:c r="C34" t="str">
        <x:v>PLANNING</x:v>
      </x:c>
      <x:c r="D34" t="str">
        <x:v>radiant source field defined</x:v>
      </x:c>
      <x:c r="E34" t="n">
        <x:f>Controls!$D$70</x:f>
        <x:v>1</x:v>
      </x:c>
      <x:c r="F34" t="n">
        <x:v>1</x:v>
      </x:c>
      <x:c r="G34" t="str">
        <x:v>equals</x:v>
      </x:c>
      <x:c r="H34" t="str">
        <x:v>RFP-1 design authority</x:v>
      </x:c>
      <x:c r="I34" t="str">
        <x:f>IF(E34=1,"PASS","GAP")</x:f>
        <x:v>PASS</x:v>
      </x:c>
    </x:row>
    <x:row r="35">
      <x:c r="B35" t="str">
        <x:v>PL-TB-03</x:v>
      </x:c>
      <x:c r="C35" t="str">
        <x:v>PLANNING</x:v>
      </x:c>
      <x:c r="D35" t="str">
        <x:v>zoned emitters defined</x:v>
      </x:c>
      <x:c r="E35" t="n">
        <x:f>Controls!$D$70</x:f>
        <x:v>1</x:v>
      </x:c>
      <x:c r="F35" t="n">
        <x:v>1</x:v>
      </x:c>
      <x:c r="G35" t="str">
        <x:v>equals</x:v>
      </x:c>
      <x:c r="H35" t="str">
        <x:v>RFP-1 design authority</x:v>
      </x:c>
      <x:c r="I35" t="str">
        <x:f>IF(E35=1,"PASS","GAP")</x:f>
        <x:v>PASS</x:v>
      </x:c>
    </x:row>
    <x:row r="36">
      <x:c r="B36" t="str">
        <x:v>PL-TB-04</x:v>
      </x:c>
      <x:c r="C36" t="str">
        <x:v>PLANNING</x:v>
      </x:c>
      <x:c r="D36" t="str">
        <x:v>wind field defined</x:v>
      </x:c>
      <x:c r="E36" t="n">
        <x:f>Controls!$D$70</x:f>
        <x:v>1</x:v>
      </x:c>
      <x:c r="F36" t="n">
        <x:v>1</x:v>
      </x:c>
      <x:c r="G36" t="str">
        <x:v>equals</x:v>
      </x:c>
      <x:c r="H36" t="str">
        <x:v>RFP-1 design authority</x:v>
      </x:c>
      <x:c r="I36" t="str">
        <x:f>IF(E36=1,"PASS","GAP")</x:f>
        <x:v>PASS</x:v>
      </x:c>
    </x:row>
    <x:row r="37">
      <x:c r="B37" t="str">
        <x:v>PL-TB-05</x:v>
      </x:c>
      <x:c r="C37" t="str">
        <x:v>PLANNING</x:v>
      </x:c>
      <x:c r="D37" t="str">
        <x:v>candidate shielding datum defined</x:v>
      </x:c>
      <x:c r="E37" t="n">
        <x:f>Controls!$D$70</x:f>
        <x:v>1</x:v>
      </x:c>
      <x:c r="F37" t="n">
        <x:v>1</x:v>
      </x:c>
      <x:c r="G37" t="str">
        <x:v>equals</x:v>
      </x:c>
      <x:c r="H37" t="str">
        <x:v>RFP-1 design authority</x:v>
      </x:c>
      <x:c r="I37" t="str">
        <x:f>IF(E37=1,"PASS","GAP")</x:f>
        <x:v>PASS</x:v>
      </x:c>
    </x:row>
    <x:row r="38">
      <x:c r="B38" t="str">
        <x:v>PL-TB-06</x:v>
      </x:c>
      <x:c r="C38" t="str">
        <x:v>PLANNING</x:v>
      </x:c>
      <x:c r="D38" t="str">
        <x:v>protected instrument galleries defined</x:v>
      </x:c>
      <x:c r="E38" t="n">
        <x:f>Controls!$D$70</x:f>
        <x:v>1</x:v>
      </x:c>
      <x:c r="F38" t="n">
        <x:v>1</x:v>
      </x:c>
      <x:c r="G38" t="str">
        <x:v>equals</x:v>
      </x:c>
      <x:c r="H38" t="str">
        <x:v>RFP-1 design authority</x:v>
      </x:c>
      <x:c r="I38" t="str">
        <x:f>IF(E38=1,"PASS","GAP")</x:f>
        <x:v>PASS</x:v>
      </x:c>
    </x:row>
    <x:row r="39">
      <x:c r="B39" t="str">
        <x:v>PL-TB-07</x:v>
      </x:c>
      <x:c r="C39" t="str">
        <x:v>PLANNING</x:v>
      </x:c>
      <x:c r="D39" t="str">
        <x:v>remote ignition defined</x:v>
      </x:c>
      <x:c r="E39" t="n">
        <x:f>Controls!$D$70</x:f>
        <x:v>1</x:v>
      </x:c>
      <x:c r="F39" t="n">
        <x:v>1</x:v>
      </x:c>
      <x:c r="G39" t="str">
        <x:v>equals</x:v>
      </x:c>
      <x:c r="H39" t="str">
        <x:v>RFP-1 design authority</x:v>
      </x:c>
      <x:c r="I39" t="str">
        <x:f>IF(E39=1,"PASS","GAP")</x:f>
        <x:v>PASS</x:v>
      </x:c>
    </x:row>
    <x:row r="40">
      <x:c r="B40" t="str">
        <x:v>PL-TB-08</x:v>
      </x:c>
      <x:c r="C40" t="str">
        <x:v>PLANNING</x:v>
      </x:c>
      <x:c r="D40" t="str">
        <x:v>quench boundary defined</x:v>
      </x:c>
      <x:c r="E40" t="n">
        <x:f>Controls!$D$70</x:f>
        <x:v>1</x:v>
      </x:c>
      <x:c r="F40" t="n">
        <x:v>1</x:v>
      </x:c>
      <x:c r="G40" t="str">
        <x:v>equals</x:v>
      </x:c>
      <x:c r="H40" t="str">
        <x:v>RFP-1 design authority</x:v>
      </x:c>
      <x:c r="I40" t="str">
        <x:f>IF(E40=1,"PASS","GAP")</x:f>
        <x:v>PASS</x:v>
      </x:c>
    </x:row>
    <x:row r="41">
      <x:c r="B41" t="str">
        <x:v>PL-EP-01</x:v>
      </x:c>
      <x:c r="C41" t="str">
        <x:v>PLANNING</x:v>
      </x:c>
      <x:c r="D41" t="str">
        <x:v>candidate source route boundary defined</x:v>
      </x:c>
      <x:c r="E41" t="n">
        <x:f>Controls!$D$70</x:f>
        <x:v>1</x:v>
      </x:c>
      <x:c r="F41" t="n">
        <x:v>1</x:v>
      </x:c>
      <x:c r="G41" t="str">
        <x:v>equals</x:v>
      </x:c>
      <x:c r="H41" t="str">
        <x:v>RFP-1 design authority</x:v>
      </x:c>
      <x:c r="I41" t="str">
        <x:f>IF(E41=1,"PASS","GAP")</x:f>
        <x:v>PASS</x:v>
      </x:c>
    </x:row>
    <x:row r="42">
      <x:c r="B42" t="str">
        <x:v>PL-EP-02</x:v>
      </x:c>
      <x:c r="C42" t="str">
        <x:v>PLANNING</x:v>
      </x:c>
      <x:c r="D42" t="str">
        <x:v>candidate water route boundary defined</x:v>
      </x:c>
      <x:c r="E42" t="n">
        <x:f>Controls!$D$70</x:f>
        <x:v>1</x:v>
      </x:c>
      <x:c r="F42" t="n">
        <x:v>1</x:v>
      </x:c>
      <x:c r="G42" t="str">
        <x:v>equals</x:v>
      </x:c>
      <x:c r="H42" t="str">
        <x:v>RFP-1 design authority</x:v>
      </x:c>
      <x:c r="I42" t="str">
        <x:f>IF(E42=1,"PASS","GAP")</x:f>
        <x:v>PASS</x:v>
      </x:c>
    </x:row>
    <x:row r="43">
      <x:c r="B43" t="str">
        <x:v>PL-EP-03</x:v>
      </x:c>
      <x:c r="C43" t="str">
        <x:v>PLANNING</x:v>
      </x:c>
      <x:c r="D43" t="str">
        <x:v>public casualty source boundary defined</x:v>
      </x:c>
      <x:c r="E43" t="n">
        <x:f>Controls!$D$70</x:f>
        <x:v>1</x:v>
      </x:c>
      <x:c r="F43" t="n">
        <x:v>1</x:v>
      </x:c>
      <x:c r="G43" t="str">
        <x:v>equals</x:v>
      </x:c>
      <x:c r="H43" t="str">
        <x:v>RFP-1 design authority</x:v>
      </x:c>
      <x:c r="I43" t="str">
        <x:f>IF(E43=1,"PASS","GAP")</x:f>
        <x:v>PASS</x:v>
      </x:c>
    </x:row>
    <x:row r="44">
      <x:c r="B44" t="str">
        <x:v>PL-EP-04</x:v>
      </x:c>
      <x:c r="C44" t="str">
        <x:v>PLANNING</x:v>
      </x:c>
      <x:c r="D44" t="str">
        <x:v>public casualty water boundary defined</x:v>
      </x:c>
      <x:c r="E44" t="n">
        <x:f>Controls!$D$70</x:f>
        <x:v>1</x:v>
      </x:c>
      <x:c r="F44" t="n">
        <x:v>1</x:v>
      </x:c>
      <x:c r="G44" t="str">
        <x:v>equals</x:v>
      </x:c>
      <x:c r="H44" t="str">
        <x:v>RFP-1 design authority</x:v>
      </x:c>
      <x:c r="I44" t="str">
        <x:f>IF(E44=1,"PASS","GAP")</x:f>
        <x:v>PASS</x:v>
      </x:c>
    </x:row>
    <x:row r="45">
      <x:c r="B45" t="str">
        <x:v>PL-EP-05</x:v>
      </x:c>
      <x:c r="C45" t="str">
        <x:v>PLANNING</x:v>
      </x:c>
      <x:c r="D45" t="str">
        <x:v>secondary field basin boundary defined</x:v>
      </x:c>
      <x:c r="E45" t="n">
        <x:f>Controls!$D$70</x:f>
        <x:v>1</x:v>
      </x:c>
      <x:c r="F45" t="n">
        <x:v>1</x:v>
      </x:c>
      <x:c r="G45" t="str">
        <x:v>equals</x:v>
      </x:c>
      <x:c r="H45" t="str">
        <x:v>RFP-1 design authority</x:v>
      </x:c>
      <x:c r="I45" t="str">
        <x:f>IF(E45=1,"PASS","GAP")</x:f>
        <x:v>PASS</x:v>
      </x:c>
    </x:row>
    <x:row r="46">
      <x:c r="B46" t="str">
        <x:v>PL-EP-06</x:v>
      </x:c>
      <x:c r="C46" t="str">
        <x:v>PLANNING</x:v>
      </x:c>
      <x:c r="D46" t="str">
        <x:v>tertiary site cell boundary defined</x:v>
      </x:c>
      <x:c r="E46" t="n">
        <x:f>Controls!$D$70</x:f>
        <x:v>1</x:v>
      </x:c>
      <x:c r="F46" t="n">
        <x:v>1</x:v>
      </x:c>
      <x:c r="G46" t="str">
        <x:v>equals</x:v>
      </x:c>
      <x:c r="H46" t="str">
        <x:v>RFP-1 design authority</x:v>
      </x:c>
      <x:c r="I46" t="str">
        <x:f>IF(E46=1,"PASS","GAP")</x:f>
        <x:v>PASS</x:v>
      </x:c>
    </x:row>
    <x:row r="47">
      <x:c r="B47" t="str">
        <x:v>PL-EP-07</x:v>
      </x:c>
      <x:c r="C47" t="str">
        <x:v>PLANNING</x:v>
      </x:c>
      <x:c r="D47" t="str">
        <x:v>air and combustion custody boundary defined</x:v>
      </x:c>
      <x:c r="E47" t="n">
        <x:f>Controls!$D$70</x:f>
        <x:v>1</x:v>
      </x:c>
      <x:c r="F47" t="n">
        <x:v>1</x:v>
      </x:c>
      <x:c r="G47" t="str">
        <x:v>equals</x:v>
      </x:c>
      <x:c r="H47" t="str">
        <x:v>RFP-1 design authority</x:v>
      </x:c>
      <x:c r="I47" t="str">
        <x:f>IF(E47=1,"PASS","GAP")</x:f>
        <x:v>PASS</x:v>
      </x:c>
    </x:row>
    <x:row r="48">
      <x:c r="B48" t="str">
        <x:v>PL-EP-08</x:v>
      </x:c>
      <x:c r="C48" t="str">
        <x:v>PLANNING</x:v>
      </x:c>
      <x:c r="D48" t="str">
        <x:v>solid and sorbent custody boundary defined</x:v>
      </x:c>
      <x:c r="E48" t="n">
        <x:f>Controls!$D$70</x:f>
        <x:v>1</x:v>
      </x:c>
      <x:c r="F48" t="n">
        <x:v>1</x:v>
      </x:c>
      <x:c r="G48" t="str">
        <x:v>equals</x:v>
      </x:c>
      <x:c r="H48" t="str">
        <x:v>RFP-1 design authority</x:v>
      </x:c>
      <x:c r="I48" t="str">
        <x:f>IF(E48=1,"PASS","GAP")</x:f>
        <x:v>PASS</x:v>
      </x:c>
    </x:row>
    <x:row r="49">
      <x:c r="B49" t="str">
        <x:v>PL-EP-09</x:v>
      </x:c>
      <x:c r="C49" t="str">
        <x:v>PLANNING</x:v>
      </x:c>
      <x:c r="D49" t="str">
        <x:v>controlled discharge boundary defined</x:v>
      </x:c>
      <x:c r="E49" t="n">
        <x:f>Controls!$D$70</x:f>
        <x:v>1</x:v>
      </x:c>
      <x:c r="F49" t="n">
        <x:v>1</x:v>
      </x:c>
      <x:c r="G49" t="str">
        <x:v>equals</x:v>
      </x:c>
      <x:c r="H49" t="str">
        <x:v>RFP-1 design authority</x:v>
      </x:c>
      <x:c r="I49" t="str">
        <x:f>IF(E49=1,"PASS","GAP")</x:f>
        <x:v>PASS</x:v>
      </x:c>
    </x:row>
    <x:row r="50">
      <x:c r="B50" t="str">
        <x:v>PL-EP-10</x:v>
      </x:c>
      <x:c r="C50" t="str">
        <x:v>PLANNING</x:v>
      </x:c>
      <x:c r="D50" t="str">
        <x:v>soil and groundwater witness boundary defined</x:v>
      </x:c>
      <x:c r="E50" t="n">
        <x:f>Controls!$D$70</x:f>
        <x:v>1</x:v>
      </x:c>
      <x:c r="F50" t="n">
        <x:v>1</x:v>
      </x:c>
      <x:c r="G50" t="str">
        <x:v>equals</x:v>
      </x:c>
      <x:c r="H50" t="str">
        <x:v>RFP-1 design authority</x:v>
      </x:c>
      <x:c r="I50" t="str">
        <x:f>IF(E50=1,"PASS","GAP")</x:f>
        <x:v>PASS</x:v>
      </x:c>
    </x:row>
    <x:row r="51">
      <x:c r="B51" t="str">
        <x:v>PL-CS-01</x:v>
      </x:c>
      <x:c r="C51" t="str">
        <x:v>PLANNING</x:v>
      </x:c>
      <x:c r="D51" t="str">
        <x:v>remote reconnaissance defined</x:v>
      </x:c>
      <x:c r="E51" t="n">
        <x:f>Controls!$D$70</x:f>
        <x:v>1</x:v>
      </x:c>
      <x:c r="F51" t="n">
        <x:v>1</x:v>
      </x:c>
      <x:c r="G51" t="str">
        <x:v>equals</x:v>
      </x:c>
      <x:c r="H51" t="str">
        <x:v>RFP-1 design authority</x:v>
      </x:c>
      <x:c r="I51" t="str">
        <x:f>IF(E51=1,"PASS","GAP")</x:f>
        <x:v>PASS</x:v>
      </x:c>
    </x:row>
    <x:row r="52">
      <x:c r="B52" t="str">
        <x:v>PL-CS-02</x:v>
      </x:c>
      <x:c r="C52" t="str">
        <x:v>PLANNING</x:v>
      </x:c>
      <x:c r="D52" t="str">
        <x:v>casualty localization defined</x:v>
      </x:c>
      <x:c r="E52" t="n">
        <x:f>Controls!$D$70</x:f>
        <x:v>1</x:v>
      </x:c>
      <x:c r="F52" t="n">
        <x:v>1</x:v>
      </x:c>
      <x:c r="G52" t="str">
        <x:v>equals</x:v>
      </x:c>
      <x:c r="H52" t="str">
        <x:v>RFP-1 design authority</x:v>
      </x:c>
      <x:c r="I52" t="str">
        <x:f>IF(E52=1,"PASS","GAP")</x:f>
        <x:v>PASS</x:v>
      </x:c>
    </x:row>
    <x:row r="53">
      <x:c r="B53" t="str">
        <x:v>PL-CS-03</x:v>
      </x:c>
      <x:c r="C53" t="str">
        <x:v>PLANNING</x:v>
      </x:c>
      <x:c r="D53" t="str">
        <x:v>extraction defined</x:v>
      </x:c>
      <x:c r="E53" t="n">
        <x:f>Controls!$D$70</x:f>
        <x:v>1</x:v>
      </x:c>
      <x:c r="F53" t="n">
        <x:v>1</x:v>
      </x:c>
      <x:c r="G53" t="str">
        <x:v>equals</x:v>
      </x:c>
      <x:c r="H53" t="str">
        <x:v>RFP-1 design authority</x:v>
      </x:c>
      <x:c r="I53" t="str">
        <x:f>IF(E53=1,"PASS","GAP")</x:f>
        <x:v>PASS</x:v>
      </x:c>
    </x:row>
    <x:row r="54">
      <x:c r="B54" t="str">
        <x:v>PL-CS-04</x:v>
      </x:c>
      <x:c r="C54" t="str">
        <x:v>PLANNING</x:v>
      </x:c>
      <x:c r="D54" t="str">
        <x:v>decontamination defined</x:v>
      </x:c>
      <x:c r="E54" t="n">
        <x:f>Controls!$D$70</x:f>
        <x:v>1</x:v>
      </x:c>
      <x:c r="F54" t="n">
        <x:v>1</x:v>
      </x:c>
      <x:c r="G54" t="str">
        <x:v>equals</x:v>
      </x:c>
      <x:c r="H54" t="str">
        <x:v>RFP-1 design authority</x:v>
      </x:c>
      <x:c r="I54" t="str">
        <x:f>IF(E54=1,"PASS","GAP")</x:f>
        <x:v>PASS</x:v>
      </x:c>
    </x:row>
    <x:row r="55">
      <x:c r="B55" t="str">
        <x:v>PL-CS-05</x:v>
      </x:c>
      <x:c r="C55" t="str">
        <x:v>PLANNING</x:v>
      </x:c>
      <x:c r="D55" t="str">
        <x:v>clinical stabilization defined</x:v>
      </x:c>
      <x:c r="E55" t="n">
        <x:f>Controls!$D$70</x:f>
        <x:v>1</x:v>
      </x:c>
      <x:c r="F55" t="n">
        <x:v>1</x:v>
      </x:c>
      <x:c r="G55" t="str">
        <x:v>equals</x:v>
      </x:c>
      <x:c r="H55" t="str">
        <x:v>RFP-1 design authority</x:v>
      </x:c>
      <x:c r="I55" t="str">
        <x:f>IF(E55=1,"PASS","GAP")</x:f>
        <x:v>PASS</x:v>
      </x:c>
    </x:row>
    <x:row r="56">
      <x:c r="B56" t="str">
        <x:v>PL-CS-06</x:v>
      </x:c>
      <x:c r="C56" t="str">
        <x:v>PLANNING</x:v>
      </x:c>
      <x:c r="D56" t="str">
        <x:v>independent breathing air defined</x:v>
      </x:c>
      <x:c r="E56" t="n">
        <x:f>Controls!$D$70</x:f>
        <x:v>1</x:v>
      </x:c>
      <x:c r="F56" t="n">
        <x:v>1</x:v>
      </x:c>
      <x:c r="G56" t="str">
        <x:v>equals</x:v>
      </x:c>
      <x:c r="H56" t="str">
        <x:v>RFP-1 design authority</x:v>
      </x:c>
      <x:c r="I56" t="str">
        <x:f>IF(E56=1,"PASS","GAP")</x:f>
        <x:v>PASS</x:v>
      </x:c>
    </x:row>
    <x:row r="57">
      <x:c r="B57" t="str">
        <x:v>PL-CS-07</x:v>
      </x:c>
      <x:c r="C57" t="str">
        <x:v>PLANNING</x:v>
      </x:c>
      <x:c r="D57" t="str">
        <x:v>rescue communications defined</x:v>
      </x:c>
      <x:c r="E57" t="n">
        <x:f>Controls!$D$70</x:f>
        <x:v>1</x:v>
      </x:c>
      <x:c r="F57" t="n">
        <x:v>1</x:v>
      </x:c>
      <x:c r="G57" t="str">
        <x:v>equals</x:v>
      </x:c>
      <x:c r="H57" t="str">
        <x:v>RFP-1 design authority</x:v>
      </x:c>
      <x:c r="I57" t="str">
        <x:f>IF(E57=1,"PASS","GAP")</x:f>
        <x:v>PASS</x:v>
      </x:c>
    </x:row>
    <x:row r="58">
      <x:c r="B58" t="str">
        <x:v>PL-CS-08</x:v>
      </x:c>
      <x:c r="C58" t="str">
        <x:v>PLANNING</x:v>
      </x:c>
      <x:c r="D58" t="str">
        <x:v>evidence during rescue defined</x:v>
      </x:c>
      <x:c r="E58" t="n">
        <x:f>Controls!$D$70</x:f>
        <x:v>1</x:v>
      </x:c>
      <x:c r="F58" t="n">
        <x:v>1</x:v>
      </x:c>
      <x:c r="G58" t="str">
        <x:v>equals</x:v>
      </x:c>
      <x:c r="H58" t="str">
        <x:v>RFP-1 design authority</x:v>
      </x:c>
      <x:c r="I58" t="str">
        <x:f>IF(E58=1,"PASS","GAP")</x:f>
        <x:v>PASS</x:v>
      </x:c>
    </x:row>
    <x:row r="59">
      <x:c r="B59" t="str">
        <x:v>PL-A01</x:v>
      </x:c>
      <x:c r="C59" t="str">
        <x:v>PLANNING</x:v>
      </x:c>
      <x:c r="D59" t="str">
        <x:v>adverse grade realized by a named mechanism</x:v>
      </x:c>
      <x:c r="E59" t="n">
        <x:f>Controls!$D$70</x:f>
        <x:v>1</x:v>
      </x:c>
      <x:c r="F59" t="n">
        <x:v>1</x:v>
      </x:c>
      <x:c r="G59" t="str">
        <x:v>equals</x:v>
      </x:c>
      <x:c r="H59" t="str">
        <x:v>RFP-1 design authority</x:v>
      </x:c>
      <x:c r="I59" t="str">
        <x:f>IF(E59=1,"PASS","GAP")</x:f>
        <x:v>PASS</x:v>
      </x:c>
    </x:row>
    <x:row r="60">
      <x:c r="B60" t="str">
        <x:v>PL-A02</x:v>
      </x:c>
      <x:c r="C60" t="str">
        <x:v>PLANNING</x:v>
      </x:c>
      <x:c r="D60" t="str">
        <x:v>half drain area realized by a named mechanism</x:v>
      </x:c>
      <x:c r="E60" t="n">
        <x:f>Controls!$D$70</x:f>
        <x:v>1</x:v>
      </x:c>
      <x:c r="F60" t="n">
        <x:v>1</x:v>
      </x:c>
      <x:c r="G60" t="str">
        <x:v>equals</x:v>
      </x:c>
      <x:c r="H60" t="str">
        <x:v>RFP-1 design authority</x:v>
      </x:c>
      <x:c r="I60" t="str">
        <x:f>IF(E60=1,"PASS","GAP")</x:f>
        <x:v>PASS</x:v>
      </x:c>
    </x:row>
    <x:row r="61">
      <x:c r="B61" t="str">
        <x:v>PL-A03</x:v>
      </x:c>
      <x:c r="C61" t="str">
        <x:v>PLANNING</x:v>
      </x:c>
      <x:c r="D61" t="str">
        <x:v>sump half full realized by a named mechanism</x:v>
      </x:c>
      <x:c r="E61" t="n">
        <x:f>Controls!$D$70</x:f>
        <x:v>1</x:v>
      </x:c>
      <x:c r="F61" t="n">
        <x:v>1</x:v>
      </x:c>
      <x:c r="G61" t="str">
        <x:v>equals</x:v>
      </x:c>
      <x:c r="H61" t="str">
        <x:v>RFP-1 design authority</x:v>
      </x:c>
      <x:c r="I61" t="str">
        <x:f>IF(E61=1,"PASS","GAP")</x:f>
        <x:v>PASS</x:v>
      </x:c>
    </x:row>
    <x:row r="62">
      <x:c r="B62" t="str">
        <x:v>PL-A04</x:v>
      </x:c>
      <x:c r="C62" t="str">
        <x:v>PLANNING</x:v>
      </x:c>
      <x:c r="D62" t="str">
        <x:v>debris field realized by a named mechanism</x:v>
      </x:c>
      <x:c r="E62" t="n">
        <x:f>Controls!$D$70</x:f>
        <x:v>1</x:v>
      </x:c>
      <x:c r="F62" t="n">
        <x:v>1</x:v>
      </x:c>
      <x:c r="G62" t="str">
        <x:v>equals</x:v>
      </x:c>
      <x:c r="H62" t="str">
        <x:v>RFP-1 design authority</x:v>
      </x:c>
      <x:c r="I62" t="str">
        <x:f>IF(E62=1,"PASS","GAP")</x:f>
        <x:v>PASS</x:v>
      </x:c>
    </x:row>
    <x:row r="63">
      <x:c r="B63" t="str">
        <x:v>PL-A05</x:v>
      </x:c>
      <x:c r="C63" t="str">
        <x:v>PLANNING</x:v>
      </x:c>
      <x:c r="D63" t="str">
        <x:v>bounded pool fire realized by a named mechanism</x:v>
      </x:c>
      <x:c r="E63" t="n">
        <x:f>Controls!$D$70</x:f>
        <x:v>1</x:v>
      </x:c>
      <x:c r="F63" t="n">
        <x:v>1</x:v>
      </x:c>
      <x:c r="G63" t="str">
        <x:v>equals</x:v>
      </x:c>
      <x:c r="H63" t="str">
        <x:v>RFP-1 design authority</x:v>
      </x:c>
      <x:c r="I63" t="str">
        <x:f>IF(E63=1,"PASS","GAP")</x:f>
        <x:v>PASS</x:v>
      </x:c>
    </x:row>
    <x:row r="64">
      <x:c r="B64" t="str">
        <x:v>PL-A06</x:v>
      </x:c>
      <x:c r="C64" t="str">
        <x:v>PLANNING</x:v>
      </x:c>
      <x:c r="D64" t="str">
        <x:v>water capacity shock realized by a named mechanism</x:v>
      </x:c>
      <x:c r="E64" t="n">
        <x:f>Controls!$D$70</x:f>
        <x:v>1</x:v>
      </x:c>
      <x:c r="F64" t="n">
        <x:v>1</x:v>
      </x:c>
      <x:c r="G64" t="str">
        <x:v>equals</x:v>
      </x:c>
      <x:c r="H64" t="str">
        <x:v>RFP-1 design authority</x:v>
      </x:c>
      <x:c r="I64" t="str">
        <x:f>IF(E64=1,"PASS","GAP")</x:f>
        <x:v>PASS</x:v>
      </x:c>
    </x:row>
    <x:row r="65">
      <x:c r="B65" t="str">
        <x:v>PL-A07</x:v>
      </x:c>
      <x:c r="C65" t="str">
        <x:v>PLANNING</x:v>
      </x:c>
      <x:c r="D65" t="str">
        <x:v>partial barrier plus wind realized by a named mechanism</x:v>
      </x:c>
      <x:c r="E65" t="n">
        <x:f>Controls!$D$70</x:f>
        <x:v>1</x:v>
      </x:c>
      <x:c r="F65" t="n">
        <x:v>1</x:v>
      </x:c>
      <x:c r="G65" t="str">
        <x:v>equals</x:v>
      </x:c>
      <x:c r="H65" t="str">
        <x:v>RFP-1 design authority</x:v>
      </x:c>
      <x:c r="I65" t="str">
        <x:f>IF(E65=1,"PASS","GAP")</x:f>
        <x:v>PASS</x:v>
      </x:c>
    </x:row>
    <x:row r="66">
      <x:c r="B66" t="str">
        <x:v>PL-A08</x:v>
      </x:c>
      <x:c r="C66" t="str">
        <x:v>PLANNING</x:v>
      </x:c>
      <x:c r="D66" t="str">
        <x:v>compound service denial realized by a named mechanism</x:v>
      </x:c>
      <x:c r="E66" t="n">
        <x:f>Controls!$D$70</x:f>
        <x:v>1</x:v>
      </x:c>
      <x:c r="F66" t="n">
        <x:v>1</x:v>
      </x:c>
      <x:c r="G66" t="str">
        <x:v>equals</x:v>
      </x:c>
      <x:c r="H66" t="str">
        <x:v>RFP-1 design authority</x:v>
      </x:c>
      <x:c r="I66" t="str">
        <x:f>IF(E66=1,"PASS","GAP")</x:f>
        <x:v>PASS</x:v>
      </x:c>
    </x:row>
    <x:row r="67">
      <x:c r="B67" t="str">
        <x:v>PL-AM-00</x:v>
      </x:c>
      <x:c r="C67" t="str">
        <x:v>PLANNING</x:v>
      </x:c>
      <x:c r="D67" t="str">
        <x:v>geometry and grade map admitted in concept</x:v>
      </x:c>
      <x:c r="E67" t="n">
        <x:f>Controls!$D$70</x:f>
        <x:v>1</x:v>
      </x:c>
      <x:c r="F67" t="n">
        <x:v>1</x:v>
      </x:c>
      <x:c r="G67" t="str">
        <x:v>equals</x:v>
      </x:c>
      <x:c r="H67" t="str">
        <x:v>RFP-1 design authority</x:v>
      </x:c>
      <x:c r="I67" t="str">
        <x:f>IF(E67=1,"PASS","GAP")</x:f>
        <x:v>PASS</x:v>
      </x:c>
    </x:row>
    <x:row r="68">
      <x:c r="B68" t="str">
        <x:v>PL-AM-01</x:v>
      </x:c>
      <x:c r="C68" t="str">
        <x:v>PLANNING</x:v>
      </x:c>
      <x:c r="D68" t="str">
        <x:v>water-only hydraulics admitted in concept</x:v>
      </x:c>
      <x:c r="E68" t="n">
        <x:f>Controls!$D$70</x:f>
        <x:v>1</x:v>
      </x:c>
      <x:c r="F68" t="n">
        <x:v>1</x:v>
      </x:c>
      <x:c r="G68" t="str">
        <x:v>equals</x:v>
      </x:c>
      <x:c r="H68" t="str">
        <x:v>RFP-1 design authority</x:v>
      </x:c>
      <x:c r="I68" t="str">
        <x:f>IF(E68=1,"PASS","GAP")</x:f>
        <x:v>PASS</x:v>
      </x:c>
    </x:row>
    <x:row r="69">
      <x:c r="B69" t="str">
        <x:v>PL-AM-02</x:v>
      </x:c>
      <x:c r="C69" t="str">
        <x:v>PLANNING</x:v>
      </x:c>
      <x:c r="D69" t="str">
        <x:v>safe surrogate capture admitted in concept</x:v>
      </x:c>
      <x:c r="E69" t="n">
        <x:f>Controls!$D$70</x:f>
        <x:v>1</x:v>
      </x:c>
      <x:c r="F69" t="n">
        <x:v>1</x:v>
      </x:c>
      <x:c r="G69" t="str">
        <x:v>equals</x:v>
      </x:c>
      <x:c r="H69" t="str">
        <x:v>RFP-1 design authority</x:v>
      </x:c>
      <x:c r="I69" t="str">
        <x:f>IF(E69=1,"PASS","GAP")</x:f>
        <x:v>PASS</x:v>
      </x:c>
    </x:row>
    <x:row r="70">
      <x:c r="B70" t="str">
        <x:v>PL-AM-03</x:v>
      </x:c>
      <x:c r="C70" t="str">
        <x:v>PLANNING</x:v>
      </x:c>
      <x:c r="D70" t="str">
        <x:v>debris and obstruction admitted in concept</x:v>
      </x:c>
      <x:c r="E70" t="n">
        <x:f>Controls!$D$70</x:f>
        <x:v>1</x:v>
      </x:c>
      <x:c r="F70" t="n">
        <x:v>1</x:v>
      </x:c>
      <x:c r="G70" t="str">
        <x:v>equals</x:v>
      </x:c>
      <x:c r="H70" t="str">
        <x:v>RFP-1 design authority</x:v>
      </x:c>
      <x:c r="I70" t="str">
        <x:f>IF(E70=1,"PASS","GAP")</x:f>
        <x:v>PASS</x:v>
      </x:c>
    </x:row>
    <x:row r="71">
      <x:c r="B71" t="str">
        <x:v>PL-AM-04</x:v>
      </x:c>
      <x:c r="C71" t="str">
        <x:v>PLANNING</x:v>
      </x:c>
      <x:c r="D71" t="str">
        <x:v>firewater segregation admitted in concept</x:v>
      </x:c>
      <x:c r="E71" t="n">
        <x:f>Controls!$D$70</x:f>
        <x:v>1</x:v>
      </x:c>
      <x:c r="F71" t="n">
        <x:v>1</x:v>
      </x:c>
      <x:c r="G71" t="str">
        <x:v>equals</x:v>
      </x:c>
      <x:c r="H71" t="str">
        <x:v>RFP-1 design authority</x:v>
      </x:c>
      <x:c r="I71" t="str">
        <x:f>IF(E71=1,"PASS","GAP")</x:f>
        <x:v>PASS</x:v>
      </x:c>
    </x:row>
    <x:row r="72">
      <x:c r="B72" t="str">
        <x:v>PL-AM-05</x:v>
      </x:c>
      <x:c r="C72" t="str">
        <x:v>PLANNING</x:v>
      </x:c>
      <x:c r="D72" t="str">
        <x:v>quarter-source unignited admitted in concept</x:v>
      </x:c>
      <x:c r="E72" t="n">
        <x:f>Controls!$D$70</x:f>
        <x:v>1</x:v>
      </x:c>
      <x:c r="F72" t="n">
        <x:v>1</x:v>
      </x:c>
      <x:c r="G72" t="str">
        <x:v>equals</x:v>
      </x:c>
      <x:c r="H72" t="str">
        <x:v>RFP-1 design authority</x:v>
      </x:c>
      <x:c r="I72" t="str">
        <x:f>IF(E72=1,"PASS","GAP")</x:f>
        <x:v>PASS</x:v>
      </x:c>
    </x:row>
    <x:row r="73">
      <x:c r="B73" t="str">
        <x:v>PL-AM-06</x:v>
      </x:c>
      <x:c r="C73" t="str">
        <x:v>PLANNING</x:v>
      </x:c>
      <x:c r="D73" t="str">
        <x:v>quarter-source fire admitted in concept</x:v>
      </x:c>
      <x:c r="E73" t="n">
        <x:f>Controls!$D$70</x:f>
        <x:v>1</x:v>
      </x:c>
      <x:c r="F73" t="n">
        <x:v>1</x:v>
      </x:c>
      <x:c r="G73" t="str">
        <x:v>equals</x:v>
      </x:c>
      <x:c r="H73" t="str">
        <x:v>RFP-1 design authority</x:v>
      </x:c>
      <x:c r="I73" t="str">
        <x:f>IF(E73=1,"PASS","GAP")</x:f>
        <x:v>PASS</x:v>
      </x:c>
    </x:row>
    <x:row r="74">
      <x:c r="B74" t="str">
        <x:v>PL-AM-07</x:v>
      </x:c>
      <x:c r="C74" t="str">
        <x:v>PLANNING</x:v>
      </x:c>
      <x:c r="D74" t="str">
        <x:v>full-source fire admitted in concept</x:v>
      </x:c>
      <x:c r="E74" t="n">
        <x:f>Controls!$D$70</x:f>
        <x:v>1</x:v>
      </x:c>
      <x:c r="F74" t="n">
        <x:v>1</x:v>
      </x:c>
      <x:c r="G74" t="str">
        <x:v>equals</x:v>
      </x:c>
      <x:c r="H74" t="str">
        <x:v>RFP-1 design authority</x:v>
      </x:c>
      <x:c r="I74" t="str">
        <x:f>IF(E74=1,"PASS","GAP")</x:f>
        <x:v>PASS</x:v>
      </x:c>
    </x:row>
    <x:row r="75">
      <x:c r="B75" t="str">
        <x:v>PL-AM-08</x:v>
      </x:c>
      <x:c r="C75" t="str">
        <x:v>PLANNING</x:v>
      </x:c>
      <x:c r="D75" t="str">
        <x:v>destructive compound admitted in concept</x:v>
      </x:c>
      <x:c r="E75" t="n">
        <x:f>Controls!$D$70</x:f>
        <x:v>1</x:v>
      </x:c>
      <x:c r="F75" t="n">
        <x:v>1</x:v>
      </x:c>
      <x:c r="G75" t="str">
        <x:v>equals</x:v>
      </x:c>
      <x:c r="H75" t="str">
        <x:v>RFP-1 design authority</x:v>
      </x:c>
      <x:c r="I75" t="str">
        <x:f>IF(E75=1,"PASS","GAP")</x:f>
        <x:v>PASS</x:v>
      </x:c>
    </x:row>
    <x:row r="76">
      <x:c r="B76" t="str">
        <x:v>PL-AM-09</x:v>
      </x:c>
      <x:c r="C76" t="str">
        <x:v>PLANNING</x:v>
      </x:c>
      <x:c r="D76" t="str">
        <x:v>recovery and reconstruction admitted in concept</x:v>
      </x:c>
      <x:c r="E76" t="n">
        <x:f>Controls!$D$70</x:f>
        <x:v>1</x:v>
      </x:c>
      <x:c r="F76" t="n">
        <x:v>1</x:v>
      </x:c>
      <x:c r="G76" t="str">
        <x:v>equals</x:v>
      </x:c>
      <x:c r="H76" t="str">
        <x:v>RFP-1 design authority</x:v>
      </x:c>
      <x:c r="I76" t="str">
        <x:f>IF(E76=1,"PASS","GAP")</x:f>
        <x:v>PASS</x:v>
      </x:c>
    </x:row>
    <x:row r="77">
      <x:c r="B77" t="str">
        <x:v>PL-CQ-00</x:v>
      </x:c>
      <x:c r="C77" t="str">
        <x:v>PLANNING</x:v>
      </x:c>
      <x:c r="D77" t="str">
        <x:v>design and hazard basis stage defined</x:v>
      </x:c>
      <x:c r="E77" t="n">
        <x:f>Controls!$D$70</x:f>
        <x:v>1</x:v>
      </x:c>
      <x:c r="F77" t="n">
        <x:v>1</x:v>
      </x:c>
      <x:c r="G77" t="str">
        <x:v>equals</x:v>
      </x:c>
      <x:c r="H77" t="str">
        <x:v>RFP-1 design authority</x:v>
      </x:c>
      <x:c r="I77" t="str">
        <x:f>IF(E77=1,"PASS","GAP")</x:f>
        <x:v>PASS</x:v>
      </x:c>
    </x:row>
    <x:row r="78">
      <x:c r="B78" t="str">
        <x:v>PL-CQ-01</x:v>
      </x:c>
      <x:c r="C78" t="str">
        <x:v>PLANNING</x:v>
      </x:c>
      <x:c r="D78" t="str">
        <x:v>civil and terrain load proof stage defined</x:v>
      </x:c>
      <x:c r="E78" t="n">
        <x:f>Controls!$D$70</x:f>
        <x:v>1</x:v>
      </x:c>
      <x:c r="F78" t="n">
        <x:v>1</x:v>
      </x:c>
      <x:c r="G78" t="str">
        <x:v>equals</x:v>
      </x:c>
      <x:c r="H78" t="str">
        <x:v>RFP-1 design authority</x:v>
      </x:c>
      <x:c r="I78" t="str">
        <x:f>IF(E78=1,"PASS","GAP")</x:f>
        <x:v>PASS</x:v>
      </x:c>
    </x:row>
    <x:row r="79">
      <x:c r="B79" t="str">
        <x:v>PL-CQ-02</x:v>
      </x:c>
      <x:c r="C79" t="str">
        <x:v>PLANNING</x:v>
      </x:c>
      <x:c r="D79" t="str">
        <x:v>drain and vault hydrostatic stage defined</x:v>
      </x:c>
      <x:c r="E79" t="n">
        <x:f>Controls!$D$70</x:f>
        <x:v>1</x:v>
      </x:c>
      <x:c r="F79" t="n">
        <x:v>1</x:v>
      </x:c>
      <x:c r="G79" t="str">
        <x:v>equals</x:v>
      </x:c>
      <x:c r="H79" t="str">
        <x:v>RFP-1 design authority</x:v>
      </x:c>
      <x:c r="I79" t="str">
        <x:f>IF(E79=1,"PASS","GAP")</x:f>
        <x:v>PASS</x:v>
      </x:c>
    </x:row>
    <x:row r="80">
      <x:c r="B80" t="str">
        <x:v>PL-CQ-03</x:v>
      </x:c>
      <x:c r="C80" t="str">
        <x:v>PLANNING</x:v>
      </x:c>
      <x:c r="D80" t="str">
        <x:v>dry command and safeing stage defined</x:v>
      </x:c>
      <x:c r="E80" t="n">
        <x:f>Controls!$D$70</x:f>
        <x:v>1</x:v>
      </x:c>
      <x:c r="F80" t="n">
        <x:v>1</x:v>
      </x:c>
      <x:c r="G80" t="str">
        <x:v>equals</x:v>
      </x:c>
      <x:c r="H80" t="str">
        <x:v>RFP-1 design authority</x:v>
      </x:c>
      <x:c r="I80" t="str">
        <x:f>IF(E80=1,"PASS","GAP")</x:f>
        <x:v>PASS</x:v>
      </x:c>
    </x:row>
    <x:row r="81">
      <x:c r="B81" t="str">
        <x:v>PL-CQ-04</x:v>
      </x:c>
      <x:c r="C81" t="str">
        <x:v>PLANNING</x:v>
      </x:c>
      <x:c r="D81" t="str">
        <x:v>water-only full rate stage defined</x:v>
      </x:c>
      <x:c r="E81" t="n">
        <x:f>Controls!$D$70</x:f>
        <x:v>1</x:v>
      </x:c>
      <x:c r="F81" t="n">
        <x:v>1</x:v>
      </x:c>
      <x:c r="G81" t="str">
        <x:v>equals</x:v>
      </x:c>
      <x:c r="H81" t="str">
        <x:v>RFP-1 design authority</x:v>
      </x:c>
      <x:c r="I81" t="str">
        <x:f>IF(E81=1,"PASS","GAP")</x:f>
        <x:v>PASS</x:v>
      </x:c>
    </x:row>
    <x:row r="82">
      <x:c r="B82" t="str">
        <x:v>PL-CQ-05</x:v>
      </x:c>
      <x:c r="C82" t="str">
        <x:v>PLANNING</x:v>
      </x:c>
      <x:c r="D82" t="str">
        <x:v>tracer separation stage defined</x:v>
      </x:c>
      <x:c r="E82" t="n">
        <x:f>Controls!$D$70</x:f>
        <x:v>1</x:v>
      </x:c>
      <x:c r="F82" t="n">
        <x:v>1</x:v>
      </x:c>
      <x:c r="G82" t="str">
        <x:v>equals</x:v>
      </x:c>
      <x:c r="H82" t="str">
        <x:v>RFP-1 design authority</x:v>
      </x:c>
      <x:c r="I82" t="str">
        <x:f>IF(E82=1,"PASS","GAP")</x:f>
        <x:v>PASS</x:v>
      </x:c>
    </x:row>
    <x:row r="83">
      <x:c r="B83" t="str">
        <x:v>PL-CQ-06</x:v>
      </x:c>
      <x:c r="C83" t="str">
        <x:v>PLANNING</x:v>
      </x:c>
      <x:c r="D83" t="str">
        <x:v>safe surrogate stage defined</x:v>
      </x:c>
      <x:c r="E83" t="n">
        <x:f>Controls!$D$70</x:f>
        <x:v>1</x:v>
      </x:c>
      <x:c r="F83" t="n">
        <x:v>1</x:v>
      </x:c>
      <x:c r="G83" t="str">
        <x:v>equals</x:v>
      </x:c>
      <x:c r="H83" t="str">
        <x:v>RFP-1 design authority</x:v>
      </x:c>
      <x:c r="I83" t="str">
        <x:f>IF(E83=1,"PASS","GAP")</x:f>
        <x:v>PASS</x:v>
      </x:c>
    </x:row>
    <x:row r="84">
      <x:c r="B84" t="str">
        <x:v>PL-CQ-07</x:v>
      </x:c>
      <x:c r="C84" t="str">
        <x:v>PLANNING</x:v>
      </x:c>
      <x:c r="D84" t="str">
        <x:v>cold ignition surrogate stage defined</x:v>
      </x:c>
      <x:c r="E84" t="n">
        <x:f>Controls!$D$70</x:f>
        <x:v>1</x:v>
      </x:c>
      <x:c r="F84" t="n">
        <x:v>1</x:v>
      </x:c>
      <x:c r="G84" t="str">
        <x:v>equals</x:v>
      </x:c>
      <x:c r="H84" t="str">
        <x:v>RFP-1 design authority</x:v>
      </x:c>
      <x:c r="I84" t="str">
        <x:f>IF(E84=1,"PASS","GAP")</x:f>
        <x:v>PASS</x:v>
      </x:c>
    </x:row>
    <x:row r="85">
      <x:c r="B85" t="str">
        <x:v>PL-CQ-08</x:v>
      </x:c>
      <x:c r="C85" t="str">
        <x:v>PLANNING</x:v>
      </x:c>
      <x:c r="D85" t="str">
        <x:v>quarter source stage defined</x:v>
      </x:c>
      <x:c r="E85" t="n">
        <x:f>Controls!$D$70</x:f>
        <x:v>1</x:v>
      </x:c>
      <x:c r="F85" t="n">
        <x:v>1</x:v>
      </x:c>
      <x:c r="G85" t="str">
        <x:v>equals</x:v>
      </x:c>
      <x:c r="H85" t="str">
        <x:v>RFP-1 design authority</x:v>
      </x:c>
      <x:c r="I85" t="str">
        <x:f>IF(E85=1,"PASS","GAP")</x:f>
        <x:v>PASS</x:v>
      </x:c>
    </x:row>
    <x:row r="86">
      <x:c r="B86" t="str">
        <x:v>PL-CQ-09</x:v>
      </x:c>
      <x:c r="C86" t="str">
        <x:v>PLANNING</x:v>
      </x:c>
      <x:c r="D86" t="str">
        <x:v>full source fire stage defined</x:v>
      </x:c>
      <x:c r="E86" t="n">
        <x:f>Controls!$D$70</x:f>
        <x:v>1</x:v>
      </x:c>
      <x:c r="F86" t="n">
        <x:v>1</x:v>
      </x:c>
      <x:c r="G86" t="str">
        <x:v>equals</x:v>
      </x:c>
      <x:c r="H86" t="str">
        <x:v>RFP-1 design authority</x:v>
      </x:c>
      <x:c r="I86" t="str">
        <x:f>IF(E86=1,"PASS","GAP")</x:f>
        <x:v>PASS</x:v>
      </x:c>
    </x:row>
    <x:row r="87">
      <x:c r="B87" t="str">
        <x:v>PL-CQ-10</x:v>
      </x:c>
      <x:c r="C87" t="str">
        <x:v>PLANNING</x:v>
      </x:c>
      <x:c r="D87" t="str">
        <x:v>compound destructive stage defined</x:v>
      </x:c>
      <x:c r="E87" t="n">
        <x:f>Controls!$D$70</x:f>
        <x:v>1</x:v>
      </x:c>
      <x:c r="F87" t="n">
        <x:v>1</x:v>
      </x:c>
      <x:c r="G87" t="str">
        <x:v>equals</x:v>
      </x:c>
      <x:c r="H87" t="str">
        <x:v>RFP-1 design authority</x:v>
      </x:c>
      <x:c r="I87" t="str">
        <x:f>IF(E87=1,"PASS","GAP")</x:f>
        <x:v>PASS</x:v>
      </x:c>
    </x:row>
    <x:row r="88">
      <x:c r="B88" t="str">
        <x:v>PL-CQ-11</x:v>
      </x:c>
      <x:c r="C88" t="str">
        <x:v>PLANNING</x:v>
      </x:c>
      <x:c r="D88" t="str">
        <x:v>recovery and independent replay stage defined</x:v>
      </x:c>
      <x:c r="E88" t="n">
        <x:f>Controls!$D$70</x:f>
        <x:v>1</x:v>
      </x:c>
      <x:c r="F88" t="n">
        <x:v>1</x:v>
      </x:c>
      <x:c r="G88" t="str">
        <x:v>equals</x:v>
      </x:c>
      <x:c r="H88" t="str">
        <x:v>RFP-1 design authority</x:v>
      </x:c>
      <x:c r="I88" t="str">
        <x:f>IF(E88=1,"PASS","GAP")</x:f>
        <x:v>PASS</x:v>
      </x:c>
    </x:row>
    <x:row r="89">
      <x:c r="B89" t="str">
        <x:v>PL-DWG-GA-001</x:v>
      </x:c>
      <x:c r="C89" t="str">
        <x:v>PLANNING</x:v>
      </x:c>
      <x:c r="D89" t="str">
        <x:v>general arrangement and datum drawing object allocated</x:v>
      </x:c>
      <x:c r="E89" t="n">
        <x:f>Controls!$D$70</x:f>
        <x:v>1</x:v>
      </x:c>
      <x:c r="F89" t="n">
        <x:v>1</x:v>
      </x:c>
      <x:c r="G89" t="str">
        <x:v>equals</x:v>
      </x:c>
      <x:c r="H89" t="str">
        <x:v>RFP-1 design authority</x:v>
      </x:c>
      <x:c r="I89" t="str">
        <x:f>IF(E89=1,"PASS","GAP")</x:f>
        <x:v>PASS</x:v>
      </x:c>
    </x:row>
    <x:row r="90">
      <x:c r="B90" t="str">
        <x:v>PL-DWG-GA-002</x:v>
      </x:c>
      <x:c r="C90" t="str">
        <x:v>PLANNING</x:v>
      </x:c>
      <x:c r="D90" t="str">
        <x:v>general arrangement and datum drawing object allocated</x:v>
      </x:c>
      <x:c r="E90" t="n">
        <x:f>Controls!$D$70</x:f>
        <x:v>1</x:v>
      </x:c>
      <x:c r="F90" t="n">
        <x:v>1</x:v>
      </x:c>
      <x:c r="G90" t="str">
        <x:v>equals</x:v>
      </x:c>
      <x:c r="H90" t="str">
        <x:v>RFP-1 design authority</x:v>
      </x:c>
      <x:c r="I90" t="str">
        <x:f>IF(E90=1,"PASS","GAP")</x:f>
        <x:v>PASS</x:v>
      </x:c>
    </x:row>
    <x:row r="91">
      <x:c r="B91" t="str">
        <x:v>PL-DWG-GA-003</x:v>
      </x:c>
      <x:c r="C91" t="str">
        <x:v>PLANNING</x:v>
      </x:c>
      <x:c r="D91" t="str">
        <x:v>general arrangement and datum drawing object allocated</x:v>
      </x:c>
      <x:c r="E91" t="n">
        <x:f>Controls!$D$70</x:f>
        <x:v>1</x:v>
      </x:c>
      <x:c r="F91" t="n">
        <x:v>1</x:v>
      </x:c>
      <x:c r="G91" t="str">
        <x:v>equals</x:v>
      </x:c>
      <x:c r="H91" t="str">
        <x:v>RFP-1 design authority</x:v>
      </x:c>
      <x:c r="I91" t="str">
        <x:f>IF(E91=1,"PASS","GAP")</x:f>
        <x:v>PASS</x:v>
      </x:c>
    </x:row>
    <x:row r="92">
      <x:c r="B92" t="str">
        <x:v>PL-DWG-GA-004</x:v>
      </x:c>
      <x:c r="C92" t="str">
        <x:v>PLANNING</x:v>
      </x:c>
      <x:c r="D92" t="str">
        <x:v>general arrangement and datum drawing object allocated</x:v>
      </x:c>
      <x:c r="E92" t="n">
        <x:f>Controls!$D$70</x:f>
        <x:v>1</x:v>
      </x:c>
      <x:c r="F92" t="n">
        <x:v>1</x:v>
      </x:c>
      <x:c r="G92" t="str">
        <x:v>equals</x:v>
      </x:c>
      <x:c r="H92" t="str">
        <x:v>RFP-1 design authority</x:v>
      </x:c>
      <x:c r="I92" t="str">
        <x:f>IF(E92=1,"PASS","GAP")</x:f>
        <x:v>PASS</x:v>
      </x:c>
    </x:row>
    <x:row r="93">
      <x:c r="B93" t="str">
        <x:v>PL-DWG-GA-005</x:v>
      </x:c>
      <x:c r="C93" t="str">
        <x:v>PLANNING</x:v>
      </x:c>
      <x:c r="D93" t="str">
        <x:v>general arrangement and datum drawing object allocated</x:v>
      </x:c>
      <x:c r="E93" t="n">
        <x:f>Controls!$D$70</x:f>
        <x:v>1</x:v>
      </x:c>
      <x:c r="F93" t="n">
        <x:v>1</x:v>
      </x:c>
      <x:c r="G93" t="str">
        <x:v>equals</x:v>
      </x:c>
      <x:c r="H93" t="str">
        <x:v>RFP-1 design authority</x:v>
      </x:c>
      <x:c r="I93" t="str">
        <x:f>IF(E93=1,"PASS","GAP")</x:f>
        <x:v>PASS</x:v>
      </x:c>
    </x:row>
    <x:row r="94">
      <x:c r="B94" t="str">
        <x:v>PL-DWG-GA-006</x:v>
      </x:c>
      <x:c r="C94" t="str">
        <x:v>PLANNING</x:v>
      </x:c>
      <x:c r="D94" t="str">
        <x:v>general arrangement and datum drawing object allocated</x:v>
      </x:c>
      <x:c r="E94" t="n">
        <x:f>Controls!$D$70</x:f>
        <x:v>1</x:v>
      </x:c>
      <x:c r="F94" t="n">
        <x:v>1</x:v>
      </x:c>
      <x:c r="G94" t="str">
        <x:v>equals</x:v>
      </x:c>
      <x:c r="H94" t="str">
        <x:v>RFP-1 design authority</x:v>
      </x:c>
      <x:c r="I94" t="str">
        <x:f>IF(E94=1,"PASS","GAP")</x:f>
        <x:v>PASS</x:v>
      </x:c>
    </x:row>
    <x:row r="95">
      <x:c r="B95" t="str">
        <x:v>PL-DWG-GA-007</x:v>
      </x:c>
      <x:c r="C95" t="str">
        <x:v>PLANNING</x:v>
      </x:c>
      <x:c r="D95" t="str">
        <x:v>general arrangement and datum drawing object allocated</x:v>
      </x:c>
      <x:c r="E95" t="n">
        <x:f>Controls!$D$70</x:f>
        <x:v>1</x:v>
      </x:c>
      <x:c r="F95" t="n">
        <x:v>1</x:v>
      </x:c>
      <x:c r="G95" t="str">
        <x:v>equals</x:v>
      </x:c>
      <x:c r="H95" t="str">
        <x:v>RFP-1 design authority</x:v>
      </x:c>
      <x:c r="I95" t="str">
        <x:f>IF(E95=1,"PASS","GAP")</x:f>
        <x:v>PASS</x:v>
      </x:c>
    </x:row>
    <x:row r="96">
      <x:c r="B96" t="str">
        <x:v>PL-DWG-GA-008</x:v>
      </x:c>
      <x:c r="C96" t="str">
        <x:v>PLANNING</x:v>
      </x:c>
      <x:c r="D96" t="str">
        <x:v>general arrangement and datum drawing object allocated</x:v>
      </x:c>
      <x:c r="E96" t="n">
        <x:f>Controls!$D$70</x:f>
        <x:v>1</x:v>
      </x:c>
      <x:c r="F96" t="n">
        <x:v>1</x:v>
      </x:c>
      <x:c r="G96" t="str">
        <x:v>equals</x:v>
      </x:c>
      <x:c r="H96" t="str">
        <x:v>RFP-1 design authority</x:v>
      </x:c>
      <x:c r="I96" t="str">
        <x:f>IF(E96=1,"PASS","GAP")</x:f>
        <x:v>PASS</x:v>
      </x:c>
    </x:row>
    <x:row r="97">
      <x:c r="B97" t="str">
        <x:v>PL-DWG-GA-009</x:v>
      </x:c>
      <x:c r="C97" t="str">
        <x:v>PLANNING</x:v>
      </x:c>
      <x:c r="D97" t="str">
        <x:v>general arrangement and datum drawing object allocated</x:v>
      </x:c>
      <x:c r="E97" t="n">
        <x:f>Controls!$D$70</x:f>
        <x:v>1</x:v>
      </x:c>
      <x:c r="F97" t="n">
        <x:v>1</x:v>
      </x:c>
      <x:c r="G97" t="str">
        <x:v>equals</x:v>
      </x:c>
      <x:c r="H97" t="str">
        <x:v>RFP-1 design authority</x:v>
      </x:c>
      <x:c r="I97" t="str">
        <x:f>IF(E97=1,"PASS","GAP")</x:f>
        <x:v>PASS</x:v>
      </x:c>
    </x:row>
    <x:row r="98">
      <x:c r="B98" t="str">
        <x:v>PL-DWG-GA-010</x:v>
      </x:c>
      <x:c r="C98" t="str">
        <x:v>PLANNING</x:v>
      </x:c>
      <x:c r="D98" t="str">
        <x:v>general arrangement and datum drawing object allocated</x:v>
      </x:c>
      <x:c r="E98" t="n">
        <x:f>Controls!$D$70</x:f>
        <x:v>1</x:v>
      </x:c>
      <x:c r="F98" t="n">
        <x:v>1</x:v>
      </x:c>
      <x:c r="G98" t="str">
        <x:v>equals</x:v>
      </x:c>
      <x:c r="H98" t="str">
        <x:v>RFP-1 design authority</x:v>
      </x:c>
      <x:c r="I98" t="str">
        <x:f>IF(E98=1,"PASS","GAP")</x:f>
        <x:v>PASS</x:v>
      </x:c>
    </x:row>
    <x:row r="99">
      <x:c r="B99" t="str">
        <x:v>PL-DWG-GA-011</x:v>
      </x:c>
      <x:c r="C99" t="str">
        <x:v>PLANNING</x:v>
      </x:c>
      <x:c r="D99" t="str">
        <x:v>general arrangement and datum drawing object allocated</x:v>
      </x:c>
      <x:c r="E99" t="n">
        <x:f>Controls!$D$70</x:f>
        <x:v>1</x:v>
      </x:c>
      <x:c r="F99" t="n">
        <x:v>1</x:v>
      </x:c>
      <x:c r="G99" t="str">
        <x:v>equals</x:v>
      </x:c>
      <x:c r="H99" t="str">
        <x:v>RFP-1 design authority</x:v>
      </x:c>
      <x:c r="I99" t="str">
        <x:f>IF(E99=1,"PASS","GAP")</x:f>
        <x:v>PASS</x:v>
      </x:c>
    </x:row>
    <x:row r="100">
      <x:c r="B100" t="str">
        <x:v>PL-DWG-GA-012</x:v>
      </x:c>
      <x:c r="C100" t="str">
        <x:v>PLANNING</x:v>
      </x:c>
      <x:c r="D100" t="str">
        <x:v>general arrangement and datum drawing object allocated</x:v>
      </x:c>
      <x:c r="E100" t="n">
        <x:f>Controls!$D$70</x:f>
        <x:v>1</x:v>
      </x:c>
      <x:c r="F100" t="n">
        <x:v>1</x:v>
      </x:c>
      <x:c r="G100" t="str">
        <x:v>equals</x:v>
      </x:c>
      <x:c r="H100" t="str">
        <x:v>RFP-1 design authority</x:v>
      </x:c>
      <x:c r="I100" t="str">
        <x:f>IF(E100=1,"PASS","GAP")</x:f>
        <x:v>PASS</x:v>
      </x:c>
    </x:row>
    <x:row r="101">
      <x:c r="B101" t="str">
        <x:v>PL-DWG-TF-001</x:v>
      </x:c>
      <x:c r="C101" t="str">
        <x:v>PLANNING</x:v>
      </x:c>
      <x:c r="D101" t="str">
        <x:v>terrain field drawing object allocated</x:v>
      </x:c>
      <x:c r="E101" t="n">
        <x:f>Controls!$D$70</x:f>
        <x:v>1</x:v>
      </x:c>
      <x:c r="F101" t="n">
        <x:v>1</x:v>
      </x:c>
      <x:c r="G101" t="str">
        <x:v>equals</x:v>
      </x:c>
      <x:c r="H101" t="str">
        <x:v>RFP-1 design authority</x:v>
      </x:c>
      <x:c r="I101" t="str">
        <x:f>IF(E101=1,"PASS","GAP")</x:f>
        <x:v>PASS</x:v>
      </x:c>
    </x:row>
    <x:row r="102">
      <x:c r="B102" t="str">
        <x:v>PL-DWG-TF-002</x:v>
      </x:c>
      <x:c r="C102" t="str">
        <x:v>PLANNING</x:v>
      </x:c>
      <x:c r="D102" t="str">
        <x:v>terrain field drawing object allocated</x:v>
      </x:c>
      <x:c r="E102" t="n">
        <x:f>Controls!$D$70</x:f>
        <x:v>1</x:v>
      </x:c>
      <x:c r="F102" t="n">
        <x:v>1</x:v>
      </x:c>
      <x:c r="G102" t="str">
        <x:v>equals</x:v>
      </x:c>
      <x:c r="H102" t="str">
        <x:v>RFP-1 design authority</x:v>
      </x:c>
      <x:c r="I102" t="str">
        <x:f>IF(E102=1,"PASS","GAP")</x:f>
        <x:v>PASS</x:v>
      </x:c>
    </x:row>
    <x:row r="103">
      <x:c r="B103" t="str">
        <x:v>PL-DWG-TF-003</x:v>
      </x:c>
      <x:c r="C103" t="str">
        <x:v>PLANNING</x:v>
      </x:c>
      <x:c r="D103" t="str">
        <x:v>terrain field drawing object allocated</x:v>
      </x:c>
      <x:c r="E103" t="n">
        <x:f>Controls!$D$70</x:f>
        <x:v>1</x:v>
      </x:c>
      <x:c r="F103" t="n">
        <x:v>1</x:v>
      </x:c>
      <x:c r="G103" t="str">
        <x:v>equals</x:v>
      </x:c>
      <x:c r="H103" t="str">
        <x:v>RFP-1 design authority</x:v>
      </x:c>
      <x:c r="I103" t="str">
        <x:f>IF(E103=1,"PASS","GAP")</x:f>
        <x:v>PASS</x:v>
      </x:c>
    </x:row>
    <x:row r="104">
      <x:c r="B104" t="str">
        <x:v>PL-DWG-TF-004</x:v>
      </x:c>
      <x:c r="C104" t="str">
        <x:v>PLANNING</x:v>
      </x:c>
      <x:c r="D104" t="str">
        <x:v>terrain field drawing object allocated</x:v>
      </x:c>
      <x:c r="E104" t="n">
        <x:f>Controls!$D$70</x:f>
        <x:v>1</x:v>
      </x:c>
      <x:c r="F104" t="n">
        <x:v>1</x:v>
      </x:c>
      <x:c r="G104" t="str">
        <x:v>equals</x:v>
      </x:c>
      <x:c r="H104" t="str">
        <x:v>RFP-1 design authority</x:v>
      </x:c>
      <x:c r="I104" t="str">
        <x:f>IF(E104=1,"PASS","GAP")</x:f>
        <x:v>PASS</x:v>
      </x:c>
    </x:row>
    <x:row r="105">
      <x:c r="B105" t="str">
        <x:v>PL-DWG-TF-005</x:v>
      </x:c>
      <x:c r="C105" t="str">
        <x:v>PLANNING</x:v>
      </x:c>
      <x:c r="D105" t="str">
        <x:v>terrain field drawing object allocated</x:v>
      </x:c>
      <x:c r="E105" t="n">
        <x:f>Controls!$D$70</x:f>
        <x:v>1</x:v>
      </x:c>
      <x:c r="F105" t="n">
        <x:v>1</x:v>
      </x:c>
      <x:c r="G105" t="str">
        <x:v>equals</x:v>
      </x:c>
      <x:c r="H105" t="str">
        <x:v>RFP-1 design authority</x:v>
      </x:c>
      <x:c r="I105" t="str">
        <x:f>IF(E105=1,"PASS","GAP")</x:f>
        <x:v>PASS</x:v>
      </x:c>
    </x:row>
    <x:row r="106">
      <x:c r="B106" t="str">
        <x:v>PL-DWG-TF-006</x:v>
      </x:c>
      <x:c r="C106" t="str">
        <x:v>PLANNING</x:v>
      </x:c>
      <x:c r="D106" t="str">
        <x:v>terrain field drawing object allocated</x:v>
      </x:c>
      <x:c r="E106" t="n">
        <x:f>Controls!$D$70</x:f>
        <x:v>1</x:v>
      </x:c>
      <x:c r="F106" t="n">
        <x:v>1</x:v>
      </x:c>
      <x:c r="G106" t="str">
        <x:v>equals</x:v>
      </x:c>
      <x:c r="H106" t="str">
        <x:v>RFP-1 design authority</x:v>
      </x:c>
      <x:c r="I106" t="str">
        <x:f>IF(E106=1,"PASS","GAP")</x:f>
        <x:v>PASS</x:v>
      </x:c>
    </x:row>
    <x:row r="107">
      <x:c r="B107" t="str">
        <x:v>PL-DWG-TF-007</x:v>
      </x:c>
      <x:c r="C107" t="str">
        <x:v>PLANNING</x:v>
      </x:c>
      <x:c r="D107" t="str">
        <x:v>terrain field drawing object allocated</x:v>
      </x:c>
      <x:c r="E107" t="n">
        <x:f>Controls!$D$70</x:f>
        <x:v>1</x:v>
      </x:c>
      <x:c r="F107" t="n">
        <x:v>1</x:v>
      </x:c>
      <x:c r="G107" t="str">
        <x:v>equals</x:v>
      </x:c>
      <x:c r="H107" t="str">
        <x:v>RFP-1 design authority</x:v>
      </x:c>
      <x:c r="I107" t="str">
        <x:f>IF(E107=1,"PASS","GAP")</x:f>
        <x:v>PASS</x:v>
      </x:c>
    </x:row>
    <x:row r="108">
      <x:c r="B108" t="str">
        <x:v>PL-DWG-TF-008</x:v>
      </x:c>
      <x:c r="C108" t="str">
        <x:v>PLANNING</x:v>
      </x:c>
      <x:c r="D108" t="str">
        <x:v>terrain field drawing object allocated</x:v>
      </x:c>
      <x:c r="E108" t="n">
        <x:f>Controls!$D$70</x:f>
        <x:v>1</x:v>
      </x:c>
      <x:c r="F108" t="n">
        <x:v>1</x:v>
      </x:c>
      <x:c r="G108" t="str">
        <x:v>equals</x:v>
      </x:c>
      <x:c r="H108" t="str">
        <x:v>RFP-1 design authority</x:v>
      </x:c>
      <x:c r="I108" t="str">
        <x:f>IF(E108=1,"PASS","GAP")</x:f>
        <x:v>PASS</x:v>
      </x:c>
    </x:row>
    <x:row r="109">
      <x:c r="B109" t="str">
        <x:v>PL-DWG-TF-009</x:v>
      </x:c>
      <x:c r="C109" t="str">
        <x:v>PLANNING</x:v>
      </x:c>
      <x:c r="D109" t="str">
        <x:v>terrain field drawing object allocated</x:v>
      </x:c>
      <x:c r="E109" t="n">
        <x:f>Controls!$D$70</x:f>
        <x:v>1</x:v>
      </x:c>
      <x:c r="F109" t="n">
        <x:v>1</x:v>
      </x:c>
      <x:c r="G109" t="str">
        <x:v>equals</x:v>
      </x:c>
      <x:c r="H109" t="str">
        <x:v>RFP-1 design authority</x:v>
      </x:c>
      <x:c r="I109" t="str">
        <x:f>IF(E109=1,"PASS","GAP")</x:f>
        <x:v>PASS</x:v>
      </x:c>
    </x:row>
    <x:row r="110">
      <x:c r="B110" t="str">
        <x:v>PL-DWG-TF-010</x:v>
      </x:c>
      <x:c r="C110" t="str">
        <x:v>PLANNING</x:v>
      </x:c>
      <x:c r="D110" t="str">
        <x:v>terrain field drawing object allocated</x:v>
      </x:c>
      <x:c r="E110" t="n">
        <x:f>Controls!$D$70</x:f>
        <x:v>1</x:v>
      </x:c>
      <x:c r="F110" t="n">
        <x:v>1</x:v>
      </x:c>
      <x:c r="G110" t="str">
        <x:v>equals</x:v>
      </x:c>
      <x:c r="H110" t="str">
        <x:v>RFP-1 design authority</x:v>
      </x:c>
      <x:c r="I110" t="str">
        <x:f>IF(E110=1,"PASS","GAP")</x:f>
        <x:v>PASS</x:v>
      </x:c>
    </x:row>
    <x:row r="111">
      <x:c r="B111" t="str">
        <x:v>PL-DWG-TF-011</x:v>
      </x:c>
      <x:c r="C111" t="str">
        <x:v>PLANNING</x:v>
      </x:c>
      <x:c r="D111" t="str">
        <x:v>terrain field drawing object allocated</x:v>
      </x:c>
      <x:c r="E111" t="n">
        <x:f>Controls!$D$70</x:f>
        <x:v>1</x:v>
      </x:c>
      <x:c r="F111" t="n">
        <x:v>1</x:v>
      </x:c>
      <x:c r="G111" t="str">
        <x:v>equals</x:v>
      </x:c>
      <x:c r="H111" t="str">
        <x:v>RFP-1 design authority</x:v>
      </x:c>
      <x:c r="I111" t="str">
        <x:f>IF(E111=1,"PASS","GAP")</x:f>
        <x:v>PASS</x:v>
      </x:c>
    </x:row>
    <x:row r="112">
      <x:c r="B112" t="str">
        <x:v>PL-DWG-TF-012</x:v>
      </x:c>
      <x:c r="C112" t="str">
        <x:v>PLANNING</x:v>
      </x:c>
      <x:c r="D112" t="str">
        <x:v>terrain field drawing object allocated</x:v>
      </x:c>
      <x:c r="E112" t="n">
        <x:f>Controls!$D$70</x:f>
        <x:v>1</x:v>
      </x:c>
      <x:c r="F112" t="n">
        <x:v>1</x:v>
      </x:c>
      <x:c r="G112" t="str">
        <x:v>equals</x:v>
      </x:c>
      <x:c r="H112" t="str">
        <x:v>RFP-1 design authority</x:v>
      </x:c>
      <x:c r="I112" t="str">
        <x:f>IF(E112=1,"PASS","GAP")</x:f>
        <x:v>PASS</x:v>
      </x:c>
    </x:row>
    <x:row r="113">
      <x:c r="B113" t="str">
        <x:v>PL-DWG-TF-013</x:v>
      </x:c>
      <x:c r="C113" t="str">
        <x:v>PLANNING</x:v>
      </x:c>
      <x:c r="D113" t="str">
        <x:v>terrain field drawing object allocated</x:v>
      </x:c>
      <x:c r="E113" t="n">
        <x:f>Controls!$D$70</x:f>
        <x:v>1</x:v>
      </x:c>
      <x:c r="F113" t="n">
        <x:v>1</x:v>
      </x:c>
      <x:c r="G113" t="str">
        <x:v>equals</x:v>
      </x:c>
      <x:c r="H113" t="str">
        <x:v>RFP-1 design authority</x:v>
      </x:c>
      <x:c r="I113" t="str">
        <x:f>IF(E113=1,"PASS","GAP")</x:f>
        <x:v>PASS</x:v>
      </x:c>
    </x:row>
    <x:row r="114">
      <x:c r="B114" t="str">
        <x:v>PL-DWG-TF-014</x:v>
      </x:c>
      <x:c r="C114" t="str">
        <x:v>PLANNING</x:v>
      </x:c>
      <x:c r="D114" t="str">
        <x:v>terrain field drawing object allocated</x:v>
      </x:c>
      <x:c r="E114" t="n">
        <x:f>Controls!$D$70</x:f>
        <x:v>1</x:v>
      </x:c>
      <x:c r="F114" t="n">
        <x:v>1</x:v>
      </x:c>
      <x:c r="G114" t="str">
        <x:v>equals</x:v>
      </x:c>
      <x:c r="H114" t="str">
        <x:v>RFP-1 design authority</x:v>
      </x:c>
      <x:c r="I114" t="str">
        <x:f>IF(E114=1,"PASS","GAP")</x:f>
        <x:v>PASS</x:v>
      </x:c>
    </x:row>
    <x:row r="115">
      <x:c r="B115" t="str">
        <x:v>PL-DWG-TF-015</x:v>
      </x:c>
      <x:c r="C115" t="str">
        <x:v>PLANNING</x:v>
      </x:c>
      <x:c r="D115" t="str">
        <x:v>terrain field drawing object allocated</x:v>
      </x:c>
      <x:c r="E115" t="n">
        <x:f>Controls!$D$70</x:f>
        <x:v>1</x:v>
      </x:c>
      <x:c r="F115" t="n">
        <x:v>1</x:v>
      </x:c>
      <x:c r="G115" t="str">
        <x:v>equals</x:v>
      </x:c>
      <x:c r="H115" t="str">
        <x:v>RFP-1 design authority</x:v>
      </x:c>
      <x:c r="I115" t="str">
        <x:f>IF(E115=1,"PASS","GAP")</x:f>
        <x:v>PASS</x:v>
      </x:c>
    </x:row>
    <x:row r="116">
      <x:c r="B116" t="str">
        <x:v>PL-DWG-TF-016</x:v>
      </x:c>
      <x:c r="C116" t="str">
        <x:v>PLANNING</x:v>
      </x:c>
      <x:c r="D116" t="str">
        <x:v>terrain field drawing object allocated</x:v>
      </x:c>
      <x:c r="E116" t="n">
        <x:f>Controls!$D$70</x:f>
        <x:v>1</x:v>
      </x:c>
      <x:c r="F116" t="n">
        <x:v>1</x:v>
      </x:c>
      <x:c r="G116" t="str">
        <x:v>equals</x:v>
      </x:c>
      <x:c r="H116" t="str">
        <x:v>RFP-1 design authority</x:v>
      </x:c>
      <x:c r="I116" t="str">
        <x:f>IF(E116=1,"PASS","GAP")</x:f>
        <x:v>PASS</x:v>
      </x:c>
    </x:row>
    <x:row r="117">
      <x:c r="B117" t="str">
        <x:v>PL-DWG-TF-017</x:v>
      </x:c>
      <x:c r="C117" t="str">
        <x:v>PLANNING</x:v>
      </x:c>
      <x:c r="D117" t="str">
        <x:v>terrain field drawing object allocated</x:v>
      </x:c>
      <x:c r="E117" t="n">
        <x:f>Controls!$D$70</x:f>
        <x:v>1</x:v>
      </x:c>
      <x:c r="F117" t="n">
        <x:v>1</x:v>
      </x:c>
      <x:c r="G117" t="str">
        <x:v>equals</x:v>
      </x:c>
      <x:c r="H117" t="str">
        <x:v>RFP-1 design authority</x:v>
      </x:c>
      <x:c r="I117" t="str">
        <x:f>IF(E117=1,"PASS","GAP")</x:f>
        <x:v>PASS</x:v>
      </x:c>
    </x:row>
    <x:row r="118">
      <x:c r="B118" t="str">
        <x:v>PL-DWG-TF-018</x:v>
      </x:c>
      <x:c r="C118" t="str">
        <x:v>PLANNING</x:v>
      </x:c>
      <x:c r="D118" t="str">
        <x:v>terrain field drawing object allocated</x:v>
      </x:c>
      <x:c r="E118" t="n">
        <x:f>Controls!$D$70</x:f>
        <x:v>1</x:v>
      </x:c>
      <x:c r="F118" t="n">
        <x:v>1</x:v>
      </x:c>
      <x:c r="G118" t="str">
        <x:v>equals</x:v>
      </x:c>
      <x:c r="H118" t="str">
        <x:v>RFP-1 design authority</x:v>
      </x:c>
      <x:c r="I118" t="str">
        <x:f>IF(E118=1,"PASS","GAP")</x:f>
        <x:v>PASS</x:v>
      </x:c>
    </x:row>
    <x:row r="119">
      <x:c r="B119" t="str">
        <x:v>PL-DWG-SD-001</x:v>
      </x:c>
      <x:c r="C119" t="str">
        <x:v>PLANNING</x:v>
      </x:c>
      <x:c r="D119" t="str">
        <x:v>source dispenser drawing object allocated</x:v>
      </x:c>
      <x:c r="E119" t="n">
        <x:f>Controls!$D$70</x:f>
        <x:v>1</x:v>
      </x:c>
      <x:c r="F119" t="n">
        <x:v>1</x:v>
      </x:c>
      <x:c r="G119" t="str">
        <x:v>equals</x:v>
      </x:c>
      <x:c r="H119" t="str">
        <x:v>RFP-1 design authority</x:v>
      </x:c>
      <x:c r="I119" t="str">
        <x:f>IF(E119=1,"PASS","GAP")</x:f>
        <x:v>PASS</x:v>
      </x:c>
    </x:row>
    <x:row r="120">
      <x:c r="B120" t="str">
        <x:v>PL-DWG-SD-002</x:v>
      </x:c>
      <x:c r="C120" t="str">
        <x:v>PLANNING</x:v>
      </x:c>
      <x:c r="D120" t="str">
        <x:v>source dispenser drawing object allocated</x:v>
      </x:c>
      <x:c r="E120" t="n">
        <x:f>Controls!$D$70</x:f>
        <x:v>1</x:v>
      </x:c>
      <x:c r="F120" t="n">
        <x:v>1</x:v>
      </x:c>
      <x:c r="G120" t="str">
        <x:v>equals</x:v>
      </x:c>
      <x:c r="H120" t="str">
        <x:v>RFP-1 design authority</x:v>
      </x:c>
      <x:c r="I120" t="str">
        <x:f>IF(E120=1,"PASS","GAP")</x:f>
        <x:v>PASS</x:v>
      </x:c>
    </x:row>
    <x:row r="121">
      <x:c r="B121" t="str">
        <x:v>PL-DWG-SD-003</x:v>
      </x:c>
      <x:c r="C121" t="str">
        <x:v>PLANNING</x:v>
      </x:c>
      <x:c r="D121" t="str">
        <x:v>source dispenser drawing object allocated</x:v>
      </x:c>
      <x:c r="E121" t="n">
        <x:f>Controls!$D$70</x:f>
        <x:v>1</x:v>
      </x:c>
      <x:c r="F121" t="n">
        <x:v>1</x:v>
      </x:c>
      <x:c r="G121" t="str">
        <x:v>equals</x:v>
      </x:c>
      <x:c r="H121" t="str">
        <x:v>RFP-1 design authority</x:v>
      </x:c>
      <x:c r="I121" t="str">
        <x:f>IF(E121=1,"PASS","GAP")</x:f>
        <x:v>PASS</x:v>
      </x:c>
    </x:row>
    <x:row r="122">
      <x:c r="B122" t="str">
        <x:v>PL-DWG-SD-004</x:v>
      </x:c>
      <x:c r="C122" t="str">
        <x:v>PLANNING</x:v>
      </x:c>
      <x:c r="D122" t="str">
        <x:v>source dispenser drawing object allocated</x:v>
      </x:c>
      <x:c r="E122" t="n">
        <x:f>Controls!$D$70</x:f>
        <x:v>1</x:v>
      </x:c>
      <x:c r="F122" t="n">
        <x:v>1</x:v>
      </x:c>
      <x:c r="G122" t="str">
        <x:v>equals</x:v>
      </x:c>
      <x:c r="H122" t="str">
        <x:v>RFP-1 design authority</x:v>
      </x:c>
      <x:c r="I122" t="str">
        <x:f>IF(E122=1,"PASS","GAP")</x:f>
        <x:v>PASS</x:v>
      </x:c>
    </x:row>
    <x:row r="123">
      <x:c r="B123" t="str">
        <x:v>PL-DWG-SD-005</x:v>
      </x:c>
      <x:c r="C123" t="str">
        <x:v>PLANNING</x:v>
      </x:c>
      <x:c r="D123" t="str">
        <x:v>source dispenser drawing object allocated</x:v>
      </x:c>
      <x:c r="E123" t="n">
        <x:f>Controls!$D$70</x:f>
        <x:v>1</x:v>
      </x:c>
      <x:c r="F123" t="n">
        <x:v>1</x:v>
      </x:c>
      <x:c r="G123" t="str">
        <x:v>equals</x:v>
      </x:c>
      <x:c r="H123" t="str">
        <x:v>RFP-1 design authority</x:v>
      </x:c>
      <x:c r="I123" t="str">
        <x:f>IF(E123=1,"PASS","GAP")</x:f>
        <x:v>PASS</x:v>
      </x:c>
    </x:row>
    <x:row r="124">
      <x:c r="B124" t="str">
        <x:v>PL-DWG-SD-006</x:v>
      </x:c>
      <x:c r="C124" t="str">
        <x:v>PLANNING</x:v>
      </x:c>
      <x:c r="D124" t="str">
        <x:v>source dispenser drawing object allocated</x:v>
      </x:c>
      <x:c r="E124" t="n">
        <x:f>Controls!$D$70</x:f>
        <x:v>1</x:v>
      </x:c>
      <x:c r="F124" t="n">
        <x:v>1</x:v>
      </x:c>
      <x:c r="G124" t="str">
        <x:v>equals</x:v>
      </x:c>
      <x:c r="H124" t="str">
        <x:v>RFP-1 design authority</x:v>
      </x:c>
      <x:c r="I124" t="str">
        <x:f>IF(E124=1,"PASS","GAP")</x:f>
        <x:v>PASS</x:v>
      </x:c>
    </x:row>
    <x:row r="125">
      <x:c r="B125" t="str">
        <x:v>PL-DWG-SD-007</x:v>
      </x:c>
      <x:c r="C125" t="str">
        <x:v>PLANNING</x:v>
      </x:c>
      <x:c r="D125" t="str">
        <x:v>source dispenser drawing object allocated</x:v>
      </x:c>
      <x:c r="E125" t="n">
        <x:f>Controls!$D$70</x:f>
        <x:v>1</x:v>
      </x:c>
      <x:c r="F125" t="n">
        <x:v>1</x:v>
      </x:c>
      <x:c r="G125" t="str">
        <x:v>equals</x:v>
      </x:c>
      <x:c r="H125" t="str">
        <x:v>RFP-1 design authority</x:v>
      </x:c>
      <x:c r="I125" t="str">
        <x:f>IF(E125=1,"PASS","GAP")</x:f>
        <x:v>PASS</x:v>
      </x:c>
    </x:row>
    <x:row r="126">
      <x:c r="B126" t="str">
        <x:v>PL-DWG-SD-008</x:v>
      </x:c>
      <x:c r="C126" t="str">
        <x:v>PLANNING</x:v>
      </x:c>
      <x:c r="D126" t="str">
        <x:v>source dispenser drawing object allocated</x:v>
      </x:c>
      <x:c r="E126" t="n">
        <x:f>Controls!$D$70</x:f>
        <x:v>1</x:v>
      </x:c>
      <x:c r="F126" t="n">
        <x:v>1</x:v>
      </x:c>
      <x:c r="G126" t="str">
        <x:v>equals</x:v>
      </x:c>
      <x:c r="H126" t="str">
        <x:v>RFP-1 design authority</x:v>
      </x:c>
      <x:c r="I126" t="str">
        <x:f>IF(E126=1,"PASS","GAP")</x:f>
        <x:v>PASS</x:v>
      </x:c>
    </x:row>
    <x:row r="127">
      <x:c r="B127" t="str">
        <x:v>PL-DWG-SD-009</x:v>
      </x:c>
      <x:c r="C127" t="str">
        <x:v>PLANNING</x:v>
      </x:c>
      <x:c r="D127" t="str">
        <x:v>source dispenser drawing object allocated</x:v>
      </x:c>
      <x:c r="E127" t="n">
        <x:f>Controls!$D$70</x:f>
        <x:v>1</x:v>
      </x:c>
      <x:c r="F127" t="n">
        <x:v>1</x:v>
      </x:c>
      <x:c r="G127" t="str">
        <x:v>equals</x:v>
      </x:c>
      <x:c r="H127" t="str">
        <x:v>RFP-1 design authority</x:v>
      </x:c>
      <x:c r="I127" t="str">
        <x:f>IF(E127=1,"PASS","GAP")</x:f>
        <x:v>PASS</x:v>
      </x:c>
    </x:row>
    <x:row r="128">
      <x:c r="B128" t="str">
        <x:v>PL-DWG-SD-010</x:v>
      </x:c>
      <x:c r="C128" t="str">
        <x:v>PLANNING</x:v>
      </x:c>
      <x:c r="D128" t="str">
        <x:v>source dispenser drawing object allocated</x:v>
      </x:c>
      <x:c r="E128" t="n">
        <x:f>Controls!$D$70</x:f>
        <x:v>1</x:v>
      </x:c>
      <x:c r="F128" t="n">
        <x:v>1</x:v>
      </x:c>
      <x:c r="G128" t="str">
        <x:v>equals</x:v>
      </x:c>
      <x:c r="H128" t="str">
        <x:v>RFP-1 design authority</x:v>
      </x:c>
      <x:c r="I128" t="str">
        <x:f>IF(E128=1,"PASS","GAP")</x:f>
        <x:v>PASS</x:v>
      </x:c>
    </x:row>
    <x:row r="129">
      <x:c r="B129" t="str">
        <x:v>PL-DWG-SD-011</x:v>
      </x:c>
      <x:c r="C129" t="str">
        <x:v>PLANNING</x:v>
      </x:c>
      <x:c r="D129" t="str">
        <x:v>source dispenser drawing object allocated</x:v>
      </x:c>
      <x:c r="E129" t="n">
        <x:f>Controls!$D$70</x:f>
        <x:v>1</x:v>
      </x:c>
      <x:c r="F129" t="n">
        <x:v>1</x:v>
      </x:c>
      <x:c r="G129" t="str">
        <x:v>equals</x:v>
      </x:c>
      <x:c r="H129" t="str">
        <x:v>RFP-1 design authority</x:v>
      </x:c>
      <x:c r="I129" t="str">
        <x:f>IF(E129=1,"PASS","GAP")</x:f>
        <x:v>PASS</x:v>
      </x:c>
    </x:row>
    <x:row r="130">
      <x:c r="B130" t="str">
        <x:v>PL-DWG-SD-012</x:v>
      </x:c>
      <x:c r="C130" t="str">
        <x:v>PLANNING</x:v>
      </x:c>
      <x:c r="D130" t="str">
        <x:v>source dispenser drawing object allocated</x:v>
      </x:c>
      <x:c r="E130" t="n">
        <x:f>Controls!$D$70</x:f>
        <x:v>1</x:v>
      </x:c>
      <x:c r="F130" t="n">
        <x:v>1</x:v>
      </x:c>
      <x:c r="G130" t="str">
        <x:v>equals</x:v>
      </x:c>
      <x:c r="H130" t="str">
        <x:v>RFP-1 design authority</x:v>
      </x:c>
      <x:c r="I130" t="str">
        <x:f>IF(E130=1,"PASS","GAP")</x:f>
        <x:v>PASS</x:v>
      </x:c>
    </x:row>
    <x:row r="131">
      <x:c r="B131" t="str">
        <x:v>PL-DWG-SD-013</x:v>
      </x:c>
      <x:c r="C131" t="str">
        <x:v>PLANNING</x:v>
      </x:c>
      <x:c r="D131" t="str">
        <x:v>source dispenser drawing object allocated</x:v>
      </x:c>
      <x:c r="E131" t="n">
        <x:f>Controls!$D$70</x:f>
        <x:v>1</x:v>
      </x:c>
      <x:c r="F131" t="n">
        <x:v>1</x:v>
      </x:c>
      <x:c r="G131" t="str">
        <x:v>equals</x:v>
      </x:c>
      <x:c r="H131" t="str">
        <x:v>RFP-1 design authority</x:v>
      </x:c>
      <x:c r="I131" t="str">
        <x:f>IF(E131=1,"PASS","GAP")</x:f>
        <x:v>PASS</x:v>
      </x:c>
    </x:row>
    <x:row r="132">
      <x:c r="B132" t="str">
        <x:v>PL-DWG-SD-014</x:v>
      </x:c>
      <x:c r="C132" t="str">
        <x:v>PLANNING</x:v>
      </x:c>
      <x:c r="D132" t="str">
        <x:v>source dispenser drawing object allocated</x:v>
      </x:c>
      <x:c r="E132" t="n">
        <x:f>Controls!$D$70</x:f>
        <x:v>1</x:v>
      </x:c>
      <x:c r="F132" t="n">
        <x:v>1</x:v>
      </x:c>
      <x:c r="G132" t="str">
        <x:v>equals</x:v>
      </x:c>
      <x:c r="H132" t="str">
        <x:v>RFP-1 design authority</x:v>
      </x:c>
      <x:c r="I132" t="str">
        <x:f>IF(E132=1,"PASS","GAP")</x:f>
        <x:v>PASS</x:v>
      </x:c>
    </x:row>
    <x:row r="133">
      <x:c r="B133" t="str">
        <x:v>PL-DWG-DG-001</x:v>
      </x:c>
      <x:c r="C133" t="str">
        <x:v>PLANNING</x:v>
      </x:c>
      <x:c r="D133" t="str">
        <x:v>drain galleries drawing object allocated</x:v>
      </x:c>
      <x:c r="E133" t="n">
        <x:f>Controls!$D$70</x:f>
        <x:v>1</x:v>
      </x:c>
      <x:c r="F133" t="n">
        <x:v>1</x:v>
      </x:c>
      <x:c r="G133" t="str">
        <x:v>equals</x:v>
      </x:c>
      <x:c r="H133" t="str">
        <x:v>RFP-1 design authority</x:v>
      </x:c>
      <x:c r="I133" t="str">
        <x:f>IF(E133=1,"PASS","GAP")</x:f>
        <x:v>PASS</x:v>
      </x:c>
    </x:row>
    <x:row r="134">
      <x:c r="B134" t="str">
        <x:v>PL-DWG-DG-002</x:v>
      </x:c>
      <x:c r="C134" t="str">
        <x:v>PLANNING</x:v>
      </x:c>
      <x:c r="D134" t="str">
        <x:v>drain galleries drawing object allocated</x:v>
      </x:c>
      <x:c r="E134" t="n">
        <x:f>Controls!$D$70</x:f>
        <x:v>1</x:v>
      </x:c>
      <x:c r="F134" t="n">
        <x:v>1</x:v>
      </x:c>
      <x:c r="G134" t="str">
        <x:v>equals</x:v>
      </x:c>
      <x:c r="H134" t="str">
        <x:v>RFP-1 design authority</x:v>
      </x:c>
      <x:c r="I134" t="str">
        <x:f>IF(E134=1,"PASS","GAP")</x:f>
        <x:v>PASS</x:v>
      </x:c>
    </x:row>
    <x:row r="135">
      <x:c r="B135" t="str">
        <x:v>PL-DWG-DG-003</x:v>
      </x:c>
      <x:c r="C135" t="str">
        <x:v>PLANNING</x:v>
      </x:c>
      <x:c r="D135" t="str">
        <x:v>drain galleries drawing object allocated</x:v>
      </x:c>
      <x:c r="E135" t="n">
        <x:f>Controls!$D$70</x:f>
        <x:v>1</x:v>
      </x:c>
      <x:c r="F135" t="n">
        <x:v>1</x:v>
      </x:c>
      <x:c r="G135" t="str">
        <x:v>equals</x:v>
      </x:c>
      <x:c r="H135" t="str">
        <x:v>RFP-1 design authority</x:v>
      </x:c>
      <x:c r="I135" t="str">
        <x:f>IF(E135=1,"PASS","GAP")</x:f>
        <x:v>PASS</x:v>
      </x:c>
    </x:row>
    <x:row r="136">
      <x:c r="B136" t="str">
        <x:v>PL-DWG-DG-004</x:v>
      </x:c>
      <x:c r="C136" t="str">
        <x:v>PLANNING</x:v>
      </x:c>
      <x:c r="D136" t="str">
        <x:v>drain galleries drawing object allocated</x:v>
      </x:c>
      <x:c r="E136" t="n">
        <x:f>Controls!$D$70</x:f>
        <x:v>1</x:v>
      </x:c>
      <x:c r="F136" t="n">
        <x:v>1</x:v>
      </x:c>
      <x:c r="G136" t="str">
        <x:v>equals</x:v>
      </x:c>
      <x:c r="H136" t="str">
        <x:v>RFP-1 design authority</x:v>
      </x:c>
      <x:c r="I136" t="str">
        <x:f>IF(E136=1,"PASS","GAP")</x:f>
        <x:v>PASS</x:v>
      </x:c>
    </x:row>
    <x:row r="137">
      <x:c r="B137" t="str">
        <x:v>PL-DWG-DG-005</x:v>
      </x:c>
      <x:c r="C137" t="str">
        <x:v>PLANNING</x:v>
      </x:c>
      <x:c r="D137" t="str">
        <x:v>drain galleries drawing object allocated</x:v>
      </x:c>
      <x:c r="E137" t="n">
        <x:f>Controls!$D$70</x:f>
        <x:v>1</x:v>
      </x:c>
      <x:c r="F137" t="n">
        <x:v>1</x:v>
      </x:c>
      <x:c r="G137" t="str">
        <x:v>equals</x:v>
      </x:c>
      <x:c r="H137" t="str">
        <x:v>RFP-1 design authority</x:v>
      </x:c>
      <x:c r="I137" t="str">
        <x:f>IF(E137=1,"PASS","GAP")</x:f>
        <x:v>PASS</x:v>
      </x:c>
    </x:row>
    <x:row r="138">
      <x:c r="B138" t="str">
        <x:v>PL-DWG-DG-006</x:v>
      </x:c>
      <x:c r="C138" t="str">
        <x:v>PLANNING</x:v>
      </x:c>
      <x:c r="D138" t="str">
        <x:v>drain galleries drawing object allocated</x:v>
      </x:c>
      <x:c r="E138" t="n">
        <x:f>Controls!$D$70</x:f>
        <x:v>1</x:v>
      </x:c>
      <x:c r="F138" t="n">
        <x:v>1</x:v>
      </x:c>
      <x:c r="G138" t="str">
        <x:v>equals</x:v>
      </x:c>
      <x:c r="H138" t="str">
        <x:v>RFP-1 design authority</x:v>
      </x:c>
      <x:c r="I138" t="str">
        <x:f>IF(E138=1,"PASS","GAP")</x:f>
        <x:v>PASS</x:v>
      </x:c>
    </x:row>
    <x:row r="139">
      <x:c r="B139" t="str">
        <x:v>PL-DWG-DG-007</x:v>
      </x:c>
      <x:c r="C139" t="str">
        <x:v>PLANNING</x:v>
      </x:c>
      <x:c r="D139" t="str">
        <x:v>drain galleries drawing object allocated</x:v>
      </x:c>
      <x:c r="E139" t="n">
        <x:f>Controls!$D$70</x:f>
        <x:v>1</x:v>
      </x:c>
      <x:c r="F139" t="n">
        <x:v>1</x:v>
      </x:c>
      <x:c r="G139" t="str">
        <x:v>equals</x:v>
      </x:c>
      <x:c r="H139" t="str">
        <x:v>RFP-1 design authority</x:v>
      </x:c>
      <x:c r="I139" t="str">
        <x:f>IF(E139=1,"PASS","GAP")</x:f>
        <x:v>PASS</x:v>
      </x:c>
    </x:row>
    <x:row r="140">
      <x:c r="B140" t="str">
        <x:v>PL-DWG-DG-008</x:v>
      </x:c>
      <x:c r="C140" t="str">
        <x:v>PLANNING</x:v>
      </x:c>
      <x:c r="D140" t="str">
        <x:v>drain galleries drawing object allocated</x:v>
      </x:c>
      <x:c r="E140" t="n">
        <x:f>Controls!$D$70</x:f>
        <x:v>1</x:v>
      </x:c>
      <x:c r="F140" t="n">
        <x:v>1</x:v>
      </x:c>
      <x:c r="G140" t="str">
        <x:v>equals</x:v>
      </x:c>
      <x:c r="H140" t="str">
        <x:v>RFP-1 design authority</x:v>
      </x:c>
      <x:c r="I140" t="str">
        <x:f>IF(E140=1,"PASS","GAP")</x:f>
        <x:v>PASS</x:v>
      </x:c>
    </x:row>
    <x:row r="141">
      <x:c r="B141" t="str">
        <x:v>PL-DWG-DG-009</x:v>
      </x:c>
      <x:c r="C141" t="str">
        <x:v>PLANNING</x:v>
      </x:c>
      <x:c r="D141" t="str">
        <x:v>drain galleries drawing object allocated</x:v>
      </x:c>
      <x:c r="E141" t="n">
        <x:f>Controls!$D$70</x:f>
        <x:v>1</x:v>
      </x:c>
      <x:c r="F141" t="n">
        <x:v>1</x:v>
      </x:c>
      <x:c r="G141" t="str">
        <x:v>equals</x:v>
      </x:c>
      <x:c r="H141" t="str">
        <x:v>RFP-1 design authority</x:v>
      </x:c>
      <x:c r="I141" t="str">
        <x:f>IF(E141=1,"PASS","GAP")</x:f>
        <x:v>PASS</x:v>
      </x:c>
    </x:row>
    <x:row r="142">
      <x:c r="B142" t="str">
        <x:v>PL-DWG-DG-010</x:v>
      </x:c>
      <x:c r="C142" t="str">
        <x:v>PLANNING</x:v>
      </x:c>
      <x:c r="D142" t="str">
        <x:v>drain galleries drawing object allocated</x:v>
      </x:c>
      <x:c r="E142" t="n">
        <x:f>Controls!$D$70</x:f>
        <x:v>1</x:v>
      </x:c>
      <x:c r="F142" t="n">
        <x:v>1</x:v>
      </x:c>
      <x:c r="G142" t="str">
        <x:v>equals</x:v>
      </x:c>
      <x:c r="H142" t="str">
        <x:v>RFP-1 design authority</x:v>
      </x:c>
      <x:c r="I142" t="str">
        <x:f>IF(E142=1,"PASS","GAP")</x:f>
        <x:v>PASS</x:v>
      </x:c>
    </x:row>
    <x:row r="143">
      <x:c r="B143" t="str">
        <x:v>PL-DWG-DG-011</x:v>
      </x:c>
      <x:c r="C143" t="str">
        <x:v>PLANNING</x:v>
      </x:c>
      <x:c r="D143" t="str">
        <x:v>drain galleries drawing object allocated</x:v>
      </x:c>
      <x:c r="E143" t="n">
        <x:f>Controls!$D$70</x:f>
        <x:v>1</x:v>
      </x:c>
      <x:c r="F143" t="n">
        <x:v>1</x:v>
      </x:c>
      <x:c r="G143" t="str">
        <x:v>equals</x:v>
      </x:c>
      <x:c r="H143" t="str">
        <x:v>RFP-1 design authority</x:v>
      </x:c>
      <x:c r="I143" t="str">
        <x:f>IF(E143=1,"PASS","GAP")</x:f>
        <x:v>PASS</x:v>
      </x:c>
    </x:row>
    <x:row r="144">
      <x:c r="B144" t="str">
        <x:v>PL-DWG-DG-012</x:v>
      </x:c>
      <x:c r="C144" t="str">
        <x:v>PLANNING</x:v>
      </x:c>
      <x:c r="D144" t="str">
        <x:v>drain galleries drawing object allocated</x:v>
      </x:c>
      <x:c r="E144" t="n">
        <x:f>Controls!$D$70</x:f>
        <x:v>1</x:v>
      </x:c>
      <x:c r="F144" t="n">
        <x:v>1</x:v>
      </x:c>
      <x:c r="G144" t="str">
        <x:v>equals</x:v>
      </x:c>
      <x:c r="H144" t="str">
        <x:v>RFP-1 design authority</x:v>
      </x:c>
      <x:c r="I144" t="str">
        <x:f>IF(E144=1,"PASS","GAP")</x:f>
        <x:v>PASS</x:v>
      </x:c>
    </x:row>
    <x:row r="145">
      <x:c r="B145" t="str">
        <x:v>PL-DWG-DG-013</x:v>
      </x:c>
      <x:c r="C145" t="str">
        <x:v>PLANNING</x:v>
      </x:c>
      <x:c r="D145" t="str">
        <x:v>drain galleries drawing object allocated</x:v>
      </x:c>
      <x:c r="E145" t="n">
        <x:f>Controls!$D$70</x:f>
        <x:v>1</x:v>
      </x:c>
      <x:c r="F145" t="n">
        <x:v>1</x:v>
      </x:c>
      <x:c r="G145" t="str">
        <x:v>equals</x:v>
      </x:c>
      <x:c r="H145" t="str">
        <x:v>RFP-1 design authority</x:v>
      </x:c>
      <x:c r="I145" t="str">
        <x:f>IF(E145=1,"PASS","GAP")</x:f>
        <x:v>PASS</x:v>
      </x:c>
    </x:row>
    <x:row r="146">
      <x:c r="B146" t="str">
        <x:v>PL-DWG-DG-014</x:v>
      </x:c>
      <x:c r="C146" t="str">
        <x:v>PLANNING</x:v>
      </x:c>
      <x:c r="D146" t="str">
        <x:v>drain galleries drawing object allocated</x:v>
      </x:c>
      <x:c r="E146" t="n">
        <x:f>Controls!$D$70</x:f>
        <x:v>1</x:v>
      </x:c>
      <x:c r="F146" t="n">
        <x:v>1</x:v>
      </x:c>
      <x:c r="G146" t="str">
        <x:v>equals</x:v>
      </x:c>
      <x:c r="H146" t="str">
        <x:v>RFP-1 design authority</x:v>
      </x:c>
      <x:c r="I146" t="str">
        <x:f>IF(E146=1,"PASS","GAP")</x:f>
        <x:v>PASS</x:v>
      </x:c>
    </x:row>
    <x:row r="147">
      <x:c r="B147" t="str">
        <x:v>PL-DWG-DG-015</x:v>
      </x:c>
      <x:c r="C147" t="str">
        <x:v>PLANNING</x:v>
      </x:c>
      <x:c r="D147" t="str">
        <x:v>drain galleries drawing object allocated</x:v>
      </x:c>
      <x:c r="E147" t="n">
        <x:f>Controls!$D$70</x:f>
        <x:v>1</x:v>
      </x:c>
      <x:c r="F147" t="n">
        <x:v>1</x:v>
      </x:c>
      <x:c r="G147" t="str">
        <x:v>equals</x:v>
      </x:c>
      <x:c r="H147" t="str">
        <x:v>RFP-1 design authority</x:v>
      </x:c>
      <x:c r="I147" t="str">
        <x:f>IF(E147=1,"PASS","GAP")</x:f>
        <x:v>PASS</x:v>
      </x:c>
    </x:row>
    <x:row r="148">
      <x:c r="B148" t="str">
        <x:v>PL-DWG-DG-016</x:v>
      </x:c>
      <x:c r="C148" t="str">
        <x:v>PLANNING</x:v>
      </x:c>
      <x:c r="D148" t="str">
        <x:v>drain galleries drawing object allocated</x:v>
      </x:c>
      <x:c r="E148" t="n">
        <x:f>Controls!$D$70</x:f>
        <x:v>1</x:v>
      </x:c>
      <x:c r="F148" t="n">
        <x:v>1</x:v>
      </x:c>
      <x:c r="G148" t="str">
        <x:v>equals</x:v>
      </x:c>
      <x:c r="H148" t="str">
        <x:v>RFP-1 design authority</x:v>
      </x:c>
      <x:c r="I148" t="str">
        <x:f>IF(E148=1,"PASS","GAP")</x:f>
        <x:v>PASS</x:v>
      </x:c>
    </x:row>
    <x:row r="149">
      <x:c r="B149" t="str">
        <x:v>PL-DWG-FW-001</x:v>
      </x:c>
      <x:c r="C149" t="str">
        <x:v>PLANNING</x:v>
      </x:c>
      <x:c r="D149" t="str">
        <x:v>firewater and heat rejection drawing object allocated</x:v>
      </x:c>
      <x:c r="E149" t="n">
        <x:f>Controls!$D$70</x:f>
        <x:v>1</x:v>
      </x:c>
      <x:c r="F149" t="n">
        <x:v>1</x:v>
      </x:c>
      <x:c r="G149" t="str">
        <x:v>equals</x:v>
      </x:c>
      <x:c r="H149" t="str">
        <x:v>RFP-1 design authority</x:v>
      </x:c>
      <x:c r="I149" t="str">
        <x:f>IF(E149=1,"PASS","GAP")</x:f>
        <x:v>PASS</x:v>
      </x:c>
    </x:row>
    <x:row r="150">
      <x:c r="B150" t="str">
        <x:v>PL-DWG-FW-002</x:v>
      </x:c>
      <x:c r="C150" t="str">
        <x:v>PLANNING</x:v>
      </x:c>
      <x:c r="D150" t="str">
        <x:v>firewater and heat rejection drawing object allocated</x:v>
      </x:c>
      <x:c r="E150" t="n">
        <x:f>Controls!$D$70</x:f>
        <x:v>1</x:v>
      </x:c>
      <x:c r="F150" t="n">
        <x:v>1</x:v>
      </x:c>
      <x:c r="G150" t="str">
        <x:v>equals</x:v>
      </x:c>
      <x:c r="H150" t="str">
        <x:v>RFP-1 design authority</x:v>
      </x:c>
      <x:c r="I150" t="str">
        <x:f>IF(E150=1,"PASS","GAP")</x:f>
        <x:v>PASS</x:v>
      </x:c>
    </x:row>
    <x:row r="151">
      <x:c r="B151" t="str">
        <x:v>PL-DWG-FW-003</x:v>
      </x:c>
      <x:c r="C151" t="str">
        <x:v>PLANNING</x:v>
      </x:c>
      <x:c r="D151" t="str">
        <x:v>firewater and heat rejection drawing object allocated</x:v>
      </x:c>
      <x:c r="E151" t="n">
        <x:f>Controls!$D$70</x:f>
        <x:v>1</x:v>
      </x:c>
      <x:c r="F151" t="n">
        <x:v>1</x:v>
      </x:c>
      <x:c r="G151" t="str">
        <x:v>equals</x:v>
      </x:c>
      <x:c r="H151" t="str">
        <x:v>RFP-1 design authority</x:v>
      </x:c>
      <x:c r="I151" t="str">
        <x:f>IF(E151=1,"PASS","GAP")</x:f>
        <x:v>PASS</x:v>
      </x:c>
    </x:row>
    <x:row r="152">
      <x:c r="B152" t="str">
        <x:v>PL-DWG-FW-004</x:v>
      </x:c>
      <x:c r="C152" t="str">
        <x:v>PLANNING</x:v>
      </x:c>
      <x:c r="D152" t="str">
        <x:v>firewater and heat rejection drawing object allocated</x:v>
      </x:c>
      <x:c r="E152" t="n">
        <x:f>Controls!$D$70</x:f>
        <x:v>1</x:v>
      </x:c>
      <x:c r="F152" t="n">
        <x:v>1</x:v>
      </x:c>
      <x:c r="G152" t="str">
        <x:v>equals</x:v>
      </x:c>
      <x:c r="H152" t="str">
        <x:v>RFP-1 design authority</x:v>
      </x:c>
      <x:c r="I152" t="str">
        <x:f>IF(E152=1,"PASS","GAP")</x:f>
        <x:v>PASS</x:v>
      </x:c>
    </x:row>
    <x:row r="153">
      <x:c r="B153" t="str">
        <x:v>PL-DWG-FW-005</x:v>
      </x:c>
      <x:c r="C153" t="str">
        <x:v>PLANNING</x:v>
      </x:c>
      <x:c r="D153" t="str">
        <x:v>firewater and heat rejection drawing object allocated</x:v>
      </x:c>
      <x:c r="E153" t="n">
        <x:f>Controls!$D$70</x:f>
        <x:v>1</x:v>
      </x:c>
      <x:c r="F153" t="n">
        <x:v>1</x:v>
      </x:c>
      <x:c r="G153" t="str">
        <x:v>equals</x:v>
      </x:c>
      <x:c r="H153" t="str">
        <x:v>RFP-1 design authority</x:v>
      </x:c>
      <x:c r="I153" t="str">
        <x:f>IF(E153=1,"PASS","GAP")</x:f>
        <x:v>PASS</x:v>
      </x:c>
    </x:row>
    <x:row r="154">
      <x:c r="B154" t="str">
        <x:v>PL-DWG-FW-006</x:v>
      </x:c>
      <x:c r="C154" t="str">
        <x:v>PLANNING</x:v>
      </x:c>
      <x:c r="D154" t="str">
        <x:v>firewater and heat rejection drawing object allocated</x:v>
      </x:c>
      <x:c r="E154" t="n">
        <x:f>Controls!$D$70</x:f>
        <x:v>1</x:v>
      </x:c>
      <x:c r="F154" t="n">
        <x:v>1</x:v>
      </x:c>
      <x:c r="G154" t="str">
        <x:v>equals</x:v>
      </x:c>
      <x:c r="H154" t="str">
        <x:v>RFP-1 design authority</x:v>
      </x:c>
      <x:c r="I154" t="str">
        <x:f>IF(E154=1,"PASS","GAP")</x:f>
        <x:v>PASS</x:v>
      </x:c>
    </x:row>
    <x:row r="155">
      <x:c r="B155" t="str">
        <x:v>PL-DWG-FW-007</x:v>
      </x:c>
      <x:c r="C155" t="str">
        <x:v>PLANNING</x:v>
      </x:c>
      <x:c r="D155" t="str">
        <x:v>firewater and heat rejection drawing object allocated</x:v>
      </x:c>
      <x:c r="E155" t="n">
        <x:f>Controls!$D$70</x:f>
        <x:v>1</x:v>
      </x:c>
      <x:c r="F155" t="n">
        <x:v>1</x:v>
      </x:c>
      <x:c r="G155" t="str">
        <x:v>equals</x:v>
      </x:c>
      <x:c r="H155" t="str">
        <x:v>RFP-1 design authority</x:v>
      </x:c>
      <x:c r="I155" t="str">
        <x:f>IF(E155=1,"PASS","GAP")</x:f>
        <x:v>PASS</x:v>
      </x:c>
    </x:row>
    <x:row r="156">
      <x:c r="B156" t="str">
        <x:v>PL-DWG-FW-008</x:v>
      </x:c>
      <x:c r="C156" t="str">
        <x:v>PLANNING</x:v>
      </x:c>
      <x:c r="D156" t="str">
        <x:v>firewater and heat rejection drawing object allocated</x:v>
      </x:c>
      <x:c r="E156" t="n">
        <x:f>Controls!$D$70</x:f>
        <x:v>1</x:v>
      </x:c>
      <x:c r="F156" t="n">
        <x:v>1</x:v>
      </x:c>
      <x:c r="G156" t="str">
        <x:v>equals</x:v>
      </x:c>
      <x:c r="H156" t="str">
        <x:v>RFP-1 design authority</x:v>
      </x:c>
      <x:c r="I156" t="str">
        <x:f>IF(E156=1,"PASS","GAP")</x:f>
        <x:v>PASS</x:v>
      </x:c>
    </x:row>
    <x:row r="157">
      <x:c r="B157" t="str">
        <x:v>PL-DWG-FW-009</x:v>
      </x:c>
      <x:c r="C157" t="str">
        <x:v>PLANNING</x:v>
      </x:c>
      <x:c r="D157" t="str">
        <x:v>firewater and heat rejection drawing object allocated</x:v>
      </x:c>
      <x:c r="E157" t="n">
        <x:f>Controls!$D$70</x:f>
        <x:v>1</x:v>
      </x:c>
      <x:c r="F157" t="n">
        <x:v>1</x:v>
      </x:c>
      <x:c r="G157" t="str">
        <x:v>equals</x:v>
      </x:c>
      <x:c r="H157" t="str">
        <x:v>RFP-1 design authority</x:v>
      </x:c>
      <x:c r="I157" t="str">
        <x:f>IF(E157=1,"PASS","GAP")</x:f>
        <x:v>PASS</x:v>
      </x:c>
    </x:row>
    <x:row r="158">
      <x:c r="B158" t="str">
        <x:v>PL-DWG-FW-010</x:v>
      </x:c>
      <x:c r="C158" t="str">
        <x:v>PLANNING</x:v>
      </x:c>
      <x:c r="D158" t="str">
        <x:v>firewater and heat rejection drawing object allocated</x:v>
      </x:c>
      <x:c r="E158" t="n">
        <x:f>Controls!$D$70</x:f>
        <x:v>1</x:v>
      </x:c>
      <x:c r="F158" t="n">
        <x:v>1</x:v>
      </x:c>
      <x:c r="G158" t="str">
        <x:v>equals</x:v>
      </x:c>
      <x:c r="H158" t="str">
        <x:v>RFP-1 design authority</x:v>
      </x:c>
      <x:c r="I158" t="str">
        <x:f>IF(E158=1,"PASS","GAP")</x:f>
        <x:v>PASS</x:v>
      </x:c>
    </x:row>
    <x:row r="159">
      <x:c r="B159" t="str">
        <x:v>PL-DWG-FW-011</x:v>
      </x:c>
      <x:c r="C159" t="str">
        <x:v>PLANNING</x:v>
      </x:c>
      <x:c r="D159" t="str">
        <x:v>firewater and heat rejection drawing object allocated</x:v>
      </x:c>
      <x:c r="E159" t="n">
        <x:f>Controls!$D$70</x:f>
        <x:v>1</x:v>
      </x:c>
      <x:c r="F159" t="n">
        <x:v>1</x:v>
      </x:c>
      <x:c r="G159" t="str">
        <x:v>equals</x:v>
      </x:c>
      <x:c r="H159" t="str">
        <x:v>RFP-1 design authority</x:v>
      </x:c>
      <x:c r="I159" t="str">
        <x:f>IF(E159=1,"PASS","GAP")</x:f>
        <x:v>PASS</x:v>
      </x:c>
    </x:row>
    <x:row r="160">
      <x:c r="B160" t="str">
        <x:v>PL-DWG-FW-012</x:v>
      </x:c>
      <x:c r="C160" t="str">
        <x:v>PLANNING</x:v>
      </x:c>
      <x:c r="D160" t="str">
        <x:v>firewater and heat rejection drawing object allocated</x:v>
      </x:c>
      <x:c r="E160" t="n">
        <x:f>Controls!$D$70</x:f>
        <x:v>1</x:v>
      </x:c>
      <x:c r="F160" t="n">
        <x:v>1</x:v>
      </x:c>
      <x:c r="G160" t="str">
        <x:v>equals</x:v>
      </x:c>
      <x:c r="H160" t="str">
        <x:v>RFP-1 design authority</x:v>
      </x:c>
      <x:c r="I160" t="str">
        <x:f>IF(E160=1,"PASS","GAP")</x:f>
        <x:v>PASS</x:v>
      </x:c>
    </x:row>
    <x:row r="161">
      <x:c r="B161" t="str">
        <x:v>PL-DWG-FW-013</x:v>
      </x:c>
      <x:c r="C161" t="str">
        <x:v>PLANNING</x:v>
      </x:c>
      <x:c r="D161" t="str">
        <x:v>firewater and heat rejection drawing object allocated</x:v>
      </x:c>
      <x:c r="E161" t="n">
        <x:f>Controls!$D$70</x:f>
        <x:v>1</x:v>
      </x:c>
      <x:c r="F161" t="n">
        <x:v>1</x:v>
      </x:c>
      <x:c r="G161" t="str">
        <x:v>equals</x:v>
      </x:c>
      <x:c r="H161" t="str">
        <x:v>RFP-1 design authority</x:v>
      </x:c>
      <x:c r="I161" t="str">
        <x:f>IF(E161=1,"PASS","GAP")</x:f>
        <x:v>PASS</x:v>
      </x:c>
    </x:row>
    <x:row r="162">
      <x:c r="B162" t="str">
        <x:v>PL-DWG-FW-014</x:v>
      </x:c>
      <x:c r="C162" t="str">
        <x:v>PLANNING</x:v>
      </x:c>
      <x:c r="D162" t="str">
        <x:v>firewater and heat rejection drawing object allocated</x:v>
      </x:c>
      <x:c r="E162" t="n">
        <x:f>Controls!$D$70</x:f>
        <x:v>1</x:v>
      </x:c>
      <x:c r="F162" t="n">
        <x:v>1</x:v>
      </x:c>
      <x:c r="G162" t="str">
        <x:v>equals</x:v>
      </x:c>
      <x:c r="H162" t="str">
        <x:v>RFP-1 design authority</x:v>
      </x:c>
      <x:c r="I162" t="str">
        <x:f>IF(E162=1,"PASS","GAP")</x:f>
        <x:v>PASS</x:v>
      </x:c>
    </x:row>
    <x:row r="163">
      <x:c r="B163" t="str">
        <x:v>PL-DWG-TB-001</x:v>
      </x:c>
      <x:c r="C163" t="str">
        <x:v>PLANNING</x:v>
      </x:c>
      <x:c r="D163" t="str">
        <x:v>thermal and wind boundary drawing object allocated</x:v>
      </x:c>
      <x:c r="E163" t="n">
        <x:f>Controls!$D$70</x:f>
        <x:v>1</x:v>
      </x:c>
      <x:c r="F163" t="n">
        <x:v>1</x:v>
      </x:c>
      <x:c r="G163" t="str">
        <x:v>equals</x:v>
      </x:c>
      <x:c r="H163" t="str">
        <x:v>RFP-1 design authority</x:v>
      </x:c>
      <x:c r="I163" t="str">
        <x:f>IF(E163=1,"PASS","GAP")</x:f>
        <x:v>PASS</x:v>
      </x:c>
    </x:row>
    <x:row r="164">
      <x:c r="B164" t="str">
        <x:v>PL-DWG-TB-002</x:v>
      </x:c>
      <x:c r="C164" t="str">
        <x:v>PLANNING</x:v>
      </x:c>
      <x:c r="D164" t="str">
        <x:v>thermal and wind boundary drawing object allocated</x:v>
      </x:c>
      <x:c r="E164" t="n">
        <x:f>Controls!$D$70</x:f>
        <x:v>1</x:v>
      </x:c>
      <x:c r="F164" t="n">
        <x:v>1</x:v>
      </x:c>
      <x:c r="G164" t="str">
        <x:v>equals</x:v>
      </x:c>
      <x:c r="H164" t="str">
        <x:v>RFP-1 design authority</x:v>
      </x:c>
      <x:c r="I164" t="str">
        <x:f>IF(E164=1,"PASS","GAP")</x:f>
        <x:v>PASS</x:v>
      </x:c>
    </x:row>
    <x:row r="165">
      <x:c r="B165" t="str">
        <x:v>PL-DWG-TB-003</x:v>
      </x:c>
      <x:c r="C165" t="str">
        <x:v>PLANNING</x:v>
      </x:c>
      <x:c r="D165" t="str">
        <x:v>thermal and wind boundary drawing object allocated</x:v>
      </x:c>
      <x:c r="E165" t="n">
        <x:f>Controls!$D$70</x:f>
        <x:v>1</x:v>
      </x:c>
      <x:c r="F165" t="n">
        <x:v>1</x:v>
      </x:c>
      <x:c r="G165" t="str">
        <x:v>equals</x:v>
      </x:c>
      <x:c r="H165" t="str">
        <x:v>RFP-1 design authority</x:v>
      </x:c>
      <x:c r="I165" t="str">
        <x:f>IF(E165=1,"PASS","GAP")</x:f>
        <x:v>PASS</x:v>
      </x:c>
    </x:row>
    <x:row r="166">
      <x:c r="B166" t="str">
        <x:v>PL-DWG-TB-004</x:v>
      </x:c>
      <x:c r="C166" t="str">
        <x:v>PLANNING</x:v>
      </x:c>
      <x:c r="D166" t="str">
        <x:v>thermal and wind boundary drawing object allocated</x:v>
      </x:c>
      <x:c r="E166" t="n">
        <x:f>Controls!$D$70</x:f>
        <x:v>1</x:v>
      </x:c>
      <x:c r="F166" t="n">
        <x:v>1</x:v>
      </x:c>
      <x:c r="G166" t="str">
        <x:v>equals</x:v>
      </x:c>
      <x:c r="H166" t="str">
        <x:v>RFP-1 design authority</x:v>
      </x:c>
      <x:c r="I166" t="str">
        <x:f>IF(E166=1,"PASS","GAP")</x:f>
        <x:v>PASS</x:v>
      </x:c>
    </x:row>
    <x:row r="167">
      <x:c r="B167" t="str">
        <x:v>PL-DWG-TB-005</x:v>
      </x:c>
      <x:c r="C167" t="str">
        <x:v>PLANNING</x:v>
      </x:c>
      <x:c r="D167" t="str">
        <x:v>thermal and wind boundary drawing object allocated</x:v>
      </x:c>
      <x:c r="E167" t="n">
        <x:f>Controls!$D$70</x:f>
        <x:v>1</x:v>
      </x:c>
      <x:c r="F167" t="n">
        <x:v>1</x:v>
      </x:c>
      <x:c r="G167" t="str">
        <x:v>equals</x:v>
      </x:c>
      <x:c r="H167" t="str">
        <x:v>RFP-1 design authority</x:v>
      </x:c>
      <x:c r="I167" t="str">
        <x:f>IF(E167=1,"PASS","GAP")</x:f>
        <x:v>PASS</x:v>
      </x:c>
    </x:row>
    <x:row r="168">
      <x:c r="B168" t="str">
        <x:v>PL-DWG-TB-006</x:v>
      </x:c>
      <x:c r="C168" t="str">
        <x:v>PLANNING</x:v>
      </x:c>
      <x:c r="D168" t="str">
        <x:v>thermal and wind boundary drawing object allocated</x:v>
      </x:c>
      <x:c r="E168" t="n">
        <x:f>Controls!$D$70</x:f>
        <x:v>1</x:v>
      </x:c>
      <x:c r="F168" t="n">
        <x:v>1</x:v>
      </x:c>
      <x:c r="G168" t="str">
        <x:v>equals</x:v>
      </x:c>
      <x:c r="H168" t="str">
        <x:v>RFP-1 design authority</x:v>
      </x:c>
      <x:c r="I168" t="str">
        <x:f>IF(E168=1,"PASS","GAP")</x:f>
        <x:v>PASS</x:v>
      </x:c>
    </x:row>
    <x:row r="169">
      <x:c r="B169" t="str">
        <x:v>PL-DWG-TB-007</x:v>
      </x:c>
      <x:c r="C169" t="str">
        <x:v>PLANNING</x:v>
      </x:c>
      <x:c r="D169" t="str">
        <x:v>thermal and wind boundary drawing object allocated</x:v>
      </x:c>
      <x:c r="E169" t="n">
        <x:f>Controls!$D$70</x:f>
        <x:v>1</x:v>
      </x:c>
      <x:c r="F169" t="n">
        <x:v>1</x:v>
      </x:c>
      <x:c r="G169" t="str">
        <x:v>equals</x:v>
      </x:c>
      <x:c r="H169" t="str">
        <x:v>RFP-1 design authority</x:v>
      </x:c>
      <x:c r="I169" t="str">
        <x:f>IF(E169=1,"PASS","GAP")</x:f>
        <x:v>PASS</x:v>
      </x:c>
    </x:row>
    <x:row r="170">
      <x:c r="B170" t="str">
        <x:v>PL-DWG-TB-008</x:v>
      </x:c>
      <x:c r="C170" t="str">
        <x:v>PLANNING</x:v>
      </x:c>
      <x:c r="D170" t="str">
        <x:v>thermal and wind boundary drawing object allocated</x:v>
      </x:c>
      <x:c r="E170" t="n">
        <x:f>Controls!$D$70</x:f>
        <x:v>1</x:v>
      </x:c>
      <x:c r="F170" t="n">
        <x:v>1</x:v>
      </x:c>
      <x:c r="G170" t="str">
        <x:v>equals</x:v>
      </x:c>
      <x:c r="H170" t="str">
        <x:v>RFP-1 design authority</x:v>
      </x:c>
      <x:c r="I170" t="str">
        <x:f>IF(E170=1,"PASS","GAP")</x:f>
        <x:v>PASS</x:v>
      </x:c>
    </x:row>
    <x:row r="171">
      <x:c r="B171" t="str">
        <x:v>PL-DWG-TB-009</x:v>
      </x:c>
      <x:c r="C171" t="str">
        <x:v>PLANNING</x:v>
      </x:c>
      <x:c r="D171" t="str">
        <x:v>thermal and wind boundary drawing object allocated</x:v>
      </x:c>
      <x:c r="E171" t="n">
        <x:f>Controls!$D$70</x:f>
        <x:v>1</x:v>
      </x:c>
      <x:c r="F171" t="n">
        <x:v>1</x:v>
      </x:c>
      <x:c r="G171" t="str">
        <x:v>equals</x:v>
      </x:c>
      <x:c r="H171" t="str">
        <x:v>RFP-1 design authority</x:v>
      </x:c>
      <x:c r="I171" t="str">
        <x:f>IF(E171=1,"PASS","GAP")</x:f>
        <x:v>PASS</x:v>
      </x:c>
    </x:row>
    <x:row r="172">
      <x:c r="B172" t="str">
        <x:v>PL-DWG-TB-010</x:v>
      </x:c>
      <x:c r="C172" t="str">
        <x:v>PLANNING</x:v>
      </x:c>
      <x:c r="D172" t="str">
        <x:v>thermal and wind boundary drawing object allocated</x:v>
      </x:c>
      <x:c r="E172" t="n">
        <x:f>Controls!$D$70</x:f>
        <x:v>1</x:v>
      </x:c>
      <x:c r="F172" t="n">
        <x:v>1</x:v>
      </x:c>
      <x:c r="G172" t="str">
        <x:v>equals</x:v>
      </x:c>
      <x:c r="H172" t="str">
        <x:v>RFP-1 design authority</x:v>
      </x:c>
      <x:c r="I172" t="str">
        <x:f>IF(E172=1,"PASS","GAP")</x:f>
        <x:v>PASS</x:v>
      </x:c>
    </x:row>
    <x:row r="173">
      <x:c r="B173" t="str">
        <x:v>PL-DWG-TB-011</x:v>
      </x:c>
      <x:c r="C173" t="str">
        <x:v>PLANNING</x:v>
      </x:c>
      <x:c r="D173" t="str">
        <x:v>thermal and wind boundary drawing object allocated</x:v>
      </x:c>
      <x:c r="E173" t="n">
        <x:f>Controls!$D$70</x:f>
        <x:v>1</x:v>
      </x:c>
      <x:c r="F173" t="n">
        <x:v>1</x:v>
      </x:c>
      <x:c r="G173" t="str">
        <x:v>equals</x:v>
      </x:c>
      <x:c r="H173" t="str">
        <x:v>RFP-1 design authority</x:v>
      </x:c>
      <x:c r="I173" t="str">
        <x:f>IF(E173=1,"PASS","GAP")</x:f>
        <x:v>PASS</x:v>
      </x:c>
    </x:row>
    <x:row r="174">
      <x:c r="B174" t="str">
        <x:v>PL-DWG-TB-012</x:v>
      </x:c>
      <x:c r="C174" t="str">
        <x:v>PLANNING</x:v>
      </x:c>
      <x:c r="D174" t="str">
        <x:v>thermal and wind boundary drawing object allocated</x:v>
      </x:c>
      <x:c r="E174" t="n">
        <x:f>Controls!$D$70</x:f>
        <x:v>1</x:v>
      </x:c>
      <x:c r="F174" t="n">
        <x:v>1</x:v>
      </x:c>
      <x:c r="G174" t="str">
        <x:v>equals</x:v>
      </x:c>
      <x:c r="H174" t="str">
        <x:v>RFP-1 design authority</x:v>
      </x:c>
      <x:c r="I174" t="str">
        <x:f>IF(E174=1,"PASS","GAP")</x:f>
        <x:v>PASS</x:v>
      </x:c>
    </x:row>
    <x:row r="175">
      <x:c r="B175" t="str">
        <x:v>PL-DWG-EP-001</x:v>
      </x:c>
      <x:c r="C175" t="str">
        <x:v>PLANNING</x:v>
      </x:c>
      <x:c r="D175" t="str">
        <x:v>environmental custody drawing object allocated</x:v>
      </x:c>
      <x:c r="E175" t="n">
        <x:f>Controls!$D$70</x:f>
        <x:v>1</x:v>
      </x:c>
      <x:c r="F175" t="n">
        <x:v>1</x:v>
      </x:c>
      <x:c r="G175" t="str">
        <x:v>equals</x:v>
      </x:c>
      <x:c r="H175" t="str">
        <x:v>RFP-1 design authority</x:v>
      </x:c>
      <x:c r="I175" t="str">
        <x:f>IF(E175=1,"PASS","GAP")</x:f>
        <x:v>PASS</x:v>
      </x:c>
    </x:row>
    <x:row r="176">
      <x:c r="B176" t="str">
        <x:v>PL-DWG-EP-002</x:v>
      </x:c>
      <x:c r="C176" t="str">
        <x:v>PLANNING</x:v>
      </x:c>
      <x:c r="D176" t="str">
        <x:v>environmental custody drawing object allocated</x:v>
      </x:c>
      <x:c r="E176" t="n">
        <x:f>Controls!$D$70</x:f>
        <x:v>1</x:v>
      </x:c>
      <x:c r="F176" t="n">
        <x:v>1</x:v>
      </x:c>
      <x:c r="G176" t="str">
        <x:v>equals</x:v>
      </x:c>
      <x:c r="H176" t="str">
        <x:v>RFP-1 design authority</x:v>
      </x:c>
      <x:c r="I176" t="str">
        <x:f>IF(E176=1,"PASS","GAP")</x:f>
        <x:v>PASS</x:v>
      </x:c>
    </x:row>
    <x:row r="177">
      <x:c r="B177" t="str">
        <x:v>PL-DWG-EP-003</x:v>
      </x:c>
      <x:c r="C177" t="str">
        <x:v>PLANNING</x:v>
      </x:c>
      <x:c r="D177" t="str">
        <x:v>environmental custody drawing object allocated</x:v>
      </x:c>
      <x:c r="E177" t="n">
        <x:f>Controls!$D$70</x:f>
        <x:v>1</x:v>
      </x:c>
      <x:c r="F177" t="n">
        <x:v>1</x:v>
      </x:c>
      <x:c r="G177" t="str">
        <x:v>equals</x:v>
      </x:c>
      <x:c r="H177" t="str">
        <x:v>RFP-1 design authority</x:v>
      </x:c>
      <x:c r="I177" t="str">
        <x:f>IF(E177=1,"PASS","GAP")</x:f>
        <x:v>PASS</x:v>
      </x:c>
    </x:row>
    <x:row r="178">
      <x:c r="B178" t="str">
        <x:v>PL-DWG-EP-004</x:v>
      </x:c>
      <x:c r="C178" t="str">
        <x:v>PLANNING</x:v>
      </x:c>
      <x:c r="D178" t="str">
        <x:v>environmental custody drawing object allocated</x:v>
      </x:c>
      <x:c r="E178" t="n">
        <x:f>Controls!$D$70</x:f>
        <x:v>1</x:v>
      </x:c>
      <x:c r="F178" t="n">
        <x:v>1</x:v>
      </x:c>
      <x:c r="G178" t="str">
        <x:v>equals</x:v>
      </x:c>
      <x:c r="H178" t="str">
        <x:v>RFP-1 design authority</x:v>
      </x:c>
      <x:c r="I178" t="str">
        <x:f>IF(E178=1,"PASS","GAP")</x:f>
        <x:v>PASS</x:v>
      </x:c>
    </x:row>
    <x:row r="179">
      <x:c r="B179" t="str">
        <x:v>PL-DWG-EP-005</x:v>
      </x:c>
      <x:c r="C179" t="str">
        <x:v>PLANNING</x:v>
      </x:c>
      <x:c r="D179" t="str">
        <x:v>environmental custody drawing object allocated</x:v>
      </x:c>
      <x:c r="E179" t="n">
        <x:f>Controls!$D$70</x:f>
        <x:v>1</x:v>
      </x:c>
      <x:c r="F179" t="n">
        <x:v>1</x:v>
      </x:c>
      <x:c r="G179" t="str">
        <x:v>equals</x:v>
      </x:c>
      <x:c r="H179" t="str">
        <x:v>RFP-1 design authority</x:v>
      </x:c>
      <x:c r="I179" t="str">
        <x:f>IF(E179=1,"PASS","GAP")</x:f>
        <x:v>PASS</x:v>
      </x:c>
    </x:row>
    <x:row r="180">
      <x:c r="B180" t="str">
        <x:v>PL-DWG-EP-006</x:v>
      </x:c>
      <x:c r="C180" t="str">
        <x:v>PLANNING</x:v>
      </x:c>
      <x:c r="D180" t="str">
        <x:v>environmental custody drawing object allocated</x:v>
      </x:c>
      <x:c r="E180" t="n">
        <x:f>Controls!$D$70</x:f>
        <x:v>1</x:v>
      </x:c>
      <x:c r="F180" t="n">
        <x:v>1</x:v>
      </x:c>
      <x:c r="G180" t="str">
        <x:v>equals</x:v>
      </x:c>
      <x:c r="H180" t="str">
        <x:v>RFP-1 design authority</x:v>
      </x:c>
      <x:c r="I180" t="str">
        <x:f>IF(E180=1,"PASS","GAP")</x:f>
        <x:v>PASS</x:v>
      </x:c>
    </x:row>
    <x:row r="181">
      <x:c r="B181" t="str">
        <x:v>PL-DWG-EP-007</x:v>
      </x:c>
      <x:c r="C181" t="str">
        <x:v>PLANNING</x:v>
      </x:c>
      <x:c r="D181" t="str">
        <x:v>environmental custody drawing object allocated</x:v>
      </x:c>
      <x:c r="E181" t="n">
        <x:f>Controls!$D$70</x:f>
        <x:v>1</x:v>
      </x:c>
      <x:c r="F181" t="n">
        <x:v>1</x:v>
      </x:c>
      <x:c r="G181" t="str">
        <x:v>equals</x:v>
      </x:c>
      <x:c r="H181" t="str">
        <x:v>RFP-1 design authority</x:v>
      </x:c>
      <x:c r="I181" t="str">
        <x:f>IF(E181=1,"PASS","GAP")</x:f>
        <x:v>PASS</x:v>
      </x:c>
    </x:row>
    <x:row r="182">
      <x:c r="B182" t="str">
        <x:v>PL-DWG-EP-008</x:v>
      </x:c>
      <x:c r="C182" t="str">
        <x:v>PLANNING</x:v>
      </x:c>
      <x:c r="D182" t="str">
        <x:v>environmental custody drawing object allocated</x:v>
      </x:c>
      <x:c r="E182" t="n">
        <x:f>Controls!$D$70</x:f>
        <x:v>1</x:v>
      </x:c>
      <x:c r="F182" t="n">
        <x:v>1</x:v>
      </x:c>
      <x:c r="G182" t="str">
        <x:v>equals</x:v>
      </x:c>
      <x:c r="H182" t="str">
        <x:v>RFP-1 design authority</x:v>
      </x:c>
      <x:c r="I182" t="str">
        <x:f>IF(E182=1,"PASS","GAP")</x:f>
        <x:v>PASS</x:v>
      </x:c>
    </x:row>
    <x:row r="183">
      <x:c r="B183" t="str">
        <x:v>PL-DWG-EP-009</x:v>
      </x:c>
      <x:c r="C183" t="str">
        <x:v>PLANNING</x:v>
      </x:c>
      <x:c r="D183" t="str">
        <x:v>environmental custody drawing object allocated</x:v>
      </x:c>
      <x:c r="E183" t="n">
        <x:f>Controls!$D$70</x:f>
        <x:v>1</x:v>
      </x:c>
      <x:c r="F183" t="n">
        <x:v>1</x:v>
      </x:c>
      <x:c r="G183" t="str">
        <x:v>equals</x:v>
      </x:c>
      <x:c r="H183" t="str">
        <x:v>RFP-1 design authority</x:v>
      </x:c>
      <x:c r="I183" t="str">
        <x:f>IF(E183=1,"PASS","GAP")</x:f>
        <x:v>PASS</x:v>
      </x:c>
    </x:row>
    <x:row r="184">
      <x:c r="B184" t="str">
        <x:v>PL-DWG-EP-010</x:v>
      </x:c>
      <x:c r="C184" t="str">
        <x:v>PLANNING</x:v>
      </x:c>
      <x:c r="D184" t="str">
        <x:v>environmental custody drawing object allocated</x:v>
      </x:c>
      <x:c r="E184" t="n">
        <x:f>Controls!$D$70</x:f>
        <x:v>1</x:v>
      </x:c>
      <x:c r="F184" t="n">
        <x:v>1</x:v>
      </x:c>
      <x:c r="G184" t="str">
        <x:v>equals</x:v>
      </x:c>
      <x:c r="H184" t="str">
        <x:v>RFP-1 design authority</x:v>
      </x:c>
      <x:c r="I184" t="str">
        <x:f>IF(E184=1,"PASS","GAP")</x:f>
        <x:v>PASS</x:v>
      </x:c>
    </x:row>
    <x:row r="185">
      <x:c r="B185" t="str">
        <x:v>PL-DWG-EP-011</x:v>
      </x:c>
      <x:c r="C185" t="str">
        <x:v>PLANNING</x:v>
      </x:c>
      <x:c r="D185" t="str">
        <x:v>environmental custody drawing object allocated</x:v>
      </x:c>
      <x:c r="E185" t="n">
        <x:f>Controls!$D$70</x:f>
        <x:v>1</x:v>
      </x:c>
      <x:c r="F185" t="n">
        <x:v>1</x:v>
      </x:c>
      <x:c r="G185" t="str">
        <x:v>equals</x:v>
      </x:c>
      <x:c r="H185" t="str">
        <x:v>RFP-1 design authority</x:v>
      </x:c>
      <x:c r="I185" t="str">
        <x:f>IF(E185=1,"PASS","GAP")</x:f>
        <x:v>PASS</x:v>
      </x:c>
    </x:row>
    <x:row r="186">
      <x:c r="B186" t="str">
        <x:v>PL-DWG-EP-012</x:v>
      </x:c>
      <x:c r="C186" t="str">
        <x:v>PLANNING</x:v>
      </x:c>
      <x:c r="D186" t="str">
        <x:v>environmental custody drawing object allocated</x:v>
      </x:c>
      <x:c r="E186" t="n">
        <x:f>Controls!$D$70</x:f>
        <x:v>1</x:v>
      </x:c>
      <x:c r="F186" t="n">
        <x:v>1</x:v>
      </x:c>
      <x:c r="G186" t="str">
        <x:v>equals</x:v>
      </x:c>
      <x:c r="H186" t="str">
        <x:v>RFP-1 design authority</x:v>
      </x:c>
      <x:c r="I186" t="str">
        <x:f>IF(E186=1,"PASS","GAP")</x:f>
        <x:v>PASS</x:v>
      </x:c>
    </x:row>
    <x:row r="187">
      <x:c r="B187" t="str">
        <x:v>PL-DWG-RC-001</x:v>
      </x:c>
      <x:c r="C187" t="str">
        <x:v>PLANNING</x:v>
      </x:c>
      <x:c r="D187" t="str">
        <x:v>robot and casualty drawing object allocated</x:v>
      </x:c>
      <x:c r="E187" t="n">
        <x:f>Controls!$D$70</x:f>
        <x:v>1</x:v>
      </x:c>
      <x:c r="F187" t="n">
        <x:v>1</x:v>
      </x:c>
      <x:c r="G187" t="str">
        <x:v>equals</x:v>
      </x:c>
      <x:c r="H187" t="str">
        <x:v>RFP-1 design authority</x:v>
      </x:c>
      <x:c r="I187" t="str">
        <x:f>IF(E187=1,"PASS","GAP")</x:f>
        <x:v>PASS</x:v>
      </x:c>
    </x:row>
    <x:row r="188">
      <x:c r="B188" t="str">
        <x:v>PL-DWG-RC-002</x:v>
      </x:c>
      <x:c r="C188" t="str">
        <x:v>PLANNING</x:v>
      </x:c>
      <x:c r="D188" t="str">
        <x:v>robot and casualty drawing object allocated</x:v>
      </x:c>
      <x:c r="E188" t="n">
        <x:f>Controls!$D$70</x:f>
        <x:v>1</x:v>
      </x:c>
      <x:c r="F188" t="n">
        <x:v>1</x:v>
      </x:c>
      <x:c r="G188" t="str">
        <x:v>equals</x:v>
      </x:c>
      <x:c r="H188" t="str">
        <x:v>RFP-1 design authority</x:v>
      </x:c>
      <x:c r="I188" t="str">
        <x:f>IF(E188=1,"PASS","GAP")</x:f>
        <x:v>PASS</x:v>
      </x:c>
    </x:row>
    <x:row r="189">
      <x:c r="B189" t="str">
        <x:v>PL-DWG-RC-003</x:v>
      </x:c>
      <x:c r="C189" t="str">
        <x:v>PLANNING</x:v>
      </x:c>
      <x:c r="D189" t="str">
        <x:v>robot and casualty drawing object allocated</x:v>
      </x:c>
      <x:c r="E189" t="n">
        <x:f>Controls!$D$70</x:f>
        <x:v>1</x:v>
      </x:c>
      <x:c r="F189" t="n">
        <x:v>1</x:v>
      </x:c>
      <x:c r="G189" t="str">
        <x:v>equals</x:v>
      </x:c>
      <x:c r="H189" t="str">
        <x:v>RFP-1 design authority</x:v>
      </x:c>
      <x:c r="I189" t="str">
        <x:f>IF(E189=1,"PASS","GAP")</x:f>
        <x:v>PASS</x:v>
      </x:c>
    </x:row>
    <x:row r="190">
      <x:c r="B190" t="str">
        <x:v>PL-DWG-RC-004</x:v>
      </x:c>
      <x:c r="C190" t="str">
        <x:v>PLANNING</x:v>
      </x:c>
      <x:c r="D190" t="str">
        <x:v>robot and casualty drawing object allocated</x:v>
      </x:c>
      <x:c r="E190" t="n">
        <x:f>Controls!$D$70</x:f>
        <x:v>1</x:v>
      </x:c>
      <x:c r="F190" t="n">
        <x:v>1</x:v>
      </x:c>
      <x:c r="G190" t="str">
        <x:v>equals</x:v>
      </x:c>
      <x:c r="H190" t="str">
        <x:v>RFP-1 design authority</x:v>
      </x:c>
      <x:c r="I190" t="str">
        <x:f>IF(E190=1,"PASS","GAP")</x:f>
        <x:v>PASS</x:v>
      </x:c>
    </x:row>
    <x:row r="191">
      <x:c r="B191" t="str">
        <x:v>PL-DWG-RC-005</x:v>
      </x:c>
      <x:c r="C191" t="str">
        <x:v>PLANNING</x:v>
      </x:c>
      <x:c r="D191" t="str">
        <x:v>robot and casualty drawing object allocated</x:v>
      </x:c>
      <x:c r="E191" t="n">
        <x:f>Controls!$D$70</x:f>
        <x:v>1</x:v>
      </x:c>
      <x:c r="F191" t="n">
        <x:v>1</x:v>
      </x:c>
      <x:c r="G191" t="str">
        <x:v>equals</x:v>
      </x:c>
      <x:c r="H191" t="str">
        <x:v>RFP-1 design authority</x:v>
      </x:c>
      <x:c r="I191" t="str">
        <x:f>IF(E191=1,"PASS","GAP")</x:f>
        <x:v>PASS</x:v>
      </x:c>
    </x:row>
    <x:row r="192">
      <x:c r="B192" t="str">
        <x:v>PL-DWG-RC-006</x:v>
      </x:c>
      <x:c r="C192" t="str">
        <x:v>PLANNING</x:v>
      </x:c>
      <x:c r="D192" t="str">
        <x:v>robot and casualty drawing object allocated</x:v>
      </x:c>
      <x:c r="E192" t="n">
        <x:f>Controls!$D$70</x:f>
        <x:v>1</x:v>
      </x:c>
      <x:c r="F192" t="n">
        <x:v>1</x:v>
      </x:c>
      <x:c r="G192" t="str">
        <x:v>equals</x:v>
      </x:c>
      <x:c r="H192" t="str">
        <x:v>RFP-1 design authority</x:v>
      </x:c>
      <x:c r="I192" t="str">
        <x:f>IF(E192=1,"PASS","GAP")</x:f>
        <x:v>PASS</x:v>
      </x:c>
    </x:row>
    <x:row r="193">
      <x:c r="B193" t="str">
        <x:v>PL-DWG-RC-007</x:v>
      </x:c>
      <x:c r="C193" t="str">
        <x:v>PLANNING</x:v>
      </x:c>
      <x:c r="D193" t="str">
        <x:v>robot and casualty drawing object allocated</x:v>
      </x:c>
      <x:c r="E193" t="n">
        <x:f>Controls!$D$70</x:f>
        <x:v>1</x:v>
      </x:c>
      <x:c r="F193" t="n">
        <x:v>1</x:v>
      </x:c>
      <x:c r="G193" t="str">
        <x:v>equals</x:v>
      </x:c>
      <x:c r="H193" t="str">
        <x:v>RFP-1 design authority</x:v>
      </x:c>
      <x:c r="I193" t="str">
        <x:f>IF(E193=1,"PASS","GAP")</x:f>
        <x:v>PASS</x:v>
      </x:c>
    </x:row>
    <x:row r="194">
      <x:c r="B194" t="str">
        <x:v>PL-DWG-RC-008</x:v>
      </x:c>
      <x:c r="C194" t="str">
        <x:v>PLANNING</x:v>
      </x:c>
      <x:c r="D194" t="str">
        <x:v>robot and casualty drawing object allocated</x:v>
      </x:c>
      <x:c r="E194" t="n">
        <x:f>Controls!$D$70</x:f>
        <x:v>1</x:v>
      </x:c>
      <x:c r="F194" t="n">
        <x:v>1</x:v>
      </x:c>
      <x:c r="G194" t="str">
        <x:v>equals</x:v>
      </x:c>
      <x:c r="H194" t="str">
        <x:v>RFP-1 design authority</x:v>
      </x:c>
      <x:c r="I194" t="str">
        <x:f>IF(E194=1,"PASS","GAP")</x:f>
        <x:v>PASS</x:v>
      </x:c>
    </x:row>
    <x:row r="195">
      <x:c r="B195" t="str">
        <x:v>PL-DWG-RC-009</x:v>
      </x:c>
      <x:c r="C195" t="str">
        <x:v>PLANNING</x:v>
      </x:c>
      <x:c r="D195" t="str">
        <x:v>robot and casualty drawing object allocated</x:v>
      </x:c>
      <x:c r="E195" t="n">
        <x:f>Controls!$D$70</x:f>
        <x:v>1</x:v>
      </x:c>
      <x:c r="F195" t="n">
        <x:v>1</x:v>
      </x:c>
      <x:c r="G195" t="str">
        <x:v>equals</x:v>
      </x:c>
      <x:c r="H195" t="str">
        <x:v>RFP-1 design authority</x:v>
      </x:c>
      <x:c r="I195" t="str">
        <x:f>IF(E195=1,"PASS","GAP")</x:f>
        <x:v>PASS</x:v>
      </x:c>
    </x:row>
    <x:row r="196">
      <x:c r="B196" t="str">
        <x:v>PL-DWG-RC-010</x:v>
      </x:c>
      <x:c r="C196" t="str">
        <x:v>PLANNING</x:v>
      </x:c>
      <x:c r="D196" t="str">
        <x:v>robot and casualty drawing object allocated</x:v>
      </x:c>
      <x:c r="E196" t="n">
        <x:f>Controls!$D$70</x:f>
        <x:v>1</x:v>
      </x:c>
      <x:c r="F196" t="n">
        <x:v>1</x:v>
      </x:c>
      <x:c r="G196" t="str">
        <x:v>equals</x:v>
      </x:c>
      <x:c r="H196" t="str">
        <x:v>RFP-1 design authority</x:v>
      </x:c>
      <x:c r="I196" t="str">
        <x:f>IF(E196=1,"PASS","GAP")</x:f>
        <x:v>PASS</x:v>
      </x:c>
    </x:row>
    <x:row r="197">
      <x:c r="B197" t="str">
        <x:v>PL-DWG-ME-001</x:v>
      </x:c>
      <x:c r="C197" t="str">
        <x:v>PLANNING</x:v>
      </x:c>
      <x:c r="D197" t="str">
        <x:v>measurement and evidence drawing object allocated</x:v>
      </x:c>
      <x:c r="E197" t="n">
        <x:f>Controls!$D$70</x:f>
        <x:v>1</x:v>
      </x:c>
      <x:c r="F197" t="n">
        <x:v>1</x:v>
      </x:c>
      <x:c r="G197" t="str">
        <x:v>equals</x:v>
      </x:c>
      <x:c r="H197" t="str">
        <x:v>RFP-1 design authority</x:v>
      </x:c>
      <x:c r="I197" t="str">
        <x:f>IF(E197=1,"PASS","GAP")</x:f>
        <x:v>PASS</x:v>
      </x:c>
    </x:row>
    <x:row r="198">
      <x:c r="B198" t="str">
        <x:v>PL-DWG-ME-002</x:v>
      </x:c>
      <x:c r="C198" t="str">
        <x:v>PLANNING</x:v>
      </x:c>
      <x:c r="D198" t="str">
        <x:v>measurement and evidence drawing object allocated</x:v>
      </x:c>
      <x:c r="E198" t="n">
        <x:f>Controls!$D$70</x:f>
        <x:v>1</x:v>
      </x:c>
      <x:c r="F198" t="n">
        <x:v>1</x:v>
      </x:c>
      <x:c r="G198" t="str">
        <x:v>equals</x:v>
      </x:c>
      <x:c r="H198" t="str">
        <x:v>RFP-1 design authority</x:v>
      </x:c>
      <x:c r="I198" t="str">
        <x:f>IF(E198=1,"PASS","GAP")</x:f>
        <x:v>PASS</x:v>
      </x:c>
    </x:row>
    <x:row r="199">
      <x:c r="B199" t="str">
        <x:v>PL-DWG-ME-003</x:v>
      </x:c>
      <x:c r="C199" t="str">
        <x:v>PLANNING</x:v>
      </x:c>
      <x:c r="D199" t="str">
        <x:v>measurement and evidence drawing object allocated</x:v>
      </x:c>
      <x:c r="E199" t="n">
        <x:f>Controls!$D$70</x:f>
        <x:v>1</x:v>
      </x:c>
      <x:c r="F199" t="n">
        <x:v>1</x:v>
      </x:c>
      <x:c r="G199" t="str">
        <x:v>equals</x:v>
      </x:c>
      <x:c r="H199" t="str">
        <x:v>RFP-1 design authority</x:v>
      </x:c>
      <x:c r="I199" t="str">
        <x:f>IF(E199=1,"PASS","GAP")</x:f>
        <x:v>PASS</x:v>
      </x:c>
    </x:row>
    <x:row r="200">
      <x:c r="B200" t="str">
        <x:v>PL-DWG-ME-004</x:v>
      </x:c>
      <x:c r="C200" t="str">
        <x:v>PLANNING</x:v>
      </x:c>
      <x:c r="D200" t="str">
        <x:v>measurement and evidence drawing object allocated</x:v>
      </x:c>
      <x:c r="E200" t="n">
        <x:f>Controls!$D$70</x:f>
        <x:v>1</x:v>
      </x:c>
      <x:c r="F200" t="n">
        <x:v>1</x:v>
      </x:c>
      <x:c r="G200" t="str">
        <x:v>equals</x:v>
      </x:c>
      <x:c r="H200" t="str">
        <x:v>RFP-1 design authority</x:v>
      </x:c>
      <x:c r="I200" t="str">
        <x:f>IF(E200=1,"PASS","GAP")</x:f>
        <x:v>PASS</x:v>
      </x:c>
    </x:row>
    <x:row r="201">
      <x:c r="B201" t="str">
        <x:v>PL-DWG-ME-005</x:v>
      </x:c>
      <x:c r="C201" t="str">
        <x:v>PLANNING</x:v>
      </x:c>
      <x:c r="D201" t="str">
        <x:v>measurement and evidence drawing object allocated</x:v>
      </x:c>
      <x:c r="E201" t="n">
        <x:f>Controls!$D$70</x:f>
        <x:v>1</x:v>
      </x:c>
      <x:c r="F201" t="n">
        <x:v>1</x:v>
      </x:c>
      <x:c r="G201" t="str">
        <x:v>equals</x:v>
      </x:c>
      <x:c r="H201" t="str">
        <x:v>RFP-1 design authority</x:v>
      </x:c>
      <x:c r="I201" t="str">
        <x:f>IF(E201=1,"PASS","GAP")</x:f>
        <x:v>PASS</x:v>
      </x:c>
    </x:row>
    <x:row r="202">
      <x:c r="B202" t="str">
        <x:v>PL-DWG-ME-006</x:v>
      </x:c>
      <x:c r="C202" t="str">
        <x:v>PLANNING</x:v>
      </x:c>
      <x:c r="D202" t="str">
        <x:v>measurement and evidence drawing object allocated</x:v>
      </x:c>
      <x:c r="E202" t="n">
        <x:f>Controls!$D$70</x:f>
        <x:v>1</x:v>
      </x:c>
      <x:c r="F202" t="n">
        <x:v>1</x:v>
      </x:c>
      <x:c r="G202" t="str">
        <x:v>equals</x:v>
      </x:c>
      <x:c r="H202" t="str">
        <x:v>RFP-1 design authority</x:v>
      </x:c>
      <x:c r="I202" t="str">
        <x:f>IF(E202=1,"PASS","GAP")</x:f>
        <x:v>PASS</x:v>
      </x:c>
    </x:row>
    <x:row r="203">
      <x:c r="B203" t="str">
        <x:v>PL-DWG-ME-007</x:v>
      </x:c>
      <x:c r="C203" t="str">
        <x:v>PLANNING</x:v>
      </x:c>
      <x:c r="D203" t="str">
        <x:v>measurement and evidence drawing object allocated</x:v>
      </x:c>
      <x:c r="E203" t="n">
        <x:f>Controls!$D$70</x:f>
        <x:v>1</x:v>
      </x:c>
      <x:c r="F203" t="n">
        <x:v>1</x:v>
      </x:c>
      <x:c r="G203" t="str">
        <x:v>equals</x:v>
      </x:c>
      <x:c r="H203" t="str">
        <x:v>RFP-1 design authority</x:v>
      </x:c>
      <x:c r="I203" t="str">
        <x:f>IF(E203=1,"PASS","GAP")</x:f>
        <x:v>PASS</x:v>
      </x:c>
    </x:row>
    <x:row r="204">
      <x:c r="B204" t="str">
        <x:v>PL-DWG-ME-008</x:v>
      </x:c>
      <x:c r="C204" t="str">
        <x:v>PLANNING</x:v>
      </x:c>
      <x:c r="D204" t="str">
        <x:v>measurement and evidence drawing object allocated</x:v>
      </x:c>
      <x:c r="E204" t="n">
        <x:f>Controls!$D$70</x:f>
        <x:v>1</x:v>
      </x:c>
      <x:c r="F204" t="n">
        <x:v>1</x:v>
      </x:c>
      <x:c r="G204" t="str">
        <x:v>equals</x:v>
      </x:c>
      <x:c r="H204" t="str">
        <x:v>RFP-1 design authority</x:v>
      </x:c>
      <x:c r="I204" t="str">
        <x:f>IF(E204=1,"PASS","GAP")</x:f>
        <x:v>PASS</x:v>
      </x:c>
    </x:row>
    <x:row r="205">
      <x:c r="B205" t="str">
        <x:v>PL-DWG-ME-009</x:v>
      </x:c>
      <x:c r="C205" t="str">
        <x:v>PLANNING</x:v>
      </x:c>
      <x:c r="D205" t="str">
        <x:v>measurement and evidence drawing object allocated</x:v>
      </x:c>
      <x:c r="E205" t="n">
        <x:f>Controls!$D$70</x:f>
        <x:v>1</x:v>
      </x:c>
      <x:c r="F205" t="n">
        <x:v>1</x:v>
      </x:c>
      <x:c r="G205" t="str">
        <x:v>equals</x:v>
      </x:c>
      <x:c r="H205" t="str">
        <x:v>RFP-1 design authority</x:v>
      </x:c>
      <x:c r="I205" t="str">
        <x:f>IF(E205=1,"PASS","GAP")</x:f>
        <x:v>PASS</x:v>
      </x:c>
    </x:row>
    <x:row r="206">
      <x:c r="B206" t="str">
        <x:v>PL-DWG-ME-010</x:v>
      </x:c>
      <x:c r="C206" t="str">
        <x:v>PLANNING</x:v>
      </x:c>
      <x:c r="D206" t="str">
        <x:v>measurement and evidence drawing object allocated</x:v>
      </x:c>
      <x:c r="E206" t="n">
        <x:f>Controls!$D$70</x:f>
        <x:v>1</x:v>
      </x:c>
      <x:c r="F206" t="n">
        <x:v>1</x:v>
      </x:c>
      <x:c r="G206" t="str">
        <x:v>equals</x:v>
      </x:c>
      <x:c r="H206" t="str">
        <x:v>RFP-1 design authority</x:v>
      </x:c>
      <x:c r="I206" t="str">
        <x:f>IF(E206=1,"PASS","GAP")</x:f>
        <x:v>PASS</x:v>
      </x:c>
    </x:row>
    <x:row r="207">
      <x:c r="B207" t="str">
        <x:v>PL-DWG-ME-011</x:v>
      </x:c>
      <x:c r="C207" t="str">
        <x:v>PLANNING</x:v>
      </x:c>
      <x:c r="D207" t="str">
        <x:v>measurement and evidence drawing object allocated</x:v>
      </x:c>
      <x:c r="E207" t="n">
        <x:f>Controls!$D$70</x:f>
        <x:v>1</x:v>
      </x:c>
      <x:c r="F207" t="n">
        <x:v>1</x:v>
      </x:c>
      <x:c r="G207" t="str">
        <x:v>equals</x:v>
      </x:c>
      <x:c r="H207" t="str">
        <x:v>RFP-1 design authority</x:v>
      </x:c>
      <x:c r="I207" t="str">
        <x:f>IF(E207=1,"PASS","GAP")</x:f>
        <x:v>PASS</x:v>
      </x:c>
    </x:row>
    <x:row r="208">
      <x:c r="B208" t="str">
        <x:v>PL-DWG-ME-012</x:v>
      </x:c>
      <x:c r="C208" t="str">
        <x:v>PLANNING</x:v>
      </x:c>
      <x:c r="D208" t="str">
        <x:v>measurement and evidence drawing object allocated</x:v>
      </x:c>
      <x:c r="E208" t="n">
        <x:f>Controls!$D$70</x:f>
        <x:v>1</x:v>
      </x:c>
      <x:c r="F208" t="n">
        <x:v>1</x:v>
      </x:c>
      <x:c r="G208" t="str">
        <x:v>equals</x:v>
      </x:c>
      <x:c r="H208" t="str">
        <x:v>RFP-1 design authority</x:v>
      </x:c>
      <x:c r="I208" t="str">
        <x:f>IF(E208=1,"PASS","GAP")</x:f>
        <x:v>PASS</x:v>
      </x:c>
    </x:row>
    <x:row r="209">
      <x:c r="B209" t="str">
        <x:v>PL-DWG-SF-001</x:v>
      </x:c>
      <x:c r="C209" t="str">
        <x:v>PLANNING</x:v>
      </x:c>
      <x:c r="D209" t="str">
        <x:v>safeing drawing object allocated</x:v>
      </x:c>
      <x:c r="E209" t="n">
        <x:f>Controls!$D$70</x:f>
        <x:v>1</x:v>
      </x:c>
      <x:c r="F209" t="n">
        <x:v>1</x:v>
      </x:c>
      <x:c r="G209" t="str">
        <x:v>equals</x:v>
      </x:c>
      <x:c r="H209" t="str">
        <x:v>RFP-1 design authority</x:v>
      </x:c>
      <x:c r="I209" t="str">
        <x:f>IF(E209=1,"PASS","GAP")</x:f>
        <x:v>PASS</x:v>
      </x:c>
    </x:row>
    <x:row r="210">
      <x:c r="B210" t="str">
        <x:v>PL-DWG-SF-002</x:v>
      </x:c>
      <x:c r="C210" t="str">
        <x:v>PLANNING</x:v>
      </x:c>
      <x:c r="D210" t="str">
        <x:v>safeing drawing object allocated</x:v>
      </x:c>
      <x:c r="E210" t="n">
        <x:f>Controls!$D$70</x:f>
        <x:v>1</x:v>
      </x:c>
      <x:c r="F210" t="n">
        <x:v>1</x:v>
      </x:c>
      <x:c r="G210" t="str">
        <x:v>equals</x:v>
      </x:c>
      <x:c r="H210" t="str">
        <x:v>RFP-1 design authority</x:v>
      </x:c>
      <x:c r="I210" t="str">
        <x:f>IF(E210=1,"PASS","GAP")</x:f>
        <x:v>PASS</x:v>
      </x:c>
    </x:row>
    <x:row r="211">
      <x:c r="B211" t="str">
        <x:v>PL-DWG-SF-003</x:v>
      </x:c>
      <x:c r="C211" t="str">
        <x:v>PLANNING</x:v>
      </x:c>
      <x:c r="D211" t="str">
        <x:v>safeing drawing object allocated</x:v>
      </x:c>
      <x:c r="E211" t="n">
        <x:f>Controls!$D$70</x:f>
        <x:v>1</x:v>
      </x:c>
      <x:c r="F211" t="n">
        <x:v>1</x:v>
      </x:c>
      <x:c r="G211" t="str">
        <x:v>equals</x:v>
      </x:c>
      <x:c r="H211" t="str">
        <x:v>RFP-1 design authority</x:v>
      </x:c>
      <x:c r="I211" t="str">
        <x:f>IF(E211=1,"PASS","GAP")</x:f>
        <x:v>PASS</x:v>
      </x:c>
    </x:row>
    <x:row r="212">
      <x:c r="B212" t="str">
        <x:v>PL-DWG-SF-004</x:v>
      </x:c>
      <x:c r="C212" t="str">
        <x:v>PLANNING</x:v>
      </x:c>
      <x:c r="D212" t="str">
        <x:v>safeing drawing object allocated</x:v>
      </x:c>
      <x:c r="E212" t="n">
        <x:f>Controls!$D$70</x:f>
        <x:v>1</x:v>
      </x:c>
      <x:c r="F212" t="n">
        <x:v>1</x:v>
      </x:c>
      <x:c r="G212" t="str">
        <x:v>equals</x:v>
      </x:c>
      <x:c r="H212" t="str">
        <x:v>RFP-1 design authority</x:v>
      </x:c>
      <x:c r="I212" t="str">
        <x:f>IF(E212=1,"PASS","GAP")</x:f>
        <x:v>PASS</x:v>
      </x:c>
    </x:row>
    <x:row r="213">
      <x:c r="B213" t="str">
        <x:v>PL-DWG-SF-005</x:v>
      </x:c>
      <x:c r="C213" t="str">
        <x:v>PLANNING</x:v>
      </x:c>
      <x:c r="D213" t="str">
        <x:v>safeing drawing object allocated</x:v>
      </x:c>
      <x:c r="E213" t="n">
        <x:f>Controls!$D$70</x:f>
        <x:v>1</x:v>
      </x:c>
      <x:c r="F213" t="n">
        <x:v>1</x:v>
      </x:c>
      <x:c r="G213" t="str">
        <x:v>equals</x:v>
      </x:c>
      <x:c r="H213" t="str">
        <x:v>RFP-1 design authority</x:v>
      </x:c>
      <x:c r="I213" t="str">
        <x:f>IF(E213=1,"PASS","GAP")</x:f>
        <x:v>PASS</x:v>
      </x:c>
    </x:row>
    <x:row r="214">
      <x:c r="B214" t="str">
        <x:v>PL-DWG-SF-006</x:v>
      </x:c>
      <x:c r="C214" t="str">
        <x:v>PLANNING</x:v>
      </x:c>
      <x:c r="D214" t="str">
        <x:v>safeing drawing object allocated</x:v>
      </x:c>
      <x:c r="E214" t="n">
        <x:f>Controls!$D$70</x:f>
        <x:v>1</x:v>
      </x:c>
      <x:c r="F214" t="n">
        <x:v>1</x:v>
      </x:c>
      <x:c r="G214" t="str">
        <x:v>equals</x:v>
      </x:c>
      <x:c r="H214" t="str">
        <x:v>RFP-1 design authority</x:v>
      </x:c>
      <x:c r="I214" t="str">
        <x:f>IF(E214=1,"PASS","GAP")</x:f>
        <x:v>PASS</x:v>
      </x:c>
    </x:row>
    <x:row r="215">
      <x:c r="B215" t="str">
        <x:v>PL-DWG-SF-007</x:v>
      </x:c>
      <x:c r="C215" t="str">
        <x:v>PLANNING</x:v>
      </x:c>
      <x:c r="D215" t="str">
        <x:v>safeing drawing object allocated</x:v>
      </x:c>
      <x:c r="E215" t="n">
        <x:f>Controls!$D$70</x:f>
        <x:v>1</x:v>
      </x:c>
      <x:c r="F215" t="n">
        <x:v>1</x:v>
      </x:c>
      <x:c r="G215" t="str">
        <x:v>equals</x:v>
      </x:c>
      <x:c r="H215" t="str">
        <x:v>RFP-1 design authority</x:v>
      </x:c>
      <x:c r="I215" t="str">
        <x:f>IF(E215=1,"PASS","GAP")</x:f>
        <x:v>PASS</x:v>
      </x:c>
    </x:row>
    <x:row r="216">
      <x:c r="B216" t="str">
        <x:v>PL-DWG-SF-008</x:v>
      </x:c>
      <x:c r="C216" t="str">
        <x:v>PLANNING</x:v>
      </x:c>
      <x:c r="D216" t="str">
        <x:v>safeing drawing object allocated</x:v>
      </x:c>
      <x:c r="E216" t="n">
        <x:f>Controls!$D$70</x:f>
        <x:v>1</x:v>
      </x:c>
      <x:c r="F216" t="n">
        <x:v>1</x:v>
      </x:c>
      <x:c r="G216" t="str">
        <x:v>equals</x:v>
      </x:c>
      <x:c r="H216" t="str">
        <x:v>RFP-1 design authority</x:v>
      </x:c>
      <x:c r="I216" t="str">
        <x:f>IF(E216=1,"PASS","GAP")</x:f>
        <x:v>PASS</x:v>
      </x:c>
    </x:row>
    <x:row r="217">
      <x:c r="B217" t="str">
        <x:v>PL-DWG-SF-009</x:v>
      </x:c>
      <x:c r="C217" t="str">
        <x:v>PLANNING</x:v>
      </x:c>
      <x:c r="D217" t="str">
        <x:v>safeing drawing object allocated</x:v>
      </x:c>
      <x:c r="E217" t="n">
        <x:f>Controls!$D$70</x:f>
        <x:v>1</x:v>
      </x:c>
      <x:c r="F217" t="n">
        <x:v>1</x:v>
      </x:c>
      <x:c r="G217" t="str">
        <x:v>equals</x:v>
      </x:c>
      <x:c r="H217" t="str">
        <x:v>RFP-1 design authority</x:v>
      </x:c>
      <x:c r="I217" t="str">
        <x:f>IF(E217=1,"PASS","GAP")</x:f>
        <x:v>PASS</x:v>
      </x:c>
    </x:row>
    <x:row r="218">
      <x:c r="B218" t="str">
        <x:v>PL-DWG-SF-010</x:v>
      </x:c>
      <x:c r="C218" t="str">
        <x:v>PLANNING</x:v>
      </x:c>
      <x:c r="D218" t="str">
        <x:v>safeing drawing object allocated</x:v>
      </x:c>
      <x:c r="E218" t="n">
        <x:f>Controls!$D$70</x:f>
        <x:v>1</x:v>
      </x:c>
      <x:c r="F218" t="n">
        <x:v>1</x:v>
      </x:c>
      <x:c r="G218" t="str">
        <x:v>equals</x:v>
      </x:c>
      <x:c r="H218" t="str">
        <x:v>RFP-1 design authority</x:v>
      </x:c>
      <x:c r="I218" t="str">
        <x:f>IF(E218=1,"PASS","GAP")</x:f>
        <x:v>PASS</x:v>
      </x:c>
    </x:row>
    <x:row r="219">
      <x:c r="B219" t="str">
        <x:v>PL-IF-RFP-A1-IF-01</x:v>
      </x:c>
      <x:c r="C219" t="str">
        <x:v>PLANNING</x:v>
      </x:c>
      <x:c r="D219" t="str">
        <x:v>source origin volume interface object allocated</x:v>
      </x:c>
      <x:c r="E219" t="n">
        <x:f>Controls!$D$70</x:f>
        <x:v>1</x:v>
      </x:c>
      <x:c r="F219" t="n">
        <x:v>1</x:v>
      </x:c>
      <x:c r="G219" t="str">
        <x:v>equals</x:v>
      </x:c>
      <x:c r="H219" t="str">
        <x:v>RFP-1 design authority</x:v>
      </x:c>
      <x:c r="I219" t="str">
        <x:f>IF(E219=1,"PASS","GAP")</x:f>
        <x:v>PASS</x:v>
      </x:c>
    </x:row>
    <x:row r="220">
      <x:c r="B220" t="str">
        <x:v>PL-IF-RFP-A1-IF-02</x:v>
      </x:c>
      <x:c r="C220" t="str">
        <x:v>PLANNING</x:v>
      </x:c>
      <x:c r="D220" t="str">
        <x:v>terrain datum interface object allocated</x:v>
      </x:c>
      <x:c r="E220" t="n">
        <x:f>Controls!$D$70</x:f>
        <x:v>1</x:v>
      </x:c>
      <x:c r="F220" t="n">
        <x:v>1</x:v>
      </x:c>
      <x:c r="G220" t="str">
        <x:v>equals</x:v>
      </x:c>
      <x:c r="H220" t="str">
        <x:v>RFP-1 design authority</x:v>
      </x:c>
      <x:c r="I220" t="str">
        <x:f>IF(E220=1,"PASS","GAP")</x:f>
        <x:v>PASS</x:v>
      </x:c>
    </x:row>
    <x:row r="221">
      <x:c r="B221" t="str">
        <x:v>PL-IF-RFP-A1-IF-03</x:v>
      </x:c>
      <x:c r="C221" t="str">
        <x:v>PLANNING</x:v>
      </x:c>
      <x:c r="D221" t="str">
        <x:v>drain opening interface object allocated</x:v>
      </x:c>
      <x:c r="E221" t="n">
        <x:f>Controls!$D$70</x:f>
        <x:v>1</x:v>
      </x:c>
      <x:c r="F221" t="n">
        <x:v>1</x:v>
      </x:c>
      <x:c r="G221" t="str">
        <x:v>equals</x:v>
      </x:c>
      <x:c r="H221" t="str">
        <x:v>RFP-1 design authority</x:v>
      </x:c>
      <x:c r="I221" t="str">
        <x:f>IF(E221=1,"PASS","GAP")</x:f>
        <x:v>PASS</x:v>
      </x:c>
    </x:row>
    <x:row r="222">
      <x:c r="B222" t="str">
        <x:v>PL-IF-RFP-A1-IF-04</x:v>
      </x:c>
      <x:c r="C222" t="str">
        <x:v>PLANNING</x:v>
      </x:c>
      <x:c r="D222" t="str">
        <x:v>source custody interface object allocated</x:v>
      </x:c>
      <x:c r="E222" t="n">
        <x:f>Controls!$D$70</x:f>
        <x:v>1</x:v>
      </x:c>
      <x:c r="F222" t="n">
        <x:v>1</x:v>
      </x:c>
      <x:c r="G222" t="str">
        <x:v>equals</x:v>
      </x:c>
      <x:c r="H222" t="str">
        <x:v>RFP-1 design authority</x:v>
      </x:c>
      <x:c r="I222" t="str">
        <x:f>IF(E222=1,"PASS","GAP")</x:f>
        <x:v>PASS</x:v>
      </x:c>
    </x:row>
    <x:row r="223">
      <x:c r="B223" t="str">
        <x:v>PL-IF-RFP-A1-IF-05</x:v>
      </x:c>
      <x:c r="C223" t="str">
        <x:v>PLANNING</x:v>
      </x:c>
      <x:c r="D223" t="str">
        <x:v>water supply interface object allocated</x:v>
      </x:c>
      <x:c r="E223" t="n">
        <x:f>Controls!$D$70</x:f>
        <x:v>1</x:v>
      </x:c>
      <x:c r="F223" t="n">
        <x:v>1</x:v>
      </x:c>
      <x:c r="G223" t="str">
        <x:v>equals</x:v>
      </x:c>
      <x:c r="H223" t="str">
        <x:v>RFP-1 design authority</x:v>
      </x:c>
      <x:c r="I223" t="str">
        <x:f>IF(E223=1,"PASS","GAP")</x:f>
        <x:v>PASS</x:v>
      </x:c>
    </x:row>
    <x:row r="224">
      <x:c r="B224" t="str">
        <x:v>PL-IF-RFP-A1-IF-06</x:v>
      </x:c>
      <x:c r="C224" t="str">
        <x:v>PLANNING</x:v>
      </x:c>
      <x:c r="D224" t="str">
        <x:v>heat rejection interface object allocated</x:v>
      </x:c>
      <x:c r="E224" t="n">
        <x:f>Controls!$D$70</x:f>
        <x:v>1</x:v>
      </x:c>
      <x:c r="F224" t="n">
        <x:v>1</x:v>
      </x:c>
      <x:c r="G224" t="str">
        <x:v>equals</x:v>
      </x:c>
      <x:c r="H224" t="str">
        <x:v>RFP-1 design authority</x:v>
      </x:c>
      <x:c r="I224" t="str">
        <x:f>IF(E224=1,"PASS","GAP")</x:f>
        <x:v>PASS</x:v>
      </x:c>
    </x:row>
    <x:row r="225">
      <x:c r="B225" t="str">
        <x:v>PL-IF-RFP-A1-IF-07</x:v>
      </x:c>
      <x:c r="C225" t="str">
        <x:v>PLANNING</x:v>
      </x:c>
      <x:c r="D225" t="str">
        <x:v>robot corridor interface object allocated</x:v>
      </x:c>
      <x:c r="E225" t="n">
        <x:f>Controls!$D$70</x:f>
        <x:v>1</x:v>
      </x:c>
      <x:c r="F225" t="n">
        <x:v>1</x:v>
      </x:c>
      <x:c r="G225" t="str">
        <x:v>equals</x:v>
      </x:c>
      <x:c r="H225" t="str">
        <x:v>RFP-1 design authority</x:v>
      </x:c>
      <x:c r="I225" t="str">
        <x:f>IF(E225=1,"PASS","GAP")</x:f>
        <x:v>PASS</x:v>
      </x:c>
    </x:row>
    <x:row r="226">
      <x:c r="B226" t="str">
        <x:v>PL-IF-RFP-A1-IF-08</x:v>
      </x:c>
      <x:c r="C226" t="str">
        <x:v>PLANNING</x:v>
      </x:c>
      <x:c r="D226" t="str">
        <x:v>clock and evidence interface object allocated</x:v>
      </x:c>
      <x:c r="E226" t="n">
        <x:f>Controls!$D$70</x:f>
        <x:v>1</x:v>
      </x:c>
      <x:c r="F226" t="n">
        <x:v>1</x:v>
      </x:c>
      <x:c r="G226" t="str">
        <x:v>equals</x:v>
      </x:c>
      <x:c r="H226" t="str">
        <x:v>RFP-1 design authority</x:v>
      </x:c>
      <x:c r="I226" t="str">
        <x:f>IF(E226=1,"PASS","GAP")</x:f>
        <x:v>PASS</x:v>
      </x:c>
    </x:row>
    <x:row r="227">
      <x:c r="B227" t="str">
        <x:v>PL-IF-RFP-A1-IF-09</x:v>
      </x:c>
      <x:c r="C227" t="str">
        <x:v>PLANNING</x:v>
      </x:c>
      <x:c r="D227" t="str">
        <x:v>casualty source path interface object allocated</x:v>
      </x:c>
      <x:c r="E227" t="n">
        <x:f>Controls!$D$70</x:f>
        <x:v>1</x:v>
      </x:c>
      <x:c r="F227" t="n">
        <x:v>1</x:v>
      </x:c>
      <x:c r="G227" t="str">
        <x:v>equals</x:v>
      </x:c>
      <x:c r="H227" t="str">
        <x:v>RFP-1 design authority</x:v>
      </x:c>
      <x:c r="I227" t="str">
        <x:f>IF(E227=1,"PASS","GAP")</x:f>
        <x:v>PASS</x:v>
      </x:c>
    </x:row>
    <x:row r="228">
      <x:c r="B228" t="str">
        <x:v>PL-IF-RFP-A1-IF-10</x:v>
      </x:c>
      <x:c r="C228" t="str">
        <x:v>PLANNING</x:v>
      </x:c>
      <x:c r="D228" t="str">
        <x:v>casualty water path interface object allocated</x:v>
      </x:c>
      <x:c r="E228" t="n">
        <x:f>Controls!$D$70</x:f>
        <x:v>1</x:v>
      </x:c>
      <x:c r="F228" t="n">
        <x:v>1</x:v>
      </x:c>
      <x:c r="G228" t="str">
        <x:v>equals</x:v>
      </x:c>
      <x:c r="H228" t="str">
        <x:v>RFP-1 design authority</x:v>
      </x:c>
      <x:c r="I228" t="str">
        <x:f>IF(E228=1,"PASS","GAP")</x:f>
        <x:v>PASS</x:v>
      </x:c>
    </x:row>
    <x:row r="229">
      <x:c r="B229" t="str">
        <x:v>PL-IF-RFP-A1-IF-11</x:v>
      </x:c>
      <x:c r="C229" t="str">
        <x:v>PLANNING</x:v>
      </x:c>
      <x:c r="D229" t="str">
        <x:v>environmental perimeter interface object allocated</x:v>
      </x:c>
      <x:c r="E229" t="n">
        <x:f>Controls!$D$70</x:f>
        <x:v>1</x:v>
      </x:c>
      <x:c r="F229" t="n">
        <x:v>1</x:v>
      </x:c>
      <x:c r="G229" t="str">
        <x:v>equals</x:v>
      </x:c>
      <x:c r="H229" t="str">
        <x:v>RFP-1 design authority</x:v>
      </x:c>
      <x:c r="I229" t="str">
        <x:f>IF(E229=1,"PASS","GAP")</x:f>
        <x:v>PASS</x:v>
      </x:c>
    </x:row>
    <x:row r="230">
      <x:c r="B230" t="str">
        <x:v>PL-IF-RFP-A1-IF-12</x:v>
      </x:c>
      <x:c r="C230" t="str">
        <x:v>PLANNING</x:v>
      </x:c>
      <x:c r="D230" t="str">
        <x:v>restoration interface object allocated</x:v>
      </x:c>
      <x:c r="E230" t="n">
        <x:f>Controls!$D$70</x:f>
        <x:v>1</x:v>
      </x:c>
      <x:c r="F230" t="n">
        <x:v>1</x:v>
      </x:c>
      <x:c r="G230" t="str">
        <x:v>equals</x:v>
      </x:c>
      <x:c r="H230" t="str">
        <x:v>RFP-1 design authority</x:v>
      </x:c>
      <x:c r="I230" t="str">
        <x:f>IF(E230=1,"PASS","GAP")</x:f>
        <x:v>PASS</x:v>
      </x:c>
    </x:row>
    <x:row r="231">
      <x:c r="B231" t="str">
        <x:v>PL-IF-RFP-A2-IF-01</x:v>
      </x:c>
      <x:c r="C231" t="str">
        <x:v>PLANNING</x:v>
      </x:c>
      <x:c r="D231" t="str">
        <x:v>source origin volume interface object allocated</x:v>
      </x:c>
      <x:c r="E231" t="n">
        <x:f>Controls!$D$70</x:f>
        <x:v>1</x:v>
      </x:c>
      <x:c r="F231" t="n">
        <x:v>1</x:v>
      </x:c>
      <x:c r="G231" t="str">
        <x:v>equals</x:v>
      </x:c>
      <x:c r="H231" t="str">
        <x:v>RFP-1 design authority</x:v>
      </x:c>
      <x:c r="I231" t="str">
        <x:f>IF(E231=1,"PASS","GAP")</x:f>
        <x:v>PASS</x:v>
      </x:c>
    </x:row>
    <x:row r="232">
      <x:c r="B232" t="str">
        <x:v>PL-IF-RFP-A2-IF-02</x:v>
      </x:c>
      <x:c r="C232" t="str">
        <x:v>PLANNING</x:v>
      </x:c>
      <x:c r="D232" t="str">
        <x:v>terrain datum interface object allocated</x:v>
      </x:c>
      <x:c r="E232" t="n">
        <x:f>Controls!$D$70</x:f>
        <x:v>1</x:v>
      </x:c>
      <x:c r="F232" t="n">
        <x:v>1</x:v>
      </x:c>
      <x:c r="G232" t="str">
        <x:v>equals</x:v>
      </x:c>
      <x:c r="H232" t="str">
        <x:v>RFP-1 design authority</x:v>
      </x:c>
      <x:c r="I232" t="str">
        <x:f>IF(E232=1,"PASS","GAP")</x:f>
        <x:v>PASS</x:v>
      </x:c>
    </x:row>
    <x:row r="233">
      <x:c r="B233" t="str">
        <x:v>PL-IF-RFP-A2-IF-03</x:v>
      </x:c>
      <x:c r="C233" t="str">
        <x:v>PLANNING</x:v>
      </x:c>
      <x:c r="D233" t="str">
        <x:v>drain opening interface object allocated</x:v>
      </x:c>
      <x:c r="E233" t="n">
        <x:f>Controls!$D$70</x:f>
        <x:v>1</x:v>
      </x:c>
      <x:c r="F233" t="n">
        <x:v>1</x:v>
      </x:c>
      <x:c r="G233" t="str">
        <x:v>equals</x:v>
      </x:c>
      <x:c r="H233" t="str">
        <x:v>RFP-1 design authority</x:v>
      </x:c>
      <x:c r="I233" t="str">
        <x:f>IF(E233=1,"PASS","GAP")</x:f>
        <x:v>PASS</x:v>
      </x:c>
    </x:row>
    <x:row r="234">
      <x:c r="B234" t="str">
        <x:v>PL-IF-RFP-A2-IF-04</x:v>
      </x:c>
      <x:c r="C234" t="str">
        <x:v>PLANNING</x:v>
      </x:c>
      <x:c r="D234" t="str">
        <x:v>source custody interface object allocated</x:v>
      </x:c>
      <x:c r="E234" t="n">
        <x:f>Controls!$D$70</x:f>
        <x:v>1</x:v>
      </x:c>
      <x:c r="F234" t="n">
        <x:v>1</x:v>
      </x:c>
      <x:c r="G234" t="str">
        <x:v>equals</x:v>
      </x:c>
      <x:c r="H234" t="str">
        <x:v>RFP-1 design authority</x:v>
      </x:c>
      <x:c r="I234" t="str">
        <x:f>IF(E234=1,"PASS","GAP")</x:f>
        <x:v>PASS</x:v>
      </x:c>
    </x:row>
    <x:row r="235">
      <x:c r="B235" t="str">
        <x:v>PL-IF-RFP-A2-IF-05</x:v>
      </x:c>
      <x:c r="C235" t="str">
        <x:v>PLANNING</x:v>
      </x:c>
      <x:c r="D235" t="str">
        <x:v>water supply interface object allocated</x:v>
      </x:c>
      <x:c r="E235" t="n">
        <x:f>Controls!$D$70</x:f>
        <x:v>1</x:v>
      </x:c>
      <x:c r="F235" t="n">
        <x:v>1</x:v>
      </x:c>
      <x:c r="G235" t="str">
        <x:v>equals</x:v>
      </x:c>
      <x:c r="H235" t="str">
        <x:v>RFP-1 design authority</x:v>
      </x:c>
      <x:c r="I235" t="str">
        <x:f>IF(E235=1,"PASS","GAP")</x:f>
        <x:v>PASS</x:v>
      </x:c>
    </x:row>
    <x:row r="236">
      <x:c r="B236" t="str">
        <x:v>PL-IF-RFP-A2-IF-06</x:v>
      </x:c>
      <x:c r="C236" t="str">
        <x:v>PLANNING</x:v>
      </x:c>
      <x:c r="D236" t="str">
        <x:v>heat rejection interface object allocated</x:v>
      </x:c>
      <x:c r="E236" t="n">
        <x:f>Controls!$D$70</x:f>
        <x:v>1</x:v>
      </x:c>
      <x:c r="F236" t="n">
        <x:v>1</x:v>
      </x:c>
      <x:c r="G236" t="str">
        <x:v>equals</x:v>
      </x:c>
      <x:c r="H236" t="str">
        <x:v>RFP-1 design authority</x:v>
      </x:c>
      <x:c r="I236" t="str">
        <x:f>IF(E236=1,"PASS","GAP")</x:f>
        <x:v>PASS</x:v>
      </x:c>
    </x:row>
    <x:row r="237">
      <x:c r="B237" t="str">
        <x:v>PL-IF-RFP-A2-IF-07</x:v>
      </x:c>
      <x:c r="C237" t="str">
        <x:v>PLANNING</x:v>
      </x:c>
      <x:c r="D237" t="str">
        <x:v>robot corridor interface object allocated</x:v>
      </x:c>
      <x:c r="E237" t="n">
        <x:f>Controls!$D$70</x:f>
        <x:v>1</x:v>
      </x:c>
      <x:c r="F237" t="n">
        <x:v>1</x:v>
      </x:c>
      <x:c r="G237" t="str">
        <x:v>equals</x:v>
      </x:c>
      <x:c r="H237" t="str">
        <x:v>RFP-1 design authority</x:v>
      </x:c>
      <x:c r="I237" t="str">
        <x:f>IF(E237=1,"PASS","GAP")</x:f>
        <x:v>PASS</x:v>
      </x:c>
    </x:row>
    <x:row r="238">
      <x:c r="B238" t="str">
        <x:v>PL-IF-RFP-A2-IF-08</x:v>
      </x:c>
      <x:c r="C238" t="str">
        <x:v>PLANNING</x:v>
      </x:c>
      <x:c r="D238" t="str">
        <x:v>clock and evidence interface object allocated</x:v>
      </x:c>
      <x:c r="E238" t="n">
        <x:f>Controls!$D$70</x:f>
        <x:v>1</x:v>
      </x:c>
      <x:c r="F238" t="n">
        <x:v>1</x:v>
      </x:c>
      <x:c r="G238" t="str">
        <x:v>equals</x:v>
      </x:c>
      <x:c r="H238" t="str">
        <x:v>RFP-1 design authority</x:v>
      </x:c>
      <x:c r="I238" t="str">
        <x:f>IF(E238=1,"PASS","GAP")</x:f>
        <x:v>PASS</x:v>
      </x:c>
    </x:row>
    <x:row r="239">
      <x:c r="B239" t="str">
        <x:v>PL-IF-RFP-A2-IF-09</x:v>
      </x:c>
      <x:c r="C239" t="str">
        <x:v>PLANNING</x:v>
      </x:c>
      <x:c r="D239" t="str">
        <x:v>casualty source path interface object allocated</x:v>
      </x:c>
      <x:c r="E239" t="n">
        <x:f>Controls!$D$70</x:f>
        <x:v>1</x:v>
      </x:c>
      <x:c r="F239" t="n">
        <x:v>1</x:v>
      </x:c>
      <x:c r="G239" t="str">
        <x:v>equals</x:v>
      </x:c>
      <x:c r="H239" t="str">
        <x:v>RFP-1 design authority</x:v>
      </x:c>
      <x:c r="I239" t="str">
        <x:f>IF(E239=1,"PASS","GAP")</x:f>
        <x:v>PASS</x:v>
      </x:c>
    </x:row>
    <x:row r="240">
      <x:c r="B240" t="str">
        <x:v>PL-IF-RFP-A2-IF-10</x:v>
      </x:c>
      <x:c r="C240" t="str">
        <x:v>PLANNING</x:v>
      </x:c>
      <x:c r="D240" t="str">
        <x:v>casualty water path interface object allocated</x:v>
      </x:c>
      <x:c r="E240" t="n">
        <x:f>Controls!$D$70</x:f>
        <x:v>1</x:v>
      </x:c>
      <x:c r="F240" t="n">
        <x:v>1</x:v>
      </x:c>
      <x:c r="G240" t="str">
        <x:v>equals</x:v>
      </x:c>
      <x:c r="H240" t="str">
        <x:v>RFP-1 design authority</x:v>
      </x:c>
      <x:c r="I240" t="str">
        <x:f>IF(E240=1,"PASS","GAP")</x:f>
        <x:v>PASS</x:v>
      </x:c>
    </x:row>
    <x:row r="241">
      <x:c r="B241" t="str">
        <x:v>PL-IF-RFP-A2-IF-11</x:v>
      </x:c>
      <x:c r="C241" t="str">
        <x:v>PLANNING</x:v>
      </x:c>
      <x:c r="D241" t="str">
        <x:v>environmental perimeter interface object allocated</x:v>
      </x:c>
      <x:c r="E241" t="n">
        <x:f>Controls!$D$70</x:f>
        <x:v>1</x:v>
      </x:c>
      <x:c r="F241" t="n">
        <x:v>1</x:v>
      </x:c>
      <x:c r="G241" t="str">
        <x:v>equals</x:v>
      </x:c>
      <x:c r="H241" t="str">
        <x:v>RFP-1 design authority</x:v>
      </x:c>
      <x:c r="I241" t="str">
        <x:f>IF(E241=1,"PASS","GAP")</x:f>
        <x:v>PASS</x:v>
      </x:c>
    </x:row>
    <x:row r="242">
      <x:c r="B242" t="str">
        <x:v>PL-IF-RFP-A2-IF-12</x:v>
      </x:c>
      <x:c r="C242" t="str">
        <x:v>PLANNING</x:v>
      </x:c>
      <x:c r="D242" t="str">
        <x:v>restoration interface object allocated</x:v>
      </x:c>
      <x:c r="E242" t="n">
        <x:f>Controls!$D$70</x:f>
        <x:v>1</x:v>
      </x:c>
      <x:c r="F242" t="n">
        <x:v>1</x:v>
      </x:c>
      <x:c r="G242" t="str">
        <x:v>equals</x:v>
      </x:c>
      <x:c r="H242" t="str">
        <x:v>RFP-1 design authority</x:v>
      </x:c>
      <x:c r="I242" t="str">
        <x:f>IF(E242=1,"PASS","GAP")</x:f>
        <x:v>PASS</x:v>
      </x:c>
    </x:row>
    <x:row r="243">
      <x:c r="B243" t="str">
        <x:v>PL-IF-RFP-B1-IF-01</x:v>
      </x:c>
      <x:c r="C243" t="str">
        <x:v>PLANNING</x:v>
      </x:c>
      <x:c r="D243" t="str">
        <x:v>source origin volume interface object allocated</x:v>
      </x:c>
      <x:c r="E243" t="n">
        <x:f>Controls!$D$70</x:f>
        <x:v>1</x:v>
      </x:c>
      <x:c r="F243" t="n">
        <x:v>1</x:v>
      </x:c>
      <x:c r="G243" t="str">
        <x:v>equals</x:v>
      </x:c>
      <x:c r="H243" t="str">
        <x:v>RFP-1 design authority</x:v>
      </x:c>
      <x:c r="I243" t="str">
        <x:f>IF(E243=1,"PASS","GAP")</x:f>
        <x:v>PASS</x:v>
      </x:c>
    </x:row>
    <x:row r="244">
      <x:c r="B244" t="str">
        <x:v>PL-IF-RFP-B1-IF-02</x:v>
      </x:c>
      <x:c r="C244" t="str">
        <x:v>PLANNING</x:v>
      </x:c>
      <x:c r="D244" t="str">
        <x:v>terrain datum interface object allocated</x:v>
      </x:c>
      <x:c r="E244" t="n">
        <x:f>Controls!$D$70</x:f>
        <x:v>1</x:v>
      </x:c>
      <x:c r="F244" t="n">
        <x:v>1</x:v>
      </x:c>
      <x:c r="G244" t="str">
        <x:v>equals</x:v>
      </x:c>
      <x:c r="H244" t="str">
        <x:v>RFP-1 design authority</x:v>
      </x:c>
      <x:c r="I244" t="str">
        <x:f>IF(E244=1,"PASS","GAP")</x:f>
        <x:v>PASS</x:v>
      </x:c>
    </x:row>
    <x:row r="245">
      <x:c r="B245" t="str">
        <x:v>PL-IF-RFP-B1-IF-03</x:v>
      </x:c>
      <x:c r="C245" t="str">
        <x:v>PLANNING</x:v>
      </x:c>
      <x:c r="D245" t="str">
        <x:v>drain opening interface object allocated</x:v>
      </x:c>
      <x:c r="E245" t="n">
        <x:f>Controls!$D$70</x:f>
        <x:v>1</x:v>
      </x:c>
      <x:c r="F245" t="n">
        <x:v>1</x:v>
      </x:c>
      <x:c r="G245" t="str">
        <x:v>equals</x:v>
      </x:c>
      <x:c r="H245" t="str">
        <x:v>RFP-1 design authority</x:v>
      </x:c>
      <x:c r="I245" t="str">
        <x:f>IF(E245=1,"PASS","GAP")</x:f>
        <x:v>PASS</x:v>
      </x:c>
    </x:row>
    <x:row r="246">
      <x:c r="B246" t="str">
        <x:v>PL-IF-RFP-B1-IF-04</x:v>
      </x:c>
      <x:c r="C246" t="str">
        <x:v>PLANNING</x:v>
      </x:c>
      <x:c r="D246" t="str">
        <x:v>source custody interface object allocated</x:v>
      </x:c>
      <x:c r="E246" t="n">
        <x:f>Controls!$D$70</x:f>
        <x:v>1</x:v>
      </x:c>
      <x:c r="F246" t="n">
        <x:v>1</x:v>
      </x:c>
      <x:c r="G246" t="str">
        <x:v>equals</x:v>
      </x:c>
      <x:c r="H246" t="str">
        <x:v>RFP-1 design authority</x:v>
      </x:c>
      <x:c r="I246" t="str">
        <x:f>IF(E246=1,"PASS","GAP")</x:f>
        <x:v>PASS</x:v>
      </x:c>
    </x:row>
    <x:row r="247">
      <x:c r="B247" t="str">
        <x:v>PL-IF-RFP-B1-IF-05</x:v>
      </x:c>
      <x:c r="C247" t="str">
        <x:v>PLANNING</x:v>
      </x:c>
      <x:c r="D247" t="str">
        <x:v>water supply interface object allocated</x:v>
      </x:c>
      <x:c r="E247" t="n">
        <x:f>Controls!$D$70</x:f>
        <x:v>1</x:v>
      </x:c>
      <x:c r="F247" t="n">
        <x:v>1</x:v>
      </x:c>
      <x:c r="G247" t="str">
        <x:v>equals</x:v>
      </x:c>
      <x:c r="H247" t="str">
        <x:v>RFP-1 design authority</x:v>
      </x:c>
      <x:c r="I247" t="str">
        <x:f>IF(E247=1,"PASS","GAP")</x:f>
        <x:v>PASS</x:v>
      </x:c>
    </x:row>
    <x:row r="248">
      <x:c r="B248" t="str">
        <x:v>PL-IF-RFP-B1-IF-06</x:v>
      </x:c>
      <x:c r="C248" t="str">
        <x:v>PLANNING</x:v>
      </x:c>
      <x:c r="D248" t="str">
        <x:v>heat rejection interface object allocated</x:v>
      </x:c>
      <x:c r="E248" t="n">
        <x:f>Controls!$D$70</x:f>
        <x:v>1</x:v>
      </x:c>
      <x:c r="F248" t="n">
        <x:v>1</x:v>
      </x:c>
      <x:c r="G248" t="str">
        <x:v>equals</x:v>
      </x:c>
      <x:c r="H248" t="str">
        <x:v>RFP-1 design authority</x:v>
      </x:c>
      <x:c r="I248" t="str">
        <x:f>IF(E248=1,"PASS","GAP")</x:f>
        <x:v>PASS</x:v>
      </x:c>
    </x:row>
    <x:row r="249">
      <x:c r="B249" t="str">
        <x:v>PL-IF-RFP-B1-IF-07</x:v>
      </x:c>
      <x:c r="C249" t="str">
        <x:v>PLANNING</x:v>
      </x:c>
      <x:c r="D249" t="str">
        <x:v>robot corridor interface object allocated</x:v>
      </x:c>
      <x:c r="E249" t="n">
        <x:f>Controls!$D$70</x:f>
        <x:v>1</x:v>
      </x:c>
      <x:c r="F249" t="n">
        <x:v>1</x:v>
      </x:c>
      <x:c r="G249" t="str">
        <x:v>equals</x:v>
      </x:c>
      <x:c r="H249" t="str">
        <x:v>RFP-1 design authority</x:v>
      </x:c>
      <x:c r="I249" t="str">
        <x:f>IF(E249=1,"PASS","GAP")</x:f>
        <x:v>PASS</x:v>
      </x:c>
    </x:row>
    <x:row r="250">
      <x:c r="B250" t="str">
        <x:v>PL-IF-RFP-B1-IF-08</x:v>
      </x:c>
      <x:c r="C250" t="str">
        <x:v>PLANNING</x:v>
      </x:c>
      <x:c r="D250" t="str">
        <x:v>clock and evidence interface object allocated</x:v>
      </x:c>
      <x:c r="E250" t="n">
        <x:f>Controls!$D$70</x:f>
        <x:v>1</x:v>
      </x:c>
      <x:c r="F250" t="n">
        <x:v>1</x:v>
      </x:c>
      <x:c r="G250" t="str">
        <x:v>equals</x:v>
      </x:c>
      <x:c r="H250" t="str">
        <x:v>RFP-1 design authority</x:v>
      </x:c>
      <x:c r="I250" t="str">
        <x:f>IF(E250=1,"PASS","GAP")</x:f>
        <x:v>PASS</x:v>
      </x:c>
    </x:row>
    <x:row r="251">
      <x:c r="B251" t="str">
        <x:v>PL-IF-RFP-B1-IF-09</x:v>
      </x:c>
      <x:c r="C251" t="str">
        <x:v>PLANNING</x:v>
      </x:c>
      <x:c r="D251" t="str">
        <x:v>casualty source path interface object allocated</x:v>
      </x:c>
      <x:c r="E251" t="n">
        <x:f>Controls!$D$70</x:f>
        <x:v>1</x:v>
      </x:c>
      <x:c r="F251" t="n">
        <x:v>1</x:v>
      </x:c>
      <x:c r="G251" t="str">
        <x:v>equals</x:v>
      </x:c>
      <x:c r="H251" t="str">
        <x:v>RFP-1 design authority</x:v>
      </x:c>
      <x:c r="I251" t="str">
        <x:f>IF(E251=1,"PASS","GAP")</x:f>
        <x:v>PASS</x:v>
      </x:c>
    </x:row>
    <x:row r="252">
      <x:c r="B252" t="str">
        <x:v>PL-IF-RFP-B1-IF-10</x:v>
      </x:c>
      <x:c r="C252" t="str">
        <x:v>PLANNING</x:v>
      </x:c>
      <x:c r="D252" t="str">
        <x:v>casualty water path interface object allocated</x:v>
      </x:c>
      <x:c r="E252" t="n">
        <x:f>Controls!$D$70</x:f>
        <x:v>1</x:v>
      </x:c>
      <x:c r="F252" t="n">
        <x:v>1</x:v>
      </x:c>
      <x:c r="G252" t="str">
        <x:v>equals</x:v>
      </x:c>
      <x:c r="H252" t="str">
        <x:v>RFP-1 design authority</x:v>
      </x:c>
      <x:c r="I252" t="str">
        <x:f>IF(E252=1,"PASS","GAP")</x:f>
        <x:v>PASS</x:v>
      </x:c>
    </x:row>
    <x:row r="253">
      <x:c r="B253" t="str">
        <x:v>PL-IF-RFP-B1-IF-11</x:v>
      </x:c>
      <x:c r="C253" t="str">
        <x:v>PLANNING</x:v>
      </x:c>
      <x:c r="D253" t="str">
        <x:v>environmental perimeter interface object allocated</x:v>
      </x:c>
      <x:c r="E253" t="n">
        <x:f>Controls!$D$70</x:f>
        <x:v>1</x:v>
      </x:c>
      <x:c r="F253" t="n">
        <x:v>1</x:v>
      </x:c>
      <x:c r="G253" t="str">
        <x:v>equals</x:v>
      </x:c>
      <x:c r="H253" t="str">
        <x:v>RFP-1 design authority</x:v>
      </x:c>
      <x:c r="I253" t="str">
        <x:f>IF(E253=1,"PASS","GAP")</x:f>
        <x:v>PASS</x:v>
      </x:c>
    </x:row>
    <x:row r="254">
      <x:c r="B254" t="str">
        <x:v>PL-IF-RFP-B1-IF-12</x:v>
      </x:c>
      <x:c r="C254" t="str">
        <x:v>PLANNING</x:v>
      </x:c>
      <x:c r="D254" t="str">
        <x:v>restoration interface object allocated</x:v>
      </x:c>
      <x:c r="E254" t="n">
        <x:f>Controls!$D$70</x:f>
        <x:v>1</x:v>
      </x:c>
      <x:c r="F254" t="n">
        <x:v>1</x:v>
      </x:c>
      <x:c r="G254" t="str">
        <x:v>equals</x:v>
      </x:c>
      <x:c r="H254" t="str">
        <x:v>RFP-1 design authority</x:v>
      </x:c>
      <x:c r="I254" t="str">
        <x:f>IF(E254=1,"PASS","GAP")</x:f>
        <x:v>PASS</x:v>
      </x:c>
    </x:row>
    <x:row r="255">
      <x:c r="B255" t="str">
        <x:v>PL-IF-RFP-B2-IF-01</x:v>
      </x:c>
      <x:c r="C255" t="str">
        <x:v>PLANNING</x:v>
      </x:c>
      <x:c r="D255" t="str">
        <x:v>source origin volume interface object allocated</x:v>
      </x:c>
      <x:c r="E255" t="n">
        <x:f>Controls!$D$70</x:f>
        <x:v>1</x:v>
      </x:c>
      <x:c r="F255" t="n">
        <x:v>1</x:v>
      </x:c>
      <x:c r="G255" t="str">
        <x:v>equals</x:v>
      </x:c>
      <x:c r="H255" t="str">
        <x:v>RFP-1 design authority</x:v>
      </x:c>
      <x:c r="I255" t="str">
        <x:f>IF(E255=1,"PASS","GAP")</x:f>
        <x:v>PASS</x:v>
      </x:c>
    </x:row>
    <x:row r="256">
      <x:c r="B256" t="str">
        <x:v>PL-IF-RFP-B2-IF-02</x:v>
      </x:c>
      <x:c r="C256" t="str">
        <x:v>PLANNING</x:v>
      </x:c>
      <x:c r="D256" t="str">
        <x:v>terrain datum interface object allocated</x:v>
      </x:c>
      <x:c r="E256" t="n">
        <x:f>Controls!$D$70</x:f>
        <x:v>1</x:v>
      </x:c>
      <x:c r="F256" t="n">
        <x:v>1</x:v>
      </x:c>
      <x:c r="G256" t="str">
        <x:v>equals</x:v>
      </x:c>
      <x:c r="H256" t="str">
        <x:v>RFP-1 design authority</x:v>
      </x:c>
      <x:c r="I256" t="str">
        <x:f>IF(E256=1,"PASS","GAP")</x:f>
        <x:v>PASS</x:v>
      </x:c>
    </x:row>
    <x:row r="257">
      <x:c r="B257" t="str">
        <x:v>PL-IF-RFP-B2-IF-03</x:v>
      </x:c>
      <x:c r="C257" t="str">
        <x:v>PLANNING</x:v>
      </x:c>
      <x:c r="D257" t="str">
        <x:v>drain opening interface object allocated</x:v>
      </x:c>
      <x:c r="E257" t="n">
        <x:f>Controls!$D$70</x:f>
        <x:v>1</x:v>
      </x:c>
      <x:c r="F257" t="n">
        <x:v>1</x:v>
      </x:c>
      <x:c r="G257" t="str">
        <x:v>equals</x:v>
      </x:c>
      <x:c r="H257" t="str">
        <x:v>RFP-1 design authority</x:v>
      </x:c>
      <x:c r="I257" t="str">
        <x:f>IF(E257=1,"PASS","GAP")</x:f>
        <x:v>PASS</x:v>
      </x:c>
    </x:row>
    <x:row r="258">
      <x:c r="B258" t="str">
        <x:v>PL-IF-RFP-B2-IF-04</x:v>
      </x:c>
      <x:c r="C258" t="str">
        <x:v>PLANNING</x:v>
      </x:c>
      <x:c r="D258" t="str">
        <x:v>source custody interface object allocated</x:v>
      </x:c>
      <x:c r="E258" t="n">
        <x:f>Controls!$D$70</x:f>
        <x:v>1</x:v>
      </x:c>
      <x:c r="F258" t="n">
        <x:v>1</x:v>
      </x:c>
      <x:c r="G258" t="str">
        <x:v>equals</x:v>
      </x:c>
      <x:c r="H258" t="str">
        <x:v>RFP-1 design authority</x:v>
      </x:c>
      <x:c r="I258" t="str">
        <x:f>IF(E258=1,"PASS","GAP")</x:f>
        <x:v>PASS</x:v>
      </x:c>
    </x:row>
    <x:row r="259">
      <x:c r="B259" t="str">
        <x:v>PL-IF-RFP-B2-IF-05</x:v>
      </x:c>
      <x:c r="C259" t="str">
        <x:v>PLANNING</x:v>
      </x:c>
      <x:c r="D259" t="str">
        <x:v>water supply interface object allocated</x:v>
      </x:c>
      <x:c r="E259" t="n">
        <x:f>Controls!$D$70</x:f>
        <x:v>1</x:v>
      </x:c>
      <x:c r="F259" t="n">
        <x:v>1</x:v>
      </x:c>
      <x:c r="G259" t="str">
        <x:v>equals</x:v>
      </x:c>
      <x:c r="H259" t="str">
        <x:v>RFP-1 design authority</x:v>
      </x:c>
      <x:c r="I259" t="str">
        <x:f>IF(E259=1,"PASS","GAP")</x:f>
        <x:v>PASS</x:v>
      </x:c>
    </x:row>
    <x:row r="260">
      <x:c r="B260" t="str">
        <x:v>PL-IF-RFP-B2-IF-06</x:v>
      </x:c>
      <x:c r="C260" t="str">
        <x:v>PLANNING</x:v>
      </x:c>
      <x:c r="D260" t="str">
        <x:v>heat rejection interface object allocated</x:v>
      </x:c>
      <x:c r="E260" t="n">
        <x:f>Controls!$D$70</x:f>
        <x:v>1</x:v>
      </x:c>
      <x:c r="F260" t="n">
        <x:v>1</x:v>
      </x:c>
      <x:c r="G260" t="str">
        <x:v>equals</x:v>
      </x:c>
      <x:c r="H260" t="str">
        <x:v>RFP-1 design authority</x:v>
      </x:c>
      <x:c r="I260" t="str">
        <x:f>IF(E260=1,"PASS","GAP")</x:f>
        <x:v>PASS</x:v>
      </x:c>
    </x:row>
    <x:row r="261">
      <x:c r="B261" t="str">
        <x:v>PL-IF-RFP-B2-IF-07</x:v>
      </x:c>
      <x:c r="C261" t="str">
        <x:v>PLANNING</x:v>
      </x:c>
      <x:c r="D261" t="str">
        <x:v>robot corridor interface object allocated</x:v>
      </x:c>
      <x:c r="E261" t="n">
        <x:f>Controls!$D$70</x:f>
        <x:v>1</x:v>
      </x:c>
      <x:c r="F261" t="n">
        <x:v>1</x:v>
      </x:c>
      <x:c r="G261" t="str">
        <x:v>equals</x:v>
      </x:c>
      <x:c r="H261" t="str">
        <x:v>RFP-1 design authority</x:v>
      </x:c>
      <x:c r="I261" t="str">
        <x:f>IF(E261=1,"PASS","GAP")</x:f>
        <x:v>PASS</x:v>
      </x:c>
    </x:row>
    <x:row r="262">
      <x:c r="B262" t="str">
        <x:v>PL-IF-RFP-B2-IF-08</x:v>
      </x:c>
      <x:c r="C262" t="str">
        <x:v>PLANNING</x:v>
      </x:c>
      <x:c r="D262" t="str">
        <x:v>clock and evidence interface object allocated</x:v>
      </x:c>
      <x:c r="E262" t="n">
        <x:f>Controls!$D$70</x:f>
        <x:v>1</x:v>
      </x:c>
      <x:c r="F262" t="n">
        <x:v>1</x:v>
      </x:c>
      <x:c r="G262" t="str">
        <x:v>equals</x:v>
      </x:c>
      <x:c r="H262" t="str">
        <x:v>RFP-1 design authority</x:v>
      </x:c>
      <x:c r="I262" t="str">
        <x:f>IF(E262=1,"PASS","GAP")</x:f>
        <x:v>PASS</x:v>
      </x:c>
    </x:row>
    <x:row r="263">
      <x:c r="B263" t="str">
        <x:v>PL-IF-RFP-B2-IF-09</x:v>
      </x:c>
      <x:c r="C263" t="str">
        <x:v>PLANNING</x:v>
      </x:c>
      <x:c r="D263" t="str">
        <x:v>casualty source path interface object allocated</x:v>
      </x:c>
      <x:c r="E263" t="n">
        <x:f>Controls!$D$70</x:f>
        <x:v>1</x:v>
      </x:c>
      <x:c r="F263" t="n">
        <x:v>1</x:v>
      </x:c>
      <x:c r="G263" t="str">
        <x:v>equals</x:v>
      </x:c>
      <x:c r="H263" t="str">
        <x:v>RFP-1 design authority</x:v>
      </x:c>
      <x:c r="I263" t="str">
        <x:f>IF(E263=1,"PASS","GAP")</x:f>
        <x:v>PASS</x:v>
      </x:c>
    </x:row>
    <x:row r="264">
      <x:c r="B264" t="str">
        <x:v>PL-IF-RFP-B2-IF-10</x:v>
      </x:c>
      <x:c r="C264" t="str">
        <x:v>PLANNING</x:v>
      </x:c>
      <x:c r="D264" t="str">
        <x:v>casualty water path interface object allocated</x:v>
      </x:c>
      <x:c r="E264" t="n">
        <x:f>Controls!$D$70</x:f>
        <x:v>1</x:v>
      </x:c>
      <x:c r="F264" t="n">
        <x:v>1</x:v>
      </x:c>
      <x:c r="G264" t="str">
        <x:v>equals</x:v>
      </x:c>
      <x:c r="H264" t="str">
        <x:v>RFP-1 design authority</x:v>
      </x:c>
      <x:c r="I264" t="str">
        <x:f>IF(E264=1,"PASS","GAP")</x:f>
        <x:v>PASS</x:v>
      </x:c>
    </x:row>
    <x:row r="265">
      <x:c r="B265" t="str">
        <x:v>PL-IF-RFP-B2-IF-11</x:v>
      </x:c>
      <x:c r="C265" t="str">
        <x:v>PLANNING</x:v>
      </x:c>
      <x:c r="D265" t="str">
        <x:v>environmental perimeter interface object allocated</x:v>
      </x:c>
      <x:c r="E265" t="n">
        <x:f>Controls!$D$70</x:f>
        <x:v>1</x:v>
      </x:c>
      <x:c r="F265" t="n">
        <x:v>1</x:v>
      </x:c>
      <x:c r="G265" t="str">
        <x:v>equals</x:v>
      </x:c>
      <x:c r="H265" t="str">
        <x:v>RFP-1 design authority</x:v>
      </x:c>
      <x:c r="I265" t="str">
        <x:f>IF(E265=1,"PASS","GAP")</x:f>
        <x:v>PASS</x:v>
      </x:c>
    </x:row>
    <x:row r="266">
      <x:c r="B266" t="str">
        <x:v>PL-IF-RFP-B2-IF-12</x:v>
      </x:c>
      <x:c r="C266" t="str">
        <x:v>PLANNING</x:v>
      </x:c>
      <x:c r="D266" t="str">
        <x:v>restoration interface object allocated</x:v>
      </x:c>
      <x:c r="E266" t="n">
        <x:f>Controls!$D$70</x:f>
        <x:v>1</x:v>
      </x:c>
      <x:c r="F266" t="n">
        <x:v>1</x:v>
      </x:c>
      <x:c r="G266" t="str">
        <x:v>equals</x:v>
      </x:c>
      <x:c r="H266" t="str">
        <x:v>RFP-1 design authority</x:v>
      </x:c>
      <x:c r="I266" t="str">
        <x:f>IF(E266=1,"PASS","GAP")</x:f>
        <x:v>PASS</x:v>
      </x:c>
    </x:row>
    <x:row r="267">
      <x:c r="B267" t="str">
        <x:v>PL-IF-RFP-C1-IF-01</x:v>
      </x:c>
      <x:c r="C267" t="str">
        <x:v>PLANNING</x:v>
      </x:c>
      <x:c r="D267" t="str">
        <x:v>source origin volume interface object allocated</x:v>
      </x:c>
      <x:c r="E267" t="n">
        <x:f>Controls!$D$70</x:f>
        <x:v>1</x:v>
      </x:c>
      <x:c r="F267" t="n">
        <x:v>1</x:v>
      </x:c>
      <x:c r="G267" t="str">
        <x:v>equals</x:v>
      </x:c>
      <x:c r="H267" t="str">
        <x:v>RFP-1 design authority</x:v>
      </x:c>
      <x:c r="I267" t="str">
        <x:f>IF(E267=1,"PASS","GAP")</x:f>
        <x:v>PASS</x:v>
      </x:c>
    </x:row>
    <x:row r="268">
      <x:c r="B268" t="str">
        <x:v>PL-IF-RFP-C1-IF-02</x:v>
      </x:c>
      <x:c r="C268" t="str">
        <x:v>PLANNING</x:v>
      </x:c>
      <x:c r="D268" t="str">
        <x:v>terrain datum interface object allocated</x:v>
      </x:c>
      <x:c r="E268" t="n">
        <x:f>Controls!$D$70</x:f>
        <x:v>1</x:v>
      </x:c>
      <x:c r="F268" t="n">
        <x:v>1</x:v>
      </x:c>
      <x:c r="G268" t="str">
        <x:v>equals</x:v>
      </x:c>
      <x:c r="H268" t="str">
        <x:v>RFP-1 design authority</x:v>
      </x:c>
      <x:c r="I268" t="str">
        <x:f>IF(E268=1,"PASS","GAP")</x:f>
        <x:v>PASS</x:v>
      </x:c>
    </x:row>
    <x:row r="269">
      <x:c r="B269" t="str">
        <x:v>PL-IF-RFP-C1-IF-03</x:v>
      </x:c>
      <x:c r="C269" t="str">
        <x:v>PLANNING</x:v>
      </x:c>
      <x:c r="D269" t="str">
        <x:v>drain opening interface object allocated</x:v>
      </x:c>
      <x:c r="E269" t="n">
        <x:f>Controls!$D$70</x:f>
        <x:v>1</x:v>
      </x:c>
      <x:c r="F269" t="n">
        <x:v>1</x:v>
      </x:c>
      <x:c r="G269" t="str">
        <x:v>equals</x:v>
      </x:c>
      <x:c r="H269" t="str">
        <x:v>RFP-1 design authority</x:v>
      </x:c>
      <x:c r="I269" t="str">
        <x:f>IF(E269=1,"PASS","GAP")</x:f>
        <x:v>PASS</x:v>
      </x:c>
    </x:row>
    <x:row r="270">
      <x:c r="B270" t="str">
        <x:v>PL-IF-RFP-C1-IF-04</x:v>
      </x:c>
      <x:c r="C270" t="str">
        <x:v>PLANNING</x:v>
      </x:c>
      <x:c r="D270" t="str">
        <x:v>source custody interface object allocated</x:v>
      </x:c>
      <x:c r="E270" t="n">
        <x:f>Controls!$D$70</x:f>
        <x:v>1</x:v>
      </x:c>
      <x:c r="F270" t="n">
        <x:v>1</x:v>
      </x:c>
      <x:c r="G270" t="str">
        <x:v>equals</x:v>
      </x:c>
      <x:c r="H270" t="str">
        <x:v>RFP-1 design authority</x:v>
      </x:c>
      <x:c r="I270" t="str">
        <x:f>IF(E270=1,"PASS","GAP")</x:f>
        <x:v>PASS</x:v>
      </x:c>
    </x:row>
    <x:row r="271">
      <x:c r="B271" t="str">
        <x:v>PL-IF-RFP-C1-IF-05</x:v>
      </x:c>
      <x:c r="C271" t="str">
        <x:v>PLANNING</x:v>
      </x:c>
      <x:c r="D271" t="str">
        <x:v>water supply interface object allocated</x:v>
      </x:c>
      <x:c r="E271" t="n">
        <x:f>Controls!$D$70</x:f>
        <x:v>1</x:v>
      </x:c>
      <x:c r="F271" t="n">
        <x:v>1</x:v>
      </x:c>
      <x:c r="G271" t="str">
        <x:v>equals</x:v>
      </x:c>
      <x:c r="H271" t="str">
        <x:v>RFP-1 design authority</x:v>
      </x:c>
      <x:c r="I271" t="str">
        <x:f>IF(E271=1,"PASS","GAP")</x:f>
        <x:v>PASS</x:v>
      </x:c>
    </x:row>
    <x:row r="272">
      <x:c r="B272" t="str">
        <x:v>PL-IF-RFP-C1-IF-06</x:v>
      </x:c>
      <x:c r="C272" t="str">
        <x:v>PLANNING</x:v>
      </x:c>
      <x:c r="D272" t="str">
        <x:v>heat rejection interface object allocated</x:v>
      </x:c>
      <x:c r="E272" t="n">
        <x:f>Controls!$D$70</x:f>
        <x:v>1</x:v>
      </x:c>
      <x:c r="F272" t="n">
        <x:v>1</x:v>
      </x:c>
      <x:c r="G272" t="str">
        <x:v>equals</x:v>
      </x:c>
      <x:c r="H272" t="str">
        <x:v>RFP-1 design authority</x:v>
      </x:c>
      <x:c r="I272" t="str">
        <x:f>IF(E272=1,"PASS","GAP")</x:f>
        <x:v>PASS</x:v>
      </x:c>
    </x:row>
    <x:row r="273">
      <x:c r="B273" t="str">
        <x:v>PL-IF-RFP-C1-IF-07</x:v>
      </x:c>
      <x:c r="C273" t="str">
        <x:v>PLANNING</x:v>
      </x:c>
      <x:c r="D273" t="str">
        <x:v>robot corridor interface object allocated</x:v>
      </x:c>
      <x:c r="E273" t="n">
        <x:f>Controls!$D$70</x:f>
        <x:v>1</x:v>
      </x:c>
      <x:c r="F273" t="n">
        <x:v>1</x:v>
      </x:c>
      <x:c r="G273" t="str">
        <x:v>equals</x:v>
      </x:c>
      <x:c r="H273" t="str">
        <x:v>RFP-1 design authority</x:v>
      </x:c>
      <x:c r="I273" t="str">
        <x:f>IF(E273=1,"PASS","GAP")</x:f>
        <x:v>PASS</x:v>
      </x:c>
    </x:row>
    <x:row r="274">
      <x:c r="B274" t="str">
        <x:v>PL-IF-RFP-C1-IF-08</x:v>
      </x:c>
      <x:c r="C274" t="str">
        <x:v>PLANNING</x:v>
      </x:c>
      <x:c r="D274" t="str">
        <x:v>clock and evidence interface object allocated</x:v>
      </x:c>
      <x:c r="E274" t="n">
        <x:f>Controls!$D$70</x:f>
        <x:v>1</x:v>
      </x:c>
      <x:c r="F274" t="n">
        <x:v>1</x:v>
      </x:c>
      <x:c r="G274" t="str">
        <x:v>equals</x:v>
      </x:c>
      <x:c r="H274" t="str">
        <x:v>RFP-1 design authority</x:v>
      </x:c>
      <x:c r="I274" t="str">
        <x:f>IF(E274=1,"PASS","GAP")</x:f>
        <x:v>PASS</x:v>
      </x:c>
    </x:row>
    <x:row r="275">
      <x:c r="B275" t="str">
        <x:v>PL-IF-RFP-C1-IF-09</x:v>
      </x:c>
      <x:c r="C275" t="str">
        <x:v>PLANNING</x:v>
      </x:c>
      <x:c r="D275" t="str">
        <x:v>casualty source path interface object allocated</x:v>
      </x:c>
      <x:c r="E275" t="n">
        <x:f>Controls!$D$70</x:f>
        <x:v>1</x:v>
      </x:c>
      <x:c r="F275" t="n">
        <x:v>1</x:v>
      </x:c>
      <x:c r="G275" t="str">
        <x:v>equals</x:v>
      </x:c>
      <x:c r="H275" t="str">
        <x:v>RFP-1 design authority</x:v>
      </x:c>
      <x:c r="I275" t="str">
        <x:f>IF(E275=1,"PASS","GAP")</x:f>
        <x:v>PASS</x:v>
      </x:c>
    </x:row>
    <x:row r="276">
      <x:c r="B276" t="str">
        <x:v>PL-IF-RFP-C1-IF-10</x:v>
      </x:c>
      <x:c r="C276" t="str">
        <x:v>PLANNING</x:v>
      </x:c>
      <x:c r="D276" t="str">
        <x:v>casualty water path interface object allocated</x:v>
      </x:c>
      <x:c r="E276" t="n">
        <x:f>Controls!$D$70</x:f>
        <x:v>1</x:v>
      </x:c>
      <x:c r="F276" t="n">
        <x:v>1</x:v>
      </x:c>
      <x:c r="G276" t="str">
        <x:v>equals</x:v>
      </x:c>
      <x:c r="H276" t="str">
        <x:v>RFP-1 design authority</x:v>
      </x:c>
      <x:c r="I276" t="str">
        <x:f>IF(E276=1,"PASS","GAP")</x:f>
        <x:v>PASS</x:v>
      </x:c>
    </x:row>
    <x:row r="277">
      <x:c r="B277" t="str">
        <x:v>PL-IF-RFP-C1-IF-11</x:v>
      </x:c>
      <x:c r="C277" t="str">
        <x:v>PLANNING</x:v>
      </x:c>
      <x:c r="D277" t="str">
        <x:v>environmental perimeter interface object allocated</x:v>
      </x:c>
      <x:c r="E277" t="n">
        <x:f>Controls!$D$70</x:f>
        <x:v>1</x:v>
      </x:c>
      <x:c r="F277" t="n">
        <x:v>1</x:v>
      </x:c>
      <x:c r="G277" t="str">
        <x:v>equals</x:v>
      </x:c>
      <x:c r="H277" t="str">
        <x:v>RFP-1 design authority</x:v>
      </x:c>
      <x:c r="I277" t="str">
        <x:f>IF(E277=1,"PASS","GAP")</x:f>
        <x:v>PASS</x:v>
      </x:c>
    </x:row>
    <x:row r="278">
      <x:c r="B278" t="str">
        <x:v>PL-IF-RFP-C1-IF-12</x:v>
      </x:c>
      <x:c r="C278" t="str">
        <x:v>PLANNING</x:v>
      </x:c>
      <x:c r="D278" t="str">
        <x:v>restoration interface object allocated</x:v>
      </x:c>
      <x:c r="E278" t="n">
        <x:f>Controls!$D$70</x:f>
        <x:v>1</x:v>
      </x:c>
      <x:c r="F278" t="n">
        <x:v>1</x:v>
      </x:c>
      <x:c r="G278" t="str">
        <x:v>equals</x:v>
      </x:c>
      <x:c r="H278" t="str">
        <x:v>RFP-1 design authority</x:v>
      </x:c>
      <x:c r="I278" t="str">
        <x:f>IF(E278=1,"PASS","GAP")</x:f>
        <x:v>PASS</x:v>
      </x:c>
    </x:row>
    <x:row r="279">
      <x:c r="B279" t="str">
        <x:v>PL-IF-RFP-C2-IF-01</x:v>
      </x:c>
      <x:c r="C279" t="str">
        <x:v>PLANNING</x:v>
      </x:c>
      <x:c r="D279" t="str">
        <x:v>source origin volume interface object allocated</x:v>
      </x:c>
      <x:c r="E279" t="n">
        <x:f>Controls!$D$70</x:f>
        <x:v>1</x:v>
      </x:c>
      <x:c r="F279" t="n">
        <x:v>1</x:v>
      </x:c>
      <x:c r="G279" t="str">
        <x:v>equals</x:v>
      </x:c>
      <x:c r="H279" t="str">
        <x:v>RFP-1 design authority</x:v>
      </x:c>
      <x:c r="I279" t="str">
        <x:f>IF(E279=1,"PASS","GAP")</x:f>
        <x:v>PASS</x:v>
      </x:c>
    </x:row>
    <x:row r="280">
      <x:c r="B280" t="str">
        <x:v>PL-IF-RFP-C2-IF-02</x:v>
      </x:c>
      <x:c r="C280" t="str">
        <x:v>PLANNING</x:v>
      </x:c>
      <x:c r="D280" t="str">
        <x:v>terrain datum interface object allocated</x:v>
      </x:c>
      <x:c r="E280" t="n">
        <x:f>Controls!$D$70</x:f>
        <x:v>1</x:v>
      </x:c>
      <x:c r="F280" t="n">
        <x:v>1</x:v>
      </x:c>
      <x:c r="G280" t="str">
        <x:v>equals</x:v>
      </x:c>
      <x:c r="H280" t="str">
        <x:v>RFP-1 design authority</x:v>
      </x:c>
      <x:c r="I280" t="str">
        <x:f>IF(E280=1,"PASS","GAP")</x:f>
        <x:v>PASS</x:v>
      </x:c>
    </x:row>
    <x:row r="281">
      <x:c r="B281" t="str">
        <x:v>PL-IF-RFP-C2-IF-03</x:v>
      </x:c>
      <x:c r="C281" t="str">
        <x:v>PLANNING</x:v>
      </x:c>
      <x:c r="D281" t="str">
        <x:v>drain opening interface object allocated</x:v>
      </x:c>
      <x:c r="E281" t="n">
        <x:f>Controls!$D$70</x:f>
        <x:v>1</x:v>
      </x:c>
      <x:c r="F281" t="n">
        <x:v>1</x:v>
      </x:c>
      <x:c r="G281" t="str">
        <x:v>equals</x:v>
      </x:c>
      <x:c r="H281" t="str">
        <x:v>RFP-1 design authority</x:v>
      </x:c>
      <x:c r="I281" t="str">
        <x:f>IF(E281=1,"PASS","GAP")</x:f>
        <x:v>PASS</x:v>
      </x:c>
    </x:row>
    <x:row r="282">
      <x:c r="B282" t="str">
        <x:v>PL-IF-RFP-C2-IF-04</x:v>
      </x:c>
      <x:c r="C282" t="str">
        <x:v>PLANNING</x:v>
      </x:c>
      <x:c r="D282" t="str">
        <x:v>source custody interface object allocated</x:v>
      </x:c>
      <x:c r="E282" t="n">
        <x:f>Controls!$D$70</x:f>
        <x:v>1</x:v>
      </x:c>
      <x:c r="F282" t="n">
        <x:v>1</x:v>
      </x:c>
      <x:c r="G282" t="str">
        <x:v>equals</x:v>
      </x:c>
      <x:c r="H282" t="str">
        <x:v>RFP-1 design authority</x:v>
      </x:c>
      <x:c r="I282" t="str">
        <x:f>IF(E282=1,"PASS","GAP")</x:f>
        <x:v>PASS</x:v>
      </x:c>
    </x:row>
    <x:row r="283">
      <x:c r="B283" t="str">
        <x:v>PL-IF-RFP-C2-IF-05</x:v>
      </x:c>
      <x:c r="C283" t="str">
        <x:v>PLANNING</x:v>
      </x:c>
      <x:c r="D283" t="str">
        <x:v>water supply interface object allocated</x:v>
      </x:c>
      <x:c r="E283" t="n">
        <x:f>Controls!$D$70</x:f>
        <x:v>1</x:v>
      </x:c>
      <x:c r="F283" t="n">
        <x:v>1</x:v>
      </x:c>
      <x:c r="G283" t="str">
        <x:v>equals</x:v>
      </x:c>
      <x:c r="H283" t="str">
        <x:v>RFP-1 design authority</x:v>
      </x:c>
      <x:c r="I283" t="str">
        <x:f>IF(E283=1,"PASS","GAP")</x:f>
        <x:v>PASS</x:v>
      </x:c>
    </x:row>
    <x:row r="284">
      <x:c r="B284" t="str">
        <x:v>PL-IF-RFP-C2-IF-06</x:v>
      </x:c>
      <x:c r="C284" t="str">
        <x:v>PLANNING</x:v>
      </x:c>
      <x:c r="D284" t="str">
        <x:v>heat rejection interface object allocated</x:v>
      </x:c>
      <x:c r="E284" t="n">
        <x:f>Controls!$D$70</x:f>
        <x:v>1</x:v>
      </x:c>
      <x:c r="F284" t="n">
        <x:v>1</x:v>
      </x:c>
      <x:c r="G284" t="str">
        <x:v>equals</x:v>
      </x:c>
      <x:c r="H284" t="str">
        <x:v>RFP-1 design authority</x:v>
      </x:c>
      <x:c r="I284" t="str">
        <x:f>IF(E284=1,"PASS","GAP")</x:f>
        <x:v>PASS</x:v>
      </x:c>
    </x:row>
    <x:row r="285">
      <x:c r="B285" t="str">
        <x:v>PL-IF-RFP-C2-IF-07</x:v>
      </x:c>
      <x:c r="C285" t="str">
        <x:v>PLANNING</x:v>
      </x:c>
      <x:c r="D285" t="str">
        <x:v>robot corridor interface object allocated</x:v>
      </x:c>
      <x:c r="E285" t="n">
        <x:f>Controls!$D$70</x:f>
        <x:v>1</x:v>
      </x:c>
      <x:c r="F285" t="n">
        <x:v>1</x:v>
      </x:c>
      <x:c r="G285" t="str">
        <x:v>equals</x:v>
      </x:c>
      <x:c r="H285" t="str">
        <x:v>RFP-1 design authority</x:v>
      </x:c>
      <x:c r="I285" t="str">
        <x:f>IF(E285=1,"PASS","GAP")</x:f>
        <x:v>PASS</x:v>
      </x:c>
    </x:row>
    <x:row r="286">
      <x:c r="B286" t="str">
        <x:v>PL-IF-RFP-C2-IF-08</x:v>
      </x:c>
      <x:c r="C286" t="str">
        <x:v>PLANNING</x:v>
      </x:c>
      <x:c r="D286" t="str">
        <x:v>clock and evidence interface object allocated</x:v>
      </x:c>
      <x:c r="E286" t="n">
        <x:f>Controls!$D$70</x:f>
        <x:v>1</x:v>
      </x:c>
      <x:c r="F286" t="n">
        <x:v>1</x:v>
      </x:c>
      <x:c r="G286" t="str">
        <x:v>equals</x:v>
      </x:c>
      <x:c r="H286" t="str">
        <x:v>RFP-1 design authority</x:v>
      </x:c>
      <x:c r="I286" t="str">
        <x:f>IF(E286=1,"PASS","GAP")</x:f>
        <x:v>PASS</x:v>
      </x:c>
    </x:row>
    <x:row r="287">
      <x:c r="B287" t="str">
        <x:v>PL-IF-RFP-C2-IF-09</x:v>
      </x:c>
      <x:c r="C287" t="str">
        <x:v>PLANNING</x:v>
      </x:c>
      <x:c r="D287" t="str">
        <x:v>casualty source path interface object allocated</x:v>
      </x:c>
      <x:c r="E287" t="n">
        <x:f>Controls!$D$70</x:f>
        <x:v>1</x:v>
      </x:c>
      <x:c r="F287" t="n">
        <x:v>1</x:v>
      </x:c>
      <x:c r="G287" t="str">
        <x:v>equals</x:v>
      </x:c>
      <x:c r="H287" t="str">
        <x:v>RFP-1 design authority</x:v>
      </x:c>
      <x:c r="I287" t="str">
        <x:f>IF(E287=1,"PASS","GAP")</x:f>
        <x:v>PASS</x:v>
      </x:c>
    </x:row>
    <x:row r="288">
      <x:c r="B288" t="str">
        <x:v>PL-IF-RFP-C2-IF-10</x:v>
      </x:c>
      <x:c r="C288" t="str">
        <x:v>PLANNING</x:v>
      </x:c>
      <x:c r="D288" t="str">
        <x:v>casualty water path interface object allocated</x:v>
      </x:c>
      <x:c r="E288" t="n">
        <x:f>Controls!$D$70</x:f>
        <x:v>1</x:v>
      </x:c>
      <x:c r="F288" t="n">
        <x:v>1</x:v>
      </x:c>
      <x:c r="G288" t="str">
        <x:v>equals</x:v>
      </x:c>
      <x:c r="H288" t="str">
        <x:v>RFP-1 design authority</x:v>
      </x:c>
      <x:c r="I288" t="str">
        <x:f>IF(E288=1,"PASS","GAP")</x:f>
        <x:v>PASS</x:v>
      </x:c>
    </x:row>
    <x:row r="289">
      <x:c r="B289" t="str">
        <x:v>PL-IF-RFP-C2-IF-11</x:v>
      </x:c>
      <x:c r="C289" t="str">
        <x:v>PLANNING</x:v>
      </x:c>
      <x:c r="D289" t="str">
        <x:v>environmental perimeter interface object allocated</x:v>
      </x:c>
      <x:c r="E289" t="n">
        <x:f>Controls!$D$70</x:f>
        <x:v>1</x:v>
      </x:c>
      <x:c r="F289" t="n">
        <x:v>1</x:v>
      </x:c>
      <x:c r="G289" t="str">
        <x:v>equals</x:v>
      </x:c>
      <x:c r="H289" t="str">
        <x:v>RFP-1 design authority</x:v>
      </x:c>
      <x:c r="I289" t="str">
        <x:f>IF(E289=1,"PASS","GAP")</x:f>
        <x:v>PASS</x:v>
      </x:c>
    </x:row>
    <x:row r="290">
      <x:c r="B290" t="str">
        <x:v>PL-IF-RFP-C2-IF-12</x:v>
      </x:c>
      <x:c r="C290" t="str">
        <x:v>PLANNING</x:v>
      </x:c>
      <x:c r="D290" t="str">
        <x:v>restoration interface object allocated</x:v>
      </x:c>
      <x:c r="E290" t="n">
        <x:f>Controls!$D$70</x:f>
        <x:v>1</x:v>
      </x:c>
      <x:c r="F290" t="n">
        <x:v>1</x:v>
      </x:c>
      <x:c r="G290" t="str">
        <x:v>equals</x:v>
      </x:c>
      <x:c r="H290" t="str">
        <x:v>RFP-1 design authority</x:v>
      </x:c>
      <x:c r="I290" t="str">
        <x:f>IF(E290=1,"PASS","GAP")</x:f>
        <x:v>PASS</x:v>
      </x:c>
    </x:row>
    <x:row r="291">
      <x:c r="B291" t="str">
        <x:v>PL-SCH-PH-01</x:v>
      </x:c>
      <x:c r="C291" t="str">
        <x:v>PLANNING</x:v>
      </x:c>
      <x:c r="D291" t="str">
        <x:v>constitution and independent neutrality review scheduled</x:v>
      </x:c>
      <x:c r="E291" t="n">
        <x:f>Controls!$D$70</x:f>
        <x:v>1</x:v>
      </x:c>
      <x:c r="F291" t="n">
        <x:v>1</x:v>
      </x:c>
      <x:c r="G291" t="str">
        <x:v>equals</x:v>
      </x:c>
      <x:c r="H291" t="str">
        <x:v>RFP-1 design authority</x:v>
      </x:c>
      <x:c r="I291" t="str">
        <x:f>IF(E291=1,"PASS","GAP")</x:f>
        <x:v>PASS</x:v>
      </x:c>
    </x:row>
    <x:row r="292">
      <x:c r="B292" t="str">
        <x:v>PL-SCH-PH-02</x:v>
      </x:c>
      <x:c r="C292" t="str">
        <x:v>PLANNING</x:v>
      </x:c>
      <x:c r="D292" t="str">
        <x:v>site enabling and environmental baselines scheduled</x:v>
      </x:c>
      <x:c r="E292" t="n">
        <x:f>Controls!$D$70</x:f>
        <x:v>1</x:v>
      </x:c>
      <x:c r="F292" t="n">
        <x:v>1</x:v>
      </x:c>
      <x:c r="G292" t="str">
        <x:v>equals</x:v>
      </x:c>
      <x:c r="H292" t="str">
        <x:v>RFP-1 design authority</x:v>
      </x:c>
      <x:c r="I292" t="str">
        <x:f>IF(E292=1,"PASS","GAP")</x:f>
        <x:v>PASS</x:v>
      </x:c>
    </x:row>
    <x:row r="293">
      <x:c r="B293" t="str">
        <x:v>PL-SCH-PH-03</x:v>
      </x:c>
      <x:c r="C293" t="str">
        <x:v>PLANNING</x:v>
      </x:c>
      <x:c r="D293" t="str">
        <x:v>terrain cassette prototypes scheduled</x:v>
      </x:c>
      <x:c r="E293" t="n">
        <x:f>Controls!$D$70</x:f>
        <x:v>1</x:v>
      </x:c>
      <x:c r="F293" t="n">
        <x:v>1</x:v>
      </x:c>
      <x:c r="G293" t="str">
        <x:v>equals</x:v>
      </x:c>
      <x:c r="H293" t="str">
        <x:v>RFP-1 design authority</x:v>
      </x:c>
      <x:c r="I293" t="str">
        <x:f>IF(E293=1,"PASS","GAP")</x:f>
        <x:v>PASS</x:v>
      </x:c>
    </x:row>
    <x:row r="294">
      <x:c r="B294" t="str">
        <x:v>PL-SCH-PH-04</x:v>
      </x:c>
      <x:c r="C294" t="str">
        <x:v>PLANNING</x:v>
      </x:c>
      <x:c r="D294" t="str">
        <x:v>source dispenser and casualty train scheduled</x:v>
      </x:c>
      <x:c r="E294" t="n">
        <x:f>Controls!$D$70</x:f>
        <x:v>1</x:v>
      </x:c>
      <x:c r="F294" t="n">
        <x:v>1</x:v>
      </x:c>
      <x:c r="G294" t="str">
        <x:v>equals</x:v>
      </x:c>
      <x:c r="H294" t="str">
        <x:v>RFP-1 design authority</x:v>
      </x:c>
      <x:c r="I294" t="str">
        <x:f>IF(E294=1,"PASS","GAP")</x:f>
        <x:v>PASS</x:v>
      </x:c>
    </x:row>
    <x:row r="295">
      <x:c r="B295" t="str">
        <x:v>PL-SCH-PH-05</x:v>
      </x:c>
      <x:c r="C295" t="str">
        <x:v>PLANNING</x:v>
      </x:c>
      <x:c r="D295" t="str">
        <x:v>drain gallery and water plant scheduled</x:v>
      </x:c>
      <x:c r="E295" t="n">
        <x:f>Controls!$D$70</x:f>
        <x:v>1</x:v>
      </x:c>
      <x:c r="F295" t="n">
        <x:v>1</x:v>
      </x:c>
      <x:c r="G295" t="str">
        <x:v>equals</x:v>
      </x:c>
      <x:c r="H295" t="str">
        <x:v>RFP-1 design authority</x:v>
      </x:c>
      <x:c r="I295" t="str">
        <x:f>IF(E295=1,"PASS","GAP")</x:f>
        <x:v>PASS</x:v>
      </x:c>
    </x:row>
    <x:row r="296">
      <x:c r="B296" t="str">
        <x:v>PL-SCH-PH-06</x:v>
      </x:c>
      <x:c r="C296" t="str">
        <x:v>PLANNING</x:v>
      </x:c>
      <x:c r="D296" t="str">
        <x:v>thermal and wind boundary scheduled</x:v>
      </x:c>
      <x:c r="E296" t="n">
        <x:f>Controls!$D$70</x:f>
        <x:v>1</x:v>
      </x:c>
      <x:c r="F296" t="n">
        <x:v>1</x:v>
      </x:c>
      <x:c r="G296" t="str">
        <x:v>equals</x:v>
      </x:c>
      <x:c r="H296" t="str">
        <x:v>RFP-1 design authority</x:v>
      </x:c>
      <x:c r="I296" t="str">
        <x:f>IF(E296=1,"PASS","GAP")</x:f>
        <x:v>PASS</x:v>
      </x:c>
    </x:row>
    <x:row r="297">
      <x:c r="B297" t="str">
        <x:v>PL-SCH-PH-07</x:v>
      </x:c>
      <x:c r="C297" t="str">
        <x:v>PLANNING</x:v>
      </x:c>
      <x:c r="D297" t="str">
        <x:v>measurement and native evidence scheduled</x:v>
      </x:c>
      <x:c r="E297" t="n">
        <x:f>Controls!$D$70</x:f>
        <x:v>1</x:v>
      </x:c>
      <x:c r="F297" t="n">
        <x:v>1</x:v>
      </x:c>
      <x:c r="G297" t="str">
        <x:v>equals</x:v>
      </x:c>
      <x:c r="H297" t="str">
        <x:v>RFP-1 design authority</x:v>
      </x:c>
      <x:c r="I297" t="str">
        <x:f>IF(E297=1,"PASS","GAP")</x:f>
        <x:v>PASS</x:v>
      </x:c>
    </x:row>
    <x:row r="298">
      <x:c r="B298" t="str">
        <x:v>PL-SCH-PH-08</x:v>
      </x:c>
      <x:c r="C298" t="str">
        <x:v>PLANNING</x:v>
      </x:c>
      <x:c r="D298" t="str">
        <x:v>robot, rescue and decontamination scheduled</x:v>
      </x:c>
      <x:c r="E298" t="n">
        <x:f>Controls!$D$70</x:f>
        <x:v>1</x:v>
      </x:c>
      <x:c r="F298" t="n">
        <x:v>1</x:v>
      </x:c>
      <x:c r="G298" t="str">
        <x:v>equals</x:v>
      </x:c>
      <x:c r="H298" t="str">
        <x:v>RFP-1 design authority</x:v>
      </x:c>
      <x:c r="I298" t="str">
        <x:f>IF(E298=1,"PASS","GAP")</x:f>
        <x:v>PASS</x:v>
      </x:c>
    </x:row>
    <x:row r="299">
      <x:c r="B299" t="str">
        <x:v>PL-SCH-PH-09</x:v>
      </x:c>
      <x:c r="C299" t="str">
        <x:v>PLANNING</x:v>
      </x:c>
      <x:c r="D299" t="str">
        <x:v>civil/field integration scheduled</x:v>
      </x:c>
      <x:c r="E299" t="n">
        <x:f>Controls!$D$70</x:f>
        <x:v>1</x:v>
      </x:c>
      <x:c r="F299" t="n">
        <x:v>1</x:v>
      </x:c>
      <x:c r="G299" t="str">
        <x:v>equals</x:v>
      </x:c>
      <x:c r="H299" t="str">
        <x:v>RFP-1 design authority</x:v>
      </x:c>
      <x:c r="I299" t="str">
        <x:f>IF(E299=1,"PASS","GAP")</x:f>
        <x:v>PASS</x:v>
      </x:c>
    </x:row>
    <x:row r="300">
      <x:c r="B300" t="str">
        <x:v>PL-SCH-PH-10</x:v>
      </x:c>
      <x:c r="C300" t="str">
        <x:v>PLANNING</x:v>
      </x:c>
      <x:c r="D300" t="str">
        <x:v>empty, hydrostatic and dry commissioning scheduled</x:v>
      </x:c>
      <x:c r="E300" t="n">
        <x:f>Controls!$D$70</x:f>
        <x:v>1</x:v>
      </x:c>
      <x:c r="F300" t="n">
        <x:v>1</x:v>
      </x:c>
      <x:c r="G300" t="str">
        <x:v>equals</x:v>
      </x:c>
      <x:c r="H300" t="str">
        <x:v>RFP-1 design authority</x:v>
      </x:c>
      <x:c r="I300" t="str">
        <x:f>IF(E300=1,"PASS","GAP")</x:f>
        <x:v>PASS</x:v>
      </x:c>
    </x:row>
    <x:row r="301">
      <x:c r="B301" t="str">
        <x:v>PL-SCH-PH-11</x:v>
      </x:c>
      <x:c r="C301" t="str">
        <x:v>PLANNING</x:v>
      </x:c>
      <x:c r="D301" t="str">
        <x:v>tracer, surrogate and ignition commissioning scheduled</x:v>
      </x:c>
      <x:c r="E301" t="n">
        <x:f>Controls!$D$70</x:f>
        <x:v>1</x:v>
      </x:c>
      <x:c r="F301" t="n">
        <x:v>1</x:v>
      </x:c>
      <x:c r="G301" t="str">
        <x:v>equals</x:v>
      </x:c>
      <x:c r="H301" t="str">
        <x:v>RFP-1 design authority</x:v>
      </x:c>
      <x:c r="I301" t="str">
        <x:f>IF(E301=1,"PASS","GAP")</x:f>
        <x:v>PASS</x:v>
      </x:c>
    </x:row>
    <x:row r="302">
      <x:c r="B302" t="str">
        <x:v>PL-SCH-PH-12</x:v>
      </x:c>
      <x:c r="C302" t="str">
        <x:v>PLANNING</x:v>
      </x:c>
      <x:c r="D302" t="str">
        <x:v>campaign handover scheduled</x:v>
      </x:c>
      <x:c r="E302" t="n">
        <x:f>Controls!$D$70</x:f>
        <x:v>1</x:v>
      </x:c>
      <x:c r="F302" t="n">
        <x:v>1</x:v>
      </x:c>
      <x:c r="G302" t="str">
        <x:v>equals</x:v>
      </x:c>
      <x:c r="H302" t="str">
        <x:v>RFP-1 design authority</x:v>
      </x:c>
      <x:c r="I302" t="str">
        <x:f>IF(E302=1,"PASS","GAP")</x:f>
        <x:v>PASS</x:v>
      </x:c>
    </x:row>
    <x:row r="303">
      <x:c r="B303" t="str">
        <x:v>PL-WF-296</x:v>
      </x:c>
      <x:c r="C303" t="str">
        <x:v>PLANNING</x:v>
      </x:c>
      <x:c r="D303" t="str">
        <x:v>rig science and methods established</x:v>
      </x:c>
      <x:c r="E303" t="n">
        <x:f>Controls!$D$70</x:f>
        <x:v>1</x:v>
      </x:c>
      <x:c r="F303" t="n">
        <x:v>1</x:v>
      </x:c>
      <x:c r="G303" t="str">
        <x:v>equals</x:v>
      </x:c>
      <x:c r="H303" t="str">
        <x:v>RFP-1 design authority</x:v>
      </x:c>
      <x:c r="I303" t="str">
        <x:f>IF(E303=1,"PASS","GAP")</x:f>
        <x:v>PASS</x:v>
      </x:c>
    </x:row>
    <x:row r="304">
      <x:c r="B304" t="str">
        <x:v>PL-WF-297</x:v>
      </x:c>
      <x:c r="C304" t="str">
        <x:v>PLANNING</x:v>
      </x:c>
      <x:c r="D304" t="str">
        <x:v>terrain, drainage and civil established</x:v>
      </x:c>
      <x:c r="E304" t="n">
        <x:f>Controls!$D$70</x:f>
        <x:v>1</x:v>
      </x:c>
      <x:c r="F304" t="n">
        <x:v>1</x:v>
      </x:c>
      <x:c r="G304" t="str">
        <x:v>equals</x:v>
      </x:c>
      <x:c r="H304" t="str">
        <x:v>RFP-1 design authority</x:v>
      </x:c>
      <x:c r="I304" t="str">
        <x:f>IF(E304=1,"PASS","GAP")</x:f>
        <x:v>PASS</x:v>
      </x:c>
    </x:row>
    <x:row r="305">
      <x:c r="B305" t="str">
        <x:v>PL-WF-298</x:v>
      </x:c>
      <x:c r="C305" t="str">
        <x:v>PLANNING</x:v>
      </x:c>
      <x:c r="D305" t="str">
        <x:v>source, water and thermal operations established</x:v>
      </x:c>
      <x:c r="E305" t="n">
        <x:f>Controls!$D$70</x:f>
        <x:v>1</x:v>
      </x:c>
      <x:c r="F305" t="n">
        <x:v>1</x:v>
      </x:c>
      <x:c r="G305" t="str">
        <x:v>equals</x:v>
      </x:c>
      <x:c r="H305" t="str">
        <x:v>RFP-1 design authority</x:v>
      </x:c>
      <x:c r="I305" t="str">
        <x:f>IF(E305=1,"PASS","GAP")</x:f>
        <x:v>PASS</x:v>
      </x:c>
    </x:row>
    <x:row r="306">
      <x:c r="B306" t="str">
        <x:v>PL-WF-299</x:v>
      </x:c>
      <x:c r="C306" t="str">
        <x:v>PLANNING</x:v>
      </x:c>
      <x:c r="D306" t="str">
        <x:v>instrumentation and evidence established</x:v>
      </x:c>
      <x:c r="E306" t="n">
        <x:f>Controls!$D$70</x:f>
        <x:v>1</x:v>
      </x:c>
      <x:c r="F306" t="n">
        <x:v>1</x:v>
      </x:c>
      <x:c r="G306" t="str">
        <x:v>equals</x:v>
      </x:c>
      <x:c r="H306" t="str">
        <x:v>RFP-1 design authority</x:v>
      </x:c>
      <x:c r="I306" t="str">
        <x:f>IF(E306=1,"PASS","GAP")</x:f>
        <x:v>PASS</x:v>
      </x:c>
    </x:row>
    <x:row r="307">
      <x:c r="B307" t="str">
        <x:v>PL-WF-300</x:v>
      </x:c>
      <x:c r="C307" t="str">
        <x:v>PLANNING</x:v>
      </x:c>
      <x:c r="D307" t="str">
        <x:v>robotics and remote recovery established</x:v>
      </x:c>
      <x:c r="E307" t="n">
        <x:f>Controls!$D$70</x:f>
        <x:v>1</x:v>
      </x:c>
      <x:c r="F307" t="n">
        <x:v>1</x:v>
      </x:c>
      <x:c r="G307" t="str">
        <x:v>equals</x:v>
      </x:c>
      <x:c r="H307" t="str">
        <x:v>RFP-1 design authority</x:v>
      </x:c>
      <x:c r="I307" t="str">
        <x:f>IF(E307=1,"PASS","GAP")</x:f>
        <x:v>PASS</x:v>
      </x:c>
    </x:row>
    <x:row r="308">
      <x:c r="B308" t="str">
        <x:v>PL-WF-301</x:v>
      </x:c>
      <x:c r="C308" t="str">
        <x:v>PLANNING</x:v>
      </x:c>
      <x:c r="D308" t="str">
        <x:v>environmental chemistry and custody established</x:v>
      </x:c>
      <x:c r="E308" t="n">
        <x:f>Controls!$D$70</x:f>
        <x:v>1</x:v>
      </x:c>
      <x:c r="F308" t="n">
        <x:v>1</x:v>
      </x:c>
      <x:c r="G308" t="str">
        <x:v>equals</x:v>
      </x:c>
      <x:c r="H308" t="str">
        <x:v>RFP-1 design authority</x:v>
      </x:c>
      <x:c r="I308" t="str">
        <x:f>IF(E308=1,"PASS","GAP")</x:f>
        <x:v>PASS</x:v>
      </x:c>
    </x:row>
    <x:row r="309">
      <x:c r="B309" t="str">
        <x:v>PL-WF-302</x:v>
      </x:c>
      <x:c r="C309" t="str">
        <x:v>PLANNING</x:v>
      </x:c>
      <x:c r="D309" t="str">
        <x:v>safety, rescue and clinical established</x:v>
      </x:c>
      <x:c r="E309" t="n">
        <x:f>Controls!$D$70</x:f>
        <x:v>1</x:v>
      </x:c>
      <x:c r="F309" t="n">
        <x:v>1</x:v>
      </x:c>
      <x:c r="G309" t="str">
        <x:v>equals</x:v>
      </x:c>
      <x:c r="H309" t="str">
        <x:v>RFP-1 design authority</x:v>
      </x:c>
      <x:c r="I309" t="str">
        <x:f>IF(E309=1,"PASS","GAP")</x:f>
        <x:v>PASS</x:v>
      </x:c>
    </x:row>
    <x:row r="310">
      <x:c r="B310" t="str">
        <x:v>PL-WF-303</x:v>
      </x:c>
      <x:c r="C310" t="str">
        <x:v>PLANNING</x:v>
      </x:c>
      <x:c r="D310" t="str">
        <x:v>configuration and public authority established</x:v>
      </x:c>
      <x:c r="E310" t="n">
        <x:f>Controls!$D$70</x:f>
        <x:v>1</x:v>
      </x:c>
      <x:c r="F310" t="n">
        <x:v>1</x:v>
      </x:c>
      <x:c r="G310" t="str">
        <x:v>equals</x:v>
      </x:c>
      <x:c r="H310" t="str">
        <x:v>RFP-1 design authority</x:v>
      </x:c>
      <x:c r="I310" t="str">
        <x:f>IF(E310=1,"PASS","GAP")</x:f>
        <x:v>PASS</x:v>
      </x:c>
    </x:row>
    <x:row r="311">
      <x:c r="B311" t="str">
        <x:v>PL-WF-304</x:v>
      </x:c>
      <x:c r="C311" t="str">
        <x:v>PLANNING</x:v>
      </x:c>
      <x:c r="D311" t="str">
        <x:v>six builder-integration cells established</x:v>
      </x:c>
      <x:c r="E311" t="n">
        <x:f>Controls!$D$70</x:f>
        <x:v>1</x:v>
      </x:c>
      <x:c r="F311" t="n">
        <x:v>1</x:v>
      </x:c>
      <x:c r="G311" t="str">
        <x:v>equals</x:v>
      </x:c>
      <x:c r="H311" t="str">
        <x:v>RFP-1 design authority</x:v>
      </x:c>
      <x:c r="I311" t="str">
        <x:f>IF(E311=1,"PASS","GAP")</x:f>
        <x:v>PASS</x:v>
      </x:c>
    </x:row>
    <x:row r="312">
      <x:c r="B312" t="str">
        <x:v>PL-WF-305</x:v>
      </x:c>
      <x:c r="C312" t="str">
        <x:v>PLANNING</x:v>
      </x:c>
      <x:c r="D312" t="str">
        <x:v>program and site command established</x:v>
      </x:c>
      <x:c r="E312" t="n">
        <x:f>Controls!$D$70</x:f>
        <x:v>1</x:v>
      </x:c>
      <x:c r="F312" t="n">
        <x:v>1</x:v>
      </x:c>
      <x:c r="G312" t="str">
        <x:v>equals</x:v>
      </x:c>
      <x:c r="H312" t="str">
        <x:v>RFP-1 design authority</x:v>
      </x:c>
      <x:c r="I312" t="str">
        <x:f>IF(E312=1,"PASS","GAP")</x:f>
        <x:v>PASS</x:v>
      </x:c>
    </x:row>
    <x:row r="313">
      <x:c r="B313" t="str">
        <x:v>PL-CAP-306</x:v>
      </x:c>
      <x:c r="C313" t="str">
        <x:v>PLANNING</x:v>
      </x:c>
      <x:c r="D313" t="str">
        <x:v>six complete rig fields capital allocated</x:v>
      </x:c>
      <x:c r="E313" t="n">
        <x:f>Controls!$D$70</x:f>
        <x:v>1</x:v>
      </x:c>
      <x:c r="F313" t="n">
        <x:v>1</x:v>
      </x:c>
      <x:c r="G313" t="str">
        <x:v>equals</x:v>
      </x:c>
      <x:c r="H313" t="str">
        <x:v>RFP-1 design authority</x:v>
      </x:c>
      <x:c r="I313" t="str">
        <x:f>IF(E313=1,"PASS","GAP")</x:f>
        <x:v>PASS</x:v>
      </x:c>
    </x:row>
    <x:row r="314">
      <x:c r="B314" t="str">
        <x:v>PL-CAP-307</x:v>
      </x:c>
      <x:c r="C314" t="str">
        <x:v>PLANNING</x:v>
      </x:c>
      <x:c r="D314" t="str">
        <x:v>source dispensers and metrology capital allocated</x:v>
      </x:c>
      <x:c r="E314" t="n">
        <x:f>Controls!$D$70</x:f>
        <x:v>1</x:v>
      </x:c>
      <x:c r="F314" t="n">
        <x:v>1</x:v>
      </x:c>
      <x:c r="G314" t="str">
        <x:v>equals</x:v>
      </x:c>
      <x:c r="H314" t="str">
        <x:v>RFP-1 design authority</x:v>
      </x:c>
      <x:c r="I314" t="str">
        <x:f>IF(E314=1,"PASS","GAP")</x:f>
        <x:v>PASS</x:v>
      </x:c>
    </x:row>
    <x:row r="315">
      <x:c r="B315" t="str">
        <x:v>PL-CAP-308</x:v>
      </x:c>
      <x:c r="C315" t="str">
        <x:v>PLANNING</x:v>
      </x:c>
      <x:c r="D315" t="str">
        <x:v>terrain cassettes and panels capital allocated</x:v>
      </x:c>
      <x:c r="E315" t="n">
        <x:f>Controls!$D$70</x:f>
        <x:v>1</x:v>
      </x:c>
      <x:c r="F315" t="n">
        <x:v>1</x:v>
      </x:c>
      <x:c r="G315" t="str">
        <x:v>equals</x:v>
      </x:c>
      <x:c r="H315" t="str">
        <x:v>RFP-1 design authority</x:v>
      </x:c>
      <x:c r="I315" t="str">
        <x:f>IF(E315=1,"PASS","GAP")</x:f>
        <x:v>PASS</x:v>
      </x:c>
    </x:row>
    <x:row r="316">
      <x:c r="B316" t="str">
        <x:v>PL-CAP-309</x:v>
      </x:c>
      <x:c r="C316" t="str">
        <x:v>PLANNING</x:v>
      </x:c>
      <x:c r="D316" t="str">
        <x:v>drain galleries and candidate bays capital allocated</x:v>
      </x:c>
      <x:c r="E316" t="n">
        <x:f>Controls!$D$70</x:f>
        <x:v>1</x:v>
      </x:c>
      <x:c r="F316" t="n">
        <x:v>1</x:v>
      </x:c>
      <x:c r="G316" t="str">
        <x:v>equals</x:v>
      </x:c>
      <x:c r="H316" t="str">
        <x:v>RFP-1 design authority</x:v>
      </x:c>
      <x:c r="I316" t="str">
        <x:f>IF(E316=1,"PASS","GAP")</x:f>
        <x:v>PASS</x:v>
      </x:c>
    </x:row>
    <x:row r="317">
      <x:c r="B317" t="str">
        <x:v>PL-CAP-310</x:v>
      </x:c>
      <x:c r="C317" t="str">
        <x:v>PLANNING</x:v>
      </x:c>
      <x:c r="D317" t="str">
        <x:v>water and heat-rejection plants capital allocated</x:v>
      </x:c>
      <x:c r="E317" t="n">
        <x:f>Controls!$D$70</x:f>
        <x:v>1</x:v>
      </x:c>
      <x:c r="F317" t="n">
        <x:v>1</x:v>
      </x:c>
      <x:c r="G317" t="str">
        <x:v>equals</x:v>
      </x:c>
      <x:c r="H317" t="str">
        <x:v>RFP-1 design authority</x:v>
      </x:c>
      <x:c r="I317" t="str">
        <x:f>IF(E317=1,"PASS","GAP")</x:f>
        <x:v>PASS</x:v>
      </x:c>
    </x:row>
    <x:row r="318">
      <x:c r="B318" t="str">
        <x:v>PL-CAP-311</x:v>
      </x:c>
      <x:c r="C318" t="str">
        <x:v>PLANNING</x:v>
      </x:c>
      <x:c r="D318" t="str">
        <x:v>environmental and casualty trains capital allocated</x:v>
      </x:c>
      <x:c r="E318" t="n">
        <x:f>Controls!$D$70</x:f>
        <x:v>1</x:v>
      </x:c>
      <x:c r="F318" t="n">
        <x:v>1</x:v>
      </x:c>
      <x:c r="G318" t="str">
        <x:v>equals</x:v>
      </x:c>
      <x:c r="H318" t="str">
        <x:v>RFP-1 design authority</x:v>
      </x:c>
      <x:c r="I318" t="str">
        <x:f>IF(E318=1,"PASS","GAP")</x:f>
        <x:v>PASS</x:v>
      </x:c>
    </x:row>
    <x:row r="319">
      <x:c r="B319" t="str">
        <x:v>PL-CAP-312</x:v>
      </x:c>
      <x:c r="C319" t="str">
        <x:v>PLANNING</x:v>
      </x:c>
      <x:c r="D319" t="str">
        <x:v>thermal and wind boundaries capital allocated</x:v>
      </x:c>
      <x:c r="E319" t="n">
        <x:f>Controls!$D$70</x:f>
        <x:v>1</x:v>
      </x:c>
      <x:c r="F319" t="n">
        <x:v>1</x:v>
      </x:c>
      <x:c r="G319" t="str">
        <x:v>equals</x:v>
      </x:c>
      <x:c r="H319" t="str">
        <x:v>RFP-1 design authority</x:v>
      </x:c>
      <x:c r="I319" t="str">
        <x:f>IF(E319=1,"PASS","GAP")</x:f>
        <x:v>PASS</x:v>
      </x:c>
    </x:row>
    <x:row r="320">
      <x:c r="B320" t="str">
        <x:v>PL-CAP-313</x:v>
      </x:c>
      <x:c r="C320" t="str">
        <x:v>PLANNING</x:v>
      </x:c>
      <x:c r="D320" t="str">
        <x:v>robot, rescue and clinical systems capital allocated</x:v>
      </x:c>
      <x:c r="E320" t="n">
        <x:f>Controls!$D$70</x:f>
        <x:v>1</x:v>
      </x:c>
      <x:c r="F320" t="n">
        <x:v>1</x:v>
      </x:c>
      <x:c r="G320" t="str">
        <x:v>equals</x:v>
      </x:c>
      <x:c r="H320" t="str">
        <x:v>RFP-1 design authority</x:v>
      </x:c>
      <x:c r="I320" t="str">
        <x:f>IF(E320=1,"PASS","GAP")</x:f>
        <x:v>PASS</x:v>
      </x:c>
    </x:row>
    <x:row r="321">
      <x:c r="B321" t="str">
        <x:v>PL-CAP-314</x:v>
      </x:c>
      <x:c r="C321" t="str">
        <x:v>PLANNING</x:v>
      </x:c>
      <x:c r="D321" t="str">
        <x:v>instrumentation and evidence capital allocated</x:v>
      </x:c>
      <x:c r="E321" t="n">
        <x:f>Controls!$D$70</x:f>
        <x:v>1</x:v>
      </x:c>
      <x:c r="F321" t="n">
        <x:v>1</x:v>
      </x:c>
      <x:c r="G321" t="str">
        <x:v>equals</x:v>
      </x:c>
      <x:c r="H321" t="str">
        <x:v>RFP-1 design authority</x:v>
      </x:c>
      <x:c r="I321" t="str">
        <x:f>IF(E321=1,"PASS","GAP")</x:f>
        <x:v>PASS</x:v>
      </x:c>
    </x:row>
    <x:row r="322">
      <x:c r="B322" t="str">
        <x:v>PL-CAP-315</x:v>
      </x:c>
      <x:c r="C322" t="str">
        <x:v>PLANNING</x:v>
      </x:c>
      <x:c r="D322" t="str">
        <x:v>civil and site integration capital allocated</x:v>
      </x:c>
      <x:c r="E322" t="n">
        <x:f>Controls!$D$70</x:f>
        <x:v>1</x:v>
      </x:c>
      <x:c r="F322" t="n">
        <x:v>1</x:v>
      </x:c>
      <x:c r="G322" t="str">
        <x:v>equals</x:v>
      </x:c>
      <x:c r="H322" t="str">
        <x:v>RFP-1 design authority</x:v>
      </x:c>
      <x:c r="I322" t="str">
        <x:f>IF(E322=1,"PASS","GAP")</x:f>
        <x:v>PASS</x:v>
      </x:c>
    </x:row>
    <x:row r="323">
      <x:c r="B323" t="str">
        <x:v>PL-CAP-316</x:v>
      </x:c>
      <x:c r="C323" t="str">
        <x:v>PLANNING</x:v>
      </x:c>
      <x:c r="D323" t="str">
        <x:v>data, design and authority capital allocated</x:v>
      </x:c>
      <x:c r="E323" t="n">
        <x:f>Controls!$D$70</x:f>
        <x:v>1</x:v>
      </x:c>
      <x:c r="F323" t="n">
        <x:v>1</x:v>
      </x:c>
      <x:c r="G323" t="str">
        <x:v>equals</x:v>
      </x:c>
      <x:c r="H323" t="str">
        <x:v>RFP-1 design authority</x:v>
      </x:c>
      <x:c r="I323" t="str">
        <x:f>IF(E323=1,"PASS","GAP")</x:f>
        <x:v>PASS</x:v>
      </x:c>
    </x:row>
    <x:row r="324">
      <x:c r="B324" t="str">
        <x:v>PL-CAP-317</x:v>
      </x:c>
      <x:c r="C324" t="str">
        <x:v>PLANNING</x:v>
      </x:c>
      <x:c r="D324" t="str">
        <x:v>uncertainty reserve capital allocated</x:v>
      </x:c>
      <x:c r="E324" t="n">
        <x:f>Controls!$D$70</x:f>
        <x:v>1</x:v>
      </x:c>
      <x:c r="F324" t="n">
        <x:v>1</x:v>
      </x:c>
      <x:c r="G324" t="str">
        <x:v>equals</x:v>
      </x:c>
      <x:c r="H324" t="str">
        <x:v>RFP-1 design authority</x:v>
      </x:c>
      <x:c r="I324" t="str">
        <x:f>IF(E324=1,"PASS","GAP")</x:f>
        <x:v>PASS</x:v>
      </x:c>
    </x:row>
    <x:row r="325">
      <x:c r="B325" t="str">
        <x:v>PL-ANN-318</x:v>
      </x:c>
      <x:c r="C325" t="str">
        <x:v>PLANNING</x:v>
      </x:c>
      <x:c r="D325" t="str">
        <x:v>rig operations annual support allocated</x:v>
      </x:c>
      <x:c r="E325" t="n">
        <x:f>Controls!$D$70</x:f>
        <x:v>1</x:v>
      </x:c>
      <x:c r="F325" t="n">
        <x:v>1</x:v>
      </x:c>
      <x:c r="G325" t="str">
        <x:v>equals</x:v>
      </x:c>
      <x:c r="H325" t="str">
        <x:v>RFP-1 design authority</x:v>
      </x:c>
      <x:c r="I325" t="str">
        <x:f>IF(E325=1,"PASS","GAP")</x:f>
        <x:v>PASS</x:v>
      </x:c>
    </x:row>
    <x:row r="326">
      <x:c r="B326" t="str">
        <x:v>PL-ANN-319</x:v>
      </x:c>
      <x:c r="C326" t="str">
        <x:v>PLANNING</x:v>
      </x:c>
      <x:c r="D326" t="str">
        <x:v>source and media annual support allocated</x:v>
      </x:c>
      <x:c r="E326" t="n">
        <x:f>Controls!$D$70</x:f>
        <x:v>1</x:v>
      </x:c>
      <x:c r="F326" t="n">
        <x:v>1</x:v>
      </x:c>
      <x:c r="G326" t="str">
        <x:v>equals</x:v>
      </x:c>
      <x:c r="H326" t="str">
        <x:v>RFP-1 design authority</x:v>
      </x:c>
      <x:c r="I326" t="str">
        <x:f>IF(E326=1,"PASS","GAP")</x:f>
        <x:v>PASS</x:v>
      </x:c>
    </x:row>
    <x:row r="327">
      <x:c r="B327" t="str">
        <x:v>PL-ANN-320</x:v>
      </x:c>
      <x:c r="C327" t="str">
        <x:v>PLANNING</x:v>
      </x:c>
      <x:c r="D327" t="str">
        <x:v>terrain, drain and field reset annual support allocated</x:v>
      </x:c>
      <x:c r="E327" t="n">
        <x:f>Controls!$D$70</x:f>
        <x:v>1</x:v>
      </x:c>
      <x:c r="F327" t="n">
        <x:v>1</x:v>
      </x:c>
      <x:c r="G327" t="str">
        <x:v>equals</x:v>
      </x:c>
      <x:c r="H327" t="str">
        <x:v>RFP-1 design authority</x:v>
      </x:c>
      <x:c r="I327" t="str">
        <x:f>IF(E327=1,"PASS","GAP")</x:f>
        <x:v>PASS</x:v>
      </x:c>
    </x:row>
    <x:row r="328">
      <x:c r="B328" t="str">
        <x:v>PL-ANN-321</x:v>
      </x:c>
      <x:c r="C328" t="str">
        <x:v>PLANNING</x:v>
      </x:c>
      <x:c r="D328" t="str">
        <x:v>thermal, water and heat rejection annual support allocated</x:v>
      </x:c>
      <x:c r="E328" t="n">
        <x:f>Controls!$D$70</x:f>
        <x:v>1</x:v>
      </x:c>
      <x:c r="F328" t="n">
        <x:v>1</x:v>
      </x:c>
      <x:c r="G328" t="str">
        <x:v>equals</x:v>
      </x:c>
      <x:c r="H328" t="str">
        <x:v>RFP-1 design authority</x:v>
      </x:c>
      <x:c r="I328" t="str">
        <x:f>IF(E328=1,"PASS","GAP")</x:f>
        <x:v>PASS</x:v>
      </x:c>
    </x:row>
    <x:row r="329">
      <x:c r="B329" t="str">
        <x:v>PL-ANN-322</x:v>
      </x:c>
      <x:c r="C329" t="str">
        <x:v>PLANNING</x:v>
      </x:c>
      <x:c r="D329" t="str">
        <x:v>metrology and evidence annual support allocated</x:v>
      </x:c>
      <x:c r="E329" t="n">
        <x:f>Controls!$D$70</x:f>
        <x:v>1</x:v>
      </x:c>
      <x:c r="F329" t="n">
        <x:v>1</x:v>
      </x:c>
      <x:c r="G329" t="str">
        <x:v>equals</x:v>
      </x:c>
      <x:c r="H329" t="str">
        <x:v>RFP-1 design authority</x:v>
      </x:c>
      <x:c r="I329" t="str">
        <x:f>IF(E329=1,"PASS","GAP")</x:f>
        <x:v>PASS</x:v>
      </x:c>
    </x:row>
    <x:row r="330">
      <x:c r="B330" t="str">
        <x:v>PL-ANN-323</x:v>
      </x:c>
      <x:c r="C330" t="str">
        <x:v>PLANNING</x:v>
      </x:c>
      <x:c r="D330" t="str">
        <x:v>safety, environment and casualty annual support allocated</x:v>
      </x:c>
      <x:c r="E330" t="n">
        <x:f>Controls!$D$70</x:f>
        <x:v>1</x:v>
      </x:c>
      <x:c r="F330" t="n">
        <x:v>1</x:v>
      </x:c>
      <x:c r="G330" t="str">
        <x:v>equals</x:v>
      </x:c>
      <x:c r="H330" t="str">
        <x:v>RFP-1 design authority</x:v>
      </x:c>
      <x:c r="I330" t="str">
        <x:f>IF(E330=1,"PASS","GAP")</x:f>
        <x:v>PASS</x:v>
      </x:c>
    </x:row>
    <x:row r="331">
      <x:c r="B331" t="str">
        <x:v>PL-ANN-324</x:v>
      </x:c>
      <x:c r="C331" t="str">
        <x:v>PLANNING</x:v>
      </x:c>
      <x:c r="D331" t="str">
        <x:v>builder integration annual support allocated</x:v>
      </x:c>
      <x:c r="E331" t="n">
        <x:f>Controls!$D$70</x:f>
        <x:v>1</x:v>
      </x:c>
      <x:c r="F331" t="n">
        <x:v>1</x:v>
      </x:c>
      <x:c r="G331" t="str">
        <x:v>equals</x:v>
      </x:c>
      <x:c r="H331" t="str">
        <x:v>RFP-1 design authority</x:v>
      </x:c>
      <x:c r="I331" t="str">
        <x:f>IF(E331=1,"PASS","GAP")</x:f>
        <x:v>PASS</x:v>
      </x:c>
    </x:row>
    <x:row r="332">
      <x:c r="B332" t="str">
        <x:v>PL-ANN-325</x:v>
      </x:c>
      <x:c r="C332" t="str">
        <x:v>PLANNING</x:v>
      </x:c>
      <x:c r="D332" t="str">
        <x:v>maintenance and spares annual support allocated</x:v>
      </x:c>
      <x:c r="E332" t="n">
        <x:f>Controls!$D$70</x:f>
        <x:v>1</x:v>
      </x:c>
      <x:c r="F332" t="n">
        <x:v>1</x:v>
      </x:c>
      <x:c r="G332" t="str">
        <x:v>equals</x:v>
      </x:c>
      <x:c r="H332" t="str">
        <x:v>RFP-1 design authority</x:v>
      </x:c>
      <x:c r="I332" t="str">
        <x:f>IF(E332=1,"PASS","GAP")</x:f>
        <x:v>PASS</x:v>
      </x:c>
    </x:row>
    <x:row r="333">
      <x:c r="B333" t="str">
        <x:v>PL-ANN-326</x:v>
      </x:c>
      <x:c r="C333" t="str">
        <x:v>PLANNING</x:v>
      </x:c>
      <x:c r="D333" t="str">
        <x:v>authority and data annual support allocated</x:v>
      </x:c>
      <x:c r="E333" t="n">
        <x:f>Controls!$D$70</x:f>
        <x:v>1</x:v>
      </x:c>
      <x:c r="F333" t="n">
        <x:v>1</x:v>
      </x:c>
      <x:c r="G333" t="str">
        <x:v>equals</x:v>
      </x:c>
      <x:c r="H333" t="str">
        <x:v>RFP-1 design authority</x:v>
      </x:c>
      <x:c r="I333" t="str">
        <x:f>IF(E333=1,"PASS","GAP")</x:f>
        <x:v>PASS</x:v>
      </x:c>
    </x:row>
    <x:row r="334">
      <x:c r="B334" t="str">
        <x:v>PL-TECH-TP-01</x:v>
      </x:c>
      <x:c r="C334" t="str">
        <x:v>PLANNING</x:v>
      </x:c>
      <x:c r="D334" t="str">
        <x:v>self-mapping high-temperature terrain technology pull defined</x:v>
      </x:c>
      <x:c r="E334" t="n">
        <x:f>Controls!$D$70</x:f>
        <x:v>1</x:v>
      </x:c>
      <x:c r="F334" t="n">
        <x:v>1</x:v>
      </x:c>
      <x:c r="G334" t="str">
        <x:v>equals</x:v>
      </x:c>
      <x:c r="H334" t="str">
        <x:v>RFP-1 design authority</x:v>
      </x:c>
      <x:c r="I334" t="str">
        <x:f>IF(E334=1,"PASS","GAP")</x:f>
        <x:v>PASS</x:v>
      </x:c>
    </x:row>
    <x:row r="335">
      <x:c r="B335" t="str">
        <x:v>PL-TECH-TP-02</x:v>
      </x:c>
      <x:c r="C335" t="str">
        <x:v>PLANNING</x:v>
      </x:c>
      <x:c r="D335" t="str">
        <x:v>source-selective refractory drainage technology pull defined</x:v>
      </x:c>
      <x:c r="E335" t="n">
        <x:f>Controls!$D$70</x:f>
        <x:v>1</x:v>
      </x:c>
      <x:c r="F335" t="n">
        <x:v>1</x:v>
      </x:c>
      <x:c r="G335" t="str">
        <x:v>equals</x:v>
      </x:c>
      <x:c r="H335" t="str">
        <x:v>RFP-1 design authority</x:v>
      </x:c>
      <x:c r="I335" t="str">
        <x:f>IF(E335=1,"PASS","GAP")</x:f>
        <x:v>PASS</x:v>
      </x:c>
    </x:row>
    <x:row r="336">
      <x:c r="B336" t="str">
        <x:v>PL-TECH-TP-03</x:v>
      </x:c>
      <x:c r="C336" t="str">
        <x:v>PLANNING</x:v>
      </x:c>
      <x:c r="D336" t="str">
        <x:v>megawatt closed-loop mobile cooling technology pull defined</x:v>
      </x:c>
      <x:c r="E336" t="n">
        <x:f>Controls!$D$70</x:f>
        <x:v>1</x:v>
      </x:c>
      <x:c r="F336" t="n">
        <x:v>1</x:v>
      </x:c>
      <x:c r="G336" t="str">
        <x:v>equals</x:v>
      </x:c>
      <x:c r="H336" t="str">
        <x:v>RFP-1 design authority</x:v>
      </x:c>
      <x:c r="I336" t="str">
        <x:f>IF(E336=1,"PASS","GAP")</x:f>
        <x:v>PASS</x:v>
      </x:c>
    </x:row>
    <x:row r="337">
      <x:c r="B337" t="str">
        <x:v>PL-TECH-TP-04</x:v>
      </x:c>
      <x:c r="C337" t="str">
        <x:v>PLANNING</x:v>
      </x:c>
      <x:c r="D337" t="str">
        <x:v>robotic liquid ancestry technology pull defined</x:v>
      </x:c>
      <x:c r="E337" t="n">
        <x:f>Controls!$D$70</x:f>
        <x:v>1</x:v>
      </x:c>
      <x:c r="F337" t="n">
        <x:v>1</x:v>
      </x:c>
      <x:c r="G337" t="str">
        <x:v>equals</x:v>
      </x:c>
      <x:c r="H337" t="str">
        <x:v>RFP-1 design authority</x:v>
      </x:c>
      <x:c r="I337" t="str">
        <x:f>IF(E337=1,"PASS","GAP")</x:f>
        <x:v>PASS</x:v>
      </x:c>
    </x:row>
    <x:row r="338">
      <x:c r="B338" t="str">
        <x:v>PL-TECH-TP-05</x:v>
      </x:c>
      <x:c r="C338" t="str">
        <x:v>PLANNING</x:v>
      </x:c>
      <x:c r="D338" t="str">
        <x:v>causal fire instrumentation technology pull defined</x:v>
      </x:c>
      <x:c r="E338" t="n">
        <x:f>Controls!$D$70</x:f>
        <x:v>1</x:v>
      </x:c>
      <x:c r="F338" t="n">
        <x:v>1</x:v>
      </x:c>
      <x:c r="G338" t="str">
        <x:v>equals</x:v>
      </x:c>
      <x:c r="H338" t="str">
        <x:v>RFP-1 design authority</x:v>
      </x:c>
      <x:c r="I338" t="str">
        <x:f>IF(E338=1,"PASS","GAP")</x:f>
        <x:v>PASS</x:v>
      </x:c>
    </x:row>
    <x:row r="339">
      <x:c r="B339" t="str">
        <x:v>PL-TECH-TP-06</x:v>
      </x:c>
      <x:c r="C339" t="str">
        <x:v>PLANNING</x:v>
      </x:c>
      <x:c r="D339" t="str">
        <x:v>stored-energy public safeing technology pull defined</x:v>
      </x:c>
      <x:c r="E339" t="n">
        <x:f>Controls!$D$70</x:f>
        <x:v>1</x:v>
      </x:c>
      <x:c r="F339" t="n">
        <x:v>1</x:v>
      </x:c>
      <x:c r="G339" t="str">
        <x:v>equals</x:v>
      </x:c>
      <x:c r="H339" t="str">
        <x:v>RFP-1 design authority</x:v>
      </x:c>
      <x:c r="I339" t="str">
        <x:f>IF(E339=1,"PASS","GAP")</x:f>
        <x:v>PASS</x:v>
      </x:c>
    </x:row>
    <x:row r="340">
      <x:c r="B340" t="str">
        <x:v>PL-TECH-TP-07</x:v>
      </x:c>
      <x:c r="C340" t="str">
        <x:v>PLANNING</x:v>
      </x:c>
      <x:c r="D340" t="str">
        <x:v>rapid environmental custody technology pull defined</x:v>
      </x:c>
      <x:c r="E340" t="n">
        <x:f>Controls!$D$70</x:f>
        <x:v>1</x:v>
      </x:c>
      <x:c r="F340" t="n">
        <x:v>1</x:v>
      </x:c>
      <x:c r="G340" t="str">
        <x:v>equals</x:v>
      </x:c>
      <x:c r="H340" t="str">
        <x:v>RFP-1 design authority</x:v>
      </x:c>
      <x:c r="I340" t="str">
        <x:f>IF(E340=1,"PASS","GAP")</x:f>
        <x:v>PASS</x:v>
      </x:c>
    </x:row>
    <x:row r="341">
      <x:c r="B341" t="str">
        <x:v>PL-TECH-TP-08</x:v>
      </x:c>
      <x:c r="C341" t="str">
        <x:v>PLANNING</x:v>
      </x:c>
      <x:c r="D341" t="str">
        <x:v>transferable public test grammar technology pull defined</x:v>
      </x:c>
      <x:c r="E341" t="n">
        <x:f>Controls!$D$70</x:f>
        <x:v>1</x:v>
      </x:c>
      <x:c r="F341" t="n">
        <x:v>1</x:v>
      </x:c>
      <x:c r="G341" t="str">
        <x:v>equals</x:v>
      </x:c>
      <x:c r="H341" t="str">
        <x:v>RFP-1 design authority</x:v>
      </x:c>
      <x:c r="I341" t="str">
        <x:f>IF(E341=1,"PASS","GAP")</x:f>
        <x:v>PASS</x:v>
      </x:c>
    </x:row>
    <x:row r="342">
      <x:c r="B342" t="str">
        <x:v>PH-RIG-1</x:v>
      </x:c>
      <x:c r="C342" t="str">
        <x:v>PHYSICAL</x:v>
      </x:c>
      <x:c r="D342" t="str">
        <x:v>rig accepted</x:v>
      </x:c>
      <x:c r="E342" t="n">
        <x:f>IF('Rig Federation'!L7&lt;&gt;"",1,0)</x:f>
        <x:v>0</x:v>
      </x:c>
      <x:c r="F342" t="n">
        <x:v>1</x:v>
      </x:c>
      <x:c r="G342" t="str">
        <x:v>equals</x:v>
      </x:c>
      <x:c r="H342" t="str">
        <x:v>independent physical acceptance</x:v>
      </x:c>
      <x:c r="I342" t="str">
        <x:f>IF(E342=1,"PASS","OPEN")</x:f>
        <x:v>OPEN</x:v>
      </x:c>
    </x:row>
    <x:row r="343">
      <x:c r="B343" t="str">
        <x:v>PH-RIG-2</x:v>
      </x:c>
      <x:c r="C343" t="str">
        <x:v>PHYSICAL</x:v>
      </x:c>
      <x:c r="D343" t="str">
        <x:v>rig accepted</x:v>
      </x:c>
      <x:c r="E343" t="n">
        <x:f>IF('Rig Federation'!L8&lt;&gt;"",1,0)</x:f>
        <x:v>0</x:v>
      </x:c>
      <x:c r="F343" t="n">
        <x:v>1</x:v>
      </x:c>
      <x:c r="G343" t="str">
        <x:v>equals</x:v>
      </x:c>
      <x:c r="H343" t="str">
        <x:v>independent physical acceptance</x:v>
      </x:c>
      <x:c r="I343" t="str">
        <x:f>IF(E343=1,"PASS","OPEN")</x:f>
        <x:v>OPEN</x:v>
      </x:c>
    </x:row>
    <x:row r="344">
      <x:c r="B344" t="str">
        <x:v>PH-RIG-3</x:v>
      </x:c>
      <x:c r="C344" t="str">
        <x:v>PHYSICAL</x:v>
      </x:c>
      <x:c r="D344" t="str">
        <x:v>rig accepted</x:v>
      </x:c>
      <x:c r="E344" t="n">
        <x:f>IF('Rig Federation'!L9&lt;&gt;"",1,0)</x:f>
        <x:v>0</x:v>
      </x:c>
      <x:c r="F344" t="n">
        <x:v>1</x:v>
      </x:c>
      <x:c r="G344" t="str">
        <x:v>equals</x:v>
      </x:c>
      <x:c r="H344" t="str">
        <x:v>independent physical acceptance</x:v>
      </x:c>
      <x:c r="I344" t="str">
        <x:f>IF(E344=1,"PASS","OPEN")</x:f>
        <x:v>OPEN</x:v>
      </x:c>
    </x:row>
    <x:row r="345">
      <x:c r="B345" t="str">
        <x:v>PH-RIG-4</x:v>
      </x:c>
      <x:c r="C345" t="str">
        <x:v>PHYSICAL</x:v>
      </x:c>
      <x:c r="D345" t="str">
        <x:v>rig accepted</x:v>
      </x:c>
      <x:c r="E345" t="n">
        <x:f>IF('Rig Federation'!L10&lt;&gt;"",1,0)</x:f>
        <x:v>0</x:v>
      </x:c>
      <x:c r="F345" t="n">
        <x:v>1</x:v>
      </x:c>
      <x:c r="G345" t="str">
        <x:v>equals</x:v>
      </x:c>
      <x:c r="H345" t="str">
        <x:v>independent physical acceptance</x:v>
      </x:c>
      <x:c r="I345" t="str">
        <x:f>IF(E345=1,"PASS","OPEN")</x:f>
        <x:v>OPEN</x:v>
      </x:c>
    </x:row>
    <x:row r="346">
      <x:c r="B346" t="str">
        <x:v>PH-RIG-5</x:v>
      </x:c>
      <x:c r="C346" t="str">
        <x:v>PHYSICAL</x:v>
      </x:c>
      <x:c r="D346" t="str">
        <x:v>rig accepted</x:v>
      </x:c>
      <x:c r="E346" t="n">
        <x:f>IF('Rig Federation'!L11&lt;&gt;"",1,0)</x:f>
        <x:v>0</x:v>
      </x:c>
      <x:c r="F346" t="n">
        <x:v>1</x:v>
      </x:c>
      <x:c r="G346" t="str">
        <x:v>equals</x:v>
      </x:c>
      <x:c r="H346" t="str">
        <x:v>independent physical acceptance</x:v>
      </x:c>
      <x:c r="I346" t="str">
        <x:f>IF(E346=1,"PASS","OPEN")</x:f>
        <x:v>OPEN</x:v>
      </x:c>
    </x:row>
    <x:row r="347">
      <x:c r="B347" t="str">
        <x:v>PH-RIG-6</x:v>
      </x:c>
      <x:c r="C347" t="str">
        <x:v>PHYSICAL</x:v>
      </x:c>
      <x:c r="D347" t="str">
        <x:v>rig accepted</x:v>
      </x:c>
      <x:c r="E347" t="n">
        <x:f>IF('Rig Federation'!L12&lt;&gt;"",1,0)</x:f>
        <x:v>0</x:v>
      </x:c>
      <x:c r="F347" t="n">
        <x:v>1</x:v>
      </x:c>
      <x:c r="G347" t="str">
        <x:v>equals</x:v>
      </x:c>
      <x:c r="H347" t="str">
        <x:v>independent physical acceptance</x:v>
      </x:c>
      <x:c r="I347" t="str">
        <x:f>IF(E347=1,"PASS","OPEN")</x:f>
        <x:v>OPEN</x:v>
      </x:c>
    </x:row>
    <x:row r="348">
      <x:c r="B348" t="str">
        <x:v>PH-TG-1-G</x:v>
      </x:c>
      <x:c r="C348" t="str">
        <x:v>PHYSICAL</x:v>
      </x:c>
      <x:c r="D348" t="str">
        <x:v>terrain geometry</x:v>
      </x:c>
      <x:c r="E348" t="n">
        <x:f>IF('Terrain Field'!J7&lt;&gt;"",1,0)</x:f>
        <x:v>0</x:v>
      </x:c>
      <x:c r="F348" t="n">
        <x:v>1</x:v>
      </x:c>
      <x:c r="G348" t="str">
        <x:v>equals</x:v>
      </x:c>
      <x:c r="H348" t="str">
        <x:v>independent physical acceptance</x:v>
      </x:c>
      <x:c r="I348" t="str">
        <x:f>IF(E348=1,"PASS","OPEN")</x:f>
        <x:v>OPEN</x:v>
      </x:c>
    </x:row>
    <x:row r="349">
      <x:c r="B349" t="str">
        <x:v>PH-TG-1-L</x:v>
      </x:c>
      <x:c r="C349" t="str">
        <x:v>PHYSICAL</x:v>
      </x:c>
      <x:c r="D349" t="str">
        <x:v>terrain load</x:v>
      </x:c>
      <x:c r="E349" t="n">
        <x:f>IF('Terrain Field'!K7&lt;&gt;"",1,0)</x:f>
        <x:v>0</x:v>
      </x:c>
      <x:c r="F349" t="n">
        <x:v>1</x:v>
      </x:c>
      <x:c r="G349" t="str">
        <x:v>equals</x:v>
      </x:c>
      <x:c r="H349" t="str">
        <x:v>independent physical acceptance</x:v>
      </x:c>
      <x:c r="I349" t="str">
        <x:f>IF(E349=1,"PASS","OPEN")</x:f>
        <x:v>OPEN</x:v>
      </x:c>
    </x:row>
    <x:row r="350">
      <x:c r="B350" t="str">
        <x:v>PH-TG-2-G</x:v>
      </x:c>
      <x:c r="C350" t="str">
        <x:v>PHYSICAL</x:v>
      </x:c>
      <x:c r="D350" t="str">
        <x:v>terrain geometry</x:v>
      </x:c>
      <x:c r="E350" t="n">
        <x:f>IF('Terrain Field'!J8&lt;&gt;"",1,0)</x:f>
        <x:v>0</x:v>
      </x:c>
      <x:c r="F350" t="n">
        <x:v>1</x:v>
      </x:c>
      <x:c r="G350" t="str">
        <x:v>equals</x:v>
      </x:c>
      <x:c r="H350" t="str">
        <x:v>independent physical acceptance</x:v>
      </x:c>
      <x:c r="I350" t="str">
        <x:f>IF(E350=1,"PASS","OPEN")</x:f>
        <x:v>OPEN</x:v>
      </x:c>
    </x:row>
    <x:row r="351">
      <x:c r="B351" t="str">
        <x:v>PH-TG-2-L</x:v>
      </x:c>
      <x:c r="C351" t="str">
        <x:v>PHYSICAL</x:v>
      </x:c>
      <x:c r="D351" t="str">
        <x:v>terrain load</x:v>
      </x:c>
      <x:c r="E351" t="n">
        <x:f>IF('Terrain Field'!K8&lt;&gt;"",1,0)</x:f>
        <x:v>0</x:v>
      </x:c>
      <x:c r="F351" t="n">
        <x:v>1</x:v>
      </x:c>
      <x:c r="G351" t="str">
        <x:v>equals</x:v>
      </x:c>
      <x:c r="H351" t="str">
        <x:v>independent physical acceptance</x:v>
      </x:c>
      <x:c r="I351" t="str">
        <x:f>IF(E351=1,"PASS","OPEN")</x:f>
        <x:v>OPEN</x:v>
      </x:c>
    </x:row>
    <x:row r="352">
      <x:c r="B352" t="str">
        <x:v>PH-TG-3-G</x:v>
      </x:c>
      <x:c r="C352" t="str">
        <x:v>PHYSICAL</x:v>
      </x:c>
      <x:c r="D352" t="str">
        <x:v>terrain geometry</x:v>
      </x:c>
      <x:c r="E352" t="n">
        <x:f>IF('Terrain Field'!J9&lt;&gt;"",1,0)</x:f>
        <x:v>0</x:v>
      </x:c>
      <x:c r="F352" t="n">
        <x:v>1</x:v>
      </x:c>
      <x:c r="G352" t="str">
        <x:v>equals</x:v>
      </x:c>
      <x:c r="H352" t="str">
        <x:v>independent physical acceptance</x:v>
      </x:c>
      <x:c r="I352" t="str">
        <x:f>IF(E352=1,"PASS","OPEN")</x:f>
        <x:v>OPEN</x:v>
      </x:c>
    </x:row>
    <x:row r="353">
      <x:c r="B353" t="str">
        <x:v>PH-TG-3-L</x:v>
      </x:c>
      <x:c r="C353" t="str">
        <x:v>PHYSICAL</x:v>
      </x:c>
      <x:c r="D353" t="str">
        <x:v>terrain load</x:v>
      </x:c>
      <x:c r="E353" t="n">
        <x:f>IF('Terrain Field'!K9&lt;&gt;"",1,0)</x:f>
        <x:v>0</x:v>
      </x:c>
      <x:c r="F353" t="n">
        <x:v>1</x:v>
      </x:c>
      <x:c r="G353" t="str">
        <x:v>equals</x:v>
      </x:c>
      <x:c r="H353" t="str">
        <x:v>independent physical acceptance</x:v>
      </x:c>
      <x:c r="I353" t="str">
        <x:f>IF(E353=1,"PASS","OPEN")</x:f>
        <x:v>OPEN</x:v>
      </x:c>
    </x:row>
    <x:row r="354">
      <x:c r="B354" t="str">
        <x:v>PH-TG-4-G</x:v>
      </x:c>
      <x:c r="C354" t="str">
        <x:v>PHYSICAL</x:v>
      </x:c>
      <x:c r="D354" t="str">
        <x:v>terrain geometry</x:v>
      </x:c>
      <x:c r="E354" t="n">
        <x:f>IF('Terrain Field'!J10&lt;&gt;"",1,0)</x:f>
        <x:v>0</x:v>
      </x:c>
      <x:c r="F354" t="n">
        <x:v>1</x:v>
      </x:c>
      <x:c r="G354" t="str">
        <x:v>equals</x:v>
      </x:c>
      <x:c r="H354" t="str">
        <x:v>independent physical acceptance</x:v>
      </x:c>
      <x:c r="I354" t="str">
        <x:f>IF(E354=1,"PASS","OPEN")</x:f>
        <x:v>OPEN</x:v>
      </x:c>
    </x:row>
    <x:row r="355">
      <x:c r="B355" t="str">
        <x:v>PH-TG-4-L</x:v>
      </x:c>
      <x:c r="C355" t="str">
        <x:v>PHYSICAL</x:v>
      </x:c>
      <x:c r="D355" t="str">
        <x:v>terrain load</x:v>
      </x:c>
      <x:c r="E355" t="n">
        <x:f>IF('Terrain Field'!K10&lt;&gt;"",1,0)</x:f>
        <x:v>0</x:v>
      </x:c>
      <x:c r="F355" t="n">
        <x:v>1</x:v>
      </x:c>
      <x:c r="G355" t="str">
        <x:v>equals</x:v>
      </x:c>
      <x:c r="H355" t="str">
        <x:v>independent physical acceptance</x:v>
      </x:c>
      <x:c r="I355" t="str">
        <x:f>IF(E355=1,"PASS","OPEN")</x:f>
        <x:v>OPEN</x:v>
      </x:c>
    </x:row>
    <x:row r="356">
      <x:c r="B356" t="str">
        <x:v>PH-TG-5-G</x:v>
      </x:c>
      <x:c r="C356" t="str">
        <x:v>PHYSICAL</x:v>
      </x:c>
      <x:c r="D356" t="str">
        <x:v>terrain geometry</x:v>
      </x:c>
      <x:c r="E356" t="n">
        <x:f>IF('Terrain Field'!J11&lt;&gt;"",1,0)</x:f>
        <x:v>0</x:v>
      </x:c>
      <x:c r="F356" t="n">
        <x:v>1</x:v>
      </x:c>
      <x:c r="G356" t="str">
        <x:v>equals</x:v>
      </x:c>
      <x:c r="H356" t="str">
        <x:v>independent physical acceptance</x:v>
      </x:c>
      <x:c r="I356" t="str">
        <x:f>IF(E356=1,"PASS","OPEN")</x:f>
        <x:v>OPEN</x:v>
      </x:c>
    </x:row>
    <x:row r="357">
      <x:c r="B357" t="str">
        <x:v>PH-TG-5-L</x:v>
      </x:c>
      <x:c r="C357" t="str">
        <x:v>PHYSICAL</x:v>
      </x:c>
      <x:c r="D357" t="str">
        <x:v>terrain load</x:v>
      </x:c>
      <x:c r="E357" t="n">
        <x:f>IF('Terrain Field'!K11&lt;&gt;"",1,0)</x:f>
        <x:v>0</x:v>
      </x:c>
      <x:c r="F357" t="n">
        <x:v>1</x:v>
      </x:c>
      <x:c r="G357" t="str">
        <x:v>equals</x:v>
      </x:c>
      <x:c r="H357" t="str">
        <x:v>independent physical acceptance</x:v>
      </x:c>
      <x:c r="I357" t="str">
        <x:f>IF(E357=1,"PASS","OPEN")</x:f>
        <x:v>OPEN</x:v>
      </x:c>
    </x:row>
    <x:row r="358">
      <x:c r="B358" t="str">
        <x:v>PH-TG-6-G</x:v>
      </x:c>
      <x:c r="C358" t="str">
        <x:v>PHYSICAL</x:v>
      </x:c>
      <x:c r="D358" t="str">
        <x:v>terrain geometry</x:v>
      </x:c>
      <x:c r="E358" t="n">
        <x:f>IF('Terrain Field'!J12&lt;&gt;"",1,0)</x:f>
        <x:v>0</x:v>
      </x:c>
      <x:c r="F358" t="n">
        <x:v>1</x:v>
      </x:c>
      <x:c r="G358" t="str">
        <x:v>equals</x:v>
      </x:c>
      <x:c r="H358" t="str">
        <x:v>independent physical acceptance</x:v>
      </x:c>
      <x:c r="I358" t="str">
        <x:f>IF(E358=1,"PASS","OPEN")</x:f>
        <x:v>OPEN</x:v>
      </x:c>
    </x:row>
    <x:row r="359">
      <x:c r="B359" t="str">
        <x:v>PH-TG-6-L</x:v>
      </x:c>
      <x:c r="C359" t="str">
        <x:v>PHYSICAL</x:v>
      </x:c>
      <x:c r="D359" t="str">
        <x:v>terrain load</x:v>
      </x:c>
      <x:c r="E359" t="n">
        <x:f>IF('Terrain Field'!K12&lt;&gt;"",1,0)</x:f>
        <x:v>0</x:v>
      </x:c>
      <x:c r="F359" t="n">
        <x:v>1</x:v>
      </x:c>
      <x:c r="G359" t="str">
        <x:v>equals</x:v>
      </x:c>
      <x:c r="H359" t="str">
        <x:v>independent physical acceptance</x:v>
      </x:c>
      <x:c r="I359" t="str">
        <x:f>IF(E359=1,"PASS","OPEN")</x:f>
        <x:v>OPEN</x:v>
      </x:c>
    </x:row>
    <x:row r="360">
      <x:c r="B360" t="str">
        <x:v>PH-TG-7-G</x:v>
      </x:c>
      <x:c r="C360" t="str">
        <x:v>PHYSICAL</x:v>
      </x:c>
      <x:c r="D360" t="str">
        <x:v>terrain geometry</x:v>
      </x:c>
      <x:c r="E360" t="n">
        <x:f>IF('Terrain Field'!J13&lt;&gt;"",1,0)</x:f>
        <x:v>0</x:v>
      </x:c>
      <x:c r="F360" t="n">
        <x:v>1</x:v>
      </x:c>
      <x:c r="G360" t="str">
        <x:v>equals</x:v>
      </x:c>
      <x:c r="H360" t="str">
        <x:v>independent physical acceptance</x:v>
      </x:c>
      <x:c r="I360" t="str">
        <x:f>IF(E360=1,"PASS","OPEN")</x:f>
        <x:v>OPEN</x:v>
      </x:c>
    </x:row>
    <x:row r="361">
      <x:c r="B361" t="str">
        <x:v>PH-TG-7-L</x:v>
      </x:c>
      <x:c r="C361" t="str">
        <x:v>PHYSICAL</x:v>
      </x:c>
      <x:c r="D361" t="str">
        <x:v>terrain load</x:v>
      </x:c>
      <x:c r="E361" t="n">
        <x:f>IF('Terrain Field'!K13&lt;&gt;"",1,0)</x:f>
        <x:v>0</x:v>
      </x:c>
      <x:c r="F361" t="n">
        <x:v>1</x:v>
      </x:c>
      <x:c r="G361" t="str">
        <x:v>equals</x:v>
      </x:c>
      <x:c r="H361" t="str">
        <x:v>independent physical acceptance</x:v>
      </x:c>
      <x:c r="I361" t="str">
        <x:f>IF(E361=1,"PASS","OPEN")</x:f>
        <x:v>OPEN</x:v>
      </x:c>
    </x:row>
    <x:row r="362">
      <x:c r="B362" t="str">
        <x:v>PH-TG-8-G</x:v>
      </x:c>
      <x:c r="C362" t="str">
        <x:v>PHYSICAL</x:v>
      </x:c>
      <x:c r="D362" t="str">
        <x:v>terrain geometry</x:v>
      </x:c>
      <x:c r="E362" t="n">
        <x:f>IF('Terrain Field'!J14&lt;&gt;"",1,0)</x:f>
        <x:v>0</x:v>
      </x:c>
      <x:c r="F362" t="n">
        <x:v>1</x:v>
      </x:c>
      <x:c r="G362" t="str">
        <x:v>equals</x:v>
      </x:c>
      <x:c r="H362" t="str">
        <x:v>independent physical acceptance</x:v>
      </x:c>
      <x:c r="I362" t="str">
        <x:f>IF(E362=1,"PASS","OPEN")</x:f>
        <x:v>OPEN</x:v>
      </x:c>
    </x:row>
    <x:row r="363">
      <x:c r="B363" t="str">
        <x:v>PH-TG-8-L</x:v>
      </x:c>
      <x:c r="C363" t="str">
        <x:v>PHYSICAL</x:v>
      </x:c>
      <x:c r="D363" t="str">
        <x:v>terrain load</x:v>
      </x:c>
      <x:c r="E363" t="n">
        <x:f>IF('Terrain Field'!K14&lt;&gt;"",1,0)</x:f>
        <x:v>0</x:v>
      </x:c>
      <x:c r="F363" t="n">
        <x:v>1</x:v>
      </x:c>
      <x:c r="G363" t="str">
        <x:v>equals</x:v>
      </x:c>
      <x:c r="H363" t="str">
        <x:v>independent physical acceptance</x:v>
      </x:c>
      <x:c r="I363" t="str">
        <x:f>IF(E363=1,"PASS","OPEN")</x:f>
        <x:v>OPEN</x:v>
      </x:c>
    </x:row>
    <x:row r="364">
      <x:c r="B364" t="str">
        <x:v>PH-TG-9-G</x:v>
      </x:c>
      <x:c r="C364" t="str">
        <x:v>PHYSICAL</x:v>
      </x:c>
      <x:c r="D364" t="str">
        <x:v>terrain geometry</x:v>
      </x:c>
      <x:c r="E364" t="n">
        <x:f>IF('Terrain Field'!J15&lt;&gt;"",1,0)</x:f>
        <x:v>0</x:v>
      </x:c>
      <x:c r="F364" t="n">
        <x:v>1</x:v>
      </x:c>
      <x:c r="G364" t="str">
        <x:v>equals</x:v>
      </x:c>
      <x:c r="H364" t="str">
        <x:v>independent physical acceptance</x:v>
      </x:c>
      <x:c r="I364" t="str">
        <x:f>IF(E364=1,"PASS","OPEN")</x:f>
        <x:v>OPEN</x:v>
      </x:c>
    </x:row>
    <x:row r="365">
      <x:c r="B365" t="str">
        <x:v>PH-TG-9-L</x:v>
      </x:c>
      <x:c r="C365" t="str">
        <x:v>PHYSICAL</x:v>
      </x:c>
      <x:c r="D365" t="str">
        <x:v>terrain load</x:v>
      </x:c>
      <x:c r="E365" t="n">
        <x:f>IF('Terrain Field'!K15&lt;&gt;"",1,0)</x:f>
        <x:v>0</x:v>
      </x:c>
      <x:c r="F365" t="n">
        <x:v>1</x:v>
      </x:c>
      <x:c r="G365" t="str">
        <x:v>equals</x:v>
      </x:c>
      <x:c r="H365" t="str">
        <x:v>independent physical acceptance</x:v>
      </x:c>
      <x:c r="I365" t="str">
        <x:f>IF(E365=1,"PASS","OPEN")</x:f>
        <x:v>OPEN</x:v>
      </x:c>
    </x:row>
    <x:row r="366">
      <x:c r="B366" t="str">
        <x:v>PH-TG-10-G</x:v>
      </x:c>
      <x:c r="C366" t="str">
        <x:v>PHYSICAL</x:v>
      </x:c>
      <x:c r="D366" t="str">
        <x:v>terrain geometry</x:v>
      </x:c>
      <x:c r="E366" t="n">
        <x:f>IF('Terrain Field'!J16&lt;&gt;"",1,0)</x:f>
        <x:v>0</x:v>
      </x:c>
      <x:c r="F366" t="n">
        <x:v>1</x:v>
      </x:c>
      <x:c r="G366" t="str">
        <x:v>equals</x:v>
      </x:c>
      <x:c r="H366" t="str">
        <x:v>independent physical acceptance</x:v>
      </x:c>
      <x:c r="I366" t="str">
        <x:f>IF(E366=1,"PASS","OPEN")</x:f>
        <x:v>OPEN</x:v>
      </x:c>
    </x:row>
    <x:row r="367">
      <x:c r="B367" t="str">
        <x:v>PH-TG-10-L</x:v>
      </x:c>
      <x:c r="C367" t="str">
        <x:v>PHYSICAL</x:v>
      </x:c>
      <x:c r="D367" t="str">
        <x:v>terrain load</x:v>
      </x:c>
      <x:c r="E367" t="n">
        <x:f>IF('Terrain Field'!K16&lt;&gt;"",1,0)</x:f>
        <x:v>0</x:v>
      </x:c>
      <x:c r="F367" t="n">
        <x:v>1</x:v>
      </x:c>
      <x:c r="G367" t="str">
        <x:v>equals</x:v>
      </x:c>
      <x:c r="H367" t="str">
        <x:v>independent physical acceptance</x:v>
      </x:c>
      <x:c r="I367" t="str">
        <x:f>IF(E367=1,"PASS","OPEN")</x:f>
        <x:v>OPEN</x:v>
      </x:c>
    </x:row>
    <x:row r="368">
      <x:c r="B368" t="str">
        <x:v>PH-TG-11-G</x:v>
      </x:c>
      <x:c r="C368" t="str">
        <x:v>PHYSICAL</x:v>
      </x:c>
      <x:c r="D368" t="str">
        <x:v>terrain geometry</x:v>
      </x:c>
      <x:c r="E368" t="n">
        <x:f>IF('Terrain Field'!J17&lt;&gt;"",1,0)</x:f>
        <x:v>0</x:v>
      </x:c>
      <x:c r="F368" t="n">
        <x:v>1</x:v>
      </x:c>
      <x:c r="G368" t="str">
        <x:v>equals</x:v>
      </x:c>
      <x:c r="H368" t="str">
        <x:v>independent physical acceptance</x:v>
      </x:c>
      <x:c r="I368" t="str">
        <x:f>IF(E368=1,"PASS","OPEN")</x:f>
        <x:v>OPEN</x:v>
      </x:c>
    </x:row>
    <x:row r="369">
      <x:c r="B369" t="str">
        <x:v>PH-TG-11-L</x:v>
      </x:c>
      <x:c r="C369" t="str">
        <x:v>PHYSICAL</x:v>
      </x:c>
      <x:c r="D369" t="str">
        <x:v>terrain load</x:v>
      </x:c>
      <x:c r="E369" t="n">
        <x:f>IF('Terrain Field'!K17&lt;&gt;"",1,0)</x:f>
        <x:v>0</x:v>
      </x:c>
      <x:c r="F369" t="n">
        <x:v>1</x:v>
      </x:c>
      <x:c r="G369" t="str">
        <x:v>equals</x:v>
      </x:c>
      <x:c r="H369" t="str">
        <x:v>independent physical acceptance</x:v>
      </x:c>
      <x:c r="I369" t="str">
        <x:f>IF(E369=1,"PASS","OPEN")</x:f>
        <x:v>OPEN</x:v>
      </x:c>
    </x:row>
    <x:row r="370">
      <x:c r="B370" t="str">
        <x:v>PH-TG-12-G</x:v>
      </x:c>
      <x:c r="C370" t="str">
        <x:v>PHYSICAL</x:v>
      </x:c>
      <x:c r="D370" t="str">
        <x:v>terrain geometry</x:v>
      </x:c>
      <x:c r="E370" t="n">
        <x:f>IF('Terrain Field'!J18&lt;&gt;"",1,0)</x:f>
        <x:v>0</x:v>
      </x:c>
      <x:c r="F370" t="n">
        <x:v>1</x:v>
      </x:c>
      <x:c r="G370" t="str">
        <x:v>equals</x:v>
      </x:c>
      <x:c r="H370" t="str">
        <x:v>independent physical acceptance</x:v>
      </x:c>
      <x:c r="I370" t="str">
        <x:f>IF(E370=1,"PASS","OPEN")</x:f>
        <x:v>OPEN</x:v>
      </x:c>
    </x:row>
    <x:row r="371">
      <x:c r="B371" t="str">
        <x:v>PH-TG-12-L</x:v>
      </x:c>
      <x:c r="C371" t="str">
        <x:v>PHYSICAL</x:v>
      </x:c>
      <x:c r="D371" t="str">
        <x:v>terrain load</x:v>
      </x:c>
      <x:c r="E371" t="n">
        <x:f>IF('Terrain Field'!K18&lt;&gt;"",1,0)</x:f>
        <x:v>0</x:v>
      </x:c>
      <x:c r="F371" t="n">
        <x:v>1</x:v>
      </x:c>
      <x:c r="G371" t="str">
        <x:v>equals</x:v>
      </x:c>
      <x:c r="H371" t="str">
        <x:v>independent physical acceptance</x:v>
      </x:c>
      <x:c r="I371" t="str">
        <x:f>IF(E371=1,"PASS","OPEN")</x:f>
        <x:v>OPEN</x:v>
      </x:c>
    </x:row>
    <x:row r="372">
      <x:c r="B372" t="str">
        <x:v>PH-TG-13-G</x:v>
      </x:c>
      <x:c r="C372" t="str">
        <x:v>PHYSICAL</x:v>
      </x:c>
      <x:c r="D372" t="str">
        <x:v>terrain geometry</x:v>
      </x:c>
      <x:c r="E372" t="n">
        <x:f>IF('Terrain Field'!J19&lt;&gt;"",1,0)</x:f>
        <x:v>0</x:v>
      </x:c>
      <x:c r="F372" t="n">
        <x:v>1</x:v>
      </x:c>
      <x:c r="G372" t="str">
        <x:v>equals</x:v>
      </x:c>
      <x:c r="H372" t="str">
        <x:v>independent physical acceptance</x:v>
      </x:c>
      <x:c r="I372" t="str">
        <x:f>IF(E372=1,"PASS","OPEN")</x:f>
        <x:v>OPEN</x:v>
      </x:c>
    </x:row>
    <x:row r="373">
      <x:c r="B373" t="str">
        <x:v>PH-TG-13-L</x:v>
      </x:c>
      <x:c r="C373" t="str">
        <x:v>PHYSICAL</x:v>
      </x:c>
      <x:c r="D373" t="str">
        <x:v>terrain load</x:v>
      </x:c>
      <x:c r="E373" t="n">
        <x:f>IF('Terrain Field'!K19&lt;&gt;"",1,0)</x:f>
        <x:v>0</x:v>
      </x:c>
      <x:c r="F373" t="n">
        <x:v>1</x:v>
      </x:c>
      <x:c r="G373" t="str">
        <x:v>equals</x:v>
      </x:c>
      <x:c r="H373" t="str">
        <x:v>independent physical acceptance</x:v>
      </x:c>
      <x:c r="I373" t="str">
        <x:f>IF(E373=1,"PASS","OPEN")</x:f>
        <x:v>OPEN</x:v>
      </x:c>
    </x:row>
    <x:row r="374">
      <x:c r="B374" t="str">
        <x:v>PH-TG-14-G</x:v>
      </x:c>
      <x:c r="C374" t="str">
        <x:v>PHYSICAL</x:v>
      </x:c>
      <x:c r="D374" t="str">
        <x:v>terrain geometry</x:v>
      </x:c>
      <x:c r="E374" t="n">
        <x:f>IF('Terrain Field'!J20&lt;&gt;"",1,0)</x:f>
        <x:v>0</x:v>
      </x:c>
      <x:c r="F374" t="n">
        <x:v>1</x:v>
      </x:c>
      <x:c r="G374" t="str">
        <x:v>equals</x:v>
      </x:c>
      <x:c r="H374" t="str">
        <x:v>independent physical acceptance</x:v>
      </x:c>
      <x:c r="I374" t="str">
        <x:f>IF(E374=1,"PASS","OPEN")</x:f>
        <x:v>OPEN</x:v>
      </x:c>
    </x:row>
    <x:row r="375">
      <x:c r="B375" t="str">
        <x:v>PH-TG-14-L</x:v>
      </x:c>
      <x:c r="C375" t="str">
        <x:v>PHYSICAL</x:v>
      </x:c>
      <x:c r="D375" t="str">
        <x:v>terrain load</x:v>
      </x:c>
      <x:c r="E375" t="n">
        <x:f>IF('Terrain Field'!K20&lt;&gt;"",1,0)</x:f>
        <x:v>0</x:v>
      </x:c>
      <x:c r="F375" t="n">
        <x:v>1</x:v>
      </x:c>
      <x:c r="G375" t="str">
        <x:v>equals</x:v>
      </x:c>
      <x:c r="H375" t="str">
        <x:v>independent physical acceptance</x:v>
      </x:c>
      <x:c r="I375" t="str">
        <x:f>IF(E375=1,"PASS","OPEN")</x:f>
        <x:v>OPEN</x:v>
      </x:c>
    </x:row>
    <x:row r="376">
      <x:c r="B376" t="str">
        <x:v>PH-TG-15-G</x:v>
      </x:c>
      <x:c r="C376" t="str">
        <x:v>PHYSICAL</x:v>
      </x:c>
      <x:c r="D376" t="str">
        <x:v>terrain geometry</x:v>
      </x:c>
      <x:c r="E376" t="n">
        <x:f>IF('Terrain Field'!J21&lt;&gt;"",1,0)</x:f>
        <x:v>0</x:v>
      </x:c>
      <x:c r="F376" t="n">
        <x:v>1</x:v>
      </x:c>
      <x:c r="G376" t="str">
        <x:v>equals</x:v>
      </x:c>
      <x:c r="H376" t="str">
        <x:v>independent physical acceptance</x:v>
      </x:c>
      <x:c r="I376" t="str">
        <x:f>IF(E376=1,"PASS","OPEN")</x:f>
        <x:v>OPEN</x:v>
      </x:c>
    </x:row>
    <x:row r="377">
      <x:c r="B377" t="str">
        <x:v>PH-TG-15-L</x:v>
      </x:c>
      <x:c r="C377" t="str">
        <x:v>PHYSICAL</x:v>
      </x:c>
      <x:c r="D377" t="str">
        <x:v>terrain load</x:v>
      </x:c>
      <x:c r="E377" t="n">
        <x:f>IF('Terrain Field'!K21&lt;&gt;"",1,0)</x:f>
        <x:v>0</x:v>
      </x:c>
      <x:c r="F377" t="n">
        <x:v>1</x:v>
      </x:c>
      <x:c r="G377" t="str">
        <x:v>equals</x:v>
      </x:c>
      <x:c r="H377" t="str">
        <x:v>independent physical acceptance</x:v>
      </x:c>
      <x:c r="I377" t="str">
        <x:f>IF(E377=1,"PASS","OPEN")</x:f>
        <x:v>OPEN</x:v>
      </x:c>
    </x:row>
    <x:row r="378">
      <x:c r="B378" t="str">
        <x:v>PH-TG-16-G</x:v>
      </x:c>
      <x:c r="C378" t="str">
        <x:v>PHYSICAL</x:v>
      </x:c>
      <x:c r="D378" t="str">
        <x:v>terrain geometry</x:v>
      </x:c>
      <x:c r="E378" t="n">
        <x:f>IF('Terrain Field'!J22&lt;&gt;"",1,0)</x:f>
        <x:v>0</x:v>
      </x:c>
      <x:c r="F378" t="n">
        <x:v>1</x:v>
      </x:c>
      <x:c r="G378" t="str">
        <x:v>equals</x:v>
      </x:c>
      <x:c r="H378" t="str">
        <x:v>independent physical acceptance</x:v>
      </x:c>
      <x:c r="I378" t="str">
        <x:f>IF(E378=1,"PASS","OPEN")</x:f>
        <x:v>OPEN</x:v>
      </x:c>
    </x:row>
    <x:row r="379">
      <x:c r="B379" t="str">
        <x:v>PH-TG-16-L</x:v>
      </x:c>
      <x:c r="C379" t="str">
        <x:v>PHYSICAL</x:v>
      </x:c>
      <x:c r="D379" t="str">
        <x:v>terrain load</x:v>
      </x:c>
      <x:c r="E379" t="n">
        <x:f>IF('Terrain Field'!K22&lt;&gt;"",1,0)</x:f>
        <x:v>0</x:v>
      </x:c>
      <x:c r="F379" t="n">
        <x:v>1</x:v>
      </x:c>
      <x:c r="G379" t="str">
        <x:v>equals</x:v>
      </x:c>
      <x:c r="H379" t="str">
        <x:v>independent physical acceptance</x:v>
      </x:c>
      <x:c r="I379" t="str">
        <x:f>IF(E379=1,"PASS","OPEN")</x:f>
        <x:v>OPEN</x:v>
      </x:c>
    </x:row>
    <x:row r="380">
      <x:c r="B380" t="str">
        <x:v>PH-TG-17-G</x:v>
      </x:c>
      <x:c r="C380" t="str">
        <x:v>PHYSICAL</x:v>
      </x:c>
      <x:c r="D380" t="str">
        <x:v>terrain geometry</x:v>
      </x:c>
      <x:c r="E380" t="n">
        <x:f>IF('Terrain Field'!J23&lt;&gt;"",1,0)</x:f>
        <x:v>0</x:v>
      </x:c>
      <x:c r="F380" t="n">
        <x:v>1</x:v>
      </x:c>
      <x:c r="G380" t="str">
        <x:v>equals</x:v>
      </x:c>
      <x:c r="H380" t="str">
        <x:v>independent physical acceptance</x:v>
      </x:c>
      <x:c r="I380" t="str">
        <x:f>IF(E380=1,"PASS","OPEN")</x:f>
        <x:v>OPEN</x:v>
      </x:c>
    </x:row>
    <x:row r="381">
      <x:c r="B381" t="str">
        <x:v>PH-TG-17-L</x:v>
      </x:c>
      <x:c r="C381" t="str">
        <x:v>PHYSICAL</x:v>
      </x:c>
      <x:c r="D381" t="str">
        <x:v>terrain load</x:v>
      </x:c>
      <x:c r="E381" t="n">
        <x:f>IF('Terrain Field'!K23&lt;&gt;"",1,0)</x:f>
        <x:v>0</x:v>
      </x:c>
      <x:c r="F381" t="n">
        <x:v>1</x:v>
      </x:c>
      <x:c r="G381" t="str">
        <x:v>equals</x:v>
      </x:c>
      <x:c r="H381" t="str">
        <x:v>independent physical acceptance</x:v>
      </x:c>
      <x:c r="I381" t="str">
        <x:f>IF(E381=1,"PASS","OPEN")</x:f>
        <x:v>OPEN</x:v>
      </x:c>
    </x:row>
    <x:row r="382">
      <x:c r="B382" t="str">
        <x:v>PH-TG-18-G</x:v>
      </x:c>
      <x:c r="C382" t="str">
        <x:v>PHYSICAL</x:v>
      </x:c>
      <x:c r="D382" t="str">
        <x:v>terrain geometry</x:v>
      </x:c>
      <x:c r="E382" t="n">
        <x:f>IF('Terrain Field'!J24&lt;&gt;"",1,0)</x:f>
        <x:v>0</x:v>
      </x:c>
      <x:c r="F382" t="n">
        <x:v>1</x:v>
      </x:c>
      <x:c r="G382" t="str">
        <x:v>equals</x:v>
      </x:c>
      <x:c r="H382" t="str">
        <x:v>independent physical acceptance</x:v>
      </x:c>
      <x:c r="I382" t="str">
        <x:f>IF(E382=1,"PASS","OPEN")</x:f>
        <x:v>OPEN</x:v>
      </x:c>
    </x:row>
    <x:row r="383">
      <x:c r="B383" t="str">
        <x:v>PH-TG-18-L</x:v>
      </x:c>
      <x:c r="C383" t="str">
        <x:v>PHYSICAL</x:v>
      </x:c>
      <x:c r="D383" t="str">
        <x:v>terrain load</x:v>
      </x:c>
      <x:c r="E383" t="n">
        <x:f>IF('Terrain Field'!K24&lt;&gt;"",1,0)</x:f>
        <x:v>0</x:v>
      </x:c>
      <x:c r="F383" t="n">
        <x:v>1</x:v>
      </x:c>
      <x:c r="G383" t="str">
        <x:v>equals</x:v>
      </x:c>
      <x:c r="H383" t="str">
        <x:v>independent physical acceptance</x:v>
      </x:c>
      <x:c r="I383" t="str">
        <x:f>IF(E383=1,"PASS","OPEN")</x:f>
        <x:v>OPEN</x:v>
      </x:c>
    </x:row>
    <x:row r="384">
      <x:c r="B384" t="str">
        <x:v>PH-TG-19-G</x:v>
      </x:c>
      <x:c r="C384" t="str">
        <x:v>PHYSICAL</x:v>
      </x:c>
      <x:c r="D384" t="str">
        <x:v>terrain geometry</x:v>
      </x:c>
      <x:c r="E384" t="n">
        <x:f>IF('Terrain Field'!J25&lt;&gt;"",1,0)</x:f>
        <x:v>0</x:v>
      </x:c>
      <x:c r="F384" t="n">
        <x:v>1</x:v>
      </x:c>
      <x:c r="G384" t="str">
        <x:v>equals</x:v>
      </x:c>
      <x:c r="H384" t="str">
        <x:v>independent physical acceptance</x:v>
      </x:c>
      <x:c r="I384" t="str">
        <x:f>IF(E384=1,"PASS","OPEN")</x:f>
        <x:v>OPEN</x:v>
      </x:c>
    </x:row>
    <x:row r="385">
      <x:c r="B385" t="str">
        <x:v>PH-TG-19-L</x:v>
      </x:c>
      <x:c r="C385" t="str">
        <x:v>PHYSICAL</x:v>
      </x:c>
      <x:c r="D385" t="str">
        <x:v>terrain load</x:v>
      </x:c>
      <x:c r="E385" t="n">
        <x:f>IF('Terrain Field'!K25&lt;&gt;"",1,0)</x:f>
        <x:v>0</x:v>
      </x:c>
      <x:c r="F385" t="n">
        <x:v>1</x:v>
      </x:c>
      <x:c r="G385" t="str">
        <x:v>equals</x:v>
      </x:c>
      <x:c r="H385" t="str">
        <x:v>independent physical acceptance</x:v>
      </x:c>
      <x:c r="I385" t="str">
        <x:f>IF(E385=1,"PASS","OPEN")</x:f>
        <x:v>OPEN</x:v>
      </x:c>
    </x:row>
    <x:row r="386">
      <x:c r="B386" t="str">
        <x:v>PH-TG-20-G</x:v>
      </x:c>
      <x:c r="C386" t="str">
        <x:v>PHYSICAL</x:v>
      </x:c>
      <x:c r="D386" t="str">
        <x:v>terrain geometry</x:v>
      </x:c>
      <x:c r="E386" t="n">
        <x:f>IF('Terrain Field'!J26&lt;&gt;"",1,0)</x:f>
        <x:v>0</x:v>
      </x:c>
      <x:c r="F386" t="n">
        <x:v>1</x:v>
      </x:c>
      <x:c r="G386" t="str">
        <x:v>equals</x:v>
      </x:c>
      <x:c r="H386" t="str">
        <x:v>independent physical acceptance</x:v>
      </x:c>
      <x:c r="I386" t="str">
        <x:f>IF(E386=1,"PASS","OPEN")</x:f>
        <x:v>OPEN</x:v>
      </x:c>
    </x:row>
    <x:row r="387">
      <x:c r="B387" t="str">
        <x:v>PH-TG-20-L</x:v>
      </x:c>
      <x:c r="C387" t="str">
        <x:v>PHYSICAL</x:v>
      </x:c>
      <x:c r="D387" t="str">
        <x:v>terrain load</x:v>
      </x:c>
      <x:c r="E387" t="n">
        <x:f>IF('Terrain Field'!K26&lt;&gt;"",1,0)</x:f>
        <x:v>0</x:v>
      </x:c>
      <x:c r="F387" t="n">
        <x:v>1</x:v>
      </x:c>
      <x:c r="G387" t="str">
        <x:v>equals</x:v>
      </x:c>
      <x:c r="H387" t="str">
        <x:v>independent physical acceptance</x:v>
      </x:c>
      <x:c r="I387" t="str">
        <x:f>IF(E387=1,"PASS","OPEN")</x:f>
        <x:v>OPEN</x:v>
      </x:c>
    </x:row>
    <x:row r="388">
      <x:c r="B388" t="str">
        <x:v>PH-TG-21-G</x:v>
      </x:c>
      <x:c r="C388" t="str">
        <x:v>PHYSICAL</x:v>
      </x:c>
      <x:c r="D388" t="str">
        <x:v>terrain geometry</x:v>
      </x:c>
      <x:c r="E388" t="n">
        <x:f>IF('Terrain Field'!J27&lt;&gt;"",1,0)</x:f>
        <x:v>0</x:v>
      </x:c>
      <x:c r="F388" t="n">
        <x:v>1</x:v>
      </x:c>
      <x:c r="G388" t="str">
        <x:v>equals</x:v>
      </x:c>
      <x:c r="H388" t="str">
        <x:v>independent physical acceptance</x:v>
      </x:c>
      <x:c r="I388" t="str">
        <x:f>IF(E388=1,"PASS","OPEN")</x:f>
        <x:v>OPEN</x:v>
      </x:c>
    </x:row>
    <x:row r="389">
      <x:c r="B389" t="str">
        <x:v>PH-TG-21-L</x:v>
      </x:c>
      <x:c r="C389" t="str">
        <x:v>PHYSICAL</x:v>
      </x:c>
      <x:c r="D389" t="str">
        <x:v>terrain load</x:v>
      </x:c>
      <x:c r="E389" t="n">
        <x:f>IF('Terrain Field'!K27&lt;&gt;"",1,0)</x:f>
        <x:v>0</x:v>
      </x:c>
      <x:c r="F389" t="n">
        <x:v>1</x:v>
      </x:c>
      <x:c r="G389" t="str">
        <x:v>equals</x:v>
      </x:c>
      <x:c r="H389" t="str">
        <x:v>independent physical acceptance</x:v>
      </x:c>
      <x:c r="I389" t="str">
        <x:f>IF(E389=1,"PASS","OPEN")</x:f>
        <x:v>OPEN</x:v>
      </x:c>
    </x:row>
    <x:row r="390">
      <x:c r="B390" t="str">
        <x:v>PH-TG-22-G</x:v>
      </x:c>
      <x:c r="C390" t="str">
        <x:v>PHYSICAL</x:v>
      </x:c>
      <x:c r="D390" t="str">
        <x:v>terrain geometry</x:v>
      </x:c>
      <x:c r="E390" t="n">
        <x:f>IF('Terrain Field'!J28&lt;&gt;"",1,0)</x:f>
        <x:v>0</x:v>
      </x:c>
      <x:c r="F390" t="n">
        <x:v>1</x:v>
      </x:c>
      <x:c r="G390" t="str">
        <x:v>equals</x:v>
      </x:c>
      <x:c r="H390" t="str">
        <x:v>independent physical acceptance</x:v>
      </x:c>
      <x:c r="I390" t="str">
        <x:f>IF(E390=1,"PASS","OPEN")</x:f>
        <x:v>OPEN</x:v>
      </x:c>
    </x:row>
    <x:row r="391">
      <x:c r="B391" t="str">
        <x:v>PH-TG-22-L</x:v>
      </x:c>
      <x:c r="C391" t="str">
        <x:v>PHYSICAL</x:v>
      </x:c>
      <x:c r="D391" t="str">
        <x:v>terrain load</x:v>
      </x:c>
      <x:c r="E391" t="n">
        <x:f>IF('Terrain Field'!K28&lt;&gt;"",1,0)</x:f>
        <x:v>0</x:v>
      </x:c>
      <x:c r="F391" t="n">
        <x:v>1</x:v>
      </x:c>
      <x:c r="G391" t="str">
        <x:v>equals</x:v>
      </x:c>
      <x:c r="H391" t="str">
        <x:v>independent physical acceptance</x:v>
      </x:c>
      <x:c r="I391" t="str">
        <x:f>IF(E391=1,"PASS","OPEN")</x:f>
        <x:v>OPEN</x:v>
      </x:c>
    </x:row>
    <x:row r="392">
      <x:c r="B392" t="str">
        <x:v>PH-TG-23-G</x:v>
      </x:c>
      <x:c r="C392" t="str">
        <x:v>PHYSICAL</x:v>
      </x:c>
      <x:c r="D392" t="str">
        <x:v>terrain geometry</x:v>
      </x:c>
      <x:c r="E392" t="n">
        <x:f>IF('Terrain Field'!J29&lt;&gt;"",1,0)</x:f>
        <x:v>0</x:v>
      </x:c>
      <x:c r="F392" t="n">
        <x:v>1</x:v>
      </x:c>
      <x:c r="G392" t="str">
        <x:v>equals</x:v>
      </x:c>
      <x:c r="H392" t="str">
        <x:v>independent physical acceptance</x:v>
      </x:c>
      <x:c r="I392" t="str">
        <x:f>IF(E392=1,"PASS","OPEN")</x:f>
        <x:v>OPEN</x:v>
      </x:c>
    </x:row>
    <x:row r="393">
      <x:c r="B393" t="str">
        <x:v>PH-TG-23-L</x:v>
      </x:c>
      <x:c r="C393" t="str">
        <x:v>PHYSICAL</x:v>
      </x:c>
      <x:c r="D393" t="str">
        <x:v>terrain load</x:v>
      </x:c>
      <x:c r="E393" t="n">
        <x:f>IF('Terrain Field'!K29&lt;&gt;"",1,0)</x:f>
        <x:v>0</x:v>
      </x:c>
      <x:c r="F393" t="n">
        <x:v>1</x:v>
      </x:c>
      <x:c r="G393" t="str">
        <x:v>equals</x:v>
      </x:c>
      <x:c r="H393" t="str">
        <x:v>independent physical acceptance</x:v>
      </x:c>
      <x:c r="I393" t="str">
        <x:f>IF(E393=1,"PASS","OPEN")</x:f>
        <x:v>OPEN</x:v>
      </x:c>
    </x:row>
    <x:row r="394">
      <x:c r="B394" t="str">
        <x:v>PH-TG-24-G</x:v>
      </x:c>
      <x:c r="C394" t="str">
        <x:v>PHYSICAL</x:v>
      </x:c>
      <x:c r="D394" t="str">
        <x:v>terrain geometry</x:v>
      </x:c>
      <x:c r="E394" t="n">
        <x:f>IF('Terrain Field'!J30&lt;&gt;"",1,0)</x:f>
        <x:v>0</x:v>
      </x:c>
      <x:c r="F394" t="n">
        <x:v>1</x:v>
      </x:c>
      <x:c r="G394" t="str">
        <x:v>equals</x:v>
      </x:c>
      <x:c r="H394" t="str">
        <x:v>independent physical acceptance</x:v>
      </x:c>
      <x:c r="I394" t="str">
        <x:f>IF(E394=1,"PASS","OPEN")</x:f>
        <x:v>OPEN</x:v>
      </x:c>
    </x:row>
    <x:row r="395">
      <x:c r="B395" t="str">
        <x:v>PH-TG-24-L</x:v>
      </x:c>
      <x:c r="C395" t="str">
        <x:v>PHYSICAL</x:v>
      </x:c>
      <x:c r="D395" t="str">
        <x:v>terrain load</x:v>
      </x:c>
      <x:c r="E395" t="n">
        <x:f>IF('Terrain Field'!K30&lt;&gt;"",1,0)</x:f>
        <x:v>0</x:v>
      </x:c>
      <x:c r="F395" t="n">
        <x:v>1</x:v>
      </x:c>
      <x:c r="G395" t="str">
        <x:v>equals</x:v>
      </x:c>
      <x:c r="H395" t="str">
        <x:v>independent physical acceptance</x:v>
      </x:c>
      <x:c r="I395" t="str">
        <x:f>IF(E395=1,"PASS","OPEN")</x:f>
        <x:v>OPEN</x:v>
      </x:c>
    </x:row>
    <x:row r="396">
      <x:c r="B396" t="str">
        <x:v>PH-TG-25-G</x:v>
      </x:c>
      <x:c r="C396" t="str">
        <x:v>PHYSICAL</x:v>
      </x:c>
      <x:c r="D396" t="str">
        <x:v>terrain geometry</x:v>
      </x:c>
      <x:c r="E396" t="n">
        <x:f>IF('Terrain Field'!J31&lt;&gt;"",1,0)</x:f>
        <x:v>0</x:v>
      </x:c>
      <x:c r="F396" t="n">
        <x:v>1</x:v>
      </x:c>
      <x:c r="G396" t="str">
        <x:v>equals</x:v>
      </x:c>
      <x:c r="H396" t="str">
        <x:v>independent physical acceptance</x:v>
      </x:c>
      <x:c r="I396" t="str">
        <x:f>IF(E396=1,"PASS","OPEN")</x:f>
        <x:v>OPEN</x:v>
      </x:c>
    </x:row>
    <x:row r="397">
      <x:c r="B397" t="str">
        <x:v>PH-TG-25-L</x:v>
      </x:c>
      <x:c r="C397" t="str">
        <x:v>PHYSICAL</x:v>
      </x:c>
      <x:c r="D397" t="str">
        <x:v>terrain load</x:v>
      </x:c>
      <x:c r="E397" t="n">
        <x:f>IF('Terrain Field'!K31&lt;&gt;"",1,0)</x:f>
        <x:v>0</x:v>
      </x:c>
      <x:c r="F397" t="n">
        <x:v>1</x:v>
      </x:c>
      <x:c r="G397" t="str">
        <x:v>equals</x:v>
      </x:c>
      <x:c r="H397" t="str">
        <x:v>independent physical acceptance</x:v>
      </x:c>
      <x:c r="I397" t="str">
        <x:f>IF(E397=1,"PASS","OPEN")</x:f>
        <x:v>OPEN</x:v>
      </x:c>
    </x:row>
    <x:row r="398">
      <x:c r="B398" t="str">
        <x:v>PH-TG-26-G</x:v>
      </x:c>
      <x:c r="C398" t="str">
        <x:v>PHYSICAL</x:v>
      </x:c>
      <x:c r="D398" t="str">
        <x:v>terrain geometry</x:v>
      </x:c>
      <x:c r="E398" t="n">
        <x:f>IF('Terrain Field'!J32&lt;&gt;"",1,0)</x:f>
        <x:v>0</x:v>
      </x:c>
      <x:c r="F398" t="n">
        <x:v>1</x:v>
      </x:c>
      <x:c r="G398" t="str">
        <x:v>equals</x:v>
      </x:c>
      <x:c r="H398" t="str">
        <x:v>independent physical acceptance</x:v>
      </x:c>
      <x:c r="I398" t="str">
        <x:f>IF(E398=1,"PASS","OPEN")</x:f>
        <x:v>OPEN</x:v>
      </x:c>
    </x:row>
    <x:row r="399">
      <x:c r="B399" t="str">
        <x:v>PH-TG-26-L</x:v>
      </x:c>
      <x:c r="C399" t="str">
        <x:v>PHYSICAL</x:v>
      </x:c>
      <x:c r="D399" t="str">
        <x:v>terrain load</x:v>
      </x:c>
      <x:c r="E399" t="n">
        <x:f>IF('Terrain Field'!K32&lt;&gt;"",1,0)</x:f>
        <x:v>0</x:v>
      </x:c>
      <x:c r="F399" t="n">
        <x:v>1</x:v>
      </x:c>
      <x:c r="G399" t="str">
        <x:v>equals</x:v>
      </x:c>
      <x:c r="H399" t="str">
        <x:v>independent physical acceptance</x:v>
      </x:c>
      <x:c r="I399" t="str">
        <x:f>IF(E399=1,"PASS","OPEN")</x:f>
        <x:v>OPEN</x:v>
      </x:c>
    </x:row>
    <x:row r="400">
      <x:c r="B400" t="str">
        <x:v>PH-TG-27-G</x:v>
      </x:c>
      <x:c r="C400" t="str">
        <x:v>PHYSICAL</x:v>
      </x:c>
      <x:c r="D400" t="str">
        <x:v>terrain geometry</x:v>
      </x:c>
      <x:c r="E400" t="n">
        <x:f>IF('Terrain Field'!J33&lt;&gt;"",1,0)</x:f>
        <x:v>0</x:v>
      </x:c>
      <x:c r="F400" t="n">
        <x:v>1</x:v>
      </x:c>
      <x:c r="G400" t="str">
        <x:v>equals</x:v>
      </x:c>
      <x:c r="H400" t="str">
        <x:v>independent physical acceptance</x:v>
      </x:c>
      <x:c r="I400" t="str">
        <x:f>IF(E400=1,"PASS","OPEN")</x:f>
        <x:v>OPEN</x:v>
      </x:c>
    </x:row>
    <x:row r="401">
      <x:c r="B401" t="str">
        <x:v>PH-TG-27-L</x:v>
      </x:c>
      <x:c r="C401" t="str">
        <x:v>PHYSICAL</x:v>
      </x:c>
      <x:c r="D401" t="str">
        <x:v>terrain load</x:v>
      </x:c>
      <x:c r="E401" t="n">
        <x:f>IF('Terrain Field'!K33&lt;&gt;"",1,0)</x:f>
        <x:v>0</x:v>
      </x:c>
      <x:c r="F401" t="n">
        <x:v>1</x:v>
      </x:c>
      <x:c r="G401" t="str">
        <x:v>equals</x:v>
      </x:c>
      <x:c r="H401" t="str">
        <x:v>independent physical acceptance</x:v>
      </x:c>
      <x:c r="I401" t="str">
        <x:f>IF(E401=1,"PASS","OPEN")</x:f>
        <x:v>OPEN</x:v>
      </x:c>
    </x:row>
    <x:row r="402">
      <x:c r="B402" t="str">
        <x:v>PH-TG-28-G</x:v>
      </x:c>
      <x:c r="C402" t="str">
        <x:v>PHYSICAL</x:v>
      </x:c>
      <x:c r="D402" t="str">
        <x:v>terrain geometry</x:v>
      </x:c>
      <x:c r="E402" t="n">
        <x:f>IF('Terrain Field'!J34&lt;&gt;"",1,0)</x:f>
        <x:v>0</x:v>
      </x:c>
      <x:c r="F402" t="n">
        <x:v>1</x:v>
      </x:c>
      <x:c r="G402" t="str">
        <x:v>equals</x:v>
      </x:c>
      <x:c r="H402" t="str">
        <x:v>independent physical acceptance</x:v>
      </x:c>
      <x:c r="I402" t="str">
        <x:f>IF(E402=1,"PASS","OPEN")</x:f>
        <x:v>OPEN</x:v>
      </x:c>
    </x:row>
    <x:row r="403">
      <x:c r="B403" t="str">
        <x:v>PH-TG-28-L</x:v>
      </x:c>
      <x:c r="C403" t="str">
        <x:v>PHYSICAL</x:v>
      </x:c>
      <x:c r="D403" t="str">
        <x:v>terrain load</x:v>
      </x:c>
      <x:c r="E403" t="n">
        <x:f>IF('Terrain Field'!K34&lt;&gt;"",1,0)</x:f>
        <x:v>0</x:v>
      </x:c>
      <x:c r="F403" t="n">
        <x:v>1</x:v>
      </x:c>
      <x:c r="G403" t="str">
        <x:v>equals</x:v>
      </x:c>
      <x:c r="H403" t="str">
        <x:v>independent physical acceptance</x:v>
      </x:c>
      <x:c r="I403" t="str">
        <x:f>IF(E403=1,"PASS","OPEN")</x:f>
        <x:v>OPEN</x:v>
      </x:c>
    </x:row>
    <x:row r="404">
      <x:c r="B404" t="str">
        <x:v>PH-TG-29-G</x:v>
      </x:c>
      <x:c r="C404" t="str">
        <x:v>PHYSICAL</x:v>
      </x:c>
      <x:c r="D404" t="str">
        <x:v>terrain geometry</x:v>
      </x:c>
      <x:c r="E404" t="n">
        <x:f>IF('Terrain Field'!J35&lt;&gt;"",1,0)</x:f>
        <x:v>0</x:v>
      </x:c>
      <x:c r="F404" t="n">
        <x:v>1</x:v>
      </x:c>
      <x:c r="G404" t="str">
        <x:v>equals</x:v>
      </x:c>
      <x:c r="H404" t="str">
        <x:v>independent physical acceptance</x:v>
      </x:c>
      <x:c r="I404" t="str">
        <x:f>IF(E404=1,"PASS","OPEN")</x:f>
        <x:v>OPEN</x:v>
      </x:c>
    </x:row>
    <x:row r="405">
      <x:c r="B405" t="str">
        <x:v>PH-TG-29-L</x:v>
      </x:c>
      <x:c r="C405" t="str">
        <x:v>PHYSICAL</x:v>
      </x:c>
      <x:c r="D405" t="str">
        <x:v>terrain load</x:v>
      </x:c>
      <x:c r="E405" t="n">
        <x:f>IF('Terrain Field'!K35&lt;&gt;"",1,0)</x:f>
        <x:v>0</x:v>
      </x:c>
      <x:c r="F405" t="n">
        <x:v>1</x:v>
      </x:c>
      <x:c r="G405" t="str">
        <x:v>equals</x:v>
      </x:c>
      <x:c r="H405" t="str">
        <x:v>independent physical acceptance</x:v>
      </x:c>
      <x:c r="I405" t="str">
        <x:f>IF(E405=1,"PASS","OPEN")</x:f>
        <x:v>OPEN</x:v>
      </x:c>
    </x:row>
    <x:row r="406">
      <x:c r="B406" t="str">
        <x:v>PH-TG-30-G</x:v>
      </x:c>
      <x:c r="C406" t="str">
        <x:v>PHYSICAL</x:v>
      </x:c>
      <x:c r="D406" t="str">
        <x:v>terrain geometry</x:v>
      </x:c>
      <x:c r="E406" t="n">
        <x:f>IF('Terrain Field'!J36&lt;&gt;"",1,0)</x:f>
        <x:v>0</x:v>
      </x:c>
      <x:c r="F406" t="n">
        <x:v>1</x:v>
      </x:c>
      <x:c r="G406" t="str">
        <x:v>equals</x:v>
      </x:c>
      <x:c r="H406" t="str">
        <x:v>independent physical acceptance</x:v>
      </x:c>
      <x:c r="I406" t="str">
        <x:f>IF(E406=1,"PASS","OPEN")</x:f>
        <x:v>OPEN</x:v>
      </x:c>
    </x:row>
    <x:row r="407">
      <x:c r="B407" t="str">
        <x:v>PH-TG-30-L</x:v>
      </x:c>
      <x:c r="C407" t="str">
        <x:v>PHYSICAL</x:v>
      </x:c>
      <x:c r="D407" t="str">
        <x:v>terrain load</x:v>
      </x:c>
      <x:c r="E407" t="n">
        <x:f>IF('Terrain Field'!K36&lt;&gt;"",1,0)</x:f>
        <x:v>0</x:v>
      </x:c>
      <x:c r="F407" t="n">
        <x:v>1</x:v>
      </x:c>
      <x:c r="G407" t="str">
        <x:v>equals</x:v>
      </x:c>
      <x:c r="H407" t="str">
        <x:v>independent physical acceptance</x:v>
      </x:c>
      <x:c r="I407" t="str">
        <x:f>IF(E407=1,"PASS","OPEN")</x:f>
        <x:v>OPEN</x:v>
      </x:c>
    </x:row>
    <x:row r="408">
      <x:c r="B408" t="str">
        <x:v>PH-TG-31-G</x:v>
      </x:c>
      <x:c r="C408" t="str">
        <x:v>PHYSICAL</x:v>
      </x:c>
      <x:c r="D408" t="str">
        <x:v>terrain geometry</x:v>
      </x:c>
      <x:c r="E408" t="n">
        <x:f>IF('Terrain Field'!J37&lt;&gt;"",1,0)</x:f>
        <x:v>0</x:v>
      </x:c>
      <x:c r="F408" t="n">
        <x:v>1</x:v>
      </x:c>
      <x:c r="G408" t="str">
        <x:v>equals</x:v>
      </x:c>
      <x:c r="H408" t="str">
        <x:v>independent physical acceptance</x:v>
      </x:c>
      <x:c r="I408" t="str">
        <x:f>IF(E408=1,"PASS","OPEN")</x:f>
        <x:v>OPEN</x:v>
      </x:c>
    </x:row>
    <x:row r="409">
      <x:c r="B409" t="str">
        <x:v>PH-TG-31-L</x:v>
      </x:c>
      <x:c r="C409" t="str">
        <x:v>PHYSICAL</x:v>
      </x:c>
      <x:c r="D409" t="str">
        <x:v>terrain load</x:v>
      </x:c>
      <x:c r="E409" t="n">
        <x:f>IF('Terrain Field'!K37&lt;&gt;"",1,0)</x:f>
        <x:v>0</x:v>
      </x:c>
      <x:c r="F409" t="n">
        <x:v>1</x:v>
      </x:c>
      <x:c r="G409" t="str">
        <x:v>equals</x:v>
      </x:c>
      <x:c r="H409" t="str">
        <x:v>independent physical acceptance</x:v>
      </x:c>
      <x:c r="I409" t="str">
        <x:f>IF(E409=1,"PASS","OPEN")</x:f>
        <x:v>OPEN</x:v>
      </x:c>
    </x:row>
    <x:row r="410">
      <x:c r="B410" t="str">
        <x:v>PH-TG-32-G</x:v>
      </x:c>
      <x:c r="C410" t="str">
        <x:v>PHYSICAL</x:v>
      </x:c>
      <x:c r="D410" t="str">
        <x:v>terrain geometry</x:v>
      </x:c>
      <x:c r="E410" t="n">
        <x:f>IF('Terrain Field'!J38&lt;&gt;"",1,0)</x:f>
        <x:v>0</x:v>
      </x:c>
      <x:c r="F410" t="n">
        <x:v>1</x:v>
      </x:c>
      <x:c r="G410" t="str">
        <x:v>equals</x:v>
      </x:c>
      <x:c r="H410" t="str">
        <x:v>independent physical acceptance</x:v>
      </x:c>
      <x:c r="I410" t="str">
        <x:f>IF(E410=1,"PASS","OPEN")</x:f>
        <x:v>OPEN</x:v>
      </x:c>
    </x:row>
    <x:row r="411">
      <x:c r="B411" t="str">
        <x:v>PH-TG-32-L</x:v>
      </x:c>
      <x:c r="C411" t="str">
        <x:v>PHYSICAL</x:v>
      </x:c>
      <x:c r="D411" t="str">
        <x:v>terrain load</x:v>
      </x:c>
      <x:c r="E411" t="n">
        <x:f>IF('Terrain Field'!K38&lt;&gt;"",1,0)</x:f>
        <x:v>0</x:v>
      </x:c>
      <x:c r="F411" t="n">
        <x:v>1</x:v>
      </x:c>
      <x:c r="G411" t="str">
        <x:v>equals</x:v>
      </x:c>
      <x:c r="H411" t="str">
        <x:v>independent physical acceptance</x:v>
      </x:c>
      <x:c r="I411" t="str">
        <x:f>IF(E411=1,"PASS","OPEN")</x:f>
        <x:v>OPEN</x:v>
      </x:c>
    </x:row>
    <x:row r="412">
      <x:c r="B412" t="str">
        <x:v>PH-TG-33-G</x:v>
      </x:c>
      <x:c r="C412" t="str">
        <x:v>PHYSICAL</x:v>
      </x:c>
      <x:c r="D412" t="str">
        <x:v>terrain geometry</x:v>
      </x:c>
      <x:c r="E412" t="n">
        <x:f>IF('Terrain Field'!J39&lt;&gt;"",1,0)</x:f>
        <x:v>0</x:v>
      </x:c>
      <x:c r="F412" t="n">
        <x:v>1</x:v>
      </x:c>
      <x:c r="G412" t="str">
        <x:v>equals</x:v>
      </x:c>
      <x:c r="H412" t="str">
        <x:v>independent physical acceptance</x:v>
      </x:c>
      <x:c r="I412" t="str">
        <x:f>IF(E412=1,"PASS","OPEN")</x:f>
        <x:v>OPEN</x:v>
      </x:c>
    </x:row>
    <x:row r="413">
      <x:c r="B413" t="str">
        <x:v>PH-TG-33-L</x:v>
      </x:c>
      <x:c r="C413" t="str">
        <x:v>PHYSICAL</x:v>
      </x:c>
      <x:c r="D413" t="str">
        <x:v>terrain load</x:v>
      </x:c>
      <x:c r="E413" t="n">
        <x:f>IF('Terrain Field'!K39&lt;&gt;"",1,0)</x:f>
        <x:v>0</x:v>
      </x:c>
      <x:c r="F413" t="n">
        <x:v>1</x:v>
      </x:c>
      <x:c r="G413" t="str">
        <x:v>equals</x:v>
      </x:c>
      <x:c r="H413" t="str">
        <x:v>independent physical acceptance</x:v>
      </x:c>
      <x:c r="I413" t="str">
        <x:f>IF(E413=1,"PASS","OPEN")</x:f>
        <x:v>OPEN</x:v>
      </x:c>
    </x:row>
    <x:row r="414">
      <x:c r="B414" t="str">
        <x:v>PH-TG-34-G</x:v>
      </x:c>
      <x:c r="C414" t="str">
        <x:v>PHYSICAL</x:v>
      </x:c>
      <x:c r="D414" t="str">
        <x:v>terrain geometry</x:v>
      </x:c>
      <x:c r="E414" t="n">
        <x:f>IF('Terrain Field'!J40&lt;&gt;"",1,0)</x:f>
        <x:v>0</x:v>
      </x:c>
      <x:c r="F414" t="n">
        <x:v>1</x:v>
      </x:c>
      <x:c r="G414" t="str">
        <x:v>equals</x:v>
      </x:c>
      <x:c r="H414" t="str">
        <x:v>independent physical acceptance</x:v>
      </x:c>
      <x:c r="I414" t="str">
        <x:f>IF(E414=1,"PASS","OPEN")</x:f>
        <x:v>OPEN</x:v>
      </x:c>
    </x:row>
    <x:row r="415">
      <x:c r="B415" t="str">
        <x:v>PH-TG-34-L</x:v>
      </x:c>
      <x:c r="C415" t="str">
        <x:v>PHYSICAL</x:v>
      </x:c>
      <x:c r="D415" t="str">
        <x:v>terrain load</x:v>
      </x:c>
      <x:c r="E415" t="n">
        <x:f>IF('Terrain Field'!K40&lt;&gt;"",1,0)</x:f>
        <x:v>0</x:v>
      </x:c>
      <x:c r="F415" t="n">
        <x:v>1</x:v>
      </x:c>
      <x:c r="G415" t="str">
        <x:v>equals</x:v>
      </x:c>
      <x:c r="H415" t="str">
        <x:v>independent physical acceptance</x:v>
      </x:c>
      <x:c r="I415" t="str">
        <x:f>IF(E415=1,"PASS","OPEN")</x:f>
        <x:v>OPEN</x:v>
      </x:c>
    </x:row>
    <x:row r="416">
      <x:c r="B416" t="str">
        <x:v>PH-TG-35-G</x:v>
      </x:c>
      <x:c r="C416" t="str">
        <x:v>PHYSICAL</x:v>
      </x:c>
      <x:c r="D416" t="str">
        <x:v>terrain geometry</x:v>
      </x:c>
      <x:c r="E416" t="n">
        <x:f>IF('Terrain Field'!J41&lt;&gt;"",1,0)</x:f>
        <x:v>0</x:v>
      </x:c>
      <x:c r="F416" t="n">
        <x:v>1</x:v>
      </x:c>
      <x:c r="G416" t="str">
        <x:v>equals</x:v>
      </x:c>
      <x:c r="H416" t="str">
        <x:v>independent physical acceptance</x:v>
      </x:c>
      <x:c r="I416" t="str">
        <x:f>IF(E416=1,"PASS","OPEN")</x:f>
        <x:v>OPEN</x:v>
      </x:c>
    </x:row>
    <x:row r="417">
      <x:c r="B417" t="str">
        <x:v>PH-TG-35-L</x:v>
      </x:c>
      <x:c r="C417" t="str">
        <x:v>PHYSICAL</x:v>
      </x:c>
      <x:c r="D417" t="str">
        <x:v>terrain load</x:v>
      </x:c>
      <x:c r="E417" t="n">
        <x:f>IF('Terrain Field'!K41&lt;&gt;"",1,0)</x:f>
        <x:v>0</x:v>
      </x:c>
      <x:c r="F417" t="n">
        <x:v>1</x:v>
      </x:c>
      <x:c r="G417" t="str">
        <x:v>equals</x:v>
      </x:c>
      <x:c r="H417" t="str">
        <x:v>independent physical acceptance</x:v>
      </x:c>
      <x:c r="I417" t="str">
        <x:f>IF(E417=1,"PASS","OPEN")</x:f>
        <x:v>OPEN</x:v>
      </x:c>
    </x:row>
    <x:row r="418">
      <x:c r="B418" t="str">
        <x:v>PH-TG-36-G</x:v>
      </x:c>
      <x:c r="C418" t="str">
        <x:v>PHYSICAL</x:v>
      </x:c>
      <x:c r="D418" t="str">
        <x:v>terrain geometry</x:v>
      </x:c>
      <x:c r="E418" t="n">
        <x:f>IF('Terrain Field'!J42&lt;&gt;"",1,0)</x:f>
        <x:v>0</x:v>
      </x:c>
      <x:c r="F418" t="n">
        <x:v>1</x:v>
      </x:c>
      <x:c r="G418" t="str">
        <x:v>equals</x:v>
      </x:c>
      <x:c r="H418" t="str">
        <x:v>independent physical acceptance</x:v>
      </x:c>
      <x:c r="I418" t="str">
        <x:f>IF(E418=1,"PASS","OPEN")</x:f>
        <x:v>OPEN</x:v>
      </x:c>
    </x:row>
    <x:row r="419">
      <x:c r="B419" t="str">
        <x:v>PH-TG-36-L</x:v>
      </x:c>
      <x:c r="C419" t="str">
        <x:v>PHYSICAL</x:v>
      </x:c>
      <x:c r="D419" t="str">
        <x:v>terrain load</x:v>
      </x:c>
      <x:c r="E419" t="n">
        <x:f>IF('Terrain Field'!K42&lt;&gt;"",1,0)</x:f>
        <x:v>0</x:v>
      </x:c>
      <x:c r="F419" t="n">
        <x:v>1</x:v>
      </x:c>
      <x:c r="G419" t="str">
        <x:v>equals</x:v>
      </x:c>
      <x:c r="H419" t="str">
        <x:v>independent physical acceptance</x:v>
      </x:c>
      <x:c r="I419" t="str">
        <x:f>IF(E419=1,"PASS","OPEN")</x:f>
        <x:v>OPEN</x:v>
      </x:c>
    </x:row>
    <x:row r="420">
      <x:c r="B420" t="str">
        <x:v>PH-TG-37-G</x:v>
      </x:c>
      <x:c r="C420" t="str">
        <x:v>PHYSICAL</x:v>
      </x:c>
      <x:c r="D420" t="str">
        <x:v>terrain geometry</x:v>
      </x:c>
      <x:c r="E420" t="n">
        <x:f>IF('Terrain Field'!J43&lt;&gt;"",1,0)</x:f>
        <x:v>0</x:v>
      </x:c>
      <x:c r="F420" t="n">
        <x:v>1</x:v>
      </x:c>
      <x:c r="G420" t="str">
        <x:v>equals</x:v>
      </x:c>
      <x:c r="H420" t="str">
        <x:v>independent physical acceptance</x:v>
      </x:c>
      <x:c r="I420" t="str">
        <x:f>IF(E420=1,"PASS","OPEN")</x:f>
        <x:v>OPEN</x:v>
      </x:c>
    </x:row>
    <x:row r="421">
      <x:c r="B421" t="str">
        <x:v>PH-TG-37-L</x:v>
      </x:c>
      <x:c r="C421" t="str">
        <x:v>PHYSICAL</x:v>
      </x:c>
      <x:c r="D421" t="str">
        <x:v>terrain load</x:v>
      </x:c>
      <x:c r="E421" t="n">
        <x:f>IF('Terrain Field'!K43&lt;&gt;"",1,0)</x:f>
        <x:v>0</x:v>
      </x:c>
      <x:c r="F421" t="n">
        <x:v>1</x:v>
      </x:c>
      <x:c r="G421" t="str">
        <x:v>equals</x:v>
      </x:c>
      <x:c r="H421" t="str">
        <x:v>independent physical acceptance</x:v>
      </x:c>
      <x:c r="I421" t="str">
        <x:f>IF(E421=1,"PASS","OPEN")</x:f>
        <x:v>OPEN</x:v>
      </x:c>
    </x:row>
    <x:row r="422">
      <x:c r="B422" t="str">
        <x:v>PH-TG-38-G</x:v>
      </x:c>
      <x:c r="C422" t="str">
        <x:v>PHYSICAL</x:v>
      </x:c>
      <x:c r="D422" t="str">
        <x:v>terrain geometry</x:v>
      </x:c>
      <x:c r="E422" t="n">
        <x:f>IF('Terrain Field'!J44&lt;&gt;"",1,0)</x:f>
        <x:v>0</x:v>
      </x:c>
      <x:c r="F422" t="n">
        <x:v>1</x:v>
      </x:c>
      <x:c r="G422" t="str">
        <x:v>equals</x:v>
      </x:c>
      <x:c r="H422" t="str">
        <x:v>independent physical acceptance</x:v>
      </x:c>
      <x:c r="I422" t="str">
        <x:f>IF(E422=1,"PASS","OPEN")</x:f>
        <x:v>OPEN</x:v>
      </x:c>
    </x:row>
    <x:row r="423">
      <x:c r="B423" t="str">
        <x:v>PH-TG-38-L</x:v>
      </x:c>
      <x:c r="C423" t="str">
        <x:v>PHYSICAL</x:v>
      </x:c>
      <x:c r="D423" t="str">
        <x:v>terrain load</x:v>
      </x:c>
      <x:c r="E423" t="n">
        <x:f>IF('Terrain Field'!K44&lt;&gt;"",1,0)</x:f>
        <x:v>0</x:v>
      </x:c>
      <x:c r="F423" t="n">
        <x:v>1</x:v>
      </x:c>
      <x:c r="G423" t="str">
        <x:v>equals</x:v>
      </x:c>
      <x:c r="H423" t="str">
        <x:v>independent physical acceptance</x:v>
      </x:c>
      <x:c r="I423" t="str">
        <x:f>IF(E423=1,"PASS","OPEN")</x:f>
        <x:v>OPEN</x:v>
      </x:c>
    </x:row>
    <x:row r="424">
      <x:c r="B424" t="str">
        <x:v>PH-TG-39-G</x:v>
      </x:c>
      <x:c r="C424" t="str">
        <x:v>PHYSICAL</x:v>
      </x:c>
      <x:c r="D424" t="str">
        <x:v>terrain geometry</x:v>
      </x:c>
      <x:c r="E424" t="n">
        <x:f>IF('Terrain Field'!J45&lt;&gt;"",1,0)</x:f>
        <x:v>0</x:v>
      </x:c>
      <x:c r="F424" t="n">
        <x:v>1</x:v>
      </x:c>
      <x:c r="G424" t="str">
        <x:v>equals</x:v>
      </x:c>
      <x:c r="H424" t="str">
        <x:v>independent physical acceptance</x:v>
      </x:c>
      <x:c r="I424" t="str">
        <x:f>IF(E424=1,"PASS","OPEN")</x:f>
        <x:v>OPEN</x:v>
      </x:c>
    </x:row>
    <x:row r="425">
      <x:c r="B425" t="str">
        <x:v>PH-TG-39-L</x:v>
      </x:c>
      <x:c r="C425" t="str">
        <x:v>PHYSICAL</x:v>
      </x:c>
      <x:c r="D425" t="str">
        <x:v>terrain load</x:v>
      </x:c>
      <x:c r="E425" t="n">
        <x:f>IF('Terrain Field'!K45&lt;&gt;"",1,0)</x:f>
        <x:v>0</x:v>
      </x:c>
      <x:c r="F425" t="n">
        <x:v>1</x:v>
      </x:c>
      <x:c r="G425" t="str">
        <x:v>equals</x:v>
      </x:c>
      <x:c r="H425" t="str">
        <x:v>independent physical acceptance</x:v>
      </x:c>
      <x:c r="I425" t="str">
        <x:f>IF(E425=1,"PASS","OPEN")</x:f>
        <x:v>OPEN</x:v>
      </x:c>
    </x:row>
    <x:row r="426">
      <x:c r="B426" t="str">
        <x:v>PH-TG-40-G</x:v>
      </x:c>
      <x:c r="C426" t="str">
        <x:v>PHYSICAL</x:v>
      </x:c>
      <x:c r="D426" t="str">
        <x:v>terrain geometry</x:v>
      </x:c>
      <x:c r="E426" t="n">
        <x:f>IF('Terrain Field'!J46&lt;&gt;"",1,0)</x:f>
        <x:v>0</x:v>
      </x:c>
      <x:c r="F426" t="n">
        <x:v>1</x:v>
      </x:c>
      <x:c r="G426" t="str">
        <x:v>equals</x:v>
      </x:c>
      <x:c r="H426" t="str">
        <x:v>independent physical acceptance</x:v>
      </x:c>
      <x:c r="I426" t="str">
        <x:f>IF(E426=1,"PASS","OPEN")</x:f>
        <x:v>OPEN</x:v>
      </x:c>
    </x:row>
    <x:row r="427">
      <x:c r="B427" t="str">
        <x:v>PH-TG-40-L</x:v>
      </x:c>
      <x:c r="C427" t="str">
        <x:v>PHYSICAL</x:v>
      </x:c>
      <x:c r="D427" t="str">
        <x:v>terrain load</x:v>
      </x:c>
      <x:c r="E427" t="n">
        <x:f>IF('Terrain Field'!K46&lt;&gt;"",1,0)</x:f>
        <x:v>0</x:v>
      </x:c>
      <x:c r="F427" t="n">
        <x:v>1</x:v>
      </x:c>
      <x:c r="G427" t="str">
        <x:v>equals</x:v>
      </x:c>
      <x:c r="H427" t="str">
        <x:v>independent physical acceptance</x:v>
      </x:c>
      <x:c r="I427" t="str">
        <x:f>IF(E427=1,"PASS","OPEN")</x:f>
        <x:v>OPEN</x:v>
      </x:c>
    </x:row>
    <x:row r="428">
      <x:c r="B428" t="str">
        <x:v>PH-TG-41-G</x:v>
      </x:c>
      <x:c r="C428" t="str">
        <x:v>PHYSICAL</x:v>
      </x:c>
      <x:c r="D428" t="str">
        <x:v>terrain geometry</x:v>
      </x:c>
      <x:c r="E428" t="n">
        <x:f>IF('Terrain Field'!J47&lt;&gt;"",1,0)</x:f>
        <x:v>0</x:v>
      </x:c>
      <x:c r="F428" t="n">
        <x:v>1</x:v>
      </x:c>
      <x:c r="G428" t="str">
        <x:v>equals</x:v>
      </x:c>
      <x:c r="H428" t="str">
        <x:v>independent physical acceptance</x:v>
      </x:c>
      <x:c r="I428" t="str">
        <x:f>IF(E428=1,"PASS","OPEN")</x:f>
        <x:v>OPEN</x:v>
      </x:c>
    </x:row>
    <x:row r="429">
      <x:c r="B429" t="str">
        <x:v>PH-TG-41-L</x:v>
      </x:c>
      <x:c r="C429" t="str">
        <x:v>PHYSICAL</x:v>
      </x:c>
      <x:c r="D429" t="str">
        <x:v>terrain load</x:v>
      </x:c>
      <x:c r="E429" t="n">
        <x:f>IF('Terrain Field'!K47&lt;&gt;"",1,0)</x:f>
        <x:v>0</x:v>
      </x:c>
      <x:c r="F429" t="n">
        <x:v>1</x:v>
      </x:c>
      <x:c r="G429" t="str">
        <x:v>equals</x:v>
      </x:c>
      <x:c r="H429" t="str">
        <x:v>independent physical acceptance</x:v>
      </x:c>
      <x:c r="I429" t="str">
        <x:f>IF(E429=1,"PASS","OPEN")</x:f>
        <x:v>OPEN</x:v>
      </x:c>
    </x:row>
    <x:row r="430">
      <x:c r="B430" t="str">
        <x:v>PH-TG-42-G</x:v>
      </x:c>
      <x:c r="C430" t="str">
        <x:v>PHYSICAL</x:v>
      </x:c>
      <x:c r="D430" t="str">
        <x:v>terrain geometry</x:v>
      </x:c>
      <x:c r="E430" t="n">
        <x:f>IF('Terrain Field'!J48&lt;&gt;"",1,0)</x:f>
        <x:v>0</x:v>
      </x:c>
      <x:c r="F430" t="n">
        <x:v>1</x:v>
      </x:c>
      <x:c r="G430" t="str">
        <x:v>equals</x:v>
      </x:c>
      <x:c r="H430" t="str">
        <x:v>independent physical acceptance</x:v>
      </x:c>
      <x:c r="I430" t="str">
        <x:f>IF(E430=1,"PASS","OPEN")</x:f>
        <x:v>OPEN</x:v>
      </x:c>
    </x:row>
    <x:row r="431">
      <x:c r="B431" t="str">
        <x:v>PH-TG-42-L</x:v>
      </x:c>
      <x:c r="C431" t="str">
        <x:v>PHYSICAL</x:v>
      </x:c>
      <x:c r="D431" t="str">
        <x:v>terrain load</x:v>
      </x:c>
      <x:c r="E431" t="n">
        <x:f>IF('Terrain Field'!K48&lt;&gt;"",1,0)</x:f>
        <x:v>0</x:v>
      </x:c>
      <x:c r="F431" t="n">
        <x:v>1</x:v>
      </x:c>
      <x:c r="G431" t="str">
        <x:v>equals</x:v>
      </x:c>
      <x:c r="H431" t="str">
        <x:v>independent physical acceptance</x:v>
      </x:c>
      <x:c r="I431" t="str">
        <x:f>IF(E431=1,"PASS","OPEN")</x:f>
        <x:v>OPEN</x:v>
      </x:c>
    </x:row>
    <x:row r="432">
      <x:c r="B432" t="str">
        <x:v>PH-TG-43-G</x:v>
      </x:c>
      <x:c r="C432" t="str">
        <x:v>PHYSICAL</x:v>
      </x:c>
      <x:c r="D432" t="str">
        <x:v>terrain geometry</x:v>
      </x:c>
      <x:c r="E432" t="n">
        <x:f>IF('Terrain Field'!J49&lt;&gt;"",1,0)</x:f>
        <x:v>0</x:v>
      </x:c>
      <x:c r="F432" t="n">
        <x:v>1</x:v>
      </x:c>
      <x:c r="G432" t="str">
        <x:v>equals</x:v>
      </x:c>
      <x:c r="H432" t="str">
        <x:v>independent physical acceptance</x:v>
      </x:c>
      <x:c r="I432" t="str">
        <x:f>IF(E432=1,"PASS","OPEN")</x:f>
        <x:v>OPEN</x:v>
      </x:c>
    </x:row>
    <x:row r="433">
      <x:c r="B433" t="str">
        <x:v>PH-TG-43-L</x:v>
      </x:c>
      <x:c r="C433" t="str">
        <x:v>PHYSICAL</x:v>
      </x:c>
      <x:c r="D433" t="str">
        <x:v>terrain load</x:v>
      </x:c>
      <x:c r="E433" t="n">
        <x:f>IF('Terrain Field'!K49&lt;&gt;"",1,0)</x:f>
        <x:v>0</x:v>
      </x:c>
      <x:c r="F433" t="n">
        <x:v>1</x:v>
      </x:c>
      <x:c r="G433" t="str">
        <x:v>equals</x:v>
      </x:c>
      <x:c r="H433" t="str">
        <x:v>independent physical acceptance</x:v>
      </x:c>
      <x:c r="I433" t="str">
        <x:f>IF(E433=1,"PASS","OPEN")</x:f>
        <x:v>OPEN</x:v>
      </x:c>
    </x:row>
    <x:row r="434">
      <x:c r="B434" t="str">
        <x:v>PH-TG-44-G</x:v>
      </x:c>
      <x:c r="C434" t="str">
        <x:v>PHYSICAL</x:v>
      </x:c>
      <x:c r="D434" t="str">
        <x:v>terrain geometry</x:v>
      </x:c>
      <x:c r="E434" t="n">
        <x:f>IF('Terrain Field'!J50&lt;&gt;"",1,0)</x:f>
        <x:v>0</x:v>
      </x:c>
      <x:c r="F434" t="n">
        <x:v>1</x:v>
      </x:c>
      <x:c r="G434" t="str">
        <x:v>equals</x:v>
      </x:c>
      <x:c r="H434" t="str">
        <x:v>independent physical acceptance</x:v>
      </x:c>
      <x:c r="I434" t="str">
        <x:f>IF(E434=1,"PASS","OPEN")</x:f>
        <x:v>OPEN</x:v>
      </x:c>
    </x:row>
    <x:row r="435">
      <x:c r="B435" t="str">
        <x:v>PH-TG-44-L</x:v>
      </x:c>
      <x:c r="C435" t="str">
        <x:v>PHYSICAL</x:v>
      </x:c>
      <x:c r="D435" t="str">
        <x:v>terrain load</x:v>
      </x:c>
      <x:c r="E435" t="n">
        <x:f>IF('Terrain Field'!K50&lt;&gt;"",1,0)</x:f>
        <x:v>0</x:v>
      </x:c>
      <x:c r="F435" t="n">
        <x:v>1</x:v>
      </x:c>
      <x:c r="G435" t="str">
        <x:v>equals</x:v>
      </x:c>
      <x:c r="H435" t="str">
        <x:v>independent physical acceptance</x:v>
      </x:c>
      <x:c r="I435" t="str">
        <x:f>IF(E435=1,"PASS","OPEN")</x:f>
        <x:v>OPEN</x:v>
      </x:c>
    </x:row>
    <x:row r="436">
      <x:c r="B436" t="str">
        <x:v>PH-TG-45-G</x:v>
      </x:c>
      <x:c r="C436" t="str">
        <x:v>PHYSICAL</x:v>
      </x:c>
      <x:c r="D436" t="str">
        <x:v>terrain geometry</x:v>
      </x:c>
      <x:c r="E436" t="n">
        <x:f>IF('Terrain Field'!J51&lt;&gt;"",1,0)</x:f>
        <x:v>0</x:v>
      </x:c>
      <x:c r="F436" t="n">
        <x:v>1</x:v>
      </x:c>
      <x:c r="G436" t="str">
        <x:v>equals</x:v>
      </x:c>
      <x:c r="H436" t="str">
        <x:v>independent physical acceptance</x:v>
      </x:c>
      <x:c r="I436" t="str">
        <x:f>IF(E436=1,"PASS","OPEN")</x:f>
        <x:v>OPEN</x:v>
      </x:c>
    </x:row>
    <x:row r="437">
      <x:c r="B437" t="str">
        <x:v>PH-TG-45-L</x:v>
      </x:c>
      <x:c r="C437" t="str">
        <x:v>PHYSICAL</x:v>
      </x:c>
      <x:c r="D437" t="str">
        <x:v>terrain load</x:v>
      </x:c>
      <x:c r="E437" t="n">
        <x:f>IF('Terrain Field'!K51&lt;&gt;"",1,0)</x:f>
        <x:v>0</x:v>
      </x:c>
      <x:c r="F437" t="n">
        <x:v>1</x:v>
      </x:c>
      <x:c r="G437" t="str">
        <x:v>equals</x:v>
      </x:c>
      <x:c r="H437" t="str">
        <x:v>independent physical acceptance</x:v>
      </x:c>
      <x:c r="I437" t="str">
        <x:f>IF(E437=1,"PASS","OPEN")</x:f>
        <x:v>OPEN</x:v>
      </x:c>
    </x:row>
    <x:row r="438">
      <x:c r="B438" t="str">
        <x:v>PH-TG-46-G</x:v>
      </x:c>
      <x:c r="C438" t="str">
        <x:v>PHYSICAL</x:v>
      </x:c>
      <x:c r="D438" t="str">
        <x:v>terrain geometry</x:v>
      </x:c>
      <x:c r="E438" t="n">
        <x:f>IF('Terrain Field'!J52&lt;&gt;"",1,0)</x:f>
        <x:v>0</x:v>
      </x:c>
      <x:c r="F438" t="n">
        <x:v>1</x:v>
      </x:c>
      <x:c r="G438" t="str">
        <x:v>equals</x:v>
      </x:c>
      <x:c r="H438" t="str">
        <x:v>independent physical acceptance</x:v>
      </x:c>
      <x:c r="I438" t="str">
        <x:f>IF(E438=1,"PASS","OPEN")</x:f>
        <x:v>OPEN</x:v>
      </x:c>
    </x:row>
    <x:row r="439">
      <x:c r="B439" t="str">
        <x:v>PH-TG-46-L</x:v>
      </x:c>
      <x:c r="C439" t="str">
        <x:v>PHYSICAL</x:v>
      </x:c>
      <x:c r="D439" t="str">
        <x:v>terrain load</x:v>
      </x:c>
      <x:c r="E439" t="n">
        <x:f>IF('Terrain Field'!K52&lt;&gt;"",1,0)</x:f>
        <x:v>0</x:v>
      </x:c>
      <x:c r="F439" t="n">
        <x:v>1</x:v>
      </x:c>
      <x:c r="G439" t="str">
        <x:v>equals</x:v>
      </x:c>
      <x:c r="H439" t="str">
        <x:v>independent physical acceptance</x:v>
      </x:c>
      <x:c r="I439" t="str">
        <x:f>IF(E439=1,"PASS","OPEN")</x:f>
        <x:v>OPEN</x:v>
      </x:c>
    </x:row>
    <x:row r="440">
      <x:c r="B440" t="str">
        <x:v>PH-TG-47-G</x:v>
      </x:c>
      <x:c r="C440" t="str">
        <x:v>PHYSICAL</x:v>
      </x:c>
      <x:c r="D440" t="str">
        <x:v>terrain geometry</x:v>
      </x:c>
      <x:c r="E440" t="n">
        <x:f>IF('Terrain Field'!J53&lt;&gt;"",1,0)</x:f>
        <x:v>0</x:v>
      </x:c>
      <x:c r="F440" t="n">
        <x:v>1</x:v>
      </x:c>
      <x:c r="G440" t="str">
        <x:v>equals</x:v>
      </x:c>
      <x:c r="H440" t="str">
        <x:v>independent physical acceptance</x:v>
      </x:c>
      <x:c r="I440" t="str">
        <x:f>IF(E440=1,"PASS","OPEN")</x:f>
        <x:v>OPEN</x:v>
      </x:c>
    </x:row>
    <x:row r="441">
      <x:c r="B441" t="str">
        <x:v>PH-TG-47-L</x:v>
      </x:c>
      <x:c r="C441" t="str">
        <x:v>PHYSICAL</x:v>
      </x:c>
      <x:c r="D441" t="str">
        <x:v>terrain load</x:v>
      </x:c>
      <x:c r="E441" t="n">
        <x:f>IF('Terrain Field'!K53&lt;&gt;"",1,0)</x:f>
        <x:v>0</x:v>
      </x:c>
      <x:c r="F441" t="n">
        <x:v>1</x:v>
      </x:c>
      <x:c r="G441" t="str">
        <x:v>equals</x:v>
      </x:c>
      <x:c r="H441" t="str">
        <x:v>independent physical acceptance</x:v>
      </x:c>
      <x:c r="I441" t="str">
        <x:f>IF(E441=1,"PASS","OPEN")</x:f>
        <x:v>OPEN</x:v>
      </x:c>
    </x:row>
    <x:row r="442">
      <x:c r="B442" t="str">
        <x:v>PH-TG-48-G</x:v>
      </x:c>
      <x:c r="C442" t="str">
        <x:v>PHYSICAL</x:v>
      </x:c>
      <x:c r="D442" t="str">
        <x:v>terrain geometry</x:v>
      </x:c>
      <x:c r="E442" t="n">
        <x:f>IF('Terrain Field'!J54&lt;&gt;"",1,0)</x:f>
        <x:v>0</x:v>
      </x:c>
      <x:c r="F442" t="n">
        <x:v>1</x:v>
      </x:c>
      <x:c r="G442" t="str">
        <x:v>equals</x:v>
      </x:c>
      <x:c r="H442" t="str">
        <x:v>independent physical acceptance</x:v>
      </x:c>
      <x:c r="I442" t="str">
        <x:f>IF(E442=1,"PASS","OPEN")</x:f>
        <x:v>OPEN</x:v>
      </x:c>
    </x:row>
    <x:row r="443">
      <x:c r="B443" t="str">
        <x:v>PH-TG-48-L</x:v>
      </x:c>
      <x:c r="C443" t="str">
        <x:v>PHYSICAL</x:v>
      </x:c>
      <x:c r="D443" t="str">
        <x:v>terrain load</x:v>
      </x:c>
      <x:c r="E443" t="n">
        <x:f>IF('Terrain Field'!K54&lt;&gt;"",1,0)</x:f>
        <x:v>0</x:v>
      </x:c>
      <x:c r="F443" t="n">
        <x:v>1</x:v>
      </x:c>
      <x:c r="G443" t="str">
        <x:v>equals</x:v>
      </x:c>
      <x:c r="H443" t="str">
        <x:v>independent physical acceptance</x:v>
      </x:c>
      <x:c r="I443" t="str">
        <x:f>IF(E443=1,"PASS","OPEN")</x:f>
        <x:v>OPEN</x:v>
      </x:c>
    </x:row>
    <x:row r="444">
      <x:c r="B444" t="str">
        <x:v>PH-TG-49-G</x:v>
      </x:c>
      <x:c r="C444" t="str">
        <x:v>PHYSICAL</x:v>
      </x:c>
      <x:c r="D444" t="str">
        <x:v>terrain geometry</x:v>
      </x:c>
      <x:c r="E444" t="n">
        <x:f>IF('Terrain Field'!J55&lt;&gt;"",1,0)</x:f>
        <x:v>0</x:v>
      </x:c>
      <x:c r="F444" t="n">
        <x:v>1</x:v>
      </x:c>
      <x:c r="G444" t="str">
        <x:v>equals</x:v>
      </x:c>
      <x:c r="H444" t="str">
        <x:v>independent physical acceptance</x:v>
      </x:c>
      <x:c r="I444" t="str">
        <x:f>IF(E444=1,"PASS","OPEN")</x:f>
        <x:v>OPEN</x:v>
      </x:c>
    </x:row>
    <x:row r="445">
      <x:c r="B445" t="str">
        <x:v>PH-TG-49-L</x:v>
      </x:c>
      <x:c r="C445" t="str">
        <x:v>PHYSICAL</x:v>
      </x:c>
      <x:c r="D445" t="str">
        <x:v>terrain load</x:v>
      </x:c>
      <x:c r="E445" t="n">
        <x:f>IF('Terrain Field'!K55&lt;&gt;"",1,0)</x:f>
        <x:v>0</x:v>
      </x:c>
      <x:c r="F445" t="n">
        <x:v>1</x:v>
      </x:c>
      <x:c r="G445" t="str">
        <x:v>equals</x:v>
      </x:c>
      <x:c r="H445" t="str">
        <x:v>independent physical acceptance</x:v>
      </x:c>
      <x:c r="I445" t="str">
        <x:f>IF(E445=1,"PASS","OPEN")</x:f>
        <x:v>OPEN</x:v>
      </x:c>
    </x:row>
    <x:row r="446">
      <x:c r="B446" t="str">
        <x:v>PH-TG-50-G</x:v>
      </x:c>
      <x:c r="C446" t="str">
        <x:v>PHYSICAL</x:v>
      </x:c>
      <x:c r="D446" t="str">
        <x:v>terrain geometry</x:v>
      </x:c>
      <x:c r="E446" t="n">
        <x:f>IF('Terrain Field'!J56&lt;&gt;"",1,0)</x:f>
        <x:v>0</x:v>
      </x:c>
      <x:c r="F446" t="n">
        <x:v>1</x:v>
      </x:c>
      <x:c r="G446" t="str">
        <x:v>equals</x:v>
      </x:c>
      <x:c r="H446" t="str">
        <x:v>independent physical acceptance</x:v>
      </x:c>
      <x:c r="I446" t="str">
        <x:f>IF(E446=1,"PASS","OPEN")</x:f>
        <x:v>OPEN</x:v>
      </x:c>
    </x:row>
    <x:row r="447">
      <x:c r="B447" t="str">
        <x:v>PH-TG-50-L</x:v>
      </x:c>
      <x:c r="C447" t="str">
        <x:v>PHYSICAL</x:v>
      </x:c>
      <x:c r="D447" t="str">
        <x:v>terrain load</x:v>
      </x:c>
      <x:c r="E447" t="n">
        <x:f>IF('Terrain Field'!K56&lt;&gt;"",1,0)</x:f>
        <x:v>0</x:v>
      </x:c>
      <x:c r="F447" t="n">
        <x:v>1</x:v>
      </x:c>
      <x:c r="G447" t="str">
        <x:v>equals</x:v>
      </x:c>
      <x:c r="H447" t="str">
        <x:v>independent physical acceptance</x:v>
      </x:c>
      <x:c r="I447" t="str">
        <x:f>IF(E447=1,"PASS","OPEN")</x:f>
        <x:v>OPEN</x:v>
      </x:c>
    </x:row>
    <x:row r="448">
      <x:c r="B448" t="str">
        <x:v>PH-TG-51-G</x:v>
      </x:c>
      <x:c r="C448" t="str">
        <x:v>PHYSICAL</x:v>
      </x:c>
      <x:c r="D448" t="str">
        <x:v>terrain geometry</x:v>
      </x:c>
      <x:c r="E448" t="n">
        <x:f>IF('Terrain Field'!J57&lt;&gt;"",1,0)</x:f>
        <x:v>0</x:v>
      </x:c>
      <x:c r="F448" t="n">
        <x:v>1</x:v>
      </x:c>
      <x:c r="G448" t="str">
        <x:v>equals</x:v>
      </x:c>
      <x:c r="H448" t="str">
        <x:v>independent physical acceptance</x:v>
      </x:c>
      <x:c r="I448" t="str">
        <x:f>IF(E448=1,"PASS","OPEN")</x:f>
        <x:v>OPEN</x:v>
      </x:c>
    </x:row>
    <x:row r="449">
      <x:c r="B449" t="str">
        <x:v>PH-TG-51-L</x:v>
      </x:c>
      <x:c r="C449" t="str">
        <x:v>PHYSICAL</x:v>
      </x:c>
      <x:c r="D449" t="str">
        <x:v>terrain load</x:v>
      </x:c>
      <x:c r="E449" t="n">
        <x:f>IF('Terrain Field'!K57&lt;&gt;"",1,0)</x:f>
        <x:v>0</x:v>
      </x:c>
      <x:c r="F449" t="n">
        <x:v>1</x:v>
      </x:c>
      <x:c r="G449" t="str">
        <x:v>equals</x:v>
      </x:c>
      <x:c r="H449" t="str">
        <x:v>independent physical acceptance</x:v>
      </x:c>
      <x:c r="I449" t="str">
        <x:f>IF(E449=1,"PASS","OPEN")</x:f>
        <x:v>OPEN</x:v>
      </x:c>
    </x:row>
    <x:row r="450">
      <x:c r="B450" t="str">
        <x:v>PH-TG-52-G</x:v>
      </x:c>
      <x:c r="C450" t="str">
        <x:v>PHYSICAL</x:v>
      </x:c>
      <x:c r="D450" t="str">
        <x:v>terrain geometry</x:v>
      </x:c>
      <x:c r="E450" t="n">
        <x:f>IF('Terrain Field'!J58&lt;&gt;"",1,0)</x:f>
        <x:v>0</x:v>
      </x:c>
      <x:c r="F450" t="n">
        <x:v>1</x:v>
      </x:c>
      <x:c r="G450" t="str">
        <x:v>equals</x:v>
      </x:c>
      <x:c r="H450" t="str">
        <x:v>independent physical acceptance</x:v>
      </x:c>
      <x:c r="I450" t="str">
        <x:f>IF(E450=1,"PASS","OPEN")</x:f>
        <x:v>OPEN</x:v>
      </x:c>
    </x:row>
    <x:row r="451">
      <x:c r="B451" t="str">
        <x:v>PH-TG-52-L</x:v>
      </x:c>
      <x:c r="C451" t="str">
        <x:v>PHYSICAL</x:v>
      </x:c>
      <x:c r="D451" t="str">
        <x:v>terrain load</x:v>
      </x:c>
      <x:c r="E451" t="n">
        <x:f>IF('Terrain Field'!K58&lt;&gt;"",1,0)</x:f>
        <x:v>0</x:v>
      </x:c>
      <x:c r="F451" t="n">
        <x:v>1</x:v>
      </x:c>
      <x:c r="G451" t="str">
        <x:v>equals</x:v>
      </x:c>
      <x:c r="H451" t="str">
        <x:v>independent physical acceptance</x:v>
      </x:c>
      <x:c r="I451" t="str">
        <x:f>IF(E451=1,"PASS","OPEN")</x:f>
        <x:v>OPEN</x:v>
      </x:c>
    </x:row>
    <x:row r="452">
      <x:c r="B452" t="str">
        <x:v>PH-TG-53-G</x:v>
      </x:c>
      <x:c r="C452" t="str">
        <x:v>PHYSICAL</x:v>
      </x:c>
      <x:c r="D452" t="str">
        <x:v>terrain geometry</x:v>
      </x:c>
      <x:c r="E452" t="n">
        <x:f>IF('Terrain Field'!J59&lt;&gt;"",1,0)</x:f>
        <x:v>0</x:v>
      </x:c>
      <x:c r="F452" t="n">
        <x:v>1</x:v>
      </x:c>
      <x:c r="G452" t="str">
        <x:v>equals</x:v>
      </x:c>
      <x:c r="H452" t="str">
        <x:v>independent physical acceptance</x:v>
      </x:c>
      <x:c r="I452" t="str">
        <x:f>IF(E452=1,"PASS","OPEN")</x:f>
        <x:v>OPEN</x:v>
      </x:c>
    </x:row>
    <x:row r="453">
      <x:c r="B453" t="str">
        <x:v>PH-TG-53-L</x:v>
      </x:c>
      <x:c r="C453" t="str">
        <x:v>PHYSICAL</x:v>
      </x:c>
      <x:c r="D453" t="str">
        <x:v>terrain load</x:v>
      </x:c>
      <x:c r="E453" t="n">
        <x:f>IF('Terrain Field'!K59&lt;&gt;"",1,0)</x:f>
        <x:v>0</x:v>
      </x:c>
      <x:c r="F453" t="n">
        <x:v>1</x:v>
      </x:c>
      <x:c r="G453" t="str">
        <x:v>equals</x:v>
      </x:c>
      <x:c r="H453" t="str">
        <x:v>independent physical acceptance</x:v>
      </x:c>
      <x:c r="I453" t="str">
        <x:f>IF(E453=1,"PASS","OPEN")</x:f>
        <x:v>OPEN</x:v>
      </x:c>
    </x:row>
    <x:row r="454">
      <x:c r="B454" t="str">
        <x:v>PH-TG-54-G</x:v>
      </x:c>
      <x:c r="C454" t="str">
        <x:v>PHYSICAL</x:v>
      </x:c>
      <x:c r="D454" t="str">
        <x:v>terrain geometry</x:v>
      </x:c>
      <x:c r="E454" t="n">
        <x:f>IF('Terrain Field'!J60&lt;&gt;"",1,0)</x:f>
        <x:v>0</x:v>
      </x:c>
      <x:c r="F454" t="n">
        <x:v>1</x:v>
      </x:c>
      <x:c r="G454" t="str">
        <x:v>equals</x:v>
      </x:c>
      <x:c r="H454" t="str">
        <x:v>independent physical acceptance</x:v>
      </x:c>
      <x:c r="I454" t="str">
        <x:f>IF(E454=1,"PASS","OPEN")</x:f>
        <x:v>OPEN</x:v>
      </x:c>
    </x:row>
    <x:row r="455">
      <x:c r="B455" t="str">
        <x:v>PH-TG-54-L</x:v>
      </x:c>
      <x:c r="C455" t="str">
        <x:v>PHYSICAL</x:v>
      </x:c>
      <x:c r="D455" t="str">
        <x:v>terrain load</x:v>
      </x:c>
      <x:c r="E455" t="n">
        <x:f>IF('Terrain Field'!K60&lt;&gt;"",1,0)</x:f>
        <x:v>0</x:v>
      </x:c>
      <x:c r="F455" t="n">
        <x:v>1</x:v>
      </x:c>
      <x:c r="G455" t="str">
        <x:v>equals</x:v>
      </x:c>
      <x:c r="H455" t="str">
        <x:v>independent physical acceptance</x:v>
      </x:c>
      <x:c r="I455" t="str">
        <x:f>IF(E455=1,"PASS","OPEN")</x:f>
        <x:v>OPEN</x:v>
      </x:c>
    </x:row>
    <x:row r="456">
      <x:c r="B456" t="str">
        <x:v>PH-TG-55-G</x:v>
      </x:c>
      <x:c r="C456" t="str">
        <x:v>PHYSICAL</x:v>
      </x:c>
      <x:c r="D456" t="str">
        <x:v>terrain geometry</x:v>
      </x:c>
      <x:c r="E456" t="n">
        <x:f>IF('Terrain Field'!J61&lt;&gt;"",1,0)</x:f>
        <x:v>0</x:v>
      </x:c>
      <x:c r="F456" t="n">
        <x:v>1</x:v>
      </x:c>
      <x:c r="G456" t="str">
        <x:v>equals</x:v>
      </x:c>
      <x:c r="H456" t="str">
        <x:v>independent physical acceptance</x:v>
      </x:c>
      <x:c r="I456" t="str">
        <x:f>IF(E456=1,"PASS","OPEN")</x:f>
        <x:v>OPEN</x:v>
      </x:c>
    </x:row>
    <x:row r="457">
      <x:c r="B457" t="str">
        <x:v>PH-TG-55-L</x:v>
      </x:c>
      <x:c r="C457" t="str">
        <x:v>PHYSICAL</x:v>
      </x:c>
      <x:c r="D457" t="str">
        <x:v>terrain load</x:v>
      </x:c>
      <x:c r="E457" t="n">
        <x:f>IF('Terrain Field'!K61&lt;&gt;"",1,0)</x:f>
        <x:v>0</x:v>
      </x:c>
      <x:c r="F457" t="n">
        <x:v>1</x:v>
      </x:c>
      <x:c r="G457" t="str">
        <x:v>equals</x:v>
      </x:c>
      <x:c r="H457" t="str">
        <x:v>independent physical acceptance</x:v>
      </x:c>
      <x:c r="I457" t="str">
        <x:f>IF(E457=1,"PASS","OPEN")</x:f>
        <x:v>OPEN</x:v>
      </x:c>
    </x:row>
    <x:row r="458">
      <x:c r="B458" t="str">
        <x:v>PH-TG-56-G</x:v>
      </x:c>
      <x:c r="C458" t="str">
        <x:v>PHYSICAL</x:v>
      </x:c>
      <x:c r="D458" t="str">
        <x:v>terrain geometry</x:v>
      </x:c>
      <x:c r="E458" t="n">
        <x:f>IF('Terrain Field'!J62&lt;&gt;"",1,0)</x:f>
        <x:v>0</x:v>
      </x:c>
      <x:c r="F458" t="n">
        <x:v>1</x:v>
      </x:c>
      <x:c r="G458" t="str">
        <x:v>equals</x:v>
      </x:c>
      <x:c r="H458" t="str">
        <x:v>independent physical acceptance</x:v>
      </x:c>
      <x:c r="I458" t="str">
        <x:f>IF(E458=1,"PASS","OPEN")</x:f>
        <x:v>OPEN</x:v>
      </x:c>
    </x:row>
    <x:row r="459">
      <x:c r="B459" t="str">
        <x:v>PH-TG-56-L</x:v>
      </x:c>
      <x:c r="C459" t="str">
        <x:v>PHYSICAL</x:v>
      </x:c>
      <x:c r="D459" t="str">
        <x:v>terrain load</x:v>
      </x:c>
      <x:c r="E459" t="n">
        <x:f>IF('Terrain Field'!K62&lt;&gt;"",1,0)</x:f>
        <x:v>0</x:v>
      </x:c>
      <x:c r="F459" t="n">
        <x:v>1</x:v>
      </x:c>
      <x:c r="G459" t="str">
        <x:v>equals</x:v>
      </x:c>
      <x:c r="H459" t="str">
        <x:v>independent physical acceptance</x:v>
      </x:c>
      <x:c r="I459" t="str">
        <x:f>IF(E459=1,"PASS","OPEN")</x:f>
        <x:v>OPEN</x:v>
      </x:c>
    </x:row>
    <x:row r="460">
      <x:c r="B460" t="str">
        <x:v>PH-TG-57-G</x:v>
      </x:c>
      <x:c r="C460" t="str">
        <x:v>PHYSICAL</x:v>
      </x:c>
      <x:c r="D460" t="str">
        <x:v>terrain geometry</x:v>
      </x:c>
      <x:c r="E460" t="n">
        <x:f>IF('Terrain Field'!J63&lt;&gt;"",1,0)</x:f>
        <x:v>0</x:v>
      </x:c>
      <x:c r="F460" t="n">
        <x:v>1</x:v>
      </x:c>
      <x:c r="G460" t="str">
        <x:v>equals</x:v>
      </x:c>
      <x:c r="H460" t="str">
        <x:v>independent physical acceptance</x:v>
      </x:c>
      <x:c r="I460" t="str">
        <x:f>IF(E460=1,"PASS","OPEN")</x:f>
        <x:v>OPEN</x:v>
      </x:c>
    </x:row>
    <x:row r="461">
      <x:c r="B461" t="str">
        <x:v>PH-TG-57-L</x:v>
      </x:c>
      <x:c r="C461" t="str">
        <x:v>PHYSICAL</x:v>
      </x:c>
      <x:c r="D461" t="str">
        <x:v>terrain load</x:v>
      </x:c>
      <x:c r="E461" t="n">
        <x:f>IF('Terrain Field'!K63&lt;&gt;"",1,0)</x:f>
        <x:v>0</x:v>
      </x:c>
      <x:c r="F461" t="n">
        <x:v>1</x:v>
      </x:c>
      <x:c r="G461" t="str">
        <x:v>equals</x:v>
      </x:c>
      <x:c r="H461" t="str">
        <x:v>independent physical acceptance</x:v>
      </x:c>
      <x:c r="I461" t="str">
        <x:f>IF(E461=1,"PASS","OPEN")</x:f>
        <x:v>OPEN</x:v>
      </x:c>
    </x:row>
    <x:row r="462">
      <x:c r="B462" t="str">
        <x:v>PH-TG-58-G</x:v>
      </x:c>
      <x:c r="C462" t="str">
        <x:v>PHYSICAL</x:v>
      </x:c>
      <x:c r="D462" t="str">
        <x:v>terrain geometry</x:v>
      </x:c>
      <x:c r="E462" t="n">
        <x:f>IF('Terrain Field'!J64&lt;&gt;"",1,0)</x:f>
        <x:v>0</x:v>
      </x:c>
      <x:c r="F462" t="n">
        <x:v>1</x:v>
      </x:c>
      <x:c r="G462" t="str">
        <x:v>equals</x:v>
      </x:c>
      <x:c r="H462" t="str">
        <x:v>independent physical acceptance</x:v>
      </x:c>
      <x:c r="I462" t="str">
        <x:f>IF(E462=1,"PASS","OPEN")</x:f>
        <x:v>OPEN</x:v>
      </x:c>
    </x:row>
    <x:row r="463">
      <x:c r="B463" t="str">
        <x:v>PH-TG-58-L</x:v>
      </x:c>
      <x:c r="C463" t="str">
        <x:v>PHYSICAL</x:v>
      </x:c>
      <x:c r="D463" t="str">
        <x:v>terrain load</x:v>
      </x:c>
      <x:c r="E463" t="n">
        <x:f>IF('Terrain Field'!K64&lt;&gt;"",1,0)</x:f>
        <x:v>0</x:v>
      </x:c>
      <x:c r="F463" t="n">
        <x:v>1</x:v>
      </x:c>
      <x:c r="G463" t="str">
        <x:v>equals</x:v>
      </x:c>
      <x:c r="H463" t="str">
        <x:v>independent physical acceptance</x:v>
      </x:c>
      <x:c r="I463" t="str">
        <x:f>IF(E463=1,"PASS","OPEN")</x:f>
        <x:v>OPEN</x:v>
      </x:c>
    </x:row>
    <x:row r="464">
      <x:c r="B464" t="str">
        <x:v>PH-TG-59-G</x:v>
      </x:c>
      <x:c r="C464" t="str">
        <x:v>PHYSICAL</x:v>
      </x:c>
      <x:c r="D464" t="str">
        <x:v>terrain geometry</x:v>
      </x:c>
      <x:c r="E464" t="n">
        <x:f>IF('Terrain Field'!J65&lt;&gt;"",1,0)</x:f>
        <x:v>0</x:v>
      </x:c>
      <x:c r="F464" t="n">
        <x:v>1</x:v>
      </x:c>
      <x:c r="G464" t="str">
        <x:v>equals</x:v>
      </x:c>
      <x:c r="H464" t="str">
        <x:v>independent physical acceptance</x:v>
      </x:c>
      <x:c r="I464" t="str">
        <x:f>IF(E464=1,"PASS","OPEN")</x:f>
        <x:v>OPEN</x:v>
      </x:c>
    </x:row>
    <x:row r="465">
      <x:c r="B465" t="str">
        <x:v>PH-TG-59-L</x:v>
      </x:c>
      <x:c r="C465" t="str">
        <x:v>PHYSICAL</x:v>
      </x:c>
      <x:c r="D465" t="str">
        <x:v>terrain load</x:v>
      </x:c>
      <x:c r="E465" t="n">
        <x:f>IF('Terrain Field'!K65&lt;&gt;"",1,0)</x:f>
        <x:v>0</x:v>
      </x:c>
      <x:c r="F465" t="n">
        <x:v>1</x:v>
      </x:c>
      <x:c r="G465" t="str">
        <x:v>equals</x:v>
      </x:c>
      <x:c r="H465" t="str">
        <x:v>independent physical acceptance</x:v>
      </x:c>
      <x:c r="I465" t="str">
        <x:f>IF(E465=1,"PASS","OPEN")</x:f>
        <x:v>OPEN</x:v>
      </x:c>
    </x:row>
    <x:row r="466">
      <x:c r="B466" t="str">
        <x:v>PH-TG-60-G</x:v>
      </x:c>
      <x:c r="C466" t="str">
        <x:v>PHYSICAL</x:v>
      </x:c>
      <x:c r="D466" t="str">
        <x:v>terrain geometry</x:v>
      </x:c>
      <x:c r="E466" t="n">
        <x:f>IF('Terrain Field'!J66&lt;&gt;"",1,0)</x:f>
        <x:v>0</x:v>
      </x:c>
      <x:c r="F466" t="n">
        <x:v>1</x:v>
      </x:c>
      <x:c r="G466" t="str">
        <x:v>equals</x:v>
      </x:c>
      <x:c r="H466" t="str">
        <x:v>independent physical acceptance</x:v>
      </x:c>
      <x:c r="I466" t="str">
        <x:f>IF(E466=1,"PASS","OPEN")</x:f>
        <x:v>OPEN</x:v>
      </x:c>
    </x:row>
    <x:row r="467">
      <x:c r="B467" t="str">
        <x:v>PH-TG-60-L</x:v>
      </x:c>
      <x:c r="C467" t="str">
        <x:v>PHYSICAL</x:v>
      </x:c>
      <x:c r="D467" t="str">
        <x:v>terrain load</x:v>
      </x:c>
      <x:c r="E467" t="n">
        <x:f>IF('Terrain Field'!K66&lt;&gt;"",1,0)</x:f>
        <x:v>0</x:v>
      </x:c>
      <x:c r="F467" t="n">
        <x:v>1</x:v>
      </x:c>
      <x:c r="G467" t="str">
        <x:v>equals</x:v>
      </x:c>
      <x:c r="H467" t="str">
        <x:v>independent physical acceptance</x:v>
      </x:c>
      <x:c r="I467" t="str">
        <x:f>IF(E467=1,"PASS","OPEN")</x:f>
        <x:v>OPEN</x:v>
      </x:c>
    </x:row>
    <x:row r="468">
      <x:c r="B468" t="str">
        <x:v>PH-TG-61-G</x:v>
      </x:c>
      <x:c r="C468" t="str">
        <x:v>PHYSICAL</x:v>
      </x:c>
      <x:c r="D468" t="str">
        <x:v>terrain geometry</x:v>
      </x:c>
      <x:c r="E468" t="n">
        <x:f>IF('Terrain Field'!J67&lt;&gt;"",1,0)</x:f>
        <x:v>0</x:v>
      </x:c>
      <x:c r="F468" t="n">
        <x:v>1</x:v>
      </x:c>
      <x:c r="G468" t="str">
        <x:v>equals</x:v>
      </x:c>
      <x:c r="H468" t="str">
        <x:v>independent physical acceptance</x:v>
      </x:c>
      <x:c r="I468" t="str">
        <x:f>IF(E468=1,"PASS","OPEN")</x:f>
        <x:v>OPEN</x:v>
      </x:c>
    </x:row>
    <x:row r="469">
      <x:c r="B469" t="str">
        <x:v>PH-TG-61-L</x:v>
      </x:c>
      <x:c r="C469" t="str">
        <x:v>PHYSICAL</x:v>
      </x:c>
      <x:c r="D469" t="str">
        <x:v>terrain load</x:v>
      </x:c>
      <x:c r="E469" t="n">
        <x:f>IF('Terrain Field'!K67&lt;&gt;"",1,0)</x:f>
        <x:v>0</x:v>
      </x:c>
      <x:c r="F469" t="n">
        <x:v>1</x:v>
      </x:c>
      <x:c r="G469" t="str">
        <x:v>equals</x:v>
      </x:c>
      <x:c r="H469" t="str">
        <x:v>independent physical acceptance</x:v>
      </x:c>
      <x:c r="I469" t="str">
        <x:f>IF(E469=1,"PASS","OPEN")</x:f>
        <x:v>OPEN</x:v>
      </x:c>
    </x:row>
    <x:row r="470">
      <x:c r="B470" t="str">
        <x:v>PH-TG-62-G</x:v>
      </x:c>
      <x:c r="C470" t="str">
        <x:v>PHYSICAL</x:v>
      </x:c>
      <x:c r="D470" t="str">
        <x:v>terrain geometry</x:v>
      </x:c>
      <x:c r="E470" t="n">
        <x:f>IF('Terrain Field'!J68&lt;&gt;"",1,0)</x:f>
        <x:v>0</x:v>
      </x:c>
      <x:c r="F470" t="n">
        <x:v>1</x:v>
      </x:c>
      <x:c r="G470" t="str">
        <x:v>equals</x:v>
      </x:c>
      <x:c r="H470" t="str">
        <x:v>independent physical acceptance</x:v>
      </x:c>
      <x:c r="I470" t="str">
        <x:f>IF(E470=1,"PASS","OPEN")</x:f>
        <x:v>OPEN</x:v>
      </x:c>
    </x:row>
    <x:row r="471">
      <x:c r="B471" t="str">
        <x:v>PH-TG-62-L</x:v>
      </x:c>
      <x:c r="C471" t="str">
        <x:v>PHYSICAL</x:v>
      </x:c>
      <x:c r="D471" t="str">
        <x:v>terrain load</x:v>
      </x:c>
      <x:c r="E471" t="n">
        <x:f>IF('Terrain Field'!K68&lt;&gt;"",1,0)</x:f>
        <x:v>0</x:v>
      </x:c>
      <x:c r="F471" t="n">
        <x:v>1</x:v>
      </x:c>
      <x:c r="G471" t="str">
        <x:v>equals</x:v>
      </x:c>
      <x:c r="H471" t="str">
        <x:v>independent physical acceptance</x:v>
      </x:c>
      <x:c r="I471" t="str">
        <x:f>IF(E471=1,"PASS","OPEN")</x:f>
        <x:v>OPEN</x:v>
      </x:c>
    </x:row>
    <x:row r="472">
      <x:c r="B472" t="str">
        <x:v>PH-TG-63-G</x:v>
      </x:c>
      <x:c r="C472" t="str">
        <x:v>PHYSICAL</x:v>
      </x:c>
      <x:c r="D472" t="str">
        <x:v>terrain geometry</x:v>
      </x:c>
      <x:c r="E472" t="n">
        <x:f>IF('Terrain Field'!J69&lt;&gt;"",1,0)</x:f>
        <x:v>0</x:v>
      </x:c>
      <x:c r="F472" t="n">
        <x:v>1</x:v>
      </x:c>
      <x:c r="G472" t="str">
        <x:v>equals</x:v>
      </x:c>
      <x:c r="H472" t="str">
        <x:v>independent physical acceptance</x:v>
      </x:c>
      <x:c r="I472" t="str">
        <x:f>IF(E472=1,"PASS","OPEN")</x:f>
        <x:v>OPEN</x:v>
      </x:c>
    </x:row>
    <x:row r="473">
      <x:c r="B473" t="str">
        <x:v>PH-TG-63-L</x:v>
      </x:c>
      <x:c r="C473" t="str">
        <x:v>PHYSICAL</x:v>
      </x:c>
      <x:c r="D473" t="str">
        <x:v>terrain load</x:v>
      </x:c>
      <x:c r="E473" t="n">
        <x:f>IF('Terrain Field'!K69&lt;&gt;"",1,0)</x:f>
        <x:v>0</x:v>
      </x:c>
      <x:c r="F473" t="n">
        <x:v>1</x:v>
      </x:c>
      <x:c r="G473" t="str">
        <x:v>equals</x:v>
      </x:c>
      <x:c r="H473" t="str">
        <x:v>independent physical acceptance</x:v>
      </x:c>
      <x:c r="I473" t="str">
        <x:f>IF(E473=1,"PASS","OPEN")</x:f>
        <x:v>OPEN</x:v>
      </x:c>
    </x:row>
    <x:row r="474">
      <x:c r="B474" t="str">
        <x:v>PH-TG-64-G</x:v>
      </x:c>
      <x:c r="C474" t="str">
        <x:v>PHYSICAL</x:v>
      </x:c>
      <x:c r="D474" t="str">
        <x:v>terrain geometry</x:v>
      </x:c>
      <x:c r="E474" t="n">
        <x:f>IF('Terrain Field'!J70&lt;&gt;"",1,0)</x:f>
        <x:v>0</x:v>
      </x:c>
      <x:c r="F474" t="n">
        <x:v>1</x:v>
      </x:c>
      <x:c r="G474" t="str">
        <x:v>equals</x:v>
      </x:c>
      <x:c r="H474" t="str">
        <x:v>independent physical acceptance</x:v>
      </x:c>
      <x:c r="I474" t="str">
        <x:f>IF(E474=1,"PASS","OPEN")</x:f>
        <x:v>OPEN</x:v>
      </x:c>
    </x:row>
    <x:row r="475">
      <x:c r="B475" t="str">
        <x:v>PH-TG-64-L</x:v>
      </x:c>
      <x:c r="C475" t="str">
        <x:v>PHYSICAL</x:v>
      </x:c>
      <x:c r="D475" t="str">
        <x:v>terrain load</x:v>
      </x:c>
      <x:c r="E475" t="n">
        <x:f>IF('Terrain Field'!K70&lt;&gt;"",1,0)</x:f>
        <x:v>0</x:v>
      </x:c>
      <x:c r="F475" t="n">
        <x:v>1</x:v>
      </x:c>
      <x:c r="G475" t="str">
        <x:v>equals</x:v>
      </x:c>
      <x:c r="H475" t="str">
        <x:v>independent physical acceptance</x:v>
      </x:c>
      <x:c r="I475" t="str">
        <x:f>IF(E475=1,"PASS","OPEN")</x:f>
        <x:v>OPEN</x:v>
      </x:c>
    </x:row>
    <x:row r="476">
      <x:c r="B476" t="str">
        <x:v>PH-TG-65-G</x:v>
      </x:c>
      <x:c r="C476" t="str">
        <x:v>PHYSICAL</x:v>
      </x:c>
      <x:c r="D476" t="str">
        <x:v>terrain geometry</x:v>
      </x:c>
      <x:c r="E476" t="n">
        <x:f>IF('Terrain Field'!J71&lt;&gt;"",1,0)</x:f>
        <x:v>0</x:v>
      </x:c>
      <x:c r="F476" t="n">
        <x:v>1</x:v>
      </x:c>
      <x:c r="G476" t="str">
        <x:v>equals</x:v>
      </x:c>
      <x:c r="H476" t="str">
        <x:v>independent physical acceptance</x:v>
      </x:c>
      <x:c r="I476" t="str">
        <x:f>IF(E476=1,"PASS","OPEN")</x:f>
        <x:v>OPEN</x:v>
      </x:c>
    </x:row>
    <x:row r="477">
      <x:c r="B477" t="str">
        <x:v>PH-TG-65-L</x:v>
      </x:c>
      <x:c r="C477" t="str">
        <x:v>PHYSICAL</x:v>
      </x:c>
      <x:c r="D477" t="str">
        <x:v>terrain load</x:v>
      </x:c>
      <x:c r="E477" t="n">
        <x:f>IF('Terrain Field'!K71&lt;&gt;"",1,0)</x:f>
        <x:v>0</x:v>
      </x:c>
      <x:c r="F477" t="n">
        <x:v>1</x:v>
      </x:c>
      <x:c r="G477" t="str">
        <x:v>equals</x:v>
      </x:c>
      <x:c r="H477" t="str">
        <x:v>independent physical acceptance</x:v>
      </x:c>
      <x:c r="I477" t="str">
        <x:f>IF(E477=1,"PASS","OPEN")</x:f>
        <x:v>OPEN</x:v>
      </x:c>
    </x:row>
    <x:row r="478">
      <x:c r="B478" t="str">
        <x:v>PH-TG-66-G</x:v>
      </x:c>
      <x:c r="C478" t="str">
        <x:v>PHYSICAL</x:v>
      </x:c>
      <x:c r="D478" t="str">
        <x:v>terrain geometry</x:v>
      </x:c>
      <x:c r="E478" t="n">
        <x:f>IF('Terrain Field'!J72&lt;&gt;"",1,0)</x:f>
        <x:v>0</x:v>
      </x:c>
      <x:c r="F478" t="n">
        <x:v>1</x:v>
      </x:c>
      <x:c r="G478" t="str">
        <x:v>equals</x:v>
      </x:c>
      <x:c r="H478" t="str">
        <x:v>independent physical acceptance</x:v>
      </x:c>
      <x:c r="I478" t="str">
        <x:f>IF(E478=1,"PASS","OPEN")</x:f>
        <x:v>OPEN</x:v>
      </x:c>
    </x:row>
    <x:row r="479">
      <x:c r="B479" t="str">
        <x:v>PH-TG-66-L</x:v>
      </x:c>
      <x:c r="C479" t="str">
        <x:v>PHYSICAL</x:v>
      </x:c>
      <x:c r="D479" t="str">
        <x:v>terrain load</x:v>
      </x:c>
      <x:c r="E479" t="n">
        <x:f>IF('Terrain Field'!K72&lt;&gt;"",1,0)</x:f>
        <x:v>0</x:v>
      </x:c>
      <x:c r="F479" t="n">
        <x:v>1</x:v>
      </x:c>
      <x:c r="G479" t="str">
        <x:v>equals</x:v>
      </x:c>
      <x:c r="H479" t="str">
        <x:v>independent physical acceptance</x:v>
      </x:c>
      <x:c r="I479" t="str">
        <x:f>IF(E479=1,"PASS","OPEN")</x:f>
        <x:v>OPEN</x:v>
      </x:c>
    </x:row>
    <x:row r="480">
      <x:c r="B480" t="str">
        <x:v>PH-TG-67-G</x:v>
      </x:c>
      <x:c r="C480" t="str">
        <x:v>PHYSICAL</x:v>
      </x:c>
      <x:c r="D480" t="str">
        <x:v>terrain geometry</x:v>
      </x:c>
      <x:c r="E480" t="n">
        <x:f>IF('Terrain Field'!J73&lt;&gt;"",1,0)</x:f>
        <x:v>0</x:v>
      </x:c>
      <x:c r="F480" t="n">
        <x:v>1</x:v>
      </x:c>
      <x:c r="G480" t="str">
        <x:v>equals</x:v>
      </x:c>
      <x:c r="H480" t="str">
        <x:v>independent physical acceptance</x:v>
      </x:c>
      <x:c r="I480" t="str">
        <x:f>IF(E480=1,"PASS","OPEN")</x:f>
        <x:v>OPEN</x:v>
      </x:c>
    </x:row>
    <x:row r="481">
      <x:c r="B481" t="str">
        <x:v>PH-TG-67-L</x:v>
      </x:c>
      <x:c r="C481" t="str">
        <x:v>PHYSICAL</x:v>
      </x:c>
      <x:c r="D481" t="str">
        <x:v>terrain load</x:v>
      </x:c>
      <x:c r="E481" t="n">
        <x:f>IF('Terrain Field'!K73&lt;&gt;"",1,0)</x:f>
        <x:v>0</x:v>
      </x:c>
      <x:c r="F481" t="n">
        <x:v>1</x:v>
      </x:c>
      <x:c r="G481" t="str">
        <x:v>equals</x:v>
      </x:c>
      <x:c r="H481" t="str">
        <x:v>independent physical acceptance</x:v>
      </x:c>
      <x:c r="I481" t="str">
        <x:f>IF(E481=1,"PASS","OPEN")</x:f>
        <x:v>OPEN</x:v>
      </x:c>
    </x:row>
    <x:row r="482">
      <x:c r="B482" t="str">
        <x:v>PH-TG-68-G</x:v>
      </x:c>
      <x:c r="C482" t="str">
        <x:v>PHYSICAL</x:v>
      </x:c>
      <x:c r="D482" t="str">
        <x:v>terrain geometry</x:v>
      </x:c>
      <x:c r="E482" t="n">
        <x:f>IF('Terrain Field'!J74&lt;&gt;"",1,0)</x:f>
        <x:v>0</x:v>
      </x:c>
      <x:c r="F482" t="n">
        <x:v>1</x:v>
      </x:c>
      <x:c r="G482" t="str">
        <x:v>equals</x:v>
      </x:c>
      <x:c r="H482" t="str">
        <x:v>independent physical acceptance</x:v>
      </x:c>
      <x:c r="I482" t="str">
        <x:f>IF(E482=1,"PASS","OPEN")</x:f>
        <x:v>OPEN</x:v>
      </x:c>
    </x:row>
    <x:row r="483">
      <x:c r="B483" t="str">
        <x:v>PH-TG-68-L</x:v>
      </x:c>
      <x:c r="C483" t="str">
        <x:v>PHYSICAL</x:v>
      </x:c>
      <x:c r="D483" t="str">
        <x:v>terrain load</x:v>
      </x:c>
      <x:c r="E483" t="n">
        <x:f>IF('Terrain Field'!K74&lt;&gt;"",1,0)</x:f>
        <x:v>0</x:v>
      </x:c>
      <x:c r="F483" t="n">
        <x:v>1</x:v>
      </x:c>
      <x:c r="G483" t="str">
        <x:v>equals</x:v>
      </x:c>
      <x:c r="H483" t="str">
        <x:v>independent physical acceptance</x:v>
      </x:c>
      <x:c r="I483" t="str">
        <x:f>IF(E483=1,"PASS","OPEN")</x:f>
        <x:v>OPEN</x:v>
      </x:c>
    </x:row>
    <x:row r="484">
      <x:c r="B484" t="str">
        <x:v>PH-TG-69-G</x:v>
      </x:c>
      <x:c r="C484" t="str">
        <x:v>PHYSICAL</x:v>
      </x:c>
      <x:c r="D484" t="str">
        <x:v>terrain geometry</x:v>
      </x:c>
      <x:c r="E484" t="n">
        <x:f>IF('Terrain Field'!J75&lt;&gt;"",1,0)</x:f>
        <x:v>0</x:v>
      </x:c>
      <x:c r="F484" t="n">
        <x:v>1</x:v>
      </x:c>
      <x:c r="G484" t="str">
        <x:v>equals</x:v>
      </x:c>
      <x:c r="H484" t="str">
        <x:v>independent physical acceptance</x:v>
      </x:c>
      <x:c r="I484" t="str">
        <x:f>IF(E484=1,"PASS","OPEN")</x:f>
        <x:v>OPEN</x:v>
      </x:c>
    </x:row>
    <x:row r="485">
      <x:c r="B485" t="str">
        <x:v>PH-TG-69-L</x:v>
      </x:c>
      <x:c r="C485" t="str">
        <x:v>PHYSICAL</x:v>
      </x:c>
      <x:c r="D485" t="str">
        <x:v>terrain load</x:v>
      </x:c>
      <x:c r="E485" t="n">
        <x:f>IF('Terrain Field'!K75&lt;&gt;"",1,0)</x:f>
        <x:v>0</x:v>
      </x:c>
      <x:c r="F485" t="n">
        <x:v>1</x:v>
      </x:c>
      <x:c r="G485" t="str">
        <x:v>equals</x:v>
      </x:c>
      <x:c r="H485" t="str">
        <x:v>independent physical acceptance</x:v>
      </x:c>
      <x:c r="I485" t="str">
        <x:f>IF(E485=1,"PASS","OPEN")</x:f>
        <x:v>OPEN</x:v>
      </x:c>
    </x:row>
    <x:row r="486">
      <x:c r="B486" t="str">
        <x:v>PH-TG-70-G</x:v>
      </x:c>
      <x:c r="C486" t="str">
        <x:v>PHYSICAL</x:v>
      </x:c>
      <x:c r="D486" t="str">
        <x:v>terrain geometry</x:v>
      </x:c>
      <x:c r="E486" t="n">
        <x:f>IF('Terrain Field'!J76&lt;&gt;"",1,0)</x:f>
        <x:v>0</x:v>
      </x:c>
      <x:c r="F486" t="n">
        <x:v>1</x:v>
      </x:c>
      <x:c r="G486" t="str">
        <x:v>equals</x:v>
      </x:c>
      <x:c r="H486" t="str">
        <x:v>independent physical acceptance</x:v>
      </x:c>
      <x:c r="I486" t="str">
        <x:f>IF(E486=1,"PASS","OPEN")</x:f>
        <x:v>OPEN</x:v>
      </x:c>
    </x:row>
    <x:row r="487">
      <x:c r="B487" t="str">
        <x:v>PH-TG-70-L</x:v>
      </x:c>
      <x:c r="C487" t="str">
        <x:v>PHYSICAL</x:v>
      </x:c>
      <x:c r="D487" t="str">
        <x:v>terrain load</x:v>
      </x:c>
      <x:c r="E487" t="n">
        <x:f>IF('Terrain Field'!K76&lt;&gt;"",1,0)</x:f>
        <x:v>0</x:v>
      </x:c>
      <x:c r="F487" t="n">
        <x:v>1</x:v>
      </x:c>
      <x:c r="G487" t="str">
        <x:v>equals</x:v>
      </x:c>
      <x:c r="H487" t="str">
        <x:v>independent physical acceptance</x:v>
      </x:c>
      <x:c r="I487" t="str">
        <x:f>IF(E487=1,"PASS","OPEN")</x:f>
        <x:v>OPEN</x:v>
      </x:c>
    </x:row>
    <x:row r="488">
      <x:c r="B488" t="str">
        <x:v>PH-TG-71-G</x:v>
      </x:c>
      <x:c r="C488" t="str">
        <x:v>PHYSICAL</x:v>
      </x:c>
      <x:c r="D488" t="str">
        <x:v>terrain geometry</x:v>
      </x:c>
      <x:c r="E488" t="n">
        <x:f>IF('Terrain Field'!J77&lt;&gt;"",1,0)</x:f>
        <x:v>0</x:v>
      </x:c>
      <x:c r="F488" t="n">
        <x:v>1</x:v>
      </x:c>
      <x:c r="G488" t="str">
        <x:v>equals</x:v>
      </x:c>
      <x:c r="H488" t="str">
        <x:v>independent physical acceptance</x:v>
      </x:c>
      <x:c r="I488" t="str">
        <x:f>IF(E488=1,"PASS","OPEN")</x:f>
        <x:v>OPEN</x:v>
      </x:c>
    </x:row>
    <x:row r="489">
      <x:c r="B489" t="str">
        <x:v>PH-TG-71-L</x:v>
      </x:c>
      <x:c r="C489" t="str">
        <x:v>PHYSICAL</x:v>
      </x:c>
      <x:c r="D489" t="str">
        <x:v>terrain load</x:v>
      </x:c>
      <x:c r="E489" t="n">
        <x:f>IF('Terrain Field'!K77&lt;&gt;"",1,0)</x:f>
        <x:v>0</x:v>
      </x:c>
      <x:c r="F489" t="n">
        <x:v>1</x:v>
      </x:c>
      <x:c r="G489" t="str">
        <x:v>equals</x:v>
      </x:c>
      <x:c r="H489" t="str">
        <x:v>independent physical acceptance</x:v>
      </x:c>
      <x:c r="I489" t="str">
        <x:f>IF(E489=1,"PASS","OPEN")</x:f>
        <x:v>OPEN</x:v>
      </x:c>
    </x:row>
    <x:row r="490">
      <x:c r="B490" t="str">
        <x:v>PH-TG-72-G</x:v>
      </x:c>
      <x:c r="C490" t="str">
        <x:v>PHYSICAL</x:v>
      </x:c>
      <x:c r="D490" t="str">
        <x:v>terrain geometry</x:v>
      </x:c>
      <x:c r="E490" t="n">
        <x:f>IF('Terrain Field'!J78&lt;&gt;"",1,0)</x:f>
        <x:v>0</x:v>
      </x:c>
      <x:c r="F490" t="n">
        <x:v>1</x:v>
      </x:c>
      <x:c r="G490" t="str">
        <x:v>equals</x:v>
      </x:c>
      <x:c r="H490" t="str">
        <x:v>independent physical acceptance</x:v>
      </x:c>
      <x:c r="I490" t="str">
        <x:f>IF(E490=1,"PASS","OPEN")</x:f>
        <x:v>OPEN</x:v>
      </x:c>
    </x:row>
    <x:row r="491">
      <x:c r="B491" t="str">
        <x:v>PH-TG-72-L</x:v>
      </x:c>
      <x:c r="C491" t="str">
        <x:v>PHYSICAL</x:v>
      </x:c>
      <x:c r="D491" t="str">
        <x:v>terrain load</x:v>
      </x:c>
      <x:c r="E491" t="n">
        <x:f>IF('Terrain Field'!K78&lt;&gt;"",1,0)</x:f>
        <x:v>0</x:v>
      </x:c>
      <x:c r="F491" t="n">
        <x:v>1</x:v>
      </x:c>
      <x:c r="G491" t="str">
        <x:v>equals</x:v>
      </x:c>
      <x:c r="H491" t="str">
        <x:v>independent physical acceptance</x:v>
      </x:c>
      <x:c r="I491" t="str">
        <x:f>IF(E491=1,"PASS","OPEN")</x:f>
        <x:v>OPEN</x:v>
      </x:c>
    </x:row>
    <x:row r="492">
      <x:c r="B492" t="str">
        <x:v>PH-TG-73-G</x:v>
      </x:c>
      <x:c r="C492" t="str">
        <x:v>PHYSICAL</x:v>
      </x:c>
      <x:c r="D492" t="str">
        <x:v>terrain geometry</x:v>
      </x:c>
      <x:c r="E492" t="n">
        <x:f>IF('Terrain Field'!J79&lt;&gt;"",1,0)</x:f>
        <x:v>0</x:v>
      </x:c>
      <x:c r="F492" t="n">
        <x:v>1</x:v>
      </x:c>
      <x:c r="G492" t="str">
        <x:v>equals</x:v>
      </x:c>
      <x:c r="H492" t="str">
        <x:v>independent physical acceptance</x:v>
      </x:c>
      <x:c r="I492" t="str">
        <x:f>IF(E492=1,"PASS","OPEN")</x:f>
        <x:v>OPEN</x:v>
      </x:c>
    </x:row>
    <x:row r="493">
      <x:c r="B493" t="str">
        <x:v>PH-TG-73-L</x:v>
      </x:c>
      <x:c r="C493" t="str">
        <x:v>PHYSICAL</x:v>
      </x:c>
      <x:c r="D493" t="str">
        <x:v>terrain load</x:v>
      </x:c>
      <x:c r="E493" t="n">
        <x:f>IF('Terrain Field'!K79&lt;&gt;"",1,0)</x:f>
        <x:v>0</x:v>
      </x:c>
      <x:c r="F493" t="n">
        <x:v>1</x:v>
      </x:c>
      <x:c r="G493" t="str">
        <x:v>equals</x:v>
      </x:c>
      <x:c r="H493" t="str">
        <x:v>independent physical acceptance</x:v>
      </x:c>
      <x:c r="I493" t="str">
        <x:f>IF(E493=1,"PASS","OPEN")</x:f>
        <x:v>OPEN</x:v>
      </x:c>
    </x:row>
    <x:row r="494">
      <x:c r="B494" t="str">
        <x:v>PH-TG-74-G</x:v>
      </x:c>
      <x:c r="C494" t="str">
        <x:v>PHYSICAL</x:v>
      </x:c>
      <x:c r="D494" t="str">
        <x:v>terrain geometry</x:v>
      </x:c>
      <x:c r="E494" t="n">
        <x:f>IF('Terrain Field'!J80&lt;&gt;"",1,0)</x:f>
        <x:v>0</x:v>
      </x:c>
      <x:c r="F494" t="n">
        <x:v>1</x:v>
      </x:c>
      <x:c r="G494" t="str">
        <x:v>equals</x:v>
      </x:c>
      <x:c r="H494" t="str">
        <x:v>independent physical acceptance</x:v>
      </x:c>
      <x:c r="I494" t="str">
        <x:f>IF(E494=1,"PASS","OPEN")</x:f>
        <x:v>OPEN</x:v>
      </x:c>
    </x:row>
    <x:row r="495">
      <x:c r="B495" t="str">
        <x:v>PH-TG-74-L</x:v>
      </x:c>
      <x:c r="C495" t="str">
        <x:v>PHYSICAL</x:v>
      </x:c>
      <x:c r="D495" t="str">
        <x:v>terrain load</x:v>
      </x:c>
      <x:c r="E495" t="n">
        <x:f>IF('Terrain Field'!K80&lt;&gt;"",1,0)</x:f>
        <x:v>0</x:v>
      </x:c>
      <x:c r="F495" t="n">
        <x:v>1</x:v>
      </x:c>
      <x:c r="G495" t="str">
        <x:v>equals</x:v>
      </x:c>
      <x:c r="H495" t="str">
        <x:v>independent physical acceptance</x:v>
      </x:c>
      <x:c r="I495" t="str">
        <x:f>IF(E495=1,"PASS","OPEN")</x:f>
        <x:v>OPEN</x:v>
      </x:c>
    </x:row>
    <x:row r="496">
      <x:c r="B496" t="str">
        <x:v>PH-TG-75-G</x:v>
      </x:c>
      <x:c r="C496" t="str">
        <x:v>PHYSICAL</x:v>
      </x:c>
      <x:c r="D496" t="str">
        <x:v>terrain geometry</x:v>
      </x:c>
      <x:c r="E496" t="n">
        <x:f>IF('Terrain Field'!J81&lt;&gt;"",1,0)</x:f>
        <x:v>0</x:v>
      </x:c>
      <x:c r="F496" t="n">
        <x:v>1</x:v>
      </x:c>
      <x:c r="G496" t="str">
        <x:v>equals</x:v>
      </x:c>
      <x:c r="H496" t="str">
        <x:v>independent physical acceptance</x:v>
      </x:c>
      <x:c r="I496" t="str">
        <x:f>IF(E496=1,"PASS","OPEN")</x:f>
        <x:v>OPEN</x:v>
      </x:c>
    </x:row>
    <x:row r="497">
      <x:c r="B497" t="str">
        <x:v>PH-TG-75-L</x:v>
      </x:c>
      <x:c r="C497" t="str">
        <x:v>PHYSICAL</x:v>
      </x:c>
      <x:c r="D497" t="str">
        <x:v>terrain load</x:v>
      </x:c>
      <x:c r="E497" t="n">
        <x:f>IF('Terrain Field'!K81&lt;&gt;"",1,0)</x:f>
        <x:v>0</x:v>
      </x:c>
      <x:c r="F497" t="n">
        <x:v>1</x:v>
      </x:c>
      <x:c r="G497" t="str">
        <x:v>equals</x:v>
      </x:c>
      <x:c r="H497" t="str">
        <x:v>independent physical acceptance</x:v>
      </x:c>
      <x:c r="I497" t="str">
        <x:f>IF(E497=1,"PASS","OPEN")</x:f>
        <x:v>OPEN</x:v>
      </x:c>
    </x:row>
    <x:row r="498">
      <x:c r="B498" t="str">
        <x:v>PH-TG-76-G</x:v>
      </x:c>
      <x:c r="C498" t="str">
        <x:v>PHYSICAL</x:v>
      </x:c>
      <x:c r="D498" t="str">
        <x:v>terrain geometry</x:v>
      </x:c>
      <x:c r="E498" t="n">
        <x:f>IF('Terrain Field'!J82&lt;&gt;"",1,0)</x:f>
        <x:v>0</x:v>
      </x:c>
      <x:c r="F498" t="n">
        <x:v>1</x:v>
      </x:c>
      <x:c r="G498" t="str">
        <x:v>equals</x:v>
      </x:c>
      <x:c r="H498" t="str">
        <x:v>independent physical acceptance</x:v>
      </x:c>
      <x:c r="I498" t="str">
        <x:f>IF(E498=1,"PASS","OPEN")</x:f>
        <x:v>OPEN</x:v>
      </x:c>
    </x:row>
    <x:row r="499">
      <x:c r="B499" t="str">
        <x:v>PH-TG-76-L</x:v>
      </x:c>
      <x:c r="C499" t="str">
        <x:v>PHYSICAL</x:v>
      </x:c>
      <x:c r="D499" t="str">
        <x:v>terrain load</x:v>
      </x:c>
      <x:c r="E499" t="n">
        <x:f>IF('Terrain Field'!K82&lt;&gt;"",1,0)</x:f>
        <x:v>0</x:v>
      </x:c>
      <x:c r="F499" t="n">
        <x:v>1</x:v>
      </x:c>
      <x:c r="G499" t="str">
        <x:v>equals</x:v>
      </x:c>
      <x:c r="H499" t="str">
        <x:v>independent physical acceptance</x:v>
      </x:c>
      <x:c r="I499" t="str">
        <x:f>IF(E499=1,"PASS","OPEN")</x:f>
        <x:v>OPEN</x:v>
      </x:c>
    </x:row>
    <x:row r="500">
      <x:c r="B500" t="str">
        <x:v>PH-TG-77-G</x:v>
      </x:c>
      <x:c r="C500" t="str">
        <x:v>PHYSICAL</x:v>
      </x:c>
      <x:c r="D500" t="str">
        <x:v>terrain geometry</x:v>
      </x:c>
      <x:c r="E500" t="n">
        <x:f>IF('Terrain Field'!J83&lt;&gt;"",1,0)</x:f>
        <x:v>0</x:v>
      </x:c>
      <x:c r="F500" t="n">
        <x:v>1</x:v>
      </x:c>
      <x:c r="G500" t="str">
        <x:v>equals</x:v>
      </x:c>
      <x:c r="H500" t="str">
        <x:v>independent physical acceptance</x:v>
      </x:c>
      <x:c r="I500" t="str">
        <x:f>IF(E500=1,"PASS","OPEN")</x:f>
        <x:v>OPEN</x:v>
      </x:c>
    </x:row>
    <x:row r="501">
      <x:c r="B501" t="str">
        <x:v>PH-TG-77-L</x:v>
      </x:c>
      <x:c r="C501" t="str">
        <x:v>PHYSICAL</x:v>
      </x:c>
      <x:c r="D501" t="str">
        <x:v>terrain load</x:v>
      </x:c>
      <x:c r="E501" t="n">
        <x:f>IF('Terrain Field'!K83&lt;&gt;"",1,0)</x:f>
        <x:v>0</x:v>
      </x:c>
      <x:c r="F501" t="n">
        <x:v>1</x:v>
      </x:c>
      <x:c r="G501" t="str">
        <x:v>equals</x:v>
      </x:c>
      <x:c r="H501" t="str">
        <x:v>independent physical acceptance</x:v>
      </x:c>
      <x:c r="I501" t="str">
        <x:f>IF(E501=1,"PASS","OPEN")</x:f>
        <x:v>OPEN</x:v>
      </x:c>
    </x:row>
    <x:row r="502">
      <x:c r="B502" t="str">
        <x:v>PH-TG-78-G</x:v>
      </x:c>
      <x:c r="C502" t="str">
        <x:v>PHYSICAL</x:v>
      </x:c>
      <x:c r="D502" t="str">
        <x:v>terrain geometry</x:v>
      </x:c>
      <x:c r="E502" t="n">
        <x:f>IF('Terrain Field'!J84&lt;&gt;"",1,0)</x:f>
        <x:v>0</x:v>
      </x:c>
      <x:c r="F502" t="n">
        <x:v>1</x:v>
      </x:c>
      <x:c r="G502" t="str">
        <x:v>equals</x:v>
      </x:c>
      <x:c r="H502" t="str">
        <x:v>independent physical acceptance</x:v>
      </x:c>
      <x:c r="I502" t="str">
        <x:f>IF(E502=1,"PASS","OPEN")</x:f>
        <x:v>OPEN</x:v>
      </x:c>
    </x:row>
    <x:row r="503">
      <x:c r="B503" t="str">
        <x:v>PH-TG-78-L</x:v>
      </x:c>
      <x:c r="C503" t="str">
        <x:v>PHYSICAL</x:v>
      </x:c>
      <x:c r="D503" t="str">
        <x:v>terrain load</x:v>
      </x:c>
      <x:c r="E503" t="n">
        <x:f>IF('Terrain Field'!K84&lt;&gt;"",1,0)</x:f>
        <x:v>0</x:v>
      </x:c>
      <x:c r="F503" t="n">
        <x:v>1</x:v>
      </x:c>
      <x:c r="G503" t="str">
        <x:v>equals</x:v>
      </x:c>
      <x:c r="H503" t="str">
        <x:v>independent physical acceptance</x:v>
      </x:c>
      <x:c r="I503" t="str">
        <x:f>IF(E503=1,"PASS","OPEN")</x:f>
        <x:v>OPEN</x:v>
      </x:c>
    </x:row>
    <x:row r="504">
      <x:c r="B504" t="str">
        <x:v>PH-TG-79-G</x:v>
      </x:c>
      <x:c r="C504" t="str">
        <x:v>PHYSICAL</x:v>
      </x:c>
      <x:c r="D504" t="str">
        <x:v>terrain geometry</x:v>
      </x:c>
      <x:c r="E504" t="n">
        <x:f>IF('Terrain Field'!J85&lt;&gt;"",1,0)</x:f>
        <x:v>0</x:v>
      </x:c>
      <x:c r="F504" t="n">
        <x:v>1</x:v>
      </x:c>
      <x:c r="G504" t="str">
        <x:v>equals</x:v>
      </x:c>
      <x:c r="H504" t="str">
        <x:v>independent physical acceptance</x:v>
      </x:c>
      <x:c r="I504" t="str">
        <x:f>IF(E504=1,"PASS","OPEN")</x:f>
        <x:v>OPEN</x:v>
      </x:c>
    </x:row>
    <x:row r="505">
      <x:c r="B505" t="str">
        <x:v>PH-TG-79-L</x:v>
      </x:c>
      <x:c r="C505" t="str">
        <x:v>PHYSICAL</x:v>
      </x:c>
      <x:c r="D505" t="str">
        <x:v>terrain load</x:v>
      </x:c>
      <x:c r="E505" t="n">
        <x:f>IF('Terrain Field'!K85&lt;&gt;"",1,0)</x:f>
        <x:v>0</x:v>
      </x:c>
      <x:c r="F505" t="n">
        <x:v>1</x:v>
      </x:c>
      <x:c r="G505" t="str">
        <x:v>equals</x:v>
      </x:c>
      <x:c r="H505" t="str">
        <x:v>independent physical acceptance</x:v>
      </x:c>
      <x:c r="I505" t="str">
        <x:f>IF(E505=1,"PASS","OPEN")</x:f>
        <x:v>OPEN</x:v>
      </x:c>
    </x:row>
    <x:row r="506">
      <x:c r="B506" t="str">
        <x:v>PH-TG-80-G</x:v>
      </x:c>
      <x:c r="C506" t="str">
        <x:v>PHYSICAL</x:v>
      </x:c>
      <x:c r="D506" t="str">
        <x:v>terrain geometry</x:v>
      </x:c>
      <x:c r="E506" t="n">
        <x:f>IF('Terrain Field'!J86&lt;&gt;"",1,0)</x:f>
        <x:v>0</x:v>
      </x:c>
      <x:c r="F506" t="n">
        <x:v>1</x:v>
      </x:c>
      <x:c r="G506" t="str">
        <x:v>equals</x:v>
      </x:c>
      <x:c r="H506" t="str">
        <x:v>independent physical acceptance</x:v>
      </x:c>
      <x:c r="I506" t="str">
        <x:f>IF(E506=1,"PASS","OPEN")</x:f>
        <x:v>OPEN</x:v>
      </x:c>
    </x:row>
    <x:row r="507">
      <x:c r="B507" t="str">
        <x:v>PH-TG-80-L</x:v>
      </x:c>
      <x:c r="C507" t="str">
        <x:v>PHYSICAL</x:v>
      </x:c>
      <x:c r="D507" t="str">
        <x:v>terrain load</x:v>
      </x:c>
      <x:c r="E507" t="n">
        <x:f>IF('Terrain Field'!K86&lt;&gt;"",1,0)</x:f>
        <x:v>0</x:v>
      </x:c>
      <x:c r="F507" t="n">
        <x:v>1</x:v>
      </x:c>
      <x:c r="G507" t="str">
        <x:v>equals</x:v>
      </x:c>
      <x:c r="H507" t="str">
        <x:v>independent physical acceptance</x:v>
      </x:c>
      <x:c r="I507" t="str">
        <x:f>IF(E507=1,"PASS","OPEN")</x:f>
        <x:v>OPEN</x:v>
      </x:c>
    </x:row>
    <x:row r="508">
      <x:c r="B508" t="str">
        <x:v>PH-TG-81-G</x:v>
      </x:c>
      <x:c r="C508" t="str">
        <x:v>PHYSICAL</x:v>
      </x:c>
      <x:c r="D508" t="str">
        <x:v>terrain geometry</x:v>
      </x:c>
      <x:c r="E508" t="n">
        <x:f>IF('Terrain Field'!J87&lt;&gt;"",1,0)</x:f>
        <x:v>0</x:v>
      </x:c>
      <x:c r="F508" t="n">
        <x:v>1</x:v>
      </x:c>
      <x:c r="G508" t="str">
        <x:v>equals</x:v>
      </x:c>
      <x:c r="H508" t="str">
        <x:v>independent physical acceptance</x:v>
      </x:c>
      <x:c r="I508" t="str">
        <x:f>IF(E508=1,"PASS","OPEN")</x:f>
        <x:v>OPEN</x:v>
      </x:c>
    </x:row>
    <x:row r="509">
      <x:c r="B509" t="str">
        <x:v>PH-TG-81-L</x:v>
      </x:c>
      <x:c r="C509" t="str">
        <x:v>PHYSICAL</x:v>
      </x:c>
      <x:c r="D509" t="str">
        <x:v>terrain load</x:v>
      </x:c>
      <x:c r="E509" t="n">
        <x:f>IF('Terrain Field'!K87&lt;&gt;"",1,0)</x:f>
        <x:v>0</x:v>
      </x:c>
      <x:c r="F509" t="n">
        <x:v>1</x:v>
      </x:c>
      <x:c r="G509" t="str">
        <x:v>equals</x:v>
      </x:c>
      <x:c r="H509" t="str">
        <x:v>independent physical acceptance</x:v>
      </x:c>
      <x:c r="I509" t="str">
        <x:f>IF(E509=1,"PASS","OPEN")</x:f>
        <x:v>OPEN</x:v>
      </x:c>
    </x:row>
    <x:row r="510">
      <x:c r="B510" t="str">
        <x:v>PH-TG-82-G</x:v>
      </x:c>
      <x:c r="C510" t="str">
        <x:v>PHYSICAL</x:v>
      </x:c>
      <x:c r="D510" t="str">
        <x:v>terrain geometry</x:v>
      </x:c>
      <x:c r="E510" t="n">
        <x:f>IF('Terrain Field'!J88&lt;&gt;"",1,0)</x:f>
        <x:v>0</x:v>
      </x:c>
      <x:c r="F510" t="n">
        <x:v>1</x:v>
      </x:c>
      <x:c r="G510" t="str">
        <x:v>equals</x:v>
      </x:c>
      <x:c r="H510" t="str">
        <x:v>independent physical acceptance</x:v>
      </x:c>
      <x:c r="I510" t="str">
        <x:f>IF(E510=1,"PASS","OPEN")</x:f>
        <x:v>OPEN</x:v>
      </x:c>
    </x:row>
    <x:row r="511">
      <x:c r="B511" t="str">
        <x:v>PH-TG-82-L</x:v>
      </x:c>
      <x:c r="C511" t="str">
        <x:v>PHYSICAL</x:v>
      </x:c>
      <x:c r="D511" t="str">
        <x:v>terrain load</x:v>
      </x:c>
      <x:c r="E511" t="n">
        <x:f>IF('Terrain Field'!K88&lt;&gt;"",1,0)</x:f>
        <x:v>0</x:v>
      </x:c>
      <x:c r="F511" t="n">
        <x:v>1</x:v>
      </x:c>
      <x:c r="G511" t="str">
        <x:v>equals</x:v>
      </x:c>
      <x:c r="H511" t="str">
        <x:v>independent physical acceptance</x:v>
      </x:c>
      <x:c r="I511" t="str">
        <x:f>IF(E511=1,"PASS","OPEN")</x:f>
        <x:v>OPEN</x:v>
      </x:c>
    </x:row>
    <x:row r="512">
      <x:c r="B512" t="str">
        <x:v>PH-TG-83-G</x:v>
      </x:c>
      <x:c r="C512" t="str">
        <x:v>PHYSICAL</x:v>
      </x:c>
      <x:c r="D512" t="str">
        <x:v>terrain geometry</x:v>
      </x:c>
      <x:c r="E512" t="n">
        <x:f>IF('Terrain Field'!J89&lt;&gt;"",1,0)</x:f>
        <x:v>0</x:v>
      </x:c>
      <x:c r="F512" t="n">
        <x:v>1</x:v>
      </x:c>
      <x:c r="G512" t="str">
        <x:v>equals</x:v>
      </x:c>
      <x:c r="H512" t="str">
        <x:v>independent physical acceptance</x:v>
      </x:c>
      <x:c r="I512" t="str">
        <x:f>IF(E512=1,"PASS","OPEN")</x:f>
        <x:v>OPEN</x:v>
      </x:c>
    </x:row>
    <x:row r="513">
      <x:c r="B513" t="str">
        <x:v>PH-TG-83-L</x:v>
      </x:c>
      <x:c r="C513" t="str">
        <x:v>PHYSICAL</x:v>
      </x:c>
      <x:c r="D513" t="str">
        <x:v>terrain load</x:v>
      </x:c>
      <x:c r="E513" t="n">
        <x:f>IF('Terrain Field'!K89&lt;&gt;"",1,0)</x:f>
        <x:v>0</x:v>
      </x:c>
      <x:c r="F513" t="n">
        <x:v>1</x:v>
      </x:c>
      <x:c r="G513" t="str">
        <x:v>equals</x:v>
      </x:c>
      <x:c r="H513" t="str">
        <x:v>independent physical acceptance</x:v>
      </x:c>
      <x:c r="I513" t="str">
        <x:f>IF(E513=1,"PASS","OPEN")</x:f>
        <x:v>OPEN</x:v>
      </x:c>
    </x:row>
    <x:row r="514">
      <x:c r="B514" t="str">
        <x:v>PH-TG-84-G</x:v>
      </x:c>
      <x:c r="C514" t="str">
        <x:v>PHYSICAL</x:v>
      </x:c>
      <x:c r="D514" t="str">
        <x:v>terrain geometry</x:v>
      </x:c>
      <x:c r="E514" t="n">
        <x:f>IF('Terrain Field'!J90&lt;&gt;"",1,0)</x:f>
        <x:v>0</x:v>
      </x:c>
      <x:c r="F514" t="n">
        <x:v>1</x:v>
      </x:c>
      <x:c r="G514" t="str">
        <x:v>equals</x:v>
      </x:c>
      <x:c r="H514" t="str">
        <x:v>independent physical acceptance</x:v>
      </x:c>
      <x:c r="I514" t="str">
        <x:f>IF(E514=1,"PASS","OPEN")</x:f>
        <x:v>OPEN</x:v>
      </x:c>
    </x:row>
    <x:row r="515">
      <x:c r="B515" t="str">
        <x:v>PH-TG-84-L</x:v>
      </x:c>
      <x:c r="C515" t="str">
        <x:v>PHYSICAL</x:v>
      </x:c>
      <x:c r="D515" t="str">
        <x:v>terrain load</x:v>
      </x:c>
      <x:c r="E515" t="n">
        <x:f>IF('Terrain Field'!K90&lt;&gt;"",1,0)</x:f>
        <x:v>0</x:v>
      </x:c>
      <x:c r="F515" t="n">
        <x:v>1</x:v>
      </x:c>
      <x:c r="G515" t="str">
        <x:v>equals</x:v>
      </x:c>
      <x:c r="H515" t="str">
        <x:v>independent physical acceptance</x:v>
      </x:c>
      <x:c r="I515" t="str">
        <x:f>IF(E515=1,"PASS","OPEN")</x:f>
        <x:v>OPEN</x:v>
      </x:c>
    </x:row>
    <x:row r="516">
      <x:c r="B516" t="str">
        <x:v>PH-TG-85-G</x:v>
      </x:c>
      <x:c r="C516" t="str">
        <x:v>PHYSICAL</x:v>
      </x:c>
      <x:c r="D516" t="str">
        <x:v>terrain geometry</x:v>
      </x:c>
      <x:c r="E516" t="n">
        <x:f>IF('Terrain Field'!J91&lt;&gt;"",1,0)</x:f>
        <x:v>0</x:v>
      </x:c>
      <x:c r="F516" t="n">
        <x:v>1</x:v>
      </x:c>
      <x:c r="G516" t="str">
        <x:v>equals</x:v>
      </x:c>
      <x:c r="H516" t="str">
        <x:v>independent physical acceptance</x:v>
      </x:c>
      <x:c r="I516" t="str">
        <x:f>IF(E516=1,"PASS","OPEN")</x:f>
        <x:v>OPEN</x:v>
      </x:c>
    </x:row>
    <x:row r="517">
      <x:c r="B517" t="str">
        <x:v>PH-TG-85-L</x:v>
      </x:c>
      <x:c r="C517" t="str">
        <x:v>PHYSICAL</x:v>
      </x:c>
      <x:c r="D517" t="str">
        <x:v>terrain load</x:v>
      </x:c>
      <x:c r="E517" t="n">
        <x:f>IF('Terrain Field'!K91&lt;&gt;"",1,0)</x:f>
        <x:v>0</x:v>
      </x:c>
      <x:c r="F517" t="n">
        <x:v>1</x:v>
      </x:c>
      <x:c r="G517" t="str">
        <x:v>equals</x:v>
      </x:c>
      <x:c r="H517" t="str">
        <x:v>independent physical acceptance</x:v>
      </x:c>
      <x:c r="I517" t="str">
        <x:f>IF(E517=1,"PASS","OPEN")</x:f>
        <x:v>OPEN</x:v>
      </x:c>
    </x:row>
    <x:row r="518">
      <x:c r="B518" t="str">
        <x:v>PH-TG-86-G</x:v>
      </x:c>
      <x:c r="C518" t="str">
        <x:v>PHYSICAL</x:v>
      </x:c>
      <x:c r="D518" t="str">
        <x:v>terrain geometry</x:v>
      </x:c>
      <x:c r="E518" t="n">
        <x:f>IF('Terrain Field'!J92&lt;&gt;"",1,0)</x:f>
        <x:v>0</x:v>
      </x:c>
      <x:c r="F518" t="n">
        <x:v>1</x:v>
      </x:c>
      <x:c r="G518" t="str">
        <x:v>equals</x:v>
      </x:c>
      <x:c r="H518" t="str">
        <x:v>independent physical acceptance</x:v>
      </x:c>
      <x:c r="I518" t="str">
        <x:f>IF(E518=1,"PASS","OPEN")</x:f>
        <x:v>OPEN</x:v>
      </x:c>
    </x:row>
    <x:row r="519">
      <x:c r="B519" t="str">
        <x:v>PH-TG-86-L</x:v>
      </x:c>
      <x:c r="C519" t="str">
        <x:v>PHYSICAL</x:v>
      </x:c>
      <x:c r="D519" t="str">
        <x:v>terrain load</x:v>
      </x:c>
      <x:c r="E519" t="n">
        <x:f>IF('Terrain Field'!K92&lt;&gt;"",1,0)</x:f>
        <x:v>0</x:v>
      </x:c>
      <x:c r="F519" t="n">
        <x:v>1</x:v>
      </x:c>
      <x:c r="G519" t="str">
        <x:v>equals</x:v>
      </x:c>
      <x:c r="H519" t="str">
        <x:v>independent physical acceptance</x:v>
      </x:c>
      <x:c r="I519" t="str">
        <x:f>IF(E519=1,"PASS","OPEN")</x:f>
        <x:v>OPEN</x:v>
      </x:c>
    </x:row>
    <x:row r="520">
      <x:c r="B520" t="str">
        <x:v>PH-TG-87-G</x:v>
      </x:c>
      <x:c r="C520" t="str">
        <x:v>PHYSICAL</x:v>
      </x:c>
      <x:c r="D520" t="str">
        <x:v>terrain geometry</x:v>
      </x:c>
      <x:c r="E520" t="n">
        <x:f>IF('Terrain Field'!J93&lt;&gt;"",1,0)</x:f>
        <x:v>0</x:v>
      </x:c>
      <x:c r="F520" t="n">
        <x:v>1</x:v>
      </x:c>
      <x:c r="G520" t="str">
        <x:v>equals</x:v>
      </x:c>
      <x:c r="H520" t="str">
        <x:v>independent physical acceptance</x:v>
      </x:c>
      <x:c r="I520" t="str">
        <x:f>IF(E520=1,"PASS","OPEN")</x:f>
        <x:v>OPEN</x:v>
      </x:c>
    </x:row>
    <x:row r="521">
      <x:c r="B521" t="str">
        <x:v>PH-TG-87-L</x:v>
      </x:c>
      <x:c r="C521" t="str">
        <x:v>PHYSICAL</x:v>
      </x:c>
      <x:c r="D521" t="str">
        <x:v>terrain load</x:v>
      </x:c>
      <x:c r="E521" t="n">
        <x:f>IF('Terrain Field'!K93&lt;&gt;"",1,0)</x:f>
        <x:v>0</x:v>
      </x:c>
      <x:c r="F521" t="n">
        <x:v>1</x:v>
      </x:c>
      <x:c r="G521" t="str">
        <x:v>equals</x:v>
      </x:c>
      <x:c r="H521" t="str">
        <x:v>independent physical acceptance</x:v>
      </x:c>
      <x:c r="I521" t="str">
        <x:f>IF(E521=1,"PASS","OPEN")</x:f>
        <x:v>OPEN</x:v>
      </x:c>
    </x:row>
    <x:row r="522">
      <x:c r="B522" t="str">
        <x:v>PH-TG-88-G</x:v>
      </x:c>
      <x:c r="C522" t="str">
        <x:v>PHYSICAL</x:v>
      </x:c>
      <x:c r="D522" t="str">
        <x:v>terrain geometry</x:v>
      </x:c>
      <x:c r="E522" t="n">
        <x:f>IF('Terrain Field'!J94&lt;&gt;"",1,0)</x:f>
        <x:v>0</x:v>
      </x:c>
      <x:c r="F522" t="n">
        <x:v>1</x:v>
      </x:c>
      <x:c r="G522" t="str">
        <x:v>equals</x:v>
      </x:c>
      <x:c r="H522" t="str">
        <x:v>independent physical acceptance</x:v>
      </x:c>
      <x:c r="I522" t="str">
        <x:f>IF(E522=1,"PASS","OPEN")</x:f>
        <x:v>OPEN</x:v>
      </x:c>
    </x:row>
    <x:row r="523">
      <x:c r="B523" t="str">
        <x:v>PH-TG-88-L</x:v>
      </x:c>
      <x:c r="C523" t="str">
        <x:v>PHYSICAL</x:v>
      </x:c>
      <x:c r="D523" t="str">
        <x:v>terrain load</x:v>
      </x:c>
      <x:c r="E523" t="n">
        <x:f>IF('Terrain Field'!K94&lt;&gt;"",1,0)</x:f>
        <x:v>0</x:v>
      </x:c>
      <x:c r="F523" t="n">
        <x:v>1</x:v>
      </x:c>
      <x:c r="G523" t="str">
        <x:v>equals</x:v>
      </x:c>
      <x:c r="H523" t="str">
        <x:v>independent physical acceptance</x:v>
      </x:c>
      <x:c r="I523" t="str">
        <x:f>IF(E523=1,"PASS","OPEN")</x:f>
        <x:v>OPEN</x:v>
      </x:c>
    </x:row>
    <x:row r="524">
      <x:c r="B524" t="str">
        <x:v>PH-TG-89-G</x:v>
      </x:c>
      <x:c r="C524" t="str">
        <x:v>PHYSICAL</x:v>
      </x:c>
      <x:c r="D524" t="str">
        <x:v>terrain geometry</x:v>
      </x:c>
      <x:c r="E524" t="n">
        <x:f>IF('Terrain Field'!J95&lt;&gt;"",1,0)</x:f>
        <x:v>0</x:v>
      </x:c>
      <x:c r="F524" t="n">
        <x:v>1</x:v>
      </x:c>
      <x:c r="G524" t="str">
        <x:v>equals</x:v>
      </x:c>
      <x:c r="H524" t="str">
        <x:v>independent physical acceptance</x:v>
      </x:c>
      <x:c r="I524" t="str">
        <x:f>IF(E524=1,"PASS","OPEN")</x:f>
        <x:v>OPEN</x:v>
      </x:c>
    </x:row>
    <x:row r="525">
      <x:c r="B525" t="str">
        <x:v>PH-TG-89-L</x:v>
      </x:c>
      <x:c r="C525" t="str">
        <x:v>PHYSICAL</x:v>
      </x:c>
      <x:c r="D525" t="str">
        <x:v>terrain load</x:v>
      </x:c>
      <x:c r="E525" t="n">
        <x:f>IF('Terrain Field'!K95&lt;&gt;"",1,0)</x:f>
        <x:v>0</x:v>
      </x:c>
      <x:c r="F525" t="n">
        <x:v>1</x:v>
      </x:c>
      <x:c r="G525" t="str">
        <x:v>equals</x:v>
      </x:c>
      <x:c r="H525" t="str">
        <x:v>independent physical acceptance</x:v>
      </x:c>
      <x:c r="I525" t="str">
        <x:f>IF(E525=1,"PASS","OPEN")</x:f>
        <x:v>OPEN</x:v>
      </x:c>
    </x:row>
    <x:row r="526">
      <x:c r="B526" t="str">
        <x:v>PH-TG-90-G</x:v>
      </x:c>
      <x:c r="C526" t="str">
        <x:v>PHYSICAL</x:v>
      </x:c>
      <x:c r="D526" t="str">
        <x:v>terrain geometry</x:v>
      </x:c>
      <x:c r="E526" t="n">
        <x:f>IF('Terrain Field'!J96&lt;&gt;"",1,0)</x:f>
        <x:v>0</x:v>
      </x:c>
      <x:c r="F526" t="n">
        <x:v>1</x:v>
      </x:c>
      <x:c r="G526" t="str">
        <x:v>equals</x:v>
      </x:c>
      <x:c r="H526" t="str">
        <x:v>independent physical acceptance</x:v>
      </x:c>
      <x:c r="I526" t="str">
        <x:f>IF(E526=1,"PASS","OPEN")</x:f>
        <x:v>OPEN</x:v>
      </x:c>
    </x:row>
    <x:row r="527">
      <x:c r="B527" t="str">
        <x:v>PH-TG-90-L</x:v>
      </x:c>
      <x:c r="C527" t="str">
        <x:v>PHYSICAL</x:v>
      </x:c>
      <x:c r="D527" t="str">
        <x:v>terrain load</x:v>
      </x:c>
      <x:c r="E527" t="n">
        <x:f>IF('Terrain Field'!K96&lt;&gt;"",1,0)</x:f>
        <x:v>0</x:v>
      </x:c>
      <x:c r="F527" t="n">
        <x:v>1</x:v>
      </x:c>
      <x:c r="G527" t="str">
        <x:v>equals</x:v>
      </x:c>
      <x:c r="H527" t="str">
        <x:v>independent physical acceptance</x:v>
      </x:c>
      <x:c r="I527" t="str">
        <x:f>IF(E527=1,"PASS","OPEN")</x:f>
        <x:v>OPEN</x:v>
      </x:c>
    </x:row>
    <x:row r="528">
      <x:c r="B528" t="str">
        <x:v>PH-TG-91-G</x:v>
      </x:c>
      <x:c r="C528" t="str">
        <x:v>PHYSICAL</x:v>
      </x:c>
      <x:c r="D528" t="str">
        <x:v>terrain geometry</x:v>
      </x:c>
      <x:c r="E528" t="n">
        <x:f>IF('Terrain Field'!J97&lt;&gt;"",1,0)</x:f>
        <x:v>0</x:v>
      </x:c>
      <x:c r="F528" t="n">
        <x:v>1</x:v>
      </x:c>
      <x:c r="G528" t="str">
        <x:v>equals</x:v>
      </x:c>
      <x:c r="H528" t="str">
        <x:v>independent physical acceptance</x:v>
      </x:c>
      <x:c r="I528" t="str">
        <x:f>IF(E528=1,"PASS","OPEN")</x:f>
        <x:v>OPEN</x:v>
      </x:c>
    </x:row>
    <x:row r="529">
      <x:c r="B529" t="str">
        <x:v>PH-TG-91-L</x:v>
      </x:c>
      <x:c r="C529" t="str">
        <x:v>PHYSICAL</x:v>
      </x:c>
      <x:c r="D529" t="str">
        <x:v>terrain load</x:v>
      </x:c>
      <x:c r="E529" t="n">
        <x:f>IF('Terrain Field'!K97&lt;&gt;"",1,0)</x:f>
        <x:v>0</x:v>
      </x:c>
      <x:c r="F529" t="n">
        <x:v>1</x:v>
      </x:c>
      <x:c r="G529" t="str">
        <x:v>equals</x:v>
      </x:c>
      <x:c r="H529" t="str">
        <x:v>independent physical acceptance</x:v>
      </x:c>
      <x:c r="I529" t="str">
        <x:f>IF(E529=1,"PASS","OPEN")</x:f>
        <x:v>OPEN</x:v>
      </x:c>
    </x:row>
    <x:row r="530">
      <x:c r="B530" t="str">
        <x:v>PH-TG-92-G</x:v>
      </x:c>
      <x:c r="C530" t="str">
        <x:v>PHYSICAL</x:v>
      </x:c>
      <x:c r="D530" t="str">
        <x:v>terrain geometry</x:v>
      </x:c>
      <x:c r="E530" t="n">
        <x:f>IF('Terrain Field'!J98&lt;&gt;"",1,0)</x:f>
        <x:v>0</x:v>
      </x:c>
      <x:c r="F530" t="n">
        <x:v>1</x:v>
      </x:c>
      <x:c r="G530" t="str">
        <x:v>equals</x:v>
      </x:c>
      <x:c r="H530" t="str">
        <x:v>independent physical acceptance</x:v>
      </x:c>
      <x:c r="I530" t="str">
        <x:f>IF(E530=1,"PASS","OPEN")</x:f>
        <x:v>OPEN</x:v>
      </x:c>
    </x:row>
    <x:row r="531">
      <x:c r="B531" t="str">
        <x:v>PH-TG-92-L</x:v>
      </x:c>
      <x:c r="C531" t="str">
        <x:v>PHYSICAL</x:v>
      </x:c>
      <x:c r="D531" t="str">
        <x:v>terrain load</x:v>
      </x:c>
      <x:c r="E531" t="n">
        <x:f>IF('Terrain Field'!K98&lt;&gt;"",1,0)</x:f>
        <x:v>0</x:v>
      </x:c>
      <x:c r="F531" t="n">
        <x:v>1</x:v>
      </x:c>
      <x:c r="G531" t="str">
        <x:v>equals</x:v>
      </x:c>
      <x:c r="H531" t="str">
        <x:v>independent physical acceptance</x:v>
      </x:c>
      <x:c r="I531" t="str">
        <x:f>IF(E531=1,"PASS","OPEN")</x:f>
        <x:v>OPEN</x:v>
      </x:c>
    </x:row>
    <x:row r="532">
      <x:c r="B532" t="str">
        <x:v>PH-TG-93-G</x:v>
      </x:c>
      <x:c r="C532" t="str">
        <x:v>PHYSICAL</x:v>
      </x:c>
      <x:c r="D532" t="str">
        <x:v>terrain geometry</x:v>
      </x:c>
      <x:c r="E532" t="n">
        <x:f>IF('Terrain Field'!J99&lt;&gt;"",1,0)</x:f>
        <x:v>0</x:v>
      </x:c>
      <x:c r="F532" t="n">
        <x:v>1</x:v>
      </x:c>
      <x:c r="G532" t="str">
        <x:v>equals</x:v>
      </x:c>
      <x:c r="H532" t="str">
        <x:v>independent physical acceptance</x:v>
      </x:c>
      <x:c r="I532" t="str">
        <x:f>IF(E532=1,"PASS","OPEN")</x:f>
        <x:v>OPEN</x:v>
      </x:c>
    </x:row>
    <x:row r="533">
      <x:c r="B533" t="str">
        <x:v>PH-TG-93-L</x:v>
      </x:c>
      <x:c r="C533" t="str">
        <x:v>PHYSICAL</x:v>
      </x:c>
      <x:c r="D533" t="str">
        <x:v>terrain load</x:v>
      </x:c>
      <x:c r="E533" t="n">
        <x:f>IF('Terrain Field'!K99&lt;&gt;"",1,0)</x:f>
        <x:v>0</x:v>
      </x:c>
      <x:c r="F533" t="n">
        <x:v>1</x:v>
      </x:c>
      <x:c r="G533" t="str">
        <x:v>equals</x:v>
      </x:c>
      <x:c r="H533" t="str">
        <x:v>independent physical acceptance</x:v>
      </x:c>
      <x:c r="I533" t="str">
        <x:f>IF(E533=1,"PASS","OPEN")</x:f>
        <x:v>OPEN</x:v>
      </x:c>
    </x:row>
    <x:row r="534">
      <x:c r="B534" t="str">
        <x:v>PH-TG-94-G</x:v>
      </x:c>
      <x:c r="C534" t="str">
        <x:v>PHYSICAL</x:v>
      </x:c>
      <x:c r="D534" t="str">
        <x:v>terrain geometry</x:v>
      </x:c>
      <x:c r="E534" t="n">
        <x:f>IF('Terrain Field'!J100&lt;&gt;"",1,0)</x:f>
        <x:v>0</x:v>
      </x:c>
      <x:c r="F534" t="n">
        <x:v>1</x:v>
      </x:c>
      <x:c r="G534" t="str">
        <x:v>equals</x:v>
      </x:c>
      <x:c r="H534" t="str">
        <x:v>independent physical acceptance</x:v>
      </x:c>
      <x:c r="I534" t="str">
        <x:f>IF(E534=1,"PASS","OPEN")</x:f>
        <x:v>OPEN</x:v>
      </x:c>
    </x:row>
    <x:row r="535">
      <x:c r="B535" t="str">
        <x:v>PH-TG-94-L</x:v>
      </x:c>
      <x:c r="C535" t="str">
        <x:v>PHYSICAL</x:v>
      </x:c>
      <x:c r="D535" t="str">
        <x:v>terrain load</x:v>
      </x:c>
      <x:c r="E535" t="n">
        <x:f>IF('Terrain Field'!K100&lt;&gt;"",1,0)</x:f>
        <x:v>0</x:v>
      </x:c>
      <x:c r="F535" t="n">
        <x:v>1</x:v>
      </x:c>
      <x:c r="G535" t="str">
        <x:v>equals</x:v>
      </x:c>
      <x:c r="H535" t="str">
        <x:v>independent physical acceptance</x:v>
      </x:c>
      <x:c r="I535" t="str">
        <x:f>IF(E535=1,"PASS","OPEN")</x:f>
        <x:v>OPEN</x:v>
      </x:c>
    </x:row>
    <x:row r="536">
      <x:c r="B536" t="str">
        <x:v>PH-TG-95-G</x:v>
      </x:c>
      <x:c r="C536" t="str">
        <x:v>PHYSICAL</x:v>
      </x:c>
      <x:c r="D536" t="str">
        <x:v>terrain geometry</x:v>
      </x:c>
      <x:c r="E536" t="n">
        <x:f>IF('Terrain Field'!J101&lt;&gt;"",1,0)</x:f>
        <x:v>0</x:v>
      </x:c>
      <x:c r="F536" t="n">
        <x:v>1</x:v>
      </x:c>
      <x:c r="G536" t="str">
        <x:v>equals</x:v>
      </x:c>
      <x:c r="H536" t="str">
        <x:v>independent physical acceptance</x:v>
      </x:c>
      <x:c r="I536" t="str">
        <x:f>IF(E536=1,"PASS","OPEN")</x:f>
        <x:v>OPEN</x:v>
      </x:c>
    </x:row>
    <x:row r="537">
      <x:c r="B537" t="str">
        <x:v>PH-TG-95-L</x:v>
      </x:c>
      <x:c r="C537" t="str">
        <x:v>PHYSICAL</x:v>
      </x:c>
      <x:c r="D537" t="str">
        <x:v>terrain load</x:v>
      </x:c>
      <x:c r="E537" t="n">
        <x:f>IF('Terrain Field'!K101&lt;&gt;"",1,0)</x:f>
        <x:v>0</x:v>
      </x:c>
      <x:c r="F537" t="n">
        <x:v>1</x:v>
      </x:c>
      <x:c r="G537" t="str">
        <x:v>equals</x:v>
      </x:c>
      <x:c r="H537" t="str">
        <x:v>independent physical acceptance</x:v>
      </x:c>
      <x:c r="I537" t="str">
        <x:f>IF(E537=1,"PASS","OPEN")</x:f>
        <x:v>OPEN</x:v>
      </x:c>
    </x:row>
    <x:row r="538">
      <x:c r="B538" t="str">
        <x:v>PH-TG-96-G</x:v>
      </x:c>
      <x:c r="C538" t="str">
        <x:v>PHYSICAL</x:v>
      </x:c>
      <x:c r="D538" t="str">
        <x:v>terrain geometry</x:v>
      </x:c>
      <x:c r="E538" t="n">
        <x:f>IF('Terrain Field'!J102&lt;&gt;"",1,0)</x:f>
        <x:v>0</x:v>
      </x:c>
      <x:c r="F538" t="n">
        <x:v>1</x:v>
      </x:c>
      <x:c r="G538" t="str">
        <x:v>equals</x:v>
      </x:c>
      <x:c r="H538" t="str">
        <x:v>independent physical acceptance</x:v>
      </x:c>
      <x:c r="I538" t="str">
        <x:f>IF(E538=1,"PASS","OPEN")</x:f>
        <x:v>OPEN</x:v>
      </x:c>
    </x:row>
    <x:row r="539">
      <x:c r="B539" t="str">
        <x:v>PH-TG-96-L</x:v>
      </x:c>
      <x:c r="C539" t="str">
        <x:v>PHYSICAL</x:v>
      </x:c>
      <x:c r="D539" t="str">
        <x:v>terrain load</x:v>
      </x:c>
      <x:c r="E539" t="n">
        <x:f>IF('Terrain Field'!K102&lt;&gt;"",1,0)</x:f>
        <x:v>0</x:v>
      </x:c>
      <x:c r="F539" t="n">
        <x:v>1</x:v>
      </x:c>
      <x:c r="G539" t="str">
        <x:v>equals</x:v>
      </x:c>
      <x:c r="H539" t="str">
        <x:v>independent physical acceptance</x:v>
      </x:c>
      <x:c r="I539" t="str">
        <x:f>IF(E539=1,"PASS","OPEN")</x:f>
        <x:v>OPEN</x:v>
      </x:c>
    </x:row>
    <x:row r="540">
      <x:c r="B540" t="str">
        <x:v>PH-TG-97-G</x:v>
      </x:c>
      <x:c r="C540" t="str">
        <x:v>PHYSICAL</x:v>
      </x:c>
      <x:c r="D540" t="str">
        <x:v>terrain geometry</x:v>
      </x:c>
      <x:c r="E540" t="n">
        <x:f>IF('Terrain Field'!J103&lt;&gt;"",1,0)</x:f>
        <x:v>0</x:v>
      </x:c>
      <x:c r="F540" t="n">
        <x:v>1</x:v>
      </x:c>
      <x:c r="G540" t="str">
        <x:v>equals</x:v>
      </x:c>
      <x:c r="H540" t="str">
        <x:v>independent physical acceptance</x:v>
      </x:c>
      <x:c r="I540" t="str">
        <x:f>IF(E540=1,"PASS","OPEN")</x:f>
        <x:v>OPEN</x:v>
      </x:c>
    </x:row>
    <x:row r="541">
      <x:c r="B541" t="str">
        <x:v>PH-TG-97-L</x:v>
      </x:c>
      <x:c r="C541" t="str">
        <x:v>PHYSICAL</x:v>
      </x:c>
      <x:c r="D541" t="str">
        <x:v>terrain load</x:v>
      </x:c>
      <x:c r="E541" t="n">
        <x:f>IF('Terrain Field'!K103&lt;&gt;"",1,0)</x:f>
        <x:v>0</x:v>
      </x:c>
      <x:c r="F541" t="n">
        <x:v>1</x:v>
      </x:c>
      <x:c r="G541" t="str">
        <x:v>equals</x:v>
      </x:c>
      <x:c r="H541" t="str">
        <x:v>independent physical acceptance</x:v>
      </x:c>
      <x:c r="I541" t="str">
        <x:f>IF(E541=1,"PASS","OPEN")</x:f>
        <x:v>OPEN</x:v>
      </x:c>
    </x:row>
    <x:row r="542">
      <x:c r="B542" t="str">
        <x:v>PH-TG-98-G</x:v>
      </x:c>
      <x:c r="C542" t="str">
        <x:v>PHYSICAL</x:v>
      </x:c>
      <x:c r="D542" t="str">
        <x:v>terrain geometry</x:v>
      </x:c>
      <x:c r="E542" t="n">
        <x:f>IF('Terrain Field'!J104&lt;&gt;"",1,0)</x:f>
        <x:v>0</x:v>
      </x:c>
      <x:c r="F542" t="n">
        <x:v>1</x:v>
      </x:c>
      <x:c r="G542" t="str">
        <x:v>equals</x:v>
      </x:c>
      <x:c r="H542" t="str">
        <x:v>independent physical acceptance</x:v>
      </x:c>
      <x:c r="I542" t="str">
        <x:f>IF(E542=1,"PASS","OPEN")</x:f>
        <x:v>OPEN</x:v>
      </x:c>
    </x:row>
    <x:row r="543">
      <x:c r="B543" t="str">
        <x:v>PH-TG-98-L</x:v>
      </x:c>
      <x:c r="C543" t="str">
        <x:v>PHYSICAL</x:v>
      </x:c>
      <x:c r="D543" t="str">
        <x:v>terrain load</x:v>
      </x:c>
      <x:c r="E543" t="n">
        <x:f>IF('Terrain Field'!K104&lt;&gt;"",1,0)</x:f>
        <x:v>0</x:v>
      </x:c>
      <x:c r="F543" t="n">
        <x:v>1</x:v>
      </x:c>
      <x:c r="G543" t="str">
        <x:v>equals</x:v>
      </x:c>
      <x:c r="H543" t="str">
        <x:v>independent physical acceptance</x:v>
      </x:c>
      <x:c r="I543" t="str">
        <x:f>IF(E543=1,"PASS","OPEN")</x:f>
        <x:v>OPEN</x:v>
      </x:c>
    </x:row>
    <x:row r="544">
      <x:c r="B544" t="str">
        <x:v>PH-TG-99-G</x:v>
      </x:c>
      <x:c r="C544" t="str">
        <x:v>PHYSICAL</x:v>
      </x:c>
      <x:c r="D544" t="str">
        <x:v>terrain geometry</x:v>
      </x:c>
      <x:c r="E544" t="n">
        <x:f>IF('Terrain Field'!J105&lt;&gt;"",1,0)</x:f>
        <x:v>0</x:v>
      </x:c>
      <x:c r="F544" t="n">
        <x:v>1</x:v>
      </x:c>
      <x:c r="G544" t="str">
        <x:v>equals</x:v>
      </x:c>
      <x:c r="H544" t="str">
        <x:v>independent physical acceptance</x:v>
      </x:c>
      <x:c r="I544" t="str">
        <x:f>IF(E544=1,"PASS","OPEN")</x:f>
        <x:v>OPEN</x:v>
      </x:c>
    </x:row>
    <x:row r="545">
      <x:c r="B545" t="str">
        <x:v>PH-TG-99-L</x:v>
      </x:c>
      <x:c r="C545" t="str">
        <x:v>PHYSICAL</x:v>
      </x:c>
      <x:c r="D545" t="str">
        <x:v>terrain load</x:v>
      </x:c>
      <x:c r="E545" t="n">
        <x:f>IF('Terrain Field'!K105&lt;&gt;"",1,0)</x:f>
        <x:v>0</x:v>
      </x:c>
      <x:c r="F545" t="n">
        <x:v>1</x:v>
      </x:c>
      <x:c r="G545" t="str">
        <x:v>equals</x:v>
      </x:c>
      <x:c r="H545" t="str">
        <x:v>independent physical acceptance</x:v>
      </x:c>
      <x:c r="I545" t="str">
        <x:f>IF(E545=1,"PASS","OPEN")</x:f>
        <x:v>OPEN</x:v>
      </x:c>
    </x:row>
    <x:row r="546">
      <x:c r="B546" t="str">
        <x:v>PH-TG-100-G</x:v>
      </x:c>
      <x:c r="C546" t="str">
        <x:v>PHYSICAL</x:v>
      </x:c>
      <x:c r="D546" t="str">
        <x:v>terrain geometry</x:v>
      </x:c>
      <x:c r="E546" t="n">
        <x:f>IF('Terrain Field'!J106&lt;&gt;"",1,0)</x:f>
        <x:v>0</x:v>
      </x:c>
      <x:c r="F546" t="n">
        <x:v>1</x:v>
      </x:c>
      <x:c r="G546" t="str">
        <x:v>equals</x:v>
      </x:c>
      <x:c r="H546" t="str">
        <x:v>independent physical acceptance</x:v>
      </x:c>
      <x:c r="I546" t="str">
        <x:f>IF(E546=1,"PASS","OPEN")</x:f>
        <x:v>OPEN</x:v>
      </x:c>
    </x:row>
    <x:row r="547">
      <x:c r="B547" t="str">
        <x:v>PH-TG-100-L</x:v>
      </x:c>
      <x:c r="C547" t="str">
        <x:v>PHYSICAL</x:v>
      </x:c>
      <x:c r="D547" t="str">
        <x:v>terrain load</x:v>
      </x:c>
      <x:c r="E547" t="n">
        <x:f>IF('Terrain Field'!K106&lt;&gt;"",1,0)</x:f>
        <x:v>0</x:v>
      </x:c>
      <x:c r="F547" t="n">
        <x:v>1</x:v>
      </x:c>
      <x:c r="G547" t="str">
        <x:v>equals</x:v>
      </x:c>
      <x:c r="H547" t="str">
        <x:v>independent physical acceptance</x:v>
      </x:c>
      <x:c r="I547" t="str">
        <x:f>IF(E547=1,"PASS","OPEN")</x:f>
        <x:v>OPEN</x:v>
      </x:c>
    </x:row>
    <x:row r="548">
      <x:c r="B548" t="str">
        <x:v>PH-TG-101-G</x:v>
      </x:c>
      <x:c r="C548" t="str">
        <x:v>PHYSICAL</x:v>
      </x:c>
      <x:c r="D548" t="str">
        <x:v>terrain geometry</x:v>
      </x:c>
      <x:c r="E548" t="n">
        <x:f>IF('Terrain Field'!J107&lt;&gt;"",1,0)</x:f>
        <x:v>0</x:v>
      </x:c>
      <x:c r="F548" t="n">
        <x:v>1</x:v>
      </x:c>
      <x:c r="G548" t="str">
        <x:v>equals</x:v>
      </x:c>
      <x:c r="H548" t="str">
        <x:v>independent physical acceptance</x:v>
      </x:c>
      <x:c r="I548" t="str">
        <x:f>IF(E548=1,"PASS","OPEN")</x:f>
        <x:v>OPEN</x:v>
      </x:c>
    </x:row>
    <x:row r="549">
      <x:c r="B549" t="str">
        <x:v>PH-TG-101-L</x:v>
      </x:c>
      <x:c r="C549" t="str">
        <x:v>PHYSICAL</x:v>
      </x:c>
      <x:c r="D549" t="str">
        <x:v>terrain load</x:v>
      </x:c>
      <x:c r="E549" t="n">
        <x:f>IF('Terrain Field'!K107&lt;&gt;"",1,0)</x:f>
        <x:v>0</x:v>
      </x:c>
      <x:c r="F549" t="n">
        <x:v>1</x:v>
      </x:c>
      <x:c r="G549" t="str">
        <x:v>equals</x:v>
      </x:c>
      <x:c r="H549" t="str">
        <x:v>independent physical acceptance</x:v>
      </x:c>
      <x:c r="I549" t="str">
        <x:f>IF(E549=1,"PASS","OPEN")</x:f>
        <x:v>OPEN</x:v>
      </x:c>
    </x:row>
    <x:row r="550">
      <x:c r="B550" t="str">
        <x:v>PH-TG-102-G</x:v>
      </x:c>
      <x:c r="C550" t="str">
        <x:v>PHYSICAL</x:v>
      </x:c>
      <x:c r="D550" t="str">
        <x:v>terrain geometry</x:v>
      </x:c>
      <x:c r="E550" t="n">
        <x:f>IF('Terrain Field'!J108&lt;&gt;"",1,0)</x:f>
        <x:v>0</x:v>
      </x:c>
      <x:c r="F550" t="n">
        <x:v>1</x:v>
      </x:c>
      <x:c r="G550" t="str">
        <x:v>equals</x:v>
      </x:c>
      <x:c r="H550" t="str">
        <x:v>independent physical acceptance</x:v>
      </x:c>
      <x:c r="I550" t="str">
        <x:f>IF(E550=1,"PASS","OPEN")</x:f>
        <x:v>OPEN</x:v>
      </x:c>
    </x:row>
    <x:row r="551">
      <x:c r="B551" t="str">
        <x:v>PH-TG-102-L</x:v>
      </x:c>
      <x:c r="C551" t="str">
        <x:v>PHYSICAL</x:v>
      </x:c>
      <x:c r="D551" t="str">
        <x:v>terrain load</x:v>
      </x:c>
      <x:c r="E551" t="n">
        <x:f>IF('Terrain Field'!K108&lt;&gt;"",1,0)</x:f>
        <x:v>0</x:v>
      </x:c>
      <x:c r="F551" t="n">
        <x:v>1</x:v>
      </x:c>
      <x:c r="G551" t="str">
        <x:v>equals</x:v>
      </x:c>
      <x:c r="H551" t="str">
        <x:v>independent physical acceptance</x:v>
      </x:c>
      <x:c r="I551" t="str">
        <x:f>IF(E551=1,"PASS","OPEN")</x:f>
        <x:v>OPEN</x:v>
      </x:c>
    </x:row>
    <x:row r="552">
      <x:c r="B552" t="str">
        <x:v>PH-TG-103-G</x:v>
      </x:c>
      <x:c r="C552" t="str">
        <x:v>PHYSICAL</x:v>
      </x:c>
      <x:c r="D552" t="str">
        <x:v>terrain geometry</x:v>
      </x:c>
      <x:c r="E552" t="n">
        <x:f>IF('Terrain Field'!J109&lt;&gt;"",1,0)</x:f>
        <x:v>0</x:v>
      </x:c>
      <x:c r="F552" t="n">
        <x:v>1</x:v>
      </x:c>
      <x:c r="G552" t="str">
        <x:v>equals</x:v>
      </x:c>
      <x:c r="H552" t="str">
        <x:v>independent physical acceptance</x:v>
      </x:c>
      <x:c r="I552" t="str">
        <x:f>IF(E552=1,"PASS","OPEN")</x:f>
        <x:v>OPEN</x:v>
      </x:c>
    </x:row>
    <x:row r="553">
      <x:c r="B553" t="str">
        <x:v>PH-TG-103-L</x:v>
      </x:c>
      <x:c r="C553" t="str">
        <x:v>PHYSICAL</x:v>
      </x:c>
      <x:c r="D553" t="str">
        <x:v>terrain load</x:v>
      </x:c>
      <x:c r="E553" t="n">
        <x:f>IF('Terrain Field'!K109&lt;&gt;"",1,0)</x:f>
        <x:v>0</x:v>
      </x:c>
      <x:c r="F553" t="n">
        <x:v>1</x:v>
      </x:c>
      <x:c r="G553" t="str">
        <x:v>equals</x:v>
      </x:c>
      <x:c r="H553" t="str">
        <x:v>independent physical acceptance</x:v>
      </x:c>
      <x:c r="I553" t="str">
        <x:f>IF(E553=1,"PASS","OPEN")</x:f>
        <x:v>OPEN</x:v>
      </x:c>
    </x:row>
    <x:row r="554">
      <x:c r="B554" t="str">
        <x:v>PH-TG-104-G</x:v>
      </x:c>
      <x:c r="C554" t="str">
        <x:v>PHYSICAL</x:v>
      </x:c>
      <x:c r="D554" t="str">
        <x:v>terrain geometry</x:v>
      </x:c>
      <x:c r="E554" t="n">
        <x:f>IF('Terrain Field'!J110&lt;&gt;"",1,0)</x:f>
        <x:v>0</x:v>
      </x:c>
      <x:c r="F554" t="n">
        <x:v>1</x:v>
      </x:c>
      <x:c r="G554" t="str">
        <x:v>equals</x:v>
      </x:c>
      <x:c r="H554" t="str">
        <x:v>independent physical acceptance</x:v>
      </x:c>
      <x:c r="I554" t="str">
        <x:f>IF(E554=1,"PASS","OPEN")</x:f>
        <x:v>OPEN</x:v>
      </x:c>
    </x:row>
    <x:row r="555">
      <x:c r="B555" t="str">
        <x:v>PH-TG-104-L</x:v>
      </x:c>
      <x:c r="C555" t="str">
        <x:v>PHYSICAL</x:v>
      </x:c>
      <x:c r="D555" t="str">
        <x:v>terrain load</x:v>
      </x:c>
      <x:c r="E555" t="n">
        <x:f>IF('Terrain Field'!K110&lt;&gt;"",1,0)</x:f>
        <x:v>0</x:v>
      </x:c>
      <x:c r="F555" t="n">
        <x:v>1</x:v>
      </x:c>
      <x:c r="G555" t="str">
        <x:v>equals</x:v>
      </x:c>
      <x:c r="H555" t="str">
        <x:v>independent physical acceptance</x:v>
      </x:c>
      <x:c r="I555" t="str">
        <x:f>IF(E555=1,"PASS","OPEN")</x:f>
        <x:v>OPEN</x:v>
      </x:c>
    </x:row>
    <x:row r="556">
      <x:c r="B556" t="str">
        <x:v>PH-TG-105-G</x:v>
      </x:c>
      <x:c r="C556" t="str">
        <x:v>PHYSICAL</x:v>
      </x:c>
      <x:c r="D556" t="str">
        <x:v>terrain geometry</x:v>
      </x:c>
      <x:c r="E556" t="n">
        <x:f>IF('Terrain Field'!J111&lt;&gt;"",1,0)</x:f>
        <x:v>0</x:v>
      </x:c>
      <x:c r="F556" t="n">
        <x:v>1</x:v>
      </x:c>
      <x:c r="G556" t="str">
        <x:v>equals</x:v>
      </x:c>
      <x:c r="H556" t="str">
        <x:v>independent physical acceptance</x:v>
      </x:c>
      <x:c r="I556" t="str">
        <x:f>IF(E556=1,"PASS","OPEN")</x:f>
        <x:v>OPEN</x:v>
      </x:c>
    </x:row>
    <x:row r="557">
      <x:c r="B557" t="str">
        <x:v>PH-TG-105-L</x:v>
      </x:c>
      <x:c r="C557" t="str">
        <x:v>PHYSICAL</x:v>
      </x:c>
      <x:c r="D557" t="str">
        <x:v>terrain load</x:v>
      </x:c>
      <x:c r="E557" t="n">
        <x:f>IF('Terrain Field'!K111&lt;&gt;"",1,0)</x:f>
        <x:v>0</x:v>
      </x:c>
      <x:c r="F557" t="n">
        <x:v>1</x:v>
      </x:c>
      <x:c r="G557" t="str">
        <x:v>equals</x:v>
      </x:c>
      <x:c r="H557" t="str">
        <x:v>independent physical acceptance</x:v>
      </x:c>
      <x:c r="I557" t="str">
        <x:f>IF(E557=1,"PASS","OPEN")</x:f>
        <x:v>OPEN</x:v>
      </x:c>
    </x:row>
    <x:row r="558">
      <x:c r="B558" t="str">
        <x:v>PH-TG-106-G</x:v>
      </x:c>
      <x:c r="C558" t="str">
        <x:v>PHYSICAL</x:v>
      </x:c>
      <x:c r="D558" t="str">
        <x:v>terrain geometry</x:v>
      </x:c>
      <x:c r="E558" t="n">
        <x:f>IF('Terrain Field'!J112&lt;&gt;"",1,0)</x:f>
        <x:v>0</x:v>
      </x:c>
      <x:c r="F558" t="n">
        <x:v>1</x:v>
      </x:c>
      <x:c r="G558" t="str">
        <x:v>equals</x:v>
      </x:c>
      <x:c r="H558" t="str">
        <x:v>independent physical acceptance</x:v>
      </x:c>
      <x:c r="I558" t="str">
        <x:f>IF(E558=1,"PASS","OPEN")</x:f>
        <x:v>OPEN</x:v>
      </x:c>
    </x:row>
    <x:row r="559">
      <x:c r="B559" t="str">
        <x:v>PH-TG-106-L</x:v>
      </x:c>
      <x:c r="C559" t="str">
        <x:v>PHYSICAL</x:v>
      </x:c>
      <x:c r="D559" t="str">
        <x:v>terrain load</x:v>
      </x:c>
      <x:c r="E559" t="n">
        <x:f>IF('Terrain Field'!K112&lt;&gt;"",1,0)</x:f>
        <x:v>0</x:v>
      </x:c>
      <x:c r="F559" t="n">
        <x:v>1</x:v>
      </x:c>
      <x:c r="G559" t="str">
        <x:v>equals</x:v>
      </x:c>
      <x:c r="H559" t="str">
        <x:v>independent physical acceptance</x:v>
      </x:c>
      <x:c r="I559" t="str">
        <x:f>IF(E559=1,"PASS","OPEN")</x:f>
        <x:v>OPEN</x:v>
      </x:c>
    </x:row>
    <x:row r="560">
      <x:c r="B560" t="str">
        <x:v>PH-TG-107-G</x:v>
      </x:c>
      <x:c r="C560" t="str">
        <x:v>PHYSICAL</x:v>
      </x:c>
      <x:c r="D560" t="str">
        <x:v>terrain geometry</x:v>
      </x:c>
      <x:c r="E560" t="n">
        <x:f>IF('Terrain Field'!J113&lt;&gt;"",1,0)</x:f>
        <x:v>0</x:v>
      </x:c>
      <x:c r="F560" t="n">
        <x:v>1</x:v>
      </x:c>
      <x:c r="G560" t="str">
        <x:v>equals</x:v>
      </x:c>
      <x:c r="H560" t="str">
        <x:v>independent physical acceptance</x:v>
      </x:c>
      <x:c r="I560" t="str">
        <x:f>IF(E560=1,"PASS","OPEN")</x:f>
        <x:v>OPEN</x:v>
      </x:c>
    </x:row>
    <x:row r="561">
      <x:c r="B561" t="str">
        <x:v>PH-TG-107-L</x:v>
      </x:c>
      <x:c r="C561" t="str">
        <x:v>PHYSICAL</x:v>
      </x:c>
      <x:c r="D561" t="str">
        <x:v>terrain load</x:v>
      </x:c>
      <x:c r="E561" t="n">
        <x:f>IF('Terrain Field'!K113&lt;&gt;"",1,0)</x:f>
        <x:v>0</x:v>
      </x:c>
      <x:c r="F561" t="n">
        <x:v>1</x:v>
      </x:c>
      <x:c r="G561" t="str">
        <x:v>equals</x:v>
      </x:c>
      <x:c r="H561" t="str">
        <x:v>independent physical acceptance</x:v>
      </x:c>
      <x:c r="I561" t="str">
        <x:f>IF(E561=1,"PASS","OPEN")</x:f>
        <x:v>OPEN</x:v>
      </x:c>
    </x:row>
    <x:row r="562">
      <x:c r="B562" t="str">
        <x:v>PH-TG-108-G</x:v>
      </x:c>
      <x:c r="C562" t="str">
        <x:v>PHYSICAL</x:v>
      </x:c>
      <x:c r="D562" t="str">
        <x:v>terrain geometry</x:v>
      </x:c>
      <x:c r="E562" t="n">
        <x:f>IF('Terrain Field'!J114&lt;&gt;"",1,0)</x:f>
        <x:v>0</x:v>
      </x:c>
      <x:c r="F562" t="n">
        <x:v>1</x:v>
      </x:c>
      <x:c r="G562" t="str">
        <x:v>equals</x:v>
      </x:c>
      <x:c r="H562" t="str">
        <x:v>independent physical acceptance</x:v>
      </x:c>
      <x:c r="I562" t="str">
        <x:f>IF(E562=1,"PASS","OPEN")</x:f>
        <x:v>OPEN</x:v>
      </x:c>
    </x:row>
    <x:row r="563">
      <x:c r="B563" t="str">
        <x:v>PH-TG-108-L</x:v>
      </x:c>
      <x:c r="C563" t="str">
        <x:v>PHYSICAL</x:v>
      </x:c>
      <x:c r="D563" t="str">
        <x:v>terrain load</x:v>
      </x:c>
      <x:c r="E563" t="n">
        <x:f>IF('Terrain Field'!K114&lt;&gt;"",1,0)</x:f>
        <x:v>0</x:v>
      </x:c>
      <x:c r="F563" t="n">
        <x:v>1</x:v>
      </x:c>
      <x:c r="G563" t="str">
        <x:v>equals</x:v>
      </x:c>
      <x:c r="H563" t="str">
        <x:v>independent physical acceptance</x:v>
      </x:c>
      <x:c r="I563" t="str">
        <x:f>IF(E563=1,"PASS","OPEN")</x:f>
        <x:v>OPEN</x:v>
      </x:c>
    </x:row>
    <x:row r="564">
      <x:c r="B564" t="str">
        <x:v>PH-TG-109-G</x:v>
      </x:c>
      <x:c r="C564" t="str">
        <x:v>PHYSICAL</x:v>
      </x:c>
      <x:c r="D564" t="str">
        <x:v>terrain geometry</x:v>
      </x:c>
      <x:c r="E564" t="n">
        <x:f>IF('Terrain Field'!J115&lt;&gt;"",1,0)</x:f>
        <x:v>0</x:v>
      </x:c>
      <x:c r="F564" t="n">
        <x:v>1</x:v>
      </x:c>
      <x:c r="G564" t="str">
        <x:v>equals</x:v>
      </x:c>
      <x:c r="H564" t="str">
        <x:v>independent physical acceptance</x:v>
      </x:c>
      <x:c r="I564" t="str">
        <x:f>IF(E564=1,"PASS","OPEN")</x:f>
        <x:v>OPEN</x:v>
      </x:c>
    </x:row>
    <x:row r="565">
      <x:c r="B565" t="str">
        <x:v>PH-TG-109-L</x:v>
      </x:c>
      <x:c r="C565" t="str">
        <x:v>PHYSICAL</x:v>
      </x:c>
      <x:c r="D565" t="str">
        <x:v>terrain load</x:v>
      </x:c>
      <x:c r="E565" t="n">
        <x:f>IF('Terrain Field'!K115&lt;&gt;"",1,0)</x:f>
        <x:v>0</x:v>
      </x:c>
      <x:c r="F565" t="n">
        <x:v>1</x:v>
      </x:c>
      <x:c r="G565" t="str">
        <x:v>equals</x:v>
      </x:c>
      <x:c r="H565" t="str">
        <x:v>independent physical acceptance</x:v>
      </x:c>
      <x:c r="I565" t="str">
        <x:f>IF(E565=1,"PASS","OPEN")</x:f>
        <x:v>OPEN</x:v>
      </x:c>
    </x:row>
    <x:row r="566">
      <x:c r="B566" t="str">
        <x:v>PH-TG-110-G</x:v>
      </x:c>
      <x:c r="C566" t="str">
        <x:v>PHYSICAL</x:v>
      </x:c>
      <x:c r="D566" t="str">
        <x:v>terrain geometry</x:v>
      </x:c>
      <x:c r="E566" t="n">
        <x:f>IF('Terrain Field'!J116&lt;&gt;"",1,0)</x:f>
        <x:v>0</x:v>
      </x:c>
      <x:c r="F566" t="n">
        <x:v>1</x:v>
      </x:c>
      <x:c r="G566" t="str">
        <x:v>equals</x:v>
      </x:c>
      <x:c r="H566" t="str">
        <x:v>independent physical acceptance</x:v>
      </x:c>
      <x:c r="I566" t="str">
        <x:f>IF(E566=1,"PASS","OPEN")</x:f>
        <x:v>OPEN</x:v>
      </x:c>
    </x:row>
    <x:row r="567">
      <x:c r="B567" t="str">
        <x:v>PH-TG-110-L</x:v>
      </x:c>
      <x:c r="C567" t="str">
        <x:v>PHYSICAL</x:v>
      </x:c>
      <x:c r="D567" t="str">
        <x:v>terrain load</x:v>
      </x:c>
      <x:c r="E567" t="n">
        <x:f>IF('Terrain Field'!K116&lt;&gt;"",1,0)</x:f>
        <x:v>0</x:v>
      </x:c>
      <x:c r="F567" t="n">
        <x:v>1</x:v>
      </x:c>
      <x:c r="G567" t="str">
        <x:v>equals</x:v>
      </x:c>
      <x:c r="H567" t="str">
        <x:v>independent physical acceptance</x:v>
      </x:c>
      <x:c r="I567" t="str">
        <x:f>IF(E567=1,"PASS","OPEN")</x:f>
        <x:v>OPEN</x:v>
      </x:c>
    </x:row>
    <x:row r="568">
      <x:c r="B568" t="str">
        <x:v>PH-TG-111-G</x:v>
      </x:c>
      <x:c r="C568" t="str">
        <x:v>PHYSICAL</x:v>
      </x:c>
      <x:c r="D568" t="str">
        <x:v>terrain geometry</x:v>
      </x:c>
      <x:c r="E568" t="n">
        <x:f>IF('Terrain Field'!J117&lt;&gt;"",1,0)</x:f>
        <x:v>0</x:v>
      </x:c>
      <x:c r="F568" t="n">
        <x:v>1</x:v>
      </x:c>
      <x:c r="G568" t="str">
        <x:v>equals</x:v>
      </x:c>
      <x:c r="H568" t="str">
        <x:v>independent physical acceptance</x:v>
      </x:c>
      <x:c r="I568" t="str">
        <x:f>IF(E568=1,"PASS","OPEN")</x:f>
        <x:v>OPEN</x:v>
      </x:c>
    </x:row>
    <x:row r="569">
      <x:c r="B569" t="str">
        <x:v>PH-TG-111-L</x:v>
      </x:c>
      <x:c r="C569" t="str">
        <x:v>PHYSICAL</x:v>
      </x:c>
      <x:c r="D569" t="str">
        <x:v>terrain load</x:v>
      </x:c>
      <x:c r="E569" t="n">
        <x:f>IF('Terrain Field'!K117&lt;&gt;"",1,0)</x:f>
        <x:v>0</x:v>
      </x:c>
      <x:c r="F569" t="n">
        <x:v>1</x:v>
      </x:c>
      <x:c r="G569" t="str">
        <x:v>equals</x:v>
      </x:c>
      <x:c r="H569" t="str">
        <x:v>independent physical acceptance</x:v>
      </x:c>
      <x:c r="I569" t="str">
        <x:f>IF(E569=1,"PASS","OPEN")</x:f>
        <x:v>OPEN</x:v>
      </x:c>
    </x:row>
    <x:row r="570">
      <x:c r="B570" t="str">
        <x:v>PH-TG-112-G</x:v>
      </x:c>
      <x:c r="C570" t="str">
        <x:v>PHYSICAL</x:v>
      </x:c>
      <x:c r="D570" t="str">
        <x:v>terrain geometry</x:v>
      </x:c>
      <x:c r="E570" t="n">
        <x:f>IF('Terrain Field'!J118&lt;&gt;"",1,0)</x:f>
        <x:v>0</x:v>
      </x:c>
      <x:c r="F570" t="n">
        <x:v>1</x:v>
      </x:c>
      <x:c r="G570" t="str">
        <x:v>equals</x:v>
      </x:c>
      <x:c r="H570" t="str">
        <x:v>independent physical acceptance</x:v>
      </x:c>
      <x:c r="I570" t="str">
        <x:f>IF(E570=1,"PASS","OPEN")</x:f>
        <x:v>OPEN</x:v>
      </x:c>
    </x:row>
    <x:row r="571">
      <x:c r="B571" t="str">
        <x:v>PH-TG-112-L</x:v>
      </x:c>
      <x:c r="C571" t="str">
        <x:v>PHYSICAL</x:v>
      </x:c>
      <x:c r="D571" t="str">
        <x:v>terrain load</x:v>
      </x:c>
      <x:c r="E571" t="n">
        <x:f>IF('Terrain Field'!K118&lt;&gt;"",1,0)</x:f>
        <x:v>0</x:v>
      </x:c>
      <x:c r="F571" t="n">
        <x:v>1</x:v>
      </x:c>
      <x:c r="G571" t="str">
        <x:v>equals</x:v>
      </x:c>
      <x:c r="H571" t="str">
        <x:v>independent physical acceptance</x:v>
      </x:c>
      <x:c r="I571" t="str">
        <x:f>IF(E571=1,"PASS","OPEN")</x:f>
        <x:v>OPEN</x:v>
      </x:c>
    </x:row>
    <x:row r="572">
      <x:c r="B572" t="str">
        <x:v>PH-TG-113-G</x:v>
      </x:c>
      <x:c r="C572" t="str">
        <x:v>PHYSICAL</x:v>
      </x:c>
      <x:c r="D572" t="str">
        <x:v>terrain geometry</x:v>
      </x:c>
      <x:c r="E572" t="n">
        <x:f>IF('Terrain Field'!J119&lt;&gt;"",1,0)</x:f>
        <x:v>0</x:v>
      </x:c>
      <x:c r="F572" t="n">
        <x:v>1</x:v>
      </x:c>
      <x:c r="G572" t="str">
        <x:v>equals</x:v>
      </x:c>
      <x:c r="H572" t="str">
        <x:v>independent physical acceptance</x:v>
      </x:c>
      <x:c r="I572" t="str">
        <x:f>IF(E572=1,"PASS","OPEN")</x:f>
        <x:v>OPEN</x:v>
      </x:c>
    </x:row>
    <x:row r="573">
      <x:c r="B573" t="str">
        <x:v>PH-TG-113-L</x:v>
      </x:c>
      <x:c r="C573" t="str">
        <x:v>PHYSICAL</x:v>
      </x:c>
      <x:c r="D573" t="str">
        <x:v>terrain load</x:v>
      </x:c>
      <x:c r="E573" t="n">
        <x:f>IF('Terrain Field'!K119&lt;&gt;"",1,0)</x:f>
        <x:v>0</x:v>
      </x:c>
      <x:c r="F573" t="n">
        <x:v>1</x:v>
      </x:c>
      <x:c r="G573" t="str">
        <x:v>equals</x:v>
      </x:c>
      <x:c r="H573" t="str">
        <x:v>independent physical acceptance</x:v>
      </x:c>
      <x:c r="I573" t="str">
        <x:f>IF(E573=1,"PASS","OPEN")</x:f>
        <x:v>OPEN</x:v>
      </x:c>
    </x:row>
    <x:row r="574">
      <x:c r="B574" t="str">
        <x:v>PH-TG-114-G</x:v>
      </x:c>
      <x:c r="C574" t="str">
        <x:v>PHYSICAL</x:v>
      </x:c>
      <x:c r="D574" t="str">
        <x:v>terrain geometry</x:v>
      </x:c>
      <x:c r="E574" t="n">
        <x:f>IF('Terrain Field'!J120&lt;&gt;"",1,0)</x:f>
        <x:v>0</x:v>
      </x:c>
      <x:c r="F574" t="n">
        <x:v>1</x:v>
      </x:c>
      <x:c r="G574" t="str">
        <x:v>equals</x:v>
      </x:c>
      <x:c r="H574" t="str">
        <x:v>independent physical acceptance</x:v>
      </x:c>
      <x:c r="I574" t="str">
        <x:f>IF(E574=1,"PASS","OPEN")</x:f>
        <x:v>OPEN</x:v>
      </x:c>
    </x:row>
    <x:row r="575">
      <x:c r="B575" t="str">
        <x:v>PH-TG-114-L</x:v>
      </x:c>
      <x:c r="C575" t="str">
        <x:v>PHYSICAL</x:v>
      </x:c>
      <x:c r="D575" t="str">
        <x:v>terrain load</x:v>
      </x:c>
      <x:c r="E575" t="n">
        <x:f>IF('Terrain Field'!K120&lt;&gt;"",1,0)</x:f>
        <x:v>0</x:v>
      </x:c>
      <x:c r="F575" t="n">
        <x:v>1</x:v>
      </x:c>
      <x:c r="G575" t="str">
        <x:v>equals</x:v>
      </x:c>
      <x:c r="H575" t="str">
        <x:v>independent physical acceptance</x:v>
      </x:c>
      <x:c r="I575" t="str">
        <x:f>IF(E575=1,"PASS","OPEN")</x:f>
        <x:v>OPEN</x:v>
      </x:c>
    </x:row>
    <x:row r="576">
      <x:c r="B576" t="str">
        <x:v>PH-TG-115-G</x:v>
      </x:c>
      <x:c r="C576" t="str">
        <x:v>PHYSICAL</x:v>
      </x:c>
      <x:c r="D576" t="str">
        <x:v>terrain geometry</x:v>
      </x:c>
      <x:c r="E576" t="n">
        <x:f>IF('Terrain Field'!J121&lt;&gt;"",1,0)</x:f>
        <x:v>0</x:v>
      </x:c>
      <x:c r="F576" t="n">
        <x:v>1</x:v>
      </x:c>
      <x:c r="G576" t="str">
        <x:v>equals</x:v>
      </x:c>
      <x:c r="H576" t="str">
        <x:v>independent physical acceptance</x:v>
      </x:c>
      <x:c r="I576" t="str">
        <x:f>IF(E576=1,"PASS","OPEN")</x:f>
        <x:v>OPEN</x:v>
      </x:c>
    </x:row>
    <x:row r="577">
      <x:c r="B577" t="str">
        <x:v>PH-TG-115-L</x:v>
      </x:c>
      <x:c r="C577" t="str">
        <x:v>PHYSICAL</x:v>
      </x:c>
      <x:c r="D577" t="str">
        <x:v>terrain load</x:v>
      </x:c>
      <x:c r="E577" t="n">
        <x:f>IF('Terrain Field'!K121&lt;&gt;"",1,0)</x:f>
        <x:v>0</x:v>
      </x:c>
      <x:c r="F577" t="n">
        <x:v>1</x:v>
      </x:c>
      <x:c r="G577" t="str">
        <x:v>equals</x:v>
      </x:c>
      <x:c r="H577" t="str">
        <x:v>independent physical acceptance</x:v>
      </x:c>
      <x:c r="I577" t="str">
        <x:f>IF(E577=1,"PASS","OPEN")</x:f>
        <x:v>OPEN</x:v>
      </x:c>
    </x:row>
    <x:row r="578">
      <x:c r="B578" t="str">
        <x:v>PH-TG-116-G</x:v>
      </x:c>
      <x:c r="C578" t="str">
        <x:v>PHYSICAL</x:v>
      </x:c>
      <x:c r="D578" t="str">
        <x:v>terrain geometry</x:v>
      </x:c>
      <x:c r="E578" t="n">
        <x:f>IF('Terrain Field'!J122&lt;&gt;"",1,0)</x:f>
        <x:v>0</x:v>
      </x:c>
      <x:c r="F578" t="n">
        <x:v>1</x:v>
      </x:c>
      <x:c r="G578" t="str">
        <x:v>equals</x:v>
      </x:c>
      <x:c r="H578" t="str">
        <x:v>independent physical acceptance</x:v>
      </x:c>
      <x:c r="I578" t="str">
        <x:f>IF(E578=1,"PASS","OPEN")</x:f>
        <x:v>OPEN</x:v>
      </x:c>
    </x:row>
    <x:row r="579">
      <x:c r="B579" t="str">
        <x:v>PH-TG-116-L</x:v>
      </x:c>
      <x:c r="C579" t="str">
        <x:v>PHYSICAL</x:v>
      </x:c>
      <x:c r="D579" t="str">
        <x:v>terrain load</x:v>
      </x:c>
      <x:c r="E579" t="n">
        <x:f>IF('Terrain Field'!K122&lt;&gt;"",1,0)</x:f>
        <x:v>0</x:v>
      </x:c>
      <x:c r="F579" t="n">
        <x:v>1</x:v>
      </x:c>
      <x:c r="G579" t="str">
        <x:v>equals</x:v>
      </x:c>
      <x:c r="H579" t="str">
        <x:v>independent physical acceptance</x:v>
      </x:c>
      <x:c r="I579" t="str">
        <x:f>IF(E579=1,"PASS","OPEN")</x:f>
        <x:v>OPEN</x:v>
      </x:c>
    </x:row>
    <x:row r="580">
      <x:c r="B580" t="str">
        <x:v>PH-TG-117-G</x:v>
      </x:c>
      <x:c r="C580" t="str">
        <x:v>PHYSICAL</x:v>
      </x:c>
      <x:c r="D580" t="str">
        <x:v>terrain geometry</x:v>
      </x:c>
      <x:c r="E580" t="n">
        <x:f>IF('Terrain Field'!J123&lt;&gt;"",1,0)</x:f>
        <x:v>0</x:v>
      </x:c>
      <x:c r="F580" t="n">
        <x:v>1</x:v>
      </x:c>
      <x:c r="G580" t="str">
        <x:v>equals</x:v>
      </x:c>
      <x:c r="H580" t="str">
        <x:v>independent physical acceptance</x:v>
      </x:c>
      <x:c r="I580" t="str">
        <x:f>IF(E580=1,"PASS","OPEN")</x:f>
        <x:v>OPEN</x:v>
      </x:c>
    </x:row>
    <x:row r="581">
      <x:c r="B581" t="str">
        <x:v>PH-TG-117-L</x:v>
      </x:c>
      <x:c r="C581" t="str">
        <x:v>PHYSICAL</x:v>
      </x:c>
      <x:c r="D581" t="str">
        <x:v>terrain load</x:v>
      </x:c>
      <x:c r="E581" t="n">
        <x:f>IF('Terrain Field'!K123&lt;&gt;"",1,0)</x:f>
        <x:v>0</x:v>
      </x:c>
      <x:c r="F581" t="n">
        <x:v>1</x:v>
      </x:c>
      <x:c r="G581" t="str">
        <x:v>equals</x:v>
      </x:c>
      <x:c r="H581" t="str">
        <x:v>independent physical acceptance</x:v>
      </x:c>
      <x:c r="I581" t="str">
        <x:f>IF(E581=1,"PASS","OPEN")</x:f>
        <x:v>OPEN</x:v>
      </x:c>
    </x:row>
    <x:row r="582">
      <x:c r="B582" t="str">
        <x:v>PH-TG-118-G</x:v>
      </x:c>
      <x:c r="C582" t="str">
        <x:v>PHYSICAL</x:v>
      </x:c>
      <x:c r="D582" t="str">
        <x:v>terrain geometry</x:v>
      </x:c>
      <x:c r="E582" t="n">
        <x:f>IF('Terrain Field'!J124&lt;&gt;"",1,0)</x:f>
        <x:v>0</x:v>
      </x:c>
      <x:c r="F582" t="n">
        <x:v>1</x:v>
      </x:c>
      <x:c r="G582" t="str">
        <x:v>equals</x:v>
      </x:c>
      <x:c r="H582" t="str">
        <x:v>independent physical acceptance</x:v>
      </x:c>
      <x:c r="I582" t="str">
        <x:f>IF(E582=1,"PASS","OPEN")</x:f>
        <x:v>OPEN</x:v>
      </x:c>
    </x:row>
    <x:row r="583">
      <x:c r="B583" t="str">
        <x:v>PH-TG-118-L</x:v>
      </x:c>
      <x:c r="C583" t="str">
        <x:v>PHYSICAL</x:v>
      </x:c>
      <x:c r="D583" t="str">
        <x:v>terrain load</x:v>
      </x:c>
      <x:c r="E583" t="n">
        <x:f>IF('Terrain Field'!K124&lt;&gt;"",1,0)</x:f>
        <x:v>0</x:v>
      </x:c>
      <x:c r="F583" t="n">
        <x:v>1</x:v>
      </x:c>
      <x:c r="G583" t="str">
        <x:v>equals</x:v>
      </x:c>
      <x:c r="H583" t="str">
        <x:v>independent physical acceptance</x:v>
      </x:c>
      <x:c r="I583" t="str">
        <x:f>IF(E583=1,"PASS","OPEN")</x:f>
        <x:v>OPEN</x:v>
      </x:c>
    </x:row>
    <x:row r="584">
      <x:c r="B584" t="str">
        <x:v>PH-TG-119-G</x:v>
      </x:c>
      <x:c r="C584" t="str">
        <x:v>PHYSICAL</x:v>
      </x:c>
      <x:c r="D584" t="str">
        <x:v>terrain geometry</x:v>
      </x:c>
      <x:c r="E584" t="n">
        <x:f>IF('Terrain Field'!J125&lt;&gt;"",1,0)</x:f>
        <x:v>0</x:v>
      </x:c>
      <x:c r="F584" t="n">
        <x:v>1</x:v>
      </x:c>
      <x:c r="G584" t="str">
        <x:v>equals</x:v>
      </x:c>
      <x:c r="H584" t="str">
        <x:v>independent physical acceptance</x:v>
      </x:c>
      <x:c r="I584" t="str">
        <x:f>IF(E584=1,"PASS","OPEN")</x:f>
        <x:v>OPEN</x:v>
      </x:c>
    </x:row>
    <x:row r="585">
      <x:c r="B585" t="str">
        <x:v>PH-TG-119-L</x:v>
      </x:c>
      <x:c r="C585" t="str">
        <x:v>PHYSICAL</x:v>
      </x:c>
      <x:c r="D585" t="str">
        <x:v>terrain load</x:v>
      </x:c>
      <x:c r="E585" t="n">
        <x:f>IF('Terrain Field'!K125&lt;&gt;"",1,0)</x:f>
        <x:v>0</x:v>
      </x:c>
      <x:c r="F585" t="n">
        <x:v>1</x:v>
      </x:c>
      <x:c r="G585" t="str">
        <x:v>equals</x:v>
      </x:c>
      <x:c r="H585" t="str">
        <x:v>independent physical acceptance</x:v>
      </x:c>
      <x:c r="I585" t="str">
        <x:f>IF(E585=1,"PASS","OPEN")</x:f>
        <x:v>OPEN</x:v>
      </x:c>
    </x:row>
    <x:row r="586">
      <x:c r="B586" t="str">
        <x:v>PH-TG-120-G</x:v>
      </x:c>
      <x:c r="C586" t="str">
        <x:v>PHYSICAL</x:v>
      </x:c>
      <x:c r="D586" t="str">
        <x:v>terrain geometry</x:v>
      </x:c>
      <x:c r="E586" t="n">
        <x:f>IF('Terrain Field'!J126&lt;&gt;"",1,0)</x:f>
        <x:v>0</x:v>
      </x:c>
      <x:c r="F586" t="n">
        <x:v>1</x:v>
      </x:c>
      <x:c r="G586" t="str">
        <x:v>equals</x:v>
      </x:c>
      <x:c r="H586" t="str">
        <x:v>independent physical acceptance</x:v>
      </x:c>
      <x:c r="I586" t="str">
        <x:f>IF(E586=1,"PASS","OPEN")</x:f>
        <x:v>OPEN</x:v>
      </x:c>
    </x:row>
    <x:row r="587">
      <x:c r="B587" t="str">
        <x:v>PH-TG-120-L</x:v>
      </x:c>
      <x:c r="C587" t="str">
        <x:v>PHYSICAL</x:v>
      </x:c>
      <x:c r="D587" t="str">
        <x:v>terrain load</x:v>
      </x:c>
      <x:c r="E587" t="n">
        <x:f>IF('Terrain Field'!K126&lt;&gt;"",1,0)</x:f>
        <x:v>0</x:v>
      </x:c>
      <x:c r="F587" t="n">
        <x:v>1</x:v>
      </x:c>
      <x:c r="G587" t="str">
        <x:v>equals</x:v>
      </x:c>
      <x:c r="H587" t="str">
        <x:v>independent physical acceptance</x:v>
      </x:c>
      <x:c r="I587" t="str">
        <x:f>IF(E587=1,"PASS","OPEN")</x:f>
        <x:v>OPEN</x:v>
      </x:c>
    </x:row>
    <x:row r="588">
      <x:c r="B588" t="str">
        <x:v>PH-TG-121-G</x:v>
      </x:c>
      <x:c r="C588" t="str">
        <x:v>PHYSICAL</x:v>
      </x:c>
      <x:c r="D588" t="str">
        <x:v>terrain geometry</x:v>
      </x:c>
      <x:c r="E588" t="n">
        <x:f>IF('Terrain Field'!J127&lt;&gt;"",1,0)</x:f>
        <x:v>0</x:v>
      </x:c>
      <x:c r="F588" t="n">
        <x:v>1</x:v>
      </x:c>
      <x:c r="G588" t="str">
        <x:v>equals</x:v>
      </x:c>
      <x:c r="H588" t="str">
        <x:v>independent physical acceptance</x:v>
      </x:c>
      <x:c r="I588" t="str">
        <x:f>IF(E588=1,"PASS","OPEN")</x:f>
        <x:v>OPEN</x:v>
      </x:c>
    </x:row>
    <x:row r="589">
      <x:c r="B589" t="str">
        <x:v>PH-TG-121-L</x:v>
      </x:c>
      <x:c r="C589" t="str">
        <x:v>PHYSICAL</x:v>
      </x:c>
      <x:c r="D589" t="str">
        <x:v>terrain load</x:v>
      </x:c>
      <x:c r="E589" t="n">
        <x:f>IF('Terrain Field'!K127&lt;&gt;"",1,0)</x:f>
        <x:v>0</x:v>
      </x:c>
      <x:c r="F589" t="n">
        <x:v>1</x:v>
      </x:c>
      <x:c r="G589" t="str">
        <x:v>equals</x:v>
      </x:c>
      <x:c r="H589" t="str">
        <x:v>independent physical acceptance</x:v>
      </x:c>
      <x:c r="I589" t="str">
        <x:f>IF(E589=1,"PASS","OPEN")</x:f>
        <x:v>OPEN</x:v>
      </x:c>
    </x:row>
    <x:row r="590">
      <x:c r="B590" t="str">
        <x:v>PH-TG-122-G</x:v>
      </x:c>
      <x:c r="C590" t="str">
        <x:v>PHYSICAL</x:v>
      </x:c>
      <x:c r="D590" t="str">
        <x:v>terrain geometry</x:v>
      </x:c>
      <x:c r="E590" t="n">
        <x:f>IF('Terrain Field'!J128&lt;&gt;"",1,0)</x:f>
        <x:v>0</x:v>
      </x:c>
      <x:c r="F590" t="n">
        <x:v>1</x:v>
      </x:c>
      <x:c r="G590" t="str">
        <x:v>equals</x:v>
      </x:c>
      <x:c r="H590" t="str">
        <x:v>independent physical acceptance</x:v>
      </x:c>
      <x:c r="I590" t="str">
        <x:f>IF(E590=1,"PASS","OPEN")</x:f>
        <x:v>OPEN</x:v>
      </x:c>
    </x:row>
    <x:row r="591">
      <x:c r="B591" t="str">
        <x:v>PH-TG-122-L</x:v>
      </x:c>
      <x:c r="C591" t="str">
        <x:v>PHYSICAL</x:v>
      </x:c>
      <x:c r="D591" t="str">
        <x:v>terrain load</x:v>
      </x:c>
      <x:c r="E591" t="n">
        <x:f>IF('Terrain Field'!K128&lt;&gt;"",1,0)</x:f>
        <x:v>0</x:v>
      </x:c>
      <x:c r="F591" t="n">
        <x:v>1</x:v>
      </x:c>
      <x:c r="G591" t="str">
        <x:v>equals</x:v>
      </x:c>
      <x:c r="H591" t="str">
        <x:v>independent physical acceptance</x:v>
      </x:c>
      <x:c r="I591" t="str">
        <x:f>IF(E591=1,"PASS","OPEN")</x:f>
        <x:v>OPEN</x:v>
      </x:c>
    </x:row>
    <x:row r="592">
      <x:c r="B592" t="str">
        <x:v>PH-TG-123-G</x:v>
      </x:c>
      <x:c r="C592" t="str">
        <x:v>PHYSICAL</x:v>
      </x:c>
      <x:c r="D592" t="str">
        <x:v>terrain geometry</x:v>
      </x:c>
      <x:c r="E592" t="n">
        <x:f>IF('Terrain Field'!J129&lt;&gt;"",1,0)</x:f>
        <x:v>0</x:v>
      </x:c>
      <x:c r="F592" t="n">
        <x:v>1</x:v>
      </x:c>
      <x:c r="G592" t="str">
        <x:v>equals</x:v>
      </x:c>
      <x:c r="H592" t="str">
        <x:v>independent physical acceptance</x:v>
      </x:c>
      <x:c r="I592" t="str">
        <x:f>IF(E592=1,"PASS","OPEN")</x:f>
        <x:v>OPEN</x:v>
      </x:c>
    </x:row>
    <x:row r="593">
      <x:c r="B593" t="str">
        <x:v>PH-TG-123-L</x:v>
      </x:c>
      <x:c r="C593" t="str">
        <x:v>PHYSICAL</x:v>
      </x:c>
      <x:c r="D593" t="str">
        <x:v>terrain load</x:v>
      </x:c>
      <x:c r="E593" t="n">
        <x:f>IF('Terrain Field'!K129&lt;&gt;"",1,0)</x:f>
        <x:v>0</x:v>
      </x:c>
      <x:c r="F593" t="n">
        <x:v>1</x:v>
      </x:c>
      <x:c r="G593" t="str">
        <x:v>equals</x:v>
      </x:c>
      <x:c r="H593" t="str">
        <x:v>independent physical acceptance</x:v>
      </x:c>
      <x:c r="I593" t="str">
        <x:f>IF(E593=1,"PASS","OPEN")</x:f>
        <x:v>OPEN</x:v>
      </x:c>
    </x:row>
    <x:row r="594">
      <x:c r="B594" t="str">
        <x:v>PH-TG-124-G</x:v>
      </x:c>
      <x:c r="C594" t="str">
        <x:v>PHYSICAL</x:v>
      </x:c>
      <x:c r="D594" t="str">
        <x:v>terrain geometry</x:v>
      </x:c>
      <x:c r="E594" t="n">
        <x:f>IF('Terrain Field'!J130&lt;&gt;"",1,0)</x:f>
        <x:v>0</x:v>
      </x:c>
      <x:c r="F594" t="n">
        <x:v>1</x:v>
      </x:c>
      <x:c r="G594" t="str">
        <x:v>equals</x:v>
      </x:c>
      <x:c r="H594" t="str">
        <x:v>independent physical acceptance</x:v>
      </x:c>
      <x:c r="I594" t="str">
        <x:f>IF(E594=1,"PASS","OPEN")</x:f>
        <x:v>OPEN</x:v>
      </x:c>
    </x:row>
    <x:row r="595">
      <x:c r="B595" t="str">
        <x:v>PH-TG-124-L</x:v>
      </x:c>
      <x:c r="C595" t="str">
        <x:v>PHYSICAL</x:v>
      </x:c>
      <x:c r="D595" t="str">
        <x:v>terrain load</x:v>
      </x:c>
      <x:c r="E595" t="n">
        <x:f>IF('Terrain Field'!K130&lt;&gt;"",1,0)</x:f>
        <x:v>0</x:v>
      </x:c>
      <x:c r="F595" t="n">
        <x:v>1</x:v>
      </x:c>
      <x:c r="G595" t="str">
        <x:v>equals</x:v>
      </x:c>
      <x:c r="H595" t="str">
        <x:v>independent physical acceptance</x:v>
      </x:c>
      <x:c r="I595" t="str">
        <x:f>IF(E595=1,"PASS","OPEN")</x:f>
        <x:v>OPEN</x:v>
      </x:c>
    </x:row>
    <x:row r="596">
      <x:c r="B596" t="str">
        <x:v>PH-TG-125-G</x:v>
      </x:c>
      <x:c r="C596" t="str">
        <x:v>PHYSICAL</x:v>
      </x:c>
      <x:c r="D596" t="str">
        <x:v>terrain geometry</x:v>
      </x:c>
      <x:c r="E596" t="n">
        <x:f>IF('Terrain Field'!J131&lt;&gt;"",1,0)</x:f>
        <x:v>0</x:v>
      </x:c>
      <x:c r="F596" t="n">
        <x:v>1</x:v>
      </x:c>
      <x:c r="G596" t="str">
        <x:v>equals</x:v>
      </x:c>
      <x:c r="H596" t="str">
        <x:v>independent physical acceptance</x:v>
      </x:c>
      <x:c r="I596" t="str">
        <x:f>IF(E596=1,"PASS","OPEN")</x:f>
        <x:v>OPEN</x:v>
      </x:c>
    </x:row>
    <x:row r="597">
      <x:c r="B597" t="str">
        <x:v>PH-TG-125-L</x:v>
      </x:c>
      <x:c r="C597" t="str">
        <x:v>PHYSICAL</x:v>
      </x:c>
      <x:c r="D597" t="str">
        <x:v>terrain load</x:v>
      </x:c>
      <x:c r="E597" t="n">
        <x:f>IF('Terrain Field'!K131&lt;&gt;"",1,0)</x:f>
        <x:v>0</x:v>
      </x:c>
      <x:c r="F597" t="n">
        <x:v>1</x:v>
      </x:c>
      <x:c r="G597" t="str">
        <x:v>equals</x:v>
      </x:c>
      <x:c r="H597" t="str">
        <x:v>independent physical acceptance</x:v>
      </x:c>
      <x:c r="I597" t="str">
        <x:f>IF(E597=1,"PASS","OPEN")</x:f>
        <x:v>OPEN</x:v>
      </x:c>
    </x:row>
    <x:row r="598">
      <x:c r="B598" t="str">
        <x:v>PH-TG-126-G</x:v>
      </x:c>
      <x:c r="C598" t="str">
        <x:v>PHYSICAL</x:v>
      </x:c>
      <x:c r="D598" t="str">
        <x:v>terrain geometry</x:v>
      </x:c>
      <x:c r="E598" t="n">
        <x:f>IF('Terrain Field'!J132&lt;&gt;"",1,0)</x:f>
        <x:v>0</x:v>
      </x:c>
      <x:c r="F598" t="n">
        <x:v>1</x:v>
      </x:c>
      <x:c r="G598" t="str">
        <x:v>equals</x:v>
      </x:c>
      <x:c r="H598" t="str">
        <x:v>independent physical acceptance</x:v>
      </x:c>
      <x:c r="I598" t="str">
        <x:f>IF(E598=1,"PASS","OPEN")</x:f>
        <x:v>OPEN</x:v>
      </x:c>
    </x:row>
    <x:row r="599">
      <x:c r="B599" t="str">
        <x:v>PH-TG-126-L</x:v>
      </x:c>
      <x:c r="C599" t="str">
        <x:v>PHYSICAL</x:v>
      </x:c>
      <x:c r="D599" t="str">
        <x:v>terrain load</x:v>
      </x:c>
      <x:c r="E599" t="n">
        <x:f>IF('Terrain Field'!K132&lt;&gt;"",1,0)</x:f>
        <x:v>0</x:v>
      </x:c>
      <x:c r="F599" t="n">
        <x:v>1</x:v>
      </x:c>
      <x:c r="G599" t="str">
        <x:v>equals</x:v>
      </x:c>
      <x:c r="H599" t="str">
        <x:v>independent physical acceptance</x:v>
      </x:c>
      <x:c r="I599" t="str">
        <x:f>IF(E599=1,"PASS","OPEN")</x:f>
        <x:v>OPEN</x:v>
      </x:c>
    </x:row>
    <x:row r="600">
      <x:c r="B600" t="str">
        <x:v>PH-TG-127-G</x:v>
      </x:c>
      <x:c r="C600" t="str">
        <x:v>PHYSICAL</x:v>
      </x:c>
      <x:c r="D600" t="str">
        <x:v>terrain geometry</x:v>
      </x:c>
      <x:c r="E600" t="n">
        <x:f>IF('Terrain Field'!J133&lt;&gt;"",1,0)</x:f>
        <x:v>0</x:v>
      </x:c>
      <x:c r="F600" t="n">
        <x:v>1</x:v>
      </x:c>
      <x:c r="G600" t="str">
        <x:v>equals</x:v>
      </x:c>
      <x:c r="H600" t="str">
        <x:v>independent physical acceptance</x:v>
      </x:c>
      <x:c r="I600" t="str">
        <x:f>IF(E600=1,"PASS","OPEN")</x:f>
        <x:v>OPEN</x:v>
      </x:c>
    </x:row>
    <x:row r="601">
      <x:c r="B601" t="str">
        <x:v>PH-TG-127-L</x:v>
      </x:c>
      <x:c r="C601" t="str">
        <x:v>PHYSICAL</x:v>
      </x:c>
      <x:c r="D601" t="str">
        <x:v>terrain load</x:v>
      </x:c>
      <x:c r="E601" t="n">
        <x:f>IF('Terrain Field'!K133&lt;&gt;"",1,0)</x:f>
        <x:v>0</x:v>
      </x:c>
      <x:c r="F601" t="n">
        <x:v>1</x:v>
      </x:c>
      <x:c r="G601" t="str">
        <x:v>equals</x:v>
      </x:c>
      <x:c r="H601" t="str">
        <x:v>independent physical acceptance</x:v>
      </x:c>
      <x:c r="I601" t="str">
        <x:f>IF(E601=1,"PASS","OPEN")</x:f>
        <x:v>OPEN</x:v>
      </x:c>
    </x:row>
    <x:row r="602">
      <x:c r="B602" t="str">
        <x:v>PH-TG-128-G</x:v>
      </x:c>
      <x:c r="C602" t="str">
        <x:v>PHYSICAL</x:v>
      </x:c>
      <x:c r="D602" t="str">
        <x:v>terrain geometry</x:v>
      </x:c>
      <x:c r="E602" t="n">
        <x:f>IF('Terrain Field'!J134&lt;&gt;"",1,0)</x:f>
        <x:v>0</x:v>
      </x:c>
      <x:c r="F602" t="n">
        <x:v>1</x:v>
      </x:c>
      <x:c r="G602" t="str">
        <x:v>equals</x:v>
      </x:c>
      <x:c r="H602" t="str">
        <x:v>independent physical acceptance</x:v>
      </x:c>
      <x:c r="I602" t="str">
        <x:f>IF(E602=1,"PASS","OPEN")</x:f>
        <x:v>OPEN</x:v>
      </x:c>
    </x:row>
    <x:row r="603">
      <x:c r="B603" t="str">
        <x:v>PH-TG-128-L</x:v>
      </x:c>
      <x:c r="C603" t="str">
        <x:v>PHYSICAL</x:v>
      </x:c>
      <x:c r="D603" t="str">
        <x:v>terrain load</x:v>
      </x:c>
      <x:c r="E603" t="n">
        <x:f>IF('Terrain Field'!K134&lt;&gt;"",1,0)</x:f>
        <x:v>0</x:v>
      </x:c>
      <x:c r="F603" t="n">
        <x:v>1</x:v>
      </x:c>
      <x:c r="G603" t="str">
        <x:v>equals</x:v>
      </x:c>
      <x:c r="H603" t="str">
        <x:v>independent physical acceptance</x:v>
      </x:c>
      <x:c r="I603" t="str">
        <x:f>IF(E603=1,"PASS","OPEN")</x:f>
        <x:v>OPEN</x:v>
      </x:c>
    </x:row>
    <x:row r="604">
      <x:c r="B604" t="str">
        <x:v>PH-TG-129-G</x:v>
      </x:c>
      <x:c r="C604" t="str">
        <x:v>PHYSICAL</x:v>
      </x:c>
      <x:c r="D604" t="str">
        <x:v>terrain geometry</x:v>
      </x:c>
      <x:c r="E604" t="n">
        <x:f>IF('Terrain Field'!J135&lt;&gt;"",1,0)</x:f>
        <x:v>0</x:v>
      </x:c>
      <x:c r="F604" t="n">
        <x:v>1</x:v>
      </x:c>
      <x:c r="G604" t="str">
        <x:v>equals</x:v>
      </x:c>
      <x:c r="H604" t="str">
        <x:v>independent physical acceptance</x:v>
      </x:c>
      <x:c r="I604" t="str">
        <x:f>IF(E604=1,"PASS","OPEN")</x:f>
        <x:v>OPEN</x:v>
      </x:c>
    </x:row>
    <x:row r="605">
      <x:c r="B605" t="str">
        <x:v>PH-TG-129-L</x:v>
      </x:c>
      <x:c r="C605" t="str">
        <x:v>PHYSICAL</x:v>
      </x:c>
      <x:c r="D605" t="str">
        <x:v>terrain load</x:v>
      </x:c>
      <x:c r="E605" t="n">
        <x:f>IF('Terrain Field'!K135&lt;&gt;"",1,0)</x:f>
        <x:v>0</x:v>
      </x:c>
      <x:c r="F605" t="n">
        <x:v>1</x:v>
      </x:c>
      <x:c r="G605" t="str">
        <x:v>equals</x:v>
      </x:c>
      <x:c r="H605" t="str">
        <x:v>independent physical acceptance</x:v>
      </x:c>
      <x:c r="I605" t="str">
        <x:f>IF(E605=1,"PASS","OPEN")</x:f>
        <x:v>OPEN</x:v>
      </x:c>
    </x:row>
    <x:row r="606">
      <x:c r="B606" t="str">
        <x:v>PH-TG-130-G</x:v>
      </x:c>
      <x:c r="C606" t="str">
        <x:v>PHYSICAL</x:v>
      </x:c>
      <x:c r="D606" t="str">
        <x:v>terrain geometry</x:v>
      </x:c>
      <x:c r="E606" t="n">
        <x:f>IF('Terrain Field'!J136&lt;&gt;"",1,0)</x:f>
        <x:v>0</x:v>
      </x:c>
      <x:c r="F606" t="n">
        <x:v>1</x:v>
      </x:c>
      <x:c r="G606" t="str">
        <x:v>equals</x:v>
      </x:c>
      <x:c r="H606" t="str">
        <x:v>independent physical acceptance</x:v>
      </x:c>
      <x:c r="I606" t="str">
        <x:f>IF(E606=1,"PASS","OPEN")</x:f>
        <x:v>OPEN</x:v>
      </x:c>
    </x:row>
    <x:row r="607">
      <x:c r="B607" t="str">
        <x:v>PH-TG-130-L</x:v>
      </x:c>
      <x:c r="C607" t="str">
        <x:v>PHYSICAL</x:v>
      </x:c>
      <x:c r="D607" t="str">
        <x:v>terrain load</x:v>
      </x:c>
      <x:c r="E607" t="n">
        <x:f>IF('Terrain Field'!K136&lt;&gt;"",1,0)</x:f>
        <x:v>0</x:v>
      </x:c>
      <x:c r="F607" t="n">
        <x:v>1</x:v>
      </x:c>
      <x:c r="G607" t="str">
        <x:v>equals</x:v>
      </x:c>
      <x:c r="H607" t="str">
        <x:v>independent physical acceptance</x:v>
      </x:c>
      <x:c r="I607" t="str">
        <x:f>IF(E607=1,"PASS","OPEN")</x:f>
        <x:v>OPEN</x:v>
      </x:c>
    </x:row>
    <x:row r="608">
      <x:c r="B608" t="str">
        <x:v>PH-TG-131-G</x:v>
      </x:c>
      <x:c r="C608" t="str">
        <x:v>PHYSICAL</x:v>
      </x:c>
      <x:c r="D608" t="str">
        <x:v>terrain geometry</x:v>
      </x:c>
      <x:c r="E608" t="n">
        <x:f>IF('Terrain Field'!J137&lt;&gt;"",1,0)</x:f>
        <x:v>0</x:v>
      </x:c>
      <x:c r="F608" t="n">
        <x:v>1</x:v>
      </x:c>
      <x:c r="G608" t="str">
        <x:v>equals</x:v>
      </x:c>
      <x:c r="H608" t="str">
        <x:v>independent physical acceptance</x:v>
      </x:c>
      <x:c r="I608" t="str">
        <x:f>IF(E608=1,"PASS","OPEN")</x:f>
        <x:v>OPEN</x:v>
      </x:c>
    </x:row>
    <x:row r="609">
      <x:c r="B609" t="str">
        <x:v>PH-TG-131-L</x:v>
      </x:c>
      <x:c r="C609" t="str">
        <x:v>PHYSICAL</x:v>
      </x:c>
      <x:c r="D609" t="str">
        <x:v>terrain load</x:v>
      </x:c>
      <x:c r="E609" t="n">
        <x:f>IF('Terrain Field'!K137&lt;&gt;"",1,0)</x:f>
        <x:v>0</x:v>
      </x:c>
      <x:c r="F609" t="n">
        <x:v>1</x:v>
      </x:c>
      <x:c r="G609" t="str">
        <x:v>equals</x:v>
      </x:c>
      <x:c r="H609" t="str">
        <x:v>independent physical acceptance</x:v>
      </x:c>
      <x:c r="I609" t="str">
        <x:f>IF(E609=1,"PASS","OPEN")</x:f>
        <x:v>OPEN</x:v>
      </x:c>
    </x:row>
    <x:row r="610">
      <x:c r="B610" t="str">
        <x:v>PH-TG-132-G</x:v>
      </x:c>
      <x:c r="C610" t="str">
        <x:v>PHYSICAL</x:v>
      </x:c>
      <x:c r="D610" t="str">
        <x:v>terrain geometry</x:v>
      </x:c>
      <x:c r="E610" t="n">
        <x:f>IF('Terrain Field'!J138&lt;&gt;"",1,0)</x:f>
        <x:v>0</x:v>
      </x:c>
      <x:c r="F610" t="n">
        <x:v>1</x:v>
      </x:c>
      <x:c r="G610" t="str">
        <x:v>equals</x:v>
      </x:c>
      <x:c r="H610" t="str">
        <x:v>independent physical acceptance</x:v>
      </x:c>
      <x:c r="I610" t="str">
        <x:f>IF(E610=1,"PASS","OPEN")</x:f>
        <x:v>OPEN</x:v>
      </x:c>
    </x:row>
    <x:row r="611">
      <x:c r="B611" t="str">
        <x:v>PH-TG-132-L</x:v>
      </x:c>
      <x:c r="C611" t="str">
        <x:v>PHYSICAL</x:v>
      </x:c>
      <x:c r="D611" t="str">
        <x:v>terrain load</x:v>
      </x:c>
      <x:c r="E611" t="n">
        <x:f>IF('Terrain Field'!K138&lt;&gt;"",1,0)</x:f>
        <x:v>0</x:v>
      </x:c>
      <x:c r="F611" t="n">
        <x:v>1</x:v>
      </x:c>
      <x:c r="G611" t="str">
        <x:v>equals</x:v>
      </x:c>
      <x:c r="H611" t="str">
        <x:v>independent physical acceptance</x:v>
      </x:c>
      <x:c r="I611" t="str">
        <x:f>IF(E611=1,"PASS","OPEN")</x:f>
        <x:v>OPEN</x:v>
      </x:c>
    </x:row>
    <x:row r="612">
      <x:c r="B612" t="str">
        <x:v>PH-TG-133-G</x:v>
      </x:c>
      <x:c r="C612" t="str">
        <x:v>PHYSICAL</x:v>
      </x:c>
      <x:c r="D612" t="str">
        <x:v>terrain geometry</x:v>
      </x:c>
      <x:c r="E612" t="n">
        <x:f>IF('Terrain Field'!J139&lt;&gt;"",1,0)</x:f>
        <x:v>0</x:v>
      </x:c>
      <x:c r="F612" t="n">
        <x:v>1</x:v>
      </x:c>
      <x:c r="G612" t="str">
        <x:v>equals</x:v>
      </x:c>
      <x:c r="H612" t="str">
        <x:v>independent physical acceptance</x:v>
      </x:c>
      <x:c r="I612" t="str">
        <x:f>IF(E612=1,"PASS","OPEN")</x:f>
        <x:v>OPEN</x:v>
      </x:c>
    </x:row>
    <x:row r="613">
      <x:c r="B613" t="str">
        <x:v>PH-TG-133-L</x:v>
      </x:c>
      <x:c r="C613" t="str">
        <x:v>PHYSICAL</x:v>
      </x:c>
      <x:c r="D613" t="str">
        <x:v>terrain load</x:v>
      </x:c>
      <x:c r="E613" t="n">
        <x:f>IF('Terrain Field'!K139&lt;&gt;"",1,0)</x:f>
        <x:v>0</x:v>
      </x:c>
      <x:c r="F613" t="n">
        <x:v>1</x:v>
      </x:c>
      <x:c r="G613" t="str">
        <x:v>equals</x:v>
      </x:c>
      <x:c r="H613" t="str">
        <x:v>independent physical acceptance</x:v>
      </x:c>
      <x:c r="I613" t="str">
        <x:f>IF(E613=1,"PASS","OPEN")</x:f>
        <x:v>OPEN</x:v>
      </x:c>
    </x:row>
    <x:row r="614">
      <x:c r="B614" t="str">
        <x:v>PH-TG-134-G</x:v>
      </x:c>
      <x:c r="C614" t="str">
        <x:v>PHYSICAL</x:v>
      </x:c>
      <x:c r="D614" t="str">
        <x:v>terrain geometry</x:v>
      </x:c>
      <x:c r="E614" t="n">
        <x:f>IF('Terrain Field'!J140&lt;&gt;"",1,0)</x:f>
        <x:v>0</x:v>
      </x:c>
      <x:c r="F614" t="n">
        <x:v>1</x:v>
      </x:c>
      <x:c r="G614" t="str">
        <x:v>equals</x:v>
      </x:c>
      <x:c r="H614" t="str">
        <x:v>independent physical acceptance</x:v>
      </x:c>
      <x:c r="I614" t="str">
        <x:f>IF(E614=1,"PASS","OPEN")</x:f>
        <x:v>OPEN</x:v>
      </x:c>
    </x:row>
    <x:row r="615">
      <x:c r="B615" t="str">
        <x:v>PH-TG-134-L</x:v>
      </x:c>
      <x:c r="C615" t="str">
        <x:v>PHYSICAL</x:v>
      </x:c>
      <x:c r="D615" t="str">
        <x:v>terrain load</x:v>
      </x:c>
      <x:c r="E615" t="n">
        <x:f>IF('Terrain Field'!K140&lt;&gt;"",1,0)</x:f>
        <x:v>0</x:v>
      </x:c>
      <x:c r="F615" t="n">
        <x:v>1</x:v>
      </x:c>
      <x:c r="G615" t="str">
        <x:v>equals</x:v>
      </x:c>
      <x:c r="H615" t="str">
        <x:v>independent physical acceptance</x:v>
      </x:c>
      <x:c r="I615" t="str">
        <x:f>IF(E615=1,"PASS","OPEN")</x:f>
        <x:v>OPEN</x:v>
      </x:c>
    </x:row>
    <x:row r="616">
      <x:c r="B616" t="str">
        <x:v>PH-TG-135-G</x:v>
      </x:c>
      <x:c r="C616" t="str">
        <x:v>PHYSICAL</x:v>
      </x:c>
      <x:c r="D616" t="str">
        <x:v>terrain geometry</x:v>
      </x:c>
      <x:c r="E616" t="n">
        <x:f>IF('Terrain Field'!J141&lt;&gt;"",1,0)</x:f>
        <x:v>0</x:v>
      </x:c>
      <x:c r="F616" t="n">
        <x:v>1</x:v>
      </x:c>
      <x:c r="G616" t="str">
        <x:v>equals</x:v>
      </x:c>
      <x:c r="H616" t="str">
        <x:v>independent physical acceptance</x:v>
      </x:c>
      <x:c r="I616" t="str">
        <x:f>IF(E616=1,"PASS","OPEN")</x:f>
        <x:v>OPEN</x:v>
      </x:c>
    </x:row>
    <x:row r="617">
      <x:c r="B617" t="str">
        <x:v>PH-TG-135-L</x:v>
      </x:c>
      <x:c r="C617" t="str">
        <x:v>PHYSICAL</x:v>
      </x:c>
      <x:c r="D617" t="str">
        <x:v>terrain load</x:v>
      </x:c>
      <x:c r="E617" t="n">
        <x:f>IF('Terrain Field'!K141&lt;&gt;"",1,0)</x:f>
        <x:v>0</x:v>
      </x:c>
      <x:c r="F617" t="n">
        <x:v>1</x:v>
      </x:c>
      <x:c r="G617" t="str">
        <x:v>equals</x:v>
      </x:c>
      <x:c r="H617" t="str">
        <x:v>independent physical acceptance</x:v>
      </x:c>
      <x:c r="I617" t="str">
        <x:f>IF(E617=1,"PASS","OPEN")</x:f>
        <x:v>OPEN</x:v>
      </x:c>
    </x:row>
    <x:row r="618">
      <x:c r="B618" t="str">
        <x:v>PH-TG-136-G</x:v>
      </x:c>
      <x:c r="C618" t="str">
        <x:v>PHYSICAL</x:v>
      </x:c>
      <x:c r="D618" t="str">
        <x:v>terrain geometry</x:v>
      </x:c>
      <x:c r="E618" t="n">
        <x:f>IF('Terrain Field'!J142&lt;&gt;"",1,0)</x:f>
        <x:v>0</x:v>
      </x:c>
      <x:c r="F618" t="n">
        <x:v>1</x:v>
      </x:c>
      <x:c r="G618" t="str">
        <x:v>equals</x:v>
      </x:c>
      <x:c r="H618" t="str">
        <x:v>independent physical acceptance</x:v>
      </x:c>
      <x:c r="I618" t="str">
        <x:f>IF(E618=1,"PASS","OPEN")</x:f>
        <x:v>OPEN</x:v>
      </x:c>
    </x:row>
    <x:row r="619">
      <x:c r="B619" t="str">
        <x:v>PH-TG-136-L</x:v>
      </x:c>
      <x:c r="C619" t="str">
        <x:v>PHYSICAL</x:v>
      </x:c>
      <x:c r="D619" t="str">
        <x:v>terrain load</x:v>
      </x:c>
      <x:c r="E619" t="n">
        <x:f>IF('Terrain Field'!K142&lt;&gt;"",1,0)</x:f>
        <x:v>0</x:v>
      </x:c>
      <x:c r="F619" t="n">
        <x:v>1</x:v>
      </x:c>
      <x:c r="G619" t="str">
        <x:v>equals</x:v>
      </x:c>
      <x:c r="H619" t="str">
        <x:v>independent physical acceptance</x:v>
      </x:c>
      <x:c r="I619" t="str">
        <x:f>IF(E619=1,"PASS","OPEN")</x:f>
        <x:v>OPEN</x:v>
      </x:c>
    </x:row>
    <x:row r="620">
      <x:c r="B620" t="str">
        <x:v>PH-TG-137-G</x:v>
      </x:c>
      <x:c r="C620" t="str">
        <x:v>PHYSICAL</x:v>
      </x:c>
      <x:c r="D620" t="str">
        <x:v>terrain geometry</x:v>
      </x:c>
      <x:c r="E620" t="n">
        <x:f>IF('Terrain Field'!J143&lt;&gt;"",1,0)</x:f>
        <x:v>0</x:v>
      </x:c>
      <x:c r="F620" t="n">
        <x:v>1</x:v>
      </x:c>
      <x:c r="G620" t="str">
        <x:v>equals</x:v>
      </x:c>
      <x:c r="H620" t="str">
        <x:v>independent physical acceptance</x:v>
      </x:c>
      <x:c r="I620" t="str">
        <x:f>IF(E620=1,"PASS","OPEN")</x:f>
        <x:v>OPEN</x:v>
      </x:c>
    </x:row>
    <x:row r="621">
      <x:c r="B621" t="str">
        <x:v>PH-TG-137-L</x:v>
      </x:c>
      <x:c r="C621" t="str">
        <x:v>PHYSICAL</x:v>
      </x:c>
      <x:c r="D621" t="str">
        <x:v>terrain load</x:v>
      </x:c>
      <x:c r="E621" t="n">
        <x:f>IF('Terrain Field'!K143&lt;&gt;"",1,0)</x:f>
        <x:v>0</x:v>
      </x:c>
      <x:c r="F621" t="n">
        <x:v>1</x:v>
      </x:c>
      <x:c r="G621" t="str">
        <x:v>equals</x:v>
      </x:c>
      <x:c r="H621" t="str">
        <x:v>independent physical acceptance</x:v>
      </x:c>
      <x:c r="I621" t="str">
        <x:f>IF(E621=1,"PASS","OPEN")</x:f>
        <x:v>OPEN</x:v>
      </x:c>
    </x:row>
    <x:row r="622">
      <x:c r="B622" t="str">
        <x:v>PH-TG-138-G</x:v>
      </x:c>
      <x:c r="C622" t="str">
        <x:v>PHYSICAL</x:v>
      </x:c>
      <x:c r="D622" t="str">
        <x:v>terrain geometry</x:v>
      </x:c>
      <x:c r="E622" t="n">
        <x:f>IF('Terrain Field'!J144&lt;&gt;"",1,0)</x:f>
        <x:v>0</x:v>
      </x:c>
      <x:c r="F622" t="n">
        <x:v>1</x:v>
      </x:c>
      <x:c r="G622" t="str">
        <x:v>equals</x:v>
      </x:c>
      <x:c r="H622" t="str">
        <x:v>independent physical acceptance</x:v>
      </x:c>
      <x:c r="I622" t="str">
        <x:f>IF(E622=1,"PASS","OPEN")</x:f>
        <x:v>OPEN</x:v>
      </x:c>
    </x:row>
    <x:row r="623">
      <x:c r="B623" t="str">
        <x:v>PH-TG-138-L</x:v>
      </x:c>
      <x:c r="C623" t="str">
        <x:v>PHYSICAL</x:v>
      </x:c>
      <x:c r="D623" t="str">
        <x:v>terrain load</x:v>
      </x:c>
      <x:c r="E623" t="n">
        <x:f>IF('Terrain Field'!K144&lt;&gt;"",1,0)</x:f>
        <x:v>0</x:v>
      </x:c>
      <x:c r="F623" t="n">
        <x:v>1</x:v>
      </x:c>
      <x:c r="G623" t="str">
        <x:v>equals</x:v>
      </x:c>
      <x:c r="H623" t="str">
        <x:v>independent physical acceptance</x:v>
      </x:c>
      <x:c r="I623" t="str">
        <x:f>IF(E623=1,"PASS","OPEN")</x:f>
        <x:v>OPEN</x:v>
      </x:c>
    </x:row>
    <x:row r="624">
      <x:c r="B624" t="str">
        <x:v>PH-TG-139-G</x:v>
      </x:c>
      <x:c r="C624" t="str">
        <x:v>PHYSICAL</x:v>
      </x:c>
      <x:c r="D624" t="str">
        <x:v>terrain geometry</x:v>
      </x:c>
      <x:c r="E624" t="n">
        <x:f>IF('Terrain Field'!J145&lt;&gt;"",1,0)</x:f>
        <x:v>0</x:v>
      </x:c>
      <x:c r="F624" t="n">
        <x:v>1</x:v>
      </x:c>
      <x:c r="G624" t="str">
        <x:v>equals</x:v>
      </x:c>
      <x:c r="H624" t="str">
        <x:v>independent physical acceptance</x:v>
      </x:c>
      <x:c r="I624" t="str">
        <x:f>IF(E624=1,"PASS","OPEN")</x:f>
        <x:v>OPEN</x:v>
      </x:c>
    </x:row>
    <x:row r="625">
      <x:c r="B625" t="str">
        <x:v>PH-TG-139-L</x:v>
      </x:c>
      <x:c r="C625" t="str">
        <x:v>PHYSICAL</x:v>
      </x:c>
      <x:c r="D625" t="str">
        <x:v>terrain load</x:v>
      </x:c>
      <x:c r="E625" t="n">
        <x:f>IF('Terrain Field'!K145&lt;&gt;"",1,0)</x:f>
        <x:v>0</x:v>
      </x:c>
      <x:c r="F625" t="n">
        <x:v>1</x:v>
      </x:c>
      <x:c r="G625" t="str">
        <x:v>equals</x:v>
      </x:c>
      <x:c r="H625" t="str">
        <x:v>independent physical acceptance</x:v>
      </x:c>
      <x:c r="I625" t="str">
        <x:f>IF(E625=1,"PASS","OPEN")</x:f>
        <x:v>OPEN</x:v>
      </x:c>
    </x:row>
    <x:row r="626">
      <x:c r="B626" t="str">
        <x:v>PH-TG-140-G</x:v>
      </x:c>
      <x:c r="C626" t="str">
        <x:v>PHYSICAL</x:v>
      </x:c>
      <x:c r="D626" t="str">
        <x:v>terrain geometry</x:v>
      </x:c>
      <x:c r="E626" t="n">
        <x:f>IF('Terrain Field'!J146&lt;&gt;"",1,0)</x:f>
        <x:v>0</x:v>
      </x:c>
      <x:c r="F626" t="n">
        <x:v>1</x:v>
      </x:c>
      <x:c r="G626" t="str">
        <x:v>equals</x:v>
      </x:c>
      <x:c r="H626" t="str">
        <x:v>independent physical acceptance</x:v>
      </x:c>
      <x:c r="I626" t="str">
        <x:f>IF(E626=1,"PASS","OPEN")</x:f>
        <x:v>OPEN</x:v>
      </x:c>
    </x:row>
    <x:row r="627">
      <x:c r="B627" t="str">
        <x:v>PH-TG-140-L</x:v>
      </x:c>
      <x:c r="C627" t="str">
        <x:v>PHYSICAL</x:v>
      </x:c>
      <x:c r="D627" t="str">
        <x:v>terrain load</x:v>
      </x:c>
      <x:c r="E627" t="n">
        <x:f>IF('Terrain Field'!K146&lt;&gt;"",1,0)</x:f>
        <x:v>0</x:v>
      </x:c>
      <x:c r="F627" t="n">
        <x:v>1</x:v>
      </x:c>
      <x:c r="G627" t="str">
        <x:v>equals</x:v>
      </x:c>
      <x:c r="H627" t="str">
        <x:v>independent physical acceptance</x:v>
      </x:c>
      <x:c r="I627" t="str">
        <x:f>IF(E627=1,"PASS","OPEN")</x:f>
        <x:v>OPEN</x:v>
      </x:c>
    </x:row>
    <x:row r="628">
      <x:c r="B628" t="str">
        <x:v>PH-TG-141-G</x:v>
      </x:c>
      <x:c r="C628" t="str">
        <x:v>PHYSICAL</x:v>
      </x:c>
      <x:c r="D628" t="str">
        <x:v>terrain geometry</x:v>
      </x:c>
      <x:c r="E628" t="n">
        <x:f>IF('Terrain Field'!J147&lt;&gt;"",1,0)</x:f>
        <x:v>0</x:v>
      </x:c>
      <x:c r="F628" t="n">
        <x:v>1</x:v>
      </x:c>
      <x:c r="G628" t="str">
        <x:v>equals</x:v>
      </x:c>
      <x:c r="H628" t="str">
        <x:v>independent physical acceptance</x:v>
      </x:c>
      <x:c r="I628" t="str">
        <x:f>IF(E628=1,"PASS","OPEN")</x:f>
        <x:v>OPEN</x:v>
      </x:c>
    </x:row>
    <x:row r="629">
      <x:c r="B629" t="str">
        <x:v>PH-TG-141-L</x:v>
      </x:c>
      <x:c r="C629" t="str">
        <x:v>PHYSICAL</x:v>
      </x:c>
      <x:c r="D629" t="str">
        <x:v>terrain load</x:v>
      </x:c>
      <x:c r="E629" t="n">
        <x:f>IF('Terrain Field'!K147&lt;&gt;"",1,0)</x:f>
        <x:v>0</x:v>
      </x:c>
      <x:c r="F629" t="n">
        <x:v>1</x:v>
      </x:c>
      <x:c r="G629" t="str">
        <x:v>equals</x:v>
      </x:c>
      <x:c r="H629" t="str">
        <x:v>independent physical acceptance</x:v>
      </x:c>
      <x:c r="I629" t="str">
        <x:f>IF(E629=1,"PASS","OPEN")</x:f>
        <x:v>OPEN</x:v>
      </x:c>
    </x:row>
    <x:row r="630">
      <x:c r="B630" t="str">
        <x:v>PH-TG-142-G</x:v>
      </x:c>
      <x:c r="C630" t="str">
        <x:v>PHYSICAL</x:v>
      </x:c>
      <x:c r="D630" t="str">
        <x:v>terrain geometry</x:v>
      </x:c>
      <x:c r="E630" t="n">
        <x:f>IF('Terrain Field'!J148&lt;&gt;"",1,0)</x:f>
        <x:v>0</x:v>
      </x:c>
      <x:c r="F630" t="n">
        <x:v>1</x:v>
      </x:c>
      <x:c r="G630" t="str">
        <x:v>equals</x:v>
      </x:c>
      <x:c r="H630" t="str">
        <x:v>independent physical acceptance</x:v>
      </x:c>
      <x:c r="I630" t="str">
        <x:f>IF(E630=1,"PASS","OPEN")</x:f>
        <x:v>OPEN</x:v>
      </x:c>
    </x:row>
    <x:row r="631">
      <x:c r="B631" t="str">
        <x:v>PH-TG-142-L</x:v>
      </x:c>
      <x:c r="C631" t="str">
        <x:v>PHYSICAL</x:v>
      </x:c>
      <x:c r="D631" t="str">
        <x:v>terrain load</x:v>
      </x:c>
      <x:c r="E631" t="n">
        <x:f>IF('Terrain Field'!K148&lt;&gt;"",1,0)</x:f>
        <x:v>0</x:v>
      </x:c>
      <x:c r="F631" t="n">
        <x:v>1</x:v>
      </x:c>
      <x:c r="G631" t="str">
        <x:v>equals</x:v>
      </x:c>
      <x:c r="H631" t="str">
        <x:v>independent physical acceptance</x:v>
      </x:c>
      <x:c r="I631" t="str">
        <x:f>IF(E631=1,"PASS","OPEN")</x:f>
        <x:v>OPEN</x:v>
      </x:c>
    </x:row>
    <x:row r="632">
      <x:c r="B632" t="str">
        <x:v>PH-TG-143-G</x:v>
      </x:c>
      <x:c r="C632" t="str">
        <x:v>PHYSICAL</x:v>
      </x:c>
      <x:c r="D632" t="str">
        <x:v>terrain geometry</x:v>
      </x:c>
      <x:c r="E632" t="n">
        <x:f>IF('Terrain Field'!J149&lt;&gt;"",1,0)</x:f>
        <x:v>0</x:v>
      </x:c>
      <x:c r="F632" t="n">
        <x:v>1</x:v>
      </x:c>
      <x:c r="G632" t="str">
        <x:v>equals</x:v>
      </x:c>
      <x:c r="H632" t="str">
        <x:v>independent physical acceptance</x:v>
      </x:c>
      <x:c r="I632" t="str">
        <x:f>IF(E632=1,"PASS","OPEN")</x:f>
        <x:v>OPEN</x:v>
      </x:c>
    </x:row>
    <x:row r="633">
      <x:c r="B633" t="str">
        <x:v>PH-TG-143-L</x:v>
      </x:c>
      <x:c r="C633" t="str">
        <x:v>PHYSICAL</x:v>
      </x:c>
      <x:c r="D633" t="str">
        <x:v>terrain load</x:v>
      </x:c>
      <x:c r="E633" t="n">
        <x:f>IF('Terrain Field'!K149&lt;&gt;"",1,0)</x:f>
        <x:v>0</x:v>
      </x:c>
      <x:c r="F633" t="n">
        <x:v>1</x:v>
      </x:c>
      <x:c r="G633" t="str">
        <x:v>equals</x:v>
      </x:c>
      <x:c r="H633" t="str">
        <x:v>independent physical acceptance</x:v>
      </x:c>
      <x:c r="I633" t="str">
        <x:f>IF(E633=1,"PASS","OPEN")</x:f>
        <x:v>OPEN</x:v>
      </x:c>
    </x:row>
    <x:row r="634">
      <x:c r="B634" t="str">
        <x:v>PH-TG-144-G</x:v>
      </x:c>
      <x:c r="C634" t="str">
        <x:v>PHYSICAL</x:v>
      </x:c>
      <x:c r="D634" t="str">
        <x:v>terrain geometry</x:v>
      </x:c>
      <x:c r="E634" t="n">
        <x:f>IF('Terrain Field'!J150&lt;&gt;"",1,0)</x:f>
        <x:v>0</x:v>
      </x:c>
      <x:c r="F634" t="n">
        <x:v>1</x:v>
      </x:c>
      <x:c r="G634" t="str">
        <x:v>equals</x:v>
      </x:c>
      <x:c r="H634" t="str">
        <x:v>independent physical acceptance</x:v>
      </x:c>
      <x:c r="I634" t="str">
        <x:f>IF(E634=1,"PASS","OPEN")</x:f>
        <x:v>OPEN</x:v>
      </x:c>
    </x:row>
    <x:row r="635">
      <x:c r="B635" t="str">
        <x:v>PH-TG-144-L</x:v>
      </x:c>
      <x:c r="C635" t="str">
        <x:v>PHYSICAL</x:v>
      </x:c>
      <x:c r="D635" t="str">
        <x:v>terrain load</x:v>
      </x:c>
      <x:c r="E635" t="n">
        <x:f>IF('Terrain Field'!K150&lt;&gt;"",1,0)</x:f>
        <x:v>0</x:v>
      </x:c>
      <x:c r="F635" t="n">
        <x:v>1</x:v>
      </x:c>
      <x:c r="G635" t="str">
        <x:v>equals</x:v>
      </x:c>
      <x:c r="H635" t="str">
        <x:v>independent physical acceptance</x:v>
      </x:c>
      <x:c r="I635" t="str">
        <x:f>IF(E635=1,"PASS","OPEN")</x:f>
        <x:v>OPEN</x:v>
      </x:c>
    </x:row>
    <x:row r="636">
      <x:c r="B636" t="str">
        <x:v>PH-TG-145-G</x:v>
      </x:c>
      <x:c r="C636" t="str">
        <x:v>PHYSICAL</x:v>
      </x:c>
      <x:c r="D636" t="str">
        <x:v>terrain geometry</x:v>
      </x:c>
      <x:c r="E636" t="n">
        <x:f>IF('Terrain Field'!J151&lt;&gt;"",1,0)</x:f>
        <x:v>0</x:v>
      </x:c>
      <x:c r="F636" t="n">
        <x:v>1</x:v>
      </x:c>
      <x:c r="G636" t="str">
        <x:v>equals</x:v>
      </x:c>
      <x:c r="H636" t="str">
        <x:v>independent physical acceptance</x:v>
      </x:c>
      <x:c r="I636" t="str">
        <x:f>IF(E636=1,"PASS","OPEN")</x:f>
        <x:v>OPEN</x:v>
      </x:c>
    </x:row>
    <x:row r="637">
      <x:c r="B637" t="str">
        <x:v>PH-TG-145-L</x:v>
      </x:c>
      <x:c r="C637" t="str">
        <x:v>PHYSICAL</x:v>
      </x:c>
      <x:c r="D637" t="str">
        <x:v>terrain load</x:v>
      </x:c>
      <x:c r="E637" t="n">
        <x:f>IF('Terrain Field'!K151&lt;&gt;"",1,0)</x:f>
        <x:v>0</x:v>
      </x:c>
      <x:c r="F637" t="n">
        <x:v>1</x:v>
      </x:c>
      <x:c r="G637" t="str">
        <x:v>equals</x:v>
      </x:c>
      <x:c r="H637" t="str">
        <x:v>independent physical acceptance</x:v>
      </x:c>
      <x:c r="I637" t="str">
        <x:f>IF(E637=1,"PASS","OPEN")</x:f>
        <x:v>OPEN</x:v>
      </x:c>
    </x:row>
    <x:row r="638">
      <x:c r="B638" t="str">
        <x:v>PH-TG-146-G</x:v>
      </x:c>
      <x:c r="C638" t="str">
        <x:v>PHYSICAL</x:v>
      </x:c>
      <x:c r="D638" t="str">
        <x:v>terrain geometry</x:v>
      </x:c>
      <x:c r="E638" t="n">
        <x:f>IF('Terrain Field'!J152&lt;&gt;"",1,0)</x:f>
        <x:v>0</x:v>
      </x:c>
      <x:c r="F638" t="n">
        <x:v>1</x:v>
      </x:c>
      <x:c r="G638" t="str">
        <x:v>equals</x:v>
      </x:c>
      <x:c r="H638" t="str">
        <x:v>independent physical acceptance</x:v>
      </x:c>
      <x:c r="I638" t="str">
        <x:f>IF(E638=1,"PASS","OPEN")</x:f>
        <x:v>OPEN</x:v>
      </x:c>
    </x:row>
    <x:row r="639">
      <x:c r="B639" t="str">
        <x:v>PH-TG-146-L</x:v>
      </x:c>
      <x:c r="C639" t="str">
        <x:v>PHYSICAL</x:v>
      </x:c>
      <x:c r="D639" t="str">
        <x:v>terrain load</x:v>
      </x:c>
      <x:c r="E639" t="n">
        <x:f>IF('Terrain Field'!K152&lt;&gt;"",1,0)</x:f>
        <x:v>0</x:v>
      </x:c>
      <x:c r="F639" t="n">
        <x:v>1</x:v>
      </x:c>
      <x:c r="G639" t="str">
        <x:v>equals</x:v>
      </x:c>
      <x:c r="H639" t="str">
        <x:v>independent physical acceptance</x:v>
      </x:c>
      <x:c r="I639" t="str">
        <x:f>IF(E639=1,"PASS","OPEN")</x:f>
        <x:v>OPEN</x:v>
      </x:c>
    </x:row>
    <x:row r="640">
      <x:c r="B640" t="str">
        <x:v>PH-TG-147-G</x:v>
      </x:c>
      <x:c r="C640" t="str">
        <x:v>PHYSICAL</x:v>
      </x:c>
      <x:c r="D640" t="str">
        <x:v>terrain geometry</x:v>
      </x:c>
      <x:c r="E640" t="n">
        <x:f>IF('Terrain Field'!J153&lt;&gt;"",1,0)</x:f>
        <x:v>0</x:v>
      </x:c>
      <x:c r="F640" t="n">
        <x:v>1</x:v>
      </x:c>
      <x:c r="G640" t="str">
        <x:v>equals</x:v>
      </x:c>
      <x:c r="H640" t="str">
        <x:v>independent physical acceptance</x:v>
      </x:c>
      <x:c r="I640" t="str">
        <x:f>IF(E640=1,"PASS","OPEN")</x:f>
        <x:v>OPEN</x:v>
      </x:c>
    </x:row>
    <x:row r="641">
      <x:c r="B641" t="str">
        <x:v>PH-TG-147-L</x:v>
      </x:c>
      <x:c r="C641" t="str">
        <x:v>PHYSICAL</x:v>
      </x:c>
      <x:c r="D641" t="str">
        <x:v>terrain load</x:v>
      </x:c>
      <x:c r="E641" t="n">
        <x:f>IF('Terrain Field'!K153&lt;&gt;"",1,0)</x:f>
        <x:v>0</x:v>
      </x:c>
      <x:c r="F641" t="n">
        <x:v>1</x:v>
      </x:c>
      <x:c r="G641" t="str">
        <x:v>equals</x:v>
      </x:c>
      <x:c r="H641" t="str">
        <x:v>independent physical acceptance</x:v>
      </x:c>
      <x:c r="I641" t="str">
        <x:f>IF(E641=1,"PASS","OPEN")</x:f>
        <x:v>OPEN</x:v>
      </x:c>
    </x:row>
    <x:row r="642">
      <x:c r="B642" t="str">
        <x:v>PH-TG-148-G</x:v>
      </x:c>
      <x:c r="C642" t="str">
        <x:v>PHYSICAL</x:v>
      </x:c>
      <x:c r="D642" t="str">
        <x:v>terrain geometry</x:v>
      </x:c>
      <x:c r="E642" t="n">
        <x:f>IF('Terrain Field'!J154&lt;&gt;"",1,0)</x:f>
        <x:v>0</x:v>
      </x:c>
      <x:c r="F642" t="n">
        <x:v>1</x:v>
      </x:c>
      <x:c r="G642" t="str">
        <x:v>equals</x:v>
      </x:c>
      <x:c r="H642" t="str">
        <x:v>independent physical acceptance</x:v>
      </x:c>
      <x:c r="I642" t="str">
        <x:f>IF(E642=1,"PASS","OPEN")</x:f>
        <x:v>OPEN</x:v>
      </x:c>
    </x:row>
    <x:row r="643">
      <x:c r="B643" t="str">
        <x:v>PH-TG-148-L</x:v>
      </x:c>
      <x:c r="C643" t="str">
        <x:v>PHYSICAL</x:v>
      </x:c>
      <x:c r="D643" t="str">
        <x:v>terrain load</x:v>
      </x:c>
      <x:c r="E643" t="n">
        <x:f>IF('Terrain Field'!K154&lt;&gt;"",1,0)</x:f>
        <x:v>0</x:v>
      </x:c>
      <x:c r="F643" t="n">
        <x:v>1</x:v>
      </x:c>
      <x:c r="G643" t="str">
        <x:v>equals</x:v>
      </x:c>
      <x:c r="H643" t="str">
        <x:v>independent physical acceptance</x:v>
      </x:c>
      <x:c r="I643" t="str">
        <x:f>IF(E643=1,"PASS","OPEN")</x:f>
        <x:v>OPEN</x:v>
      </x:c>
    </x:row>
    <x:row r="644">
      <x:c r="B644" t="str">
        <x:v>PH-TG-149-G</x:v>
      </x:c>
      <x:c r="C644" t="str">
        <x:v>PHYSICAL</x:v>
      </x:c>
      <x:c r="D644" t="str">
        <x:v>terrain geometry</x:v>
      </x:c>
      <x:c r="E644" t="n">
        <x:f>IF('Terrain Field'!J155&lt;&gt;"",1,0)</x:f>
        <x:v>0</x:v>
      </x:c>
      <x:c r="F644" t="n">
        <x:v>1</x:v>
      </x:c>
      <x:c r="G644" t="str">
        <x:v>equals</x:v>
      </x:c>
      <x:c r="H644" t="str">
        <x:v>independent physical acceptance</x:v>
      </x:c>
      <x:c r="I644" t="str">
        <x:f>IF(E644=1,"PASS","OPEN")</x:f>
        <x:v>OPEN</x:v>
      </x:c>
    </x:row>
    <x:row r="645">
      <x:c r="B645" t="str">
        <x:v>PH-TG-149-L</x:v>
      </x:c>
      <x:c r="C645" t="str">
        <x:v>PHYSICAL</x:v>
      </x:c>
      <x:c r="D645" t="str">
        <x:v>terrain load</x:v>
      </x:c>
      <x:c r="E645" t="n">
        <x:f>IF('Terrain Field'!K155&lt;&gt;"",1,0)</x:f>
        <x:v>0</x:v>
      </x:c>
      <x:c r="F645" t="n">
        <x:v>1</x:v>
      </x:c>
      <x:c r="G645" t="str">
        <x:v>equals</x:v>
      </x:c>
      <x:c r="H645" t="str">
        <x:v>independent physical acceptance</x:v>
      </x:c>
      <x:c r="I645" t="str">
        <x:f>IF(E645=1,"PASS","OPEN")</x:f>
        <x:v>OPEN</x:v>
      </x:c>
    </x:row>
    <x:row r="646">
      <x:c r="B646" t="str">
        <x:v>PH-TG-150-G</x:v>
      </x:c>
      <x:c r="C646" t="str">
        <x:v>PHYSICAL</x:v>
      </x:c>
      <x:c r="D646" t="str">
        <x:v>terrain geometry</x:v>
      </x:c>
      <x:c r="E646" t="n">
        <x:f>IF('Terrain Field'!J156&lt;&gt;"",1,0)</x:f>
        <x:v>0</x:v>
      </x:c>
      <x:c r="F646" t="n">
        <x:v>1</x:v>
      </x:c>
      <x:c r="G646" t="str">
        <x:v>equals</x:v>
      </x:c>
      <x:c r="H646" t="str">
        <x:v>independent physical acceptance</x:v>
      </x:c>
      <x:c r="I646" t="str">
        <x:f>IF(E646=1,"PASS","OPEN")</x:f>
        <x:v>OPEN</x:v>
      </x:c>
    </x:row>
    <x:row r="647">
      <x:c r="B647" t="str">
        <x:v>PH-TG-150-L</x:v>
      </x:c>
      <x:c r="C647" t="str">
        <x:v>PHYSICAL</x:v>
      </x:c>
      <x:c r="D647" t="str">
        <x:v>terrain load</x:v>
      </x:c>
      <x:c r="E647" t="n">
        <x:f>IF('Terrain Field'!K156&lt;&gt;"",1,0)</x:f>
        <x:v>0</x:v>
      </x:c>
      <x:c r="F647" t="n">
        <x:v>1</x:v>
      </x:c>
      <x:c r="G647" t="str">
        <x:v>equals</x:v>
      </x:c>
      <x:c r="H647" t="str">
        <x:v>independent physical acceptance</x:v>
      </x:c>
      <x:c r="I647" t="str">
        <x:f>IF(E647=1,"PASS","OPEN")</x:f>
        <x:v>OPEN</x:v>
      </x:c>
    </x:row>
    <x:row r="648">
      <x:c r="B648" t="str">
        <x:v>PH-TG-151-G</x:v>
      </x:c>
      <x:c r="C648" t="str">
        <x:v>PHYSICAL</x:v>
      </x:c>
      <x:c r="D648" t="str">
        <x:v>terrain geometry</x:v>
      </x:c>
      <x:c r="E648" t="n">
        <x:f>IF('Terrain Field'!J157&lt;&gt;"",1,0)</x:f>
        <x:v>0</x:v>
      </x:c>
      <x:c r="F648" t="n">
        <x:v>1</x:v>
      </x:c>
      <x:c r="G648" t="str">
        <x:v>equals</x:v>
      </x:c>
      <x:c r="H648" t="str">
        <x:v>independent physical acceptance</x:v>
      </x:c>
      <x:c r="I648" t="str">
        <x:f>IF(E648=1,"PASS","OPEN")</x:f>
        <x:v>OPEN</x:v>
      </x:c>
    </x:row>
    <x:row r="649">
      <x:c r="B649" t="str">
        <x:v>PH-TG-151-L</x:v>
      </x:c>
      <x:c r="C649" t="str">
        <x:v>PHYSICAL</x:v>
      </x:c>
      <x:c r="D649" t="str">
        <x:v>terrain load</x:v>
      </x:c>
      <x:c r="E649" t="n">
        <x:f>IF('Terrain Field'!K157&lt;&gt;"",1,0)</x:f>
        <x:v>0</x:v>
      </x:c>
      <x:c r="F649" t="n">
        <x:v>1</x:v>
      </x:c>
      <x:c r="G649" t="str">
        <x:v>equals</x:v>
      </x:c>
      <x:c r="H649" t="str">
        <x:v>independent physical acceptance</x:v>
      </x:c>
      <x:c r="I649" t="str">
        <x:f>IF(E649=1,"PASS","OPEN")</x:f>
        <x:v>OPEN</x:v>
      </x:c>
    </x:row>
    <x:row r="650">
      <x:c r="B650" t="str">
        <x:v>PH-TG-152-G</x:v>
      </x:c>
      <x:c r="C650" t="str">
        <x:v>PHYSICAL</x:v>
      </x:c>
      <x:c r="D650" t="str">
        <x:v>terrain geometry</x:v>
      </x:c>
      <x:c r="E650" t="n">
        <x:f>IF('Terrain Field'!J158&lt;&gt;"",1,0)</x:f>
        <x:v>0</x:v>
      </x:c>
      <x:c r="F650" t="n">
        <x:v>1</x:v>
      </x:c>
      <x:c r="G650" t="str">
        <x:v>equals</x:v>
      </x:c>
      <x:c r="H650" t="str">
        <x:v>independent physical acceptance</x:v>
      </x:c>
      <x:c r="I650" t="str">
        <x:f>IF(E650=1,"PASS","OPEN")</x:f>
        <x:v>OPEN</x:v>
      </x:c>
    </x:row>
    <x:row r="651">
      <x:c r="B651" t="str">
        <x:v>PH-TG-152-L</x:v>
      </x:c>
      <x:c r="C651" t="str">
        <x:v>PHYSICAL</x:v>
      </x:c>
      <x:c r="D651" t="str">
        <x:v>terrain load</x:v>
      </x:c>
      <x:c r="E651" t="n">
        <x:f>IF('Terrain Field'!K158&lt;&gt;"",1,0)</x:f>
        <x:v>0</x:v>
      </x:c>
      <x:c r="F651" t="n">
        <x:v>1</x:v>
      </x:c>
      <x:c r="G651" t="str">
        <x:v>equals</x:v>
      </x:c>
      <x:c r="H651" t="str">
        <x:v>independent physical acceptance</x:v>
      </x:c>
      <x:c r="I651" t="str">
        <x:f>IF(E651=1,"PASS","OPEN")</x:f>
        <x:v>OPEN</x:v>
      </x:c>
    </x:row>
    <x:row r="652">
      <x:c r="B652" t="str">
        <x:v>PH-TG-153-G</x:v>
      </x:c>
      <x:c r="C652" t="str">
        <x:v>PHYSICAL</x:v>
      </x:c>
      <x:c r="D652" t="str">
        <x:v>terrain geometry</x:v>
      </x:c>
      <x:c r="E652" t="n">
        <x:f>IF('Terrain Field'!J159&lt;&gt;"",1,0)</x:f>
        <x:v>0</x:v>
      </x:c>
      <x:c r="F652" t="n">
        <x:v>1</x:v>
      </x:c>
      <x:c r="G652" t="str">
        <x:v>equals</x:v>
      </x:c>
      <x:c r="H652" t="str">
        <x:v>independent physical acceptance</x:v>
      </x:c>
      <x:c r="I652" t="str">
        <x:f>IF(E652=1,"PASS","OPEN")</x:f>
        <x:v>OPEN</x:v>
      </x:c>
    </x:row>
    <x:row r="653">
      <x:c r="B653" t="str">
        <x:v>PH-TG-153-L</x:v>
      </x:c>
      <x:c r="C653" t="str">
        <x:v>PHYSICAL</x:v>
      </x:c>
      <x:c r="D653" t="str">
        <x:v>terrain load</x:v>
      </x:c>
      <x:c r="E653" t="n">
        <x:f>IF('Terrain Field'!K159&lt;&gt;"",1,0)</x:f>
        <x:v>0</x:v>
      </x:c>
      <x:c r="F653" t="n">
        <x:v>1</x:v>
      </x:c>
      <x:c r="G653" t="str">
        <x:v>equals</x:v>
      </x:c>
      <x:c r="H653" t="str">
        <x:v>independent physical acceptance</x:v>
      </x:c>
      <x:c r="I653" t="str">
        <x:f>IF(E653=1,"PASS","OPEN")</x:f>
        <x:v>OPEN</x:v>
      </x:c>
    </x:row>
    <x:row r="654">
      <x:c r="B654" t="str">
        <x:v>PH-TG-154-G</x:v>
      </x:c>
      <x:c r="C654" t="str">
        <x:v>PHYSICAL</x:v>
      </x:c>
      <x:c r="D654" t="str">
        <x:v>terrain geometry</x:v>
      </x:c>
      <x:c r="E654" t="n">
        <x:f>IF('Terrain Field'!J160&lt;&gt;"",1,0)</x:f>
        <x:v>0</x:v>
      </x:c>
      <x:c r="F654" t="n">
        <x:v>1</x:v>
      </x:c>
      <x:c r="G654" t="str">
        <x:v>equals</x:v>
      </x:c>
      <x:c r="H654" t="str">
        <x:v>independent physical acceptance</x:v>
      </x:c>
      <x:c r="I654" t="str">
        <x:f>IF(E654=1,"PASS","OPEN")</x:f>
        <x:v>OPEN</x:v>
      </x:c>
    </x:row>
    <x:row r="655">
      <x:c r="B655" t="str">
        <x:v>PH-TG-154-L</x:v>
      </x:c>
      <x:c r="C655" t="str">
        <x:v>PHYSICAL</x:v>
      </x:c>
      <x:c r="D655" t="str">
        <x:v>terrain load</x:v>
      </x:c>
      <x:c r="E655" t="n">
        <x:f>IF('Terrain Field'!K160&lt;&gt;"",1,0)</x:f>
        <x:v>0</x:v>
      </x:c>
      <x:c r="F655" t="n">
        <x:v>1</x:v>
      </x:c>
      <x:c r="G655" t="str">
        <x:v>equals</x:v>
      </x:c>
      <x:c r="H655" t="str">
        <x:v>independent physical acceptance</x:v>
      </x:c>
      <x:c r="I655" t="str">
        <x:f>IF(E655=1,"PASS","OPEN")</x:f>
        <x:v>OPEN</x:v>
      </x:c>
    </x:row>
    <x:row r="656">
      <x:c r="B656" t="str">
        <x:v>PH-TG-155-G</x:v>
      </x:c>
      <x:c r="C656" t="str">
        <x:v>PHYSICAL</x:v>
      </x:c>
      <x:c r="D656" t="str">
        <x:v>terrain geometry</x:v>
      </x:c>
      <x:c r="E656" t="n">
        <x:f>IF('Terrain Field'!J161&lt;&gt;"",1,0)</x:f>
        <x:v>0</x:v>
      </x:c>
      <x:c r="F656" t="n">
        <x:v>1</x:v>
      </x:c>
      <x:c r="G656" t="str">
        <x:v>equals</x:v>
      </x:c>
      <x:c r="H656" t="str">
        <x:v>independent physical acceptance</x:v>
      </x:c>
      <x:c r="I656" t="str">
        <x:f>IF(E656=1,"PASS","OPEN")</x:f>
        <x:v>OPEN</x:v>
      </x:c>
    </x:row>
    <x:row r="657">
      <x:c r="B657" t="str">
        <x:v>PH-TG-155-L</x:v>
      </x:c>
      <x:c r="C657" t="str">
        <x:v>PHYSICAL</x:v>
      </x:c>
      <x:c r="D657" t="str">
        <x:v>terrain load</x:v>
      </x:c>
      <x:c r="E657" t="n">
        <x:f>IF('Terrain Field'!K161&lt;&gt;"",1,0)</x:f>
        <x:v>0</x:v>
      </x:c>
      <x:c r="F657" t="n">
        <x:v>1</x:v>
      </x:c>
      <x:c r="G657" t="str">
        <x:v>equals</x:v>
      </x:c>
      <x:c r="H657" t="str">
        <x:v>independent physical acceptance</x:v>
      </x:c>
      <x:c r="I657" t="str">
        <x:f>IF(E657=1,"PASS","OPEN")</x:f>
        <x:v>OPEN</x:v>
      </x:c>
    </x:row>
    <x:row r="658">
      <x:c r="B658" t="str">
        <x:v>PH-TG-156-G</x:v>
      </x:c>
      <x:c r="C658" t="str">
        <x:v>PHYSICAL</x:v>
      </x:c>
      <x:c r="D658" t="str">
        <x:v>terrain geometry</x:v>
      </x:c>
      <x:c r="E658" t="n">
        <x:f>IF('Terrain Field'!J162&lt;&gt;"",1,0)</x:f>
        <x:v>0</x:v>
      </x:c>
      <x:c r="F658" t="n">
        <x:v>1</x:v>
      </x:c>
      <x:c r="G658" t="str">
        <x:v>equals</x:v>
      </x:c>
      <x:c r="H658" t="str">
        <x:v>independent physical acceptance</x:v>
      </x:c>
      <x:c r="I658" t="str">
        <x:f>IF(E658=1,"PASS","OPEN")</x:f>
        <x:v>OPEN</x:v>
      </x:c>
    </x:row>
    <x:row r="659">
      <x:c r="B659" t="str">
        <x:v>PH-TG-156-L</x:v>
      </x:c>
      <x:c r="C659" t="str">
        <x:v>PHYSICAL</x:v>
      </x:c>
      <x:c r="D659" t="str">
        <x:v>terrain load</x:v>
      </x:c>
      <x:c r="E659" t="n">
        <x:f>IF('Terrain Field'!K162&lt;&gt;"",1,0)</x:f>
        <x:v>0</x:v>
      </x:c>
      <x:c r="F659" t="n">
        <x:v>1</x:v>
      </x:c>
      <x:c r="G659" t="str">
        <x:v>equals</x:v>
      </x:c>
      <x:c r="H659" t="str">
        <x:v>independent physical acceptance</x:v>
      </x:c>
      <x:c r="I659" t="str">
        <x:f>IF(E659=1,"PASS","OPEN")</x:f>
        <x:v>OPEN</x:v>
      </x:c>
    </x:row>
    <x:row r="660">
      <x:c r="B660" t="str">
        <x:v>PH-TG-157-G</x:v>
      </x:c>
      <x:c r="C660" t="str">
        <x:v>PHYSICAL</x:v>
      </x:c>
      <x:c r="D660" t="str">
        <x:v>terrain geometry</x:v>
      </x:c>
      <x:c r="E660" t="n">
        <x:f>IF('Terrain Field'!J163&lt;&gt;"",1,0)</x:f>
        <x:v>0</x:v>
      </x:c>
      <x:c r="F660" t="n">
        <x:v>1</x:v>
      </x:c>
      <x:c r="G660" t="str">
        <x:v>equals</x:v>
      </x:c>
      <x:c r="H660" t="str">
        <x:v>independent physical acceptance</x:v>
      </x:c>
      <x:c r="I660" t="str">
        <x:f>IF(E660=1,"PASS","OPEN")</x:f>
        <x:v>OPEN</x:v>
      </x:c>
    </x:row>
    <x:row r="661">
      <x:c r="B661" t="str">
        <x:v>PH-TG-157-L</x:v>
      </x:c>
      <x:c r="C661" t="str">
        <x:v>PHYSICAL</x:v>
      </x:c>
      <x:c r="D661" t="str">
        <x:v>terrain load</x:v>
      </x:c>
      <x:c r="E661" t="n">
        <x:f>IF('Terrain Field'!K163&lt;&gt;"",1,0)</x:f>
        <x:v>0</x:v>
      </x:c>
      <x:c r="F661" t="n">
        <x:v>1</x:v>
      </x:c>
      <x:c r="G661" t="str">
        <x:v>equals</x:v>
      </x:c>
      <x:c r="H661" t="str">
        <x:v>independent physical acceptance</x:v>
      </x:c>
      <x:c r="I661" t="str">
        <x:f>IF(E661=1,"PASS","OPEN")</x:f>
        <x:v>OPEN</x:v>
      </x:c>
    </x:row>
    <x:row r="662">
      <x:c r="B662" t="str">
        <x:v>PH-TG-158-G</x:v>
      </x:c>
      <x:c r="C662" t="str">
        <x:v>PHYSICAL</x:v>
      </x:c>
      <x:c r="D662" t="str">
        <x:v>terrain geometry</x:v>
      </x:c>
      <x:c r="E662" t="n">
        <x:f>IF('Terrain Field'!J164&lt;&gt;"",1,0)</x:f>
        <x:v>0</x:v>
      </x:c>
      <x:c r="F662" t="n">
        <x:v>1</x:v>
      </x:c>
      <x:c r="G662" t="str">
        <x:v>equals</x:v>
      </x:c>
      <x:c r="H662" t="str">
        <x:v>independent physical acceptance</x:v>
      </x:c>
      <x:c r="I662" t="str">
        <x:f>IF(E662=1,"PASS","OPEN")</x:f>
        <x:v>OPEN</x:v>
      </x:c>
    </x:row>
    <x:row r="663">
      <x:c r="B663" t="str">
        <x:v>PH-TG-158-L</x:v>
      </x:c>
      <x:c r="C663" t="str">
        <x:v>PHYSICAL</x:v>
      </x:c>
      <x:c r="D663" t="str">
        <x:v>terrain load</x:v>
      </x:c>
      <x:c r="E663" t="n">
        <x:f>IF('Terrain Field'!K164&lt;&gt;"",1,0)</x:f>
        <x:v>0</x:v>
      </x:c>
      <x:c r="F663" t="n">
        <x:v>1</x:v>
      </x:c>
      <x:c r="G663" t="str">
        <x:v>equals</x:v>
      </x:c>
      <x:c r="H663" t="str">
        <x:v>independent physical acceptance</x:v>
      </x:c>
      <x:c r="I663" t="str">
        <x:f>IF(E663=1,"PASS","OPEN")</x:f>
        <x:v>OPEN</x:v>
      </x:c>
    </x:row>
    <x:row r="664">
      <x:c r="B664" t="str">
        <x:v>PH-TG-159-G</x:v>
      </x:c>
      <x:c r="C664" t="str">
        <x:v>PHYSICAL</x:v>
      </x:c>
      <x:c r="D664" t="str">
        <x:v>terrain geometry</x:v>
      </x:c>
      <x:c r="E664" t="n">
        <x:f>IF('Terrain Field'!J165&lt;&gt;"",1,0)</x:f>
        <x:v>0</x:v>
      </x:c>
      <x:c r="F664" t="n">
        <x:v>1</x:v>
      </x:c>
      <x:c r="G664" t="str">
        <x:v>equals</x:v>
      </x:c>
      <x:c r="H664" t="str">
        <x:v>independent physical acceptance</x:v>
      </x:c>
      <x:c r="I664" t="str">
        <x:f>IF(E664=1,"PASS","OPEN")</x:f>
        <x:v>OPEN</x:v>
      </x:c>
    </x:row>
    <x:row r="665">
      <x:c r="B665" t="str">
        <x:v>PH-TG-159-L</x:v>
      </x:c>
      <x:c r="C665" t="str">
        <x:v>PHYSICAL</x:v>
      </x:c>
      <x:c r="D665" t="str">
        <x:v>terrain load</x:v>
      </x:c>
      <x:c r="E665" t="n">
        <x:f>IF('Terrain Field'!K165&lt;&gt;"",1,0)</x:f>
        <x:v>0</x:v>
      </x:c>
      <x:c r="F665" t="n">
        <x:v>1</x:v>
      </x:c>
      <x:c r="G665" t="str">
        <x:v>equals</x:v>
      </x:c>
      <x:c r="H665" t="str">
        <x:v>independent physical acceptance</x:v>
      </x:c>
      <x:c r="I665" t="str">
        <x:f>IF(E665=1,"PASS","OPEN")</x:f>
        <x:v>OPEN</x:v>
      </x:c>
    </x:row>
    <x:row r="666">
      <x:c r="B666" t="str">
        <x:v>PH-TG-160-G</x:v>
      </x:c>
      <x:c r="C666" t="str">
        <x:v>PHYSICAL</x:v>
      </x:c>
      <x:c r="D666" t="str">
        <x:v>terrain geometry</x:v>
      </x:c>
      <x:c r="E666" t="n">
        <x:f>IF('Terrain Field'!J166&lt;&gt;"",1,0)</x:f>
        <x:v>0</x:v>
      </x:c>
      <x:c r="F666" t="n">
        <x:v>1</x:v>
      </x:c>
      <x:c r="G666" t="str">
        <x:v>equals</x:v>
      </x:c>
      <x:c r="H666" t="str">
        <x:v>independent physical acceptance</x:v>
      </x:c>
      <x:c r="I666" t="str">
        <x:f>IF(E666=1,"PASS","OPEN")</x:f>
        <x:v>OPEN</x:v>
      </x:c>
    </x:row>
    <x:row r="667">
      <x:c r="B667" t="str">
        <x:v>PH-TG-160-L</x:v>
      </x:c>
      <x:c r="C667" t="str">
        <x:v>PHYSICAL</x:v>
      </x:c>
      <x:c r="D667" t="str">
        <x:v>terrain load</x:v>
      </x:c>
      <x:c r="E667" t="n">
        <x:f>IF('Terrain Field'!K166&lt;&gt;"",1,0)</x:f>
        <x:v>0</x:v>
      </x:c>
      <x:c r="F667" t="n">
        <x:v>1</x:v>
      </x:c>
      <x:c r="G667" t="str">
        <x:v>equals</x:v>
      </x:c>
      <x:c r="H667" t="str">
        <x:v>independent physical acceptance</x:v>
      </x:c>
      <x:c r="I667" t="str">
        <x:f>IF(E667=1,"PASS","OPEN")</x:f>
        <x:v>OPEN</x:v>
      </x:c>
    </x:row>
    <x:row r="668">
      <x:c r="B668" t="str">
        <x:v>PH-TG-161-G</x:v>
      </x:c>
      <x:c r="C668" t="str">
        <x:v>PHYSICAL</x:v>
      </x:c>
      <x:c r="D668" t="str">
        <x:v>terrain geometry</x:v>
      </x:c>
      <x:c r="E668" t="n">
        <x:f>IF('Terrain Field'!J167&lt;&gt;"",1,0)</x:f>
        <x:v>0</x:v>
      </x:c>
      <x:c r="F668" t="n">
        <x:v>1</x:v>
      </x:c>
      <x:c r="G668" t="str">
        <x:v>equals</x:v>
      </x:c>
      <x:c r="H668" t="str">
        <x:v>independent physical acceptance</x:v>
      </x:c>
      <x:c r="I668" t="str">
        <x:f>IF(E668=1,"PASS","OPEN")</x:f>
        <x:v>OPEN</x:v>
      </x:c>
    </x:row>
    <x:row r="669">
      <x:c r="B669" t="str">
        <x:v>PH-TG-161-L</x:v>
      </x:c>
      <x:c r="C669" t="str">
        <x:v>PHYSICAL</x:v>
      </x:c>
      <x:c r="D669" t="str">
        <x:v>terrain load</x:v>
      </x:c>
      <x:c r="E669" t="n">
        <x:f>IF('Terrain Field'!K167&lt;&gt;"",1,0)</x:f>
        <x:v>0</x:v>
      </x:c>
      <x:c r="F669" t="n">
        <x:v>1</x:v>
      </x:c>
      <x:c r="G669" t="str">
        <x:v>equals</x:v>
      </x:c>
      <x:c r="H669" t="str">
        <x:v>independent physical acceptance</x:v>
      </x:c>
      <x:c r="I669" t="str">
        <x:f>IF(E669=1,"PASS","OPEN")</x:f>
        <x:v>OPEN</x:v>
      </x:c>
    </x:row>
    <x:row r="670">
      <x:c r="B670" t="str">
        <x:v>PH-TG-162-G</x:v>
      </x:c>
      <x:c r="C670" t="str">
        <x:v>PHYSICAL</x:v>
      </x:c>
      <x:c r="D670" t="str">
        <x:v>terrain geometry</x:v>
      </x:c>
      <x:c r="E670" t="n">
        <x:f>IF('Terrain Field'!J168&lt;&gt;"",1,0)</x:f>
        <x:v>0</x:v>
      </x:c>
      <x:c r="F670" t="n">
        <x:v>1</x:v>
      </x:c>
      <x:c r="G670" t="str">
        <x:v>equals</x:v>
      </x:c>
      <x:c r="H670" t="str">
        <x:v>independent physical acceptance</x:v>
      </x:c>
      <x:c r="I670" t="str">
        <x:f>IF(E670=1,"PASS","OPEN")</x:f>
        <x:v>OPEN</x:v>
      </x:c>
    </x:row>
    <x:row r="671">
      <x:c r="B671" t="str">
        <x:v>PH-TG-162-L</x:v>
      </x:c>
      <x:c r="C671" t="str">
        <x:v>PHYSICAL</x:v>
      </x:c>
      <x:c r="D671" t="str">
        <x:v>terrain load</x:v>
      </x:c>
      <x:c r="E671" t="n">
        <x:f>IF('Terrain Field'!K168&lt;&gt;"",1,0)</x:f>
        <x:v>0</x:v>
      </x:c>
      <x:c r="F671" t="n">
        <x:v>1</x:v>
      </x:c>
      <x:c r="G671" t="str">
        <x:v>equals</x:v>
      </x:c>
      <x:c r="H671" t="str">
        <x:v>independent physical acceptance</x:v>
      </x:c>
      <x:c r="I671" t="str">
        <x:f>IF(E671=1,"PASS","OPEN")</x:f>
        <x:v>OPEN</x:v>
      </x:c>
    </x:row>
    <x:row r="672">
      <x:c r="B672" t="str">
        <x:v>PH-TG-163-G</x:v>
      </x:c>
      <x:c r="C672" t="str">
        <x:v>PHYSICAL</x:v>
      </x:c>
      <x:c r="D672" t="str">
        <x:v>terrain geometry</x:v>
      </x:c>
      <x:c r="E672" t="n">
        <x:f>IF('Terrain Field'!J169&lt;&gt;"",1,0)</x:f>
        <x:v>0</x:v>
      </x:c>
      <x:c r="F672" t="n">
        <x:v>1</x:v>
      </x:c>
      <x:c r="G672" t="str">
        <x:v>equals</x:v>
      </x:c>
      <x:c r="H672" t="str">
        <x:v>independent physical acceptance</x:v>
      </x:c>
      <x:c r="I672" t="str">
        <x:f>IF(E672=1,"PASS","OPEN")</x:f>
        <x:v>OPEN</x:v>
      </x:c>
    </x:row>
    <x:row r="673">
      <x:c r="B673" t="str">
        <x:v>PH-TG-163-L</x:v>
      </x:c>
      <x:c r="C673" t="str">
        <x:v>PHYSICAL</x:v>
      </x:c>
      <x:c r="D673" t="str">
        <x:v>terrain load</x:v>
      </x:c>
      <x:c r="E673" t="n">
        <x:f>IF('Terrain Field'!K169&lt;&gt;"",1,0)</x:f>
        <x:v>0</x:v>
      </x:c>
      <x:c r="F673" t="n">
        <x:v>1</x:v>
      </x:c>
      <x:c r="G673" t="str">
        <x:v>equals</x:v>
      </x:c>
      <x:c r="H673" t="str">
        <x:v>independent physical acceptance</x:v>
      </x:c>
      <x:c r="I673" t="str">
        <x:f>IF(E673=1,"PASS","OPEN")</x:f>
        <x:v>OPEN</x:v>
      </x:c>
    </x:row>
    <x:row r="674">
      <x:c r="B674" t="str">
        <x:v>PH-TG-164-G</x:v>
      </x:c>
      <x:c r="C674" t="str">
        <x:v>PHYSICAL</x:v>
      </x:c>
      <x:c r="D674" t="str">
        <x:v>terrain geometry</x:v>
      </x:c>
      <x:c r="E674" t="n">
        <x:f>IF('Terrain Field'!J170&lt;&gt;"",1,0)</x:f>
        <x:v>0</x:v>
      </x:c>
      <x:c r="F674" t="n">
        <x:v>1</x:v>
      </x:c>
      <x:c r="G674" t="str">
        <x:v>equals</x:v>
      </x:c>
      <x:c r="H674" t="str">
        <x:v>independent physical acceptance</x:v>
      </x:c>
      <x:c r="I674" t="str">
        <x:f>IF(E674=1,"PASS","OPEN")</x:f>
        <x:v>OPEN</x:v>
      </x:c>
    </x:row>
    <x:row r="675">
      <x:c r="B675" t="str">
        <x:v>PH-TG-164-L</x:v>
      </x:c>
      <x:c r="C675" t="str">
        <x:v>PHYSICAL</x:v>
      </x:c>
      <x:c r="D675" t="str">
        <x:v>terrain load</x:v>
      </x:c>
      <x:c r="E675" t="n">
        <x:f>IF('Terrain Field'!K170&lt;&gt;"",1,0)</x:f>
        <x:v>0</x:v>
      </x:c>
      <x:c r="F675" t="n">
        <x:v>1</x:v>
      </x:c>
      <x:c r="G675" t="str">
        <x:v>equals</x:v>
      </x:c>
      <x:c r="H675" t="str">
        <x:v>independent physical acceptance</x:v>
      </x:c>
      <x:c r="I675" t="str">
        <x:f>IF(E675=1,"PASS","OPEN")</x:f>
        <x:v>OPEN</x:v>
      </x:c>
    </x:row>
    <x:row r="676">
      <x:c r="B676" t="str">
        <x:v>PH-TG-165-G</x:v>
      </x:c>
      <x:c r="C676" t="str">
        <x:v>PHYSICAL</x:v>
      </x:c>
      <x:c r="D676" t="str">
        <x:v>terrain geometry</x:v>
      </x:c>
      <x:c r="E676" t="n">
        <x:f>IF('Terrain Field'!J171&lt;&gt;"",1,0)</x:f>
        <x:v>0</x:v>
      </x:c>
      <x:c r="F676" t="n">
        <x:v>1</x:v>
      </x:c>
      <x:c r="G676" t="str">
        <x:v>equals</x:v>
      </x:c>
      <x:c r="H676" t="str">
        <x:v>independent physical acceptance</x:v>
      </x:c>
      <x:c r="I676" t="str">
        <x:f>IF(E676=1,"PASS","OPEN")</x:f>
        <x:v>OPEN</x:v>
      </x:c>
    </x:row>
    <x:row r="677">
      <x:c r="B677" t="str">
        <x:v>PH-TG-165-L</x:v>
      </x:c>
      <x:c r="C677" t="str">
        <x:v>PHYSICAL</x:v>
      </x:c>
      <x:c r="D677" t="str">
        <x:v>terrain load</x:v>
      </x:c>
      <x:c r="E677" t="n">
        <x:f>IF('Terrain Field'!K171&lt;&gt;"",1,0)</x:f>
        <x:v>0</x:v>
      </x:c>
      <x:c r="F677" t="n">
        <x:v>1</x:v>
      </x:c>
      <x:c r="G677" t="str">
        <x:v>equals</x:v>
      </x:c>
      <x:c r="H677" t="str">
        <x:v>independent physical acceptance</x:v>
      </x:c>
      <x:c r="I677" t="str">
        <x:f>IF(E677=1,"PASS","OPEN")</x:f>
        <x:v>OPEN</x:v>
      </x:c>
    </x:row>
    <x:row r="678">
      <x:c r="B678" t="str">
        <x:v>PH-TG-166-G</x:v>
      </x:c>
      <x:c r="C678" t="str">
        <x:v>PHYSICAL</x:v>
      </x:c>
      <x:c r="D678" t="str">
        <x:v>terrain geometry</x:v>
      </x:c>
      <x:c r="E678" t="n">
        <x:f>IF('Terrain Field'!J172&lt;&gt;"",1,0)</x:f>
        <x:v>0</x:v>
      </x:c>
      <x:c r="F678" t="n">
        <x:v>1</x:v>
      </x:c>
      <x:c r="G678" t="str">
        <x:v>equals</x:v>
      </x:c>
      <x:c r="H678" t="str">
        <x:v>independent physical acceptance</x:v>
      </x:c>
      <x:c r="I678" t="str">
        <x:f>IF(E678=1,"PASS","OPEN")</x:f>
        <x:v>OPEN</x:v>
      </x:c>
    </x:row>
    <x:row r="679">
      <x:c r="B679" t="str">
        <x:v>PH-TG-166-L</x:v>
      </x:c>
      <x:c r="C679" t="str">
        <x:v>PHYSICAL</x:v>
      </x:c>
      <x:c r="D679" t="str">
        <x:v>terrain load</x:v>
      </x:c>
      <x:c r="E679" t="n">
        <x:f>IF('Terrain Field'!K172&lt;&gt;"",1,0)</x:f>
        <x:v>0</x:v>
      </x:c>
      <x:c r="F679" t="n">
        <x:v>1</x:v>
      </x:c>
      <x:c r="G679" t="str">
        <x:v>equals</x:v>
      </x:c>
      <x:c r="H679" t="str">
        <x:v>independent physical acceptance</x:v>
      </x:c>
      <x:c r="I679" t="str">
        <x:f>IF(E679=1,"PASS","OPEN")</x:f>
        <x:v>OPEN</x:v>
      </x:c>
    </x:row>
    <x:row r="680">
      <x:c r="B680" t="str">
        <x:v>PH-TG-167-G</x:v>
      </x:c>
      <x:c r="C680" t="str">
        <x:v>PHYSICAL</x:v>
      </x:c>
      <x:c r="D680" t="str">
        <x:v>terrain geometry</x:v>
      </x:c>
      <x:c r="E680" t="n">
        <x:f>IF('Terrain Field'!J173&lt;&gt;"",1,0)</x:f>
        <x:v>0</x:v>
      </x:c>
      <x:c r="F680" t="n">
        <x:v>1</x:v>
      </x:c>
      <x:c r="G680" t="str">
        <x:v>equals</x:v>
      </x:c>
      <x:c r="H680" t="str">
        <x:v>independent physical acceptance</x:v>
      </x:c>
      <x:c r="I680" t="str">
        <x:f>IF(E680=1,"PASS","OPEN")</x:f>
        <x:v>OPEN</x:v>
      </x:c>
    </x:row>
    <x:row r="681">
      <x:c r="B681" t="str">
        <x:v>PH-TG-167-L</x:v>
      </x:c>
      <x:c r="C681" t="str">
        <x:v>PHYSICAL</x:v>
      </x:c>
      <x:c r="D681" t="str">
        <x:v>terrain load</x:v>
      </x:c>
      <x:c r="E681" t="n">
        <x:f>IF('Terrain Field'!K173&lt;&gt;"",1,0)</x:f>
        <x:v>0</x:v>
      </x:c>
      <x:c r="F681" t="n">
        <x:v>1</x:v>
      </x:c>
      <x:c r="G681" t="str">
        <x:v>equals</x:v>
      </x:c>
      <x:c r="H681" t="str">
        <x:v>independent physical acceptance</x:v>
      </x:c>
      <x:c r="I681" t="str">
        <x:f>IF(E681=1,"PASS","OPEN")</x:f>
        <x:v>OPEN</x:v>
      </x:c>
    </x:row>
    <x:row r="682">
      <x:c r="B682" t="str">
        <x:v>PH-TG-168-G</x:v>
      </x:c>
      <x:c r="C682" t="str">
        <x:v>PHYSICAL</x:v>
      </x:c>
      <x:c r="D682" t="str">
        <x:v>terrain geometry</x:v>
      </x:c>
      <x:c r="E682" t="n">
        <x:f>IF('Terrain Field'!J174&lt;&gt;"",1,0)</x:f>
        <x:v>0</x:v>
      </x:c>
      <x:c r="F682" t="n">
        <x:v>1</x:v>
      </x:c>
      <x:c r="G682" t="str">
        <x:v>equals</x:v>
      </x:c>
      <x:c r="H682" t="str">
        <x:v>independent physical acceptance</x:v>
      </x:c>
      <x:c r="I682" t="str">
        <x:f>IF(E682=1,"PASS","OPEN")</x:f>
        <x:v>OPEN</x:v>
      </x:c>
    </x:row>
    <x:row r="683">
      <x:c r="B683" t="str">
        <x:v>PH-TG-168-L</x:v>
      </x:c>
      <x:c r="C683" t="str">
        <x:v>PHYSICAL</x:v>
      </x:c>
      <x:c r="D683" t="str">
        <x:v>terrain load</x:v>
      </x:c>
      <x:c r="E683" t="n">
        <x:f>IF('Terrain Field'!K174&lt;&gt;"",1,0)</x:f>
        <x:v>0</x:v>
      </x:c>
      <x:c r="F683" t="n">
        <x:v>1</x:v>
      </x:c>
      <x:c r="G683" t="str">
        <x:v>equals</x:v>
      </x:c>
      <x:c r="H683" t="str">
        <x:v>independent physical acceptance</x:v>
      </x:c>
      <x:c r="I683" t="str">
        <x:f>IF(E683=1,"PASS","OPEN")</x:f>
        <x:v>OPEN</x:v>
      </x:c>
    </x:row>
    <x:row r="684">
      <x:c r="B684" t="str">
        <x:v>PH-TG-169-G</x:v>
      </x:c>
      <x:c r="C684" t="str">
        <x:v>PHYSICAL</x:v>
      </x:c>
      <x:c r="D684" t="str">
        <x:v>terrain geometry</x:v>
      </x:c>
      <x:c r="E684" t="n">
        <x:f>IF('Terrain Field'!J175&lt;&gt;"",1,0)</x:f>
        <x:v>0</x:v>
      </x:c>
      <x:c r="F684" t="n">
        <x:v>1</x:v>
      </x:c>
      <x:c r="G684" t="str">
        <x:v>equals</x:v>
      </x:c>
      <x:c r="H684" t="str">
        <x:v>independent physical acceptance</x:v>
      </x:c>
      <x:c r="I684" t="str">
        <x:f>IF(E684=1,"PASS","OPEN")</x:f>
        <x:v>OPEN</x:v>
      </x:c>
    </x:row>
    <x:row r="685">
      <x:c r="B685" t="str">
        <x:v>PH-TG-169-L</x:v>
      </x:c>
      <x:c r="C685" t="str">
        <x:v>PHYSICAL</x:v>
      </x:c>
      <x:c r="D685" t="str">
        <x:v>terrain load</x:v>
      </x:c>
      <x:c r="E685" t="n">
        <x:f>IF('Terrain Field'!K175&lt;&gt;"",1,0)</x:f>
        <x:v>0</x:v>
      </x:c>
      <x:c r="F685" t="n">
        <x:v>1</x:v>
      </x:c>
      <x:c r="G685" t="str">
        <x:v>equals</x:v>
      </x:c>
      <x:c r="H685" t="str">
        <x:v>independent physical acceptance</x:v>
      </x:c>
      <x:c r="I685" t="str">
        <x:f>IF(E685=1,"PASS","OPEN")</x:f>
        <x:v>OPEN</x:v>
      </x:c>
    </x:row>
    <x:row r="686">
      <x:c r="B686" t="str">
        <x:v>PH-TG-170-G</x:v>
      </x:c>
      <x:c r="C686" t="str">
        <x:v>PHYSICAL</x:v>
      </x:c>
      <x:c r="D686" t="str">
        <x:v>terrain geometry</x:v>
      </x:c>
      <x:c r="E686" t="n">
        <x:f>IF('Terrain Field'!J176&lt;&gt;"",1,0)</x:f>
        <x:v>0</x:v>
      </x:c>
      <x:c r="F686" t="n">
        <x:v>1</x:v>
      </x:c>
      <x:c r="G686" t="str">
        <x:v>equals</x:v>
      </x:c>
      <x:c r="H686" t="str">
        <x:v>independent physical acceptance</x:v>
      </x:c>
      <x:c r="I686" t="str">
        <x:f>IF(E686=1,"PASS","OPEN")</x:f>
        <x:v>OPEN</x:v>
      </x:c>
    </x:row>
    <x:row r="687">
      <x:c r="B687" t="str">
        <x:v>PH-TG-170-L</x:v>
      </x:c>
      <x:c r="C687" t="str">
        <x:v>PHYSICAL</x:v>
      </x:c>
      <x:c r="D687" t="str">
        <x:v>terrain load</x:v>
      </x:c>
      <x:c r="E687" t="n">
        <x:f>IF('Terrain Field'!K176&lt;&gt;"",1,0)</x:f>
        <x:v>0</x:v>
      </x:c>
      <x:c r="F687" t="n">
        <x:v>1</x:v>
      </x:c>
      <x:c r="G687" t="str">
        <x:v>equals</x:v>
      </x:c>
      <x:c r="H687" t="str">
        <x:v>independent physical acceptance</x:v>
      </x:c>
      <x:c r="I687" t="str">
        <x:f>IF(E687=1,"PASS","OPEN")</x:f>
        <x:v>OPEN</x:v>
      </x:c>
    </x:row>
    <x:row r="688">
      <x:c r="B688" t="str">
        <x:v>PH-TG-171-G</x:v>
      </x:c>
      <x:c r="C688" t="str">
        <x:v>PHYSICAL</x:v>
      </x:c>
      <x:c r="D688" t="str">
        <x:v>terrain geometry</x:v>
      </x:c>
      <x:c r="E688" t="n">
        <x:f>IF('Terrain Field'!J177&lt;&gt;"",1,0)</x:f>
        <x:v>0</x:v>
      </x:c>
      <x:c r="F688" t="n">
        <x:v>1</x:v>
      </x:c>
      <x:c r="G688" t="str">
        <x:v>equals</x:v>
      </x:c>
      <x:c r="H688" t="str">
        <x:v>independent physical acceptance</x:v>
      </x:c>
      <x:c r="I688" t="str">
        <x:f>IF(E688=1,"PASS","OPEN")</x:f>
        <x:v>OPEN</x:v>
      </x:c>
    </x:row>
    <x:row r="689">
      <x:c r="B689" t="str">
        <x:v>PH-TG-171-L</x:v>
      </x:c>
      <x:c r="C689" t="str">
        <x:v>PHYSICAL</x:v>
      </x:c>
      <x:c r="D689" t="str">
        <x:v>terrain load</x:v>
      </x:c>
      <x:c r="E689" t="n">
        <x:f>IF('Terrain Field'!K177&lt;&gt;"",1,0)</x:f>
        <x:v>0</x:v>
      </x:c>
      <x:c r="F689" t="n">
        <x:v>1</x:v>
      </x:c>
      <x:c r="G689" t="str">
        <x:v>equals</x:v>
      </x:c>
      <x:c r="H689" t="str">
        <x:v>independent physical acceptance</x:v>
      </x:c>
      <x:c r="I689" t="str">
        <x:f>IF(E689=1,"PASS","OPEN")</x:f>
        <x:v>OPEN</x:v>
      </x:c>
    </x:row>
    <x:row r="690">
      <x:c r="B690" t="str">
        <x:v>PH-TG-172-G</x:v>
      </x:c>
      <x:c r="C690" t="str">
        <x:v>PHYSICAL</x:v>
      </x:c>
      <x:c r="D690" t="str">
        <x:v>terrain geometry</x:v>
      </x:c>
      <x:c r="E690" t="n">
        <x:f>IF('Terrain Field'!J178&lt;&gt;"",1,0)</x:f>
        <x:v>0</x:v>
      </x:c>
      <x:c r="F690" t="n">
        <x:v>1</x:v>
      </x:c>
      <x:c r="G690" t="str">
        <x:v>equals</x:v>
      </x:c>
      <x:c r="H690" t="str">
        <x:v>independent physical acceptance</x:v>
      </x:c>
      <x:c r="I690" t="str">
        <x:f>IF(E690=1,"PASS","OPEN")</x:f>
        <x:v>OPEN</x:v>
      </x:c>
    </x:row>
    <x:row r="691">
      <x:c r="B691" t="str">
        <x:v>PH-TG-172-L</x:v>
      </x:c>
      <x:c r="C691" t="str">
        <x:v>PHYSICAL</x:v>
      </x:c>
      <x:c r="D691" t="str">
        <x:v>terrain load</x:v>
      </x:c>
      <x:c r="E691" t="n">
        <x:f>IF('Terrain Field'!K178&lt;&gt;"",1,0)</x:f>
        <x:v>0</x:v>
      </x:c>
      <x:c r="F691" t="n">
        <x:v>1</x:v>
      </x:c>
      <x:c r="G691" t="str">
        <x:v>equals</x:v>
      </x:c>
      <x:c r="H691" t="str">
        <x:v>independent physical acceptance</x:v>
      </x:c>
      <x:c r="I691" t="str">
        <x:f>IF(E691=1,"PASS","OPEN")</x:f>
        <x:v>OPEN</x:v>
      </x:c>
    </x:row>
    <x:row r="692">
      <x:c r="B692" t="str">
        <x:v>PH-TG-173-G</x:v>
      </x:c>
      <x:c r="C692" t="str">
        <x:v>PHYSICAL</x:v>
      </x:c>
      <x:c r="D692" t="str">
        <x:v>terrain geometry</x:v>
      </x:c>
      <x:c r="E692" t="n">
        <x:f>IF('Terrain Field'!J179&lt;&gt;"",1,0)</x:f>
        <x:v>0</x:v>
      </x:c>
      <x:c r="F692" t="n">
        <x:v>1</x:v>
      </x:c>
      <x:c r="G692" t="str">
        <x:v>equals</x:v>
      </x:c>
      <x:c r="H692" t="str">
        <x:v>independent physical acceptance</x:v>
      </x:c>
      <x:c r="I692" t="str">
        <x:f>IF(E692=1,"PASS","OPEN")</x:f>
        <x:v>OPEN</x:v>
      </x:c>
    </x:row>
    <x:row r="693">
      <x:c r="B693" t="str">
        <x:v>PH-TG-173-L</x:v>
      </x:c>
      <x:c r="C693" t="str">
        <x:v>PHYSICAL</x:v>
      </x:c>
      <x:c r="D693" t="str">
        <x:v>terrain load</x:v>
      </x:c>
      <x:c r="E693" t="n">
        <x:f>IF('Terrain Field'!K179&lt;&gt;"",1,0)</x:f>
        <x:v>0</x:v>
      </x:c>
      <x:c r="F693" t="n">
        <x:v>1</x:v>
      </x:c>
      <x:c r="G693" t="str">
        <x:v>equals</x:v>
      </x:c>
      <x:c r="H693" t="str">
        <x:v>independent physical acceptance</x:v>
      </x:c>
      <x:c r="I693" t="str">
        <x:f>IF(E693=1,"PASS","OPEN")</x:f>
        <x:v>OPEN</x:v>
      </x:c>
    </x:row>
    <x:row r="694">
      <x:c r="B694" t="str">
        <x:v>PH-TG-174-G</x:v>
      </x:c>
      <x:c r="C694" t="str">
        <x:v>PHYSICAL</x:v>
      </x:c>
      <x:c r="D694" t="str">
        <x:v>terrain geometry</x:v>
      </x:c>
      <x:c r="E694" t="n">
        <x:f>IF('Terrain Field'!J180&lt;&gt;"",1,0)</x:f>
        <x:v>0</x:v>
      </x:c>
      <x:c r="F694" t="n">
        <x:v>1</x:v>
      </x:c>
      <x:c r="G694" t="str">
        <x:v>equals</x:v>
      </x:c>
      <x:c r="H694" t="str">
        <x:v>independent physical acceptance</x:v>
      </x:c>
      <x:c r="I694" t="str">
        <x:f>IF(E694=1,"PASS","OPEN")</x:f>
        <x:v>OPEN</x:v>
      </x:c>
    </x:row>
    <x:row r="695">
      <x:c r="B695" t="str">
        <x:v>PH-TG-174-L</x:v>
      </x:c>
      <x:c r="C695" t="str">
        <x:v>PHYSICAL</x:v>
      </x:c>
      <x:c r="D695" t="str">
        <x:v>terrain load</x:v>
      </x:c>
      <x:c r="E695" t="n">
        <x:f>IF('Terrain Field'!K180&lt;&gt;"",1,0)</x:f>
        <x:v>0</x:v>
      </x:c>
      <x:c r="F695" t="n">
        <x:v>1</x:v>
      </x:c>
      <x:c r="G695" t="str">
        <x:v>equals</x:v>
      </x:c>
      <x:c r="H695" t="str">
        <x:v>independent physical acceptance</x:v>
      </x:c>
      <x:c r="I695" t="str">
        <x:f>IF(E695=1,"PASS","OPEN")</x:f>
        <x:v>OPEN</x:v>
      </x:c>
    </x:row>
    <x:row r="696">
      <x:c r="B696" t="str">
        <x:v>PH-TG-175-G</x:v>
      </x:c>
      <x:c r="C696" t="str">
        <x:v>PHYSICAL</x:v>
      </x:c>
      <x:c r="D696" t="str">
        <x:v>terrain geometry</x:v>
      </x:c>
      <x:c r="E696" t="n">
        <x:f>IF('Terrain Field'!J181&lt;&gt;"",1,0)</x:f>
        <x:v>0</x:v>
      </x:c>
      <x:c r="F696" t="n">
        <x:v>1</x:v>
      </x:c>
      <x:c r="G696" t="str">
        <x:v>equals</x:v>
      </x:c>
      <x:c r="H696" t="str">
        <x:v>independent physical acceptance</x:v>
      </x:c>
      <x:c r="I696" t="str">
        <x:f>IF(E696=1,"PASS","OPEN")</x:f>
        <x:v>OPEN</x:v>
      </x:c>
    </x:row>
    <x:row r="697">
      <x:c r="B697" t="str">
        <x:v>PH-TG-175-L</x:v>
      </x:c>
      <x:c r="C697" t="str">
        <x:v>PHYSICAL</x:v>
      </x:c>
      <x:c r="D697" t="str">
        <x:v>terrain load</x:v>
      </x:c>
      <x:c r="E697" t="n">
        <x:f>IF('Terrain Field'!K181&lt;&gt;"",1,0)</x:f>
        <x:v>0</x:v>
      </x:c>
      <x:c r="F697" t="n">
        <x:v>1</x:v>
      </x:c>
      <x:c r="G697" t="str">
        <x:v>equals</x:v>
      </x:c>
      <x:c r="H697" t="str">
        <x:v>independent physical acceptance</x:v>
      </x:c>
      <x:c r="I697" t="str">
        <x:f>IF(E697=1,"PASS","OPEN")</x:f>
        <x:v>OPEN</x:v>
      </x:c>
    </x:row>
    <x:row r="698">
      <x:c r="B698" t="str">
        <x:v>PH-TG-176-G</x:v>
      </x:c>
      <x:c r="C698" t="str">
        <x:v>PHYSICAL</x:v>
      </x:c>
      <x:c r="D698" t="str">
        <x:v>terrain geometry</x:v>
      </x:c>
      <x:c r="E698" t="n">
        <x:f>IF('Terrain Field'!J182&lt;&gt;"",1,0)</x:f>
        <x:v>0</x:v>
      </x:c>
      <x:c r="F698" t="n">
        <x:v>1</x:v>
      </x:c>
      <x:c r="G698" t="str">
        <x:v>equals</x:v>
      </x:c>
      <x:c r="H698" t="str">
        <x:v>independent physical acceptance</x:v>
      </x:c>
      <x:c r="I698" t="str">
        <x:f>IF(E698=1,"PASS","OPEN")</x:f>
        <x:v>OPEN</x:v>
      </x:c>
    </x:row>
    <x:row r="699">
      <x:c r="B699" t="str">
        <x:v>PH-TG-176-L</x:v>
      </x:c>
      <x:c r="C699" t="str">
        <x:v>PHYSICAL</x:v>
      </x:c>
      <x:c r="D699" t="str">
        <x:v>terrain load</x:v>
      </x:c>
      <x:c r="E699" t="n">
        <x:f>IF('Terrain Field'!K182&lt;&gt;"",1,0)</x:f>
        <x:v>0</x:v>
      </x:c>
      <x:c r="F699" t="n">
        <x:v>1</x:v>
      </x:c>
      <x:c r="G699" t="str">
        <x:v>equals</x:v>
      </x:c>
      <x:c r="H699" t="str">
        <x:v>independent physical acceptance</x:v>
      </x:c>
      <x:c r="I699" t="str">
        <x:f>IF(E699=1,"PASS","OPEN")</x:f>
        <x:v>OPEN</x:v>
      </x:c>
    </x:row>
    <x:row r="700">
      <x:c r="B700" t="str">
        <x:v>PH-TG-177-G</x:v>
      </x:c>
      <x:c r="C700" t="str">
        <x:v>PHYSICAL</x:v>
      </x:c>
      <x:c r="D700" t="str">
        <x:v>terrain geometry</x:v>
      </x:c>
      <x:c r="E700" t="n">
        <x:f>IF('Terrain Field'!J183&lt;&gt;"",1,0)</x:f>
        <x:v>0</x:v>
      </x:c>
      <x:c r="F700" t="n">
        <x:v>1</x:v>
      </x:c>
      <x:c r="G700" t="str">
        <x:v>equals</x:v>
      </x:c>
      <x:c r="H700" t="str">
        <x:v>independent physical acceptance</x:v>
      </x:c>
      <x:c r="I700" t="str">
        <x:f>IF(E700=1,"PASS","OPEN")</x:f>
        <x:v>OPEN</x:v>
      </x:c>
    </x:row>
    <x:row r="701">
      <x:c r="B701" t="str">
        <x:v>PH-TG-177-L</x:v>
      </x:c>
      <x:c r="C701" t="str">
        <x:v>PHYSICAL</x:v>
      </x:c>
      <x:c r="D701" t="str">
        <x:v>terrain load</x:v>
      </x:c>
      <x:c r="E701" t="n">
        <x:f>IF('Terrain Field'!K183&lt;&gt;"",1,0)</x:f>
        <x:v>0</x:v>
      </x:c>
      <x:c r="F701" t="n">
        <x:v>1</x:v>
      </x:c>
      <x:c r="G701" t="str">
        <x:v>equals</x:v>
      </x:c>
      <x:c r="H701" t="str">
        <x:v>independent physical acceptance</x:v>
      </x:c>
      <x:c r="I701" t="str">
        <x:f>IF(E701=1,"PASS","OPEN")</x:f>
        <x:v>OPEN</x:v>
      </x:c>
    </x:row>
    <x:row r="702">
      <x:c r="B702" t="str">
        <x:v>PH-TG-178-G</x:v>
      </x:c>
      <x:c r="C702" t="str">
        <x:v>PHYSICAL</x:v>
      </x:c>
      <x:c r="D702" t="str">
        <x:v>terrain geometry</x:v>
      </x:c>
      <x:c r="E702" t="n">
        <x:f>IF('Terrain Field'!J184&lt;&gt;"",1,0)</x:f>
        <x:v>0</x:v>
      </x:c>
      <x:c r="F702" t="n">
        <x:v>1</x:v>
      </x:c>
      <x:c r="G702" t="str">
        <x:v>equals</x:v>
      </x:c>
      <x:c r="H702" t="str">
        <x:v>independent physical acceptance</x:v>
      </x:c>
      <x:c r="I702" t="str">
        <x:f>IF(E702=1,"PASS","OPEN")</x:f>
        <x:v>OPEN</x:v>
      </x:c>
    </x:row>
    <x:row r="703">
      <x:c r="B703" t="str">
        <x:v>PH-TG-178-L</x:v>
      </x:c>
      <x:c r="C703" t="str">
        <x:v>PHYSICAL</x:v>
      </x:c>
      <x:c r="D703" t="str">
        <x:v>terrain load</x:v>
      </x:c>
      <x:c r="E703" t="n">
        <x:f>IF('Terrain Field'!K184&lt;&gt;"",1,0)</x:f>
        <x:v>0</x:v>
      </x:c>
      <x:c r="F703" t="n">
        <x:v>1</x:v>
      </x:c>
      <x:c r="G703" t="str">
        <x:v>equals</x:v>
      </x:c>
      <x:c r="H703" t="str">
        <x:v>independent physical acceptance</x:v>
      </x:c>
      <x:c r="I703" t="str">
        <x:f>IF(E703=1,"PASS","OPEN")</x:f>
        <x:v>OPEN</x:v>
      </x:c>
    </x:row>
    <x:row r="704">
      <x:c r="B704" t="str">
        <x:v>PH-TG-179-G</x:v>
      </x:c>
      <x:c r="C704" t="str">
        <x:v>PHYSICAL</x:v>
      </x:c>
      <x:c r="D704" t="str">
        <x:v>terrain geometry</x:v>
      </x:c>
      <x:c r="E704" t="n">
        <x:f>IF('Terrain Field'!J185&lt;&gt;"",1,0)</x:f>
        <x:v>0</x:v>
      </x:c>
      <x:c r="F704" t="n">
        <x:v>1</x:v>
      </x:c>
      <x:c r="G704" t="str">
        <x:v>equals</x:v>
      </x:c>
      <x:c r="H704" t="str">
        <x:v>independent physical acceptance</x:v>
      </x:c>
      <x:c r="I704" t="str">
        <x:f>IF(E704=1,"PASS","OPEN")</x:f>
        <x:v>OPEN</x:v>
      </x:c>
    </x:row>
    <x:row r="705">
      <x:c r="B705" t="str">
        <x:v>PH-TG-179-L</x:v>
      </x:c>
      <x:c r="C705" t="str">
        <x:v>PHYSICAL</x:v>
      </x:c>
      <x:c r="D705" t="str">
        <x:v>terrain load</x:v>
      </x:c>
      <x:c r="E705" t="n">
        <x:f>IF('Terrain Field'!K185&lt;&gt;"",1,0)</x:f>
        <x:v>0</x:v>
      </x:c>
      <x:c r="F705" t="n">
        <x:v>1</x:v>
      </x:c>
      <x:c r="G705" t="str">
        <x:v>equals</x:v>
      </x:c>
      <x:c r="H705" t="str">
        <x:v>independent physical acceptance</x:v>
      </x:c>
      <x:c r="I705" t="str">
        <x:f>IF(E705=1,"PASS","OPEN")</x:f>
        <x:v>OPEN</x:v>
      </x:c>
    </x:row>
    <x:row r="706">
      <x:c r="B706" t="str">
        <x:v>PH-TG-180-G</x:v>
      </x:c>
      <x:c r="C706" t="str">
        <x:v>PHYSICAL</x:v>
      </x:c>
      <x:c r="D706" t="str">
        <x:v>terrain geometry</x:v>
      </x:c>
      <x:c r="E706" t="n">
        <x:f>IF('Terrain Field'!J186&lt;&gt;"",1,0)</x:f>
        <x:v>0</x:v>
      </x:c>
      <x:c r="F706" t="n">
        <x:v>1</x:v>
      </x:c>
      <x:c r="G706" t="str">
        <x:v>equals</x:v>
      </x:c>
      <x:c r="H706" t="str">
        <x:v>independent physical acceptance</x:v>
      </x:c>
      <x:c r="I706" t="str">
        <x:f>IF(E706=1,"PASS","OPEN")</x:f>
        <x:v>OPEN</x:v>
      </x:c>
    </x:row>
    <x:row r="707">
      <x:c r="B707" t="str">
        <x:v>PH-TG-180-L</x:v>
      </x:c>
      <x:c r="C707" t="str">
        <x:v>PHYSICAL</x:v>
      </x:c>
      <x:c r="D707" t="str">
        <x:v>terrain load</x:v>
      </x:c>
      <x:c r="E707" t="n">
        <x:f>IF('Terrain Field'!K186&lt;&gt;"",1,0)</x:f>
        <x:v>0</x:v>
      </x:c>
      <x:c r="F707" t="n">
        <x:v>1</x:v>
      </x:c>
      <x:c r="G707" t="str">
        <x:v>equals</x:v>
      </x:c>
      <x:c r="H707" t="str">
        <x:v>independent physical acceptance</x:v>
      </x:c>
      <x:c r="I707" t="str">
        <x:f>IF(E707=1,"PASS","OPEN")</x:f>
        <x:v>OPEN</x:v>
      </x:c>
    </x:row>
    <x:row r="708">
      <x:c r="B708" t="str">
        <x:v>PH-TG-181-G</x:v>
      </x:c>
      <x:c r="C708" t="str">
        <x:v>PHYSICAL</x:v>
      </x:c>
      <x:c r="D708" t="str">
        <x:v>terrain geometry</x:v>
      </x:c>
      <x:c r="E708" t="n">
        <x:f>IF('Terrain Field'!J187&lt;&gt;"",1,0)</x:f>
        <x:v>0</x:v>
      </x:c>
      <x:c r="F708" t="n">
        <x:v>1</x:v>
      </x:c>
      <x:c r="G708" t="str">
        <x:v>equals</x:v>
      </x:c>
      <x:c r="H708" t="str">
        <x:v>independent physical acceptance</x:v>
      </x:c>
      <x:c r="I708" t="str">
        <x:f>IF(E708=1,"PASS","OPEN")</x:f>
        <x:v>OPEN</x:v>
      </x:c>
    </x:row>
    <x:row r="709">
      <x:c r="B709" t="str">
        <x:v>PH-TG-181-L</x:v>
      </x:c>
      <x:c r="C709" t="str">
        <x:v>PHYSICAL</x:v>
      </x:c>
      <x:c r="D709" t="str">
        <x:v>terrain load</x:v>
      </x:c>
      <x:c r="E709" t="n">
        <x:f>IF('Terrain Field'!K187&lt;&gt;"",1,0)</x:f>
        <x:v>0</x:v>
      </x:c>
      <x:c r="F709" t="n">
        <x:v>1</x:v>
      </x:c>
      <x:c r="G709" t="str">
        <x:v>equals</x:v>
      </x:c>
      <x:c r="H709" t="str">
        <x:v>independent physical acceptance</x:v>
      </x:c>
      <x:c r="I709" t="str">
        <x:f>IF(E709=1,"PASS","OPEN")</x:f>
        <x:v>OPEN</x:v>
      </x:c>
    </x:row>
    <x:row r="710">
      <x:c r="B710" t="str">
        <x:v>PH-TG-182-G</x:v>
      </x:c>
      <x:c r="C710" t="str">
        <x:v>PHYSICAL</x:v>
      </x:c>
      <x:c r="D710" t="str">
        <x:v>terrain geometry</x:v>
      </x:c>
      <x:c r="E710" t="n">
        <x:f>IF('Terrain Field'!J188&lt;&gt;"",1,0)</x:f>
        <x:v>0</x:v>
      </x:c>
      <x:c r="F710" t="n">
        <x:v>1</x:v>
      </x:c>
      <x:c r="G710" t="str">
        <x:v>equals</x:v>
      </x:c>
      <x:c r="H710" t="str">
        <x:v>independent physical acceptance</x:v>
      </x:c>
      <x:c r="I710" t="str">
        <x:f>IF(E710=1,"PASS","OPEN")</x:f>
        <x:v>OPEN</x:v>
      </x:c>
    </x:row>
    <x:row r="711">
      <x:c r="B711" t="str">
        <x:v>PH-TG-182-L</x:v>
      </x:c>
      <x:c r="C711" t="str">
        <x:v>PHYSICAL</x:v>
      </x:c>
      <x:c r="D711" t="str">
        <x:v>terrain load</x:v>
      </x:c>
      <x:c r="E711" t="n">
        <x:f>IF('Terrain Field'!K188&lt;&gt;"",1,0)</x:f>
        <x:v>0</x:v>
      </x:c>
      <x:c r="F711" t="n">
        <x:v>1</x:v>
      </x:c>
      <x:c r="G711" t="str">
        <x:v>equals</x:v>
      </x:c>
      <x:c r="H711" t="str">
        <x:v>independent physical acceptance</x:v>
      </x:c>
      <x:c r="I711" t="str">
        <x:f>IF(E711=1,"PASS","OPEN")</x:f>
        <x:v>OPEN</x:v>
      </x:c>
    </x:row>
    <x:row r="712">
      <x:c r="B712" t="str">
        <x:v>PH-TG-183-G</x:v>
      </x:c>
      <x:c r="C712" t="str">
        <x:v>PHYSICAL</x:v>
      </x:c>
      <x:c r="D712" t="str">
        <x:v>terrain geometry</x:v>
      </x:c>
      <x:c r="E712" t="n">
        <x:f>IF('Terrain Field'!J189&lt;&gt;"",1,0)</x:f>
        <x:v>0</x:v>
      </x:c>
      <x:c r="F712" t="n">
        <x:v>1</x:v>
      </x:c>
      <x:c r="G712" t="str">
        <x:v>equals</x:v>
      </x:c>
      <x:c r="H712" t="str">
        <x:v>independent physical acceptance</x:v>
      </x:c>
      <x:c r="I712" t="str">
        <x:f>IF(E712=1,"PASS","OPEN")</x:f>
        <x:v>OPEN</x:v>
      </x:c>
    </x:row>
    <x:row r="713">
      <x:c r="B713" t="str">
        <x:v>PH-TG-183-L</x:v>
      </x:c>
      <x:c r="C713" t="str">
        <x:v>PHYSICAL</x:v>
      </x:c>
      <x:c r="D713" t="str">
        <x:v>terrain load</x:v>
      </x:c>
      <x:c r="E713" t="n">
        <x:f>IF('Terrain Field'!K189&lt;&gt;"",1,0)</x:f>
        <x:v>0</x:v>
      </x:c>
      <x:c r="F713" t="n">
        <x:v>1</x:v>
      </x:c>
      <x:c r="G713" t="str">
        <x:v>equals</x:v>
      </x:c>
      <x:c r="H713" t="str">
        <x:v>independent physical acceptance</x:v>
      </x:c>
      <x:c r="I713" t="str">
        <x:f>IF(E713=1,"PASS","OPEN")</x:f>
        <x:v>OPEN</x:v>
      </x:c>
    </x:row>
    <x:row r="714">
      <x:c r="B714" t="str">
        <x:v>PH-TG-184-G</x:v>
      </x:c>
      <x:c r="C714" t="str">
        <x:v>PHYSICAL</x:v>
      </x:c>
      <x:c r="D714" t="str">
        <x:v>terrain geometry</x:v>
      </x:c>
      <x:c r="E714" t="n">
        <x:f>IF('Terrain Field'!J190&lt;&gt;"",1,0)</x:f>
        <x:v>0</x:v>
      </x:c>
      <x:c r="F714" t="n">
        <x:v>1</x:v>
      </x:c>
      <x:c r="G714" t="str">
        <x:v>equals</x:v>
      </x:c>
      <x:c r="H714" t="str">
        <x:v>independent physical acceptance</x:v>
      </x:c>
      <x:c r="I714" t="str">
        <x:f>IF(E714=1,"PASS","OPEN")</x:f>
        <x:v>OPEN</x:v>
      </x:c>
    </x:row>
    <x:row r="715">
      <x:c r="B715" t="str">
        <x:v>PH-TG-184-L</x:v>
      </x:c>
      <x:c r="C715" t="str">
        <x:v>PHYSICAL</x:v>
      </x:c>
      <x:c r="D715" t="str">
        <x:v>terrain load</x:v>
      </x:c>
      <x:c r="E715" t="n">
        <x:f>IF('Terrain Field'!K190&lt;&gt;"",1,0)</x:f>
        <x:v>0</x:v>
      </x:c>
      <x:c r="F715" t="n">
        <x:v>1</x:v>
      </x:c>
      <x:c r="G715" t="str">
        <x:v>equals</x:v>
      </x:c>
      <x:c r="H715" t="str">
        <x:v>independent physical acceptance</x:v>
      </x:c>
      <x:c r="I715" t="str">
        <x:f>IF(E715=1,"PASS","OPEN")</x:f>
        <x:v>OPEN</x:v>
      </x:c>
    </x:row>
    <x:row r="716">
      <x:c r="B716" t="str">
        <x:v>PH-TG-185-G</x:v>
      </x:c>
      <x:c r="C716" t="str">
        <x:v>PHYSICAL</x:v>
      </x:c>
      <x:c r="D716" t="str">
        <x:v>terrain geometry</x:v>
      </x:c>
      <x:c r="E716" t="n">
        <x:f>IF('Terrain Field'!J191&lt;&gt;"",1,0)</x:f>
        <x:v>0</x:v>
      </x:c>
      <x:c r="F716" t="n">
        <x:v>1</x:v>
      </x:c>
      <x:c r="G716" t="str">
        <x:v>equals</x:v>
      </x:c>
      <x:c r="H716" t="str">
        <x:v>independent physical acceptance</x:v>
      </x:c>
      <x:c r="I716" t="str">
        <x:f>IF(E716=1,"PASS","OPEN")</x:f>
        <x:v>OPEN</x:v>
      </x:c>
    </x:row>
    <x:row r="717">
      <x:c r="B717" t="str">
        <x:v>PH-TG-185-L</x:v>
      </x:c>
      <x:c r="C717" t="str">
        <x:v>PHYSICAL</x:v>
      </x:c>
      <x:c r="D717" t="str">
        <x:v>terrain load</x:v>
      </x:c>
      <x:c r="E717" t="n">
        <x:f>IF('Terrain Field'!K191&lt;&gt;"",1,0)</x:f>
        <x:v>0</x:v>
      </x:c>
      <x:c r="F717" t="n">
        <x:v>1</x:v>
      </x:c>
      <x:c r="G717" t="str">
        <x:v>equals</x:v>
      </x:c>
      <x:c r="H717" t="str">
        <x:v>independent physical acceptance</x:v>
      </x:c>
      <x:c r="I717" t="str">
        <x:f>IF(E717=1,"PASS","OPEN")</x:f>
        <x:v>OPEN</x:v>
      </x:c>
    </x:row>
    <x:row r="718">
      <x:c r="B718" t="str">
        <x:v>PH-TG-186-G</x:v>
      </x:c>
      <x:c r="C718" t="str">
        <x:v>PHYSICAL</x:v>
      </x:c>
      <x:c r="D718" t="str">
        <x:v>terrain geometry</x:v>
      </x:c>
      <x:c r="E718" t="n">
        <x:f>IF('Terrain Field'!J192&lt;&gt;"",1,0)</x:f>
        <x:v>0</x:v>
      </x:c>
      <x:c r="F718" t="n">
        <x:v>1</x:v>
      </x:c>
      <x:c r="G718" t="str">
        <x:v>equals</x:v>
      </x:c>
      <x:c r="H718" t="str">
        <x:v>independent physical acceptance</x:v>
      </x:c>
      <x:c r="I718" t="str">
        <x:f>IF(E718=1,"PASS","OPEN")</x:f>
        <x:v>OPEN</x:v>
      </x:c>
    </x:row>
    <x:row r="719">
      <x:c r="B719" t="str">
        <x:v>PH-TG-186-L</x:v>
      </x:c>
      <x:c r="C719" t="str">
        <x:v>PHYSICAL</x:v>
      </x:c>
      <x:c r="D719" t="str">
        <x:v>terrain load</x:v>
      </x:c>
      <x:c r="E719" t="n">
        <x:f>IF('Terrain Field'!K192&lt;&gt;"",1,0)</x:f>
        <x:v>0</x:v>
      </x:c>
      <x:c r="F719" t="n">
        <x:v>1</x:v>
      </x:c>
      <x:c r="G719" t="str">
        <x:v>equals</x:v>
      </x:c>
      <x:c r="H719" t="str">
        <x:v>independent physical acceptance</x:v>
      </x:c>
      <x:c r="I719" t="str">
        <x:f>IF(E719=1,"PASS","OPEN")</x:f>
        <x:v>OPEN</x:v>
      </x:c>
    </x:row>
    <x:row r="720">
      <x:c r="B720" t="str">
        <x:v>PH-TG-187-G</x:v>
      </x:c>
      <x:c r="C720" t="str">
        <x:v>PHYSICAL</x:v>
      </x:c>
      <x:c r="D720" t="str">
        <x:v>terrain geometry</x:v>
      </x:c>
      <x:c r="E720" t="n">
        <x:f>IF('Terrain Field'!J193&lt;&gt;"",1,0)</x:f>
        <x:v>0</x:v>
      </x:c>
      <x:c r="F720" t="n">
        <x:v>1</x:v>
      </x:c>
      <x:c r="G720" t="str">
        <x:v>equals</x:v>
      </x:c>
      <x:c r="H720" t="str">
        <x:v>independent physical acceptance</x:v>
      </x:c>
      <x:c r="I720" t="str">
        <x:f>IF(E720=1,"PASS","OPEN")</x:f>
        <x:v>OPEN</x:v>
      </x:c>
    </x:row>
    <x:row r="721">
      <x:c r="B721" t="str">
        <x:v>PH-TG-187-L</x:v>
      </x:c>
      <x:c r="C721" t="str">
        <x:v>PHYSICAL</x:v>
      </x:c>
      <x:c r="D721" t="str">
        <x:v>terrain load</x:v>
      </x:c>
      <x:c r="E721" t="n">
        <x:f>IF('Terrain Field'!K193&lt;&gt;"",1,0)</x:f>
        <x:v>0</x:v>
      </x:c>
      <x:c r="F721" t="n">
        <x:v>1</x:v>
      </x:c>
      <x:c r="G721" t="str">
        <x:v>equals</x:v>
      </x:c>
      <x:c r="H721" t="str">
        <x:v>independent physical acceptance</x:v>
      </x:c>
      <x:c r="I721" t="str">
        <x:f>IF(E721=1,"PASS","OPEN")</x:f>
        <x:v>OPEN</x:v>
      </x:c>
    </x:row>
    <x:row r="722">
      <x:c r="B722" t="str">
        <x:v>PH-TG-188-G</x:v>
      </x:c>
      <x:c r="C722" t="str">
        <x:v>PHYSICAL</x:v>
      </x:c>
      <x:c r="D722" t="str">
        <x:v>terrain geometry</x:v>
      </x:c>
      <x:c r="E722" t="n">
        <x:f>IF('Terrain Field'!J194&lt;&gt;"",1,0)</x:f>
        <x:v>0</x:v>
      </x:c>
      <x:c r="F722" t="n">
        <x:v>1</x:v>
      </x:c>
      <x:c r="G722" t="str">
        <x:v>equals</x:v>
      </x:c>
      <x:c r="H722" t="str">
        <x:v>independent physical acceptance</x:v>
      </x:c>
      <x:c r="I722" t="str">
        <x:f>IF(E722=1,"PASS","OPEN")</x:f>
        <x:v>OPEN</x:v>
      </x:c>
    </x:row>
    <x:row r="723">
      <x:c r="B723" t="str">
        <x:v>PH-TG-188-L</x:v>
      </x:c>
      <x:c r="C723" t="str">
        <x:v>PHYSICAL</x:v>
      </x:c>
      <x:c r="D723" t="str">
        <x:v>terrain load</x:v>
      </x:c>
      <x:c r="E723" t="n">
        <x:f>IF('Terrain Field'!K194&lt;&gt;"",1,0)</x:f>
        <x:v>0</x:v>
      </x:c>
      <x:c r="F723" t="n">
        <x:v>1</x:v>
      </x:c>
      <x:c r="G723" t="str">
        <x:v>equals</x:v>
      </x:c>
      <x:c r="H723" t="str">
        <x:v>independent physical acceptance</x:v>
      </x:c>
      <x:c r="I723" t="str">
        <x:f>IF(E723=1,"PASS","OPEN")</x:f>
        <x:v>OPEN</x:v>
      </x:c>
    </x:row>
    <x:row r="724">
      <x:c r="B724" t="str">
        <x:v>PH-TG-189-G</x:v>
      </x:c>
      <x:c r="C724" t="str">
        <x:v>PHYSICAL</x:v>
      </x:c>
      <x:c r="D724" t="str">
        <x:v>terrain geometry</x:v>
      </x:c>
      <x:c r="E724" t="n">
        <x:f>IF('Terrain Field'!J195&lt;&gt;"",1,0)</x:f>
        <x:v>0</x:v>
      </x:c>
      <x:c r="F724" t="n">
        <x:v>1</x:v>
      </x:c>
      <x:c r="G724" t="str">
        <x:v>equals</x:v>
      </x:c>
      <x:c r="H724" t="str">
        <x:v>independent physical acceptance</x:v>
      </x:c>
      <x:c r="I724" t="str">
        <x:f>IF(E724=1,"PASS","OPEN")</x:f>
        <x:v>OPEN</x:v>
      </x:c>
    </x:row>
    <x:row r="725">
      <x:c r="B725" t="str">
        <x:v>PH-TG-189-L</x:v>
      </x:c>
      <x:c r="C725" t="str">
        <x:v>PHYSICAL</x:v>
      </x:c>
      <x:c r="D725" t="str">
        <x:v>terrain load</x:v>
      </x:c>
      <x:c r="E725" t="n">
        <x:f>IF('Terrain Field'!K195&lt;&gt;"",1,0)</x:f>
        <x:v>0</x:v>
      </x:c>
      <x:c r="F725" t="n">
        <x:v>1</x:v>
      </x:c>
      <x:c r="G725" t="str">
        <x:v>equals</x:v>
      </x:c>
      <x:c r="H725" t="str">
        <x:v>independent physical acceptance</x:v>
      </x:c>
      <x:c r="I725" t="str">
        <x:f>IF(E725=1,"PASS","OPEN")</x:f>
        <x:v>OPEN</x:v>
      </x:c>
    </x:row>
    <x:row r="726">
      <x:c r="B726" t="str">
        <x:v>PH-TG-190-G</x:v>
      </x:c>
      <x:c r="C726" t="str">
        <x:v>PHYSICAL</x:v>
      </x:c>
      <x:c r="D726" t="str">
        <x:v>terrain geometry</x:v>
      </x:c>
      <x:c r="E726" t="n">
        <x:f>IF('Terrain Field'!J196&lt;&gt;"",1,0)</x:f>
        <x:v>0</x:v>
      </x:c>
      <x:c r="F726" t="n">
        <x:v>1</x:v>
      </x:c>
      <x:c r="G726" t="str">
        <x:v>equals</x:v>
      </x:c>
      <x:c r="H726" t="str">
        <x:v>independent physical acceptance</x:v>
      </x:c>
      <x:c r="I726" t="str">
        <x:f>IF(E726=1,"PASS","OPEN")</x:f>
        <x:v>OPEN</x:v>
      </x:c>
    </x:row>
    <x:row r="727">
      <x:c r="B727" t="str">
        <x:v>PH-TG-190-L</x:v>
      </x:c>
      <x:c r="C727" t="str">
        <x:v>PHYSICAL</x:v>
      </x:c>
      <x:c r="D727" t="str">
        <x:v>terrain load</x:v>
      </x:c>
      <x:c r="E727" t="n">
        <x:f>IF('Terrain Field'!K196&lt;&gt;"",1,0)</x:f>
        <x:v>0</x:v>
      </x:c>
      <x:c r="F727" t="n">
        <x:v>1</x:v>
      </x:c>
      <x:c r="G727" t="str">
        <x:v>equals</x:v>
      </x:c>
      <x:c r="H727" t="str">
        <x:v>independent physical acceptance</x:v>
      </x:c>
      <x:c r="I727" t="str">
        <x:f>IF(E727=1,"PASS","OPEN")</x:f>
        <x:v>OPEN</x:v>
      </x:c>
    </x:row>
    <x:row r="728">
      <x:c r="B728" t="str">
        <x:v>PH-TG-191-G</x:v>
      </x:c>
      <x:c r="C728" t="str">
        <x:v>PHYSICAL</x:v>
      </x:c>
      <x:c r="D728" t="str">
        <x:v>terrain geometry</x:v>
      </x:c>
      <x:c r="E728" t="n">
        <x:f>IF('Terrain Field'!J197&lt;&gt;"",1,0)</x:f>
        <x:v>0</x:v>
      </x:c>
      <x:c r="F728" t="n">
        <x:v>1</x:v>
      </x:c>
      <x:c r="G728" t="str">
        <x:v>equals</x:v>
      </x:c>
      <x:c r="H728" t="str">
        <x:v>independent physical acceptance</x:v>
      </x:c>
      <x:c r="I728" t="str">
        <x:f>IF(E728=1,"PASS","OPEN")</x:f>
        <x:v>OPEN</x:v>
      </x:c>
    </x:row>
    <x:row r="729">
      <x:c r="B729" t="str">
        <x:v>PH-TG-191-L</x:v>
      </x:c>
      <x:c r="C729" t="str">
        <x:v>PHYSICAL</x:v>
      </x:c>
      <x:c r="D729" t="str">
        <x:v>terrain load</x:v>
      </x:c>
      <x:c r="E729" t="n">
        <x:f>IF('Terrain Field'!K197&lt;&gt;"",1,0)</x:f>
        <x:v>0</x:v>
      </x:c>
      <x:c r="F729" t="n">
        <x:v>1</x:v>
      </x:c>
      <x:c r="G729" t="str">
        <x:v>equals</x:v>
      </x:c>
      <x:c r="H729" t="str">
        <x:v>independent physical acceptance</x:v>
      </x:c>
      <x:c r="I729" t="str">
        <x:f>IF(E729=1,"PASS","OPEN")</x:f>
        <x:v>OPEN</x:v>
      </x:c>
    </x:row>
    <x:row r="730">
      <x:c r="B730" t="str">
        <x:v>PH-TG-192-G</x:v>
      </x:c>
      <x:c r="C730" t="str">
        <x:v>PHYSICAL</x:v>
      </x:c>
      <x:c r="D730" t="str">
        <x:v>terrain geometry</x:v>
      </x:c>
      <x:c r="E730" t="n">
        <x:f>IF('Terrain Field'!J198&lt;&gt;"",1,0)</x:f>
        <x:v>0</x:v>
      </x:c>
      <x:c r="F730" t="n">
        <x:v>1</x:v>
      </x:c>
      <x:c r="G730" t="str">
        <x:v>equals</x:v>
      </x:c>
      <x:c r="H730" t="str">
        <x:v>independent physical acceptance</x:v>
      </x:c>
      <x:c r="I730" t="str">
        <x:f>IF(E730=1,"PASS","OPEN")</x:f>
        <x:v>OPEN</x:v>
      </x:c>
    </x:row>
    <x:row r="731">
      <x:c r="B731" t="str">
        <x:v>PH-TG-192-L</x:v>
      </x:c>
      <x:c r="C731" t="str">
        <x:v>PHYSICAL</x:v>
      </x:c>
      <x:c r="D731" t="str">
        <x:v>terrain load</x:v>
      </x:c>
      <x:c r="E731" t="n">
        <x:f>IF('Terrain Field'!K198&lt;&gt;"",1,0)</x:f>
        <x:v>0</x:v>
      </x:c>
      <x:c r="F731" t="n">
        <x:v>1</x:v>
      </x:c>
      <x:c r="G731" t="str">
        <x:v>equals</x:v>
      </x:c>
      <x:c r="H731" t="str">
        <x:v>independent physical acceptance</x:v>
      </x:c>
      <x:c r="I731" t="str">
        <x:f>IF(E731=1,"PASS","OPEN")</x:f>
        <x:v>OPEN</x:v>
      </x:c>
    </x:row>
    <x:row r="732">
      <x:c r="B732" t="str">
        <x:v>PH-TG-193-G</x:v>
      </x:c>
      <x:c r="C732" t="str">
        <x:v>PHYSICAL</x:v>
      </x:c>
      <x:c r="D732" t="str">
        <x:v>terrain geometry</x:v>
      </x:c>
      <x:c r="E732" t="n">
        <x:f>IF('Terrain Field'!J199&lt;&gt;"",1,0)</x:f>
        <x:v>0</x:v>
      </x:c>
      <x:c r="F732" t="n">
        <x:v>1</x:v>
      </x:c>
      <x:c r="G732" t="str">
        <x:v>equals</x:v>
      </x:c>
      <x:c r="H732" t="str">
        <x:v>independent physical acceptance</x:v>
      </x:c>
      <x:c r="I732" t="str">
        <x:f>IF(E732=1,"PASS","OPEN")</x:f>
        <x:v>OPEN</x:v>
      </x:c>
    </x:row>
    <x:row r="733">
      <x:c r="B733" t="str">
        <x:v>PH-TG-193-L</x:v>
      </x:c>
      <x:c r="C733" t="str">
        <x:v>PHYSICAL</x:v>
      </x:c>
      <x:c r="D733" t="str">
        <x:v>terrain load</x:v>
      </x:c>
      <x:c r="E733" t="n">
        <x:f>IF('Terrain Field'!K199&lt;&gt;"",1,0)</x:f>
        <x:v>0</x:v>
      </x:c>
      <x:c r="F733" t="n">
        <x:v>1</x:v>
      </x:c>
      <x:c r="G733" t="str">
        <x:v>equals</x:v>
      </x:c>
      <x:c r="H733" t="str">
        <x:v>independent physical acceptance</x:v>
      </x:c>
      <x:c r="I733" t="str">
        <x:f>IF(E733=1,"PASS","OPEN")</x:f>
        <x:v>OPEN</x:v>
      </x:c>
    </x:row>
    <x:row r="734">
      <x:c r="B734" t="str">
        <x:v>PH-TG-194-G</x:v>
      </x:c>
      <x:c r="C734" t="str">
        <x:v>PHYSICAL</x:v>
      </x:c>
      <x:c r="D734" t="str">
        <x:v>terrain geometry</x:v>
      </x:c>
      <x:c r="E734" t="n">
        <x:f>IF('Terrain Field'!J200&lt;&gt;"",1,0)</x:f>
        <x:v>0</x:v>
      </x:c>
      <x:c r="F734" t="n">
        <x:v>1</x:v>
      </x:c>
      <x:c r="G734" t="str">
        <x:v>equals</x:v>
      </x:c>
      <x:c r="H734" t="str">
        <x:v>independent physical acceptance</x:v>
      </x:c>
      <x:c r="I734" t="str">
        <x:f>IF(E734=1,"PASS","OPEN")</x:f>
        <x:v>OPEN</x:v>
      </x:c>
    </x:row>
    <x:row r="735">
      <x:c r="B735" t="str">
        <x:v>PH-TG-194-L</x:v>
      </x:c>
      <x:c r="C735" t="str">
        <x:v>PHYSICAL</x:v>
      </x:c>
      <x:c r="D735" t="str">
        <x:v>terrain load</x:v>
      </x:c>
      <x:c r="E735" t="n">
        <x:f>IF('Terrain Field'!K200&lt;&gt;"",1,0)</x:f>
        <x:v>0</x:v>
      </x:c>
      <x:c r="F735" t="n">
        <x:v>1</x:v>
      </x:c>
      <x:c r="G735" t="str">
        <x:v>equals</x:v>
      </x:c>
      <x:c r="H735" t="str">
        <x:v>independent physical acceptance</x:v>
      </x:c>
      <x:c r="I735" t="str">
        <x:f>IF(E735=1,"PASS","OPEN")</x:f>
        <x:v>OPEN</x:v>
      </x:c>
    </x:row>
    <x:row r="736">
      <x:c r="B736" t="str">
        <x:v>PH-TG-195-G</x:v>
      </x:c>
      <x:c r="C736" t="str">
        <x:v>PHYSICAL</x:v>
      </x:c>
      <x:c r="D736" t="str">
        <x:v>terrain geometry</x:v>
      </x:c>
      <x:c r="E736" t="n">
        <x:f>IF('Terrain Field'!J201&lt;&gt;"",1,0)</x:f>
        <x:v>0</x:v>
      </x:c>
      <x:c r="F736" t="n">
        <x:v>1</x:v>
      </x:c>
      <x:c r="G736" t="str">
        <x:v>equals</x:v>
      </x:c>
      <x:c r="H736" t="str">
        <x:v>independent physical acceptance</x:v>
      </x:c>
      <x:c r="I736" t="str">
        <x:f>IF(E736=1,"PASS","OPEN")</x:f>
        <x:v>OPEN</x:v>
      </x:c>
    </x:row>
    <x:row r="737">
      <x:c r="B737" t="str">
        <x:v>PH-TG-195-L</x:v>
      </x:c>
      <x:c r="C737" t="str">
        <x:v>PHYSICAL</x:v>
      </x:c>
      <x:c r="D737" t="str">
        <x:v>terrain load</x:v>
      </x:c>
      <x:c r="E737" t="n">
        <x:f>IF('Terrain Field'!K201&lt;&gt;"",1,0)</x:f>
        <x:v>0</x:v>
      </x:c>
      <x:c r="F737" t="n">
        <x:v>1</x:v>
      </x:c>
      <x:c r="G737" t="str">
        <x:v>equals</x:v>
      </x:c>
      <x:c r="H737" t="str">
        <x:v>independent physical acceptance</x:v>
      </x:c>
      <x:c r="I737" t="str">
        <x:f>IF(E737=1,"PASS","OPEN")</x:f>
        <x:v>OPEN</x:v>
      </x:c>
    </x:row>
    <x:row r="738">
      <x:c r="B738" t="str">
        <x:v>PH-TG-196-G</x:v>
      </x:c>
      <x:c r="C738" t="str">
        <x:v>PHYSICAL</x:v>
      </x:c>
      <x:c r="D738" t="str">
        <x:v>terrain geometry</x:v>
      </x:c>
      <x:c r="E738" t="n">
        <x:f>IF('Terrain Field'!J202&lt;&gt;"",1,0)</x:f>
        <x:v>0</x:v>
      </x:c>
      <x:c r="F738" t="n">
        <x:v>1</x:v>
      </x:c>
      <x:c r="G738" t="str">
        <x:v>equals</x:v>
      </x:c>
      <x:c r="H738" t="str">
        <x:v>independent physical acceptance</x:v>
      </x:c>
      <x:c r="I738" t="str">
        <x:f>IF(E738=1,"PASS","OPEN")</x:f>
        <x:v>OPEN</x:v>
      </x:c>
    </x:row>
    <x:row r="739">
      <x:c r="B739" t="str">
        <x:v>PH-TG-196-L</x:v>
      </x:c>
      <x:c r="C739" t="str">
        <x:v>PHYSICAL</x:v>
      </x:c>
      <x:c r="D739" t="str">
        <x:v>terrain load</x:v>
      </x:c>
      <x:c r="E739" t="n">
        <x:f>IF('Terrain Field'!K202&lt;&gt;"",1,0)</x:f>
        <x:v>0</x:v>
      </x:c>
      <x:c r="F739" t="n">
        <x:v>1</x:v>
      </x:c>
      <x:c r="G739" t="str">
        <x:v>equals</x:v>
      </x:c>
      <x:c r="H739" t="str">
        <x:v>independent physical acceptance</x:v>
      </x:c>
      <x:c r="I739" t="str">
        <x:f>IF(E739=1,"PASS","OPEN")</x:f>
        <x:v>OPEN</x:v>
      </x:c>
    </x:row>
    <x:row r="740">
      <x:c r="B740" t="str">
        <x:v>PH-TG-197-G</x:v>
      </x:c>
      <x:c r="C740" t="str">
        <x:v>PHYSICAL</x:v>
      </x:c>
      <x:c r="D740" t="str">
        <x:v>terrain geometry</x:v>
      </x:c>
      <x:c r="E740" t="n">
        <x:f>IF('Terrain Field'!J203&lt;&gt;"",1,0)</x:f>
        <x:v>0</x:v>
      </x:c>
      <x:c r="F740" t="n">
        <x:v>1</x:v>
      </x:c>
      <x:c r="G740" t="str">
        <x:v>equals</x:v>
      </x:c>
      <x:c r="H740" t="str">
        <x:v>independent physical acceptance</x:v>
      </x:c>
      <x:c r="I740" t="str">
        <x:f>IF(E740=1,"PASS","OPEN")</x:f>
        <x:v>OPEN</x:v>
      </x:c>
    </x:row>
    <x:row r="741">
      <x:c r="B741" t="str">
        <x:v>PH-TG-197-L</x:v>
      </x:c>
      <x:c r="C741" t="str">
        <x:v>PHYSICAL</x:v>
      </x:c>
      <x:c r="D741" t="str">
        <x:v>terrain load</x:v>
      </x:c>
      <x:c r="E741" t="n">
        <x:f>IF('Terrain Field'!K203&lt;&gt;"",1,0)</x:f>
        <x:v>0</x:v>
      </x:c>
      <x:c r="F741" t="n">
        <x:v>1</x:v>
      </x:c>
      <x:c r="G741" t="str">
        <x:v>equals</x:v>
      </x:c>
      <x:c r="H741" t="str">
        <x:v>independent physical acceptance</x:v>
      </x:c>
      <x:c r="I741" t="str">
        <x:f>IF(E741=1,"PASS","OPEN")</x:f>
        <x:v>OPEN</x:v>
      </x:c>
    </x:row>
    <x:row r="742">
      <x:c r="B742" t="str">
        <x:v>PH-TG-198-G</x:v>
      </x:c>
      <x:c r="C742" t="str">
        <x:v>PHYSICAL</x:v>
      </x:c>
      <x:c r="D742" t="str">
        <x:v>terrain geometry</x:v>
      </x:c>
      <x:c r="E742" t="n">
        <x:f>IF('Terrain Field'!J204&lt;&gt;"",1,0)</x:f>
        <x:v>0</x:v>
      </x:c>
      <x:c r="F742" t="n">
        <x:v>1</x:v>
      </x:c>
      <x:c r="G742" t="str">
        <x:v>equals</x:v>
      </x:c>
      <x:c r="H742" t="str">
        <x:v>independent physical acceptance</x:v>
      </x:c>
      <x:c r="I742" t="str">
        <x:f>IF(E742=1,"PASS","OPEN")</x:f>
        <x:v>OPEN</x:v>
      </x:c>
    </x:row>
    <x:row r="743">
      <x:c r="B743" t="str">
        <x:v>PH-TG-198-L</x:v>
      </x:c>
      <x:c r="C743" t="str">
        <x:v>PHYSICAL</x:v>
      </x:c>
      <x:c r="D743" t="str">
        <x:v>terrain load</x:v>
      </x:c>
      <x:c r="E743" t="n">
        <x:f>IF('Terrain Field'!K204&lt;&gt;"",1,0)</x:f>
        <x:v>0</x:v>
      </x:c>
      <x:c r="F743" t="n">
        <x:v>1</x:v>
      </x:c>
      <x:c r="G743" t="str">
        <x:v>equals</x:v>
      </x:c>
      <x:c r="H743" t="str">
        <x:v>independent physical acceptance</x:v>
      </x:c>
      <x:c r="I743" t="str">
        <x:f>IF(E743=1,"PASS","OPEN")</x:f>
        <x:v>OPEN</x:v>
      </x:c>
    </x:row>
    <x:row r="744">
      <x:c r="B744" t="str">
        <x:v>PH-TG-199-G</x:v>
      </x:c>
      <x:c r="C744" t="str">
        <x:v>PHYSICAL</x:v>
      </x:c>
      <x:c r="D744" t="str">
        <x:v>terrain geometry</x:v>
      </x:c>
      <x:c r="E744" t="n">
        <x:f>IF('Terrain Field'!J205&lt;&gt;"",1,0)</x:f>
        <x:v>0</x:v>
      </x:c>
      <x:c r="F744" t="n">
        <x:v>1</x:v>
      </x:c>
      <x:c r="G744" t="str">
        <x:v>equals</x:v>
      </x:c>
      <x:c r="H744" t="str">
        <x:v>independent physical acceptance</x:v>
      </x:c>
      <x:c r="I744" t="str">
        <x:f>IF(E744=1,"PASS","OPEN")</x:f>
        <x:v>OPEN</x:v>
      </x:c>
    </x:row>
    <x:row r="745">
      <x:c r="B745" t="str">
        <x:v>PH-TG-199-L</x:v>
      </x:c>
      <x:c r="C745" t="str">
        <x:v>PHYSICAL</x:v>
      </x:c>
      <x:c r="D745" t="str">
        <x:v>terrain load</x:v>
      </x:c>
      <x:c r="E745" t="n">
        <x:f>IF('Terrain Field'!K205&lt;&gt;"",1,0)</x:f>
        <x:v>0</x:v>
      </x:c>
      <x:c r="F745" t="n">
        <x:v>1</x:v>
      </x:c>
      <x:c r="G745" t="str">
        <x:v>equals</x:v>
      </x:c>
      <x:c r="H745" t="str">
        <x:v>independent physical acceptance</x:v>
      </x:c>
      <x:c r="I745" t="str">
        <x:f>IF(E745=1,"PASS","OPEN")</x:f>
        <x:v>OPEN</x:v>
      </x:c>
    </x:row>
    <x:row r="746">
      <x:c r="B746" t="str">
        <x:v>PH-TG-200-G</x:v>
      </x:c>
      <x:c r="C746" t="str">
        <x:v>PHYSICAL</x:v>
      </x:c>
      <x:c r="D746" t="str">
        <x:v>terrain geometry</x:v>
      </x:c>
      <x:c r="E746" t="n">
        <x:f>IF('Terrain Field'!J206&lt;&gt;"",1,0)</x:f>
        <x:v>0</x:v>
      </x:c>
      <x:c r="F746" t="n">
        <x:v>1</x:v>
      </x:c>
      <x:c r="G746" t="str">
        <x:v>equals</x:v>
      </x:c>
      <x:c r="H746" t="str">
        <x:v>independent physical acceptance</x:v>
      </x:c>
      <x:c r="I746" t="str">
        <x:f>IF(E746=1,"PASS","OPEN")</x:f>
        <x:v>OPEN</x:v>
      </x:c>
    </x:row>
    <x:row r="747">
      <x:c r="B747" t="str">
        <x:v>PH-TG-200-L</x:v>
      </x:c>
      <x:c r="C747" t="str">
        <x:v>PHYSICAL</x:v>
      </x:c>
      <x:c r="D747" t="str">
        <x:v>terrain load</x:v>
      </x:c>
      <x:c r="E747" t="n">
        <x:f>IF('Terrain Field'!K206&lt;&gt;"",1,0)</x:f>
        <x:v>0</x:v>
      </x:c>
      <x:c r="F747" t="n">
        <x:v>1</x:v>
      </x:c>
      <x:c r="G747" t="str">
        <x:v>equals</x:v>
      </x:c>
      <x:c r="H747" t="str">
        <x:v>independent physical acceptance</x:v>
      </x:c>
      <x:c r="I747" t="str">
        <x:f>IF(E747=1,"PASS","OPEN")</x:f>
        <x:v>OPEN</x:v>
      </x:c>
    </x:row>
    <x:row r="748">
      <x:c r="B748" t="str">
        <x:v>PH-TG-201-G</x:v>
      </x:c>
      <x:c r="C748" t="str">
        <x:v>PHYSICAL</x:v>
      </x:c>
      <x:c r="D748" t="str">
        <x:v>terrain geometry</x:v>
      </x:c>
      <x:c r="E748" t="n">
        <x:f>IF('Terrain Field'!J207&lt;&gt;"",1,0)</x:f>
        <x:v>0</x:v>
      </x:c>
      <x:c r="F748" t="n">
        <x:v>1</x:v>
      </x:c>
      <x:c r="G748" t="str">
        <x:v>equals</x:v>
      </x:c>
      <x:c r="H748" t="str">
        <x:v>independent physical acceptance</x:v>
      </x:c>
      <x:c r="I748" t="str">
        <x:f>IF(E748=1,"PASS","OPEN")</x:f>
        <x:v>OPEN</x:v>
      </x:c>
    </x:row>
    <x:row r="749">
      <x:c r="B749" t="str">
        <x:v>PH-TG-201-L</x:v>
      </x:c>
      <x:c r="C749" t="str">
        <x:v>PHYSICAL</x:v>
      </x:c>
      <x:c r="D749" t="str">
        <x:v>terrain load</x:v>
      </x:c>
      <x:c r="E749" t="n">
        <x:f>IF('Terrain Field'!K207&lt;&gt;"",1,0)</x:f>
        <x:v>0</x:v>
      </x:c>
      <x:c r="F749" t="n">
        <x:v>1</x:v>
      </x:c>
      <x:c r="G749" t="str">
        <x:v>equals</x:v>
      </x:c>
      <x:c r="H749" t="str">
        <x:v>independent physical acceptance</x:v>
      </x:c>
      <x:c r="I749" t="str">
        <x:f>IF(E749=1,"PASS","OPEN")</x:f>
        <x:v>OPEN</x:v>
      </x:c>
    </x:row>
    <x:row r="750">
      <x:c r="B750" t="str">
        <x:v>PH-TG-202-G</x:v>
      </x:c>
      <x:c r="C750" t="str">
        <x:v>PHYSICAL</x:v>
      </x:c>
      <x:c r="D750" t="str">
        <x:v>terrain geometry</x:v>
      </x:c>
      <x:c r="E750" t="n">
        <x:f>IF('Terrain Field'!J208&lt;&gt;"",1,0)</x:f>
        <x:v>0</x:v>
      </x:c>
      <x:c r="F750" t="n">
        <x:v>1</x:v>
      </x:c>
      <x:c r="G750" t="str">
        <x:v>equals</x:v>
      </x:c>
      <x:c r="H750" t="str">
        <x:v>independent physical acceptance</x:v>
      </x:c>
      <x:c r="I750" t="str">
        <x:f>IF(E750=1,"PASS","OPEN")</x:f>
        <x:v>OPEN</x:v>
      </x:c>
    </x:row>
    <x:row r="751">
      <x:c r="B751" t="str">
        <x:v>PH-TG-202-L</x:v>
      </x:c>
      <x:c r="C751" t="str">
        <x:v>PHYSICAL</x:v>
      </x:c>
      <x:c r="D751" t="str">
        <x:v>terrain load</x:v>
      </x:c>
      <x:c r="E751" t="n">
        <x:f>IF('Terrain Field'!K208&lt;&gt;"",1,0)</x:f>
        <x:v>0</x:v>
      </x:c>
      <x:c r="F751" t="n">
        <x:v>1</x:v>
      </x:c>
      <x:c r="G751" t="str">
        <x:v>equals</x:v>
      </x:c>
      <x:c r="H751" t="str">
        <x:v>independent physical acceptance</x:v>
      </x:c>
      <x:c r="I751" t="str">
        <x:f>IF(E751=1,"PASS","OPEN")</x:f>
        <x:v>OPEN</x:v>
      </x:c>
    </x:row>
    <x:row r="752">
      <x:c r="B752" t="str">
        <x:v>PH-TG-203-G</x:v>
      </x:c>
      <x:c r="C752" t="str">
        <x:v>PHYSICAL</x:v>
      </x:c>
      <x:c r="D752" t="str">
        <x:v>terrain geometry</x:v>
      </x:c>
      <x:c r="E752" t="n">
        <x:f>IF('Terrain Field'!J209&lt;&gt;"",1,0)</x:f>
        <x:v>0</x:v>
      </x:c>
      <x:c r="F752" t="n">
        <x:v>1</x:v>
      </x:c>
      <x:c r="G752" t="str">
        <x:v>equals</x:v>
      </x:c>
      <x:c r="H752" t="str">
        <x:v>independent physical acceptance</x:v>
      </x:c>
      <x:c r="I752" t="str">
        <x:f>IF(E752=1,"PASS","OPEN")</x:f>
        <x:v>OPEN</x:v>
      </x:c>
    </x:row>
    <x:row r="753">
      <x:c r="B753" t="str">
        <x:v>PH-TG-203-L</x:v>
      </x:c>
      <x:c r="C753" t="str">
        <x:v>PHYSICAL</x:v>
      </x:c>
      <x:c r="D753" t="str">
        <x:v>terrain load</x:v>
      </x:c>
      <x:c r="E753" t="n">
        <x:f>IF('Terrain Field'!K209&lt;&gt;"",1,0)</x:f>
        <x:v>0</x:v>
      </x:c>
      <x:c r="F753" t="n">
        <x:v>1</x:v>
      </x:c>
      <x:c r="G753" t="str">
        <x:v>equals</x:v>
      </x:c>
      <x:c r="H753" t="str">
        <x:v>independent physical acceptance</x:v>
      </x:c>
      <x:c r="I753" t="str">
        <x:f>IF(E753=1,"PASS","OPEN")</x:f>
        <x:v>OPEN</x:v>
      </x:c>
    </x:row>
    <x:row r="754">
      <x:c r="B754" t="str">
        <x:v>PH-TG-204-G</x:v>
      </x:c>
      <x:c r="C754" t="str">
        <x:v>PHYSICAL</x:v>
      </x:c>
      <x:c r="D754" t="str">
        <x:v>terrain geometry</x:v>
      </x:c>
      <x:c r="E754" t="n">
        <x:f>IF('Terrain Field'!J210&lt;&gt;"",1,0)</x:f>
        <x:v>0</x:v>
      </x:c>
      <x:c r="F754" t="n">
        <x:v>1</x:v>
      </x:c>
      <x:c r="G754" t="str">
        <x:v>equals</x:v>
      </x:c>
      <x:c r="H754" t="str">
        <x:v>independent physical acceptance</x:v>
      </x:c>
      <x:c r="I754" t="str">
        <x:f>IF(E754=1,"PASS","OPEN")</x:f>
        <x:v>OPEN</x:v>
      </x:c>
    </x:row>
    <x:row r="755">
      <x:c r="B755" t="str">
        <x:v>PH-TG-204-L</x:v>
      </x:c>
      <x:c r="C755" t="str">
        <x:v>PHYSICAL</x:v>
      </x:c>
      <x:c r="D755" t="str">
        <x:v>terrain load</x:v>
      </x:c>
      <x:c r="E755" t="n">
        <x:f>IF('Terrain Field'!K210&lt;&gt;"",1,0)</x:f>
        <x:v>0</x:v>
      </x:c>
      <x:c r="F755" t="n">
        <x:v>1</x:v>
      </x:c>
      <x:c r="G755" t="str">
        <x:v>equals</x:v>
      </x:c>
      <x:c r="H755" t="str">
        <x:v>independent physical acceptance</x:v>
      </x:c>
      <x:c r="I755" t="str">
        <x:f>IF(E755=1,"PASS","OPEN")</x:f>
        <x:v>OPEN</x:v>
      </x:c>
    </x:row>
    <x:row r="756">
      <x:c r="B756" t="str">
        <x:v>PH-TG-205-G</x:v>
      </x:c>
      <x:c r="C756" t="str">
        <x:v>PHYSICAL</x:v>
      </x:c>
      <x:c r="D756" t="str">
        <x:v>terrain geometry</x:v>
      </x:c>
      <x:c r="E756" t="n">
        <x:f>IF('Terrain Field'!J211&lt;&gt;"",1,0)</x:f>
        <x:v>0</x:v>
      </x:c>
      <x:c r="F756" t="n">
        <x:v>1</x:v>
      </x:c>
      <x:c r="G756" t="str">
        <x:v>equals</x:v>
      </x:c>
      <x:c r="H756" t="str">
        <x:v>independent physical acceptance</x:v>
      </x:c>
      <x:c r="I756" t="str">
        <x:f>IF(E756=1,"PASS","OPEN")</x:f>
        <x:v>OPEN</x:v>
      </x:c>
    </x:row>
    <x:row r="757">
      <x:c r="B757" t="str">
        <x:v>PH-TG-205-L</x:v>
      </x:c>
      <x:c r="C757" t="str">
        <x:v>PHYSICAL</x:v>
      </x:c>
      <x:c r="D757" t="str">
        <x:v>terrain load</x:v>
      </x:c>
      <x:c r="E757" t="n">
        <x:f>IF('Terrain Field'!K211&lt;&gt;"",1,0)</x:f>
        <x:v>0</x:v>
      </x:c>
      <x:c r="F757" t="n">
        <x:v>1</x:v>
      </x:c>
      <x:c r="G757" t="str">
        <x:v>equals</x:v>
      </x:c>
      <x:c r="H757" t="str">
        <x:v>independent physical acceptance</x:v>
      </x:c>
      <x:c r="I757" t="str">
        <x:f>IF(E757=1,"PASS","OPEN")</x:f>
        <x:v>OPEN</x:v>
      </x:c>
    </x:row>
    <x:row r="758">
      <x:c r="B758" t="str">
        <x:v>PH-TG-206-G</x:v>
      </x:c>
      <x:c r="C758" t="str">
        <x:v>PHYSICAL</x:v>
      </x:c>
      <x:c r="D758" t="str">
        <x:v>terrain geometry</x:v>
      </x:c>
      <x:c r="E758" t="n">
        <x:f>IF('Terrain Field'!J212&lt;&gt;"",1,0)</x:f>
        <x:v>0</x:v>
      </x:c>
      <x:c r="F758" t="n">
        <x:v>1</x:v>
      </x:c>
      <x:c r="G758" t="str">
        <x:v>equals</x:v>
      </x:c>
      <x:c r="H758" t="str">
        <x:v>independent physical acceptance</x:v>
      </x:c>
      <x:c r="I758" t="str">
        <x:f>IF(E758=1,"PASS","OPEN")</x:f>
        <x:v>OPEN</x:v>
      </x:c>
    </x:row>
    <x:row r="759">
      <x:c r="B759" t="str">
        <x:v>PH-TG-206-L</x:v>
      </x:c>
      <x:c r="C759" t="str">
        <x:v>PHYSICAL</x:v>
      </x:c>
      <x:c r="D759" t="str">
        <x:v>terrain load</x:v>
      </x:c>
      <x:c r="E759" t="n">
        <x:f>IF('Terrain Field'!K212&lt;&gt;"",1,0)</x:f>
        <x:v>0</x:v>
      </x:c>
      <x:c r="F759" t="n">
        <x:v>1</x:v>
      </x:c>
      <x:c r="G759" t="str">
        <x:v>equals</x:v>
      </x:c>
      <x:c r="H759" t="str">
        <x:v>independent physical acceptance</x:v>
      </x:c>
      <x:c r="I759" t="str">
        <x:f>IF(E759=1,"PASS","OPEN")</x:f>
        <x:v>OPEN</x:v>
      </x:c>
    </x:row>
    <x:row r="760">
      <x:c r="B760" t="str">
        <x:v>PH-TG-207-G</x:v>
      </x:c>
      <x:c r="C760" t="str">
        <x:v>PHYSICAL</x:v>
      </x:c>
      <x:c r="D760" t="str">
        <x:v>terrain geometry</x:v>
      </x:c>
      <x:c r="E760" t="n">
        <x:f>IF('Terrain Field'!J213&lt;&gt;"",1,0)</x:f>
        <x:v>0</x:v>
      </x:c>
      <x:c r="F760" t="n">
        <x:v>1</x:v>
      </x:c>
      <x:c r="G760" t="str">
        <x:v>equals</x:v>
      </x:c>
      <x:c r="H760" t="str">
        <x:v>independent physical acceptance</x:v>
      </x:c>
      <x:c r="I760" t="str">
        <x:f>IF(E760=1,"PASS","OPEN")</x:f>
        <x:v>OPEN</x:v>
      </x:c>
    </x:row>
    <x:row r="761">
      <x:c r="B761" t="str">
        <x:v>PH-TG-207-L</x:v>
      </x:c>
      <x:c r="C761" t="str">
        <x:v>PHYSICAL</x:v>
      </x:c>
      <x:c r="D761" t="str">
        <x:v>terrain load</x:v>
      </x:c>
      <x:c r="E761" t="n">
        <x:f>IF('Terrain Field'!K213&lt;&gt;"",1,0)</x:f>
        <x:v>0</x:v>
      </x:c>
      <x:c r="F761" t="n">
        <x:v>1</x:v>
      </x:c>
      <x:c r="G761" t="str">
        <x:v>equals</x:v>
      </x:c>
      <x:c r="H761" t="str">
        <x:v>independent physical acceptance</x:v>
      </x:c>
      <x:c r="I761" t="str">
        <x:f>IF(E761=1,"PASS","OPEN")</x:f>
        <x:v>OPEN</x:v>
      </x:c>
    </x:row>
    <x:row r="762">
      <x:c r="B762" t="str">
        <x:v>PH-TG-208-G</x:v>
      </x:c>
      <x:c r="C762" t="str">
        <x:v>PHYSICAL</x:v>
      </x:c>
      <x:c r="D762" t="str">
        <x:v>terrain geometry</x:v>
      </x:c>
      <x:c r="E762" t="n">
        <x:f>IF('Terrain Field'!J214&lt;&gt;"",1,0)</x:f>
        <x:v>0</x:v>
      </x:c>
      <x:c r="F762" t="n">
        <x:v>1</x:v>
      </x:c>
      <x:c r="G762" t="str">
        <x:v>equals</x:v>
      </x:c>
      <x:c r="H762" t="str">
        <x:v>independent physical acceptance</x:v>
      </x:c>
      <x:c r="I762" t="str">
        <x:f>IF(E762=1,"PASS","OPEN")</x:f>
        <x:v>OPEN</x:v>
      </x:c>
    </x:row>
    <x:row r="763">
      <x:c r="B763" t="str">
        <x:v>PH-TG-208-L</x:v>
      </x:c>
      <x:c r="C763" t="str">
        <x:v>PHYSICAL</x:v>
      </x:c>
      <x:c r="D763" t="str">
        <x:v>terrain load</x:v>
      </x:c>
      <x:c r="E763" t="n">
        <x:f>IF('Terrain Field'!K214&lt;&gt;"",1,0)</x:f>
        <x:v>0</x:v>
      </x:c>
      <x:c r="F763" t="n">
        <x:v>1</x:v>
      </x:c>
      <x:c r="G763" t="str">
        <x:v>equals</x:v>
      </x:c>
      <x:c r="H763" t="str">
        <x:v>independent physical acceptance</x:v>
      </x:c>
      <x:c r="I763" t="str">
        <x:f>IF(E763=1,"PASS","OPEN")</x:f>
        <x:v>OPEN</x:v>
      </x:c>
    </x:row>
    <x:row r="764">
      <x:c r="B764" t="str">
        <x:v>PH-TG-209-G</x:v>
      </x:c>
      <x:c r="C764" t="str">
        <x:v>PHYSICAL</x:v>
      </x:c>
      <x:c r="D764" t="str">
        <x:v>terrain geometry</x:v>
      </x:c>
      <x:c r="E764" t="n">
        <x:f>IF('Terrain Field'!J215&lt;&gt;"",1,0)</x:f>
        <x:v>0</x:v>
      </x:c>
      <x:c r="F764" t="n">
        <x:v>1</x:v>
      </x:c>
      <x:c r="G764" t="str">
        <x:v>equals</x:v>
      </x:c>
      <x:c r="H764" t="str">
        <x:v>independent physical acceptance</x:v>
      </x:c>
      <x:c r="I764" t="str">
        <x:f>IF(E764=1,"PASS","OPEN")</x:f>
        <x:v>OPEN</x:v>
      </x:c>
    </x:row>
    <x:row r="765">
      <x:c r="B765" t="str">
        <x:v>PH-TG-209-L</x:v>
      </x:c>
      <x:c r="C765" t="str">
        <x:v>PHYSICAL</x:v>
      </x:c>
      <x:c r="D765" t="str">
        <x:v>terrain load</x:v>
      </x:c>
      <x:c r="E765" t="n">
        <x:f>IF('Terrain Field'!K215&lt;&gt;"",1,0)</x:f>
        <x:v>0</x:v>
      </x:c>
      <x:c r="F765" t="n">
        <x:v>1</x:v>
      </x:c>
      <x:c r="G765" t="str">
        <x:v>equals</x:v>
      </x:c>
      <x:c r="H765" t="str">
        <x:v>independent physical acceptance</x:v>
      </x:c>
      <x:c r="I765" t="str">
        <x:f>IF(E765=1,"PASS","OPEN")</x:f>
        <x:v>OPEN</x:v>
      </x:c>
    </x:row>
    <x:row r="766">
      <x:c r="B766" t="str">
        <x:v>PH-TG-210-G</x:v>
      </x:c>
      <x:c r="C766" t="str">
        <x:v>PHYSICAL</x:v>
      </x:c>
      <x:c r="D766" t="str">
        <x:v>terrain geometry</x:v>
      </x:c>
      <x:c r="E766" t="n">
        <x:f>IF('Terrain Field'!J216&lt;&gt;"",1,0)</x:f>
        <x:v>0</x:v>
      </x:c>
      <x:c r="F766" t="n">
        <x:v>1</x:v>
      </x:c>
      <x:c r="G766" t="str">
        <x:v>equals</x:v>
      </x:c>
      <x:c r="H766" t="str">
        <x:v>independent physical acceptance</x:v>
      </x:c>
      <x:c r="I766" t="str">
        <x:f>IF(E766=1,"PASS","OPEN")</x:f>
        <x:v>OPEN</x:v>
      </x:c>
    </x:row>
    <x:row r="767">
      <x:c r="B767" t="str">
        <x:v>PH-TG-210-L</x:v>
      </x:c>
      <x:c r="C767" t="str">
        <x:v>PHYSICAL</x:v>
      </x:c>
      <x:c r="D767" t="str">
        <x:v>terrain load</x:v>
      </x:c>
      <x:c r="E767" t="n">
        <x:f>IF('Terrain Field'!K216&lt;&gt;"",1,0)</x:f>
        <x:v>0</x:v>
      </x:c>
      <x:c r="F767" t="n">
        <x:v>1</x:v>
      </x:c>
      <x:c r="G767" t="str">
        <x:v>equals</x:v>
      </x:c>
      <x:c r="H767" t="str">
        <x:v>independent physical acceptance</x:v>
      </x:c>
      <x:c r="I767" t="str">
        <x:f>IF(E767=1,"PASS","OPEN")</x:f>
        <x:v>OPEN</x:v>
      </x:c>
    </x:row>
    <x:row r="768">
      <x:c r="B768" t="str">
        <x:v>PH-TG-211-G</x:v>
      </x:c>
      <x:c r="C768" t="str">
        <x:v>PHYSICAL</x:v>
      </x:c>
      <x:c r="D768" t="str">
        <x:v>terrain geometry</x:v>
      </x:c>
      <x:c r="E768" t="n">
        <x:f>IF('Terrain Field'!J217&lt;&gt;"",1,0)</x:f>
        <x:v>0</x:v>
      </x:c>
      <x:c r="F768" t="n">
        <x:v>1</x:v>
      </x:c>
      <x:c r="G768" t="str">
        <x:v>equals</x:v>
      </x:c>
      <x:c r="H768" t="str">
        <x:v>independent physical acceptance</x:v>
      </x:c>
      <x:c r="I768" t="str">
        <x:f>IF(E768=1,"PASS","OPEN")</x:f>
        <x:v>OPEN</x:v>
      </x:c>
    </x:row>
    <x:row r="769">
      <x:c r="B769" t="str">
        <x:v>PH-TG-211-L</x:v>
      </x:c>
      <x:c r="C769" t="str">
        <x:v>PHYSICAL</x:v>
      </x:c>
      <x:c r="D769" t="str">
        <x:v>terrain load</x:v>
      </x:c>
      <x:c r="E769" t="n">
        <x:f>IF('Terrain Field'!K217&lt;&gt;"",1,0)</x:f>
        <x:v>0</x:v>
      </x:c>
      <x:c r="F769" t="n">
        <x:v>1</x:v>
      </x:c>
      <x:c r="G769" t="str">
        <x:v>equals</x:v>
      </x:c>
      <x:c r="H769" t="str">
        <x:v>independent physical acceptance</x:v>
      </x:c>
      <x:c r="I769" t="str">
        <x:f>IF(E769=1,"PASS","OPEN")</x:f>
        <x:v>OPEN</x:v>
      </x:c>
    </x:row>
    <x:row r="770">
      <x:c r="B770" t="str">
        <x:v>PH-TG-212-G</x:v>
      </x:c>
      <x:c r="C770" t="str">
        <x:v>PHYSICAL</x:v>
      </x:c>
      <x:c r="D770" t="str">
        <x:v>terrain geometry</x:v>
      </x:c>
      <x:c r="E770" t="n">
        <x:f>IF('Terrain Field'!J218&lt;&gt;"",1,0)</x:f>
        <x:v>0</x:v>
      </x:c>
      <x:c r="F770" t="n">
        <x:v>1</x:v>
      </x:c>
      <x:c r="G770" t="str">
        <x:v>equals</x:v>
      </x:c>
      <x:c r="H770" t="str">
        <x:v>independent physical acceptance</x:v>
      </x:c>
      <x:c r="I770" t="str">
        <x:f>IF(E770=1,"PASS","OPEN")</x:f>
        <x:v>OPEN</x:v>
      </x:c>
    </x:row>
    <x:row r="771">
      <x:c r="B771" t="str">
        <x:v>PH-TG-212-L</x:v>
      </x:c>
      <x:c r="C771" t="str">
        <x:v>PHYSICAL</x:v>
      </x:c>
      <x:c r="D771" t="str">
        <x:v>terrain load</x:v>
      </x:c>
      <x:c r="E771" t="n">
        <x:f>IF('Terrain Field'!K218&lt;&gt;"",1,0)</x:f>
        <x:v>0</x:v>
      </x:c>
      <x:c r="F771" t="n">
        <x:v>1</x:v>
      </x:c>
      <x:c r="G771" t="str">
        <x:v>equals</x:v>
      </x:c>
      <x:c r="H771" t="str">
        <x:v>independent physical acceptance</x:v>
      </x:c>
      <x:c r="I771" t="str">
        <x:f>IF(E771=1,"PASS","OPEN")</x:f>
        <x:v>OPEN</x:v>
      </x:c>
    </x:row>
    <x:row r="772">
      <x:c r="B772" t="str">
        <x:v>PH-TG-213-G</x:v>
      </x:c>
      <x:c r="C772" t="str">
        <x:v>PHYSICAL</x:v>
      </x:c>
      <x:c r="D772" t="str">
        <x:v>terrain geometry</x:v>
      </x:c>
      <x:c r="E772" t="n">
        <x:f>IF('Terrain Field'!J219&lt;&gt;"",1,0)</x:f>
        <x:v>0</x:v>
      </x:c>
      <x:c r="F772" t="n">
        <x:v>1</x:v>
      </x:c>
      <x:c r="G772" t="str">
        <x:v>equals</x:v>
      </x:c>
      <x:c r="H772" t="str">
        <x:v>independent physical acceptance</x:v>
      </x:c>
      <x:c r="I772" t="str">
        <x:f>IF(E772=1,"PASS","OPEN")</x:f>
        <x:v>OPEN</x:v>
      </x:c>
    </x:row>
    <x:row r="773">
      <x:c r="B773" t="str">
        <x:v>PH-TG-213-L</x:v>
      </x:c>
      <x:c r="C773" t="str">
        <x:v>PHYSICAL</x:v>
      </x:c>
      <x:c r="D773" t="str">
        <x:v>terrain load</x:v>
      </x:c>
      <x:c r="E773" t="n">
        <x:f>IF('Terrain Field'!K219&lt;&gt;"",1,0)</x:f>
        <x:v>0</x:v>
      </x:c>
      <x:c r="F773" t="n">
        <x:v>1</x:v>
      </x:c>
      <x:c r="G773" t="str">
        <x:v>equals</x:v>
      </x:c>
      <x:c r="H773" t="str">
        <x:v>independent physical acceptance</x:v>
      </x:c>
      <x:c r="I773" t="str">
        <x:f>IF(E773=1,"PASS","OPEN")</x:f>
        <x:v>OPEN</x:v>
      </x:c>
    </x:row>
    <x:row r="774">
      <x:c r="B774" t="str">
        <x:v>PH-TG-214-G</x:v>
      </x:c>
      <x:c r="C774" t="str">
        <x:v>PHYSICAL</x:v>
      </x:c>
      <x:c r="D774" t="str">
        <x:v>terrain geometry</x:v>
      </x:c>
      <x:c r="E774" t="n">
        <x:f>IF('Terrain Field'!J220&lt;&gt;"",1,0)</x:f>
        <x:v>0</x:v>
      </x:c>
      <x:c r="F774" t="n">
        <x:v>1</x:v>
      </x:c>
      <x:c r="G774" t="str">
        <x:v>equals</x:v>
      </x:c>
      <x:c r="H774" t="str">
        <x:v>independent physical acceptance</x:v>
      </x:c>
      <x:c r="I774" t="str">
        <x:f>IF(E774=1,"PASS","OPEN")</x:f>
        <x:v>OPEN</x:v>
      </x:c>
    </x:row>
    <x:row r="775">
      <x:c r="B775" t="str">
        <x:v>PH-TG-214-L</x:v>
      </x:c>
      <x:c r="C775" t="str">
        <x:v>PHYSICAL</x:v>
      </x:c>
      <x:c r="D775" t="str">
        <x:v>terrain load</x:v>
      </x:c>
      <x:c r="E775" t="n">
        <x:f>IF('Terrain Field'!K220&lt;&gt;"",1,0)</x:f>
        <x:v>0</x:v>
      </x:c>
      <x:c r="F775" t="n">
        <x:v>1</x:v>
      </x:c>
      <x:c r="G775" t="str">
        <x:v>equals</x:v>
      </x:c>
      <x:c r="H775" t="str">
        <x:v>independent physical acceptance</x:v>
      </x:c>
      <x:c r="I775" t="str">
        <x:f>IF(E775=1,"PASS","OPEN")</x:f>
        <x:v>OPEN</x:v>
      </x:c>
    </x:row>
    <x:row r="776">
      <x:c r="B776" t="str">
        <x:v>PH-TG-215-G</x:v>
      </x:c>
      <x:c r="C776" t="str">
        <x:v>PHYSICAL</x:v>
      </x:c>
      <x:c r="D776" t="str">
        <x:v>terrain geometry</x:v>
      </x:c>
      <x:c r="E776" t="n">
        <x:f>IF('Terrain Field'!J221&lt;&gt;"",1,0)</x:f>
        <x:v>0</x:v>
      </x:c>
      <x:c r="F776" t="n">
        <x:v>1</x:v>
      </x:c>
      <x:c r="G776" t="str">
        <x:v>equals</x:v>
      </x:c>
      <x:c r="H776" t="str">
        <x:v>independent physical acceptance</x:v>
      </x:c>
      <x:c r="I776" t="str">
        <x:f>IF(E776=1,"PASS","OPEN")</x:f>
        <x:v>OPEN</x:v>
      </x:c>
    </x:row>
    <x:row r="777">
      <x:c r="B777" t="str">
        <x:v>PH-TG-215-L</x:v>
      </x:c>
      <x:c r="C777" t="str">
        <x:v>PHYSICAL</x:v>
      </x:c>
      <x:c r="D777" t="str">
        <x:v>terrain load</x:v>
      </x:c>
      <x:c r="E777" t="n">
        <x:f>IF('Terrain Field'!K221&lt;&gt;"",1,0)</x:f>
        <x:v>0</x:v>
      </x:c>
      <x:c r="F777" t="n">
        <x:v>1</x:v>
      </x:c>
      <x:c r="G777" t="str">
        <x:v>equals</x:v>
      </x:c>
      <x:c r="H777" t="str">
        <x:v>independent physical acceptance</x:v>
      </x:c>
      <x:c r="I777" t="str">
        <x:f>IF(E777=1,"PASS","OPEN")</x:f>
        <x:v>OPEN</x:v>
      </x:c>
    </x:row>
    <x:row r="778">
      <x:c r="B778" t="str">
        <x:v>PH-TG-216-G</x:v>
      </x:c>
      <x:c r="C778" t="str">
        <x:v>PHYSICAL</x:v>
      </x:c>
      <x:c r="D778" t="str">
        <x:v>terrain geometry</x:v>
      </x:c>
      <x:c r="E778" t="n">
        <x:f>IF('Terrain Field'!J222&lt;&gt;"",1,0)</x:f>
        <x:v>0</x:v>
      </x:c>
      <x:c r="F778" t="n">
        <x:v>1</x:v>
      </x:c>
      <x:c r="G778" t="str">
        <x:v>equals</x:v>
      </x:c>
      <x:c r="H778" t="str">
        <x:v>independent physical acceptance</x:v>
      </x:c>
      <x:c r="I778" t="str">
        <x:f>IF(E778=1,"PASS","OPEN")</x:f>
        <x:v>OPEN</x:v>
      </x:c>
    </x:row>
    <x:row r="779">
      <x:c r="B779" t="str">
        <x:v>PH-TG-216-L</x:v>
      </x:c>
      <x:c r="C779" t="str">
        <x:v>PHYSICAL</x:v>
      </x:c>
      <x:c r="D779" t="str">
        <x:v>terrain load</x:v>
      </x:c>
      <x:c r="E779" t="n">
        <x:f>IF('Terrain Field'!K222&lt;&gt;"",1,0)</x:f>
        <x:v>0</x:v>
      </x:c>
      <x:c r="F779" t="n">
        <x:v>1</x:v>
      </x:c>
      <x:c r="G779" t="str">
        <x:v>equals</x:v>
      </x:c>
      <x:c r="H779" t="str">
        <x:v>independent physical acceptance</x:v>
      </x:c>
      <x:c r="I779" t="str">
        <x:f>IF(E779=1,"PASS","OPEN")</x:f>
        <x:v>OPEN</x:v>
      </x:c>
    </x:row>
    <x:row r="780">
      <x:c r="B780" t="str">
        <x:v>PH-TG-217-G</x:v>
      </x:c>
      <x:c r="C780" t="str">
        <x:v>PHYSICAL</x:v>
      </x:c>
      <x:c r="D780" t="str">
        <x:v>terrain geometry</x:v>
      </x:c>
      <x:c r="E780" t="n">
        <x:f>IF('Terrain Field'!J223&lt;&gt;"",1,0)</x:f>
        <x:v>0</x:v>
      </x:c>
      <x:c r="F780" t="n">
        <x:v>1</x:v>
      </x:c>
      <x:c r="G780" t="str">
        <x:v>equals</x:v>
      </x:c>
      <x:c r="H780" t="str">
        <x:v>independent physical acceptance</x:v>
      </x:c>
      <x:c r="I780" t="str">
        <x:f>IF(E780=1,"PASS","OPEN")</x:f>
        <x:v>OPEN</x:v>
      </x:c>
    </x:row>
    <x:row r="781">
      <x:c r="B781" t="str">
        <x:v>PH-TG-217-L</x:v>
      </x:c>
      <x:c r="C781" t="str">
        <x:v>PHYSICAL</x:v>
      </x:c>
      <x:c r="D781" t="str">
        <x:v>terrain load</x:v>
      </x:c>
      <x:c r="E781" t="n">
        <x:f>IF('Terrain Field'!K223&lt;&gt;"",1,0)</x:f>
        <x:v>0</x:v>
      </x:c>
      <x:c r="F781" t="n">
        <x:v>1</x:v>
      </x:c>
      <x:c r="G781" t="str">
        <x:v>equals</x:v>
      </x:c>
      <x:c r="H781" t="str">
        <x:v>independent physical acceptance</x:v>
      </x:c>
      <x:c r="I781" t="str">
        <x:f>IF(E781=1,"PASS","OPEN")</x:f>
        <x:v>OPEN</x:v>
      </x:c>
    </x:row>
    <x:row r="782">
      <x:c r="B782" t="str">
        <x:v>PH-TG-218-G</x:v>
      </x:c>
      <x:c r="C782" t="str">
        <x:v>PHYSICAL</x:v>
      </x:c>
      <x:c r="D782" t="str">
        <x:v>terrain geometry</x:v>
      </x:c>
      <x:c r="E782" t="n">
        <x:f>IF('Terrain Field'!J224&lt;&gt;"",1,0)</x:f>
        <x:v>0</x:v>
      </x:c>
      <x:c r="F782" t="n">
        <x:v>1</x:v>
      </x:c>
      <x:c r="G782" t="str">
        <x:v>equals</x:v>
      </x:c>
      <x:c r="H782" t="str">
        <x:v>independent physical acceptance</x:v>
      </x:c>
      <x:c r="I782" t="str">
        <x:f>IF(E782=1,"PASS","OPEN")</x:f>
        <x:v>OPEN</x:v>
      </x:c>
    </x:row>
    <x:row r="783">
      <x:c r="B783" t="str">
        <x:v>PH-TG-218-L</x:v>
      </x:c>
      <x:c r="C783" t="str">
        <x:v>PHYSICAL</x:v>
      </x:c>
      <x:c r="D783" t="str">
        <x:v>terrain load</x:v>
      </x:c>
      <x:c r="E783" t="n">
        <x:f>IF('Terrain Field'!K224&lt;&gt;"",1,0)</x:f>
        <x:v>0</x:v>
      </x:c>
      <x:c r="F783" t="n">
        <x:v>1</x:v>
      </x:c>
      <x:c r="G783" t="str">
        <x:v>equals</x:v>
      </x:c>
      <x:c r="H783" t="str">
        <x:v>independent physical acceptance</x:v>
      </x:c>
      <x:c r="I783" t="str">
        <x:f>IF(E783=1,"PASS","OPEN")</x:f>
        <x:v>OPEN</x:v>
      </x:c>
    </x:row>
    <x:row r="784">
      <x:c r="B784" t="str">
        <x:v>PH-TG-219-G</x:v>
      </x:c>
      <x:c r="C784" t="str">
        <x:v>PHYSICAL</x:v>
      </x:c>
      <x:c r="D784" t="str">
        <x:v>terrain geometry</x:v>
      </x:c>
      <x:c r="E784" t="n">
        <x:f>IF('Terrain Field'!J225&lt;&gt;"",1,0)</x:f>
        <x:v>0</x:v>
      </x:c>
      <x:c r="F784" t="n">
        <x:v>1</x:v>
      </x:c>
      <x:c r="G784" t="str">
        <x:v>equals</x:v>
      </x:c>
      <x:c r="H784" t="str">
        <x:v>independent physical acceptance</x:v>
      </x:c>
      <x:c r="I784" t="str">
        <x:f>IF(E784=1,"PASS","OPEN")</x:f>
        <x:v>OPEN</x:v>
      </x:c>
    </x:row>
    <x:row r="785">
      <x:c r="B785" t="str">
        <x:v>PH-TG-219-L</x:v>
      </x:c>
      <x:c r="C785" t="str">
        <x:v>PHYSICAL</x:v>
      </x:c>
      <x:c r="D785" t="str">
        <x:v>terrain load</x:v>
      </x:c>
      <x:c r="E785" t="n">
        <x:f>IF('Terrain Field'!K225&lt;&gt;"",1,0)</x:f>
        <x:v>0</x:v>
      </x:c>
      <x:c r="F785" t="n">
        <x:v>1</x:v>
      </x:c>
      <x:c r="G785" t="str">
        <x:v>equals</x:v>
      </x:c>
      <x:c r="H785" t="str">
        <x:v>independent physical acceptance</x:v>
      </x:c>
      <x:c r="I785" t="str">
        <x:f>IF(E785=1,"PASS","OPEN")</x:f>
        <x:v>OPEN</x:v>
      </x:c>
    </x:row>
    <x:row r="786">
      <x:c r="B786" t="str">
        <x:v>PH-TG-220-G</x:v>
      </x:c>
      <x:c r="C786" t="str">
        <x:v>PHYSICAL</x:v>
      </x:c>
      <x:c r="D786" t="str">
        <x:v>terrain geometry</x:v>
      </x:c>
      <x:c r="E786" t="n">
        <x:f>IF('Terrain Field'!J226&lt;&gt;"",1,0)</x:f>
        <x:v>0</x:v>
      </x:c>
      <x:c r="F786" t="n">
        <x:v>1</x:v>
      </x:c>
      <x:c r="G786" t="str">
        <x:v>equals</x:v>
      </x:c>
      <x:c r="H786" t="str">
        <x:v>independent physical acceptance</x:v>
      </x:c>
      <x:c r="I786" t="str">
        <x:f>IF(E786=1,"PASS","OPEN")</x:f>
        <x:v>OPEN</x:v>
      </x:c>
    </x:row>
    <x:row r="787">
      <x:c r="B787" t="str">
        <x:v>PH-TG-220-L</x:v>
      </x:c>
      <x:c r="C787" t="str">
        <x:v>PHYSICAL</x:v>
      </x:c>
      <x:c r="D787" t="str">
        <x:v>terrain load</x:v>
      </x:c>
      <x:c r="E787" t="n">
        <x:f>IF('Terrain Field'!K226&lt;&gt;"",1,0)</x:f>
        <x:v>0</x:v>
      </x:c>
      <x:c r="F787" t="n">
        <x:v>1</x:v>
      </x:c>
      <x:c r="G787" t="str">
        <x:v>equals</x:v>
      </x:c>
      <x:c r="H787" t="str">
        <x:v>independent physical acceptance</x:v>
      </x:c>
      <x:c r="I787" t="str">
        <x:f>IF(E787=1,"PASS","OPEN")</x:f>
        <x:v>OPEN</x:v>
      </x:c>
    </x:row>
    <x:row r="788">
      <x:c r="B788" t="str">
        <x:v>PH-TG-221-G</x:v>
      </x:c>
      <x:c r="C788" t="str">
        <x:v>PHYSICAL</x:v>
      </x:c>
      <x:c r="D788" t="str">
        <x:v>terrain geometry</x:v>
      </x:c>
      <x:c r="E788" t="n">
        <x:f>IF('Terrain Field'!J227&lt;&gt;"",1,0)</x:f>
        <x:v>0</x:v>
      </x:c>
      <x:c r="F788" t="n">
        <x:v>1</x:v>
      </x:c>
      <x:c r="G788" t="str">
        <x:v>equals</x:v>
      </x:c>
      <x:c r="H788" t="str">
        <x:v>independent physical acceptance</x:v>
      </x:c>
      <x:c r="I788" t="str">
        <x:f>IF(E788=1,"PASS","OPEN")</x:f>
        <x:v>OPEN</x:v>
      </x:c>
    </x:row>
    <x:row r="789">
      <x:c r="B789" t="str">
        <x:v>PH-TG-221-L</x:v>
      </x:c>
      <x:c r="C789" t="str">
        <x:v>PHYSICAL</x:v>
      </x:c>
      <x:c r="D789" t="str">
        <x:v>terrain load</x:v>
      </x:c>
      <x:c r="E789" t="n">
        <x:f>IF('Terrain Field'!K227&lt;&gt;"",1,0)</x:f>
        <x:v>0</x:v>
      </x:c>
      <x:c r="F789" t="n">
        <x:v>1</x:v>
      </x:c>
      <x:c r="G789" t="str">
        <x:v>equals</x:v>
      </x:c>
      <x:c r="H789" t="str">
        <x:v>independent physical acceptance</x:v>
      </x:c>
      <x:c r="I789" t="str">
        <x:f>IF(E789=1,"PASS","OPEN")</x:f>
        <x:v>OPEN</x:v>
      </x:c>
    </x:row>
    <x:row r="790">
      <x:c r="B790" t="str">
        <x:v>PH-TG-222-G</x:v>
      </x:c>
      <x:c r="C790" t="str">
        <x:v>PHYSICAL</x:v>
      </x:c>
      <x:c r="D790" t="str">
        <x:v>terrain geometry</x:v>
      </x:c>
      <x:c r="E790" t="n">
        <x:f>IF('Terrain Field'!J228&lt;&gt;"",1,0)</x:f>
        <x:v>0</x:v>
      </x:c>
      <x:c r="F790" t="n">
        <x:v>1</x:v>
      </x:c>
      <x:c r="G790" t="str">
        <x:v>equals</x:v>
      </x:c>
      <x:c r="H790" t="str">
        <x:v>independent physical acceptance</x:v>
      </x:c>
      <x:c r="I790" t="str">
        <x:f>IF(E790=1,"PASS","OPEN")</x:f>
        <x:v>OPEN</x:v>
      </x:c>
    </x:row>
    <x:row r="791">
      <x:c r="B791" t="str">
        <x:v>PH-TG-222-L</x:v>
      </x:c>
      <x:c r="C791" t="str">
        <x:v>PHYSICAL</x:v>
      </x:c>
      <x:c r="D791" t="str">
        <x:v>terrain load</x:v>
      </x:c>
      <x:c r="E791" t="n">
        <x:f>IF('Terrain Field'!K228&lt;&gt;"",1,0)</x:f>
        <x:v>0</x:v>
      </x:c>
      <x:c r="F791" t="n">
        <x:v>1</x:v>
      </x:c>
      <x:c r="G791" t="str">
        <x:v>equals</x:v>
      </x:c>
      <x:c r="H791" t="str">
        <x:v>independent physical acceptance</x:v>
      </x:c>
      <x:c r="I791" t="str">
        <x:f>IF(E791=1,"PASS","OPEN")</x:f>
        <x:v>OPEN</x:v>
      </x:c>
    </x:row>
    <x:row r="792">
      <x:c r="B792" t="str">
        <x:v>PH-TG-223-G</x:v>
      </x:c>
      <x:c r="C792" t="str">
        <x:v>PHYSICAL</x:v>
      </x:c>
      <x:c r="D792" t="str">
        <x:v>terrain geometry</x:v>
      </x:c>
      <x:c r="E792" t="n">
        <x:f>IF('Terrain Field'!J229&lt;&gt;"",1,0)</x:f>
        <x:v>0</x:v>
      </x:c>
      <x:c r="F792" t="n">
        <x:v>1</x:v>
      </x:c>
      <x:c r="G792" t="str">
        <x:v>equals</x:v>
      </x:c>
      <x:c r="H792" t="str">
        <x:v>independent physical acceptance</x:v>
      </x:c>
      <x:c r="I792" t="str">
        <x:f>IF(E792=1,"PASS","OPEN")</x:f>
        <x:v>OPEN</x:v>
      </x:c>
    </x:row>
    <x:row r="793">
      <x:c r="B793" t="str">
        <x:v>PH-TG-223-L</x:v>
      </x:c>
      <x:c r="C793" t="str">
        <x:v>PHYSICAL</x:v>
      </x:c>
      <x:c r="D793" t="str">
        <x:v>terrain load</x:v>
      </x:c>
      <x:c r="E793" t="n">
        <x:f>IF('Terrain Field'!K229&lt;&gt;"",1,0)</x:f>
        <x:v>0</x:v>
      </x:c>
      <x:c r="F793" t="n">
        <x:v>1</x:v>
      </x:c>
      <x:c r="G793" t="str">
        <x:v>equals</x:v>
      </x:c>
      <x:c r="H793" t="str">
        <x:v>independent physical acceptance</x:v>
      </x:c>
      <x:c r="I793" t="str">
        <x:f>IF(E793=1,"PASS","OPEN")</x:f>
        <x:v>OPEN</x:v>
      </x:c>
    </x:row>
    <x:row r="794">
      <x:c r="B794" t="str">
        <x:v>PH-TG-224-G</x:v>
      </x:c>
      <x:c r="C794" t="str">
        <x:v>PHYSICAL</x:v>
      </x:c>
      <x:c r="D794" t="str">
        <x:v>terrain geometry</x:v>
      </x:c>
      <x:c r="E794" t="n">
        <x:f>IF('Terrain Field'!J230&lt;&gt;"",1,0)</x:f>
        <x:v>0</x:v>
      </x:c>
      <x:c r="F794" t="n">
        <x:v>1</x:v>
      </x:c>
      <x:c r="G794" t="str">
        <x:v>equals</x:v>
      </x:c>
      <x:c r="H794" t="str">
        <x:v>independent physical acceptance</x:v>
      </x:c>
      <x:c r="I794" t="str">
        <x:f>IF(E794=1,"PASS","OPEN")</x:f>
        <x:v>OPEN</x:v>
      </x:c>
    </x:row>
    <x:row r="795">
      <x:c r="B795" t="str">
        <x:v>PH-TG-224-L</x:v>
      </x:c>
      <x:c r="C795" t="str">
        <x:v>PHYSICAL</x:v>
      </x:c>
      <x:c r="D795" t="str">
        <x:v>terrain load</x:v>
      </x:c>
      <x:c r="E795" t="n">
        <x:f>IF('Terrain Field'!K230&lt;&gt;"",1,0)</x:f>
        <x:v>0</x:v>
      </x:c>
      <x:c r="F795" t="n">
        <x:v>1</x:v>
      </x:c>
      <x:c r="G795" t="str">
        <x:v>equals</x:v>
      </x:c>
      <x:c r="H795" t="str">
        <x:v>independent physical acceptance</x:v>
      </x:c>
      <x:c r="I795" t="str">
        <x:f>IF(E795=1,"PASS","OPEN")</x:f>
        <x:v>OPEN</x:v>
      </x:c>
    </x:row>
    <x:row r="796">
      <x:c r="B796" t="str">
        <x:v>PH-TG-225-G</x:v>
      </x:c>
      <x:c r="C796" t="str">
        <x:v>PHYSICAL</x:v>
      </x:c>
      <x:c r="D796" t="str">
        <x:v>terrain geometry</x:v>
      </x:c>
      <x:c r="E796" t="n">
        <x:f>IF('Terrain Field'!J231&lt;&gt;"",1,0)</x:f>
        <x:v>0</x:v>
      </x:c>
      <x:c r="F796" t="n">
        <x:v>1</x:v>
      </x:c>
      <x:c r="G796" t="str">
        <x:v>equals</x:v>
      </x:c>
      <x:c r="H796" t="str">
        <x:v>independent physical acceptance</x:v>
      </x:c>
      <x:c r="I796" t="str">
        <x:f>IF(E796=1,"PASS","OPEN")</x:f>
        <x:v>OPEN</x:v>
      </x:c>
    </x:row>
    <x:row r="797">
      <x:c r="B797" t="str">
        <x:v>PH-TG-225-L</x:v>
      </x:c>
      <x:c r="C797" t="str">
        <x:v>PHYSICAL</x:v>
      </x:c>
      <x:c r="D797" t="str">
        <x:v>terrain load</x:v>
      </x:c>
      <x:c r="E797" t="n">
        <x:f>IF('Terrain Field'!K231&lt;&gt;"",1,0)</x:f>
        <x:v>0</x:v>
      </x:c>
      <x:c r="F797" t="n">
        <x:v>1</x:v>
      </x:c>
      <x:c r="G797" t="str">
        <x:v>equals</x:v>
      </x:c>
      <x:c r="H797" t="str">
        <x:v>independent physical acceptance</x:v>
      </x:c>
      <x:c r="I797" t="str">
        <x:f>IF(E797=1,"PASS","OPEN")</x:f>
        <x:v>OPEN</x:v>
      </x:c>
    </x:row>
    <x:row r="798">
      <x:c r="B798" t="str">
        <x:v>PH-TG-226-G</x:v>
      </x:c>
      <x:c r="C798" t="str">
        <x:v>PHYSICAL</x:v>
      </x:c>
      <x:c r="D798" t="str">
        <x:v>terrain geometry</x:v>
      </x:c>
      <x:c r="E798" t="n">
        <x:f>IF('Terrain Field'!J232&lt;&gt;"",1,0)</x:f>
        <x:v>0</x:v>
      </x:c>
      <x:c r="F798" t="n">
        <x:v>1</x:v>
      </x:c>
      <x:c r="G798" t="str">
        <x:v>equals</x:v>
      </x:c>
      <x:c r="H798" t="str">
        <x:v>independent physical acceptance</x:v>
      </x:c>
      <x:c r="I798" t="str">
        <x:f>IF(E798=1,"PASS","OPEN")</x:f>
        <x:v>OPEN</x:v>
      </x:c>
    </x:row>
    <x:row r="799">
      <x:c r="B799" t="str">
        <x:v>PH-TG-226-L</x:v>
      </x:c>
      <x:c r="C799" t="str">
        <x:v>PHYSICAL</x:v>
      </x:c>
      <x:c r="D799" t="str">
        <x:v>terrain load</x:v>
      </x:c>
      <x:c r="E799" t="n">
        <x:f>IF('Terrain Field'!K232&lt;&gt;"",1,0)</x:f>
        <x:v>0</x:v>
      </x:c>
      <x:c r="F799" t="n">
        <x:v>1</x:v>
      </x:c>
      <x:c r="G799" t="str">
        <x:v>equals</x:v>
      </x:c>
      <x:c r="H799" t="str">
        <x:v>independent physical acceptance</x:v>
      </x:c>
      <x:c r="I799" t="str">
        <x:f>IF(E799=1,"PASS","OPEN")</x:f>
        <x:v>OPEN</x:v>
      </x:c>
    </x:row>
    <x:row r="800">
      <x:c r="B800" t="str">
        <x:v>PH-TG-227-G</x:v>
      </x:c>
      <x:c r="C800" t="str">
        <x:v>PHYSICAL</x:v>
      </x:c>
      <x:c r="D800" t="str">
        <x:v>terrain geometry</x:v>
      </x:c>
      <x:c r="E800" t="n">
        <x:f>IF('Terrain Field'!J233&lt;&gt;"",1,0)</x:f>
        <x:v>0</x:v>
      </x:c>
      <x:c r="F800" t="n">
        <x:v>1</x:v>
      </x:c>
      <x:c r="G800" t="str">
        <x:v>equals</x:v>
      </x:c>
      <x:c r="H800" t="str">
        <x:v>independent physical acceptance</x:v>
      </x:c>
      <x:c r="I800" t="str">
        <x:f>IF(E800=1,"PASS","OPEN")</x:f>
        <x:v>OPEN</x:v>
      </x:c>
    </x:row>
    <x:row r="801">
      <x:c r="B801" t="str">
        <x:v>PH-TG-227-L</x:v>
      </x:c>
      <x:c r="C801" t="str">
        <x:v>PHYSICAL</x:v>
      </x:c>
      <x:c r="D801" t="str">
        <x:v>terrain load</x:v>
      </x:c>
      <x:c r="E801" t="n">
        <x:f>IF('Terrain Field'!K233&lt;&gt;"",1,0)</x:f>
        <x:v>0</x:v>
      </x:c>
      <x:c r="F801" t="n">
        <x:v>1</x:v>
      </x:c>
      <x:c r="G801" t="str">
        <x:v>equals</x:v>
      </x:c>
      <x:c r="H801" t="str">
        <x:v>independent physical acceptance</x:v>
      </x:c>
      <x:c r="I801" t="str">
        <x:f>IF(E801=1,"PASS","OPEN")</x:f>
        <x:v>OPEN</x:v>
      </x:c>
    </x:row>
    <x:row r="802">
      <x:c r="B802" t="str">
        <x:v>PH-TG-228-G</x:v>
      </x:c>
      <x:c r="C802" t="str">
        <x:v>PHYSICAL</x:v>
      </x:c>
      <x:c r="D802" t="str">
        <x:v>terrain geometry</x:v>
      </x:c>
      <x:c r="E802" t="n">
        <x:f>IF('Terrain Field'!J234&lt;&gt;"",1,0)</x:f>
        <x:v>0</x:v>
      </x:c>
      <x:c r="F802" t="n">
        <x:v>1</x:v>
      </x:c>
      <x:c r="G802" t="str">
        <x:v>equals</x:v>
      </x:c>
      <x:c r="H802" t="str">
        <x:v>independent physical acceptance</x:v>
      </x:c>
      <x:c r="I802" t="str">
        <x:f>IF(E802=1,"PASS","OPEN")</x:f>
        <x:v>OPEN</x:v>
      </x:c>
    </x:row>
    <x:row r="803">
      <x:c r="B803" t="str">
        <x:v>PH-TG-228-L</x:v>
      </x:c>
      <x:c r="C803" t="str">
        <x:v>PHYSICAL</x:v>
      </x:c>
      <x:c r="D803" t="str">
        <x:v>terrain load</x:v>
      </x:c>
      <x:c r="E803" t="n">
        <x:f>IF('Terrain Field'!K234&lt;&gt;"",1,0)</x:f>
        <x:v>0</x:v>
      </x:c>
      <x:c r="F803" t="n">
        <x:v>1</x:v>
      </x:c>
      <x:c r="G803" t="str">
        <x:v>equals</x:v>
      </x:c>
      <x:c r="H803" t="str">
        <x:v>independent physical acceptance</x:v>
      </x:c>
      <x:c r="I803" t="str">
        <x:f>IF(E803=1,"PASS","OPEN")</x:f>
        <x:v>OPEN</x:v>
      </x:c>
    </x:row>
    <x:row r="804">
      <x:c r="B804" t="str">
        <x:v>PH-TG-229-G</x:v>
      </x:c>
      <x:c r="C804" t="str">
        <x:v>PHYSICAL</x:v>
      </x:c>
      <x:c r="D804" t="str">
        <x:v>terrain geometry</x:v>
      </x:c>
      <x:c r="E804" t="n">
        <x:f>IF('Terrain Field'!J235&lt;&gt;"",1,0)</x:f>
        <x:v>0</x:v>
      </x:c>
      <x:c r="F804" t="n">
        <x:v>1</x:v>
      </x:c>
      <x:c r="G804" t="str">
        <x:v>equals</x:v>
      </x:c>
      <x:c r="H804" t="str">
        <x:v>independent physical acceptance</x:v>
      </x:c>
      <x:c r="I804" t="str">
        <x:f>IF(E804=1,"PASS","OPEN")</x:f>
        <x:v>OPEN</x:v>
      </x:c>
    </x:row>
    <x:row r="805">
      <x:c r="B805" t="str">
        <x:v>PH-TG-229-L</x:v>
      </x:c>
      <x:c r="C805" t="str">
        <x:v>PHYSICAL</x:v>
      </x:c>
      <x:c r="D805" t="str">
        <x:v>terrain load</x:v>
      </x:c>
      <x:c r="E805" t="n">
        <x:f>IF('Terrain Field'!K235&lt;&gt;"",1,0)</x:f>
        <x:v>0</x:v>
      </x:c>
      <x:c r="F805" t="n">
        <x:v>1</x:v>
      </x:c>
      <x:c r="G805" t="str">
        <x:v>equals</x:v>
      </x:c>
      <x:c r="H805" t="str">
        <x:v>independent physical acceptance</x:v>
      </x:c>
      <x:c r="I805" t="str">
        <x:f>IF(E805=1,"PASS","OPEN")</x:f>
        <x:v>OPEN</x:v>
      </x:c>
    </x:row>
    <x:row r="806">
      <x:c r="B806" t="str">
        <x:v>PH-TG-230-G</x:v>
      </x:c>
      <x:c r="C806" t="str">
        <x:v>PHYSICAL</x:v>
      </x:c>
      <x:c r="D806" t="str">
        <x:v>terrain geometry</x:v>
      </x:c>
      <x:c r="E806" t="n">
        <x:f>IF('Terrain Field'!J236&lt;&gt;"",1,0)</x:f>
        <x:v>0</x:v>
      </x:c>
      <x:c r="F806" t="n">
        <x:v>1</x:v>
      </x:c>
      <x:c r="G806" t="str">
        <x:v>equals</x:v>
      </x:c>
      <x:c r="H806" t="str">
        <x:v>independent physical acceptance</x:v>
      </x:c>
      <x:c r="I806" t="str">
        <x:f>IF(E806=1,"PASS","OPEN")</x:f>
        <x:v>OPEN</x:v>
      </x:c>
    </x:row>
    <x:row r="807">
      <x:c r="B807" t="str">
        <x:v>PH-TG-230-L</x:v>
      </x:c>
      <x:c r="C807" t="str">
        <x:v>PHYSICAL</x:v>
      </x:c>
      <x:c r="D807" t="str">
        <x:v>terrain load</x:v>
      </x:c>
      <x:c r="E807" t="n">
        <x:f>IF('Terrain Field'!K236&lt;&gt;"",1,0)</x:f>
        <x:v>0</x:v>
      </x:c>
      <x:c r="F807" t="n">
        <x:v>1</x:v>
      </x:c>
      <x:c r="G807" t="str">
        <x:v>equals</x:v>
      </x:c>
      <x:c r="H807" t="str">
        <x:v>independent physical acceptance</x:v>
      </x:c>
      <x:c r="I807" t="str">
        <x:f>IF(E807=1,"PASS","OPEN")</x:f>
        <x:v>OPEN</x:v>
      </x:c>
    </x:row>
    <x:row r="808">
      <x:c r="B808" t="str">
        <x:v>PH-TG-231-G</x:v>
      </x:c>
      <x:c r="C808" t="str">
        <x:v>PHYSICAL</x:v>
      </x:c>
      <x:c r="D808" t="str">
        <x:v>terrain geometry</x:v>
      </x:c>
      <x:c r="E808" t="n">
        <x:f>IF('Terrain Field'!J237&lt;&gt;"",1,0)</x:f>
        <x:v>0</x:v>
      </x:c>
      <x:c r="F808" t="n">
        <x:v>1</x:v>
      </x:c>
      <x:c r="G808" t="str">
        <x:v>equals</x:v>
      </x:c>
      <x:c r="H808" t="str">
        <x:v>independent physical acceptance</x:v>
      </x:c>
      <x:c r="I808" t="str">
        <x:f>IF(E808=1,"PASS","OPEN")</x:f>
        <x:v>OPEN</x:v>
      </x:c>
    </x:row>
    <x:row r="809">
      <x:c r="B809" t="str">
        <x:v>PH-TG-231-L</x:v>
      </x:c>
      <x:c r="C809" t="str">
        <x:v>PHYSICAL</x:v>
      </x:c>
      <x:c r="D809" t="str">
        <x:v>terrain load</x:v>
      </x:c>
      <x:c r="E809" t="n">
        <x:f>IF('Terrain Field'!K237&lt;&gt;"",1,0)</x:f>
        <x:v>0</x:v>
      </x:c>
      <x:c r="F809" t="n">
        <x:v>1</x:v>
      </x:c>
      <x:c r="G809" t="str">
        <x:v>equals</x:v>
      </x:c>
      <x:c r="H809" t="str">
        <x:v>independent physical acceptance</x:v>
      </x:c>
      <x:c r="I809" t="str">
        <x:f>IF(E809=1,"PASS","OPEN")</x:f>
        <x:v>OPEN</x:v>
      </x:c>
    </x:row>
    <x:row r="810">
      <x:c r="B810" t="str">
        <x:v>PH-TG-232-G</x:v>
      </x:c>
      <x:c r="C810" t="str">
        <x:v>PHYSICAL</x:v>
      </x:c>
      <x:c r="D810" t="str">
        <x:v>terrain geometry</x:v>
      </x:c>
      <x:c r="E810" t="n">
        <x:f>IF('Terrain Field'!J238&lt;&gt;"",1,0)</x:f>
        <x:v>0</x:v>
      </x:c>
      <x:c r="F810" t="n">
        <x:v>1</x:v>
      </x:c>
      <x:c r="G810" t="str">
        <x:v>equals</x:v>
      </x:c>
      <x:c r="H810" t="str">
        <x:v>independent physical acceptance</x:v>
      </x:c>
      <x:c r="I810" t="str">
        <x:f>IF(E810=1,"PASS","OPEN")</x:f>
        <x:v>OPEN</x:v>
      </x:c>
    </x:row>
    <x:row r="811">
      <x:c r="B811" t="str">
        <x:v>PH-TG-232-L</x:v>
      </x:c>
      <x:c r="C811" t="str">
        <x:v>PHYSICAL</x:v>
      </x:c>
      <x:c r="D811" t="str">
        <x:v>terrain load</x:v>
      </x:c>
      <x:c r="E811" t="n">
        <x:f>IF('Terrain Field'!K238&lt;&gt;"",1,0)</x:f>
        <x:v>0</x:v>
      </x:c>
      <x:c r="F811" t="n">
        <x:v>1</x:v>
      </x:c>
      <x:c r="G811" t="str">
        <x:v>equals</x:v>
      </x:c>
      <x:c r="H811" t="str">
        <x:v>independent physical acceptance</x:v>
      </x:c>
      <x:c r="I811" t="str">
        <x:f>IF(E811=1,"PASS","OPEN")</x:f>
        <x:v>OPEN</x:v>
      </x:c>
    </x:row>
    <x:row r="812">
      <x:c r="B812" t="str">
        <x:v>PH-TG-233-G</x:v>
      </x:c>
      <x:c r="C812" t="str">
        <x:v>PHYSICAL</x:v>
      </x:c>
      <x:c r="D812" t="str">
        <x:v>terrain geometry</x:v>
      </x:c>
      <x:c r="E812" t="n">
        <x:f>IF('Terrain Field'!J239&lt;&gt;"",1,0)</x:f>
        <x:v>0</x:v>
      </x:c>
      <x:c r="F812" t="n">
        <x:v>1</x:v>
      </x:c>
      <x:c r="G812" t="str">
        <x:v>equals</x:v>
      </x:c>
      <x:c r="H812" t="str">
        <x:v>independent physical acceptance</x:v>
      </x:c>
      <x:c r="I812" t="str">
        <x:f>IF(E812=1,"PASS","OPEN")</x:f>
        <x:v>OPEN</x:v>
      </x:c>
    </x:row>
    <x:row r="813">
      <x:c r="B813" t="str">
        <x:v>PH-TG-233-L</x:v>
      </x:c>
      <x:c r="C813" t="str">
        <x:v>PHYSICAL</x:v>
      </x:c>
      <x:c r="D813" t="str">
        <x:v>terrain load</x:v>
      </x:c>
      <x:c r="E813" t="n">
        <x:f>IF('Terrain Field'!K239&lt;&gt;"",1,0)</x:f>
        <x:v>0</x:v>
      </x:c>
      <x:c r="F813" t="n">
        <x:v>1</x:v>
      </x:c>
      <x:c r="G813" t="str">
        <x:v>equals</x:v>
      </x:c>
      <x:c r="H813" t="str">
        <x:v>independent physical acceptance</x:v>
      </x:c>
      <x:c r="I813" t="str">
        <x:f>IF(E813=1,"PASS","OPEN")</x:f>
        <x:v>OPEN</x:v>
      </x:c>
    </x:row>
    <x:row r="814">
      <x:c r="B814" t="str">
        <x:v>PH-TG-234-G</x:v>
      </x:c>
      <x:c r="C814" t="str">
        <x:v>PHYSICAL</x:v>
      </x:c>
      <x:c r="D814" t="str">
        <x:v>terrain geometry</x:v>
      </x:c>
      <x:c r="E814" t="n">
        <x:f>IF('Terrain Field'!J240&lt;&gt;"",1,0)</x:f>
        <x:v>0</x:v>
      </x:c>
      <x:c r="F814" t="n">
        <x:v>1</x:v>
      </x:c>
      <x:c r="G814" t="str">
        <x:v>equals</x:v>
      </x:c>
      <x:c r="H814" t="str">
        <x:v>independent physical acceptance</x:v>
      </x:c>
      <x:c r="I814" t="str">
        <x:f>IF(E814=1,"PASS","OPEN")</x:f>
        <x:v>OPEN</x:v>
      </x:c>
    </x:row>
    <x:row r="815">
      <x:c r="B815" t="str">
        <x:v>PH-TG-234-L</x:v>
      </x:c>
      <x:c r="C815" t="str">
        <x:v>PHYSICAL</x:v>
      </x:c>
      <x:c r="D815" t="str">
        <x:v>terrain load</x:v>
      </x:c>
      <x:c r="E815" t="n">
        <x:f>IF('Terrain Field'!K240&lt;&gt;"",1,0)</x:f>
        <x:v>0</x:v>
      </x:c>
      <x:c r="F815" t="n">
        <x:v>1</x:v>
      </x:c>
      <x:c r="G815" t="str">
        <x:v>equals</x:v>
      </x:c>
      <x:c r="H815" t="str">
        <x:v>independent physical acceptance</x:v>
      </x:c>
      <x:c r="I815" t="str">
        <x:f>IF(E815=1,"PASS","OPEN")</x:f>
        <x:v>OPEN</x:v>
      </x:c>
    </x:row>
    <x:row r="816">
      <x:c r="B816" t="str">
        <x:v>PH-TG-235-G</x:v>
      </x:c>
      <x:c r="C816" t="str">
        <x:v>PHYSICAL</x:v>
      </x:c>
      <x:c r="D816" t="str">
        <x:v>terrain geometry</x:v>
      </x:c>
      <x:c r="E816" t="n">
        <x:f>IF('Terrain Field'!J241&lt;&gt;"",1,0)</x:f>
        <x:v>0</x:v>
      </x:c>
      <x:c r="F816" t="n">
        <x:v>1</x:v>
      </x:c>
      <x:c r="G816" t="str">
        <x:v>equals</x:v>
      </x:c>
      <x:c r="H816" t="str">
        <x:v>independent physical acceptance</x:v>
      </x:c>
      <x:c r="I816" t="str">
        <x:f>IF(E816=1,"PASS","OPEN")</x:f>
        <x:v>OPEN</x:v>
      </x:c>
    </x:row>
    <x:row r="817">
      <x:c r="B817" t="str">
        <x:v>PH-TG-235-L</x:v>
      </x:c>
      <x:c r="C817" t="str">
        <x:v>PHYSICAL</x:v>
      </x:c>
      <x:c r="D817" t="str">
        <x:v>terrain load</x:v>
      </x:c>
      <x:c r="E817" t="n">
        <x:f>IF('Terrain Field'!K241&lt;&gt;"",1,0)</x:f>
        <x:v>0</x:v>
      </x:c>
      <x:c r="F817" t="n">
        <x:v>1</x:v>
      </x:c>
      <x:c r="G817" t="str">
        <x:v>equals</x:v>
      </x:c>
      <x:c r="H817" t="str">
        <x:v>independent physical acceptance</x:v>
      </x:c>
      <x:c r="I817" t="str">
        <x:f>IF(E817=1,"PASS","OPEN")</x:f>
        <x:v>OPEN</x:v>
      </x:c>
    </x:row>
    <x:row r="818">
      <x:c r="B818" t="str">
        <x:v>PH-TG-236-G</x:v>
      </x:c>
      <x:c r="C818" t="str">
        <x:v>PHYSICAL</x:v>
      </x:c>
      <x:c r="D818" t="str">
        <x:v>terrain geometry</x:v>
      </x:c>
      <x:c r="E818" t="n">
        <x:f>IF('Terrain Field'!J242&lt;&gt;"",1,0)</x:f>
        <x:v>0</x:v>
      </x:c>
      <x:c r="F818" t="n">
        <x:v>1</x:v>
      </x:c>
      <x:c r="G818" t="str">
        <x:v>equals</x:v>
      </x:c>
      <x:c r="H818" t="str">
        <x:v>independent physical acceptance</x:v>
      </x:c>
      <x:c r="I818" t="str">
        <x:f>IF(E818=1,"PASS","OPEN")</x:f>
        <x:v>OPEN</x:v>
      </x:c>
    </x:row>
    <x:row r="819">
      <x:c r="B819" t="str">
        <x:v>PH-TG-236-L</x:v>
      </x:c>
      <x:c r="C819" t="str">
        <x:v>PHYSICAL</x:v>
      </x:c>
      <x:c r="D819" t="str">
        <x:v>terrain load</x:v>
      </x:c>
      <x:c r="E819" t="n">
        <x:f>IF('Terrain Field'!K242&lt;&gt;"",1,0)</x:f>
        <x:v>0</x:v>
      </x:c>
      <x:c r="F819" t="n">
        <x:v>1</x:v>
      </x:c>
      <x:c r="G819" t="str">
        <x:v>equals</x:v>
      </x:c>
      <x:c r="H819" t="str">
        <x:v>independent physical acceptance</x:v>
      </x:c>
      <x:c r="I819" t="str">
        <x:f>IF(E819=1,"PASS","OPEN")</x:f>
        <x:v>OPEN</x:v>
      </x:c>
    </x:row>
    <x:row r="820">
      <x:c r="B820" t="str">
        <x:v>PH-TG-237-G</x:v>
      </x:c>
      <x:c r="C820" t="str">
        <x:v>PHYSICAL</x:v>
      </x:c>
      <x:c r="D820" t="str">
        <x:v>terrain geometry</x:v>
      </x:c>
      <x:c r="E820" t="n">
        <x:f>IF('Terrain Field'!J243&lt;&gt;"",1,0)</x:f>
        <x:v>0</x:v>
      </x:c>
      <x:c r="F820" t="n">
        <x:v>1</x:v>
      </x:c>
      <x:c r="G820" t="str">
        <x:v>equals</x:v>
      </x:c>
      <x:c r="H820" t="str">
        <x:v>independent physical acceptance</x:v>
      </x:c>
      <x:c r="I820" t="str">
        <x:f>IF(E820=1,"PASS","OPEN")</x:f>
        <x:v>OPEN</x:v>
      </x:c>
    </x:row>
    <x:row r="821">
      <x:c r="B821" t="str">
        <x:v>PH-TG-237-L</x:v>
      </x:c>
      <x:c r="C821" t="str">
        <x:v>PHYSICAL</x:v>
      </x:c>
      <x:c r="D821" t="str">
        <x:v>terrain load</x:v>
      </x:c>
      <x:c r="E821" t="n">
        <x:f>IF('Terrain Field'!K243&lt;&gt;"",1,0)</x:f>
        <x:v>0</x:v>
      </x:c>
      <x:c r="F821" t="n">
        <x:v>1</x:v>
      </x:c>
      <x:c r="G821" t="str">
        <x:v>equals</x:v>
      </x:c>
      <x:c r="H821" t="str">
        <x:v>independent physical acceptance</x:v>
      </x:c>
      <x:c r="I821" t="str">
        <x:f>IF(E821=1,"PASS","OPEN")</x:f>
        <x:v>OPEN</x:v>
      </x:c>
    </x:row>
    <x:row r="822">
      <x:c r="B822" t="str">
        <x:v>PH-TG-238-G</x:v>
      </x:c>
      <x:c r="C822" t="str">
        <x:v>PHYSICAL</x:v>
      </x:c>
      <x:c r="D822" t="str">
        <x:v>terrain geometry</x:v>
      </x:c>
      <x:c r="E822" t="n">
        <x:f>IF('Terrain Field'!J244&lt;&gt;"",1,0)</x:f>
        <x:v>0</x:v>
      </x:c>
      <x:c r="F822" t="n">
        <x:v>1</x:v>
      </x:c>
      <x:c r="G822" t="str">
        <x:v>equals</x:v>
      </x:c>
      <x:c r="H822" t="str">
        <x:v>independent physical acceptance</x:v>
      </x:c>
      <x:c r="I822" t="str">
        <x:f>IF(E822=1,"PASS","OPEN")</x:f>
        <x:v>OPEN</x:v>
      </x:c>
    </x:row>
    <x:row r="823">
      <x:c r="B823" t="str">
        <x:v>PH-TG-238-L</x:v>
      </x:c>
      <x:c r="C823" t="str">
        <x:v>PHYSICAL</x:v>
      </x:c>
      <x:c r="D823" t="str">
        <x:v>terrain load</x:v>
      </x:c>
      <x:c r="E823" t="n">
        <x:f>IF('Terrain Field'!K244&lt;&gt;"",1,0)</x:f>
        <x:v>0</x:v>
      </x:c>
      <x:c r="F823" t="n">
        <x:v>1</x:v>
      </x:c>
      <x:c r="G823" t="str">
        <x:v>equals</x:v>
      </x:c>
      <x:c r="H823" t="str">
        <x:v>independent physical acceptance</x:v>
      </x:c>
      <x:c r="I823" t="str">
        <x:f>IF(E823=1,"PASS","OPEN")</x:f>
        <x:v>OPEN</x:v>
      </x:c>
    </x:row>
    <x:row r="824">
      <x:c r="B824" t="str">
        <x:v>PH-TG-239-G</x:v>
      </x:c>
      <x:c r="C824" t="str">
        <x:v>PHYSICAL</x:v>
      </x:c>
      <x:c r="D824" t="str">
        <x:v>terrain geometry</x:v>
      </x:c>
      <x:c r="E824" t="n">
        <x:f>IF('Terrain Field'!J245&lt;&gt;"",1,0)</x:f>
        <x:v>0</x:v>
      </x:c>
      <x:c r="F824" t="n">
        <x:v>1</x:v>
      </x:c>
      <x:c r="G824" t="str">
        <x:v>equals</x:v>
      </x:c>
      <x:c r="H824" t="str">
        <x:v>independent physical acceptance</x:v>
      </x:c>
      <x:c r="I824" t="str">
        <x:f>IF(E824=1,"PASS","OPEN")</x:f>
        <x:v>OPEN</x:v>
      </x:c>
    </x:row>
    <x:row r="825">
      <x:c r="B825" t="str">
        <x:v>PH-TG-239-L</x:v>
      </x:c>
      <x:c r="C825" t="str">
        <x:v>PHYSICAL</x:v>
      </x:c>
      <x:c r="D825" t="str">
        <x:v>terrain load</x:v>
      </x:c>
      <x:c r="E825" t="n">
        <x:f>IF('Terrain Field'!K245&lt;&gt;"",1,0)</x:f>
        <x:v>0</x:v>
      </x:c>
      <x:c r="F825" t="n">
        <x:v>1</x:v>
      </x:c>
      <x:c r="G825" t="str">
        <x:v>equals</x:v>
      </x:c>
      <x:c r="H825" t="str">
        <x:v>independent physical acceptance</x:v>
      </x:c>
      <x:c r="I825" t="str">
        <x:f>IF(E825=1,"PASS","OPEN")</x:f>
        <x:v>OPEN</x:v>
      </x:c>
    </x:row>
    <x:row r="826">
      <x:c r="B826" t="str">
        <x:v>PH-TG-240-G</x:v>
      </x:c>
      <x:c r="C826" t="str">
        <x:v>PHYSICAL</x:v>
      </x:c>
      <x:c r="D826" t="str">
        <x:v>terrain geometry</x:v>
      </x:c>
      <x:c r="E826" t="n">
        <x:f>IF('Terrain Field'!J246&lt;&gt;"",1,0)</x:f>
        <x:v>0</x:v>
      </x:c>
      <x:c r="F826" t="n">
        <x:v>1</x:v>
      </x:c>
      <x:c r="G826" t="str">
        <x:v>equals</x:v>
      </x:c>
      <x:c r="H826" t="str">
        <x:v>independent physical acceptance</x:v>
      </x:c>
      <x:c r="I826" t="str">
        <x:f>IF(E826=1,"PASS","OPEN")</x:f>
        <x:v>OPEN</x:v>
      </x:c>
    </x:row>
    <x:row r="827">
      <x:c r="B827" t="str">
        <x:v>PH-TG-240-L</x:v>
      </x:c>
      <x:c r="C827" t="str">
        <x:v>PHYSICAL</x:v>
      </x:c>
      <x:c r="D827" t="str">
        <x:v>terrain load</x:v>
      </x:c>
      <x:c r="E827" t="n">
        <x:f>IF('Terrain Field'!K246&lt;&gt;"",1,0)</x:f>
        <x:v>0</x:v>
      </x:c>
      <x:c r="F827" t="n">
        <x:v>1</x:v>
      </x:c>
      <x:c r="G827" t="str">
        <x:v>equals</x:v>
      </x:c>
      <x:c r="H827" t="str">
        <x:v>independent physical acceptance</x:v>
      </x:c>
      <x:c r="I827" t="str">
        <x:f>IF(E827=1,"PASS","OPEN")</x:f>
        <x:v>OPEN</x:v>
      </x:c>
    </x:row>
    <x:row r="828">
      <x:c r="B828" t="str">
        <x:v>PH-TG-241-G</x:v>
      </x:c>
      <x:c r="C828" t="str">
        <x:v>PHYSICAL</x:v>
      </x:c>
      <x:c r="D828" t="str">
        <x:v>terrain geometry</x:v>
      </x:c>
      <x:c r="E828" t="n">
        <x:f>IF('Terrain Field'!J247&lt;&gt;"",1,0)</x:f>
        <x:v>0</x:v>
      </x:c>
      <x:c r="F828" t="n">
        <x:v>1</x:v>
      </x:c>
      <x:c r="G828" t="str">
        <x:v>equals</x:v>
      </x:c>
      <x:c r="H828" t="str">
        <x:v>independent physical acceptance</x:v>
      </x:c>
      <x:c r="I828" t="str">
        <x:f>IF(E828=1,"PASS","OPEN")</x:f>
        <x:v>OPEN</x:v>
      </x:c>
    </x:row>
    <x:row r="829">
      <x:c r="B829" t="str">
        <x:v>PH-TG-241-L</x:v>
      </x:c>
      <x:c r="C829" t="str">
        <x:v>PHYSICAL</x:v>
      </x:c>
      <x:c r="D829" t="str">
        <x:v>terrain load</x:v>
      </x:c>
      <x:c r="E829" t="n">
        <x:f>IF('Terrain Field'!K247&lt;&gt;"",1,0)</x:f>
        <x:v>0</x:v>
      </x:c>
      <x:c r="F829" t="n">
        <x:v>1</x:v>
      </x:c>
      <x:c r="G829" t="str">
        <x:v>equals</x:v>
      </x:c>
      <x:c r="H829" t="str">
        <x:v>independent physical acceptance</x:v>
      </x:c>
      <x:c r="I829" t="str">
        <x:f>IF(E829=1,"PASS","OPEN")</x:f>
        <x:v>OPEN</x:v>
      </x:c>
    </x:row>
    <x:row r="830">
      <x:c r="B830" t="str">
        <x:v>PH-TG-242-G</x:v>
      </x:c>
      <x:c r="C830" t="str">
        <x:v>PHYSICAL</x:v>
      </x:c>
      <x:c r="D830" t="str">
        <x:v>terrain geometry</x:v>
      </x:c>
      <x:c r="E830" t="n">
        <x:f>IF('Terrain Field'!J248&lt;&gt;"",1,0)</x:f>
        <x:v>0</x:v>
      </x:c>
      <x:c r="F830" t="n">
        <x:v>1</x:v>
      </x:c>
      <x:c r="G830" t="str">
        <x:v>equals</x:v>
      </x:c>
      <x:c r="H830" t="str">
        <x:v>independent physical acceptance</x:v>
      </x:c>
      <x:c r="I830" t="str">
        <x:f>IF(E830=1,"PASS","OPEN")</x:f>
        <x:v>OPEN</x:v>
      </x:c>
    </x:row>
    <x:row r="831">
      <x:c r="B831" t="str">
        <x:v>PH-TG-242-L</x:v>
      </x:c>
      <x:c r="C831" t="str">
        <x:v>PHYSICAL</x:v>
      </x:c>
      <x:c r="D831" t="str">
        <x:v>terrain load</x:v>
      </x:c>
      <x:c r="E831" t="n">
        <x:f>IF('Terrain Field'!K248&lt;&gt;"",1,0)</x:f>
        <x:v>0</x:v>
      </x:c>
      <x:c r="F831" t="n">
        <x:v>1</x:v>
      </x:c>
      <x:c r="G831" t="str">
        <x:v>equals</x:v>
      </x:c>
      <x:c r="H831" t="str">
        <x:v>independent physical acceptance</x:v>
      </x:c>
      <x:c r="I831" t="str">
        <x:f>IF(E831=1,"PASS","OPEN")</x:f>
        <x:v>OPEN</x:v>
      </x:c>
    </x:row>
    <x:row r="832">
      <x:c r="B832" t="str">
        <x:v>PH-TG-243-G</x:v>
      </x:c>
      <x:c r="C832" t="str">
        <x:v>PHYSICAL</x:v>
      </x:c>
      <x:c r="D832" t="str">
        <x:v>terrain geometry</x:v>
      </x:c>
      <x:c r="E832" t="n">
        <x:f>IF('Terrain Field'!J249&lt;&gt;"",1,0)</x:f>
        <x:v>0</x:v>
      </x:c>
      <x:c r="F832" t="n">
        <x:v>1</x:v>
      </x:c>
      <x:c r="G832" t="str">
        <x:v>equals</x:v>
      </x:c>
      <x:c r="H832" t="str">
        <x:v>independent physical acceptance</x:v>
      </x:c>
      <x:c r="I832" t="str">
        <x:f>IF(E832=1,"PASS","OPEN")</x:f>
        <x:v>OPEN</x:v>
      </x:c>
    </x:row>
    <x:row r="833">
      <x:c r="B833" t="str">
        <x:v>PH-TG-243-L</x:v>
      </x:c>
      <x:c r="C833" t="str">
        <x:v>PHYSICAL</x:v>
      </x:c>
      <x:c r="D833" t="str">
        <x:v>terrain load</x:v>
      </x:c>
      <x:c r="E833" t="n">
        <x:f>IF('Terrain Field'!K249&lt;&gt;"",1,0)</x:f>
        <x:v>0</x:v>
      </x:c>
      <x:c r="F833" t="n">
        <x:v>1</x:v>
      </x:c>
      <x:c r="G833" t="str">
        <x:v>equals</x:v>
      </x:c>
      <x:c r="H833" t="str">
        <x:v>independent physical acceptance</x:v>
      </x:c>
      <x:c r="I833" t="str">
        <x:f>IF(E833=1,"PASS","OPEN")</x:f>
        <x:v>OPEN</x:v>
      </x:c>
    </x:row>
    <x:row r="834">
      <x:c r="B834" t="str">
        <x:v>PH-TG-244-G</x:v>
      </x:c>
      <x:c r="C834" t="str">
        <x:v>PHYSICAL</x:v>
      </x:c>
      <x:c r="D834" t="str">
        <x:v>terrain geometry</x:v>
      </x:c>
      <x:c r="E834" t="n">
        <x:f>IF('Terrain Field'!J250&lt;&gt;"",1,0)</x:f>
        <x:v>0</x:v>
      </x:c>
      <x:c r="F834" t="n">
        <x:v>1</x:v>
      </x:c>
      <x:c r="G834" t="str">
        <x:v>equals</x:v>
      </x:c>
      <x:c r="H834" t="str">
        <x:v>independent physical acceptance</x:v>
      </x:c>
      <x:c r="I834" t="str">
        <x:f>IF(E834=1,"PASS","OPEN")</x:f>
        <x:v>OPEN</x:v>
      </x:c>
    </x:row>
    <x:row r="835">
      <x:c r="B835" t="str">
        <x:v>PH-TG-244-L</x:v>
      </x:c>
      <x:c r="C835" t="str">
        <x:v>PHYSICAL</x:v>
      </x:c>
      <x:c r="D835" t="str">
        <x:v>terrain load</x:v>
      </x:c>
      <x:c r="E835" t="n">
        <x:f>IF('Terrain Field'!K250&lt;&gt;"",1,0)</x:f>
        <x:v>0</x:v>
      </x:c>
      <x:c r="F835" t="n">
        <x:v>1</x:v>
      </x:c>
      <x:c r="G835" t="str">
        <x:v>equals</x:v>
      </x:c>
      <x:c r="H835" t="str">
        <x:v>independent physical acceptance</x:v>
      </x:c>
      <x:c r="I835" t="str">
        <x:f>IF(E835=1,"PASS","OPEN")</x:f>
        <x:v>OPEN</x:v>
      </x:c>
    </x:row>
    <x:row r="836">
      <x:c r="B836" t="str">
        <x:v>PH-TG-245-G</x:v>
      </x:c>
      <x:c r="C836" t="str">
        <x:v>PHYSICAL</x:v>
      </x:c>
      <x:c r="D836" t="str">
        <x:v>terrain geometry</x:v>
      </x:c>
      <x:c r="E836" t="n">
        <x:f>IF('Terrain Field'!J251&lt;&gt;"",1,0)</x:f>
        <x:v>0</x:v>
      </x:c>
      <x:c r="F836" t="n">
        <x:v>1</x:v>
      </x:c>
      <x:c r="G836" t="str">
        <x:v>equals</x:v>
      </x:c>
      <x:c r="H836" t="str">
        <x:v>independent physical acceptance</x:v>
      </x:c>
      <x:c r="I836" t="str">
        <x:f>IF(E836=1,"PASS","OPEN")</x:f>
        <x:v>OPEN</x:v>
      </x:c>
    </x:row>
    <x:row r="837">
      <x:c r="B837" t="str">
        <x:v>PH-TG-245-L</x:v>
      </x:c>
      <x:c r="C837" t="str">
        <x:v>PHYSICAL</x:v>
      </x:c>
      <x:c r="D837" t="str">
        <x:v>terrain load</x:v>
      </x:c>
      <x:c r="E837" t="n">
        <x:f>IF('Terrain Field'!K251&lt;&gt;"",1,0)</x:f>
        <x:v>0</x:v>
      </x:c>
      <x:c r="F837" t="n">
        <x:v>1</x:v>
      </x:c>
      <x:c r="G837" t="str">
        <x:v>equals</x:v>
      </x:c>
      <x:c r="H837" t="str">
        <x:v>independent physical acceptance</x:v>
      </x:c>
      <x:c r="I837" t="str">
        <x:f>IF(E837=1,"PASS","OPEN")</x:f>
        <x:v>OPEN</x:v>
      </x:c>
    </x:row>
    <x:row r="838">
      <x:c r="B838" t="str">
        <x:v>PH-TG-246-G</x:v>
      </x:c>
      <x:c r="C838" t="str">
        <x:v>PHYSICAL</x:v>
      </x:c>
      <x:c r="D838" t="str">
        <x:v>terrain geometry</x:v>
      </x:c>
      <x:c r="E838" t="n">
        <x:f>IF('Terrain Field'!J252&lt;&gt;"",1,0)</x:f>
        <x:v>0</x:v>
      </x:c>
      <x:c r="F838" t="n">
        <x:v>1</x:v>
      </x:c>
      <x:c r="G838" t="str">
        <x:v>equals</x:v>
      </x:c>
      <x:c r="H838" t="str">
        <x:v>independent physical acceptance</x:v>
      </x:c>
      <x:c r="I838" t="str">
        <x:f>IF(E838=1,"PASS","OPEN")</x:f>
        <x:v>OPEN</x:v>
      </x:c>
    </x:row>
    <x:row r="839">
      <x:c r="B839" t="str">
        <x:v>PH-TG-246-L</x:v>
      </x:c>
      <x:c r="C839" t="str">
        <x:v>PHYSICAL</x:v>
      </x:c>
      <x:c r="D839" t="str">
        <x:v>terrain load</x:v>
      </x:c>
      <x:c r="E839" t="n">
        <x:f>IF('Terrain Field'!K252&lt;&gt;"",1,0)</x:f>
        <x:v>0</x:v>
      </x:c>
      <x:c r="F839" t="n">
        <x:v>1</x:v>
      </x:c>
      <x:c r="G839" t="str">
        <x:v>equals</x:v>
      </x:c>
      <x:c r="H839" t="str">
        <x:v>independent physical acceptance</x:v>
      </x:c>
      <x:c r="I839" t="str">
        <x:f>IF(E839=1,"PASS","OPEN")</x:f>
        <x:v>OPEN</x:v>
      </x:c>
    </x:row>
    <x:row r="840">
      <x:c r="B840" t="str">
        <x:v>PH-TG-247-G</x:v>
      </x:c>
      <x:c r="C840" t="str">
        <x:v>PHYSICAL</x:v>
      </x:c>
      <x:c r="D840" t="str">
        <x:v>terrain geometry</x:v>
      </x:c>
      <x:c r="E840" t="n">
        <x:f>IF('Terrain Field'!J253&lt;&gt;"",1,0)</x:f>
        <x:v>0</x:v>
      </x:c>
      <x:c r="F840" t="n">
        <x:v>1</x:v>
      </x:c>
      <x:c r="G840" t="str">
        <x:v>equals</x:v>
      </x:c>
      <x:c r="H840" t="str">
        <x:v>independent physical acceptance</x:v>
      </x:c>
      <x:c r="I840" t="str">
        <x:f>IF(E840=1,"PASS","OPEN")</x:f>
        <x:v>OPEN</x:v>
      </x:c>
    </x:row>
    <x:row r="841">
      <x:c r="B841" t="str">
        <x:v>PH-TG-247-L</x:v>
      </x:c>
      <x:c r="C841" t="str">
        <x:v>PHYSICAL</x:v>
      </x:c>
      <x:c r="D841" t="str">
        <x:v>terrain load</x:v>
      </x:c>
      <x:c r="E841" t="n">
        <x:f>IF('Terrain Field'!K253&lt;&gt;"",1,0)</x:f>
        <x:v>0</x:v>
      </x:c>
      <x:c r="F841" t="n">
        <x:v>1</x:v>
      </x:c>
      <x:c r="G841" t="str">
        <x:v>equals</x:v>
      </x:c>
      <x:c r="H841" t="str">
        <x:v>independent physical acceptance</x:v>
      </x:c>
      <x:c r="I841" t="str">
        <x:f>IF(E841=1,"PASS","OPEN")</x:f>
        <x:v>OPEN</x:v>
      </x:c>
    </x:row>
    <x:row r="842">
      <x:c r="B842" t="str">
        <x:v>PH-TG-248-G</x:v>
      </x:c>
      <x:c r="C842" t="str">
        <x:v>PHYSICAL</x:v>
      </x:c>
      <x:c r="D842" t="str">
        <x:v>terrain geometry</x:v>
      </x:c>
      <x:c r="E842" t="n">
        <x:f>IF('Terrain Field'!J254&lt;&gt;"",1,0)</x:f>
        <x:v>0</x:v>
      </x:c>
      <x:c r="F842" t="n">
        <x:v>1</x:v>
      </x:c>
      <x:c r="G842" t="str">
        <x:v>equals</x:v>
      </x:c>
      <x:c r="H842" t="str">
        <x:v>independent physical acceptance</x:v>
      </x:c>
      <x:c r="I842" t="str">
        <x:f>IF(E842=1,"PASS","OPEN")</x:f>
        <x:v>OPEN</x:v>
      </x:c>
    </x:row>
    <x:row r="843">
      <x:c r="B843" t="str">
        <x:v>PH-TG-248-L</x:v>
      </x:c>
      <x:c r="C843" t="str">
        <x:v>PHYSICAL</x:v>
      </x:c>
      <x:c r="D843" t="str">
        <x:v>terrain load</x:v>
      </x:c>
      <x:c r="E843" t="n">
        <x:f>IF('Terrain Field'!K254&lt;&gt;"",1,0)</x:f>
        <x:v>0</x:v>
      </x:c>
      <x:c r="F843" t="n">
        <x:v>1</x:v>
      </x:c>
      <x:c r="G843" t="str">
        <x:v>equals</x:v>
      </x:c>
      <x:c r="H843" t="str">
        <x:v>independent physical acceptance</x:v>
      </x:c>
      <x:c r="I843" t="str">
        <x:f>IF(E843=1,"PASS","OPEN")</x:f>
        <x:v>OPEN</x:v>
      </x:c>
    </x:row>
    <x:row r="844">
      <x:c r="B844" t="str">
        <x:v>PH-TG-249-G</x:v>
      </x:c>
      <x:c r="C844" t="str">
        <x:v>PHYSICAL</x:v>
      </x:c>
      <x:c r="D844" t="str">
        <x:v>terrain geometry</x:v>
      </x:c>
      <x:c r="E844" t="n">
        <x:f>IF('Terrain Field'!J255&lt;&gt;"",1,0)</x:f>
        <x:v>0</x:v>
      </x:c>
      <x:c r="F844" t="n">
        <x:v>1</x:v>
      </x:c>
      <x:c r="G844" t="str">
        <x:v>equals</x:v>
      </x:c>
      <x:c r="H844" t="str">
        <x:v>independent physical acceptance</x:v>
      </x:c>
      <x:c r="I844" t="str">
        <x:f>IF(E844=1,"PASS","OPEN")</x:f>
        <x:v>OPEN</x:v>
      </x:c>
    </x:row>
    <x:row r="845">
      <x:c r="B845" t="str">
        <x:v>PH-TG-249-L</x:v>
      </x:c>
      <x:c r="C845" t="str">
        <x:v>PHYSICAL</x:v>
      </x:c>
      <x:c r="D845" t="str">
        <x:v>terrain load</x:v>
      </x:c>
      <x:c r="E845" t="n">
        <x:f>IF('Terrain Field'!K255&lt;&gt;"",1,0)</x:f>
        <x:v>0</x:v>
      </x:c>
      <x:c r="F845" t="n">
        <x:v>1</x:v>
      </x:c>
      <x:c r="G845" t="str">
        <x:v>equals</x:v>
      </x:c>
      <x:c r="H845" t="str">
        <x:v>independent physical acceptance</x:v>
      </x:c>
      <x:c r="I845" t="str">
        <x:f>IF(E845=1,"PASS","OPEN")</x:f>
        <x:v>OPEN</x:v>
      </x:c>
    </x:row>
    <x:row r="846">
      <x:c r="B846" t="str">
        <x:v>PH-TG-250-G</x:v>
      </x:c>
      <x:c r="C846" t="str">
        <x:v>PHYSICAL</x:v>
      </x:c>
      <x:c r="D846" t="str">
        <x:v>terrain geometry</x:v>
      </x:c>
      <x:c r="E846" t="n">
        <x:f>IF('Terrain Field'!J256&lt;&gt;"",1,0)</x:f>
        <x:v>0</x:v>
      </x:c>
      <x:c r="F846" t="n">
        <x:v>1</x:v>
      </x:c>
      <x:c r="G846" t="str">
        <x:v>equals</x:v>
      </x:c>
      <x:c r="H846" t="str">
        <x:v>independent physical acceptance</x:v>
      </x:c>
      <x:c r="I846" t="str">
        <x:f>IF(E846=1,"PASS","OPEN")</x:f>
        <x:v>OPEN</x:v>
      </x:c>
    </x:row>
    <x:row r="847">
      <x:c r="B847" t="str">
        <x:v>PH-TG-250-L</x:v>
      </x:c>
      <x:c r="C847" t="str">
        <x:v>PHYSICAL</x:v>
      </x:c>
      <x:c r="D847" t="str">
        <x:v>terrain load</x:v>
      </x:c>
      <x:c r="E847" t="n">
        <x:f>IF('Terrain Field'!K256&lt;&gt;"",1,0)</x:f>
        <x:v>0</x:v>
      </x:c>
      <x:c r="F847" t="n">
        <x:v>1</x:v>
      </x:c>
      <x:c r="G847" t="str">
        <x:v>equals</x:v>
      </x:c>
      <x:c r="H847" t="str">
        <x:v>independent physical acceptance</x:v>
      </x:c>
      <x:c r="I847" t="str">
        <x:f>IF(E847=1,"PASS","OPEN")</x:f>
        <x:v>OPEN</x:v>
      </x:c>
    </x:row>
    <x:row r="848">
      <x:c r="B848" t="str">
        <x:v>PH-TG-251-G</x:v>
      </x:c>
      <x:c r="C848" t="str">
        <x:v>PHYSICAL</x:v>
      </x:c>
      <x:c r="D848" t="str">
        <x:v>terrain geometry</x:v>
      </x:c>
      <x:c r="E848" t="n">
        <x:f>IF('Terrain Field'!J257&lt;&gt;"",1,0)</x:f>
        <x:v>0</x:v>
      </x:c>
      <x:c r="F848" t="n">
        <x:v>1</x:v>
      </x:c>
      <x:c r="G848" t="str">
        <x:v>equals</x:v>
      </x:c>
      <x:c r="H848" t="str">
        <x:v>independent physical acceptance</x:v>
      </x:c>
      <x:c r="I848" t="str">
        <x:f>IF(E848=1,"PASS","OPEN")</x:f>
        <x:v>OPEN</x:v>
      </x:c>
    </x:row>
    <x:row r="849">
      <x:c r="B849" t="str">
        <x:v>PH-TG-251-L</x:v>
      </x:c>
      <x:c r="C849" t="str">
        <x:v>PHYSICAL</x:v>
      </x:c>
      <x:c r="D849" t="str">
        <x:v>terrain load</x:v>
      </x:c>
      <x:c r="E849" t="n">
        <x:f>IF('Terrain Field'!K257&lt;&gt;"",1,0)</x:f>
        <x:v>0</x:v>
      </x:c>
      <x:c r="F849" t="n">
        <x:v>1</x:v>
      </x:c>
      <x:c r="G849" t="str">
        <x:v>equals</x:v>
      </x:c>
      <x:c r="H849" t="str">
        <x:v>independent physical acceptance</x:v>
      </x:c>
      <x:c r="I849" t="str">
        <x:f>IF(E849=1,"PASS","OPEN")</x:f>
        <x:v>OPEN</x:v>
      </x:c>
    </x:row>
    <x:row r="850">
      <x:c r="B850" t="str">
        <x:v>PH-TG-252-G</x:v>
      </x:c>
      <x:c r="C850" t="str">
        <x:v>PHYSICAL</x:v>
      </x:c>
      <x:c r="D850" t="str">
        <x:v>terrain geometry</x:v>
      </x:c>
      <x:c r="E850" t="n">
        <x:f>IF('Terrain Field'!J258&lt;&gt;"",1,0)</x:f>
        <x:v>0</x:v>
      </x:c>
      <x:c r="F850" t="n">
        <x:v>1</x:v>
      </x:c>
      <x:c r="G850" t="str">
        <x:v>equals</x:v>
      </x:c>
      <x:c r="H850" t="str">
        <x:v>independent physical acceptance</x:v>
      </x:c>
      <x:c r="I850" t="str">
        <x:f>IF(E850=1,"PASS","OPEN")</x:f>
        <x:v>OPEN</x:v>
      </x:c>
    </x:row>
    <x:row r="851">
      <x:c r="B851" t="str">
        <x:v>PH-TG-252-L</x:v>
      </x:c>
      <x:c r="C851" t="str">
        <x:v>PHYSICAL</x:v>
      </x:c>
      <x:c r="D851" t="str">
        <x:v>terrain load</x:v>
      </x:c>
      <x:c r="E851" t="n">
        <x:f>IF('Terrain Field'!K258&lt;&gt;"",1,0)</x:f>
        <x:v>0</x:v>
      </x:c>
      <x:c r="F851" t="n">
        <x:v>1</x:v>
      </x:c>
      <x:c r="G851" t="str">
        <x:v>equals</x:v>
      </x:c>
      <x:c r="H851" t="str">
        <x:v>independent physical acceptance</x:v>
      </x:c>
      <x:c r="I851" t="str">
        <x:f>IF(E851=1,"PASS","OPEN")</x:f>
        <x:v>OPEN</x:v>
      </x:c>
    </x:row>
    <x:row r="852">
      <x:c r="B852" t="str">
        <x:v>PH-TG-253-G</x:v>
      </x:c>
      <x:c r="C852" t="str">
        <x:v>PHYSICAL</x:v>
      </x:c>
      <x:c r="D852" t="str">
        <x:v>terrain geometry</x:v>
      </x:c>
      <x:c r="E852" t="n">
        <x:f>IF('Terrain Field'!J259&lt;&gt;"",1,0)</x:f>
        <x:v>0</x:v>
      </x:c>
      <x:c r="F852" t="n">
        <x:v>1</x:v>
      </x:c>
      <x:c r="G852" t="str">
        <x:v>equals</x:v>
      </x:c>
      <x:c r="H852" t="str">
        <x:v>independent physical acceptance</x:v>
      </x:c>
      <x:c r="I852" t="str">
        <x:f>IF(E852=1,"PASS","OPEN")</x:f>
        <x:v>OPEN</x:v>
      </x:c>
    </x:row>
    <x:row r="853">
      <x:c r="B853" t="str">
        <x:v>PH-TG-253-L</x:v>
      </x:c>
      <x:c r="C853" t="str">
        <x:v>PHYSICAL</x:v>
      </x:c>
      <x:c r="D853" t="str">
        <x:v>terrain load</x:v>
      </x:c>
      <x:c r="E853" t="n">
        <x:f>IF('Terrain Field'!K259&lt;&gt;"",1,0)</x:f>
        <x:v>0</x:v>
      </x:c>
      <x:c r="F853" t="n">
        <x:v>1</x:v>
      </x:c>
      <x:c r="G853" t="str">
        <x:v>equals</x:v>
      </x:c>
      <x:c r="H853" t="str">
        <x:v>independent physical acceptance</x:v>
      </x:c>
      <x:c r="I853" t="str">
        <x:f>IF(E853=1,"PASS","OPEN")</x:f>
        <x:v>OPEN</x:v>
      </x:c>
    </x:row>
    <x:row r="854">
      <x:c r="B854" t="str">
        <x:v>PH-TG-254-G</x:v>
      </x:c>
      <x:c r="C854" t="str">
        <x:v>PHYSICAL</x:v>
      </x:c>
      <x:c r="D854" t="str">
        <x:v>terrain geometry</x:v>
      </x:c>
      <x:c r="E854" t="n">
        <x:f>IF('Terrain Field'!J260&lt;&gt;"",1,0)</x:f>
        <x:v>0</x:v>
      </x:c>
      <x:c r="F854" t="n">
        <x:v>1</x:v>
      </x:c>
      <x:c r="G854" t="str">
        <x:v>equals</x:v>
      </x:c>
      <x:c r="H854" t="str">
        <x:v>independent physical acceptance</x:v>
      </x:c>
      <x:c r="I854" t="str">
        <x:f>IF(E854=1,"PASS","OPEN")</x:f>
        <x:v>OPEN</x:v>
      </x:c>
    </x:row>
    <x:row r="855">
      <x:c r="B855" t="str">
        <x:v>PH-TG-254-L</x:v>
      </x:c>
      <x:c r="C855" t="str">
        <x:v>PHYSICAL</x:v>
      </x:c>
      <x:c r="D855" t="str">
        <x:v>terrain load</x:v>
      </x:c>
      <x:c r="E855" t="n">
        <x:f>IF('Terrain Field'!K260&lt;&gt;"",1,0)</x:f>
        <x:v>0</x:v>
      </x:c>
      <x:c r="F855" t="n">
        <x:v>1</x:v>
      </x:c>
      <x:c r="G855" t="str">
        <x:v>equals</x:v>
      </x:c>
      <x:c r="H855" t="str">
        <x:v>independent physical acceptance</x:v>
      </x:c>
      <x:c r="I855" t="str">
        <x:f>IF(E855=1,"PASS","OPEN")</x:f>
        <x:v>OPEN</x:v>
      </x:c>
    </x:row>
    <x:row r="856">
      <x:c r="B856" t="str">
        <x:v>PH-TG-255-G</x:v>
      </x:c>
      <x:c r="C856" t="str">
        <x:v>PHYSICAL</x:v>
      </x:c>
      <x:c r="D856" t="str">
        <x:v>terrain geometry</x:v>
      </x:c>
      <x:c r="E856" t="n">
        <x:f>IF('Terrain Field'!J261&lt;&gt;"",1,0)</x:f>
        <x:v>0</x:v>
      </x:c>
      <x:c r="F856" t="n">
        <x:v>1</x:v>
      </x:c>
      <x:c r="G856" t="str">
        <x:v>equals</x:v>
      </x:c>
      <x:c r="H856" t="str">
        <x:v>independent physical acceptance</x:v>
      </x:c>
      <x:c r="I856" t="str">
        <x:f>IF(E856=1,"PASS","OPEN")</x:f>
        <x:v>OPEN</x:v>
      </x:c>
    </x:row>
    <x:row r="857">
      <x:c r="B857" t="str">
        <x:v>PH-TG-255-L</x:v>
      </x:c>
      <x:c r="C857" t="str">
        <x:v>PHYSICAL</x:v>
      </x:c>
      <x:c r="D857" t="str">
        <x:v>terrain load</x:v>
      </x:c>
      <x:c r="E857" t="n">
        <x:f>IF('Terrain Field'!K261&lt;&gt;"",1,0)</x:f>
        <x:v>0</x:v>
      </x:c>
      <x:c r="F857" t="n">
        <x:v>1</x:v>
      </x:c>
      <x:c r="G857" t="str">
        <x:v>equals</x:v>
      </x:c>
      <x:c r="H857" t="str">
        <x:v>independent physical acceptance</x:v>
      </x:c>
      <x:c r="I857" t="str">
        <x:f>IF(E857=1,"PASS","OPEN")</x:f>
        <x:v>OPEN</x:v>
      </x:c>
    </x:row>
    <x:row r="858">
      <x:c r="B858" t="str">
        <x:v>PH-TG-256-G</x:v>
      </x:c>
      <x:c r="C858" t="str">
        <x:v>PHYSICAL</x:v>
      </x:c>
      <x:c r="D858" t="str">
        <x:v>terrain geometry</x:v>
      </x:c>
      <x:c r="E858" t="n">
        <x:f>IF('Terrain Field'!J262&lt;&gt;"",1,0)</x:f>
        <x:v>0</x:v>
      </x:c>
      <x:c r="F858" t="n">
        <x:v>1</x:v>
      </x:c>
      <x:c r="G858" t="str">
        <x:v>equals</x:v>
      </x:c>
      <x:c r="H858" t="str">
        <x:v>independent physical acceptance</x:v>
      </x:c>
      <x:c r="I858" t="str">
        <x:f>IF(E858=1,"PASS","OPEN")</x:f>
        <x:v>OPEN</x:v>
      </x:c>
    </x:row>
    <x:row r="859">
      <x:c r="B859" t="str">
        <x:v>PH-TG-256-L</x:v>
      </x:c>
      <x:c r="C859" t="str">
        <x:v>PHYSICAL</x:v>
      </x:c>
      <x:c r="D859" t="str">
        <x:v>terrain load</x:v>
      </x:c>
      <x:c r="E859" t="n">
        <x:f>IF('Terrain Field'!K262&lt;&gt;"",1,0)</x:f>
        <x:v>0</x:v>
      </x:c>
      <x:c r="F859" t="n">
        <x:v>1</x:v>
      </x:c>
      <x:c r="G859" t="str">
        <x:v>equals</x:v>
      </x:c>
      <x:c r="H859" t="str">
        <x:v>independent physical acceptance</x:v>
      </x:c>
      <x:c r="I859" t="str">
        <x:f>IF(E859=1,"PASS","OPEN")</x:f>
        <x:v>OPEN</x:v>
      </x:c>
    </x:row>
    <x:row r="860">
      <x:c r="B860" t="str">
        <x:v>PH-TG-257-G</x:v>
      </x:c>
      <x:c r="C860" t="str">
        <x:v>PHYSICAL</x:v>
      </x:c>
      <x:c r="D860" t="str">
        <x:v>terrain geometry</x:v>
      </x:c>
      <x:c r="E860" t="n">
        <x:f>IF('Terrain Field'!J263&lt;&gt;"",1,0)</x:f>
        <x:v>0</x:v>
      </x:c>
      <x:c r="F860" t="n">
        <x:v>1</x:v>
      </x:c>
      <x:c r="G860" t="str">
        <x:v>equals</x:v>
      </x:c>
      <x:c r="H860" t="str">
        <x:v>independent physical acceptance</x:v>
      </x:c>
      <x:c r="I860" t="str">
        <x:f>IF(E860=1,"PASS","OPEN")</x:f>
        <x:v>OPEN</x:v>
      </x:c>
    </x:row>
    <x:row r="861">
      <x:c r="B861" t="str">
        <x:v>PH-TG-257-L</x:v>
      </x:c>
      <x:c r="C861" t="str">
        <x:v>PHYSICAL</x:v>
      </x:c>
      <x:c r="D861" t="str">
        <x:v>terrain load</x:v>
      </x:c>
      <x:c r="E861" t="n">
        <x:f>IF('Terrain Field'!K263&lt;&gt;"",1,0)</x:f>
        <x:v>0</x:v>
      </x:c>
      <x:c r="F861" t="n">
        <x:v>1</x:v>
      </x:c>
      <x:c r="G861" t="str">
        <x:v>equals</x:v>
      </x:c>
      <x:c r="H861" t="str">
        <x:v>independent physical acceptance</x:v>
      </x:c>
      <x:c r="I861" t="str">
        <x:f>IF(E861=1,"PASS","OPEN")</x:f>
        <x:v>OPEN</x:v>
      </x:c>
    </x:row>
    <x:row r="862">
      <x:c r="B862" t="str">
        <x:v>PH-TG-258-G</x:v>
      </x:c>
      <x:c r="C862" t="str">
        <x:v>PHYSICAL</x:v>
      </x:c>
      <x:c r="D862" t="str">
        <x:v>terrain geometry</x:v>
      </x:c>
      <x:c r="E862" t="n">
        <x:f>IF('Terrain Field'!J264&lt;&gt;"",1,0)</x:f>
        <x:v>0</x:v>
      </x:c>
      <x:c r="F862" t="n">
        <x:v>1</x:v>
      </x:c>
      <x:c r="G862" t="str">
        <x:v>equals</x:v>
      </x:c>
      <x:c r="H862" t="str">
        <x:v>independent physical acceptance</x:v>
      </x:c>
      <x:c r="I862" t="str">
        <x:f>IF(E862=1,"PASS","OPEN")</x:f>
        <x:v>OPEN</x:v>
      </x:c>
    </x:row>
    <x:row r="863">
      <x:c r="B863" t="str">
        <x:v>PH-TG-258-L</x:v>
      </x:c>
      <x:c r="C863" t="str">
        <x:v>PHYSICAL</x:v>
      </x:c>
      <x:c r="D863" t="str">
        <x:v>terrain load</x:v>
      </x:c>
      <x:c r="E863" t="n">
        <x:f>IF('Terrain Field'!K264&lt;&gt;"",1,0)</x:f>
        <x:v>0</x:v>
      </x:c>
      <x:c r="F863" t="n">
        <x:v>1</x:v>
      </x:c>
      <x:c r="G863" t="str">
        <x:v>equals</x:v>
      </x:c>
      <x:c r="H863" t="str">
        <x:v>independent physical acceptance</x:v>
      </x:c>
      <x:c r="I863" t="str">
        <x:f>IF(E863=1,"PASS","OPEN")</x:f>
        <x:v>OPEN</x:v>
      </x:c>
    </x:row>
    <x:row r="864">
      <x:c r="B864" t="str">
        <x:v>PH-TG-259-G</x:v>
      </x:c>
      <x:c r="C864" t="str">
        <x:v>PHYSICAL</x:v>
      </x:c>
      <x:c r="D864" t="str">
        <x:v>terrain geometry</x:v>
      </x:c>
      <x:c r="E864" t="n">
        <x:f>IF('Terrain Field'!J265&lt;&gt;"",1,0)</x:f>
        <x:v>0</x:v>
      </x:c>
      <x:c r="F864" t="n">
        <x:v>1</x:v>
      </x:c>
      <x:c r="G864" t="str">
        <x:v>equals</x:v>
      </x:c>
      <x:c r="H864" t="str">
        <x:v>independent physical acceptance</x:v>
      </x:c>
      <x:c r="I864" t="str">
        <x:f>IF(E864=1,"PASS","OPEN")</x:f>
        <x:v>OPEN</x:v>
      </x:c>
    </x:row>
    <x:row r="865">
      <x:c r="B865" t="str">
        <x:v>PH-TG-259-L</x:v>
      </x:c>
      <x:c r="C865" t="str">
        <x:v>PHYSICAL</x:v>
      </x:c>
      <x:c r="D865" t="str">
        <x:v>terrain load</x:v>
      </x:c>
      <x:c r="E865" t="n">
        <x:f>IF('Terrain Field'!K265&lt;&gt;"",1,0)</x:f>
        <x:v>0</x:v>
      </x:c>
      <x:c r="F865" t="n">
        <x:v>1</x:v>
      </x:c>
      <x:c r="G865" t="str">
        <x:v>equals</x:v>
      </x:c>
      <x:c r="H865" t="str">
        <x:v>independent physical acceptance</x:v>
      </x:c>
      <x:c r="I865" t="str">
        <x:f>IF(E865=1,"PASS","OPEN")</x:f>
        <x:v>OPEN</x:v>
      </x:c>
    </x:row>
    <x:row r="866">
      <x:c r="B866" t="str">
        <x:v>PH-TG-260-G</x:v>
      </x:c>
      <x:c r="C866" t="str">
        <x:v>PHYSICAL</x:v>
      </x:c>
      <x:c r="D866" t="str">
        <x:v>terrain geometry</x:v>
      </x:c>
      <x:c r="E866" t="n">
        <x:f>IF('Terrain Field'!J266&lt;&gt;"",1,0)</x:f>
        <x:v>0</x:v>
      </x:c>
      <x:c r="F866" t="n">
        <x:v>1</x:v>
      </x:c>
      <x:c r="G866" t="str">
        <x:v>equals</x:v>
      </x:c>
      <x:c r="H866" t="str">
        <x:v>independent physical acceptance</x:v>
      </x:c>
      <x:c r="I866" t="str">
        <x:f>IF(E866=1,"PASS","OPEN")</x:f>
        <x:v>OPEN</x:v>
      </x:c>
    </x:row>
    <x:row r="867">
      <x:c r="B867" t="str">
        <x:v>PH-TG-260-L</x:v>
      </x:c>
      <x:c r="C867" t="str">
        <x:v>PHYSICAL</x:v>
      </x:c>
      <x:c r="D867" t="str">
        <x:v>terrain load</x:v>
      </x:c>
      <x:c r="E867" t="n">
        <x:f>IF('Terrain Field'!K266&lt;&gt;"",1,0)</x:f>
        <x:v>0</x:v>
      </x:c>
      <x:c r="F867" t="n">
        <x:v>1</x:v>
      </x:c>
      <x:c r="G867" t="str">
        <x:v>equals</x:v>
      </x:c>
      <x:c r="H867" t="str">
        <x:v>independent physical acceptance</x:v>
      </x:c>
      <x:c r="I867" t="str">
        <x:f>IF(E867=1,"PASS","OPEN")</x:f>
        <x:v>OPEN</x:v>
      </x:c>
    </x:row>
    <x:row r="868">
      <x:c r="B868" t="str">
        <x:v>PH-TG-261-G</x:v>
      </x:c>
      <x:c r="C868" t="str">
        <x:v>PHYSICAL</x:v>
      </x:c>
      <x:c r="D868" t="str">
        <x:v>terrain geometry</x:v>
      </x:c>
      <x:c r="E868" t="n">
        <x:f>IF('Terrain Field'!J267&lt;&gt;"",1,0)</x:f>
        <x:v>0</x:v>
      </x:c>
      <x:c r="F868" t="n">
        <x:v>1</x:v>
      </x:c>
      <x:c r="G868" t="str">
        <x:v>equals</x:v>
      </x:c>
      <x:c r="H868" t="str">
        <x:v>independent physical acceptance</x:v>
      </x:c>
      <x:c r="I868" t="str">
        <x:f>IF(E868=1,"PASS","OPEN")</x:f>
        <x:v>OPEN</x:v>
      </x:c>
    </x:row>
    <x:row r="869">
      <x:c r="B869" t="str">
        <x:v>PH-TG-261-L</x:v>
      </x:c>
      <x:c r="C869" t="str">
        <x:v>PHYSICAL</x:v>
      </x:c>
      <x:c r="D869" t="str">
        <x:v>terrain load</x:v>
      </x:c>
      <x:c r="E869" t="n">
        <x:f>IF('Terrain Field'!K267&lt;&gt;"",1,0)</x:f>
        <x:v>0</x:v>
      </x:c>
      <x:c r="F869" t="n">
        <x:v>1</x:v>
      </x:c>
      <x:c r="G869" t="str">
        <x:v>equals</x:v>
      </x:c>
      <x:c r="H869" t="str">
        <x:v>independent physical acceptance</x:v>
      </x:c>
      <x:c r="I869" t="str">
        <x:f>IF(E869=1,"PASS","OPEN")</x:f>
        <x:v>OPEN</x:v>
      </x:c>
    </x:row>
    <x:row r="870">
      <x:c r="B870" t="str">
        <x:v>PH-TG-262-G</x:v>
      </x:c>
      <x:c r="C870" t="str">
        <x:v>PHYSICAL</x:v>
      </x:c>
      <x:c r="D870" t="str">
        <x:v>terrain geometry</x:v>
      </x:c>
      <x:c r="E870" t="n">
        <x:f>IF('Terrain Field'!J268&lt;&gt;"",1,0)</x:f>
        <x:v>0</x:v>
      </x:c>
      <x:c r="F870" t="n">
        <x:v>1</x:v>
      </x:c>
      <x:c r="G870" t="str">
        <x:v>equals</x:v>
      </x:c>
      <x:c r="H870" t="str">
        <x:v>independent physical acceptance</x:v>
      </x:c>
      <x:c r="I870" t="str">
        <x:f>IF(E870=1,"PASS","OPEN")</x:f>
        <x:v>OPEN</x:v>
      </x:c>
    </x:row>
    <x:row r="871">
      <x:c r="B871" t="str">
        <x:v>PH-TG-262-L</x:v>
      </x:c>
      <x:c r="C871" t="str">
        <x:v>PHYSICAL</x:v>
      </x:c>
      <x:c r="D871" t="str">
        <x:v>terrain load</x:v>
      </x:c>
      <x:c r="E871" t="n">
        <x:f>IF('Terrain Field'!K268&lt;&gt;"",1,0)</x:f>
        <x:v>0</x:v>
      </x:c>
      <x:c r="F871" t="n">
        <x:v>1</x:v>
      </x:c>
      <x:c r="G871" t="str">
        <x:v>equals</x:v>
      </x:c>
      <x:c r="H871" t="str">
        <x:v>independent physical acceptance</x:v>
      </x:c>
      <x:c r="I871" t="str">
        <x:f>IF(E871=1,"PASS","OPEN")</x:f>
        <x:v>OPEN</x:v>
      </x:c>
    </x:row>
    <x:row r="872">
      <x:c r="B872" t="str">
        <x:v>PH-TG-263-G</x:v>
      </x:c>
      <x:c r="C872" t="str">
        <x:v>PHYSICAL</x:v>
      </x:c>
      <x:c r="D872" t="str">
        <x:v>terrain geometry</x:v>
      </x:c>
      <x:c r="E872" t="n">
        <x:f>IF('Terrain Field'!J269&lt;&gt;"",1,0)</x:f>
        <x:v>0</x:v>
      </x:c>
      <x:c r="F872" t="n">
        <x:v>1</x:v>
      </x:c>
      <x:c r="G872" t="str">
        <x:v>equals</x:v>
      </x:c>
      <x:c r="H872" t="str">
        <x:v>independent physical acceptance</x:v>
      </x:c>
      <x:c r="I872" t="str">
        <x:f>IF(E872=1,"PASS","OPEN")</x:f>
        <x:v>OPEN</x:v>
      </x:c>
    </x:row>
    <x:row r="873">
      <x:c r="B873" t="str">
        <x:v>PH-TG-263-L</x:v>
      </x:c>
      <x:c r="C873" t="str">
        <x:v>PHYSICAL</x:v>
      </x:c>
      <x:c r="D873" t="str">
        <x:v>terrain load</x:v>
      </x:c>
      <x:c r="E873" t="n">
        <x:f>IF('Terrain Field'!K269&lt;&gt;"",1,0)</x:f>
        <x:v>0</x:v>
      </x:c>
      <x:c r="F873" t="n">
        <x:v>1</x:v>
      </x:c>
      <x:c r="G873" t="str">
        <x:v>equals</x:v>
      </x:c>
      <x:c r="H873" t="str">
        <x:v>independent physical acceptance</x:v>
      </x:c>
      <x:c r="I873" t="str">
        <x:f>IF(E873=1,"PASS","OPEN")</x:f>
        <x:v>OPEN</x:v>
      </x:c>
    </x:row>
    <x:row r="874">
      <x:c r="B874" t="str">
        <x:v>PH-TG-264-G</x:v>
      </x:c>
      <x:c r="C874" t="str">
        <x:v>PHYSICAL</x:v>
      </x:c>
      <x:c r="D874" t="str">
        <x:v>terrain geometry</x:v>
      </x:c>
      <x:c r="E874" t="n">
        <x:f>IF('Terrain Field'!J270&lt;&gt;"",1,0)</x:f>
        <x:v>0</x:v>
      </x:c>
      <x:c r="F874" t="n">
        <x:v>1</x:v>
      </x:c>
      <x:c r="G874" t="str">
        <x:v>equals</x:v>
      </x:c>
      <x:c r="H874" t="str">
        <x:v>independent physical acceptance</x:v>
      </x:c>
      <x:c r="I874" t="str">
        <x:f>IF(E874=1,"PASS","OPEN")</x:f>
        <x:v>OPEN</x:v>
      </x:c>
    </x:row>
    <x:row r="875">
      <x:c r="B875" t="str">
        <x:v>PH-TG-264-L</x:v>
      </x:c>
      <x:c r="C875" t="str">
        <x:v>PHYSICAL</x:v>
      </x:c>
      <x:c r="D875" t="str">
        <x:v>terrain load</x:v>
      </x:c>
      <x:c r="E875" t="n">
        <x:f>IF('Terrain Field'!K270&lt;&gt;"",1,0)</x:f>
        <x:v>0</x:v>
      </x:c>
      <x:c r="F875" t="n">
        <x:v>1</x:v>
      </x:c>
      <x:c r="G875" t="str">
        <x:v>equals</x:v>
      </x:c>
      <x:c r="H875" t="str">
        <x:v>independent physical acceptance</x:v>
      </x:c>
      <x:c r="I875" t="str">
        <x:f>IF(E875=1,"PASS","OPEN")</x:f>
        <x:v>OPEN</x:v>
      </x:c>
    </x:row>
    <x:row r="876">
      <x:c r="B876" t="str">
        <x:v>PH-TG-265-G</x:v>
      </x:c>
      <x:c r="C876" t="str">
        <x:v>PHYSICAL</x:v>
      </x:c>
      <x:c r="D876" t="str">
        <x:v>terrain geometry</x:v>
      </x:c>
      <x:c r="E876" t="n">
        <x:f>IF('Terrain Field'!J271&lt;&gt;"",1,0)</x:f>
        <x:v>0</x:v>
      </x:c>
      <x:c r="F876" t="n">
        <x:v>1</x:v>
      </x:c>
      <x:c r="G876" t="str">
        <x:v>equals</x:v>
      </x:c>
      <x:c r="H876" t="str">
        <x:v>independent physical acceptance</x:v>
      </x:c>
      <x:c r="I876" t="str">
        <x:f>IF(E876=1,"PASS","OPEN")</x:f>
        <x:v>OPEN</x:v>
      </x:c>
    </x:row>
    <x:row r="877">
      <x:c r="B877" t="str">
        <x:v>PH-TG-265-L</x:v>
      </x:c>
      <x:c r="C877" t="str">
        <x:v>PHYSICAL</x:v>
      </x:c>
      <x:c r="D877" t="str">
        <x:v>terrain load</x:v>
      </x:c>
      <x:c r="E877" t="n">
        <x:f>IF('Terrain Field'!K271&lt;&gt;"",1,0)</x:f>
        <x:v>0</x:v>
      </x:c>
      <x:c r="F877" t="n">
        <x:v>1</x:v>
      </x:c>
      <x:c r="G877" t="str">
        <x:v>equals</x:v>
      </x:c>
      <x:c r="H877" t="str">
        <x:v>independent physical acceptance</x:v>
      </x:c>
      <x:c r="I877" t="str">
        <x:f>IF(E877=1,"PASS","OPEN")</x:f>
        <x:v>OPEN</x:v>
      </x:c>
    </x:row>
    <x:row r="878">
      <x:c r="B878" t="str">
        <x:v>PH-TG-266-G</x:v>
      </x:c>
      <x:c r="C878" t="str">
        <x:v>PHYSICAL</x:v>
      </x:c>
      <x:c r="D878" t="str">
        <x:v>terrain geometry</x:v>
      </x:c>
      <x:c r="E878" t="n">
        <x:f>IF('Terrain Field'!J272&lt;&gt;"",1,0)</x:f>
        <x:v>0</x:v>
      </x:c>
      <x:c r="F878" t="n">
        <x:v>1</x:v>
      </x:c>
      <x:c r="G878" t="str">
        <x:v>equals</x:v>
      </x:c>
      <x:c r="H878" t="str">
        <x:v>independent physical acceptance</x:v>
      </x:c>
      <x:c r="I878" t="str">
        <x:f>IF(E878=1,"PASS","OPEN")</x:f>
        <x:v>OPEN</x:v>
      </x:c>
    </x:row>
    <x:row r="879">
      <x:c r="B879" t="str">
        <x:v>PH-TG-266-L</x:v>
      </x:c>
      <x:c r="C879" t="str">
        <x:v>PHYSICAL</x:v>
      </x:c>
      <x:c r="D879" t="str">
        <x:v>terrain load</x:v>
      </x:c>
      <x:c r="E879" t="n">
        <x:f>IF('Terrain Field'!K272&lt;&gt;"",1,0)</x:f>
        <x:v>0</x:v>
      </x:c>
      <x:c r="F879" t="n">
        <x:v>1</x:v>
      </x:c>
      <x:c r="G879" t="str">
        <x:v>equals</x:v>
      </x:c>
      <x:c r="H879" t="str">
        <x:v>independent physical acceptance</x:v>
      </x:c>
      <x:c r="I879" t="str">
        <x:f>IF(E879=1,"PASS","OPEN")</x:f>
        <x:v>OPEN</x:v>
      </x:c>
    </x:row>
    <x:row r="880">
      <x:c r="B880" t="str">
        <x:v>PH-TG-267-G</x:v>
      </x:c>
      <x:c r="C880" t="str">
        <x:v>PHYSICAL</x:v>
      </x:c>
      <x:c r="D880" t="str">
        <x:v>terrain geometry</x:v>
      </x:c>
      <x:c r="E880" t="n">
        <x:f>IF('Terrain Field'!J273&lt;&gt;"",1,0)</x:f>
        <x:v>0</x:v>
      </x:c>
      <x:c r="F880" t="n">
        <x:v>1</x:v>
      </x:c>
      <x:c r="G880" t="str">
        <x:v>equals</x:v>
      </x:c>
      <x:c r="H880" t="str">
        <x:v>independent physical acceptance</x:v>
      </x:c>
      <x:c r="I880" t="str">
        <x:f>IF(E880=1,"PASS","OPEN")</x:f>
        <x:v>OPEN</x:v>
      </x:c>
    </x:row>
    <x:row r="881">
      <x:c r="B881" t="str">
        <x:v>PH-TG-267-L</x:v>
      </x:c>
      <x:c r="C881" t="str">
        <x:v>PHYSICAL</x:v>
      </x:c>
      <x:c r="D881" t="str">
        <x:v>terrain load</x:v>
      </x:c>
      <x:c r="E881" t="n">
        <x:f>IF('Terrain Field'!K273&lt;&gt;"",1,0)</x:f>
        <x:v>0</x:v>
      </x:c>
      <x:c r="F881" t="n">
        <x:v>1</x:v>
      </x:c>
      <x:c r="G881" t="str">
        <x:v>equals</x:v>
      </x:c>
      <x:c r="H881" t="str">
        <x:v>independent physical acceptance</x:v>
      </x:c>
      <x:c r="I881" t="str">
        <x:f>IF(E881=1,"PASS","OPEN")</x:f>
        <x:v>OPEN</x:v>
      </x:c>
    </x:row>
    <x:row r="882">
      <x:c r="B882" t="str">
        <x:v>PH-TG-268-G</x:v>
      </x:c>
      <x:c r="C882" t="str">
        <x:v>PHYSICAL</x:v>
      </x:c>
      <x:c r="D882" t="str">
        <x:v>terrain geometry</x:v>
      </x:c>
      <x:c r="E882" t="n">
        <x:f>IF('Terrain Field'!J274&lt;&gt;"",1,0)</x:f>
        <x:v>0</x:v>
      </x:c>
      <x:c r="F882" t="n">
        <x:v>1</x:v>
      </x:c>
      <x:c r="G882" t="str">
        <x:v>equals</x:v>
      </x:c>
      <x:c r="H882" t="str">
        <x:v>independent physical acceptance</x:v>
      </x:c>
      <x:c r="I882" t="str">
        <x:f>IF(E882=1,"PASS","OPEN")</x:f>
        <x:v>OPEN</x:v>
      </x:c>
    </x:row>
    <x:row r="883">
      <x:c r="B883" t="str">
        <x:v>PH-TG-268-L</x:v>
      </x:c>
      <x:c r="C883" t="str">
        <x:v>PHYSICAL</x:v>
      </x:c>
      <x:c r="D883" t="str">
        <x:v>terrain load</x:v>
      </x:c>
      <x:c r="E883" t="n">
        <x:f>IF('Terrain Field'!K274&lt;&gt;"",1,0)</x:f>
        <x:v>0</x:v>
      </x:c>
      <x:c r="F883" t="n">
        <x:v>1</x:v>
      </x:c>
      <x:c r="G883" t="str">
        <x:v>equals</x:v>
      </x:c>
      <x:c r="H883" t="str">
        <x:v>independent physical acceptance</x:v>
      </x:c>
      <x:c r="I883" t="str">
        <x:f>IF(E883=1,"PASS","OPEN")</x:f>
        <x:v>OPEN</x:v>
      </x:c>
    </x:row>
    <x:row r="884">
      <x:c r="B884" t="str">
        <x:v>PH-TG-269-G</x:v>
      </x:c>
      <x:c r="C884" t="str">
        <x:v>PHYSICAL</x:v>
      </x:c>
      <x:c r="D884" t="str">
        <x:v>terrain geometry</x:v>
      </x:c>
      <x:c r="E884" t="n">
        <x:f>IF('Terrain Field'!J275&lt;&gt;"",1,0)</x:f>
        <x:v>0</x:v>
      </x:c>
      <x:c r="F884" t="n">
        <x:v>1</x:v>
      </x:c>
      <x:c r="G884" t="str">
        <x:v>equals</x:v>
      </x:c>
      <x:c r="H884" t="str">
        <x:v>independent physical acceptance</x:v>
      </x:c>
      <x:c r="I884" t="str">
        <x:f>IF(E884=1,"PASS","OPEN")</x:f>
        <x:v>OPEN</x:v>
      </x:c>
    </x:row>
    <x:row r="885">
      <x:c r="B885" t="str">
        <x:v>PH-TG-269-L</x:v>
      </x:c>
      <x:c r="C885" t="str">
        <x:v>PHYSICAL</x:v>
      </x:c>
      <x:c r="D885" t="str">
        <x:v>terrain load</x:v>
      </x:c>
      <x:c r="E885" t="n">
        <x:f>IF('Terrain Field'!K275&lt;&gt;"",1,0)</x:f>
        <x:v>0</x:v>
      </x:c>
      <x:c r="F885" t="n">
        <x:v>1</x:v>
      </x:c>
      <x:c r="G885" t="str">
        <x:v>equals</x:v>
      </x:c>
      <x:c r="H885" t="str">
        <x:v>independent physical acceptance</x:v>
      </x:c>
      <x:c r="I885" t="str">
        <x:f>IF(E885=1,"PASS","OPEN")</x:f>
        <x:v>OPEN</x:v>
      </x:c>
    </x:row>
    <x:row r="886">
      <x:c r="B886" t="str">
        <x:v>PH-TG-270-G</x:v>
      </x:c>
      <x:c r="C886" t="str">
        <x:v>PHYSICAL</x:v>
      </x:c>
      <x:c r="D886" t="str">
        <x:v>terrain geometry</x:v>
      </x:c>
      <x:c r="E886" t="n">
        <x:f>IF('Terrain Field'!J276&lt;&gt;"",1,0)</x:f>
        <x:v>0</x:v>
      </x:c>
      <x:c r="F886" t="n">
        <x:v>1</x:v>
      </x:c>
      <x:c r="G886" t="str">
        <x:v>equals</x:v>
      </x:c>
      <x:c r="H886" t="str">
        <x:v>independent physical acceptance</x:v>
      </x:c>
      <x:c r="I886" t="str">
        <x:f>IF(E886=1,"PASS","OPEN")</x:f>
        <x:v>OPEN</x:v>
      </x:c>
    </x:row>
    <x:row r="887">
      <x:c r="B887" t="str">
        <x:v>PH-TG-270-L</x:v>
      </x:c>
      <x:c r="C887" t="str">
        <x:v>PHYSICAL</x:v>
      </x:c>
      <x:c r="D887" t="str">
        <x:v>terrain load</x:v>
      </x:c>
      <x:c r="E887" t="n">
        <x:f>IF('Terrain Field'!K276&lt;&gt;"",1,0)</x:f>
        <x:v>0</x:v>
      </x:c>
      <x:c r="F887" t="n">
        <x:v>1</x:v>
      </x:c>
      <x:c r="G887" t="str">
        <x:v>equals</x:v>
      </x:c>
      <x:c r="H887" t="str">
        <x:v>independent physical acceptance</x:v>
      </x:c>
      <x:c r="I887" t="str">
        <x:f>IF(E887=1,"PASS","OPEN")</x:f>
        <x:v>OPEN</x:v>
      </x:c>
    </x:row>
    <x:row r="888">
      <x:c r="B888" t="str">
        <x:v>PH-TG-271-G</x:v>
      </x:c>
      <x:c r="C888" t="str">
        <x:v>PHYSICAL</x:v>
      </x:c>
      <x:c r="D888" t="str">
        <x:v>terrain geometry</x:v>
      </x:c>
      <x:c r="E888" t="n">
        <x:f>IF('Terrain Field'!J277&lt;&gt;"",1,0)</x:f>
        <x:v>0</x:v>
      </x:c>
      <x:c r="F888" t="n">
        <x:v>1</x:v>
      </x:c>
      <x:c r="G888" t="str">
        <x:v>equals</x:v>
      </x:c>
      <x:c r="H888" t="str">
        <x:v>independent physical acceptance</x:v>
      </x:c>
      <x:c r="I888" t="str">
        <x:f>IF(E888=1,"PASS","OPEN")</x:f>
        <x:v>OPEN</x:v>
      </x:c>
    </x:row>
    <x:row r="889">
      <x:c r="B889" t="str">
        <x:v>PH-TG-271-L</x:v>
      </x:c>
      <x:c r="C889" t="str">
        <x:v>PHYSICAL</x:v>
      </x:c>
      <x:c r="D889" t="str">
        <x:v>terrain load</x:v>
      </x:c>
      <x:c r="E889" t="n">
        <x:f>IF('Terrain Field'!K277&lt;&gt;"",1,0)</x:f>
        <x:v>0</x:v>
      </x:c>
      <x:c r="F889" t="n">
        <x:v>1</x:v>
      </x:c>
      <x:c r="G889" t="str">
        <x:v>equals</x:v>
      </x:c>
      <x:c r="H889" t="str">
        <x:v>independent physical acceptance</x:v>
      </x:c>
      <x:c r="I889" t="str">
        <x:f>IF(E889=1,"PASS","OPEN")</x:f>
        <x:v>OPEN</x:v>
      </x:c>
    </x:row>
    <x:row r="890">
      <x:c r="B890" t="str">
        <x:v>PH-TG-272-G</x:v>
      </x:c>
      <x:c r="C890" t="str">
        <x:v>PHYSICAL</x:v>
      </x:c>
      <x:c r="D890" t="str">
        <x:v>terrain geometry</x:v>
      </x:c>
      <x:c r="E890" t="n">
        <x:f>IF('Terrain Field'!J278&lt;&gt;"",1,0)</x:f>
        <x:v>0</x:v>
      </x:c>
      <x:c r="F890" t="n">
        <x:v>1</x:v>
      </x:c>
      <x:c r="G890" t="str">
        <x:v>equals</x:v>
      </x:c>
      <x:c r="H890" t="str">
        <x:v>independent physical acceptance</x:v>
      </x:c>
      <x:c r="I890" t="str">
        <x:f>IF(E890=1,"PASS","OPEN")</x:f>
        <x:v>OPEN</x:v>
      </x:c>
    </x:row>
    <x:row r="891">
      <x:c r="B891" t="str">
        <x:v>PH-TG-272-L</x:v>
      </x:c>
      <x:c r="C891" t="str">
        <x:v>PHYSICAL</x:v>
      </x:c>
      <x:c r="D891" t="str">
        <x:v>terrain load</x:v>
      </x:c>
      <x:c r="E891" t="n">
        <x:f>IF('Terrain Field'!K278&lt;&gt;"",1,0)</x:f>
        <x:v>0</x:v>
      </x:c>
      <x:c r="F891" t="n">
        <x:v>1</x:v>
      </x:c>
      <x:c r="G891" t="str">
        <x:v>equals</x:v>
      </x:c>
      <x:c r="H891" t="str">
        <x:v>independent physical acceptance</x:v>
      </x:c>
      <x:c r="I891" t="str">
        <x:f>IF(E891=1,"PASS","OPEN")</x:f>
        <x:v>OPEN</x:v>
      </x:c>
    </x:row>
    <x:row r="892">
      <x:c r="B892" t="str">
        <x:v>PH-TG-273-G</x:v>
      </x:c>
      <x:c r="C892" t="str">
        <x:v>PHYSICAL</x:v>
      </x:c>
      <x:c r="D892" t="str">
        <x:v>terrain geometry</x:v>
      </x:c>
      <x:c r="E892" t="n">
        <x:f>IF('Terrain Field'!J279&lt;&gt;"",1,0)</x:f>
        <x:v>0</x:v>
      </x:c>
      <x:c r="F892" t="n">
        <x:v>1</x:v>
      </x:c>
      <x:c r="G892" t="str">
        <x:v>equals</x:v>
      </x:c>
      <x:c r="H892" t="str">
        <x:v>independent physical acceptance</x:v>
      </x:c>
      <x:c r="I892" t="str">
        <x:f>IF(E892=1,"PASS","OPEN")</x:f>
        <x:v>OPEN</x:v>
      </x:c>
    </x:row>
    <x:row r="893">
      <x:c r="B893" t="str">
        <x:v>PH-TG-273-L</x:v>
      </x:c>
      <x:c r="C893" t="str">
        <x:v>PHYSICAL</x:v>
      </x:c>
      <x:c r="D893" t="str">
        <x:v>terrain load</x:v>
      </x:c>
      <x:c r="E893" t="n">
        <x:f>IF('Terrain Field'!K279&lt;&gt;"",1,0)</x:f>
        <x:v>0</x:v>
      </x:c>
      <x:c r="F893" t="n">
        <x:v>1</x:v>
      </x:c>
      <x:c r="G893" t="str">
        <x:v>equals</x:v>
      </x:c>
      <x:c r="H893" t="str">
        <x:v>independent physical acceptance</x:v>
      </x:c>
      <x:c r="I893" t="str">
        <x:f>IF(E893=1,"PASS","OPEN")</x:f>
        <x:v>OPEN</x:v>
      </x:c>
    </x:row>
    <x:row r="894">
      <x:c r="B894" t="str">
        <x:v>PH-TG-274-G</x:v>
      </x:c>
      <x:c r="C894" t="str">
        <x:v>PHYSICAL</x:v>
      </x:c>
      <x:c r="D894" t="str">
        <x:v>terrain geometry</x:v>
      </x:c>
      <x:c r="E894" t="n">
        <x:f>IF('Terrain Field'!J280&lt;&gt;"",1,0)</x:f>
        <x:v>0</x:v>
      </x:c>
      <x:c r="F894" t="n">
        <x:v>1</x:v>
      </x:c>
      <x:c r="G894" t="str">
        <x:v>equals</x:v>
      </x:c>
      <x:c r="H894" t="str">
        <x:v>independent physical acceptance</x:v>
      </x:c>
      <x:c r="I894" t="str">
        <x:f>IF(E894=1,"PASS","OPEN")</x:f>
        <x:v>OPEN</x:v>
      </x:c>
    </x:row>
    <x:row r="895">
      <x:c r="B895" t="str">
        <x:v>PH-TG-274-L</x:v>
      </x:c>
      <x:c r="C895" t="str">
        <x:v>PHYSICAL</x:v>
      </x:c>
      <x:c r="D895" t="str">
        <x:v>terrain load</x:v>
      </x:c>
      <x:c r="E895" t="n">
        <x:f>IF('Terrain Field'!K280&lt;&gt;"",1,0)</x:f>
        <x:v>0</x:v>
      </x:c>
      <x:c r="F895" t="n">
        <x:v>1</x:v>
      </x:c>
      <x:c r="G895" t="str">
        <x:v>equals</x:v>
      </x:c>
      <x:c r="H895" t="str">
        <x:v>independent physical acceptance</x:v>
      </x:c>
      <x:c r="I895" t="str">
        <x:f>IF(E895=1,"PASS","OPEN")</x:f>
        <x:v>OPEN</x:v>
      </x:c>
    </x:row>
    <x:row r="896">
      <x:c r="B896" t="str">
        <x:v>PH-TG-275-G</x:v>
      </x:c>
      <x:c r="C896" t="str">
        <x:v>PHYSICAL</x:v>
      </x:c>
      <x:c r="D896" t="str">
        <x:v>terrain geometry</x:v>
      </x:c>
      <x:c r="E896" t="n">
        <x:f>IF('Terrain Field'!J281&lt;&gt;"",1,0)</x:f>
        <x:v>0</x:v>
      </x:c>
      <x:c r="F896" t="n">
        <x:v>1</x:v>
      </x:c>
      <x:c r="G896" t="str">
        <x:v>equals</x:v>
      </x:c>
      <x:c r="H896" t="str">
        <x:v>independent physical acceptance</x:v>
      </x:c>
      <x:c r="I896" t="str">
        <x:f>IF(E896=1,"PASS","OPEN")</x:f>
        <x:v>OPEN</x:v>
      </x:c>
    </x:row>
    <x:row r="897">
      <x:c r="B897" t="str">
        <x:v>PH-TG-275-L</x:v>
      </x:c>
      <x:c r="C897" t="str">
        <x:v>PHYSICAL</x:v>
      </x:c>
      <x:c r="D897" t="str">
        <x:v>terrain load</x:v>
      </x:c>
      <x:c r="E897" t="n">
        <x:f>IF('Terrain Field'!K281&lt;&gt;"",1,0)</x:f>
        <x:v>0</x:v>
      </x:c>
      <x:c r="F897" t="n">
        <x:v>1</x:v>
      </x:c>
      <x:c r="G897" t="str">
        <x:v>equals</x:v>
      </x:c>
      <x:c r="H897" t="str">
        <x:v>independent physical acceptance</x:v>
      </x:c>
      <x:c r="I897" t="str">
        <x:f>IF(E897=1,"PASS","OPEN")</x:f>
        <x:v>OPEN</x:v>
      </x:c>
    </x:row>
    <x:row r="898">
      <x:c r="B898" t="str">
        <x:v>PH-TG-276-G</x:v>
      </x:c>
      <x:c r="C898" t="str">
        <x:v>PHYSICAL</x:v>
      </x:c>
      <x:c r="D898" t="str">
        <x:v>terrain geometry</x:v>
      </x:c>
      <x:c r="E898" t="n">
        <x:f>IF('Terrain Field'!J282&lt;&gt;"",1,0)</x:f>
        <x:v>0</x:v>
      </x:c>
      <x:c r="F898" t="n">
        <x:v>1</x:v>
      </x:c>
      <x:c r="G898" t="str">
        <x:v>equals</x:v>
      </x:c>
      <x:c r="H898" t="str">
        <x:v>independent physical acceptance</x:v>
      </x:c>
      <x:c r="I898" t="str">
        <x:f>IF(E898=1,"PASS","OPEN")</x:f>
        <x:v>OPEN</x:v>
      </x:c>
    </x:row>
    <x:row r="899">
      <x:c r="B899" t="str">
        <x:v>PH-TG-276-L</x:v>
      </x:c>
      <x:c r="C899" t="str">
        <x:v>PHYSICAL</x:v>
      </x:c>
      <x:c r="D899" t="str">
        <x:v>terrain load</x:v>
      </x:c>
      <x:c r="E899" t="n">
        <x:f>IF('Terrain Field'!K282&lt;&gt;"",1,0)</x:f>
        <x:v>0</x:v>
      </x:c>
      <x:c r="F899" t="n">
        <x:v>1</x:v>
      </x:c>
      <x:c r="G899" t="str">
        <x:v>equals</x:v>
      </x:c>
      <x:c r="H899" t="str">
        <x:v>independent physical acceptance</x:v>
      </x:c>
      <x:c r="I899" t="str">
        <x:f>IF(E899=1,"PASS","OPEN")</x:f>
        <x:v>OPEN</x:v>
      </x:c>
    </x:row>
    <x:row r="900">
      <x:c r="B900" t="str">
        <x:v>PH-TG-277-G</x:v>
      </x:c>
      <x:c r="C900" t="str">
        <x:v>PHYSICAL</x:v>
      </x:c>
      <x:c r="D900" t="str">
        <x:v>terrain geometry</x:v>
      </x:c>
      <x:c r="E900" t="n">
        <x:f>IF('Terrain Field'!J283&lt;&gt;"",1,0)</x:f>
        <x:v>0</x:v>
      </x:c>
      <x:c r="F900" t="n">
        <x:v>1</x:v>
      </x:c>
      <x:c r="G900" t="str">
        <x:v>equals</x:v>
      </x:c>
      <x:c r="H900" t="str">
        <x:v>independent physical acceptance</x:v>
      </x:c>
      <x:c r="I900" t="str">
        <x:f>IF(E900=1,"PASS","OPEN")</x:f>
        <x:v>OPEN</x:v>
      </x:c>
    </x:row>
    <x:row r="901">
      <x:c r="B901" t="str">
        <x:v>PH-TG-277-L</x:v>
      </x:c>
      <x:c r="C901" t="str">
        <x:v>PHYSICAL</x:v>
      </x:c>
      <x:c r="D901" t="str">
        <x:v>terrain load</x:v>
      </x:c>
      <x:c r="E901" t="n">
        <x:f>IF('Terrain Field'!K283&lt;&gt;"",1,0)</x:f>
        <x:v>0</x:v>
      </x:c>
      <x:c r="F901" t="n">
        <x:v>1</x:v>
      </x:c>
      <x:c r="G901" t="str">
        <x:v>equals</x:v>
      </x:c>
      <x:c r="H901" t="str">
        <x:v>independent physical acceptance</x:v>
      </x:c>
      <x:c r="I901" t="str">
        <x:f>IF(E901=1,"PASS","OPEN")</x:f>
        <x:v>OPEN</x:v>
      </x:c>
    </x:row>
    <x:row r="902">
      <x:c r="B902" t="str">
        <x:v>PH-TG-278-G</x:v>
      </x:c>
      <x:c r="C902" t="str">
        <x:v>PHYSICAL</x:v>
      </x:c>
      <x:c r="D902" t="str">
        <x:v>terrain geometry</x:v>
      </x:c>
      <x:c r="E902" t="n">
        <x:f>IF('Terrain Field'!J284&lt;&gt;"",1,0)</x:f>
        <x:v>0</x:v>
      </x:c>
      <x:c r="F902" t="n">
        <x:v>1</x:v>
      </x:c>
      <x:c r="G902" t="str">
        <x:v>equals</x:v>
      </x:c>
      <x:c r="H902" t="str">
        <x:v>independent physical acceptance</x:v>
      </x:c>
      <x:c r="I902" t="str">
        <x:f>IF(E902=1,"PASS","OPEN")</x:f>
        <x:v>OPEN</x:v>
      </x:c>
    </x:row>
    <x:row r="903">
      <x:c r="B903" t="str">
        <x:v>PH-TG-278-L</x:v>
      </x:c>
      <x:c r="C903" t="str">
        <x:v>PHYSICAL</x:v>
      </x:c>
      <x:c r="D903" t="str">
        <x:v>terrain load</x:v>
      </x:c>
      <x:c r="E903" t="n">
        <x:f>IF('Terrain Field'!K284&lt;&gt;"",1,0)</x:f>
        <x:v>0</x:v>
      </x:c>
      <x:c r="F903" t="n">
        <x:v>1</x:v>
      </x:c>
      <x:c r="G903" t="str">
        <x:v>equals</x:v>
      </x:c>
      <x:c r="H903" t="str">
        <x:v>independent physical acceptance</x:v>
      </x:c>
      <x:c r="I903" t="str">
        <x:f>IF(E903=1,"PASS","OPEN")</x:f>
        <x:v>OPEN</x:v>
      </x:c>
    </x:row>
    <x:row r="904">
      <x:c r="B904" t="str">
        <x:v>PH-TG-279-G</x:v>
      </x:c>
      <x:c r="C904" t="str">
        <x:v>PHYSICAL</x:v>
      </x:c>
      <x:c r="D904" t="str">
        <x:v>terrain geometry</x:v>
      </x:c>
      <x:c r="E904" t="n">
        <x:f>IF('Terrain Field'!J285&lt;&gt;"",1,0)</x:f>
        <x:v>0</x:v>
      </x:c>
      <x:c r="F904" t="n">
        <x:v>1</x:v>
      </x:c>
      <x:c r="G904" t="str">
        <x:v>equals</x:v>
      </x:c>
      <x:c r="H904" t="str">
        <x:v>independent physical acceptance</x:v>
      </x:c>
      <x:c r="I904" t="str">
        <x:f>IF(E904=1,"PASS","OPEN")</x:f>
        <x:v>OPEN</x:v>
      </x:c>
    </x:row>
    <x:row r="905">
      <x:c r="B905" t="str">
        <x:v>PH-TG-279-L</x:v>
      </x:c>
      <x:c r="C905" t="str">
        <x:v>PHYSICAL</x:v>
      </x:c>
      <x:c r="D905" t="str">
        <x:v>terrain load</x:v>
      </x:c>
      <x:c r="E905" t="n">
        <x:f>IF('Terrain Field'!K285&lt;&gt;"",1,0)</x:f>
        <x:v>0</x:v>
      </x:c>
      <x:c r="F905" t="n">
        <x:v>1</x:v>
      </x:c>
      <x:c r="G905" t="str">
        <x:v>equals</x:v>
      </x:c>
      <x:c r="H905" t="str">
        <x:v>independent physical acceptance</x:v>
      </x:c>
      <x:c r="I905" t="str">
        <x:f>IF(E905=1,"PASS","OPEN")</x:f>
        <x:v>OPEN</x:v>
      </x:c>
    </x:row>
    <x:row r="906">
      <x:c r="B906" t="str">
        <x:v>PH-TG-280-G</x:v>
      </x:c>
      <x:c r="C906" t="str">
        <x:v>PHYSICAL</x:v>
      </x:c>
      <x:c r="D906" t="str">
        <x:v>terrain geometry</x:v>
      </x:c>
      <x:c r="E906" t="n">
        <x:f>IF('Terrain Field'!J286&lt;&gt;"",1,0)</x:f>
        <x:v>0</x:v>
      </x:c>
      <x:c r="F906" t="n">
        <x:v>1</x:v>
      </x:c>
      <x:c r="G906" t="str">
        <x:v>equals</x:v>
      </x:c>
      <x:c r="H906" t="str">
        <x:v>independent physical acceptance</x:v>
      </x:c>
      <x:c r="I906" t="str">
        <x:f>IF(E906=1,"PASS","OPEN")</x:f>
        <x:v>OPEN</x:v>
      </x:c>
    </x:row>
    <x:row r="907">
      <x:c r="B907" t="str">
        <x:v>PH-TG-280-L</x:v>
      </x:c>
      <x:c r="C907" t="str">
        <x:v>PHYSICAL</x:v>
      </x:c>
      <x:c r="D907" t="str">
        <x:v>terrain load</x:v>
      </x:c>
      <x:c r="E907" t="n">
        <x:f>IF('Terrain Field'!K286&lt;&gt;"",1,0)</x:f>
        <x:v>0</x:v>
      </x:c>
      <x:c r="F907" t="n">
        <x:v>1</x:v>
      </x:c>
      <x:c r="G907" t="str">
        <x:v>equals</x:v>
      </x:c>
      <x:c r="H907" t="str">
        <x:v>independent physical acceptance</x:v>
      </x:c>
      <x:c r="I907" t="str">
        <x:f>IF(E907=1,"PASS","OPEN")</x:f>
        <x:v>OPEN</x:v>
      </x:c>
    </x:row>
    <x:row r="908">
      <x:c r="B908" t="str">
        <x:v>PH-TG-281-G</x:v>
      </x:c>
      <x:c r="C908" t="str">
        <x:v>PHYSICAL</x:v>
      </x:c>
      <x:c r="D908" t="str">
        <x:v>terrain geometry</x:v>
      </x:c>
      <x:c r="E908" t="n">
        <x:f>IF('Terrain Field'!J287&lt;&gt;"",1,0)</x:f>
        <x:v>0</x:v>
      </x:c>
      <x:c r="F908" t="n">
        <x:v>1</x:v>
      </x:c>
      <x:c r="G908" t="str">
        <x:v>equals</x:v>
      </x:c>
      <x:c r="H908" t="str">
        <x:v>independent physical acceptance</x:v>
      </x:c>
      <x:c r="I908" t="str">
        <x:f>IF(E908=1,"PASS","OPEN")</x:f>
        <x:v>OPEN</x:v>
      </x:c>
    </x:row>
    <x:row r="909">
      <x:c r="B909" t="str">
        <x:v>PH-TG-281-L</x:v>
      </x:c>
      <x:c r="C909" t="str">
        <x:v>PHYSICAL</x:v>
      </x:c>
      <x:c r="D909" t="str">
        <x:v>terrain load</x:v>
      </x:c>
      <x:c r="E909" t="n">
        <x:f>IF('Terrain Field'!K287&lt;&gt;"",1,0)</x:f>
        <x:v>0</x:v>
      </x:c>
      <x:c r="F909" t="n">
        <x:v>1</x:v>
      </x:c>
      <x:c r="G909" t="str">
        <x:v>equals</x:v>
      </x:c>
      <x:c r="H909" t="str">
        <x:v>independent physical acceptance</x:v>
      </x:c>
      <x:c r="I909" t="str">
        <x:f>IF(E909=1,"PASS","OPEN")</x:f>
        <x:v>OPEN</x:v>
      </x:c>
    </x:row>
    <x:row r="910">
      <x:c r="B910" t="str">
        <x:v>PH-TG-282-G</x:v>
      </x:c>
      <x:c r="C910" t="str">
        <x:v>PHYSICAL</x:v>
      </x:c>
      <x:c r="D910" t="str">
        <x:v>terrain geometry</x:v>
      </x:c>
      <x:c r="E910" t="n">
        <x:f>IF('Terrain Field'!J288&lt;&gt;"",1,0)</x:f>
        <x:v>0</x:v>
      </x:c>
      <x:c r="F910" t="n">
        <x:v>1</x:v>
      </x:c>
      <x:c r="G910" t="str">
        <x:v>equals</x:v>
      </x:c>
      <x:c r="H910" t="str">
        <x:v>independent physical acceptance</x:v>
      </x:c>
      <x:c r="I910" t="str">
        <x:f>IF(E910=1,"PASS","OPEN")</x:f>
        <x:v>OPEN</x:v>
      </x:c>
    </x:row>
    <x:row r="911">
      <x:c r="B911" t="str">
        <x:v>PH-TG-282-L</x:v>
      </x:c>
      <x:c r="C911" t="str">
        <x:v>PHYSICAL</x:v>
      </x:c>
      <x:c r="D911" t="str">
        <x:v>terrain load</x:v>
      </x:c>
      <x:c r="E911" t="n">
        <x:f>IF('Terrain Field'!K288&lt;&gt;"",1,0)</x:f>
        <x:v>0</x:v>
      </x:c>
      <x:c r="F911" t="n">
        <x:v>1</x:v>
      </x:c>
      <x:c r="G911" t="str">
        <x:v>equals</x:v>
      </x:c>
      <x:c r="H911" t="str">
        <x:v>independent physical acceptance</x:v>
      </x:c>
      <x:c r="I911" t="str">
        <x:f>IF(E911=1,"PASS","OPEN")</x:f>
        <x:v>OPEN</x:v>
      </x:c>
    </x:row>
    <x:row r="912">
      <x:c r="B912" t="str">
        <x:v>PH-TG-283-G</x:v>
      </x:c>
      <x:c r="C912" t="str">
        <x:v>PHYSICAL</x:v>
      </x:c>
      <x:c r="D912" t="str">
        <x:v>terrain geometry</x:v>
      </x:c>
      <x:c r="E912" t="n">
        <x:f>IF('Terrain Field'!J289&lt;&gt;"",1,0)</x:f>
        <x:v>0</x:v>
      </x:c>
      <x:c r="F912" t="n">
        <x:v>1</x:v>
      </x:c>
      <x:c r="G912" t="str">
        <x:v>equals</x:v>
      </x:c>
      <x:c r="H912" t="str">
        <x:v>independent physical acceptance</x:v>
      </x:c>
      <x:c r="I912" t="str">
        <x:f>IF(E912=1,"PASS","OPEN")</x:f>
        <x:v>OPEN</x:v>
      </x:c>
    </x:row>
    <x:row r="913">
      <x:c r="B913" t="str">
        <x:v>PH-TG-283-L</x:v>
      </x:c>
      <x:c r="C913" t="str">
        <x:v>PHYSICAL</x:v>
      </x:c>
      <x:c r="D913" t="str">
        <x:v>terrain load</x:v>
      </x:c>
      <x:c r="E913" t="n">
        <x:f>IF('Terrain Field'!K289&lt;&gt;"",1,0)</x:f>
        <x:v>0</x:v>
      </x:c>
      <x:c r="F913" t="n">
        <x:v>1</x:v>
      </x:c>
      <x:c r="G913" t="str">
        <x:v>equals</x:v>
      </x:c>
      <x:c r="H913" t="str">
        <x:v>independent physical acceptance</x:v>
      </x:c>
      <x:c r="I913" t="str">
        <x:f>IF(E913=1,"PASS","OPEN")</x:f>
        <x:v>OPEN</x:v>
      </x:c>
    </x:row>
    <x:row r="914">
      <x:c r="B914" t="str">
        <x:v>PH-TG-284-G</x:v>
      </x:c>
      <x:c r="C914" t="str">
        <x:v>PHYSICAL</x:v>
      </x:c>
      <x:c r="D914" t="str">
        <x:v>terrain geometry</x:v>
      </x:c>
      <x:c r="E914" t="n">
        <x:f>IF('Terrain Field'!J290&lt;&gt;"",1,0)</x:f>
        <x:v>0</x:v>
      </x:c>
      <x:c r="F914" t="n">
        <x:v>1</x:v>
      </x:c>
      <x:c r="G914" t="str">
        <x:v>equals</x:v>
      </x:c>
      <x:c r="H914" t="str">
        <x:v>independent physical acceptance</x:v>
      </x:c>
      <x:c r="I914" t="str">
        <x:f>IF(E914=1,"PASS","OPEN")</x:f>
        <x:v>OPEN</x:v>
      </x:c>
    </x:row>
    <x:row r="915">
      <x:c r="B915" t="str">
        <x:v>PH-TG-284-L</x:v>
      </x:c>
      <x:c r="C915" t="str">
        <x:v>PHYSICAL</x:v>
      </x:c>
      <x:c r="D915" t="str">
        <x:v>terrain load</x:v>
      </x:c>
      <x:c r="E915" t="n">
        <x:f>IF('Terrain Field'!K290&lt;&gt;"",1,0)</x:f>
        <x:v>0</x:v>
      </x:c>
      <x:c r="F915" t="n">
        <x:v>1</x:v>
      </x:c>
      <x:c r="G915" t="str">
        <x:v>equals</x:v>
      </x:c>
      <x:c r="H915" t="str">
        <x:v>independent physical acceptance</x:v>
      </x:c>
      <x:c r="I915" t="str">
        <x:f>IF(E915=1,"PASS","OPEN")</x:f>
        <x:v>OPEN</x:v>
      </x:c>
    </x:row>
    <x:row r="916">
      <x:c r="B916" t="str">
        <x:v>PH-TG-285-G</x:v>
      </x:c>
      <x:c r="C916" t="str">
        <x:v>PHYSICAL</x:v>
      </x:c>
      <x:c r="D916" t="str">
        <x:v>terrain geometry</x:v>
      </x:c>
      <x:c r="E916" t="n">
        <x:f>IF('Terrain Field'!J291&lt;&gt;"",1,0)</x:f>
        <x:v>0</x:v>
      </x:c>
      <x:c r="F916" t="n">
        <x:v>1</x:v>
      </x:c>
      <x:c r="G916" t="str">
        <x:v>equals</x:v>
      </x:c>
      <x:c r="H916" t="str">
        <x:v>independent physical acceptance</x:v>
      </x:c>
      <x:c r="I916" t="str">
        <x:f>IF(E916=1,"PASS","OPEN")</x:f>
        <x:v>OPEN</x:v>
      </x:c>
    </x:row>
    <x:row r="917">
      <x:c r="B917" t="str">
        <x:v>PH-TG-285-L</x:v>
      </x:c>
      <x:c r="C917" t="str">
        <x:v>PHYSICAL</x:v>
      </x:c>
      <x:c r="D917" t="str">
        <x:v>terrain load</x:v>
      </x:c>
      <x:c r="E917" t="n">
        <x:f>IF('Terrain Field'!K291&lt;&gt;"",1,0)</x:f>
        <x:v>0</x:v>
      </x:c>
      <x:c r="F917" t="n">
        <x:v>1</x:v>
      </x:c>
      <x:c r="G917" t="str">
        <x:v>equals</x:v>
      </x:c>
      <x:c r="H917" t="str">
        <x:v>independent physical acceptance</x:v>
      </x:c>
      <x:c r="I917" t="str">
        <x:f>IF(E917=1,"PASS","OPEN")</x:f>
        <x:v>OPEN</x:v>
      </x:c>
    </x:row>
    <x:row r="918">
      <x:c r="B918" t="str">
        <x:v>PH-TG-286-G</x:v>
      </x:c>
      <x:c r="C918" t="str">
        <x:v>PHYSICAL</x:v>
      </x:c>
      <x:c r="D918" t="str">
        <x:v>terrain geometry</x:v>
      </x:c>
      <x:c r="E918" t="n">
        <x:f>IF('Terrain Field'!J292&lt;&gt;"",1,0)</x:f>
        <x:v>0</x:v>
      </x:c>
      <x:c r="F918" t="n">
        <x:v>1</x:v>
      </x:c>
      <x:c r="G918" t="str">
        <x:v>equals</x:v>
      </x:c>
      <x:c r="H918" t="str">
        <x:v>independent physical acceptance</x:v>
      </x:c>
      <x:c r="I918" t="str">
        <x:f>IF(E918=1,"PASS","OPEN")</x:f>
        <x:v>OPEN</x:v>
      </x:c>
    </x:row>
    <x:row r="919">
      <x:c r="B919" t="str">
        <x:v>PH-TG-286-L</x:v>
      </x:c>
      <x:c r="C919" t="str">
        <x:v>PHYSICAL</x:v>
      </x:c>
      <x:c r="D919" t="str">
        <x:v>terrain load</x:v>
      </x:c>
      <x:c r="E919" t="n">
        <x:f>IF('Terrain Field'!K292&lt;&gt;"",1,0)</x:f>
        <x:v>0</x:v>
      </x:c>
      <x:c r="F919" t="n">
        <x:v>1</x:v>
      </x:c>
      <x:c r="G919" t="str">
        <x:v>equals</x:v>
      </x:c>
      <x:c r="H919" t="str">
        <x:v>independent physical acceptance</x:v>
      </x:c>
      <x:c r="I919" t="str">
        <x:f>IF(E919=1,"PASS","OPEN")</x:f>
        <x:v>OPEN</x:v>
      </x:c>
    </x:row>
    <x:row r="920">
      <x:c r="B920" t="str">
        <x:v>PH-TG-287-G</x:v>
      </x:c>
      <x:c r="C920" t="str">
        <x:v>PHYSICAL</x:v>
      </x:c>
      <x:c r="D920" t="str">
        <x:v>terrain geometry</x:v>
      </x:c>
      <x:c r="E920" t="n">
        <x:f>IF('Terrain Field'!J293&lt;&gt;"",1,0)</x:f>
        <x:v>0</x:v>
      </x:c>
      <x:c r="F920" t="n">
        <x:v>1</x:v>
      </x:c>
      <x:c r="G920" t="str">
        <x:v>equals</x:v>
      </x:c>
      <x:c r="H920" t="str">
        <x:v>independent physical acceptance</x:v>
      </x:c>
      <x:c r="I920" t="str">
        <x:f>IF(E920=1,"PASS","OPEN")</x:f>
        <x:v>OPEN</x:v>
      </x:c>
    </x:row>
    <x:row r="921">
      <x:c r="B921" t="str">
        <x:v>PH-TG-287-L</x:v>
      </x:c>
      <x:c r="C921" t="str">
        <x:v>PHYSICAL</x:v>
      </x:c>
      <x:c r="D921" t="str">
        <x:v>terrain load</x:v>
      </x:c>
      <x:c r="E921" t="n">
        <x:f>IF('Terrain Field'!K293&lt;&gt;"",1,0)</x:f>
        <x:v>0</x:v>
      </x:c>
      <x:c r="F921" t="n">
        <x:v>1</x:v>
      </x:c>
      <x:c r="G921" t="str">
        <x:v>equals</x:v>
      </x:c>
      <x:c r="H921" t="str">
        <x:v>independent physical acceptance</x:v>
      </x:c>
      <x:c r="I921" t="str">
        <x:f>IF(E921=1,"PASS","OPEN")</x:f>
        <x:v>OPEN</x:v>
      </x:c>
    </x:row>
    <x:row r="922">
      <x:c r="B922" t="str">
        <x:v>PH-TG-288-G</x:v>
      </x:c>
      <x:c r="C922" t="str">
        <x:v>PHYSICAL</x:v>
      </x:c>
      <x:c r="D922" t="str">
        <x:v>terrain geometry</x:v>
      </x:c>
      <x:c r="E922" t="n">
        <x:f>IF('Terrain Field'!J294&lt;&gt;"",1,0)</x:f>
        <x:v>0</x:v>
      </x:c>
      <x:c r="F922" t="n">
        <x:v>1</x:v>
      </x:c>
      <x:c r="G922" t="str">
        <x:v>equals</x:v>
      </x:c>
      <x:c r="H922" t="str">
        <x:v>independent physical acceptance</x:v>
      </x:c>
      <x:c r="I922" t="str">
        <x:f>IF(E922=1,"PASS","OPEN")</x:f>
        <x:v>OPEN</x:v>
      </x:c>
    </x:row>
    <x:row r="923">
      <x:c r="B923" t="str">
        <x:v>PH-TG-288-L</x:v>
      </x:c>
      <x:c r="C923" t="str">
        <x:v>PHYSICAL</x:v>
      </x:c>
      <x:c r="D923" t="str">
        <x:v>terrain load</x:v>
      </x:c>
      <x:c r="E923" t="n">
        <x:f>IF('Terrain Field'!K294&lt;&gt;"",1,0)</x:f>
        <x:v>0</x:v>
      </x:c>
      <x:c r="F923" t="n">
        <x:v>1</x:v>
      </x:c>
      <x:c r="G923" t="str">
        <x:v>equals</x:v>
      </x:c>
      <x:c r="H923" t="str">
        <x:v>independent physical acceptance</x:v>
      </x:c>
      <x:c r="I923" t="str">
        <x:f>IF(E923=1,"PASS","OPEN")</x:f>
        <x:v>OPEN</x:v>
      </x:c>
    </x:row>
    <x:row r="924">
      <x:c r="B924" t="str">
        <x:v>PH-TG-289-G</x:v>
      </x:c>
      <x:c r="C924" t="str">
        <x:v>PHYSICAL</x:v>
      </x:c>
      <x:c r="D924" t="str">
        <x:v>terrain geometry</x:v>
      </x:c>
      <x:c r="E924" t="n">
        <x:f>IF('Terrain Field'!J295&lt;&gt;"",1,0)</x:f>
        <x:v>0</x:v>
      </x:c>
      <x:c r="F924" t="n">
        <x:v>1</x:v>
      </x:c>
      <x:c r="G924" t="str">
        <x:v>equals</x:v>
      </x:c>
      <x:c r="H924" t="str">
        <x:v>independent physical acceptance</x:v>
      </x:c>
      <x:c r="I924" t="str">
        <x:f>IF(E924=1,"PASS","OPEN")</x:f>
        <x:v>OPEN</x:v>
      </x:c>
    </x:row>
    <x:row r="925">
      <x:c r="B925" t="str">
        <x:v>PH-TG-289-L</x:v>
      </x:c>
      <x:c r="C925" t="str">
        <x:v>PHYSICAL</x:v>
      </x:c>
      <x:c r="D925" t="str">
        <x:v>terrain load</x:v>
      </x:c>
      <x:c r="E925" t="n">
        <x:f>IF('Terrain Field'!K295&lt;&gt;"",1,0)</x:f>
        <x:v>0</x:v>
      </x:c>
      <x:c r="F925" t="n">
        <x:v>1</x:v>
      </x:c>
      <x:c r="G925" t="str">
        <x:v>equals</x:v>
      </x:c>
      <x:c r="H925" t="str">
        <x:v>independent physical acceptance</x:v>
      </x:c>
      <x:c r="I925" t="str">
        <x:f>IF(E925=1,"PASS","OPEN")</x:f>
        <x:v>OPEN</x:v>
      </x:c>
    </x:row>
    <x:row r="926">
      <x:c r="B926" t="str">
        <x:v>PH-TG-290-G</x:v>
      </x:c>
      <x:c r="C926" t="str">
        <x:v>PHYSICAL</x:v>
      </x:c>
      <x:c r="D926" t="str">
        <x:v>terrain geometry</x:v>
      </x:c>
      <x:c r="E926" t="n">
        <x:f>IF('Terrain Field'!J296&lt;&gt;"",1,0)</x:f>
        <x:v>0</x:v>
      </x:c>
      <x:c r="F926" t="n">
        <x:v>1</x:v>
      </x:c>
      <x:c r="G926" t="str">
        <x:v>equals</x:v>
      </x:c>
      <x:c r="H926" t="str">
        <x:v>independent physical acceptance</x:v>
      </x:c>
      <x:c r="I926" t="str">
        <x:f>IF(E926=1,"PASS","OPEN")</x:f>
        <x:v>OPEN</x:v>
      </x:c>
    </x:row>
    <x:row r="927">
      <x:c r="B927" t="str">
        <x:v>PH-TG-290-L</x:v>
      </x:c>
      <x:c r="C927" t="str">
        <x:v>PHYSICAL</x:v>
      </x:c>
      <x:c r="D927" t="str">
        <x:v>terrain load</x:v>
      </x:c>
      <x:c r="E927" t="n">
        <x:f>IF('Terrain Field'!K296&lt;&gt;"",1,0)</x:f>
        <x:v>0</x:v>
      </x:c>
      <x:c r="F927" t="n">
        <x:v>1</x:v>
      </x:c>
      <x:c r="G927" t="str">
        <x:v>equals</x:v>
      </x:c>
      <x:c r="H927" t="str">
        <x:v>independent physical acceptance</x:v>
      </x:c>
      <x:c r="I927" t="str">
        <x:f>IF(E927=1,"PASS","OPEN")</x:f>
        <x:v>OPEN</x:v>
      </x:c>
    </x:row>
    <x:row r="928">
      <x:c r="B928" t="str">
        <x:v>PH-TG-291-G</x:v>
      </x:c>
      <x:c r="C928" t="str">
        <x:v>PHYSICAL</x:v>
      </x:c>
      <x:c r="D928" t="str">
        <x:v>terrain geometry</x:v>
      </x:c>
      <x:c r="E928" t="n">
        <x:f>IF('Terrain Field'!J297&lt;&gt;"",1,0)</x:f>
        <x:v>0</x:v>
      </x:c>
      <x:c r="F928" t="n">
        <x:v>1</x:v>
      </x:c>
      <x:c r="G928" t="str">
        <x:v>equals</x:v>
      </x:c>
      <x:c r="H928" t="str">
        <x:v>independent physical acceptance</x:v>
      </x:c>
      <x:c r="I928" t="str">
        <x:f>IF(E928=1,"PASS","OPEN")</x:f>
        <x:v>OPEN</x:v>
      </x:c>
    </x:row>
    <x:row r="929">
      <x:c r="B929" t="str">
        <x:v>PH-TG-291-L</x:v>
      </x:c>
      <x:c r="C929" t="str">
        <x:v>PHYSICAL</x:v>
      </x:c>
      <x:c r="D929" t="str">
        <x:v>terrain load</x:v>
      </x:c>
      <x:c r="E929" t="n">
        <x:f>IF('Terrain Field'!K297&lt;&gt;"",1,0)</x:f>
        <x:v>0</x:v>
      </x:c>
      <x:c r="F929" t="n">
        <x:v>1</x:v>
      </x:c>
      <x:c r="G929" t="str">
        <x:v>equals</x:v>
      </x:c>
      <x:c r="H929" t="str">
        <x:v>independent physical acceptance</x:v>
      </x:c>
      <x:c r="I929" t="str">
        <x:f>IF(E929=1,"PASS","OPEN")</x:f>
        <x:v>OPEN</x:v>
      </x:c>
    </x:row>
    <x:row r="930">
      <x:c r="B930" t="str">
        <x:v>PH-TG-292-G</x:v>
      </x:c>
      <x:c r="C930" t="str">
        <x:v>PHYSICAL</x:v>
      </x:c>
      <x:c r="D930" t="str">
        <x:v>terrain geometry</x:v>
      </x:c>
      <x:c r="E930" t="n">
        <x:f>IF('Terrain Field'!J298&lt;&gt;"",1,0)</x:f>
        <x:v>0</x:v>
      </x:c>
      <x:c r="F930" t="n">
        <x:v>1</x:v>
      </x:c>
      <x:c r="G930" t="str">
        <x:v>equals</x:v>
      </x:c>
      <x:c r="H930" t="str">
        <x:v>independent physical acceptance</x:v>
      </x:c>
      <x:c r="I930" t="str">
        <x:f>IF(E930=1,"PASS","OPEN")</x:f>
        <x:v>OPEN</x:v>
      </x:c>
    </x:row>
    <x:row r="931">
      <x:c r="B931" t="str">
        <x:v>PH-TG-292-L</x:v>
      </x:c>
      <x:c r="C931" t="str">
        <x:v>PHYSICAL</x:v>
      </x:c>
      <x:c r="D931" t="str">
        <x:v>terrain load</x:v>
      </x:c>
      <x:c r="E931" t="n">
        <x:f>IF('Terrain Field'!K298&lt;&gt;"",1,0)</x:f>
        <x:v>0</x:v>
      </x:c>
      <x:c r="F931" t="n">
        <x:v>1</x:v>
      </x:c>
      <x:c r="G931" t="str">
        <x:v>equals</x:v>
      </x:c>
      <x:c r="H931" t="str">
        <x:v>independent physical acceptance</x:v>
      </x:c>
      <x:c r="I931" t="str">
        <x:f>IF(E931=1,"PASS","OPEN")</x:f>
        <x:v>OPEN</x:v>
      </x:c>
    </x:row>
    <x:row r="932">
      <x:c r="B932" t="str">
        <x:v>PH-TG-293-G</x:v>
      </x:c>
      <x:c r="C932" t="str">
        <x:v>PHYSICAL</x:v>
      </x:c>
      <x:c r="D932" t="str">
        <x:v>terrain geometry</x:v>
      </x:c>
      <x:c r="E932" t="n">
        <x:f>IF('Terrain Field'!J299&lt;&gt;"",1,0)</x:f>
        <x:v>0</x:v>
      </x:c>
      <x:c r="F932" t="n">
        <x:v>1</x:v>
      </x:c>
      <x:c r="G932" t="str">
        <x:v>equals</x:v>
      </x:c>
      <x:c r="H932" t="str">
        <x:v>independent physical acceptance</x:v>
      </x:c>
      <x:c r="I932" t="str">
        <x:f>IF(E932=1,"PASS","OPEN")</x:f>
        <x:v>OPEN</x:v>
      </x:c>
    </x:row>
    <x:row r="933">
      <x:c r="B933" t="str">
        <x:v>PH-TG-293-L</x:v>
      </x:c>
      <x:c r="C933" t="str">
        <x:v>PHYSICAL</x:v>
      </x:c>
      <x:c r="D933" t="str">
        <x:v>terrain load</x:v>
      </x:c>
      <x:c r="E933" t="n">
        <x:f>IF('Terrain Field'!K299&lt;&gt;"",1,0)</x:f>
        <x:v>0</x:v>
      </x:c>
      <x:c r="F933" t="n">
        <x:v>1</x:v>
      </x:c>
      <x:c r="G933" t="str">
        <x:v>equals</x:v>
      </x:c>
      <x:c r="H933" t="str">
        <x:v>independent physical acceptance</x:v>
      </x:c>
      <x:c r="I933" t="str">
        <x:f>IF(E933=1,"PASS","OPEN")</x:f>
        <x:v>OPEN</x:v>
      </x:c>
    </x:row>
    <x:row r="934">
      <x:c r="B934" t="str">
        <x:v>PH-TG-294-G</x:v>
      </x:c>
      <x:c r="C934" t="str">
        <x:v>PHYSICAL</x:v>
      </x:c>
      <x:c r="D934" t="str">
        <x:v>terrain geometry</x:v>
      </x:c>
      <x:c r="E934" t="n">
        <x:f>IF('Terrain Field'!J300&lt;&gt;"",1,0)</x:f>
        <x:v>0</x:v>
      </x:c>
      <x:c r="F934" t="n">
        <x:v>1</x:v>
      </x:c>
      <x:c r="G934" t="str">
        <x:v>equals</x:v>
      </x:c>
      <x:c r="H934" t="str">
        <x:v>independent physical acceptance</x:v>
      </x:c>
      <x:c r="I934" t="str">
        <x:f>IF(E934=1,"PASS","OPEN")</x:f>
        <x:v>OPEN</x:v>
      </x:c>
    </x:row>
    <x:row r="935">
      <x:c r="B935" t="str">
        <x:v>PH-TG-294-L</x:v>
      </x:c>
      <x:c r="C935" t="str">
        <x:v>PHYSICAL</x:v>
      </x:c>
      <x:c r="D935" t="str">
        <x:v>terrain load</x:v>
      </x:c>
      <x:c r="E935" t="n">
        <x:f>IF('Terrain Field'!K300&lt;&gt;"",1,0)</x:f>
        <x:v>0</x:v>
      </x:c>
      <x:c r="F935" t="n">
        <x:v>1</x:v>
      </x:c>
      <x:c r="G935" t="str">
        <x:v>equals</x:v>
      </x:c>
      <x:c r="H935" t="str">
        <x:v>independent physical acceptance</x:v>
      </x:c>
      <x:c r="I935" t="str">
        <x:f>IF(E935=1,"PASS","OPEN")</x:f>
        <x:v>OPEN</x:v>
      </x:c>
    </x:row>
    <x:row r="936">
      <x:c r="B936" t="str">
        <x:v>PH-TG-295-G</x:v>
      </x:c>
      <x:c r="C936" t="str">
        <x:v>PHYSICAL</x:v>
      </x:c>
      <x:c r="D936" t="str">
        <x:v>terrain geometry</x:v>
      </x:c>
      <x:c r="E936" t="n">
        <x:f>IF('Terrain Field'!J301&lt;&gt;"",1,0)</x:f>
        <x:v>0</x:v>
      </x:c>
      <x:c r="F936" t="n">
        <x:v>1</x:v>
      </x:c>
      <x:c r="G936" t="str">
        <x:v>equals</x:v>
      </x:c>
      <x:c r="H936" t="str">
        <x:v>independent physical acceptance</x:v>
      </x:c>
      <x:c r="I936" t="str">
        <x:f>IF(E936=1,"PASS","OPEN")</x:f>
        <x:v>OPEN</x:v>
      </x:c>
    </x:row>
    <x:row r="937">
      <x:c r="B937" t="str">
        <x:v>PH-TG-295-L</x:v>
      </x:c>
      <x:c r="C937" t="str">
        <x:v>PHYSICAL</x:v>
      </x:c>
      <x:c r="D937" t="str">
        <x:v>terrain load</x:v>
      </x:c>
      <x:c r="E937" t="n">
        <x:f>IF('Terrain Field'!K301&lt;&gt;"",1,0)</x:f>
        <x:v>0</x:v>
      </x:c>
      <x:c r="F937" t="n">
        <x:v>1</x:v>
      </x:c>
      <x:c r="G937" t="str">
        <x:v>equals</x:v>
      </x:c>
      <x:c r="H937" t="str">
        <x:v>independent physical acceptance</x:v>
      </x:c>
      <x:c r="I937" t="str">
        <x:f>IF(E937=1,"PASS","OPEN")</x:f>
        <x:v>OPEN</x:v>
      </x:c>
    </x:row>
    <x:row r="938">
      <x:c r="B938" t="str">
        <x:v>PH-TG-296-G</x:v>
      </x:c>
      <x:c r="C938" t="str">
        <x:v>PHYSICAL</x:v>
      </x:c>
      <x:c r="D938" t="str">
        <x:v>terrain geometry</x:v>
      </x:c>
      <x:c r="E938" t="n">
        <x:f>IF('Terrain Field'!J302&lt;&gt;"",1,0)</x:f>
        <x:v>0</x:v>
      </x:c>
      <x:c r="F938" t="n">
        <x:v>1</x:v>
      </x:c>
      <x:c r="G938" t="str">
        <x:v>equals</x:v>
      </x:c>
      <x:c r="H938" t="str">
        <x:v>independent physical acceptance</x:v>
      </x:c>
      <x:c r="I938" t="str">
        <x:f>IF(E938=1,"PASS","OPEN")</x:f>
        <x:v>OPEN</x:v>
      </x:c>
    </x:row>
    <x:row r="939">
      <x:c r="B939" t="str">
        <x:v>PH-TG-296-L</x:v>
      </x:c>
      <x:c r="C939" t="str">
        <x:v>PHYSICAL</x:v>
      </x:c>
      <x:c r="D939" t="str">
        <x:v>terrain load</x:v>
      </x:c>
      <x:c r="E939" t="n">
        <x:f>IF('Terrain Field'!K302&lt;&gt;"",1,0)</x:f>
        <x:v>0</x:v>
      </x:c>
      <x:c r="F939" t="n">
        <x:v>1</x:v>
      </x:c>
      <x:c r="G939" t="str">
        <x:v>equals</x:v>
      </x:c>
      <x:c r="H939" t="str">
        <x:v>independent physical acceptance</x:v>
      </x:c>
      <x:c r="I939" t="str">
        <x:f>IF(E939=1,"PASS","OPEN")</x:f>
        <x:v>OPEN</x:v>
      </x:c>
    </x:row>
    <x:row r="940">
      <x:c r="B940" t="str">
        <x:v>PH-TG-297-G</x:v>
      </x:c>
      <x:c r="C940" t="str">
        <x:v>PHYSICAL</x:v>
      </x:c>
      <x:c r="D940" t="str">
        <x:v>terrain geometry</x:v>
      </x:c>
      <x:c r="E940" t="n">
        <x:f>IF('Terrain Field'!J303&lt;&gt;"",1,0)</x:f>
        <x:v>0</x:v>
      </x:c>
      <x:c r="F940" t="n">
        <x:v>1</x:v>
      </x:c>
      <x:c r="G940" t="str">
        <x:v>equals</x:v>
      </x:c>
      <x:c r="H940" t="str">
        <x:v>independent physical acceptance</x:v>
      </x:c>
      <x:c r="I940" t="str">
        <x:f>IF(E940=1,"PASS","OPEN")</x:f>
        <x:v>OPEN</x:v>
      </x:c>
    </x:row>
    <x:row r="941">
      <x:c r="B941" t="str">
        <x:v>PH-TG-297-L</x:v>
      </x:c>
      <x:c r="C941" t="str">
        <x:v>PHYSICAL</x:v>
      </x:c>
      <x:c r="D941" t="str">
        <x:v>terrain load</x:v>
      </x:c>
      <x:c r="E941" t="n">
        <x:f>IF('Terrain Field'!K303&lt;&gt;"",1,0)</x:f>
        <x:v>0</x:v>
      </x:c>
      <x:c r="F941" t="n">
        <x:v>1</x:v>
      </x:c>
      <x:c r="G941" t="str">
        <x:v>equals</x:v>
      </x:c>
      <x:c r="H941" t="str">
        <x:v>independent physical acceptance</x:v>
      </x:c>
      <x:c r="I941" t="str">
        <x:f>IF(E941=1,"PASS","OPEN")</x:f>
        <x:v>OPEN</x:v>
      </x:c>
    </x:row>
    <x:row r="942">
      <x:c r="B942" t="str">
        <x:v>PH-TG-298-G</x:v>
      </x:c>
      <x:c r="C942" t="str">
        <x:v>PHYSICAL</x:v>
      </x:c>
      <x:c r="D942" t="str">
        <x:v>terrain geometry</x:v>
      </x:c>
      <x:c r="E942" t="n">
        <x:f>IF('Terrain Field'!J304&lt;&gt;"",1,0)</x:f>
        <x:v>0</x:v>
      </x:c>
      <x:c r="F942" t="n">
        <x:v>1</x:v>
      </x:c>
      <x:c r="G942" t="str">
        <x:v>equals</x:v>
      </x:c>
      <x:c r="H942" t="str">
        <x:v>independent physical acceptance</x:v>
      </x:c>
      <x:c r="I942" t="str">
        <x:f>IF(E942=1,"PASS","OPEN")</x:f>
        <x:v>OPEN</x:v>
      </x:c>
    </x:row>
    <x:row r="943">
      <x:c r="B943" t="str">
        <x:v>PH-TG-298-L</x:v>
      </x:c>
      <x:c r="C943" t="str">
        <x:v>PHYSICAL</x:v>
      </x:c>
      <x:c r="D943" t="str">
        <x:v>terrain load</x:v>
      </x:c>
      <x:c r="E943" t="n">
        <x:f>IF('Terrain Field'!K304&lt;&gt;"",1,0)</x:f>
        <x:v>0</x:v>
      </x:c>
      <x:c r="F943" t="n">
        <x:v>1</x:v>
      </x:c>
      <x:c r="G943" t="str">
        <x:v>equals</x:v>
      </x:c>
      <x:c r="H943" t="str">
        <x:v>independent physical acceptance</x:v>
      </x:c>
      <x:c r="I943" t="str">
        <x:f>IF(E943=1,"PASS","OPEN")</x:f>
        <x:v>OPEN</x:v>
      </x:c>
    </x:row>
    <x:row r="944">
      <x:c r="B944" t="str">
        <x:v>PH-TG-299-G</x:v>
      </x:c>
      <x:c r="C944" t="str">
        <x:v>PHYSICAL</x:v>
      </x:c>
      <x:c r="D944" t="str">
        <x:v>terrain geometry</x:v>
      </x:c>
      <x:c r="E944" t="n">
        <x:f>IF('Terrain Field'!J305&lt;&gt;"",1,0)</x:f>
        <x:v>0</x:v>
      </x:c>
      <x:c r="F944" t="n">
        <x:v>1</x:v>
      </x:c>
      <x:c r="G944" t="str">
        <x:v>equals</x:v>
      </x:c>
      <x:c r="H944" t="str">
        <x:v>independent physical acceptance</x:v>
      </x:c>
      <x:c r="I944" t="str">
        <x:f>IF(E944=1,"PASS","OPEN")</x:f>
        <x:v>OPEN</x:v>
      </x:c>
    </x:row>
    <x:row r="945">
      <x:c r="B945" t="str">
        <x:v>PH-TG-299-L</x:v>
      </x:c>
      <x:c r="C945" t="str">
        <x:v>PHYSICAL</x:v>
      </x:c>
      <x:c r="D945" t="str">
        <x:v>terrain load</x:v>
      </x:c>
      <x:c r="E945" t="n">
        <x:f>IF('Terrain Field'!K305&lt;&gt;"",1,0)</x:f>
        <x:v>0</x:v>
      </x:c>
      <x:c r="F945" t="n">
        <x:v>1</x:v>
      </x:c>
      <x:c r="G945" t="str">
        <x:v>equals</x:v>
      </x:c>
      <x:c r="H945" t="str">
        <x:v>independent physical acceptance</x:v>
      </x:c>
      <x:c r="I945" t="str">
        <x:f>IF(E945=1,"PASS","OPEN")</x:f>
        <x:v>OPEN</x:v>
      </x:c>
    </x:row>
    <x:row r="946">
      <x:c r="B946" t="str">
        <x:v>PH-TG-300-G</x:v>
      </x:c>
      <x:c r="C946" t="str">
        <x:v>PHYSICAL</x:v>
      </x:c>
      <x:c r="D946" t="str">
        <x:v>terrain geometry</x:v>
      </x:c>
      <x:c r="E946" t="n">
        <x:f>IF('Terrain Field'!J306&lt;&gt;"",1,0)</x:f>
        <x:v>0</x:v>
      </x:c>
      <x:c r="F946" t="n">
        <x:v>1</x:v>
      </x:c>
      <x:c r="G946" t="str">
        <x:v>equals</x:v>
      </x:c>
      <x:c r="H946" t="str">
        <x:v>independent physical acceptance</x:v>
      </x:c>
      <x:c r="I946" t="str">
        <x:f>IF(E946=1,"PASS","OPEN")</x:f>
        <x:v>OPEN</x:v>
      </x:c>
    </x:row>
    <x:row r="947">
      <x:c r="B947" t="str">
        <x:v>PH-TG-300-L</x:v>
      </x:c>
      <x:c r="C947" t="str">
        <x:v>PHYSICAL</x:v>
      </x:c>
      <x:c r="D947" t="str">
        <x:v>terrain load</x:v>
      </x:c>
      <x:c r="E947" t="n">
        <x:f>IF('Terrain Field'!K306&lt;&gt;"",1,0)</x:f>
        <x:v>0</x:v>
      </x:c>
      <x:c r="F947" t="n">
        <x:v>1</x:v>
      </x:c>
      <x:c r="G947" t="str">
        <x:v>equals</x:v>
      </x:c>
      <x:c r="H947" t="str">
        <x:v>independent physical acceptance</x:v>
      </x:c>
      <x:c r="I947" t="str">
        <x:f>IF(E947=1,"PASS","OPEN")</x:f>
        <x:v>OPEN</x:v>
      </x:c>
    </x:row>
    <x:row r="948">
      <x:c r="B948" t="str">
        <x:v>PH-TG-301-G</x:v>
      </x:c>
      <x:c r="C948" t="str">
        <x:v>PHYSICAL</x:v>
      </x:c>
      <x:c r="D948" t="str">
        <x:v>terrain geometry</x:v>
      </x:c>
      <x:c r="E948" t="n">
        <x:f>IF('Terrain Field'!J307&lt;&gt;"",1,0)</x:f>
        <x:v>0</x:v>
      </x:c>
      <x:c r="F948" t="n">
        <x:v>1</x:v>
      </x:c>
      <x:c r="G948" t="str">
        <x:v>equals</x:v>
      </x:c>
      <x:c r="H948" t="str">
        <x:v>independent physical acceptance</x:v>
      </x:c>
      <x:c r="I948" t="str">
        <x:f>IF(E948=1,"PASS","OPEN")</x:f>
        <x:v>OPEN</x:v>
      </x:c>
    </x:row>
    <x:row r="949">
      <x:c r="B949" t="str">
        <x:v>PH-TG-301-L</x:v>
      </x:c>
      <x:c r="C949" t="str">
        <x:v>PHYSICAL</x:v>
      </x:c>
      <x:c r="D949" t="str">
        <x:v>terrain load</x:v>
      </x:c>
      <x:c r="E949" t="n">
        <x:f>IF('Terrain Field'!K307&lt;&gt;"",1,0)</x:f>
        <x:v>0</x:v>
      </x:c>
      <x:c r="F949" t="n">
        <x:v>1</x:v>
      </x:c>
      <x:c r="G949" t="str">
        <x:v>equals</x:v>
      </x:c>
      <x:c r="H949" t="str">
        <x:v>independent physical acceptance</x:v>
      </x:c>
      <x:c r="I949" t="str">
        <x:f>IF(E949=1,"PASS","OPEN")</x:f>
        <x:v>OPEN</x:v>
      </x:c>
    </x:row>
    <x:row r="950">
      <x:c r="B950" t="str">
        <x:v>PH-TG-302-G</x:v>
      </x:c>
      <x:c r="C950" t="str">
        <x:v>PHYSICAL</x:v>
      </x:c>
      <x:c r="D950" t="str">
        <x:v>terrain geometry</x:v>
      </x:c>
      <x:c r="E950" t="n">
        <x:f>IF('Terrain Field'!J308&lt;&gt;"",1,0)</x:f>
        <x:v>0</x:v>
      </x:c>
      <x:c r="F950" t="n">
        <x:v>1</x:v>
      </x:c>
      <x:c r="G950" t="str">
        <x:v>equals</x:v>
      </x:c>
      <x:c r="H950" t="str">
        <x:v>independent physical acceptance</x:v>
      </x:c>
      <x:c r="I950" t="str">
        <x:f>IF(E950=1,"PASS","OPEN")</x:f>
        <x:v>OPEN</x:v>
      </x:c>
    </x:row>
    <x:row r="951">
      <x:c r="B951" t="str">
        <x:v>PH-TG-302-L</x:v>
      </x:c>
      <x:c r="C951" t="str">
        <x:v>PHYSICAL</x:v>
      </x:c>
      <x:c r="D951" t="str">
        <x:v>terrain load</x:v>
      </x:c>
      <x:c r="E951" t="n">
        <x:f>IF('Terrain Field'!K308&lt;&gt;"",1,0)</x:f>
        <x:v>0</x:v>
      </x:c>
      <x:c r="F951" t="n">
        <x:v>1</x:v>
      </x:c>
      <x:c r="G951" t="str">
        <x:v>equals</x:v>
      </x:c>
      <x:c r="H951" t="str">
        <x:v>independent physical acceptance</x:v>
      </x:c>
      <x:c r="I951" t="str">
        <x:f>IF(E951=1,"PASS","OPEN")</x:f>
        <x:v>OPEN</x:v>
      </x:c>
    </x:row>
    <x:row r="952">
      <x:c r="B952" t="str">
        <x:v>PH-TG-303-G</x:v>
      </x:c>
      <x:c r="C952" t="str">
        <x:v>PHYSICAL</x:v>
      </x:c>
      <x:c r="D952" t="str">
        <x:v>terrain geometry</x:v>
      </x:c>
      <x:c r="E952" t="n">
        <x:f>IF('Terrain Field'!J309&lt;&gt;"",1,0)</x:f>
        <x:v>0</x:v>
      </x:c>
      <x:c r="F952" t="n">
        <x:v>1</x:v>
      </x:c>
      <x:c r="G952" t="str">
        <x:v>equals</x:v>
      </x:c>
      <x:c r="H952" t="str">
        <x:v>independent physical acceptance</x:v>
      </x:c>
      <x:c r="I952" t="str">
        <x:f>IF(E952=1,"PASS","OPEN")</x:f>
        <x:v>OPEN</x:v>
      </x:c>
    </x:row>
    <x:row r="953">
      <x:c r="B953" t="str">
        <x:v>PH-TG-303-L</x:v>
      </x:c>
      <x:c r="C953" t="str">
        <x:v>PHYSICAL</x:v>
      </x:c>
      <x:c r="D953" t="str">
        <x:v>terrain load</x:v>
      </x:c>
      <x:c r="E953" t="n">
        <x:f>IF('Terrain Field'!K309&lt;&gt;"",1,0)</x:f>
        <x:v>0</x:v>
      </x:c>
      <x:c r="F953" t="n">
        <x:v>1</x:v>
      </x:c>
      <x:c r="G953" t="str">
        <x:v>equals</x:v>
      </x:c>
      <x:c r="H953" t="str">
        <x:v>independent physical acceptance</x:v>
      </x:c>
      <x:c r="I953" t="str">
        <x:f>IF(E953=1,"PASS","OPEN")</x:f>
        <x:v>OPEN</x:v>
      </x:c>
    </x:row>
    <x:row r="954">
      <x:c r="B954" t="str">
        <x:v>PH-TG-304-G</x:v>
      </x:c>
      <x:c r="C954" t="str">
        <x:v>PHYSICAL</x:v>
      </x:c>
      <x:c r="D954" t="str">
        <x:v>terrain geometry</x:v>
      </x:c>
      <x:c r="E954" t="n">
        <x:f>IF('Terrain Field'!J310&lt;&gt;"",1,0)</x:f>
        <x:v>0</x:v>
      </x:c>
      <x:c r="F954" t="n">
        <x:v>1</x:v>
      </x:c>
      <x:c r="G954" t="str">
        <x:v>equals</x:v>
      </x:c>
      <x:c r="H954" t="str">
        <x:v>independent physical acceptance</x:v>
      </x:c>
      <x:c r="I954" t="str">
        <x:f>IF(E954=1,"PASS","OPEN")</x:f>
        <x:v>OPEN</x:v>
      </x:c>
    </x:row>
    <x:row r="955">
      <x:c r="B955" t="str">
        <x:v>PH-TG-304-L</x:v>
      </x:c>
      <x:c r="C955" t="str">
        <x:v>PHYSICAL</x:v>
      </x:c>
      <x:c r="D955" t="str">
        <x:v>terrain load</x:v>
      </x:c>
      <x:c r="E955" t="n">
        <x:f>IF('Terrain Field'!K310&lt;&gt;"",1,0)</x:f>
        <x:v>0</x:v>
      </x:c>
      <x:c r="F955" t="n">
        <x:v>1</x:v>
      </x:c>
      <x:c r="G955" t="str">
        <x:v>equals</x:v>
      </x:c>
      <x:c r="H955" t="str">
        <x:v>independent physical acceptance</x:v>
      </x:c>
      <x:c r="I955" t="str">
        <x:f>IF(E955=1,"PASS","OPEN")</x:f>
        <x:v>OPEN</x:v>
      </x:c>
    </x:row>
    <x:row r="956">
      <x:c r="B956" t="str">
        <x:v>PH-TG-305-G</x:v>
      </x:c>
      <x:c r="C956" t="str">
        <x:v>PHYSICAL</x:v>
      </x:c>
      <x:c r="D956" t="str">
        <x:v>terrain geometry</x:v>
      </x:c>
      <x:c r="E956" t="n">
        <x:f>IF('Terrain Field'!J311&lt;&gt;"",1,0)</x:f>
        <x:v>0</x:v>
      </x:c>
      <x:c r="F956" t="n">
        <x:v>1</x:v>
      </x:c>
      <x:c r="G956" t="str">
        <x:v>equals</x:v>
      </x:c>
      <x:c r="H956" t="str">
        <x:v>independent physical acceptance</x:v>
      </x:c>
      <x:c r="I956" t="str">
        <x:f>IF(E956=1,"PASS","OPEN")</x:f>
        <x:v>OPEN</x:v>
      </x:c>
    </x:row>
    <x:row r="957">
      <x:c r="B957" t="str">
        <x:v>PH-TG-305-L</x:v>
      </x:c>
      <x:c r="C957" t="str">
        <x:v>PHYSICAL</x:v>
      </x:c>
      <x:c r="D957" t="str">
        <x:v>terrain load</x:v>
      </x:c>
      <x:c r="E957" t="n">
        <x:f>IF('Terrain Field'!K311&lt;&gt;"",1,0)</x:f>
        <x:v>0</x:v>
      </x:c>
      <x:c r="F957" t="n">
        <x:v>1</x:v>
      </x:c>
      <x:c r="G957" t="str">
        <x:v>equals</x:v>
      </x:c>
      <x:c r="H957" t="str">
        <x:v>independent physical acceptance</x:v>
      </x:c>
      <x:c r="I957" t="str">
        <x:f>IF(E957=1,"PASS","OPEN")</x:f>
        <x:v>OPEN</x:v>
      </x:c>
    </x:row>
    <x:row r="958">
      <x:c r="B958" t="str">
        <x:v>PH-TG-306-G</x:v>
      </x:c>
      <x:c r="C958" t="str">
        <x:v>PHYSICAL</x:v>
      </x:c>
      <x:c r="D958" t="str">
        <x:v>terrain geometry</x:v>
      </x:c>
      <x:c r="E958" t="n">
        <x:f>IF('Terrain Field'!J312&lt;&gt;"",1,0)</x:f>
        <x:v>0</x:v>
      </x:c>
      <x:c r="F958" t="n">
        <x:v>1</x:v>
      </x:c>
      <x:c r="G958" t="str">
        <x:v>equals</x:v>
      </x:c>
      <x:c r="H958" t="str">
        <x:v>independent physical acceptance</x:v>
      </x:c>
      <x:c r="I958" t="str">
        <x:f>IF(E958=1,"PASS","OPEN")</x:f>
        <x:v>OPEN</x:v>
      </x:c>
    </x:row>
    <x:row r="959">
      <x:c r="B959" t="str">
        <x:v>PH-TG-306-L</x:v>
      </x:c>
      <x:c r="C959" t="str">
        <x:v>PHYSICAL</x:v>
      </x:c>
      <x:c r="D959" t="str">
        <x:v>terrain load</x:v>
      </x:c>
      <x:c r="E959" t="n">
        <x:f>IF('Terrain Field'!K312&lt;&gt;"",1,0)</x:f>
        <x:v>0</x:v>
      </x:c>
      <x:c r="F959" t="n">
        <x:v>1</x:v>
      </x:c>
      <x:c r="G959" t="str">
        <x:v>equals</x:v>
      </x:c>
      <x:c r="H959" t="str">
        <x:v>independent physical acceptance</x:v>
      </x:c>
      <x:c r="I959" t="str">
        <x:f>IF(E959=1,"PASS","OPEN")</x:f>
        <x:v>OPEN</x:v>
      </x:c>
    </x:row>
    <x:row r="960">
      <x:c r="B960" t="str">
        <x:v>PH-TG-307-G</x:v>
      </x:c>
      <x:c r="C960" t="str">
        <x:v>PHYSICAL</x:v>
      </x:c>
      <x:c r="D960" t="str">
        <x:v>terrain geometry</x:v>
      </x:c>
      <x:c r="E960" t="n">
        <x:f>IF('Terrain Field'!J313&lt;&gt;"",1,0)</x:f>
        <x:v>0</x:v>
      </x:c>
      <x:c r="F960" t="n">
        <x:v>1</x:v>
      </x:c>
      <x:c r="G960" t="str">
        <x:v>equals</x:v>
      </x:c>
      <x:c r="H960" t="str">
        <x:v>independent physical acceptance</x:v>
      </x:c>
      <x:c r="I960" t="str">
        <x:f>IF(E960=1,"PASS","OPEN")</x:f>
        <x:v>OPEN</x:v>
      </x:c>
    </x:row>
    <x:row r="961">
      <x:c r="B961" t="str">
        <x:v>PH-TG-307-L</x:v>
      </x:c>
      <x:c r="C961" t="str">
        <x:v>PHYSICAL</x:v>
      </x:c>
      <x:c r="D961" t="str">
        <x:v>terrain load</x:v>
      </x:c>
      <x:c r="E961" t="n">
        <x:f>IF('Terrain Field'!K313&lt;&gt;"",1,0)</x:f>
        <x:v>0</x:v>
      </x:c>
      <x:c r="F961" t="n">
        <x:v>1</x:v>
      </x:c>
      <x:c r="G961" t="str">
        <x:v>equals</x:v>
      </x:c>
      <x:c r="H961" t="str">
        <x:v>independent physical acceptance</x:v>
      </x:c>
      <x:c r="I961" t="str">
        <x:f>IF(E961=1,"PASS","OPEN")</x:f>
        <x:v>OPEN</x:v>
      </x:c>
    </x:row>
    <x:row r="962">
      <x:c r="B962" t="str">
        <x:v>PH-TG-308-G</x:v>
      </x:c>
      <x:c r="C962" t="str">
        <x:v>PHYSICAL</x:v>
      </x:c>
      <x:c r="D962" t="str">
        <x:v>terrain geometry</x:v>
      </x:c>
      <x:c r="E962" t="n">
        <x:f>IF('Terrain Field'!J314&lt;&gt;"",1,0)</x:f>
        <x:v>0</x:v>
      </x:c>
      <x:c r="F962" t="n">
        <x:v>1</x:v>
      </x:c>
      <x:c r="G962" t="str">
        <x:v>equals</x:v>
      </x:c>
      <x:c r="H962" t="str">
        <x:v>independent physical acceptance</x:v>
      </x:c>
      <x:c r="I962" t="str">
        <x:f>IF(E962=1,"PASS","OPEN")</x:f>
        <x:v>OPEN</x:v>
      </x:c>
    </x:row>
    <x:row r="963">
      <x:c r="B963" t="str">
        <x:v>PH-TG-308-L</x:v>
      </x:c>
      <x:c r="C963" t="str">
        <x:v>PHYSICAL</x:v>
      </x:c>
      <x:c r="D963" t="str">
        <x:v>terrain load</x:v>
      </x:c>
      <x:c r="E963" t="n">
        <x:f>IF('Terrain Field'!K314&lt;&gt;"",1,0)</x:f>
        <x:v>0</x:v>
      </x:c>
      <x:c r="F963" t="n">
        <x:v>1</x:v>
      </x:c>
      <x:c r="G963" t="str">
        <x:v>equals</x:v>
      </x:c>
      <x:c r="H963" t="str">
        <x:v>independent physical acceptance</x:v>
      </x:c>
      <x:c r="I963" t="str">
        <x:f>IF(E963=1,"PASS","OPEN")</x:f>
        <x:v>OPEN</x:v>
      </x:c>
    </x:row>
    <x:row r="964">
      <x:c r="B964" t="str">
        <x:v>PH-TG-309-G</x:v>
      </x:c>
      <x:c r="C964" t="str">
        <x:v>PHYSICAL</x:v>
      </x:c>
      <x:c r="D964" t="str">
        <x:v>terrain geometry</x:v>
      </x:c>
      <x:c r="E964" t="n">
        <x:f>IF('Terrain Field'!J315&lt;&gt;"",1,0)</x:f>
        <x:v>0</x:v>
      </x:c>
      <x:c r="F964" t="n">
        <x:v>1</x:v>
      </x:c>
      <x:c r="G964" t="str">
        <x:v>equals</x:v>
      </x:c>
      <x:c r="H964" t="str">
        <x:v>independent physical acceptance</x:v>
      </x:c>
      <x:c r="I964" t="str">
        <x:f>IF(E964=1,"PASS","OPEN")</x:f>
        <x:v>OPEN</x:v>
      </x:c>
    </x:row>
    <x:row r="965">
      <x:c r="B965" t="str">
        <x:v>PH-TG-309-L</x:v>
      </x:c>
      <x:c r="C965" t="str">
        <x:v>PHYSICAL</x:v>
      </x:c>
      <x:c r="D965" t="str">
        <x:v>terrain load</x:v>
      </x:c>
      <x:c r="E965" t="n">
        <x:f>IF('Terrain Field'!K315&lt;&gt;"",1,0)</x:f>
        <x:v>0</x:v>
      </x:c>
      <x:c r="F965" t="n">
        <x:v>1</x:v>
      </x:c>
      <x:c r="G965" t="str">
        <x:v>equals</x:v>
      </x:c>
      <x:c r="H965" t="str">
        <x:v>independent physical acceptance</x:v>
      </x:c>
      <x:c r="I965" t="str">
        <x:f>IF(E965=1,"PASS","OPEN")</x:f>
        <x:v>OPEN</x:v>
      </x:c>
    </x:row>
    <x:row r="966">
      <x:c r="B966" t="str">
        <x:v>PH-TG-310-G</x:v>
      </x:c>
      <x:c r="C966" t="str">
        <x:v>PHYSICAL</x:v>
      </x:c>
      <x:c r="D966" t="str">
        <x:v>terrain geometry</x:v>
      </x:c>
      <x:c r="E966" t="n">
        <x:f>IF('Terrain Field'!J316&lt;&gt;"",1,0)</x:f>
        <x:v>0</x:v>
      </x:c>
      <x:c r="F966" t="n">
        <x:v>1</x:v>
      </x:c>
      <x:c r="G966" t="str">
        <x:v>equals</x:v>
      </x:c>
      <x:c r="H966" t="str">
        <x:v>independent physical acceptance</x:v>
      </x:c>
      <x:c r="I966" t="str">
        <x:f>IF(E966=1,"PASS","OPEN")</x:f>
        <x:v>OPEN</x:v>
      </x:c>
    </x:row>
    <x:row r="967">
      <x:c r="B967" t="str">
        <x:v>PH-TG-310-L</x:v>
      </x:c>
      <x:c r="C967" t="str">
        <x:v>PHYSICAL</x:v>
      </x:c>
      <x:c r="D967" t="str">
        <x:v>terrain load</x:v>
      </x:c>
      <x:c r="E967" t="n">
        <x:f>IF('Terrain Field'!K316&lt;&gt;"",1,0)</x:f>
        <x:v>0</x:v>
      </x:c>
      <x:c r="F967" t="n">
        <x:v>1</x:v>
      </x:c>
      <x:c r="G967" t="str">
        <x:v>equals</x:v>
      </x:c>
      <x:c r="H967" t="str">
        <x:v>independent physical acceptance</x:v>
      </x:c>
      <x:c r="I967" t="str">
        <x:f>IF(E967=1,"PASS","OPEN")</x:f>
        <x:v>OPEN</x:v>
      </x:c>
    </x:row>
    <x:row r="968">
      <x:c r="B968" t="str">
        <x:v>PH-TG-311-G</x:v>
      </x:c>
      <x:c r="C968" t="str">
        <x:v>PHYSICAL</x:v>
      </x:c>
      <x:c r="D968" t="str">
        <x:v>terrain geometry</x:v>
      </x:c>
      <x:c r="E968" t="n">
        <x:f>IF('Terrain Field'!J317&lt;&gt;"",1,0)</x:f>
        <x:v>0</x:v>
      </x:c>
      <x:c r="F968" t="n">
        <x:v>1</x:v>
      </x:c>
      <x:c r="G968" t="str">
        <x:v>equals</x:v>
      </x:c>
      <x:c r="H968" t="str">
        <x:v>independent physical acceptance</x:v>
      </x:c>
      <x:c r="I968" t="str">
        <x:f>IF(E968=1,"PASS","OPEN")</x:f>
        <x:v>OPEN</x:v>
      </x:c>
    </x:row>
    <x:row r="969">
      <x:c r="B969" t="str">
        <x:v>PH-TG-311-L</x:v>
      </x:c>
      <x:c r="C969" t="str">
        <x:v>PHYSICAL</x:v>
      </x:c>
      <x:c r="D969" t="str">
        <x:v>terrain load</x:v>
      </x:c>
      <x:c r="E969" t="n">
        <x:f>IF('Terrain Field'!K317&lt;&gt;"",1,0)</x:f>
        <x:v>0</x:v>
      </x:c>
      <x:c r="F969" t="n">
        <x:v>1</x:v>
      </x:c>
      <x:c r="G969" t="str">
        <x:v>equals</x:v>
      </x:c>
      <x:c r="H969" t="str">
        <x:v>independent physical acceptance</x:v>
      </x:c>
      <x:c r="I969" t="str">
        <x:f>IF(E969=1,"PASS","OPEN")</x:f>
        <x:v>OPEN</x:v>
      </x:c>
    </x:row>
    <x:row r="970">
      <x:c r="B970" t="str">
        <x:v>PH-TG-312-G</x:v>
      </x:c>
      <x:c r="C970" t="str">
        <x:v>PHYSICAL</x:v>
      </x:c>
      <x:c r="D970" t="str">
        <x:v>terrain geometry</x:v>
      </x:c>
      <x:c r="E970" t="n">
        <x:f>IF('Terrain Field'!J318&lt;&gt;"",1,0)</x:f>
        <x:v>0</x:v>
      </x:c>
      <x:c r="F970" t="n">
        <x:v>1</x:v>
      </x:c>
      <x:c r="G970" t="str">
        <x:v>equals</x:v>
      </x:c>
      <x:c r="H970" t="str">
        <x:v>independent physical acceptance</x:v>
      </x:c>
      <x:c r="I970" t="str">
        <x:f>IF(E970=1,"PASS","OPEN")</x:f>
        <x:v>OPEN</x:v>
      </x:c>
    </x:row>
    <x:row r="971">
      <x:c r="B971" t="str">
        <x:v>PH-TG-312-L</x:v>
      </x:c>
      <x:c r="C971" t="str">
        <x:v>PHYSICAL</x:v>
      </x:c>
      <x:c r="D971" t="str">
        <x:v>terrain load</x:v>
      </x:c>
      <x:c r="E971" t="n">
        <x:f>IF('Terrain Field'!K318&lt;&gt;"",1,0)</x:f>
        <x:v>0</x:v>
      </x:c>
      <x:c r="F971" t="n">
        <x:v>1</x:v>
      </x:c>
      <x:c r="G971" t="str">
        <x:v>equals</x:v>
      </x:c>
      <x:c r="H971" t="str">
        <x:v>independent physical acceptance</x:v>
      </x:c>
      <x:c r="I971" t="str">
        <x:f>IF(E971=1,"PASS","OPEN")</x:f>
        <x:v>OPEN</x:v>
      </x:c>
    </x:row>
    <x:row r="972">
      <x:c r="B972" t="str">
        <x:v>PH-TG-313-G</x:v>
      </x:c>
      <x:c r="C972" t="str">
        <x:v>PHYSICAL</x:v>
      </x:c>
      <x:c r="D972" t="str">
        <x:v>terrain geometry</x:v>
      </x:c>
      <x:c r="E972" t="n">
        <x:f>IF('Terrain Field'!J319&lt;&gt;"",1,0)</x:f>
        <x:v>0</x:v>
      </x:c>
      <x:c r="F972" t="n">
        <x:v>1</x:v>
      </x:c>
      <x:c r="G972" t="str">
        <x:v>equals</x:v>
      </x:c>
      <x:c r="H972" t="str">
        <x:v>independent physical acceptance</x:v>
      </x:c>
      <x:c r="I972" t="str">
        <x:f>IF(E972=1,"PASS","OPEN")</x:f>
        <x:v>OPEN</x:v>
      </x:c>
    </x:row>
    <x:row r="973">
      <x:c r="B973" t="str">
        <x:v>PH-TG-313-L</x:v>
      </x:c>
      <x:c r="C973" t="str">
        <x:v>PHYSICAL</x:v>
      </x:c>
      <x:c r="D973" t="str">
        <x:v>terrain load</x:v>
      </x:c>
      <x:c r="E973" t="n">
        <x:f>IF('Terrain Field'!K319&lt;&gt;"",1,0)</x:f>
        <x:v>0</x:v>
      </x:c>
      <x:c r="F973" t="n">
        <x:v>1</x:v>
      </x:c>
      <x:c r="G973" t="str">
        <x:v>equals</x:v>
      </x:c>
      <x:c r="H973" t="str">
        <x:v>independent physical acceptance</x:v>
      </x:c>
      <x:c r="I973" t="str">
        <x:f>IF(E973=1,"PASS","OPEN")</x:f>
        <x:v>OPEN</x:v>
      </x:c>
    </x:row>
    <x:row r="974">
      <x:c r="B974" t="str">
        <x:v>PH-TG-314-G</x:v>
      </x:c>
      <x:c r="C974" t="str">
        <x:v>PHYSICAL</x:v>
      </x:c>
      <x:c r="D974" t="str">
        <x:v>terrain geometry</x:v>
      </x:c>
      <x:c r="E974" t="n">
        <x:f>IF('Terrain Field'!J320&lt;&gt;"",1,0)</x:f>
        <x:v>0</x:v>
      </x:c>
      <x:c r="F974" t="n">
        <x:v>1</x:v>
      </x:c>
      <x:c r="G974" t="str">
        <x:v>equals</x:v>
      </x:c>
      <x:c r="H974" t="str">
        <x:v>independent physical acceptance</x:v>
      </x:c>
      <x:c r="I974" t="str">
        <x:f>IF(E974=1,"PASS","OPEN")</x:f>
        <x:v>OPEN</x:v>
      </x:c>
    </x:row>
    <x:row r="975">
      <x:c r="B975" t="str">
        <x:v>PH-TG-314-L</x:v>
      </x:c>
      <x:c r="C975" t="str">
        <x:v>PHYSICAL</x:v>
      </x:c>
      <x:c r="D975" t="str">
        <x:v>terrain load</x:v>
      </x:c>
      <x:c r="E975" t="n">
        <x:f>IF('Terrain Field'!K320&lt;&gt;"",1,0)</x:f>
        <x:v>0</x:v>
      </x:c>
      <x:c r="F975" t="n">
        <x:v>1</x:v>
      </x:c>
      <x:c r="G975" t="str">
        <x:v>equals</x:v>
      </x:c>
      <x:c r="H975" t="str">
        <x:v>independent physical acceptance</x:v>
      </x:c>
      <x:c r="I975" t="str">
        <x:f>IF(E975=1,"PASS","OPEN")</x:f>
        <x:v>OPEN</x:v>
      </x:c>
    </x:row>
    <x:row r="976">
      <x:c r="B976" t="str">
        <x:v>PH-TG-315-G</x:v>
      </x:c>
      <x:c r="C976" t="str">
        <x:v>PHYSICAL</x:v>
      </x:c>
      <x:c r="D976" t="str">
        <x:v>terrain geometry</x:v>
      </x:c>
      <x:c r="E976" t="n">
        <x:f>IF('Terrain Field'!J321&lt;&gt;"",1,0)</x:f>
        <x:v>0</x:v>
      </x:c>
      <x:c r="F976" t="n">
        <x:v>1</x:v>
      </x:c>
      <x:c r="G976" t="str">
        <x:v>equals</x:v>
      </x:c>
      <x:c r="H976" t="str">
        <x:v>independent physical acceptance</x:v>
      </x:c>
      <x:c r="I976" t="str">
        <x:f>IF(E976=1,"PASS","OPEN")</x:f>
        <x:v>OPEN</x:v>
      </x:c>
    </x:row>
    <x:row r="977">
      <x:c r="B977" t="str">
        <x:v>PH-TG-315-L</x:v>
      </x:c>
      <x:c r="C977" t="str">
        <x:v>PHYSICAL</x:v>
      </x:c>
      <x:c r="D977" t="str">
        <x:v>terrain load</x:v>
      </x:c>
      <x:c r="E977" t="n">
        <x:f>IF('Terrain Field'!K321&lt;&gt;"",1,0)</x:f>
        <x:v>0</x:v>
      </x:c>
      <x:c r="F977" t="n">
        <x:v>1</x:v>
      </x:c>
      <x:c r="G977" t="str">
        <x:v>equals</x:v>
      </x:c>
      <x:c r="H977" t="str">
        <x:v>independent physical acceptance</x:v>
      </x:c>
      <x:c r="I977" t="str">
        <x:f>IF(E977=1,"PASS","OPEN")</x:f>
        <x:v>OPEN</x:v>
      </x:c>
    </x:row>
    <x:row r="978">
      <x:c r="B978" t="str">
        <x:v>PH-TG-316-G</x:v>
      </x:c>
      <x:c r="C978" t="str">
        <x:v>PHYSICAL</x:v>
      </x:c>
      <x:c r="D978" t="str">
        <x:v>terrain geometry</x:v>
      </x:c>
      <x:c r="E978" t="n">
        <x:f>IF('Terrain Field'!J322&lt;&gt;"",1,0)</x:f>
        <x:v>0</x:v>
      </x:c>
      <x:c r="F978" t="n">
        <x:v>1</x:v>
      </x:c>
      <x:c r="G978" t="str">
        <x:v>equals</x:v>
      </x:c>
      <x:c r="H978" t="str">
        <x:v>independent physical acceptance</x:v>
      </x:c>
      <x:c r="I978" t="str">
        <x:f>IF(E978=1,"PASS","OPEN")</x:f>
        <x:v>OPEN</x:v>
      </x:c>
    </x:row>
    <x:row r="979">
      <x:c r="B979" t="str">
        <x:v>PH-TG-316-L</x:v>
      </x:c>
      <x:c r="C979" t="str">
        <x:v>PHYSICAL</x:v>
      </x:c>
      <x:c r="D979" t="str">
        <x:v>terrain load</x:v>
      </x:c>
      <x:c r="E979" t="n">
        <x:f>IF('Terrain Field'!K322&lt;&gt;"",1,0)</x:f>
        <x:v>0</x:v>
      </x:c>
      <x:c r="F979" t="n">
        <x:v>1</x:v>
      </x:c>
      <x:c r="G979" t="str">
        <x:v>equals</x:v>
      </x:c>
      <x:c r="H979" t="str">
        <x:v>independent physical acceptance</x:v>
      </x:c>
      <x:c r="I979" t="str">
        <x:f>IF(E979=1,"PASS","OPEN")</x:f>
        <x:v>OPEN</x:v>
      </x:c>
    </x:row>
    <x:row r="980">
      <x:c r="B980" t="str">
        <x:v>PH-TG-317-G</x:v>
      </x:c>
      <x:c r="C980" t="str">
        <x:v>PHYSICAL</x:v>
      </x:c>
      <x:c r="D980" t="str">
        <x:v>terrain geometry</x:v>
      </x:c>
      <x:c r="E980" t="n">
        <x:f>IF('Terrain Field'!J323&lt;&gt;"",1,0)</x:f>
        <x:v>0</x:v>
      </x:c>
      <x:c r="F980" t="n">
        <x:v>1</x:v>
      </x:c>
      <x:c r="G980" t="str">
        <x:v>equals</x:v>
      </x:c>
      <x:c r="H980" t="str">
        <x:v>independent physical acceptance</x:v>
      </x:c>
      <x:c r="I980" t="str">
        <x:f>IF(E980=1,"PASS","OPEN")</x:f>
        <x:v>OPEN</x:v>
      </x:c>
    </x:row>
    <x:row r="981">
      <x:c r="B981" t="str">
        <x:v>PH-TG-317-L</x:v>
      </x:c>
      <x:c r="C981" t="str">
        <x:v>PHYSICAL</x:v>
      </x:c>
      <x:c r="D981" t="str">
        <x:v>terrain load</x:v>
      </x:c>
      <x:c r="E981" t="n">
        <x:f>IF('Terrain Field'!K323&lt;&gt;"",1,0)</x:f>
        <x:v>0</x:v>
      </x:c>
      <x:c r="F981" t="n">
        <x:v>1</x:v>
      </x:c>
      <x:c r="G981" t="str">
        <x:v>equals</x:v>
      </x:c>
      <x:c r="H981" t="str">
        <x:v>independent physical acceptance</x:v>
      </x:c>
      <x:c r="I981" t="str">
        <x:f>IF(E981=1,"PASS","OPEN")</x:f>
        <x:v>OPEN</x:v>
      </x:c>
    </x:row>
    <x:row r="982">
      <x:c r="B982" t="str">
        <x:v>PH-TG-318-G</x:v>
      </x:c>
      <x:c r="C982" t="str">
        <x:v>PHYSICAL</x:v>
      </x:c>
      <x:c r="D982" t="str">
        <x:v>terrain geometry</x:v>
      </x:c>
      <x:c r="E982" t="n">
        <x:f>IF('Terrain Field'!J324&lt;&gt;"",1,0)</x:f>
        <x:v>0</x:v>
      </x:c>
      <x:c r="F982" t="n">
        <x:v>1</x:v>
      </x:c>
      <x:c r="G982" t="str">
        <x:v>equals</x:v>
      </x:c>
      <x:c r="H982" t="str">
        <x:v>independent physical acceptance</x:v>
      </x:c>
      <x:c r="I982" t="str">
        <x:f>IF(E982=1,"PASS","OPEN")</x:f>
        <x:v>OPEN</x:v>
      </x:c>
    </x:row>
    <x:row r="983">
      <x:c r="B983" t="str">
        <x:v>PH-TG-318-L</x:v>
      </x:c>
      <x:c r="C983" t="str">
        <x:v>PHYSICAL</x:v>
      </x:c>
      <x:c r="D983" t="str">
        <x:v>terrain load</x:v>
      </x:c>
      <x:c r="E983" t="n">
        <x:f>IF('Terrain Field'!K324&lt;&gt;"",1,0)</x:f>
        <x:v>0</x:v>
      </x:c>
      <x:c r="F983" t="n">
        <x:v>1</x:v>
      </x:c>
      <x:c r="G983" t="str">
        <x:v>equals</x:v>
      </x:c>
      <x:c r="H983" t="str">
        <x:v>independent physical acceptance</x:v>
      </x:c>
      <x:c r="I983" t="str">
        <x:f>IF(E983=1,"PASS","OPEN")</x:f>
        <x:v>OPEN</x:v>
      </x:c>
    </x:row>
    <x:row r="984">
      <x:c r="B984" t="str">
        <x:v>PH-TG-319-G</x:v>
      </x:c>
      <x:c r="C984" t="str">
        <x:v>PHYSICAL</x:v>
      </x:c>
      <x:c r="D984" t="str">
        <x:v>terrain geometry</x:v>
      </x:c>
      <x:c r="E984" t="n">
        <x:f>IF('Terrain Field'!J325&lt;&gt;"",1,0)</x:f>
        <x:v>0</x:v>
      </x:c>
      <x:c r="F984" t="n">
        <x:v>1</x:v>
      </x:c>
      <x:c r="G984" t="str">
        <x:v>equals</x:v>
      </x:c>
      <x:c r="H984" t="str">
        <x:v>independent physical acceptance</x:v>
      </x:c>
      <x:c r="I984" t="str">
        <x:f>IF(E984=1,"PASS","OPEN")</x:f>
        <x:v>OPEN</x:v>
      </x:c>
    </x:row>
    <x:row r="985">
      <x:c r="B985" t="str">
        <x:v>PH-TG-319-L</x:v>
      </x:c>
      <x:c r="C985" t="str">
        <x:v>PHYSICAL</x:v>
      </x:c>
      <x:c r="D985" t="str">
        <x:v>terrain load</x:v>
      </x:c>
      <x:c r="E985" t="n">
        <x:f>IF('Terrain Field'!K325&lt;&gt;"",1,0)</x:f>
        <x:v>0</x:v>
      </x:c>
      <x:c r="F985" t="n">
        <x:v>1</x:v>
      </x:c>
      <x:c r="G985" t="str">
        <x:v>equals</x:v>
      </x:c>
      <x:c r="H985" t="str">
        <x:v>independent physical acceptance</x:v>
      </x:c>
      <x:c r="I985" t="str">
        <x:f>IF(E985=1,"PASS","OPEN")</x:f>
        <x:v>OPEN</x:v>
      </x:c>
    </x:row>
    <x:row r="986">
      <x:c r="B986" t="str">
        <x:v>PH-TG-320-G</x:v>
      </x:c>
      <x:c r="C986" t="str">
        <x:v>PHYSICAL</x:v>
      </x:c>
      <x:c r="D986" t="str">
        <x:v>terrain geometry</x:v>
      </x:c>
      <x:c r="E986" t="n">
        <x:f>IF('Terrain Field'!J326&lt;&gt;"",1,0)</x:f>
        <x:v>0</x:v>
      </x:c>
      <x:c r="F986" t="n">
        <x:v>1</x:v>
      </x:c>
      <x:c r="G986" t="str">
        <x:v>equals</x:v>
      </x:c>
      <x:c r="H986" t="str">
        <x:v>independent physical acceptance</x:v>
      </x:c>
      <x:c r="I986" t="str">
        <x:f>IF(E986=1,"PASS","OPEN")</x:f>
        <x:v>OPEN</x:v>
      </x:c>
    </x:row>
    <x:row r="987">
      <x:c r="B987" t="str">
        <x:v>PH-TG-320-L</x:v>
      </x:c>
      <x:c r="C987" t="str">
        <x:v>PHYSICAL</x:v>
      </x:c>
      <x:c r="D987" t="str">
        <x:v>terrain load</x:v>
      </x:c>
      <x:c r="E987" t="n">
        <x:f>IF('Terrain Field'!K326&lt;&gt;"",1,0)</x:f>
        <x:v>0</x:v>
      </x:c>
      <x:c r="F987" t="n">
        <x:v>1</x:v>
      </x:c>
      <x:c r="G987" t="str">
        <x:v>equals</x:v>
      </x:c>
      <x:c r="H987" t="str">
        <x:v>independent physical acceptance</x:v>
      </x:c>
      <x:c r="I987" t="str">
        <x:f>IF(E987=1,"PASS","OPEN")</x:f>
        <x:v>OPEN</x:v>
      </x:c>
    </x:row>
    <x:row r="988">
      <x:c r="B988" t="str">
        <x:v>PH-TG-321-G</x:v>
      </x:c>
      <x:c r="C988" t="str">
        <x:v>PHYSICAL</x:v>
      </x:c>
      <x:c r="D988" t="str">
        <x:v>terrain geometry</x:v>
      </x:c>
      <x:c r="E988" t="n">
        <x:f>IF('Terrain Field'!J327&lt;&gt;"",1,0)</x:f>
        <x:v>0</x:v>
      </x:c>
      <x:c r="F988" t="n">
        <x:v>1</x:v>
      </x:c>
      <x:c r="G988" t="str">
        <x:v>equals</x:v>
      </x:c>
      <x:c r="H988" t="str">
        <x:v>independent physical acceptance</x:v>
      </x:c>
      <x:c r="I988" t="str">
        <x:f>IF(E988=1,"PASS","OPEN")</x:f>
        <x:v>OPEN</x:v>
      </x:c>
    </x:row>
    <x:row r="989">
      <x:c r="B989" t="str">
        <x:v>PH-TG-321-L</x:v>
      </x:c>
      <x:c r="C989" t="str">
        <x:v>PHYSICAL</x:v>
      </x:c>
      <x:c r="D989" t="str">
        <x:v>terrain load</x:v>
      </x:c>
      <x:c r="E989" t="n">
        <x:f>IF('Terrain Field'!K327&lt;&gt;"",1,0)</x:f>
        <x:v>0</x:v>
      </x:c>
      <x:c r="F989" t="n">
        <x:v>1</x:v>
      </x:c>
      <x:c r="G989" t="str">
        <x:v>equals</x:v>
      </x:c>
      <x:c r="H989" t="str">
        <x:v>independent physical acceptance</x:v>
      </x:c>
      <x:c r="I989" t="str">
        <x:f>IF(E989=1,"PASS","OPEN")</x:f>
        <x:v>OPEN</x:v>
      </x:c>
    </x:row>
    <x:row r="990">
      <x:c r="B990" t="str">
        <x:v>PH-TG-322-G</x:v>
      </x:c>
      <x:c r="C990" t="str">
        <x:v>PHYSICAL</x:v>
      </x:c>
      <x:c r="D990" t="str">
        <x:v>terrain geometry</x:v>
      </x:c>
      <x:c r="E990" t="n">
        <x:f>IF('Terrain Field'!J328&lt;&gt;"",1,0)</x:f>
        <x:v>0</x:v>
      </x:c>
      <x:c r="F990" t="n">
        <x:v>1</x:v>
      </x:c>
      <x:c r="G990" t="str">
        <x:v>equals</x:v>
      </x:c>
      <x:c r="H990" t="str">
        <x:v>independent physical acceptance</x:v>
      </x:c>
      <x:c r="I990" t="str">
        <x:f>IF(E990=1,"PASS","OPEN")</x:f>
        <x:v>OPEN</x:v>
      </x:c>
    </x:row>
    <x:row r="991">
      <x:c r="B991" t="str">
        <x:v>PH-TG-322-L</x:v>
      </x:c>
      <x:c r="C991" t="str">
        <x:v>PHYSICAL</x:v>
      </x:c>
      <x:c r="D991" t="str">
        <x:v>terrain load</x:v>
      </x:c>
      <x:c r="E991" t="n">
        <x:f>IF('Terrain Field'!K328&lt;&gt;"",1,0)</x:f>
        <x:v>0</x:v>
      </x:c>
      <x:c r="F991" t="n">
        <x:v>1</x:v>
      </x:c>
      <x:c r="G991" t="str">
        <x:v>equals</x:v>
      </x:c>
      <x:c r="H991" t="str">
        <x:v>independent physical acceptance</x:v>
      </x:c>
      <x:c r="I991" t="str">
        <x:f>IF(E991=1,"PASS","OPEN")</x:f>
        <x:v>OPEN</x:v>
      </x:c>
    </x:row>
    <x:row r="992">
      <x:c r="B992" t="str">
        <x:v>PH-TG-323-G</x:v>
      </x:c>
      <x:c r="C992" t="str">
        <x:v>PHYSICAL</x:v>
      </x:c>
      <x:c r="D992" t="str">
        <x:v>terrain geometry</x:v>
      </x:c>
      <x:c r="E992" t="n">
        <x:f>IF('Terrain Field'!J329&lt;&gt;"",1,0)</x:f>
        <x:v>0</x:v>
      </x:c>
      <x:c r="F992" t="n">
        <x:v>1</x:v>
      </x:c>
      <x:c r="G992" t="str">
        <x:v>equals</x:v>
      </x:c>
      <x:c r="H992" t="str">
        <x:v>independent physical acceptance</x:v>
      </x:c>
      <x:c r="I992" t="str">
        <x:f>IF(E992=1,"PASS","OPEN")</x:f>
        <x:v>OPEN</x:v>
      </x:c>
    </x:row>
    <x:row r="993">
      <x:c r="B993" t="str">
        <x:v>PH-TG-323-L</x:v>
      </x:c>
      <x:c r="C993" t="str">
        <x:v>PHYSICAL</x:v>
      </x:c>
      <x:c r="D993" t="str">
        <x:v>terrain load</x:v>
      </x:c>
      <x:c r="E993" t="n">
        <x:f>IF('Terrain Field'!K329&lt;&gt;"",1,0)</x:f>
        <x:v>0</x:v>
      </x:c>
      <x:c r="F993" t="n">
        <x:v>1</x:v>
      </x:c>
      <x:c r="G993" t="str">
        <x:v>equals</x:v>
      </x:c>
      <x:c r="H993" t="str">
        <x:v>independent physical acceptance</x:v>
      </x:c>
      <x:c r="I993" t="str">
        <x:f>IF(E993=1,"PASS","OPEN")</x:f>
        <x:v>OPEN</x:v>
      </x:c>
    </x:row>
    <x:row r="994">
      <x:c r="B994" t="str">
        <x:v>PH-TG-324-G</x:v>
      </x:c>
      <x:c r="C994" t="str">
        <x:v>PHYSICAL</x:v>
      </x:c>
      <x:c r="D994" t="str">
        <x:v>terrain geometry</x:v>
      </x:c>
      <x:c r="E994" t="n">
        <x:f>IF('Terrain Field'!J330&lt;&gt;"",1,0)</x:f>
        <x:v>0</x:v>
      </x:c>
      <x:c r="F994" t="n">
        <x:v>1</x:v>
      </x:c>
      <x:c r="G994" t="str">
        <x:v>equals</x:v>
      </x:c>
      <x:c r="H994" t="str">
        <x:v>independent physical acceptance</x:v>
      </x:c>
      <x:c r="I994" t="str">
        <x:f>IF(E994=1,"PASS","OPEN")</x:f>
        <x:v>OPEN</x:v>
      </x:c>
    </x:row>
    <x:row r="995">
      <x:c r="B995" t="str">
        <x:v>PH-TG-324-L</x:v>
      </x:c>
      <x:c r="C995" t="str">
        <x:v>PHYSICAL</x:v>
      </x:c>
      <x:c r="D995" t="str">
        <x:v>terrain load</x:v>
      </x:c>
      <x:c r="E995" t="n">
        <x:f>IF('Terrain Field'!K330&lt;&gt;"",1,0)</x:f>
        <x:v>0</x:v>
      </x:c>
      <x:c r="F995" t="n">
        <x:v>1</x:v>
      </x:c>
      <x:c r="G995" t="str">
        <x:v>equals</x:v>
      </x:c>
      <x:c r="H995" t="str">
        <x:v>independent physical acceptance</x:v>
      </x:c>
      <x:c r="I995" t="str">
        <x:f>IF(E995=1,"PASS","OPEN")</x:f>
        <x:v>OPEN</x:v>
      </x:c>
    </x:row>
    <x:row r="996">
      <x:c r="B996" t="str">
        <x:v>PH-TG-325-G</x:v>
      </x:c>
      <x:c r="C996" t="str">
        <x:v>PHYSICAL</x:v>
      </x:c>
      <x:c r="D996" t="str">
        <x:v>terrain geometry</x:v>
      </x:c>
      <x:c r="E996" t="n">
        <x:f>IF('Terrain Field'!J331&lt;&gt;"",1,0)</x:f>
        <x:v>0</x:v>
      </x:c>
      <x:c r="F996" t="n">
        <x:v>1</x:v>
      </x:c>
      <x:c r="G996" t="str">
        <x:v>equals</x:v>
      </x:c>
      <x:c r="H996" t="str">
        <x:v>independent physical acceptance</x:v>
      </x:c>
      <x:c r="I996" t="str">
        <x:f>IF(E996=1,"PASS","OPEN")</x:f>
        <x:v>OPEN</x:v>
      </x:c>
    </x:row>
    <x:row r="997">
      <x:c r="B997" t="str">
        <x:v>PH-TG-325-L</x:v>
      </x:c>
      <x:c r="C997" t="str">
        <x:v>PHYSICAL</x:v>
      </x:c>
      <x:c r="D997" t="str">
        <x:v>terrain load</x:v>
      </x:c>
      <x:c r="E997" t="n">
        <x:f>IF('Terrain Field'!K331&lt;&gt;"",1,0)</x:f>
        <x:v>0</x:v>
      </x:c>
      <x:c r="F997" t="n">
        <x:v>1</x:v>
      </x:c>
      <x:c r="G997" t="str">
        <x:v>equals</x:v>
      </x:c>
      <x:c r="H997" t="str">
        <x:v>independent physical acceptance</x:v>
      </x:c>
      <x:c r="I997" t="str">
        <x:f>IF(E997=1,"PASS","OPEN")</x:f>
        <x:v>OPEN</x:v>
      </x:c>
    </x:row>
    <x:row r="998">
      <x:c r="B998" t="str">
        <x:v>PH-TG-326-G</x:v>
      </x:c>
      <x:c r="C998" t="str">
        <x:v>PHYSICAL</x:v>
      </x:c>
      <x:c r="D998" t="str">
        <x:v>terrain geometry</x:v>
      </x:c>
      <x:c r="E998" t="n">
        <x:f>IF('Terrain Field'!J332&lt;&gt;"",1,0)</x:f>
        <x:v>0</x:v>
      </x:c>
      <x:c r="F998" t="n">
        <x:v>1</x:v>
      </x:c>
      <x:c r="G998" t="str">
        <x:v>equals</x:v>
      </x:c>
      <x:c r="H998" t="str">
        <x:v>independent physical acceptance</x:v>
      </x:c>
      <x:c r="I998" t="str">
        <x:f>IF(E998=1,"PASS","OPEN")</x:f>
        <x:v>OPEN</x:v>
      </x:c>
    </x:row>
    <x:row r="999">
      <x:c r="B999" t="str">
        <x:v>PH-TG-326-L</x:v>
      </x:c>
      <x:c r="C999" t="str">
        <x:v>PHYSICAL</x:v>
      </x:c>
      <x:c r="D999" t="str">
        <x:v>terrain load</x:v>
      </x:c>
      <x:c r="E999" t="n">
        <x:f>IF('Terrain Field'!K332&lt;&gt;"",1,0)</x:f>
        <x:v>0</x:v>
      </x:c>
      <x:c r="F999" t="n">
        <x:v>1</x:v>
      </x:c>
      <x:c r="G999" t="str">
        <x:v>equals</x:v>
      </x:c>
      <x:c r="H999" t="str">
        <x:v>independent physical acceptance</x:v>
      </x:c>
      <x:c r="I999" t="str">
        <x:f>IF(E999=1,"PASS","OPEN")</x:f>
        <x:v>OPEN</x:v>
      </x:c>
    </x:row>
    <x:row r="1000">
      <x:c r="B1000" t="str">
        <x:v>PH-TG-327-G</x:v>
      </x:c>
      <x:c r="C1000" t="str">
        <x:v>PHYSICAL</x:v>
      </x:c>
      <x:c r="D1000" t="str">
        <x:v>terrain geometry</x:v>
      </x:c>
      <x:c r="E1000" t="n">
        <x:f>IF('Terrain Field'!J333&lt;&gt;"",1,0)</x:f>
        <x:v>0</x:v>
      </x:c>
      <x:c r="F1000" t="n">
        <x:v>1</x:v>
      </x:c>
      <x:c r="G1000" t="str">
        <x:v>equals</x:v>
      </x:c>
      <x:c r="H1000" t="str">
        <x:v>independent physical acceptance</x:v>
      </x:c>
      <x:c r="I1000" t="str">
        <x:f>IF(E1000=1,"PASS","OPEN")</x:f>
        <x:v>OPEN</x:v>
      </x:c>
    </x:row>
    <x:row r="1001">
      <x:c r="B1001" t="str">
        <x:v>PH-TG-327-L</x:v>
      </x:c>
      <x:c r="C1001" t="str">
        <x:v>PHYSICAL</x:v>
      </x:c>
      <x:c r="D1001" t="str">
        <x:v>terrain load</x:v>
      </x:c>
      <x:c r="E1001" t="n">
        <x:f>IF('Terrain Field'!K333&lt;&gt;"",1,0)</x:f>
        <x:v>0</x:v>
      </x:c>
      <x:c r="F1001" t="n">
        <x:v>1</x:v>
      </x:c>
      <x:c r="G1001" t="str">
        <x:v>equals</x:v>
      </x:c>
      <x:c r="H1001" t="str">
        <x:v>independent physical acceptance</x:v>
      </x:c>
      <x:c r="I1001" t="str">
        <x:f>IF(E1001=1,"PASS","OPEN")</x:f>
        <x:v>OPEN</x:v>
      </x:c>
    </x:row>
    <x:row r="1002">
      <x:c r="B1002" t="str">
        <x:v>PH-TG-328-G</x:v>
      </x:c>
      <x:c r="C1002" t="str">
        <x:v>PHYSICAL</x:v>
      </x:c>
      <x:c r="D1002" t="str">
        <x:v>terrain geometry</x:v>
      </x:c>
      <x:c r="E1002" t="n">
        <x:f>IF('Terrain Field'!J334&lt;&gt;"",1,0)</x:f>
        <x:v>0</x:v>
      </x:c>
      <x:c r="F1002" t="n">
        <x:v>1</x:v>
      </x:c>
      <x:c r="G1002" t="str">
        <x:v>equals</x:v>
      </x:c>
      <x:c r="H1002" t="str">
        <x:v>independent physical acceptance</x:v>
      </x:c>
      <x:c r="I1002" t="str">
        <x:f>IF(E1002=1,"PASS","OPEN")</x:f>
        <x:v>OPEN</x:v>
      </x:c>
    </x:row>
    <x:row r="1003">
      <x:c r="B1003" t="str">
        <x:v>PH-TG-328-L</x:v>
      </x:c>
      <x:c r="C1003" t="str">
        <x:v>PHYSICAL</x:v>
      </x:c>
      <x:c r="D1003" t="str">
        <x:v>terrain load</x:v>
      </x:c>
      <x:c r="E1003" t="n">
        <x:f>IF('Terrain Field'!K334&lt;&gt;"",1,0)</x:f>
        <x:v>0</x:v>
      </x:c>
      <x:c r="F1003" t="n">
        <x:v>1</x:v>
      </x:c>
      <x:c r="G1003" t="str">
        <x:v>equals</x:v>
      </x:c>
      <x:c r="H1003" t="str">
        <x:v>independent physical acceptance</x:v>
      </x:c>
      <x:c r="I1003" t="str">
        <x:f>IF(E1003=1,"PASS","OPEN")</x:f>
        <x:v>OPEN</x:v>
      </x:c>
    </x:row>
    <x:row r="1004">
      <x:c r="B1004" t="str">
        <x:v>PH-TG-329-G</x:v>
      </x:c>
      <x:c r="C1004" t="str">
        <x:v>PHYSICAL</x:v>
      </x:c>
      <x:c r="D1004" t="str">
        <x:v>terrain geometry</x:v>
      </x:c>
      <x:c r="E1004" t="n">
        <x:f>IF('Terrain Field'!J335&lt;&gt;"",1,0)</x:f>
        <x:v>0</x:v>
      </x:c>
      <x:c r="F1004" t="n">
        <x:v>1</x:v>
      </x:c>
      <x:c r="G1004" t="str">
        <x:v>equals</x:v>
      </x:c>
      <x:c r="H1004" t="str">
        <x:v>independent physical acceptance</x:v>
      </x:c>
      <x:c r="I1004" t="str">
        <x:f>IF(E1004=1,"PASS","OPEN")</x:f>
        <x:v>OPEN</x:v>
      </x:c>
    </x:row>
    <x:row r="1005">
      <x:c r="B1005" t="str">
        <x:v>PH-TG-329-L</x:v>
      </x:c>
      <x:c r="C1005" t="str">
        <x:v>PHYSICAL</x:v>
      </x:c>
      <x:c r="D1005" t="str">
        <x:v>terrain load</x:v>
      </x:c>
      <x:c r="E1005" t="n">
        <x:f>IF('Terrain Field'!K335&lt;&gt;"",1,0)</x:f>
        <x:v>0</x:v>
      </x:c>
      <x:c r="F1005" t="n">
        <x:v>1</x:v>
      </x:c>
      <x:c r="G1005" t="str">
        <x:v>equals</x:v>
      </x:c>
      <x:c r="H1005" t="str">
        <x:v>independent physical acceptance</x:v>
      </x:c>
      <x:c r="I1005" t="str">
        <x:f>IF(E1005=1,"PASS","OPEN")</x:f>
        <x:v>OPEN</x:v>
      </x:c>
    </x:row>
    <x:row r="1006">
      <x:c r="B1006" t="str">
        <x:v>PH-TG-330-G</x:v>
      </x:c>
      <x:c r="C1006" t="str">
        <x:v>PHYSICAL</x:v>
      </x:c>
      <x:c r="D1006" t="str">
        <x:v>terrain geometry</x:v>
      </x:c>
      <x:c r="E1006" t="n">
        <x:f>IF('Terrain Field'!J336&lt;&gt;"",1,0)</x:f>
        <x:v>0</x:v>
      </x:c>
      <x:c r="F1006" t="n">
        <x:v>1</x:v>
      </x:c>
      <x:c r="G1006" t="str">
        <x:v>equals</x:v>
      </x:c>
      <x:c r="H1006" t="str">
        <x:v>independent physical acceptance</x:v>
      </x:c>
      <x:c r="I1006" t="str">
        <x:f>IF(E1006=1,"PASS","OPEN")</x:f>
        <x:v>OPEN</x:v>
      </x:c>
    </x:row>
    <x:row r="1007">
      <x:c r="B1007" t="str">
        <x:v>PH-TG-330-L</x:v>
      </x:c>
      <x:c r="C1007" t="str">
        <x:v>PHYSICAL</x:v>
      </x:c>
      <x:c r="D1007" t="str">
        <x:v>terrain load</x:v>
      </x:c>
      <x:c r="E1007" t="n">
        <x:f>IF('Terrain Field'!K336&lt;&gt;"",1,0)</x:f>
        <x:v>0</x:v>
      </x:c>
      <x:c r="F1007" t="n">
        <x:v>1</x:v>
      </x:c>
      <x:c r="G1007" t="str">
        <x:v>equals</x:v>
      </x:c>
      <x:c r="H1007" t="str">
        <x:v>independent physical acceptance</x:v>
      </x:c>
      <x:c r="I1007" t="str">
        <x:f>IF(E1007=1,"PASS","OPEN")</x:f>
        <x:v>OPEN</x:v>
      </x:c>
    </x:row>
    <x:row r="1008">
      <x:c r="B1008" t="str">
        <x:v>PH-TG-331-G</x:v>
      </x:c>
      <x:c r="C1008" t="str">
        <x:v>PHYSICAL</x:v>
      </x:c>
      <x:c r="D1008" t="str">
        <x:v>terrain geometry</x:v>
      </x:c>
      <x:c r="E1008" t="n">
        <x:f>IF('Terrain Field'!J337&lt;&gt;"",1,0)</x:f>
        <x:v>0</x:v>
      </x:c>
      <x:c r="F1008" t="n">
        <x:v>1</x:v>
      </x:c>
      <x:c r="G1008" t="str">
        <x:v>equals</x:v>
      </x:c>
      <x:c r="H1008" t="str">
        <x:v>independent physical acceptance</x:v>
      </x:c>
      <x:c r="I1008" t="str">
        <x:f>IF(E1008=1,"PASS","OPEN")</x:f>
        <x:v>OPEN</x:v>
      </x:c>
    </x:row>
    <x:row r="1009">
      <x:c r="B1009" t="str">
        <x:v>PH-TG-331-L</x:v>
      </x:c>
      <x:c r="C1009" t="str">
        <x:v>PHYSICAL</x:v>
      </x:c>
      <x:c r="D1009" t="str">
        <x:v>terrain load</x:v>
      </x:c>
      <x:c r="E1009" t="n">
        <x:f>IF('Terrain Field'!K337&lt;&gt;"",1,0)</x:f>
        <x:v>0</x:v>
      </x:c>
      <x:c r="F1009" t="n">
        <x:v>1</x:v>
      </x:c>
      <x:c r="G1009" t="str">
        <x:v>equals</x:v>
      </x:c>
      <x:c r="H1009" t="str">
        <x:v>independent physical acceptance</x:v>
      </x:c>
      <x:c r="I1009" t="str">
        <x:f>IF(E1009=1,"PASS","OPEN")</x:f>
        <x:v>OPEN</x:v>
      </x:c>
    </x:row>
    <x:row r="1010">
      <x:c r="B1010" t="str">
        <x:v>PH-TG-332-G</x:v>
      </x:c>
      <x:c r="C1010" t="str">
        <x:v>PHYSICAL</x:v>
      </x:c>
      <x:c r="D1010" t="str">
        <x:v>terrain geometry</x:v>
      </x:c>
      <x:c r="E1010" t="n">
        <x:f>IF('Terrain Field'!J338&lt;&gt;"",1,0)</x:f>
        <x:v>0</x:v>
      </x:c>
      <x:c r="F1010" t="n">
        <x:v>1</x:v>
      </x:c>
      <x:c r="G1010" t="str">
        <x:v>equals</x:v>
      </x:c>
      <x:c r="H1010" t="str">
        <x:v>independent physical acceptance</x:v>
      </x:c>
      <x:c r="I1010" t="str">
        <x:f>IF(E1010=1,"PASS","OPEN")</x:f>
        <x:v>OPEN</x:v>
      </x:c>
    </x:row>
    <x:row r="1011">
      <x:c r="B1011" t="str">
        <x:v>PH-TG-332-L</x:v>
      </x:c>
      <x:c r="C1011" t="str">
        <x:v>PHYSICAL</x:v>
      </x:c>
      <x:c r="D1011" t="str">
        <x:v>terrain load</x:v>
      </x:c>
      <x:c r="E1011" t="n">
        <x:f>IF('Terrain Field'!K338&lt;&gt;"",1,0)</x:f>
        <x:v>0</x:v>
      </x:c>
      <x:c r="F1011" t="n">
        <x:v>1</x:v>
      </x:c>
      <x:c r="G1011" t="str">
        <x:v>equals</x:v>
      </x:c>
      <x:c r="H1011" t="str">
        <x:v>independent physical acceptance</x:v>
      </x:c>
      <x:c r="I1011" t="str">
        <x:f>IF(E1011=1,"PASS","OPEN")</x:f>
        <x:v>OPEN</x:v>
      </x:c>
    </x:row>
    <x:row r="1012">
      <x:c r="B1012" t="str">
        <x:v>PH-TG-333-G</x:v>
      </x:c>
      <x:c r="C1012" t="str">
        <x:v>PHYSICAL</x:v>
      </x:c>
      <x:c r="D1012" t="str">
        <x:v>terrain geometry</x:v>
      </x:c>
      <x:c r="E1012" t="n">
        <x:f>IF('Terrain Field'!J339&lt;&gt;"",1,0)</x:f>
        <x:v>0</x:v>
      </x:c>
      <x:c r="F1012" t="n">
        <x:v>1</x:v>
      </x:c>
      <x:c r="G1012" t="str">
        <x:v>equals</x:v>
      </x:c>
      <x:c r="H1012" t="str">
        <x:v>independent physical acceptance</x:v>
      </x:c>
      <x:c r="I1012" t="str">
        <x:f>IF(E1012=1,"PASS","OPEN")</x:f>
        <x:v>OPEN</x:v>
      </x:c>
    </x:row>
    <x:row r="1013">
      <x:c r="B1013" t="str">
        <x:v>PH-TG-333-L</x:v>
      </x:c>
      <x:c r="C1013" t="str">
        <x:v>PHYSICAL</x:v>
      </x:c>
      <x:c r="D1013" t="str">
        <x:v>terrain load</x:v>
      </x:c>
      <x:c r="E1013" t="n">
        <x:f>IF('Terrain Field'!K339&lt;&gt;"",1,0)</x:f>
        <x:v>0</x:v>
      </x:c>
      <x:c r="F1013" t="n">
        <x:v>1</x:v>
      </x:c>
      <x:c r="G1013" t="str">
        <x:v>equals</x:v>
      </x:c>
      <x:c r="H1013" t="str">
        <x:v>independent physical acceptance</x:v>
      </x:c>
      <x:c r="I1013" t="str">
        <x:f>IF(E1013=1,"PASS","OPEN")</x:f>
        <x:v>OPEN</x:v>
      </x:c>
    </x:row>
    <x:row r="1014">
      <x:c r="B1014" t="str">
        <x:v>PH-TG-334-G</x:v>
      </x:c>
      <x:c r="C1014" t="str">
        <x:v>PHYSICAL</x:v>
      </x:c>
      <x:c r="D1014" t="str">
        <x:v>terrain geometry</x:v>
      </x:c>
      <x:c r="E1014" t="n">
        <x:f>IF('Terrain Field'!J340&lt;&gt;"",1,0)</x:f>
        <x:v>0</x:v>
      </x:c>
      <x:c r="F1014" t="n">
        <x:v>1</x:v>
      </x:c>
      <x:c r="G1014" t="str">
        <x:v>equals</x:v>
      </x:c>
      <x:c r="H1014" t="str">
        <x:v>independent physical acceptance</x:v>
      </x:c>
      <x:c r="I1014" t="str">
        <x:f>IF(E1014=1,"PASS","OPEN")</x:f>
        <x:v>OPEN</x:v>
      </x:c>
    </x:row>
    <x:row r="1015">
      <x:c r="B1015" t="str">
        <x:v>PH-TG-334-L</x:v>
      </x:c>
      <x:c r="C1015" t="str">
        <x:v>PHYSICAL</x:v>
      </x:c>
      <x:c r="D1015" t="str">
        <x:v>terrain load</x:v>
      </x:c>
      <x:c r="E1015" t="n">
        <x:f>IF('Terrain Field'!K340&lt;&gt;"",1,0)</x:f>
        <x:v>0</x:v>
      </x:c>
      <x:c r="F1015" t="n">
        <x:v>1</x:v>
      </x:c>
      <x:c r="G1015" t="str">
        <x:v>equals</x:v>
      </x:c>
      <x:c r="H1015" t="str">
        <x:v>independent physical acceptance</x:v>
      </x:c>
      <x:c r="I1015" t="str">
        <x:f>IF(E1015=1,"PASS","OPEN")</x:f>
        <x:v>OPEN</x:v>
      </x:c>
    </x:row>
    <x:row r="1016">
      <x:c r="B1016" t="str">
        <x:v>PH-TG-335-G</x:v>
      </x:c>
      <x:c r="C1016" t="str">
        <x:v>PHYSICAL</x:v>
      </x:c>
      <x:c r="D1016" t="str">
        <x:v>terrain geometry</x:v>
      </x:c>
      <x:c r="E1016" t="n">
        <x:f>IF('Terrain Field'!J341&lt;&gt;"",1,0)</x:f>
        <x:v>0</x:v>
      </x:c>
      <x:c r="F1016" t="n">
        <x:v>1</x:v>
      </x:c>
      <x:c r="G1016" t="str">
        <x:v>equals</x:v>
      </x:c>
      <x:c r="H1016" t="str">
        <x:v>independent physical acceptance</x:v>
      </x:c>
      <x:c r="I1016" t="str">
        <x:f>IF(E1016=1,"PASS","OPEN")</x:f>
        <x:v>OPEN</x:v>
      </x:c>
    </x:row>
    <x:row r="1017">
      <x:c r="B1017" t="str">
        <x:v>PH-TG-335-L</x:v>
      </x:c>
      <x:c r="C1017" t="str">
        <x:v>PHYSICAL</x:v>
      </x:c>
      <x:c r="D1017" t="str">
        <x:v>terrain load</x:v>
      </x:c>
      <x:c r="E1017" t="n">
        <x:f>IF('Terrain Field'!K341&lt;&gt;"",1,0)</x:f>
        <x:v>0</x:v>
      </x:c>
      <x:c r="F1017" t="n">
        <x:v>1</x:v>
      </x:c>
      <x:c r="G1017" t="str">
        <x:v>equals</x:v>
      </x:c>
      <x:c r="H1017" t="str">
        <x:v>independent physical acceptance</x:v>
      </x:c>
      <x:c r="I1017" t="str">
        <x:f>IF(E1017=1,"PASS","OPEN")</x:f>
        <x:v>OPEN</x:v>
      </x:c>
    </x:row>
    <x:row r="1018">
      <x:c r="B1018" t="str">
        <x:v>PH-TG-336-G</x:v>
      </x:c>
      <x:c r="C1018" t="str">
        <x:v>PHYSICAL</x:v>
      </x:c>
      <x:c r="D1018" t="str">
        <x:v>terrain geometry</x:v>
      </x:c>
      <x:c r="E1018" t="n">
        <x:f>IF('Terrain Field'!J342&lt;&gt;"",1,0)</x:f>
        <x:v>0</x:v>
      </x:c>
      <x:c r="F1018" t="n">
        <x:v>1</x:v>
      </x:c>
      <x:c r="G1018" t="str">
        <x:v>equals</x:v>
      </x:c>
      <x:c r="H1018" t="str">
        <x:v>independent physical acceptance</x:v>
      </x:c>
      <x:c r="I1018" t="str">
        <x:f>IF(E1018=1,"PASS","OPEN")</x:f>
        <x:v>OPEN</x:v>
      </x:c>
    </x:row>
    <x:row r="1019">
      <x:c r="B1019" t="str">
        <x:v>PH-TG-336-L</x:v>
      </x:c>
      <x:c r="C1019" t="str">
        <x:v>PHYSICAL</x:v>
      </x:c>
      <x:c r="D1019" t="str">
        <x:v>terrain load</x:v>
      </x:c>
      <x:c r="E1019" t="n">
        <x:f>IF('Terrain Field'!K342&lt;&gt;"",1,0)</x:f>
        <x:v>0</x:v>
      </x:c>
      <x:c r="F1019" t="n">
        <x:v>1</x:v>
      </x:c>
      <x:c r="G1019" t="str">
        <x:v>equals</x:v>
      </x:c>
      <x:c r="H1019" t="str">
        <x:v>independent physical acceptance</x:v>
      </x:c>
      <x:c r="I1019" t="str">
        <x:f>IF(E1019=1,"PASS","OPEN")</x:f>
        <x:v>OPEN</x:v>
      </x:c>
    </x:row>
    <x:row r="1020">
      <x:c r="B1020" t="str">
        <x:v>PH-TG-337-G</x:v>
      </x:c>
      <x:c r="C1020" t="str">
        <x:v>PHYSICAL</x:v>
      </x:c>
      <x:c r="D1020" t="str">
        <x:v>terrain geometry</x:v>
      </x:c>
      <x:c r="E1020" t="n">
        <x:f>IF('Terrain Field'!J343&lt;&gt;"",1,0)</x:f>
        <x:v>0</x:v>
      </x:c>
      <x:c r="F1020" t="n">
        <x:v>1</x:v>
      </x:c>
      <x:c r="G1020" t="str">
        <x:v>equals</x:v>
      </x:c>
      <x:c r="H1020" t="str">
        <x:v>independent physical acceptance</x:v>
      </x:c>
      <x:c r="I1020" t="str">
        <x:f>IF(E1020=1,"PASS","OPEN")</x:f>
        <x:v>OPEN</x:v>
      </x:c>
    </x:row>
    <x:row r="1021">
      <x:c r="B1021" t="str">
        <x:v>PH-TG-337-L</x:v>
      </x:c>
      <x:c r="C1021" t="str">
        <x:v>PHYSICAL</x:v>
      </x:c>
      <x:c r="D1021" t="str">
        <x:v>terrain load</x:v>
      </x:c>
      <x:c r="E1021" t="n">
        <x:f>IF('Terrain Field'!K343&lt;&gt;"",1,0)</x:f>
        <x:v>0</x:v>
      </x:c>
      <x:c r="F1021" t="n">
        <x:v>1</x:v>
      </x:c>
      <x:c r="G1021" t="str">
        <x:v>equals</x:v>
      </x:c>
      <x:c r="H1021" t="str">
        <x:v>independent physical acceptance</x:v>
      </x:c>
      <x:c r="I1021" t="str">
        <x:f>IF(E1021=1,"PASS","OPEN")</x:f>
        <x:v>OPEN</x:v>
      </x:c>
    </x:row>
    <x:row r="1022">
      <x:c r="B1022" t="str">
        <x:v>PH-TG-338-G</x:v>
      </x:c>
      <x:c r="C1022" t="str">
        <x:v>PHYSICAL</x:v>
      </x:c>
      <x:c r="D1022" t="str">
        <x:v>terrain geometry</x:v>
      </x:c>
      <x:c r="E1022" t="n">
        <x:f>IF('Terrain Field'!J344&lt;&gt;"",1,0)</x:f>
        <x:v>0</x:v>
      </x:c>
      <x:c r="F1022" t="n">
        <x:v>1</x:v>
      </x:c>
      <x:c r="G1022" t="str">
        <x:v>equals</x:v>
      </x:c>
      <x:c r="H1022" t="str">
        <x:v>independent physical acceptance</x:v>
      </x:c>
      <x:c r="I1022" t="str">
        <x:f>IF(E1022=1,"PASS","OPEN")</x:f>
        <x:v>OPEN</x:v>
      </x:c>
    </x:row>
    <x:row r="1023">
      <x:c r="B1023" t="str">
        <x:v>PH-TG-338-L</x:v>
      </x:c>
      <x:c r="C1023" t="str">
        <x:v>PHYSICAL</x:v>
      </x:c>
      <x:c r="D1023" t="str">
        <x:v>terrain load</x:v>
      </x:c>
      <x:c r="E1023" t="n">
        <x:f>IF('Terrain Field'!K344&lt;&gt;"",1,0)</x:f>
        <x:v>0</x:v>
      </x:c>
      <x:c r="F1023" t="n">
        <x:v>1</x:v>
      </x:c>
      <x:c r="G1023" t="str">
        <x:v>equals</x:v>
      </x:c>
      <x:c r="H1023" t="str">
        <x:v>independent physical acceptance</x:v>
      </x:c>
      <x:c r="I1023" t="str">
        <x:f>IF(E1023=1,"PASS","OPEN")</x:f>
        <x:v>OPEN</x:v>
      </x:c>
    </x:row>
    <x:row r="1024">
      <x:c r="B1024" t="str">
        <x:v>PH-TG-339-G</x:v>
      </x:c>
      <x:c r="C1024" t="str">
        <x:v>PHYSICAL</x:v>
      </x:c>
      <x:c r="D1024" t="str">
        <x:v>terrain geometry</x:v>
      </x:c>
      <x:c r="E1024" t="n">
        <x:f>IF('Terrain Field'!J345&lt;&gt;"",1,0)</x:f>
        <x:v>0</x:v>
      </x:c>
      <x:c r="F1024" t="n">
        <x:v>1</x:v>
      </x:c>
      <x:c r="G1024" t="str">
        <x:v>equals</x:v>
      </x:c>
      <x:c r="H1024" t="str">
        <x:v>independent physical acceptance</x:v>
      </x:c>
      <x:c r="I1024" t="str">
        <x:f>IF(E1024=1,"PASS","OPEN")</x:f>
        <x:v>OPEN</x:v>
      </x:c>
    </x:row>
    <x:row r="1025">
      <x:c r="B1025" t="str">
        <x:v>PH-TG-339-L</x:v>
      </x:c>
      <x:c r="C1025" t="str">
        <x:v>PHYSICAL</x:v>
      </x:c>
      <x:c r="D1025" t="str">
        <x:v>terrain load</x:v>
      </x:c>
      <x:c r="E1025" t="n">
        <x:f>IF('Terrain Field'!K345&lt;&gt;"",1,0)</x:f>
        <x:v>0</x:v>
      </x:c>
      <x:c r="F1025" t="n">
        <x:v>1</x:v>
      </x:c>
      <x:c r="G1025" t="str">
        <x:v>equals</x:v>
      </x:c>
      <x:c r="H1025" t="str">
        <x:v>independent physical acceptance</x:v>
      </x:c>
      <x:c r="I1025" t="str">
        <x:f>IF(E1025=1,"PASS","OPEN")</x:f>
        <x:v>OPEN</x:v>
      </x:c>
    </x:row>
    <x:row r="1026">
      <x:c r="B1026" t="str">
        <x:v>PH-TG-340-G</x:v>
      </x:c>
      <x:c r="C1026" t="str">
        <x:v>PHYSICAL</x:v>
      </x:c>
      <x:c r="D1026" t="str">
        <x:v>terrain geometry</x:v>
      </x:c>
      <x:c r="E1026" t="n">
        <x:f>IF('Terrain Field'!J346&lt;&gt;"",1,0)</x:f>
        <x:v>0</x:v>
      </x:c>
      <x:c r="F1026" t="n">
        <x:v>1</x:v>
      </x:c>
      <x:c r="G1026" t="str">
        <x:v>equals</x:v>
      </x:c>
      <x:c r="H1026" t="str">
        <x:v>independent physical acceptance</x:v>
      </x:c>
      <x:c r="I1026" t="str">
        <x:f>IF(E1026=1,"PASS","OPEN")</x:f>
        <x:v>OPEN</x:v>
      </x:c>
    </x:row>
    <x:row r="1027">
      <x:c r="B1027" t="str">
        <x:v>PH-TG-340-L</x:v>
      </x:c>
      <x:c r="C1027" t="str">
        <x:v>PHYSICAL</x:v>
      </x:c>
      <x:c r="D1027" t="str">
        <x:v>terrain load</x:v>
      </x:c>
      <x:c r="E1027" t="n">
        <x:f>IF('Terrain Field'!K346&lt;&gt;"",1,0)</x:f>
        <x:v>0</x:v>
      </x:c>
      <x:c r="F1027" t="n">
        <x:v>1</x:v>
      </x:c>
      <x:c r="G1027" t="str">
        <x:v>equals</x:v>
      </x:c>
      <x:c r="H1027" t="str">
        <x:v>independent physical acceptance</x:v>
      </x:c>
      <x:c r="I1027" t="str">
        <x:f>IF(E1027=1,"PASS","OPEN")</x:f>
        <x:v>OPEN</x:v>
      </x:c>
    </x:row>
    <x:row r="1028">
      <x:c r="B1028" t="str">
        <x:v>PH-TG-341-G</x:v>
      </x:c>
      <x:c r="C1028" t="str">
        <x:v>PHYSICAL</x:v>
      </x:c>
      <x:c r="D1028" t="str">
        <x:v>terrain geometry</x:v>
      </x:c>
      <x:c r="E1028" t="n">
        <x:f>IF('Terrain Field'!J347&lt;&gt;"",1,0)</x:f>
        <x:v>0</x:v>
      </x:c>
      <x:c r="F1028" t="n">
        <x:v>1</x:v>
      </x:c>
      <x:c r="G1028" t="str">
        <x:v>equals</x:v>
      </x:c>
      <x:c r="H1028" t="str">
        <x:v>independent physical acceptance</x:v>
      </x:c>
      <x:c r="I1028" t="str">
        <x:f>IF(E1028=1,"PASS","OPEN")</x:f>
        <x:v>OPEN</x:v>
      </x:c>
    </x:row>
    <x:row r="1029">
      <x:c r="B1029" t="str">
        <x:v>PH-TG-341-L</x:v>
      </x:c>
      <x:c r="C1029" t="str">
        <x:v>PHYSICAL</x:v>
      </x:c>
      <x:c r="D1029" t="str">
        <x:v>terrain load</x:v>
      </x:c>
      <x:c r="E1029" t="n">
        <x:f>IF('Terrain Field'!K347&lt;&gt;"",1,0)</x:f>
        <x:v>0</x:v>
      </x:c>
      <x:c r="F1029" t="n">
        <x:v>1</x:v>
      </x:c>
      <x:c r="G1029" t="str">
        <x:v>equals</x:v>
      </x:c>
      <x:c r="H1029" t="str">
        <x:v>independent physical acceptance</x:v>
      </x:c>
      <x:c r="I1029" t="str">
        <x:f>IF(E1029=1,"PASS","OPEN")</x:f>
        <x:v>OPEN</x:v>
      </x:c>
    </x:row>
    <x:row r="1030">
      <x:c r="B1030" t="str">
        <x:v>PH-TG-342-G</x:v>
      </x:c>
      <x:c r="C1030" t="str">
        <x:v>PHYSICAL</x:v>
      </x:c>
      <x:c r="D1030" t="str">
        <x:v>terrain geometry</x:v>
      </x:c>
      <x:c r="E1030" t="n">
        <x:f>IF('Terrain Field'!J348&lt;&gt;"",1,0)</x:f>
        <x:v>0</x:v>
      </x:c>
      <x:c r="F1030" t="n">
        <x:v>1</x:v>
      </x:c>
      <x:c r="G1030" t="str">
        <x:v>equals</x:v>
      </x:c>
      <x:c r="H1030" t="str">
        <x:v>independent physical acceptance</x:v>
      </x:c>
      <x:c r="I1030" t="str">
        <x:f>IF(E1030=1,"PASS","OPEN")</x:f>
        <x:v>OPEN</x:v>
      </x:c>
    </x:row>
    <x:row r="1031">
      <x:c r="B1031" t="str">
        <x:v>PH-TG-342-L</x:v>
      </x:c>
      <x:c r="C1031" t="str">
        <x:v>PHYSICAL</x:v>
      </x:c>
      <x:c r="D1031" t="str">
        <x:v>terrain load</x:v>
      </x:c>
      <x:c r="E1031" t="n">
        <x:f>IF('Terrain Field'!K348&lt;&gt;"",1,0)</x:f>
        <x:v>0</x:v>
      </x:c>
      <x:c r="F1031" t="n">
        <x:v>1</x:v>
      </x:c>
      <x:c r="G1031" t="str">
        <x:v>equals</x:v>
      </x:c>
      <x:c r="H1031" t="str">
        <x:v>independent physical acceptance</x:v>
      </x:c>
      <x:c r="I1031" t="str">
        <x:f>IF(E1031=1,"PASS","OPEN")</x:f>
        <x:v>OPEN</x:v>
      </x:c>
    </x:row>
    <x:row r="1032">
      <x:c r="B1032" t="str">
        <x:v>PH-TG-343-G</x:v>
      </x:c>
      <x:c r="C1032" t="str">
        <x:v>PHYSICAL</x:v>
      </x:c>
      <x:c r="D1032" t="str">
        <x:v>terrain geometry</x:v>
      </x:c>
      <x:c r="E1032" t="n">
        <x:f>IF('Terrain Field'!J349&lt;&gt;"",1,0)</x:f>
        <x:v>0</x:v>
      </x:c>
      <x:c r="F1032" t="n">
        <x:v>1</x:v>
      </x:c>
      <x:c r="G1032" t="str">
        <x:v>equals</x:v>
      </x:c>
      <x:c r="H1032" t="str">
        <x:v>independent physical acceptance</x:v>
      </x:c>
      <x:c r="I1032" t="str">
        <x:f>IF(E1032=1,"PASS","OPEN")</x:f>
        <x:v>OPEN</x:v>
      </x:c>
    </x:row>
    <x:row r="1033">
      <x:c r="B1033" t="str">
        <x:v>PH-TG-343-L</x:v>
      </x:c>
      <x:c r="C1033" t="str">
        <x:v>PHYSICAL</x:v>
      </x:c>
      <x:c r="D1033" t="str">
        <x:v>terrain load</x:v>
      </x:c>
      <x:c r="E1033" t="n">
        <x:f>IF('Terrain Field'!K349&lt;&gt;"",1,0)</x:f>
        <x:v>0</x:v>
      </x:c>
      <x:c r="F1033" t="n">
        <x:v>1</x:v>
      </x:c>
      <x:c r="G1033" t="str">
        <x:v>equals</x:v>
      </x:c>
      <x:c r="H1033" t="str">
        <x:v>independent physical acceptance</x:v>
      </x:c>
      <x:c r="I1033" t="str">
        <x:f>IF(E1033=1,"PASS","OPEN")</x:f>
        <x:v>OPEN</x:v>
      </x:c>
    </x:row>
    <x:row r="1034">
      <x:c r="B1034" t="str">
        <x:v>PH-TG-344-G</x:v>
      </x:c>
      <x:c r="C1034" t="str">
        <x:v>PHYSICAL</x:v>
      </x:c>
      <x:c r="D1034" t="str">
        <x:v>terrain geometry</x:v>
      </x:c>
      <x:c r="E1034" t="n">
        <x:f>IF('Terrain Field'!J350&lt;&gt;"",1,0)</x:f>
        <x:v>0</x:v>
      </x:c>
      <x:c r="F1034" t="n">
        <x:v>1</x:v>
      </x:c>
      <x:c r="G1034" t="str">
        <x:v>equals</x:v>
      </x:c>
      <x:c r="H1034" t="str">
        <x:v>independent physical acceptance</x:v>
      </x:c>
      <x:c r="I1034" t="str">
        <x:f>IF(E1034=1,"PASS","OPEN")</x:f>
        <x:v>OPEN</x:v>
      </x:c>
    </x:row>
    <x:row r="1035">
      <x:c r="B1035" t="str">
        <x:v>PH-TG-344-L</x:v>
      </x:c>
      <x:c r="C1035" t="str">
        <x:v>PHYSICAL</x:v>
      </x:c>
      <x:c r="D1035" t="str">
        <x:v>terrain load</x:v>
      </x:c>
      <x:c r="E1035" t="n">
        <x:f>IF('Terrain Field'!K350&lt;&gt;"",1,0)</x:f>
        <x:v>0</x:v>
      </x:c>
      <x:c r="F1035" t="n">
        <x:v>1</x:v>
      </x:c>
      <x:c r="G1035" t="str">
        <x:v>equals</x:v>
      </x:c>
      <x:c r="H1035" t="str">
        <x:v>independent physical acceptance</x:v>
      </x:c>
      <x:c r="I1035" t="str">
        <x:f>IF(E1035=1,"PASS","OPEN")</x:f>
        <x:v>OPEN</x:v>
      </x:c>
    </x:row>
    <x:row r="1036">
      <x:c r="B1036" t="str">
        <x:v>PH-TG-345-G</x:v>
      </x:c>
      <x:c r="C1036" t="str">
        <x:v>PHYSICAL</x:v>
      </x:c>
      <x:c r="D1036" t="str">
        <x:v>terrain geometry</x:v>
      </x:c>
      <x:c r="E1036" t="n">
        <x:f>IF('Terrain Field'!J351&lt;&gt;"",1,0)</x:f>
        <x:v>0</x:v>
      </x:c>
      <x:c r="F1036" t="n">
        <x:v>1</x:v>
      </x:c>
      <x:c r="G1036" t="str">
        <x:v>equals</x:v>
      </x:c>
      <x:c r="H1036" t="str">
        <x:v>independent physical acceptance</x:v>
      </x:c>
      <x:c r="I1036" t="str">
        <x:f>IF(E1036=1,"PASS","OPEN")</x:f>
        <x:v>OPEN</x:v>
      </x:c>
    </x:row>
    <x:row r="1037">
      <x:c r="B1037" t="str">
        <x:v>PH-TG-345-L</x:v>
      </x:c>
      <x:c r="C1037" t="str">
        <x:v>PHYSICAL</x:v>
      </x:c>
      <x:c r="D1037" t="str">
        <x:v>terrain load</x:v>
      </x:c>
      <x:c r="E1037" t="n">
        <x:f>IF('Terrain Field'!K351&lt;&gt;"",1,0)</x:f>
        <x:v>0</x:v>
      </x:c>
      <x:c r="F1037" t="n">
        <x:v>1</x:v>
      </x:c>
      <x:c r="G1037" t="str">
        <x:v>equals</x:v>
      </x:c>
      <x:c r="H1037" t="str">
        <x:v>independent physical acceptance</x:v>
      </x:c>
      <x:c r="I1037" t="str">
        <x:f>IF(E1037=1,"PASS","OPEN")</x:f>
        <x:v>OPEN</x:v>
      </x:c>
    </x:row>
    <x:row r="1038">
      <x:c r="B1038" t="str">
        <x:v>PH-TG-346-G</x:v>
      </x:c>
      <x:c r="C1038" t="str">
        <x:v>PHYSICAL</x:v>
      </x:c>
      <x:c r="D1038" t="str">
        <x:v>terrain geometry</x:v>
      </x:c>
      <x:c r="E1038" t="n">
        <x:f>IF('Terrain Field'!J352&lt;&gt;"",1,0)</x:f>
        <x:v>0</x:v>
      </x:c>
      <x:c r="F1038" t="n">
        <x:v>1</x:v>
      </x:c>
      <x:c r="G1038" t="str">
        <x:v>equals</x:v>
      </x:c>
      <x:c r="H1038" t="str">
        <x:v>independent physical acceptance</x:v>
      </x:c>
      <x:c r="I1038" t="str">
        <x:f>IF(E1038=1,"PASS","OPEN")</x:f>
        <x:v>OPEN</x:v>
      </x:c>
    </x:row>
    <x:row r="1039">
      <x:c r="B1039" t="str">
        <x:v>PH-TG-346-L</x:v>
      </x:c>
      <x:c r="C1039" t="str">
        <x:v>PHYSICAL</x:v>
      </x:c>
      <x:c r="D1039" t="str">
        <x:v>terrain load</x:v>
      </x:c>
      <x:c r="E1039" t="n">
        <x:f>IF('Terrain Field'!K352&lt;&gt;"",1,0)</x:f>
        <x:v>0</x:v>
      </x:c>
      <x:c r="F1039" t="n">
        <x:v>1</x:v>
      </x:c>
      <x:c r="G1039" t="str">
        <x:v>equals</x:v>
      </x:c>
      <x:c r="H1039" t="str">
        <x:v>independent physical acceptance</x:v>
      </x:c>
      <x:c r="I1039" t="str">
        <x:f>IF(E1039=1,"PASS","OPEN")</x:f>
        <x:v>OPEN</x:v>
      </x:c>
    </x:row>
    <x:row r="1040">
      <x:c r="B1040" t="str">
        <x:v>PH-TG-347-G</x:v>
      </x:c>
      <x:c r="C1040" t="str">
        <x:v>PHYSICAL</x:v>
      </x:c>
      <x:c r="D1040" t="str">
        <x:v>terrain geometry</x:v>
      </x:c>
      <x:c r="E1040" t="n">
        <x:f>IF('Terrain Field'!J353&lt;&gt;"",1,0)</x:f>
        <x:v>0</x:v>
      </x:c>
      <x:c r="F1040" t="n">
        <x:v>1</x:v>
      </x:c>
      <x:c r="G1040" t="str">
        <x:v>equals</x:v>
      </x:c>
      <x:c r="H1040" t="str">
        <x:v>independent physical acceptance</x:v>
      </x:c>
      <x:c r="I1040" t="str">
        <x:f>IF(E1040=1,"PASS","OPEN")</x:f>
        <x:v>OPEN</x:v>
      </x:c>
    </x:row>
    <x:row r="1041">
      <x:c r="B1041" t="str">
        <x:v>PH-TG-347-L</x:v>
      </x:c>
      <x:c r="C1041" t="str">
        <x:v>PHYSICAL</x:v>
      </x:c>
      <x:c r="D1041" t="str">
        <x:v>terrain load</x:v>
      </x:c>
      <x:c r="E1041" t="n">
        <x:f>IF('Terrain Field'!K353&lt;&gt;"",1,0)</x:f>
        <x:v>0</x:v>
      </x:c>
      <x:c r="F1041" t="n">
        <x:v>1</x:v>
      </x:c>
      <x:c r="G1041" t="str">
        <x:v>equals</x:v>
      </x:c>
      <x:c r="H1041" t="str">
        <x:v>independent physical acceptance</x:v>
      </x:c>
      <x:c r="I1041" t="str">
        <x:f>IF(E1041=1,"PASS","OPEN")</x:f>
        <x:v>OPEN</x:v>
      </x:c>
    </x:row>
    <x:row r="1042">
      <x:c r="B1042" t="str">
        <x:v>PH-TG-348-G</x:v>
      </x:c>
      <x:c r="C1042" t="str">
        <x:v>PHYSICAL</x:v>
      </x:c>
      <x:c r="D1042" t="str">
        <x:v>terrain geometry</x:v>
      </x:c>
      <x:c r="E1042" t="n">
        <x:f>IF('Terrain Field'!J354&lt;&gt;"",1,0)</x:f>
        <x:v>0</x:v>
      </x:c>
      <x:c r="F1042" t="n">
        <x:v>1</x:v>
      </x:c>
      <x:c r="G1042" t="str">
        <x:v>equals</x:v>
      </x:c>
      <x:c r="H1042" t="str">
        <x:v>independent physical acceptance</x:v>
      </x:c>
      <x:c r="I1042" t="str">
        <x:f>IF(E1042=1,"PASS","OPEN")</x:f>
        <x:v>OPEN</x:v>
      </x:c>
    </x:row>
    <x:row r="1043">
      <x:c r="B1043" t="str">
        <x:v>PH-TG-348-L</x:v>
      </x:c>
      <x:c r="C1043" t="str">
        <x:v>PHYSICAL</x:v>
      </x:c>
      <x:c r="D1043" t="str">
        <x:v>terrain load</x:v>
      </x:c>
      <x:c r="E1043" t="n">
        <x:f>IF('Terrain Field'!K354&lt;&gt;"",1,0)</x:f>
        <x:v>0</x:v>
      </x:c>
      <x:c r="F1043" t="n">
        <x:v>1</x:v>
      </x:c>
      <x:c r="G1043" t="str">
        <x:v>equals</x:v>
      </x:c>
      <x:c r="H1043" t="str">
        <x:v>independent physical acceptance</x:v>
      </x:c>
      <x:c r="I1043" t="str">
        <x:f>IF(E1043=1,"PASS","OPEN")</x:f>
        <x:v>OPEN</x:v>
      </x:c>
    </x:row>
    <x:row r="1044">
      <x:c r="B1044" t="str">
        <x:v>PH-TG-349-G</x:v>
      </x:c>
      <x:c r="C1044" t="str">
        <x:v>PHYSICAL</x:v>
      </x:c>
      <x:c r="D1044" t="str">
        <x:v>terrain geometry</x:v>
      </x:c>
      <x:c r="E1044" t="n">
        <x:f>IF('Terrain Field'!J355&lt;&gt;"",1,0)</x:f>
        <x:v>0</x:v>
      </x:c>
      <x:c r="F1044" t="n">
        <x:v>1</x:v>
      </x:c>
      <x:c r="G1044" t="str">
        <x:v>equals</x:v>
      </x:c>
      <x:c r="H1044" t="str">
        <x:v>independent physical acceptance</x:v>
      </x:c>
      <x:c r="I1044" t="str">
        <x:f>IF(E1044=1,"PASS","OPEN")</x:f>
        <x:v>OPEN</x:v>
      </x:c>
    </x:row>
    <x:row r="1045">
      <x:c r="B1045" t="str">
        <x:v>PH-TG-349-L</x:v>
      </x:c>
      <x:c r="C1045" t="str">
        <x:v>PHYSICAL</x:v>
      </x:c>
      <x:c r="D1045" t="str">
        <x:v>terrain load</x:v>
      </x:c>
      <x:c r="E1045" t="n">
        <x:f>IF('Terrain Field'!K355&lt;&gt;"",1,0)</x:f>
        <x:v>0</x:v>
      </x:c>
      <x:c r="F1045" t="n">
        <x:v>1</x:v>
      </x:c>
      <x:c r="G1045" t="str">
        <x:v>equals</x:v>
      </x:c>
      <x:c r="H1045" t="str">
        <x:v>independent physical acceptance</x:v>
      </x:c>
      <x:c r="I1045" t="str">
        <x:f>IF(E1045=1,"PASS","OPEN")</x:f>
        <x:v>OPEN</x:v>
      </x:c>
    </x:row>
    <x:row r="1046">
      <x:c r="B1046" t="str">
        <x:v>PH-TG-350-G</x:v>
      </x:c>
      <x:c r="C1046" t="str">
        <x:v>PHYSICAL</x:v>
      </x:c>
      <x:c r="D1046" t="str">
        <x:v>terrain geometry</x:v>
      </x:c>
      <x:c r="E1046" t="n">
        <x:f>IF('Terrain Field'!J356&lt;&gt;"",1,0)</x:f>
        <x:v>0</x:v>
      </x:c>
      <x:c r="F1046" t="n">
        <x:v>1</x:v>
      </x:c>
      <x:c r="G1046" t="str">
        <x:v>equals</x:v>
      </x:c>
      <x:c r="H1046" t="str">
        <x:v>independent physical acceptance</x:v>
      </x:c>
      <x:c r="I1046" t="str">
        <x:f>IF(E1046=1,"PASS","OPEN")</x:f>
        <x:v>OPEN</x:v>
      </x:c>
    </x:row>
    <x:row r="1047">
      <x:c r="B1047" t="str">
        <x:v>PH-TG-350-L</x:v>
      </x:c>
      <x:c r="C1047" t="str">
        <x:v>PHYSICAL</x:v>
      </x:c>
      <x:c r="D1047" t="str">
        <x:v>terrain load</x:v>
      </x:c>
      <x:c r="E1047" t="n">
        <x:f>IF('Terrain Field'!K356&lt;&gt;"",1,0)</x:f>
        <x:v>0</x:v>
      </x:c>
      <x:c r="F1047" t="n">
        <x:v>1</x:v>
      </x:c>
      <x:c r="G1047" t="str">
        <x:v>equals</x:v>
      </x:c>
      <x:c r="H1047" t="str">
        <x:v>independent physical acceptance</x:v>
      </x:c>
      <x:c r="I1047" t="str">
        <x:f>IF(E1047=1,"PASS","OPEN")</x:f>
        <x:v>OPEN</x:v>
      </x:c>
    </x:row>
    <x:row r="1048">
      <x:c r="B1048" t="str">
        <x:v>PH-TG-351-G</x:v>
      </x:c>
      <x:c r="C1048" t="str">
        <x:v>PHYSICAL</x:v>
      </x:c>
      <x:c r="D1048" t="str">
        <x:v>terrain geometry</x:v>
      </x:c>
      <x:c r="E1048" t="n">
        <x:f>IF('Terrain Field'!J357&lt;&gt;"",1,0)</x:f>
        <x:v>0</x:v>
      </x:c>
      <x:c r="F1048" t="n">
        <x:v>1</x:v>
      </x:c>
      <x:c r="G1048" t="str">
        <x:v>equals</x:v>
      </x:c>
      <x:c r="H1048" t="str">
        <x:v>independent physical acceptance</x:v>
      </x:c>
      <x:c r="I1048" t="str">
        <x:f>IF(E1048=1,"PASS","OPEN")</x:f>
        <x:v>OPEN</x:v>
      </x:c>
    </x:row>
    <x:row r="1049">
      <x:c r="B1049" t="str">
        <x:v>PH-TG-351-L</x:v>
      </x:c>
      <x:c r="C1049" t="str">
        <x:v>PHYSICAL</x:v>
      </x:c>
      <x:c r="D1049" t="str">
        <x:v>terrain load</x:v>
      </x:c>
      <x:c r="E1049" t="n">
        <x:f>IF('Terrain Field'!K357&lt;&gt;"",1,0)</x:f>
        <x:v>0</x:v>
      </x:c>
      <x:c r="F1049" t="n">
        <x:v>1</x:v>
      </x:c>
      <x:c r="G1049" t="str">
        <x:v>equals</x:v>
      </x:c>
      <x:c r="H1049" t="str">
        <x:v>independent physical acceptance</x:v>
      </x:c>
      <x:c r="I1049" t="str">
        <x:f>IF(E1049=1,"PASS","OPEN")</x:f>
        <x:v>OPEN</x:v>
      </x:c>
    </x:row>
    <x:row r="1050">
      <x:c r="B1050" t="str">
        <x:v>PH-TG-352-G</x:v>
      </x:c>
      <x:c r="C1050" t="str">
        <x:v>PHYSICAL</x:v>
      </x:c>
      <x:c r="D1050" t="str">
        <x:v>terrain geometry</x:v>
      </x:c>
      <x:c r="E1050" t="n">
        <x:f>IF('Terrain Field'!J358&lt;&gt;"",1,0)</x:f>
        <x:v>0</x:v>
      </x:c>
      <x:c r="F1050" t="n">
        <x:v>1</x:v>
      </x:c>
      <x:c r="G1050" t="str">
        <x:v>equals</x:v>
      </x:c>
      <x:c r="H1050" t="str">
        <x:v>independent physical acceptance</x:v>
      </x:c>
      <x:c r="I1050" t="str">
        <x:f>IF(E1050=1,"PASS","OPEN")</x:f>
        <x:v>OPEN</x:v>
      </x:c>
    </x:row>
    <x:row r="1051">
      <x:c r="B1051" t="str">
        <x:v>PH-TG-352-L</x:v>
      </x:c>
      <x:c r="C1051" t="str">
        <x:v>PHYSICAL</x:v>
      </x:c>
      <x:c r="D1051" t="str">
        <x:v>terrain load</x:v>
      </x:c>
      <x:c r="E1051" t="n">
        <x:f>IF('Terrain Field'!K358&lt;&gt;"",1,0)</x:f>
        <x:v>0</x:v>
      </x:c>
      <x:c r="F1051" t="n">
        <x:v>1</x:v>
      </x:c>
      <x:c r="G1051" t="str">
        <x:v>equals</x:v>
      </x:c>
      <x:c r="H1051" t="str">
        <x:v>independent physical acceptance</x:v>
      </x:c>
      <x:c r="I1051" t="str">
        <x:f>IF(E1051=1,"PASS","OPEN")</x:f>
        <x:v>OPEN</x:v>
      </x:c>
    </x:row>
    <x:row r="1052">
      <x:c r="B1052" t="str">
        <x:v>PH-TG-353-G</x:v>
      </x:c>
      <x:c r="C1052" t="str">
        <x:v>PHYSICAL</x:v>
      </x:c>
      <x:c r="D1052" t="str">
        <x:v>terrain geometry</x:v>
      </x:c>
      <x:c r="E1052" t="n">
        <x:f>IF('Terrain Field'!J359&lt;&gt;"",1,0)</x:f>
        <x:v>0</x:v>
      </x:c>
      <x:c r="F1052" t="n">
        <x:v>1</x:v>
      </x:c>
      <x:c r="G1052" t="str">
        <x:v>equals</x:v>
      </x:c>
      <x:c r="H1052" t="str">
        <x:v>independent physical acceptance</x:v>
      </x:c>
      <x:c r="I1052" t="str">
        <x:f>IF(E1052=1,"PASS","OPEN")</x:f>
        <x:v>OPEN</x:v>
      </x:c>
    </x:row>
    <x:row r="1053">
      <x:c r="B1053" t="str">
        <x:v>PH-TG-353-L</x:v>
      </x:c>
      <x:c r="C1053" t="str">
        <x:v>PHYSICAL</x:v>
      </x:c>
      <x:c r="D1053" t="str">
        <x:v>terrain load</x:v>
      </x:c>
      <x:c r="E1053" t="n">
        <x:f>IF('Terrain Field'!K359&lt;&gt;"",1,0)</x:f>
        <x:v>0</x:v>
      </x:c>
      <x:c r="F1053" t="n">
        <x:v>1</x:v>
      </x:c>
      <x:c r="G1053" t="str">
        <x:v>equals</x:v>
      </x:c>
      <x:c r="H1053" t="str">
        <x:v>independent physical acceptance</x:v>
      </x:c>
      <x:c r="I1053" t="str">
        <x:f>IF(E1053=1,"PASS","OPEN")</x:f>
        <x:v>OPEN</x:v>
      </x:c>
    </x:row>
    <x:row r="1054">
      <x:c r="B1054" t="str">
        <x:v>PH-TG-354-G</x:v>
      </x:c>
      <x:c r="C1054" t="str">
        <x:v>PHYSICAL</x:v>
      </x:c>
      <x:c r="D1054" t="str">
        <x:v>terrain geometry</x:v>
      </x:c>
      <x:c r="E1054" t="n">
        <x:f>IF('Terrain Field'!J360&lt;&gt;"",1,0)</x:f>
        <x:v>0</x:v>
      </x:c>
      <x:c r="F1054" t="n">
        <x:v>1</x:v>
      </x:c>
      <x:c r="G1054" t="str">
        <x:v>equals</x:v>
      </x:c>
      <x:c r="H1054" t="str">
        <x:v>independent physical acceptance</x:v>
      </x:c>
      <x:c r="I1054" t="str">
        <x:f>IF(E1054=1,"PASS","OPEN")</x:f>
        <x:v>OPEN</x:v>
      </x:c>
    </x:row>
    <x:row r="1055">
      <x:c r="B1055" t="str">
        <x:v>PH-TG-354-L</x:v>
      </x:c>
      <x:c r="C1055" t="str">
        <x:v>PHYSICAL</x:v>
      </x:c>
      <x:c r="D1055" t="str">
        <x:v>terrain load</x:v>
      </x:c>
      <x:c r="E1055" t="n">
        <x:f>IF('Terrain Field'!K360&lt;&gt;"",1,0)</x:f>
        <x:v>0</x:v>
      </x:c>
      <x:c r="F1055" t="n">
        <x:v>1</x:v>
      </x:c>
      <x:c r="G1055" t="str">
        <x:v>equals</x:v>
      </x:c>
      <x:c r="H1055" t="str">
        <x:v>independent physical acceptance</x:v>
      </x:c>
      <x:c r="I1055" t="str">
        <x:f>IF(E1055=1,"PASS","OPEN")</x:f>
        <x:v>OPEN</x:v>
      </x:c>
    </x:row>
    <x:row r="1056">
      <x:c r="B1056" t="str">
        <x:v>PH-TG-355-G</x:v>
      </x:c>
      <x:c r="C1056" t="str">
        <x:v>PHYSICAL</x:v>
      </x:c>
      <x:c r="D1056" t="str">
        <x:v>terrain geometry</x:v>
      </x:c>
      <x:c r="E1056" t="n">
        <x:f>IF('Terrain Field'!J361&lt;&gt;"",1,0)</x:f>
        <x:v>0</x:v>
      </x:c>
      <x:c r="F1056" t="n">
        <x:v>1</x:v>
      </x:c>
      <x:c r="G1056" t="str">
        <x:v>equals</x:v>
      </x:c>
      <x:c r="H1056" t="str">
        <x:v>independent physical acceptance</x:v>
      </x:c>
      <x:c r="I1056" t="str">
        <x:f>IF(E1056=1,"PASS","OPEN")</x:f>
        <x:v>OPEN</x:v>
      </x:c>
    </x:row>
    <x:row r="1057">
      <x:c r="B1057" t="str">
        <x:v>PH-TG-355-L</x:v>
      </x:c>
      <x:c r="C1057" t="str">
        <x:v>PHYSICAL</x:v>
      </x:c>
      <x:c r="D1057" t="str">
        <x:v>terrain load</x:v>
      </x:c>
      <x:c r="E1057" t="n">
        <x:f>IF('Terrain Field'!K361&lt;&gt;"",1,0)</x:f>
        <x:v>0</x:v>
      </x:c>
      <x:c r="F1057" t="n">
        <x:v>1</x:v>
      </x:c>
      <x:c r="G1057" t="str">
        <x:v>equals</x:v>
      </x:c>
      <x:c r="H1057" t="str">
        <x:v>independent physical acceptance</x:v>
      </x:c>
      <x:c r="I1057" t="str">
        <x:f>IF(E1057=1,"PASS","OPEN")</x:f>
        <x:v>OPEN</x:v>
      </x:c>
    </x:row>
    <x:row r="1058">
      <x:c r="B1058" t="str">
        <x:v>PH-TG-356-G</x:v>
      </x:c>
      <x:c r="C1058" t="str">
        <x:v>PHYSICAL</x:v>
      </x:c>
      <x:c r="D1058" t="str">
        <x:v>terrain geometry</x:v>
      </x:c>
      <x:c r="E1058" t="n">
        <x:f>IF('Terrain Field'!J362&lt;&gt;"",1,0)</x:f>
        <x:v>0</x:v>
      </x:c>
      <x:c r="F1058" t="n">
        <x:v>1</x:v>
      </x:c>
      <x:c r="G1058" t="str">
        <x:v>equals</x:v>
      </x:c>
      <x:c r="H1058" t="str">
        <x:v>independent physical acceptance</x:v>
      </x:c>
      <x:c r="I1058" t="str">
        <x:f>IF(E1058=1,"PASS","OPEN")</x:f>
        <x:v>OPEN</x:v>
      </x:c>
    </x:row>
    <x:row r="1059">
      <x:c r="B1059" t="str">
        <x:v>PH-TG-356-L</x:v>
      </x:c>
      <x:c r="C1059" t="str">
        <x:v>PHYSICAL</x:v>
      </x:c>
      <x:c r="D1059" t="str">
        <x:v>terrain load</x:v>
      </x:c>
      <x:c r="E1059" t="n">
        <x:f>IF('Terrain Field'!K362&lt;&gt;"",1,0)</x:f>
        <x:v>0</x:v>
      </x:c>
      <x:c r="F1059" t="n">
        <x:v>1</x:v>
      </x:c>
      <x:c r="G1059" t="str">
        <x:v>equals</x:v>
      </x:c>
      <x:c r="H1059" t="str">
        <x:v>independent physical acceptance</x:v>
      </x:c>
      <x:c r="I1059" t="str">
        <x:f>IF(E1059=1,"PASS","OPEN")</x:f>
        <x:v>OPEN</x:v>
      </x:c>
    </x:row>
    <x:row r="1060">
      <x:c r="B1060" t="str">
        <x:v>PH-TG-357-G</x:v>
      </x:c>
      <x:c r="C1060" t="str">
        <x:v>PHYSICAL</x:v>
      </x:c>
      <x:c r="D1060" t="str">
        <x:v>terrain geometry</x:v>
      </x:c>
      <x:c r="E1060" t="n">
        <x:f>IF('Terrain Field'!J363&lt;&gt;"",1,0)</x:f>
        <x:v>0</x:v>
      </x:c>
      <x:c r="F1060" t="n">
        <x:v>1</x:v>
      </x:c>
      <x:c r="G1060" t="str">
        <x:v>equals</x:v>
      </x:c>
      <x:c r="H1060" t="str">
        <x:v>independent physical acceptance</x:v>
      </x:c>
      <x:c r="I1060" t="str">
        <x:f>IF(E1060=1,"PASS","OPEN")</x:f>
        <x:v>OPEN</x:v>
      </x:c>
    </x:row>
    <x:row r="1061">
      <x:c r="B1061" t="str">
        <x:v>PH-TG-357-L</x:v>
      </x:c>
      <x:c r="C1061" t="str">
        <x:v>PHYSICAL</x:v>
      </x:c>
      <x:c r="D1061" t="str">
        <x:v>terrain load</x:v>
      </x:c>
      <x:c r="E1061" t="n">
        <x:f>IF('Terrain Field'!K363&lt;&gt;"",1,0)</x:f>
        <x:v>0</x:v>
      </x:c>
      <x:c r="F1061" t="n">
        <x:v>1</x:v>
      </x:c>
      <x:c r="G1061" t="str">
        <x:v>equals</x:v>
      </x:c>
      <x:c r="H1061" t="str">
        <x:v>independent physical acceptance</x:v>
      </x:c>
      <x:c r="I1061" t="str">
        <x:f>IF(E1061=1,"PASS","OPEN")</x:f>
        <x:v>OPEN</x:v>
      </x:c>
    </x:row>
    <x:row r="1062">
      <x:c r="B1062" t="str">
        <x:v>PH-TG-358-G</x:v>
      </x:c>
      <x:c r="C1062" t="str">
        <x:v>PHYSICAL</x:v>
      </x:c>
      <x:c r="D1062" t="str">
        <x:v>terrain geometry</x:v>
      </x:c>
      <x:c r="E1062" t="n">
        <x:f>IF('Terrain Field'!J364&lt;&gt;"",1,0)</x:f>
        <x:v>0</x:v>
      </x:c>
      <x:c r="F1062" t="n">
        <x:v>1</x:v>
      </x:c>
      <x:c r="G1062" t="str">
        <x:v>equals</x:v>
      </x:c>
      <x:c r="H1062" t="str">
        <x:v>independent physical acceptance</x:v>
      </x:c>
      <x:c r="I1062" t="str">
        <x:f>IF(E1062=1,"PASS","OPEN")</x:f>
        <x:v>OPEN</x:v>
      </x:c>
    </x:row>
    <x:row r="1063">
      <x:c r="B1063" t="str">
        <x:v>PH-TG-358-L</x:v>
      </x:c>
      <x:c r="C1063" t="str">
        <x:v>PHYSICAL</x:v>
      </x:c>
      <x:c r="D1063" t="str">
        <x:v>terrain load</x:v>
      </x:c>
      <x:c r="E1063" t="n">
        <x:f>IF('Terrain Field'!K364&lt;&gt;"",1,0)</x:f>
        <x:v>0</x:v>
      </x:c>
      <x:c r="F1063" t="n">
        <x:v>1</x:v>
      </x:c>
      <x:c r="G1063" t="str">
        <x:v>equals</x:v>
      </x:c>
      <x:c r="H1063" t="str">
        <x:v>independent physical acceptance</x:v>
      </x:c>
      <x:c r="I1063" t="str">
        <x:f>IF(E1063=1,"PASS","OPEN")</x:f>
        <x:v>OPEN</x:v>
      </x:c>
    </x:row>
    <x:row r="1064">
      <x:c r="B1064" t="str">
        <x:v>PH-TG-359-G</x:v>
      </x:c>
      <x:c r="C1064" t="str">
        <x:v>PHYSICAL</x:v>
      </x:c>
      <x:c r="D1064" t="str">
        <x:v>terrain geometry</x:v>
      </x:c>
      <x:c r="E1064" t="n">
        <x:f>IF('Terrain Field'!J365&lt;&gt;"",1,0)</x:f>
        <x:v>0</x:v>
      </x:c>
      <x:c r="F1064" t="n">
        <x:v>1</x:v>
      </x:c>
      <x:c r="G1064" t="str">
        <x:v>equals</x:v>
      </x:c>
      <x:c r="H1064" t="str">
        <x:v>independent physical acceptance</x:v>
      </x:c>
      <x:c r="I1064" t="str">
        <x:f>IF(E1064=1,"PASS","OPEN")</x:f>
        <x:v>OPEN</x:v>
      </x:c>
    </x:row>
    <x:row r="1065">
      <x:c r="B1065" t="str">
        <x:v>PH-TG-359-L</x:v>
      </x:c>
      <x:c r="C1065" t="str">
        <x:v>PHYSICAL</x:v>
      </x:c>
      <x:c r="D1065" t="str">
        <x:v>terrain load</x:v>
      </x:c>
      <x:c r="E1065" t="n">
        <x:f>IF('Terrain Field'!K365&lt;&gt;"",1,0)</x:f>
        <x:v>0</x:v>
      </x:c>
      <x:c r="F1065" t="n">
        <x:v>1</x:v>
      </x:c>
      <x:c r="G1065" t="str">
        <x:v>equals</x:v>
      </x:c>
      <x:c r="H1065" t="str">
        <x:v>independent physical acceptance</x:v>
      </x:c>
      <x:c r="I1065" t="str">
        <x:f>IF(E1065=1,"PASS","OPEN")</x:f>
        <x:v>OPEN</x:v>
      </x:c>
    </x:row>
    <x:row r="1066">
      <x:c r="B1066" t="str">
        <x:v>PH-TG-360-G</x:v>
      </x:c>
      <x:c r="C1066" t="str">
        <x:v>PHYSICAL</x:v>
      </x:c>
      <x:c r="D1066" t="str">
        <x:v>terrain geometry</x:v>
      </x:c>
      <x:c r="E1066" t="n">
        <x:f>IF('Terrain Field'!J366&lt;&gt;"",1,0)</x:f>
        <x:v>0</x:v>
      </x:c>
      <x:c r="F1066" t="n">
        <x:v>1</x:v>
      </x:c>
      <x:c r="G1066" t="str">
        <x:v>equals</x:v>
      </x:c>
      <x:c r="H1066" t="str">
        <x:v>independent physical acceptance</x:v>
      </x:c>
      <x:c r="I1066" t="str">
        <x:f>IF(E1066=1,"PASS","OPEN")</x:f>
        <x:v>OPEN</x:v>
      </x:c>
    </x:row>
    <x:row r="1067">
      <x:c r="B1067" t="str">
        <x:v>PH-TG-360-L</x:v>
      </x:c>
      <x:c r="C1067" t="str">
        <x:v>PHYSICAL</x:v>
      </x:c>
      <x:c r="D1067" t="str">
        <x:v>terrain load</x:v>
      </x:c>
      <x:c r="E1067" t="n">
        <x:f>IF('Terrain Field'!K366&lt;&gt;"",1,0)</x:f>
        <x:v>0</x:v>
      </x:c>
      <x:c r="F1067" t="n">
        <x:v>1</x:v>
      </x:c>
      <x:c r="G1067" t="str">
        <x:v>equals</x:v>
      </x:c>
      <x:c r="H1067" t="str">
        <x:v>independent physical acceptance</x:v>
      </x:c>
      <x:c r="I1067" t="str">
        <x:f>IF(E1067=1,"PASS","OPEN")</x:f>
        <x:v>OPEN</x:v>
      </x:c>
    </x:row>
    <x:row r="1068">
      <x:c r="B1068" t="str">
        <x:v>PH-TG-361-G</x:v>
      </x:c>
      <x:c r="C1068" t="str">
        <x:v>PHYSICAL</x:v>
      </x:c>
      <x:c r="D1068" t="str">
        <x:v>terrain geometry</x:v>
      </x:c>
      <x:c r="E1068" t="n">
        <x:f>IF('Terrain Field'!J367&lt;&gt;"",1,0)</x:f>
        <x:v>0</x:v>
      </x:c>
      <x:c r="F1068" t="n">
        <x:v>1</x:v>
      </x:c>
      <x:c r="G1068" t="str">
        <x:v>equals</x:v>
      </x:c>
      <x:c r="H1068" t="str">
        <x:v>independent physical acceptance</x:v>
      </x:c>
      <x:c r="I1068" t="str">
        <x:f>IF(E1068=1,"PASS","OPEN")</x:f>
        <x:v>OPEN</x:v>
      </x:c>
    </x:row>
    <x:row r="1069">
      <x:c r="B1069" t="str">
        <x:v>PH-TG-361-L</x:v>
      </x:c>
      <x:c r="C1069" t="str">
        <x:v>PHYSICAL</x:v>
      </x:c>
      <x:c r="D1069" t="str">
        <x:v>terrain load</x:v>
      </x:c>
      <x:c r="E1069" t="n">
        <x:f>IF('Terrain Field'!K367&lt;&gt;"",1,0)</x:f>
        <x:v>0</x:v>
      </x:c>
      <x:c r="F1069" t="n">
        <x:v>1</x:v>
      </x:c>
      <x:c r="G1069" t="str">
        <x:v>equals</x:v>
      </x:c>
      <x:c r="H1069" t="str">
        <x:v>independent physical acceptance</x:v>
      </x:c>
      <x:c r="I1069" t="str">
        <x:f>IF(E1069=1,"PASS","OPEN")</x:f>
        <x:v>OPEN</x:v>
      </x:c>
    </x:row>
    <x:row r="1070">
      <x:c r="B1070" t="str">
        <x:v>PH-TG-362-G</x:v>
      </x:c>
      <x:c r="C1070" t="str">
        <x:v>PHYSICAL</x:v>
      </x:c>
      <x:c r="D1070" t="str">
        <x:v>terrain geometry</x:v>
      </x:c>
      <x:c r="E1070" t="n">
        <x:f>IF('Terrain Field'!J368&lt;&gt;"",1,0)</x:f>
        <x:v>0</x:v>
      </x:c>
      <x:c r="F1070" t="n">
        <x:v>1</x:v>
      </x:c>
      <x:c r="G1070" t="str">
        <x:v>equals</x:v>
      </x:c>
      <x:c r="H1070" t="str">
        <x:v>independent physical acceptance</x:v>
      </x:c>
      <x:c r="I1070" t="str">
        <x:f>IF(E1070=1,"PASS","OPEN")</x:f>
        <x:v>OPEN</x:v>
      </x:c>
    </x:row>
    <x:row r="1071">
      <x:c r="B1071" t="str">
        <x:v>PH-TG-362-L</x:v>
      </x:c>
      <x:c r="C1071" t="str">
        <x:v>PHYSICAL</x:v>
      </x:c>
      <x:c r="D1071" t="str">
        <x:v>terrain load</x:v>
      </x:c>
      <x:c r="E1071" t="n">
        <x:f>IF('Terrain Field'!K368&lt;&gt;"",1,0)</x:f>
        <x:v>0</x:v>
      </x:c>
      <x:c r="F1071" t="n">
        <x:v>1</x:v>
      </x:c>
      <x:c r="G1071" t="str">
        <x:v>equals</x:v>
      </x:c>
      <x:c r="H1071" t="str">
        <x:v>independent physical acceptance</x:v>
      </x:c>
      <x:c r="I1071" t="str">
        <x:f>IF(E1071=1,"PASS","OPEN")</x:f>
        <x:v>OPEN</x:v>
      </x:c>
    </x:row>
    <x:row r="1072">
      <x:c r="B1072" t="str">
        <x:v>PH-TG-363-G</x:v>
      </x:c>
      <x:c r="C1072" t="str">
        <x:v>PHYSICAL</x:v>
      </x:c>
      <x:c r="D1072" t="str">
        <x:v>terrain geometry</x:v>
      </x:c>
      <x:c r="E1072" t="n">
        <x:f>IF('Terrain Field'!J369&lt;&gt;"",1,0)</x:f>
        <x:v>0</x:v>
      </x:c>
      <x:c r="F1072" t="n">
        <x:v>1</x:v>
      </x:c>
      <x:c r="G1072" t="str">
        <x:v>equals</x:v>
      </x:c>
      <x:c r="H1072" t="str">
        <x:v>independent physical acceptance</x:v>
      </x:c>
      <x:c r="I1072" t="str">
        <x:f>IF(E1072=1,"PASS","OPEN")</x:f>
        <x:v>OPEN</x:v>
      </x:c>
    </x:row>
    <x:row r="1073">
      <x:c r="B1073" t="str">
        <x:v>PH-TG-363-L</x:v>
      </x:c>
      <x:c r="C1073" t="str">
        <x:v>PHYSICAL</x:v>
      </x:c>
      <x:c r="D1073" t="str">
        <x:v>terrain load</x:v>
      </x:c>
      <x:c r="E1073" t="n">
        <x:f>IF('Terrain Field'!K369&lt;&gt;"",1,0)</x:f>
        <x:v>0</x:v>
      </x:c>
      <x:c r="F1073" t="n">
        <x:v>1</x:v>
      </x:c>
      <x:c r="G1073" t="str">
        <x:v>equals</x:v>
      </x:c>
      <x:c r="H1073" t="str">
        <x:v>independent physical acceptance</x:v>
      </x:c>
      <x:c r="I1073" t="str">
        <x:f>IF(E1073=1,"PASS","OPEN")</x:f>
        <x:v>OPEN</x:v>
      </x:c>
    </x:row>
    <x:row r="1074">
      <x:c r="B1074" t="str">
        <x:v>PH-TG-364-G</x:v>
      </x:c>
      <x:c r="C1074" t="str">
        <x:v>PHYSICAL</x:v>
      </x:c>
      <x:c r="D1074" t="str">
        <x:v>terrain geometry</x:v>
      </x:c>
      <x:c r="E1074" t="n">
        <x:f>IF('Terrain Field'!J370&lt;&gt;"",1,0)</x:f>
        <x:v>0</x:v>
      </x:c>
      <x:c r="F1074" t="n">
        <x:v>1</x:v>
      </x:c>
      <x:c r="G1074" t="str">
        <x:v>equals</x:v>
      </x:c>
      <x:c r="H1074" t="str">
        <x:v>independent physical acceptance</x:v>
      </x:c>
      <x:c r="I1074" t="str">
        <x:f>IF(E1074=1,"PASS","OPEN")</x:f>
        <x:v>OPEN</x:v>
      </x:c>
    </x:row>
    <x:row r="1075">
      <x:c r="B1075" t="str">
        <x:v>PH-TG-364-L</x:v>
      </x:c>
      <x:c r="C1075" t="str">
        <x:v>PHYSICAL</x:v>
      </x:c>
      <x:c r="D1075" t="str">
        <x:v>terrain load</x:v>
      </x:c>
      <x:c r="E1075" t="n">
        <x:f>IF('Terrain Field'!K370&lt;&gt;"",1,0)</x:f>
        <x:v>0</x:v>
      </x:c>
      <x:c r="F1075" t="n">
        <x:v>1</x:v>
      </x:c>
      <x:c r="G1075" t="str">
        <x:v>equals</x:v>
      </x:c>
      <x:c r="H1075" t="str">
        <x:v>independent physical acceptance</x:v>
      </x:c>
      <x:c r="I1075" t="str">
        <x:f>IF(E1075=1,"PASS","OPEN")</x:f>
        <x:v>OPEN</x:v>
      </x:c>
    </x:row>
    <x:row r="1076">
      <x:c r="B1076" t="str">
        <x:v>PH-TG-365-G</x:v>
      </x:c>
      <x:c r="C1076" t="str">
        <x:v>PHYSICAL</x:v>
      </x:c>
      <x:c r="D1076" t="str">
        <x:v>terrain geometry</x:v>
      </x:c>
      <x:c r="E1076" t="n">
        <x:f>IF('Terrain Field'!J371&lt;&gt;"",1,0)</x:f>
        <x:v>0</x:v>
      </x:c>
      <x:c r="F1076" t="n">
        <x:v>1</x:v>
      </x:c>
      <x:c r="G1076" t="str">
        <x:v>equals</x:v>
      </x:c>
      <x:c r="H1076" t="str">
        <x:v>independent physical acceptance</x:v>
      </x:c>
      <x:c r="I1076" t="str">
        <x:f>IF(E1076=1,"PASS","OPEN")</x:f>
        <x:v>OPEN</x:v>
      </x:c>
    </x:row>
    <x:row r="1077">
      <x:c r="B1077" t="str">
        <x:v>PH-TG-365-L</x:v>
      </x:c>
      <x:c r="C1077" t="str">
        <x:v>PHYSICAL</x:v>
      </x:c>
      <x:c r="D1077" t="str">
        <x:v>terrain load</x:v>
      </x:c>
      <x:c r="E1077" t="n">
        <x:f>IF('Terrain Field'!K371&lt;&gt;"",1,0)</x:f>
        <x:v>0</x:v>
      </x:c>
      <x:c r="F1077" t="n">
        <x:v>1</x:v>
      </x:c>
      <x:c r="G1077" t="str">
        <x:v>equals</x:v>
      </x:c>
      <x:c r="H1077" t="str">
        <x:v>independent physical acceptance</x:v>
      </x:c>
      <x:c r="I1077" t="str">
        <x:f>IF(E1077=1,"PASS","OPEN")</x:f>
        <x:v>OPEN</x:v>
      </x:c>
    </x:row>
    <x:row r="1078">
      <x:c r="B1078" t="str">
        <x:v>PH-TG-366-G</x:v>
      </x:c>
      <x:c r="C1078" t="str">
        <x:v>PHYSICAL</x:v>
      </x:c>
      <x:c r="D1078" t="str">
        <x:v>terrain geometry</x:v>
      </x:c>
      <x:c r="E1078" t="n">
        <x:f>IF('Terrain Field'!J372&lt;&gt;"",1,0)</x:f>
        <x:v>0</x:v>
      </x:c>
      <x:c r="F1078" t="n">
        <x:v>1</x:v>
      </x:c>
      <x:c r="G1078" t="str">
        <x:v>equals</x:v>
      </x:c>
      <x:c r="H1078" t="str">
        <x:v>independent physical acceptance</x:v>
      </x:c>
      <x:c r="I1078" t="str">
        <x:f>IF(E1078=1,"PASS","OPEN")</x:f>
        <x:v>OPEN</x:v>
      </x:c>
    </x:row>
    <x:row r="1079">
      <x:c r="B1079" t="str">
        <x:v>PH-TG-366-L</x:v>
      </x:c>
      <x:c r="C1079" t="str">
        <x:v>PHYSICAL</x:v>
      </x:c>
      <x:c r="D1079" t="str">
        <x:v>terrain load</x:v>
      </x:c>
      <x:c r="E1079" t="n">
        <x:f>IF('Terrain Field'!K372&lt;&gt;"",1,0)</x:f>
        <x:v>0</x:v>
      </x:c>
      <x:c r="F1079" t="n">
        <x:v>1</x:v>
      </x:c>
      <x:c r="G1079" t="str">
        <x:v>equals</x:v>
      </x:c>
      <x:c r="H1079" t="str">
        <x:v>independent physical acceptance</x:v>
      </x:c>
      <x:c r="I1079" t="str">
        <x:f>IF(E1079=1,"PASS","OPEN")</x:f>
        <x:v>OPEN</x:v>
      </x:c>
    </x:row>
    <x:row r="1080">
      <x:c r="B1080" t="str">
        <x:v>PH-TG-367-G</x:v>
      </x:c>
      <x:c r="C1080" t="str">
        <x:v>PHYSICAL</x:v>
      </x:c>
      <x:c r="D1080" t="str">
        <x:v>terrain geometry</x:v>
      </x:c>
      <x:c r="E1080" t="n">
        <x:f>IF('Terrain Field'!J373&lt;&gt;"",1,0)</x:f>
        <x:v>0</x:v>
      </x:c>
      <x:c r="F1080" t="n">
        <x:v>1</x:v>
      </x:c>
      <x:c r="G1080" t="str">
        <x:v>equals</x:v>
      </x:c>
      <x:c r="H1080" t="str">
        <x:v>independent physical acceptance</x:v>
      </x:c>
      <x:c r="I1080" t="str">
        <x:f>IF(E1080=1,"PASS","OPEN")</x:f>
        <x:v>OPEN</x:v>
      </x:c>
    </x:row>
    <x:row r="1081">
      <x:c r="B1081" t="str">
        <x:v>PH-TG-367-L</x:v>
      </x:c>
      <x:c r="C1081" t="str">
        <x:v>PHYSICAL</x:v>
      </x:c>
      <x:c r="D1081" t="str">
        <x:v>terrain load</x:v>
      </x:c>
      <x:c r="E1081" t="n">
        <x:f>IF('Terrain Field'!K373&lt;&gt;"",1,0)</x:f>
        <x:v>0</x:v>
      </x:c>
      <x:c r="F1081" t="n">
        <x:v>1</x:v>
      </x:c>
      <x:c r="G1081" t="str">
        <x:v>equals</x:v>
      </x:c>
      <x:c r="H1081" t="str">
        <x:v>independent physical acceptance</x:v>
      </x:c>
      <x:c r="I1081" t="str">
        <x:f>IF(E1081=1,"PASS","OPEN")</x:f>
        <x:v>OPEN</x:v>
      </x:c>
    </x:row>
    <x:row r="1082">
      <x:c r="B1082" t="str">
        <x:v>PH-TG-368-G</x:v>
      </x:c>
      <x:c r="C1082" t="str">
        <x:v>PHYSICAL</x:v>
      </x:c>
      <x:c r="D1082" t="str">
        <x:v>terrain geometry</x:v>
      </x:c>
      <x:c r="E1082" t="n">
        <x:f>IF('Terrain Field'!J374&lt;&gt;"",1,0)</x:f>
        <x:v>0</x:v>
      </x:c>
      <x:c r="F1082" t="n">
        <x:v>1</x:v>
      </x:c>
      <x:c r="G1082" t="str">
        <x:v>equals</x:v>
      </x:c>
      <x:c r="H1082" t="str">
        <x:v>independent physical acceptance</x:v>
      </x:c>
      <x:c r="I1082" t="str">
        <x:f>IF(E1082=1,"PASS","OPEN")</x:f>
        <x:v>OPEN</x:v>
      </x:c>
    </x:row>
    <x:row r="1083">
      <x:c r="B1083" t="str">
        <x:v>PH-TG-368-L</x:v>
      </x:c>
      <x:c r="C1083" t="str">
        <x:v>PHYSICAL</x:v>
      </x:c>
      <x:c r="D1083" t="str">
        <x:v>terrain load</x:v>
      </x:c>
      <x:c r="E1083" t="n">
        <x:f>IF('Terrain Field'!K374&lt;&gt;"",1,0)</x:f>
        <x:v>0</x:v>
      </x:c>
      <x:c r="F1083" t="n">
        <x:v>1</x:v>
      </x:c>
      <x:c r="G1083" t="str">
        <x:v>equals</x:v>
      </x:c>
      <x:c r="H1083" t="str">
        <x:v>independent physical acceptance</x:v>
      </x:c>
      <x:c r="I1083" t="str">
        <x:f>IF(E1083=1,"PASS","OPEN")</x:f>
        <x:v>OPEN</x:v>
      </x:c>
    </x:row>
    <x:row r="1084">
      <x:c r="B1084" t="str">
        <x:v>PH-TG-369-G</x:v>
      </x:c>
      <x:c r="C1084" t="str">
        <x:v>PHYSICAL</x:v>
      </x:c>
      <x:c r="D1084" t="str">
        <x:v>terrain geometry</x:v>
      </x:c>
      <x:c r="E1084" t="n">
        <x:f>IF('Terrain Field'!J375&lt;&gt;"",1,0)</x:f>
        <x:v>0</x:v>
      </x:c>
      <x:c r="F1084" t="n">
        <x:v>1</x:v>
      </x:c>
      <x:c r="G1084" t="str">
        <x:v>equals</x:v>
      </x:c>
      <x:c r="H1084" t="str">
        <x:v>independent physical acceptance</x:v>
      </x:c>
      <x:c r="I1084" t="str">
        <x:f>IF(E1084=1,"PASS","OPEN")</x:f>
        <x:v>OPEN</x:v>
      </x:c>
    </x:row>
    <x:row r="1085">
      <x:c r="B1085" t="str">
        <x:v>PH-TG-369-L</x:v>
      </x:c>
      <x:c r="C1085" t="str">
        <x:v>PHYSICAL</x:v>
      </x:c>
      <x:c r="D1085" t="str">
        <x:v>terrain load</x:v>
      </x:c>
      <x:c r="E1085" t="n">
        <x:f>IF('Terrain Field'!K375&lt;&gt;"",1,0)</x:f>
        <x:v>0</x:v>
      </x:c>
      <x:c r="F1085" t="n">
        <x:v>1</x:v>
      </x:c>
      <x:c r="G1085" t="str">
        <x:v>equals</x:v>
      </x:c>
      <x:c r="H1085" t="str">
        <x:v>independent physical acceptance</x:v>
      </x:c>
      <x:c r="I1085" t="str">
        <x:f>IF(E1085=1,"PASS","OPEN")</x:f>
        <x:v>OPEN</x:v>
      </x:c>
    </x:row>
    <x:row r="1086">
      <x:c r="B1086" t="str">
        <x:v>PH-TG-370-G</x:v>
      </x:c>
      <x:c r="C1086" t="str">
        <x:v>PHYSICAL</x:v>
      </x:c>
      <x:c r="D1086" t="str">
        <x:v>terrain geometry</x:v>
      </x:c>
      <x:c r="E1086" t="n">
        <x:f>IF('Terrain Field'!J376&lt;&gt;"",1,0)</x:f>
        <x:v>0</x:v>
      </x:c>
      <x:c r="F1086" t="n">
        <x:v>1</x:v>
      </x:c>
      <x:c r="G1086" t="str">
        <x:v>equals</x:v>
      </x:c>
      <x:c r="H1086" t="str">
        <x:v>independent physical acceptance</x:v>
      </x:c>
      <x:c r="I1086" t="str">
        <x:f>IF(E1086=1,"PASS","OPEN")</x:f>
        <x:v>OPEN</x:v>
      </x:c>
    </x:row>
    <x:row r="1087">
      <x:c r="B1087" t="str">
        <x:v>PH-TG-370-L</x:v>
      </x:c>
      <x:c r="C1087" t="str">
        <x:v>PHYSICAL</x:v>
      </x:c>
      <x:c r="D1087" t="str">
        <x:v>terrain load</x:v>
      </x:c>
      <x:c r="E1087" t="n">
        <x:f>IF('Terrain Field'!K376&lt;&gt;"",1,0)</x:f>
        <x:v>0</x:v>
      </x:c>
      <x:c r="F1087" t="n">
        <x:v>1</x:v>
      </x:c>
      <x:c r="G1087" t="str">
        <x:v>equals</x:v>
      </x:c>
      <x:c r="H1087" t="str">
        <x:v>independent physical acceptance</x:v>
      </x:c>
      <x:c r="I1087" t="str">
        <x:f>IF(E1087=1,"PASS","OPEN")</x:f>
        <x:v>OPEN</x:v>
      </x:c>
    </x:row>
    <x:row r="1088">
      <x:c r="B1088" t="str">
        <x:v>PH-TG-371-G</x:v>
      </x:c>
      <x:c r="C1088" t="str">
        <x:v>PHYSICAL</x:v>
      </x:c>
      <x:c r="D1088" t="str">
        <x:v>terrain geometry</x:v>
      </x:c>
      <x:c r="E1088" t="n">
        <x:f>IF('Terrain Field'!J377&lt;&gt;"",1,0)</x:f>
        <x:v>0</x:v>
      </x:c>
      <x:c r="F1088" t="n">
        <x:v>1</x:v>
      </x:c>
      <x:c r="G1088" t="str">
        <x:v>equals</x:v>
      </x:c>
      <x:c r="H1088" t="str">
        <x:v>independent physical acceptance</x:v>
      </x:c>
      <x:c r="I1088" t="str">
        <x:f>IF(E1088=1,"PASS","OPEN")</x:f>
        <x:v>OPEN</x:v>
      </x:c>
    </x:row>
    <x:row r="1089">
      <x:c r="B1089" t="str">
        <x:v>PH-TG-371-L</x:v>
      </x:c>
      <x:c r="C1089" t="str">
        <x:v>PHYSICAL</x:v>
      </x:c>
      <x:c r="D1089" t="str">
        <x:v>terrain load</x:v>
      </x:c>
      <x:c r="E1089" t="n">
        <x:f>IF('Terrain Field'!K377&lt;&gt;"",1,0)</x:f>
        <x:v>0</x:v>
      </x:c>
      <x:c r="F1089" t="n">
        <x:v>1</x:v>
      </x:c>
      <x:c r="G1089" t="str">
        <x:v>equals</x:v>
      </x:c>
      <x:c r="H1089" t="str">
        <x:v>independent physical acceptance</x:v>
      </x:c>
      <x:c r="I1089" t="str">
        <x:f>IF(E1089=1,"PASS","OPEN")</x:f>
        <x:v>OPEN</x:v>
      </x:c>
    </x:row>
    <x:row r="1090">
      <x:c r="B1090" t="str">
        <x:v>PH-TG-372-G</x:v>
      </x:c>
      <x:c r="C1090" t="str">
        <x:v>PHYSICAL</x:v>
      </x:c>
      <x:c r="D1090" t="str">
        <x:v>terrain geometry</x:v>
      </x:c>
      <x:c r="E1090" t="n">
        <x:f>IF('Terrain Field'!J378&lt;&gt;"",1,0)</x:f>
        <x:v>0</x:v>
      </x:c>
      <x:c r="F1090" t="n">
        <x:v>1</x:v>
      </x:c>
      <x:c r="G1090" t="str">
        <x:v>equals</x:v>
      </x:c>
      <x:c r="H1090" t="str">
        <x:v>independent physical acceptance</x:v>
      </x:c>
      <x:c r="I1090" t="str">
        <x:f>IF(E1090=1,"PASS","OPEN")</x:f>
        <x:v>OPEN</x:v>
      </x:c>
    </x:row>
    <x:row r="1091">
      <x:c r="B1091" t="str">
        <x:v>PH-TG-372-L</x:v>
      </x:c>
      <x:c r="C1091" t="str">
        <x:v>PHYSICAL</x:v>
      </x:c>
      <x:c r="D1091" t="str">
        <x:v>terrain load</x:v>
      </x:c>
      <x:c r="E1091" t="n">
        <x:f>IF('Terrain Field'!K378&lt;&gt;"",1,0)</x:f>
        <x:v>0</x:v>
      </x:c>
      <x:c r="F1091" t="n">
        <x:v>1</x:v>
      </x:c>
      <x:c r="G1091" t="str">
        <x:v>equals</x:v>
      </x:c>
      <x:c r="H1091" t="str">
        <x:v>independent physical acceptance</x:v>
      </x:c>
      <x:c r="I1091" t="str">
        <x:f>IF(E1091=1,"PASS","OPEN")</x:f>
        <x:v>OPEN</x:v>
      </x:c>
    </x:row>
    <x:row r="1092">
      <x:c r="B1092" t="str">
        <x:v>PH-TG-373-G</x:v>
      </x:c>
      <x:c r="C1092" t="str">
        <x:v>PHYSICAL</x:v>
      </x:c>
      <x:c r="D1092" t="str">
        <x:v>terrain geometry</x:v>
      </x:c>
      <x:c r="E1092" t="n">
        <x:f>IF('Terrain Field'!J379&lt;&gt;"",1,0)</x:f>
        <x:v>0</x:v>
      </x:c>
      <x:c r="F1092" t="n">
        <x:v>1</x:v>
      </x:c>
      <x:c r="G1092" t="str">
        <x:v>equals</x:v>
      </x:c>
      <x:c r="H1092" t="str">
        <x:v>independent physical acceptance</x:v>
      </x:c>
      <x:c r="I1092" t="str">
        <x:f>IF(E1092=1,"PASS","OPEN")</x:f>
        <x:v>OPEN</x:v>
      </x:c>
    </x:row>
    <x:row r="1093">
      <x:c r="B1093" t="str">
        <x:v>PH-TG-373-L</x:v>
      </x:c>
      <x:c r="C1093" t="str">
        <x:v>PHYSICAL</x:v>
      </x:c>
      <x:c r="D1093" t="str">
        <x:v>terrain load</x:v>
      </x:c>
      <x:c r="E1093" t="n">
        <x:f>IF('Terrain Field'!K379&lt;&gt;"",1,0)</x:f>
        <x:v>0</x:v>
      </x:c>
      <x:c r="F1093" t="n">
        <x:v>1</x:v>
      </x:c>
      <x:c r="G1093" t="str">
        <x:v>equals</x:v>
      </x:c>
      <x:c r="H1093" t="str">
        <x:v>independent physical acceptance</x:v>
      </x:c>
      <x:c r="I1093" t="str">
        <x:f>IF(E1093=1,"PASS","OPEN")</x:f>
        <x:v>OPEN</x:v>
      </x:c>
    </x:row>
    <x:row r="1094">
      <x:c r="B1094" t="str">
        <x:v>PH-TG-374-G</x:v>
      </x:c>
      <x:c r="C1094" t="str">
        <x:v>PHYSICAL</x:v>
      </x:c>
      <x:c r="D1094" t="str">
        <x:v>terrain geometry</x:v>
      </x:c>
      <x:c r="E1094" t="n">
        <x:f>IF('Terrain Field'!J380&lt;&gt;"",1,0)</x:f>
        <x:v>0</x:v>
      </x:c>
      <x:c r="F1094" t="n">
        <x:v>1</x:v>
      </x:c>
      <x:c r="G1094" t="str">
        <x:v>equals</x:v>
      </x:c>
      <x:c r="H1094" t="str">
        <x:v>independent physical acceptance</x:v>
      </x:c>
      <x:c r="I1094" t="str">
        <x:f>IF(E1094=1,"PASS","OPEN")</x:f>
        <x:v>OPEN</x:v>
      </x:c>
    </x:row>
    <x:row r="1095">
      <x:c r="B1095" t="str">
        <x:v>PH-TG-374-L</x:v>
      </x:c>
      <x:c r="C1095" t="str">
        <x:v>PHYSICAL</x:v>
      </x:c>
      <x:c r="D1095" t="str">
        <x:v>terrain load</x:v>
      </x:c>
      <x:c r="E1095" t="n">
        <x:f>IF('Terrain Field'!K380&lt;&gt;"",1,0)</x:f>
        <x:v>0</x:v>
      </x:c>
      <x:c r="F1095" t="n">
        <x:v>1</x:v>
      </x:c>
      <x:c r="G1095" t="str">
        <x:v>equals</x:v>
      </x:c>
      <x:c r="H1095" t="str">
        <x:v>independent physical acceptance</x:v>
      </x:c>
      <x:c r="I1095" t="str">
        <x:f>IF(E1095=1,"PASS","OPEN")</x:f>
        <x:v>OPEN</x:v>
      </x:c>
    </x:row>
    <x:row r="1096">
      <x:c r="B1096" t="str">
        <x:v>PH-TG-375-G</x:v>
      </x:c>
      <x:c r="C1096" t="str">
        <x:v>PHYSICAL</x:v>
      </x:c>
      <x:c r="D1096" t="str">
        <x:v>terrain geometry</x:v>
      </x:c>
      <x:c r="E1096" t="n">
        <x:f>IF('Terrain Field'!J381&lt;&gt;"",1,0)</x:f>
        <x:v>0</x:v>
      </x:c>
      <x:c r="F1096" t="n">
        <x:v>1</x:v>
      </x:c>
      <x:c r="G1096" t="str">
        <x:v>equals</x:v>
      </x:c>
      <x:c r="H1096" t="str">
        <x:v>independent physical acceptance</x:v>
      </x:c>
      <x:c r="I1096" t="str">
        <x:f>IF(E1096=1,"PASS","OPEN")</x:f>
        <x:v>OPEN</x:v>
      </x:c>
    </x:row>
    <x:row r="1097">
      <x:c r="B1097" t="str">
        <x:v>PH-TG-375-L</x:v>
      </x:c>
      <x:c r="C1097" t="str">
        <x:v>PHYSICAL</x:v>
      </x:c>
      <x:c r="D1097" t="str">
        <x:v>terrain load</x:v>
      </x:c>
      <x:c r="E1097" t="n">
        <x:f>IF('Terrain Field'!K381&lt;&gt;"",1,0)</x:f>
        <x:v>0</x:v>
      </x:c>
      <x:c r="F1097" t="n">
        <x:v>1</x:v>
      </x:c>
      <x:c r="G1097" t="str">
        <x:v>equals</x:v>
      </x:c>
      <x:c r="H1097" t="str">
        <x:v>independent physical acceptance</x:v>
      </x:c>
      <x:c r="I1097" t="str">
        <x:f>IF(E1097=1,"PASS","OPEN")</x:f>
        <x:v>OPEN</x:v>
      </x:c>
    </x:row>
    <x:row r="1098">
      <x:c r="B1098" t="str">
        <x:v>PH-TG-376-G</x:v>
      </x:c>
      <x:c r="C1098" t="str">
        <x:v>PHYSICAL</x:v>
      </x:c>
      <x:c r="D1098" t="str">
        <x:v>terrain geometry</x:v>
      </x:c>
      <x:c r="E1098" t="n">
        <x:f>IF('Terrain Field'!J382&lt;&gt;"",1,0)</x:f>
        <x:v>0</x:v>
      </x:c>
      <x:c r="F1098" t="n">
        <x:v>1</x:v>
      </x:c>
      <x:c r="G1098" t="str">
        <x:v>equals</x:v>
      </x:c>
      <x:c r="H1098" t="str">
        <x:v>independent physical acceptance</x:v>
      </x:c>
      <x:c r="I1098" t="str">
        <x:f>IF(E1098=1,"PASS","OPEN")</x:f>
        <x:v>OPEN</x:v>
      </x:c>
    </x:row>
    <x:row r="1099">
      <x:c r="B1099" t="str">
        <x:v>PH-TG-376-L</x:v>
      </x:c>
      <x:c r="C1099" t="str">
        <x:v>PHYSICAL</x:v>
      </x:c>
      <x:c r="D1099" t="str">
        <x:v>terrain load</x:v>
      </x:c>
      <x:c r="E1099" t="n">
        <x:f>IF('Terrain Field'!K382&lt;&gt;"",1,0)</x:f>
        <x:v>0</x:v>
      </x:c>
      <x:c r="F1099" t="n">
        <x:v>1</x:v>
      </x:c>
      <x:c r="G1099" t="str">
        <x:v>equals</x:v>
      </x:c>
      <x:c r="H1099" t="str">
        <x:v>independent physical acceptance</x:v>
      </x:c>
      <x:c r="I1099" t="str">
        <x:f>IF(E1099=1,"PASS","OPEN")</x:f>
        <x:v>OPEN</x:v>
      </x:c>
    </x:row>
    <x:row r="1100">
      <x:c r="B1100" t="str">
        <x:v>PH-TG-377-G</x:v>
      </x:c>
      <x:c r="C1100" t="str">
        <x:v>PHYSICAL</x:v>
      </x:c>
      <x:c r="D1100" t="str">
        <x:v>terrain geometry</x:v>
      </x:c>
      <x:c r="E1100" t="n">
        <x:f>IF('Terrain Field'!J383&lt;&gt;"",1,0)</x:f>
        <x:v>0</x:v>
      </x:c>
      <x:c r="F1100" t="n">
        <x:v>1</x:v>
      </x:c>
      <x:c r="G1100" t="str">
        <x:v>equals</x:v>
      </x:c>
      <x:c r="H1100" t="str">
        <x:v>independent physical acceptance</x:v>
      </x:c>
      <x:c r="I1100" t="str">
        <x:f>IF(E1100=1,"PASS","OPEN")</x:f>
        <x:v>OPEN</x:v>
      </x:c>
    </x:row>
    <x:row r="1101">
      <x:c r="B1101" t="str">
        <x:v>PH-TG-377-L</x:v>
      </x:c>
      <x:c r="C1101" t="str">
        <x:v>PHYSICAL</x:v>
      </x:c>
      <x:c r="D1101" t="str">
        <x:v>terrain load</x:v>
      </x:c>
      <x:c r="E1101" t="n">
        <x:f>IF('Terrain Field'!K383&lt;&gt;"",1,0)</x:f>
        <x:v>0</x:v>
      </x:c>
      <x:c r="F1101" t="n">
        <x:v>1</x:v>
      </x:c>
      <x:c r="G1101" t="str">
        <x:v>equals</x:v>
      </x:c>
      <x:c r="H1101" t="str">
        <x:v>independent physical acceptance</x:v>
      </x:c>
      <x:c r="I1101" t="str">
        <x:f>IF(E1101=1,"PASS","OPEN")</x:f>
        <x:v>OPEN</x:v>
      </x:c>
    </x:row>
    <x:row r="1102">
      <x:c r="B1102" t="str">
        <x:v>PH-TG-378-G</x:v>
      </x:c>
      <x:c r="C1102" t="str">
        <x:v>PHYSICAL</x:v>
      </x:c>
      <x:c r="D1102" t="str">
        <x:v>terrain geometry</x:v>
      </x:c>
      <x:c r="E1102" t="n">
        <x:f>IF('Terrain Field'!J384&lt;&gt;"",1,0)</x:f>
        <x:v>0</x:v>
      </x:c>
      <x:c r="F1102" t="n">
        <x:v>1</x:v>
      </x:c>
      <x:c r="G1102" t="str">
        <x:v>equals</x:v>
      </x:c>
      <x:c r="H1102" t="str">
        <x:v>independent physical acceptance</x:v>
      </x:c>
      <x:c r="I1102" t="str">
        <x:f>IF(E1102=1,"PASS","OPEN")</x:f>
        <x:v>OPEN</x:v>
      </x:c>
    </x:row>
    <x:row r="1103">
      <x:c r="B1103" t="str">
        <x:v>PH-TG-378-L</x:v>
      </x:c>
      <x:c r="C1103" t="str">
        <x:v>PHYSICAL</x:v>
      </x:c>
      <x:c r="D1103" t="str">
        <x:v>terrain load</x:v>
      </x:c>
      <x:c r="E1103" t="n">
        <x:f>IF('Terrain Field'!K384&lt;&gt;"",1,0)</x:f>
        <x:v>0</x:v>
      </x:c>
      <x:c r="F1103" t="n">
        <x:v>1</x:v>
      </x:c>
      <x:c r="G1103" t="str">
        <x:v>equals</x:v>
      </x:c>
      <x:c r="H1103" t="str">
        <x:v>independent physical acceptance</x:v>
      </x:c>
      <x:c r="I1103" t="str">
        <x:f>IF(E1103=1,"PASS","OPEN")</x:f>
        <x:v>OPEN</x:v>
      </x:c>
    </x:row>
    <x:row r="1104">
      <x:c r="B1104" t="str">
        <x:v>PH-TG-379-G</x:v>
      </x:c>
      <x:c r="C1104" t="str">
        <x:v>PHYSICAL</x:v>
      </x:c>
      <x:c r="D1104" t="str">
        <x:v>terrain geometry</x:v>
      </x:c>
      <x:c r="E1104" t="n">
        <x:f>IF('Terrain Field'!J385&lt;&gt;"",1,0)</x:f>
        <x:v>0</x:v>
      </x:c>
      <x:c r="F1104" t="n">
        <x:v>1</x:v>
      </x:c>
      <x:c r="G1104" t="str">
        <x:v>equals</x:v>
      </x:c>
      <x:c r="H1104" t="str">
        <x:v>independent physical acceptance</x:v>
      </x:c>
      <x:c r="I1104" t="str">
        <x:f>IF(E1104=1,"PASS","OPEN")</x:f>
        <x:v>OPEN</x:v>
      </x:c>
    </x:row>
    <x:row r="1105">
      <x:c r="B1105" t="str">
        <x:v>PH-TG-379-L</x:v>
      </x:c>
      <x:c r="C1105" t="str">
        <x:v>PHYSICAL</x:v>
      </x:c>
      <x:c r="D1105" t="str">
        <x:v>terrain load</x:v>
      </x:c>
      <x:c r="E1105" t="n">
        <x:f>IF('Terrain Field'!K385&lt;&gt;"",1,0)</x:f>
        <x:v>0</x:v>
      </x:c>
      <x:c r="F1105" t="n">
        <x:v>1</x:v>
      </x:c>
      <x:c r="G1105" t="str">
        <x:v>equals</x:v>
      </x:c>
      <x:c r="H1105" t="str">
        <x:v>independent physical acceptance</x:v>
      </x:c>
      <x:c r="I1105" t="str">
        <x:f>IF(E1105=1,"PASS","OPEN")</x:f>
        <x:v>OPEN</x:v>
      </x:c>
    </x:row>
    <x:row r="1106">
      <x:c r="B1106" t="str">
        <x:v>PH-TG-380-G</x:v>
      </x:c>
      <x:c r="C1106" t="str">
        <x:v>PHYSICAL</x:v>
      </x:c>
      <x:c r="D1106" t="str">
        <x:v>terrain geometry</x:v>
      </x:c>
      <x:c r="E1106" t="n">
        <x:f>IF('Terrain Field'!J386&lt;&gt;"",1,0)</x:f>
        <x:v>0</x:v>
      </x:c>
      <x:c r="F1106" t="n">
        <x:v>1</x:v>
      </x:c>
      <x:c r="G1106" t="str">
        <x:v>equals</x:v>
      </x:c>
      <x:c r="H1106" t="str">
        <x:v>independent physical acceptance</x:v>
      </x:c>
      <x:c r="I1106" t="str">
        <x:f>IF(E1106=1,"PASS","OPEN")</x:f>
        <x:v>OPEN</x:v>
      </x:c>
    </x:row>
    <x:row r="1107">
      <x:c r="B1107" t="str">
        <x:v>PH-TG-380-L</x:v>
      </x:c>
      <x:c r="C1107" t="str">
        <x:v>PHYSICAL</x:v>
      </x:c>
      <x:c r="D1107" t="str">
        <x:v>terrain load</x:v>
      </x:c>
      <x:c r="E1107" t="n">
        <x:f>IF('Terrain Field'!K386&lt;&gt;"",1,0)</x:f>
        <x:v>0</x:v>
      </x:c>
      <x:c r="F1107" t="n">
        <x:v>1</x:v>
      </x:c>
      <x:c r="G1107" t="str">
        <x:v>equals</x:v>
      </x:c>
      <x:c r="H1107" t="str">
        <x:v>independent physical acceptance</x:v>
      </x:c>
      <x:c r="I1107" t="str">
        <x:f>IF(E1107=1,"PASS","OPEN")</x:f>
        <x:v>OPEN</x:v>
      </x:c>
    </x:row>
    <x:row r="1108">
      <x:c r="B1108" t="str">
        <x:v>PH-TG-381-G</x:v>
      </x:c>
      <x:c r="C1108" t="str">
        <x:v>PHYSICAL</x:v>
      </x:c>
      <x:c r="D1108" t="str">
        <x:v>terrain geometry</x:v>
      </x:c>
      <x:c r="E1108" t="n">
        <x:f>IF('Terrain Field'!J387&lt;&gt;"",1,0)</x:f>
        <x:v>0</x:v>
      </x:c>
      <x:c r="F1108" t="n">
        <x:v>1</x:v>
      </x:c>
      <x:c r="G1108" t="str">
        <x:v>equals</x:v>
      </x:c>
      <x:c r="H1108" t="str">
        <x:v>independent physical acceptance</x:v>
      </x:c>
      <x:c r="I1108" t="str">
        <x:f>IF(E1108=1,"PASS","OPEN")</x:f>
        <x:v>OPEN</x:v>
      </x:c>
    </x:row>
    <x:row r="1109">
      <x:c r="B1109" t="str">
        <x:v>PH-TG-381-L</x:v>
      </x:c>
      <x:c r="C1109" t="str">
        <x:v>PHYSICAL</x:v>
      </x:c>
      <x:c r="D1109" t="str">
        <x:v>terrain load</x:v>
      </x:c>
      <x:c r="E1109" t="n">
        <x:f>IF('Terrain Field'!K387&lt;&gt;"",1,0)</x:f>
        <x:v>0</x:v>
      </x:c>
      <x:c r="F1109" t="n">
        <x:v>1</x:v>
      </x:c>
      <x:c r="G1109" t="str">
        <x:v>equals</x:v>
      </x:c>
      <x:c r="H1109" t="str">
        <x:v>independent physical acceptance</x:v>
      </x:c>
      <x:c r="I1109" t="str">
        <x:f>IF(E1109=1,"PASS","OPEN")</x:f>
        <x:v>OPEN</x:v>
      </x:c>
    </x:row>
    <x:row r="1110">
      <x:c r="B1110" t="str">
        <x:v>PH-TG-382-G</x:v>
      </x:c>
      <x:c r="C1110" t="str">
        <x:v>PHYSICAL</x:v>
      </x:c>
      <x:c r="D1110" t="str">
        <x:v>terrain geometry</x:v>
      </x:c>
      <x:c r="E1110" t="n">
        <x:f>IF('Terrain Field'!J388&lt;&gt;"",1,0)</x:f>
        <x:v>0</x:v>
      </x:c>
      <x:c r="F1110" t="n">
        <x:v>1</x:v>
      </x:c>
      <x:c r="G1110" t="str">
        <x:v>equals</x:v>
      </x:c>
      <x:c r="H1110" t="str">
        <x:v>independent physical acceptance</x:v>
      </x:c>
      <x:c r="I1110" t="str">
        <x:f>IF(E1110=1,"PASS","OPEN")</x:f>
        <x:v>OPEN</x:v>
      </x:c>
    </x:row>
    <x:row r="1111">
      <x:c r="B1111" t="str">
        <x:v>PH-TG-382-L</x:v>
      </x:c>
      <x:c r="C1111" t="str">
        <x:v>PHYSICAL</x:v>
      </x:c>
      <x:c r="D1111" t="str">
        <x:v>terrain load</x:v>
      </x:c>
      <x:c r="E1111" t="n">
        <x:f>IF('Terrain Field'!K388&lt;&gt;"",1,0)</x:f>
        <x:v>0</x:v>
      </x:c>
      <x:c r="F1111" t="n">
        <x:v>1</x:v>
      </x:c>
      <x:c r="G1111" t="str">
        <x:v>equals</x:v>
      </x:c>
      <x:c r="H1111" t="str">
        <x:v>independent physical acceptance</x:v>
      </x:c>
      <x:c r="I1111" t="str">
        <x:f>IF(E1111=1,"PASS","OPEN")</x:f>
        <x:v>OPEN</x:v>
      </x:c>
    </x:row>
    <x:row r="1112">
      <x:c r="B1112" t="str">
        <x:v>PH-TG-383-G</x:v>
      </x:c>
      <x:c r="C1112" t="str">
        <x:v>PHYSICAL</x:v>
      </x:c>
      <x:c r="D1112" t="str">
        <x:v>terrain geometry</x:v>
      </x:c>
      <x:c r="E1112" t="n">
        <x:f>IF('Terrain Field'!J389&lt;&gt;"",1,0)</x:f>
        <x:v>0</x:v>
      </x:c>
      <x:c r="F1112" t="n">
        <x:v>1</x:v>
      </x:c>
      <x:c r="G1112" t="str">
        <x:v>equals</x:v>
      </x:c>
      <x:c r="H1112" t="str">
        <x:v>independent physical acceptance</x:v>
      </x:c>
      <x:c r="I1112" t="str">
        <x:f>IF(E1112=1,"PASS","OPEN")</x:f>
        <x:v>OPEN</x:v>
      </x:c>
    </x:row>
    <x:row r="1113">
      <x:c r="B1113" t="str">
        <x:v>PH-TG-383-L</x:v>
      </x:c>
      <x:c r="C1113" t="str">
        <x:v>PHYSICAL</x:v>
      </x:c>
      <x:c r="D1113" t="str">
        <x:v>terrain load</x:v>
      </x:c>
      <x:c r="E1113" t="n">
        <x:f>IF('Terrain Field'!K389&lt;&gt;"",1,0)</x:f>
        <x:v>0</x:v>
      </x:c>
      <x:c r="F1113" t="n">
        <x:v>1</x:v>
      </x:c>
      <x:c r="G1113" t="str">
        <x:v>equals</x:v>
      </x:c>
      <x:c r="H1113" t="str">
        <x:v>independent physical acceptance</x:v>
      </x:c>
      <x:c r="I1113" t="str">
        <x:f>IF(E1113=1,"PASS","OPEN")</x:f>
        <x:v>OPEN</x:v>
      </x:c>
    </x:row>
    <x:row r="1114">
      <x:c r="B1114" t="str">
        <x:v>PH-TG-384-G</x:v>
      </x:c>
      <x:c r="C1114" t="str">
        <x:v>PHYSICAL</x:v>
      </x:c>
      <x:c r="D1114" t="str">
        <x:v>terrain geometry</x:v>
      </x:c>
      <x:c r="E1114" t="n">
        <x:f>IF('Terrain Field'!J390&lt;&gt;"",1,0)</x:f>
        <x:v>0</x:v>
      </x:c>
      <x:c r="F1114" t="n">
        <x:v>1</x:v>
      </x:c>
      <x:c r="G1114" t="str">
        <x:v>equals</x:v>
      </x:c>
      <x:c r="H1114" t="str">
        <x:v>independent physical acceptance</x:v>
      </x:c>
      <x:c r="I1114" t="str">
        <x:f>IF(E1114=1,"PASS","OPEN")</x:f>
        <x:v>OPEN</x:v>
      </x:c>
    </x:row>
    <x:row r="1115">
      <x:c r="B1115" t="str">
        <x:v>PH-TG-384-L</x:v>
      </x:c>
      <x:c r="C1115" t="str">
        <x:v>PHYSICAL</x:v>
      </x:c>
      <x:c r="D1115" t="str">
        <x:v>terrain load</x:v>
      </x:c>
      <x:c r="E1115" t="n">
        <x:f>IF('Terrain Field'!K390&lt;&gt;"",1,0)</x:f>
        <x:v>0</x:v>
      </x:c>
      <x:c r="F1115" t="n">
        <x:v>1</x:v>
      </x:c>
      <x:c r="G1115" t="str">
        <x:v>equals</x:v>
      </x:c>
      <x:c r="H1115" t="str">
        <x:v>independent physical acceptance</x:v>
      </x:c>
      <x:c r="I1115" t="str">
        <x:f>IF(E1115=1,"PASS","OPEN")</x:f>
        <x:v>OPEN</x:v>
      </x:c>
    </x:row>
    <x:row r="1116">
      <x:c r="B1116" t="str">
        <x:v>PH-TG-385-G</x:v>
      </x:c>
      <x:c r="C1116" t="str">
        <x:v>PHYSICAL</x:v>
      </x:c>
      <x:c r="D1116" t="str">
        <x:v>terrain geometry</x:v>
      </x:c>
      <x:c r="E1116" t="n">
        <x:f>IF('Terrain Field'!J391&lt;&gt;"",1,0)</x:f>
        <x:v>0</x:v>
      </x:c>
      <x:c r="F1116" t="n">
        <x:v>1</x:v>
      </x:c>
      <x:c r="G1116" t="str">
        <x:v>equals</x:v>
      </x:c>
      <x:c r="H1116" t="str">
        <x:v>independent physical acceptance</x:v>
      </x:c>
      <x:c r="I1116" t="str">
        <x:f>IF(E1116=1,"PASS","OPEN")</x:f>
        <x:v>OPEN</x:v>
      </x:c>
    </x:row>
    <x:row r="1117">
      <x:c r="B1117" t="str">
        <x:v>PH-TG-385-L</x:v>
      </x:c>
      <x:c r="C1117" t="str">
        <x:v>PHYSICAL</x:v>
      </x:c>
      <x:c r="D1117" t="str">
        <x:v>terrain load</x:v>
      </x:c>
      <x:c r="E1117" t="n">
        <x:f>IF('Terrain Field'!K391&lt;&gt;"",1,0)</x:f>
        <x:v>0</x:v>
      </x:c>
      <x:c r="F1117" t="n">
        <x:v>1</x:v>
      </x:c>
      <x:c r="G1117" t="str">
        <x:v>equals</x:v>
      </x:c>
      <x:c r="H1117" t="str">
        <x:v>independent physical acceptance</x:v>
      </x:c>
      <x:c r="I1117" t="str">
        <x:f>IF(E1117=1,"PASS","OPEN")</x:f>
        <x:v>OPEN</x:v>
      </x:c>
    </x:row>
    <x:row r="1118">
      <x:c r="B1118" t="str">
        <x:v>PH-TG-386-G</x:v>
      </x:c>
      <x:c r="C1118" t="str">
        <x:v>PHYSICAL</x:v>
      </x:c>
      <x:c r="D1118" t="str">
        <x:v>terrain geometry</x:v>
      </x:c>
      <x:c r="E1118" t="n">
        <x:f>IF('Terrain Field'!J392&lt;&gt;"",1,0)</x:f>
        <x:v>0</x:v>
      </x:c>
      <x:c r="F1118" t="n">
        <x:v>1</x:v>
      </x:c>
      <x:c r="G1118" t="str">
        <x:v>equals</x:v>
      </x:c>
      <x:c r="H1118" t="str">
        <x:v>independent physical acceptance</x:v>
      </x:c>
      <x:c r="I1118" t="str">
        <x:f>IF(E1118=1,"PASS","OPEN")</x:f>
        <x:v>OPEN</x:v>
      </x:c>
    </x:row>
    <x:row r="1119">
      <x:c r="B1119" t="str">
        <x:v>PH-TG-386-L</x:v>
      </x:c>
      <x:c r="C1119" t="str">
        <x:v>PHYSICAL</x:v>
      </x:c>
      <x:c r="D1119" t="str">
        <x:v>terrain load</x:v>
      </x:c>
      <x:c r="E1119" t="n">
        <x:f>IF('Terrain Field'!K392&lt;&gt;"",1,0)</x:f>
        <x:v>0</x:v>
      </x:c>
      <x:c r="F1119" t="n">
        <x:v>1</x:v>
      </x:c>
      <x:c r="G1119" t="str">
        <x:v>equals</x:v>
      </x:c>
      <x:c r="H1119" t="str">
        <x:v>independent physical acceptance</x:v>
      </x:c>
      <x:c r="I1119" t="str">
        <x:f>IF(E1119=1,"PASS","OPEN")</x:f>
        <x:v>OPEN</x:v>
      </x:c>
    </x:row>
    <x:row r="1120">
      <x:c r="B1120" t="str">
        <x:v>PH-TG-387-G</x:v>
      </x:c>
      <x:c r="C1120" t="str">
        <x:v>PHYSICAL</x:v>
      </x:c>
      <x:c r="D1120" t="str">
        <x:v>terrain geometry</x:v>
      </x:c>
      <x:c r="E1120" t="n">
        <x:f>IF('Terrain Field'!J393&lt;&gt;"",1,0)</x:f>
        <x:v>0</x:v>
      </x:c>
      <x:c r="F1120" t="n">
        <x:v>1</x:v>
      </x:c>
      <x:c r="G1120" t="str">
        <x:v>equals</x:v>
      </x:c>
      <x:c r="H1120" t="str">
        <x:v>independent physical acceptance</x:v>
      </x:c>
      <x:c r="I1120" t="str">
        <x:f>IF(E1120=1,"PASS","OPEN")</x:f>
        <x:v>OPEN</x:v>
      </x:c>
    </x:row>
    <x:row r="1121">
      <x:c r="B1121" t="str">
        <x:v>PH-TG-387-L</x:v>
      </x:c>
      <x:c r="C1121" t="str">
        <x:v>PHYSICAL</x:v>
      </x:c>
      <x:c r="D1121" t="str">
        <x:v>terrain load</x:v>
      </x:c>
      <x:c r="E1121" t="n">
        <x:f>IF('Terrain Field'!K393&lt;&gt;"",1,0)</x:f>
        <x:v>0</x:v>
      </x:c>
      <x:c r="F1121" t="n">
        <x:v>1</x:v>
      </x:c>
      <x:c r="G1121" t="str">
        <x:v>equals</x:v>
      </x:c>
      <x:c r="H1121" t="str">
        <x:v>independent physical acceptance</x:v>
      </x:c>
      <x:c r="I1121" t="str">
        <x:f>IF(E1121=1,"PASS","OPEN")</x:f>
        <x:v>OPEN</x:v>
      </x:c>
    </x:row>
    <x:row r="1122">
      <x:c r="B1122" t="str">
        <x:v>PH-TG-388-G</x:v>
      </x:c>
      <x:c r="C1122" t="str">
        <x:v>PHYSICAL</x:v>
      </x:c>
      <x:c r="D1122" t="str">
        <x:v>terrain geometry</x:v>
      </x:c>
      <x:c r="E1122" t="n">
        <x:f>IF('Terrain Field'!J394&lt;&gt;"",1,0)</x:f>
        <x:v>0</x:v>
      </x:c>
      <x:c r="F1122" t="n">
        <x:v>1</x:v>
      </x:c>
      <x:c r="G1122" t="str">
        <x:v>equals</x:v>
      </x:c>
      <x:c r="H1122" t="str">
        <x:v>independent physical acceptance</x:v>
      </x:c>
      <x:c r="I1122" t="str">
        <x:f>IF(E1122=1,"PASS","OPEN")</x:f>
        <x:v>OPEN</x:v>
      </x:c>
    </x:row>
    <x:row r="1123">
      <x:c r="B1123" t="str">
        <x:v>PH-TG-388-L</x:v>
      </x:c>
      <x:c r="C1123" t="str">
        <x:v>PHYSICAL</x:v>
      </x:c>
      <x:c r="D1123" t="str">
        <x:v>terrain load</x:v>
      </x:c>
      <x:c r="E1123" t="n">
        <x:f>IF('Terrain Field'!K394&lt;&gt;"",1,0)</x:f>
        <x:v>0</x:v>
      </x:c>
      <x:c r="F1123" t="n">
        <x:v>1</x:v>
      </x:c>
      <x:c r="G1123" t="str">
        <x:v>equals</x:v>
      </x:c>
      <x:c r="H1123" t="str">
        <x:v>independent physical acceptance</x:v>
      </x:c>
      <x:c r="I1123" t="str">
        <x:f>IF(E1123=1,"PASS","OPEN")</x:f>
        <x:v>OPEN</x:v>
      </x:c>
    </x:row>
    <x:row r="1124">
      <x:c r="B1124" t="str">
        <x:v>PH-TG-389-G</x:v>
      </x:c>
      <x:c r="C1124" t="str">
        <x:v>PHYSICAL</x:v>
      </x:c>
      <x:c r="D1124" t="str">
        <x:v>terrain geometry</x:v>
      </x:c>
      <x:c r="E1124" t="n">
        <x:f>IF('Terrain Field'!J395&lt;&gt;"",1,0)</x:f>
        <x:v>0</x:v>
      </x:c>
      <x:c r="F1124" t="n">
        <x:v>1</x:v>
      </x:c>
      <x:c r="G1124" t="str">
        <x:v>equals</x:v>
      </x:c>
      <x:c r="H1124" t="str">
        <x:v>independent physical acceptance</x:v>
      </x:c>
      <x:c r="I1124" t="str">
        <x:f>IF(E1124=1,"PASS","OPEN")</x:f>
        <x:v>OPEN</x:v>
      </x:c>
    </x:row>
    <x:row r="1125">
      <x:c r="B1125" t="str">
        <x:v>PH-TG-389-L</x:v>
      </x:c>
      <x:c r="C1125" t="str">
        <x:v>PHYSICAL</x:v>
      </x:c>
      <x:c r="D1125" t="str">
        <x:v>terrain load</x:v>
      </x:c>
      <x:c r="E1125" t="n">
        <x:f>IF('Terrain Field'!K395&lt;&gt;"",1,0)</x:f>
        <x:v>0</x:v>
      </x:c>
      <x:c r="F1125" t="n">
        <x:v>1</x:v>
      </x:c>
      <x:c r="G1125" t="str">
        <x:v>equals</x:v>
      </x:c>
      <x:c r="H1125" t="str">
        <x:v>independent physical acceptance</x:v>
      </x:c>
      <x:c r="I1125" t="str">
        <x:f>IF(E1125=1,"PASS","OPEN")</x:f>
        <x:v>OPEN</x:v>
      </x:c>
    </x:row>
    <x:row r="1126">
      <x:c r="B1126" t="str">
        <x:v>PH-TG-390-G</x:v>
      </x:c>
      <x:c r="C1126" t="str">
        <x:v>PHYSICAL</x:v>
      </x:c>
      <x:c r="D1126" t="str">
        <x:v>terrain geometry</x:v>
      </x:c>
      <x:c r="E1126" t="n">
        <x:f>IF('Terrain Field'!J396&lt;&gt;"",1,0)</x:f>
        <x:v>0</x:v>
      </x:c>
      <x:c r="F1126" t="n">
        <x:v>1</x:v>
      </x:c>
      <x:c r="G1126" t="str">
        <x:v>equals</x:v>
      </x:c>
      <x:c r="H1126" t="str">
        <x:v>independent physical acceptance</x:v>
      </x:c>
      <x:c r="I1126" t="str">
        <x:f>IF(E1126=1,"PASS","OPEN")</x:f>
        <x:v>OPEN</x:v>
      </x:c>
    </x:row>
    <x:row r="1127">
      <x:c r="B1127" t="str">
        <x:v>PH-TG-390-L</x:v>
      </x:c>
      <x:c r="C1127" t="str">
        <x:v>PHYSICAL</x:v>
      </x:c>
      <x:c r="D1127" t="str">
        <x:v>terrain load</x:v>
      </x:c>
      <x:c r="E1127" t="n">
        <x:f>IF('Terrain Field'!K396&lt;&gt;"",1,0)</x:f>
        <x:v>0</x:v>
      </x:c>
      <x:c r="F1127" t="n">
        <x:v>1</x:v>
      </x:c>
      <x:c r="G1127" t="str">
        <x:v>equals</x:v>
      </x:c>
      <x:c r="H1127" t="str">
        <x:v>independent physical acceptance</x:v>
      </x:c>
      <x:c r="I1127" t="str">
        <x:f>IF(E1127=1,"PASS","OPEN")</x:f>
        <x:v>OPEN</x:v>
      </x:c>
    </x:row>
    <x:row r="1128">
      <x:c r="B1128" t="str">
        <x:v>PH-TG-391-G</x:v>
      </x:c>
      <x:c r="C1128" t="str">
        <x:v>PHYSICAL</x:v>
      </x:c>
      <x:c r="D1128" t="str">
        <x:v>terrain geometry</x:v>
      </x:c>
      <x:c r="E1128" t="n">
        <x:f>IF('Terrain Field'!J397&lt;&gt;"",1,0)</x:f>
        <x:v>0</x:v>
      </x:c>
      <x:c r="F1128" t="n">
        <x:v>1</x:v>
      </x:c>
      <x:c r="G1128" t="str">
        <x:v>equals</x:v>
      </x:c>
      <x:c r="H1128" t="str">
        <x:v>independent physical acceptance</x:v>
      </x:c>
      <x:c r="I1128" t="str">
        <x:f>IF(E1128=1,"PASS","OPEN")</x:f>
        <x:v>OPEN</x:v>
      </x:c>
    </x:row>
    <x:row r="1129">
      <x:c r="B1129" t="str">
        <x:v>PH-TG-391-L</x:v>
      </x:c>
      <x:c r="C1129" t="str">
        <x:v>PHYSICAL</x:v>
      </x:c>
      <x:c r="D1129" t="str">
        <x:v>terrain load</x:v>
      </x:c>
      <x:c r="E1129" t="n">
        <x:f>IF('Terrain Field'!K397&lt;&gt;"",1,0)</x:f>
        <x:v>0</x:v>
      </x:c>
      <x:c r="F1129" t="n">
        <x:v>1</x:v>
      </x:c>
      <x:c r="G1129" t="str">
        <x:v>equals</x:v>
      </x:c>
      <x:c r="H1129" t="str">
        <x:v>independent physical acceptance</x:v>
      </x:c>
      <x:c r="I1129" t="str">
        <x:f>IF(E1129=1,"PASS","OPEN")</x:f>
        <x:v>OPEN</x:v>
      </x:c>
    </x:row>
    <x:row r="1130">
      <x:c r="B1130" t="str">
        <x:v>PH-TG-392-G</x:v>
      </x:c>
      <x:c r="C1130" t="str">
        <x:v>PHYSICAL</x:v>
      </x:c>
      <x:c r="D1130" t="str">
        <x:v>terrain geometry</x:v>
      </x:c>
      <x:c r="E1130" t="n">
        <x:f>IF('Terrain Field'!J398&lt;&gt;"",1,0)</x:f>
        <x:v>0</x:v>
      </x:c>
      <x:c r="F1130" t="n">
        <x:v>1</x:v>
      </x:c>
      <x:c r="G1130" t="str">
        <x:v>equals</x:v>
      </x:c>
      <x:c r="H1130" t="str">
        <x:v>independent physical acceptance</x:v>
      </x:c>
      <x:c r="I1130" t="str">
        <x:f>IF(E1130=1,"PASS","OPEN")</x:f>
        <x:v>OPEN</x:v>
      </x:c>
    </x:row>
    <x:row r="1131">
      <x:c r="B1131" t="str">
        <x:v>PH-TG-392-L</x:v>
      </x:c>
      <x:c r="C1131" t="str">
        <x:v>PHYSICAL</x:v>
      </x:c>
      <x:c r="D1131" t="str">
        <x:v>terrain load</x:v>
      </x:c>
      <x:c r="E1131" t="n">
        <x:f>IF('Terrain Field'!K398&lt;&gt;"",1,0)</x:f>
        <x:v>0</x:v>
      </x:c>
      <x:c r="F1131" t="n">
        <x:v>1</x:v>
      </x:c>
      <x:c r="G1131" t="str">
        <x:v>equals</x:v>
      </x:c>
      <x:c r="H1131" t="str">
        <x:v>independent physical acceptance</x:v>
      </x:c>
      <x:c r="I1131" t="str">
        <x:f>IF(E1131=1,"PASS","OPEN")</x:f>
        <x:v>OPEN</x:v>
      </x:c>
    </x:row>
    <x:row r="1132">
      <x:c r="B1132" t="str">
        <x:v>PH-TG-393-G</x:v>
      </x:c>
      <x:c r="C1132" t="str">
        <x:v>PHYSICAL</x:v>
      </x:c>
      <x:c r="D1132" t="str">
        <x:v>terrain geometry</x:v>
      </x:c>
      <x:c r="E1132" t="n">
        <x:f>IF('Terrain Field'!J399&lt;&gt;"",1,0)</x:f>
        <x:v>0</x:v>
      </x:c>
      <x:c r="F1132" t="n">
        <x:v>1</x:v>
      </x:c>
      <x:c r="G1132" t="str">
        <x:v>equals</x:v>
      </x:c>
      <x:c r="H1132" t="str">
        <x:v>independent physical acceptance</x:v>
      </x:c>
      <x:c r="I1132" t="str">
        <x:f>IF(E1132=1,"PASS","OPEN")</x:f>
        <x:v>OPEN</x:v>
      </x:c>
    </x:row>
    <x:row r="1133">
      <x:c r="B1133" t="str">
        <x:v>PH-TG-393-L</x:v>
      </x:c>
      <x:c r="C1133" t="str">
        <x:v>PHYSICAL</x:v>
      </x:c>
      <x:c r="D1133" t="str">
        <x:v>terrain load</x:v>
      </x:c>
      <x:c r="E1133" t="n">
        <x:f>IF('Terrain Field'!K399&lt;&gt;"",1,0)</x:f>
        <x:v>0</x:v>
      </x:c>
      <x:c r="F1133" t="n">
        <x:v>1</x:v>
      </x:c>
      <x:c r="G1133" t="str">
        <x:v>equals</x:v>
      </x:c>
      <x:c r="H1133" t="str">
        <x:v>independent physical acceptance</x:v>
      </x:c>
      <x:c r="I1133" t="str">
        <x:f>IF(E1133=1,"PASS","OPEN")</x:f>
        <x:v>OPEN</x:v>
      </x:c>
    </x:row>
    <x:row r="1134">
      <x:c r="B1134" t="str">
        <x:v>PH-TG-394-G</x:v>
      </x:c>
      <x:c r="C1134" t="str">
        <x:v>PHYSICAL</x:v>
      </x:c>
      <x:c r="D1134" t="str">
        <x:v>terrain geometry</x:v>
      </x:c>
      <x:c r="E1134" t="n">
        <x:f>IF('Terrain Field'!J400&lt;&gt;"",1,0)</x:f>
        <x:v>0</x:v>
      </x:c>
      <x:c r="F1134" t="n">
        <x:v>1</x:v>
      </x:c>
      <x:c r="G1134" t="str">
        <x:v>equals</x:v>
      </x:c>
      <x:c r="H1134" t="str">
        <x:v>independent physical acceptance</x:v>
      </x:c>
      <x:c r="I1134" t="str">
        <x:f>IF(E1134=1,"PASS","OPEN")</x:f>
        <x:v>OPEN</x:v>
      </x:c>
    </x:row>
    <x:row r="1135">
      <x:c r="B1135" t="str">
        <x:v>PH-TG-394-L</x:v>
      </x:c>
      <x:c r="C1135" t="str">
        <x:v>PHYSICAL</x:v>
      </x:c>
      <x:c r="D1135" t="str">
        <x:v>terrain load</x:v>
      </x:c>
      <x:c r="E1135" t="n">
        <x:f>IF('Terrain Field'!K400&lt;&gt;"",1,0)</x:f>
        <x:v>0</x:v>
      </x:c>
      <x:c r="F1135" t="n">
        <x:v>1</x:v>
      </x:c>
      <x:c r="G1135" t="str">
        <x:v>equals</x:v>
      </x:c>
      <x:c r="H1135" t="str">
        <x:v>independent physical acceptance</x:v>
      </x:c>
      <x:c r="I1135" t="str">
        <x:f>IF(E1135=1,"PASS","OPEN")</x:f>
        <x:v>OPEN</x:v>
      </x:c>
    </x:row>
    <x:row r="1136">
      <x:c r="B1136" t="str">
        <x:v>PH-TG-395-G</x:v>
      </x:c>
      <x:c r="C1136" t="str">
        <x:v>PHYSICAL</x:v>
      </x:c>
      <x:c r="D1136" t="str">
        <x:v>terrain geometry</x:v>
      </x:c>
      <x:c r="E1136" t="n">
        <x:f>IF('Terrain Field'!J401&lt;&gt;"",1,0)</x:f>
        <x:v>0</x:v>
      </x:c>
      <x:c r="F1136" t="n">
        <x:v>1</x:v>
      </x:c>
      <x:c r="G1136" t="str">
        <x:v>equals</x:v>
      </x:c>
      <x:c r="H1136" t="str">
        <x:v>independent physical acceptance</x:v>
      </x:c>
      <x:c r="I1136" t="str">
        <x:f>IF(E1136=1,"PASS","OPEN")</x:f>
        <x:v>OPEN</x:v>
      </x:c>
    </x:row>
    <x:row r="1137">
      <x:c r="B1137" t="str">
        <x:v>PH-TG-395-L</x:v>
      </x:c>
      <x:c r="C1137" t="str">
        <x:v>PHYSICAL</x:v>
      </x:c>
      <x:c r="D1137" t="str">
        <x:v>terrain load</x:v>
      </x:c>
      <x:c r="E1137" t="n">
        <x:f>IF('Terrain Field'!K401&lt;&gt;"",1,0)</x:f>
        <x:v>0</x:v>
      </x:c>
      <x:c r="F1137" t="n">
        <x:v>1</x:v>
      </x:c>
      <x:c r="G1137" t="str">
        <x:v>equals</x:v>
      </x:c>
      <x:c r="H1137" t="str">
        <x:v>independent physical acceptance</x:v>
      </x:c>
      <x:c r="I1137" t="str">
        <x:f>IF(E1137=1,"PASS","OPEN")</x:f>
        <x:v>OPEN</x:v>
      </x:c>
    </x:row>
    <x:row r="1138">
      <x:c r="B1138" t="str">
        <x:v>PH-TG-396-G</x:v>
      </x:c>
      <x:c r="C1138" t="str">
        <x:v>PHYSICAL</x:v>
      </x:c>
      <x:c r="D1138" t="str">
        <x:v>terrain geometry</x:v>
      </x:c>
      <x:c r="E1138" t="n">
        <x:f>IF('Terrain Field'!J402&lt;&gt;"",1,0)</x:f>
        <x:v>0</x:v>
      </x:c>
      <x:c r="F1138" t="n">
        <x:v>1</x:v>
      </x:c>
      <x:c r="G1138" t="str">
        <x:v>equals</x:v>
      </x:c>
      <x:c r="H1138" t="str">
        <x:v>independent physical acceptance</x:v>
      </x:c>
      <x:c r="I1138" t="str">
        <x:f>IF(E1138=1,"PASS","OPEN")</x:f>
        <x:v>OPEN</x:v>
      </x:c>
    </x:row>
    <x:row r="1139">
      <x:c r="B1139" t="str">
        <x:v>PH-TG-396-L</x:v>
      </x:c>
      <x:c r="C1139" t="str">
        <x:v>PHYSICAL</x:v>
      </x:c>
      <x:c r="D1139" t="str">
        <x:v>terrain load</x:v>
      </x:c>
      <x:c r="E1139" t="n">
        <x:f>IF('Terrain Field'!K402&lt;&gt;"",1,0)</x:f>
        <x:v>0</x:v>
      </x:c>
      <x:c r="F1139" t="n">
        <x:v>1</x:v>
      </x:c>
      <x:c r="G1139" t="str">
        <x:v>equals</x:v>
      </x:c>
      <x:c r="H1139" t="str">
        <x:v>independent physical acceptance</x:v>
      </x:c>
      <x:c r="I1139" t="str">
        <x:f>IF(E1139=1,"PASS","OPEN")</x:f>
        <x:v>OPEN</x:v>
      </x:c>
    </x:row>
    <x:row r="1140">
      <x:c r="B1140" t="str">
        <x:v>PH-TG-397-G</x:v>
      </x:c>
      <x:c r="C1140" t="str">
        <x:v>PHYSICAL</x:v>
      </x:c>
      <x:c r="D1140" t="str">
        <x:v>terrain geometry</x:v>
      </x:c>
      <x:c r="E1140" t="n">
        <x:f>IF('Terrain Field'!J403&lt;&gt;"",1,0)</x:f>
        <x:v>0</x:v>
      </x:c>
      <x:c r="F1140" t="n">
        <x:v>1</x:v>
      </x:c>
      <x:c r="G1140" t="str">
        <x:v>equals</x:v>
      </x:c>
      <x:c r="H1140" t="str">
        <x:v>independent physical acceptance</x:v>
      </x:c>
      <x:c r="I1140" t="str">
        <x:f>IF(E1140=1,"PASS","OPEN")</x:f>
        <x:v>OPEN</x:v>
      </x:c>
    </x:row>
    <x:row r="1141">
      <x:c r="B1141" t="str">
        <x:v>PH-TG-397-L</x:v>
      </x:c>
      <x:c r="C1141" t="str">
        <x:v>PHYSICAL</x:v>
      </x:c>
      <x:c r="D1141" t="str">
        <x:v>terrain load</x:v>
      </x:c>
      <x:c r="E1141" t="n">
        <x:f>IF('Terrain Field'!K403&lt;&gt;"",1,0)</x:f>
        <x:v>0</x:v>
      </x:c>
      <x:c r="F1141" t="n">
        <x:v>1</x:v>
      </x:c>
      <x:c r="G1141" t="str">
        <x:v>equals</x:v>
      </x:c>
      <x:c r="H1141" t="str">
        <x:v>independent physical acceptance</x:v>
      </x:c>
      <x:c r="I1141" t="str">
        <x:f>IF(E1141=1,"PASS","OPEN")</x:f>
        <x:v>OPEN</x:v>
      </x:c>
    </x:row>
    <x:row r="1142">
      <x:c r="B1142" t="str">
        <x:v>PH-TG-398-G</x:v>
      </x:c>
      <x:c r="C1142" t="str">
        <x:v>PHYSICAL</x:v>
      </x:c>
      <x:c r="D1142" t="str">
        <x:v>terrain geometry</x:v>
      </x:c>
      <x:c r="E1142" t="n">
        <x:f>IF('Terrain Field'!J404&lt;&gt;"",1,0)</x:f>
        <x:v>0</x:v>
      </x:c>
      <x:c r="F1142" t="n">
        <x:v>1</x:v>
      </x:c>
      <x:c r="G1142" t="str">
        <x:v>equals</x:v>
      </x:c>
      <x:c r="H1142" t="str">
        <x:v>independent physical acceptance</x:v>
      </x:c>
      <x:c r="I1142" t="str">
        <x:f>IF(E1142=1,"PASS","OPEN")</x:f>
        <x:v>OPEN</x:v>
      </x:c>
    </x:row>
    <x:row r="1143">
      <x:c r="B1143" t="str">
        <x:v>PH-TG-398-L</x:v>
      </x:c>
      <x:c r="C1143" t="str">
        <x:v>PHYSICAL</x:v>
      </x:c>
      <x:c r="D1143" t="str">
        <x:v>terrain load</x:v>
      </x:c>
      <x:c r="E1143" t="n">
        <x:f>IF('Terrain Field'!K404&lt;&gt;"",1,0)</x:f>
        <x:v>0</x:v>
      </x:c>
      <x:c r="F1143" t="n">
        <x:v>1</x:v>
      </x:c>
      <x:c r="G1143" t="str">
        <x:v>equals</x:v>
      </x:c>
      <x:c r="H1143" t="str">
        <x:v>independent physical acceptance</x:v>
      </x:c>
      <x:c r="I1143" t="str">
        <x:f>IF(E1143=1,"PASS","OPEN")</x:f>
        <x:v>OPEN</x:v>
      </x:c>
    </x:row>
    <x:row r="1144">
      <x:c r="B1144" t="str">
        <x:v>PH-TG-399-G</x:v>
      </x:c>
      <x:c r="C1144" t="str">
        <x:v>PHYSICAL</x:v>
      </x:c>
      <x:c r="D1144" t="str">
        <x:v>terrain geometry</x:v>
      </x:c>
      <x:c r="E1144" t="n">
        <x:f>IF('Terrain Field'!J405&lt;&gt;"",1,0)</x:f>
        <x:v>0</x:v>
      </x:c>
      <x:c r="F1144" t="n">
        <x:v>1</x:v>
      </x:c>
      <x:c r="G1144" t="str">
        <x:v>equals</x:v>
      </x:c>
      <x:c r="H1144" t="str">
        <x:v>independent physical acceptance</x:v>
      </x:c>
      <x:c r="I1144" t="str">
        <x:f>IF(E1144=1,"PASS","OPEN")</x:f>
        <x:v>OPEN</x:v>
      </x:c>
    </x:row>
    <x:row r="1145">
      <x:c r="B1145" t="str">
        <x:v>PH-TG-399-L</x:v>
      </x:c>
      <x:c r="C1145" t="str">
        <x:v>PHYSICAL</x:v>
      </x:c>
      <x:c r="D1145" t="str">
        <x:v>terrain load</x:v>
      </x:c>
      <x:c r="E1145" t="n">
        <x:f>IF('Terrain Field'!K405&lt;&gt;"",1,0)</x:f>
        <x:v>0</x:v>
      </x:c>
      <x:c r="F1145" t="n">
        <x:v>1</x:v>
      </x:c>
      <x:c r="G1145" t="str">
        <x:v>equals</x:v>
      </x:c>
      <x:c r="H1145" t="str">
        <x:v>independent physical acceptance</x:v>
      </x:c>
      <x:c r="I1145" t="str">
        <x:f>IF(E1145=1,"PASS","OPEN")</x:f>
        <x:v>OPEN</x:v>
      </x:c>
    </x:row>
    <x:row r="1146">
      <x:c r="B1146" t="str">
        <x:v>PH-TG-400-G</x:v>
      </x:c>
      <x:c r="C1146" t="str">
        <x:v>PHYSICAL</x:v>
      </x:c>
      <x:c r="D1146" t="str">
        <x:v>terrain geometry</x:v>
      </x:c>
      <x:c r="E1146" t="n">
        <x:f>IF('Terrain Field'!J406&lt;&gt;"",1,0)</x:f>
        <x:v>0</x:v>
      </x:c>
      <x:c r="F1146" t="n">
        <x:v>1</x:v>
      </x:c>
      <x:c r="G1146" t="str">
        <x:v>equals</x:v>
      </x:c>
      <x:c r="H1146" t="str">
        <x:v>independent physical acceptance</x:v>
      </x:c>
      <x:c r="I1146" t="str">
        <x:f>IF(E1146=1,"PASS","OPEN")</x:f>
        <x:v>OPEN</x:v>
      </x:c>
    </x:row>
    <x:row r="1147">
      <x:c r="B1147" t="str">
        <x:v>PH-TG-400-L</x:v>
      </x:c>
      <x:c r="C1147" t="str">
        <x:v>PHYSICAL</x:v>
      </x:c>
      <x:c r="D1147" t="str">
        <x:v>terrain load</x:v>
      </x:c>
      <x:c r="E1147" t="n">
        <x:f>IF('Terrain Field'!K406&lt;&gt;"",1,0)</x:f>
        <x:v>0</x:v>
      </x:c>
      <x:c r="F1147" t="n">
        <x:v>1</x:v>
      </x:c>
      <x:c r="G1147" t="str">
        <x:v>equals</x:v>
      </x:c>
      <x:c r="H1147" t="str">
        <x:v>independent physical acceptance</x:v>
      </x:c>
      <x:c r="I1147" t="str">
        <x:f>IF(E1147=1,"PASS","OPEN")</x:f>
        <x:v>OPEN</x:v>
      </x:c>
    </x:row>
    <x:row r="1148">
      <x:c r="B1148" t="str">
        <x:v>PH-TG-401-G</x:v>
      </x:c>
      <x:c r="C1148" t="str">
        <x:v>PHYSICAL</x:v>
      </x:c>
      <x:c r="D1148" t="str">
        <x:v>terrain geometry</x:v>
      </x:c>
      <x:c r="E1148" t="n">
        <x:f>IF('Terrain Field'!J407&lt;&gt;"",1,0)</x:f>
        <x:v>0</x:v>
      </x:c>
      <x:c r="F1148" t="n">
        <x:v>1</x:v>
      </x:c>
      <x:c r="G1148" t="str">
        <x:v>equals</x:v>
      </x:c>
      <x:c r="H1148" t="str">
        <x:v>independent physical acceptance</x:v>
      </x:c>
      <x:c r="I1148" t="str">
        <x:f>IF(E1148=1,"PASS","OPEN")</x:f>
        <x:v>OPEN</x:v>
      </x:c>
    </x:row>
    <x:row r="1149">
      <x:c r="B1149" t="str">
        <x:v>PH-TG-401-L</x:v>
      </x:c>
      <x:c r="C1149" t="str">
        <x:v>PHYSICAL</x:v>
      </x:c>
      <x:c r="D1149" t="str">
        <x:v>terrain load</x:v>
      </x:c>
      <x:c r="E1149" t="n">
        <x:f>IF('Terrain Field'!K407&lt;&gt;"",1,0)</x:f>
        <x:v>0</x:v>
      </x:c>
      <x:c r="F1149" t="n">
        <x:v>1</x:v>
      </x:c>
      <x:c r="G1149" t="str">
        <x:v>equals</x:v>
      </x:c>
      <x:c r="H1149" t="str">
        <x:v>independent physical acceptance</x:v>
      </x:c>
      <x:c r="I1149" t="str">
        <x:f>IF(E1149=1,"PASS","OPEN")</x:f>
        <x:v>OPEN</x:v>
      </x:c>
    </x:row>
    <x:row r="1150">
      <x:c r="B1150" t="str">
        <x:v>PH-TG-402-G</x:v>
      </x:c>
      <x:c r="C1150" t="str">
        <x:v>PHYSICAL</x:v>
      </x:c>
      <x:c r="D1150" t="str">
        <x:v>terrain geometry</x:v>
      </x:c>
      <x:c r="E1150" t="n">
        <x:f>IF('Terrain Field'!J408&lt;&gt;"",1,0)</x:f>
        <x:v>0</x:v>
      </x:c>
      <x:c r="F1150" t="n">
        <x:v>1</x:v>
      </x:c>
      <x:c r="G1150" t="str">
        <x:v>equals</x:v>
      </x:c>
      <x:c r="H1150" t="str">
        <x:v>independent physical acceptance</x:v>
      </x:c>
      <x:c r="I1150" t="str">
        <x:f>IF(E1150=1,"PASS","OPEN")</x:f>
        <x:v>OPEN</x:v>
      </x:c>
    </x:row>
    <x:row r="1151">
      <x:c r="B1151" t="str">
        <x:v>PH-TG-402-L</x:v>
      </x:c>
      <x:c r="C1151" t="str">
        <x:v>PHYSICAL</x:v>
      </x:c>
      <x:c r="D1151" t="str">
        <x:v>terrain load</x:v>
      </x:c>
      <x:c r="E1151" t="n">
        <x:f>IF('Terrain Field'!K408&lt;&gt;"",1,0)</x:f>
        <x:v>0</x:v>
      </x:c>
      <x:c r="F1151" t="n">
        <x:v>1</x:v>
      </x:c>
      <x:c r="G1151" t="str">
        <x:v>equals</x:v>
      </x:c>
      <x:c r="H1151" t="str">
        <x:v>independent physical acceptance</x:v>
      </x:c>
      <x:c r="I1151" t="str">
        <x:f>IF(E1151=1,"PASS","OPEN")</x:f>
        <x:v>OPEN</x:v>
      </x:c>
    </x:row>
    <x:row r="1152">
      <x:c r="B1152" t="str">
        <x:v>PH-TG-403-G</x:v>
      </x:c>
      <x:c r="C1152" t="str">
        <x:v>PHYSICAL</x:v>
      </x:c>
      <x:c r="D1152" t="str">
        <x:v>terrain geometry</x:v>
      </x:c>
      <x:c r="E1152" t="n">
        <x:f>IF('Terrain Field'!J409&lt;&gt;"",1,0)</x:f>
        <x:v>0</x:v>
      </x:c>
      <x:c r="F1152" t="n">
        <x:v>1</x:v>
      </x:c>
      <x:c r="G1152" t="str">
        <x:v>equals</x:v>
      </x:c>
      <x:c r="H1152" t="str">
        <x:v>independent physical acceptance</x:v>
      </x:c>
      <x:c r="I1152" t="str">
        <x:f>IF(E1152=1,"PASS","OPEN")</x:f>
        <x:v>OPEN</x:v>
      </x:c>
    </x:row>
    <x:row r="1153">
      <x:c r="B1153" t="str">
        <x:v>PH-TG-403-L</x:v>
      </x:c>
      <x:c r="C1153" t="str">
        <x:v>PHYSICAL</x:v>
      </x:c>
      <x:c r="D1153" t="str">
        <x:v>terrain load</x:v>
      </x:c>
      <x:c r="E1153" t="n">
        <x:f>IF('Terrain Field'!K409&lt;&gt;"",1,0)</x:f>
        <x:v>0</x:v>
      </x:c>
      <x:c r="F1153" t="n">
        <x:v>1</x:v>
      </x:c>
      <x:c r="G1153" t="str">
        <x:v>equals</x:v>
      </x:c>
      <x:c r="H1153" t="str">
        <x:v>independent physical acceptance</x:v>
      </x:c>
      <x:c r="I1153" t="str">
        <x:f>IF(E1153=1,"PASS","OPEN")</x:f>
        <x:v>OPEN</x:v>
      </x:c>
    </x:row>
    <x:row r="1154">
      <x:c r="B1154" t="str">
        <x:v>PH-TG-404-G</x:v>
      </x:c>
      <x:c r="C1154" t="str">
        <x:v>PHYSICAL</x:v>
      </x:c>
      <x:c r="D1154" t="str">
        <x:v>terrain geometry</x:v>
      </x:c>
      <x:c r="E1154" t="n">
        <x:f>IF('Terrain Field'!J410&lt;&gt;"",1,0)</x:f>
        <x:v>0</x:v>
      </x:c>
      <x:c r="F1154" t="n">
        <x:v>1</x:v>
      </x:c>
      <x:c r="G1154" t="str">
        <x:v>equals</x:v>
      </x:c>
      <x:c r="H1154" t="str">
        <x:v>independent physical acceptance</x:v>
      </x:c>
      <x:c r="I1154" t="str">
        <x:f>IF(E1154=1,"PASS","OPEN")</x:f>
        <x:v>OPEN</x:v>
      </x:c>
    </x:row>
    <x:row r="1155">
      <x:c r="B1155" t="str">
        <x:v>PH-TG-404-L</x:v>
      </x:c>
      <x:c r="C1155" t="str">
        <x:v>PHYSICAL</x:v>
      </x:c>
      <x:c r="D1155" t="str">
        <x:v>terrain load</x:v>
      </x:c>
      <x:c r="E1155" t="n">
        <x:f>IF('Terrain Field'!K410&lt;&gt;"",1,0)</x:f>
        <x:v>0</x:v>
      </x:c>
      <x:c r="F1155" t="n">
        <x:v>1</x:v>
      </x:c>
      <x:c r="G1155" t="str">
        <x:v>equals</x:v>
      </x:c>
      <x:c r="H1155" t="str">
        <x:v>independent physical acceptance</x:v>
      </x:c>
      <x:c r="I1155" t="str">
        <x:f>IF(E1155=1,"PASS","OPEN")</x:f>
        <x:v>OPEN</x:v>
      </x:c>
    </x:row>
    <x:row r="1156">
      <x:c r="B1156" t="str">
        <x:v>PH-TG-405-G</x:v>
      </x:c>
      <x:c r="C1156" t="str">
        <x:v>PHYSICAL</x:v>
      </x:c>
      <x:c r="D1156" t="str">
        <x:v>terrain geometry</x:v>
      </x:c>
      <x:c r="E1156" t="n">
        <x:f>IF('Terrain Field'!J411&lt;&gt;"",1,0)</x:f>
        <x:v>0</x:v>
      </x:c>
      <x:c r="F1156" t="n">
        <x:v>1</x:v>
      </x:c>
      <x:c r="G1156" t="str">
        <x:v>equals</x:v>
      </x:c>
      <x:c r="H1156" t="str">
        <x:v>independent physical acceptance</x:v>
      </x:c>
      <x:c r="I1156" t="str">
        <x:f>IF(E1156=1,"PASS","OPEN")</x:f>
        <x:v>OPEN</x:v>
      </x:c>
    </x:row>
    <x:row r="1157">
      <x:c r="B1157" t="str">
        <x:v>PH-TG-405-L</x:v>
      </x:c>
      <x:c r="C1157" t="str">
        <x:v>PHYSICAL</x:v>
      </x:c>
      <x:c r="D1157" t="str">
        <x:v>terrain load</x:v>
      </x:c>
      <x:c r="E1157" t="n">
        <x:f>IF('Terrain Field'!K411&lt;&gt;"",1,0)</x:f>
        <x:v>0</x:v>
      </x:c>
      <x:c r="F1157" t="n">
        <x:v>1</x:v>
      </x:c>
      <x:c r="G1157" t="str">
        <x:v>equals</x:v>
      </x:c>
      <x:c r="H1157" t="str">
        <x:v>independent physical acceptance</x:v>
      </x:c>
      <x:c r="I1157" t="str">
        <x:f>IF(E1157=1,"PASS","OPEN")</x:f>
        <x:v>OPEN</x:v>
      </x:c>
    </x:row>
    <x:row r="1158">
      <x:c r="B1158" t="str">
        <x:v>PH-TG-406-G</x:v>
      </x:c>
      <x:c r="C1158" t="str">
        <x:v>PHYSICAL</x:v>
      </x:c>
      <x:c r="D1158" t="str">
        <x:v>terrain geometry</x:v>
      </x:c>
      <x:c r="E1158" t="n">
        <x:f>IF('Terrain Field'!J412&lt;&gt;"",1,0)</x:f>
        <x:v>0</x:v>
      </x:c>
      <x:c r="F1158" t="n">
        <x:v>1</x:v>
      </x:c>
      <x:c r="G1158" t="str">
        <x:v>equals</x:v>
      </x:c>
      <x:c r="H1158" t="str">
        <x:v>independent physical acceptance</x:v>
      </x:c>
      <x:c r="I1158" t="str">
        <x:f>IF(E1158=1,"PASS","OPEN")</x:f>
        <x:v>OPEN</x:v>
      </x:c>
    </x:row>
    <x:row r="1159">
      <x:c r="B1159" t="str">
        <x:v>PH-TG-406-L</x:v>
      </x:c>
      <x:c r="C1159" t="str">
        <x:v>PHYSICAL</x:v>
      </x:c>
      <x:c r="D1159" t="str">
        <x:v>terrain load</x:v>
      </x:c>
      <x:c r="E1159" t="n">
        <x:f>IF('Terrain Field'!K412&lt;&gt;"",1,0)</x:f>
        <x:v>0</x:v>
      </x:c>
      <x:c r="F1159" t="n">
        <x:v>1</x:v>
      </x:c>
      <x:c r="G1159" t="str">
        <x:v>equals</x:v>
      </x:c>
      <x:c r="H1159" t="str">
        <x:v>independent physical acceptance</x:v>
      </x:c>
      <x:c r="I1159" t="str">
        <x:f>IF(E1159=1,"PASS","OPEN")</x:f>
        <x:v>OPEN</x:v>
      </x:c>
    </x:row>
    <x:row r="1160">
      <x:c r="B1160" t="str">
        <x:v>PH-TG-407-G</x:v>
      </x:c>
      <x:c r="C1160" t="str">
        <x:v>PHYSICAL</x:v>
      </x:c>
      <x:c r="D1160" t="str">
        <x:v>terrain geometry</x:v>
      </x:c>
      <x:c r="E1160" t="n">
        <x:f>IF('Terrain Field'!J413&lt;&gt;"",1,0)</x:f>
        <x:v>0</x:v>
      </x:c>
      <x:c r="F1160" t="n">
        <x:v>1</x:v>
      </x:c>
      <x:c r="G1160" t="str">
        <x:v>equals</x:v>
      </x:c>
      <x:c r="H1160" t="str">
        <x:v>independent physical acceptance</x:v>
      </x:c>
      <x:c r="I1160" t="str">
        <x:f>IF(E1160=1,"PASS","OPEN")</x:f>
        <x:v>OPEN</x:v>
      </x:c>
    </x:row>
    <x:row r="1161">
      <x:c r="B1161" t="str">
        <x:v>PH-TG-407-L</x:v>
      </x:c>
      <x:c r="C1161" t="str">
        <x:v>PHYSICAL</x:v>
      </x:c>
      <x:c r="D1161" t="str">
        <x:v>terrain load</x:v>
      </x:c>
      <x:c r="E1161" t="n">
        <x:f>IF('Terrain Field'!K413&lt;&gt;"",1,0)</x:f>
        <x:v>0</x:v>
      </x:c>
      <x:c r="F1161" t="n">
        <x:v>1</x:v>
      </x:c>
      <x:c r="G1161" t="str">
        <x:v>equals</x:v>
      </x:c>
      <x:c r="H1161" t="str">
        <x:v>independent physical acceptance</x:v>
      </x:c>
      <x:c r="I1161" t="str">
        <x:f>IF(E1161=1,"PASS","OPEN")</x:f>
        <x:v>OPEN</x:v>
      </x:c>
    </x:row>
    <x:row r="1162">
      <x:c r="B1162" t="str">
        <x:v>PH-TG-408-G</x:v>
      </x:c>
      <x:c r="C1162" t="str">
        <x:v>PHYSICAL</x:v>
      </x:c>
      <x:c r="D1162" t="str">
        <x:v>terrain geometry</x:v>
      </x:c>
      <x:c r="E1162" t="n">
        <x:f>IF('Terrain Field'!J414&lt;&gt;"",1,0)</x:f>
        <x:v>0</x:v>
      </x:c>
      <x:c r="F1162" t="n">
        <x:v>1</x:v>
      </x:c>
      <x:c r="G1162" t="str">
        <x:v>equals</x:v>
      </x:c>
      <x:c r="H1162" t="str">
        <x:v>independent physical acceptance</x:v>
      </x:c>
      <x:c r="I1162" t="str">
        <x:f>IF(E1162=1,"PASS","OPEN")</x:f>
        <x:v>OPEN</x:v>
      </x:c>
    </x:row>
    <x:row r="1163">
      <x:c r="B1163" t="str">
        <x:v>PH-TG-408-L</x:v>
      </x:c>
      <x:c r="C1163" t="str">
        <x:v>PHYSICAL</x:v>
      </x:c>
      <x:c r="D1163" t="str">
        <x:v>terrain load</x:v>
      </x:c>
      <x:c r="E1163" t="n">
        <x:f>IF('Terrain Field'!K414&lt;&gt;"",1,0)</x:f>
        <x:v>0</x:v>
      </x:c>
      <x:c r="F1163" t="n">
        <x:v>1</x:v>
      </x:c>
      <x:c r="G1163" t="str">
        <x:v>equals</x:v>
      </x:c>
      <x:c r="H1163" t="str">
        <x:v>independent physical acceptance</x:v>
      </x:c>
      <x:c r="I1163" t="str">
        <x:f>IF(E1163=1,"PASS","OPEN")</x:f>
        <x:v>OPEN</x:v>
      </x:c>
    </x:row>
    <x:row r="1164">
      <x:c r="B1164" t="str">
        <x:v>PH-TG-409-G</x:v>
      </x:c>
      <x:c r="C1164" t="str">
        <x:v>PHYSICAL</x:v>
      </x:c>
      <x:c r="D1164" t="str">
        <x:v>terrain geometry</x:v>
      </x:c>
      <x:c r="E1164" t="n">
        <x:f>IF('Terrain Field'!J415&lt;&gt;"",1,0)</x:f>
        <x:v>0</x:v>
      </x:c>
      <x:c r="F1164" t="n">
        <x:v>1</x:v>
      </x:c>
      <x:c r="G1164" t="str">
        <x:v>equals</x:v>
      </x:c>
      <x:c r="H1164" t="str">
        <x:v>independent physical acceptance</x:v>
      </x:c>
      <x:c r="I1164" t="str">
        <x:f>IF(E1164=1,"PASS","OPEN")</x:f>
        <x:v>OPEN</x:v>
      </x:c>
    </x:row>
    <x:row r="1165">
      <x:c r="B1165" t="str">
        <x:v>PH-TG-409-L</x:v>
      </x:c>
      <x:c r="C1165" t="str">
        <x:v>PHYSICAL</x:v>
      </x:c>
      <x:c r="D1165" t="str">
        <x:v>terrain load</x:v>
      </x:c>
      <x:c r="E1165" t="n">
        <x:f>IF('Terrain Field'!K415&lt;&gt;"",1,0)</x:f>
        <x:v>0</x:v>
      </x:c>
      <x:c r="F1165" t="n">
        <x:v>1</x:v>
      </x:c>
      <x:c r="G1165" t="str">
        <x:v>equals</x:v>
      </x:c>
      <x:c r="H1165" t="str">
        <x:v>independent physical acceptance</x:v>
      </x:c>
      <x:c r="I1165" t="str">
        <x:f>IF(E1165=1,"PASS","OPEN")</x:f>
        <x:v>OPEN</x:v>
      </x:c>
    </x:row>
    <x:row r="1166">
      <x:c r="B1166" t="str">
        <x:v>PH-TG-410-G</x:v>
      </x:c>
      <x:c r="C1166" t="str">
        <x:v>PHYSICAL</x:v>
      </x:c>
      <x:c r="D1166" t="str">
        <x:v>terrain geometry</x:v>
      </x:c>
      <x:c r="E1166" t="n">
        <x:f>IF('Terrain Field'!J416&lt;&gt;"",1,0)</x:f>
        <x:v>0</x:v>
      </x:c>
      <x:c r="F1166" t="n">
        <x:v>1</x:v>
      </x:c>
      <x:c r="G1166" t="str">
        <x:v>equals</x:v>
      </x:c>
      <x:c r="H1166" t="str">
        <x:v>independent physical acceptance</x:v>
      </x:c>
      <x:c r="I1166" t="str">
        <x:f>IF(E1166=1,"PASS","OPEN")</x:f>
        <x:v>OPEN</x:v>
      </x:c>
    </x:row>
    <x:row r="1167">
      <x:c r="B1167" t="str">
        <x:v>PH-TG-410-L</x:v>
      </x:c>
      <x:c r="C1167" t="str">
        <x:v>PHYSICAL</x:v>
      </x:c>
      <x:c r="D1167" t="str">
        <x:v>terrain load</x:v>
      </x:c>
      <x:c r="E1167" t="n">
        <x:f>IF('Terrain Field'!K416&lt;&gt;"",1,0)</x:f>
        <x:v>0</x:v>
      </x:c>
      <x:c r="F1167" t="n">
        <x:v>1</x:v>
      </x:c>
      <x:c r="G1167" t="str">
        <x:v>equals</x:v>
      </x:c>
      <x:c r="H1167" t="str">
        <x:v>independent physical acceptance</x:v>
      </x:c>
      <x:c r="I1167" t="str">
        <x:f>IF(E1167=1,"PASS","OPEN")</x:f>
        <x:v>OPEN</x:v>
      </x:c>
    </x:row>
    <x:row r="1168">
      <x:c r="B1168" t="str">
        <x:v>PH-TG-411-G</x:v>
      </x:c>
      <x:c r="C1168" t="str">
        <x:v>PHYSICAL</x:v>
      </x:c>
      <x:c r="D1168" t="str">
        <x:v>terrain geometry</x:v>
      </x:c>
      <x:c r="E1168" t="n">
        <x:f>IF('Terrain Field'!J417&lt;&gt;"",1,0)</x:f>
        <x:v>0</x:v>
      </x:c>
      <x:c r="F1168" t="n">
        <x:v>1</x:v>
      </x:c>
      <x:c r="G1168" t="str">
        <x:v>equals</x:v>
      </x:c>
      <x:c r="H1168" t="str">
        <x:v>independent physical acceptance</x:v>
      </x:c>
      <x:c r="I1168" t="str">
        <x:f>IF(E1168=1,"PASS","OPEN")</x:f>
        <x:v>OPEN</x:v>
      </x:c>
    </x:row>
    <x:row r="1169">
      <x:c r="B1169" t="str">
        <x:v>PH-TG-411-L</x:v>
      </x:c>
      <x:c r="C1169" t="str">
        <x:v>PHYSICAL</x:v>
      </x:c>
      <x:c r="D1169" t="str">
        <x:v>terrain load</x:v>
      </x:c>
      <x:c r="E1169" t="n">
        <x:f>IF('Terrain Field'!K417&lt;&gt;"",1,0)</x:f>
        <x:v>0</x:v>
      </x:c>
      <x:c r="F1169" t="n">
        <x:v>1</x:v>
      </x:c>
      <x:c r="G1169" t="str">
        <x:v>equals</x:v>
      </x:c>
      <x:c r="H1169" t="str">
        <x:v>independent physical acceptance</x:v>
      </x:c>
      <x:c r="I1169" t="str">
        <x:f>IF(E1169=1,"PASS","OPEN")</x:f>
        <x:v>OPEN</x:v>
      </x:c>
    </x:row>
    <x:row r="1170">
      <x:c r="B1170" t="str">
        <x:v>PH-TG-412-G</x:v>
      </x:c>
      <x:c r="C1170" t="str">
        <x:v>PHYSICAL</x:v>
      </x:c>
      <x:c r="D1170" t="str">
        <x:v>terrain geometry</x:v>
      </x:c>
      <x:c r="E1170" t="n">
        <x:f>IF('Terrain Field'!J418&lt;&gt;"",1,0)</x:f>
        <x:v>0</x:v>
      </x:c>
      <x:c r="F1170" t="n">
        <x:v>1</x:v>
      </x:c>
      <x:c r="G1170" t="str">
        <x:v>equals</x:v>
      </x:c>
      <x:c r="H1170" t="str">
        <x:v>independent physical acceptance</x:v>
      </x:c>
      <x:c r="I1170" t="str">
        <x:f>IF(E1170=1,"PASS","OPEN")</x:f>
        <x:v>OPEN</x:v>
      </x:c>
    </x:row>
    <x:row r="1171">
      <x:c r="B1171" t="str">
        <x:v>PH-TG-412-L</x:v>
      </x:c>
      <x:c r="C1171" t="str">
        <x:v>PHYSICAL</x:v>
      </x:c>
      <x:c r="D1171" t="str">
        <x:v>terrain load</x:v>
      </x:c>
      <x:c r="E1171" t="n">
        <x:f>IF('Terrain Field'!K418&lt;&gt;"",1,0)</x:f>
        <x:v>0</x:v>
      </x:c>
      <x:c r="F1171" t="n">
        <x:v>1</x:v>
      </x:c>
      <x:c r="G1171" t="str">
        <x:v>equals</x:v>
      </x:c>
      <x:c r="H1171" t="str">
        <x:v>independent physical acceptance</x:v>
      </x:c>
      <x:c r="I1171" t="str">
        <x:f>IF(E1171=1,"PASS","OPEN")</x:f>
        <x:v>OPEN</x:v>
      </x:c>
    </x:row>
    <x:row r="1172">
      <x:c r="B1172" t="str">
        <x:v>PH-TG-413-G</x:v>
      </x:c>
      <x:c r="C1172" t="str">
        <x:v>PHYSICAL</x:v>
      </x:c>
      <x:c r="D1172" t="str">
        <x:v>terrain geometry</x:v>
      </x:c>
      <x:c r="E1172" t="n">
        <x:f>IF('Terrain Field'!J419&lt;&gt;"",1,0)</x:f>
        <x:v>0</x:v>
      </x:c>
      <x:c r="F1172" t="n">
        <x:v>1</x:v>
      </x:c>
      <x:c r="G1172" t="str">
        <x:v>equals</x:v>
      </x:c>
      <x:c r="H1172" t="str">
        <x:v>independent physical acceptance</x:v>
      </x:c>
      <x:c r="I1172" t="str">
        <x:f>IF(E1172=1,"PASS","OPEN")</x:f>
        <x:v>OPEN</x:v>
      </x:c>
    </x:row>
    <x:row r="1173">
      <x:c r="B1173" t="str">
        <x:v>PH-TG-413-L</x:v>
      </x:c>
      <x:c r="C1173" t="str">
        <x:v>PHYSICAL</x:v>
      </x:c>
      <x:c r="D1173" t="str">
        <x:v>terrain load</x:v>
      </x:c>
      <x:c r="E1173" t="n">
        <x:f>IF('Terrain Field'!K419&lt;&gt;"",1,0)</x:f>
        <x:v>0</x:v>
      </x:c>
      <x:c r="F1173" t="n">
        <x:v>1</x:v>
      </x:c>
      <x:c r="G1173" t="str">
        <x:v>equals</x:v>
      </x:c>
      <x:c r="H1173" t="str">
        <x:v>independent physical acceptance</x:v>
      </x:c>
      <x:c r="I1173" t="str">
        <x:f>IF(E1173=1,"PASS","OPEN")</x:f>
        <x:v>OPEN</x:v>
      </x:c>
    </x:row>
    <x:row r="1174">
      <x:c r="B1174" t="str">
        <x:v>PH-TG-414-G</x:v>
      </x:c>
      <x:c r="C1174" t="str">
        <x:v>PHYSICAL</x:v>
      </x:c>
      <x:c r="D1174" t="str">
        <x:v>terrain geometry</x:v>
      </x:c>
      <x:c r="E1174" t="n">
        <x:f>IF('Terrain Field'!J420&lt;&gt;"",1,0)</x:f>
        <x:v>0</x:v>
      </x:c>
      <x:c r="F1174" t="n">
        <x:v>1</x:v>
      </x:c>
      <x:c r="G1174" t="str">
        <x:v>equals</x:v>
      </x:c>
      <x:c r="H1174" t="str">
        <x:v>independent physical acceptance</x:v>
      </x:c>
      <x:c r="I1174" t="str">
        <x:f>IF(E1174=1,"PASS","OPEN")</x:f>
        <x:v>OPEN</x:v>
      </x:c>
    </x:row>
    <x:row r="1175">
      <x:c r="B1175" t="str">
        <x:v>PH-TG-414-L</x:v>
      </x:c>
      <x:c r="C1175" t="str">
        <x:v>PHYSICAL</x:v>
      </x:c>
      <x:c r="D1175" t="str">
        <x:v>terrain load</x:v>
      </x:c>
      <x:c r="E1175" t="n">
        <x:f>IF('Terrain Field'!K420&lt;&gt;"",1,0)</x:f>
        <x:v>0</x:v>
      </x:c>
      <x:c r="F1175" t="n">
        <x:v>1</x:v>
      </x:c>
      <x:c r="G1175" t="str">
        <x:v>equals</x:v>
      </x:c>
      <x:c r="H1175" t="str">
        <x:v>independent physical acceptance</x:v>
      </x:c>
      <x:c r="I1175" t="str">
        <x:f>IF(E1175=1,"PASS","OPEN")</x:f>
        <x:v>OPEN</x:v>
      </x:c>
    </x:row>
    <x:row r="1176">
      <x:c r="B1176" t="str">
        <x:v>PH-TG-415-G</x:v>
      </x:c>
      <x:c r="C1176" t="str">
        <x:v>PHYSICAL</x:v>
      </x:c>
      <x:c r="D1176" t="str">
        <x:v>terrain geometry</x:v>
      </x:c>
      <x:c r="E1176" t="n">
        <x:f>IF('Terrain Field'!J421&lt;&gt;"",1,0)</x:f>
        <x:v>0</x:v>
      </x:c>
      <x:c r="F1176" t="n">
        <x:v>1</x:v>
      </x:c>
      <x:c r="G1176" t="str">
        <x:v>equals</x:v>
      </x:c>
      <x:c r="H1176" t="str">
        <x:v>independent physical acceptance</x:v>
      </x:c>
      <x:c r="I1176" t="str">
        <x:f>IF(E1176=1,"PASS","OPEN")</x:f>
        <x:v>OPEN</x:v>
      </x:c>
    </x:row>
    <x:row r="1177">
      <x:c r="B1177" t="str">
        <x:v>PH-TG-415-L</x:v>
      </x:c>
      <x:c r="C1177" t="str">
        <x:v>PHYSICAL</x:v>
      </x:c>
      <x:c r="D1177" t="str">
        <x:v>terrain load</x:v>
      </x:c>
      <x:c r="E1177" t="n">
        <x:f>IF('Terrain Field'!K421&lt;&gt;"",1,0)</x:f>
        <x:v>0</x:v>
      </x:c>
      <x:c r="F1177" t="n">
        <x:v>1</x:v>
      </x:c>
      <x:c r="G1177" t="str">
        <x:v>equals</x:v>
      </x:c>
      <x:c r="H1177" t="str">
        <x:v>independent physical acceptance</x:v>
      </x:c>
      <x:c r="I1177" t="str">
        <x:f>IF(E1177=1,"PASS","OPEN")</x:f>
        <x:v>OPEN</x:v>
      </x:c>
    </x:row>
    <x:row r="1178">
      <x:c r="B1178" t="str">
        <x:v>PH-TG-416-G</x:v>
      </x:c>
      <x:c r="C1178" t="str">
        <x:v>PHYSICAL</x:v>
      </x:c>
      <x:c r="D1178" t="str">
        <x:v>terrain geometry</x:v>
      </x:c>
      <x:c r="E1178" t="n">
        <x:f>IF('Terrain Field'!J422&lt;&gt;"",1,0)</x:f>
        <x:v>0</x:v>
      </x:c>
      <x:c r="F1178" t="n">
        <x:v>1</x:v>
      </x:c>
      <x:c r="G1178" t="str">
        <x:v>equals</x:v>
      </x:c>
      <x:c r="H1178" t="str">
        <x:v>independent physical acceptance</x:v>
      </x:c>
      <x:c r="I1178" t="str">
        <x:f>IF(E1178=1,"PASS","OPEN")</x:f>
        <x:v>OPEN</x:v>
      </x:c>
    </x:row>
    <x:row r="1179">
      <x:c r="B1179" t="str">
        <x:v>PH-TG-416-L</x:v>
      </x:c>
      <x:c r="C1179" t="str">
        <x:v>PHYSICAL</x:v>
      </x:c>
      <x:c r="D1179" t="str">
        <x:v>terrain load</x:v>
      </x:c>
      <x:c r="E1179" t="n">
        <x:f>IF('Terrain Field'!K422&lt;&gt;"",1,0)</x:f>
        <x:v>0</x:v>
      </x:c>
      <x:c r="F1179" t="n">
        <x:v>1</x:v>
      </x:c>
      <x:c r="G1179" t="str">
        <x:v>equals</x:v>
      </x:c>
      <x:c r="H1179" t="str">
        <x:v>independent physical acceptance</x:v>
      </x:c>
      <x:c r="I1179" t="str">
        <x:f>IF(E1179=1,"PASS","OPEN")</x:f>
        <x:v>OPEN</x:v>
      </x:c>
    </x:row>
    <x:row r="1180">
      <x:c r="B1180" t="str">
        <x:v>PH-TG-417-G</x:v>
      </x:c>
      <x:c r="C1180" t="str">
        <x:v>PHYSICAL</x:v>
      </x:c>
      <x:c r="D1180" t="str">
        <x:v>terrain geometry</x:v>
      </x:c>
      <x:c r="E1180" t="n">
        <x:f>IF('Terrain Field'!J423&lt;&gt;"",1,0)</x:f>
        <x:v>0</x:v>
      </x:c>
      <x:c r="F1180" t="n">
        <x:v>1</x:v>
      </x:c>
      <x:c r="G1180" t="str">
        <x:v>equals</x:v>
      </x:c>
      <x:c r="H1180" t="str">
        <x:v>independent physical acceptance</x:v>
      </x:c>
      <x:c r="I1180" t="str">
        <x:f>IF(E1180=1,"PASS","OPEN")</x:f>
        <x:v>OPEN</x:v>
      </x:c>
    </x:row>
    <x:row r="1181">
      <x:c r="B1181" t="str">
        <x:v>PH-TG-417-L</x:v>
      </x:c>
      <x:c r="C1181" t="str">
        <x:v>PHYSICAL</x:v>
      </x:c>
      <x:c r="D1181" t="str">
        <x:v>terrain load</x:v>
      </x:c>
      <x:c r="E1181" t="n">
        <x:f>IF('Terrain Field'!K423&lt;&gt;"",1,0)</x:f>
        <x:v>0</x:v>
      </x:c>
      <x:c r="F1181" t="n">
        <x:v>1</x:v>
      </x:c>
      <x:c r="G1181" t="str">
        <x:v>equals</x:v>
      </x:c>
      <x:c r="H1181" t="str">
        <x:v>independent physical acceptance</x:v>
      </x:c>
      <x:c r="I1181" t="str">
        <x:f>IF(E1181=1,"PASS","OPEN")</x:f>
        <x:v>OPEN</x:v>
      </x:c>
    </x:row>
    <x:row r="1182">
      <x:c r="B1182" t="str">
        <x:v>PH-TG-418-G</x:v>
      </x:c>
      <x:c r="C1182" t="str">
        <x:v>PHYSICAL</x:v>
      </x:c>
      <x:c r="D1182" t="str">
        <x:v>terrain geometry</x:v>
      </x:c>
      <x:c r="E1182" t="n">
        <x:f>IF('Terrain Field'!J424&lt;&gt;"",1,0)</x:f>
        <x:v>0</x:v>
      </x:c>
      <x:c r="F1182" t="n">
        <x:v>1</x:v>
      </x:c>
      <x:c r="G1182" t="str">
        <x:v>equals</x:v>
      </x:c>
      <x:c r="H1182" t="str">
        <x:v>independent physical acceptance</x:v>
      </x:c>
      <x:c r="I1182" t="str">
        <x:f>IF(E1182=1,"PASS","OPEN")</x:f>
        <x:v>OPEN</x:v>
      </x:c>
    </x:row>
    <x:row r="1183">
      <x:c r="B1183" t="str">
        <x:v>PH-TG-418-L</x:v>
      </x:c>
      <x:c r="C1183" t="str">
        <x:v>PHYSICAL</x:v>
      </x:c>
      <x:c r="D1183" t="str">
        <x:v>terrain load</x:v>
      </x:c>
      <x:c r="E1183" t="n">
        <x:f>IF('Terrain Field'!K424&lt;&gt;"",1,0)</x:f>
        <x:v>0</x:v>
      </x:c>
      <x:c r="F1183" t="n">
        <x:v>1</x:v>
      </x:c>
      <x:c r="G1183" t="str">
        <x:v>equals</x:v>
      </x:c>
      <x:c r="H1183" t="str">
        <x:v>independent physical acceptance</x:v>
      </x:c>
      <x:c r="I1183" t="str">
        <x:f>IF(E1183=1,"PASS","OPEN")</x:f>
        <x:v>OPEN</x:v>
      </x:c>
    </x:row>
    <x:row r="1184">
      <x:c r="B1184" t="str">
        <x:v>PH-TG-419-G</x:v>
      </x:c>
      <x:c r="C1184" t="str">
        <x:v>PHYSICAL</x:v>
      </x:c>
      <x:c r="D1184" t="str">
        <x:v>terrain geometry</x:v>
      </x:c>
      <x:c r="E1184" t="n">
        <x:f>IF('Terrain Field'!J425&lt;&gt;"",1,0)</x:f>
        <x:v>0</x:v>
      </x:c>
      <x:c r="F1184" t="n">
        <x:v>1</x:v>
      </x:c>
      <x:c r="G1184" t="str">
        <x:v>equals</x:v>
      </x:c>
      <x:c r="H1184" t="str">
        <x:v>independent physical acceptance</x:v>
      </x:c>
      <x:c r="I1184" t="str">
        <x:f>IF(E1184=1,"PASS","OPEN")</x:f>
        <x:v>OPEN</x:v>
      </x:c>
    </x:row>
    <x:row r="1185">
      <x:c r="B1185" t="str">
        <x:v>PH-TG-419-L</x:v>
      </x:c>
      <x:c r="C1185" t="str">
        <x:v>PHYSICAL</x:v>
      </x:c>
      <x:c r="D1185" t="str">
        <x:v>terrain load</x:v>
      </x:c>
      <x:c r="E1185" t="n">
        <x:f>IF('Terrain Field'!K425&lt;&gt;"",1,0)</x:f>
        <x:v>0</x:v>
      </x:c>
      <x:c r="F1185" t="n">
        <x:v>1</x:v>
      </x:c>
      <x:c r="G1185" t="str">
        <x:v>equals</x:v>
      </x:c>
      <x:c r="H1185" t="str">
        <x:v>independent physical acceptance</x:v>
      </x:c>
      <x:c r="I1185" t="str">
        <x:f>IF(E1185=1,"PASS","OPEN")</x:f>
        <x:v>OPEN</x:v>
      </x:c>
    </x:row>
    <x:row r="1186">
      <x:c r="B1186" t="str">
        <x:v>PH-TG-420-G</x:v>
      </x:c>
      <x:c r="C1186" t="str">
        <x:v>PHYSICAL</x:v>
      </x:c>
      <x:c r="D1186" t="str">
        <x:v>terrain geometry</x:v>
      </x:c>
      <x:c r="E1186" t="n">
        <x:f>IF('Terrain Field'!J426&lt;&gt;"",1,0)</x:f>
        <x:v>0</x:v>
      </x:c>
      <x:c r="F1186" t="n">
        <x:v>1</x:v>
      </x:c>
      <x:c r="G1186" t="str">
        <x:v>equals</x:v>
      </x:c>
      <x:c r="H1186" t="str">
        <x:v>independent physical acceptance</x:v>
      </x:c>
      <x:c r="I1186" t="str">
        <x:f>IF(E1186=1,"PASS","OPEN")</x:f>
        <x:v>OPEN</x:v>
      </x:c>
    </x:row>
    <x:row r="1187">
      <x:c r="B1187" t="str">
        <x:v>PH-TG-420-L</x:v>
      </x:c>
      <x:c r="C1187" t="str">
        <x:v>PHYSICAL</x:v>
      </x:c>
      <x:c r="D1187" t="str">
        <x:v>terrain load</x:v>
      </x:c>
      <x:c r="E1187" t="n">
        <x:f>IF('Terrain Field'!K426&lt;&gt;"",1,0)</x:f>
        <x:v>0</x:v>
      </x:c>
      <x:c r="F1187" t="n">
        <x:v>1</x:v>
      </x:c>
      <x:c r="G1187" t="str">
        <x:v>equals</x:v>
      </x:c>
      <x:c r="H1187" t="str">
        <x:v>independent physical acceptance</x:v>
      </x:c>
      <x:c r="I1187" t="str">
        <x:f>IF(E1187=1,"PASS","OPEN")</x:f>
        <x:v>OPEN</x:v>
      </x:c>
    </x:row>
    <x:row r="1188">
      <x:c r="B1188" t="str">
        <x:v>PH-TG-421-G</x:v>
      </x:c>
      <x:c r="C1188" t="str">
        <x:v>PHYSICAL</x:v>
      </x:c>
      <x:c r="D1188" t="str">
        <x:v>terrain geometry</x:v>
      </x:c>
      <x:c r="E1188" t="n">
        <x:f>IF('Terrain Field'!J427&lt;&gt;"",1,0)</x:f>
        <x:v>0</x:v>
      </x:c>
      <x:c r="F1188" t="n">
        <x:v>1</x:v>
      </x:c>
      <x:c r="G1188" t="str">
        <x:v>equals</x:v>
      </x:c>
      <x:c r="H1188" t="str">
        <x:v>independent physical acceptance</x:v>
      </x:c>
      <x:c r="I1188" t="str">
        <x:f>IF(E1188=1,"PASS","OPEN")</x:f>
        <x:v>OPEN</x:v>
      </x:c>
    </x:row>
    <x:row r="1189">
      <x:c r="B1189" t="str">
        <x:v>PH-TG-421-L</x:v>
      </x:c>
      <x:c r="C1189" t="str">
        <x:v>PHYSICAL</x:v>
      </x:c>
      <x:c r="D1189" t="str">
        <x:v>terrain load</x:v>
      </x:c>
      <x:c r="E1189" t="n">
        <x:f>IF('Terrain Field'!K427&lt;&gt;"",1,0)</x:f>
        <x:v>0</x:v>
      </x:c>
      <x:c r="F1189" t="n">
        <x:v>1</x:v>
      </x:c>
      <x:c r="G1189" t="str">
        <x:v>equals</x:v>
      </x:c>
      <x:c r="H1189" t="str">
        <x:v>independent physical acceptance</x:v>
      </x:c>
      <x:c r="I1189" t="str">
        <x:f>IF(E1189=1,"PASS","OPEN")</x:f>
        <x:v>OPEN</x:v>
      </x:c>
    </x:row>
    <x:row r="1190">
      <x:c r="B1190" t="str">
        <x:v>PH-TG-422-G</x:v>
      </x:c>
      <x:c r="C1190" t="str">
        <x:v>PHYSICAL</x:v>
      </x:c>
      <x:c r="D1190" t="str">
        <x:v>terrain geometry</x:v>
      </x:c>
      <x:c r="E1190" t="n">
        <x:f>IF('Terrain Field'!J428&lt;&gt;"",1,0)</x:f>
        <x:v>0</x:v>
      </x:c>
      <x:c r="F1190" t="n">
        <x:v>1</x:v>
      </x:c>
      <x:c r="G1190" t="str">
        <x:v>equals</x:v>
      </x:c>
      <x:c r="H1190" t="str">
        <x:v>independent physical acceptance</x:v>
      </x:c>
      <x:c r="I1190" t="str">
        <x:f>IF(E1190=1,"PASS","OPEN")</x:f>
        <x:v>OPEN</x:v>
      </x:c>
    </x:row>
    <x:row r="1191">
      <x:c r="B1191" t="str">
        <x:v>PH-TG-422-L</x:v>
      </x:c>
      <x:c r="C1191" t="str">
        <x:v>PHYSICAL</x:v>
      </x:c>
      <x:c r="D1191" t="str">
        <x:v>terrain load</x:v>
      </x:c>
      <x:c r="E1191" t="n">
        <x:f>IF('Terrain Field'!K428&lt;&gt;"",1,0)</x:f>
        <x:v>0</x:v>
      </x:c>
      <x:c r="F1191" t="n">
        <x:v>1</x:v>
      </x:c>
      <x:c r="G1191" t="str">
        <x:v>equals</x:v>
      </x:c>
      <x:c r="H1191" t="str">
        <x:v>independent physical acceptance</x:v>
      </x:c>
      <x:c r="I1191" t="str">
        <x:f>IF(E1191=1,"PASS","OPEN")</x:f>
        <x:v>OPEN</x:v>
      </x:c>
    </x:row>
    <x:row r="1192">
      <x:c r="B1192" t="str">
        <x:v>PH-TG-423-G</x:v>
      </x:c>
      <x:c r="C1192" t="str">
        <x:v>PHYSICAL</x:v>
      </x:c>
      <x:c r="D1192" t="str">
        <x:v>terrain geometry</x:v>
      </x:c>
      <x:c r="E1192" t="n">
        <x:f>IF('Terrain Field'!J429&lt;&gt;"",1,0)</x:f>
        <x:v>0</x:v>
      </x:c>
      <x:c r="F1192" t="n">
        <x:v>1</x:v>
      </x:c>
      <x:c r="G1192" t="str">
        <x:v>equals</x:v>
      </x:c>
      <x:c r="H1192" t="str">
        <x:v>independent physical acceptance</x:v>
      </x:c>
      <x:c r="I1192" t="str">
        <x:f>IF(E1192=1,"PASS","OPEN")</x:f>
        <x:v>OPEN</x:v>
      </x:c>
    </x:row>
    <x:row r="1193">
      <x:c r="B1193" t="str">
        <x:v>PH-TG-423-L</x:v>
      </x:c>
      <x:c r="C1193" t="str">
        <x:v>PHYSICAL</x:v>
      </x:c>
      <x:c r="D1193" t="str">
        <x:v>terrain load</x:v>
      </x:c>
      <x:c r="E1193" t="n">
        <x:f>IF('Terrain Field'!K429&lt;&gt;"",1,0)</x:f>
        <x:v>0</x:v>
      </x:c>
      <x:c r="F1193" t="n">
        <x:v>1</x:v>
      </x:c>
      <x:c r="G1193" t="str">
        <x:v>equals</x:v>
      </x:c>
      <x:c r="H1193" t="str">
        <x:v>independent physical acceptance</x:v>
      </x:c>
      <x:c r="I1193" t="str">
        <x:f>IF(E1193=1,"PASS","OPEN")</x:f>
        <x:v>OPEN</x:v>
      </x:c>
    </x:row>
    <x:row r="1194">
      <x:c r="B1194" t="str">
        <x:v>PH-TG-424-G</x:v>
      </x:c>
      <x:c r="C1194" t="str">
        <x:v>PHYSICAL</x:v>
      </x:c>
      <x:c r="D1194" t="str">
        <x:v>terrain geometry</x:v>
      </x:c>
      <x:c r="E1194" t="n">
        <x:f>IF('Terrain Field'!J430&lt;&gt;"",1,0)</x:f>
        <x:v>0</x:v>
      </x:c>
      <x:c r="F1194" t="n">
        <x:v>1</x:v>
      </x:c>
      <x:c r="G1194" t="str">
        <x:v>equals</x:v>
      </x:c>
      <x:c r="H1194" t="str">
        <x:v>independent physical acceptance</x:v>
      </x:c>
      <x:c r="I1194" t="str">
        <x:f>IF(E1194=1,"PASS","OPEN")</x:f>
        <x:v>OPEN</x:v>
      </x:c>
    </x:row>
    <x:row r="1195">
      <x:c r="B1195" t="str">
        <x:v>PH-TG-424-L</x:v>
      </x:c>
      <x:c r="C1195" t="str">
        <x:v>PHYSICAL</x:v>
      </x:c>
      <x:c r="D1195" t="str">
        <x:v>terrain load</x:v>
      </x:c>
      <x:c r="E1195" t="n">
        <x:f>IF('Terrain Field'!K430&lt;&gt;"",1,0)</x:f>
        <x:v>0</x:v>
      </x:c>
      <x:c r="F1195" t="n">
        <x:v>1</x:v>
      </x:c>
      <x:c r="G1195" t="str">
        <x:v>equals</x:v>
      </x:c>
      <x:c r="H1195" t="str">
        <x:v>independent physical acceptance</x:v>
      </x:c>
      <x:c r="I1195" t="str">
        <x:f>IF(E1195=1,"PASS","OPEN")</x:f>
        <x:v>OPEN</x:v>
      </x:c>
    </x:row>
    <x:row r="1196">
      <x:c r="B1196" t="str">
        <x:v>PH-TG-425-G</x:v>
      </x:c>
      <x:c r="C1196" t="str">
        <x:v>PHYSICAL</x:v>
      </x:c>
      <x:c r="D1196" t="str">
        <x:v>terrain geometry</x:v>
      </x:c>
      <x:c r="E1196" t="n">
        <x:f>IF('Terrain Field'!J431&lt;&gt;"",1,0)</x:f>
        <x:v>0</x:v>
      </x:c>
      <x:c r="F1196" t="n">
        <x:v>1</x:v>
      </x:c>
      <x:c r="G1196" t="str">
        <x:v>equals</x:v>
      </x:c>
      <x:c r="H1196" t="str">
        <x:v>independent physical acceptance</x:v>
      </x:c>
      <x:c r="I1196" t="str">
        <x:f>IF(E1196=1,"PASS","OPEN")</x:f>
        <x:v>OPEN</x:v>
      </x:c>
    </x:row>
    <x:row r="1197">
      <x:c r="B1197" t="str">
        <x:v>PH-TG-425-L</x:v>
      </x:c>
      <x:c r="C1197" t="str">
        <x:v>PHYSICAL</x:v>
      </x:c>
      <x:c r="D1197" t="str">
        <x:v>terrain load</x:v>
      </x:c>
      <x:c r="E1197" t="n">
        <x:f>IF('Terrain Field'!K431&lt;&gt;"",1,0)</x:f>
        <x:v>0</x:v>
      </x:c>
      <x:c r="F1197" t="n">
        <x:v>1</x:v>
      </x:c>
      <x:c r="G1197" t="str">
        <x:v>equals</x:v>
      </x:c>
      <x:c r="H1197" t="str">
        <x:v>independent physical acceptance</x:v>
      </x:c>
      <x:c r="I1197" t="str">
        <x:f>IF(E1197=1,"PASS","OPEN")</x:f>
        <x:v>OPEN</x:v>
      </x:c>
    </x:row>
    <x:row r="1198">
      <x:c r="B1198" t="str">
        <x:v>PH-TG-426-G</x:v>
      </x:c>
      <x:c r="C1198" t="str">
        <x:v>PHYSICAL</x:v>
      </x:c>
      <x:c r="D1198" t="str">
        <x:v>terrain geometry</x:v>
      </x:c>
      <x:c r="E1198" t="n">
        <x:f>IF('Terrain Field'!J432&lt;&gt;"",1,0)</x:f>
        <x:v>0</x:v>
      </x:c>
      <x:c r="F1198" t="n">
        <x:v>1</x:v>
      </x:c>
      <x:c r="G1198" t="str">
        <x:v>equals</x:v>
      </x:c>
      <x:c r="H1198" t="str">
        <x:v>independent physical acceptance</x:v>
      </x:c>
      <x:c r="I1198" t="str">
        <x:f>IF(E1198=1,"PASS","OPEN")</x:f>
        <x:v>OPEN</x:v>
      </x:c>
    </x:row>
    <x:row r="1199">
      <x:c r="B1199" t="str">
        <x:v>PH-TG-426-L</x:v>
      </x:c>
      <x:c r="C1199" t="str">
        <x:v>PHYSICAL</x:v>
      </x:c>
      <x:c r="D1199" t="str">
        <x:v>terrain load</x:v>
      </x:c>
      <x:c r="E1199" t="n">
        <x:f>IF('Terrain Field'!K432&lt;&gt;"",1,0)</x:f>
        <x:v>0</x:v>
      </x:c>
      <x:c r="F1199" t="n">
        <x:v>1</x:v>
      </x:c>
      <x:c r="G1199" t="str">
        <x:v>equals</x:v>
      </x:c>
      <x:c r="H1199" t="str">
        <x:v>independent physical acceptance</x:v>
      </x:c>
      <x:c r="I1199" t="str">
        <x:f>IF(E1199=1,"PASS","OPEN")</x:f>
        <x:v>OPEN</x:v>
      </x:c>
    </x:row>
    <x:row r="1200">
      <x:c r="B1200" t="str">
        <x:v>PH-TG-427-G</x:v>
      </x:c>
      <x:c r="C1200" t="str">
        <x:v>PHYSICAL</x:v>
      </x:c>
      <x:c r="D1200" t="str">
        <x:v>terrain geometry</x:v>
      </x:c>
      <x:c r="E1200" t="n">
        <x:f>IF('Terrain Field'!J433&lt;&gt;"",1,0)</x:f>
        <x:v>0</x:v>
      </x:c>
      <x:c r="F1200" t="n">
        <x:v>1</x:v>
      </x:c>
      <x:c r="G1200" t="str">
        <x:v>equals</x:v>
      </x:c>
      <x:c r="H1200" t="str">
        <x:v>independent physical acceptance</x:v>
      </x:c>
      <x:c r="I1200" t="str">
        <x:f>IF(E1200=1,"PASS","OPEN")</x:f>
        <x:v>OPEN</x:v>
      </x:c>
    </x:row>
    <x:row r="1201">
      <x:c r="B1201" t="str">
        <x:v>PH-TG-427-L</x:v>
      </x:c>
      <x:c r="C1201" t="str">
        <x:v>PHYSICAL</x:v>
      </x:c>
      <x:c r="D1201" t="str">
        <x:v>terrain load</x:v>
      </x:c>
      <x:c r="E1201" t="n">
        <x:f>IF('Terrain Field'!K433&lt;&gt;"",1,0)</x:f>
        <x:v>0</x:v>
      </x:c>
      <x:c r="F1201" t="n">
        <x:v>1</x:v>
      </x:c>
      <x:c r="G1201" t="str">
        <x:v>equals</x:v>
      </x:c>
      <x:c r="H1201" t="str">
        <x:v>independent physical acceptance</x:v>
      </x:c>
      <x:c r="I1201" t="str">
        <x:f>IF(E1201=1,"PASS","OPEN")</x:f>
        <x:v>OPEN</x:v>
      </x:c>
    </x:row>
    <x:row r="1202">
      <x:c r="B1202" t="str">
        <x:v>PH-TG-428-G</x:v>
      </x:c>
      <x:c r="C1202" t="str">
        <x:v>PHYSICAL</x:v>
      </x:c>
      <x:c r="D1202" t="str">
        <x:v>terrain geometry</x:v>
      </x:c>
      <x:c r="E1202" t="n">
        <x:f>IF('Terrain Field'!J434&lt;&gt;"",1,0)</x:f>
        <x:v>0</x:v>
      </x:c>
      <x:c r="F1202" t="n">
        <x:v>1</x:v>
      </x:c>
      <x:c r="G1202" t="str">
        <x:v>equals</x:v>
      </x:c>
      <x:c r="H1202" t="str">
        <x:v>independent physical acceptance</x:v>
      </x:c>
      <x:c r="I1202" t="str">
        <x:f>IF(E1202=1,"PASS","OPEN")</x:f>
        <x:v>OPEN</x:v>
      </x:c>
    </x:row>
    <x:row r="1203">
      <x:c r="B1203" t="str">
        <x:v>PH-TG-428-L</x:v>
      </x:c>
      <x:c r="C1203" t="str">
        <x:v>PHYSICAL</x:v>
      </x:c>
      <x:c r="D1203" t="str">
        <x:v>terrain load</x:v>
      </x:c>
      <x:c r="E1203" t="n">
        <x:f>IF('Terrain Field'!K434&lt;&gt;"",1,0)</x:f>
        <x:v>0</x:v>
      </x:c>
      <x:c r="F1203" t="n">
        <x:v>1</x:v>
      </x:c>
      <x:c r="G1203" t="str">
        <x:v>equals</x:v>
      </x:c>
      <x:c r="H1203" t="str">
        <x:v>independent physical acceptance</x:v>
      </x:c>
      <x:c r="I1203" t="str">
        <x:f>IF(E1203=1,"PASS","OPEN")</x:f>
        <x:v>OPEN</x:v>
      </x:c>
    </x:row>
    <x:row r="1204">
      <x:c r="B1204" t="str">
        <x:v>PH-TG-429-G</x:v>
      </x:c>
      <x:c r="C1204" t="str">
        <x:v>PHYSICAL</x:v>
      </x:c>
      <x:c r="D1204" t="str">
        <x:v>terrain geometry</x:v>
      </x:c>
      <x:c r="E1204" t="n">
        <x:f>IF('Terrain Field'!J435&lt;&gt;"",1,0)</x:f>
        <x:v>0</x:v>
      </x:c>
      <x:c r="F1204" t="n">
        <x:v>1</x:v>
      </x:c>
      <x:c r="G1204" t="str">
        <x:v>equals</x:v>
      </x:c>
      <x:c r="H1204" t="str">
        <x:v>independent physical acceptance</x:v>
      </x:c>
      <x:c r="I1204" t="str">
        <x:f>IF(E1204=1,"PASS","OPEN")</x:f>
        <x:v>OPEN</x:v>
      </x:c>
    </x:row>
    <x:row r="1205">
      <x:c r="B1205" t="str">
        <x:v>PH-TG-429-L</x:v>
      </x:c>
      <x:c r="C1205" t="str">
        <x:v>PHYSICAL</x:v>
      </x:c>
      <x:c r="D1205" t="str">
        <x:v>terrain load</x:v>
      </x:c>
      <x:c r="E1205" t="n">
        <x:f>IF('Terrain Field'!K435&lt;&gt;"",1,0)</x:f>
        <x:v>0</x:v>
      </x:c>
      <x:c r="F1205" t="n">
        <x:v>1</x:v>
      </x:c>
      <x:c r="G1205" t="str">
        <x:v>equals</x:v>
      </x:c>
      <x:c r="H1205" t="str">
        <x:v>independent physical acceptance</x:v>
      </x:c>
      <x:c r="I1205" t="str">
        <x:f>IF(E1205=1,"PASS","OPEN")</x:f>
        <x:v>OPEN</x:v>
      </x:c>
    </x:row>
    <x:row r="1206">
      <x:c r="B1206" t="str">
        <x:v>PH-TG-430-G</x:v>
      </x:c>
      <x:c r="C1206" t="str">
        <x:v>PHYSICAL</x:v>
      </x:c>
      <x:c r="D1206" t="str">
        <x:v>terrain geometry</x:v>
      </x:c>
      <x:c r="E1206" t="n">
        <x:f>IF('Terrain Field'!J436&lt;&gt;"",1,0)</x:f>
        <x:v>0</x:v>
      </x:c>
      <x:c r="F1206" t="n">
        <x:v>1</x:v>
      </x:c>
      <x:c r="G1206" t="str">
        <x:v>equals</x:v>
      </x:c>
      <x:c r="H1206" t="str">
        <x:v>independent physical acceptance</x:v>
      </x:c>
      <x:c r="I1206" t="str">
        <x:f>IF(E1206=1,"PASS","OPEN")</x:f>
        <x:v>OPEN</x:v>
      </x:c>
    </x:row>
    <x:row r="1207">
      <x:c r="B1207" t="str">
        <x:v>PH-TG-430-L</x:v>
      </x:c>
      <x:c r="C1207" t="str">
        <x:v>PHYSICAL</x:v>
      </x:c>
      <x:c r="D1207" t="str">
        <x:v>terrain load</x:v>
      </x:c>
      <x:c r="E1207" t="n">
        <x:f>IF('Terrain Field'!K436&lt;&gt;"",1,0)</x:f>
        <x:v>0</x:v>
      </x:c>
      <x:c r="F1207" t="n">
        <x:v>1</x:v>
      </x:c>
      <x:c r="G1207" t="str">
        <x:v>equals</x:v>
      </x:c>
      <x:c r="H1207" t="str">
        <x:v>independent physical acceptance</x:v>
      </x:c>
      <x:c r="I1207" t="str">
        <x:f>IF(E1207=1,"PASS","OPEN")</x:f>
        <x:v>OPEN</x:v>
      </x:c>
    </x:row>
    <x:row r="1208">
      <x:c r="B1208" t="str">
        <x:v>PH-TG-431-G</x:v>
      </x:c>
      <x:c r="C1208" t="str">
        <x:v>PHYSICAL</x:v>
      </x:c>
      <x:c r="D1208" t="str">
        <x:v>terrain geometry</x:v>
      </x:c>
      <x:c r="E1208" t="n">
        <x:f>IF('Terrain Field'!J437&lt;&gt;"",1,0)</x:f>
        <x:v>0</x:v>
      </x:c>
      <x:c r="F1208" t="n">
        <x:v>1</x:v>
      </x:c>
      <x:c r="G1208" t="str">
        <x:v>equals</x:v>
      </x:c>
      <x:c r="H1208" t="str">
        <x:v>independent physical acceptance</x:v>
      </x:c>
      <x:c r="I1208" t="str">
        <x:f>IF(E1208=1,"PASS","OPEN")</x:f>
        <x:v>OPEN</x:v>
      </x:c>
    </x:row>
    <x:row r="1209">
      <x:c r="B1209" t="str">
        <x:v>PH-TG-431-L</x:v>
      </x:c>
      <x:c r="C1209" t="str">
        <x:v>PHYSICAL</x:v>
      </x:c>
      <x:c r="D1209" t="str">
        <x:v>terrain load</x:v>
      </x:c>
      <x:c r="E1209" t="n">
        <x:f>IF('Terrain Field'!K437&lt;&gt;"",1,0)</x:f>
        <x:v>0</x:v>
      </x:c>
      <x:c r="F1209" t="n">
        <x:v>1</x:v>
      </x:c>
      <x:c r="G1209" t="str">
        <x:v>equals</x:v>
      </x:c>
      <x:c r="H1209" t="str">
        <x:v>independent physical acceptance</x:v>
      </x:c>
      <x:c r="I1209" t="str">
        <x:f>IF(E1209=1,"PASS","OPEN")</x:f>
        <x:v>OPEN</x:v>
      </x:c>
    </x:row>
    <x:row r="1210">
      <x:c r="B1210" t="str">
        <x:v>PH-TG-432-G</x:v>
      </x:c>
      <x:c r="C1210" t="str">
        <x:v>PHYSICAL</x:v>
      </x:c>
      <x:c r="D1210" t="str">
        <x:v>terrain geometry</x:v>
      </x:c>
      <x:c r="E1210" t="n">
        <x:f>IF('Terrain Field'!J438&lt;&gt;"",1,0)</x:f>
        <x:v>0</x:v>
      </x:c>
      <x:c r="F1210" t="n">
        <x:v>1</x:v>
      </x:c>
      <x:c r="G1210" t="str">
        <x:v>equals</x:v>
      </x:c>
      <x:c r="H1210" t="str">
        <x:v>independent physical acceptance</x:v>
      </x:c>
      <x:c r="I1210" t="str">
        <x:f>IF(E1210=1,"PASS","OPEN")</x:f>
        <x:v>OPEN</x:v>
      </x:c>
    </x:row>
    <x:row r="1211">
      <x:c r="B1211" t="str">
        <x:v>PH-TG-432-L</x:v>
      </x:c>
      <x:c r="C1211" t="str">
        <x:v>PHYSICAL</x:v>
      </x:c>
      <x:c r="D1211" t="str">
        <x:v>terrain load</x:v>
      </x:c>
      <x:c r="E1211" t="n">
        <x:f>IF('Terrain Field'!K438&lt;&gt;"",1,0)</x:f>
        <x:v>0</x:v>
      </x:c>
      <x:c r="F1211" t="n">
        <x:v>1</x:v>
      </x:c>
      <x:c r="G1211" t="str">
        <x:v>equals</x:v>
      </x:c>
      <x:c r="H1211" t="str">
        <x:v>independent physical acceptance</x:v>
      </x:c>
      <x:c r="I1211" t="str">
        <x:f>IF(E1211=1,"PASS","OPEN")</x:f>
        <x:v>OPEN</x:v>
      </x:c>
    </x:row>
    <x:row r="1212">
      <x:c r="B1212" t="str">
        <x:v>PH-TG-433-G</x:v>
      </x:c>
      <x:c r="C1212" t="str">
        <x:v>PHYSICAL</x:v>
      </x:c>
      <x:c r="D1212" t="str">
        <x:v>terrain geometry</x:v>
      </x:c>
      <x:c r="E1212" t="n">
        <x:f>IF('Terrain Field'!J439&lt;&gt;"",1,0)</x:f>
        <x:v>0</x:v>
      </x:c>
      <x:c r="F1212" t="n">
        <x:v>1</x:v>
      </x:c>
      <x:c r="G1212" t="str">
        <x:v>equals</x:v>
      </x:c>
      <x:c r="H1212" t="str">
        <x:v>independent physical acceptance</x:v>
      </x:c>
      <x:c r="I1212" t="str">
        <x:f>IF(E1212=1,"PASS","OPEN")</x:f>
        <x:v>OPEN</x:v>
      </x:c>
    </x:row>
    <x:row r="1213">
      <x:c r="B1213" t="str">
        <x:v>PH-TG-433-L</x:v>
      </x:c>
      <x:c r="C1213" t="str">
        <x:v>PHYSICAL</x:v>
      </x:c>
      <x:c r="D1213" t="str">
        <x:v>terrain load</x:v>
      </x:c>
      <x:c r="E1213" t="n">
        <x:f>IF('Terrain Field'!K439&lt;&gt;"",1,0)</x:f>
        <x:v>0</x:v>
      </x:c>
      <x:c r="F1213" t="n">
        <x:v>1</x:v>
      </x:c>
      <x:c r="G1213" t="str">
        <x:v>equals</x:v>
      </x:c>
      <x:c r="H1213" t="str">
        <x:v>independent physical acceptance</x:v>
      </x:c>
      <x:c r="I1213" t="str">
        <x:f>IF(E1213=1,"PASS","OPEN")</x:f>
        <x:v>OPEN</x:v>
      </x:c>
    </x:row>
    <x:row r="1214">
      <x:c r="B1214" t="str">
        <x:v>PH-TG-434-G</x:v>
      </x:c>
      <x:c r="C1214" t="str">
        <x:v>PHYSICAL</x:v>
      </x:c>
      <x:c r="D1214" t="str">
        <x:v>terrain geometry</x:v>
      </x:c>
      <x:c r="E1214" t="n">
        <x:f>IF('Terrain Field'!J440&lt;&gt;"",1,0)</x:f>
        <x:v>0</x:v>
      </x:c>
      <x:c r="F1214" t="n">
        <x:v>1</x:v>
      </x:c>
      <x:c r="G1214" t="str">
        <x:v>equals</x:v>
      </x:c>
      <x:c r="H1214" t="str">
        <x:v>independent physical acceptance</x:v>
      </x:c>
      <x:c r="I1214" t="str">
        <x:f>IF(E1214=1,"PASS","OPEN")</x:f>
        <x:v>OPEN</x:v>
      </x:c>
    </x:row>
    <x:row r="1215">
      <x:c r="B1215" t="str">
        <x:v>PH-TG-434-L</x:v>
      </x:c>
      <x:c r="C1215" t="str">
        <x:v>PHYSICAL</x:v>
      </x:c>
      <x:c r="D1215" t="str">
        <x:v>terrain load</x:v>
      </x:c>
      <x:c r="E1215" t="n">
        <x:f>IF('Terrain Field'!K440&lt;&gt;"",1,0)</x:f>
        <x:v>0</x:v>
      </x:c>
      <x:c r="F1215" t="n">
        <x:v>1</x:v>
      </x:c>
      <x:c r="G1215" t="str">
        <x:v>equals</x:v>
      </x:c>
      <x:c r="H1215" t="str">
        <x:v>independent physical acceptance</x:v>
      </x:c>
      <x:c r="I1215" t="str">
        <x:f>IF(E1215=1,"PASS","OPEN")</x:f>
        <x:v>OPEN</x:v>
      </x:c>
    </x:row>
    <x:row r="1216">
      <x:c r="B1216" t="str">
        <x:v>PH-TG-435-G</x:v>
      </x:c>
      <x:c r="C1216" t="str">
        <x:v>PHYSICAL</x:v>
      </x:c>
      <x:c r="D1216" t="str">
        <x:v>terrain geometry</x:v>
      </x:c>
      <x:c r="E1216" t="n">
        <x:f>IF('Terrain Field'!J441&lt;&gt;"",1,0)</x:f>
        <x:v>0</x:v>
      </x:c>
      <x:c r="F1216" t="n">
        <x:v>1</x:v>
      </x:c>
      <x:c r="G1216" t="str">
        <x:v>equals</x:v>
      </x:c>
      <x:c r="H1216" t="str">
        <x:v>independent physical acceptance</x:v>
      </x:c>
      <x:c r="I1216" t="str">
        <x:f>IF(E1216=1,"PASS","OPEN")</x:f>
        <x:v>OPEN</x:v>
      </x:c>
    </x:row>
    <x:row r="1217">
      <x:c r="B1217" t="str">
        <x:v>PH-TG-435-L</x:v>
      </x:c>
      <x:c r="C1217" t="str">
        <x:v>PHYSICAL</x:v>
      </x:c>
      <x:c r="D1217" t="str">
        <x:v>terrain load</x:v>
      </x:c>
      <x:c r="E1217" t="n">
        <x:f>IF('Terrain Field'!K441&lt;&gt;"",1,0)</x:f>
        <x:v>0</x:v>
      </x:c>
      <x:c r="F1217" t="n">
        <x:v>1</x:v>
      </x:c>
      <x:c r="G1217" t="str">
        <x:v>equals</x:v>
      </x:c>
      <x:c r="H1217" t="str">
        <x:v>independent physical acceptance</x:v>
      </x:c>
      <x:c r="I1217" t="str">
        <x:f>IF(E1217=1,"PASS","OPEN")</x:f>
        <x:v>OPEN</x:v>
      </x:c>
    </x:row>
    <x:row r="1218">
      <x:c r="B1218" t="str">
        <x:v>PH-TG-436-G</x:v>
      </x:c>
      <x:c r="C1218" t="str">
        <x:v>PHYSICAL</x:v>
      </x:c>
      <x:c r="D1218" t="str">
        <x:v>terrain geometry</x:v>
      </x:c>
      <x:c r="E1218" t="n">
        <x:f>IF('Terrain Field'!J442&lt;&gt;"",1,0)</x:f>
        <x:v>0</x:v>
      </x:c>
      <x:c r="F1218" t="n">
        <x:v>1</x:v>
      </x:c>
      <x:c r="G1218" t="str">
        <x:v>equals</x:v>
      </x:c>
      <x:c r="H1218" t="str">
        <x:v>independent physical acceptance</x:v>
      </x:c>
      <x:c r="I1218" t="str">
        <x:f>IF(E1218=1,"PASS","OPEN")</x:f>
        <x:v>OPEN</x:v>
      </x:c>
    </x:row>
    <x:row r="1219">
      <x:c r="B1219" t="str">
        <x:v>PH-TG-436-L</x:v>
      </x:c>
      <x:c r="C1219" t="str">
        <x:v>PHYSICAL</x:v>
      </x:c>
      <x:c r="D1219" t="str">
        <x:v>terrain load</x:v>
      </x:c>
      <x:c r="E1219" t="n">
        <x:f>IF('Terrain Field'!K442&lt;&gt;"",1,0)</x:f>
        <x:v>0</x:v>
      </x:c>
      <x:c r="F1219" t="n">
        <x:v>1</x:v>
      </x:c>
      <x:c r="G1219" t="str">
        <x:v>equals</x:v>
      </x:c>
      <x:c r="H1219" t="str">
        <x:v>independent physical acceptance</x:v>
      </x:c>
      <x:c r="I1219" t="str">
        <x:f>IF(E1219=1,"PASS","OPEN")</x:f>
        <x:v>OPEN</x:v>
      </x:c>
    </x:row>
    <x:row r="1220">
      <x:c r="B1220" t="str">
        <x:v>PH-TG-437-G</x:v>
      </x:c>
      <x:c r="C1220" t="str">
        <x:v>PHYSICAL</x:v>
      </x:c>
      <x:c r="D1220" t="str">
        <x:v>terrain geometry</x:v>
      </x:c>
      <x:c r="E1220" t="n">
        <x:f>IF('Terrain Field'!J443&lt;&gt;"",1,0)</x:f>
        <x:v>0</x:v>
      </x:c>
      <x:c r="F1220" t="n">
        <x:v>1</x:v>
      </x:c>
      <x:c r="G1220" t="str">
        <x:v>equals</x:v>
      </x:c>
      <x:c r="H1220" t="str">
        <x:v>independent physical acceptance</x:v>
      </x:c>
      <x:c r="I1220" t="str">
        <x:f>IF(E1220=1,"PASS","OPEN")</x:f>
        <x:v>OPEN</x:v>
      </x:c>
    </x:row>
    <x:row r="1221">
      <x:c r="B1221" t="str">
        <x:v>PH-TG-437-L</x:v>
      </x:c>
      <x:c r="C1221" t="str">
        <x:v>PHYSICAL</x:v>
      </x:c>
      <x:c r="D1221" t="str">
        <x:v>terrain load</x:v>
      </x:c>
      <x:c r="E1221" t="n">
        <x:f>IF('Terrain Field'!K443&lt;&gt;"",1,0)</x:f>
        <x:v>0</x:v>
      </x:c>
      <x:c r="F1221" t="n">
        <x:v>1</x:v>
      </x:c>
      <x:c r="G1221" t="str">
        <x:v>equals</x:v>
      </x:c>
      <x:c r="H1221" t="str">
        <x:v>independent physical acceptance</x:v>
      </x:c>
      <x:c r="I1221" t="str">
        <x:f>IF(E1221=1,"PASS","OPEN")</x:f>
        <x:v>OPEN</x:v>
      </x:c>
    </x:row>
    <x:row r="1222">
      <x:c r="B1222" t="str">
        <x:v>PH-TG-438-G</x:v>
      </x:c>
      <x:c r="C1222" t="str">
        <x:v>PHYSICAL</x:v>
      </x:c>
      <x:c r="D1222" t="str">
        <x:v>terrain geometry</x:v>
      </x:c>
      <x:c r="E1222" t="n">
        <x:f>IF('Terrain Field'!J444&lt;&gt;"",1,0)</x:f>
        <x:v>0</x:v>
      </x:c>
      <x:c r="F1222" t="n">
        <x:v>1</x:v>
      </x:c>
      <x:c r="G1222" t="str">
        <x:v>equals</x:v>
      </x:c>
      <x:c r="H1222" t="str">
        <x:v>independent physical acceptance</x:v>
      </x:c>
      <x:c r="I1222" t="str">
        <x:f>IF(E1222=1,"PASS","OPEN")</x:f>
        <x:v>OPEN</x:v>
      </x:c>
    </x:row>
    <x:row r="1223">
      <x:c r="B1223" t="str">
        <x:v>PH-TG-438-L</x:v>
      </x:c>
      <x:c r="C1223" t="str">
        <x:v>PHYSICAL</x:v>
      </x:c>
      <x:c r="D1223" t="str">
        <x:v>terrain load</x:v>
      </x:c>
      <x:c r="E1223" t="n">
        <x:f>IF('Terrain Field'!K444&lt;&gt;"",1,0)</x:f>
        <x:v>0</x:v>
      </x:c>
      <x:c r="F1223" t="n">
        <x:v>1</x:v>
      </x:c>
      <x:c r="G1223" t="str">
        <x:v>equals</x:v>
      </x:c>
      <x:c r="H1223" t="str">
        <x:v>independent physical acceptance</x:v>
      </x:c>
      <x:c r="I1223" t="str">
        <x:f>IF(E1223=1,"PASS","OPEN")</x:f>
        <x:v>OPEN</x:v>
      </x:c>
    </x:row>
    <x:row r="1224">
      <x:c r="B1224" t="str">
        <x:v>PH-TG-439-G</x:v>
      </x:c>
      <x:c r="C1224" t="str">
        <x:v>PHYSICAL</x:v>
      </x:c>
      <x:c r="D1224" t="str">
        <x:v>terrain geometry</x:v>
      </x:c>
      <x:c r="E1224" t="n">
        <x:f>IF('Terrain Field'!J445&lt;&gt;"",1,0)</x:f>
        <x:v>0</x:v>
      </x:c>
      <x:c r="F1224" t="n">
        <x:v>1</x:v>
      </x:c>
      <x:c r="G1224" t="str">
        <x:v>equals</x:v>
      </x:c>
      <x:c r="H1224" t="str">
        <x:v>independent physical acceptance</x:v>
      </x:c>
      <x:c r="I1224" t="str">
        <x:f>IF(E1224=1,"PASS","OPEN")</x:f>
        <x:v>OPEN</x:v>
      </x:c>
    </x:row>
    <x:row r="1225">
      <x:c r="B1225" t="str">
        <x:v>PH-TG-439-L</x:v>
      </x:c>
      <x:c r="C1225" t="str">
        <x:v>PHYSICAL</x:v>
      </x:c>
      <x:c r="D1225" t="str">
        <x:v>terrain load</x:v>
      </x:c>
      <x:c r="E1225" t="n">
        <x:f>IF('Terrain Field'!K445&lt;&gt;"",1,0)</x:f>
        <x:v>0</x:v>
      </x:c>
      <x:c r="F1225" t="n">
        <x:v>1</x:v>
      </x:c>
      <x:c r="G1225" t="str">
        <x:v>equals</x:v>
      </x:c>
      <x:c r="H1225" t="str">
        <x:v>independent physical acceptance</x:v>
      </x:c>
      <x:c r="I1225" t="str">
        <x:f>IF(E1225=1,"PASS","OPEN")</x:f>
        <x:v>OPEN</x:v>
      </x:c>
    </x:row>
    <x:row r="1226">
      <x:c r="B1226" t="str">
        <x:v>PH-TG-440-G</x:v>
      </x:c>
      <x:c r="C1226" t="str">
        <x:v>PHYSICAL</x:v>
      </x:c>
      <x:c r="D1226" t="str">
        <x:v>terrain geometry</x:v>
      </x:c>
      <x:c r="E1226" t="n">
        <x:f>IF('Terrain Field'!J446&lt;&gt;"",1,0)</x:f>
        <x:v>0</x:v>
      </x:c>
      <x:c r="F1226" t="n">
        <x:v>1</x:v>
      </x:c>
      <x:c r="G1226" t="str">
        <x:v>equals</x:v>
      </x:c>
      <x:c r="H1226" t="str">
        <x:v>independent physical acceptance</x:v>
      </x:c>
      <x:c r="I1226" t="str">
        <x:f>IF(E1226=1,"PASS","OPEN")</x:f>
        <x:v>OPEN</x:v>
      </x:c>
    </x:row>
    <x:row r="1227">
      <x:c r="B1227" t="str">
        <x:v>PH-TG-440-L</x:v>
      </x:c>
      <x:c r="C1227" t="str">
        <x:v>PHYSICAL</x:v>
      </x:c>
      <x:c r="D1227" t="str">
        <x:v>terrain load</x:v>
      </x:c>
      <x:c r="E1227" t="n">
        <x:f>IF('Terrain Field'!K446&lt;&gt;"",1,0)</x:f>
        <x:v>0</x:v>
      </x:c>
      <x:c r="F1227" t="n">
        <x:v>1</x:v>
      </x:c>
      <x:c r="G1227" t="str">
        <x:v>equals</x:v>
      </x:c>
      <x:c r="H1227" t="str">
        <x:v>independent physical acceptance</x:v>
      </x:c>
      <x:c r="I1227" t="str">
        <x:f>IF(E1227=1,"PASS","OPEN")</x:f>
        <x:v>OPEN</x:v>
      </x:c>
    </x:row>
    <x:row r="1228">
      <x:c r="B1228" t="str">
        <x:v>PH-TG-441-G</x:v>
      </x:c>
      <x:c r="C1228" t="str">
        <x:v>PHYSICAL</x:v>
      </x:c>
      <x:c r="D1228" t="str">
        <x:v>terrain geometry</x:v>
      </x:c>
      <x:c r="E1228" t="n">
        <x:f>IF('Terrain Field'!J447&lt;&gt;"",1,0)</x:f>
        <x:v>0</x:v>
      </x:c>
      <x:c r="F1228" t="n">
        <x:v>1</x:v>
      </x:c>
      <x:c r="G1228" t="str">
        <x:v>equals</x:v>
      </x:c>
      <x:c r="H1228" t="str">
        <x:v>independent physical acceptance</x:v>
      </x:c>
      <x:c r="I1228" t="str">
        <x:f>IF(E1228=1,"PASS","OPEN")</x:f>
        <x:v>OPEN</x:v>
      </x:c>
    </x:row>
    <x:row r="1229">
      <x:c r="B1229" t="str">
        <x:v>PH-TG-441-L</x:v>
      </x:c>
      <x:c r="C1229" t="str">
        <x:v>PHYSICAL</x:v>
      </x:c>
      <x:c r="D1229" t="str">
        <x:v>terrain load</x:v>
      </x:c>
      <x:c r="E1229" t="n">
        <x:f>IF('Terrain Field'!K447&lt;&gt;"",1,0)</x:f>
        <x:v>0</x:v>
      </x:c>
      <x:c r="F1229" t="n">
        <x:v>1</x:v>
      </x:c>
      <x:c r="G1229" t="str">
        <x:v>equals</x:v>
      </x:c>
      <x:c r="H1229" t="str">
        <x:v>independent physical acceptance</x:v>
      </x:c>
      <x:c r="I1229" t="str">
        <x:f>IF(E1229=1,"PASS","OPEN")</x:f>
        <x:v>OPEN</x:v>
      </x:c>
    </x:row>
    <x:row r="1230">
      <x:c r="B1230" t="str">
        <x:v>PH-TG-442-G</x:v>
      </x:c>
      <x:c r="C1230" t="str">
        <x:v>PHYSICAL</x:v>
      </x:c>
      <x:c r="D1230" t="str">
        <x:v>terrain geometry</x:v>
      </x:c>
      <x:c r="E1230" t="n">
        <x:f>IF('Terrain Field'!J448&lt;&gt;"",1,0)</x:f>
        <x:v>0</x:v>
      </x:c>
      <x:c r="F1230" t="n">
        <x:v>1</x:v>
      </x:c>
      <x:c r="G1230" t="str">
        <x:v>equals</x:v>
      </x:c>
      <x:c r="H1230" t="str">
        <x:v>independent physical acceptance</x:v>
      </x:c>
      <x:c r="I1230" t="str">
        <x:f>IF(E1230=1,"PASS","OPEN")</x:f>
        <x:v>OPEN</x:v>
      </x:c>
    </x:row>
    <x:row r="1231">
      <x:c r="B1231" t="str">
        <x:v>PH-TG-442-L</x:v>
      </x:c>
      <x:c r="C1231" t="str">
        <x:v>PHYSICAL</x:v>
      </x:c>
      <x:c r="D1231" t="str">
        <x:v>terrain load</x:v>
      </x:c>
      <x:c r="E1231" t="n">
        <x:f>IF('Terrain Field'!K448&lt;&gt;"",1,0)</x:f>
        <x:v>0</x:v>
      </x:c>
      <x:c r="F1231" t="n">
        <x:v>1</x:v>
      </x:c>
      <x:c r="G1231" t="str">
        <x:v>equals</x:v>
      </x:c>
      <x:c r="H1231" t="str">
        <x:v>independent physical acceptance</x:v>
      </x:c>
      <x:c r="I1231" t="str">
        <x:f>IF(E1231=1,"PASS","OPEN")</x:f>
        <x:v>OPEN</x:v>
      </x:c>
    </x:row>
    <x:row r="1232">
      <x:c r="B1232" t="str">
        <x:v>PH-TG-443-G</x:v>
      </x:c>
      <x:c r="C1232" t="str">
        <x:v>PHYSICAL</x:v>
      </x:c>
      <x:c r="D1232" t="str">
        <x:v>terrain geometry</x:v>
      </x:c>
      <x:c r="E1232" t="n">
        <x:f>IF('Terrain Field'!J449&lt;&gt;"",1,0)</x:f>
        <x:v>0</x:v>
      </x:c>
      <x:c r="F1232" t="n">
        <x:v>1</x:v>
      </x:c>
      <x:c r="G1232" t="str">
        <x:v>equals</x:v>
      </x:c>
      <x:c r="H1232" t="str">
        <x:v>independent physical acceptance</x:v>
      </x:c>
      <x:c r="I1232" t="str">
        <x:f>IF(E1232=1,"PASS","OPEN")</x:f>
        <x:v>OPEN</x:v>
      </x:c>
    </x:row>
    <x:row r="1233">
      <x:c r="B1233" t="str">
        <x:v>PH-TG-443-L</x:v>
      </x:c>
      <x:c r="C1233" t="str">
        <x:v>PHYSICAL</x:v>
      </x:c>
      <x:c r="D1233" t="str">
        <x:v>terrain load</x:v>
      </x:c>
      <x:c r="E1233" t="n">
        <x:f>IF('Terrain Field'!K449&lt;&gt;"",1,0)</x:f>
        <x:v>0</x:v>
      </x:c>
      <x:c r="F1233" t="n">
        <x:v>1</x:v>
      </x:c>
      <x:c r="G1233" t="str">
        <x:v>equals</x:v>
      </x:c>
      <x:c r="H1233" t="str">
        <x:v>independent physical acceptance</x:v>
      </x:c>
      <x:c r="I1233" t="str">
        <x:f>IF(E1233=1,"PASS","OPEN")</x:f>
        <x:v>OPEN</x:v>
      </x:c>
    </x:row>
    <x:row r="1234">
      <x:c r="B1234" t="str">
        <x:v>PH-TG-444-G</x:v>
      </x:c>
      <x:c r="C1234" t="str">
        <x:v>PHYSICAL</x:v>
      </x:c>
      <x:c r="D1234" t="str">
        <x:v>terrain geometry</x:v>
      </x:c>
      <x:c r="E1234" t="n">
        <x:f>IF('Terrain Field'!J450&lt;&gt;"",1,0)</x:f>
        <x:v>0</x:v>
      </x:c>
      <x:c r="F1234" t="n">
        <x:v>1</x:v>
      </x:c>
      <x:c r="G1234" t="str">
        <x:v>equals</x:v>
      </x:c>
      <x:c r="H1234" t="str">
        <x:v>independent physical acceptance</x:v>
      </x:c>
      <x:c r="I1234" t="str">
        <x:f>IF(E1234=1,"PASS","OPEN")</x:f>
        <x:v>OPEN</x:v>
      </x:c>
    </x:row>
    <x:row r="1235">
      <x:c r="B1235" t="str">
        <x:v>PH-TG-444-L</x:v>
      </x:c>
      <x:c r="C1235" t="str">
        <x:v>PHYSICAL</x:v>
      </x:c>
      <x:c r="D1235" t="str">
        <x:v>terrain load</x:v>
      </x:c>
      <x:c r="E1235" t="n">
        <x:f>IF('Terrain Field'!K450&lt;&gt;"",1,0)</x:f>
        <x:v>0</x:v>
      </x:c>
      <x:c r="F1235" t="n">
        <x:v>1</x:v>
      </x:c>
      <x:c r="G1235" t="str">
        <x:v>equals</x:v>
      </x:c>
      <x:c r="H1235" t="str">
        <x:v>independent physical acceptance</x:v>
      </x:c>
      <x:c r="I1235" t="str">
        <x:f>IF(E1235=1,"PASS","OPEN")</x:f>
        <x:v>OPEN</x:v>
      </x:c>
    </x:row>
    <x:row r="1236">
      <x:c r="B1236" t="str">
        <x:v>PH-TG-445-G</x:v>
      </x:c>
      <x:c r="C1236" t="str">
        <x:v>PHYSICAL</x:v>
      </x:c>
      <x:c r="D1236" t="str">
        <x:v>terrain geometry</x:v>
      </x:c>
      <x:c r="E1236" t="n">
        <x:f>IF('Terrain Field'!J451&lt;&gt;"",1,0)</x:f>
        <x:v>0</x:v>
      </x:c>
      <x:c r="F1236" t="n">
        <x:v>1</x:v>
      </x:c>
      <x:c r="G1236" t="str">
        <x:v>equals</x:v>
      </x:c>
      <x:c r="H1236" t="str">
        <x:v>independent physical acceptance</x:v>
      </x:c>
      <x:c r="I1236" t="str">
        <x:f>IF(E1236=1,"PASS","OPEN")</x:f>
        <x:v>OPEN</x:v>
      </x:c>
    </x:row>
    <x:row r="1237">
      <x:c r="B1237" t="str">
        <x:v>PH-TG-445-L</x:v>
      </x:c>
      <x:c r="C1237" t="str">
        <x:v>PHYSICAL</x:v>
      </x:c>
      <x:c r="D1237" t="str">
        <x:v>terrain load</x:v>
      </x:c>
      <x:c r="E1237" t="n">
        <x:f>IF('Terrain Field'!K451&lt;&gt;"",1,0)</x:f>
        <x:v>0</x:v>
      </x:c>
      <x:c r="F1237" t="n">
        <x:v>1</x:v>
      </x:c>
      <x:c r="G1237" t="str">
        <x:v>equals</x:v>
      </x:c>
      <x:c r="H1237" t="str">
        <x:v>independent physical acceptance</x:v>
      </x:c>
      <x:c r="I1237" t="str">
        <x:f>IF(E1237=1,"PASS","OPEN")</x:f>
        <x:v>OPEN</x:v>
      </x:c>
    </x:row>
    <x:row r="1238">
      <x:c r="B1238" t="str">
        <x:v>PH-TG-446-G</x:v>
      </x:c>
      <x:c r="C1238" t="str">
        <x:v>PHYSICAL</x:v>
      </x:c>
      <x:c r="D1238" t="str">
        <x:v>terrain geometry</x:v>
      </x:c>
      <x:c r="E1238" t="n">
        <x:f>IF('Terrain Field'!J452&lt;&gt;"",1,0)</x:f>
        <x:v>0</x:v>
      </x:c>
      <x:c r="F1238" t="n">
        <x:v>1</x:v>
      </x:c>
      <x:c r="G1238" t="str">
        <x:v>equals</x:v>
      </x:c>
      <x:c r="H1238" t="str">
        <x:v>independent physical acceptance</x:v>
      </x:c>
      <x:c r="I1238" t="str">
        <x:f>IF(E1238=1,"PASS","OPEN")</x:f>
        <x:v>OPEN</x:v>
      </x:c>
    </x:row>
    <x:row r="1239">
      <x:c r="B1239" t="str">
        <x:v>PH-TG-446-L</x:v>
      </x:c>
      <x:c r="C1239" t="str">
        <x:v>PHYSICAL</x:v>
      </x:c>
      <x:c r="D1239" t="str">
        <x:v>terrain load</x:v>
      </x:c>
      <x:c r="E1239" t="n">
        <x:f>IF('Terrain Field'!K452&lt;&gt;"",1,0)</x:f>
        <x:v>0</x:v>
      </x:c>
      <x:c r="F1239" t="n">
        <x:v>1</x:v>
      </x:c>
      <x:c r="G1239" t="str">
        <x:v>equals</x:v>
      </x:c>
      <x:c r="H1239" t="str">
        <x:v>independent physical acceptance</x:v>
      </x:c>
      <x:c r="I1239" t="str">
        <x:f>IF(E1239=1,"PASS","OPEN")</x:f>
        <x:v>OPEN</x:v>
      </x:c>
    </x:row>
    <x:row r="1240">
      <x:c r="B1240" t="str">
        <x:v>PH-TG-447-G</x:v>
      </x:c>
      <x:c r="C1240" t="str">
        <x:v>PHYSICAL</x:v>
      </x:c>
      <x:c r="D1240" t="str">
        <x:v>terrain geometry</x:v>
      </x:c>
      <x:c r="E1240" t="n">
        <x:f>IF('Terrain Field'!J453&lt;&gt;"",1,0)</x:f>
        <x:v>0</x:v>
      </x:c>
      <x:c r="F1240" t="n">
        <x:v>1</x:v>
      </x:c>
      <x:c r="G1240" t="str">
        <x:v>equals</x:v>
      </x:c>
      <x:c r="H1240" t="str">
        <x:v>independent physical acceptance</x:v>
      </x:c>
      <x:c r="I1240" t="str">
        <x:f>IF(E1240=1,"PASS","OPEN")</x:f>
        <x:v>OPEN</x:v>
      </x:c>
    </x:row>
    <x:row r="1241">
      <x:c r="B1241" t="str">
        <x:v>PH-TG-447-L</x:v>
      </x:c>
      <x:c r="C1241" t="str">
        <x:v>PHYSICAL</x:v>
      </x:c>
      <x:c r="D1241" t="str">
        <x:v>terrain load</x:v>
      </x:c>
      <x:c r="E1241" t="n">
        <x:f>IF('Terrain Field'!K453&lt;&gt;"",1,0)</x:f>
        <x:v>0</x:v>
      </x:c>
      <x:c r="F1241" t="n">
        <x:v>1</x:v>
      </x:c>
      <x:c r="G1241" t="str">
        <x:v>equals</x:v>
      </x:c>
      <x:c r="H1241" t="str">
        <x:v>independent physical acceptance</x:v>
      </x:c>
      <x:c r="I1241" t="str">
        <x:f>IF(E1241=1,"PASS","OPEN")</x:f>
        <x:v>OPEN</x:v>
      </x:c>
    </x:row>
    <x:row r="1242">
      <x:c r="B1242" t="str">
        <x:v>PH-TG-448-G</x:v>
      </x:c>
      <x:c r="C1242" t="str">
        <x:v>PHYSICAL</x:v>
      </x:c>
      <x:c r="D1242" t="str">
        <x:v>terrain geometry</x:v>
      </x:c>
      <x:c r="E1242" t="n">
        <x:f>IF('Terrain Field'!J454&lt;&gt;"",1,0)</x:f>
        <x:v>0</x:v>
      </x:c>
      <x:c r="F1242" t="n">
        <x:v>1</x:v>
      </x:c>
      <x:c r="G1242" t="str">
        <x:v>equals</x:v>
      </x:c>
      <x:c r="H1242" t="str">
        <x:v>independent physical acceptance</x:v>
      </x:c>
      <x:c r="I1242" t="str">
        <x:f>IF(E1242=1,"PASS","OPEN")</x:f>
        <x:v>OPEN</x:v>
      </x:c>
    </x:row>
    <x:row r="1243">
      <x:c r="B1243" t="str">
        <x:v>PH-TG-448-L</x:v>
      </x:c>
      <x:c r="C1243" t="str">
        <x:v>PHYSICAL</x:v>
      </x:c>
      <x:c r="D1243" t="str">
        <x:v>terrain load</x:v>
      </x:c>
      <x:c r="E1243" t="n">
        <x:f>IF('Terrain Field'!K454&lt;&gt;"",1,0)</x:f>
        <x:v>0</x:v>
      </x:c>
      <x:c r="F1243" t="n">
        <x:v>1</x:v>
      </x:c>
      <x:c r="G1243" t="str">
        <x:v>equals</x:v>
      </x:c>
      <x:c r="H1243" t="str">
        <x:v>independent physical acceptance</x:v>
      </x:c>
      <x:c r="I1243" t="str">
        <x:f>IF(E1243=1,"PASS","OPEN")</x:f>
        <x:v>OPEN</x:v>
      </x:c>
    </x:row>
    <x:row r="1244">
      <x:c r="B1244" t="str">
        <x:v>PH-TG-449-G</x:v>
      </x:c>
      <x:c r="C1244" t="str">
        <x:v>PHYSICAL</x:v>
      </x:c>
      <x:c r="D1244" t="str">
        <x:v>terrain geometry</x:v>
      </x:c>
      <x:c r="E1244" t="n">
        <x:f>IF('Terrain Field'!J455&lt;&gt;"",1,0)</x:f>
        <x:v>0</x:v>
      </x:c>
      <x:c r="F1244" t="n">
        <x:v>1</x:v>
      </x:c>
      <x:c r="G1244" t="str">
        <x:v>equals</x:v>
      </x:c>
      <x:c r="H1244" t="str">
        <x:v>independent physical acceptance</x:v>
      </x:c>
      <x:c r="I1244" t="str">
        <x:f>IF(E1244=1,"PASS","OPEN")</x:f>
        <x:v>OPEN</x:v>
      </x:c>
    </x:row>
    <x:row r="1245">
      <x:c r="B1245" t="str">
        <x:v>PH-TG-449-L</x:v>
      </x:c>
      <x:c r="C1245" t="str">
        <x:v>PHYSICAL</x:v>
      </x:c>
      <x:c r="D1245" t="str">
        <x:v>terrain load</x:v>
      </x:c>
      <x:c r="E1245" t="n">
        <x:f>IF('Terrain Field'!K455&lt;&gt;"",1,0)</x:f>
        <x:v>0</x:v>
      </x:c>
      <x:c r="F1245" t="n">
        <x:v>1</x:v>
      </x:c>
      <x:c r="G1245" t="str">
        <x:v>equals</x:v>
      </x:c>
      <x:c r="H1245" t="str">
        <x:v>independent physical acceptance</x:v>
      </x:c>
      <x:c r="I1245" t="str">
        <x:f>IF(E1245=1,"PASS","OPEN")</x:f>
        <x:v>OPEN</x:v>
      </x:c>
    </x:row>
    <x:row r="1246">
      <x:c r="B1246" t="str">
        <x:v>PH-TG-450-G</x:v>
      </x:c>
      <x:c r="C1246" t="str">
        <x:v>PHYSICAL</x:v>
      </x:c>
      <x:c r="D1246" t="str">
        <x:v>terrain geometry</x:v>
      </x:c>
      <x:c r="E1246" t="n">
        <x:f>IF('Terrain Field'!J456&lt;&gt;"",1,0)</x:f>
        <x:v>0</x:v>
      </x:c>
      <x:c r="F1246" t="n">
        <x:v>1</x:v>
      </x:c>
      <x:c r="G1246" t="str">
        <x:v>equals</x:v>
      </x:c>
      <x:c r="H1246" t="str">
        <x:v>independent physical acceptance</x:v>
      </x:c>
      <x:c r="I1246" t="str">
        <x:f>IF(E1246=1,"PASS","OPEN")</x:f>
        <x:v>OPEN</x:v>
      </x:c>
    </x:row>
    <x:row r="1247">
      <x:c r="B1247" t="str">
        <x:v>PH-TG-450-L</x:v>
      </x:c>
      <x:c r="C1247" t="str">
        <x:v>PHYSICAL</x:v>
      </x:c>
      <x:c r="D1247" t="str">
        <x:v>terrain load</x:v>
      </x:c>
      <x:c r="E1247" t="n">
        <x:f>IF('Terrain Field'!K456&lt;&gt;"",1,0)</x:f>
        <x:v>0</x:v>
      </x:c>
      <x:c r="F1247" t="n">
        <x:v>1</x:v>
      </x:c>
      <x:c r="G1247" t="str">
        <x:v>equals</x:v>
      </x:c>
      <x:c r="H1247" t="str">
        <x:v>independent physical acceptance</x:v>
      </x:c>
      <x:c r="I1247" t="str">
        <x:f>IF(E1247=1,"PASS","OPEN")</x:f>
        <x:v>OPEN</x:v>
      </x:c>
    </x:row>
    <x:row r="1248">
      <x:c r="B1248" t="str">
        <x:v>PH-TG-451-G</x:v>
      </x:c>
      <x:c r="C1248" t="str">
        <x:v>PHYSICAL</x:v>
      </x:c>
      <x:c r="D1248" t="str">
        <x:v>terrain geometry</x:v>
      </x:c>
      <x:c r="E1248" t="n">
        <x:f>IF('Terrain Field'!J457&lt;&gt;"",1,0)</x:f>
        <x:v>0</x:v>
      </x:c>
      <x:c r="F1248" t="n">
        <x:v>1</x:v>
      </x:c>
      <x:c r="G1248" t="str">
        <x:v>equals</x:v>
      </x:c>
      <x:c r="H1248" t="str">
        <x:v>independent physical acceptance</x:v>
      </x:c>
      <x:c r="I1248" t="str">
        <x:f>IF(E1248=1,"PASS","OPEN")</x:f>
        <x:v>OPEN</x:v>
      </x:c>
    </x:row>
    <x:row r="1249">
      <x:c r="B1249" t="str">
        <x:v>PH-TG-451-L</x:v>
      </x:c>
      <x:c r="C1249" t="str">
        <x:v>PHYSICAL</x:v>
      </x:c>
      <x:c r="D1249" t="str">
        <x:v>terrain load</x:v>
      </x:c>
      <x:c r="E1249" t="n">
        <x:f>IF('Terrain Field'!K457&lt;&gt;"",1,0)</x:f>
        <x:v>0</x:v>
      </x:c>
      <x:c r="F1249" t="n">
        <x:v>1</x:v>
      </x:c>
      <x:c r="G1249" t="str">
        <x:v>equals</x:v>
      </x:c>
      <x:c r="H1249" t="str">
        <x:v>independent physical acceptance</x:v>
      </x:c>
      <x:c r="I1249" t="str">
        <x:f>IF(E1249=1,"PASS","OPEN")</x:f>
        <x:v>OPEN</x:v>
      </x:c>
    </x:row>
    <x:row r="1250">
      <x:c r="B1250" t="str">
        <x:v>PH-TG-452-G</x:v>
      </x:c>
      <x:c r="C1250" t="str">
        <x:v>PHYSICAL</x:v>
      </x:c>
      <x:c r="D1250" t="str">
        <x:v>terrain geometry</x:v>
      </x:c>
      <x:c r="E1250" t="n">
        <x:f>IF('Terrain Field'!J458&lt;&gt;"",1,0)</x:f>
        <x:v>0</x:v>
      </x:c>
      <x:c r="F1250" t="n">
        <x:v>1</x:v>
      </x:c>
      <x:c r="G1250" t="str">
        <x:v>equals</x:v>
      </x:c>
      <x:c r="H1250" t="str">
        <x:v>independent physical acceptance</x:v>
      </x:c>
      <x:c r="I1250" t="str">
        <x:f>IF(E1250=1,"PASS","OPEN")</x:f>
        <x:v>OPEN</x:v>
      </x:c>
    </x:row>
    <x:row r="1251">
      <x:c r="B1251" t="str">
        <x:v>PH-TG-452-L</x:v>
      </x:c>
      <x:c r="C1251" t="str">
        <x:v>PHYSICAL</x:v>
      </x:c>
      <x:c r="D1251" t="str">
        <x:v>terrain load</x:v>
      </x:c>
      <x:c r="E1251" t="n">
        <x:f>IF('Terrain Field'!K458&lt;&gt;"",1,0)</x:f>
        <x:v>0</x:v>
      </x:c>
      <x:c r="F1251" t="n">
        <x:v>1</x:v>
      </x:c>
      <x:c r="G1251" t="str">
        <x:v>equals</x:v>
      </x:c>
      <x:c r="H1251" t="str">
        <x:v>independent physical acceptance</x:v>
      </x:c>
      <x:c r="I1251" t="str">
        <x:f>IF(E1251=1,"PASS","OPEN")</x:f>
        <x:v>OPEN</x:v>
      </x:c>
    </x:row>
    <x:row r="1252">
      <x:c r="B1252" t="str">
        <x:v>PH-TG-453-G</x:v>
      </x:c>
      <x:c r="C1252" t="str">
        <x:v>PHYSICAL</x:v>
      </x:c>
      <x:c r="D1252" t="str">
        <x:v>terrain geometry</x:v>
      </x:c>
      <x:c r="E1252" t="n">
        <x:f>IF('Terrain Field'!J459&lt;&gt;"",1,0)</x:f>
        <x:v>0</x:v>
      </x:c>
      <x:c r="F1252" t="n">
        <x:v>1</x:v>
      </x:c>
      <x:c r="G1252" t="str">
        <x:v>equals</x:v>
      </x:c>
      <x:c r="H1252" t="str">
        <x:v>independent physical acceptance</x:v>
      </x:c>
      <x:c r="I1252" t="str">
        <x:f>IF(E1252=1,"PASS","OPEN")</x:f>
        <x:v>OPEN</x:v>
      </x:c>
    </x:row>
    <x:row r="1253">
      <x:c r="B1253" t="str">
        <x:v>PH-TG-453-L</x:v>
      </x:c>
      <x:c r="C1253" t="str">
        <x:v>PHYSICAL</x:v>
      </x:c>
      <x:c r="D1253" t="str">
        <x:v>terrain load</x:v>
      </x:c>
      <x:c r="E1253" t="n">
        <x:f>IF('Terrain Field'!K459&lt;&gt;"",1,0)</x:f>
        <x:v>0</x:v>
      </x:c>
      <x:c r="F1253" t="n">
        <x:v>1</x:v>
      </x:c>
      <x:c r="G1253" t="str">
        <x:v>equals</x:v>
      </x:c>
      <x:c r="H1253" t="str">
        <x:v>independent physical acceptance</x:v>
      </x:c>
      <x:c r="I1253" t="str">
        <x:f>IF(E1253=1,"PASS","OPEN")</x:f>
        <x:v>OPEN</x:v>
      </x:c>
    </x:row>
    <x:row r="1254">
      <x:c r="B1254" t="str">
        <x:v>PH-TG-454-G</x:v>
      </x:c>
      <x:c r="C1254" t="str">
        <x:v>PHYSICAL</x:v>
      </x:c>
      <x:c r="D1254" t="str">
        <x:v>terrain geometry</x:v>
      </x:c>
      <x:c r="E1254" t="n">
        <x:f>IF('Terrain Field'!J460&lt;&gt;"",1,0)</x:f>
        <x:v>0</x:v>
      </x:c>
      <x:c r="F1254" t="n">
        <x:v>1</x:v>
      </x:c>
      <x:c r="G1254" t="str">
        <x:v>equals</x:v>
      </x:c>
      <x:c r="H1254" t="str">
        <x:v>independent physical acceptance</x:v>
      </x:c>
      <x:c r="I1254" t="str">
        <x:f>IF(E1254=1,"PASS","OPEN")</x:f>
        <x:v>OPEN</x:v>
      </x:c>
    </x:row>
    <x:row r="1255">
      <x:c r="B1255" t="str">
        <x:v>PH-TG-454-L</x:v>
      </x:c>
      <x:c r="C1255" t="str">
        <x:v>PHYSICAL</x:v>
      </x:c>
      <x:c r="D1255" t="str">
        <x:v>terrain load</x:v>
      </x:c>
      <x:c r="E1255" t="n">
        <x:f>IF('Terrain Field'!K460&lt;&gt;"",1,0)</x:f>
        <x:v>0</x:v>
      </x:c>
      <x:c r="F1255" t="n">
        <x:v>1</x:v>
      </x:c>
      <x:c r="G1255" t="str">
        <x:v>equals</x:v>
      </x:c>
      <x:c r="H1255" t="str">
        <x:v>independent physical acceptance</x:v>
      </x:c>
      <x:c r="I1255" t="str">
        <x:f>IF(E1255=1,"PASS","OPEN")</x:f>
        <x:v>OPEN</x:v>
      </x:c>
    </x:row>
    <x:row r="1256">
      <x:c r="B1256" t="str">
        <x:v>PH-TG-455-G</x:v>
      </x:c>
      <x:c r="C1256" t="str">
        <x:v>PHYSICAL</x:v>
      </x:c>
      <x:c r="D1256" t="str">
        <x:v>terrain geometry</x:v>
      </x:c>
      <x:c r="E1256" t="n">
        <x:f>IF('Terrain Field'!J461&lt;&gt;"",1,0)</x:f>
        <x:v>0</x:v>
      </x:c>
      <x:c r="F1256" t="n">
        <x:v>1</x:v>
      </x:c>
      <x:c r="G1256" t="str">
        <x:v>equals</x:v>
      </x:c>
      <x:c r="H1256" t="str">
        <x:v>independent physical acceptance</x:v>
      </x:c>
      <x:c r="I1256" t="str">
        <x:f>IF(E1256=1,"PASS","OPEN")</x:f>
        <x:v>OPEN</x:v>
      </x:c>
    </x:row>
    <x:row r="1257">
      <x:c r="B1257" t="str">
        <x:v>PH-TG-455-L</x:v>
      </x:c>
      <x:c r="C1257" t="str">
        <x:v>PHYSICAL</x:v>
      </x:c>
      <x:c r="D1257" t="str">
        <x:v>terrain load</x:v>
      </x:c>
      <x:c r="E1257" t="n">
        <x:f>IF('Terrain Field'!K461&lt;&gt;"",1,0)</x:f>
        <x:v>0</x:v>
      </x:c>
      <x:c r="F1257" t="n">
        <x:v>1</x:v>
      </x:c>
      <x:c r="G1257" t="str">
        <x:v>equals</x:v>
      </x:c>
      <x:c r="H1257" t="str">
        <x:v>independent physical acceptance</x:v>
      </x:c>
      <x:c r="I1257" t="str">
        <x:f>IF(E1257=1,"PASS","OPEN")</x:f>
        <x:v>OPEN</x:v>
      </x:c>
    </x:row>
    <x:row r="1258">
      <x:c r="B1258" t="str">
        <x:v>PH-TG-456-G</x:v>
      </x:c>
      <x:c r="C1258" t="str">
        <x:v>PHYSICAL</x:v>
      </x:c>
      <x:c r="D1258" t="str">
        <x:v>terrain geometry</x:v>
      </x:c>
      <x:c r="E1258" t="n">
        <x:f>IF('Terrain Field'!J462&lt;&gt;"",1,0)</x:f>
        <x:v>0</x:v>
      </x:c>
      <x:c r="F1258" t="n">
        <x:v>1</x:v>
      </x:c>
      <x:c r="G1258" t="str">
        <x:v>equals</x:v>
      </x:c>
      <x:c r="H1258" t="str">
        <x:v>independent physical acceptance</x:v>
      </x:c>
      <x:c r="I1258" t="str">
        <x:f>IF(E1258=1,"PASS","OPEN")</x:f>
        <x:v>OPEN</x:v>
      </x:c>
    </x:row>
    <x:row r="1259">
      <x:c r="B1259" t="str">
        <x:v>PH-TG-456-L</x:v>
      </x:c>
      <x:c r="C1259" t="str">
        <x:v>PHYSICAL</x:v>
      </x:c>
      <x:c r="D1259" t="str">
        <x:v>terrain load</x:v>
      </x:c>
      <x:c r="E1259" t="n">
        <x:f>IF('Terrain Field'!K462&lt;&gt;"",1,0)</x:f>
        <x:v>0</x:v>
      </x:c>
      <x:c r="F1259" t="n">
        <x:v>1</x:v>
      </x:c>
      <x:c r="G1259" t="str">
        <x:v>equals</x:v>
      </x:c>
      <x:c r="H1259" t="str">
        <x:v>independent physical acceptance</x:v>
      </x:c>
      <x:c r="I1259" t="str">
        <x:f>IF(E1259=1,"PASS","OPEN")</x:f>
        <x:v>OPEN</x:v>
      </x:c>
    </x:row>
    <x:row r="1260">
      <x:c r="B1260" t="str">
        <x:v>PH-TG-457-G</x:v>
      </x:c>
      <x:c r="C1260" t="str">
        <x:v>PHYSICAL</x:v>
      </x:c>
      <x:c r="D1260" t="str">
        <x:v>terrain geometry</x:v>
      </x:c>
      <x:c r="E1260" t="n">
        <x:f>IF('Terrain Field'!J463&lt;&gt;"",1,0)</x:f>
        <x:v>0</x:v>
      </x:c>
      <x:c r="F1260" t="n">
        <x:v>1</x:v>
      </x:c>
      <x:c r="G1260" t="str">
        <x:v>equals</x:v>
      </x:c>
      <x:c r="H1260" t="str">
        <x:v>independent physical acceptance</x:v>
      </x:c>
      <x:c r="I1260" t="str">
        <x:f>IF(E1260=1,"PASS","OPEN")</x:f>
        <x:v>OPEN</x:v>
      </x:c>
    </x:row>
    <x:row r="1261">
      <x:c r="B1261" t="str">
        <x:v>PH-TG-457-L</x:v>
      </x:c>
      <x:c r="C1261" t="str">
        <x:v>PHYSICAL</x:v>
      </x:c>
      <x:c r="D1261" t="str">
        <x:v>terrain load</x:v>
      </x:c>
      <x:c r="E1261" t="n">
        <x:f>IF('Terrain Field'!K463&lt;&gt;"",1,0)</x:f>
        <x:v>0</x:v>
      </x:c>
      <x:c r="F1261" t="n">
        <x:v>1</x:v>
      </x:c>
      <x:c r="G1261" t="str">
        <x:v>equals</x:v>
      </x:c>
      <x:c r="H1261" t="str">
        <x:v>independent physical acceptance</x:v>
      </x:c>
      <x:c r="I1261" t="str">
        <x:f>IF(E1261=1,"PASS","OPEN")</x:f>
        <x:v>OPEN</x:v>
      </x:c>
    </x:row>
    <x:row r="1262">
      <x:c r="B1262" t="str">
        <x:v>PH-TG-458-G</x:v>
      </x:c>
      <x:c r="C1262" t="str">
        <x:v>PHYSICAL</x:v>
      </x:c>
      <x:c r="D1262" t="str">
        <x:v>terrain geometry</x:v>
      </x:c>
      <x:c r="E1262" t="n">
        <x:f>IF('Terrain Field'!J464&lt;&gt;"",1,0)</x:f>
        <x:v>0</x:v>
      </x:c>
      <x:c r="F1262" t="n">
        <x:v>1</x:v>
      </x:c>
      <x:c r="G1262" t="str">
        <x:v>equals</x:v>
      </x:c>
      <x:c r="H1262" t="str">
        <x:v>independent physical acceptance</x:v>
      </x:c>
      <x:c r="I1262" t="str">
        <x:f>IF(E1262=1,"PASS","OPEN")</x:f>
        <x:v>OPEN</x:v>
      </x:c>
    </x:row>
    <x:row r="1263">
      <x:c r="B1263" t="str">
        <x:v>PH-TG-458-L</x:v>
      </x:c>
      <x:c r="C1263" t="str">
        <x:v>PHYSICAL</x:v>
      </x:c>
      <x:c r="D1263" t="str">
        <x:v>terrain load</x:v>
      </x:c>
      <x:c r="E1263" t="n">
        <x:f>IF('Terrain Field'!K464&lt;&gt;"",1,0)</x:f>
        <x:v>0</x:v>
      </x:c>
      <x:c r="F1263" t="n">
        <x:v>1</x:v>
      </x:c>
      <x:c r="G1263" t="str">
        <x:v>equals</x:v>
      </x:c>
      <x:c r="H1263" t="str">
        <x:v>independent physical acceptance</x:v>
      </x:c>
      <x:c r="I1263" t="str">
        <x:f>IF(E1263=1,"PASS","OPEN")</x:f>
        <x:v>OPEN</x:v>
      </x:c>
    </x:row>
    <x:row r="1264">
      <x:c r="B1264" t="str">
        <x:v>PH-TG-459-G</x:v>
      </x:c>
      <x:c r="C1264" t="str">
        <x:v>PHYSICAL</x:v>
      </x:c>
      <x:c r="D1264" t="str">
        <x:v>terrain geometry</x:v>
      </x:c>
      <x:c r="E1264" t="n">
        <x:f>IF('Terrain Field'!J465&lt;&gt;"",1,0)</x:f>
        <x:v>0</x:v>
      </x:c>
      <x:c r="F1264" t="n">
        <x:v>1</x:v>
      </x:c>
      <x:c r="G1264" t="str">
        <x:v>equals</x:v>
      </x:c>
      <x:c r="H1264" t="str">
        <x:v>independent physical acceptance</x:v>
      </x:c>
      <x:c r="I1264" t="str">
        <x:f>IF(E1264=1,"PASS","OPEN")</x:f>
        <x:v>OPEN</x:v>
      </x:c>
    </x:row>
    <x:row r="1265">
      <x:c r="B1265" t="str">
        <x:v>PH-TG-459-L</x:v>
      </x:c>
      <x:c r="C1265" t="str">
        <x:v>PHYSICAL</x:v>
      </x:c>
      <x:c r="D1265" t="str">
        <x:v>terrain load</x:v>
      </x:c>
      <x:c r="E1265" t="n">
        <x:f>IF('Terrain Field'!K465&lt;&gt;"",1,0)</x:f>
        <x:v>0</x:v>
      </x:c>
      <x:c r="F1265" t="n">
        <x:v>1</x:v>
      </x:c>
      <x:c r="G1265" t="str">
        <x:v>equals</x:v>
      </x:c>
      <x:c r="H1265" t="str">
        <x:v>independent physical acceptance</x:v>
      </x:c>
      <x:c r="I1265" t="str">
        <x:f>IF(E1265=1,"PASS","OPEN")</x:f>
        <x:v>OPEN</x:v>
      </x:c>
    </x:row>
    <x:row r="1266">
      <x:c r="B1266" t="str">
        <x:v>PH-TG-460-G</x:v>
      </x:c>
      <x:c r="C1266" t="str">
        <x:v>PHYSICAL</x:v>
      </x:c>
      <x:c r="D1266" t="str">
        <x:v>terrain geometry</x:v>
      </x:c>
      <x:c r="E1266" t="n">
        <x:f>IF('Terrain Field'!J466&lt;&gt;"",1,0)</x:f>
        <x:v>0</x:v>
      </x:c>
      <x:c r="F1266" t="n">
        <x:v>1</x:v>
      </x:c>
      <x:c r="G1266" t="str">
        <x:v>equals</x:v>
      </x:c>
      <x:c r="H1266" t="str">
        <x:v>independent physical acceptance</x:v>
      </x:c>
      <x:c r="I1266" t="str">
        <x:f>IF(E1266=1,"PASS","OPEN")</x:f>
        <x:v>OPEN</x:v>
      </x:c>
    </x:row>
    <x:row r="1267">
      <x:c r="B1267" t="str">
        <x:v>PH-TG-460-L</x:v>
      </x:c>
      <x:c r="C1267" t="str">
        <x:v>PHYSICAL</x:v>
      </x:c>
      <x:c r="D1267" t="str">
        <x:v>terrain load</x:v>
      </x:c>
      <x:c r="E1267" t="n">
        <x:f>IF('Terrain Field'!K466&lt;&gt;"",1,0)</x:f>
        <x:v>0</x:v>
      </x:c>
      <x:c r="F1267" t="n">
        <x:v>1</x:v>
      </x:c>
      <x:c r="G1267" t="str">
        <x:v>equals</x:v>
      </x:c>
      <x:c r="H1267" t="str">
        <x:v>independent physical acceptance</x:v>
      </x:c>
      <x:c r="I1267" t="str">
        <x:f>IF(E1267=1,"PASS","OPEN")</x:f>
        <x:v>OPEN</x:v>
      </x:c>
    </x:row>
    <x:row r="1268">
      <x:c r="B1268" t="str">
        <x:v>PH-TG-461-G</x:v>
      </x:c>
      <x:c r="C1268" t="str">
        <x:v>PHYSICAL</x:v>
      </x:c>
      <x:c r="D1268" t="str">
        <x:v>terrain geometry</x:v>
      </x:c>
      <x:c r="E1268" t="n">
        <x:f>IF('Terrain Field'!J467&lt;&gt;"",1,0)</x:f>
        <x:v>0</x:v>
      </x:c>
      <x:c r="F1268" t="n">
        <x:v>1</x:v>
      </x:c>
      <x:c r="G1268" t="str">
        <x:v>equals</x:v>
      </x:c>
      <x:c r="H1268" t="str">
        <x:v>independent physical acceptance</x:v>
      </x:c>
      <x:c r="I1268" t="str">
        <x:f>IF(E1268=1,"PASS","OPEN")</x:f>
        <x:v>OPEN</x:v>
      </x:c>
    </x:row>
    <x:row r="1269">
      <x:c r="B1269" t="str">
        <x:v>PH-TG-461-L</x:v>
      </x:c>
      <x:c r="C1269" t="str">
        <x:v>PHYSICAL</x:v>
      </x:c>
      <x:c r="D1269" t="str">
        <x:v>terrain load</x:v>
      </x:c>
      <x:c r="E1269" t="n">
        <x:f>IF('Terrain Field'!K467&lt;&gt;"",1,0)</x:f>
        <x:v>0</x:v>
      </x:c>
      <x:c r="F1269" t="n">
        <x:v>1</x:v>
      </x:c>
      <x:c r="G1269" t="str">
        <x:v>equals</x:v>
      </x:c>
      <x:c r="H1269" t="str">
        <x:v>independent physical acceptance</x:v>
      </x:c>
      <x:c r="I1269" t="str">
        <x:f>IF(E1269=1,"PASS","OPEN")</x:f>
        <x:v>OPEN</x:v>
      </x:c>
    </x:row>
    <x:row r="1270">
      <x:c r="B1270" t="str">
        <x:v>PH-TG-462-G</x:v>
      </x:c>
      <x:c r="C1270" t="str">
        <x:v>PHYSICAL</x:v>
      </x:c>
      <x:c r="D1270" t="str">
        <x:v>terrain geometry</x:v>
      </x:c>
      <x:c r="E1270" t="n">
        <x:f>IF('Terrain Field'!J468&lt;&gt;"",1,0)</x:f>
        <x:v>0</x:v>
      </x:c>
      <x:c r="F1270" t="n">
        <x:v>1</x:v>
      </x:c>
      <x:c r="G1270" t="str">
        <x:v>equals</x:v>
      </x:c>
      <x:c r="H1270" t="str">
        <x:v>independent physical acceptance</x:v>
      </x:c>
      <x:c r="I1270" t="str">
        <x:f>IF(E1270=1,"PASS","OPEN")</x:f>
        <x:v>OPEN</x:v>
      </x:c>
    </x:row>
    <x:row r="1271">
      <x:c r="B1271" t="str">
        <x:v>PH-TG-462-L</x:v>
      </x:c>
      <x:c r="C1271" t="str">
        <x:v>PHYSICAL</x:v>
      </x:c>
      <x:c r="D1271" t="str">
        <x:v>terrain load</x:v>
      </x:c>
      <x:c r="E1271" t="n">
        <x:f>IF('Terrain Field'!K468&lt;&gt;"",1,0)</x:f>
        <x:v>0</x:v>
      </x:c>
      <x:c r="F1271" t="n">
        <x:v>1</x:v>
      </x:c>
      <x:c r="G1271" t="str">
        <x:v>equals</x:v>
      </x:c>
      <x:c r="H1271" t="str">
        <x:v>independent physical acceptance</x:v>
      </x:c>
      <x:c r="I1271" t="str">
        <x:f>IF(E1271=1,"PASS","OPEN")</x:f>
        <x:v>OPEN</x:v>
      </x:c>
    </x:row>
    <x:row r="1272">
      <x:c r="B1272" t="str">
        <x:v>PH-TG-463-G</x:v>
      </x:c>
      <x:c r="C1272" t="str">
        <x:v>PHYSICAL</x:v>
      </x:c>
      <x:c r="D1272" t="str">
        <x:v>terrain geometry</x:v>
      </x:c>
      <x:c r="E1272" t="n">
        <x:f>IF('Terrain Field'!J469&lt;&gt;"",1,0)</x:f>
        <x:v>0</x:v>
      </x:c>
      <x:c r="F1272" t="n">
        <x:v>1</x:v>
      </x:c>
      <x:c r="G1272" t="str">
        <x:v>equals</x:v>
      </x:c>
      <x:c r="H1272" t="str">
        <x:v>independent physical acceptance</x:v>
      </x:c>
      <x:c r="I1272" t="str">
        <x:f>IF(E1272=1,"PASS","OPEN")</x:f>
        <x:v>OPEN</x:v>
      </x:c>
    </x:row>
    <x:row r="1273">
      <x:c r="B1273" t="str">
        <x:v>PH-TG-463-L</x:v>
      </x:c>
      <x:c r="C1273" t="str">
        <x:v>PHYSICAL</x:v>
      </x:c>
      <x:c r="D1273" t="str">
        <x:v>terrain load</x:v>
      </x:c>
      <x:c r="E1273" t="n">
        <x:f>IF('Terrain Field'!K469&lt;&gt;"",1,0)</x:f>
        <x:v>0</x:v>
      </x:c>
      <x:c r="F1273" t="n">
        <x:v>1</x:v>
      </x:c>
      <x:c r="G1273" t="str">
        <x:v>equals</x:v>
      </x:c>
      <x:c r="H1273" t="str">
        <x:v>independent physical acceptance</x:v>
      </x:c>
      <x:c r="I1273" t="str">
        <x:f>IF(E1273=1,"PASS","OPEN")</x:f>
        <x:v>OPEN</x:v>
      </x:c>
    </x:row>
    <x:row r="1274">
      <x:c r="B1274" t="str">
        <x:v>PH-TG-464-G</x:v>
      </x:c>
      <x:c r="C1274" t="str">
        <x:v>PHYSICAL</x:v>
      </x:c>
      <x:c r="D1274" t="str">
        <x:v>terrain geometry</x:v>
      </x:c>
      <x:c r="E1274" t="n">
        <x:f>IF('Terrain Field'!J470&lt;&gt;"",1,0)</x:f>
        <x:v>0</x:v>
      </x:c>
      <x:c r="F1274" t="n">
        <x:v>1</x:v>
      </x:c>
      <x:c r="G1274" t="str">
        <x:v>equals</x:v>
      </x:c>
      <x:c r="H1274" t="str">
        <x:v>independent physical acceptance</x:v>
      </x:c>
      <x:c r="I1274" t="str">
        <x:f>IF(E1274=1,"PASS","OPEN")</x:f>
        <x:v>OPEN</x:v>
      </x:c>
    </x:row>
    <x:row r="1275">
      <x:c r="B1275" t="str">
        <x:v>PH-TG-464-L</x:v>
      </x:c>
      <x:c r="C1275" t="str">
        <x:v>PHYSICAL</x:v>
      </x:c>
      <x:c r="D1275" t="str">
        <x:v>terrain load</x:v>
      </x:c>
      <x:c r="E1275" t="n">
        <x:f>IF('Terrain Field'!K470&lt;&gt;"",1,0)</x:f>
        <x:v>0</x:v>
      </x:c>
      <x:c r="F1275" t="n">
        <x:v>1</x:v>
      </x:c>
      <x:c r="G1275" t="str">
        <x:v>equals</x:v>
      </x:c>
      <x:c r="H1275" t="str">
        <x:v>independent physical acceptance</x:v>
      </x:c>
      <x:c r="I1275" t="str">
        <x:f>IF(E1275=1,"PASS","OPEN")</x:f>
        <x:v>OPEN</x:v>
      </x:c>
    </x:row>
    <x:row r="1276">
      <x:c r="B1276" t="str">
        <x:v>PH-TG-465-G</x:v>
      </x:c>
      <x:c r="C1276" t="str">
        <x:v>PHYSICAL</x:v>
      </x:c>
      <x:c r="D1276" t="str">
        <x:v>terrain geometry</x:v>
      </x:c>
      <x:c r="E1276" t="n">
        <x:f>IF('Terrain Field'!J471&lt;&gt;"",1,0)</x:f>
        <x:v>0</x:v>
      </x:c>
      <x:c r="F1276" t="n">
        <x:v>1</x:v>
      </x:c>
      <x:c r="G1276" t="str">
        <x:v>equals</x:v>
      </x:c>
      <x:c r="H1276" t="str">
        <x:v>independent physical acceptance</x:v>
      </x:c>
      <x:c r="I1276" t="str">
        <x:f>IF(E1276=1,"PASS","OPEN")</x:f>
        <x:v>OPEN</x:v>
      </x:c>
    </x:row>
    <x:row r="1277">
      <x:c r="B1277" t="str">
        <x:v>PH-TG-465-L</x:v>
      </x:c>
      <x:c r="C1277" t="str">
        <x:v>PHYSICAL</x:v>
      </x:c>
      <x:c r="D1277" t="str">
        <x:v>terrain load</x:v>
      </x:c>
      <x:c r="E1277" t="n">
        <x:f>IF('Terrain Field'!K471&lt;&gt;"",1,0)</x:f>
        <x:v>0</x:v>
      </x:c>
      <x:c r="F1277" t="n">
        <x:v>1</x:v>
      </x:c>
      <x:c r="G1277" t="str">
        <x:v>equals</x:v>
      </x:c>
      <x:c r="H1277" t="str">
        <x:v>independent physical acceptance</x:v>
      </x:c>
      <x:c r="I1277" t="str">
        <x:f>IF(E1277=1,"PASS","OPEN")</x:f>
        <x:v>OPEN</x:v>
      </x:c>
    </x:row>
    <x:row r="1278">
      <x:c r="B1278" t="str">
        <x:v>PH-TG-466-G</x:v>
      </x:c>
      <x:c r="C1278" t="str">
        <x:v>PHYSICAL</x:v>
      </x:c>
      <x:c r="D1278" t="str">
        <x:v>terrain geometry</x:v>
      </x:c>
      <x:c r="E1278" t="n">
        <x:f>IF('Terrain Field'!J472&lt;&gt;"",1,0)</x:f>
        <x:v>0</x:v>
      </x:c>
      <x:c r="F1278" t="n">
        <x:v>1</x:v>
      </x:c>
      <x:c r="G1278" t="str">
        <x:v>equals</x:v>
      </x:c>
      <x:c r="H1278" t="str">
        <x:v>independent physical acceptance</x:v>
      </x:c>
      <x:c r="I1278" t="str">
        <x:f>IF(E1278=1,"PASS","OPEN")</x:f>
        <x:v>OPEN</x:v>
      </x:c>
    </x:row>
    <x:row r="1279">
      <x:c r="B1279" t="str">
        <x:v>PH-TG-466-L</x:v>
      </x:c>
      <x:c r="C1279" t="str">
        <x:v>PHYSICAL</x:v>
      </x:c>
      <x:c r="D1279" t="str">
        <x:v>terrain load</x:v>
      </x:c>
      <x:c r="E1279" t="n">
        <x:f>IF('Terrain Field'!K472&lt;&gt;"",1,0)</x:f>
        <x:v>0</x:v>
      </x:c>
      <x:c r="F1279" t="n">
        <x:v>1</x:v>
      </x:c>
      <x:c r="G1279" t="str">
        <x:v>equals</x:v>
      </x:c>
      <x:c r="H1279" t="str">
        <x:v>independent physical acceptance</x:v>
      </x:c>
      <x:c r="I1279" t="str">
        <x:f>IF(E1279=1,"PASS","OPEN")</x:f>
        <x:v>OPEN</x:v>
      </x:c>
    </x:row>
    <x:row r="1280">
      <x:c r="B1280" t="str">
        <x:v>PH-TG-467-G</x:v>
      </x:c>
      <x:c r="C1280" t="str">
        <x:v>PHYSICAL</x:v>
      </x:c>
      <x:c r="D1280" t="str">
        <x:v>terrain geometry</x:v>
      </x:c>
      <x:c r="E1280" t="n">
        <x:f>IF('Terrain Field'!J473&lt;&gt;"",1,0)</x:f>
        <x:v>0</x:v>
      </x:c>
      <x:c r="F1280" t="n">
        <x:v>1</x:v>
      </x:c>
      <x:c r="G1280" t="str">
        <x:v>equals</x:v>
      </x:c>
      <x:c r="H1280" t="str">
        <x:v>independent physical acceptance</x:v>
      </x:c>
      <x:c r="I1280" t="str">
        <x:f>IF(E1280=1,"PASS","OPEN")</x:f>
        <x:v>OPEN</x:v>
      </x:c>
    </x:row>
    <x:row r="1281">
      <x:c r="B1281" t="str">
        <x:v>PH-TG-467-L</x:v>
      </x:c>
      <x:c r="C1281" t="str">
        <x:v>PHYSICAL</x:v>
      </x:c>
      <x:c r="D1281" t="str">
        <x:v>terrain load</x:v>
      </x:c>
      <x:c r="E1281" t="n">
        <x:f>IF('Terrain Field'!K473&lt;&gt;"",1,0)</x:f>
        <x:v>0</x:v>
      </x:c>
      <x:c r="F1281" t="n">
        <x:v>1</x:v>
      </x:c>
      <x:c r="G1281" t="str">
        <x:v>equals</x:v>
      </x:c>
      <x:c r="H1281" t="str">
        <x:v>independent physical acceptance</x:v>
      </x:c>
      <x:c r="I1281" t="str">
        <x:f>IF(E1281=1,"PASS","OPEN")</x:f>
        <x:v>OPEN</x:v>
      </x:c>
    </x:row>
    <x:row r="1282">
      <x:c r="B1282" t="str">
        <x:v>PH-TG-468-G</x:v>
      </x:c>
      <x:c r="C1282" t="str">
        <x:v>PHYSICAL</x:v>
      </x:c>
      <x:c r="D1282" t="str">
        <x:v>terrain geometry</x:v>
      </x:c>
      <x:c r="E1282" t="n">
        <x:f>IF('Terrain Field'!J474&lt;&gt;"",1,0)</x:f>
        <x:v>0</x:v>
      </x:c>
      <x:c r="F1282" t="n">
        <x:v>1</x:v>
      </x:c>
      <x:c r="G1282" t="str">
        <x:v>equals</x:v>
      </x:c>
      <x:c r="H1282" t="str">
        <x:v>independent physical acceptance</x:v>
      </x:c>
      <x:c r="I1282" t="str">
        <x:f>IF(E1282=1,"PASS","OPEN")</x:f>
        <x:v>OPEN</x:v>
      </x:c>
    </x:row>
    <x:row r="1283">
      <x:c r="B1283" t="str">
        <x:v>PH-TG-468-L</x:v>
      </x:c>
      <x:c r="C1283" t="str">
        <x:v>PHYSICAL</x:v>
      </x:c>
      <x:c r="D1283" t="str">
        <x:v>terrain load</x:v>
      </x:c>
      <x:c r="E1283" t="n">
        <x:f>IF('Terrain Field'!K474&lt;&gt;"",1,0)</x:f>
        <x:v>0</x:v>
      </x:c>
      <x:c r="F1283" t="n">
        <x:v>1</x:v>
      </x:c>
      <x:c r="G1283" t="str">
        <x:v>equals</x:v>
      </x:c>
      <x:c r="H1283" t="str">
        <x:v>independent physical acceptance</x:v>
      </x:c>
      <x:c r="I1283" t="str">
        <x:f>IF(E1283=1,"PASS","OPEN")</x:f>
        <x:v>OPEN</x:v>
      </x:c>
    </x:row>
    <x:row r="1284">
      <x:c r="B1284" t="str">
        <x:v>PH-TG-469-G</x:v>
      </x:c>
      <x:c r="C1284" t="str">
        <x:v>PHYSICAL</x:v>
      </x:c>
      <x:c r="D1284" t="str">
        <x:v>terrain geometry</x:v>
      </x:c>
      <x:c r="E1284" t="n">
        <x:f>IF('Terrain Field'!J475&lt;&gt;"",1,0)</x:f>
        <x:v>0</x:v>
      </x:c>
      <x:c r="F1284" t="n">
        <x:v>1</x:v>
      </x:c>
      <x:c r="G1284" t="str">
        <x:v>equals</x:v>
      </x:c>
      <x:c r="H1284" t="str">
        <x:v>independent physical acceptance</x:v>
      </x:c>
      <x:c r="I1284" t="str">
        <x:f>IF(E1284=1,"PASS","OPEN")</x:f>
        <x:v>OPEN</x:v>
      </x:c>
    </x:row>
    <x:row r="1285">
      <x:c r="B1285" t="str">
        <x:v>PH-TG-469-L</x:v>
      </x:c>
      <x:c r="C1285" t="str">
        <x:v>PHYSICAL</x:v>
      </x:c>
      <x:c r="D1285" t="str">
        <x:v>terrain load</x:v>
      </x:c>
      <x:c r="E1285" t="n">
        <x:f>IF('Terrain Field'!K475&lt;&gt;"",1,0)</x:f>
        <x:v>0</x:v>
      </x:c>
      <x:c r="F1285" t="n">
        <x:v>1</x:v>
      </x:c>
      <x:c r="G1285" t="str">
        <x:v>equals</x:v>
      </x:c>
      <x:c r="H1285" t="str">
        <x:v>independent physical acceptance</x:v>
      </x:c>
      <x:c r="I1285" t="str">
        <x:f>IF(E1285=1,"PASS","OPEN")</x:f>
        <x:v>OPEN</x:v>
      </x:c>
    </x:row>
    <x:row r="1286">
      <x:c r="B1286" t="str">
        <x:v>PH-TG-470-G</x:v>
      </x:c>
      <x:c r="C1286" t="str">
        <x:v>PHYSICAL</x:v>
      </x:c>
      <x:c r="D1286" t="str">
        <x:v>terrain geometry</x:v>
      </x:c>
      <x:c r="E1286" t="n">
        <x:f>IF('Terrain Field'!J476&lt;&gt;"",1,0)</x:f>
        <x:v>0</x:v>
      </x:c>
      <x:c r="F1286" t="n">
        <x:v>1</x:v>
      </x:c>
      <x:c r="G1286" t="str">
        <x:v>equals</x:v>
      </x:c>
      <x:c r="H1286" t="str">
        <x:v>independent physical acceptance</x:v>
      </x:c>
      <x:c r="I1286" t="str">
        <x:f>IF(E1286=1,"PASS","OPEN")</x:f>
        <x:v>OPEN</x:v>
      </x:c>
    </x:row>
    <x:row r="1287">
      <x:c r="B1287" t="str">
        <x:v>PH-TG-470-L</x:v>
      </x:c>
      <x:c r="C1287" t="str">
        <x:v>PHYSICAL</x:v>
      </x:c>
      <x:c r="D1287" t="str">
        <x:v>terrain load</x:v>
      </x:c>
      <x:c r="E1287" t="n">
        <x:f>IF('Terrain Field'!K476&lt;&gt;"",1,0)</x:f>
        <x:v>0</x:v>
      </x:c>
      <x:c r="F1287" t="n">
        <x:v>1</x:v>
      </x:c>
      <x:c r="G1287" t="str">
        <x:v>equals</x:v>
      </x:c>
      <x:c r="H1287" t="str">
        <x:v>independent physical acceptance</x:v>
      </x:c>
      <x:c r="I1287" t="str">
        <x:f>IF(E1287=1,"PASS","OPEN")</x:f>
        <x:v>OPEN</x:v>
      </x:c>
    </x:row>
    <x:row r="1288">
      <x:c r="B1288" t="str">
        <x:v>PH-TG-471-G</x:v>
      </x:c>
      <x:c r="C1288" t="str">
        <x:v>PHYSICAL</x:v>
      </x:c>
      <x:c r="D1288" t="str">
        <x:v>terrain geometry</x:v>
      </x:c>
      <x:c r="E1288" t="n">
        <x:f>IF('Terrain Field'!J477&lt;&gt;"",1,0)</x:f>
        <x:v>0</x:v>
      </x:c>
      <x:c r="F1288" t="n">
        <x:v>1</x:v>
      </x:c>
      <x:c r="G1288" t="str">
        <x:v>equals</x:v>
      </x:c>
      <x:c r="H1288" t="str">
        <x:v>independent physical acceptance</x:v>
      </x:c>
      <x:c r="I1288" t="str">
        <x:f>IF(E1288=1,"PASS","OPEN")</x:f>
        <x:v>OPEN</x:v>
      </x:c>
    </x:row>
    <x:row r="1289">
      <x:c r="B1289" t="str">
        <x:v>PH-TG-471-L</x:v>
      </x:c>
      <x:c r="C1289" t="str">
        <x:v>PHYSICAL</x:v>
      </x:c>
      <x:c r="D1289" t="str">
        <x:v>terrain load</x:v>
      </x:c>
      <x:c r="E1289" t="n">
        <x:f>IF('Terrain Field'!K477&lt;&gt;"",1,0)</x:f>
        <x:v>0</x:v>
      </x:c>
      <x:c r="F1289" t="n">
        <x:v>1</x:v>
      </x:c>
      <x:c r="G1289" t="str">
        <x:v>equals</x:v>
      </x:c>
      <x:c r="H1289" t="str">
        <x:v>independent physical acceptance</x:v>
      </x:c>
      <x:c r="I1289" t="str">
        <x:f>IF(E1289=1,"PASS","OPEN")</x:f>
        <x:v>OPEN</x:v>
      </x:c>
    </x:row>
    <x:row r="1290">
      <x:c r="B1290" t="str">
        <x:v>PH-TG-472-G</x:v>
      </x:c>
      <x:c r="C1290" t="str">
        <x:v>PHYSICAL</x:v>
      </x:c>
      <x:c r="D1290" t="str">
        <x:v>terrain geometry</x:v>
      </x:c>
      <x:c r="E1290" t="n">
        <x:f>IF('Terrain Field'!J478&lt;&gt;"",1,0)</x:f>
        <x:v>0</x:v>
      </x:c>
      <x:c r="F1290" t="n">
        <x:v>1</x:v>
      </x:c>
      <x:c r="G1290" t="str">
        <x:v>equals</x:v>
      </x:c>
      <x:c r="H1290" t="str">
        <x:v>independent physical acceptance</x:v>
      </x:c>
      <x:c r="I1290" t="str">
        <x:f>IF(E1290=1,"PASS","OPEN")</x:f>
        <x:v>OPEN</x:v>
      </x:c>
    </x:row>
    <x:row r="1291">
      <x:c r="B1291" t="str">
        <x:v>PH-TG-472-L</x:v>
      </x:c>
      <x:c r="C1291" t="str">
        <x:v>PHYSICAL</x:v>
      </x:c>
      <x:c r="D1291" t="str">
        <x:v>terrain load</x:v>
      </x:c>
      <x:c r="E1291" t="n">
        <x:f>IF('Terrain Field'!K478&lt;&gt;"",1,0)</x:f>
        <x:v>0</x:v>
      </x:c>
      <x:c r="F1291" t="n">
        <x:v>1</x:v>
      </x:c>
      <x:c r="G1291" t="str">
        <x:v>equals</x:v>
      </x:c>
      <x:c r="H1291" t="str">
        <x:v>independent physical acceptance</x:v>
      </x:c>
      <x:c r="I1291" t="str">
        <x:f>IF(E1291=1,"PASS","OPEN")</x:f>
        <x:v>OPEN</x:v>
      </x:c>
    </x:row>
    <x:row r="1292">
      <x:c r="B1292" t="str">
        <x:v>PH-TG-473-G</x:v>
      </x:c>
      <x:c r="C1292" t="str">
        <x:v>PHYSICAL</x:v>
      </x:c>
      <x:c r="D1292" t="str">
        <x:v>terrain geometry</x:v>
      </x:c>
      <x:c r="E1292" t="n">
        <x:f>IF('Terrain Field'!J479&lt;&gt;"",1,0)</x:f>
        <x:v>0</x:v>
      </x:c>
      <x:c r="F1292" t="n">
        <x:v>1</x:v>
      </x:c>
      <x:c r="G1292" t="str">
        <x:v>equals</x:v>
      </x:c>
      <x:c r="H1292" t="str">
        <x:v>independent physical acceptance</x:v>
      </x:c>
      <x:c r="I1292" t="str">
        <x:f>IF(E1292=1,"PASS","OPEN")</x:f>
        <x:v>OPEN</x:v>
      </x:c>
    </x:row>
    <x:row r="1293">
      <x:c r="B1293" t="str">
        <x:v>PH-TG-473-L</x:v>
      </x:c>
      <x:c r="C1293" t="str">
        <x:v>PHYSICAL</x:v>
      </x:c>
      <x:c r="D1293" t="str">
        <x:v>terrain load</x:v>
      </x:c>
      <x:c r="E1293" t="n">
        <x:f>IF('Terrain Field'!K479&lt;&gt;"",1,0)</x:f>
        <x:v>0</x:v>
      </x:c>
      <x:c r="F1293" t="n">
        <x:v>1</x:v>
      </x:c>
      <x:c r="G1293" t="str">
        <x:v>equals</x:v>
      </x:c>
      <x:c r="H1293" t="str">
        <x:v>independent physical acceptance</x:v>
      </x:c>
      <x:c r="I1293" t="str">
        <x:f>IF(E1293=1,"PASS","OPEN")</x:f>
        <x:v>OPEN</x:v>
      </x:c>
    </x:row>
    <x:row r="1294">
      <x:c r="B1294" t="str">
        <x:v>PH-TG-474-G</x:v>
      </x:c>
      <x:c r="C1294" t="str">
        <x:v>PHYSICAL</x:v>
      </x:c>
      <x:c r="D1294" t="str">
        <x:v>terrain geometry</x:v>
      </x:c>
      <x:c r="E1294" t="n">
        <x:f>IF('Terrain Field'!J480&lt;&gt;"",1,0)</x:f>
        <x:v>0</x:v>
      </x:c>
      <x:c r="F1294" t="n">
        <x:v>1</x:v>
      </x:c>
      <x:c r="G1294" t="str">
        <x:v>equals</x:v>
      </x:c>
      <x:c r="H1294" t="str">
        <x:v>independent physical acceptance</x:v>
      </x:c>
      <x:c r="I1294" t="str">
        <x:f>IF(E1294=1,"PASS","OPEN")</x:f>
        <x:v>OPEN</x:v>
      </x:c>
    </x:row>
    <x:row r="1295">
      <x:c r="B1295" t="str">
        <x:v>PH-TG-474-L</x:v>
      </x:c>
      <x:c r="C1295" t="str">
        <x:v>PHYSICAL</x:v>
      </x:c>
      <x:c r="D1295" t="str">
        <x:v>terrain load</x:v>
      </x:c>
      <x:c r="E1295" t="n">
        <x:f>IF('Terrain Field'!K480&lt;&gt;"",1,0)</x:f>
        <x:v>0</x:v>
      </x:c>
      <x:c r="F1295" t="n">
        <x:v>1</x:v>
      </x:c>
      <x:c r="G1295" t="str">
        <x:v>equals</x:v>
      </x:c>
      <x:c r="H1295" t="str">
        <x:v>independent physical acceptance</x:v>
      </x:c>
      <x:c r="I1295" t="str">
        <x:f>IF(E1295=1,"PASS","OPEN")</x:f>
        <x:v>OPEN</x:v>
      </x:c>
    </x:row>
    <x:row r="1296">
      <x:c r="B1296" t="str">
        <x:v>PH-TG-475-G</x:v>
      </x:c>
      <x:c r="C1296" t="str">
        <x:v>PHYSICAL</x:v>
      </x:c>
      <x:c r="D1296" t="str">
        <x:v>terrain geometry</x:v>
      </x:c>
      <x:c r="E1296" t="n">
        <x:f>IF('Terrain Field'!J481&lt;&gt;"",1,0)</x:f>
        <x:v>0</x:v>
      </x:c>
      <x:c r="F1296" t="n">
        <x:v>1</x:v>
      </x:c>
      <x:c r="G1296" t="str">
        <x:v>equals</x:v>
      </x:c>
      <x:c r="H1296" t="str">
        <x:v>independent physical acceptance</x:v>
      </x:c>
      <x:c r="I1296" t="str">
        <x:f>IF(E1296=1,"PASS","OPEN")</x:f>
        <x:v>OPEN</x:v>
      </x:c>
    </x:row>
    <x:row r="1297">
      <x:c r="B1297" t="str">
        <x:v>PH-TG-475-L</x:v>
      </x:c>
      <x:c r="C1297" t="str">
        <x:v>PHYSICAL</x:v>
      </x:c>
      <x:c r="D1297" t="str">
        <x:v>terrain load</x:v>
      </x:c>
      <x:c r="E1297" t="n">
        <x:f>IF('Terrain Field'!K481&lt;&gt;"",1,0)</x:f>
        <x:v>0</x:v>
      </x:c>
      <x:c r="F1297" t="n">
        <x:v>1</x:v>
      </x:c>
      <x:c r="G1297" t="str">
        <x:v>equals</x:v>
      </x:c>
      <x:c r="H1297" t="str">
        <x:v>independent physical acceptance</x:v>
      </x:c>
      <x:c r="I1297" t="str">
        <x:f>IF(E1297=1,"PASS","OPEN")</x:f>
        <x:v>OPEN</x:v>
      </x:c>
    </x:row>
    <x:row r="1298">
      <x:c r="B1298" t="str">
        <x:v>PH-TG-476-G</x:v>
      </x:c>
      <x:c r="C1298" t="str">
        <x:v>PHYSICAL</x:v>
      </x:c>
      <x:c r="D1298" t="str">
        <x:v>terrain geometry</x:v>
      </x:c>
      <x:c r="E1298" t="n">
        <x:f>IF('Terrain Field'!J482&lt;&gt;"",1,0)</x:f>
        <x:v>0</x:v>
      </x:c>
      <x:c r="F1298" t="n">
        <x:v>1</x:v>
      </x:c>
      <x:c r="G1298" t="str">
        <x:v>equals</x:v>
      </x:c>
      <x:c r="H1298" t="str">
        <x:v>independent physical acceptance</x:v>
      </x:c>
      <x:c r="I1298" t="str">
        <x:f>IF(E1298=1,"PASS","OPEN")</x:f>
        <x:v>OPEN</x:v>
      </x:c>
    </x:row>
    <x:row r="1299">
      <x:c r="B1299" t="str">
        <x:v>PH-TG-476-L</x:v>
      </x:c>
      <x:c r="C1299" t="str">
        <x:v>PHYSICAL</x:v>
      </x:c>
      <x:c r="D1299" t="str">
        <x:v>terrain load</x:v>
      </x:c>
      <x:c r="E1299" t="n">
        <x:f>IF('Terrain Field'!K482&lt;&gt;"",1,0)</x:f>
        <x:v>0</x:v>
      </x:c>
      <x:c r="F1299" t="n">
        <x:v>1</x:v>
      </x:c>
      <x:c r="G1299" t="str">
        <x:v>equals</x:v>
      </x:c>
      <x:c r="H1299" t="str">
        <x:v>independent physical acceptance</x:v>
      </x:c>
      <x:c r="I1299" t="str">
        <x:f>IF(E1299=1,"PASS","OPEN")</x:f>
        <x:v>OPEN</x:v>
      </x:c>
    </x:row>
    <x:row r="1300">
      <x:c r="B1300" t="str">
        <x:v>PH-TG-477-G</x:v>
      </x:c>
      <x:c r="C1300" t="str">
        <x:v>PHYSICAL</x:v>
      </x:c>
      <x:c r="D1300" t="str">
        <x:v>terrain geometry</x:v>
      </x:c>
      <x:c r="E1300" t="n">
        <x:f>IF('Terrain Field'!J483&lt;&gt;"",1,0)</x:f>
        <x:v>0</x:v>
      </x:c>
      <x:c r="F1300" t="n">
        <x:v>1</x:v>
      </x:c>
      <x:c r="G1300" t="str">
        <x:v>equals</x:v>
      </x:c>
      <x:c r="H1300" t="str">
        <x:v>independent physical acceptance</x:v>
      </x:c>
      <x:c r="I1300" t="str">
        <x:f>IF(E1300=1,"PASS","OPEN")</x:f>
        <x:v>OPEN</x:v>
      </x:c>
    </x:row>
    <x:row r="1301">
      <x:c r="B1301" t="str">
        <x:v>PH-TG-477-L</x:v>
      </x:c>
      <x:c r="C1301" t="str">
        <x:v>PHYSICAL</x:v>
      </x:c>
      <x:c r="D1301" t="str">
        <x:v>terrain load</x:v>
      </x:c>
      <x:c r="E1301" t="n">
        <x:f>IF('Terrain Field'!K483&lt;&gt;"",1,0)</x:f>
        <x:v>0</x:v>
      </x:c>
      <x:c r="F1301" t="n">
        <x:v>1</x:v>
      </x:c>
      <x:c r="G1301" t="str">
        <x:v>equals</x:v>
      </x:c>
      <x:c r="H1301" t="str">
        <x:v>independent physical acceptance</x:v>
      </x:c>
      <x:c r="I1301" t="str">
        <x:f>IF(E1301=1,"PASS","OPEN")</x:f>
        <x:v>OPEN</x:v>
      </x:c>
    </x:row>
    <x:row r="1302">
      <x:c r="B1302" t="str">
        <x:v>PH-TG-478-G</x:v>
      </x:c>
      <x:c r="C1302" t="str">
        <x:v>PHYSICAL</x:v>
      </x:c>
      <x:c r="D1302" t="str">
        <x:v>terrain geometry</x:v>
      </x:c>
      <x:c r="E1302" t="n">
        <x:f>IF('Terrain Field'!J484&lt;&gt;"",1,0)</x:f>
        <x:v>0</x:v>
      </x:c>
      <x:c r="F1302" t="n">
        <x:v>1</x:v>
      </x:c>
      <x:c r="G1302" t="str">
        <x:v>equals</x:v>
      </x:c>
      <x:c r="H1302" t="str">
        <x:v>independent physical acceptance</x:v>
      </x:c>
      <x:c r="I1302" t="str">
        <x:f>IF(E1302=1,"PASS","OPEN")</x:f>
        <x:v>OPEN</x:v>
      </x:c>
    </x:row>
    <x:row r="1303">
      <x:c r="B1303" t="str">
        <x:v>PH-TG-478-L</x:v>
      </x:c>
      <x:c r="C1303" t="str">
        <x:v>PHYSICAL</x:v>
      </x:c>
      <x:c r="D1303" t="str">
        <x:v>terrain load</x:v>
      </x:c>
      <x:c r="E1303" t="n">
        <x:f>IF('Terrain Field'!K484&lt;&gt;"",1,0)</x:f>
        <x:v>0</x:v>
      </x:c>
      <x:c r="F1303" t="n">
        <x:v>1</x:v>
      </x:c>
      <x:c r="G1303" t="str">
        <x:v>equals</x:v>
      </x:c>
      <x:c r="H1303" t="str">
        <x:v>independent physical acceptance</x:v>
      </x:c>
      <x:c r="I1303" t="str">
        <x:f>IF(E1303=1,"PASS","OPEN")</x:f>
        <x:v>OPEN</x:v>
      </x:c>
    </x:row>
    <x:row r="1304">
      <x:c r="B1304" t="str">
        <x:v>PH-TG-479-G</x:v>
      </x:c>
      <x:c r="C1304" t="str">
        <x:v>PHYSICAL</x:v>
      </x:c>
      <x:c r="D1304" t="str">
        <x:v>terrain geometry</x:v>
      </x:c>
      <x:c r="E1304" t="n">
        <x:f>IF('Terrain Field'!J485&lt;&gt;"",1,0)</x:f>
        <x:v>0</x:v>
      </x:c>
      <x:c r="F1304" t="n">
        <x:v>1</x:v>
      </x:c>
      <x:c r="G1304" t="str">
        <x:v>equals</x:v>
      </x:c>
      <x:c r="H1304" t="str">
        <x:v>independent physical acceptance</x:v>
      </x:c>
      <x:c r="I1304" t="str">
        <x:f>IF(E1304=1,"PASS","OPEN")</x:f>
        <x:v>OPEN</x:v>
      </x:c>
    </x:row>
    <x:row r="1305">
      <x:c r="B1305" t="str">
        <x:v>PH-TG-479-L</x:v>
      </x:c>
      <x:c r="C1305" t="str">
        <x:v>PHYSICAL</x:v>
      </x:c>
      <x:c r="D1305" t="str">
        <x:v>terrain load</x:v>
      </x:c>
      <x:c r="E1305" t="n">
        <x:f>IF('Terrain Field'!K485&lt;&gt;"",1,0)</x:f>
        <x:v>0</x:v>
      </x:c>
      <x:c r="F1305" t="n">
        <x:v>1</x:v>
      </x:c>
      <x:c r="G1305" t="str">
        <x:v>equals</x:v>
      </x:c>
      <x:c r="H1305" t="str">
        <x:v>independent physical acceptance</x:v>
      </x:c>
      <x:c r="I1305" t="str">
        <x:f>IF(E1305=1,"PASS","OPEN")</x:f>
        <x:v>OPEN</x:v>
      </x:c>
    </x:row>
    <x:row r="1306">
      <x:c r="B1306" t="str">
        <x:v>PH-TG-480-G</x:v>
      </x:c>
      <x:c r="C1306" t="str">
        <x:v>PHYSICAL</x:v>
      </x:c>
      <x:c r="D1306" t="str">
        <x:v>terrain geometry</x:v>
      </x:c>
      <x:c r="E1306" t="n">
        <x:f>IF('Terrain Field'!J486&lt;&gt;"",1,0)</x:f>
        <x:v>0</x:v>
      </x:c>
      <x:c r="F1306" t="n">
        <x:v>1</x:v>
      </x:c>
      <x:c r="G1306" t="str">
        <x:v>equals</x:v>
      </x:c>
      <x:c r="H1306" t="str">
        <x:v>independent physical acceptance</x:v>
      </x:c>
      <x:c r="I1306" t="str">
        <x:f>IF(E1306=1,"PASS","OPEN")</x:f>
        <x:v>OPEN</x:v>
      </x:c>
    </x:row>
    <x:row r="1307">
      <x:c r="B1307" t="str">
        <x:v>PH-TG-480-L</x:v>
      </x:c>
      <x:c r="C1307" t="str">
        <x:v>PHYSICAL</x:v>
      </x:c>
      <x:c r="D1307" t="str">
        <x:v>terrain load</x:v>
      </x:c>
      <x:c r="E1307" t="n">
        <x:f>IF('Terrain Field'!K486&lt;&gt;"",1,0)</x:f>
        <x:v>0</x:v>
      </x:c>
      <x:c r="F1307" t="n">
        <x:v>1</x:v>
      </x:c>
      <x:c r="G1307" t="str">
        <x:v>equals</x:v>
      </x:c>
      <x:c r="H1307" t="str">
        <x:v>independent physical acceptance</x:v>
      </x:c>
      <x:c r="I1307" t="str">
        <x:f>IF(E1307=1,"PASS","OPEN")</x:f>
        <x:v>OPEN</x:v>
      </x:c>
    </x:row>
    <x:row r="1308">
      <x:c r="B1308" t="str">
        <x:v>PH-TG-481-G</x:v>
      </x:c>
      <x:c r="C1308" t="str">
        <x:v>PHYSICAL</x:v>
      </x:c>
      <x:c r="D1308" t="str">
        <x:v>terrain geometry</x:v>
      </x:c>
      <x:c r="E1308" t="n">
        <x:f>IF('Terrain Field'!J487&lt;&gt;"",1,0)</x:f>
        <x:v>0</x:v>
      </x:c>
      <x:c r="F1308" t="n">
        <x:v>1</x:v>
      </x:c>
      <x:c r="G1308" t="str">
        <x:v>equals</x:v>
      </x:c>
      <x:c r="H1308" t="str">
        <x:v>independent physical acceptance</x:v>
      </x:c>
      <x:c r="I1308" t="str">
        <x:f>IF(E1308=1,"PASS","OPEN")</x:f>
        <x:v>OPEN</x:v>
      </x:c>
    </x:row>
    <x:row r="1309">
      <x:c r="B1309" t="str">
        <x:v>PH-TG-481-L</x:v>
      </x:c>
      <x:c r="C1309" t="str">
        <x:v>PHYSICAL</x:v>
      </x:c>
      <x:c r="D1309" t="str">
        <x:v>terrain load</x:v>
      </x:c>
      <x:c r="E1309" t="n">
        <x:f>IF('Terrain Field'!K487&lt;&gt;"",1,0)</x:f>
        <x:v>0</x:v>
      </x:c>
      <x:c r="F1309" t="n">
        <x:v>1</x:v>
      </x:c>
      <x:c r="G1309" t="str">
        <x:v>equals</x:v>
      </x:c>
      <x:c r="H1309" t="str">
        <x:v>independent physical acceptance</x:v>
      </x:c>
      <x:c r="I1309" t="str">
        <x:f>IF(E1309=1,"PASS","OPEN")</x:f>
        <x:v>OPEN</x:v>
      </x:c>
    </x:row>
    <x:row r="1310">
      <x:c r="B1310" t="str">
        <x:v>PH-TG-482-G</x:v>
      </x:c>
      <x:c r="C1310" t="str">
        <x:v>PHYSICAL</x:v>
      </x:c>
      <x:c r="D1310" t="str">
        <x:v>terrain geometry</x:v>
      </x:c>
      <x:c r="E1310" t="n">
        <x:f>IF('Terrain Field'!J488&lt;&gt;"",1,0)</x:f>
        <x:v>0</x:v>
      </x:c>
      <x:c r="F1310" t="n">
        <x:v>1</x:v>
      </x:c>
      <x:c r="G1310" t="str">
        <x:v>equals</x:v>
      </x:c>
      <x:c r="H1310" t="str">
        <x:v>independent physical acceptance</x:v>
      </x:c>
      <x:c r="I1310" t="str">
        <x:f>IF(E1310=1,"PASS","OPEN")</x:f>
        <x:v>OPEN</x:v>
      </x:c>
    </x:row>
    <x:row r="1311">
      <x:c r="B1311" t="str">
        <x:v>PH-TG-482-L</x:v>
      </x:c>
      <x:c r="C1311" t="str">
        <x:v>PHYSICAL</x:v>
      </x:c>
      <x:c r="D1311" t="str">
        <x:v>terrain load</x:v>
      </x:c>
      <x:c r="E1311" t="n">
        <x:f>IF('Terrain Field'!K488&lt;&gt;"",1,0)</x:f>
        <x:v>0</x:v>
      </x:c>
      <x:c r="F1311" t="n">
        <x:v>1</x:v>
      </x:c>
      <x:c r="G1311" t="str">
        <x:v>equals</x:v>
      </x:c>
      <x:c r="H1311" t="str">
        <x:v>independent physical acceptance</x:v>
      </x:c>
      <x:c r="I1311" t="str">
        <x:f>IF(E1311=1,"PASS","OPEN")</x:f>
        <x:v>OPEN</x:v>
      </x:c>
    </x:row>
    <x:row r="1312">
      <x:c r="B1312" t="str">
        <x:v>PH-TG-483-G</x:v>
      </x:c>
      <x:c r="C1312" t="str">
        <x:v>PHYSICAL</x:v>
      </x:c>
      <x:c r="D1312" t="str">
        <x:v>terrain geometry</x:v>
      </x:c>
      <x:c r="E1312" t="n">
        <x:f>IF('Terrain Field'!J489&lt;&gt;"",1,0)</x:f>
        <x:v>0</x:v>
      </x:c>
      <x:c r="F1312" t="n">
        <x:v>1</x:v>
      </x:c>
      <x:c r="G1312" t="str">
        <x:v>equals</x:v>
      </x:c>
      <x:c r="H1312" t="str">
        <x:v>independent physical acceptance</x:v>
      </x:c>
      <x:c r="I1312" t="str">
        <x:f>IF(E1312=1,"PASS","OPEN")</x:f>
        <x:v>OPEN</x:v>
      </x:c>
    </x:row>
    <x:row r="1313">
      <x:c r="B1313" t="str">
        <x:v>PH-TG-483-L</x:v>
      </x:c>
      <x:c r="C1313" t="str">
        <x:v>PHYSICAL</x:v>
      </x:c>
      <x:c r="D1313" t="str">
        <x:v>terrain load</x:v>
      </x:c>
      <x:c r="E1313" t="n">
        <x:f>IF('Terrain Field'!K489&lt;&gt;"",1,0)</x:f>
        <x:v>0</x:v>
      </x:c>
      <x:c r="F1313" t="n">
        <x:v>1</x:v>
      </x:c>
      <x:c r="G1313" t="str">
        <x:v>equals</x:v>
      </x:c>
      <x:c r="H1313" t="str">
        <x:v>independent physical acceptance</x:v>
      </x:c>
      <x:c r="I1313" t="str">
        <x:f>IF(E1313=1,"PASS","OPEN")</x:f>
        <x:v>OPEN</x:v>
      </x:c>
    </x:row>
    <x:row r="1314">
      <x:c r="B1314" t="str">
        <x:v>PH-TG-484-G</x:v>
      </x:c>
      <x:c r="C1314" t="str">
        <x:v>PHYSICAL</x:v>
      </x:c>
      <x:c r="D1314" t="str">
        <x:v>terrain geometry</x:v>
      </x:c>
      <x:c r="E1314" t="n">
        <x:f>IF('Terrain Field'!J490&lt;&gt;"",1,0)</x:f>
        <x:v>0</x:v>
      </x:c>
      <x:c r="F1314" t="n">
        <x:v>1</x:v>
      </x:c>
      <x:c r="G1314" t="str">
        <x:v>equals</x:v>
      </x:c>
      <x:c r="H1314" t="str">
        <x:v>independent physical acceptance</x:v>
      </x:c>
      <x:c r="I1314" t="str">
        <x:f>IF(E1314=1,"PASS","OPEN")</x:f>
        <x:v>OPEN</x:v>
      </x:c>
    </x:row>
    <x:row r="1315">
      <x:c r="B1315" t="str">
        <x:v>PH-TG-484-L</x:v>
      </x:c>
      <x:c r="C1315" t="str">
        <x:v>PHYSICAL</x:v>
      </x:c>
      <x:c r="D1315" t="str">
        <x:v>terrain load</x:v>
      </x:c>
      <x:c r="E1315" t="n">
        <x:f>IF('Terrain Field'!K490&lt;&gt;"",1,0)</x:f>
        <x:v>0</x:v>
      </x:c>
      <x:c r="F1315" t="n">
        <x:v>1</x:v>
      </x:c>
      <x:c r="G1315" t="str">
        <x:v>equals</x:v>
      </x:c>
      <x:c r="H1315" t="str">
        <x:v>independent physical acceptance</x:v>
      </x:c>
      <x:c r="I1315" t="str">
        <x:f>IF(E1315=1,"PASS","OPEN")</x:f>
        <x:v>OPEN</x:v>
      </x:c>
    </x:row>
    <x:row r="1316">
      <x:c r="B1316" t="str">
        <x:v>PH-TG-485-G</x:v>
      </x:c>
      <x:c r="C1316" t="str">
        <x:v>PHYSICAL</x:v>
      </x:c>
      <x:c r="D1316" t="str">
        <x:v>terrain geometry</x:v>
      </x:c>
      <x:c r="E1316" t="n">
        <x:f>IF('Terrain Field'!J491&lt;&gt;"",1,0)</x:f>
        <x:v>0</x:v>
      </x:c>
      <x:c r="F1316" t="n">
        <x:v>1</x:v>
      </x:c>
      <x:c r="G1316" t="str">
        <x:v>equals</x:v>
      </x:c>
      <x:c r="H1316" t="str">
        <x:v>independent physical acceptance</x:v>
      </x:c>
      <x:c r="I1316" t="str">
        <x:f>IF(E1316=1,"PASS","OPEN")</x:f>
        <x:v>OPEN</x:v>
      </x:c>
    </x:row>
    <x:row r="1317">
      <x:c r="B1317" t="str">
        <x:v>PH-TG-485-L</x:v>
      </x:c>
      <x:c r="C1317" t="str">
        <x:v>PHYSICAL</x:v>
      </x:c>
      <x:c r="D1317" t="str">
        <x:v>terrain load</x:v>
      </x:c>
      <x:c r="E1317" t="n">
        <x:f>IF('Terrain Field'!K491&lt;&gt;"",1,0)</x:f>
        <x:v>0</x:v>
      </x:c>
      <x:c r="F1317" t="n">
        <x:v>1</x:v>
      </x:c>
      <x:c r="G1317" t="str">
        <x:v>equals</x:v>
      </x:c>
      <x:c r="H1317" t="str">
        <x:v>independent physical acceptance</x:v>
      </x:c>
      <x:c r="I1317" t="str">
        <x:f>IF(E1317=1,"PASS","OPEN")</x:f>
        <x:v>OPEN</x:v>
      </x:c>
    </x:row>
    <x:row r="1318">
      <x:c r="B1318" t="str">
        <x:v>PH-TG-486-G</x:v>
      </x:c>
      <x:c r="C1318" t="str">
        <x:v>PHYSICAL</x:v>
      </x:c>
      <x:c r="D1318" t="str">
        <x:v>terrain geometry</x:v>
      </x:c>
      <x:c r="E1318" t="n">
        <x:f>IF('Terrain Field'!J492&lt;&gt;"",1,0)</x:f>
        <x:v>0</x:v>
      </x:c>
      <x:c r="F1318" t="n">
        <x:v>1</x:v>
      </x:c>
      <x:c r="G1318" t="str">
        <x:v>equals</x:v>
      </x:c>
      <x:c r="H1318" t="str">
        <x:v>independent physical acceptance</x:v>
      </x:c>
      <x:c r="I1318" t="str">
        <x:f>IF(E1318=1,"PASS","OPEN")</x:f>
        <x:v>OPEN</x:v>
      </x:c>
    </x:row>
    <x:row r="1319">
      <x:c r="B1319" t="str">
        <x:v>PH-TG-486-L</x:v>
      </x:c>
      <x:c r="C1319" t="str">
        <x:v>PHYSICAL</x:v>
      </x:c>
      <x:c r="D1319" t="str">
        <x:v>terrain load</x:v>
      </x:c>
      <x:c r="E1319" t="n">
        <x:f>IF('Terrain Field'!K492&lt;&gt;"",1,0)</x:f>
        <x:v>0</x:v>
      </x:c>
      <x:c r="F1319" t="n">
        <x:v>1</x:v>
      </x:c>
      <x:c r="G1319" t="str">
        <x:v>equals</x:v>
      </x:c>
      <x:c r="H1319" t="str">
        <x:v>independent physical acceptance</x:v>
      </x:c>
      <x:c r="I1319" t="str">
        <x:f>IF(E1319=1,"PASS","OPEN")</x:f>
        <x:v>OPEN</x:v>
      </x:c>
    </x:row>
    <x:row r="1320">
      <x:c r="B1320" t="str">
        <x:v>PH-TG-487-G</x:v>
      </x:c>
      <x:c r="C1320" t="str">
        <x:v>PHYSICAL</x:v>
      </x:c>
      <x:c r="D1320" t="str">
        <x:v>terrain geometry</x:v>
      </x:c>
      <x:c r="E1320" t="n">
        <x:f>IF('Terrain Field'!J493&lt;&gt;"",1,0)</x:f>
        <x:v>0</x:v>
      </x:c>
      <x:c r="F1320" t="n">
        <x:v>1</x:v>
      </x:c>
      <x:c r="G1320" t="str">
        <x:v>equals</x:v>
      </x:c>
      <x:c r="H1320" t="str">
        <x:v>independent physical acceptance</x:v>
      </x:c>
      <x:c r="I1320" t="str">
        <x:f>IF(E1320=1,"PASS","OPEN")</x:f>
        <x:v>OPEN</x:v>
      </x:c>
    </x:row>
    <x:row r="1321">
      <x:c r="B1321" t="str">
        <x:v>PH-TG-487-L</x:v>
      </x:c>
      <x:c r="C1321" t="str">
        <x:v>PHYSICAL</x:v>
      </x:c>
      <x:c r="D1321" t="str">
        <x:v>terrain load</x:v>
      </x:c>
      <x:c r="E1321" t="n">
        <x:f>IF('Terrain Field'!K493&lt;&gt;"",1,0)</x:f>
        <x:v>0</x:v>
      </x:c>
      <x:c r="F1321" t="n">
        <x:v>1</x:v>
      </x:c>
      <x:c r="G1321" t="str">
        <x:v>equals</x:v>
      </x:c>
      <x:c r="H1321" t="str">
        <x:v>independent physical acceptance</x:v>
      </x:c>
      <x:c r="I1321" t="str">
        <x:f>IF(E1321=1,"PASS","OPEN")</x:f>
        <x:v>OPEN</x:v>
      </x:c>
    </x:row>
    <x:row r="1322">
      <x:c r="B1322" t="str">
        <x:v>PH-TG-488-G</x:v>
      </x:c>
      <x:c r="C1322" t="str">
        <x:v>PHYSICAL</x:v>
      </x:c>
      <x:c r="D1322" t="str">
        <x:v>terrain geometry</x:v>
      </x:c>
      <x:c r="E1322" t="n">
        <x:f>IF('Terrain Field'!J494&lt;&gt;"",1,0)</x:f>
        <x:v>0</x:v>
      </x:c>
      <x:c r="F1322" t="n">
        <x:v>1</x:v>
      </x:c>
      <x:c r="G1322" t="str">
        <x:v>equals</x:v>
      </x:c>
      <x:c r="H1322" t="str">
        <x:v>independent physical acceptance</x:v>
      </x:c>
      <x:c r="I1322" t="str">
        <x:f>IF(E1322=1,"PASS","OPEN")</x:f>
        <x:v>OPEN</x:v>
      </x:c>
    </x:row>
    <x:row r="1323">
      <x:c r="B1323" t="str">
        <x:v>PH-TG-488-L</x:v>
      </x:c>
      <x:c r="C1323" t="str">
        <x:v>PHYSICAL</x:v>
      </x:c>
      <x:c r="D1323" t="str">
        <x:v>terrain load</x:v>
      </x:c>
      <x:c r="E1323" t="n">
        <x:f>IF('Terrain Field'!K494&lt;&gt;"",1,0)</x:f>
        <x:v>0</x:v>
      </x:c>
      <x:c r="F1323" t="n">
        <x:v>1</x:v>
      </x:c>
      <x:c r="G1323" t="str">
        <x:v>equals</x:v>
      </x:c>
      <x:c r="H1323" t="str">
        <x:v>independent physical acceptance</x:v>
      </x:c>
      <x:c r="I1323" t="str">
        <x:f>IF(E1323=1,"PASS","OPEN")</x:f>
        <x:v>OPEN</x:v>
      </x:c>
    </x:row>
    <x:row r="1324">
      <x:c r="B1324" t="str">
        <x:v>PH-TG-489-G</x:v>
      </x:c>
      <x:c r="C1324" t="str">
        <x:v>PHYSICAL</x:v>
      </x:c>
      <x:c r="D1324" t="str">
        <x:v>terrain geometry</x:v>
      </x:c>
      <x:c r="E1324" t="n">
        <x:f>IF('Terrain Field'!J495&lt;&gt;"",1,0)</x:f>
        <x:v>0</x:v>
      </x:c>
      <x:c r="F1324" t="n">
        <x:v>1</x:v>
      </x:c>
      <x:c r="G1324" t="str">
        <x:v>equals</x:v>
      </x:c>
      <x:c r="H1324" t="str">
        <x:v>independent physical acceptance</x:v>
      </x:c>
      <x:c r="I1324" t="str">
        <x:f>IF(E1324=1,"PASS","OPEN")</x:f>
        <x:v>OPEN</x:v>
      </x:c>
    </x:row>
    <x:row r="1325">
      <x:c r="B1325" t="str">
        <x:v>PH-TG-489-L</x:v>
      </x:c>
      <x:c r="C1325" t="str">
        <x:v>PHYSICAL</x:v>
      </x:c>
      <x:c r="D1325" t="str">
        <x:v>terrain load</x:v>
      </x:c>
      <x:c r="E1325" t="n">
        <x:f>IF('Terrain Field'!K495&lt;&gt;"",1,0)</x:f>
        <x:v>0</x:v>
      </x:c>
      <x:c r="F1325" t="n">
        <x:v>1</x:v>
      </x:c>
      <x:c r="G1325" t="str">
        <x:v>equals</x:v>
      </x:c>
      <x:c r="H1325" t="str">
        <x:v>independent physical acceptance</x:v>
      </x:c>
      <x:c r="I1325" t="str">
        <x:f>IF(E1325=1,"PASS","OPEN")</x:f>
        <x:v>OPEN</x:v>
      </x:c>
    </x:row>
    <x:row r="1326">
      <x:c r="B1326" t="str">
        <x:v>PH-TG-490-G</x:v>
      </x:c>
      <x:c r="C1326" t="str">
        <x:v>PHYSICAL</x:v>
      </x:c>
      <x:c r="D1326" t="str">
        <x:v>terrain geometry</x:v>
      </x:c>
      <x:c r="E1326" t="n">
        <x:f>IF('Terrain Field'!J496&lt;&gt;"",1,0)</x:f>
        <x:v>0</x:v>
      </x:c>
      <x:c r="F1326" t="n">
        <x:v>1</x:v>
      </x:c>
      <x:c r="G1326" t="str">
        <x:v>equals</x:v>
      </x:c>
      <x:c r="H1326" t="str">
        <x:v>independent physical acceptance</x:v>
      </x:c>
      <x:c r="I1326" t="str">
        <x:f>IF(E1326=1,"PASS","OPEN")</x:f>
        <x:v>OPEN</x:v>
      </x:c>
    </x:row>
    <x:row r="1327">
      <x:c r="B1327" t="str">
        <x:v>PH-TG-490-L</x:v>
      </x:c>
      <x:c r="C1327" t="str">
        <x:v>PHYSICAL</x:v>
      </x:c>
      <x:c r="D1327" t="str">
        <x:v>terrain load</x:v>
      </x:c>
      <x:c r="E1327" t="n">
        <x:f>IF('Terrain Field'!K496&lt;&gt;"",1,0)</x:f>
        <x:v>0</x:v>
      </x:c>
      <x:c r="F1327" t="n">
        <x:v>1</x:v>
      </x:c>
      <x:c r="G1327" t="str">
        <x:v>equals</x:v>
      </x:c>
      <x:c r="H1327" t="str">
        <x:v>independent physical acceptance</x:v>
      </x:c>
      <x:c r="I1327" t="str">
        <x:f>IF(E1327=1,"PASS","OPEN")</x:f>
        <x:v>OPEN</x:v>
      </x:c>
    </x:row>
    <x:row r="1328">
      <x:c r="B1328" t="str">
        <x:v>PH-TG-491-G</x:v>
      </x:c>
      <x:c r="C1328" t="str">
        <x:v>PHYSICAL</x:v>
      </x:c>
      <x:c r="D1328" t="str">
        <x:v>terrain geometry</x:v>
      </x:c>
      <x:c r="E1328" t="n">
        <x:f>IF('Terrain Field'!J497&lt;&gt;"",1,0)</x:f>
        <x:v>0</x:v>
      </x:c>
      <x:c r="F1328" t="n">
        <x:v>1</x:v>
      </x:c>
      <x:c r="G1328" t="str">
        <x:v>equals</x:v>
      </x:c>
      <x:c r="H1328" t="str">
        <x:v>independent physical acceptance</x:v>
      </x:c>
      <x:c r="I1328" t="str">
        <x:f>IF(E1328=1,"PASS","OPEN")</x:f>
        <x:v>OPEN</x:v>
      </x:c>
    </x:row>
    <x:row r="1329">
      <x:c r="B1329" t="str">
        <x:v>PH-TG-491-L</x:v>
      </x:c>
      <x:c r="C1329" t="str">
        <x:v>PHYSICAL</x:v>
      </x:c>
      <x:c r="D1329" t="str">
        <x:v>terrain load</x:v>
      </x:c>
      <x:c r="E1329" t="n">
        <x:f>IF('Terrain Field'!K497&lt;&gt;"",1,0)</x:f>
        <x:v>0</x:v>
      </x:c>
      <x:c r="F1329" t="n">
        <x:v>1</x:v>
      </x:c>
      <x:c r="G1329" t="str">
        <x:v>equals</x:v>
      </x:c>
      <x:c r="H1329" t="str">
        <x:v>independent physical acceptance</x:v>
      </x:c>
      <x:c r="I1329" t="str">
        <x:f>IF(E1329=1,"PASS","OPEN")</x:f>
        <x:v>OPEN</x:v>
      </x:c>
    </x:row>
    <x:row r="1330">
      <x:c r="B1330" t="str">
        <x:v>PH-TG-492-G</x:v>
      </x:c>
      <x:c r="C1330" t="str">
        <x:v>PHYSICAL</x:v>
      </x:c>
      <x:c r="D1330" t="str">
        <x:v>terrain geometry</x:v>
      </x:c>
      <x:c r="E1330" t="n">
        <x:f>IF('Terrain Field'!J498&lt;&gt;"",1,0)</x:f>
        <x:v>0</x:v>
      </x:c>
      <x:c r="F1330" t="n">
        <x:v>1</x:v>
      </x:c>
      <x:c r="G1330" t="str">
        <x:v>equals</x:v>
      </x:c>
      <x:c r="H1330" t="str">
        <x:v>independent physical acceptance</x:v>
      </x:c>
      <x:c r="I1330" t="str">
        <x:f>IF(E1330=1,"PASS","OPEN")</x:f>
        <x:v>OPEN</x:v>
      </x:c>
    </x:row>
    <x:row r="1331">
      <x:c r="B1331" t="str">
        <x:v>PH-TG-492-L</x:v>
      </x:c>
      <x:c r="C1331" t="str">
        <x:v>PHYSICAL</x:v>
      </x:c>
      <x:c r="D1331" t="str">
        <x:v>terrain load</x:v>
      </x:c>
      <x:c r="E1331" t="n">
        <x:f>IF('Terrain Field'!K498&lt;&gt;"",1,0)</x:f>
        <x:v>0</x:v>
      </x:c>
      <x:c r="F1331" t="n">
        <x:v>1</x:v>
      </x:c>
      <x:c r="G1331" t="str">
        <x:v>equals</x:v>
      </x:c>
      <x:c r="H1331" t="str">
        <x:v>independent physical acceptance</x:v>
      </x:c>
      <x:c r="I1331" t="str">
        <x:f>IF(E1331=1,"PASS","OPEN")</x:f>
        <x:v>OPEN</x:v>
      </x:c>
    </x:row>
    <x:row r="1332">
      <x:c r="B1332" t="str">
        <x:v>PH-TG-493-G</x:v>
      </x:c>
      <x:c r="C1332" t="str">
        <x:v>PHYSICAL</x:v>
      </x:c>
      <x:c r="D1332" t="str">
        <x:v>terrain geometry</x:v>
      </x:c>
      <x:c r="E1332" t="n">
        <x:f>IF('Terrain Field'!J499&lt;&gt;"",1,0)</x:f>
        <x:v>0</x:v>
      </x:c>
      <x:c r="F1332" t="n">
        <x:v>1</x:v>
      </x:c>
      <x:c r="G1332" t="str">
        <x:v>equals</x:v>
      </x:c>
      <x:c r="H1332" t="str">
        <x:v>independent physical acceptance</x:v>
      </x:c>
      <x:c r="I1332" t="str">
        <x:f>IF(E1332=1,"PASS","OPEN")</x:f>
        <x:v>OPEN</x:v>
      </x:c>
    </x:row>
    <x:row r="1333">
      <x:c r="B1333" t="str">
        <x:v>PH-TG-493-L</x:v>
      </x:c>
      <x:c r="C1333" t="str">
        <x:v>PHYSICAL</x:v>
      </x:c>
      <x:c r="D1333" t="str">
        <x:v>terrain load</x:v>
      </x:c>
      <x:c r="E1333" t="n">
        <x:f>IF('Terrain Field'!K499&lt;&gt;"",1,0)</x:f>
        <x:v>0</x:v>
      </x:c>
      <x:c r="F1333" t="n">
        <x:v>1</x:v>
      </x:c>
      <x:c r="G1333" t="str">
        <x:v>equals</x:v>
      </x:c>
      <x:c r="H1333" t="str">
        <x:v>independent physical acceptance</x:v>
      </x:c>
      <x:c r="I1333" t="str">
        <x:f>IF(E1333=1,"PASS","OPEN")</x:f>
        <x:v>OPEN</x:v>
      </x:c>
    </x:row>
    <x:row r="1334">
      <x:c r="B1334" t="str">
        <x:v>PH-TG-494-G</x:v>
      </x:c>
      <x:c r="C1334" t="str">
        <x:v>PHYSICAL</x:v>
      </x:c>
      <x:c r="D1334" t="str">
        <x:v>terrain geometry</x:v>
      </x:c>
      <x:c r="E1334" t="n">
        <x:f>IF('Terrain Field'!J500&lt;&gt;"",1,0)</x:f>
        <x:v>0</x:v>
      </x:c>
      <x:c r="F1334" t="n">
        <x:v>1</x:v>
      </x:c>
      <x:c r="G1334" t="str">
        <x:v>equals</x:v>
      </x:c>
      <x:c r="H1334" t="str">
        <x:v>independent physical acceptance</x:v>
      </x:c>
      <x:c r="I1334" t="str">
        <x:f>IF(E1334=1,"PASS","OPEN")</x:f>
        <x:v>OPEN</x:v>
      </x:c>
    </x:row>
    <x:row r="1335">
      <x:c r="B1335" t="str">
        <x:v>PH-TG-494-L</x:v>
      </x:c>
      <x:c r="C1335" t="str">
        <x:v>PHYSICAL</x:v>
      </x:c>
      <x:c r="D1335" t="str">
        <x:v>terrain load</x:v>
      </x:c>
      <x:c r="E1335" t="n">
        <x:f>IF('Terrain Field'!K500&lt;&gt;"",1,0)</x:f>
        <x:v>0</x:v>
      </x:c>
      <x:c r="F1335" t="n">
        <x:v>1</x:v>
      </x:c>
      <x:c r="G1335" t="str">
        <x:v>equals</x:v>
      </x:c>
      <x:c r="H1335" t="str">
        <x:v>independent physical acceptance</x:v>
      </x:c>
      <x:c r="I1335" t="str">
        <x:f>IF(E1335=1,"PASS","OPEN")</x:f>
        <x:v>OPEN</x:v>
      </x:c>
    </x:row>
    <x:row r="1336">
      <x:c r="B1336" t="str">
        <x:v>PH-TG-495-G</x:v>
      </x:c>
      <x:c r="C1336" t="str">
        <x:v>PHYSICAL</x:v>
      </x:c>
      <x:c r="D1336" t="str">
        <x:v>terrain geometry</x:v>
      </x:c>
      <x:c r="E1336" t="n">
        <x:f>IF('Terrain Field'!J501&lt;&gt;"",1,0)</x:f>
        <x:v>0</x:v>
      </x:c>
      <x:c r="F1336" t="n">
        <x:v>1</x:v>
      </x:c>
      <x:c r="G1336" t="str">
        <x:v>equals</x:v>
      </x:c>
      <x:c r="H1336" t="str">
        <x:v>independent physical acceptance</x:v>
      </x:c>
      <x:c r="I1336" t="str">
        <x:f>IF(E1336=1,"PASS","OPEN")</x:f>
        <x:v>OPEN</x:v>
      </x:c>
    </x:row>
    <x:row r="1337">
      <x:c r="B1337" t="str">
        <x:v>PH-TG-495-L</x:v>
      </x:c>
      <x:c r="C1337" t="str">
        <x:v>PHYSICAL</x:v>
      </x:c>
      <x:c r="D1337" t="str">
        <x:v>terrain load</x:v>
      </x:c>
      <x:c r="E1337" t="n">
        <x:f>IF('Terrain Field'!K501&lt;&gt;"",1,0)</x:f>
        <x:v>0</x:v>
      </x:c>
      <x:c r="F1337" t="n">
        <x:v>1</x:v>
      </x:c>
      <x:c r="G1337" t="str">
        <x:v>equals</x:v>
      </x:c>
      <x:c r="H1337" t="str">
        <x:v>independent physical acceptance</x:v>
      </x:c>
      <x:c r="I1337" t="str">
        <x:f>IF(E1337=1,"PASS","OPEN")</x:f>
        <x:v>OPEN</x:v>
      </x:c>
    </x:row>
    <x:row r="1338">
      <x:c r="B1338" t="str">
        <x:v>PH-TG-496-G</x:v>
      </x:c>
      <x:c r="C1338" t="str">
        <x:v>PHYSICAL</x:v>
      </x:c>
      <x:c r="D1338" t="str">
        <x:v>terrain geometry</x:v>
      </x:c>
      <x:c r="E1338" t="n">
        <x:f>IF('Terrain Field'!J502&lt;&gt;"",1,0)</x:f>
        <x:v>0</x:v>
      </x:c>
      <x:c r="F1338" t="n">
        <x:v>1</x:v>
      </x:c>
      <x:c r="G1338" t="str">
        <x:v>equals</x:v>
      </x:c>
      <x:c r="H1338" t="str">
        <x:v>independent physical acceptance</x:v>
      </x:c>
      <x:c r="I1338" t="str">
        <x:f>IF(E1338=1,"PASS","OPEN")</x:f>
        <x:v>OPEN</x:v>
      </x:c>
    </x:row>
    <x:row r="1339">
      <x:c r="B1339" t="str">
        <x:v>PH-TG-496-L</x:v>
      </x:c>
      <x:c r="C1339" t="str">
        <x:v>PHYSICAL</x:v>
      </x:c>
      <x:c r="D1339" t="str">
        <x:v>terrain load</x:v>
      </x:c>
      <x:c r="E1339" t="n">
        <x:f>IF('Terrain Field'!K502&lt;&gt;"",1,0)</x:f>
        <x:v>0</x:v>
      </x:c>
      <x:c r="F1339" t="n">
        <x:v>1</x:v>
      </x:c>
      <x:c r="G1339" t="str">
        <x:v>equals</x:v>
      </x:c>
      <x:c r="H1339" t="str">
        <x:v>independent physical acceptance</x:v>
      </x:c>
      <x:c r="I1339" t="str">
        <x:f>IF(E1339=1,"PASS","OPEN")</x:f>
        <x:v>OPEN</x:v>
      </x:c>
    </x:row>
    <x:row r="1340">
      <x:c r="B1340" t="str">
        <x:v>PH-TG-497-G</x:v>
      </x:c>
      <x:c r="C1340" t="str">
        <x:v>PHYSICAL</x:v>
      </x:c>
      <x:c r="D1340" t="str">
        <x:v>terrain geometry</x:v>
      </x:c>
      <x:c r="E1340" t="n">
        <x:f>IF('Terrain Field'!J503&lt;&gt;"",1,0)</x:f>
        <x:v>0</x:v>
      </x:c>
      <x:c r="F1340" t="n">
        <x:v>1</x:v>
      </x:c>
      <x:c r="G1340" t="str">
        <x:v>equals</x:v>
      </x:c>
      <x:c r="H1340" t="str">
        <x:v>independent physical acceptance</x:v>
      </x:c>
      <x:c r="I1340" t="str">
        <x:f>IF(E1340=1,"PASS","OPEN")</x:f>
        <x:v>OPEN</x:v>
      </x:c>
    </x:row>
    <x:row r="1341">
      <x:c r="B1341" t="str">
        <x:v>PH-TG-497-L</x:v>
      </x:c>
      <x:c r="C1341" t="str">
        <x:v>PHYSICAL</x:v>
      </x:c>
      <x:c r="D1341" t="str">
        <x:v>terrain load</x:v>
      </x:c>
      <x:c r="E1341" t="n">
        <x:f>IF('Terrain Field'!K503&lt;&gt;"",1,0)</x:f>
        <x:v>0</x:v>
      </x:c>
      <x:c r="F1341" t="n">
        <x:v>1</x:v>
      </x:c>
      <x:c r="G1341" t="str">
        <x:v>equals</x:v>
      </x:c>
      <x:c r="H1341" t="str">
        <x:v>independent physical acceptance</x:v>
      </x:c>
      <x:c r="I1341" t="str">
        <x:f>IF(E1341=1,"PASS","OPEN")</x:f>
        <x:v>OPEN</x:v>
      </x:c>
    </x:row>
    <x:row r="1342">
      <x:c r="B1342" t="str">
        <x:v>PH-TG-498-G</x:v>
      </x:c>
      <x:c r="C1342" t="str">
        <x:v>PHYSICAL</x:v>
      </x:c>
      <x:c r="D1342" t="str">
        <x:v>terrain geometry</x:v>
      </x:c>
      <x:c r="E1342" t="n">
        <x:f>IF('Terrain Field'!J504&lt;&gt;"",1,0)</x:f>
        <x:v>0</x:v>
      </x:c>
      <x:c r="F1342" t="n">
        <x:v>1</x:v>
      </x:c>
      <x:c r="G1342" t="str">
        <x:v>equals</x:v>
      </x:c>
      <x:c r="H1342" t="str">
        <x:v>independent physical acceptance</x:v>
      </x:c>
      <x:c r="I1342" t="str">
        <x:f>IF(E1342=1,"PASS","OPEN")</x:f>
        <x:v>OPEN</x:v>
      </x:c>
    </x:row>
    <x:row r="1343">
      <x:c r="B1343" t="str">
        <x:v>PH-TG-498-L</x:v>
      </x:c>
      <x:c r="C1343" t="str">
        <x:v>PHYSICAL</x:v>
      </x:c>
      <x:c r="D1343" t="str">
        <x:v>terrain load</x:v>
      </x:c>
      <x:c r="E1343" t="n">
        <x:f>IF('Terrain Field'!K504&lt;&gt;"",1,0)</x:f>
        <x:v>0</x:v>
      </x:c>
      <x:c r="F1343" t="n">
        <x:v>1</x:v>
      </x:c>
      <x:c r="G1343" t="str">
        <x:v>equals</x:v>
      </x:c>
      <x:c r="H1343" t="str">
        <x:v>independent physical acceptance</x:v>
      </x:c>
      <x:c r="I1343" t="str">
        <x:f>IF(E1343=1,"PASS","OPEN")</x:f>
        <x:v>OPEN</x:v>
      </x:c>
    </x:row>
    <x:row r="1344">
      <x:c r="B1344" t="str">
        <x:v>PH-TG-499-G</x:v>
      </x:c>
      <x:c r="C1344" t="str">
        <x:v>PHYSICAL</x:v>
      </x:c>
      <x:c r="D1344" t="str">
        <x:v>terrain geometry</x:v>
      </x:c>
      <x:c r="E1344" t="n">
        <x:f>IF('Terrain Field'!J505&lt;&gt;"",1,0)</x:f>
        <x:v>0</x:v>
      </x:c>
      <x:c r="F1344" t="n">
        <x:v>1</x:v>
      </x:c>
      <x:c r="G1344" t="str">
        <x:v>equals</x:v>
      </x:c>
      <x:c r="H1344" t="str">
        <x:v>independent physical acceptance</x:v>
      </x:c>
      <x:c r="I1344" t="str">
        <x:f>IF(E1344=1,"PASS","OPEN")</x:f>
        <x:v>OPEN</x:v>
      </x:c>
    </x:row>
    <x:row r="1345">
      <x:c r="B1345" t="str">
        <x:v>PH-TG-499-L</x:v>
      </x:c>
      <x:c r="C1345" t="str">
        <x:v>PHYSICAL</x:v>
      </x:c>
      <x:c r="D1345" t="str">
        <x:v>terrain load</x:v>
      </x:c>
      <x:c r="E1345" t="n">
        <x:f>IF('Terrain Field'!K505&lt;&gt;"",1,0)</x:f>
        <x:v>0</x:v>
      </x:c>
      <x:c r="F1345" t="n">
        <x:v>1</x:v>
      </x:c>
      <x:c r="G1345" t="str">
        <x:v>equals</x:v>
      </x:c>
      <x:c r="H1345" t="str">
        <x:v>independent physical acceptance</x:v>
      </x:c>
      <x:c r="I1345" t="str">
        <x:f>IF(E1345=1,"PASS","OPEN")</x:f>
        <x:v>OPEN</x:v>
      </x:c>
    </x:row>
    <x:row r="1346">
      <x:c r="B1346" t="str">
        <x:v>PH-TG-500-G</x:v>
      </x:c>
      <x:c r="C1346" t="str">
        <x:v>PHYSICAL</x:v>
      </x:c>
      <x:c r="D1346" t="str">
        <x:v>terrain geometry</x:v>
      </x:c>
      <x:c r="E1346" t="n">
        <x:f>IF('Terrain Field'!J506&lt;&gt;"",1,0)</x:f>
        <x:v>0</x:v>
      </x:c>
      <x:c r="F1346" t="n">
        <x:v>1</x:v>
      </x:c>
      <x:c r="G1346" t="str">
        <x:v>equals</x:v>
      </x:c>
      <x:c r="H1346" t="str">
        <x:v>independent physical acceptance</x:v>
      </x:c>
      <x:c r="I1346" t="str">
        <x:f>IF(E1346=1,"PASS","OPEN")</x:f>
        <x:v>OPEN</x:v>
      </x:c>
    </x:row>
    <x:row r="1347">
      <x:c r="B1347" t="str">
        <x:v>PH-TG-500-L</x:v>
      </x:c>
      <x:c r="C1347" t="str">
        <x:v>PHYSICAL</x:v>
      </x:c>
      <x:c r="D1347" t="str">
        <x:v>terrain load</x:v>
      </x:c>
      <x:c r="E1347" t="n">
        <x:f>IF('Terrain Field'!K506&lt;&gt;"",1,0)</x:f>
        <x:v>0</x:v>
      </x:c>
      <x:c r="F1347" t="n">
        <x:v>1</x:v>
      </x:c>
      <x:c r="G1347" t="str">
        <x:v>equals</x:v>
      </x:c>
      <x:c r="H1347" t="str">
        <x:v>independent physical acceptance</x:v>
      </x:c>
      <x:c r="I1347" t="str">
        <x:f>IF(E1347=1,"PASS","OPEN")</x:f>
        <x:v>OPEN</x:v>
      </x:c>
    </x:row>
    <x:row r="1348">
      <x:c r="B1348" t="str">
        <x:v>PH-TG-501-G</x:v>
      </x:c>
      <x:c r="C1348" t="str">
        <x:v>PHYSICAL</x:v>
      </x:c>
      <x:c r="D1348" t="str">
        <x:v>terrain geometry</x:v>
      </x:c>
      <x:c r="E1348" t="n">
        <x:f>IF('Terrain Field'!J507&lt;&gt;"",1,0)</x:f>
        <x:v>0</x:v>
      </x:c>
      <x:c r="F1348" t="n">
        <x:v>1</x:v>
      </x:c>
      <x:c r="G1348" t="str">
        <x:v>equals</x:v>
      </x:c>
      <x:c r="H1348" t="str">
        <x:v>independent physical acceptance</x:v>
      </x:c>
      <x:c r="I1348" t="str">
        <x:f>IF(E1348=1,"PASS","OPEN")</x:f>
        <x:v>OPEN</x:v>
      </x:c>
    </x:row>
    <x:row r="1349">
      <x:c r="B1349" t="str">
        <x:v>PH-TG-501-L</x:v>
      </x:c>
      <x:c r="C1349" t="str">
        <x:v>PHYSICAL</x:v>
      </x:c>
      <x:c r="D1349" t="str">
        <x:v>terrain load</x:v>
      </x:c>
      <x:c r="E1349" t="n">
        <x:f>IF('Terrain Field'!K507&lt;&gt;"",1,0)</x:f>
        <x:v>0</x:v>
      </x:c>
      <x:c r="F1349" t="n">
        <x:v>1</x:v>
      </x:c>
      <x:c r="G1349" t="str">
        <x:v>equals</x:v>
      </x:c>
      <x:c r="H1349" t="str">
        <x:v>independent physical acceptance</x:v>
      </x:c>
      <x:c r="I1349" t="str">
        <x:f>IF(E1349=1,"PASS","OPEN")</x:f>
        <x:v>OPEN</x:v>
      </x:c>
    </x:row>
    <x:row r="1350">
      <x:c r="B1350" t="str">
        <x:v>PH-TG-502-G</x:v>
      </x:c>
      <x:c r="C1350" t="str">
        <x:v>PHYSICAL</x:v>
      </x:c>
      <x:c r="D1350" t="str">
        <x:v>terrain geometry</x:v>
      </x:c>
      <x:c r="E1350" t="n">
        <x:f>IF('Terrain Field'!J508&lt;&gt;"",1,0)</x:f>
        <x:v>0</x:v>
      </x:c>
      <x:c r="F1350" t="n">
        <x:v>1</x:v>
      </x:c>
      <x:c r="G1350" t="str">
        <x:v>equals</x:v>
      </x:c>
      <x:c r="H1350" t="str">
        <x:v>independent physical acceptance</x:v>
      </x:c>
      <x:c r="I1350" t="str">
        <x:f>IF(E1350=1,"PASS","OPEN")</x:f>
        <x:v>OPEN</x:v>
      </x:c>
    </x:row>
    <x:row r="1351">
      <x:c r="B1351" t="str">
        <x:v>PH-TG-502-L</x:v>
      </x:c>
      <x:c r="C1351" t="str">
        <x:v>PHYSICAL</x:v>
      </x:c>
      <x:c r="D1351" t="str">
        <x:v>terrain load</x:v>
      </x:c>
      <x:c r="E1351" t="n">
        <x:f>IF('Terrain Field'!K508&lt;&gt;"",1,0)</x:f>
        <x:v>0</x:v>
      </x:c>
      <x:c r="F1351" t="n">
        <x:v>1</x:v>
      </x:c>
      <x:c r="G1351" t="str">
        <x:v>equals</x:v>
      </x:c>
      <x:c r="H1351" t="str">
        <x:v>independent physical acceptance</x:v>
      </x:c>
      <x:c r="I1351" t="str">
        <x:f>IF(E1351=1,"PASS","OPEN")</x:f>
        <x:v>OPEN</x:v>
      </x:c>
    </x:row>
    <x:row r="1352">
      <x:c r="B1352" t="str">
        <x:v>PH-TG-503-G</x:v>
      </x:c>
      <x:c r="C1352" t="str">
        <x:v>PHYSICAL</x:v>
      </x:c>
      <x:c r="D1352" t="str">
        <x:v>terrain geometry</x:v>
      </x:c>
      <x:c r="E1352" t="n">
        <x:f>IF('Terrain Field'!J509&lt;&gt;"",1,0)</x:f>
        <x:v>0</x:v>
      </x:c>
      <x:c r="F1352" t="n">
        <x:v>1</x:v>
      </x:c>
      <x:c r="G1352" t="str">
        <x:v>equals</x:v>
      </x:c>
      <x:c r="H1352" t="str">
        <x:v>independent physical acceptance</x:v>
      </x:c>
      <x:c r="I1352" t="str">
        <x:f>IF(E1352=1,"PASS","OPEN")</x:f>
        <x:v>OPEN</x:v>
      </x:c>
    </x:row>
    <x:row r="1353">
      <x:c r="B1353" t="str">
        <x:v>PH-TG-503-L</x:v>
      </x:c>
      <x:c r="C1353" t="str">
        <x:v>PHYSICAL</x:v>
      </x:c>
      <x:c r="D1353" t="str">
        <x:v>terrain load</x:v>
      </x:c>
      <x:c r="E1353" t="n">
        <x:f>IF('Terrain Field'!K509&lt;&gt;"",1,0)</x:f>
        <x:v>0</x:v>
      </x:c>
      <x:c r="F1353" t="n">
        <x:v>1</x:v>
      </x:c>
      <x:c r="G1353" t="str">
        <x:v>equals</x:v>
      </x:c>
      <x:c r="H1353" t="str">
        <x:v>independent physical acceptance</x:v>
      </x:c>
      <x:c r="I1353" t="str">
        <x:f>IF(E1353=1,"PASS","OPEN")</x:f>
        <x:v>OPEN</x:v>
      </x:c>
    </x:row>
    <x:row r="1354">
      <x:c r="B1354" t="str">
        <x:v>PH-TG-504-G</x:v>
      </x:c>
      <x:c r="C1354" t="str">
        <x:v>PHYSICAL</x:v>
      </x:c>
      <x:c r="D1354" t="str">
        <x:v>terrain geometry</x:v>
      </x:c>
      <x:c r="E1354" t="n">
        <x:f>IF('Terrain Field'!J510&lt;&gt;"",1,0)</x:f>
        <x:v>0</x:v>
      </x:c>
      <x:c r="F1354" t="n">
        <x:v>1</x:v>
      </x:c>
      <x:c r="G1354" t="str">
        <x:v>equals</x:v>
      </x:c>
      <x:c r="H1354" t="str">
        <x:v>independent physical acceptance</x:v>
      </x:c>
      <x:c r="I1354" t="str">
        <x:f>IF(E1354=1,"PASS","OPEN")</x:f>
        <x:v>OPEN</x:v>
      </x:c>
    </x:row>
    <x:row r="1355">
      <x:c r="B1355" t="str">
        <x:v>PH-TG-504-L</x:v>
      </x:c>
      <x:c r="C1355" t="str">
        <x:v>PHYSICAL</x:v>
      </x:c>
      <x:c r="D1355" t="str">
        <x:v>terrain load</x:v>
      </x:c>
      <x:c r="E1355" t="n">
        <x:f>IF('Terrain Field'!K510&lt;&gt;"",1,0)</x:f>
        <x:v>0</x:v>
      </x:c>
      <x:c r="F1355" t="n">
        <x:v>1</x:v>
      </x:c>
      <x:c r="G1355" t="str">
        <x:v>equals</x:v>
      </x:c>
      <x:c r="H1355" t="str">
        <x:v>independent physical acceptance</x:v>
      </x:c>
      <x:c r="I1355" t="str">
        <x:f>IF(E1355=1,"PASS","OPEN")</x:f>
        <x:v>OPEN</x:v>
      </x:c>
    </x:row>
    <x:row r="1356">
      <x:c r="B1356" t="str">
        <x:v>PH-TG-505-G</x:v>
      </x:c>
      <x:c r="C1356" t="str">
        <x:v>PHYSICAL</x:v>
      </x:c>
      <x:c r="D1356" t="str">
        <x:v>terrain geometry</x:v>
      </x:c>
      <x:c r="E1356" t="n">
        <x:f>IF('Terrain Field'!J511&lt;&gt;"",1,0)</x:f>
        <x:v>0</x:v>
      </x:c>
      <x:c r="F1356" t="n">
        <x:v>1</x:v>
      </x:c>
      <x:c r="G1356" t="str">
        <x:v>equals</x:v>
      </x:c>
      <x:c r="H1356" t="str">
        <x:v>independent physical acceptance</x:v>
      </x:c>
      <x:c r="I1356" t="str">
        <x:f>IF(E1356=1,"PASS","OPEN")</x:f>
        <x:v>OPEN</x:v>
      </x:c>
    </x:row>
    <x:row r="1357">
      <x:c r="B1357" t="str">
        <x:v>PH-TG-505-L</x:v>
      </x:c>
      <x:c r="C1357" t="str">
        <x:v>PHYSICAL</x:v>
      </x:c>
      <x:c r="D1357" t="str">
        <x:v>terrain load</x:v>
      </x:c>
      <x:c r="E1357" t="n">
        <x:f>IF('Terrain Field'!K511&lt;&gt;"",1,0)</x:f>
        <x:v>0</x:v>
      </x:c>
      <x:c r="F1357" t="n">
        <x:v>1</x:v>
      </x:c>
      <x:c r="G1357" t="str">
        <x:v>equals</x:v>
      </x:c>
      <x:c r="H1357" t="str">
        <x:v>independent physical acceptance</x:v>
      </x:c>
      <x:c r="I1357" t="str">
        <x:f>IF(E1357=1,"PASS","OPEN")</x:f>
        <x:v>OPEN</x:v>
      </x:c>
    </x:row>
    <x:row r="1358">
      <x:c r="B1358" t="str">
        <x:v>PH-TG-506-G</x:v>
      </x:c>
      <x:c r="C1358" t="str">
        <x:v>PHYSICAL</x:v>
      </x:c>
      <x:c r="D1358" t="str">
        <x:v>terrain geometry</x:v>
      </x:c>
      <x:c r="E1358" t="n">
        <x:f>IF('Terrain Field'!J512&lt;&gt;"",1,0)</x:f>
        <x:v>0</x:v>
      </x:c>
      <x:c r="F1358" t="n">
        <x:v>1</x:v>
      </x:c>
      <x:c r="G1358" t="str">
        <x:v>equals</x:v>
      </x:c>
      <x:c r="H1358" t="str">
        <x:v>independent physical acceptance</x:v>
      </x:c>
      <x:c r="I1358" t="str">
        <x:f>IF(E1358=1,"PASS","OPEN")</x:f>
        <x:v>OPEN</x:v>
      </x:c>
    </x:row>
    <x:row r="1359">
      <x:c r="B1359" t="str">
        <x:v>PH-TG-506-L</x:v>
      </x:c>
      <x:c r="C1359" t="str">
        <x:v>PHYSICAL</x:v>
      </x:c>
      <x:c r="D1359" t="str">
        <x:v>terrain load</x:v>
      </x:c>
      <x:c r="E1359" t="n">
        <x:f>IF('Terrain Field'!K512&lt;&gt;"",1,0)</x:f>
        <x:v>0</x:v>
      </x:c>
      <x:c r="F1359" t="n">
        <x:v>1</x:v>
      </x:c>
      <x:c r="G1359" t="str">
        <x:v>equals</x:v>
      </x:c>
      <x:c r="H1359" t="str">
        <x:v>independent physical acceptance</x:v>
      </x:c>
      <x:c r="I1359" t="str">
        <x:f>IF(E1359=1,"PASS","OPEN")</x:f>
        <x:v>OPEN</x:v>
      </x:c>
    </x:row>
    <x:row r="1360">
      <x:c r="B1360" t="str">
        <x:v>PH-TG-507-G</x:v>
      </x:c>
      <x:c r="C1360" t="str">
        <x:v>PHYSICAL</x:v>
      </x:c>
      <x:c r="D1360" t="str">
        <x:v>terrain geometry</x:v>
      </x:c>
      <x:c r="E1360" t="n">
        <x:f>IF('Terrain Field'!J513&lt;&gt;"",1,0)</x:f>
        <x:v>0</x:v>
      </x:c>
      <x:c r="F1360" t="n">
        <x:v>1</x:v>
      </x:c>
      <x:c r="G1360" t="str">
        <x:v>equals</x:v>
      </x:c>
      <x:c r="H1360" t="str">
        <x:v>independent physical acceptance</x:v>
      </x:c>
      <x:c r="I1360" t="str">
        <x:f>IF(E1360=1,"PASS","OPEN")</x:f>
        <x:v>OPEN</x:v>
      </x:c>
    </x:row>
    <x:row r="1361">
      <x:c r="B1361" t="str">
        <x:v>PH-TG-507-L</x:v>
      </x:c>
      <x:c r="C1361" t="str">
        <x:v>PHYSICAL</x:v>
      </x:c>
      <x:c r="D1361" t="str">
        <x:v>terrain load</x:v>
      </x:c>
      <x:c r="E1361" t="n">
        <x:f>IF('Terrain Field'!K513&lt;&gt;"",1,0)</x:f>
        <x:v>0</x:v>
      </x:c>
      <x:c r="F1361" t="n">
        <x:v>1</x:v>
      </x:c>
      <x:c r="G1361" t="str">
        <x:v>equals</x:v>
      </x:c>
      <x:c r="H1361" t="str">
        <x:v>independent physical acceptance</x:v>
      </x:c>
      <x:c r="I1361" t="str">
        <x:f>IF(E1361=1,"PASS","OPEN")</x:f>
        <x:v>OPEN</x:v>
      </x:c>
    </x:row>
    <x:row r="1362">
      <x:c r="B1362" t="str">
        <x:v>PH-TG-508-G</x:v>
      </x:c>
      <x:c r="C1362" t="str">
        <x:v>PHYSICAL</x:v>
      </x:c>
      <x:c r="D1362" t="str">
        <x:v>terrain geometry</x:v>
      </x:c>
      <x:c r="E1362" t="n">
        <x:f>IF('Terrain Field'!J514&lt;&gt;"",1,0)</x:f>
        <x:v>0</x:v>
      </x:c>
      <x:c r="F1362" t="n">
        <x:v>1</x:v>
      </x:c>
      <x:c r="G1362" t="str">
        <x:v>equals</x:v>
      </x:c>
      <x:c r="H1362" t="str">
        <x:v>independent physical acceptance</x:v>
      </x:c>
      <x:c r="I1362" t="str">
        <x:f>IF(E1362=1,"PASS","OPEN")</x:f>
        <x:v>OPEN</x:v>
      </x:c>
    </x:row>
    <x:row r="1363">
      <x:c r="B1363" t="str">
        <x:v>PH-TG-508-L</x:v>
      </x:c>
      <x:c r="C1363" t="str">
        <x:v>PHYSICAL</x:v>
      </x:c>
      <x:c r="D1363" t="str">
        <x:v>terrain load</x:v>
      </x:c>
      <x:c r="E1363" t="n">
        <x:f>IF('Terrain Field'!K514&lt;&gt;"",1,0)</x:f>
        <x:v>0</x:v>
      </x:c>
      <x:c r="F1363" t="n">
        <x:v>1</x:v>
      </x:c>
      <x:c r="G1363" t="str">
        <x:v>equals</x:v>
      </x:c>
      <x:c r="H1363" t="str">
        <x:v>independent physical acceptance</x:v>
      </x:c>
      <x:c r="I1363" t="str">
        <x:f>IF(E1363=1,"PASS","OPEN")</x:f>
        <x:v>OPEN</x:v>
      </x:c>
    </x:row>
    <x:row r="1364">
      <x:c r="B1364" t="str">
        <x:v>PH-TG-509-G</x:v>
      </x:c>
      <x:c r="C1364" t="str">
        <x:v>PHYSICAL</x:v>
      </x:c>
      <x:c r="D1364" t="str">
        <x:v>terrain geometry</x:v>
      </x:c>
      <x:c r="E1364" t="n">
        <x:f>IF('Terrain Field'!J515&lt;&gt;"",1,0)</x:f>
        <x:v>0</x:v>
      </x:c>
      <x:c r="F1364" t="n">
        <x:v>1</x:v>
      </x:c>
      <x:c r="G1364" t="str">
        <x:v>equals</x:v>
      </x:c>
      <x:c r="H1364" t="str">
        <x:v>independent physical acceptance</x:v>
      </x:c>
      <x:c r="I1364" t="str">
        <x:f>IF(E1364=1,"PASS","OPEN")</x:f>
        <x:v>OPEN</x:v>
      </x:c>
    </x:row>
    <x:row r="1365">
      <x:c r="B1365" t="str">
        <x:v>PH-TG-509-L</x:v>
      </x:c>
      <x:c r="C1365" t="str">
        <x:v>PHYSICAL</x:v>
      </x:c>
      <x:c r="D1365" t="str">
        <x:v>terrain load</x:v>
      </x:c>
      <x:c r="E1365" t="n">
        <x:f>IF('Terrain Field'!K515&lt;&gt;"",1,0)</x:f>
        <x:v>0</x:v>
      </x:c>
      <x:c r="F1365" t="n">
        <x:v>1</x:v>
      </x:c>
      <x:c r="G1365" t="str">
        <x:v>equals</x:v>
      </x:c>
      <x:c r="H1365" t="str">
        <x:v>independent physical acceptance</x:v>
      </x:c>
      <x:c r="I1365" t="str">
        <x:f>IF(E1365=1,"PASS","OPEN")</x:f>
        <x:v>OPEN</x:v>
      </x:c>
    </x:row>
    <x:row r="1366">
      <x:c r="B1366" t="str">
        <x:v>PH-TG-510-G</x:v>
      </x:c>
      <x:c r="C1366" t="str">
        <x:v>PHYSICAL</x:v>
      </x:c>
      <x:c r="D1366" t="str">
        <x:v>terrain geometry</x:v>
      </x:c>
      <x:c r="E1366" t="n">
        <x:f>IF('Terrain Field'!J516&lt;&gt;"",1,0)</x:f>
        <x:v>0</x:v>
      </x:c>
      <x:c r="F1366" t="n">
        <x:v>1</x:v>
      </x:c>
      <x:c r="G1366" t="str">
        <x:v>equals</x:v>
      </x:c>
      <x:c r="H1366" t="str">
        <x:v>independent physical acceptance</x:v>
      </x:c>
      <x:c r="I1366" t="str">
        <x:f>IF(E1366=1,"PASS","OPEN")</x:f>
        <x:v>OPEN</x:v>
      </x:c>
    </x:row>
    <x:row r="1367">
      <x:c r="B1367" t="str">
        <x:v>PH-TG-510-L</x:v>
      </x:c>
      <x:c r="C1367" t="str">
        <x:v>PHYSICAL</x:v>
      </x:c>
      <x:c r="D1367" t="str">
        <x:v>terrain load</x:v>
      </x:c>
      <x:c r="E1367" t="n">
        <x:f>IF('Terrain Field'!K516&lt;&gt;"",1,0)</x:f>
        <x:v>0</x:v>
      </x:c>
      <x:c r="F1367" t="n">
        <x:v>1</x:v>
      </x:c>
      <x:c r="G1367" t="str">
        <x:v>equals</x:v>
      </x:c>
      <x:c r="H1367" t="str">
        <x:v>independent physical acceptance</x:v>
      </x:c>
      <x:c r="I1367" t="str">
        <x:f>IF(E1367=1,"PASS","OPEN")</x:f>
        <x:v>OPEN</x:v>
      </x:c>
    </x:row>
    <x:row r="1368">
      <x:c r="B1368" t="str">
        <x:v>PH-TG-511-G</x:v>
      </x:c>
      <x:c r="C1368" t="str">
        <x:v>PHYSICAL</x:v>
      </x:c>
      <x:c r="D1368" t="str">
        <x:v>terrain geometry</x:v>
      </x:c>
      <x:c r="E1368" t="n">
        <x:f>IF('Terrain Field'!J517&lt;&gt;"",1,0)</x:f>
        <x:v>0</x:v>
      </x:c>
      <x:c r="F1368" t="n">
        <x:v>1</x:v>
      </x:c>
      <x:c r="G1368" t="str">
        <x:v>equals</x:v>
      </x:c>
      <x:c r="H1368" t="str">
        <x:v>independent physical acceptance</x:v>
      </x:c>
      <x:c r="I1368" t="str">
        <x:f>IF(E1368=1,"PASS","OPEN")</x:f>
        <x:v>OPEN</x:v>
      </x:c>
    </x:row>
    <x:row r="1369">
      <x:c r="B1369" t="str">
        <x:v>PH-TG-511-L</x:v>
      </x:c>
      <x:c r="C1369" t="str">
        <x:v>PHYSICAL</x:v>
      </x:c>
      <x:c r="D1369" t="str">
        <x:v>terrain load</x:v>
      </x:c>
      <x:c r="E1369" t="n">
        <x:f>IF('Terrain Field'!K517&lt;&gt;"",1,0)</x:f>
        <x:v>0</x:v>
      </x:c>
      <x:c r="F1369" t="n">
        <x:v>1</x:v>
      </x:c>
      <x:c r="G1369" t="str">
        <x:v>equals</x:v>
      </x:c>
      <x:c r="H1369" t="str">
        <x:v>independent physical acceptance</x:v>
      </x:c>
      <x:c r="I1369" t="str">
        <x:f>IF(E1369=1,"PASS","OPEN")</x:f>
        <x:v>OPEN</x:v>
      </x:c>
    </x:row>
    <x:row r="1370">
      <x:c r="B1370" t="str">
        <x:v>PH-TG-512-G</x:v>
      </x:c>
      <x:c r="C1370" t="str">
        <x:v>PHYSICAL</x:v>
      </x:c>
      <x:c r="D1370" t="str">
        <x:v>terrain geometry</x:v>
      </x:c>
      <x:c r="E1370" t="n">
        <x:f>IF('Terrain Field'!J518&lt;&gt;"",1,0)</x:f>
        <x:v>0</x:v>
      </x:c>
      <x:c r="F1370" t="n">
        <x:v>1</x:v>
      </x:c>
      <x:c r="G1370" t="str">
        <x:v>equals</x:v>
      </x:c>
      <x:c r="H1370" t="str">
        <x:v>independent physical acceptance</x:v>
      </x:c>
      <x:c r="I1370" t="str">
        <x:f>IF(E1370=1,"PASS","OPEN")</x:f>
        <x:v>OPEN</x:v>
      </x:c>
    </x:row>
    <x:row r="1371">
      <x:c r="B1371" t="str">
        <x:v>PH-TG-512-L</x:v>
      </x:c>
      <x:c r="C1371" t="str">
        <x:v>PHYSICAL</x:v>
      </x:c>
      <x:c r="D1371" t="str">
        <x:v>terrain load</x:v>
      </x:c>
      <x:c r="E1371" t="n">
        <x:f>IF('Terrain Field'!K518&lt;&gt;"",1,0)</x:f>
        <x:v>0</x:v>
      </x:c>
      <x:c r="F1371" t="n">
        <x:v>1</x:v>
      </x:c>
      <x:c r="G1371" t="str">
        <x:v>equals</x:v>
      </x:c>
      <x:c r="H1371" t="str">
        <x:v>independent physical acceptance</x:v>
      </x:c>
      <x:c r="I1371" t="str">
        <x:f>IF(E1371=1,"PASS","OPEN")</x:f>
        <x:v>OPEN</x:v>
      </x:c>
    </x:row>
    <x:row r="1372">
      <x:c r="B1372" t="str">
        <x:v>PH-TG-513-G</x:v>
      </x:c>
      <x:c r="C1372" t="str">
        <x:v>PHYSICAL</x:v>
      </x:c>
      <x:c r="D1372" t="str">
        <x:v>terrain geometry</x:v>
      </x:c>
      <x:c r="E1372" t="n">
        <x:f>IF('Terrain Field'!J519&lt;&gt;"",1,0)</x:f>
        <x:v>0</x:v>
      </x:c>
      <x:c r="F1372" t="n">
        <x:v>1</x:v>
      </x:c>
      <x:c r="G1372" t="str">
        <x:v>equals</x:v>
      </x:c>
      <x:c r="H1372" t="str">
        <x:v>independent physical acceptance</x:v>
      </x:c>
      <x:c r="I1372" t="str">
        <x:f>IF(E1372=1,"PASS","OPEN")</x:f>
        <x:v>OPEN</x:v>
      </x:c>
    </x:row>
    <x:row r="1373">
      <x:c r="B1373" t="str">
        <x:v>PH-TG-513-L</x:v>
      </x:c>
      <x:c r="C1373" t="str">
        <x:v>PHYSICAL</x:v>
      </x:c>
      <x:c r="D1373" t="str">
        <x:v>terrain load</x:v>
      </x:c>
      <x:c r="E1373" t="n">
        <x:f>IF('Terrain Field'!K519&lt;&gt;"",1,0)</x:f>
        <x:v>0</x:v>
      </x:c>
      <x:c r="F1373" t="n">
        <x:v>1</x:v>
      </x:c>
      <x:c r="G1373" t="str">
        <x:v>equals</x:v>
      </x:c>
      <x:c r="H1373" t="str">
        <x:v>independent physical acceptance</x:v>
      </x:c>
      <x:c r="I1373" t="str">
        <x:f>IF(E1373=1,"PASS","OPEN")</x:f>
        <x:v>OPEN</x:v>
      </x:c>
    </x:row>
    <x:row r="1374">
      <x:c r="B1374" t="str">
        <x:v>PH-TG-514-G</x:v>
      </x:c>
      <x:c r="C1374" t="str">
        <x:v>PHYSICAL</x:v>
      </x:c>
      <x:c r="D1374" t="str">
        <x:v>terrain geometry</x:v>
      </x:c>
      <x:c r="E1374" t="n">
        <x:f>IF('Terrain Field'!J520&lt;&gt;"",1,0)</x:f>
        <x:v>0</x:v>
      </x:c>
      <x:c r="F1374" t="n">
        <x:v>1</x:v>
      </x:c>
      <x:c r="G1374" t="str">
        <x:v>equals</x:v>
      </x:c>
      <x:c r="H1374" t="str">
        <x:v>independent physical acceptance</x:v>
      </x:c>
      <x:c r="I1374" t="str">
        <x:f>IF(E1374=1,"PASS","OPEN")</x:f>
        <x:v>OPEN</x:v>
      </x:c>
    </x:row>
    <x:row r="1375">
      <x:c r="B1375" t="str">
        <x:v>PH-TG-514-L</x:v>
      </x:c>
      <x:c r="C1375" t="str">
        <x:v>PHYSICAL</x:v>
      </x:c>
      <x:c r="D1375" t="str">
        <x:v>terrain load</x:v>
      </x:c>
      <x:c r="E1375" t="n">
        <x:f>IF('Terrain Field'!K520&lt;&gt;"",1,0)</x:f>
        <x:v>0</x:v>
      </x:c>
      <x:c r="F1375" t="n">
        <x:v>1</x:v>
      </x:c>
      <x:c r="G1375" t="str">
        <x:v>equals</x:v>
      </x:c>
      <x:c r="H1375" t="str">
        <x:v>independent physical acceptance</x:v>
      </x:c>
      <x:c r="I1375" t="str">
        <x:f>IF(E1375=1,"PASS","OPEN")</x:f>
        <x:v>OPEN</x:v>
      </x:c>
    </x:row>
    <x:row r="1376">
      <x:c r="B1376" t="str">
        <x:v>PH-TG-515-G</x:v>
      </x:c>
      <x:c r="C1376" t="str">
        <x:v>PHYSICAL</x:v>
      </x:c>
      <x:c r="D1376" t="str">
        <x:v>terrain geometry</x:v>
      </x:c>
      <x:c r="E1376" t="n">
        <x:f>IF('Terrain Field'!J521&lt;&gt;"",1,0)</x:f>
        <x:v>0</x:v>
      </x:c>
      <x:c r="F1376" t="n">
        <x:v>1</x:v>
      </x:c>
      <x:c r="G1376" t="str">
        <x:v>equals</x:v>
      </x:c>
      <x:c r="H1376" t="str">
        <x:v>independent physical acceptance</x:v>
      </x:c>
      <x:c r="I1376" t="str">
        <x:f>IF(E1376=1,"PASS","OPEN")</x:f>
        <x:v>OPEN</x:v>
      </x:c>
    </x:row>
    <x:row r="1377">
      <x:c r="B1377" t="str">
        <x:v>PH-TG-515-L</x:v>
      </x:c>
      <x:c r="C1377" t="str">
        <x:v>PHYSICAL</x:v>
      </x:c>
      <x:c r="D1377" t="str">
        <x:v>terrain load</x:v>
      </x:c>
      <x:c r="E1377" t="n">
        <x:f>IF('Terrain Field'!K521&lt;&gt;"",1,0)</x:f>
        <x:v>0</x:v>
      </x:c>
      <x:c r="F1377" t="n">
        <x:v>1</x:v>
      </x:c>
      <x:c r="G1377" t="str">
        <x:v>equals</x:v>
      </x:c>
      <x:c r="H1377" t="str">
        <x:v>independent physical acceptance</x:v>
      </x:c>
      <x:c r="I1377" t="str">
        <x:f>IF(E1377=1,"PASS","OPEN")</x:f>
        <x:v>OPEN</x:v>
      </x:c>
    </x:row>
    <x:row r="1378">
      <x:c r="B1378" t="str">
        <x:v>PH-TG-516-G</x:v>
      </x:c>
      <x:c r="C1378" t="str">
        <x:v>PHYSICAL</x:v>
      </x:c>
      <x:c r="D1378" t="str">
        <x:v>terrain geometry</x:v>
      </x:c>
      <x:c r="E1378" t="n">
        <x:f>IF('Terrain Field'!J522&lt;&gt;"",1,0)</x:f>
        <x:v>0</x:v>
      </x:c>
      <x:c r="F1378" t="n">
        <x:v>1</x:v>
      </x:c>
      <x:c r="G1378" t="str">
        <x:v>equals</x:v>
      </x:c>
      <x:c r="H1378" t="str">
        <x:v>independent physical acceptance</x:v>
      </x:c>
      <x:c r="I1378" t="str">
        <x:f>IF(E1378=1,"PASS","OPEN")</x:f>
        <x:v>OPEN</x:v>
      </x:c>
    </x:row>
    <x:row r="1379">
      <x:c r="B1379" t="str">
        <x:v>PH-TG-516-L</x:v>
      </x:c>
      <x:c r="C1379" t="str">
        <x:v>PHYSICAL</x:v>
      </x:c>
      <x:c r="D1379" t="str">
        <x:v>terrain load</x:v>
      </x:c>
      <x:c r="E1379" t="n">
        <x:f>IF('Terrain Field'!K522&lt;&gt;"",1,0)</x:f>
        <x:v>0</x:v>
      </x:c>
      <x:c r="F1379" t="n">
        <x:v>1</x:v>
      </x:c>
      <x:c r="G1379" t="str">
        <x:v>equals</x:v>
      </x:c>
      <x:c r="H1379" t="str">
        <x:v>independent physical acceptance</x:v>
      </x:c>
      <x:c r="I1379" t="str">
        <x:f>IF(E1379=1,"PASS","OPEN")</x:f>
        <x:v>OPEN</x:v>
      </x:c>
    </x:row>
    <x:row r="1380">
      <x:c r="B1380" t="str">
        <x:v>PH-TG-517-G</x:v>
      </x:c>
      <x:c r="C1380" t="str">
        <x:v>PHYSICAL</x:v>
      </x:c>
      <x:c r="D1380" t="str">
        <x:v>terrain geometry</x:v>
      </x:c>
      <x:c r="E1380" t="n">
        <x:f>IF('Terrain Field'!J523&lt;&gt;"",1,0)</x:f>
        <x:v>0</x:v>
      </x:c>
      <x:c r="F1380" t="n">
        <x:v>1</x:v>
      </x:c>
      <x:c r="G1380" t="str">
        <x:v>equals</x:v>
      </x:c>
      <x:c r="H1380" t="str">
        <x:v>independent physical acceptance</x:v>
      </x:c>
      <x:c r="I1380" t="str">
        <x:f>IF(E1380=1,"PASS","OPEN")</x:f>
        <x:v>OPEN</x:v>
      </x:c>
    </x:row>
    <x:row r="1381">
      <x:c r="B1381" t="str">
        <x:v>PH-TG-517-L</x:v>
      </x:c>
      <x:c r="C1381" t="str">
        <x:v>PHYSICAL</x:v>
      </x:c>
      <x:c r="D1381" t="str">
        <x:v>terrain load</x:v>
      </x:c>
      <x:c r="E1381" t="n">
        <x:f>IF('Terrain Field'!K523&lt;&gt;"",1,0)</x:f>
        <x:v>0</x:v>
      </x:c>
      <x:c r="F1381" t="n">
        <x:v>1</x:v>
      </x:c>
      <x:c r="G1381" t="str">
        <x:v>equals</x:v>
      </x:c>
      <x:c r="H1381" t="str">
        <x:v>independent physical acceptance</x:v>
      </x:c>
      <x:c r="I1381" t="str">
        <x:f>IF(E1381=1,"PASS","OPEN")</x:f>
        <x:v>OPEN</x:v>
      </x:c>
    </x:row>
    <x:row r="1382">
      <x:c r="B1382" t="str">
        <x:v>PH-TG-518-G</x:v>
      </x:c>
      <x:c r="C1382" t="str">
        <x:v>PHYSICAL</x:v>
      </x:c>
      <x:c r="D1382" t="str">
        <x:v>terrain geometry</x:v>
      </x:c>
      <x:c r="E1382" t="n">
        <x:f>IF('Terrain Field'!J524&lt;&gt;"",1,0)</x:f>
        <x:v>0</x:v>
      </x:c>
      <x:c r="F1382" t="n">
        <x:v>1</x:v>
      </x:c>
      <x:c r="G1382" t="str">
        <x:v>equals</x:v>
      </x:c>
      <x:c r="H1382" t="str">
        <x:v>independent physical acceptance</x:v>
      </x:c>
      <x:c r="I1382" t="str">
        <x:f>IF(E1382=1,"PASS","OPEN")</x:f>
        <x:v>OPEN</x:v>
      </x:c>
    </x:row>
    <x:row r="1383">
      <x:c r="B1383" t="str">
        <x:v>PH-TG-518-L</x:v>
      </x:c>
      <x:c r="C1383" t="str">
        <x:v>PHYSICAL</x:v>
      </x:c>
      <x:c r="D1383" t="str">
        <x:v>terrain load</x:v>
      </x:c>
      <x:c r="E1383" t="n">
        <x:f>IF('Terrain Field'!K524&lt;&gt;"",1,0)</x:f>
        <x:v>0</x:v>
      </x:c>
      <x:c r="F1383" t="n">
        <x:v>1</x:v>
      </x:c>
      <x:c r="G1383" t="str">
        <x:v>equals</x:v>
      </x:c>
      <x:c r="H1383" t="str">
        <x:v>independent physical acceptance</x:v>
      </x:c>
      <x:c r="I1383" t="str">
        <x:f>IF(E1383=1,"PASS","OPEN")</x:f>
        <x:v>OPEN</x:v>
      </x:c>
    </x:row>
    <x:row r="1384">
      <x:c r="B1384" t="str">
        <x:v>PH-TG-519-G</x:v>
      </x:c>
      <x:c r="C1384" t="str">
        <x:v>PHYSICAL</x:v>
      </x:c>
      <x:c r="D1384" t="str">
        <x:v>terrain geometry</x:v>
      </x:c>
      <x:c r="E1384" t="n">
        <x:f>IF('Terrain Field'!J525&lt;&gt;"",1,0)</x:f>
        <x:v>0</x:v>
      </x:c>
      <x:c r="F1384" t="n">
        <x:v>1</x:v>
      </x:c>
      <x:c r="G1384" t="str">
        <x:v>equals</x:v>
      </x:c>
      <x:c r="H1384" t="str">
        <x:v>independent physical acceptance</x:v>
      </x:c>
      <x:c r="I1384" t="str">
        <x:f>IF(E1384=1,"PASS","OPEN")</x:f>
        <x:v>OPEN</x:v>
      </x:c>
    </x:row>
    <x:row r="1385">
      <x:c r="B1385" t="str">
        <x:v>PH-TG-519-L</x:v>
      </x:c>
      <x:c r="C1385" t="str">
        <x:v>PHYSICAL</x:v>
      </x:c>
      <x:c r="D1385" t="str">
        <x:v>terrain load</x:v>
      </x:c>
      <x:c r="E1385" t="n">
        <x:f>IF('Terrain Field'!K525&lt;&gt;"",1,0)</x:f>
        <x:v>0</x:v>
      </x:c>
      <x:c r="F1385" t="n">
        <x:v>1</x:v>
      </x:c>
      <x:c r="G1385" t="str">
        <x:v>equals</x:v>
      </x:c>
      <x:c r="H1385" t="str">
        <x:v>independent physical acceptance</x:v>
      </x:c>
      <x:c r="I1385" t="str">
        <x:f>IF(E1385=1,"PASS","OPEN")</x:f>
        <x:v>OPEN</x:v>
      </x:c>
    </x:row>
    <x:row r="1386">
      <x:c r="B1386" t="str">
        <x:v>PH-TG-520-G</x:v>
      </x:c>
      <x:c r="C1386" t="str">
        <x:v>PHYSICAL</x:v>
      </x:c>
      <x:c r="D1386" t="str">
        <x:v>terrain geometry</x:v>
      </x:c>
      <x:c r="E1386" t="n">
        <x:f>IF('Terrain Field'!J526&lt;&gt;"",1,0)</x:f>
        <x:v>0</x:v>
      </x:c>
      <x:c r="F1386" t="n">
        <x:v>1</x:v>
      </x:c>
      <x:c r="G1386" t="str">
        <x:v>equals</x:v>
      </x:c>
      <x:c r="H1386" t="str">
        <x:v>independent physical acceptance</x:v>
      </x:c>
      <x:c r="I1386" t="str">
        <x:f>IF(E1386=1,"PASS","OPEN")</x:f>
        <x:v>OPEN</x:v>
      </x:c>
    </x:row>
    <x:row r="1387">
      <x:c r="B1387" t="str">
        <x:v>PH-TG-520-L</x:v>
      </x:c>
      <x:c r="C1387" t="str">
        <x:v>PHYSICAL</x:v>
      </x:c>
      <x:c r="D1387" t="str">
        <x:v>terrain load</x:v>
      </x:c>
      <x:c r="E1387" t="n">
        <x:f>IF('Terrain Field'!K526&lt;&gt;"",1,0)</x:f>
        <x:v>0</x:v>
      </x:c>
      <x:c r="F1387" t="n">
        <x:v>1</x:v>
      </x:c>
      <x:c r="G1387" t="str">
        <x:v>equals</x:v>
      </x:c>
      <x:c r="H1387" t="str">
        <x:v>independent physical acceptance</x:v>
      </x:c>
      <x:c r="I1387" t="str">
        <x:f>IF(E1387=1,"PASS","OPEN")</x:f>
        <x:v>OPEN</x:v>
      </x:c>
    </x:row>
    <x:row r="1388">
      <x:c r="B1388" t="str">
        <x:v>PH-TG-521-G</x:v>
      </x:c>
      <x:c r="C1388" t="str">
        <x:v>PHYSICAL</x:v>
      </x:c>
      <x:c r="D1388" t="str">
        <x:v>terrain geometry</x:v>
      </x:c>
      <x:c r="E1388" t="n">
        <x:f>IF('Terrain Field'!J527&lt;&gt;"",1,0)</x:f>
        <x:v>0</x:v>
      </x:c>
      <x:c r="F1388" t="n">
        <x:v>1</x:v>
      </x:c>
      <x:c r="G1388" t="str">
        <x:v>equals</x:v>
      </x:c>
      <x:c r="H1388" t="str">
        <x:v>independent physical acceptance</x:v>
      </x:c>
      <x:c r="I1388" t="str">
        <x:f>IF(E1388=1,"PASS","OPEN")</x:f>
        <x:v>OPEN</x:v>
      </x:c>
    </x:row>
    <x:row r="1389">
      <x:c r="B1389" t="str">
        <x:v>PH-TG-521-L</x:v>
      </x:c>
      <x:c r="C1389" t="str">
        <x:v>PHYSICAL</x:v>
      </x:c>
      <x:c r="D1389" t="str">
        <x:v>terrain load</x:v>
      </x:c>
      <x:c r="E1389" t="n">
        <x:f>IF('Terrain Field'!K527&lt;&gt;"",1,0)</x:f>
        <x:v>0</x:v>
      </x:c>
      <x:c r="F1389" t="n">
        <x:v>1</x:v>
      </x:c>
      <x:c r="G1389" t="str">
        <x:v>equals</x:v>
      </x:c>
      <x:c r="H1389" t="str">
        <x:v>independent physical acceptance</x:v>
      </x:c>
      <x:c r="I1389" t="str">
        <x:f>IF(E1389=1,"PASS","OPEN")</x:f>
        <x:v>OPEN</x:v>
      </x:c>
    </x:row>
    <x:row r="1390">
      <x:c r="B1390" t="str">
        <x:v>PH-TG-522-G</x:v>
      </x:c>
      <x:c r="C1390" t="str">
        <x:v>PHYSICAL</x:v>
      </x:c>
      <x:c r="D1390" t="str">
        <x:v>terrain geometry</x:v>
      </x:c>
      <x:c r="E1390" t="n">
        <x:f>IF('Terrain Field'!J528&lt;&gt;"",1,0)</x:f>
        <x:v>0</x:v>
      </x:c>
      <x:c r="F1390" t="n">
        <x:v>1</x:v>
      </x:c>
      <x:c r="G1390" t="str">
        <x:v>equals</x:v>
      </x:c>
      <x:c r="H1390" t="str">
        <x:v>independent physical acceptance</x:v>
      </x:c>
      <x:c r="I1390" t="str">
        <x:f>IF(E1390=1,"PASS","OPEN")</x:f>
        <x:v>OPEN</x:v>
      </x:c>
    </x:row>
    <x:row r="1391">
      <x:c r="B1391" t="str">
        <x:v>PH-TG-522-L</x:v>
      </x:c>
      <x:c r="C1391" t="str">
        <x:v>PHYSICAL</x:v>
      </x:c>
      <x:c r="D1391" t="str">
        <x:v>terrain load</x:v>
      </x:c>
      <x:c r="E1391" t="n">
        <x:f>IF('Terrain Field'!K528&lt;&gt;"",1,0)</x:f>
        <x:v>0</x:v>
      </x:c>
      <x:c r="F1391" t="n">
        <x:v>1</x:v>
      </x:c>
      <x:c r="G1391" t="str">
        <x:v>equals</x:v>
      </x:c>
      <x:c r="H1391" t="str">
        <x:v>independent physical acceptance</x:v>
      </x:c>
      <x:c r="I1391" t="str">
        <x:f>IF(E1391=1,"PASS","OPEN")</x:f>
        <x:v>OPEN</x:v>
      </x:c>
    </x:row>
    <x:row r="1392">
      <x:c r="B1392" t="str">
        <x:v>PH-TG-523-G</x:v>
      </x:c>
      <x:c r="C1392" t="str">
        <x:v>PHYSICAL</x:v>
      </x:c>
      <x:c r="D1392" t="str">
        <x:v>terrain geometry</x:v>
      </x:c>
      <x:c r="E1392" t="n">
        <x:f>IF('Terrain Field'!J529&lt;&gt;"",1,0)</x:f>
        <x:v>0</x:v>
      </x:c>
      <x:c r="F1392" t="n">
        <x:v>1</x:v>
      </x:c>
      <x:c r="G1392" t="str">
        <x:v>equals</x:v>
      </x:c>
      <x:c r="H1392" t="str">
        <x:v>independent physical acceptance</x:v>
      </x:c>
      <x:c r="I1392" t="str">
        <x:f>IF(E1392=1,"PASS","OPEN")</x:f>
        <x:v>OPEN</x:v>
      </x:c>
    </x:row>
    <x:row r="1393">
      <x:c r="B1393" t="str">
        <x:v>PH-TG-523-L</x:v>
      </x:c>
      <x:c r="C1393" t="str">
        <x:v>PHYSICAL</x:v>
      </x:c>
      <x:c r="D1393" t="str">
        <x:v>terrain load</x:v>
      </x:c>
      <x:c r="E1393" t="n">
        <x:f>IF('Terrain Field'!K529&lt;&gt;"",1,0)</x:f>
        <x:v>0</x:v>
      </x:c>
      <x:c r="F1393" t="n">
        <x:v>1</x:v>
      </x:c>
      <x:c r="G1393" t="str">
        <x:v>equals</x:v>
      </x:c>
      <x:c r="H1393" t="str">
        <x:v>independent physical acceptance</x:v>
      </x:c>
      <x:c r="I1393" t="str">
        <x:f>IF(E1393=1,"PASS","OPEN")</x:f>
        <x:v>OPEN</x:v>
      </x:c>
    </x:row>
    <x:row r="1394">
      <x:c r="B1394" t="str">
        <x:v>PH-TG-524-G</x:v>
      </x:c>
      <x:c r="C1394" t="str">
        <x:v>PHYSICAL</x:v>
      </x:c>
      <x:c r="D1394" t="str">
        <x:v>terrain geometry</x:v>
      </x:c>
      <x:c r="E1394" t="n">
        <x:f>IF('Terrain Field'!J530&lt;&gt;"",1,0)</x:f>
        <x:v>0</x:v>
      </x:c>
      <x:c r="F1394" t="n">
        <x:v>1</x:v>
      </x:c>
      <x:c r="G1394" t="str">
        <x:v>equals</x:v>
      </x:c>
      <x:c r="H1394" t="str">
        <x:v>independent physical acceptance</x:v>
      </x:c>
      <x:c r="I1394" t="str">
        <x:f>IF(E1394=1,"PASS","OPEN")</x:f>
        <x:v>OPEN</x:v>
      </x:c>
    </x:row>
    <x:row r="1395">
      <x:c r="B1395" t="str">
        <x:v>PH-TG-524-L</x:v>
      </x:c>
      <x:c r="C1395" t="str">
        <x:v>PHYSICAL</x:v>
      </x:c>
      <x:c r="D1395" t="str">
        <x:v>terrain load</x:v>
      </x:c>
      <x:c r="E1395" t="n">
        <x:f>IF('Terrain Field'!K530&lt;&gt;"",1,0)</x:f>
        <x:v>0</x:v>
      </x:c>
      <x:c r="F1395" t="n">
        <x:v>1</x:v>
      </x:c>
      <x:c r="G1395" t="str">
        <x:v>equals</x:v>
      </x:c>
      <x:c r="H1395" t="str">
        <x:v>independent physical acceptance</x:v>
      </x:c>
      <x:c r="I1395" t="str">
        <x:f>IF(E1395=1,"PASS","OPEN")</x:f>
        <x:v>OPEN</x:v>
      </x:c>
    </x:row>
    <x:row r="1396">
      <x:c r="B1396" t="str">
        <x:v>PH-TG-525-G</x:v>
      </x:c>
      <x:c r="C1396" t="str">
        <x:v>PHYSICAL</x:v>
      </x:c>
      <x:c r="D1396" t="str">
        <x:v>terrain geometry</x:v>
      </x:c>
      <x:c r="E1396" t="n">
        <x:f>IF('Terrain Field'!J531&lt;&gt;"",1,0)</x:f>
        <x:v>0</x:v>
      </x:c>
      <x:c r="F1396" t="n">
        <x:v>1</x:v>
      </x:c>
      <x:c r="G1396" t="str">
        <x:v>equals</x:v>
      </x:c>
      <x:c r="H1396" t="str">
        <x:v>independent physical acceptance</x:v>
      </x:c>
      <x:c r="I1396" t="str">
        <x:f>IF(E1396=1,"PASS","OPEN")</x:f>
        <x:v>OPEN</x:v>
      </x:c>
    </x:row>
    <x:row r="1397">
      <x:c r="B1397" t="str">
        <x:v>PH-TG-525-L</x:v>
      </x:c>
      <x:c r="C1397" t="str">
        <x:v>PHYSICAL</x:v>
      </x:c>
      <x:c r="D1397" t="str">
        <x:v>terrain load</x:v>
      </x:c>
      <x:c r="E1397" t="n">
        <x:f>IF('Terrain Field'!K531&lt;&gt;"",1,0)</x:f>
        <x:v>0</x:v>
      </x:c>
      <x:c r="F1397" t="n">
        <x:v>1</x:v>
      </x:c>
      <x:c r="G1397" t="str">
        <x:v>equals</x:v>
      </x:c>
      <x:c r="H1397" t="str">
        <x:v>independent physical acceptance</x:v>
      </x:c>
      <x:c r="I1397" t="str">
        <x:f>IF(E1397=1,"PASS","OPEN")</x:f>
        <x:v>OPEN</x:v>
      </x:c>
    </x:row>
    <x:row r="1398">
      <x:c r="B1398" t="str">
        <x:v>PH-TG-526-G</x:v>
      </x:c>
      <x:c r="C1398" t="str">
        <x:v>PHYSICAL</x:v>
      </x:c>
      <x:c r="D1398" t="str">
        <x:v>terrain geometry</x:v>
      </x:c>
      <x:c r="E1398" t="n">
        <x:f>IF('Terrain Field'!J532&lt;&gt;"",1,0)</x:f>
        <x:v>0</x:v>
      </x:c>
      <x:c r="F1398" t="n">
        <x:v>1</x:v>
      </x:c>
      <x:c r="G1398" t="str">
        <x:v>equals</x:v>
      </x:c>
      <x:c r="H1398" t="str">
        <x:v>independent physical acceptance</x:v>
      </x:c>
      <x:c r="I1398" t="str">
        <x:f>IF(E1398=1,"PASS","OPEN")</x:f>
        <x:v>OPEN</x:v>
      </x:c>
    </x:row>
    <x:row r="1399">
      <x:c r="B1399" t="str">
        <x:v>PH-TG-526-L</x:v>
      </x:c>
      <x:c r="C1399" t="str">
        <x:v>PHYSICAL</x:v>
      </x:c>
      <x:c r="D1399" t="str">
        <x:v>terrain load</x:v>
      </x:c>
      <x:c r="E1399" t="n">
        <x:f>IF('Terrain Field'!K532&lt;&gt;"",1,0)</x:f>
        <x:v>0</x:v>
      </x:c>
      <x:c r="F1399" t="n">
        <x:v>1</x:v>
      </x:c>
      <x:c r="G1399" t="str">
        <x:v>equals</x:v>
      </x:c>
      <x:c r="H1399" t="str">
        <x:v>independent physical acceptance</x:v>
      </x:c>
      <x:c r="I1399" t="str">
        <x:f>IF(E1399=1,"PASS","OPEN")</x:f>
        <x:v>OPEN</x:v>
      </x:c>
    </x:row>
    <x:row r="1400">
      <x:c r="B1400" t="str">
        <x:v>PH-TG-527-G</x:v>
      </x:c>
      <x:c r="C1400" t="str">
        <x:v>PHYSICAL</x:v>
      </x:c>
      <x:c r="D1400" t="str">
        <x:v>terrain geometry</x:v>
      </x:c>
      <x:c r="E1400" t="n">
        <x:f>IF('Terrain Field'!J533&lt;&gt;"",1,0)</x:f>
        <x:v>0</x:v>
      </x:c>
      <x:c r="F1400" t="n">
        <x:v>1</x:v>
      </x:c>
      <x:c r="G1400" t="str">
        <x:v>equals</x:v>
      </x:c>
      <x:c r="H1400" t="str">
        <x:v>independent physical acceptance</x:v>
      </x:c>
      <x:c r="I1400" t="str">
        <x:f>IF(E1400=1,"PASS","OPEN")</x:f>
        <x:v>OPEN</x:v>
      </x:c>
    </x:row>
    <x:row r="1401">
      <x:c r="B1401" t="str">
        <x:v>PH-TG-527-L</x:v>
      </x:c>
      <x:c r="C1401" t="str">
        <x:v>PHYSICAL</x:v>
      </x:c>
      <x:c r="D1401" t="str">
        <x:v>terrain load</x:v>
      </x:c>
      <x:c r="E1401" t="n">
        <x:f>IF('Terrain Field'!K533&lt;&gt;"",1,0)</x:f>
        <x:v>0</x:v>
      </x:c>
      <x:c r="F1401" t="n">
        <x:v>1</x:v>
      </x:c>
      <x:c r="G1401" t="str">
        <x:v>equals</x:v>
      </x:c>
      <x:c r="H1401" t="str">
        <x:v>independent physical acceptance</x:v>
      </x:c>
      <x:c r="I1401" t="str">
        <x:f>IF(E1401=1,"PASS","OPEN")</x:f>
        <x:v>OPEN</x:v>
      </x:c>
    </x:row>
    <x:row r="1402">
      <x:c r="B1402" t="str">
        <x:v>PH-TG-528-G</x:v>
      </x:c>
      <x:c r="C1402" t="str">
        <x:v>PHYSICAL</x:v>
      </x:c>
      <x:c r="D1402" t="str">
        <x:v>terrain geometry</x:v>
      </x:c>
      <x:c r="E1402" t="n">
        <x:f>IF('Terrain Field'!J534&lt;&gt;"",1,0)</x:f>
        <x:v>0</x:v>
      </x:c>
      <x:c r="F1402" t="n">
        <x:v>1</x:v>
      </x:c>
      <x:c r="G1402" t="str">
        <x:v>equals</x:v>
      </x:c>
      <x:c r="H1402" t="str">
        <x:v>independent physical acceptance</x:v>
      </x:c>
      <x:c r="I1402" t="str">
        <x:f>IF(E1402=1,"PASS","OPEN")</x:f>
        <x:v>OPEN</x:v>
      </x:c>
    </x:row>
    <x:row r="1403">
      <x:c r="B1403" t="str">
        <x:v>PH-TG-528-L</x:v>
      </x:c>
      <x:c r="C1403" t="str">
        <x:v>PHYSICAL</x:v>
      </x:c>
      <x:c r="D1403" t="str">
        <x:v>terrain load</x:v>
      </x:c>
      <x:c r="E1403" t="n">
        <x:f>IF('Terrain Field'!K534&lt;&gt;"",1,0)</x:f>
        <x:v>0</x:v>
      </x:c>
      <x:c r="F1403" t="n">
        <x:v>1</x:v>
      </x:c>
      <x:c r="G1403" t="str">
        <x:v>equals</x:v>
      </x:c>
      <x:c r="H1403" t="str">
        <x:v>independent physical acceptance</x:v>
      </x:c>
      <x:c r="I1403" t="str">
        <x:f>IF(E1403=1,"PASS","OPEN")</x:f>
        <x:v>OPEN</x:v>
      </x:c>
    </x:row>
    <x:row r="1404">
      <x:c r="B1404" t="str">
        <x:v>PH-TG-529-G</x:v>
      </x:c>
      <x:c r="C1404" t="str">
        <x:v>PHYSICAL</x:v>
      </x:c>
      <x:c r="D1404" t="str">
        <x:v>terrain geometry</x:v>
      </x:c>
      <x:c r="E1404" t="n">
        <x:f>IF('Terrain Field'!J535&lt;&gt;"",1,0)</x:f>
        <x:v>0</x:v>
      </x:c>
      <x:c r="F1404" t="n">
        <x:v>1</x:v>
      </x:c>
      <x:c r="G1404" t="str">
        <x:v>equals</x:v>
      </x:c>
      <x:c r="H1404" t="str">
        <x:v>independent physical acceptance</x:v>
      </x:c>
      <x:c r="I1404" t="str">
        <x:f>IF(E1404=1,"PASS","OPEN")</x:f>
        <x:v>OPEN</x:v>
      </x:c>
    </x:row>
    <x:row r="1405">
      <x:c r="B1405" t="str">
        <x:v>PH-TG-529-L</x:v>
      </x:c>
      <x:c r="C1405" t="str">
        <x:v>PHYSICAL</x:v>
      </x:c>
      <x:c r="D1405" t="str">
        <x:v>terrain load</x:v>
      </x:c>
      <x:c r="E1405" t="n">
        <x:f>IF('Terrain Field'!K535&lt;&gt;"",1,0)</x:f>
        <x:v>0</x:v>
      </x:c>
      <x:c r="F1405" t="n">
        <x:v>1</x:v>
      </x:c>
      <x:c r="G1405" t="str">
        <x:v>equals</x:v>
      </x:c>
      <x:c r="H1405" t="str">
        <x:v>independent physical acceptance</x:v>
      </x:c>
      <x:c r="I1405" t="str">
        <x:f>IF(E1405=1,"PASS","OPEN")</x:f>
        <x:v>OPEN</x:v>
      </x:c>
    </x:row>
    <x:row r="1406">
      <x:c r="B1406" t="str">
        <x:v>PH-TG-530-G</x:v>
      </x:c>
      <x:c r="C1406" t="str">
        <x:v>PHYSICAL</x:v>
      </x:c>
      <x:c r="D1406" t="str">
        <x:v>terrain geometry</x:v>
      </x:c>
      <x:c r="E1406" t="n">
        <x:f>IF('Terrain Field'!J536&lt;&gt;"",1,0)</x:f>
        <x:v>0</x:v>
      </x:c>
      <x:c r="F1406" t="n">
        <x:v>1</x:v>
      </x:c>
      <x:c r="G1406" t="str">
        <x:v>equals</x:v>
      </x:c>
      <x:c r="H1406" t="str">
        <x:v>independent physical acceptance</x:v>
      </x:c>
      <x:c r="I1406" t="str">
        <x:f>IF(E1406=1,"PASS","OPEN")</x:f>
        <x:v>OPEN</x:v>
      </x:c>
    </x:row>
    <x:row r="1407">
      <x:c r="B1407" t="str">
        <x:v>PH-TG-530-L</x:v>
      </x:c>
      <x:c r="C1407" t="str">
        <x:v>PHYSICAL</x:v>
      </x:c>
      <x:c r="D1407" t="str">
        <x:v>terrain load</x:v>
      </x:c>
      <x:c r="E1407" t="n">
        <x:f>IF('Terrain Field'!K536&lt;&gt;"",1,0)</x:f>
        <x:v>0</x:v>
      </x:c>
      <x:c r="F1407" t="n">
        <x:v>1</x:v>
      </x:c>
      <x:c r="G1407" t="str">
        <x:v>equals</x:v>
      </x:c>
      <x:c r="H1407" t="str">
        <x:v>independent physical acceptance</x:v>
      </x:c>
      <x:c r="I1407" t="str">
        <x:f>IF(E1407=1,"PASS","OPEN")</x:f>
        <x:v>OPEN</x:v>
      </x:c>
    </x:row>
    <x:row r="1408">
      <x:c r="B1408" t="str">
        <x:v>PH-TG-531-G</x:v>
      </x:c>
      <x:c r="C1408" t="str">
        <x:v>PHYSICAL</x:v>
      </x:c>
      <x:c r="D1408" t="str">
        <x:v>terrain geometry</x:v>
      </x:c>
      <x:c r="E1408" t="n">
        <x:f>IF('Terrain Field'!J537&lt;&gt;"",1,0)</x:f>
        <x:v>0</x:v>
      </x:c>
      <x:c r="F1408" t="n">
        <x:v>1</x:v>
      </x:c>
      <x:c r="G1408" t="str">
        <x:v>equals</x:v>
      </x:c>
      <x:c r="H1408" t="str">
        <x:v>independent physical acceptance</x:v>
      </x:c>
      <x:c r="I1408" t="str">
        <x:f>IF(E1408=1,"PASS","OPEN")</x:f>
        <x:v>OPEN</x:v>
      </x:c>
    </x:row>
    <x:row r="1409">
      <x:c r="B1409" t="str">
        <x:v>PH-TG-531-L</x:v>
      </x:c>
      <x:c r="C1409" t="str">
        <x:v>PHYSICAL</x:v>
      </x:c>
      <x:c r="D1409" t="str">
        <x:v>terrain load</x:v>
      </x:c>
      <x:c r="E1409" t="n">
        <x:f>IF('Terrain Field'!K537&lt;&gt;"",1,0)</x:f>
        <x:v>0</x:v>
      </x:c>
      <x:c r="F1409" t="n">
        <x:v>1</x:v>
      </x:c>
      <x:c r="G1409" t="str">
        <x:v>equals</x:v>
      </x:c>
      <x:c r="H1409" t="str">
        <x:v>independent physical acceptance</x:v>
      </x:c>
      <x:c r="I1409" t="str">
        <x:f>IF(E1409=1,"PASS","OPEN")</x:f>
        <x:v>OPEN</x:v>
      </x:c>
    </x:row>
    <x:row r="1410">
      <x:c r="B1410" t="str">
        <x:v>PH-TG-532-G</x:v>
      </x:c>
      <x:c r="C1410" t="str">
        <x:v>PHYSICAL</x:v>
      </x:c>
      <x:c r="D1410" t="str">
        <x:v>terrain geometry</x:v>
      </x:c>
      <x:c r="E1410" t="n">
        <x:f>IF('Terrain Field'!J538&lt;&gt;"",1,0)</x:f>
        <x:v>0</x:v>
      </x:c>
      <x:c r="F1410" t="n">
        <x:v>1</x:v>
      </x:c>
      <x:c r="G1410" t="str">
        <x:v>equals</x:v>
      </x:c>
      <x:c r="H1410" t="str">
        <x:v>independent physical acceptance</x:v>
      </x:c>
      <x:c r="I1410" t="str">
        <x:f>IF(E1410=1,"PASS","OPEN")</x:f>
        <x:v>OPEN</x:v>
      </x:c>
    </x:row>
    <x:row r="1411">
      <x:c r="B1411" t="str">
        <x:v>PH-TG-532-L</x:v>
      </x:c>
      <x:c r="C1411" t="str">
        <x:v>PHYSICAL</x:v>
      </x:c>
      <x:c r="D1411" t="str">
        <x:v>terrain load</x:v>
      </x:c>
      <x:c r="E1411" t="n">
        <x:f>IF('Terrain Field'!K538&lt;&gt;"",1,0)</x:f>
        <x:v>0</x:v>
      </x:c>
      <x:c r="F1411" t="n">
        <x:v>1</x:v>
      </x:c>
      <x:c r="G1411" t="str">
        <x:v>equals</x:v>
      </x:c>
      <x:c r="H1411" t="str">
        <x:v>independent physical acceptance</x:v>
      </x:c>
      <x:c r="I1411" t="str">
        <x:f>IF(E1411=1,"PASS","OPEN")</x:f>
        <x:v>OPEN</x:v>
      </x:c>
    </x:row>
    <x:row r="1412">
      <x:c r="B1412" t="str">
        <x:v>PH-TG-533-G</x:v>
      </x:c>
      <x:c r="C1412" t="str">
        <x:v>PHYSICAL</x:v>
      </x:c>
      <x:c r="D1412" t="str">
        <x:v>terrain geometry</x:v>
      </x:c>
      <x:c r="E1412" t="n">
        <x:f>IF('Terrain Field'!J539&lt;&gt;"",1,0)</x:f>
        <x:v>0</x:v>
      </x:c>
      <x:c r="F1412" t="n">
        <x:v>1</x:v>
      </x:c>
      <x:c r="G1412" t="str">
        <x:v>equals</x:v>
      </x:c>
      <x:c r="H1412" t="str">
        <x:v>independent physical acceptance</x:v>
      </x:c>
      <x:c r="I1412" t="str">
        <x:f>IF(E1412=1,"PASS","OPEN")</x:f>
        <x:v>OPEN</x:v>
      </x:c>
    </x:row>
    <x:row r="1413">
      <x:c r="B1413" t="str">
        <x:v>PH-TG-533-L</x:v>
      </x:c>
      <x:c r="C1413" t="str">
        <x:v>PHYSICAL</x:v>
      </x:c>
      <x:c r="D1413" t="str">
        <x:v>terrain load</x:v>
      </x:c>
      <x:c r="E1413" t="n">
        <x:f>IF('Terrain Field'!K539&lt;&gt;"",1,0)</x:f>
        <x:v>0</x:v>
      </x:c>
      <x:c r="F1413" t="n">
        <x:v>1</x:v>
      </x:c>
      <x:c r="G1413" t="str">
        <x:v>equals</x:v>
      </x:c>
      <x:c r="H1413" t="str">
        <x:v>independent physical acceptance</x:v>
      </x:c>
      <x:c r="I1413" t="str">
        <x:f>IF(E1413=1,"PASS","OPEN")</x:f>
        <x:v>OPEN</x:v>
      </x:c>
    </x:row>
    <x:row r="1414">
      <x:c r="B1414" t="str">
        <x:v>PH-TG-534-G</x:v>
      </x:c>
      <x:c r="C1414" t="str">
        <x:v>PHYSICAL</x:v>
      </x:c>
      <x:c r="D1414" t="str">
        <x:v>terrain geometry</x:v>
      </x:c>
      <x:c r="E1414" t="n">
        <x:f>IF('Terrain Field'!J540&lt;&gt;"",1,0)</x:f>
        <x:v>0</x:v>
      </x:c>
      <x:c r="F1414" t="n">
        <x:v>1</x:v>
      </x:c>
      <x:c r="G1414" t="str">
        <x:v>equals</x:v>
      </x:c>
      <x:c r="H1414" t="str">
        <x:v>independent physical acceptance</x:v>
      </x:c>
      <x:c r="I1414" t="str">
        <x:f>IF(E1414=1,"PASS","OPEN")</x:f>
        <x:v>OPEN</x:v>
      </x:c>
    </x:row>
    <x:row r="1415">
      <x:c r="B1415" t="str">
        <x:v>PH-TG-534-L</x:v>
      </x:c>
      <x:c r="C1415" t="str">
        <x:v>PHYSICAL</x:v>
      </x:c>
      <x:c r="D1415" t="str">
        <x:v>terrain load</x:v>
      </x:c>
      <x:c r="E1415" t="n">
        <x:f>IF('Terrain Field'!K540&lt;&gt;"",1,0)</x:f>
        <x:v>0</x:v>
      </x:c>
      <x:c r="F1415" t="n">
        <x:v>1</x:v>
      </x:c>
      <x:c r="G1415" t="str">
        <x:v>equals</x:v>
      </x:c>
      <x:c r="H1415" t="str">
        <x:v>independent physical acceptance</x:v>
      </x:c>
      <x:c r="I1415" t="str">
        <x:f>IF(E1415=1,"PASS","OPEN")</x:f>
        <x:v>OPEN</x:v>
      </x:c>
    </x:row>
    <x:row r="1416">
      <x:c r="B1416" t="str">
        <x:v>PH-TG-535-G</x:v>
      </x:c>
      <x:c r="C1416" t="str">
        <x:v>PHYSICAL</x:v>
      </x:c>
      <x:c r="D1416" t="str">
        <x:v>terrain geometry</x:v>
      </x:c>
      <x:c r="E1416" t="n">
        <x:f>IF('Terrain Field'!J541&lt;&gt;"",1,0)</x:f>
        <x:v>0</x:v>
      </x:c>
      <x:c r="F1416" t="n">
        <x:v>1</x:v>
      </x:c>
      <x:c r="G1416" t="str">
        <x:v>equals</x:v>
      </x:c>
      <x:c r="H1416" t="str">
        <x:v>independent physical acceptance</x:v>
      </x:c>
      <x:c r="I1416" t="str">
        <x:f>IF(E1416=1,"PASS","OPEN")</x:f>
        <x:v>OPEN</x:v>
      </x:c>
    </x:row>
    <x:row r="1417">
      <x:c r="B1417" t="str">
        <x:v>PH-TG-535-L</x:v>
      </x:c>
      <x:c r="C1417" t="str">
        <x:v>PHYSICAL</x:v>
      </x:c>
      <x:c r="D1417" t="str">
        <x:v>terrain load</x:v>
      </x:c>
      <x:c r="E1417" t="n">
        <x:f>IF('Terrain Field'!K541&lt;&gt;"",1,0)</x:f>
        <x:v>0</x:v>
      </x:c>
      <x:c r="F1417" t="n">
        <x:v>1</x:v>
      </x:c>
      <x:c r="G1417" t="str">
        <x:v>equals</x:v>
      </x:c>
      <x:c r="H1417" t="str">
        <x:v>independent physical acceptance</x:v>
      </x:c>
      <x:c r="I1417" t="str">
        <x:f>IF(E1417=1,"PASS","OPEN")</x:f>
        <x:v>OPEN</x:v>
      </x:c>
    </x:row>
    <x:row r="1418">
      <x:c r="B1418" t="str">
        <x:v>PH-TG-536-G</x:v>
      </x:c>
      <x:c r="C1418" t="str">
        <x:v>PHYSICAL</x:v>
      </x:c>
      <x:c r="D1418" t="str">
        <x:v>terrain geometry</x:v>
      </x:c>
      <x:c r="E1418" t="n">
        <x:f>IF('Terrain Field'!J542&lt;&gt;"",1,0)</x:f>
        <x:v>0</x:v>
      </x:c>
      <x:c r="F1418" t="n">
        <x:v>1</x:v>
      </x:c>
      <x:c r="G1418" t="str">
        <x:v>equals</x:v>
      </x:c>
      <x:c r="H1418" t="str">
        <x:v>independent physical acceptance</x:v>
      </x:c>
      <x:c r="I1418" t="str">
        <x:f>IF(E1418=1,"PASS","OPEN")</x:f>
        <x:v>OPEN</x:v>
      </x:c>
    </x:row>
    <x:row r="1419">
      <x:c r="B1419" t="str">
        <x:v>PH-TG-536-L</x:v>
      </x:c>
      <x:c r="C1419" t="str">
        <x:v>PHYSICAL</x:v>
      </x:c>
      <x:c r="D1419" t="str">
        <x:v>terrain load</x:v>
      </x:c>
      <x:c r="E1419" t="n">
        <x:f>IF('Terrain Field'!K542&lt;&gt;"",1,0)</x:f>
        <x:v>0</x:v>
      </x:c>
      <x:c r="F1419" t="n">
        <x:v>1</x:v>
      </x:c>
      <x:c r="G1419" t="str">
        <x:v>equals</x:v>
      </x:c>
      <x:c r="H1419" t="str">
        <x:v>independent physical acceptance</x:v>
      </x:c>
      <x:c r="I1419" t="str">
        <x:f>IF(E1419=1,"PASS","OPEN")</x:f>
        <x:v>OPEN</x:v>
      </x:c>
    </x:row>
    <x:row r="1420">
      <x:c r="B1420" t="str">
        <x:v>PH-TG-537-G</x:v>
      </x:c>
      <x:c r="C1420" t="str">
        <x:v>PHYSICAL</x:v>
      </x:c>
      <x:c r="D1420" t="str">
        <x:v>terrain geometry</x:v>
      </x:c>
      <x:c r="E1420" t="n">
        <x:f>IF('Terrain Field'!J543&lt;&gt;"",1,0)</x:f>
        <x:v>0</x:v>
      </x:c>
      <x:c r="F1420" t="n">
        <x:v>1</x:v>
      </x:c>
      <x:c r="G1420" t="str">
        <x:v>equals</x:v>
      </x:c>
      <x:c r="H1420" t="str">
        <x:v>independent physical acceptance</x:v>
      </x:c>
      <x:c r="I1420" t="str">
        <x:f>IF(E1420=1,"PASS","OPEN")</x:f>
        <x:v>OPEN</x:v>
      </x:c>
    </x:row>
    <x:row r="1421">
      <x:c r="B1421" t="str">
        <x:v>PH-TG-537-L</x:v>
      </x:c>
      <x:c r="C1421" t="str">
        <x:v>PHYSICAL</x:v>
      </x:c>
      <x:c r="D1421" t="str">
        <x:v>terrain load</x:v>
      </x:c>
      <x:c r="E1421" t="n">
        <x:f>IF('Terrain Field'!K543&lt;&gt;"",1,0)</x:f>
        <x:v>0</x:v>
      </x:c>
      <x:c r="F1421" t="n">
        <x:v>1</x:v>
      </x:c>
      <x:c r="G1421" t="str">
        <x:v>equals</x:v>
      </x:c>
      <x:c r="H1421" t="str">
        <x:v>independent physical acceptance</x:v>
      </x:c>
      <x:c r="I1421" t="str">
        <x:f>IF(E1421=1,"PASS","OPEN")</x:f>
        <x:v>OPEN</x:v>
      </x:c>
    </x:row>
    <x:row r="1422">
      <x:c r="B1422" t="str">
        <x:v>PH-TG-538-G</x:v>
      </x:c>
      <x:c r="C1422" t="str">
        <x:v>PHYSICAL</x:v>
      </x:c>
      <x:c r="D1422" t="str">
        <x:v>terrain geometry</x:v>
      </x:c>
      <x:c r="E1422" t="n">
        <x:f>IF('Terrain Field'!J544&lt;&gt;"",1,0)</x:f>
        <x:v>0</x:v>
      </x:c>
      <x:c r="F1422" t="n">
        <x:v>1</x:v>
      </x:c>
      <x:c r="G1422" t="str">
        <x:v>equals</x:v>
      </x:c>
      <x:c r="H1422" t="str">
        <x:v>independent physical acceptance</x:v>
      </x:c>
      <x:c r="I1422" t="str">
        <x:f>IF(E1422=1,"PASS","OPEN")</x:f>
        <x:v>OPEN</x:v>
      </x:c>
    </x:row>
    <x:row r="1423">
      <x:c r="B1423" t="str">
        <x:v>PH-TG-538-L</x:v>
      </x:c>
      <x:c r="C1423" t="str">
        <x:v>PHYSICAL</x:v>
      </x:c>
      <x:c r="D1423" t="str">
        <x:v>terrain load</x:v>
      </x:c>
      <x:c r="E1423" t="n">
        <x:f>IF('Terrain Field'!K544&lt;&gt;"",1,0)</x:f>
        <x:v>0</x:v>
      </x:c>
      <x:c r="F1423" t="n">
        <x:v>1</x:v>
      </x:c>
      <x:c r="G1423" t="str">
        <x:v>equals</x:v>
      </x:c>
      <x:c r="H1423" t="str">
        <x:v>independent physical acceptance</x:v>
      </x:c>
      <x:c r="I1423" t="str">
        <x:f>IF(E1423=1,"PASS","OPEN")</x:f>
        <x:v>OPEN</x:v>
      </x:c>
    </x:row>
    <x:row r="1424">
      <x:c r="B1424" t="str">
        <x:v>PH-TG-539-G</x:v>
      </x:c>
      <x:c r="C1424" t="str">
        <x:v>PHYSICAL</x:v>
      </x:c>
      <x:c r="D1424" t="str">
        <x:v>terrain geometry</x:v>
      </x:c>
      <x:c r="E1424" t="n">
        <x:f>IF('Terrain Field'!J545&lt;&gt;"",1,0)</x:f>
        <x:v>0</x:v>
      </x:c>
      <x:c r="F1424" t="n">
        <x:v>1</x:v>
      </x:c>
      <x:c r="G1424" t="str">
        <x:v>equals</x:v>
      </x:c>
      <x:c r="H1424" t="str">
        <x:v>independent physical acceptance</x:v>
      </x:c>
      <x:c r="I1424" t="str">
        <x:f>IF(E1424=1,"PASS","OPEN")</x:f>
        <x:v>OPEN</x:v>
      </x:c>
    </x:row>
    <x:row r="1425">
      <x:c r="B1425" t="str">
        <x:v>PH-TG-539-L</x:v>
      </x:c>
      <x:c r="C1425" t="str">
        <x:v>PHYSICAL</x:v>
      </x:c>
      <x:c r="D1425" t="str">
        <x:v>terrain load</x:v>
      </x:c>
      <x:c r="E1425" t="n">
        <x:f>IF('Terrain Field'!K545&lt;&gt;"",1,0)</x:f>
        <x:v>0</x:v>
      </x:c>
      <x:c r="F1425" t="n">
        <x:v>1</x:v>
      </x:c>
      <x:c r="G1425" t="str">
        <x:v>equals</x:v>
      </x:c>
      <x:c r="H1425" t="str">
        <x:v>independent physical acceptance</x:v>
      </x:c>
      <x:c r="I1425" t="str">
        <x:f>IF(E1425=1,"PASS","OPEN")</x:f>
        <x:v>OPEN</x:v>
      </x:c>
    </x:row>
    <x:row r="1426">
      <x:c r="B1426" t="str">
        <x:v>PH-TG-540-G</x:v>
      </x:c>
      <x:c r="C1426" t="str">
        <x:v>PHYSICAL</x:v>
      </x:c>
      <x:c r="D1426" t="str">
        <x:v>terrain geometry</x:v>
      </x:c>
      <x:c r="E1426" t="n">
        <x:f>IF('Terrain Field'!J546&lt;&gt;"",1,0)</x:f>
        <x:v>0</x:v>
      </x:c>
      <x:c r="F1426" t="n">
        <x:v>1</x:v>
      </x:c>
      <x:c r="G1426" t="str">
        <x:v>equals</x:v>
      </x:c>
      <x:c r="H1426" t="str">
        <x:v>independent physical acceptance</x:v>
      </x:c>
      <x:c r="I1426" t="str">
        <x:f>IF(E1426=1,"PASS","OPEN")</x:f>
        <x:v>OPEN</x:v>
      </x:c>
    </x:row>
    <x:row r="1427">
      <x:c r="B1427" t="str">
        <x:v>PH-TG-540-L</x:v>
      </x:c>
      <x:c r="C1427" t="str">
        <x:v>PHYSICAL</x:v>
      </x:c>
      <x:c r="D1427" t="str">
        <x:v>terrain load</x:v>
      </x:c>
      <x:c r="E1427" t="n">
        <x:f>IF('Terrain Field'!K546&lt;&gt;"",1,0)</x:f>
        <x:v>0</x:v>
      </x:c>
      <x:c r="F1427" t="n">
        <x:v>1</x:v>
      </x:c>
      <x:c r="G1427" t="str">
        <x:v>equals</x:v>
      </x:c>
      <x:c r="H1427" t="str">
        <x:v>independent physical acceptance</x:v>
      </x:c>
      <x:c r="I1427" t="str">
        <x:f>IF(E1427=1,"PASS","OPEN")</x:f>
        <x:v>OPEN</x:v>
      </x:c>
    </x:row>
    <x:row r="1428">
      <x:c r="B1428" t="str">
        <x:v>PH-TG-541-G</x:v>
      </x:c>
      <x:c r="C1428" t="str">
        <x:v>PHYSICAL</x:v>
      </x:c>
      <x:c r="D1428" t="str">
        <x:v>terrain geometry</x:v>
      </x:c>
      <x:c r="E1428" t="n">
        <x:f>IF('Terrain Field'!J547&lt;&gt;"",1,0)</x:f>
        <x:v>0</x:v>
      </x:c>
      <x:c r="F1428" t="n">
        <x:v>1</x:v>
      </x:c>
      <x:c r="G1428" t="str">
        <x:v>equals</x:v>
      </x:c>
      <x:c r="H1428" t="str">
        <x:v>independent physical acceptance</x:v>
      </x:c>
      <x:c r="I1428" t="str">
        <x:f>IF(E1428=1,"PASS","OPEN")</x:f>
        <x:v>OPEN</x:v>
      </x:c>
    </x:row>
    <x:row r="1429">
      <x:c r="B1429" t="str">
        <x:v>PH-TG-541-L</x:v>
      </x:c>
      <x:c r="C1429" t="str">
        <x:v>PHYSICAL</x:v>
      </x:c>
      <x:c r="D1429" t="str">
        <x:v>terrain load</x:v>
      </x:c>
      <x:c r="E1429" t="n">
        <x:f>IF('Terrain Field'!K547&lt;&gt;"",1,0)</x:f>
        <x:v>0</x:v>
      </x:c>
      <x:c r="F1429" t="n">
        <x:v>1</x:v>
      </x:c>
      <x:c r="G1429" t="str">
        <x:v>equals</x:v>
      </x:c>
      <x:c r="H1429" t="str">
        <x:v>independent physical acceptance</x:v>
      </x:c>
      <x:c r="I1429" t="str">
        <x:f>IF(E1429=1,"PASS","OPEN")</x:f>
        <x:v>OPEN</x:v>
      </x:c>
    </x:row>
    <x:row r="1430">
      <x:c r="B1430" t="str">
        <x:v>PH-TG-542-G</x:v>
      </x:c>
      <x:c r="C1430" t="str">
        <x:v>PHYSICAL</x:v>
      </x:c>
      <x:c r="D1430" t="str">
        <x:v>terrain geometry</x:v>
      </x:c>
      <x:c r="E1430" t="n">
        <x:f>IF('Terrain Field'!J548&lt;&gt;"",1,0)</x:f>
        <x:v>0</x:v>
      </x:c>
      <x:c r="F1430" t="n">
        <x:v>1</x:v>
      </x:c>
      <x:c r="G1430" t="str">
        <x:v>equals</x:v>
      </x:c>
      <x:c r="H1430" t="str">
        <x:v>independent physical acceptance</x:v>
      </x:c>
      <x:c r="I1430" t="str">
        <x:f>IF(E1430=1,"PASS","OPEN")</x:f>
        <x:v>OPEN</x:v>
      </x:c>
    </x:row>
    <x:row r="1431">
      <x:c r="B1431" t="str">
        <x:v>PH-TG-542-L</x:v>
      </x:c>
      <x:c r="C1431" t="str">
        <x:v>PHYSICAL</x:v>
      </x:c>
      <x:c r="D1431" t="str">
        <x:v>terrain load</x:v>
      </x:c>
      <x:c r="E1431" t="n">
        <x:f>IF('Terrain Field'!K548&lt;&gt;"",1,0)</x:f>
        <x:v>0</x:v>
      </x:c>
      <x:c r="F1431" t="n">
        <x:v>1</x:v>
      </x:c>
      <x:c r="G1431" t="str">
        <x:v>equals</x:v>
      </x:c>
      <x:c r="H1431" t="str">
        <x:v>independent physical acceptance</x:v>
      </x:c>
      <x:c r="I1431" t="str">
        <x:f>IF(E1431=1,"PASS","OPEN")</x:f>
        <x:v>OPEN</x:v>
      </x:c>
    </x:row>
    <x:row r="1432">
      <x:c r="B1432" t="str">
        <x:v>PH-TG-543-G</x:v>
      </x:c>
      <x:c r="C1432" t="str">
        <x:v>PHYSICAL</x:v>
      </x:c>
      <x:c r="D1432" t="str">
        <x:v>terrain geometry</x:v>
      </x:c>
      <x:c r="E1432" t="n">
        <x:f>IF('Terrain Field'!J549&lt;&gt;"",1,0)</x:f>
        <x:v>0</x:v>
      </x:c>
      <x:c r="F1432" t="n">
        <x:v>1</x:v>
      </x:c>
      <x:c r="G1432" t="str">
        <x:v>equals</x:v>
      </x:c>
      <x:c r="H1432" t="str">
        <x:v>independent physical acceptance</x:v>
      </x:c>
      <x:c r="I1432" t="str">
        <x:f>IF(E1432=1,"PASS","OPEN")</x:f>
        <x:v>OPEN</x:v>
      </x:c>
    </x:row>
    <x:row r="1433">
      <x:c r="B1433" t="str">
        <x:v>PH-TG-543-L</x:v>
      </x:c>
      <x:c r="C1433" t="str">
        <x:v>PHYSICAL</x:v>
      </x:c>
      <x:c r="D1433" t="str">
        <x:v>terrain load</x:v>
      </x:c>
      <x:c r="E1433" t="n">
        <x:f>IF('Terrain Field'!K549&lt;&gt;"",1,0)</x:f>
        <x:v>0</x:v>
      </x:c>
      <x:c r="F1433" t="n">
        <x:v>1</x:v>
      </x:c>
      <x:c r="G1433" t="str">
        <x:v>equals</x:v>
      </x:c>
      <x:c r="H1433" t="str">
        <x:v>independent physical acceptance</x:v>
      </x:c>
      <x:c r="I1433" t="str">
        <x:f>IF(E1433=1,"PASS","OPEN")</x:f>
        <x:v>OPEN</x:v>
      </x:c>
    </x:row>
    <x:row r="1434">
      <x:c r="B1434" t="str">
        <x:v>PH-TG-544-G</x:v>
      </x:c>
      <x:c r="C1434" t="str">
        <x:v>PHYSICAL</x:v>
      </x:c>
      <x:c r="D1434" t="str">
        <x:v>terrain geometry</x:v>
      </x:c>
      <x:c r="E1434" t="n">
        <x:f>IF('Terrain Field'!J550&lt;&gt;"",1,0)</x:f>
        <x:v>0</x:v>
      </x:c>
      <x:c r="F1434" t="n">
        <x:v>1</x:v>
      </x:c>
      <x:c r="G1434" t="str">
        <x:v>equals</x:v>
      </x:c>
      <x:c r="H1434" t="str">
        <x:v>independent physical acceptance</x:v>
      </x:c>
      <x:c r="I1434" t="str">
        <x:f>IF(E1434=1,"PASS","OPEN")</x:f>
        <x:v>OPEN</x:v>
      </x:c>
    </x:row>
    <x:row r="1435">
      <x:c r="B1435" t="str">
        <x:v>PH-TG-544-L</x:v>
      </x:c>
      <x:c r="C1435" t="str">
        <x:v>PHYSICAL</x:v>
      </x:c>
      <x:c r="D1435" t="str">
        <x:v>terrain load</x:v>
      </x:c>
      <x:c r="E1435" t="n">
        <x:f>IF('Terrain Field'!K550&lt;&gt;"",1,0)</x:f>
        <x:v>0</x:v>
      </x:c>
      <x:c r="F1435" t="n">
        <x:v>1</x:v>
      </x:c>
      <x:c r="G1435" t="str">
        <x:v>equals</x:v>
      </x:c>
      <x:c r="H1435" t="str">
        <x:v>independent physical acceptance</x:v>
      </x:c>
      <x:c r="I1435" t="str">
        <x:f>IF(E1435=1,"PASS","OPEN")</x:f>
        <x:v>OPEN</x:v>
      </x:c>
    </x:row>
    <x:row r="1436">
      <x:c r="B1436" t="str">
        <x:v>PH-TG-545-G</x:v>
      </x:c>
      <x:c r="C1436" t="str">
        <x:v>PHYSICAL</x:v>
      </x:c>
      <x:c r="D1436" t="str">
        <x:v>terrain geometry</x:v>
      </x:c>
      <x:c r="E1436" t="n">
        <x:f>IF('Terrain Field'!J551&lt;&gt;"",1,0)</x:f>
        <x:v>0</x:v>
      </x:c>
      <x:c r="F1436" t="n">
        <x:v>1</x:v>
      </x:c>
      <x:c r="G1436" t="str">
        <x:v>equals</x:v>
      </x:c>
      <x:c r="H1436" t="str">
        <x:v>independent physical acceptance</x:v>
      </x:c>
      <x:c r="I1436" t="str">
        <x:f>IF(E1436=1,"PASS","OPEN")</x:f>
        <x:v>OPEN</x:v>
      </x:c>
    </x:row>
    <x:row r="1437">
      <x:c r="B1437" t="str">
        <x:v>PH-TG-545-L</x:v>
      </x:c>
      <x:c r="C1437" t="str">
        <x:v>PHYSICAL</x:v>
      </x:c>
      <x:c r="D1437" t="str">
        <x:v>terrain load</x:v>
      </x:c>
      <x:c r="E1437" t="n">
        <x:f>IF('Terrain Field'!K551&lt;&gt;"",1,0)</x:f>
        <x:v>0</x:v>
      </x:c>
      <x:c r="F1437" t="n">
        <x:v>1</x:v>
      </x:c>
      <x:c r="G1437" t="str">
        <x:v>equals</x:v>
      </x:c>
      <x:c r="H1437" t="str">
        <x:v>independent physical acceptance</x:v>
      </x:c>
      <x:c r="I1437" t="str">
        <x:f>IF(E1437=1,"PASS","OPEN")</x:f>
        <x:v>OPEN</x:v>
      </x:c>
    </x:row>
    <x:row r="1438">
      <x:c r="B1438" t="str">
        <x:v>PH-TG-546-G</x:v>
      </x:c>
      <x:c r="C1438" t="str">
        <x:v>PHYSICAL</x:v>
      </x:c>
      <x:c r="D1438" t="str">
        <x:v>terrain geometry</x:v>
      </x:c>
      <x:c r="E1438" t="n">
        <x:f>IF('Terrain Field'!J552&lt;&gt;"",1,0)</x:f>
        <x:v>0</x:v>
      </x:c>
      <x:c r="F1438" t="n">
        <x:v>1</x:v>
      </x:c>
      <x:c r="G1438" t="str">
        <x:v>equals</x:v>
      </x:c>
      <x:c r="H1438" t="str">
        <x:v>independent physical acceptance</x:v>
      </x:c>
      <x:c r="I1438" t="str">
        <x:f>IF(E1438=1,"PASS","OPEN")</x:f>
        <x:v>OPEN</x:v>
      </x:c>
    </x:row>
    <x:row r="1439">
      <x:c r="B1439" t="str">
        <x:v>PH-TG-546-L</x:v>
      </x:c>
      <x:c r="C1439" t="str">
        <x:v>PHYSICAL</x:v>
      </x:c>
      <x:c r="D1439" t="str">
        <x:v>terrain load</x:v>
      </x:c>
      <x:c r="E1439" t="n">
        <x:f>IF('Terrain Field'!K552&lt;&gt;"",1,0)</x:f>
        <x:v>0</x:v>
      </x:c>
      <x:c r="F1439" t="n">
        <x:v>1</x:v>
      </x:c>
      <x:c r="G1439" t="str">
        <x:v>equals</x:v>
      </x:c>
      <x:c r="H1439" t="str">
        <x:v>independent physical acceptance</x:v>
      </x:c>
      <x:c r="I1439" t="str">
        <x:f>IF(E1439=1,"PASS","OPEN")</x:f>
        <x:v>OPEN</x:v>
      </x:c>
    </x:row>
    <x:row r="1440">
      <x:c r="B1440" t="str">
        <x:v>PH-TG-547-G</x:v>
      </x:c>
      <x:c r="C1440" t="str">
        <x:v>PHYSICAL</x:v>
      </x:c>
      <x:c r="D1440" t="str">
        <x:v>terrain geometry</x:v>
      </x:c>
      <x:c r="E1440" t="n">
        <x:f>IF('Terrain Field'!J553&lt;&gt;"",1,0)</x:f>
        <x:v>0</x:v>
      </x:c>
      <x:c r="F1440" t="n">
        <x:v>1</x:v>
      </x:c>
      <x:c r="G1440" t="str">
        <x:v>equals</x:v>
      </x:c>
      <x:c r="H1440" t="str">
        <x:v>independent physical acceptance</x:v>
      </x:c>
      <x:c r="I1440" t="str">
        <x:f>IF(E1440=1,"PASS","OPEN")</x:f>
        <x:v>OPEN</x:v>
      </x:c>
    </x:row>
    <x:row r="1441">
      <x:c r="B1441" t="str">
        <x:v>PH-TG-547-L</x:v>
      </x:c>
      <x:c r="C1441" t="str">
        <x:v>PHYSICAL</x:v>
      </x:c>
      <x:c r="D1441" t="str">
        <x:v>terrain load</x:v>
      </x:c>
      <x:c r="E1441" t="n">
        <x:f>IF('Terrain Field'!K553&lt;&gt;"",1,0)</x:f>
        <x:v>0</x:v>
      </x:c>
      <x:c r="F1441" t="n">
        <x:v>1</x:v>
      </x:c>
      <x:c r="G1441" t="str">
        <x:v>equals</x:v>
      </x:c>
      <x:c r="H1441" t="str">
        <x:v>independent physical acceptance</x:v>
      </x:c>
      <x:c r="I1441" t="str">
        <x:f>IF(E1441=1,"PASS","OPEN")</x:f>
        <x:v>OPEN</x:v>
      </x:c>
    </x:row>
    <x:row r="1442">
      <x:c r="B1442" t="str">
        <x:v>PH-TG-548-G</x:v>
      </x:c>
      <x:c r="C1442" t="str">
        <x:v>PHYSICAL</x:v>
      </x:c>
      <x:c r="D1442" t="str">
        <x:v>terrain geometry</x:v>
      </x:c>
      <x:c r="E1442" t="n">
        <x:f>IF('Terrain Field'!J554&lt;&gt;"",1,0)</x:f>
        <x:v>0</x:v>
      </x:c>
      <x:c r="F1442" t="n">
        <x:v>1</x:v>
      </x:c>
      <x:c r="G1442" t="str">
        <x:v>equals</x:v>
      </x:c>
      <x:c r="H1442" t="str">
        <x:v>independent physical acceptance</x:v>
      </x:c>
      <x:c r="I1442" t="str">
        <x:f>IF(E1442=1,"PASS","OPEN")</x:f>
        <x:v>OPEN</x:v>
      </x:c>
    </x:row>
    <x:row r="1443">
      <x:c r="B1443" t="str">
        <x:v>PH-TG-548-L</x:v>
      </x:c>
      <x:c r="C1443" t="str">
        <x:v>PHYSICAL</x:v>
      </x:c>
      <x:c r="D1443" t="str">
        <x:v>terrain load</x:v>
      </x:c>
      <x:c r="E1443" t="n">
        <x:f>IF('Terrain Field'!K554&lt;&gt;"",1,0)</x:f>
        <x:v>0</x:v>
      </x:c>
      <x:c r="F1443" t="n">
        <x:v>1</x:v>
      </x:c>
      <x:c r="G1443" t="str">
        <x:v>equals</x:v>
      </x:c>
      <x:c r="H1443" t="str">
        <x:v>independent physical acceptance</x:v>
      </x:c>
      <x:c r="I1443" t="str">
        <x:f>IF(E1443=1,"PASS","OPEN")</x:f>
        <x:v>OPEN</x:v>
      </x:c>
    </x:row>
    <x:row r="1444">
      <x:c r="B1444" t="str">
        <x:v>PH-TG-549-G</x:v>
      </x:c>
      <x:c r="C1444" t="str">
        <x:v>PHYSICAL</x:v>
      </x:c>
      <x:c r="D1444" t="str">
        <x:v>terrain geometry</x:v>
      </x:c>
      <x:c r="E1444" t="n">
        <x:f>IF('Terrain Field'!J555&lt;&gt;"",1,0)</x:f>
        <x:v>0</x:v>
      </x:c>
      <x:c r="F1444" t="n">
        <x:v>1</x:v>
      </x:c>
      <x:c r="G1444" t="str">
        <x:v>equals</x:v>
      </x:c>
      <x:c r="H1444" t="str">
        <x:v>independent physical acceptance</x:v>
      </x:c>
      <x:c r="I1444" t="str">
        <x:f>IF(E1444=1,"PASS","OPEN")</x:f>
        <x:v>OPEN</x:v>
      </x:c>
    </x:row>
    <x:row r="1445">
      <x:c r="B1445" t="str">
        <x:v>PH-TG-549-L</x:v>
      </x:c>
      <x:c r="C1445" t="str">
        <x:v>PHYSICAL</x:v>
      </x:c>
      <x:c r="D1445" t="str">
        <x:v>terrain load</x:v>
      </x:c>
      <x:c r="E1445" t="n">
        <x:f>IF('Terrain Field'!K555&lt;&gt;"",1,0)</x:f>
        <x:v>0</x:v>
      </x:c>
      <x:c r="F1445" t="n">
        <x:v>1</x:v>
      </x:c>
      <x:c r="G1445" t="str">
        <x:v>equals</x:v>
      </x:c>
      <x:c r="H1445" t="str">
        <x:v>independent physical acceptance</x:v>
      </x:c>
      <x:c r="I1445" t="str">
        <x:f>IF(E1445=1,"PASS","OPEN")</x:f>
        <x:v>OPEN</x:v>
      </x:c>
    </x:row>
    <x:row r="1446">
      <x:c r="B1446" t="str">
        <x:v>PH-TG-550-G</x:v>
      </x:c>
      <x:c r="C1446" t="str">
        <x:v>PHYSICAL</x:v>
      </x:c>
      <x:c r="D1446" t="str">
        <x:v>terrain geometry</x:v>
      </x:c>
      <x:c r="E1446" t="n">
        <x:f>IF('Terrain Field'!J556&lt;&gt;"",1,0)</x:f>
        <x:v>0</x:v>
      </x:c>
      <x:c r="F1446" t="n">
        <x:v>1</x:v>
      </x:c>
      <x:c r="G1446" t="str">
        <x:v>equals</x:v>
      </x:c>
      <x:c r="H1446" t="str">
        <x:v>independent physical acceptance</x:v>
      </x:c>
      <x:c r="I1446" t="str">
        <x:f>IF(E1446=1,"PASS","OPEN")</x:f>
        <x:v>OPEN</x:v>
      </x:c>
    </x:row>
    <x:row r="1447">
      <x:c r="B1447" t="str">
        <x:v>PH-TG-550-L</x:v>
      </x:c>
      <x:c r="C1447" t="str">
        <x:v>PHYSICAL</x:v>
      </x:c>
      <x:c r="D1447" t="str">
        <x:v>terrain load</x:v>
      </x:c>
      <x:c r="E1447" t="n">
        <x:f>IF('Terrain Field'!K556&lt;&gt;"",1,0)</x:f>
        <x:v>0</x:v>
      </x:c>
      <x:c r="F1447" t="n">
        <x:v>1</x:v>
      </x:c>
      <x:c r="G1447" t="str">
        <x:v>equals</x:v>
      </x:c>
      <x:c r="H1447" t="str">
        <x:v>independent physical acceptance</x:v>
      </x:c>
      <x:c r="I1447" t="str">
        <x:f>IF(E1447=1,"PASS","OPEN")</x:f>
        <x:v>OPEN</x:v>
      </x:c>
    </x:row>
    <x:row r="1448">
      <x:c r="B1448" t="str">
        <x:v>PH-TG-551-G</x:v>
      </x:c>
      <x:c r="C1448" t="str">
        <x:v>PHYSICAL</x:v>
      </x:c>
      <x:c r="D1448" t="str">
        <x:v>terrain geometry</x:v>
      </x:c>
      <x:c r="E1448" t="n">
        <x:f>IF('Terrain Field'!J557&lt;&gt;"",1,0)</x:f>
        <x:v>0</x:v>
      </x:c>
      <x:c r="F1448" t="n">
        <x:v>1</x:v>
      </x:c>
      <x:c r="G1448" t="str">
        <x:v>equals</x:v>
      </x:c>
      <x:c r="H1448" t="str">
        <x:v>independent physical acceptance</x:v>
      </x:c>
      <x:c r="I1448" t="str">
        <x:f>IF(E1448=1,"PASS","OPEN")</x:f>
        <x:v>OPEN</x:v>
      </x:c>
    </x:row>
    <x:row r="1449">
      <x:c r="B1449" t="str">
        <x:v>PH-TG-551-L</x:v>
      </x:c>
      <x:c r="C1449" t="str">
        <x:v>PHYSICAL</x:v>
      </x:c>
      <x:c r="D1449" t="str">
        <x:v>terrain load</x:v>
      </x:c>
      <x:c r="E1449" t="n">
        <x:f>IF('Terrain Field'!K557&lt;&gt;"",1,0)</x:f>
        <x:v>0</x:v>
      </x:c>
      <x:c r="F1449" t="n">
        <x:v>1</x:v>
      </x:c>
      <x:c r="G1449" t="str">
        <x:v>equals</x:v>
      </x:c>
      <x:c r="H1449" t="str">
        <x:v>independent physical acceptance</x:v>
      </x:c>
      <x:c r="I1449" t="str">
        <x:f>IF(E1449=1,"PASS","OPEN")</x:f>
        <x:v>OPEN</x:v>
      </x:c>
    </x:row>
    <x:row r="1450">
      <x:c r="B1450" t="str">
        <x:v>PH-TG-552-G</x:v>
      </x:c>
      <x:c r="C1450" t="str">
        <x:v>PHYSICAL</x:v>
      </x:c>
      <x:c r="D1450" t="str">
        <x:v>terrain geometry</x:v>
      </x:c>
      <x:c r="E1450" t="n">
        <x:f>IF('Terrain Field'!J558&lt;&gt;"",1,0)</x:f>
        <x:v>0</x:v>
      </x:c>
      <x:c r="F1450" t="n">
        <x:v>1</x:v>
      </x:c>
      <x:c r="G1450" t="str">
        <x:v>equals</x:v>
      </x:c>
      <x:c r="H1450" t="str">
        <x:v>independent physical acceptance</x:v>
      </x:c>
      <x:c r="I1450" t="str">
        <x:f>IF(E1450=1,"PASS","OPEN")</x:f>
        <x:v>OPEN</x:v>
      </x:c>
    </x:row>
    <x:row r="1451">
      <x:c r="B1451" t="str">
        <x:v>PH-TG-552-L</x:v>
      </x:c>
      <x:c r="C1451" t="str">
        <x:v>PHYSICAL</x:v>
      </x:c>
      <x:c r="D1451" t="str">
        <x:v>terrain load</x:v>
      </x:c>
      <x:c r="E1451" t="n">
        <x:f>IF('Terrain Field'!K558&lt;&gt;"",1,0)</x:f>
        <x:v>0</x:v>
      </x:c>
      <x:c r="F1451" t="n">
        <x:v>1</x:v>
      </x:c>
      <x:c r="G1451" t="str">
        <x:v>equals</x:v>
      </x:c>
      <x:c r="H1451" t="str">
        <x:v>independent physical acceptance</x:v>
      </x:c>
      <x:c r="I1451" t="str">
        <x:f>IF(E1451=1,"PASS","OPEN")</x:f>
        <x:v>OPEN</x:v>
      </x:c>
    </x:row>
    <x:row r="1452">
      <x:c r="B1452" t="str">
        <x:v>PH-TG-553-G</x:v>
      </x:c>
      <x:c r="C1452" t="str">
        <x:v>PHYSICAL</x:v>
      </x:c>
      <x:c r="D1452" t="str">
        <x:v>terrain geometry</x:v>
      </x:c>
      <x:c r="E1452" t="n">
        <x:f>IF('Terrain Field'!J559&lt;&gt;"",1,0)</x:f>
        <x:v>0</x:v>
      </x:c>
      <x:c r="F1452" t="n">
        <x:v>1</x:v>
      </x:c>
      <x:c r="G1452" t="str">
        <x:v>equals</x:v>
      </x:c>
      <x:c r="H1452" t="str">
        <x:v>independent physical acceptance</x:v>
      </x:c>
      <x:c r="I1452" t="str">
        <x:f>IF(E1452=1,"PASS","OPEN")</x:f>
        <x:v>OPEN</x:v>
      </x:c>
    </x:row>
    <x:row r="1453">
      <x:c r="B1453" t="str">
        <x:v>PH-TG-553-L</x:v>
      </x:c>
      <x:c r="C1453" t="str">
        <x:v>PHYSICAL</x:v>
      </x:c>
      <x:c r="D1453" t="str">
        <x:v>terrain load</x:v>
      </x:c>
      <x:c r="E1453" t="n">
        <x:f>IF('Terrain Field'!K559&lt;&gt;"",1,0)</x:f>
        <x:v>0</x:v>
      </x:c>
      <x:c r="F1453" t="n">
        <x:v>1</x:v>
      </x:c>
      <x:c r="G1453" t="str">
        <x:v>equals</x:v>
      </x:c>
      <x:c r="H1453" t="str">
        <x:v>independent physical acceptance</x:v>
      </x:c>
      <x:c r="I1453" t="str">
        <x:f>IF(E1453=1,"PASS","OPEN")</x:f>
        <x:v>OPEN</x:v>
      </x:c>
    </x:row>
    <x:row r="1454">
      <x:c r="B1454" t="str">
        <x:v>PH-TG-554-G</x:v>
      </x:c>
      <x:c r="C1454" t="str">
        <x:v>PHYSICAL</x:v>
      </x:c>
      <x:c r="D1454" t="str">
        <x:v>terrain geometry</x:v>
      </x:c>
      <x:c r="E1454" t="n">
        <x:f>IF('Terrain Field'!J560&lt;&gt;"",1,0)</x:f>
        <x:v>0</x:v>
      </x:c>
      <x:c r="F1454" t="n">
        <x:v>1</x:v>
      </x:c>
      <x:c r="G1454" t="str">
        <x:v>equals</x:v>
      </x:c>
      <x:c r="H1454" t="str">
        <x:v>independent physical acceptance</x:v>
      </x:c>
      <x:c r="I1454" t="str">
        <x:f>IF(E1454=1,"PASS","OPEN")</x:f>
        <x:v>OPEN</x:v>
      </x:c>
    </x:row>
    <x:row r="1455">
      <x:c r="B1455" t="str">
        <x:v>PH-TG-554-L</x:v>
      </x:c>
      <x:c r="C1455" t="str">
        <x:v>PHYSICAL</x:v>
      </x:c>
      <x:c r="D1455" t="str">
        <x:v>terrain load</x:v>
      </x:c>
      <x:c r="E1455" t="n">
        <x:f>IF('Terrain Field'!K560&lt;&gt;"",1,0)</x:f>
        <x:v>0</x:v>
      </x:c>
      <x:c r="F1455" t="n">
        <x:v>1</x:v>
      </x:c>
      <x:c r="G1455" t="str">
        <x:v>equals</x:v>
      </x:c>
      <x:c r="H1455" t="str">
        <x:v>independent physical acceptance</x:v>
      </x:c>
      <x:c r="I1455" t="str">
        <x:f>IF(E1455=1,"PASS","OPEN")</x:f>
        <x:v>OPEN</x:v>
      </x:c>
    </x:row>
    <x:row r="1456">
      <x:c r="B1456" t="str">
        <x:v>PH-TG-555-G</x:v>
      </x:c>
      <x:c r="C1456" t="str">
        <x:v>PHYSICAL</x:v>
      </x:c>
      <x:c r="D1456" t="str">
        <x:v>terrain geometry</x:v>
      </x:c>
      <x:c r="E1456" t="n">
        <x:f>IF('Terrain Field'!J561&lt;&gt;"",1,0)</x:f>
        <x:v>0</x:v>
      </x:c>
      <x:c r="F1456" t="n">
        <x:v>1</x:v>
      </x:c>
      <x:c r="G1456" t="str">
        <x:v>equals</x:v>
      </x:c>
      <x:c r="H1456" t="str">
        <x:v>independent physical acceptance</x:v>
      </x:c>
      <x:c r="I1456" t="str">
        <x:f>IF(E1456=1,"PASS","OPEN")</x:f>
        <x:v>OPEN</x:v>
      </x:c>
    </x:row>
    <x:row r="1457">
      <x:c r="B1457" t="str">
        <x:v>PH-TG-555-L</x:v>
      </x:c>
      <x:c r="C1457" t="str">
        <x:v>PHYSICAL</x:v>
      </x:c>
      <x:c r="D1457" t="str">
        <x:v>terrain load</x:v>
      </x:c>
      <x:c r="E1457" t="n">
        <x:f>IF('Terrain Field'!K561&lt;&gt;"",1,0)</x:f>
        <x:v>0</x:v>
      </x:c>
      <x:c r="F1457" t="n">
        <x:v>1</x:v>
      </x:c>
      <x:c r="G1457" t="str">
        <x:v>equals</x:v>
      </x:c>
      <x:c r="H1457" t="str">
        <x:v>independent physical acceptance</x:v>
      </x:c>
      <x:c r="I1457" t="str">
        <x:f>IF(E1457=1,"PASS","OPEN")</x:f>
        <x:v>OPEN</x:v>
      </x:c>
    </x:row>
    <x:row r="1458">
      <x:c r="B1458" t="str">
        <x:v>PH-TG-556-G</x:v>
      </x:c>
      <x:c r="C1458" t="str">
        <x:v>PHYSICAL</x:v>
      </x:c>
      <x:c r="D1458" t="str">
        <x:v>terrain geometry</x:v>
      </x:c>
      <x:c r="E1458" t="n">
        <x:f>IF('Terrain Field'!J562&lt;&gt;"",1,0)</x:f>
        <x:v>0</x:v>
      </x:c>
      <x:c r="F1458" t="n">
        <x:v>1</x:v>
      </x:c>
      <x:c r="G1458" t="str">
        <x:v>equals</x:v>
      </x:c>
      <x:c r="H1458" t="str">
        <x:v>independent physical acceptance</x:v>
      </x:c>
      <x:c r="I1458" t="str">
        <x:f>IF(E1458=1,"PASS","OPEN")</x:f>
        <x:v>OPEN</x:v>
      </x:c>
    </x:row>
    <x:row r="1459">
      <x:c r="B1459" t="str">
        <x:v>PH-TG-556-L</x:v>
      </x:c>
      <x:c r="C1459" t="str">
        <x:v>PHYSICAL</x:v>
      </x:c>
      <x:c r="D1459" t="str">
        <x:v>terrain load</x:v>
      </x:c>
      <x:c r="E1459" t="n">
        <x:f>IF('Terrain Field'!K562&lt;&gt;"",1,0)</x:f>
        <x:v>0</x:v>
      </x:c>
      <x:c r="F1459" t="n">
        <x:v>1</x:v>
      </x:c>
      <x:c r="G1459" t="str">
        <x:v>equals</x:v>
      </x:c>
      <x:c r="H1459" t="str">
        <x:v>independent physical acceptance</x:v>
      </x:c>
      <x:c r="I1459" t="str">
        <x:f>IF(E1459=1,"PASS","OPEN")</x:f>
        <x:v>OPEN</x:v>
      </x:c>
    </x:row>
    <x:row r="1460">
      <x:c r="B1460" t="str">
        <x:v>PH-TG-557-G</x:v>
      </x:c>
      <x:c r="C1460" t="str">
        <x:v>PHYSICAL</x:v>
      </x:c>
      <x:c r="D1460" t="str">
        <x:v>terrain geometry</x:v>
      </x:c>
      <x:c r="E1460" t="n">
        <x:f>IF('Terrain Field'!J563&lt;&gt;"",1,0)</x:f>
        <x:v>0</x:v>
      </x:c>
      <x:c r="F1460" t="n">
        <x:v>1</x:v>
      </x:c>
      <x:c r="G1460" t="str">
        <x:v>equals</x:v>
      </x:c>
      <x:c r="H1460" t="str">
        <x:v>independent physical acceptance</x:v>
      </x:c>
      <x:c r="I1460" t="str">
        <x:f>IF(E1460=1,"PASS","OPEN")</x:f>
        <x:v>OPEN</x:v>
      </x:c>
    </x:row>
    <x:row r="1461">
      <x:c r="B1461" t="str">
        <x:v>PH-TG-557-L</x:v>
      </x:c>
      <x:c r="C1461" t="str">
        <x:v>PHYSICAL</x:v>
      </x:c>
      <x:c r="D1461" t="str">
        <x:v>terrain load</x:v>
      </x:c>
      <x:c r="E1461" t="n">
        <x:f>IF('Terrain Field'!K563&lt;&gt;"",1,0)</x:f>
        <x:v>0</x:v>
      </x:c>
      <x:c r="F1461" t="n">
        <x:v>1</x:v>
      </x:c>
      <x:c r="G1461" t="str">
        <x:v>equals</x:v>
      </x:c>
      <x:c r="H1461" t="str">
        <x:v>independent physical acceptance</x:v>
      </x:c>
      <x:c r="I1461" t="str">
        <x:f>IF(E1461=1,"PASS","OPEN")</x:f>
        <x:v>OPEN</x:v>
      </x:c>
    </x:row>
    <x:row r="1462">
      <x:c r="B1462" t="str">
        <x:v>PH-TG-558-G</x:v>
      </x:c>
      <x:c r="C1462" t="str">
        <x:v>PHYSICAL</x:v>
      </x:c>
      <x:c r="D1462" t="str">
        <x:v>terrain geometry</x:v>
      </x:c>
      <x:c r="E1462" t="n">
        <x:f>IF('Terrain Field'!J564&lt;&gt;"",1,0)</x:f>
        <x:v>0</x:v>
      </x:c>
      <x:c r="F1462" t="n">
        <x:v>1</x:v>
      </x:c>
      <x:c r="G1462" t="str">
        <x:v>equals</x:v>
      </x:c>
      <x:c r="H1462" t="str">
        <x:v>independent physical acceptance</x:v>
      </x:c>
      <x:c r="I1462" t="str">
        <x:f>IF(E1462=1,"PASS","OPEN")</x:f>
        <x:v>OPEN</x:v>
      </x:c>
    </x:row>
    <x:row r="1463">
      <x:c r="B1463" t="str">
        <x:v>PH-TG-558-L</x:v>
      </x:c>
      <x:c r="C1463" t="str">
        <x:v>PHYSICAL</x:v>
      </x:c>
      <x:c r="D1463" t="str">
        <x:v>terrain load</x:v>
      </x:c>
      <x:c r="E1463" t="n">
        <x:f>IF('Terrain Field'!K564&lt;&gt;"",1,0)</x:f>
        <x:v>0</x:v>
      </x:c>
      <x:c r="F1463" t="n">
        <x:v>1</x:v>
      </x:c>
      <x:c r="G1463" t="str">
        <x:v>equals</x:v>
      </x:c>
      <x:c r="H1463" t="str">
        <x:v>independent physical acceptance</x:v>
      </x:c>
      <x:c r="I1463" t="str">
        <x:f>IF(E1463=1,"PASS","OPEN")</x:f>
        <x:v>OPEN</x:v>
      </x:c>
    </x:row>
    <x:row r="1464">
      <x:c r="B1464" t="str">
        <x:v>PH-TG-559-G</x:v>
      </x:c>
      <x:c r="C1464" t="str">
        <x:v>PHYSICAL</x:v>
      </x:c>
      <x:c r="D1464" t="str">
        <x:v>terrain geometry</x:v>
      </x:c>
      <x:c r="E1464" t="n">
        <x:f>IF('Terrain Field'!J565&lt;&gt;"",1,0)</x:f>
        <x:v>0</x:v>
      </x:c>
      <x:c r="F1464" t="n">
        <x:v>1</x:v>
      </x:c>
      <x:c r="G1464" t="str">
        <x:v>equals</x:v>
      </x:c>
      <x:c r="H1464" t="str">
        <x:v>independent physical acceptance</x:v>
      </x:c>
      <x:c r="I1464" t="str">
        <x:f>IF(E1464=1,"PASS","OPEN")</x:f>
        <x:v>OPEN</x:v>
      </x:c>
    </x:row>
    <x:row r="1465">
      <x:c r="B1465" t="str">
        <x:v>PH-TG-559-L</x:v>
      </x:c>
      <x:c r="C1465" t="str">
        <x:v>PHYSICAL</x:v>
      </x:c>
      <x:c r="D1465" t="str">
        <x:v>terrain load</x:v>
      </x:c>
      <x:c r="E1465" t="n">
        <x:f>IF('Terrain Field'!K565&lt;&gt;"",1,0)</x:f>
        <x:v>0</x:v>
      </x:c>
      <x:c r="F1465" t="n">
        <x:v>1</x:v>
      </x:c>
      <x:c r="G1465" t="str">
        <x:v>equals</x:v>
      </x:c>
      <x:c r="H1465" t="str">
        <x:v>independent physical acceptance</x:v>
      </x:c>
      <x:c r="I1465" t="str">
        <x:f>IF(E1465=1,"PASS","OPEN")</x:f>
        <x:v>OPEN</x:v>
      </x:c>
    </x:row>
    <x:row r="1466">
      <x:c r="B1466" t="str">
        <x:v>PH-TG-560-G</x:v>
      </x:c>
      <x:c r="C1466" t="str">
        <x:v>PHYSICAL</x:v>
      </x:c>
      <x:c r="D1466" t="str">
        <x:v>terrain geometry</x:v>
      </x:c>
      <x:c r="E1466" t="n">
        <x:f>IF('Terrain Field'!J566&lt;&gt;"",1,0)</x:f>
        <x:v>0</x:v>
      </x:c>
      <x:c r="F1466" t="n">
        <x:v>1</x:v>
      </x:c>
      <x:c r="G1466" t="str">
        <x:v>equals</x:v>
      </x:c>
      <x:c r="H1466" t="str">
        <x:v>independent physical acceptance</x:v>
      </x:c>
      <x:c r="I1466" t="str">
        <x:f>IF(E1466=1,"PASS","OPEN")</x:f>
        <x:v>OPEN</x:v>
      </x:c>
    </x:row>
    <x:row r="1467">
      <x:c r="B1467" t="str">
        <x:v>PH-TG-560-L</x:v>
      </x:c>
      <x:c r="C1467" t="str">
        <x:v>PHYSICAL</x:v>
      </x:c>
      <x:c r="D1467" t="str">
        <x:v>terrain load</x:v>
      </x:c>
      <x:c r="E1467" t="n">
        <x:f>IF('Terrain Field'!K566&lt;&gt;"",1,0)</x:f>
        <x:v>0</x:v>
      </x:c>
      <x:c r="F1467" t="n">
        <x:v>1</x:v>
      </x:c>
      <x:c r="G1467" t="str">
        <x:v>equals</x:v>
      </x:c>
      <x:c r="H1467" t="str">
        <x:v>independent physical acceptance</x:v>
      </x:c>
      <x:c r="I1467" t="str">
        <x:f>IF(E1467=1,"PASS","OPEN")</x:f>
        <x:v>OPEN</x:v>
      </x:c>
    </x:row>
    <x:row r="1468">
      <x:c r="B1468" t="str">
        <x:v>PH-TG-561-G</x:v>
      </x:c>
      <x:c r="C1468" t="str">
        <x:v>PHYSICAL</x:v>
      </x:c>
      <x:c r="D1468" t="str">
        <x:v>terrain geometry</x:v>
      </x:c>
      <x:c r="E1468" t="n">
        <x:f>IF('Terrain Field'!J567&lt;&gt;"",1,0)</x:f>
        <x:v>0</x:v>
      </x:c>
      <x:c r="F1468" t="n">
        <x:v>1</x:v>
      </x:c>
      <x:c r="G1468" t="str">
        <x:v>equals</x:v>
      </x:c>
      <x:c r="H1468" t="str">
        <x:v>independent physical acceptance</x:v>
      </x:c>
      <x:c r="I1468" t="str">
        <x:f>IF(E1468=1,"PASS","OPEN")</x:f>
        <x:v>OPEN</x:v>
      </x:c>
    </x:row>
    <x:row r="1469">
      <x:c r="B1469" t="str">
        <x:v>PH-TG-561-L</x:v>
      </x:c>
      <x:c r="C1469" t="str">
        <x:v>PHYSICAL</x:v>
      </x:c>
      <x:c r="D1469" t="str">
        <x:v>terrain load</x:v>
      </x:c>
      <x:c r="E1469" t="n">
        <x:f>IF('Terrain Field'!K567&lt;&gt;"",1,0)</x:f>
        <x:v>0</x:v>
      </x:c>
      <x:c r="F1469" t="n">
        <x:v>1</x:v>
      </x:c>
      <x:c r="G1469" t="str">
        <x:v>equals</x:v>
      </x:c>
      <x:c r="H1469" t="str">
        <x:v>independent physical acceptance</x:v>
      </x:c>
      <x:c r="I1469" t="str">
        <x:f>IF(E1469=1,"PASS","OPEN")</x:f>
        <x:v>OPEN</x:v>
      </x:c>
    </x:row>
    <x:row r="1470">
      <x:c r="B1470" t="str">
        <x:v>PH-TG-562-G</x:v>
      </x:c>
      <x:c r="C1470" t="str">
        <x:v>PHYSICAL</x:v>
      </x:c>
      <x:c r="D1470" t="str">
        <x:v>terrain geometry</x:v>
      </x:c>
      <x:c r="E1470" t="n">
        <x:f>IF('Terrain Field'!J568&lt;&gt;"",1,0)</x:f>
        <x:v>0</x:v>
      </x:c>
      <x:c r="F1470" t="n">
        <x:v>1</x:v>
      </x:c>
      <x:c r="G1470" t="str">
        <x:v>equals</x:v>
      </x:c>
      <x:c r="H1470" t="str">
        <x:v>independent physical acceptance</x:v>
      </x:c>
      <x:c r="I1470" t="str">
        <x:f>IF(E1470=1,"PASS","OPEN")</x:f>
        <x:v>OPEN</x:v>
      </x:c>
    </x:row>
    <x:row r="1471">
      <x:c r="B1471" t="str">
        <x:v>PH-TG-562-L</x:v>
      </x:c>
      <x:c r="C1471" t="str">
        <x:v>PHYSICAL</x:v>
      </x:c>
      <x:c r="D1471" t="str">
        <x:v>terrain load</x:v>
      </x:c>
      <x:c r="E1471" t="n">
        <x:f>IF('Terrain Field'!K568&lt;&gt;"",1,0)</x:f>
        <x:v>0</x:v>
      </x:c>
      <x:c r="F1471" t="n">
        <x:v>1</x:v>
      </x:c>
      <x:c r="G1471" t="str">
        <x:v>equals</x:v>
      </x:c>
      <x:c r="H1471" t="str">
        <x:v>independent physical acceptance</x:v>
      </x:c>
      <x:c r="I1471" t="str">
        <x:f>IF(E1471=1,"PASS","OPEN")</x:f>
        <x:v>OPEN</x:v>
      </x:c>
    </x:row>
    <x:row r="1472">
      <x:c r="B1472" t="str">
        <x:v>PH-TG-563-G</x:v>
      </x:c>
      <x:c r="C1472" t="str">
        <x:v>PHYSICAL</x:v>
      </x:c>
      <x:c r="D1472" t="str">
        <x:v>terrain geometry</x:v>
      </x:c>
      <x:c r="E1472" t="n">
        <x:f>IF('Terrain Field'!J569&lt;&gt;"",1,0)</x:f>
        <x:v>0</x:v>
      </x:c>
      <x:c r="F1472" t="n">
        <x:v>1</x:v>
      </x:c>
      <x:c r="G1472" t="str">
        <x:v>equals</x:v>
      </x:c>
      <x:c r="H1472" t="str">
        <x:v>independent physical acceptance</x:v>
      </x:c>
      <x:c r="I1472" t="str">
        <x:f>IF(E1472=1,"PASS","OPEN")</x:f>
        <x:v>OPEN</x:v>
      </x:c>
    </x:row>
    <x:row r="1473">
      <x:c r="B1473" t="str">
        <x:v>PH-TG-563-L</x:v>
      </x:c>
      <x:c r="C1473" t="str">
        <x:v>PHYSICAL</x:v>
      </x:c>
      <x:c r="D1473" t="str">
        <x:v>terrain load</x:v>
      </x:c>
      <x:c r="E1473" t="n">
        <x:f>IF('Terrain Field'!K569&lt;&gt;"",1,0)</x:f>
        <x:v>0</x:v>
      </x:c>
      <x:c r="F1473" t="n">
        <x:v>1</x:v>
      </x:c>
      <x:c r="G1473" t="str">
        <x:v>equals</x:v>
      </x:c>
      <x:c r="H1473" t="str">
        <x:v>independent physical acceptance</x:v>
      </x:c>
      <x:c r="I1473" t="str">
        <x:f>IF(E1473=1,"PASS","OPEN")</x:f>
        <x:v>OPEN</x:v>
      </x:c>
    </x:row>
    <x:row r="1474">
      <x:c r="B1474" t="str">
        <x:v>PH-TG-564-G</x:v>
      </x:c>
      <x:c r="C1474" t="str">
        <x:v>PHYSICAL</x:v>
      </x:c>
      <x:c r="D1474" t="str">
        <x:v>terrain geometry</x:v>
      </x:c>
      <x:c r="E1474" t="n">
        <x:f>IF('Terrain Field'!J570&lt;&gt;"",1,0)</x:f>
        <x:v>0</x:v>
      </x:c>
      <x:c r="F1474" t="n">
        <x:v>1</x:v>
      </x:c>
      <x:c r="G1474" t="str">
        <x:v>equals</x:v>
      </x:c>
      <x:c r="H1474" t="str">
        <x:v>independent physical acceptance</x:v>
      </x:c>
      <x:c r="I1474" t="str">
        <x:f>IF(E1474=1,"PASS","OPEN")</x:f>
        <x:v>OPEN</x:v>
      </x:c>
    </x:row>
    <x:row r="1475">
      <x:c r="B1475" t="str">
        <x:v>PH-TG-564-L</x:v>
      </x:c>
      <x:c r="C1475" t="str">
        <x:v>PHYSICAL</x:v>
      </x:c>
      <x:c r="D1475" t="str">
        <x:v>terrain load</x:v>
      </x:c>
      <x:c r="E1475" t="n">
        <x:f>IF('Terrain Field'!K570&lt;&gt;"",1,0)</x:f>
        <x:v>0</x:v>
      </x:c>
      <x:c r="F1475" t="n">
        <x:v>1</x:v>
      </x:c>
      <x:c r="G1475" t="str">
        <x:v>equals</x:v>
      </x:c>
      <x:c r="H1475" t="str">
        <x:v>independent physical acceptance</x:v>
      </x:c>
      <x:c r="I1475" t="str">
        <x:f>IF(E1475=1,"PASS","OPEN")</x:f>
        <x:v>OPEN</x:v>
      </x:c>
    </x:row>
    <x:row r="1476">
      <x:c r="B1476" t="str">
        <x:v>PH-TG-565-G</x:v>
      </x:c>
      <x:c r="C1476" t="str">
        <x:v>PHYSICAL</x:v>
      </x:c>
      <x:c r="D1476" t="str">
        <x:v>terrain geometry</x:v>
      </x:c>
      <x:c r="E1476" t="n">
        <x:f>IF('Terrain Field'!J571&lt;&gt;"",1,0)</x:f>
        <x:v>0</x:v>
      </x:c>
      <x:c r="F1476" t="n">
        <x:v>1</x:v>
      </x:c>
      <x:c r="G1476" t="str">
        <x:v>equals</x:v>
      </x:c>
      <x:c r="H1476" t="str">
        <x:v>independent physical acceptance</x:v>
      </x:c>
      <x:c r="I1476" t="str">
        <x:f>IF(E1476=1,"PASS","OPEN")</x:f>
        <x:v>OPEN</x:v>
      </x:c>
    </x:row>
    <x:row r="1477">
      <x:c r="B1477" t="str">
        <x:v>PH-TG-565-L</x:v>
      </x:c>
      <x:c r="C1477" t="str">
        <x:v>PHYSICAL</x:v>
      </x:c>
      <x:c r="D1477" t="str">
        <x:v>terrain load</x:v>
      </x:c>
      <x:c r="E1477" t="n">
        <x:f>IF('Terrain Field'!K571&lt;&gt;"",1,0)</x:f>
        <x:v>0</x:v>
      </x:c>
      <x:c r="F1477" t="n">
        <x:v>1</x:v>
      </x:c>
      <x:c r="G1477" t="str">
        <x:v>equals</x:v>
      </x:c>
      <x:c r="H1477" t="str">
        <x:v>independent physical acceptance</x:v>
      </x:c>
      <x:c r="I1477" t="str">
        <x:f>IF(E1477=1,"PASS","OPEN")</x:f>
        <x:v>OPEN</x:v>
      </x:c>
    </x:row>
    <x:row r="1478">
      <x:c r="B1478" t="str">
        <x:v>PH-TG-566-G</x:v>
      </x:c>
      <x:c r="C1478" t="str">
        <x:v>PHYSICAL</x:v>
      </x:c>
      <x:c r="D1478" t="str">
        <x:v>terrain geometry</x:v>
      </x:c>
      <x:c r="E1478" t="n">
        <x:f>IF('Terrain Field'!J572&lt;&gt;"",1,0)</x:f>
        <x:v>0</x:v>
      </x:c>
      <x:c r="F1478" t="n">
        <x:v>1</x:v>
      </x:c>
      <x:c r="G1478" t="str">
        <x:v>equals</x:v>
      </x:c>
      <x:c r="H1478" t="str">
        <x:v>independent physical acceptance</x:v>
      </x:c>
      <x:c r="I1478" t="str">
        <x:f>IF(E1478=1,"PASS","OPEN")</x:f>
        <x:v>OPEN</x:v>
      </x:c>
    </x:row>
    <x:row r="1479">
      <x:c r="B1479" t="str">
        <x:v>PH-TG-566-L</x:v>
      </x:c>
      <x:c r="C1479" t="str">
        <x:v>PHYSICAL</x:v>
      </x:c>
      <x:c r="D1479" t="str">
        <x:v>terrain load</x:v>
      </x:c>
      <x:c r="E1479" t="n">
        <x:f>IF('Terrain Field'!K572&lt;&gt;"",1,0)</x:f>
        <x:v>0</x:v>
      </x:c>
      <x:c r="F1479" t="n">
        <x:v>1</x:v>
      </x:c>
      <x:c r="G1479" t="str">
        <x:v>equals</x:v>
      </x:c>
      <x:c r="H1479" t="str">
        <x:v>independent physical acceptance</x:v>
      </x:c>
      <x:c r="I1479" t="str">
        <x:f>IF(E1479=1,"PASS","OPEN")</x:f>
        <x:v>OPEN</x:v>
      </x:c>
    </x:row>
    <x:row r="1480">
      <x:c r="B1480" t="str">
        <x:v>PH-TG-567-G</x:v>
      </x:c>
      <x:c r="C1480" t="str">
        <x:v>PHYSICAL</x:v>
      </x:c>
      <x:c r="D1480" t="str">
        <x:v>terrain geometry</x:v>
      </x:c>
      <x:c r="E1480" t="n">
        <x:f>IF('Terrain Field'!J573&lt;&gt;"",1,0)</x:f>
        <x:v>0</x:v>
      </x:c>
      <x:c r="F1480" t="n">
        <x:v>1</x:v>
      </x:c>
      <x:c r="G1480" t="str">
        <x:v>equals</x:v>
      </x:c>
      <x:c r="H1480" t="str">
        <x:v>independent physical acceptance</x:v>
      </x:c>
      <x:c r="I1480" t="str">
        <x:f>IF(E1480=1,"PASS","OPEN")</x:f>
        <x:v>OPEN</x:v>
      </x:c>
    </x:row>
    <x:row r="1481">
      <x:c r="B1481" t="str">
        <x:v>PH-TG-567-L</x:v>
      </x:c>
      <x:c r="C1481" t="str">
        <x:v>PHYSICAL</x:v>
      </x:c>
      <x:c r="D1481" t="str">
        <x:v>terrain load</x:v>
      </x:c>
      <x:c r="E1481" t="n">
        <x:f>IF('Terrain Field'!K573&lt;&gt;"",1,0)</x:f>
        <x:v>0</x:v>
      </x:c>
      <x:c r="F1481" t="n">
        <x:v>1</x:v>
      </x:c>
      <x:c r="G1481" t="str">
        <x:v>equals</x:v>
      </x:c>
      <x:c r="H1481" t="str">
        <x:v>independent physical acceptance</x:v>
      </x:c>
      <x:c r="I1481" t="str">
        <x:f>IF(E1481=1,"PASS","OPEN")</x:f>
        <x:v>OPEN</x:v>
      </x:c>
    </x:row>
    <x:row r="1482">
      <x:c r="B1482" t="str">
        <x:v>PH-TG-568-G</x:v>
      </x:c>
      <x:c r="C1482" t="str">
        <x:v>PHYSICAL</x:v>
      </x:c>
      <x:c r="D1482" t="str">
        <x:v>terrain geometry</x:v>
      </x:c>
      <x:c r="E1482" t="n">
        <x:f>IF('Terrain Field'!J574&lt;&gt;"",1,0)</x:f>
        <x:v>0</x:v>
      </x:c>
      <x:c r="F1482" t="n">
        <x:v>1</x:v>
      </x:c>
      <x:c r="G1482" t="str">
        <x:v>equals</x:v>
      </x:c>
      <x:c r="H1482" t="str">
        <x:v>independent physical acceptance</x:v>
      </x:c>
      <x:c r="I1482" t="str">
        <x:f>IF(E1482=1,"PASS","OPEN")</x:f>
        <x:v>OPEN</x:v>
      </x:c>
    </x:row>
    <x:row r="1483">
      <x:c r="B1483" t="str">
        <x:v>PH-TG-568-L</x:v>
      </x:c>
      <x:c r="C1483" t="str">
        <x:v>PHYSICAL</x:v>
      </x:c>
      <x:c r="D1483" t="str">
        <x:v>terrain load</x:v>
      </x:c>
      <x:c r="E1483" t="n">
        <x:f>IF('Terrain Field'!K574&lt;&gt;"",1,0)</x:f>
        <x:v>0</x:v>
      </x:c>
      <x:c r="F1483" t="n">
        <x:v>1</x:v>
      </x:c>
      <x:c r="G1483" t="str">
        <x:v>equals</x:v>
      </x:c>
      <x:c r="H1483" t="str">
        <x:v>independent physical acceptance</x:v>
      </x:c>
      <x:c r="I1483" t="str">
        <x:f>IF(E1483=1,"PASS","OPEN")</x:f>
        <x:v>OPEN</x:v>
      </x:c>
    </x:row>
    <x:row r="1484">
      <x:c r="B1484" t="str">
        <x:v>PH-TG-569-G</x:v>
      </x:c>
      <x:c r="C1484" t="str">
        <x:v>PHYSICAL</x:v>
      </x:c>
      <x:c r="D1484" t="str">
        <x:v>terrain geometry</x:v>
      </x:c>
      <x:c r="E1484" t="n">
        <x:f>IF('Terrain Field'!J575&lt;&gt;"",1,0)</x:f>
        <x:v>0</x:v>
      </x:c>
      <x:c r="F1484" t="n">
        <x:v>1</x:v>
      </x:c>
      <x:c r="G1484" t="str">
        <x:v>equals</x:v>
      </x:c>
      <x:c r="H1484" t="str">
        <x:v>independent physical acceptance</x:v>
      </x:c>
      <x:c r="I1484" t="str">
        <x:f>IF(E1484=1,"PASS","OPEN")</x:f>
        <x:v>OPEN</x:v>
      </x:c>
    </x:row>
    <x:row r="1485">
      <x:c r="B1485" t="str">
        <x:v>PH-TG-569-L</x:v>
      </x:c>
      <x:c r="C1485" t="str">
        <x:v>PHYSICAL</x:v>
      </x:c>
      <x:c r="D1485" t="str">
        <x:v>terrain load</x:v>
      </x:c>
      <x:c r="E1485" t="n">
        <x:f>IF('Terrain Field'!K575&lt;&gt;"",1,0)</x:f>
        <x:v>0</x:v>
      </x:c>
      <x:c r="F1485" t="n">
        <x:v>1</x:v>
      </x:c>
      <x:c r="G1485" t="str">
        <x:v>equals</x:v>
      </x:c>
      <x:c r="H1485" t="str">
        <x:v>independent physical acceptance</x:v>
      </x:c>
      <x:c r="I1485" t="str">
        <x:f>IF(E1485=1,"PASS","OPEN")</x:f>
        <x:v>OPEN</x:v>
      </x:c>
    </x:row>
    <x:row r="1486">
      <x:c r="B1486" t="str">
        <x:v>PH-TG-570-G</x:v>
      </x:c>
      <x:c r="C1486" t="str">
        <x:v>PHYSICAL</x:v>
      </x:c>
      <x:c r="D1486" t="str">
        <x:v>terrain geometry</x:v>
      </x:c>
      <x:c r="E1486" t="n">
        <x:f>IF('Terrain Field'!J576&lt;&gt;"",1,0)</x:f>
        <x:v>0</x:v>
      </x:c>
      <x:c r="F1486" t="n">
        <x:v>1</x:v>
      </x:c>
      <x:c r="G1486" t="str">
        <x:v>equals</x:v>
      </x:c>
      <x:c r="H1486" t="str">
        <x:v>independent physical acceptance</x:v>
      </x:c>
      <x:c r="I1486" t="str">
        <x:f>IF(E1486=1,"PASS","OPEN")</x:f>
        <x:v>OPEN</x:v>
      </x:c>
    </x:row>
    <x:row r="1487">
      <x:c r="B1487" t="str">
        <x:v>PH-TG-570-L</x:v>
      </x:c>
      <x:c r="C1487" t="str">
        <x:v>PHYSICAL</x:v>
      </x:c>
      <x:c r="D1487" t="str">
        <x:v>terrain load</x:v>
      </x:c>
      <x:c r="E1487" t="n">
        <x:f>IF('Terrain Field'!K576&lt;&gt;"",1,0)</x:f>
        <x:v>0</x:v>
      </x:c>
      <x:c r="F1487" t="n">
        <x:v>1</x:v>
      </x:c>
      <x:c r="G1487" t="str">
        <x:v>equals</x:v>
      </x:c>
      <x:c r="H1487" t="str">
        <x:v>independent physical acceptance</x:v>
      </x:c>
      <x:c r="I1487" t="str">
        <x:f>IF(E1487=1,"PASS","OPEN")</x:f>
        <x:v>OPEN</x:v>
      </x:c>
    </x:row>
    <x:row r="1488">
      <x:c r="B1488" t="str">
        <x:v>PH-TG-571-G</x:v>
      </x:c>
      <x:c r="C1488" t="str">
        <x:v>PHYSICAL</x:v>
      </x:c>
      <x:c r="D1488" t="str">
        <x:v>terrain geometry</x:v>
      </x:c>
      <x:c r="E1488" t="n">
        <x:f>IF('Terrain Field'!J577&lt;&gt;"",1,0)</x:f>
        <x:v>0</x:v>
      </x:c>
      <x:c r="F1488" t="n">
        <x:v>1</x:v>
      </x:c>
      <x:c r="G1488" t="str">
        <x:v>equals</x:v>
      </x:c>
      <x:c r="H1488" t="str">
        <x:v>independent physical acceptance</x:v>
      </x:c>
      <x:c r="I1488" t="str">
        <x:f>IF(E1488=1,"PASS","OPEN")</x:f>
        <x:v>OPEN</x:v>
      </x:c>
    </x:row>
    <x:row r="1489">
      <x:c r="B1489" t="str">
        <x:v>PH-TG-571-L</x:v>
      </x:c>
      <x:c r="C1489" t="str">
        <x:v>PHYSICAL</x:v>
      </x:c>
      <x:c r="D1489" t="str">
        <x:v>terrain load</x:v>
      </x:c>
      <x:c r="E1489" t="n">
        <x:f>IF('Terrain Field'!K577&lt;&gt;"",1,0)</x:f>
        <x:v>0</x:v>
      </x:c>
      <x:c r="F1489" t="n">
        <x:v>1</x:v>
      </x:c>
      <x:c r="G1489" t="str">
        <x:v>equals</x:v>
      </x:c>
      <x:c r="H1489" t="str">
        <x:v>independent physical acceptance</x:v>
      </x:c>
      <x:c r="I1489" t="str">
        <x:f>IF(E1489=1,"PASS","OPEN")</x:f>
        <x:v>OPEN</x:v>
      </x:c>
    </x:row>
    <x:row r="1490">
      <x:c r="B1490" t="str">
        <x:v>PH-TG-572-G</x:v>
      </x:c>
      <x:c r="C1490" t="str">
        <x:v>PHYSICAL</x:v>
      </x:c>
      <x:c r="D1490" t="str">
        <x:v>terrain geometry</x:v>
      </x:c>
      <x:c r="E1490" t="n">
        <x:f>IF('Terrain Field'!J578&lt;&gt;"",1,0)</x:f>
        <x:v>0</x:v>
      </x:c>
      <x:c r="F1490" t="n">
        <x:v>1</x:v>
      </x:c>
      <x:c r="G1490" t="str">
        <x:v>equals</x:v>
      </x:c>
      <x:c r="H1490" t="str">
        <x:v>independent physical acceptance</x:v>
      </x:c>
      <x:c r="I1490" t="str">
        <x:f>IF(E1490=1,"PASS","OPEN")</x:f>
        <x:v>OPEN</x:v>
      </x:c>
    </x:row>
    <x:row r="1491">
      <x:c r="B1491" t="str">
        <x:v>PH-TG-572-L</x:v>
      </x:c>
      <x:c r="C1491" t="str">
        <x:v>PHYSICAL</x:v>
      </x:c>
      <x:c r="D1491" t="str">
        <x:v>terrain load</x:v>
      </x:c>
      <x:c r="E1491" t="n">
        <x:f>IF('Terrain Field'!K578&lt;&gt;"",1,0)</x:f>
        <x:v>0</x:v>
      </x:c>
      <x:c r="F1491" t="n">
        <x:v>1</x:v>
      </x:c>
      <x:c r="G1491" t="str">
        <x:v>equals</x:v>
      </x:c>
      <x:c r="H1491" t="str">
        <x:v>independent physical acceptance</x:v>
      </x:c>
      <x:c r="I1491" t="str">
        <x:f>IF(E1491=1,"PASS","OPEN")</x:f>
        <x:v>OPEN</x:v>
      </x:c>
    </x:row>
    <x:row r="1492">
      <x:c r="B1492" t="str">
        <x:v>PH-TG-573-G</x:v>
      </x:c>
      <x:c r="C1492" t="str">
        <x:v>PHYSICAL</x:v>
      </x:c>
      <x:c r="D1492" t="str">
        <x:v>terrain geometry</x:v>
      </x:c>
      <x:c r="E1492" t="n">
        <x:f>IF('Terrain Field'!J579&lt;&gt;"",1,0)</x:f>
        <x:v>0</x:v>
      </x:c>
      <x:c r="F1492" t="n">
        <x:v>1</x:v>
      </x:c>
      <x:c r="G1492" t="str">
        <x:v>equals</x:v>
      </x:c>
      <x:c r="H1492" t="str">
        <x:v>independent physical acceptance</x:v>
      </x:c>
      <x:c r="I1492" t="str">
        <x:f>IF(E1492=1,"PASS","OPEN")</x:f>
        <x:v>OPEN</x:v>
      </x:c>
    </x:row>
    <x:row r="1493">
      <x:c r="B1493" t="str">
        <x:v>PH-TG-573-L</x:v>
      </x:c>
      <x:c r="C1493" t="str">
        <x:v>PHYSICAL</x:v>
      </x:c>
      <x:c r="D1493" t="str">
        <x:v>terrain load</x:v>
      </x:c>
      <x:c r="E1493" t="n">
        <x:f>IF('Terrain Field'!K579&lt;&gt;"",1,0)</x:f>
        <x:v>0</x:v>
      </x:c>
      <x:c r="F1493" t="n">
        <x:v>1</x:v>
      </x:c>
      <x:c r="G1493" t="str">
        <x:v>equals</x:v>
      </x:c>
      <x:c r="H1493" t="str">
        <x:v>independent physical acceptance</x:v>
      </x:c>
      <x:c r="I1493" t="str">
        <x:f>IF(E1493=1,"PASS","OPEN")</x:f>
        <x:v>OPEN</x:v>
      </x:c>
    </x:row>
    <x:row r="1494">
      <x:c r="B1494" t="str">
        <x:v>PH-TG-574-G</x:v>
      </x:c>
      <x:c r="C1494" t="str">
        <x:v>PHYSICAL</x:v>
      </x:c>
      <x:c r="D1494" t="str">
        <x:v>terrain geometry</x:v>
      </x:c>
      <x:c r="E1494" t="n">
        <x:f>IF('Terrain Field'!J580&lt;&gt;"",1,0)</x:f>
        <x:v>0</x:v>
      </x:c>
      <x:c r="F1494" t="n">
        <x:v>1</x:v>
      </x:c>
      <x:c r="G1494" t="str">
        <x:v>equals</x:v>
      </x:c>
      <x:c r="H1494" t="str">
        <x:v>independent physical acceptance</x:v>
      </x:c>
      <x:c r="I1494" t="str">
        <x:f>IF(E1494=1,"PASS","OPEN")</x:f>
        <x:v>OPEN</x:v>
      </x:c>
    </x:row>
    <x:row r="1495">
      <x:c r="B1495" t="str">
        <x:v>PH-TG-574-L</x:v>
      </x:c>
      <x:c r="C1495" t="str">
        <x:v>PHYSICAL</x:v>
      </x:c>
      <x:c r="D1495" t="str">
        <x:v>terrain load</x:v>
      </x:c>
      <x:c r="E1495" t="n">
        <x:f>IF('Terrain Field'!K580&lt;&gt;"",1,0)</x:f>
        <x:v>0</x:v>
      </x:c>
      <x:c r="F1495" t="n">
        <x:v>1</x:v>
      </x:c>
      <x:c r="G1495" t="str">
        <x:v>equals</x:v>
      </x:c>
      <x:c r="H1495" t="str">
        <x:v>independent physical acceptance</x:v>
      </x:c>
      <x:c r="I1495" t="str">
        <x:f>IF(E1495=1,"PASS","OPEN")</x:f>
        <x:v>OPEN</x:v>
      </x:c>
    </x:row>
    <x:row r="1496">
      <x:c r="B1496" t="str">
        <x:v>PH-TG-575-G</x:v>
      </x:c>
      <x:c r="C1496" t="str">
        <x:v>PHYSICAL</x:v>
      </x:c>
      <x:c r="D1496" t="str">
        <x:v>terrain geometry</x:v>
      </x:c>
      <x:c r="E1496" t="n">
        <x:f>IF('Terrain Field'!J581&lt;&gt;"",1,0)</x:f>
        <x:v>0</x:v>
      </x:c>
      <x:c r="F1496" t="n">
        <x:v>1</x:v>
      </x:c>
      <x:c r="G1496" t="str">
        <x:v>equals</x:v>
      </x:c>
      <x:c r="H1496" t="str">
        <x:v>independent physical acceptance</x:v>
      </x:c>
      <x:c r="I1496" t="str">
        <x:f>IF(E1496=1,"PASS","OPEN")</x:f>
        <x:v>OPEN</x:v>
      </x:c>
    </x:row>
    <x:row r="1497">
      <x:c r="B1497" t="str">
        <x:v>PH-TG-575-L</x:v>
      </x:c>
      <x:c r="C1497" t="str">
        <x:v>PHYSICAL</x:v>
      </x:c>
      <x:c r="D1497" t="str">
        <x:v>terrain load</x:v>
      </x:c>
      <x:c r="E1497" t="n">
        <x:f>IF('Terrain Field'!K581&lt;&gt;"",1,0)</x:f>
        <x:v>0</x:v>
      </x:c>
      <x:c r="F1497" t="n">
        <x:v>1</x:v>
      </x:c>
      <x:c r="G1497" t="str">
        <x:v>equals</x:v>
      </x:c>
      <x:c r="H1497" t="str">
        <x:v>independent physical acceptance</x:v>
      </x:c>
      <x:c r="I1497" t="str">
        <x:f>IF(E1497=1,"PASS","OPEN")</x:f>
        <x:v>OPEN</x:v>
      </x:c>
    </x:row>
    <x:row r="1498">
      <x:c r="B1498" t="str">
        <x:v>PH-TG-576-G</x:v>
      </x:c>
      <x:c r="C1498" t="str">
        <x:v>PHYSICAL</x:v>
      </x:c>
      <x:c r="D1498" t="str">
        <x:v>terrain geometry</x:v>
      </x:c>
      <x:c r="E1498" t="n">
        <x:f>IF('Terrain Field'!J582&lt;&gt;"",1,0)</x:f>
        <x:v>0</x:v>
      </x:c>
      <x:c r="F1498" t="n">
        <x:v>1</x:v>
      </x:c>
      <x:c r="G1498" t="str">
        <x:v>equals</x:v>
      </x:c>
      <x:c r="H1498" t="str">
        <x:v>independent physical acceptance</x:v>
      </x:c>
      <x:c r="I1498" t="str">
        <x:f>IF(E1498=1,"PASS","OPEN")</x:f>
        <x:v>OPEN</x:v>
      </x:c>
    </x:row>
    <x:row r="1499">
      <x:c r="B1499" t="str">
        <x:v>PH-TG-576-L</x:v>
      </x:c>
      <x:c r="C1499" t="str">
        <x:v>PHYSICAL</x:v>
      </x:c>
      <x:c r="D1499" t="str">
        <x:v>terrain load</x:v>
      </x:c>
      <x:c r="E1499" t="n">
        <x:f>IF('Terrain Field'!K582&lt;&gt;"",1,0)</x:f>
        <x:v>0</x:v>
      </x:c>
      <x:c r="F1499" t="n">
        <x:v>1</x:v>
      </x:c>
      <x:c r="G1499" t="str">
        <x:v>equals</x:v>
      </x:c>
      <x:c r="H1499" t="str">
        <x:v>independent physical acceptance</x:v>
      </x:c>
      <x:c r="I1499" t="str">
        <x:f>IF(E1499=1,"PASS","OPEN")</x:f>
        <x:v>OPEN</x:v>
      </x:c>
    </x:row>
    <x:row r="1500">
      <x:c r="B1500" t="str">
        <x:v>PH-TG-577-G</x:v>
      </x:c>
      <x:c r="C1500" t="str">
        <x:v>PHYSICAL</x:v>
      </x:c>
      <x:c r="D1500" t="str">
        <x:v>terrain geometry</x:v>
      </x:c>
      <x:c r="E1500" t="n">
        <x:f>IF('Terrain Field'!J583&lt;&gt;"",1,0)</x:f>
        <x:v>0</x:v>
      </x:c>
      <x:c r="F1500" t="n">
        <x:v>1</x:v>
      </x:c>
      <x:c r="G1500" t="str">
        <x:v>equals</x:v>
      </x:c>
      <x:c r="H1500" t="str">
        <x:v>independent physical acceptance</x:v>
      </x:c>
      <x:c r="I1500" t="str">
        <x:f>IF(E1500=1,"PASS","OPEN")</x:f>
        <x:v>OPEN</x:v>
      </x:c>
    </x:row>
    <x:row r="1501">
      <x:c r="B1501" t="str">
        <x:v>PH-TG-577-L</x:v>
      </x:c>
      <x:c r="C1501" t="str">
        <x:v>PHYSICAL</x:v>
      </x:c>
      <x:c r="D1501" t="str">
        <x:v>terrain load</x:v>
      </x:c>
      <x:c r="E1501" t="n">
        <x:f>IF('Terrain Field'!K583&lt;&gt;"",1,0)</x:f>
        <x:v>0</x:v>
      </x:c>
      <x:c r="F1501" t="n">
        <x:v>1</x:v>
      </x:c>
      <x:c r="G1501" t="str">
        <x:v>equals</x:v>
      </x:c>
      <x:c r="H1501" t="str">
        <x:v>independent physical acceptance</x:v>
      </x:c>
      <x:c r="I1501" t="str">
        <x:f>IF(E1501=1,"PASS","OPEN")</x:f>
        <x:v>OPEN</x:v>
      </x:c>
    </x:row>
    <x:row r="1502">
      <x:c r="B1502" t="str">
        <x:v>PH-TG-578-G</x:v>
      </x:c>
      <x:c r="C1502" t="str">
        <x:v>PHYSICAL</x:v>
      </x:c>
      <x:c r="D1502" t="str">
        <x:v>terrain geometry</x:v>
      </x:c>
      <x:c r="E1502" t="n">
        <x:f>IF('Terrain Field'!J584&lt;&gt;"",1,0)</x:f>
        <x:v>0</x:v>
      </x:c>
      <x:c r="F1502" t="n">
        <x:v>1</x:v>
      </x:c>
      <x:c r="G1502" t="str">
        <x:v>equals</x:v>
      </x:c>
      <x:c r="H1502" t="str">
        <x:v>independent physical acceptance</x:v>
      </x:c>
      <x:c r="I1502" t="str">
        <x:f>IF(E1502=1,"PASS","OPEN")</x:f>
        <x:v>OPEN</x:v>
      </x:c>
    </x:row>
    <x:row r="1503">
      <x:c r="B1503" t="str">
        <x:v>PH-TG-578-L</x:v>
      </x:c>
      <x:c r="C1503" t="str">
        <x:v>PHYSICAL</x:v>
      </x:c>
      <x:c r="D1503" t="str">
        <x:v>terrain load</x:v>
      </x:c>
      <x:c r="E1503" t="n">
        <x:f>IF('Terrain Field'!K584&lt;&gt;"",1,0)</x:f>
        <x:v>0</x:v>
      </x:c>
      <x:c r="F1503" t="n">
        <x:v>1</x:v>
      </x:c>
      <x:c r="G1503" t="str">
        <x:v>equals</x:v>
      </x:c>
      <x:c r="H1503" t="str">
        <x:v>independent physical acceptance</x:v>
      </x:c>
      <x:c r="I1503" t="str">
        <x:f>IF(E1503=1,"PASS","OPEN")</x:f>
        <x:v>OPEN</x:v>
      </x:c>
    </x:row>
    <x:row r="1504">
      <x:c r="B1504" t="str">
        <x:v>PH-TG-579-G</x:v>
      </x:c>
      <x:c r="C1504" t="str">
        <x:v>PHYSICAL</x:v>
      </x:c>
      <x:c r="D1504" t="str">
        <x:v>terrain geometry</x:v>
      </x:c>
      <x:c r="E1504" t="n">
        <x:f>IF('Terrain Field'!J585&lt;&gt;"",1,0)</x:f>
        <x:v>0</x:v>
      </x:c>
      <x:c r="F1504" t="n">
        <x:v>1</x:v>
      </x:c>
      <x:c r="G1504" t="str">
        <x:v>equals</x:v>
      </x:c>
      <x:c r="H1504" t="str">
        <x:v>independent physical acceptance</x:v>
      </x:c>
      <x:c r="I1504" t="str">
        <x:f>IF(E1504=1,"PASS","OPEN")</x:f>
        <x:v>OPEN</x:v>
      </x:c>
    </x:row>
    <x:row r="1505">
      <x:c r="B1505" t="str">
        <x:v>PH-TG-579-L</x:v>
      </x:c>
      <x:c r="C1505" t="str">
        <x:v>PHYSICAL</x:v>
      </x:c>
      <x:c r="D1505" t="str">
        <x:v>terrain load</x:v>
      </x:c>
      <x:c r="E1505" t="n">
        <x:f>IF('Terrain Field'!K585&lt;&gt;"",1,0)</x:f>
        <x:v>0</x:v>
      </x:c>
      <x:c r="F1505" t="n">
        <x:v>1</x:v>
      </x:c>
      <x:c r="G1505" t="str">
        <x:v>equals</x:v>
      </x:c>
      <x:c r="H1505" t="str">
        <x:v>independent physical acceptance</x:v>
      </x:c>
      <x:c r="I1505" t="str">
        <x:f>IF(E1505=1,"PASS","OPEN")</x:f>
        <x:v>OPEN</x:v>
      </x:c>
    </x:row>
    <x:row r="1506">
      <x:c r="B1506" t="str">
        <x:v>PH-TG-580-G</x:v>
      </x:c>
      <x:c r="C1506" t="str">
        <x:v>PHYSICAL</x:v>
      </x:c>
      <x:c r="D1506" t="str">
        <x:v>terrain geometry</x:v>
      </x:c>
      <x:c r="E1506" t="n">
        <x:f>IF('Terrain Field'!J586&lt;&gt;"",1,0)</x:f>
        <x:v>0</x:v>
      </x:c>
      <x:c r="F1506" t="n">
        <x:v>1</x:v>
      </x:c>
      <x:c r="G1506" t="str">
        <x:v>equals</x:v>
      </x:c>
      <x:c r="H1506" t="str">
        <x:v>independent physical acceptance</x:v>
      </x:c>
      <x:c r="I1506" t="str">
        <x:f>IF(E1506=1,"PASS","OPEN")</x:f>
        <x:v>OPEN</x:v>
      </x:c>
    </x:row>
    <x:row r="1507">
      <x:c r="B1507" t="str">
        <x:v>PH-TG-580-L</x:v>
      </x:c>
      <x:c r="C1507" t="str">
        <x:v>PHYSICAL</x:v>
      </x:c>
      <x:c r="D1507" t="str">
        <x:v>terrain load</x:v>
      </x:c>
      <x:c r="E1507" t="n">
        <x:f>IF('Terrain Field'!K586&lt;&gt;"",1,0)</x:f>
        <x:v>0</x:v>
      </x:c>
      <x:c r="F1507" t="n">
        <x:v>1</x:v>
      </x:c>
      <x:c r="G1507" t="str">
        <x:v>equals</x:v>
      </x:c>
      <x:c r="H1507" t="str">
        <x:v>independent physical acceptance</x:v>
      </x:c>
      <x:c r="I1507" t="str">
        <x:f>IF(E1507=1,"PASS","OPEN")</x:f>
        <x:v>OPEN</x:v>
      </x:c>
    </x:row>
    <x:row r="1508">
      <x:c r="B1508" t="str">
        <x:v>PH-TG-581-G</x:v>
      </x:c>
      <x:c r="C1508" t="str">
        <x:v>PHYSICAL</x:v>
      </x:c>
      <x:c r="D1508" t="str">
        <x:v>terrain geometry</x:v>
      </x:c>
      <x:c r="E1508" t="n">
        <x:f>IF('Terrain Field'!J587&lt;&gt;"",1,0)</x:f>
        <x:v>0</x:v>
      </x:c>
      <x:c r="F1508" t="n">
        <x:v>1</x:v>
      </x:c>
      <x:c r="G1508" t="str">
        <x:v>equals</x:v>
      </x:c>
      <x:c r="H1508" t="str">
        <x:v>independent physical acceptance</x:v>
      </x:c>
      <x:c r="I1508" t="str">
        <x:f>IF(E1508=1,"PASS","OPEN")</x:f>
        <x:v>OPEN</x:v>
      </x:c>
    </x:row>
    <x:row r="1509">
      <x:c r="B1509" t="str">
        <x:v>PH-TG-581-L</x:v>
      </x:c>
      <x:c r="C1509" t="str">
        <x:v>PHYSICAL</x:v>
      </x:c>
      <x:c r="D1509" t="str">
        <x:v>terrain load</x:v>
      </x:c>
      <x:c r="E1509" t="n">
        <x:f>IF('Terrain Field'!K587&lt;&gt;"",1,0)</x:f>
        <x:v>0</x:v>
      </x:c>
      <x:c r="F1509" t="n">
        <x:v>1</x:v>
      </x:c>
      <x:c r="G1509" t="str">
        <x:v>equals</x:v>
      </x:c>
      <x:c r="H1509" t="str">
        <x:v>independent physical acceptance</x:v>
      </x:c>
      <x:c r="I1509" t="str">
        <x:f>IF(E1509=1,"PASS","OPEN")</x:f>
        <x:v>OPEN</x:v>
      </x:c>
    </x:row>
    <x:row r="1510">
      <x:c r="B1510" t="str">
        <x:v>PH-TG-582-G</x:v>
      </x:c>
      <x:c r="C1510" t="str">
        <x:v>PHYSICAL</x:v>
      </x:c>
      <x:c r="D1510" t="str">
        <x:v>terrain geometry</x:v>
      </x:c>
      <x:c r="E1510" t="n">
        <x:f>IF('Terrain Field'!J588&lt;&gt;"",1,0)</x:f>
        <x:v>0</x:v>
      </x:c>
      <x:c r="F1510" t="n">
        <x:v>1</x:v>
      </x:c>
      <x:c r="G1510" t="str">
        <x:v>equals</x:v>
      </x:c>
      <x:c r="H1510" t="str">
        <x:v>independent physical acceptance</x:v>
      </x:c>
      <x:c r="I1510" t="str">
        <x:f>IF(E1510=1,"PASS","OPEN")</x:f>
        <x:v>OPEN</x:v>
      </x:c>
    </x:row>
    <x:row r="1511">
      <x:c r="B1511" t="str">
        <x:v>PH-TG-582-L</x:v>
      </x:c>
      <x:c r="C1511" t="str">
        <x:v>PHYSICAL</x:v>
      </x:c>
      <x:c r="D1511" t="str">
        <x:v>terrain load</x:v>
      </x:c>
      <x:c r="E1511" t="n">
        <x:f>IF('Terrain Field'!K588&lt;&gt;"",1,0)</x:f>
        <x:v>0</x:v>
      </x:c>
      <x:c r="F1511" t="n">
        <x:v>1</x:v>
      </x:c>
      <x:c r="G1511" t="str">
        <x:v>equals</x:v>
      </x:c>
      <x:c r="H1511" t="str">
        <x:v>independent physical acceptance</x:v>
      </x:c>
      <x:c r="I1511" t="str">
        <x:f>IF(E1511=1,"PASS","OPEN")</x:f>
        <x:v>OPEN</x:v>
      </x:c>
    </x:row>
    <x:row r="1512">
      <x:c r="B1512" t="str">
        <x:v>PH-TG-583-G</x:v>
      </x:c>
      <x:c r="C1512" t="str">
        <x:v>PHYSICAL</x:v>
      </x:c>
      <x:c r="D1512" t="str">
        <x:v>terrain geometry</x:v>
      </x:c>
      <x:c r="E1512" t="n">
        <x:f>IF('Terrain Field'!J589&lt;&gt;"",1,0)</x:f>
        <x:v>0</x:v>
      </x:c>
      <x:c r="F1512" t="n">
        <x:v>1</x:v>
      </x:c>
      <x:c r="G1512" t="str">
        <x:v>equals</x:v>
      </x:c>
      <x:c r="H1512" t="str">
        <x:v>independent physical acceptance</x:v>
      </x:c>
      <x:c r="I1512" t="str">
        <x:f>IF(E1512=1,"PASS","OPEN")</x:f>
        <x:v>OPEN</x:v>
      </x:c>
    </x:row>
    <x:row r="1513">
      <x:c r="B1513" t="str">
        <x:v>PH-TG-583-L</x:v>
      </x:c>
      <x:c r="C1513" t="str">
        <x:v>PHYSICAL</x:v>
      </x:c>
      <x:c r="D1513" t="str">
        <x:v>terrain load</x:v>
      </x:c>
      <x:c r="E1513" t="n">
        <x:f>IF('Terrain Field'!K589&lt;&gt;"",1,0)</x:f>
        <x:v>0</x:v>
      </x:c>
      <x:c r="F1513" t="n">
        <x:v>1</x:v>
      </x:c>
      <x:c r="G1513" t="str">
        <x:v>equals</x:v>
      </x:c>
      <x:c r="H1513" t="str">
        <x:v>independent physical acceptance</x:v>
      </x:c>
      <x:c r="I1513" t="str">
        <x:f>IF(E1513=1,"PASS","OPEN")</x:f>
        <x:v>OPEN</x:v>
      </x:c>
    </x:row>
    <x:row r="1514">
      <x:c r="B1514" t="str">
        <x:v>PH-TG-584-G</x:v>
      </x:c>
      <x:c r="C1514" t="str">
        <x:v>PHYSICAL</x:v>
      </x:c>
      <x:c r="D1514" t="str">
        <x:v>terrain geometry</x:v>
      </x:c>
      <x:c r="E1514" t="n">
        <x:f>IF('Terrain Field'!J590&lt;&gt;"",1,0)</x:f>
        <x:v>0</x:v>
      </x:c>
      <x:c r="F1514" t="n">
        <x:v>1</x:v>
      </x:c>
      <x:c r="G1514" t="str">
        <x:v>equals</x:v>
      </x:c>
      <x:c r="H1514" t="str">
        <x:v>independent physical acceptance</x:v>
      </x:c>
      <x:c r="I1514" t="str">
        <x:f>IF(E1514=1,"PASS","OPEN")</x:f>
        <x:v>OPEN</x:v>
      </x:c>
    </x:row>
    <x:row r="1515">
      <x:c r="B1515" t="str">
        <x:v>PH-TG-584-L</x:v>
      </x:c>
      <x:c r="C1515" t="str">
        <x:v>PHYSICAL</x:v>
      </x:c>
      <x:c r="D1515" t="str">
        <x:v>terrain load</x:v>
      </x:c>
      <x:c r="E1515" t="n">
        <x:f>IF('Terrain Field'!K590&lt;&gt;"",1,0)</x:f>
        <x:v>0</x:v>
      </x:c>
      <x:c r="F1515" t="n">
        <x:v>1</x:v>
      </x:c>
      <x:c r="G1515" t="str">
        <x:v>equals</x:v>
      </x:c>
      <x:c r="H1515" t="str">
        <x:v>independent physical acceptance</x:v>
      </x:c>
      <x:c r="I1515" t="str">
        <x:f>IF(E1515=1,"PASS","OPEN")</x:f>
        <x:v>OPEN</x:v>
      </x:c>
    </x:row>
    <x:row r="1516">
      <x:c r="B1516" t="str">
        <x:v>PH-TG-585-G</x:v>
      </x:c>
      <x:c r="C1516" t="str">
        <x:v>PHYSICAL</x:v>
      </x:c>
      <x:c r="D1516" t="str">
        <x:v>terrain geometry</x:v>
      </x:c>
      <x:c r="E1516" t="n">
        <x:f>IF('Terrain Field'!J591&lt;&gt;"",1,0)</x:f>
        <x:v>0</x:v>
      </x:c>
      <x:c r="F1516" t="n">
        <x:v>1</x:v>
      </x:c>
      <x:c r="G1516" t="str">
        <x:v>equals</x:v>
      </x:c>
      <x:c r="H1516" t="str">
        <x:v>independent physical acceptance</x:v>
      </x:c>
      <x:c r="I1516" t="str">
        <x:f>IF(E1516=1,"PASS","OPEN")</x:f>
        <x:v>OPEN</x:v>
      </x:c>
    </x:row>
    <x:row r="1517">
      <x:c r="B1517" t="str">
        <x:v>PH-TG-585-L</x:v>
      </x:c>
      <x:c r="C1517" t="str">
        <x:v>PHYSICAL</x:v>
      </x:c>
      <x:c r="D1517" t="str">
        <x:v>terrain load</x:v>
      </x:c>
      <x:c r="E1517" t="n">
        <x:f>IF('Terrain Field'!K591&lt;&gt;"",1,0)</x:f>
        <x:v>0</x:v>
      </x:c>
      <x:c r="F1517" t="n">
        <x:v>1</x:v>
      </x:c>
      <x:c r="G1517" t="str">
        <x:v>equals</x:v>
      </x:c>
      <x:c r="H1517" t="str">
        <x:v>independent physical acceptance</x:v>
      </x:c>
      <x:c r="I1517" t="str">
        <x:f>IF(E1517=1,"PASS","OPEN")</x:f>
        <x:v>OPEN</x:v>
      </x:c>
    </x:row>
    <x:row r="1518">
      <x:c r="B1518" t="str">
        <x:v>PH-TG-586-G</x:v>
      </x:c>
      <x:c r="C1518" t="str">
        <x:v>PHYSICAL</x:v>
      </x:c>
      <x:c r="D1518" t="str">
        <x:v>terrain geometry</x:v>
      </x:c>
      <x:c r="E1518" t="n">
        <x:f>IF('Terrain Field'!J592&lt;&gt;"",1,0)</x:f>
        <x:v>0</x:v>
      </x:c>
      <x:c r="F1518" t="n">
        <x:v>1</x:v>
      </x:c>
      <x:c r="G1518" t="str">
        <x:v>equals</x:v>
      </x:c>
      <x:c r="H1518" t="str">
        <x:v>independent physical acceptance</x:v>
      </x:c>
      <x:c r="I1518" t="str">
        <x:f>IF(E1518=1,"PASS","OPEN")</x:f>
        <x:v>OPEN</x:v>
      </x:c>
    </x:row>
    <x:row r="1519">
      <x:c r="B1519" t="str">
        <x:v>PH-TG-586-L</x:v>
      </x:c>
      <x:c r="C1519" t="str">
        <x:v>PHYSICAL</x:v>
      </x:c>
      <x:c r="D1519" t="str">
        <x:v>terrain load</x:v>
      </x:c>
      <x:c r="E1519" t="n">
        <x:f>IF('Terrain Field'!K592&lt;&gt;"",1,0)</x:f>
        <x:v>0</x:v>
      </x:c>
      <x:c r="F1519" t="n">
        <x:v>1</x:v>
      </x:c>
      <x:c r="G1519" t="str">
        <x:v>equals</x:v>
      </x:c>
      <x:c r="H1519" t="str">
        <x:v>independent physical acceptance</x:v>
      </x:c>
      <x:c r="I1519" t="str">
        <x:f>IF(E1519=1,"PASS","OPEN")</x:f>
        <x:v>OPEN</x:v>
      </x:c>
    </x:row>
    <x:row r="1520">
      <x:c r="B1520" t="str">
        <x:v>PH-TG-587-G</x:v>
      </x:c>
      <x:c r="C1520" t="str">
        <x:v>PHYSICAL</x:v>
      </x:c>
      <x:c r="D1520" t="str">
        <x:v>terrain geometry</x:v>
      </x:c>
      <x:c r="E1520" t="n">
        <x:f>IF('Terrain Field'!J593&lt;&gt;"",1,0)</x:f>
        <x:v>0</x:v>
      </x:c>
      <x:c r="F1520" t="n">
        <x:v>1</x:v>
      </x:c>
      <x:c r="G1520" t="str">
        <x:v>equals</x:v>
      </x:c>
      <x:c r="H1520" t="str">
        <x:v>independent physical acceptance</x:v>
      </x:c>
      <x:c r="I1520" t="str">
        <x:f>IF(E1520=1,"PASS","OPEN")</x:f>
        <x:v>OPEN</x:v>
      </x:c>
    </x:row>
    <x:row r="1521">
      <x:c r="B1521" t="str">
        <x:v>PH-TG-587-L</x:v>
      </x:c>
      <x:c r="C1521" t="str">
        <x:v>PHYSICAL</x:v>
      </x:c>
      <x:c r="D1521" t="str">
        <x:v>terrain load</x:v>
      </x:c>
      <x:c r="E1521" t="n">
        <x:f>IF('Terrain Field'!K593&lt;&gt;"",1,0)</x:f>
        <x:v>0</x:v>
      </x:c>
      <x:c r="F1521" t="n">
        <x:v>1</x:v>
      </x:c>
      <x:c r="G1521" t="str">
        <x:v>equals</x:v>
      </x:c>
      <x:c r="H1521" t="str">
        <x:v>independent physical acceptance</x:v>
      </x:c>
      <x:c r="I1521" t="str">
        <x:f>IF(E1521=1,"PASS","OPEN")</x:f>
        <x:v>OPEN</x:v>
      </x:c>
    </x:row>
    <x:row r="1522">
      <x:c r="B1522" t="str">
        <x:v>PH-TG-588-G</x:v>
      </x:c>
      <x:c r="C1522" t="str">
        <x:v>PHYSICAL</x:v>
      </x:c>
      <x:c r="D1522" t="str">
        <x:v>terrain geometry</x:v>
      </x:c>
      <x:c r="E1522" t="n">
        <x:f>IF('Terrain Field'!J594&lt;&gt;"",1,0)</x:f>
        <x:v>0</x:v>
      </x:c>
      <x:c r="F1522" t="n">
        <x:v>1</x:v>
      </x:c>
      <x:c r="G1522" t="str">
        <x:v>equals</x:v>
      </x:c>
      <x:c r="H1522" t="str">
        <x:v>independent physical acceptance</x:v>
      </x:c>
      <x:c r="I1522" t="str">
        <x:f>IF(E1522=1,"PASS","OPEN")</x:f>
        <x:v>OPEN</x:v>
      </x:c>
    </x:row>
    <x:row r="1523">
      <x:c r="B1523" t="str">
        <x:v>PH-TG-588-L</x:v>
      </x:c>
      <x:c r="C1523" t="str">
        <x:v>PHYSICAL</x:v>
      </x:c>
      <x:c r="D1523" t="str">
        <x:v>terrain load</x:v>
      </x:c>
      <x:c r="E1523" t="n">
        <x:f>IF('Terrain Field'!K594&lt;&gt;"",1,0)</x:f>
        <x:v>0</x:v>
      </x:c>
      <x:c r="F1523" t="n">
        <x:v>1</x:v>
      </x:c>
      <x:c r="G1523" t="str">
        <x:v>equals</x:v>
      </x:c>
      <x:c r="H1523" t="str">
        <x:v>independent physical acceptance</x:v>
      </x:c>
      <x:c r="I1523" t="str">
        <x:f>IF(E1523=1,"PASS","OPEN")</x:f>
        <x:v>OPEN</x:v>
      </x:c>
    </x:row>
    <x:row r="1524">
      <x:c r="B1524" t="str">
        <x:v>PH-TG-589-G</x:v>
      </x:c>
      <x:c r="C1524" t="str">
        <x:v>PHYSICAL</x:v>
      </x:c>
      <x:c r="D1524" t="str">
        <x:v>terrain geometry</x:v>
      </x:c>
      <x:c r="E1524" t="n">
        <x:f>IF('Terrain Field'!J595&lt;&gt;"",1,0)</x:f>
        <x:v>0</x:v>
      </x:c>
      <x:c r="F1524" t="n">
        <x:v>1</x:v>
      </x:c>
      <x:c r="G1524" t="str">
        <x:v>equals</x:v>
      </x:c>
      <x:c r="H1524" t="str">
        <x:v>independent physical acceptance</x:v>
      </x:c>
      <x:c r="I1524" t="str">
        <x:f>IF(E1524=1,"PASS","OPEN")</x:f>
        <x:v>OPEN</x:v>
      </x:c>
    </x:row>
    <x:row r="1525">
      <x:c r="B1525" t="str">
        <x:v>PH-TG-589-L</x:v>
      </x:c>
      <x:c r="C1525" t="str">
        <x:v>PHYSICAL</x:v>
      </x:c>
      <x:c r="D1525" t="str">
        <x:v>terrain load</x:v>
      </x:c>
      <x:c r="E1525" t="n">
        <x:f>IF('Terrain Field'!K595&lt;&gt;"",1,0)</x:f>
        <x:v>0</x:v>
      </x:c>
      <x:c r="F1525" t="n">
        <x:v>1</x:v>
      </x:c>
      <x:c r="G1525" t="str">
        <x:v>equals</x:v>
      </x:c>
      <x:c r="H1525" t="str">
        <x:v>independent physical acceptance</x:v>
      </x:c>
      <x:c r="I1525" t="str">
        <x:f>IF(E1525=1,"PASS","OPEN")</x:f>
        <x:v>OPEN</x:v>
      </x:c>
    </x:row>
    <x:row r="1526">
      <x:c r="B1526" t="str">
        <x:v>PH-TG-590-G</x:v>
      </x:c>
      <x:c r="C1526" t="str">
        <x:v>PHYSICAL</x:v>
      </x:c>
      <x:c r="D1526" t="str">
        <x:v>terrain geometry</x:v>
      </x:c>
      <x:c r="E1526" t="n">
        <x:f>IF('Terrain Field'!J596&lt;&gt;"",1,0)</x:f>
        <x:v>0</x:v>
      </x:c>
      <x:c r="F1526" t="n">
        <x:v>1</x:v>
      </x:c>
      <x:c r="G1526" t="str">
        <x:v>equals</x:v>
      </x:c>
      <x:c r="H1526" t="str">
        <x:v>independent physical acceptance</x:v>
      </x:c>
      <x:c r="I1526" t="str">
        <x:f>IF(E1526=1,"PASS","OPEN")</x:f>
        <x:v>OPEN</x:v>
      </x:c>
    </x:row>
    <x:row r="1527">
      <x:c r="B1527" t="str">
        <x:v>PH-TG-590-L</x:v>
      </x:c>
      <x:c r="C1527" t="str">
        <x:v>PHYSICAL</x:v>
      </x:c>
      <x:c r="D1527" t="str">
        <x:v>terrain load</x:v>
      </x:c>
      <x:c r="E1527" t="n">
        <x:f>IF('Terrain Field'!K596&lt;&gt;"",1,0)</x:f>
        <x:v>0</x:v>
      </x:c>
      <x:c r="F1527" t="n">
        <x:v>1</x:v>
      </x:c>
      <x:c r="G1527" t="str">
        <x:v>equals</x:v>
      </x:c>
      <x:c r="H1527" t="str">
        <x:v>independent physical acceptance</x:v>
      </x:c>
      <x:c r="I1527" t="str">
        <x:f>IF(E1527=1,"PASS","OPEN")</x:f>
        <x:v>OPEN</x:v>
      </x:c>
    </x:row>
    <x:row r="1528">
      <x:c r="B1528" t="str">
        <x:v>PH-TG-591-G</x:v>
      </x:c>
      <x:c r="C1528" t="str">
        <x:v>PHYSICAL</x:v>
      </x:c>
      <x:c r="D1528" t="str">
        <x:v>terrain geometry</x:v>
      </x:c>
      <x:c r="E1528" t="n">
        <x:f>IF('Terrain Field'!J597&lt;&gt;"",1,0)</x:f>
        <x:v>0</x:v>
      </x:c>
      <x:c r="F1528" t="n">
        <x:v>1</x:v>
      </x:c>
      <x:c r="G1528" t="str">
        <x:v>equals</x:v>
      </x:c>
      <x:c r="H1528" t="str">
        <x:v>independent physical acceptance</x:v>
      </x:c>
      <x:c r="I1528" t="str">
        <x:f>IF(E1528=1,"PASS","OPEN")</x:f>
        <x:v>OPEN</x:v>
      </x:c>
    </x:row>
    <x:row r="1529">
      <x:c r="B1529" t="str">
        <x:v>PH-TG-591-L</x:v>
      </x:c>
      <x:c r="C1529" t="str">
        <x:v>PHYSICAL</x:v>
      </x:c>
      <x:c r="D1529" t="str">
        <x:v>terrain load</x:v>
      </x:c>
      <x:c r="E1529" t="n">
        <x:f>IF('Terrain Field'!K597&lt;&gt;"",1,0)</x:f>
        <x:v>0</x:v>
      </x:c>
      <x:c r="F1529" t="n">
        <x:v>1</x:v>
      </x:c>
      <x:c r="G1529" t="str">
        <x:v>equals</x:v>
      </x:c>
      <x:c r="H1529" t="str">
        <x:v>independent physical acceptance</x:v>
      </x:c>
      <x:c r="I1529" t="str">
        <x:f>IF(E1529=1,"PASS","OPEN")</x:f>
        <x:v>OPEN</x:v>
      </x:c>
    </x:row>
    <x:row r="1530">
      <x:c r="B1530" t="str">
        <x:v>PH-TG-592-G</x:v>
      </x:c>
      <x:c r="C1530" t="str">
        <x:v>PHYSICAL</x:v>
      </x:c>
      <x:c r="D1530" t="str">
        <x:v>terrain geometry</x:v>
      </x:c>
      <x:c r="E1530" t="n">
        <x:f>IF('Terrain Field'!J598&lt;&gt;"",1,0)</x:f>
        <x:v>0</x:v>
      </x:c>
      <x:c r="F1530" t="n">
        <x:v>1</x:v>
      </x:c>
      <x:c r="G1530" t="str">
        <x:v>equals</x:v>
      </x:c>
      <x:c r="H1530" t="str">
        <x:v>independent physical acceptance</x:v>
      </x:c>
      <x:c r="I1530" t="str">
        <x:f>IF(E1530=1,"PASS","OPEN")</x:f>
        <x:v>OPEN</x:v>
      </x:c>
    </x:row>
    <x:row r="1531">
      <x:c r="B1531" t="str">
        <x:v>PH-TG-592-L</x:v>
      </x:c>
      <x:c r="C1531" t="str">
        <x:v>PHYSICAL</x:v>
      </x:c>
      <x:c r="D1531" t="str">
        <x:v>terrain load</x:v>
      </x:c>
      <x:c r="E1531" t="n">
        <x:f>IF('Terrain Field'!K598&lt;&gt;"",1,0)</x:f>
        <x:v>0</x:v>
      </x:c>
      <x:c r="F1531" t="n">
        <x:v>1</x:v>
      </x:c>
      <x:c r="G1531" t="str">
        <x:v>equals</x:v>
      </x:c>
      <x:c r="H1531" t="str">
        <x:v>independent physical acceptance</x:v>
      </x:c>
      <x:c r="I1531" t="str">
        <x:f>IF(E1531=1,"PASS","OPEN")</x:f>
        <x:v>OPEN</x:v>
      </x:c>
    </x:row>
    <x:row r="1532">
      <x:c r="B1532" t="str">
        <x:v>PH-TG-593-G</x:v>
      </x:c>
      <x:c r="C1532" t="str">
        <x:v>PHYSICAL</x:v>
      </x:c>
      <x:c r="D1532" t="str">
        <x:v>terrain geometry</x:v>
      </x:c>
      <x:c r="E1532" t="n">
        <x:f>IF('Terrain Field'!J599&lt;&gt;"",1,0)</x:f>
        <x:v>0</x:v>
      </x:c>
      <x:c r="F1532" t="n">
        <x:v>1</x:v>
      </x:c>
      <x:c r="G1532" t="str">
        <x:v>equals</x:v>
      </x:c>
      <x:c r="H1532" t="str">
        <x:v>independent physical acceptance</x:v>
      </x:c>
      <x:c r="I1532" t="str">
        <x:f>IF(E1532=1,"PASS","OPEN")</x:f>
        <x:v>OPEN</x:v>
      </x:c>
    </x:row>
    <x:row r="1533">
      <x:c r="B1533" t="str">
        <x:v>PH-TG-593-L</x:v>
      </x:c>
      <x:c r="C1533" t="str">
        <x:v>PHYSICAL</x:v>
      </x:c>
      <x:c r="D1533" t="str">
        <x:v>terrain load</x:v>
      </x:c>
      <x:c r="E1533" t="n">
        <x:f>IF('Terrain Field'!K599&lt;&gt;"",1,0)</x:f>
        <x:v>0</x:v>
      </x:c>
      <x:c r="F1533" t="n">
        <x:v>1</x:v>
      </x:c>
      <x:c r="G1533" t="str">
        <x:v>equals</x:v>
      </x:c>
      <x:c r="H1533" t="str">
        <x:v>independent physical acceptance</x:v>
      </x:c>
      <x:c r="I1533" t="str">
        <x:f>IF(E1533=1,"PASS","OPEN")</x:f>
        <x:v>OPEN</x:v>
      </x:c>
    </x:row>
    <x:row r="1534">
      <x:c r="B1534" t="str">
        <x:v>PH-TG-594-G</x:v>
      </x:c>
      <x:c r="C1534" t="str">
        <x:v>PHYSICAL</x:v>
      </x:c>
      <x:c r="D1534" t="str">
        <x:v>terrain geometry</x:v>
      </x:c>
      <x:c r="E1534" t="n">
        <x:f>IF('Terrain Field'!J600&lt;&gt;"",1,0)</x:f>
        <x:v>0</x:v>
      </x:c>
      <x:c r="F1534" t="n">
        <x:v>1</x:v>
      </x:c>
      <x:c r="G1534" t="str">
        <x:v>equals</x:v>
      </x:c>
      <x:c r="H1534" t="str">
        <x:v>independent physical acceptance</x:v>
      </x:c>
      <x:c r="I1534" t="str">
        <x:f>IF(E1534=1,"PASS","OPEN")</x:f>
        <x:v>OPEN</x:v>
      </x:c>
    </x:row>
    <x:row r="1535">
      <x:c r="B1535" t="str">
        <x:v>PH-TG-594-L</x:v>
      </x:c>
      <x:c r="C1535" t="str">
        <x:v>PHYSICAL</x:v>
      </x:c>
      <x:c r="D1535" t="str">
        <x:v>terrain load</x:v>
      </x:c>
      <x:c r="E1535" t="n">
        <x:f>IF('Terrain Field'!K600&lt;&gt;"",1,0)</x:f>
        <x:v>0</x:v>
      </x:c>
      <x:c r="F1535" t="n">
        <x:v>1</x:v>
      </x:c>
      <x:c r="G1535" t="str">
        <x:v>equals</x:v>
      </x:c>
      <x:c r="H1535" t="str">
        <x:v>independent physical acceptance</x:v>
      </x:c>
      <x:c r="I1535" t="str">
        <x:f>IF(E1535=1,"PASS","OPEN")</x:f>
        <x:v>OPEN</x:v>
      </x:c>
    </x:row>
    <x:row r="1536">
      <x:c r="B1536" t="str">
        <x:v>PH-TG-595-G</x:v>
      </x:c>
      <x:c r="C1536" t="str">
        <x:v>PHYSICAL</x:v>
      </x:c>
      <x:c r="D1536" t="str">
        <x:v>terrain geometry</x:v>
      </x:c>
      <x:c r="E1536" t="n">
        <x:f>IF('Terrain Field'!J601&lt;&gt;"",1,0)</x:f>
        <x:v>0</x:v>
      </x:c>
      <x:c r="F1536" t="n">
        <x:v>1</x:v>
      </x:c>
      <x:c r="G1536" t="str">
        <x:v>equals</x:v>
      </x:c>
      <x:c r="H1536" t="str">
        <x:v>independent physical acceptance</x:v>
      </x:c>
      <x:c r="I1536" t="str">
        <x:f>IF(E1536=1,"PASS","OPEN")</x:f>
        <x:v>OPEN</x:v>
      </x:c>
    </x:row>
    <x:row r="1537">
      <x:c r="B1537" t="str">
        <x:v>PH-TG-595-L</x:v>
      </x:c>
      <x:c r="C1537" t="str">
        <x:v>PHYSICAL</x:v>
      </x:c>
      <x:c r="D1537" t="str">
        <x:v>terrain load</x:v>
      </x:c>
      <x:c r="E1537" t="n">
        <x:f>IF('Terrain Field'!K601&lt;&gt;"",1,0)</x:f>
        <x:v>0</x:v>
      </x:c>
      <x:c r="F1537" t="n">
        <x:v>1</x:v>
      </x:c>
      <x:c r="G1537" t="str">
        <x:v>equals</x:v>
      </x:c>
      <x:c r="H1537" t="str">
        <x:v>independent physical acceptance</x:v>
      </x:c>
      <x:c r="I1537" t="str">
        <x:f>IF(E1537=1,"PASS","OPEN")</x:f>
        <x:v>OPEN</x:v>
      </x:c>
    </x:row>
    <x:row r="1538">
      <x:c r="B1538" t="str">
        <x:v>PH-TG-596-G</x:v>
      </x:c>
      <x:c r="C1538" t="str">
        <x:v>PHYSICAL</x:v>
      </x:c>
      <x:c r="D1538" t="str">
        <x:v>terrain geometry</x:v>
      </x:c>
      <x:c r="E1538" t="n">
        <x:f>IF('Terrain Field'!J602&lt;&gt;"",1,0)</x:f>
        <x:v>0</x:v>
      </x:c>
      <x:c r="F1538" t="n">
        <x:v>1</x:v>
      </x:c>
      <x:c r="G1538" t="str">
        <x:v>equals</x:v>
      </x:c>
      <x:c r="H1538" t="str">
        <x:v>independent physical acceptance</x:v>
      </x:c>
      <x:c r="I1538" t="str">
        <x:f>IF(E1538=1,"PASS","OPEN")</x:f>
        <x:v>OPEN</x:v>
      </x:c>
    </x:row>
    <x:row r="1539">
      <x:c r="B1539" t="str">
        <x:v>PH-TG-596-L</x:v>
      </x:c>
      <x:c r="C1539" t="str">
        <x:v>PHYSICAL</x:v>
      </x:c>
      <x:c r="D1539" t="str">
        <x:v>terrain load</x:v>
      </x:c>
      <x:c r="E1539" t="n">
        <x:f>IF('Terrain Field'!K602&lt;&gt;"",1,0)</x:f>
        <x:v>0</x:v>
      </x:c>
      <x:c r="F1539" t="n">
        <x:v>1</x:v>
      </x:c>
      <x:c r="G1539" t="str">
        <x:v>equals</x:v>
      </x:c>
      <x:c r="H1539" t="str">
        <x:v>independent physical acceptance</x:v>
      </x:c>
      <x:c r="I1539" t="str">
        <x:f>IF(E1539=1,"PASS","OPEN")</x:f>
        <x:v>OPEN</x:v>
      </x:c>
    </x:row>
    <x:row r="1540">
      <x:c r="B1540" t="str">
        <x:v>PH-TG-597-G</x:v>
      </x:c>
      <x:c r="C1540" t="str">
        <x:v>PHYSICAL</x:v>
      </x:c>
      <x:c r="D1540" t="str">
        <x:v>terrain geometry</x:v>
      </x:c>
      <x:c r="E1540" t="n">
        <x:f>IF('Terrain Field'!J603&lt;&gt;"",1,0)</x:f>
        <x:v>0</x:v>
      </x:c>
      <x:c r="F1540" t="n">
        <x:v>1</x:v>
      </x:c>
      <x:c r="G1540" t="str">
        <x:v>equals</x:v>
      </x:c>
      <x:c r="H1540" t="str">
        <x:v>independent physical acceptance</x:v>
      </x:c>
      <x:c r="I1540" t="str">
        <x:f>IF(E1540=1,"PASS","OPEN")</x:f>
        <x:v>OPEN</x:v>
      </x:c>
    </x:row>
    <x:row r="1541">
      <x:c r="B1541" t="str">
        <x:v>PH-TG-597-L</x:v>
      </x:c>
      <x:c r="C1541" t="str">
        <x:v>PHYSICAL</x:v>
      </x:c>
      <x:c r="D1541" t="str">
        <x:v>terrain load</x:v>
      </x:c>
      <x:c r="E1541" t="n">
        <x:f>IF('Terrain Field'!K603&lt;&gt;"",1,0)</x:f>
        <x:v>0</x:v>
      </x:c>
      <x:c r="F1541" t="n">
        <x:v>1</x:v>
      </x:c>
      <x:c r="G1541" t="str">
        <x:v>equals</x:v>
      </x:c>
      <x:c r="H1541" t="str">
        <x:v>independent physical acceptance</x:v>
      </x:c>
      <x:c r="I1541" t="str">
        <x:f>IF(E1541=1,"PASS","OPEN")</x:f>
        <x:v>OPEN</x:v>
      </x:c>
    </x:row>
    <x:row r="1542">
      <x:c r="B1542" t="str">
        <x:v>PH-TG-598-G</x:v>
      </x:c>
      <x:c r="C1542" t="str">
        <x:v>PHYSICAL</x:v>
      </x:c>
      <x:c r="D1542" t="str">
        <x:v>terrain geometry</x:v>
      </x:c>
      <x:c r="E1542" t="n">
        <x:f>IF('Terrain Field'!J604&lt;&gt;"",1,0)</x:f>
        <x:v>0</x:v>
      </x:c>
      <x:c r="F1542" t="n">
        <x:v>1</x:v>
      </x:c>
      <x:c r="G1542" t="str">
        <x:v>equals</x:v>
      </x:c>
      <x:c r="H1542" t="str">
        <x:v>independent physical acceptance</x:v>
      </x:c>
      <x:c r="I1542" t="str">
        <x:f>IF(E1542=1,"PASS","OPEN")</x:f>
        <x:v>OPEN</x:v>
      </x:c>
    </x:row>
    <x:row r="1543">
      <x:c r="B1543" t="str">
        <x:v>PH-TG-598-L</x:v>
      </x:c>
      <x:c r="C1543" t="str">
        <x:v>PHYSICAL</x:v>
      </x:c>
      <x:c r="D1543" t="str">
        <x:v>terrain load</x:v>
      </x:c>
      <x:c r="E1543" t="n">
        <x:f>IF('Terrain Field'!K604&lt;&gt;"",1,0)</x:f>
        <x:v>0</x:v>
      </x:c>
      <x:c r="F1543" t="n">
        <x:v>1</x:v>
      </x:c>
      <x:c r="G1543" t="str">
        <x:v>equals</x:v>
      </x:c>
      <x:c r="H1543" t="str">
        <x:v>independent physical acceptance</x:v>
      </x:c>
      <x:c r="I1543" t="str">
        <x:f>IF(E1543=1,"PASS","OPEN")</x:f>
        <x:v>OPEN</x:v>
      </x:c>
    </x:row>
    <x:row r="1544">
      <x:c r="B1544" t="str">
        <x:v>PH-TG-599-G</x:v>
      </x:c>
      <x:c r="C1544" t="str">
        <x:v>PHYSICAL</x:v>
      </x:c>
      <x:c r="D1544" t="str">
        <x:v>terrain geometry</x:v>
      </x:c>
      <x:c r="E1544" t="n">
        <x:f>IF('Terrain Field'!J605&lt;&gt;"",1,0)</x:f>
        <x:v>0</x:v>
      </x:c>
      <x:c r="F1544" t="n">
        <x:v>1</x:v>
      </x:c>
      <x:c r="G1544" t="str">
        <x:v>equals</x:v>
      </x:c>
      <x:c r="H1544" t="str">
        <x:v>independent physical acceptance</x:v>
      </x:c>
      <x:c r="I1544" t="str">
        <x:f>IF(E1544=1,"PASS","OPEN")</x:f>
        <x:v>OPEN</x:v>
      </x:c>
    </x:row>
    <x:row r="1545">
      <x:c r="B1545" t="str">
        <x:v>PH-TG-599-L</x:v>
      </x:c>
      <x:c r="C1545" t="str">
        <x:v>PHYSICAL</x:v>
      </x:c>
      <x:c r="D1545" t="str">
        <x:v>terrain load</x:v>
      </x:c>
      <x:c r="E1545" t="n">
        <x:f>IF('Terrain Field'!K605&lt;&gt;"",1,0)</x:f>
        <x:v>0</x:v>
      </x:c>
      <x:c r="F1545" t="n">
        <x:v>1</x:v>
      </x:c>
      <x:c r="G1545" t="str">
        <x:v>equals</x:v>
      </x:c>
      <x:c r="H1545" t="str">
        <x:v>independent physical acceptance</x:v>
      </x:c>
      <x:c r="I1545" t="str">
        <x:f>IF(E1545=1,"PASS","OPEN")</x:f>
        <x:v>OPEN</x:v>
      </x:c>
    </x:row>
    <x:row r="1546">
      <x:c r="B1546" t="str">
        <x:v>PH-TG-600-G</x:v>
      </x:c>
      <x:c r="C1546" t="str">
        <x:v>PHYSICAL</x:v>
      </x:c>
      <x:c r="D1546" t="str">
        <x:v>terrain geometry</x:v>
      </x:c>
      <x:c r="E1546" t="n">
        <x:f>IF('Terrain Field'!J606&lt;&gt;"",1,0)</x:f>
        <x:v>0</x:v>
      </x:c>
      <x:c r="F1546" t="n">
        <x:v>1</x:v>
      </x:c>
      <x:c r="G1546" t="str">
        <x:v>equals</x:v>
      </x:c>
      <x:c r="H1546" t="str">
        <x:v>independent physical acceptance</x:v>
      </x:c>
      <x:c r="I1546" t="str">
        <x:f>IF(E1546=1,"PASS","OPEN")</x:f>
        <x:v>OPEN</x:v>
      </x:c>
    </x:row>
    <x:row r="1547">
      <x:c r="B1547" t="str">
        <x:v>PH-TG-600-L</x:v>
      </x:c>
      <x:c r="C1547" t="str">
        <x:v>PHYSICAL</x:v>
      </x:c>
      <x:c r="D1547" t="str">
        <x:v>terrain load</x:v>
      </x:c>
      <x:c r="E1547" t="n">
        <x:f>IF('Terrain Field'!K606&lt;&gt;"",1,0)</x:f>
        <x:v>0</x:v>
      </x:c>
      <x:c r="F1547" t="n">
        <x:v>1</x:v>
      </x:c>
      <x:c r="G1547" t="str">
        <x:v>equals</x:v>
      </x:c>
      <x:c r="H1547" t="str">
        <x:v>independent physical acceptance</x:v>
      </x:c>
      <x:c r="I1547" t="str">
        <x:f>IF(E1547=1,"PASS","OPEN")</x:f>
        <x:v>OPEN</x:v>
      </x:c>
    </x:row>
    <x:row r="1548">
      <x:c r="B1548" t="str">
        <x:v>PH-TG-601-G</x:v>
      </x:c>
      <x:c r="C1548" t="str">
        <x:v>PHYSICAL</x:v>
      </x:c>
      <x:c r="D1548" t="str">
        <x:v>terrain geometry</x:v>
      </x:c>
      <x:c r="E1548" t="n">
        <x:f>IF('Terrain Field'!J607&lt;&gt;"",1,0)</x:f>
        <x:v>0</x:v>
      </x:c>
      <x:c r="F1548" t="n">
        <x:v>1</x:v>
      </x:c>
      <x:c r="G1548" t="str">
        <x:v>equals</x:v>
      </x:c>
      <x:c r="H1548" t="str">
        <x:v>independent physical acceptance</x:v>
      </x:c>
      <x:c r="I1548" t="str">
        <x:f>IF(E1548=1,"PASS","OPEN")</x:f>
        <x:v>OPEN</x:v>
      </x:c>
    </x:row>
    <x:row r="1549">
      <x:c r="B1549" t="str">
        <x:v>PH-TG-601-L</x:v>
      </x:c>
      <x:c r="C1549" t="str">
        <x:v>PHYSICAL</x:v>
      </x:c>
      <x:c r="D1549" t="str">
        <x:v>terrain load</x:v>
      </x:c>
      <x:c r="E1549" t="n">
        <x:f>IF('Terrain Field'!K607&lt;&gt;"",1,0)</x:f>
        <x:v>0</x:v>
      </x:c>
      <x:c r="F1549" t="n">
        <x:v>1</x:v>
      </x:c>
      <x:c r="G1549" t="str">
        <x:v>equals</x:v>
      </x:c>
      <x:c r="H1549" t="str">
        <x:v>independent physical acceptance</x:v>
      </x:c>
      <x:c r="I1549" t="str">
        <x:f>IF(E1549=1,"PASS","OPEN")</x:f>
        <x:v>OPEN</x:v>
      </x:c>
    </x:row>
    <x:row r="1550">
      <x:c r="B1550" t="str">
        <x:v>PH-TG-602-G</x:v>
      </x:c>
      <x:c r="C1550" t="str">
        <x:v>PHYSICAL</x:v>
      </x:c>
      <x:c r="D1550" t="str">
        <x:v>terrain geometry</x:v>
      </x:c>
      <x:c r="E1550" t="n">
        <x:f>IF('Terrain Field'!J608&lt;&gt;"",1,0)</x:f>
        <x:v>0</x:v>
      </x:c>
      <x:c r="F1550" t="n">
        <x:v>1</x:v>
      </x:c>
      <x:c r="G1550" t="str">
        <x:v>equals</x:v>
      </x:c>
      <x:c r="H1550" t="str">
        <x:v>independent physical acceptance</x:v>
      </x:c>
      <x:c r="I1550" t="str">
        <x:f>IF(E1550=1,"PASS","OPEN")</x:f>
        <x:v>OPEN</x:v>
      </x:c>
    </x:row>
    <x:row r="1551">
      <x:c r="B1551" t="str">
        <x:v>PH-TG-602-L</x:v>
      </x:c>
      <x:c r="C1551" t="str">
        <x:v>PHYSICAL</x:v>
      </x:c>
      <x:c r="D1551" t="str">
        <x:v>terrain load</x:v>
      </x:c>
      <x:c r="E1551" t="n">
        <x:f>IF('Terrain Field'!K608&lt;&gt;"",1,0)</x:f>
        <x:v>0</x:v>
      </x:c>
      <x:c r="F1551" t="n">
        <x:v>1</x:v>
      </x:c>
      <x:c r="G1551" t="str">
        <x:v>equals</x:v>
      </x:c>
      <x:c r="H1551" t="str">
        <x:v>independent physical acceptance</x:v>
      </x:c>
      <x:c r="I1551" t="str">
        <x:f>IF(E1551=1,"PASS","OPEN")</x:f>
        <x:v>OPEN</x:v>
      </x:c>
    </x:row>
    <x:row r="1552">
      <x:c r="B1552" t="str">
        <x:v>PH-TG-603-G</x:v>
      </x:c>
      <x:c r="C1552" t="str">
        <x:v>PHYSICAL</x:v>
      </x:c>
      <x:c r="D1552" t="str">
        <x:v>terrain geometry</x:v>
      </x:c>
      <x:c r="E1552" t="n">
        <x:f>IF('Terrain Field'!J609&lt;&gt;"",1,0)</x:f>
        <x:v>0</x:v>
      </x:c>
      <x:c r="F1552" t="n">
        <x:v>1</x:v>
      </x:c>
      <x:c r="G1552" t="str">
        <x:v>equals</x:v>
      </x:c>
      <x:c r="H1552" t="str">
        <x:v>independent physical acceptance</x:v>
      </x:c>
      <x:c r="I1552" t="str">
        <x:f>IF(E1552=1,"PASS","OPEN")</x:f>
        <x:v>OPEN</x:v>
      </x:c>
    </x:row>
    <x:row r="1553">
      <x:c r="B1553" t="str">
        <x:v>PH-TG-603-L</x:v>
      </x:c>
      <x:c r="C1553" t="str">
        <x:v>PHYSICAL</x:v>
      </x:c>
      <x:c r="D1553" t="str">
        <x:v>terrain load</x:v>
      </x:c>
      <x:c r="E1553" t="n">
        <x:f>IF('Terrain Field'!K609&lt;&gt;"",1,0)</x:f>
        <x:v>0</x:v>
      </x:c>
      <x:c r="F1553" t="n">
        <x:v>1</x:v>
      </x:c>
      <x:c r="G1553" t="str">
        <x:v>equals</x:v>
      </x:c>
      <x:c r="H1553" t="str">
        <x:v>independent physical acceptance</x:v>
      </x:c>
      <x:c r="I1553" t="str">
        <x:f>IF(E1553=1,"PASS","OPEN")</x:f>
        <x:v>OPEN</x:v>
      </x:c>
    </x:row>
    <x:row r="1554">
      <x:c r="B1554" t="str">
        <x:v>PH-TG-604-G</x:v>
      </x:c>
      <x:c r="C1554" t="str">
        <x:v>PHYSICAL</x:v>
      </x:c>
      <x:c r="D1554" t="str">
        <x:v>terrain geometry</x:v>
      </x:c>
      <x:c r="E1554" t="n">
        <x:f>IF('Terrain Field'!J610&lt;&gt;"",1,0)</x:f>
        <x:v>0</x:v>
      </x:c>
      <x:c r="F1554" t="n">
        <x:v>1</x:v>
      </x:c>
      <x:c r="G1554" t="str">
        <x:v>equals</x:v>
      </x:c>
      <x:c r="H1554" t="str">
        <x:v>independent physical acceptance</x:v>
      </x:c>
      <x:c r="I1554" t="str">
        <x:f>IF(E1554=1,"PASS","OPEN")</x:f>
        <x:v>OPEN</x:v>
      </x:c>
    </x:row>
    <x:row r="1555">
      <x:c r="B1555" t="str">
        <x:v>PH-TG-604-L</x:v>
      </x:c>
      <x:c r="C1555" t="str">
        <x:v>PHYSICAL</x:v>
      </x:c>
      <x:c r="D1555" t="str">
        <x:v>terrain load</x:v>
      </x:c>
      <x:c r="E1555" t="n">
        <x:f>IF('Terrain Field'!K610&lt;&gt;"",1,0)</x:f>
        <x:v>0</x:v>
      </x:c>
      <x:c r="F1555" t="n">
        <x:v>1</x:v>
      </x:c>
      <x:c r="G1555" t="str">
        <x:v>equals</x:v>
      </x:c>
      <x:c r="H1555" t="str">
        <x:v>independent physical acceptance</x:v>
      </x:c>
      <x:c r="I1555" t="str">
        <x:f>IF(E1555=1,"PASS","OPEN")</x:f>
        <x:v>OPEN</x:v>
      </x:c>
    </x:row>
    <x:row r="1556">
      <x:c r="B1556" t="str">
        <x:v>PH-TG-605-G</x:v>
      </x:c>
      <x:c r="C1556" t="str">
        <x:v>PHYSICAL</x:v>
      </x:c>
      <x:c r="D1556" t="str">
        <x:v>terrain geometry</x:v>
      </x:c>
      <x:c r="E1556" t="n">
        <x:f>IF('Terrain Field'!J611&lt;&gt;"",1,0)</x:f>
        <x:v>0</x:v>
      </x:c>
      <x:c r="F1556" t="n">
        <x:v>1</x:v>
      </x:c>
      <x:c r="G1556" t="str">
        <x:v>equals</x:v>
      </x:c>
      <x:c r="H1556" t="str">
        <x:v>independent physical acceptance</x:v>
      </x:c>
      <x:c r="I1556" t="str">
        <x:f>IF(E1556=1,"PASS","OPEN")</x:f>
        <x:v>OPEN</x:v>
      </x:c>
    </x:row>
    <x:row r="1557">
      <x:c r="B1557" t="str">
        <x:v>PH-TG-605-L</x:v>
      </x:c>
      <x:c r="C1557" t="str">
        <x:v>PHYSICAL</x:v>
      </x:c>
      <x:c r="D1557" t="str">
        <x:v>terrain load</x:v>
      </x:c>
      <x:c r="E1557" t="n">
        <x:f>IF('Terrain Field'!K611&lt;&gt;"",1,0)</x:f>
        <x:v>0</x:v>
      </x:c>
      <x:c r="F1557" t="n">
        <x:v>1</x:v>
      </x:c>
      <x:c r="G1557" t="str">
        <x:v>equals</x:v>
      </x:c>
      <x:c r="H1557" t="str">
        <x:v>independent physical acceptance</x:v>
      </x:c>
      <x:c r="I1557" t="str">
        <x:f>IF(E1557=1,"PASS","OPEN")</x:f>
        <x:v>OPEN</x:v>
      </x:c>
    </x:row>
    <x:row r="1558">
      <x:c r="B1558" t="str">
        <x:v>PH-TG-606-G</x:v>
      </x:c>
      <x:c r="C1558" t="str">
        <x:v>PHYSICAL</x:v>
      </x:c>
      <x:c r="D1558" t="str">
        <x:v>terrain geometry</x:v>
      </x:c>
      <x:c r="E1558" t="n">
        <x:f>IF('Terrain Field'!J612&lt;&gt;"",1,0)</x:f>
        <x:v>0</x:v>
      </x:c>
      <x:c r="F1558" t="n">
        <x:v>1</x:v>
      </x:c>
      <x:c r="G1558" t="str">
        <x:v>equals</x:v>
      </x:c>
      <x:c r="H1558" t="str">
        <x:v>independent physical acceptance</x:v>
      </x:c>
      <x:c r="I1558" t="str">
        <x:f>IF(E1558=1,"PASS","OPEN")</x:f>
        <x:v>OPEN</x:v>
      </x:c>
    </x:row>
    <x:row r="1559">
      <x:c r="B1559" t="str">
        <x:v>PH-TG-606-L</x:v>
      </x:c>
      <x:c r="C1559" t="str">
        <x:v>PHYSICAL</x:v>
      </x:c>
      <x:c r="D1559" t="str">
        <x:v>terrain load</x:v>
      </x:c>
      <x:c r="E1559" t="n">
        <x:f>IF('Terrain Field'!K612&lt;&gt;"",1,0)</x:f>
        <x:v>0</x:v>
      </x:c>
      <x:c r="F1559" t="n">
        <x:v>1</x:v>
      </x:c>
      <x:c r="G1559" t="str">
        <x:v>equals</x:v>
      </x:c>
      <x:c r="H1559" t="str">
        <x:v>independent physical acceptance</x:v>
      </x:c>
      <x:c r="I1559" t="str">
        <x:f>IF(E1559=1,"PASS","OPEN")</x:f>
        <x:v>OPEN</x:v>
      </x:c>
    </x:row>
    <x:row r="1560">
      <x:c r="B1560" t="str">
        <x:v>PH-TG-607-G</x:v>
      </x:c>
      <x:c r="C1560" t="str">
        <x:v>PHYSICAL</x:v>
      </x:c>
      <x:c r="D1560" t="str">
        <x:v>terrain geometry</x:v>
      </x:c>
      <x:c r="E1560" t="n">
        <x:f>IF('Terrain Field'!J613&lt;&gt;"",1,0)</x:f>
        <x:v>0</x:v>
      </x:c>
      <x:c r="F1560" t="n">
        <x:v>1</x:v>
      </x:c>
      <x:c r="G1560" t="str">
        <x:v>equals</x:v>
      </x:c>
      <x:c r="H1560" t="str">
        <x:v>independent physical acceptance</x:v>
      </x:c>
      <x:c r="I1560" t="str">
        <x:f>IF(E1560=1,"PASS","OPEN")</x:f>
        <x:v>OPEN</x:v>
      </x:c>
    </x:row>
    <x:row r="1561">
      <x:c r="B1561" t="str">
        <x:v>PH-TG-607-L</x:v>
      </x:c>
      <x:c r="C1561" t="str">
        <x:v>PHYSICAL</x:v>
      </x:c>
      <x:c r="D1561" t="str">
        <x:v>terrain load</x:v>
      </x:c>
      <x:c r="E1561" t="n">
        <x:f>IF('Terrain Field'!K613&lt;&gt;"",1,0)</x:f>
        <x:v>0</x:v>
      </x:c>
      <x:c r="F1561" t="n">
        <x:v>1</x:v>
      </x:c>
      <x:c r="G1561" t="str">
        <x:v>equals</x:v>
      </x:c>
      <x:c r="H1561" t="str">
        <x:v>independent physical acceptance</x:v>
      </x:c>
      <x:c r="I1561" t="str">
        <x:f>IF(E1561=1,"PASS","OPEN")</x:f>
        <x:v>OPEN</x:v>
      </x:c>
    </x:row>
    <x:row r="1562">
      <x:c r="B1562" t="str">
        <x:v>PH-TG-608-G</x:v>
      </x:c>
      <x:c r="C1562" t="str">
        <x:v>PHYSICAL</x:v>
      </x:c>
      <x:c r="D1562" t="str">
        <x:v>terrain geometry</x:v>
      </x:c>
      <x:c r="E1562" t="n">
        <x:f>IF('Terrain Field'!J614&lt;&gt;"",1,0)</x:f>
        <x:v>0</x:v>
      </x:c>
      <x:c r="F1562" t="n">
        <x:v>1</x:v>
      </x:c>
      <x:c r="G1562" t="str">
        <x:v>equals</x:v>
      </x:c>
      <x:c r="H1562" t="str">
        <x:v>independent physical acceptance</x:v>
      </x:c>
      <x:c r="I1562" t="str">
        <x:f>IF(E1562=1,"PASS","OPEN")</x:f>
        <x:v>OPEN</x:v>
      </x:c>
    </x:row>
    <x:row r="1563">
      <x:c r="B1563" t="str">
        <x:v>PH-TG-608-L</x:v>
      </x:c>
      <x:c r="C1563" t="str">
        <x:v>PHYSICAL</x:v>
      </x:c>
      <x:c r="D1563" t="str">
        <x:v>terrain load</x:v>
      </x:c>
      <x:c r="E1563" t="n">
        <x:f>IF('Terrain Field'!K614&lt;&gt;"",1,0)</x:f>
        <x:v>0</x:v>
      </x:c>
      <x:c r="F1563" t="n">
        <x:v>1</x:v>
      </x:c>
      <x:c r="G1563" t="str">
        <x:v>equals</x:v>
      </x:c>
      <x:c r="H1563" t="str">
        <x:v>independent physical acceptance</x:v>
      </x:c>
      <x:c r="I1563" t="str">
        <x:f>IF(E1563=1,"PASS","OPEN")</x:f>
        <x:v>OPEN</x:v>
      </x:c>
    </x:row>
    <x:row r="1564">
      <x:c r="B1564" t="str">
        <x:v>PH-TG-609-G</x:v>
      </x:c>
      <x:c r="C1564" t="str">
        <x:v>PHYSICAL</x:v>
      </x:c>
      <x:c r="D1564" t="str">
        <x:v>terrain geometry</x:v>
      </x:c>
      <x:c r="E1564" t="n">
        <x:f>IF('Terrain Field'!J615&lt;&gt;"",1,0)</x:f>
        <x:v>0</x:v>
      </x:c>
      <x:c r="F1564" t="n">
        <x:v>1</x:v>
      </x:c>
      <x:c r="G1564" t="str">
        <x:v>equals</x:v>
      </x:c>
      <x:c r="H1564" t="str">
        <x:v>independent physical acceptance</x:v>
      </x:c>
      <x:c r="I1564" t="str">
        <x:f>IF(E1564=1,"PASS","OPEN")</x:f>
        <x:v>OPEN</x:v>
      </x:c>
    </x:row>
    <x:row r="1565">
      <x:c r="B1565" t="str">
        <x:v>PH-TG-609-L</x:v>
      </x:c>
      <x:c r="C1565" t="str">
        <x:v>PHYSICAL</x:v>
      </x:c>
      <x:c r="D1565" t="str">
        <x:v>terrain load</x:v>
      </x:c>
      <x:c r="E1565" t="n">
        <x:f>IF('Terrain Field'!K615&lt;&gt;"",1,0)</x:f>
        <x:v>0</x:v>
      </x:c>
      <x:c r="F1565" t="n">
        <x:v>1</x:v>
      </x:c>
      <x:c r="G1565" t="str">
        <x:v>equals</x:v>
      </x:c>
      <x:c r="H1565" t="str">
        <x:v>independent physical acceptance</x:v>
      </x:c>
      <x:c r="I1565" t="str">
        <x:f>IF(E1565=1,"PASS","OPEN")</x:f>
        <x:v>OPEN</x:v>
      </x:c>
    </x:row>
    <x:row r="1566">
      <x:c r="B1566" t="str">
        <x:v>PH-TG-610-G</x:v>
      </x:c>
      <x:c r="C1566" t="str">
        <x:v>PHYSICAL</x:v>
      </x:c>
      <x:c r="D1566" t="str">
        <x:v>terrain geometry</x:v>
      </x:c>
      <x:c r="E1566" t="n">
        <x:f>IF('Terrain Field'!J616&lt;&gt;"",1,0)</x:f>
        <x:v>0</x:v>
      </x:c>
      <x:c r="F1566" t="n">
        <x:v>1</x:v>
      </x:c>
      <x:c r="G1566" t="str">
        <x:v>equals</x:v>
      </x:c>
      <x:c r="H1566" t="str">
        <x:v>independent physical acceptance</x:v>
      </x:c>
      <x:c r="I1566" t="str">
        <x:f>IF(E1566=1,"PASS","OPEN")</x:f>
        <x:v>OPEN</x:v>
      </x:c>
    </x:row>
    <x:row r="1567">
      <x:c r="B1567" t="str">
        <x:v>PH-TG-610-L</x:v>
      </x:c>
      <x:c r="C1567" t="str">
        <x:v>PHYSICAL</x:v>
      </x:c>
      <x:c r="D1567" t="str">
        <x:v>terrain load</x:v>
      </x:c>
      <x:c r="E1567" t="n">
        <x:f>IF('Terrain Field'!K616&lt;&gt;"",1,0)</x:f>
        <x:v>0</x:v>
      </x:c>
      <x:c r="F1567" t="n">
        <x:v>1</x:v>
      </x:c>
      <x:c r="G1567" t="str">
        <x:v>equals</x:v>
      </x:c>
      <x:c r="H1567" t="str">
        <x:v>independent physical acceptance</x:v>
      </x:c>
      <x:c r="I1567" t="str">
        <x:f>IF(E1567=1,"PASS","OPEN")</x:f>
        <x:v>OPEN</x:v>
      </x:c>
    </x:row>
    <x:row r="1568">
      <x:c r="B1568" t="str">
        <x:v>PH-TG-611-G</x:v>
      </x:c>
      <x:c r="C1568" t="str">
        <x:v>PHYSICAL</x:v>
      </x:c>
      <x:c r="D1568" t="str">
        <x:v>terrain geometry</x:v>
      </x:c>
      <x:c r="E1568" t="n">
        <x:f>IF('Terrain Field'!J617&lt;&gt;"",1,0)</x:f>
        <x:v>0</x:v>
      </x:c>
      <x:c r="F1568" t="n">
        <x:v>1</x:v>
      </x:c>
      <x:c r="G1568" t="str">
        <x:v>equals</x:v>
      </x:c>
      <x:c r="H1568" t="str">
        <x:v>independent physical acceptance</x:v>
      </x:c>
      <x:c r="I1568" t="str">
        <x:f>IF(E1568=1,"PASS","OPEN")</x:f>
        <x:v>OPEN</x:v>
      </x:c>
    </x:row>
    <x:row r="1569">
      <x:c r="B1569" t="str">
        <x:v>PH-TG-611-L</x:v>
      </x:c>
      <x:c r="C1569" t="str">
        <x:v>PHYSICAL</x:v>
      </x:c>
      <x:c r="D1569" t="str">
        <x:v>terrain load</x:v>
      </x:c>
      <x:c r="E1569" t="n">
        <x:f>IF('Terrain Field'!K617&lt;&gt;"",1,0)</x:f>
        <x:v>0</x:v>
      </x:c>
      <x:c r="F1569" t="n">
        <x:v>1</x:v>
      </x:c>
      <x:c r="G1569" t="str">
        <x:v>equals</x:v>
      </x:c>
      <x:c r="H1569" t="str">
        <x:v>independent physical acceptance</x:v>
      </x:c>
      <x:c r="I1569" t="str">
        <x:f>IF(E1569=1,"PASS","OPEN")</x:f>
        <x:v>OPEN</x:v>
      </x:c>
    </x:row>
    <x:row r="1570">
      <x:c r="B1570" t="str">
        <x:v>PH-TG-612-G</x:v>
      </x:c>
      <x:c r="C1570" t="str">
        <x:v>PHYSICAL</x:v>
      </x:c>
      <x:c r="D1570" t="str">
        <x:v>terrain geometry</x:v>
      </x:c>
      <x:c r="E1570" t="n">
        <x:f>IF('Terrain Field'!J618&lt;&gt;"",1,0)</x:f>
        <x:v>0</x:v>
      </x:c>
      <x:c r="F1570" t="n">
        <x:v>1</x:v>
      </x:c>
      <x:c r="G1570" t="str">
        <x:v>equals</x:v>
      </x:c>
      <x:c r="H1570" t="str">
        <x:v>independent physical acceptance</x:v>
      </x:c>
      <x:c r="I1570" t="str">
        <x:f>IF(E1570=1,"PASS","OPEN")</x:f>
        <x:v>OPEN</x:v>
      </x:c>
    </x:row>
    <x:row r="1571">
      <x:c r="B1571" t="str">
        <x:v>PH-TG-612-L</x:v>
      </x:c>
      <x:c r="C1571" t="str">
        <x:v>PHYSICAL</x:v>
      </x:c>
      <x:c r="D1571" t="str">
        <x:v>terrain load</x:v>
      </x:c>
      <x:c r="E1571" t="n">
        <x:f>IF('Terrain Field'!K618&lt;&gt;"",1,0)</x:f>
        <x:v>0</x:v>
      </x:c>
      <x:c r="F1571" t="n">
        <x:v>1</x:v>
      </x:c>
      <x:c r="G1571" t="str">
        <x:v>equals</x:v>
      </x:c>
      <x:c r="H1571" t="str">
        <x:v>independent physical acceptance</x:v>
      </x:c>
      <x:c r="I1571" t="str">
        <x:f>IF(E1571=1,"PASS","OPEN")</x:f>
        <x:v>OPEN</x:v>
      </x:c>
    </x:row>
    <x:row r="1572">
      <x:c r="B1572" t="str">
        <x:v>PH-TG-613-G</x:v>
      </x:c>
      <x:c r="C1572" t="str">
        <x:v>PHYSICAL</x:v>
      </x:c>
      <x:c r="D1572" t="str">
        <x:v>terrain geometry</x:v>
      </x:c>
      <x:c r="E1572" t="n">
        <x:f>IF('Terrain Field'!J619&lt;&gt;"",1,0)</x:f>
        <x:v>0</x:v>
      </x:c>
      <x:c r="F1572" t="n">
        <x:v>1</x:v>
      </x:c>
      <x:c r="G1572" t="str">
        <x:v>equals</x:v>
      </x:c>
      <x:c r="H1572" t="str">
        <x:v>independent physical acceptance</x:v>
      </x:c>
      <x:c r="I1572" t="str">
        <x:f>IF(E1572=1,"PASS","OPEN")</x:f>
        <x:v>OPEN</x:v>
      </x:c>
    </x:row>
    <x:row r="1573">
      <x:c r="B1573" t="str">
        <x:v>PH-TG-613-L</x:v>
      </x:c>
      <x:c r="C1573" t="str">
        <x:v>PHYSICAL</x:v>
      </x:c>
      <x:c r="D1573" t="str">
        <x:v>terrain load</x:v>
      </x:c>
      <x:c r="E1573" t="n">
        <x:f>IF('Terrain Field'!K619&lt;&gt;"",1,0)</x:f>
        <x:v>0</x:v>
      </x:c>
      <x:c r="F1573" t="n">
        <x:v>1</x:v>
      </x:c>
      <x:c r="G1573" t="str">
        <x:v>equals</x:v>
      </x:c>
      <x:c r="H1573" t="str">
        <x:v>independent physical acceptance</x:v>
      </x:c>
      <x:c r="I1573" t="str">
        <x:f>IF(E1573=1,"PASS","OPEN")</x:f>
        <x:v>OPEN</x:v>
      </x:c>
    </x:row>
    <x:row r="1574">
      <x:c r="B1574" t="str">
        <x:v>PH-TG-614-G</x:v>
      </x:c>
      <x:c r="C1574" t="str">
        <x:v>PHYSICAL</x:v>
      </x:c>
      <x:c r="D1574" t="str">
        <x:v>terrain geometry</x:v>
      </x:c>
      <x:c r="E1574" t="n">
        <x:f>IF('Terrain Field'!J620&lt;&gt;"",1,0)</x:f>
        <x:v>0</x:v>
      </x:c>
      <x:c r="F1574" t="n">
        <x:v>1</x:v>
      </x:c>
      <x:c r="G1574" t="str">
        <x:v>equals</x:v>
      </x:c>
      <x:c r="H1574" t="str">
        <x:v>independent physical acceptance</x:v>
      </x:c>
      <x:c r="I1574" t="str">
        <x:f>IF(E1574=1,"PASS","OPEN")</x:f>
        <x:v>OPEN</x:v>
      </x:c>
    </x:row>
    <x:row r="1575">
      <x:c r="B1575" t="str">
        <x:v>PH-TG-614-L</x:v>
      </x:c>
      <x:c r="C1575" t="str">
        <x:v>PHYSICAL</x:v>
      </x:c>
      <x:c r="D1575" t="str">
        <x:v>terrain load</x:v>
      </x:c>
      <x:c r="E1575" t="n">
        <x:f>IF('Terrain Field'!K620&lt;&gt;"",1,0)</x:f>
        <x:v>0</x:v>
      </x:c>
      <x:c r="F1575" t="n">
        <x:v>1</x:v>
      </x:c>
      <x:c r="G1575" t="str">
        <x:v>equals</x:v>
      </x:c>
      <x:c r="H1575" t="str">
        <x:v>independent physical acceptance</x:v>
      </x:c>
      <x:c r="I1575" t="str">
        <x:f>IF(E1575=1,"PASS","OPEN")</x:f>
        <x:v>OPEN</x:v>
      </x:c>
    </x:row>
    <x:row r="1576">
      <x:c r="B1576" t="str">
        <x:v>PH-TG-615-G</x:v>
      </x:c>
      <x:c r="C1576" t="str">
        <x:v>PHYSICAL</x:v>
      </x:c>
      <x:c r="D1576" t="str">
        <x:v>terrain geometry</x:v>
      </x:c>
      <x:c r="E1576" t="n">
        <x:f>IF('Terrain Field'!J621&lt;&gt;"",1,0)</x:f>
        <x:v>0</x:v>
      </x:c>
      <x:c r="F1576" t="n">
        <x:v>1</x:v>
      </x:c>
      <x:c r="G1576" t="str">
        <x:v>equals</x:v>
      </x:c>
      <x:c r="H1576" t="str">
        <x:v>independent physical acceptance</x:v>
      </x:c>
      <x:c r="I1576" t="str">
        <x:f>IF(E1576=1,"PASS","OPEN")</x:f>
        <x:v>OPEN</x:v>
      </x:c>
    </x:row>
    <x:row r="1577">
      <x:c r="B1577" t="str">
        <x:v>PH-TG-615-L</x:v>
      </x:c>
      <x:c r="C1577" t="str">
        <x:v>PHYSICAL</x:v>
      </x:c>
      <x:c r="D1577" t="str">
        <x:v>terrain load</x:v>
      </x:c>
      <x:c r="E1577" t="n">
        <x:f>IF('Terrain Field'!K621&lt;&gt;"",1,0)</x:f>
        <x:v>0</x:v>
      </x:c>
      <x:c r="F1577" t="n">
        <x:v>1</x:v>
      </x:c>
      <x:c r="G1577" t="str">
        <x:v>equals</x:v>
      </x:c>
      <x:c r="H1577" t="str">
        <x:v>independent physical acceptance</x:v>
      </x:c>
      <x:c r="I1577" t="str">
        <x:f>IF(E1577=1,"PASS","OPEN")</x:f>
        <x:v>OPEN</x:v>
      </x:c>
    </x:row>
    <x:row r="1578">
      <x:c r="B1578" t="str">
        <x:v>PH-TG-616-G</x:v>
      </x:c>
      <x:c r="C1578" t="str">
        <x:v>PHYSICAL</x:v>
      </x:c>
      <x:c r="D1578" t="str">
        <x:v>terrain geometry</x:v>
      </x:c>
      <x:c r="E1578" t="n">
        <x:f>IF('Terrain Field'!J622&lt;&gt;"",1,0)</x:f>
        <x:v>0</x:v>
      </x:c>
      <x:c r="F1578" t="n">
        <x:v>1</x:v>
      </x:c>
      <x:c r="G1578" t="str">
        <x:v>equals</x:v>
      </x:c>
      <x:c r="H1578" t="str">
        <x:v>independent physical acceptance</x:v>
      </x:c>
      <x:c r="I1578" t="str">
        <x:f>IF(E1578=1,"PASS","OPEN")</x:f>
        <x:v>OPEN</x:v>
      </x:c>
    </x:row>
    <x:row r="1579">
      <x:c r="B1579" t="str">
        <x:v>PH-TG-616-L</x:v>
      </x:c>
      <x:c r="C1579" t="str">
        <x:v>PHYSICAL</x:v>
      </x:c>
      <x:c r="D1579" t="str">
        <x:v>terrain load</x:v>
      </x:c>
      <x:c r="E1579" t="n">
        <x:f>IF('Terrain Field'!K622&lt;&gt;"",1,0)</x:f>
        <x:v>0</x:v>
      </x:c>
      <x:c r="F1579" t="n">
        <x:v>1</x:v>
      </x:c>
      <x:c r="G1579" t="str">
        <x:v>equals</x:v>
      </x:c>
      <x:c r="H1579" t="str">
        <x:v>independent physical acceptance</x:v>
      </x:c>
      <x:c r="I1579" t="str">
        <x:f>IF(E1579=1,"PASS","OPEN")</x:f>
        <x:v>OPEN</x:v>
      </x:c>
    </x:row>
    <x:row r="1580">
      <x:c r="B1580" t="str">
        <x:v>PH-TG-617-G</x:v>
      </x:c>
      <x:c r="C1580" t="str">
        <x:v>PHYSICAL</x:v>
      </x:c>
      <x:c r="D1580" t="str">
        <x:v>terrain geometry</x:v>
      </x:c>
      <x:c r="E1580" t="n">
        <x:f>IF('Terrain Field'!J623&lt;&gt;"",1,0)</x:f>
        <x:v>0</x:v>
      </x:c>
      <x:c r="F1580" t="n">
        <x:v>1</x:v>
      </x:c>
      <x:c r="G1580" t="str">
        <x:v>equals</x:v>
      </x:c>
      <x:c r="H1580" t="str">
        <x:v>independent physical acceptance</x:v>
      </x:c>
      <x:c r="I1580" t="str">
        <x:f>IF(E1580=1,"PASS","OPEN")</x:f>
        <x:v>OPEN</x:v>
      </x:c>
    </x:row>
    <x:row r="1581">
      <x:c r="B1581" t="str">
        <x:v>PH-TG-617-L</x:v>
      </x:c>
      <x:c r="C1581" t="str">
        <x:v>PHYSICAL</x:v>
      </x:c>
      <x:c r="D1581" t="str">
        <x:v>terrain load</x:v>
      </x:c>
      <x:c r="E1581" t="n">
        <x:f>IF('Terrain Field'!K623&lt;&gt;"",1,0)</x:f>
        <x:v>0</x:v>
      </x:c>
      <x:c r="F1581" t="n">
        <x:v>1</x:v>
      </x:c>
      <x:c r="G1581" t="str">
        <x:v>equals</x:v>
      </x:c>
      <x:c r="H1581" t="str">
        <x:v>independent physical acceptance</x:v>
      </x:c>
      <x:c r="I1581" t="str">
        <x:f>IF(E1581=1,"PASS","OPEN")</x:f>
        <x:v>OPEN</x:v>
      </x:c>
    </x:row>
    <x:row r="1582">
      <x:c r="B1582" t="str">
        <x:v>PH-TG-618-G</x:v>
      </x:c>
      <x:c r="C1582" t="str">
        <x:v>PHYSICAL</x:v>
      </x:c>
      <x:c r="D1582" t="str">
        <x:v>terrain geometry</x:v>
      </x:c>
      <x:c r="E1582" t="n">
        <x:f>IF('Terrain Field'!J624&lt;&gt;"",1,0)</x:f>
        <x:v>0</x:v>
      </x:c>
      <x:c r="F1582" t="n">
        <x:v>1</x:v>
      </x:c>
      <x:c r="G1582" t="str">
        <x:v>equals</x:v>
      </x:c>
      <x:c r="H1582" t="str">
        <x:v>independent physical acceptance</x:v>
      </x:c>
      <x:c r="I1582" t="str">
        <x:f>IF(E1582=1,"PASS","OPEN")</x:f>
        <x:v>OPEN</x:v>
      </x:c>
    </x:row>
    <x:row r="1583">
      <x:c r="B1583" t="str">
        <x:v>PH-TG-618-L</x:v>
      </x:c>
      <x:c r="C1583" t="str">
        <x:v>PHYSICAL</x:v>
      </x:c>
      <x:c r="D1583" t="str">
        <x:v>terrain load</x:v>
      </x:c>
      <x:c r="E1583" t="n">
        <x:f>IF('Terrain Field'!K624&lt;&gt;"",1,0)</x:f>
        <x:v>0</x:v>
      </x:c>
      <x:c r="F1583" t="n">
        <x:v>1</x:v>
      </x:c>
      <x:c r="G1583" t="str">
        <x:v>equals</x:v>
      </x:c>
      <x:c r="H1583" t="str">
        <x:v>independent physical acceptance</x:v>
      </x:c>
      <x:c r="I1583" t="str">
        <x:f>IF(E1583=1,"PASS","OPEN")</x:f>
        <x:v>OPEN</x:v>
      </x:c>
    </x:row>
    <x:row r="1584">
      <x:c r="B1584" t="str">
        <x:v>PH-TG-619-G</x:v>
      </x:c>
      <x:c r="C1584" t="str">
        <x:v>PHYSICAL</x:v>
      </x:c>
      <x:c r="D1584" t="str">
        <x:v>terrain geometry</x:v>
      </x:c>
      <x:c r="E1584" t="n">
        <x:f>IF('Terrain Field'!J625&lt;&gt;"",1,0)</x:f>
        <x:v>0</x:v>
      </x:c>
      <x:c r="F1584" t="n">
        <x:v>1</x:v>
      </x:c>
      <x:c r="G1584" t="str">
        <x:v>equals</x:v>
      </x:c>
      <x:c r="H1584" t="str">
        <x:v>independent physical acceptance</x:v>
      </x:c>
      <x:c r="I1584" t="str">
        <x:f>IF(E1584=1,"PASS","OPEN")</x:f>
        <x:v>OPEN</x:v>
      </x:c>
    </x:row>
    <x:row r="1585">
      <x:c r="B1585" t="str">
        <x:v>PH-TG-619-L</x:v>
      </x:c>
      <x:c r="C1585" t="str">
        <x:v>PHYSICAL</x:v>
      </x:c>
      <x:c r="D1585" t="str">
        <x:v>terrain load</x:v>
      </x:c>
      <x:c r="E1585" t="n">
        <x:f>IF('Terrain Field'!K625&lt;&gt;"",1,0)</x:f>
        <x:v>0</x:v>
      </x:c>
      <x:c r="F1585" t="n">
        <x:v>1</x:v>
      </x:c>
      <x:c r="G1585" t="str">
        <x:v>equals</x:v>
      </x:c>
      <x:c r="H1585" t="str">
        <x:v>independent physical acceptance</x:v>
      </x:c>
      <x:c r="I1585" t="str">
        <x:f>IF(E1585=1,"PASS","OPEN")</x:f>
        <x:v>OPEN</x:v>
      </x:c>
    </x:row>
    <x:row r="1586">
      <x:c r="B1586" t="str">
        <x:v>PH-TG-620-G</x:v>
      </x:c>
      <x:c r="C1586" t="str">
        <x:v>PHYSICAL</x:v>
      </x:c>
      <x:c r="D1586" t="str">
        <x:v>terrain geometry</x:v>
      </x:c>
      <x:c r="E1586" t="n">
        <x:f>IF('Terrain Field'!J626&lt;&gt;"",1,0)</x:f>
        <x:v>0</x:v>
      </x:c>
      <x:c r="F1586" t="n">
        <x:v>1</x:v>
      </x:c>
      <x:c r="G1586" t="str">
        <x:v>equals</x:v>
      </x:c>
      <x:c r="H1586" t="str">
        <x:v>independent physical acceptance</x:v>
      </x:c>
      <x:c r="I1586" t="str">
        <x:f>IF(E1586=1,"PASS","OPEN")</x:f>
        <x:v>OPEN</x:v>
      </x:c>
    </x:row>
    <x:row r="1587">
      <x:c r="B1587" t="str">
        <x:v>PH-TG-620-L</x:v>
      </x:c>
      <x:c r="C1587" t="str">
        <x:v>PHYSICAL</x:v>
      </x:c>
      <x:c r="D1587" t="str">
        <x:v>terrain load</x:v>
      </x:c>
      <x:c r="E1587" t="n">
        <x:f>IF('Terrain Field'!K626&lt;&gt;"",1,0)</x:f>
        <x:v>0</x:v>
      </x:c>
      <x:c r="F1587" t="n">
        <x:v>1</x:v>
      </x:c>
      <x:c r="G1587" t="str">
        <x:v>equals</x:v>
      </x:c>
      <x:c r="H1587" t="str">
        <x:v>independent physical acceptance</x:v>
      </x:c>
      <x:c r="I1587" t="str">
        <x:f>IF(E1587=1,"PASS","OPEN")</x:f>
        <x:v>OPEN</x:v>
      </x:c>
    </x:row>
    <x:row r="1588">
      <x:c r="B1588" t="str">
        <x:v>PH-TG-621-G</x:v>
      </x:c>
      <x:c r="C1588" t="str">
        <x:v>PHYSICAL</x:v>
      </x:c>
      <x:c r="D1588" t="str">
        <x:v>terrain geometry</x:v>
      </x:c>
      <x:c r="E1588" t="n">
        <x:f>IF('Terrain Field'!J627&lt;&gt;"",1,0)</x:f>
        <x:v>0</x:v>
      </x:c>
      <x:c r="F1588" t="n">
        <x:v>1</x:v>
      </x:c>
      <x:c r="G1588" t="str">
        <x:v>equals</x:v>
      </x:c>
      <x:c r="H1588" t="str">
        <x:v>independent physical acceptance</x:v>
      </x:c>
      <x:c r="I1588" t="str">
        <x:f>IF(E1588=1,"PASS","OPEN")</x:f>
        <x:v>OPEN</x:v>
      </x:c>
    </x:row>
    <x:row r="1589">
      <x:c r="B1589" t="str">
        <x:v>PH-TG-621-L</x:v>
      </x:c>
      <x:c r="C1589" t="str">
        <x:v>PHYSICAL</x:v>
      </x:c>
      <x:c r="D1589" t="str">
        <x:v>terrain load</x:v>
      </x:c>
      <x:c r="E1589" t="n">
        <x:f>IF('Terrain Field'!K627&lt;&gt;"",1,0)</x:f>
        <x:v>0</x:v>
      </x:c>
      <x:c r="F1589" t="n">
        <x:v>1</x:v>
      </x:c>
      <x:c r="G1589" t="str">
        <x:v>equals</x:v>
      </x:c>
      <x:c r="H1589" t="str">
        <x:v>independent physical acceptance</x:v>
      </x:c>
      <x:c r="I1589" t="str">
        <x:f>IF(E1589=1,"PASS","OPEN")</x:f>
        <x:v>OPEN</x:v>
      </x:c>
    </x:row>
    <x:row r="1590">
      <x:c r="B1590" t="str">
        <x:v>PH-TG-622-G</x:v>
      </x:c>
      <x:c r="C1590" t="str">
        <x:v>PHYSICAL</x:v>
      </x:c>
      <x:c r="D1590" t="str">
        <x:v>terrain geometry</x:v>
      </x:c>
      <x:c r="E1590" t="n">
        <x:f>IF('Terrain Field'!J628&lt;&gt;"",1,0)</x:f>
        <x:v>0</x:v>
      </x:c>
      <x:c r="F1590" t="n">
        <x:v>1</x:v>
      </x:c>
      <x:c r="G1590" t="str">
        <x:v>equals</x:v>
      </x:c>
      <x:c r="H1590" t="str">
        <x:v>independent physical acceptance</x:v>
      </x:c>
      <x:c r="I1590" t="str">
        <x:f>IF(E1590=1,"PASS","OPEN")</x:f>
        <x:v>OPEN</x:v>
      </x:c>
    </x:row>
    <x:row r="1591">
      <x:c r="B1591" t="str">
        <x:v>PH-TG-622-L</x:v>
      </x:c>
      <x:c r="C1591" t="str">
        <x:v>PHYSICAL</x:v>
      </x:c>
      <x:c r="D1591" t="str">
        <x:v>terrain load</x:v>
      </x:c>
      <x:c r="E1591" t="n">
        <x:f>IF('Terrain Field'!K628&lt;&gt;"",1,0)</x:f>
        <x:v>0</x:v>
      </x:c>
      <x:c r="F1591" t="n">
        <x:v>1</x:v>
      </x:c>
      <x:c r="G1591" t="str">
        <x:v>equals</x:v>
      </x:c>
      <x:c r="H1591" t="str">
        <x:v>independent physical acceptance</x:v>
      </x:c>
      <x:c r="I1591" t="str">
        <x:f>IF(E1591=1,"PASS","OPEN")</x:f>
        <x:v>OPEN</x:v>
      </x:c>
    </x:row>
    <x:row r="1592">
      <x:c r="B1592" t="str">
        <x:v>PH-TG-623-G</x:v>
      </x:c>
      <x:c r="C1592" t="str">
        <x:v>PHYSICAL</x:v>
      </x:c>
      <x:c r="D1592" t="str">
        <x:v>terrain geometry</x:v>
      </x:c>
      <x:c r="E1592" t="n">
        <x:f>IF('Terrain Field'!J629&lt;&gt;"",1,0)</x:f>
        <x:v>0</x:v>
      </x:c>
      <x:c r="F1592" t="n">
        <x:v>1</x:v>
      </x:c>
      <x:c r="G1592" t="str">
        <x:v>equals</x:v>
      </x:c>
      <x:c r="H1592" t="str">
        <x:v>independent physical acceptance</x:v>
      </x:c>
      <x:c r="I1592" t="str">
        <x:f>IF(E1592=1,"PASS","OPEN")</x:f>
        <x:v>OPEN</x:v>
      </x:c>
    </x:row>
    <x:row r="1593">
      <x:c r="B1593" t="str">
        <x:v>PH-TG-623-L</x:v>
      </x:c>
      <x:c r="C1593" t="str">
        <x:v>PHYSICAL</x:v>
      </x:c>
      <x:c r="D1593" t="str">
        <x:v>terrain load</x:v>
      </x:c>
      <x:c r="E1593" t="n">
        <x:f>IF('Terrain Field'!K629&lt;&gt;"",1,0)</x:f>
        <x:v>0</x:v>
      </x:c>
      <x:c r="F1593" t="n">
        <x:v>1</x:v>
      </x:c>
      <x:c r="G1593" t="str">
        <x:v>equals</x:v>
      </x:c>
      <x:c r="H1593" t="str">
        <x:v>independent physical acceptance</x:v>
      </x:c>
      <x:c r="I1593" t="str">
        <x:f>IF(E1593=1,"PASS","OPEN")</x:f>
        <x:v>OPEN</x:v>
      </x:c>
    </x:row>
    <x:row r="1594">
      <x:c r="B1594" t="str">
        <x:v>PH-TG-624-G</x:v>
      </x:c>
      <x:c r="C1594" t="str">
        <x:v>PHYSICAL</x:v>
      </x:c>
      <x:c r="D1594" t="str">
        <x:v>terrain geometry</x:v>
      </x:c>
      <x:c r="E1594" t="n">
        <x:f>IF('Terrain Field'!J630&lt;&gt;"",1,0)</x:f>
        <x:v>0</x:v>
      </x:c>
      <x:c r="F1594" t="n">
        <x:v>1</x:v>
      </x:c>
      <x:c r="G1594" t="str">
        <x:v>equals</x:v>
      </x:c>
      <x:c r="H1594" t="str">
        <x:v>independent physical acceptance</x:v>
      </x:c>
      <x:c r="I1594" t="str">
        <x:f>IF(E1594=1,"PASS","OPEN")</x:f>
        <x:v>OPEN</x:v>
      </x:c>
    </x:row>
    <x:row r="1595">
      <x:c r="B1595" t="str">
        <x:v>PH-TG-624-L</x:v>
      </x:c>
      <x:c r="C1595" t="str">
        <x:v>PHYSICAL</x:v>
      </x:c>
      <x:c r="D1595" t="str">
        <x:v>terrain load</x:v>
      </x:c>
      <x:c r="E1595" t="n">
        <x:f>IF('Terrain Field'!K630&lt;&gt;"",1,0)</x:f>
        <x:v>0</x:v>
      </x:c>
      <x:c r="F1595" t="n">
        <x:v>1</x:v>
      </x:c>
      <x:c r="G1595" t="str">
        <x:v>equals</x:v>
      </x:c>
      <x:c r="H1595" t="str">
        <x:v>independent physical acceptance</x:v>
      </x:c>
      <x:c r="I1595" t="str">
        <x:f>IF(E1595=1,"PASS","OPEN")</x:f>
        <x:v>OPEN</x:v>
      </x:c>
    </x:row>
    <x:row r="1596">
      <x:c r="B1596" t="str">
        <x:v>PH-TG-625-G</x:v>
      </x:c>
      <x:c r="C1596" t="str">
        <x:v>PHYSICAL</x:v>
      </x:c>
      <x:c r="D1596" t="str">
        <x:v>terrain geometry</x:v>
      </x:c>
      <x:c r="E1596" t="n">
        <x:f>IF('Terrain Field'!J631&lt;&gt;"",1,0)</x:f>
        <x:v>0</x:v>
      </x:c>
      <x:c r="F1596" t="n">
        <x:v>1</x:v>
      </x:c>
      <x:c r="G1596" t="str">
        <x:v>equals</x:v>
      </x:c>
      <x:c r="H1596" t="str">
        <x:v>independent physical acceptance</x:v>
      </x:c>
      <x:c r="I1596" t="str">
        <x:f>IF(E1596=1,"PASS","OPEN")</x:f>
        <x:v>OPEN</x:v>
      </x:c>
    </x:row>
    <x:row r="1597">
      <x:c r="B1597" t="str">
        <x:v>PH-TG-625-L</x:v>
      </x:c>
      <x:c r="C1597" t="str">
        <x:v>PHYSICAL</x:v>
      </x:c>
      <x:c r="D1597" t="str">
        <x:v>terrain load</x:v>
      </x:c>
      <x:c r="E1597" t="n">
        <x:f>IF('Terrain Field'!K631&lt;&gt;"",1,0)</x:f>
        <x:v>0</x:v>
      </x:c>
      <x:c r="F1597" t="n">
        <x:v>1</x:v>
      </x:c>
      <x:c r="G1597" t="str">
        <x:v>equals</x:v>
      </x:c>
      <x:c r="H1597" t="str">
        <x:v>independent physical acceptance</x:v>
      </x:c>
      <x:c r="I1597" t="str">
        <x:f>IF(E1597=1,"PASS","OPEN")</x:f>
        <x:v>OPEN</x:v>
      </x:c>
    </x:row>
    <x:row r="1598">
      <x:c r="B1598" t="str">
        <x:v>PH-TG-626-G</x:v>
      </x:c>
      <x:c r="C1598" t="str">
        <x:v>PHYSICAL</x:v>
      </x:c>
      <x:c r="D1598" t="str">
        <x:v>terrain geometry</x:v>
      </x:c>
      <x:c r="E1598" t="n">
        <x:f>IF('Terrain Field'!J632&lt;&gt;"",1,0)</x:f>
        <x:v>0</x:v>
      </x:c>
      <x:c r="F1598" t="n">
        <x:v>1</x:v>
      </x:c>
      <x:c r="G1598" t="str">
        <x:v>equals</x:v>
      </x:c>
      <x:c r="H1598" t="str">
        <x:v>independent physical acceptance</x:v>
      </x:c>
      <x:c r="I1598" t="str">
        <x:f>IF(E1598=1,"PASS","OPEN")</x:f>
        <x:v>OPEN</x:v>
      </x:c>
    </x:row>
    <x:row r="1599">
      <x:c r="B1599" t="str">
        <x:v>PH-TG-626-L</x:v>
      </x:c>
      <x:c r="C1599" t="str">
        <x:v>PHYSICAL</x:v>
      </x:c>
      <x:c r="D1599" t="str">
        <x:v>terrain load</x:v>
      </x:c>
      <x:c r="E1599" t="n">
        <x:f>IF('Terrain Field'!K632&lt;&gt;"",1,0)</x:f>
        <x:v>0</x:v>
      </x:c>
      <x:c r="F1599" t="n">
        <x:v>1</x:v>
      </x:c>
      <x:c r="G1599" t="str">
        <x:v>equals</x:v>
      </x:c>
      <x:c r="H1599" t="str">
        <x:v>independent physical acceptance</x:v>
      </x:c>
      <x:c r="I1599" t="str">
        <x:f>IF(E1599=1,"PASS","OPEN")</x:f>
        <x:v>OPEN</x:v>
      </x:c>
    </x:row>
    <x:row r="1600">
      <x:c r="B1600" t="str">
        <x:v>PH-TG-627-G</x:v>
      </x:c>
      <x:c r="C1600" t="str">
        <x:v>PHYSICAL</x:v>
      </x:c>
      <x:c r="D1600" t="str">
        <x:v>terrain geometry</x:v>
      </x:c>
      <x:c r="E1600" t="n">
        <x:f>IF('Terrain Field'!J633&lt;&gt;"",1,0)</x:f>
        <x:v>0</x:v>
      </x:c>
      <x:c r="F1600" t="n">
        <x:v>1</x:v>
      </x:c>
      <x:c r="G1600" t="str">
        <x:v>equals</x:v>
      </x:c>
      <x:c r="H1600" t="str">
        <x:v>independent physical acceptance</x:v>
      </x:c>
      <x:c r="I1600" t="str">
        <x:f>IF(E1600=1,"PASS","OPEN")</x:f>
        <x:v>OPEN</x:v>
      </x:c>
    </x:row>
    <x:row r="1601">
      <x:c r="B1601" t="str">
        <x:v>PH-TG-627-L</x:v>
      </x:c>
      <x:c r="C1601" t="str">
        <x:v>PHYSICAL</x:v>
      </x:c>
      <x:c r="D1601" t="str">
        <x:v>terrain load</x:v>
      </x:c>
      <x:c r="E1601" t="n">
        <x:f>IF('Terrain Field'!K633&lt;&gt;"",1,0)</x:f>
        <x:v>0</x:v>
      </x:c>
      <x:c r="F1601" t="n">
        <x:v>1</x:v>
      </x:c>
      <x:c r="G1601" t="str">
        <x:v>equals</x:v>
      </x:c>
      <x:c r="H1601" t="str">
        <x:v>independent physical acceptance</x:v>
      </x:c>
      <x:c r="I1601" t="str">
        <x:f>IF(E1601=1,"PASS","OPEN")</x:f>
        <x:v>OPEN</x:v>
      </x:c>
    </x:row>
    <x:row r="1602">
      <x:c r="B1602" t="str">
        <x:v>PH-TG-628-G</x:v>
      </x:c>
      <x:c r="C1602" t="str">
        <x:v>PHYSICAL</x:v>
      </x:c>
      <x:c r="D1602" t="str">
        <x:v>terrain geometry</x:v>
      </x:c>
      <x:c r="E1602" t="n">
        <x:f>IF('Terrain Field'!J634&lt;&gt;"",1,0)</x:f>
        <x:v>0</x:v>
      </x:c>
      <x:c r="F1602" t="n">
        <x:v>1</x:v>
      </x:c>
      <x:c r="G1602" t="str">
        <x:v>equals</x:v>
      </x:c>
      <x:c r="H1602" t="str">
        <x:v>independent physical acceptance</x:v>
      </x:c>
      <x:c r="I1602" t="str">
        <x:f>IF(E1602=1,"PASS","OPEN")</x:f>
        <x:v>OPEN</x:v>
      </x:c>
    </x:row>
    <x:row r="1603">
      <x:c r="B1603" t="str">
        <x:v>PH-TG-628-L</x:v>
      </x:c>
      <x:c r="C1603" t="str">
        <x:v>PHYSICAL</x:v>
      </x:c>
      <x:c r="D1603" t="str">
        <x:v>terrain load</x:v>
      </x:c>
      <x:c r="E1603" t="n">
        <x:f>IF('Terrain Field'!K634&lt;&gt;"",1,0)</x:f>
        <x:v>0</x:v>
      </x:c>
      <x:c r="F1603" t="n">
        <x:v>1</x:v>
      </x:c>
      <x:c r="G1603" t="str">
        <x:v>equals</x:v>
      </x:c>
      <x:c r="H1603" t="str">
        <x:v>independent physical acceptance</x:v>
      </x:c>
      <x:c r="I1603" t="str">
        <x:f>IF(E1603=1,"PASS","OPEN")</x:f>
        <x:v>OPEN</x:v>
      </x:c>
    </x:row>
    <x:row r="1604">
      <x:c r="B1604" t="str">
        <x:v>PH-TG-629-G</x:v>
      </x:c>
      <x:c r="C1604" t="str">
        <x:v>PHYSICAL</x:v>
      </x:c>
      <x:c r="D1604" t="str">
        <x:v>terrain geometry</x:v>
      </x:c>
      <x:c r="E1604" t="n">
        <x:f>IF('Terrain Field'!J635&lt;&gt;"",1,0)</x:f>
        <x:v>0</x:v>
      </x:c>
      <x:c r="F1604" t="n">
        <x:v>1</x:v>
      </x:c>
      <x:c r="G1604" t="str">
        <x:v>equals</x:v>
      </x:c>
      <x:c r="H1604" t="str">
        <x:v>independent physical acceptance</x:v>
      </x:c>
      <x:c r="I1604" t="str">
        <x:f>IF(E1604=1,"PASS","OPEN")</x:f>
        <x:v>OPEN</x:v>
      </x:c>
    </x:row>
    <x:row r="1605">
      <x:c r="B1605" t="str">
        <x:v>PH-TG-629-L</x:v>
      </x:c>
      <x:c r="C1605" t="str">
        <x:v>PHYSICAL</x:v>
      </x:c>
      <x:c r="D1605" t="str">
        <x:v>terrain load</x:v>
      </x:c>
      <x:c r="E1605" t="n">
        <x:f>IF('Terrain Field'!K635&lt;&gt;"",1,0)</x:f>
        <x:v>0</x:v>
      </x:c>
      <x:c r="F1605" t="n">
        <x:v>1</x:v>
      </x:c>
      <x:c r="G1605" t="str">
        <x:v>equals</x:v>
      </x:c>
      <x:c r="H1605" t="str">
        <x:v>independent physical acceptance</x:v>
      </x:c>
      <x:c r="I1605" t="str">
        <x:f>IF(E1605=1,"PASS","OPEN")</x:f>
        <x:v>OPEN</x:v>
      </x:c>
    </x:row>
    <x:row r="1606">
      <x:c r="B1606" t="str">
        <x:v>PH-TG-630-G</x:v>
      </x:c>
      <x:c r="C1606" t="str">
        <x:v>PHYSICAL</x:v>
      </x:c>
      <x:c r="D1606" t="str">
        <x:v>terrain geometry</x:v>
      </x:c>
      <x:c r="E1606" t="n">
        <x:f>IF('Terrain Field'!J636&lt;&gt;"",1,0)</x:f>
        <x:v>0</x:v>
      </x:c>
      <x:c r="F1606" t="n">
        <x:v>1</x:v>
      </x:c>
      <x:c r="G1606" t="str">
        <x:v>equals</x:v>
      </x:c>
      <x:c r="H1606" t="str">
        <x:v>independent physical acceptance</x:v>
      </x:c>
      <x:c r="I1606" t="str">
        <x:f>IF(E1606=1,"PASS","OPEN")</x:f>
        <x:v>OPEN</x:v>
      </x:c>
    </x:row>
    <x:row r="1607">
      <x:c r="B1607" t="str">
        <x:v>PH-TG-630-L</x:v>
      </x:c>
      <x:c r="C1607" t="str">
        <x:v>PHYSICAL</x:v>
      </x:c>
      <x:c r="D1607" t="str">
        <x:v>terrain load</x:v>
      </x:c>
      <x:c r="E1607" t="n">
        <x:f>IF('Terrain Field'!K636&lt;&gt;"",1,0)</x:f>
        <x:v>0</x:v>
      </x:c>
      <x:c r="F1607" t="n">
        <x:v>1</x:v>
      </x:c>
      <x:c r="G1607" t="str">
        <x:v>equals</x:v>
      </x:c>
      <x:c r="H1607" t="str">
        <x:v>independent physical acceptance</x:v>
      </x:c>
      <x:c r="I1607" t="str">
        <x:f>IF(E1607=1,"PASS","OPEN")</x:f>
        <x:v>OPEN</x:v>
      </x:c>
    </x:row>
    <x:row r="1608">
      <x:c r="B1608" t="str">
        <x:v>PH-TG-631-G</x:v>
      </x:c>
      <x:c r="C1608" t="str">
        <x:v>PHYSICAL</x:v>
      </x:c>
      <x:c r="D1608" t="str">
        <x:v>terrain geometry</x:v>
      </x:c>
      <x:c r="E1608" t="n">
        <x:f>IF('Terrain Field'!J637&lt;&gt;"",1,0)</x:f>
        <x:v>0</x:v>
      </x:c>
      <x:c r="F1608" t="n">
        <x:v>1</x:v>
      </x:c>
      <x:c r="G1608" t="str">
        <x:v>equals</x:v>
      </x:c>
      <x:c r="H1608" t="str">
        <x:v>independent physical acceptance</x:v>
      </x:c>
      <x:c r="I1608" t="str">
        <x:f>IF(E1608=1,"PASS","OPEN")</x:f>
        <x:v>OPEN</x:v>
      </x:c>
    </x:row>
    <x:row r="1609">
      <x:c r="B1609" t="str">
        <x:v>PH-TG-631-L</x:v>
      </x:c>
      <x:c r="C1609" t="str">
        <x:v>PHYSICAL</x:v>
      </x:c>
      <x:c r="D1609" t="str">
        <x:v>terrain load</x:v>
      </x:c>
      <x:c r="E1609" t="n">
        <x:f>IF('Terrain Field'!K637&lt;&gt;"",1,0)</x:f>
        <x:v>0</x:v>
      </x:c>
      <x:c r="F1609" t="n">
        <x:v>1</x:v>
      </x:c>
      <x:c r="G1609" t="str">
        <x:v>equals</x:v>
      </x:c>
      <x:c r="H1609" t="str">
        <x:v>independent physical acceptance</x:v>
      </x:c>
      <x:c r="I1609" t="str">
        <x:f>IF(E1609=1,"PASS","OPEN")</x:f>
        <x:v>OPEN</x:v>
      </x:c>
    </x:row>
    <x:row r="1610">
      <x:c r="B1610" t="str">
        <x:v>PH-TG-632-G</x:v>
      </x:c>
      <x:c r="C1610" t="str">
        <x:v>PHYSICAL</x:v>
      </x:c>
      <x:c r="D1610" t="str">
        <x:v>terrain geometry</x:v>
      </x:c>
      <x:c r="E1610" t="n">
        <x:f>IF('Terrain Field'!J638&lt;&gt;"",1,0)</x:f>
        <x:v>0</x:v>
      </x:c>
      <x:c r="F1610" t="n">
        <x:v>1</x:v>
      </x:c>
      <x:c r="G1610" t="str">
        <x:v>equals</x:v>
      </x:c>
      <x:c r="H1610" t="str">
        <x:v>independent physical acceptance</x:v>
      </x:c>
      <x:c r="I1610" t="str">
        <x:f>IF(E1610=1,"PASS","OPEN")</x:f>
        <x:v>OPEN</x:v>
      </x:c>
    </x:row>
    <x:row r="1611">
      <x:c r="B1611" t="str">
        <x:v>PH-TG-632-L</x:v>
      </x:c>
      <x:c r="C1611" t="str">
        <x:v>PHYSICAL</x:v>
      </x:c>
      <x:c r="D1611" t="str">
        <x:v>terrain load</x:v>
      </x:c>
      <x:c r="E1611" t="n">
        <x:f>IF('Terrain Field'!K638&lt;&gt;"",1,0)</x:f>
        <x:v>0</x:v>
      </x:c>
      <x:c r="F1611" t="n">
        <x:v>1</x:v>
      </x:c>
      <x:c r="G1611" t="str">
        <x:v>equals</x:v>
      </x:c>
      <x:c r="H1611" t="str">
        <x:v>independent physical acceptance</x:v>
      </x:c>
      <x:c r="I1611" t="str">
        <x:f>IF(E1611=1,"PASS","OPEN")</x:f>
        <x:v>OPEN</x:v>
      </x:c>
    </x:row>
    <x:row r="1612">
      <x:c r="B1612" t="str">
        <x:v>PH-TG-633-G</x:v>
      </x:c>
      <x:c r="C1612" t="str">
        <x:v>PHYSICAL</x:v>
      </x:c>
      <x:c r="D1612" t="str">
        <x:v>terrain geometry</x:v>
      </x:c>
      <x:c r="E1612" t="n">
        <x:f>IF('Terrain Field'!J639&lt;&gt;"",1,0)</x:f>
        <x:v>0</x:v>
      </x:c>
      <x:c r="F1612" t="n">
        <x:v>1</x:v>
      </x:c>
      <x:c r="G1612" t="str">
        <x:v>equals</x:v>
      </x:c>
      <x:c r="H1612" t="str">
        <x:v>independent physical acceptance</x:v>
      </x:c>
      <x:c r="I1612" t="str">
        <x:f>IF(E1612=1,"PASS","OPEN")</x:f>
        <x:v>OPEN</x:v>
      </x:c>
    </x:row>
    <x:row r="1613">
      <x:c r="B1613" t="str">
        <x:v>PH-TG-633-L</x:v>
      </x:c>
      <x:c r="C1613" t="str">
        <x:v>PHYSICAL</x:v>
      </x:c>
      <x:c r="D1613" t="str">
        <x:v>terrain load</x:v>
      </x:c>
      <x:c r="E1613" t="n">
        <x:f>IF('Terrain Field'!K639&lt;&gt;"",1,0)</x:f>
        <x:v>0</x:v>
      </x:c>
      <x:c r="F1613" t="n">
        <x:v>1</x:v>
      </x:c>
      <x:c r="G1613" t="str">
        <x:v>equals</x:v>
      </x:c>
      <x:c r="H1613" t="str">
        <x:v>independent physical acceptance</x:v>
      </x:c>
      <x:c r="I1613" t="str">
        <x:f>IF(E1613=1,"PASS","OPEN")</x:f>
        <x:v>OPEN</x:v>
      </x:c>
    </x:row>
    <x:row r="1614">
      <x:c r="B1614" t="str">
        <x:v>PH-TG-634-G</x:v>
      </x:c>
      <x:c r="C1614" t="str">
        <x:v>PHYSICAL</x:v>
      </x:c>
      <x:c r="D1614" t="str">
        <x:v>terrain geometry</x:v>
      </x:c>
      <x:c r="E1614" t="n">
        <x:f>IF('Terrain Field'!J640&lt;&gt;"",1,0)</x:f>
        <x:v>0</x:v>
      </x:c>
      <x:c r="F1614" t="n">
        <x:v>1</x:v>
      </x:c>
      <x:c r="G1614" t="str">
        <x:v>equals</x:v>
      </x:c>
      <x:c r="H1614" t="str">
        <x:v>independent physical acceptance</x:v>
      </x:c>
      <x:c r="I1614" t="str">
        <x:f>IF(E1614=1,"PASS","OPEN")</x:f>
        <x:v>OPEN</x:v>
      </x:c>
    </x:row>
    <x:row r="1615">
      <x:c r="B1615" t="str">
        <x:v>PH-TG-634-L</x:v>
      </x:c>
      <x:c r="C1615" t="str">
        <x:v>PHYSICAL</x:v>
      </x:c>
      <x:c r="D1615" t="str">
        <x:v>terrain load</x:v>
      </x:c>
      <x:c r="E1615" t="n">
        <x:f>IF('Terrain Field'!K640&lt;&gt;"",1,0)</x:f>
        <x:v>0</x:v>
      </x:c>
      <x:c r="F1615" t="n">
        <x:v>1</x:v>
      </x:c>
      <x:c r="G1615" t="str">
        <x:v>equals</x:v>
      </x:c>
      <x:c r="H1615" t="str">
        <x:v>independent physical acceptance</x:v>
      </x:c>
      <x:c r="I1615" t="str">
        <x:f>IF(E1615=1,"PASS","OPEN")</x:f>
        <x:v>OPEN</x:v>
      </x:c>
    </x:row>
    <x:row r="1616">
      <x:c r="B1616" t="str">
        <x:v>PH-TG-635-G</x:v>
      </x:c>
      <x:c r="C1616" t="str">
        <x:v>PHYSICAL</x:v>
      </x:c>
      <x:c r="D1616" t="str">
        <x:v>terrain geometry</x:v>
      </x:c>
      <x:c r="E1616" t="n">
        <x:f>IF('Terrain Field'!J641&lt;&gt;"",1,0)</x:f>
        <x:v>0</x:v>
      </x:c>
      <x:c r="F1616" t="n">
        <x:v>1</x:v>
      </x:c>
      <x:c r="G1616" t="str">
        <x:v>equals</x:v>
      </x:c>
      <x:c r="H1616" t="str">
        <x:v>independent physical acceptance</x:v>
      </x:c>
      <x:c r="I1616" t="str">
        <x:f>IF(E1616=1,"PASS","OPEN")</x:f>
        <x:v>OPEN</x:v>
      </x:c>
    </x:row>
    <x:row r="1617">
      <x:c r="B1617" t="str">
        <x:v>PH-TG-635-L</x:v>
      </x:c>
      <x:c r="C1617" t="str">
        <x:v>PHYSICAL</x:v>
      </x:c>
      <x:c r="D1617" t="str">
        <x:v>terrain load</x:v>
      </x:c>
      <x:c r="E1617" t="n">
        <x:f>IF('Terrain Field'!K641&lt;&gt;"",1,0)</x:f>
        <x:v>0</x:v>
      </x:c>
      <x:c r="F1617" t="n">
        <x:v>1</x:v>
      </x:c>
      <x:c r="G1617" t="str">
        <x:v>equals</x:v>
      </x:c>
      <x:c r="H1617" t="str">
        <x:v>independent physical acceptance</x:v>
      </x:c>
      <x:c r="I1617" t="str">
        <x:f>IF(E1617=1,"PASS","OPEN")</x:f>
        <x:v>OPEN</x:v>
      </x:c>
    </x:row>
    <x:row r="1618">
      <x:c r="B1618" t="str">
        <x:v>PH-TG-636-G</x:v>
      </x:c>
      <x:c r="C1618" t="str">
        <x:v>PHYSICAL</x:v>
      </x:c>
      <x:c r="D1618" t="str">
        <x:v>terrain geometry</x:v>
      </x:c>
      <x:c r="E1618" t="n">
        <x:f>IF('Terrain Field'!J642&lt;&gt;"",1,0)</x:f>
        <x:v>0</x:v>
      </x:c>
      <x:c r="F1618" t="n">
        <x:v>1</x:v>
      </x:c>
      <x:c r="G1618" t="str">
        <x:v>equals</x:v>
      </x:c>
      <x:c r="H1618" t="str">
        <x:v>independent physical acceptance</x:v>
      </x:c>
      <x:c r="I1618" t="str">
        <x:f>IF(E1618=1,"PASS","OPEN")</x:f>
        <x:v>OPEN</x:v>
      </x:c>
    </x:row>
    <x:row r="1619">
      <x:c r="B1619" t="str">
        <x:v>PH-TG-636-L</x:v>
      </x:c>
      <x:c r="C1619" t="str">
        <x:v>PHYSICAL</x:v>
      </x:c>
      <x:c r="D1619" t="str">
        <x:v>terrain load</x:v>
      </x:c>
      <x:c r="E1619" t="n">
        <x:f>IF('Terrain Field'!K642&lt;&gt;"",1,0)</x:f>
        <x:v>0</x:v>
      </x:c>
      <x:c r="F1619" t="n">
        <x:v>1</x:v>
      </x:c>
      <x:c r="G1619" t="str">
        <x:v>equals</x:v>
      </x:c>
      <x:c r="H1619" t="str">
        <x:v>independent physical acceptance</x:v>
      </x:c>
      <x:c r="I1619" t="str">
        <x:f>IF(E1619=1,"PASS","OPEN")</x:f>
        <x:v>OPEN</x:v>
      </x:c>
    </x:row>
    <x:row r="1620">
      <x:c r="B1620" t="str">
        <x:v>PH-TG-637-G</x:v>
      </x:c>
      <x:c r="C1620" t="str">
        <x:v>PHYSICAL</x:v>
      </x:c>
      <x:c r="D1620" t="str">
        <x:v>terrain geometry</x:v>
      </x:c>
      <x:c r="E1620" t="n">
        <x:f>IF('Terrain Field'!J643&lt;&gt;"",1,0)</x:f>
        <x:v>0</x:v>
      </x:c>
      <x:c r="F1620" t="n">
        <x:v>1</x:v>
      </x:c>
      <x:c r="G1620" t="str">
        <x:v>equals</x:v>
      </x:c>
      <x:c r="H1620" t="str">
        <x:v>independent physical acceptance</x:v>
      </x:c>
      <x:c r="I1620" t="str">
        <x:f>IF(E1620=1,"PASS","OPEN")</x:f>
        <x:v>OPEN</x:v>
      </x:c>
    </x:row>
    <x:row r="1621">
      <x:c r="B1621" t="str">
        <x:v>PH-TG-637-L</x:v>
      </x:c>
      <x:c r="C1621" t="str">
        <x:v>PHYSICAL</x:v>
      </x:c>
      <x:c r="D1621" t="str">
        <x:v>terrain load</x:v>
      </x:c>
      <x:c r="E1621" t="n">
        <x:f>IF('Terrain Field'!K643&lt;&gt;"",1,0)</x:f>
        <x:v>0</x:v>
      </x:c>
      <x:c r="F1621" t="n">
        <x:v>1</x:v>
      </x:c>
      <x:c r="G1621" t="str">
        <x:v>equals</x:v>
      </x:c>
      <x:c r="H1621" t="str">
        <x:v>independent physical acceptance</x:v>
      </x:c>
      <x:c r="I1621" t="str">
        <x:f>IF(E1621=1,"PASS","OPEN")</x:f>
        <x:v>OPEN</x:v>
      </x:c>
    </x:row>
    <x:row r="1622">
      <x:c r="B1622" t="str">
        <x:v>PH-TG-638-G</x:v>
      </x:c>
      <x:c r="C1622" t="str">
        <x:v>PHYSICAL</x:v>
      </x:c>
      <x:c r="D1622" t="str">
        <x:v>terrain geometry</x:v>
      </x:c>
      <x:c r="E1622" t="n">
        <x:f>IF('Terrain Field'!J644&lt;&gt;"",1,0)</x:f>
        <x:v>0</x:v>
      </x:c>
      <x:c r="F1622" t="n">
        <x:v>1</x:v>
      </x:c>
      <x:c r="G1622" t="str">
        <x:v>equals</x:v>
      </x:c>
      <x:c r="H1622" t="str">
        <x:v>independent physical acceptance</x:v>
      </x:c>
      <x:c r="I1622" t="str">
        <x:f>IF(E1622=1,"PASS","OPEN")</x:f>
        <x:v>OPEN</x:v>
      </x:c>
    </x:row>
    <x:row r="1623">
      <x:c r="B1623" t="str">
        <x:v>PH-TG-638-L</x:v>
      </x:c>
      <x:c r="C1623" t="str">
        <x:v>PHYSICAL</x:v>
      </x:c>
      <x:c r="D1623" t="str">
        <x:v>terrain load</x:v>
      </x:c>
      <x:c r="E1623" t="n">
        <x:f>IF('Terrain Field'!K644&lt;&gt;"",1,0)</x:f>
        <x:v>0</x:v>
      </x:c>
      <x:c r="F1623" t="n">
        <x:v>1</x:v>
      </x:c>
      <x:c r="G1623" t="str">
        <x:v>equals</x:v>
      </x:c>
      <x:c r="H1623" t="str">
        <x:v>independent physical acceptance</x:v>
      </x:c>
      <x:c r="I1623" t="str">
        <x:f>IF(E1623=1,"PASS","OPEN")</x:f>
        <x:v>OPEN</x:v>
      </x:c>
    </x:row>
    <x:row r="1624">
      <x:c r="B1624" t="str">
        <x:v>PH-TG-639-G</x:v>
      </x:c>
      <x:c r="C1624" t="str">
        <x:v>PHYSICAL</x:v>
      </x:c>
      <x:c r="D1624" t="str">
        <x:v>terrain geometry</x:v>
      </x:c>
      <x:c r="E1624" t="n">
        <x:f>IF('Terrain Field'!J645&lt;&gt;"",1,0)</x:f>
        <x:v>0</x:v>
      </x:c>
      <x:c r="F1624" t="n">
        <x:v>1</x:v>
      </x:c>
      <x:c r="G1624" t="str">
        <x:v>equals</x:v>
      </x:c>
      <x:c r="H1624" t="str">
        <x:v>independent physical acceptance</x:v>
      </x:c>
      <x:c r="I1624" t="str">
        <x:f>IF(E1624=1,"PASS","OPEN")</x:f>
        <x:v>OPEN</x:v>
      </x:c>
    </x:row>
    <x:row r="1625">
      <x:c r="B1625" t="str">
        <x:v>PH-TG-639-L</x:v>
      </x:c>
      <x:c r="C1625" t="str">
        <x:v>PHYSICAL</x:v>
      </x:c>
      <x:c r="D1625" t="str">
        <x:v>terrain load</x:v>
      </x:c>
      <x:c r="E1625" t="n">
        <x:f>IF('Terrain Field'!K645&lt;&gt;"",1,0)</x:f>
        <x:v>0</x:v>
      </x:c>
      <x:c r="F1625" t="n">
        <x:v>1</x:v>
      </x:c>
      <x:c r="G1625" t="str">
        <x:v>equals</x:v>
      </x:c>
      <x:c r="H1625" t="str">
        <x:v>independent physical acceptance</x:v>
      </x:c>
      <x:c r="I1625" t="str">
        <x:f>IF(E1625=1,"PASS","OPEN")</x:f>
        <x:v>OPEN</x:v>
      </x:c>
    </x:row>
    <x:row r="1626">
      <x:c r="B1626" t="str">
        <x:v>PH-TG-640-G</x:v>
      </x:c>
      <x:c r="C1626" t="str">
        <x:v>PHYSICAL</x:v>
      </x:c>
      <x:c r="D1626" t="str">
        <x:v>terrain geometry</x:v>
      </x:c>
      <x:c r="E1626" t="n">
        <x:f>IF('Terrain Field'!J646&lt;&gt;"",1,0)</x:f>
        <x:v>0</x:v>
      </x:c>
      <x:c r="F1626" t="n">
        <x:v>1</x:v>
      </x:c>
      <x:c r="G1626" t="str">
        <x:v>equals</x:v>
      </x:c>
      <x:c r="H1626" t="str">
        <x:v>independent physical acceptance</x:v>
      </x:c>
      <x:c r="I1626" t="str">
        <x:f>IF(E1626=1,"PASS","OPEN")</x:f>
        <x:v>OPEN</x:v>
      </x:c>
    </x:row>
    <x:row r="1627">
      <x:c r="B1627" t="str">
        <x:v>PH-TG-640-L</x:v>
      </x:c>
      <x:c r="C1627" t="str">
        <x:v>PHYSICAL</x:v>
      </x:c>
      <x:c r="D1627" t="str">
        <x:v>terrain load</x:v>
      </x:c>
      <x:c r="E1627" t="n">
        <x:f>IF('Terrain Field'!K646&lt;&gt;"",1,0)</x:f>
        <x:v>0</x:v>
      </x:c>
      <x:c r="F1627" t="n">
        <x:v>1</x:v>
      </x:c>
      <x:c r="G1627" t="str">
        <x:v>equals</x:v>
      </x:c>
      <x:c r="H1627" t="str">
        <x:v>independent physical acceptance</x:v>
      </x:c>
      <x:c r="I1627" t="str">
        <x:f>IF(E1627=1,"PASS","OPEN")</x:f>
        <x:v>OPEN</x:v>
      </x:c>
    </x:row>
    <x:row r="1628">
      <x:c r="B1628" t="str">
        <x:v>PH-TG-641-G</x:v>
      </x:c>
      <x:c r="C1628" t="str">
        <x:v>PHYSICAL</x:v>
      </x:c>
      <x:c r="D1628" t="str">
        <x:v>terrain geometry</x:v>
      </x:c>
      <x:c r="E1628" t="n">
        <x:f>IF('Terrain Field'!J647&lt;&gt;"",1,0)</x:f>
        <x:v>0</x:v>
      </x:c>
      <x:c r="F1628" t="n">
        <x:v>1</x:v>
      </x:c>
      <x:c r="G1628" t="str">
        <x:v>equals</x:v>
      </x:c>
      <x:c r="H1628" t="str">
        <x:v>independent physical acceptance</x:v>
      </x:c>
      <x:c r="I1628" t="str">
        <x:f>IF(E1628=1,"PASS","OPEN")</x:f>
        <x:v>OPEN</x:v>
      </x:c>
    </x:row>
    <x:row r="1629">
      <x:c r="B1629" t="str">
        <x:v>PH-TG-641-L</x:v>
      </x:c>
      <x:c r="C1629" t="str">
        <x:v>PHYSICAL</x:v>
      </x:c>
      <x:c r="D1629" t="str">
        <x:v>terrain load</x:v>
      </x:c>
      <x:c r="E1629" t="n">
        <x:f>IF('Terrain Field'!K647&lt;&gt;"",1,0)</x:f>
        <x:v>0</x:v>
      </x:c>
      <x:c r="F1629" t="n">
        <x:v>1</x:v>
      </x:c>
      <x:c r="G1629" t="str">
        <x:v>equals</x:v>
      </x:c>
      <x:c r="H1629" t="str">
        <x:v>independent physical acceptance</x:v>
      </x:c>
      <x:c r="I1629" t="str">
        <x:f>IF(E1629=1,"PASS","OPEN")</x:f>
        <x:v>OPEN</x:v>
      </x:c>
    </x:row>
    <x:row r="1630">
      <x:c r="B1630" t="str">
        <x:v>PH-TG-642-G</x:v>
      </x:c>
      <x:c r="C1630" t="str">
        <x:v>PHYSICAL</x:v>
      </x:c>
      <x:c r="D1630" t="str">
        <x:v>terrain geometry</x:v>
      </x:c>
      <x:c r="E1630" t="n">
        <x:f>IF('Terrain Field'!J648&lt;&gt;"",1,0)</x:f>
        <x:v>0</x:v>
      </x:c>
      <x:c r="F1630" t="n">
        <x:v>1</x:v>
      </x:c>
      <x:c r="G1630" t="str">
        <x:v>equals</x:v>
      </x:c>
      <x:c r="H1630" t="str">
        <x:v>independent physical acceptance</x:v>
      </x:c>
      <x:c r="I1630" t="str">
        <x:f>IF(E1630=1,"PASS","OPEN")</x:f>
        <x:v>OPEN</x:v>
      </x:c>
    </x:row>
    <x:row r="1631">
      <x:c r="B1631" t="str">
        <x:v>PH-TG-642-L</x:v>
      </x:c>
      <x:c r="C1631" t="str">
        <x:v>PHYSICAL</x:v>
      </x:c>
      <x:c r="D1631" t="str">
        <x:v>terrain load</x:v>
      </x:c>
      <x:c r="E1631" t="n">
        <x:f>IF('Terrain Field'!K648&lt;&gt;"",1,0)</x:f>
        <x:v>0</x:v>
      </x:c>
      <x:c r="F1631" t="n">
        <x:v>1</x:v>
      </x:c>
      <x:c r="G1631" t="str">
        <x:v>equals</x:v>
      </x:c>
      <x:c r="H1631" t="str">
        <x:v>independent physical acceptance</x:v>
      </x:c>
      <x:c r="I1631" t="str">
        <x:f>IF(E1631=1,"PASS","OPEN")</x:f>
        <x:v>OPEN</x:v>
      </x:c>
    </x:row>
    <x:row r="1632">
      <x:c r="B1632" t="str">
        <x:v>PH-TG-643-G</x:v>
      </x:c>
      <x:c r="C1632" t="str">
        <x:v>PHYSICAL</x:v>
      </x:c>
      <x:c r="D1632" t="str">
        <x:v>terrain geometry</x:v>
      </x:c>
      <x:c r="E1632" t="n">
        <x:f>IF('Terrain Field'!J649&lt;&gt;"",1,0)</x:f>
        <x:v>0</x:v>
      </x:c>
      <x:c r="F1632" t="n">
        <x:v>1</x:v>
      </x:c>
      <x:c r="G1632" t="str">
        <x:v>equals</x:v>
      </x:c>
      <x:c r="H1632" t="str">
        <x:v>independent physical acceptance</x:v>
      </x:c>
      <x:c r="I1632" t="str">
        <x:f>IF(E1632=1,"PASS","OPEN")</x:f>
        <x:v>OPEN</x:v>
      </x:c>
    </x:row>
    <x:row r="1633">
      <x:c r="B1633" t="str">
        <x:v>PH-TG-643-L</x:v>
      </x:c>
      <x:c r="C1633" t="str">
        <x:v>PHYSICAL</x:v>
      </x:c>
      <x:c r="D1633" t="str">
        <x:v>terrain load</x:v>
      </x:c>
      <x:c r="E1633" t="n">
        <x:f>IF('Terrain Field'!K649&lt;&gt;"",1,0)</x:f>
        <x:v>0</x:v>
      </x:c>
      <x:c r="F1633" t="n">
        <x:v>1</x:v>
      </x:c>
      <x:c r="G1633" t="str">
        <x:v>equals</x:v>
      </x:c>
      <x:c r="H1633" t="str">
        <x:v>independent physical acceptance</x:v>
      </x:c>
      <x:c r="I1633" t="str">
        <x:f>IF(E1633=1,"PASS","OPEN")</x:f>
        <x:v>OPEN</x:v>
      </x:c>
    </x:row>
    <x:row r="1634">
      <x:c r="B1634" t="str">
        <x:v>PH-TG-644-G</x:v>
      </x:c>
      <x:c r="C1634" t="str">
        <x:v>PHYSICAL</x:v>
      </x:c>
      <x:c r="D1634" t="str">
        <x:v>terrain geometry</x:v>
      </x:c>
      <x:c r="E1634" t="n">
        <x:f>IF('Terrain Field'!J650&lt;&gt;"",1,0)</x:f>
        <x:v>0</x:v>
      </x:c>
      <x:c r="F1634" t="n">
        <x:v>1</x:v>
      </x:c>
      <x:c r="G1634" t="str">
        <x:v>equals</x:v>
      </x:c>
      <x:c r="H1634" t="str">
        <x:v>independent physical acceptance</x:v>
      </x:c>
      <x:c r="I1634" t="str">
        <x:f>IF(E1634=1,"PASS","OPEN")</x:f>
        <x:v>OPEN</x:v>
      </x:c>
    </x:row>
    <x:row r="1635">
      <x:c r="B1635" t="str">
        <x:v>PH-TG-644-L</x:v>
      </x:c>
      <x:c r="C1635" t="str">
        <x:v>PHYSICAL</x:v>
      </x:c>
      <x:c r="D1635" t="str">
        <x:v>terrain load</x:v>
      </x:c>
      <x:c r="E1635" t="n">
        <x:f>IF('Terrain Field'!K650&lt;&gt;"",1,0)</x:f>
        <x:v>0</x:v>
      </x:c>
      <x:c r="F1635" t="n">
        <x:v>1</x:v>
      </x:c>
      <x:c r="G1635" t="str">
        <x:v>equals</x:v>
      </x:c>
      <x:c r="H1635" t="str">
        <x:v>independent physical acceptance</x:v>
      </x:c>
      <x:c r="I1635" t="str">
        <x:f>IF(E1635=1,"PASS","OPEN")</x:f>
        <x:v>OPEN</x:v>
      </x:c>
    </x:row>
    <x:row r="1636">
      <x:c r="B1636" t="str">
        <x:v>PH-TG-645-G</x:v>
      </x:c>
      <x:c r="C1636" t="str">
        <x:v>PHYSICAL</x:v>
      </x:c>
      <x:c r="D1636" t="str">
        <x:v>terrain geometry</x:v>
      </x:c>
      <x:c r="E1636" t="n">
        <x:f>IF('Terrain Field'!J651&lt;&gt;"",1,0)</x:f>
        <x:v>0</x:v>
      </x:c>
      <x:c r="F1636" t="n">
        <x:v>1</x:v>
      </x:c>
      <x:c r="G1636" t="str">
        <x:v>equals</x:v>
      </x:c>
      <x:c r="H1636" t="str">
        <x:v>independent physical acceptance</x:v>
      </x:c>
      <x:c r="I1636" t="str">
        <x:f>IF(E1636=1,"PASS","OPEN")</x:f>
        <x:v>OPEN</x:v>
      </x:c>
    </x:row>
    <x:row r="1637">
      <x:c r="B1637" t="str">
        <x:v>PH-TG-645-L</x:v>
      </x:c>
      <x:c r="C1637" t="str">
        <x:v>PHYSICAL</x:v>
      </x:c>
      <x:c r="D1637" t="str">
        <x:v>terrain load</x:v>
      </x:c>
      <x:c r="E1637" t="n">
        <x:f>IF('Terrain Field'!K651&lt;&gt;"",1,0)</x:f>
        <x:v>0</x:v>
      </x:c>
      <x:c r="F1637" t="n">
        <x:v>1</x:v>
      </x:c>
      <x:c r="G1637" t="str">
        <x:v>equals</x:v>
      </x:c>
      <x:c r="H1637" t="str">
        <x:v>independent physical acceptance</x:v>
      </x:c>
      <x:c r="I1637" t="str">
        <x:f>IF(E1637=1,"PASS","OPEN")</x:f>
        <x:v>OPEN</x:v>
      </x:c>
    </x:row>
    <x:row r="1638">
      <x:c r="B1638" t="str">
        <x:v>PH-TG-646-G</x:v>
      </x:c>
      <x:c r="C1638" t="str">
        <x:v>PHYSICAL</x:v>
      </x:c>
      <x:c r="D1638" t="str">
        <x:v>terrain geometry</x:v>
      </x:c>
      <x:c r="E1638" t="n">
        <x:f>IF('Terrain Field'!J652&lt;&gt;"",1,0)</x:f>
        <x:v>0</x:v>
      </x:c>
      <x:c r="F1638" t="n">
        <x:v>1</x:v>
      </x:c>
      <x:c r="G1638" t="str">
        <x:v>equals</x:v>
      </x:c>
      <x:c r="H1638" t="str">
        <x:v>independent physical acceptance</x:v>
      </x:c>
      <x:c r="I1638" t="str">
        <x:f>IF(E1638=1,"PASS","OPEN")</x:f>
        <x:v>OPEN</x:v>
      </x:c>
    </x:row>
    <x:row r="1639">
      <x:c r="B1639" t="str">
        <x:v>PH-TG-646-L</x:v>
      </x:c>
      <x:c r="C1639" t="str">
        <x:v>PHYSICAL</x:v>
      </x:c>
      <x:c r="D1639" t="str">
        <x:v>terrain load</x:v>
      </x:c>
      <x:c r="E1639" t="n">
        <x:f>IF('Terrain Field'!K652&lt;&gt;"",1,0)</x:f>
        <x:v>0</x:v>
      </x:c>
      <x:c r="F1639" t="n">
        <x:v>1</x:v>
      </x:c>
      <x:c r="G1639" t="str">
        <x:v>equals</x:v>
      </x:c>
      <x:c r="H1639" t="str">
        <x:v>independent physical acceptance</x:v>
      </x:c>
      <x:c r="I1639" t="str">
        <x:f>IF(E1639=1,"PASS","OPEN")</x:f>
        <x:v>OPEN</x:v>
      </x:c>
    </x:row>
    <x:row r="1640">
      <x:c r="B1640" t="str">
        <x:v>PH-TG-647-G</x:v>
      </x:c>
      <x:c r="C1640" t="str">
        <x:v>PHYSICAL</x:v>
      </x:c>
      <x:c r="D1640" t="str">
        <x:v>terrain geometry</x:v>
      </x:c>
      <x:c r="E1640" t="n">
        <x:f>IF('Terrain Field'!J653&lt;&gt;"",1,0)</x:f>
        <x:v>0</x:v>
      </x:c>
      <x:c r="F1640" t="n">
        <x:v>1</x:v>
      </x:c>
      <x:c r="G1640" t="str">
        <x:v>equals</x:v>
      </x:c>
      <x:c r="H1640" t="str">
        <x:v>independent physical acceptance</x:v>
      </x:c>
      <x:c r="I1640" t="str">
        <x:f>IF(E1640=1,"PASS","OPEN")</x:f>
        <x:v>OPEN</x:v>
      </x:c>
    </x:row>
    <x:row r="1641">
      <x:c r="B1641" t="str">
        <x:v>PH-TG-647-L</x:v>
      </x:c>
      <x:c r="C1641" t="str">
        <x:v>PHYSICAL</x:v>
      </x:c>
      <x:c r="D1641" t="str">
        <x:v>terrain load</x:v>
      </x:c>
      <x:c r="E1641" t="n">
        <x:f>IF('Terrain Field'!K653&lt;&gt;"",1,0)</x:f>
        <x:v>0</x:v>
      </x:c>
      <x:c r="F1641" t="n">
        <x:v>1</x:v>
      </x:c>
      <x:c r="G1641" t="str">
        <x:v>equals</x:v>
      </x:c>
      <x:c r="H1641" t="str">
        <x:v>independent physical acceptance</x:v>
      </x:c>
      <x:c r="I1641" t="str">
        <x:f>IF(E1641=1,"PASS","OPEN")</x:f>
        <x:v>OPEN</x:v>
      </x:c>
    </x:row>
    <x:row r="1642">
      <x:c r="B1642" t="str">
        <x:v>PH-TG-648-G</x:v>
      </x:c>
      <x:c r="C1642" t="str">
        <x:v>PHYSICAL</x:v>
      </x:c>
      <x:c r="D1642" t="str">
        <x:v>terrain geometry</x:v>
      </x:c>
      <x:c r="E1642" t="n">
        <x:f>IF('Terrain Field'!J654&lt;&gt;"",1,0)</x:f>
        <x:v>0</x:v>
      </x:c>
      <x:c r="F1642" t="n">
        <x:v>1</x:v>
      </x:c>
      <x:c r="G1642" t="str">
        <x:v>equals</x:v>
      </x:c>
      <x:c r="H1642" t="str">
        <x:v>independent physical acceptance</x:v>
      </x:c>
      <x:c r="I1642" t="str">
        <x:f>IF(E1642=1,"PASS","OPEN")</x:f>
        <x:v>OPEN</x:v>
      </x:c>
    </x:row>
    <x:row r="1643">
      <x:c r="B1643" t="str">
        <x:v>PH-TG-648-L</x:v>
      </x:c>
      <x:c r="C1643" t="str">
        <x:v>PHYSICAL</x:v>
      </x:c>
      <x:c r="D1643" t="str">
        <x:v>terrain load</x:v>
      </x:c>
      <x:c r="E1643" t="n">
        <x:f>IF('Terrain Field'!K654&lt;&gt;"",1,0)</x:f>
        <x:v>0</x:v>
      </x:c>
      <x:c r="F1643" t="n">
        <x:v>1</x:v>
      </x:c>
      <x:c r="G1643" t="str">
        <x:v>equals</x:v>
      </x:c>
      <x:c r="H1643" t="str">
        <x:v>independent physical acceptance</x:v>
      </x:c>
      <x:c r="I1643" t="str">
        <x:f>IF(E1643=1,"PASS","OPEN")</x:f>
        <x:v>OPEN</x:v>
      </x:c>
    </x:row>
    <x:row r="1644">
      <x:c r="B1644" t="str">
        <x:v>PH-TG-649-G</x:v>
      </x:c>
      <x:c r="C1644" t="str">
        <x:v>PHYSICAL</x:v>
      </x:c>
      <x:c r="D1644" t="str">
        <x:v>terrain geometry</x:v>
      </x:c>
      <x:c r="E1644" t="n">
        <x:f>IF('Terrain Field'!J655&lt;&gt;"",1,0)</x:f>
        <x:v>0</x:v>
      </x:c>
      <x:c r="F1644" t="n">
        <x:v>1</x:v>
      </x:c>
      <x:c r="G1644" t="str">
        <x:v>equals</x:v>
      </x:c>
      <x:c r="H1644" t="str">
        <x:v>independent physical acceptance</x:v>
      </x:c>
      <x:c r="I1644" t="str">
        <x:f>IF(E1644=1,"PASS","OPEN")</x:f>
        <x:v>OPEN</x:v>
      </x:c>
    </x:row>
    <x:row r="1645">
      <x:c r="B1645" t="str">
        <x:v>PH-TG-649-L</x:v>
      </x:c>
      <x:c r="C1645" t="str">
        <x:v>PHYSICAL</x:v>
      </x:c>
      <x:c r="D1645" t="str">
        <x:v>terrain load</x:v>
      </x:c>
      <x:c r="E1645" t="n">
        <x:f>IF('Terrain Field'!K655&lt;&gt;"",1,0)</x:f>
        <x:v>0</x:v>
      </x:c>
      <x:c r="F1645" t="n">
        <x:v>1</x:v>
      </x:c>
      <x:c r="G1645" t="str">
        <x:v>equals</x:v>
      </x:c>
      <x:c r="H1645" t="str">
        <x:v>independent physical acceptance</x:v>
      </x:c>
      <x:c r="I1645" t="str">
        <x:f>IF(E1645=1,"PASS","OPEN")</x:f>
        <x:v>OPEN</x:v>
      </x:c>
    </x:row>
    <x:row r="1646">
      <x:c r="B1646" t="str">
        <x:v>PH-TG-650-G</x:v>
      </x:c>
      <x:c r="C1646" t="str">
        <x:v>PHYSICAL</x:v>
      </x:c>
      <x:c r="D1646" t="str">
        <x:v>terrain geometry</x:v>
      </x:c>
      <x:c r="E1646" t="n">
        <x:f>IF('Terrain Field'!J656&lt;&gt;"",1,0)</x:f>
        <x:v>0</x:v>
      </x:c>
      <x:c r="F1646" t="n">
        <x:v>1</x:v>
      </x:c>
      <x:c r="G1646" t="str">
        <x:v>equals</x:v>
      </x:c>
      <x:c r="H1646" t="str">
        <x:v>independent physical acceptance</x:v>
      </x:c>
      <x:c r="I1646" t="str">
        <x:f>IF(E1646=1,"PASS","OPEN")</x:f>
        <x:v>OPEN</x:v>
      </x:c>
    </x:row>
    <x:row r="1647">
      <x:c r="B1647" t="str">
        <x:v>PH-TG-650-L</x:v>
      </x:c>
      <x:c r="C1647" t="str">
        <x:v>PHYSICAL</x:v>
      </x:c>
      <x:c r="D1647" t="str">
        <x:v>terrain load</x:v>
      </x:c>
      <x:c r="E1647" t="n">
        <x:f>IF('Terrain Field'!K656&lt;&gt;"",1,0)</x:f>
        <x:v>0</x:v>
      </x:c>
      <x:c r="F1647" t="n">
        <x:v>1</x:v>
      </x:c>
      <x:c r="G1647" t="str">
        <x:v>equals</x:v>
      </x:c>
      <x:c r="H1647" t="str">
        <x:v>independent physical acceptance</x:v>
      </x:c>
      <x:c r="I1647" t="str">
        <x:f>IF(E1647=1,"PASS","OPEN")</x:f>
        <x:v>OPEN</x:v>
      </x:c>
    </x:row>
    <x:row r="1648">
      <x:c r="B1648" t="str">
        <x:v>PH-TG-651-G</x:v>
      </x:c>
      <x:c r="C1648" t="str">
        <x:v>PHYSICAL</x:v>
      </x:c>
      <x:c r="D1648" t="str">
        <x:v>terrain geometry</x:v>
      </x:c>
      <x:c r="E1648" t="n">
        <x:f>IF('Terrain Field'!J657&lt;&gt;"",1,0)</x:f>
        <x:v>0</x:v>
      </x:c>
      <x:c r="F1648" t="n">
        <x:v>1</x:v>
      </x:c>
      <x:c r="G1648" t="str">
        <x:v>equals</x:v>
      </x:c>
      <x:c r="H1648" t="str">
        <x:v>independent physical acceptance</x:v>
      </x:c>
      <x:c r="I1648" t="str">
        <x:f>IF(E1648=1,"PASS","OPEN")</x:f>
        <x:v>OPEN</x:v>
      </x:c>
    </x:row>
    <x:row r="1649">
      <x:c r="B1649" t="str">
        <x:v>PH-TG-651-L</x:v>
      </x:c>
      <x:c r="C1649" t="str">
        <x:v>PHYSICAL</x:v>
      </x:c>
      <x:c r="D1649" t="str">
        <x:v>terrain load</x:v>
      </x:c>
      <x:c r="E1649" t="n">
        <x:f>IF('Terrain Field'!K657&lt;&gt;"",1,0)</x:f>
        <x:v>0</x:v>
      </x:c>
      <x:c r="F1649" t="n">
        <x:v>1</x:v>
      </x:c>
      <x:c r="G1649" t="str">
        <x:v>equals</x:v>
      </x:c>
      <x:c r="H1649" t="str">
        <x:v>independent physical acceptance</x:v>
      </x:c>
      <x:c r="I1649" t="str">
        <x:f>IF(E1649=1,"PASS","OPEN")</x:f>
        <x:v>OPEN</x:v>
      </x:c>
    </x:row>
    <x:row r="1650">
      <x:c r="B1650" t="str">
        <x:v>PH-TG-652-G</x:v>
      </x:c>
      <x:c r="C1650" t="str">
        <x:v>PHYSICAL</x:v>
      </x:c>
      <x:c r="D1650" t="str">
        <x:v>terrain geometry</x:v>
      </x:c>
      <x:c r="E1650" t="n">
        <x:f>IF('Terrain Field'!J658&lt;&gt;"",1,0)</x:f>
        <x:v>0</x:v>
      </x:c>
      <x:c r="F1650" t="n">
        <x:v>1</x:v>
      </x:c>
      <x:c r="G1650" t="str">
        <x:v>equals</x:v>
      </x:c>
      <x:c r="H1650" t="str">
        <x:v>independent physical acceptance</x:v>
      </x:c>
      <x:c r="I1650" t="str">
        <x:f>IF(E1650=1,"PASS","OPEN")</x:f>
        <x:v>OPEN</x:v>
      </x:c>
    </x:row>
    <x:row r="1651">
      <x:c r="B1651" t="str">
        <x:v>PH-TG-652-L</x:v>
      </x:c>
      <x:c r="C1651" t="str">
        <x:v>PHYSICAL</x:v>
      </x:c>
      <x:c r="D1651" t="str">
        <x:v>terrain load</x:v>
      </x:c>
      <x:c r="E1651" t="n">
        <x:f>IF('Terrain Field'!K658&lt;&gt;"",1,0)</x:f>
        <x:v>0</x:v>
      </x:c>
      <x:c r="F1651" t="n">
        <x:v>1</x:v>
      </x:c>
      <x:c r="G1651" t="str">
        <x:v>equals</x:v>
      </x:c>
      <x:c r="H1651" t="str">
        <x:v>independent physical acceptance</x:v>
      </x:c>
      <x:c r="I1651" t="str">
        <x:f>IF(E1651=1,"PASS","OPEN")</x:f>
        <x:v>OPEN</x:v>
      </x:c>
    </x:row>
    <x:row r="1652">
      <x:c r="B1652" t="str">
        <x:v>PH-TG-653-G</x:v>
      </x:c>
      <x:c r="C1652" t="str">
        <x:v>PHYSICAL</x:v>
      </x:c>
      <x:c r="D1652" t="str">
        <x:v>terrain geometry</x:v>
      </x:c>
      <x:c r="E1652" t="n">
        <x:f>IF('Terrain Field'!J659&lt;&gt;"",1,0)</x:f>
        <x:v>0</x:v>
      </x:c>
      <x:c r="F1652" t="n">
        <x:v>1</x:v>
      </x:c>
      <x:c r="G1652" t="str">
        <x:v>equals</x:v>
      </x:c>
      <x:c r="H1652" t="str">
        <x:v>independent physical acceptance</x:v>
      </x:c>
      <x:c r="I1652" t="str">
        <x:f>IF(E1652=1,"PASS","OPEN")</x:f>
        <x:v>OPEN</x:v>
      </x:c>
    </x:row>
    <x:row r="1653">
      <x:c r="B1653" t="str">
        <x:v>PH-TG-653-L</x:v>
      </x:c>
      <x:c r="C1653" t="str">
        <x:v>PHYSICAL</x:v>
      </x:c>
      <x:c r="D1653" t="str">
        <x:v>terrain load</x:v>
      </x:c>
      <x:c r="E1653" t="n">
        <x:f>IF('Terrain Field'!K659&lt;&gt;"",1,0)</x:f>
        <x:v>0</x:v>
      </x:c>
      <x:c r="F1653" t="n">
        <x:v>1</x:v>
      </x:c>
      <x:c r="G1653" t="str">
        <x:v>equals</x:v>
      </x:c>
      <x:c r="H1653" t="str">
        <x:v>independent physical acceptance</x:v>
      </x:c>
      <x:c r="I1653" t="str">
        <x:f>IF(E1653=1,"PASS","OPEN")</x:f>
        <x:v>OPEN</x:v>
      </x:c>
    </x:row>
    <x:row r="1654">
      <x:c r="B1654" t="str">
        <x:v>PH-TG-654-G</x:v>
      </x:c>
      <x:c r="C1654" t="str">
        <x:v>PHYSICAL</x:v>
      </x:c>
      <x:c r="D1654" t="str">
        <x:v>terrain geometry</x:v>
      </x:c>
      <x:c r="E1654" t="n">
        <x:f>IF('Terrain Field'!J660&lt;&gt;"",1,0)</x:f>
        <x:v>0</x:v>
      </x:c>
      <x:c r="F1654" t="n">
        <x:v>1</x:v>
      </x:c>
      <x:c r="G1654" t="str">
        <x:v>equals</x:v>
      </x:c>
      <x:c r="H1654" t="str">
        <x:v>independent physical acceptance</x:v>
      </x:c>
      <x:c r="I1654" t="str">
        <x:f>IF(E1654=1,"PASS","OPEN")</x:f>
        <x:v>OPEN</x:v>
      </x:c>
    </x:row>
    <x:row r="1655">
      <x:c r="B1655" t="str">
        <x:v>PH-TG-654-L</x:v>
      </x:c>
      <x:c r="C1655" t="str">
        <x:v>PHYSICAL</x:v>
      </x:c>
      <x:c r="D1655" t="str">
        <x:v>terrain load</x:v>
      </x:c>
      <x:c r="E1655" t="n">
        <x:f>IF('Terrain Field'!K660&lt;&gt;"",1,0)</x:f>
        <x:v>0</x:v>
      </x:c>
      <x:c r="F1655" t="n">
        <x:v>1</x:v>
      </x:c>
      <x:c r="G1655" t="str">
        <x:v>equals</x:v>
      </x:c>
      <x:c r="H1655" t="str">
        <x:v>independent physical acceptance</x:v>
      </x:c>
      <x:c r="I1655" t="str">
        <x:f>IF(E1655=1,"PASS","OPEN")</x:f>
        <x:v>OPEN</x:v>
      </x:c>
    </x:row>
    <x:row r="1656">
      <x:c r="B1656" t="str">
        <x:v>PH-TG-655-G</x:v>
      </x:c>
      <x:c r="C1656" t="str">
        <x:v>PHYSICAL</x:v>
      </x:c>
      <x:c r="D1656" t="str">
        <x:v>terrain geometry</x:v>
      </x:c>
      <x:c r="E1656" t="n">
        <x:f>IF('Terrain Field'!J661&lt;&gt;"",1,0)</x:f>
        <x:v>0</x:v>
      </x:c>
      <x:c r="F1656" t="n">
        <x:v>1</x:v>
      </x:c>
      <x:c r="G1656" t="str">
        <x:v>equals</x:v>
      </x:c>
      <x:c r="H1656" t="str">
        <x:v>independent physical acceptance</x:v>
      </x:c>
      <x:c r="I1656" t="str">
        <x:f>IF(E1656=1,"PASS","OPEN")</x:f>
        <x:v>OPEN</x:v>
      </x:c>
    </x:row>
    <x:row r="1657">
      <x:c r="B1657" t="str">
        <x:v>PH-TG-655-L</x:v>
      </x:c>
      <x:c r="C1657" t="str">
        <x:v>PHYSICAL</x:v>
      </x:c>
      <x:c r="D1657" t="str">
        <x:v>terrain load</x:v>
      </x:c>
      <x:c r="E1657" t="n">
        <x:f>IF('Terrain Field'!K661&lt;&gt;"",1,0)</x:f>
        <x:v>0</x:v>
      </x:c>
      <x:c r="F1657" t="n">
        <x:v>1</x:v>
      </x:c>
      <x:c r="G1657" t="str">
        <x:v>equals</x:v>
      </x:c>
      <x:c r="H1657" t="str">
        <x:v>independent physical acceptance</x:v>
      </x:c>
      <x:c r="I1657" t="str">
        <x:f>IF(E1657=1,"PASS","OPEN")</x:f>
        <x:v>OPEN</x:v>
      </x:c>
    </x:row>
    <x:row r="1658">
      <x:c r="B1658" t="str">
        <x:v>PH-TG-656-G</x:v>
      </x:c>
      <x:c r="C1658" t="str">
        <x:v>PHYSICAL</x:v>
      </x:c>
      <x:c r="D1658" t="str">
        <x:v>terrain geometry</x:v>
      </x:c>
      <x:c r="E1658" t="n">
        <x:f>IF('Terrain Field'!J662&lt;&gt;"",1,0)</x:f>
        <x:v>0</x:v>
      </x:c>
      <x:c r="F1658" t="n">
        <x:v>1</x:v>
      </x:c>
      <x:c r="G1658" t="str">
        <x:v>equals</x:v>
      </x:c>
      <x:c r="H1658" t="str">
        <x:v>independent physical acceptance</x:v>
      </x:c>
      <x:c r="I1658" t="str">
        <x:f>IF(E1658=1,"PASS","OPEN")</x:f>
        <x:v>OPEN</x:v>
      </x:c>
    </x:row>
    <x:row r="1659">
      <x:c r="B1659" t="str">
        <x:v>PH-TG-656-L</x:v>
      </x:c>
      <x:c r="C1659" t="str">
        <x:v>PHYSICAL</x:v>
      </x:c>
      <x:c r="D1659" t="str">
        <x:v>terrain load</x:v>
      </x:c>
      <x:c r="E1659" t="n">
        <x:f>IF('Terrain Field'!K662&lt;&gt;"",1,0)</x:f>
        <x:v>0</x:v>
      </x:c>
      <x:c r="F1659" t="n">
        <x:v>1</x:v>
      </x:c>
      <x:c r="G1659" t="str">
        <x:v>equals</x:v>
      </x:c>
      <x:c r="H1659" t="str">
        <x:v>independent physical acceptance</x:v>
      </x:c>
      <x:c r="I1659" t="str">
        <x:f>IF(E1659=1,"PASS","OPEN")</x:f>
        <x:v>OPEN</x:v>
      </x:c>
    </x:row>
    <x:row r="1660">
      <x:c r="B1660" t="str">
        <x:v>PH-TG-657-G</x:v>
      </x:c>
      <x:c r="C1660" t="str">
        <x:v>PHYSICAL</x:v>
      </x:c>
      <x:c r="D1660" t="str">
        <x:v>terrain geometry</x:v>
      </x:c>
      <x:c r="E1660" t="n">
        <x:f>IF('Terrain Field'!J663&lt;&gt;"",1,0)</x:f>
        <x:v>0</x:v>
      </x:c>
      <x:c r="F1660" t="n">
        <x:v>1</x:v>
      </x:c>
      <x:c r="G1660" t="str">
        <x:v>equals</x:v>
      </x:c>
      <x:c r="H1660" t="str">
        <x:v>independent physical acceptance</x:v>
      </x:c>
      <x:c r="I1660" t="str">
        <x:f>IF(E1660=1,"PASS","OPEN")</x:f>
        <x:v>OPEN</x:v>
      </x:c>
    </x:row>
    <x:row r="1661">
      <x:c r="B1661" t="str">
        <x:v>PH-TG-657-L</x:v>
      </x:c>
      <x:c r="C1661" t="str">
        <x:v>PHYSICAL</x:v>
      </x:c>
      <x:c r="D1661" t="str">
        <x:v>terrain load</x:v>
      </x:c>
      <x:c r="E1661" t="n">
        <x:f>IF('Terrain Field'!K663&lt;&gt;"",1,0)</x:f>
        <x:v>0</x:v>
      </x:c>
      <x:c r="F1661" t="n">
        <x:v>1</x:v>
      </x:c>
      <x:c r="G1661" t="str">
        <x:v>equals</x:v>
      </x:c>
      <x:c r="H1661" t="str">
        <x:v>independent physical acceptance</x:v>
      </x:c>
      <x:c r="I1661" t="str">
        <x:f>IF(E1661=1,"PASS","OPEN")</x:f>
        <x:v>OPEN</x:v>
      </x:c>
    </x:row>
    <x:row r="1662">
      <x:c r="B1662" t="str">
        <x:v>PH-TG-658-G</x:v>
      </x:c>
      <x:c r="C1662" t="str">
        <x:v>PHYSICAL</x:v>
      </x:c>
      <x:c r="D1662" t="str">
        <x:v>terrain geometry</x:v>
      </x:c>
      <x:c r="E1662" t="n">
        <x:f>IF('Terrain Field'!J664&lt;&gt;"",1,0)</x:f>
        <x:v>0</x:v>
      </x:c>
      <x:c r="F1662" t="n">
        <x:v>1</x:v>
      </x:c>
      <x:c r="G1662" t="str">
        <x:v>equals</x:v>
      </x:c>
      <x:c r="H1662" t="str">
        <x:v>independent physical acceptance</x:v>
      </x:c>
      <x:c r="I1662" t="str">
        <x:f>IF(E1662=1,"PASS","OPEN")</x:f>
        <x:v>OPEN</x:v>
      </x:c>
    </x:row>
    <x:row r="1663">
      <x:c r="B1663" t="str">
        <x:v>PH-TG-658-L</x:v>
      </x:c>
      <x:c r="C1663" t="str">
        <x:v>PHYSICAL</x:v>
      </x:c>
      <x:c r="D1663" t="str">
        <x:v>terrain load</x:v>
      </x:c>
      <x:c r="E1663" t="n">
        <x:f>IF('Terrain Field'!K664&lt;&gt;"",1,0)</x:f>
        <x:v>0</x:v>
      </x:c>
      <x:c r="F1663" t="n">
        <x:v>1</x:v>
      </x:c>
      <x:c r="G1663" t="str">
        <x:v>equals</x:v>
      </x:c>
      <x:c r="H1663" t="str">
        <x:v>independent physical acceptance</x:v>
      </x:c>
      <x:c r="I1663" t="str">
        <x:f>IF(E1663=1,"PASS","OPEN")</x:f>
        <x:v>OPEN</x:v>
      </x:c>
    </x:row>
    <x:row r="1664">
      <x:c r="B1664" t="str">
        <x:v>PH-TG-659-G</x:v>
      </x:c>
      <x:c r="C1664" t="str">
        <x:v>PHYSICAL</x:v>
      </x:c>
      <x:c r="D1664" t="str">
        <x:v>terrain geometry</x:v>
      </x:c>
      <x:c r="E1664" t="n">
        <x:f>IF('Terrain Field'!J665&lt;&gt;"",1,0)</x:f>
        <x:v>0</x:v>
      </x:c>
      <x:c r="F1664" t="n">
        <x:v>1</x:v>
      </x:c>
      <x:c r="G1664" t="str">
        <x:v>equals</x:v>
      </x:c>
      <x:c r="H1664" t="str">
        <x:v>independent physical acceptance</x:v>
      </x:c>
      <x:c r="I1664" t="str">
        <x:f>IF(E1664=1,"PASS","OPEN")</x:f>
        <x:v>OPEN</x:v>
      </x:c>
    </x:row>
    <x:row r="1665">
      <x:c r="B1665" t="str">
        <x:v>PH-TG-659-L</x:v>
      </x:c>
      <x:c r="C1665" t="str">
        <x:v>PHYSICAL</x:v>
      </x:c>
      <x:c r="D1665" t="str">
        <x:v>terrain load</x:v>
      </x:c>
      <x:c r="E1665" t="n">
        <x:f>IF('Terrain Field'!K665&lt;&gt;"",1,0)</x:f>
        <x:v>0</x:v>
      </x:c>
      <x:c r="F1665" t="n">
        <x:v>1</x:v>
      </x:c>
      <x:c r="G1665" t="str">
        <x:v>equals</x:v>
      </x:c>
      <x:c r="H1665" t="str">
        <x:v>independent physical acceptance</x:v>
      </x:c>
      <x:c r="I1665" t="str">
        <x:f>IF(E1665=1,"PASS","OPEN")</x:f>
        <x:v>OPEN</x:v>
      </x:c>
    </x:row>
    <x:row r="1666">
      <x:c r="B1666" t="str">
        <x:v>PH-TG-660-G</x:v>
      </x:c>
      <x:c r="C1666" t="str">
        <x:v>PHYSICAL</x:v>
      </x:c>
      <x:c r="D1666" t="str">
        <x:v>terrain geometry</x:v>
      </x:c>
      <x:c r="E1666" t="n">
        <x:f>IF('Terrain Field'!J666&lt;&gt;"",1,0)</x:f>
        <x:v>0</x:v>
      </x:c>
      <x:c r="F1666" t="n">
        <x:v>1</x:v>
      </x:c>
      <x:c r="G1666" t="str">
        <x:v>equals</x:v>
      </x:c>
      <x:c r="H1666" t="str">
        <x:v>independent physical acceptance</x:v>
      </x:c>
      <x:c r="I1666" t="str">
        <x:f>IF(E1666=1,"PASS","OPEN")</x:f>
        <x:v>OPEN</x:v>
      </x:c>
    </x:row>
    <x:row r="1667">
      <x:c r="B1667" t="str">
        <x:v>PH-TG-660-L</x:v>
      </x:c>
      <x:c r="C1667" t="str">
        <x:v>PHYSICAL</x:v>
      </x:c>
      <x:c r="D1667" t="str">
        <x:v>terrain load</x:v>
      </x:c>
      <x:c r="E1667" t="n">
        <x:f>IF('Terrain Field'!K666&lt;&gt;"",1,0)</x:f>
        <x:v>0</x:v>
      </x:c>
      <x:c r="F1667" t="n">
        <x:v>1</x:v>
      </x:c>
      <x:c r="G1667" t="str">
        <x:v>equals</x:v>
      </x:c>
      <x:c r="H1667" t="str">
        <x:v>independent physical acceptance</x:v>
      </x:c>
      <x:c r="I1667" t="str">
        <x:f>IF(E1667=1,"PASS","OPEN")</x:f>
        <x:v>OPEN</x:v>
      </x:c>
    </x:row>
    <x:row r="1668">
      <x:c r="B1668" t="str">
        <x:v>PH-TG-661-G</x:v>
      </x:c>
      <x:c r="C1668" t="str">
        <x:v>PHYSICAL</x:v>
      </x:c>
      <x:c r="D1668" t="str">
        <x:v>terrain geometry</x:v>
      </x:c>
      <x:c r="E1668" t="n">
        <x:f>IF('Terrain Field'!J667&lt;&gt;"",1,0)</x:f>
        <x:v>0</x:v>
      </x:c>
      <x:c r="F1668" t="n">
        <x:v>1</x:v>
      </x:c>
      <x:c r="G1668" t="str">
        <x:v>equals</x:v>
      </x:c>
      <x:c r="H1668" t="str">
        <x:v>independent physical acceptance</x:v>
      </x:c>
      <x:c r="I1668" t="str">
        <x:f>IF(E1668=1,"PASS","OPEN")</x:f>
        <x:v>OPEN</x:v>
      </x:c>
    </x:row>
    <x:row r="1669">
      <x:c r="B1669" t="str">
        <x:v>PH-TG-661-L</x:v>
      </x:c>
      <x:c r="C1669" t="str">
        <x:v>PHYSICAL</x:v>
      </x:c>
      <x:c r="D1669" t="str">
        <x:v>terrain load</x:v>
      </x:c>
      <x:c r="E1669" t="n">
        <x:f>IF('Terrain Field'!K667&lt;&gt;"",1,0)</x:f>
        <x:v>0</x:v>
      </x:c>
      <x:c r="F1669" t="n">
        <x:v>1</x:v>
      </x:c>
      <x:c r="G1669" t="str">
        <x:v>equals</x:v>
      </x:c>
      <x:c r="H1669" t="str">
        <x:v>independent physical acceptance</x:v>
      </x:c>
      <x:c r="I1669" t="str">
        <x:f>IF(E1669=1,"PASS","OPEN")</x:f>
        <x:v>OPEN</x:v>
      </x:c>
    </x:row>
    <x:row r="1670">
      <x:c r="B1670" t="str">
        <x:v>PH-TG-662-G</x:v>
      </x:c>
      <x:c r="C1670" t="str">
        <x:v>PHYSICAL</x:v>
      </x:c>
      <x:c r="D1670" t="str">
        <x:v>terrain geometry</x:v>
      </x:c>
      <x:c r="E1670" t="n">
        <x:f>IF('Terrain Field'!J668&lt;&gt;"",1,0)</x:f>
        <x:v>0</x:v>
      </x:c>
      <x:c r="F1670" t="n">
        <x:v>1</x:v>
      </x:c>
      <x:c r="G1670" t="str">
        <x:v>equals</x:v>
      </x:c>
      <x:c r="H1670" t="str">
        <x:v>independent physical acceptance</x:v>
      </x:c>
      <x:c r="I1670" t="str">
        <x:f>IF(E1670=1,"PASS","OPEN")</x:f>
        <x:v>OPEN</x:v>
      </x:c>
    </x:row>
    <x:row r="1671">
      <x:c r="B1671" t="str">
        <x:v>PH-TG-662-L</x:v>
      </x:c>
      <x:c r="C1671" t="str">
        <x:v>PHYSICAL</x:v>
      </x:c>
      <x:c r="D1671" t="str">
        <x:v>terrain load</x:v>
      </x:c>
      <x:c r="E1671" t="n">
        <x:f>IF('Terrain Field'!K668&lt;&gt;"",1,0)</x:f>
        <x:v>0</x:v>
      </x:c>
      <x:c r="F1671" t="n">
        <x:v>1</x:v>
      </x:c>
      <x:c r="G1671" t="str">
        <x:v>equals</x:v>
      </x:c>
      <x:c r="H1671" t="str">
        <x:v>independent physical acceptance</x:v>
      </x:c>
      <x:c r="I1671" t="str">
        <x:f>IF(E1671=1,"PASS","OPEN")</x:f>
        <x:v>OPEN</x:v>
      </x:c>
    </x:row>
    <x:row r="1672">
      <x:c r="B1672" t="str">
        <x:v>PH-TG-663-G</x:v>
      </x:c>
      <x:c r="C1672" t="str">
        <x:v>PHYSICAL</x:v>
      </x:c>
      <x:c r="D1672" t="str">
        <x:v>terrain geometry</x:v>
      </x:c>
      <x:c r="E1672" t="n">
        <x:f>IF('Terrain Field'!J669&lt;&gt;"",1,0)</x:f>
        <x:v>0</x:v>
      </x:c>
      <x:c r="F1672" t="n">
        <x:v>1</x:v>
      </x:c>
      <x:c r="G1672" t="str">
        <x:v>equals</x:v>
      </x:c>
      <x:c r="H1672" t="str">
        <x:v>independent physical acceptance</x:v>
      </x:c>
      <x:c r="I1672" t="str">
        <x:f>IF(E1672=1,"PASS","OPEN")</x:f>
        <x:v>OPEN</x:v>
      </x:c>
    </x:row>
    <x:row r="1673">
      <x:c r="B1673" t="str">
        <x:v>PH-TG-663-L</x:v>
      </x:c>
      <x:c r="C1673" t="str">
        <x:v>PHYSICAL</x:v>
      </x:c>
      <x:c r="D1673" t="str">
        <x:v>terrain load</x:v>
      </x:c>
      <x:c r="E1673" t="n">
        <x:f>IF('Terrain Field'!K669&lt;&gt;"",1,0)</x:f>
        <x:v>0</x:v>
      </x:c>
      <x:c r="F1673" t="n">
        <x:v>1</x:v>
      </x:c>
      <x:c r="G1673" t="str">
        <x:v>equals</x:v>
      </x:c>
      <x:c r="H1673" t="str">
        <x:v>independent physical acceptance</x:v>
      </x:c>
      <x:c r="I1673" t="str">
        <x:f>IF(E1673=1,"PASS","OPEN")</x:f>
        <x:v>OPEN</x:v>
      </x:c>
    </x:row>
    <x:row r="1674">
      <x:c r="B1674" t="str">
        <x:v>PH-TG-664-G</x:v>
      </x:c>
      <x:c r="C1674" t="str">
        <x:v>PHYSICAL</x:v>
      </x:c>
      <x:c r="D1674" t="str">
        <x:v>terrain geometry</x:v>
      </x:c>
      <x:c r="E1674" t="n">
        <x:f>IF('Terrain Field'!J670&lt;&gt;"",1,0)</x:f>
        <x:v>0</x:v>
      </x:c>
      <x:c r="F1674" t="n">
        <x:v>1</x:v>
      </x:c>
      <x:c r="G1674" t="str">
        <x:v>equals</x:v>
      </x:c>
      <x:c r="H1674" t="str">
        <x:v>independent physical acceptance</x:v>
      </x:c>
      <x:c r="I1674" t="str">
        <x:f>IF(E1674=1,"PASS","OPEN")</x:f>
        <x:v>OPEN</x:v>
      </x:c>
    </x:row>
    <x:row r="1675">
      <x:c r="B1675" t="str">
        <x:v>PH-TG-664-L</x:v>
      </x:c>
      <x:c r="C1675" t="str">
        <x:v>PHYSICAL</x:v>
      </x:c>
      <x:c r="D1675" t="str">
        <x:v>terrain load</x:v>
      </x:c>
      <x:c r="E1675" t="n">
        <x:f>IF('Terrain Field'!K670&lt;&gt;"",1,0)</x:f>
        <x:v>0</x:v>
      </x:c>
      <x:c r="F1675" t="n">
        <x:v>1</x:v>
      </x:c>
      <x:c r="G1675" t="str">
        <x:v>equals</x:v>
      </x:c>
      <x:c r="H1675" t="str">
        <x:v>independent physical acceptance</x:v>
      </x:c>
      <x:c r="I1675" t="str">
        <x:f>IF(E1675=1,"PASS","OPEN")</x:f>
        <x:v>OPEN</x:v>
      </x:c>
    </x:row>
    <x:row r="1676">
      <x:c r="B1676" t="str">
        <x:v>PH-TG-665-G</x:v>
      </x:c>
      <x:c r="C1676" t="str">
        <x:v>PHYSICAL</x:v>
      </x:c>
      <x:c r="D1676" t="str">
        <x:v>terrain geometry</x:v>
      </x:c>
      <x:c r="E1676" t="n">
        <x:f>IF('Terrain Field'!J671&lt;&gt;"",1,0)</x:f>
        <x:v>0</x:v>
      </x:c>
      <x:c r="F1676" t="n">
        <x:v>1</x:v>
      </x:c>
      <x:c r="G1676" t="str">
        <x:v>equals</x:v>
      </x:c>
      <x:c r="H1676" t="str">
        <x:v>independent physical acceptance</x:v>
      </x:c>
      <x:c r="I1676" t="str">
        <x:f>IF(E1676=1,"PASS","OPEN")</x:f>
        <x:v>OPEN</x:v>
      </x:c>
    </x:row>
    <x:row r="1677">
      <x:c r="B1677" t="str">
        <x:v>PH-TG-665-L</x:v>
      </x:c>
      <x:c r="C1677" t="str">
        <x:v>PHYSICAL</x:v>
      </x:c>
      <x:c r="D1677" t="str">
        <x:v>terrain load</x:v>
      </x:c>
      <x:c r="E1677" t="n">
        <x:f>IF('Terrain Field'!K671&lt;&gt;"",1,0)</x:f>
        <x:v>0</x:v>
      </x:c>
      <x:c r="F1677" t="n">
        <x:v>1</x:v>
      </x:c>
      <x:c r="G1677" t="str">
        <x:v>equals</x:v>
      </x:c>
      <x:c r="H1677" t="str">
        <x:v>independent physical acceptance</x:v>
      </x:c>
      <x:c r="I1677" t="str">
        <x:f>IF(E1677=1,"PASS","OPEN")</x:f>
        <x:v>OPEN</x:v>
      </x:c>
    </x:row>
    <x:row r="1678">
      <x:c r="B1678" t="str">
        <x:v>PH-TG-666-G</x:v>
      </x:c>
      <x:c r="C1678" t="str">
        <x:v>PHYSICAL</x:v>
      </x:c>
      <x:c r="D1678" t="str">
        <x:v>terrain geometry</x:v>
      </x:c>
      <x:c r="E1678" t="n">
        <x:f>IF('Terrain Field'!J672&lt;&gt;"",1,0)</x:f>
        <x:v>0</x:v>
      </x:c>
      <x:c r="F1678" t="n">
        <x:v>1</x:v>
      </x:c>
      <x:c r="G1678" t="str">
        <x:v>equals</x:v>
      </x:c>
      <x:c r="H1678" t="str">
        <x:v>independent physical acceptance</x:v>
      </x:c>
      <x:c r="I1678" t="str">
        <x:f>IF(E1678=1,"PASS","OPEN")</x:f>
        <x:v>OPEN</x:v>
      </x:c>
    </x:row>
    <x:row r="1679">
      <x:c r="B1679" t="str">
        <x:v>PH-TG-666-L</x:v>
      </x:c>
      <x:c r="C1679" t="str">
        <x:v>PHYSICAL</x:v>
      </x:c>
      <x:c r="D1679" t="str">
        <x:v>terrain load</x:v>
      </x:c>
      <x:c r="E1679" t="n">
        <x:f>IF('Terrain Field'!K672&lt;&gt;"",1,0)</x:f>
        <x:v>0</x:v>
      </x:c>
      <x:c r="F1679" t="n">
        <x:v>1</x:v>
      </x:c>
      <x:c r="G1679" t="str">
        <x:v>equals</x:v>
      </x:c>
      <x:c r="H1679" t="str">
        <x:v>independent physical acceptance</x:v>
      </x:c>
      <x:c r="I1679" t="str">
        <x:f>IF(E1679=1,"PASS","OPEN")</x:f>
        <x:v>OPEN</x:v>
      </x:c>
    </x:row>
    <x:row r="1680">
      <x:c r="B1680" t="str">
        <x:v>PH-TG-667-G</x:v>
      </x:c>
      <x:c r="C1680" t="str">
        <x:v>PHYSICAL</x:v>
      </x:c>
      <x:c r="D1680" t="str">
        <x:v>terrain geometry</x:v>
      </x:c>
      <x:c r="E1680" t="n">
        <x:f>IF('Terrain Field'!J673&lt;&gt;"",1,0)</x:f>
        <x:v>0</x:v>
      </x:c>
      <x:c r="F1680" t="n">
        <x:v>1</x:v>
      </x:c>
      <x:c r="G1680" t="str">
        <x:v>equals</x:v>
      </x:c>
      <x:c r="H1680" t="str">
        <x:v>independent physical acceptance</x:v>
      </x:c>
      <x:c r="I1680" t="str">
        <x:f>IF(E1680=1,"PASS","OPEN")</x:f>
        <x:v>OPEN</x:v>
      </x:c>
    </x:row>
    <x:row r="1681">
      <x:c r="B1681" t="str">
        <x:v>PH-TG-667-L</x:v>
      </x:c>
      <x:c r="C1681" t="str">
        <x:v>PHYSICAL</x:v>
      </x:c>
      <x:c r="D1681" t="str">
        <x:v>terrain load</x:v>
      </x:c>
      <x:c r="E1681" t="n">
        <x:f>IF('Terrain Field'!K673&lt;&gt;"",1,0)</x:f>
        <x:v>0</x:v>
      </x:c>
      <x:c r="F1681" t="n">
        <x:v>1</x:v>
      </x:c>
      <x:c r="G1681" t="str">
        <x:v>equals</x:v>
      </x:c>
      <x:c r="H1681" t="str">
        <x:v>independent physical acceptance</x:v>
      </x:c>
      <x:c r="I1681" t="str">
        <x:f>IF(E1681=1,"PASS","OPEN")</x:f>
        <x:v>OPEN</x:v>
      </x:c>
    </x:row>
    <x:row r="1682">
      <x:c r="B1682" t="str">
        <x:v>PH-TG-668-G</x:v>
      </x:c>
      <x:c r="C1682" t="str">
        <x:v>PHYSICAL</x:v>
      </x:c>
      <x:c r="D1682" t="str">
        <x:v>terrain geometry</x:v>
      </x:c>
      <x:c r="E1682" t="n">
        <x:f>IF('Terrain Field'!J674&lt;&gt;"",1,0)</x:f>
        <x:v>0</x:v>
      </x:c>
      <x:c r="F1682" t="n">
        <x:v>1</x:v>
      </x:c>
      <x:c r="G1682" t="str">
        <x:v>equals</x:v>
      </x:c>
      <x:c r="H1682" t="str">
        <x:v>independent physical acceptance</x:v>
      </x:c>
      <x:c r="I1682" t="str">
        <x:f>IF(E1682=1,"PASS","OPEN")</x:f>
        <x:v>OPEN</x:v>
      </x:c>
    </x:row>
    <x:row r="1683">
      <x:c r="B1683" t="str">
        <x:v>PH-TG-668-L</x:v>
      </x:c>
      <x:c r="C1683" t="str">
        <x:v>PHYSICAL</x:v>
      </x:c>
      <x:c r="D1683" t="str">
        <x:v>terrain load</x:v>
      </x:c>
      <x:c r="E1683" t="n">
        <x:f>IF('Terrain Field'!K674&lt;&gt;"",1,0)</x:f>
        <x:v>0</x:v>
      </x:c>
      <x:c r="F1683" t="n">
        <x:v>1</x:v>
      </x:c>
      <x:c r="G1683" t="str">
        <x:v>equals</x:v>
      </x:c>
      <x:c r="H1683" t="str">
        <x:v>independent physical acceptance</x:v>
      </x:c>
      <x:c r="I1683" t="str">
        <x:f>IF(E1683=1,"PASS","OPEN")</x:f>
        <x:v>OPEN</x:v>
      </x:c>
    </x:row>
    <x:row r="1684">
      <x:c r="B1684" t="str">
        <x:v>PH-TG-669-G</x:v>
      </x:c>
      <x:c r="C1684" t="str">
        <x:v>PHYSICAL</x:v>
      </x:c>
      <x:c r="D1684" t="str">
        <x:v>terrain geometry</x:v>
      </x:c>
      <x:c r="E1684" t="n">
        <x:f>IF('Terrain Field'!J675&lt;&gt;"",1,0)</x:f>
        <x:v>0</x:v>
      </x:c>
      <x:c r="F1684" t="n">
        <x:v>1</x:v>
      </x:c>
      <x:c r="G1684" t="str">
        <x:v>equals</x:v>
      </x:c>
      <x:c r="H1684" t="str">
        <x:v>independent physical acceptance</x:v>
      </x:c>
      <x:c r="I1684" t="str">
        <x:f>IF(E1684=1,"PASS","OPEN")</x:f>
        <x:v>OPEN</x:v>
      </x:c>
    </x:row>
    <x:row r="1685">
      <x:c r="B1685" t="str">
        <x:v>PH-TG-669-L</x:v>
      </x:c>
      <x:c r="C1685" t="str">
        <x:v>PHYSICAL</x:v>
      </x:c>
      <x:c r="D1685" t="str">
        <x:v>terrain load</x:v>
      </x:c>
      <x:c r="E1685" t="n">
        <x:f>IF('Terrain Field'!K675&lt;&gt;"",1,0)</x:f>
        <x:v>0</x:v>
      </x:c>
      <x:c r="F1685" t="n">
        <x:v>1</x:v>
      </x:c>
      <x:c r="G1685" t="str">
        <x:v>equals</x:v>
      </x:c>
      <x:c r="H1685" t="str">
        <x:v>independent physical acceptance</x:v>
      </x:c>
      <x:c r="I1685" t="str">
        <x:f>IF(E1685=1,"PASS","OPEN")</x:f>
        <x:v>OPEN</x:v>
      </x:c>
    </x:row>
    <x:row r="1686">
      <x:c r="B1686" t="str">
        <x:v>PH-TG-670-G</x:v>
      </x:c>
      <x:c r="C1686" t="str">
        <x:v>PHYSICAL</x:v>
      </x:c>
      <x:c r="D1686" t="str">
        <x:v>terrain geometry</x:v>
      </x:c>
      <x:c r="E1686" t="n">
        <x:f>IF('Terrain Field'!J676&lt;&gt;"",1,0)</x:f>
        <x:v>0</x:v>
      </x:c>
      <x:c r="F1686" t="n">
        <x:v>1</x:v>
      </x:c>
      <x:c r="G1686" t="str">
        <x:v>equals</x:v>
      </x:c>
      <x:c r="H1686" t="str">
        <x:v>independent physical acceptance</x:v>
      </x:c>
      <x:c r="I1686" t="str">
        <x:f>IF(E1686=1,"PASS","OPEN")</x:f>
        <x:v>OPEN</x:v>
      </x:c>
    </x:row>
    <x:row r="1687">
      <x:c r="B1687" t="str">
        <x:v>PH-TG-670-L</x:v>
      </x:c>
      <x:c r="C1687" t="str">
        <x:v>PHYSICAL</x:v>
      </x:c>
      <x:c r="D1687" t="str">
        <x:v>terrain load</x:v>
      </x:c>
      <x:c r="E1687" t="n">
        <x:f>IF('Terrain Field'!K676&lt;&gt;"",1,0)</x:f>
        <x:v>0</x:v>
      </x:c>
      <x:c r="F1687" t="n">
        <x:v>1</x:v>
      </x:c>
      <x:c r="G1687" t="str">
        <x:v>equals</x:v>
      </x:c>
      <x:c r="H1687" t="str">
        <x:v>independent physical acceptance</x:v>
      </x:c>
      <x:c r="I1687" t="str">
        <x:f>IF(E1687=1,"PASS","OPEN")</x:f>
        <x:v>OPEN</x:v>
      </x:c>
    </x:row>
    <x:row r="1688">
      <x:c r="B1688" t="str">
        <x:v>PH-TG-671-G</x:v>
      </x:c>
      <x:c r="C1688" t="str">
        <x:v>PHYSICAL</x:v>
      </x:c>
      <x:c r="D1688" t="str">
        <x:v>terrain geometry</x:v>
      </x:c>
      <x:c r="E1688" t="n">
        <x:f>IF('Terrain Field'!J677&lt;&gt;"",1,0)</x:f>
        <x:v>0</x:v>
      </x:c>
      <x:c r="F1688" t="n">
        <x:v>1</x:v>
      </x:c>
      <x:c r="G1688" t="str">
        <x:v>equals</x:v>
      </x:c>
      <x:c r="H1688" t="str">
        <x:v>independent physical acceptance</x:v>
      </x:c>
      <x:c r="I1688" t="str">
        <x:f>IF(E1688=1,"PASS","OPEN")</x:f>
        <x:v>OPEN</x:v>
      </x:c>
    </x:row>
    <x:row r="1689">
      <x:c r="B1689" t="str">
        <x:v>PH-TG-671-L</x:v>
      </x:c>
      <x:c r="C1689" t="str">
        <x:v>PHYSICAL</x:v>
      </x:c>
      <x:c r="D1689" t="str">
        <x:v>terrain load</x:v>
      </x:c>
      <x:c r="E1689" t="n">
        <x:f>IF('Terrain Field'!K677&lt;&gt;"",1,0)</x:f>
        <x:v>0</x:v>
      </x:c>
      <x:c r="F1689" t="n">
        <x:v>1</x:v>
      </x:c>
      <x:c r="G1689" t="str">
        <x:v>equals</x:v>
      </x:c>
      <x:c r="H1689" t="str">
        <x:v>independent physical acceptance</x:v>
      </x:c>
      <x:c r="I1689" t="str">
        <x:f>IF(E1689=1,"PASS","OPEN")</x:f>
        <x:v>OPEN</x:v>
      </x:c>
    </x:row>
    <x:row r="1690">
      <x:c r="B1690" t="str">
        <x:v>PH-TG-672-G</x:v>
      </x:c>
      <x:c r="C1690" t="str">
        <x:v>PHYSICAL</x:v>
      </x:c>
      <x:c r="D1690" t="str">
        <x:v>terrain geometry</x:v>
      </x:c>
      <x:c r="E1690" t="n">
        <x:f>IF('Terrain Field'!J678&lt;&gt;"",1,0)</x:f>
        <x:v>0</x:v>
      </x:c>
      <x:c r="F1690" t="n">
        <x:v>1</x:v>
      </x:c>
      <x:c r="G1690" t="str">
        <x:v>equals</x:v>
      </x:c>
      <x:c r="H1690" t="str">
        <x:v>independent physical acceptance</x:v>
      </x:c>
      <x:c r="I1690" t="str">
        <x:f>IF(E1690=1,"PASS","OPEN")</x:f>
        <x:v>OPEN</x:v>
      </x:c>
    </x:row>
    <x:row r="1691">
      <x:c r="B1691" t="str">
        <x:v>PH-TG-672-L</x:v>
      </x:c>
      <x:c r="C1691" t="str">
        <x:v>PHYSICAL</x:v>
      </x:c>
      <x:c r="D1691" t="str">
        <x:v>terrain load</x:v>
      </x:c>
      <x:c r="E1691" t="n">
        <x:f>IF('Terrain Field'!K678&lt;&gt;"",1,0)</x:f>
        <x:v>0</x:v>
      </x:c>
      <x:c r="F1691" t="n">
        <x:v>1</x:v>
      </x:c>
      <x:c r="G1691" t="str">
        <x:v>equals</x:v>
      </x:c>
      <x:c r="H1691" t="str">
        <x:v>independent physical acceptance</x:v>
      </x:c>
      <x:c r="I1691" t="str">
        <x:f>IF(E1691=1,"PASS","OPEN")</x:f>
        <x:v>OPEN</x:v>
      </x:c>
    </x:row>
    <x:row r="1692">
      <x:c r="B1692" t="str">
        <x:v>PH-TG-673-G</x:v>
      </x:c>
      <x:c r="C1692" t="str">
        <x:v>PHYSICAL</x:v>
      </x:c>
      <x:c r="D1692" t="str">
        <x:v>terrain geometry</x:v>
      </x:c>
      <x:c r="E1692" t="n">
        <x:f>IF('Terrain Field'!J679&lt;&gt;"",1,0)</x:f>
        <x:v>0</x:v>
      </x:c>
      <x:c r="F1692" t="n">
        <x:v>1</x:v>
      </x:c>
      <x:c r="G1692" t="str">
        <x:v>equals</x:v>
      </x:c>
      <x:c r="H1692" t="str">
        <x:v>independent physical acceptance</x:v>
      </x:c>
      <x:c r="I1692" t="str">
        <x:f>IF(E1692=1,"PASS","OPEN")</x:f>
        <x:v>OPEN</x:v>
      </x:c>
    </x:row>
    <x:row r="1693">
      <x:c r="B1693" t="str">
        <x:v>PH-TG-673-L</x:v>
      </x:c>
      <x:c r="C1693" t="str">
        <x:v>PHYSICAL</x:v>
      </x:c>
      <x:c r="D1693" t="str">
        <x:v>terrain load</x:v>
      </x:c>
      <x:c r="E1693" t="n">
        <x:f>IF('Terrain Field'!K679&lt;&gt;"",1,0)</x:f>
        <x:v>0</x:v>
      </x:c>
      <x:c r="F1693" t="n">
        <x:v>1</x:v>
      </x:c>
      <x:c r="G1693" t="str">
        <x:v>equals</x:v>
      </x:c>
      <x:c r="H1693" t="str">
        <x:v>independent physical acceptance</x:v>
      </x:c>
      <x:c r="I1693" t="str">
        <x:f>IF(E1693=1,"PASS","OPEN")</x:f>
        <x:v>OPEN</x:v>
      </x:c>
    </x:row>
    <x:row r="1694">
      <x:c r="B1694" t="str">
        <x:v>PH-TG-674-G</x:v>
      </x:c>
      <x:c r="C1694" t="str">
        <x:v>PHYSICAL</x:v>
      </x:c>
      <x:c r="D1694" t="str">
        <x:v>terrain geometry</x:v>
      </x:c>
      <x:c r="E1694" t="n">
        <x:f>IF('Terrain Field'!J680&lt;&gt;"",1,0)</x:f>
        <x:v>0</x:v>
      </x:c>
      <x:c r="F1694" t="n">
        <x:v>1</x:v>
      </x:c>
      <x:c r="G1694" t="str">
        <x:v>equals</x:v>
      </x:c>
      <x:c r="H1694" t="str">
        <x:v>independent physical acceptance</x:v>
      </x:c>
      <x:c r="I1694" t="str">
        <x:f>IF(E1694=1,"PASS","OPEN")</x:f>
        <x:v>OPEN</x:v>
      </x:c>
    </x:row>
    <x:row r="1695">
      <x:c r="B1695" t="str">
        <x:v>PH-TG-674-L</x:v>
      </x:c>
      <x:c r="C1695" t="str">
        <x:v>PHYSICAL</x:v>
      </x:c>
      <x:c r="D1695" t="str">
        <x:v>terrain load</x:v>
      </x:c>
      <x:c r="E1695" t="n">
        <x:f>IF('Terrain Field'!K680&lt;&gt;"",1,0)</x:f>
        <x:v>0</x:v>
      </x:c>
      <x:c r="F1695" t="n">
        <x:v>1</x:v>
      </x:c>
      <x:c r="G1695" t="str">
        <x:v>equals</x:v>
      </x:c>
      <x:c r="H1695" t="str">
        <x:v>independent physical acceptance</x:v>
      </x:c>
      <x:c r="I1695" t="str">
        <x:f>IF(E1695=1,"PASS","OPEN")</x:f>
        <x:v>OPEN</x:v>
      </x:c>
    </x:row>
    <x:row r="1696">
      <x:c r="B1696" t="str">
        <x:v>PH-TG-675-G</x:v>
      </x:c>
      <x:c r="C1696" t="str">
        <x:v>PHYSICAL</x:v>
      </x:c>
      <x:c r="D1696" t="str">
        <x:v>terrain geometry</x:v>
      </x:c>
      <x:c r="E1696" t="n">
        <x:f>IF('Terrain Field'!J681&lt;&gt;"",1,0)</x:f>
        <x:v>0</x:v>
      </x:c>
      <x:c r="F1696" t="n">
        <x:v>1</x:v>
      </x:c>
      <x:c r="G1696" t="str">
        <x:v>equals</x:v>
      </x:c>
      <x:c r="H1696" t="str">
        <x:v>independent physical acceptance</x:v>
      </x:c>
      <x:c r="I1696" t="str">
        <x:f>IF(E1696=1,"PASS","OPEN")</x:f>
        <x:v>OPEN</x:v>
      </x:c>
    </x:row>
    <x:row r="1697">
      <x:c r="B1697" t="str">
        <x:v>PH-TG-675-L</x:v>
      </x:c>
      <x:c r="C1697" t="str">
        <x:v>PHYSICAL</x:v>
      </x:c>
      <x:c r="D1697" t="str">
        <x:v>terrain load</x:v>
      </x:c>
      <x:c r="E1697" t="n">
        <x:f>IF('Terrain Field'!K681&lt;&gt;"",1,0)</x:f>
        <x:v>0</x:v>
      </x:c>
      <x:c r="F1697" t="n">
        <x:v>1</x:v>
      </x:c>
      <x:c r="G1697" t="str">
        <x:v>equals</x:v>
      </x:c>
      <x:c r="H1697" t="str">
        <x:v>independent physical acceptance</x:v>
      </x:c>
      <x:c r="I1697" t="str">
        <x:f>IF(E1697=1,"PASS","OPEN")</x:f>
        <x:v>OPEN</x:v>
      </x:c>
    </x:row>
    <x:row r="1698">
      <x:c r="B1698" t="str">
        <x:v>PH-TG-676-G</x:v>
      </x:c>
      <x:c r="C1698" t="str">
        <x:v>PHYSICAL</x:v>
      </x:c>
      <x:c r="D1698" t="str">
        <x:v>terrain geometry</x:v>
      </x:c>
      <x:c r="E1698" t="n">
        <x:f>IF('Terrain Field'!J682&lt;&gt;"",1,0)</x:f>
        <x:v>0</x:v>
      </x:c>
      <x:c r="F1698" t="n">
        <x:v>1</x:v>
      </x:c>
      <x:c r="G1698" t="str">
        <x:v>equals</x:v>
      </x:c>
      <x:c r="H1698" t="str">
        <x:v>independent physical acceptance</x:v>
      </x:c>
      <x:c r="I1698" t="str">
        <x:f>IF(E1698=1,"PASS","OPEN")</x:f>
        <x:v>OPEN</x:v>
      </x:c>
    </x:row>
    <x:row r="1699">
      <x:c r="B1699" t="str">
        <x:v>PH-TG-676-L</x:v>
      </x:c>
      <x:c r="C1699" t="str">
        <x:v>PHYSICAL</x:v>
      </x:c>
      <x:c r="D1699" t="str">
        <x:v>terrain load</x:v>
      </x:c>
      <x:c r="E1699" t="n">
        <x:f>IF('Terrain Field'!K682&lt;&gt;"",1,0)</x:f>
        <x:v>0</x:v>
      </x:c>
      <x:c r="F1699" t="n">
        <x:v>1</x:v>
      </x:c>
      <x:c r="G1699" t="str">
        <x:v>equals</x:v>
      </x:c>
      <x:c r="H1699" t="str">
        <x:v>independent physical acceptance</x:v>
      </x:c>
      <x:c r="I1699" t="str">
        <x:f>IF(E1699=1,"PASS","OPEN")</x:f>
        <x:v>OPEN</x:v>
      </x:c>
    </x:row>
    <x:row r="1700">
      <x:c r="B1700" t="str">
        <x:v>PH-TG-677-G</x:v>
      </x:c>
      <x:c r="C1700" t="str">
        <x:v>PHYSICAL</x:v>
      </x:c>
      <x:c r="D1700" t="str">
        <x:v>terrain geometry</x:v>
      </x:c>
      <x:c r="E1700" t="n">
        <x:f>IF('Terrain Field'!J683&lt;&gt;"",1,0)</x:f>
        <x:v>0</x:v>
      </x:c>
      <x:c r="F1700" t="n">
        <x:v>1</x:v>
      </x:c>
      <x:c r="G1700" t="str">
        <x:v>equals</x:v>
      </x:c>
      <x:c r="H1700" t="str">
        <x:v>independent physical acceptance</x:v>
      </x:c>
      <x:c r="I1700" t="str">
        <x:f>IF(E1700=1,"PASS","OPEN")</x:f>
        <x:v>OPEN</x:v>
      </x:c>
    </x:row>
    <x:row r="1701">
      <x:c r="B1701" t="str">
        <x:v>PH-TG-677-L</x:v>
      </x:c>
      <x:c r="C1701" t="str">
        <x:v>PHYSICAL</x:v>
      </x:c>
      <x:c r="D1701" t="str">
        <x:v>terrain load</x:v>
      </x:c>
      <x:c r="E1701" t="n">
        <x:f>IF('Terrain Field'!K683&lt;&gt;"",1,0)</x:f>
        <x:v>0</x:v>
      </x:c>
      <x:c r="F1701" t="n">
        <x:v>1</x:v>
      </x:c>
      <x:c r="G1701" t="str">
        <x:v>equals</x:v>
      </x:c>
      <x:c r="H1701" t="str">
        <x:v>independent physical acceptance</x:v>
      </x:c>
      <x:c r="I1701" t="str">
        <x:f>IF(E1701=1,"PASS","OPEN")</x:f>
        <x:v>OPEN</x:v>
      </x:c>
    </x:row>
    <x:row r="1702">
      <x:c r="B1702" t="str">
        <x:v>PH-TG-678-G</x:v>
      </x:c>
      <x:c r="C1702" t="str">
        <x:v>PHYSICAL</x:v>
      </x:c>
      <x:c r="D1702" t="str">
        <x:v>terrain geometry</x:v>
      </x:c>
      <x:c r="E1702" t="n">
        <x:f>IF('Terrain Field'!J684&lt;&gt;"",1,0)</x:f>
        <x:v>0</x:v>
      </x:c>
      <x:c r="F1702" t="n">
        <x:v>1</x:v>
      </x:c>
      <x:c r="G1702" t="str">
        <x:v>equals</x:v>
      </x:c>
      <x:c r="H1702" t="str">
        <x:v>independent physical acceptance</x:v>
      </x:c>
      <x:c r="I1702" t="str">
        <x:f>IF(E1702=1,"PASS","OPEN")</x:f>
        <x:v>OPEN</x:v>
      </x:c>
    </x:row>
    <x:row r="1703">
      <x:c r="B1703" t="str">
        <x:v>PH-TG-678-L</x:v>
      </x:c>
      <x:c r="C1703" t="str">
        <x:v>PHYSICAL</x:v>
      </x:c>
      <x:c r="D1703" t="str">
        <x:v>terrain load</x:v>
      </x:c>
      <x:c r="E1703" t="n">
        <x:f>IF('Terrain Field'!K684&lt;&gt;"",1,0)</x:f>
        <x:v>0</x:v>
      </x:c>
      <x:c r="F1703" t="n">
        <x:v>1</x:v>
      </x:c>
      <x:c r="G1703" t="str">
        <x:v>equals</x:v>
      </x:c>
      <x:c r="H1703" t="str">
        <x:v>independent physical acceptance</x:v>
      </x:c>
      <x:c r="I1703" t="str">
        <x:f>IF(E1703=1,"PASS","OPEN")</x:f>
        <x:v>OPEN</x:v>
      </x:c>
    </x:row>
    <x:row r="1704">
      <x:c r="B1704" t="str">
        <x:v>PH-TG-679-G</x:v>
      </x:c>
      <x:c r="C1704" t="str">
        <x:v>PHYSICAL</x:v>
      </x:c>
      <x:c r="D1704" t="str">
        <x:v>terrain geometry</x:v>
      </x:c>
      <x:c r="E1704" t="n">
        <x:f>IF('Terrain Field'!J685&lt;&gt;"",1,0)</x:f>
        <x:v>0</x:v>
      </x:c>
      <x:c r="F1704" t="n">
        <x:v>1</x:v>
      </x:c>
      <x:c r="G1704" t="str">
        <x:v>equals</x:v>
      </x:c>
      <x:c r="H1704" t="str">
        <x:v>independent physical acceptance</x:v>
      </x:c>
      <x:c r="I1704" t="str">
        <x:f>IF(E1704=1,"PASS","OPEN")</x:f>
        <x:v>OPEN</x:v>
      </x:c>
    </x:row>
    <x:row r="1705">
      <x:c r="B1705" t="str">
        <x:v>PH-TG-679-L</x:v>
      </x:c>
      <x:c r="C1705" t="str">
        <x:v>PHYSICAL</x:v>
      </x:c>
      <x:c r="D1705" t="str">
        <x:v>terrain load</x:v>
      </x:c>
      <x:c r="E1705" t="n">
        <x:f>IF('Terrain Field'!K685&lt;&gt;"",1,0)</x:f>
        <x:v>0</x:v>
      </x:c>
      <x:c r="F1705" t="n">
        <x:v>1</x:v>
      </x:c>
      <x:c r="G1705" t="str">
        <x:v>equals</x:v>
      </x:c>
      <x:c r="H1705" t="str">
        <x:v>independent physical acceptance</x:v>
      </x:c>
      <x:c r="I1705" t="str">
        <x:f>IF(E1705=1,"PASS","OPEN")</x:f>
        <x:v>OPEN</x:v>
      </x:c>
    </x:row>
    <x:row r="1706">
      <x:c r="B1706" t="str">
        <x:v>PH-TG-680-G</x:v>
      </x:c>
      <x:c r="C1706" t="str">
        <x:v>PHYSICAL</x:v>
      </x:c>
      <x:c r="D1706" t="str">
        <x:v>terrain geometry</x:v>
      </x:c>
      <x:c r="E1706" t="n">
        <x:f>IF('Terrain Field'!J686&lt;&gt;"",1,0)</x:f>
        <x:v>0</x:v>
      </x:c>
      <x:c r="F1706" t="n">
        <x:v>1</x:v>
      </x:c>
      <x:c r="G1706" t="str">
        <x:v>equals</x:v>
      </x:c>
      <x:c r="H1706" t="str">
        <x:v>independent physical acceptance</x:v>
      </x:c>
      <x:c r="I1706" t="str">
        <x:f>IF(E1706=1,"PASS","OPEN")</x:f>
        <x:v>OPEN</x:v>
      </x:c>
    </x:row>
    <x:row r="1707">
      <x:c r="B1707" t="str">
        <x:v>PH-TG-680-L</x:v>
      </x:c>
      <x:c r="C1707" t="str">
        <x:v>PHYSICAL</x:v>
      </x:c>
      <x:c r="D1707" t="str">
        <x:v>terrain load</x:v>
      </x:c>
      <x:c r="E1707" t="n">
        <x:f>IF('Terrain Field'!K686&lt;&gt;"",1,0)</x:f>
        <x:v>0</x:v>
      </x:c>
      <x:c r="F1707" t="n">
        <x:v>1</x:v>
      </x:c>
      <x:c r="G1707" t="str">
        <x:v>equals</x:v>
      </x:c>
      <x:c r="H1707" t="str">
        <x:v>independent physical acceptance</x:v>
      </x:c>
      <x:c r="I1707" t="str">
        <x:f>IF(E1707=1,"PASS","OPEN")</x:f>
        <x:v>OPEN</x:v>
      </x:c>
    </x:row>
    <x:row r="1708">
      <x:c r="B1708" t="str">
        <x:v>PH-TG-681-G</x:v>
      </x:c>
      <x:c r="C1708" t="str">
        <x:v>PHYSICAL</x:v>
      </x:c>
      <x:c r="D1708" t="str">
        <x:v>terrain geometry</x:v>
      </x:c>
      <x:c r="E1708" t="n">
        <x:f>IF('Terrain Field'!J687&lt;&gt;"",1,0)</x:f>
        <x:v>0</x:v>
      </x:c>
      <x:c r="F1708" t="n">
        <x:v>1</x:v>
      </x:c>
      <x:c r="G1708" t="str">
        <x:v>equals</x:v>
      </x:c>
      <x:c r="H1708" t="str">
        <x:v>independent physical acceptance</x:v>
      </x:c>
      <x:c r="I1708" t="str">
        <x:f>IF(E1708=1,"PASS","OPEN")</x:f>
        <x:v>OPEN</x:v>
      </x:c>
    </x:row>
    <x:row r="1709">
      <x:c r="B1709" t="str">
        <x:v>PH-TG-681-L</x:v>
      </x:c>
      <x:c r="C1709" t="str">
        <x:v>PHYSICAL</x:v>
      </x:c>
      <x:c r="D1709" t="str">
        <x:v>terrain load</x:v>
      </x:c>
      <x:c r="E1709" t="n">
        <x:f>IF('Terrain Field'!K687&lt;&gt;"",1,0)</x:f>
        <x:v>0</x:v>
      </x:c>
      <x:c r="F1709" t="n">
        <x:v>1</x:v>
      </x:c>
      <x:c r="G1709" t="str">
        <x:v>equals</x:v>
      </x:c>
      <x:c r="H1709" t="str">
        <x:v>independent physical acceptance</x:v>
      </x:c>
      <x:c r="I1709" t="str">
        <x:f>IF(E1709=1,"PASS","OPEN")</x:f>
        <x:v>OPEN</x:v>
      </x:c>
    </x:row>
    <x:row r="1710">
      <x:c r="B1710" t="str">
        <x:v>PH-TG-682-G</x:v>
      </x:c>
      <x:c r="C1710" t="str">
        <x:v>PHYSICAL</x:v>
      </x:c>
      <x:c r="D1710" t="str">
        <x:v>terrain geometry</x:v>
      </x:c>
      <x:c r="E1710" t="n">
        <x:f>IF('Terrain Field'!J688&lt;&gt;"",1,0)</x:f>
        <x:v>0</x:v>
      </x:c>
      <x:c r="F1710" t="n">
        <x:v>1</x:v>
      </x:c>
      <x:c r="G1710" t="str">
        <x:v>equals</x:v>
      </x:c>
      <x:c r="H1710" t="str">
        <x:v>independent physical acceptance</x:v>
      </x:c>
      <x:c r="I1710" t="str">
        <x:f>IF(E1710=1,"PASS","OPEN")</x:f>
        <x:v>OPEN</x:v>
      </x:c>
    </x:row>
    <x:row r="1711">
      <x:c r="B1711" t="str">
        <x:v>PH-TG-682-L</x:v>
      </x:c>
      <x:c r="C1711" t="str">
        <x:v>PHYSICAL</x:v>
      </x:c>
      <x:c r="D1711" t="str">
        <x:v>terrain load</x:v>
      </x:c>
      <x:c r="E1711" t="n">
        <x:f>IF('Terrain Field'!K688&lt;&gt;"",1,0)</x:f>
        <x:v>0</x:v>
      </x:c>
      <x:c r="F1711" t="n">
        <x:v>1</x:v>
      </x:c>
      <x:c r="G1711" t="str">
        <x:v>equals</x:v>
      </x:c>
      <x:c r="H1711" t="str">
        <x:v>independent physical acceptance</x:v>
      </x:c>
      <x:c r="I1711" t="str">
        <x:f>IF(E1711=1,"PASS","OPEN")</x:f>
        <x:v>OPEN</x:v>
      </x:c>
    </x:row>
    <x:row r="1712">
      <x:c r="B1712" t="str">
        <x:v>PH-TG-683-G</x:v>
      </x:c>
      <x:c r="C1712" t="str">
        <x:v>PHYSICAL</x:v>
      </x:c>
      <x:c r="D1712" t="str">
        <x:v>terrain geometry</x:v>
      </x:c>
      <x:c r="E1712" t="n">
        <x:f>IF('Terrain Field'!J689&lt;&gt;"",1,0)</x:f>
        <x:v>0</x:v>
      </x:c>
      <x:c r="F1712" t="n">
        <x:v>1</x:v>
      </x:c>
      <x:c r="G1712" t="str">
        <x:v>equals</x:v>
      </x:c>
      <x:c r="H1712" t="str">
        <x:v>independent physical acceptance</x:v>
      </x:c>
      <x:c r="I1712" t="str">
        <x:f>IF(E1712=1,"PASS","OPEN")</x:f>
        <x:v>OPEN</x:v>
      </x:c>
    </x:row>
    <x:row r="1713">
      <x:c r="B1713" t="str">
        <x:v>PH-TG-683-L</x:v>
      </x:c>
      <x:c r="C1713" t="str">
        <x:v>PHYSICAL</x:v>
      </x:c>
      <x:c r="D1713" t="str">
        <x:v>terrain load</x:v>
      </x:c>
      <x:c r="E1713" t="n">
        <x:f>IF('Terrain Field'!K689&lt;&gt;"",1,0)</x:f>
        <x:v>0</x:v>
      </x:c>
      <x:c r="F1713" t="n">
        <x:v>1</x:v>
      </x:c>
      <x:c r="G1713" t="str">
        <x:v>equals</x:v>
      </x:c>
      <x:c r="H1713" t="str">
        <x:v>independent physical acceptance</x:v>
      </x:c>
      <x:c r="I1713" t="str">
        <x:f>IF(E1713=1,"PASS","OPEN")</x:f>
        <x:v>OPEN</x:v>
      </x:c>
    </x:row>
    <x:row r="1714">
      <x:c r="B1714" t="str">
        <x:v>PH-TG-684-G</x:v>
      </x:c>
      <x:c r="C1714" t="str">
        <x:v>PHYSICAL</x:v>
      </x:c>
      <x:c r="D1714" t="str">
        <x:v>terrain geometry</x:v>
      </x:c>
      <x:c r="E1714" t="n">
        <x:f>IF('Terrain Field'!J690&lt;&gt;"",1,0)</x:f>
        <x:v>0</x:v>
      </x:c>
      <x:c r="F1714" t="n">
        <x:v>1</x:v>
      </x:c>
      <x:c r="G1714" t="str">
        <x:v>equals</x:v>
      </x:c>
      <x:c r="H1714" t="str">
        <x:v>independent physical acceptance</x:v>
      </x:c>
      <x:c r="I1714" t="str">
        <x:f>IF(E1714=1,"PASS","OPEN")</x:f>
        <x:v>OPEN</x:v>
      </x:c>
    </x:row>
    <x:row r="1715">
      <x:c r="B1715" t="str">
        <x:v>PH-TG-684-L</x:v>
      </x:c>
      <x:c r="C1715" t="str">
        <x:v>PHYSICAL</x:v>
      </x:c>
      <x:c r="D1715" t="str">
        <x:v>terrain load</x:v>
      </x:c>
      <x:c r="E1715" t="n">
        <x:f>IF('Terrain Field'!K690&lt;&gt;"",1,0)</x:f>
        <x:v>0</x:v>
      </x:c>
      <x:c r="F1715" t="n">
        <x:v>1</x:v>
      </x:c>
      <x:c r="G1715" t="str">
        <x:v>equals</x:v>
      </x:c>
      <x:c r="H1715" t="str">
        <x:v>independent physical acceptance</x:v>
      </x:c>
      <x:c r="I1715" t="str">
        <x:f>IF(E1715=1,"PASS","OPEN")</x:f>
        <x:v>OPEN</x:v>
      </x:c>
    </x:row>
    <x:row r="1716">
      <x:c r="B1716" t="str">
        <x:v>PH-TG-685-G</x:v>
      </x:c>
      <x:c r="C1716" t="str">
        <x:v>PHYSICAL</x:v>
      </x:c>
      <x:c r="D1716" t="str">
        <x:v>terrain geometry</x:v>
      </x:c>
      <x:c r="E1716" t="n">
        <x:f>IF('Terrain Field'!J691&lt;&gt;"",1,0)</x:f>
        <x:v>0</x:v>
      </x:c>
      <x:c r="F1716" t="n">
        <x:v>1</x:v>
      </x:c>
      <x:c r="G1716" t="str">
        <x:v>equals</x:v>
      </x:c>
      <x:c r="H1716" t="str">
        <x:v>independent physical acceptance</x:v>
      </x:c>
      <x:c r="I1716" t="str">
        <x:f>IF(E1716=1,"PASS","OPEN")</x:f>
        <x:v>OPEN</x:v>
      </x:c>
    </x:row>
    <x:row r="1717">
      <x:c r="B1717" t="str">
        <x:v>PH-TG-685-L</x:v>
      </x:c>
      <x:c r="C1717" t="str">
        <x:v>PHYSICAL</x:v>
      </x:c>
      <x:c r="D1717" t="str">
        <x:v>terrain load</x:v>
      </x:c>
      <x:c r="E1717" t="n">
        <x:f>IF('Terrain Field'!K691&lt;&gt;"",1,0)</x:f>
        <x:v>0</x:v>
      </x:c>
      <x:c r="F1717" t="n">
        <x:v>1</x:v>
      </x:c>
      <x:c r="G1717" t="str">
        <x:v>equals</x:v>
      </x:c>
      <x:c r="H1717" t="str">
        <x:v>independent physical acceptance</x:v>
      </x:c>
      <x:c r="I1717" t="str">
        <x:f>IF(E1717=1,"PASS","OPEN")</x:f>
        <x:v>OPEN</x:v>
      </x:c>
    </x:row>
    <x:row r="1718">
      <x:c r="B1718" t="str">
        <x:v>PH-TG-686-G</x:v>
      </x:c>
      <x:c r="C1718" t="str">
        <x:v>PHYSICAL</x:v>
      </x:c>
      <x:c r="D1718" t="str">
        <x:v>terrain geometry</x:v>
      </x:c>
      <x:c r="E1718" t="n">
        <x:f>IF('Terrain Field'!J692&lt;&gt;"",1,0)</x:f>
        <x:v>0</x:v>
      </x:c>
      <x:c r="F1718" t="n">
        <x:v>1</x:v>
      </x:c>
      <x:c r="G1718" t="str">
        <x:v>equals</x:v>
      </x:c>
      <x:c r="H1718" t="str">
        <x:v>independent physical acceptance</x:v>
      </x:c>
      <x:c r="I1718" t="str">
        <x:f>IF(E1718=1,"PASS","OPEN")</x:f>
        <x:v>OPEN</x:v>
      </x:c>
    </x:row>
    <x:row r="1719">
      <x:c r="B1719" t="str">
        <x:v>PH-TG-686-L</x:v>
      </x:c>
      <x:c r="C1719" t="str">
        <x:v>PHYSICAL</x:v>
      </x:c>
      <x:c r="D1719" t="str">
        <x:v>terrain load</x:v>
      </x:c>
      <x:c r="E1719" t="n">
        <x:f>IF('Terrain Field'!K692&lt;&gt;"",1,0)</x:f>
        <x:v>0</x:v>
      </x:c>
      <x:c r="F1719" t="n">
        <x:v>1</x:v>
      </x:c>
      <x:c r="G1719" t="str">
        <x:v>equals</x:v>
      </x:c>
      <x:c r="H1719" t="str">
        <x:v>independent physical acceptance</x:v>
      </x:c>
      <x:c r="I1719" t="str">
        <x:f>IF(E1719=1,"PASS","OPEN")</x:f>
        <x:v>OPEN</x:v>
      </x:c>
    </x:row>
    <x:row r="1720">
      <x:c r="B1720" t="str">
        <x:v>PH-TG-687-G</x:v>
      </x:c>
      <x:c r="C1720" t="str">
        <x:v>PHYSICAL</x:v>
      </x:c>
      <x:c r="D1720" t="str">
        <x:v>terrain geometry</x:v>
      </x:c>
      <x:c r="E1720" t="n">
        <x:f>IF('Terrain Field'!J693&lt;&gt;"",1,0)</x:f>
        <x:v>0</x:v>
      </x:c>
      <x:c r="F1720" t="n">
        <x:v>1</x:v>
      </x:c>
      <x:c r="G1720" t="str">
        <x:v>equals</x:v>
      </x:c>
      <x:c r="H1720" t="str">
        <x:v>independent physical acceptance</x:v>
      </x:c>
      <x:c r="I1720" t="str">
        <x:f>IF(E1720=1,"PASS","OPEN")</x:f>
        <x:v>OPEN</x:v>
      </x:c>
    </x:row>
    <x:row r="1721">
      <x:c r="B1721" t="str">
        <x:v>PH-TG-687-L</x:v>
      </x:c>
      <x:c r="C1721" t="str">
        <x:v>PHYSICAL</x:v>
      </x:c>
      <x:c r="D1721" t="str">
        <x:v>terrain load</x:v>
      </x:c>
      <x:c r="E1721" t="n">
        <x:f>IF('Terrain Field'!K693&lt;&gt;"",1,0)</x:f>
        <x:v>0</x:v>
      </x:c>
      <x:c r="F1721" t="n">
        <x:v>1</x:v>
      </x:c>
      <x:c r="G1721" t="str">
        <x:v>equals</x:v>
      </x:c>
      <x:c r="H1721" t="str">
        <x:v>independent physical acceptance</x:v>
      </x:c>
      <x:c r="I1721" t="str">
        <x:f>IF(E1721=1,"PASS","OPEN")</x:f>
        <x:v>OPEN</x:v>
      </x:c>
    </x:row>
    <x:row r="1722">
      <x:c r="B1722" t="str">
        <x:v>PH-TG-688-G</x:v>
      </x:c>
      <x:c r="C1722" t="str">
        <x:v>PHYSICAL</x:v>
      </x:c>
      <x:c r="D1722" t="str">
        <x:v>terrain geometry</x:v>
      </x:c>
      <x:c r="E1722" t="n">
        <x:f>IF('Terrain Field'!J694&lt;&gt;"",1,0)</x:f>
        <x:v>0</x:v>
      </x:c>
      <x:c r="F1722" t="n">
        <x:v>1</x:v>
      </x:c>
      <x:c r="G1722" t="str">
        <x:v>equals</x:v>
      </x:c>
      <x:c r="H1722" t="str">
        <x:v>independent physical acceptance</x:v>
      </x:c>
      <x:c r="I1722" t="str">
        <x:f>IF(E1722=1,"PASS","OPEN")</x:f>
        <x:v>OPEN</x:v>
      </x:c>
    </x:row>
    <x:row r="1723">
      <x:c r="B1723" t="str">
        <x:v>PH-TG-688-L</x:v>
      </x:c>
      <x:c r="C1723" t="str">
        <x:v>PHYSICAL</x:v>
      </x:c>
      <x:c r="D1723" t="str">
        <x:v>terrain load</x:v>
      </x:c>
      <x:c r="E1723" t="n">
        <x:f>IF('Terrain Field'!K694&lt;&gt;"",1,0)</x:f>
        <x:v>0</x:v>
      </x:c>
      <x:c r="F1723" t="n">
        <x:v>1</x:v>
      </x:c>
      <x:c r="G1723" t="str">
        <x:v>equals</x:v>
      </x:c>
      <x:c r="H1723" t="str">
        <x:v>independent physical acceptance</x:v>
      </x:c>
      <x:c r="I1723" t="str">
        <x:f>IF(E1723=1,"PASS","OPEN")</x:f>
        <x:v>OPEN</x:v>
      </x:c>
    </x:row>
    <x:row r="1724">
      <x:c r="B1724" t="str">
        <x:v>PH-TG-689-G</x:v>
      </x:c>
      <x:c r="C1724" t="str">
        <x:v>PHYSICAL</x:v>
      </x:c>
      <x:c r="D1724" t="str">
        <x:v>terrain geometry</x:v>
      </x:c>
      <x:c r="E1724" t="n">
        <x:f>IF('Terrain Field'!J695&lt;&gt;"",1,0)</x:f>
        <x:v>0</x:v>
      </x:c>
      <x:c r="F1724" t="n">
        <x:v>1</x:v>
      </x:c>
      <x:c r="G1724" t="str">
        <x:v>equals</x:v>
      </x:c>
      <x:c r="H1724" t="str">
        <x:v>independent physical acceptance</x:v>
      </x:c>
      <x:c r="I1724" t="str">
        <x:f>IF(E1724=1,"PASS","OPEN")</x:f>
        <x:v>OPEN</x:v>
      </x:c>
    </x:row>
    <x:row r="1725">
      <x:c r="B1725" t="str">
        <x:v>PH-TG-689-L</x:v>
      </x:c>
      <x:c r="C1725" t="str">
        <x:v>PHYSICAL</x:v>
      </x:c>
      <x:c r="D1725" t="str">
        <x:v>terrain load</x:v>
      </x:c>
      <x:c r="E1725" t="n">
        <x:f>IF('Terrain Field'!K695&lt;&gt;"",1,0)</x:f>
        <x:v>0</x:v>
      </x:c>
      <x:c r="F1725" t="n">
        <x:v>1</x:v>
      </x:c>
      <x:c r="G1725" t="str">
        <x:v>equals</x:v>
      </x:c>
      <x:c r="H1725" t="str">
        <x:v>independent physical acceptance</x:v>
      </x:c>
      <x:c r="I1725" t="str">
        <x:f>IF(E1725=1,"PASS","OPEN")</x:f>
        <x:v>OPEN</x:v>
      </x:c>
    </x:row>
    <x:row r="1726">
      <x:c r="B1726" t="str">
        <x:v>PH-TG-690-G</x:v>
      </x:c>
      <x:c r="C1726" t="str">
        <x:v>PHYSICAL</x:v>
      </x:c>
      <x:c r="D1726" t="str">
        <x:v>terrain geometry</x:v>
      </x:c>
      <x:c r="E1726" t="n">
        <x:f>IF('Terrain Field'!J696&lt;&gt;"",1,0)</x:f>
        <x:v>0</x:v>
      </x:c>
      <x:c r="F1726" t="n">
        <x:v>1</x:v>
      </x:c>
      <x:c r="G1726" t="str">
        <x:v>equals</x:v>
      </x:c>
      <x:c r="H1726" t="str">
        <x:v>independent physical acceptance</x:v>
      </x:c>
      <x:c r="I1726" t="str">
        <x:f>IF(E1726=1,"PASS","OPEN")</x:f>
        <x:v>OPEN</x:v>
      </x:c>
    </x:row>
    <x:row r="1727">
      <x:c r="B1727" t="str">
        <x:v>PH-TG-690-L</x:v>
      </x:c>
      <x:c r="C1727" t="str">
        <x:v>PHYSICAL</x:v>
      </x:c>
      <x:c r="D1727" t="str">
        <x:v>terrain load</x:v>
      </x:c>
      <x:c r="E1727" t="n">
        <x:f>IF('Terrain Field'!K696&lt;&gt;"",1,0)</x:f>
        <x:v>0</x:v>
      </x:c>
      <x:c r="F1727" t="n">
        <x:v>1</x:v>
      </x:c>
      <x:c r="G1727" t="str">
        <x:v>equals</x:v>
      </x:c>
      <x:c r="H1727" t="str">
        <x:v>independent physical acceptance</x:v>
      </x:c>
      <x:c r="I1727" t="str">
        <x:f>IF(E1727=1,"PASS","OPEN")</x:f>
        <x:v>OPEN</x:v>
      </x:c>
    </x:row>
    <x:row r="1728">
      <x:c r="B1728" t="str">
        <x:v>PH-TG-691-G</x:v>
      </x:c>
      <x:c r="C1728" t="str">
        <x:v>PHYSICAL</x:v>
      </x:c>
      <x:c r="D1728" t="str">
        <x:v>terrain geometry</x:v>
      </x:c>
      <x:c r="E1728" t="n">
        <x:f>IF('Terrain Field'!J697&lt;&gt;"",1,0)</x:f>
        <x:v>0</x:v>
      </x:c>
      <x:c r="F1728" t="n">
        <x:v>1</x:v>
      </x:c>
      <x:c r="G1728" t="str">
        <x:v>equals</x:v>
      </x:c>
      <x:c r="H1728" t="str">
        <x:v>independent physical acceptance</x:v>
      </x:c>
      <x:c r="I1728" t="str">
        <x:f>IF(E1728=1,"PASS","OPEN")</x:f>
        <x:v>OPEN</x:v>
      </x:c>
    </x:row>
    <x:row r="1729">
      <x:c r="B1729" t="str">
        <x:v>PH-TG-691-L</x:v>
      </x:c>
      <x:c r="C1729" t="str">
        <x:v>PHYSICAL</x:v>
      </x:c>
      <x:c r="D1729" t="str">
        <x:v>terrain load</x:v>
      </x:c>
      <x:c r="E1729" t="n">
        <x:f>IF('Terrain Field'!K697&lt;&gt;"",1,0)</x:f>
        <x:v>0</x:v>
      </x:c>
      <x:c r="F1729" t="n">
        <x:v>1</x:v>
      </x:c>
      <x:c r="G1729" t="str">
        <x:v>equals</x:v>
      </x:c>
      <x:c r="H1729" t="str">
        <x:v>independent physical acceptance</x:v>
      </x:c>
      <x:c r="I1729" t="str">
        <x:f>IF(E1729=1,"PASS","OPEN")</x:f>
        <x:v>OPEN</x:v>
      </x:c>
    </x:row>
    <x:row r="1730">
      <x:c r="B1730" t="str">
        <x:v>PH-TG-692-G</x:v>
      </x:c>
      <x:c r="C1730" t="str">
        <x:v>PHYSICAL</x:v>
      </x:c>
      <x:c r="D1730" t="str">
        <x:v>terrain geometry</x:v>
      </x:c>
      <x:c r="E1730" t="n">
        <x:f>IF('Terrain Field'!J698&lt;&gt;"",1,0)</x:f>
        <x:v>0</x:v>
      </x:c>
      <x:c r="F1730" t="n">
        <x:v>1</x:v>
      </x:c>
      <x:c r="G1730" t="str">
        <x:v>equals</x:v>
      </x:c>
      <x:c r="H1730" t="str">
        <x:v>independent physical acceptance</x:v>
      </x:c>
      <x:c r="I1730" t="str">
        <x:f>IF(E1730=1,"PASS","OPEN")</x:f>
        <x:v>OPEN</x:v>
      </x:c>
    </x:row>
    <x:row r="1731">
      <x:c r="B1731" t="str">
        <x:v>PH-TG-692-L</x:v>
      </x:c>
      <x:c r="C1731" t="str">
        <x:v>PHYSICAL</x:v>
      </x:c>
      <x:c r="D1731" t="str">
        <x:v>terrain load</x:v>
      </x:c>
      <x:c r="E1731" t="n">
        <x:f>IF('Terrain Field'!K698&lt;&gt;"",1,0)</x:f>
        <x:v>0</x:v>
      </x:c>
      <x:c r="F1731" t="n">
        <x:v>1</x:v>
      </x:c>
      <x:c r="G1731" t="str">
        <x:v>equals</x:v>
      </x:c>
      <x:c r="H1731" t="str">
        <x:v>independent physical acceptance</x:v>
      </x:c>
      <x:c r="I1731" t="str">
        <x:f>IF(E1731=1,"PASS","OPEN")</x:f>
        <x:v>OPEN</x:v>
      </x:c>
    </x:row>
    <x:row r="1732">
      <x:c r="B1732" t="str">
        <x:v>PH-TG-693-G</x:v>
      </x:c>
      <x:c r="C1732" t="str">
        <x:v>PHYSICAL</x:v>
      </x:c>
      <x:c r="D1732" t="str">
        <x:v>terrain geometry</x:v>
      </x:c>
      <x:c r="E1732" t="n">
        <x:f>IF('Terrain Field'!J699&lt;&gt;"",1,0)</x:f>
        <x:v>0</x:v>
      </x:c>
      <x:c r="F1732" t="n">
        <x:v>1</x:v>
      </x:c>
      <x:c r="G1732" t="str">
        <x:v>equals</x:v>
      </x:c>
      <x:c r="H1732" t="str">
        <x:v>independent physical acceptance</x:v>
      </x:c>
      <x:c r="I1732" t="str">
        <x:f>IF(E1732=1,"PASS","OPEN")</x:f>
        <x:v>OPEN</x:v>
      </x:c>
    </x:row>
    <x:row r="1733">
      <x:c r="B1733" t="str">
        <x:v>PH-TG-693-L</x:v>
      </x:c>
      <x:c r="C1733" t="str">
        <x:v>PHYSICAL</x:v>
      </x:c>
      <x:c r="D1733" t="str">
        <x:v>terrain load</x:v>
      </x:c>
      <x:c r="E1733" t="n">
        <x:f>IF('Terrain Field'!K699&lt;&gt;"",1,0)</x:f>
        <x:v>0</x:v>
      </x:c>
      <x:c r="F1733" t="n">
        <x:v>1</x:v>
      </x:c>
      <x:c r="G1733" t="str">
        <x:v>equals</x:v>
      </x:c>
      <x:c r="H1733" t="str">
        <x:v>independent physical acceptance</x:v>
      </x:c>
      <x:c r="I1733" t="str">
        <x:f>IF(E1733=1,"PASS","OPEN")</x:f>
        <x:v>OPEN</x:v>
      </x:c>
    </x:row>
    <x:row r="1734">
      <x:c r="B1734" t="str">
        <x:v>PH-TG-694-G</x:v>
      </x:c>
      <x:c r="C1734" t="str">
        <x:v>PHYSICAL</x:v>
      </x:c>
      <x:c r="D1734" t="str">
        <x:v>terrain geometry</x:v>
      </x:c>
      <x:c r="E1734" t="n">
        <x:f>IF('Terrain Field'!J700&lt;&gt;"",1,0)</x:f>
        <x:v>0</x:v>
      </x:c>
      <x:c r="F1734" t="n">
        <x:v>1</x:v>
      </x:c>
      <x:c r="G1734" t="str">
        <x:v>equals</x:v>
      </x:c>
      <x:c r="H1734" t="str">
        <x:v>independent physical acceptance</x:v>
      </x:c>
      <x:c r="I1734" t="str">
        <x:f>IF(E1734=1,"PASS","OPEN")</x:f>
        <x:v>OPEN</x:v>
      </x:c>
    </x:row>
    <x:row r="1735">
      <x:c r="B1735" t="str">
        <x:v>PH-TG-694-L</x:v>
      </x:c>
      <x:c r="C1735" t="str">
        <x:v>PHYSICAL</x:v>
      </x:c>
      <x:c r="D1735" t="str">
        <x:v>terrain load</x:v>
      </x:c>
      <x:c r="E1735" t="n">
        <x:f>IF('Terrain Field'!K700&lt;&gt;"",1,0)</x:f>
        <x:v>0</x:v>
      </x:c>
      <x:c r="F1735" t="n">
        <x:v>1</x:v>
      </x:c>
      <x:c r="G1735" t="str">
        <x:v>equals</x:v>
      </x:c>
      <x:c r="H1735" t="str">
        <x:v>independent physical acceptance</x:v>
      </x:c>
      <x:c r="I1735" t="str">
        <x:f>IF(E1735=1,"PASS","OPEN")</x:f>
        <x:v>OPEN</x:v>
      </x:c>
    </x:row>
    <x:row r="1736">
      <x:c r="B1736" t="str">
        <x:v>PH-TG-695-G</x:v>
      </x:c>
      <x:c r="C1736" t="str">
        <x:v>PHYSICAL</x:v>
      </x:c>
      <x:c r="D1736" t="str">
        <x:v>terrain geometry</x:v>
      </x:c>
      <x:c r="E1736" t="n">
        <x:f>IF('Terrain Field'!J701&lt;&gt;"",1,0)</x:f>
        <x:v>0</x:v>
      </x:c>
      <x:c r="F1736" t="n">
        <x:v>1</x:v>
      </x:c>
      <x:c r="G1736" t="str">
        <x:v>equals</x:v>
      </x:c>
      <x:c r="H1736" t="str">
        <x:v>independent physical acceptance</x:v>
      </x:c>
      <x:c r="I1736" t="str">
        <x:f>IF(E1736=1,"PASS","OPEN")</x:f>
        <x:v>OPEN</x:v>
      </x:c>
    </x:row>
    <x:row r="1737">
      <x:c r="B1737" t="str">
        <x:v>PH-TG-695-L</x:v>
      </x:c>
      <x:c r="C1737" t="str">
        <x:v>PHYSICAL</x:v>
      </x:c>
      <x:c r="D1737" t="str">
        <x:v>terrain load</x:v>
      </x:c>
      <x:c r="E1737" t="n">
        <x:f>IF('Terrain Field'!K701&lt;&gt;"",1,0)</x:f>
        <x:v>0</x:v>
      </x:c>
      <x:c r="F1737" t="n">
        <x:v>1</x:v>
      </x:c>
      <x:c r="G1737" t="str">
        <x:v>equals</x:v>
      </x:c>
      <x:c r="H1737" t="str">
        <x:v>independent physical acceptance</x:v>
      </x:c>
      <x:c r="I1737" t="str">
        <x:f>IF(E1737=1,"PASS","OPEN")</x:f>
        <x:v>OPEN</x:v>
      </x:c>
    </x:row>
    <x:row r="1738">
      <x:c r="B1738" t="str">
        <x:v>PH-TG-696-G</x:v>
      </x:c>
      <x:c r="C1738" t="str">
        <x:v>PHYSICAL</x:v>
      </x:c>
      <x:c r="D1738" t="str">
        <x:v>terrain geometry</x:v>
      </x:c>
      <x:c r="E1738" t="n">
        <x:f>IF('Terrain Field'!J702&lt;&gt;"",1,0)</x:f>
        <x:v>0</x:v>
      </x:c>
      <x:c r="F1738" t="n">
        <x:v>1</x:v>
      </x:c>
      <x:c r="G1738" t="str">
        <x:v>equals</x:v>
      </x:c>
      <x:c r="H1738" t="str">
        <x:v>independent physical acceptance</x:v>
      </x:c>
      <x:c r="I1738" t="str">
        <x:f>IF(E1738=1,"PASS","OPEN")</x:f>
        <x:v>OPEN</x:v>
      </x:c>
    </x:row>
    <x:row r="1739">
      <x:c r="B1739" t="str">
        <x:v>PH-TG-696-L</x:v>
      </x:c>
      <x:c r="C1739" t="str">
        <x:v>PHYSICAL</x:v>
      </x:c>
      <x:c r="D1739" t="str">
        <x:v>terrain load</x:v>
      </x:c>
      <x:c r="E1739" t="n">
        <x:f>IF('Terrain Field'!K702&lt;&gt;"",1,0)</x:f>
        <x:v>0</x:v>
      </x:c>
      <x:c r="F1739" t="n">
        <x:v>1</x:v>
      </x:c>
      <x:c r="G1739" t="str">
        <x:v>equals</x:v>
      </x:c>
      <x:c r="H1739" t="str">
        <x:v>independent physical acceptance</x:v>
      </x:c>
      <x:c r="I1739" t="str">
        <x:f>IF(E1739=1,"PASS","OPEN")</x:f>
        <x:v>OPEN</x:v>
      </x:c>
    </x:row>
    <x:row r="1740">
      <x:c r="B1740" t="str">
        <x:v>PH-TG-697-G</x:v>
      </x:c>
      <x:c r="C1740" t="str">
        <x:v>PHYSICAL</x:v>
      </x:c>
      <x:c r="D1740" t="str">
        <x:v>terrain geometry</x:v>
      </x:c>
      <x:c r="E1740" t="n">
        <x:f>IF('Terrain Field'!J703&lt;&gt;"",1,0)</x:f>
        <x:v>0</x:v>
      </x:c>
      <x:c r="F1740" t="n">
        <x:v>1</x:v>
      </x:c>
      <x:c r="G1740" t="str">
        <x:v>equals</x:v>
      </x:c>
      <x:c r="H1740" t="str">
        <x:v>independent physical acceptance</x:v>
      </x:c>
      <x:c r="I1740" t="str">
        <x:f>IF(E1740=1,"PASS","OPEN")</x:f>
        <x:v>OPEN</x:v>
      </x:c>
    </x:row>
    <x:row r="1741">
      <x:c r="B1741" t="str">
        <x:v>PH-TG-697-L</x:v>
      </x:c>
      <x:c r="C1741" t="str">
        <x:v>PHYSICAL</x:v>
      </x:c>
      <x:c r="D1741" t="str">
        <x:v>terrain load</x:v>
      </x:c>
      <x:c r="E1741" t="n">
        <x:f>IF('Terrain Field'!K703&lt;&gt;"",1,0)</x:f>
        <x:v>0</x:v>
      </x:c>
      <x:c r="F1741" t="n">
        <x:v>1</x:v>
      </x:c>
      <x:c r="G1741" t="str">
        <x:v>equals</x:v>
      </x:c>
      <x:c r="H1741" t="str">
        <x:v>independent physical acceptance</x:v>
      </x:c>
      <x:c r="I1741" t="str">
        <x:f>IF(E1741=1,"PASS","OPEN")</x:f>
        <x:v>OPEN</x:v>
      </x:c>
    </x:row>
    <x:row r="1742">
      <x:c r="B1742" t="str">
        <x:v>PH-TG-698-G</x:v>
      </x:c>
      <x:c r="C1742" t="str">
        <x:v>PHYSICAL</x:v>
      </x:c>
      <x:c r="D1742" t="str">
        <x:v>terrain geometry</x:v>
      </x:c>
      <x:c r="E1742" t="n">
        <x:f>IF('Terrain Field'!J704&lt;&gt;"",1,0)</x:f>
        <x:v>0</x:v>
      </x:c>
      <x:c r="F1742" t="n">
        <x:v>1</x:v>
      </x:c>
      <x:c r="G1742" t="str">
        <x:v>equals</x:v>
      </x:c>
      <x:c r="H1742" t="str">
        <x:v>independent physical acceptance</x:v>
      </x:c>
      <x:c r="I1742" t="str">
        <x:f>IF(E1742=1,"PASS","OPEN")</x:f>
        <x:v>OPEN</x:v>
      </x:c>
    </x:row>
    <x:row r="1743">
      <x:c r="B1743" t="str">
        <x:v>PH-TG-698-L</x:v>
      </x:c>
      <x:c r="C1743" t="str">
        <x:v>PHYSICAL</x:v>
      </x:c>
      <x:c r="D1743" t="str">
        <x:v>terrain load</x:v>
      </x:c>
      <x:c r="E1743" t="n">
        <x:f>IF('Terrain Field'!K704&lt;&gt;"",1,0)</x:f>
        <x:v>0</x:v>
      </x:c>
      <x:c r="F1743" t="n">
        <x:v>1</x:v>
      </x:c>
      <x:c r="G1743" t="str">
        <x:v>equals</x:v>
      </x:c>
      <x:c r="H1743" t="str">
        <x:v>independent physical acceptance</x:v>
      </x:c>
      <x:c r="I1743" t="str">
        <x:f>IF(E1743=1,"PASS","OPEN")</x:f>
        <x:v>OPEN</x:v>
      </x:c>
    </x:row>
    <x:row r="1744">
      <x:c r="B1744" t="str">
        <x:v>PH-TG-699-G</x:v>
      </x:c>
      <x:c r="C1744" t="str">
        <x:v>PHYSICAL</x:v>
      </x:c>
      <x:c r="D1744" t="str">
        <x:v>terrain geometry</x:v>
      </x:c>
      <x:c r="E1744" t="n">
        <x:f>IF('Terrain Field'!J705&lt;&gt;"",1,0)</x:f>
        <x:v>0</x:v>
      </x:c>
      <x:c r="F1744" t="n">
        <x:v>1</x:v>
      </x:c>
      <x:c r="G1744" t="str">
        <x:v>equals</x:v>
      </x:c>
      <x:c r="H1744" t="str">
        <x:v>independent physical acceptance</x:v>
      </x:c>
      <x:c r="I1744" t="str">
        <x:f>IF(E1744=1,"PASS","OPEN")</x:f>
        <x:v>OPEN</x:v>
      </x:c>
    </x:row>
    <x:row r="1745">
      <x:c r="B1745" t="str">
        <x:v>PH-TG-699-L</x:v>
      </x:c>
      <x:c r="C1745" t="str">
        <x:v>PHYSICAL</x:v>
      </x:c>
      <x:c r="D1745" t="str">
        <x:v>terrain load</x:v>
      </x:c>
      <x:c r="E1745" t="n">
        <x:f>IF('Terrain Field'!K705&lt;&gt;"",1,0)</x:f>
        <x:v>0</x:v>
      </x:c>
      <x:c r="F1745" t="n">
        <x:v>1</x:v>
      </x:c>
      <x:c r="G1745" t="str">
        <x:v>equals</x:v>
      </x:c>
      <x:c r="H1745" t="str">
        <x:v>independent physical acceptance</x:v>
      </x:c>
      <x:c r="I1745" t="str">
        <x:f>IF(E1745=1,"PASS","OPEN")</x:f>
        <x:v>OPEN</x:v>
      </x:c>
    </x:row>
    <x:row r="1746">
      <x:c r="B1746" t="str">
        <x:v>PH-TG-700-G</x:v>
      </x:c>
      <x:c r="C1746" t="str">
        <x:v>PHYSICAL</x:v>
      </x:c>
      <x:c r="D1746" t="str">
        <x:v>terrain geometry</x:v>
      </x:c>
      <x:c r="E1746" t="n">
        <x:f>IF('Terrain Field'!J706&lt;&gt;"",1,0)</x:f>
        <x:v>0</x:v>
      </x:c>
      <x:c r="F1746" t="n">
        <x:v>1</x:v>
      </x:c>
      <x:c r="G1746" t="str">
        <x:v>equals</x:v>
      </x:c>
      <x:c r="H1746" t="str">
        <x:v>independent physical acceptance</x:v>
      </x:c>
      <x:c r="I1746" t="str">
        <x:f>IF(E1746=1,"PASS","OPEN")</x:f>
        <x:v>OPEN</x:v>
      </x:c>
    </x:row>
    <x:row r="1747">
      <x:c r="B1747" t="str">
        <x:v>PH-TG-700-L</x:v>
      </x:c>
      <x:c r="C1747" t="str">
        <x:v>PHYSICAL</x:v>
      </x:c>
      <x:c r="D1747" t="str">
        <x:v>terrain load</x:v>
      </x:c>
      <x:c r="E1747" t="n">
        <x:f>IF('Terrain Field'!K706&lt;&gt;"",1,0)</x:f>
        <x:v>0</x:v>
      </x:c>
      <x:c r="F1747" t="n">
        <x:v>1</x:v>
      </x:c>
      <x:c r="G1747" t="str">
        <x:v>equals</x:v>
      </x:c>
      <x:c r="H1747" t="str">
        <x:v>independent physical acceptance</x:v>
      </x:c>
      <x:c r="I1747" t="str">
        <x:f>IF(E1747=1,"PASS","OPEN")</x:f>
        <x:v>OPEN</x:v>
      </x:c>
    </x:row>
    <x:row r="1748">
      <x:c r="B1748" t="str">
        <x:v>PH-TG-701-G</x:v>
      </x:c>
      <x:c r="C1748" t="str">
        <x:v>PHYSICAL</x:v>
      </x:c>
      <x:c r="D1748" t="str">
        <x:v>terrain geometry</x:v>
      </x:c>
      <x:c r="E1748" t="n">
        <x:f>IF('Terrain Field'!J707&lt;&gt;"",1,0)</x:f>
        <x:v>0</x:v>
      </x:c>
      <x:c r="F1748" t="n">
        <x:v>1</x:v>
      </x:c>
      <x:c r="G1748" t="str">
        <x:v>equals</x:v>
      </x:c>
      <x:c r="H1748" t="str">
        <x:v>independent physical acceptance</x:v>
      </x:c>
      <x:c r="I1748" t="str">
        <x:f>IF(E1748=1,"PASS","OPEN")</x:f>
        <x:v>OPEN</x:v>
      </x:c>
    </x:row>
    <x:row r="1749">
      <x:c r="B1749" t="str">
        <x:v>PH-TG-701-L</x:v>
      </x:c>
      <x:c r="C1749" t="str">
        <x:v>PHYSICAL</x:v>
      </x:c>
      <x:c r="D1749" t="str">
        <x:v>terrain load</x:v>
      </x:c>
      <x:c r="E1749" t="n">
        <x:f>IF('Terrain Field'!K707&lt;&gt;"",1,0)</x:f>
        <x:v>0</x:v>
      </x:c>
      <x:c r="F1749" t="n">
        <x:v>1</x:v>
      </x:c>
      <x:c r="G1749" t="str">
        <x:v>equals</x:v>
      </x:c>
      <x:c r="H1749" t="str">
        <x:v>independent physical acceptance</x:v>
      </x:c>
      <x:c r="I1749" t="str">
        <x:f>IF(E1749=1,"PASS","OPEN")</x:f>
        <x:v>OPEN</x:v>
      </x:c>
    </x:row>
    <x:row r="1750">
      <x:c r="B1750" t="str">
        <x:v>PH-TG-702-G</x:v>
      </x:c>
      <x:c r="C1750" t="str">
        <x:v>PHYSICAL</x:v>
      </x:c>
      <x:c r="D1750" t="str">
        <x:v>terrain geometry</x:v>
      </x:c>
      <x:c r="E1750" t="n">
        <x:f>IF('Terrain Field'!J708&lt;&gt;"",1,0)</x:f>
        <x:v>0</x:v>
      </x:c>
      <x:c r="F1750" t="n">
        <x:v>1</x:v>
      </x:c>
      <x:c r="G1750" t="str">
        <x:v>equals</x:v>
      </x:c>
      <x:c r="H1750" t="str">
        <x:v>independent physical acceptance</x:v>
      </x:c>
      <x:c r="I1750" t="str">
        <x:f>IF(E1750=1,"PASS","OPEN")</x:f>
        <x:v>OPEN</x:v>
      </x:c>
    </x:row>
    <x:row r="1751">
      <x:c r="B1751" t="str">
        <x:v>PH-TG-702-L</x:v>
      </x:c>
      <x:c r="C1751" t="str">
        <x:v>PHYSICAL</x:v>
      </x:c>
      <x:c r="D1751" t="str">
        <x:v>terrain load</x:v>
      </x:c>
      <x:c r="E1751" t="n">
        <x:f>IF('Terrain Field'!K708&lt;&gt;"",1,0)</x:f>
        <x:v>0</x:v>
      </x:c>
      <x:c r="F1751" t="n">
        <x:v>1</x:v>
      </x:c>
      <x:c r="G1751" t="str">
        <x:v>equals</x:v>
      </x:c>
      <x:c r="H1751" t="str">
        <x:v>independent physical acceptance</x:v>
      </x:c>
      <x:c r="I1751" t="str">
        <x:f>IF(E1751=1,"PASS","OPEN")</x:f>
        <x:v>OPEN</x:v>
      </x:c>
    </x:row>
    <x:row r="1752">
      <x:c r="B1752" t="str">
        <x:v>PH-TG-703-G</x:v>
      </x:c>
      <x:c r="C1752" t="str">
        <x:v>PHYSICAL</x:v>
      </x:c>
      <x:c r="D1752" t="str">
        <x:v>terrain geometry</x:v>
      </x:c>
      <x:c r="E1752" t="n">
        <x:f>IF('Terrain Field'!J709&lt;&gt;"",1,0)</x:f>
        <x:v>0</x:v>
      </x:c>
      <x:c r="F1752" t="n">
        <x:v>1</x:v>
      </x:c>
      <x:c r="G1752" t="str">
        <x:v>equals</x:v>
      </x:c>
      <x:c r="H1752" t="str">
        <x:v>independent physical acceptance</x:v>
      </x:c>
      <x:c r="I1752" t="str">
        <x:f>IF(E1752=1,"PASS","OPEN")</x:f>
        <x:v>OPEN</x:v>
      </x:c>
    </x:row>
    <x:row r="1753">
      <x:c r="B1753" t="str">
        <x:v>PH-TG-703-L</x:v>
      </x:c>
      <x:c r="C1753" t="str">
        <x:v>PHYSICAL</x:v>
      </x:c>
      <x:c r="D1753" t="str">
        <x:v>terrain load</x:v>
      </x:c>
      <x:c r="E1753" t="n">
        <x:f>IF('Terrain Field'!K709&lt;&gt;"",1,0)</x:f>
        <x:v>0</x:v>
      </x:c>
      <x:c r="F1753" t="n">
        <x:v>1</x:v>
      </x:c>
      <x:c r="G1753" t="str">
        <x:v>equals</x:v>
      </x:c>
      <x:c r="H1753" t="str">
        <x:v>independent physical acceptance</x:v>
      </x:c>
      <x:c r="I1753" t="str">
        <x:f>IF(E1753=1,"PASS","OPEN")</x:f>
        <x:v>OPEN</x:v>
      </x:c>
    </x:row>
    <x:row r="1754">
      <x:c r="B1754" t="str">
        <x:v>PH-TG-704-G</x:v>
      </x:c>
      <x:c r="C1754" t="str">
        <x:v>PHYSICAL</x:v>
      </x:c>
      <x:c r="D1754" t="str">
        <x:v>terrain geometry</x:v>
      </x:c>
      <x:c r="E1754" t="n">
        <x:f>IF('Terrain Field'!J710&lt;&gt;"",1,0)</x:f>
        <x:v>0</x:v>
      </x:c>
      <x:c r="F1754" t="n">
        <x:v>1</x:v>
      </x:c>
      <x:c r="G1754" t="str">
        <x:v>equals</x:v>
      </x:c>
      <x:c r="H1754" t="str">
        <x:v>independent physical acceptance</x:v>
      </x:c>
      <x:c r="I1754" t="str">
        <x:f>IF(E1754=1,"PASS","OPEN")</x:f>
        <x:v>OPEN</x:v>
      </x:c>
    </x:row>
    <x:row r="1755">
      <x:c r="B1755" t="str">
        <x:v>PH-TG-704-L</x:v>
      </x:c>
      <x:c r="C1755" t="str">
        <x:v>PHYSICAL</x:v>
      </x:c>
      <x:c r="D1755" t="str">
        <x:v>terrain load</x:v>
      </x:c>
      <x:c r="E1755" t="n">
        <x:f>IF('Terrain Field'!K710&lt;&gt;"",1,0)</x:f>
        <x:v>0</x:v>
      </x:c>
      <x:c r="F1755" t="n">
        <x:v>1</x:v>
      </x:c>
      <x:c r="G1755" t="str">
        <x:v>equals</x:v>
      </x:c>
      <x:c r="H1755" t="str">
        <x:v>independent physical acceptance</x:v>
      </x:c>
      <x:c r="I1755" t="str">
        <x:f>IF(E1755=1,"PASS","OPEN")</x:f>
        <x:v>OPEN</x:v>
      </x:c>
    </x:row>
    <x:row r="1756">
      <x:c r="B1756" t="str">
        <x:v>PH-TG-705-G</x:v>
      </x:c>
      <x:c r="C1756" t="str">
        <x:v>PHYSICAL</x:v>
      </x:c>
      <x:c r="D1756" t="str">
        <x:v>terrain geometry</x:v>
      </x:c>
      <x:c r="E1756" t="n">
        <x:f>IF('Terrain Field'!J711&lt;&gt;"",1,0)</x:f>
        <x:v>0</x:v>
      </x:c>
      <x:c r="F1756" t="n">
        <x:v>1</x:v>
      </x:c>
      <x:c r="G1756" t="str">
        <x:v>equals</x:v>
      </x:c>
      <x:c r="H1756" t="str">
        <x:v>independent physical acceptance</x:v>
      </x:c>
      <x:c r="I1756" t="str">
        <x:f>IF(E1756=1,"PASS","OPEN")</x:f>
        <x:v>OPEN</x:v>
      </x:c>
    </x:row>
    <x:row r="1757">
      <x:c r="B1757" t="str">
        <x:v>PH-TG-705-L</x:v>
      </x:c>
      <x:c r="C1757" t="str">
        <x:v>PHYSICAL</x:v>
      </x:c>
      <x:c r="D1757" t="str">
        <x:v>terrain load</x:v>
      </x:c>
      <x:c r="E1757" t="n">
        <x:f>IF('Terrain Field'!K711&lt;&gt;"",1,0)</x:f>
        <x:v>0</x:v>
      </x:c>
      <x:c r="F1757" t="n">
        <x:v>1</x:v>
      </x:c>
      <x:c r="G1757" t="str">
        <x:v>equals</x:v>
      </x:c>
      <x:c r="H1757" t="str">
        <x:v>independent physical acceptance</x:v>
      </x:c>
      <x:c r="I1757" t="str">
        <x:f>IF(E1757=1,"PASS","OPEN")</x:f>
        <x:v>OPEN</x:v>
      </x:c>
    </x:row>
    <x:row r="1758">
      <x:c r="B1758" t="str">
        <x:v>PH-TG-706-G</x:v>
      </x:c>
      <x:c r="C1758" t="str">
        <x:v>PHYSICAL</x:v>
      </x:c>
      <x:c r="D1758" t="str">
        <x:v>terrain geometry</x:v>
      </x:c>
      <x:c r="E1758" t="n">
        <x:f>IF('Terrain Field'!J712&lt;&gt;"",1,0)</x:f>
        <x:v>0</x:v>
      </x:c>
      <x:c r="F1758" t="n">
        <x:v>1</x:v>
      </x:c>
      <x:c r="G1758" t="str">
        <x:v>equals</x:v>
      </x:c>
      <x:c r="H1758" t="str">
        <x:v>independent physical acceptance</x:v>
      </x:c>
      <x:c r="I1758" t="str">
        <x:f>IF(E1758=1,"PASS","OPEN")</x:f>
        <x:v>OPEN</x:v>
      </x:c>
    </x:row>
    <x:row r="1759">
      <x:c r="B1759" t="str">
        <x:v>PH-TG-706-L</x:v>
      </x:c>
      <x:c r="C1759" t="str">
        <x:v>PHYSICAL</x:v>
      </x:c>
      <x:c r="D1759" t="str">
        <x:v>terrain load</x:v>
      </x:c>
      <x:c r="E1759" t="n">
        <x:f>IF('Terrain Field'!K712&lt;&gt;"",1,0)</x:f>
        <x:v>0</x:v>
      </x:c>
      <x:c r="F1759" t="n">
        <x:v>1</x:v>
      </x:c>
      <x:c r="G1759" t="str">
        <x:v>equals</x:v>
      </x:c>
      <x:c r="H1759" t="str">
        <x:v>independent physical acceptance</x:v>
      </x:c>
      <x:c r="I1759" t="str">
        <x:f>IF(E1759=1,"PASS","OPEN")</x:f>
        <x:v>OPEN</x:v>
      </x:c>
    </x:row>
    <x:row r="1760">
      <x:c r="B1760" t="str">
        <x:v>PH-TG-707-G</x:v>
      </x:c>
      <x:c r="C1760" t="str">
        <x:v>PHYSICAL</x:v>
      </x:c>
      <x:c r="D1760" t="str">
        <x:v>terrain geometry</x:v>
      </x:c>
      <x:c r="E1760" t="n">
        <x:f>IF('Terrain Field'!J713&lt;&gt;"",1,0)</x:f>
        <x:v>0</x:v>
      </x:c>
      <x:c r="F1760" t="n">
        <x:v>1</x:v>
      </x:c>
      <x:c r="G1760" t="str">
        <x:v>equals</x:v>
      </x:c>
      <x:c r="H1760" t="str">
        <x:v>independent physical acceptance</x:v>
      </x:c>
      <x:c r="I1760" t="str">
        <x:f>IF(E1760=1,"PASS","OPEN")</x:f>
        <x:v>OPEN</x:v>
      </x:c>
    </x:row>
    <x:row r="1761">
      <x:c r="B1761" t="str">
        <x:v>PH-TG-707-L</x:v>
      </x:c>
      <x:c r="C1761" t="str">
        <x:v>PHYSICAL</x:v>
      </x:c>
      <x:c r="D1761" t="str">
        <x:v>terrain load</x:v>
      </x:c>
      <x:c r="E1761" t="n">
        <x:f>IF('Terrain Field'!K713&lt;&gt;"",1,0)</x:f>
        <x:v>0</x:v>
      </x:c>
      <x:c r="F1761" t="n">
        <x:v>1</x:v>
      </x:c>
      <x:c r="G1761" t="str">
        <x:v>equals</x:v>
      </x:c>
      <x:c r="H1761" t="str">
        <x:v>independent physical acceptance</x:v>
      </x:c>
      <x:c r="I1761" t="str">
        <x:f>IF(E1761=1,"PASS","OPEN")</x:f>
        <x:v>OPEN</x:v>
      </x:c>
    </x:row>
    <x:row r="1762">
      <x:c r="B1762" t="str">
        <x:v>PH-TG-708-G</x:v>
      </x:c>
      <x:c r="C1762" t="str">
        <x:v>PHYSICAL</x:v>
      </x:c>
      <x:c r="D1762" t="str">
        <x:v>terrain geometry</x:v>
      </x:c>
      <x:c r="E1762" t="n">
        <x:f>IF('Terrain Field'!J714&lt;&gt;"",1,0)</x:f>
        <x:v>0</x:v>
      </x:c>
      <x:c r="F1762" t="n">
        <x:v>1</x:v>
      </x:c>
      <x:c r="G1762" t="str">
        <x:v>equals</x:v>
      </x:c>
      <x:c r="H1762" t="str">
        <x:v>independent physical acceptance</x:v>
      </x:c>
      <x:c r="I1762" t="str">
        <x:f>IF(E1762=1,"PASS","OPEN")</x:f>
        <x:v>OPEN</x:v>
      </x:c>
    </x:row>
    <x:row r="1763">
      <x:c r="B1763" t="str">
        <x:v>PH-TG-708-L</x:v>
      </x:c>
      <x:c r="C1763" t="str">
        <x:v>PHYSICAL</x:v>
      </x:c>
      <x:c r="D1763" t="str">
        <x:v>terrain load</x:v>
      </x:c>
      <x:c r="E1763" t="n">
        <x:f>IF('Terrain Field'!K714&lt;&gt;"",1,0)</x:f>
        <x:v>0</x:v>
      </x:c>
      <x:c r="F1763" t="n">
        <x:v>1</x:v>
      </x:c>
      <x:c r="G1763" t="str">
        <x:v>equals</x:v>
      </x:c>
      <x:c r="H1763" t="str">
        <x:v>independent physical acceptance</x:v>
      </x:c>
      <x:c r="I1763" t="str">
        <x:f>IF(E1763=1,"PASS","OPEN")</x:f>
        <x:v>OPEN</x:v>
      </x:c>
    </x:row>
    <x:row r="1764">
      <x:c r="B1764" t="str">
        <x:v>PH-TG-709-G</x:v>
      </x:c>
      <x:c r="C1764" t="str">
        <x:v>PHYSICAL</x:v>
      </x:c>
      <x:c r="D1764" t="str">
        <x:v>terrain geometry</x:v>
      </x:c>
      <x:c r="E1764" t="n">
        <x:f>IF('Terrain Field'!J715&lt;&gt;"",1,0)</x:f>
        <x:v>0</x:v>
      </x:c>
      <x:c r="F1764" t="n">
        <x:v>1</x:v>
      </x:c>
      <x:c r="G1764" t="str">
        <x:v>equals</x:v>
      </x:c>
      <x:c r="H1764" t="str">
        <x:v>independent physical acceptance</x:v>
      </x:c>
      <x:c r="I1764" t="str">
        <x:f>IF(E1764=1,"PASS","OPEN")</x:f>
        <x:v>OPEN</x:v>
      </x:c>
    </x:row>
    <x:row r="1765">
      <x:c r="B1765" t="str">
        <x:v>PH-TG-709-L</x:v>
      </x:c>
      <x:c r="C1765" t="str">
        <x:v>PHYSICAL</x:v>
      </x:c>
      <x:c r="D1765" t="str">
        <x:v>terrain load</x:v>
      </x:c>
      <x:c r="E1765" t="n">
        <x:f>IF('Terrain Field'!K715&lt;&gt;"",1,0)</x:f>
        <x:v>0</x:v>
      </x:c>
      <x:c r="F1765" t="n">
        <x:v>1</x:v>
      </x:c>
      <x:c r="G1765" t="str">
        <x:v>equals</x:v>
      </x:c>
      <x:c r="H1765" t="str">
        <x:v>independent physical acceptance</x:v>
      </x:c>
      <x:c r="I1765" t="str">
        <x:f>IF(E1765=1,"PASS","OPEN")</x:f>
        <x:v>OPEN</x:v>
      </x:c>
    </x:row>
    <x:row r="1766">
      <x:c r="B1766" t="str">
        <x:v>PH-TG-710-G</x:v>
      </x:c>
      <x:c r="C1766" t="str">
        <x:v>PHYSICAL</x:v>
      </x:c>
      <x:c r="D1766" t="str">
        <x:v>terrain geometry</x:v>
      </x:c>
      <x:c r="E1766" t="n">
        <x:f>IF('Terrain Field'!J716&lt;&gt;"",1,0)</x:f>
        <x:v>0</x:v>
      </x:c>
      <x:c r="F1766" t="n">
        <x:v>1</x:v>
      </x:c>
      <x:c r="G1766" t="str">
        <x:v>equals</x:v>
      </x:c>
      <x:c r="H1766" t="str">
        <x:v>independent physical acceptance</x:v>
      </x:c>
      <x:c r="I1766" t="str">
        <x:f>IF(E1766=1,"PASS","OPEN")</x:f>
        <x:v>OPEN</x:v>
      </x:c>
    </x:row>
    <x:row r="1767">
      <x:c r="B1767" t="str">
        <x:v>PH-TG-710-L</x:v>
      </x:c>
      <x:c r="C1767" t="str">
        <x:v>PHYSICAL</x:v>
      </x:c>
      <x:c r="D1767" t="str">
        <x:v>terrain load</x:v>
      </x:c>
      <x:c r="E1767" t="n">
        <x:f>IF('Terrain Field'!K716&lt;&gt;"",1,0)</x:f>
        <x:v>0</x:v>
      </x:c>
      <x:c r="F1767" t="n">
        <x:v>1</x:v>
      </x:c>
      <x:c r="G1767" t="str">
        <x:v>equals</x:v>
      </x:c>
      <x:c r="H1767" t="str">
        <x:v>independent physical acceptance</x:v>
      </x:c>
      <x:c r="I1767" t="str">
        <x:f>IF(E1767=1,"PASS","OPEN")</x:f>
        <x:v>OPEN</x:v>
      </x:c>
    </x:row>
    <x:row r="1768">
      <x:c r="B1768" t="str">
        <x:v>PH-TG-711-G</x:v>
      </x:c>
      <x:c r="C1768" t="str">
        <x:v>PHYSICAL</x:v>
      </x:c>
      <x:c r="D1768" t="str">
        <x:v>terrain geometry</x:v>
      </x:c>
      <x:c r="E1768" t="n">
        <x:f>IF('Terrain Field'!J717&lt;&gt;"",1,0)</x:f>
        <x:v>0</x:v>
      </x:c>
      <x:c r="F1768" t="n">
        <x:v>1</x:v>
      </x:c>
      <x:c r="G1768" t="str">
        <x:v>equals</x:v>
      </x:c>
      <x:c r="H1768" t="str">
        <x:v>independent physical acceptance</x:v>
      </x:c>
      <x:c r="I1768" t="str">
        <x:f>IF(E1768=1,"PASS","OPEN")</x:f>
        <x:v>OPEN</x:v>
      </x:c>
    </x:row>
    <x:row r="1769">
      <x:c r="B1769" t="str">
        <x:v>PH-TG-711-L</x:v>
      </x:c>
      <x:c r="C1769" t="str">
        <x:v>PHYSICAL</x:v>
      </x:c>
      <x:c r="D1769" t="str">
        <x:v>terrain load</x:v>
      </x:c>
      <x:c r="E1769" t="n">
        <x:f>IF('Terrain Field'!K717&lt;&gt;"",1,0)</x:f>
        <x:v>0</x:v>
      </x:c>
      <x:c r="F1769" t="n">
        <x:v>1</x:v>
      </x:c>
      <x:c r="G1769" t="str">
        <x:v>equals</x:v>
      </x:c>
      <x:c r="H1769" t="str">
        <x:v>independent physical acceptance</x:v>
      </x:c>
      <x:c r="I1769" t="str">
        <x:f>IF(E1769=1,"PASS","OPEN")</x:f>
        <x:v>OPEN</x:v>
      </x:c>
    </x:row>
    <x:row r="1770">
      <x:c r="B1770" t="str">
        <x:v>PH-TG-712-G</x:v>
      </x:c>
      <x:c r="C1770" t="str">
        <x:v>PHYSICAL</x:v>
      </x:c>
      <x:c r="D1770" t="str">
        <x:v>terrain geometry</x:v>
      </x:c>
      <x:c r="E1770" t="n">
        <x:f>IF('Terrain Field'!J718&lt;&gt;"",1,0)</x:f>
        <x:v>0</x:v>
      </x:c>
      <x:c r="F1770" t="n">
        <x:v>1</x:v>
      </x:c>
      <x:c r="G1770" t="str">
        <x:v>equals</x:v>
      </x:c>
      <x:c r="H1770" t="str">
        <x:v>independent physical acceptance</x:v>
      </x:c>
      <x:c r="I1770" t="str">
        <x:f>IF(E1770=1,"PASS","OPEN")</x:f>
        <x:v>OPEN</x:v>
      </x:c>
    </x:row>
    <x:row r="1771">
      <x:c r="B1771" t="str">
        <x:v>PH-TG-712-L</x:v>
      </x:c>
      <x:c r="C1771" t="str">
        <x:v>PHYSICAL</x:v>
      </x:c>
      <x:c r="D1771" t="str">
        <x:v>terrain load</x:v>
      </x:c>
      <x:c r="E1771" t="n">
        <x:f>IF('Terrain Field'!K718&lt;&gt;"",1,0)</x:f>
        <x:v>0</x:v>
      </x:c>
      <x:c r="F1771" t="n">
        <x:v>1</x:v>
      </x:c>
      <x:c r="G1771" t="str">
        <x:v>equals</x:v>
      </x:c>
      <x:c r="H1771" t="str">
        <x:v>independent physical acceptance</x:v>
      </x:c>
      <x:c r="I1771" t="str">
        <x:f>IF(E1771=1,"PASS","OPEN")</x:f>
        <x:v>OPEN</x:v>
      </x:c>
    </x:row>
    <x:row r="1772">
      <x:c r="B1772" t="str">
        <x:v>PH-TG-713-G</x:v>
      </x:c>
      <x:c r="C1772" t="str">
        <x:v>PHYSICAL</x:v>
      </x:c>
      <x:c r="D1772" t="str">
        <x:v>terrain geometry</x:v>
      </x:c>
      <x:c r="E1772" t="n">
        <x:f>IF('Terrain Field'!J719&lt;&gt;"",1,0)</x:f>
        <x:v>0</x:v>
      </x:c>
      <x:c r="F1772" t="n">
        <x:v>1</x:v>
      </x:c>
      <x:c r="G1772" t="str">
        <x:v>equals</x:v>
      </x:c>
      <x:c r="H1772" t="str">
        <x:v>independent physical acceptance</x:v>
      </x:c>
      <x:c r="I1772" t="str">
        <x:f>IF(E1772=1,"PASS","OPEN")</x:f>
        <x:v>OPEN</x:v>
      </x:c>
    </x:row>
    <x:row r="1773">
      <x:c r="B1773" t="str">
        <x:v>PH-TG-713-L</x:v>
      </x:c>
      <x:c r="C1773" t="str">
        <x:v>PHYSICAL</x:v>
      </x:c>
      <x:c r="D1773" t="str">
        <x:v>terrain load</x:v>
      </x:c>
      <x:c r="E1773" t="n">
        <x:f>IF('Terrain Field'!K719&lt;&gt;"",1,0)</x:f>
        <x:v>0</x:v>
      </x:c>
      <x:c r="F1773" t="n">
        <x:v>1</x:v>
      </x:c>
      <x:c r="G1773" t="str">
        <x:v>equals</x:v>
      </x:c>
      <x:c r="H1773" t="str">
        <x:v>independent physical acceptance</x:v>
      </x:c>
      <x:c r="I1773" t="str">
        <x:f>IF(E1773=1,"PASS","OPEN")</x:f>
        <x:v>OPEN</x:v>
      </x:c>
    </x:row>
    <x:row r="1774">
      <x:c r="B1774" t="str">
        <x:v>PH-TG-714-G</x:v>
      </x:c>
      <x:c r="C1774" t="str">
        <x:v>PHYSICAL</x:v>
      </x:c>
      <x:c r="D1774" t="str">
        <x:v>terrain geometry</x:v>
      </x:c>
      <x:c r="E1774" t="n">
        <x:f>IF('Terrain Field'!J720&lt;&gt;"",1,0)</x:f>
        <x:v>0</x:v>
      </x:c>
      <x:c r="F1774" t="n">
        <x:v>1</x:v>
      </x:c>
      <x:c r="G1774" t="str">
        <x:v>equals</x:v>
      </x:c>
      <x:c r="H1774" t="str">
        <x:v>independent physical acceptance</x:v>
      </x:c>
      <x:c r="I1774" t="str">
        <x:f>IF(E1774=1,"PASS","OPEN")</x:f>
        <x:v>OPEN</x:v>
      </x:c>
    </x:row>
    <x:row r="1775">
      <x:c r="B1775" t="str">
        <x:v>PH-TG-714-L</x:v>
      </x:c>
      <x:c r="C1775" t="str">
        <x:v>PHYSICAL</x:v>
      </x:c>
      <x:c r="D1775" t="str">
        <x:v>terrain load</x:v>
      </x:c>
      <x:c r="E1775" t="n">
        <x:f>IF('Terrain Field'!K720&lt;&gt;"",1,0)</x:f>
        <x:v>0</x:v>
      </x:c>
      <x:c r="F1775" t="n">
        <x:v>1</x:v>
      </x:c>
      <x:c r="G1775" t="str">
        <x:v>equals</x:v>
      </x:c>
      <x:c r="H1775" t="str">
        <x:v>independent physical acceptance</x:v>
      </x:c>
      <x:c r="I1775" t="str">
        <x:f>IF(E1775=1,"PASS","OPEN")</x:f>
        <x:v>OPEN</x:v>
      </x:c>
    </x:row>
    <x:row r="1776">
      <x:c r="B1776" t="str">
        <x:v>PH-TG-715-G</x:v>
      </x:c>
      <x:c r="C1776" t="str">
        <x:v>PHYSICAL</x:v>
      </x:c>
      <x:c r="D1776" t="str">
        <x:v>terrain geometry</x:v>
      </x:c>
      <x:c r="E1776" t="n">
        <x:f>IF('Terrain Field'!J721&lt;&gt;"",1,0)</x:f>
        <x:v>0</x:v>
      </x:c>
      <x:c r="F1776" t="n">
        <x:v>1</x:v>
      </x:c>
      <x:c r="G1776" t="str">
        <x:v>equals</x:v>
      </x:c>
      <x:c r="H1776" t="str">
        <x:v>independent physical acceptance</x:v>
      </x:c>
      <x:c r="I1776" t="str">
        <x:f>IF(E1776=1,"PASS","OPEN")</x:f>
        <x:v>OPEN</x:v>
      </x:c>
    </x:row>
    <x:row r="1777">
      <x:c r="B1777" t="str">
        <x:v>PH-TG-715-L</x:v>
      </x:c>
      <x:c r="C1777" t="str">
        <x:v>PHYSICAL</x:v>
      </x:c>
      <x:c r="D1777" t="str">
        <x:v>terrain load</x:v>
      </x:c>
      <x:c r="E1777" t="n">
        <x:f>IF('Terrain Field'!K721&lt;&gt;"",1,0)</x:f>
        <x:v>0</x:v>
      </x:c>
      <x:c r="F1777" t="n">
        <x:v>1</x:v>
      </x:c>
      <x:c r="G1777" t="str">
        <x:v>equals</x:v>
      </x:c>
      <x:c r="H1777" t="str">
        <x:v>independent physical acceptance</x:v>
      </x:c>
      <x:c r="I1777" t="str">
        <x:f>IF(E1777=1,"PASS","OPEN")</x:f>
        <x:v>OPEN</x:v>
      </x:c>
    </x:row>
    <x:row r="1778">
      <x:c r="B1778" t="str">
        <x:v>PH-TG-716-G</x:v>
      </x:c>
      <x:c r="C1778" t="str">
        <x:v>PHYSICAL</x:v>
      </x:c>
      <x:c r="D1778" t="str">
        <x:v>terrain geometry</x:v>
      </x:c>
      <x:c r="E1778" t="n">
        <x:f>IF('Terrain Field'!J722&lt;&gt;"",1,0)</x:f>
        <x:v>0</x:v>
      </x:c>
      <x:c r="F1778" t="n">
        <x:v>1</x:v>
      </x:c>
      <x:c r="G1778" t="str">
        <x:v>equals</x:v>
      </x:c>
      <x:c r="H1778" t="str">
        <x:v>independent physical acceptance</x:v>
      </x:c>
      <x:c r="I1778" t="str">
        <x:f>IF(E1778=1,"PASS","OPEN")</x:f>
        <x:v>OPEN</x:v>
      </x:c>
    </x:row>
    <x:row r="1779">
      <x:c r="B1779" t="str">
        <x:v>PH-TG-716-L</x:v>
      </x:c>
      <x:c r="C1779" t="str">
        <x:v>PHYSICAL</x:v>
      </x:c>
      <x:c r="D1779" t="str">
        <x:v>terrain load</x:v>
      </x:c>
      <x:c r="E1779" t="n">
        <x:f>IF('Terrain Field'!K722&lt;&gt;"",1,0)</x:f>
        <x:v>0</x:v>
      </x:c>
      <x:c r="F1779" t="n">
        <x:v>1</x:v>
      </x:c>
      <x:c r="G1779" t="str">
        <x:v>equals</x:v>
      </x:c>
      <x:c r="H1779" t="str">
        <x:v>independent physical acceptance</x:v>
      </x:c>
      <x:c r="I1779" t="str">
        <x:f>IF(E1779=1,"PASS","OPEN")</x:f>
        <x:v>OPEN</x:v>
      </x:c>
    </x:row>
    <x:row r="1780">
      <x:c r="B1780" t="str">
        <x:v>PH-TG-717-G</x:v>
      </x:c>
      <x:c r="C1780" t="str">
        <x:v>PHYSICAL</x:v>
      </x:c>
      <x:c r="D1780" t="str">
        <x:v>terrain geometry</x:v>
      </x:c>
      <x:c r="E1780" t="n">
        <x:f>IF('Terrain Field'!J723&lt;&gt;"",1,0)</x:f>
        <x:v>0</x:v>
      </x:c>
      <x:c r="F1780" t="n">
        <x:v>1</x:v>
      </x:c>
      <x:c r="G1780" t="str">
        <x:v>equals</x:v>
      </x:c>
      <x:c r="H1780" t="str">
        <x:v>independent physical acceptance</x:v>
      </x:c>
      <x:c r="I1780" t="str">
        <x:f>IF(E1780=1,"PASS","OPEN")</x:f>
        <x:v>OPEN</x:v>
      </x:c>
    </x:row>
    <x:row r="1781">
      <x:c r="B1781" t="str">
        <x:v>PH-TG-717-L</x:v>
      </x:c>
      <x:c r="C1781" t="str">
        <x:v>PHYSICAL</x:v>
      </x:c>
      <x:c r="D1781" t="str">
        <x:v>terrain load</x:v>
      </x:c>
      <x:c r="E1781" t="n">
        <x:f>IF('Terrain Field'!K723&lt;&gt;"",1,0)</x:f>
        <x:v>0</x:v>
      </x:c>
      <x:c r="F1781" t="n">
        <x:v>1</x:v>
      </x:c>
      <x:c r="G1781" t="str">
        <x:v>equals</x:v>
      </x:c>
      <x:c r="H1781" t="str">
        <x:v>independent physical acceptance</x:v>
      </x:c>
      <x:c r="I1781" t="str">
        <x:f>IF(E1781=1,"PASS","OPEN")</x:f>
        <x:v>OPEN</x:v>
      </x:c>
    </x:row>
    <x:row r="1782">
      <x:c r="B1782" t="str">
        <x:v>PH-TG-718-G</x:v>
      </x:c>
      <x:c r="C1782" t="str">
        <x:v>PHYSICAL</x:v>
      </x:c>
      <x:c r="D1782" t="str">
        <x:v>terrain geometry</x:v>
      </x:c>
      <x:c r="E1782" t="n">
        <x:f>IF('Terrain Field'!J724&lt;&gt;"",1,0)</x:f>
        <x:v>0</x:v>
      </x:c>
      <x:c r="F1782" t="n">
        <x:v>1</x:v>
      </x:c>
      <x:c r="G1782" t="str">
        <x:v>equals</x:v>
      </x:c>
      <x:c r="H1782" t="str">
        <x:v>independent physical acceptance</x:v>
      </x:c>
      <x:c r="I1782" t="str">
        <x:f>IF(E1782=1,"PASS","OPEN")</x:f>
        <x:v>OPEN</x:v>
      </x:c>
    </x:row>
    <x:row r="1783">
      <x:c r="B1783" t="str">
        <x:v>PH-TG-718-L</x:v>
      </x:c>
      <x:c r="C1783" t="str">
        <x:v>PHYSICAL</x:v>
      </x:c>
      <x:c r="D1783" t="str">
        <x:v>terrain load</x:v>
      </x:c>
      <x:c r="E1783" t="n">
        <x:f>IF('Terrain Field'!K724&lt;&gt;"",1,0)</x:f>
        <x:v>0</x:v>
      </x:c>
      <x:c r="F1783" t="n">
        <x:v>1</x:v>
      </x:c>
      <x:c r="G1783" t="str">
        <x:v>equals</x:v>
      </x:c>
      <x:c r="H1783" t="str">
        <x:v>independent physical acceptance</x:v>
      </x:c>
      <x:c r="I1783" t="str">
        <x:f>IF(E1783=1,"PASS","OPEN")</x:f>
        <x:v>OPEN</x:v>
      </x:c>
    </x:row>
    <x:row r="1784">
      <x:c r="B1784" t="str">
        <x:v>PH-TG-719-G</x:v>
      </x:c>
      <x:c r="C1784" t="str">
        <x:v>PHYSICAL</x:v>
      </x:c>
      <x:c r="D1784" t="str">
        <x:v>terrain geometry</x:v>
      </x:c>
      <x:c r="E1784" t="n">
        <x:f>IF('Terrain Field'!J725&lt;&gt;"",1,0)</x:f>
        <x:v>0</x:v>
      </x:c>
      <x:c r="F1784" t="n">
        <x:v>1</x:v>
      </x:c>
      <x:c r="G1784" t="str">
        <x:v>equals</x:v>
      </x:c>
      <x:c r="H1784" t="str">
        <x:v>independent physical acceptance</x:v>
      </x:c>
      <x:c r="I1784" t="str">
        <x:f>IF(E1784=1,"PASS","OPEN")</x:f>
        <x:v>OPEN</x:v>
      </x:c>
    </x:row>
    <x:row r="1785">
      <x:c r="B1785" t="str">
        <x:v>PH-TG-719-L</x:v>
      </x:c>
      <x:c r="C1785" t="str">
        <x:v>PHYSICAL</x:v>
      </x:c>
      <x:c r="D1785" t="str">
        <x:v>terrain load</x:v>
      </x:c>
      <x:c r="E1785" t="n">
        <x:f>IF('Terrain Field'!K725&lt;&gt;"",1,0)</x:f>
        <x:v>0</x:v>
      </x:c>
      <x:c r="F1785" t="n">
        <x:v>1</x:v>
      </x:c>
      <x:c r="G1785" t="str">
        <x:v>equals</x:v>
      </x:c>
      <x:c r="H1785" t="str">
        <x:v>independent physical acceptance</x:v>
      </x:c>
      <x:c r="I1785" t="str">
        <x:f>IF(E1785=1,"PASS","OPEN")</x:f>
        <x:v>OPEN</x:v>
      </x:c>
    </x:row>
    <x:row r="1786">
      <x:c r="B1786" t="str">
        <x:v>PH-TG-720-G</x:v>
      </x:c>
      <x:c r="C1786" t="str">
        <x:v>PHYSICAL</x:v>
      </x:c>
      <x:c r="D1786" t="str">
        <x:v>terrain geometry</x:v>
      </x:c>
      <x:c r="E1786" t="n">
        <x:f>IF('Terrain Field'!J726&lt;&gt;"",1,0)</x:f>
        <x:v>0</x:v>
      </x:c>
      <x:c r="F1786" t="n">
        <x:v>1</x:v>
      </x:c>
      <x:c r="G1786" t="str">
        <x:v>equals</x:v>
      </x:c>
      <x:c r="H1786" t="str">
        <x:v>independent physical acceptance</x:v>
      </x:c>
      <x:c r="I1786" t="str">
        <x:f>IF(E1786=1,"PASS","OPEN")</x:f>
        <x:v>OPEN</x:v>
      </x:c>
    </x:row>
    <x:row r="1787">
      <x:c r="B1787" t="str">
        <x:v>PH-TG-720-L</x:v>
      </x:c>
      <x:c r="C1787" t="str">
        <x:v>PHYSICAL</x:v>
      </x:c>
      <x:c r="D1787" t="str">
        <x:v>terrain load</x:v>
      </x:c>
      <x:c r="E1787" t="n">
        <x:f>IF('Terrain Field'!K726&lt;&gt;"",1,0)</x:f>
        <x:v>0</x:v>
      </x:c>
      <x:c r="F1787" t="n">
        <x:v>1</x:v>
      </x:c>
      <x:c r="G1787" t="str">
        <x:v>equals</x:v>
      </x:c>
      <x:c r="H1787" t="str">
        <x:v>independent physical acceptance</x:v>
      </x:c>
      <x:c r="I1787" t="str">
        <x:f>IF(E1787=1,"PASS","OPEN")</x:f>
        <x:v>OPEN</x:v>
      </x:c>
    </x:row>
    <x:row r="1788">
      <x:c r="B1788" t="str">
        <x:v>PH-TG-721-G</x:v>
      </x:c>
      <x:c r="C1788" t="str">
        <x:v>PHYSICAL</x:v>
      </x:c>
      <x:c r="D1788" t="str">
        <x:v>terrain geometry</x:v>
      </x:c>
      <x:c r="E1788" t="n">
        <x:f>IF('Terrain Field'!J727&lt;&gt;"",1,0)</x:f>
        <x:v>0</x:v>
      </x:c>
      <x:c r="F1788" t="n">
        <x:v>1</x:v>
      </x:c>
      <x:c r="G1788" t="str">
        <x:v>equals</x:v>
      </x:c>
      <x:c r="H1788" t="str">
        <x:v>independent physical acceptance</x:v>
      </x:c>
      <x:c r="I1788" t="str">
        <x:f>IF(E1788=1,"PASS","OPEN")</x:f>
        <x:v>OPEN</x:v>
      </x:c>
    </x:row>
    <x:row r="1789">
      <x:c r="B1789" t="str">
        <x:v>PH-TG-721-L</x:v>
      </x:c>
      <x:c r="C1789" t="str">
        <x:v>PHYSICAL</x:v>
      </x:c>
      <x:c r="D1789" t="str">
        <x:v>terrain load</x:v>
      </x:c>
      <x:c r="E1789" t="n">
        <x:f>IF('Terrain Field'!K727&lt;&gt;"",1,0)</x:f>
        <x:v>0</x:v>
      </x:c>
      <x:c r="F1789" t="n">
        <x:v>1</x:v>
      </x:c>
      <x:c r="G1789" t="str">
        <x:v>equals</x:v>
      </x:c>
      <x:c r="H1789" t="str">
        <x:v>independent physical acceptance</x:v>
      </x:c>
      <x:c r="I1789" t="str">
        <x:f>IF(E1789=1,"PASS","OPEN")</x:f>
        <x:v>OPEN</x:v>
      </x:c>
    </x:row>
    <x:row r="1790">
      <x:c r="B1790" t="str">
        <x:v>PH-TG-722-G</x:v>
      </x:c>
      <x:c r="C1790" t="str">
        <x:v>PHYSICAL</x:v>
      </x:c>
      <x:c r="D1790" t="str">
        <x:v>terrain geometry</x:v>
      </x:c>
      <x:c r="E1790" t="n">
        <x:f>IF('Terrain Field'!J728&lt;&gt;"",1,0)</x:f>
        <x:v>0</x:v>
      </x:c>
      <x:c r="F1790" t="n">
        <x:v>1</x:v>
      </x:c>
      <x:c r="G1790" t="str">
        <x:v>equals</x:v>
      </x:c>
      <x:c r="H1790" t="str">
        <x:v>independent physical acceptance</x:v>
      </x:c>
      <x:c r="I1790" t="str">
        <x:f>IF(E1790=1,"PASS","OPEN")</x:f>
        <x:v>OPEN</x:v>
      </x:c>
    </x:row>
    <x:row r="1791">
      <x:c r="B1791" t="str">
        <x:v>PH-TG-722-L</x:v>
      </x:c>
      <x:c r="C1791" t="str">
        <x:v>PHYSICAL</x:v>
      </x:c>
      <x:c r="D1791" t="str">
        <x:v>terrain load</x:v>
      </x:c>
      <x:c r="E1791" t="n">
        <x:f>IF('Terrain Field'!K728&lt;&gt;"",1,0)</x:f>
        <x:v>0</x:v>
      </x:c>
      <x:c r="F1791" t="n">
        <x:v>1</x:v>
      </x:c>
      <x:c r="G1791" t="str">
        <x:v>equals</x:v>
      </x:c>
      <x:c r="H1791" t="str">
        <x:v>independent physical acceptance</x:v>
      </x:c>
      <x:c r="I1791" t="str">
        <x:f>IF(E1791=1,"PASS","OPEN")</x:f>
        <x:v>OPEN</x:v>
      </x:c>
    </x:row>
    <x:row r="1792">
      <x:c r="B1792" t="str">
        <x:v>PH-TG-723-G</x:v>
      </x:c>
      <x:c r="C1792" t="str">
        <x:v>PHYSICAL</x:v>
      </x:c>
      <x:c r="D1792" t="str">
        <x:v>terrain geometry</x:v>
      </x:c>
      <x:c r="E1792" t="n">
        <x:f>IF('Terrain Field'!J729&lt;&gt;"",1,0)</x:f>
        <x:v>0</x:v>
      </x:c>
      <x:c r="F1792" t="n">
        <x:v>1</x:v>
      </x:c>
      <x:c r="G1792" t="str">
        <x:v>equals</x:v>
      </x:c>
      <x:c r="H1792" t="str">
        <x:v>independent physical acceptance</x:v>
      </x:c>
      <x:c r="I1792" t="str">
        <x:f>IF(E1792=1,"PASS","OPEN")</x:f>
        <x:v>OPEN</x:v>
      </x:c>
    </x:row>
    <x:row r="1793">
      <x:c r="B1793" t="str">
        <x:v>PH-TG-723-L</x:v>
      </x:c>
      <x:c r="C1793" t="str">
        <x:v>PHYSICAL</x:v>
      </x:c>
      <x:c r="D1793" t="str">
        <x:v>terrain load</x:v>
      </x:c>
      <x:c r="E1793" t="n">
        <x:f>IF('Terrain Field'!K729&lt;&gt;"",1,0)</x:f>
        <x:v>0</x:v>
      </x:c>
      <x:c r="F1793" t="n">
        <x:v>1</x:v>
      </x:c>
      <x:c r="G1793" t="str">
        <x:v>equals</x:v>
      </x:c>
      <x:c r="H1793" t="str">
        <x:v>independent physical acceptance</x:v>
      </x:c>
      <x:c r="I1793" t="str">
        <x:f>IF(E1793=1,"PASS","OPEN")</x:f>
        <x:v>OPEN</x:v>
      </x:c>
    </x:row>
    <x:row r="1794">
      <x:c r="B1794" t="str">
        <x:v>PH-TG-724-G</x:v>
      </x:c>
      <x:c r="C1794" t="str">
        <x:v>PHYSICAL</x:v>
      </x:c>
      <x:c r="D1794" t="str">
        <x:v>terrain geometry</x:v>
      </x:c>
      <x:c r="E1794" t="n">
        <x:f>IF('Terrain Field'!J730&lt;&gt;"",1,0)</x:f>
        <x:v>0</x:v>
      </x:c>
      <x:c r="F1794" t="n">
        <x:v>1</x:v>
      </x:c>
      <x:c r="G1794" t="str">
        <x:v>equals</x:v>
      </x:c>
      <x:c r="H1794" t="str">
        <x:v>independent physical acceptance</x:v>
      </x:c>
      <x:c r="I1794" t="str">
        <x:f>IF(E1794=1,"PASS","OPEN")</x:f>
        <x:v>OPEN</x:v>
      </x:c>
    </x:row>
    <x:row r="1795">
      <x:c r="B1795" t="str">
        <x:v>PH-TG-724-L</x:v>
      </x:c>
      <x:c r="C1795" t="str">
        <x:v>PHYSICAL</x:v>
      </x:c>
      <x:c r="D1795" t="str">
        <x:v>terrain load</x:v>
      </x:c>
      <x:c r="E1795" t="n">
        <x:f>IF('Terrain Field'!K730&lt;&gt;"",1,0)</x:f>
        <x:v>0</x:v>
      </x:c>
      <x:c r="F1795" t="n">
        <x:v>1</x:v>
      </x:c>
      <x:c r="G1795" t="str">
        <x:v>equals</x:v>
      </x:c>
      <x:c r="H1795" t="str">
        <x:v>independent physical acceptance</x:v>
      </x:c>
      <x:c r="I1795" t="str">
        <x:f>IF(E1795=1,"PASS","OPEN")</x:f>
        <x:v>OPEN</x:v>
      </x:c>
    </x:row>
    <x:row r="1796">
      <x:c r="B1796" t="str">
        <x:v>PH-TG-725-G</x:v>
      </x:c>
      <x:c r="C1796" t="str">
        <x:v>PHYSICAL</x:v>
      </x:c>
      <x:c r="D1796" t="str">
        <x:v>terrain geometry</x:v>
      </x:c>
      <x:c r="E1796" t="n">
        <x:f>IF('Terrain Field'!J731&lt;&gt;"",1,0)</x:f>
        <x:v>0</x:v>
      </x:c>
      <x:c r="F1796" t="n">
        <x:v>1</x:v>
      </x:c>
      <x:c r="G1796" t="str">
        <x:v>equals</x:v>
      </x:c>
      <x:c r="H1796" t="str">
        <x:v>independent physical acceptance</x:v>
      </x:c>
      <x:c r="I1796" t="str">
        <x:f>IF(E1796=1,"PASS","OPEN")</x:f>
        <x:v>OPEN</x:v>
      </x:c>
    </x:row>
    <x:row r="1797">
      <x:c r="B1797" t="str">
        <x:v>PH-TG-725-L</x:v>
      </x:c>
      <x:c r="C1797" t="str">
        <x:v>PHYSICAL</x:v>
      </x:c>
      <x:c r="D1797" t="str">
        <x:v>terrain load</x:v>
      </x:c>
      <x:c r="E1797" t="n">
        <x:f>IF('Terrain Field'!K731&lt;&gt;"",1,0)</x:f>
        <x:v>0</x:v>
      </x:c>
      <x:c r="F1797" t="n">
        <x:v>1</x:v>
      </x:c>
      <x:c r="G1797" t="str">
        <x:v>equals</x:v>
      </x:c>
      <x:c r="H1797" t="str">
        <x:v>independent physical acceptance</x:v>
      </x:c>
      <x:c r="I1797" t="str">
        <x:f>IF(E1797=1,"PASS","OPEN")</x:f>
        <x:v>OPEN</x:v>
      </x:c>
    </x:row>
    <x:row r="1798">
      <x:c r="B1798" t="str">
        <x:v>PH-TG-726-G</x:v>
      </x:c>
      <x:c r="C1798" t="str">
        <x:v>PHYSICAL</x:v>
      </x:c>
      <x:c r="D1798" t="str">
        <x:v>terrain geometry</x:v>
      </x:c>
      <x:c r="E1798" t="n">
        <x:f>IF('Terrain Field'!J732&lt;&gt;"",1,0)</x:f>
        <x:v>0</x:v>
      </x:c>
      <x:c r="F1798" t="n">
        <x:v>1</x:v>
      </x:c>
      <x:c r="G1798" t="str">
        <x:v>equals</x:v>
      </x:c>
      <x:c r="H1798" t="str">
        <x:v>independent physical acceptance</x:v>
      </x:c>
      <x:c r="I1798" t="str">
        <x:f>IF(E1798=1,"PASS","OPEN")</x:f>
        <x:v>OPEN</x:v>
      </x:c>
    </x:row>
    <x:row r="1799">
      <x:c r="B1799" t="str">
        <x:v>PH-TG-726-L</x:v>
      </x:c>
      <x:c r="C1799" t="str">
        <x:v>PHYSICAL</x:v>
      </x:c>
      <x:c r="D1799" t="str">
        <x:v>terrain load</x:v>
      </x:c>
      <x:c r="E1799" t="n">
        <x:f>IF('Terrain Field'!K732&lt;&gt;"",1,0)</x:f>
        <x:v>0</x:v>
      </x:c>
      <x:c r="F1799" t="n">
        <x:v>1</x:v>
      </x:c>
      <x:c r="G1799" t="str">
        <x:v>equals</x:v>
      </x:c>
      <x:c r="H1799" t="str">
        <x:v>independent physical acceptance</x:v>
      </x:c>
      <x:c r="I1799" t="str">
        <x:f>IF(E1799=1,"PASS","OPEN")</x:f>
        <x:v>OPEN</x:v>
      </x:c>
    </x:row>
    <x:row r="1800">
      <x:c r="B1800" t="str">
        <x:v>PH-TG-727-G</x:v>
      </x:c>
      <x:c r="C1800" t="str">
        <x:v>PHYSICAL</x:v>
      </x:c>
      <x:c r="D1800" t="str">
        <x:v>terrain geometry</x:v>
      </x:c>
      <x:c r="E1800" t="n">
        <x:f>IF('Terrain Field'!J733&lt;&gt;"",1,0)</x:f>
        <x:v>0</x:v>
      </x:c>
      <x:c r="F1800" t="n">
        <x:v>1</x:v>
      </x:c>
      <x:c r="G1800" t="str">
        <x:v>equals</x:v>
      </x:c>
      <x:c r="H1800" t="str">
        <x:v>independent physical acceptance</x:v>
      </x:c>
      <x:c r="I1800" t="str">
        <x:f>IF(E1800=1,"PASS","OPEN")</x:f>
        <x:v>OPEN</x:v>
      </x:c>
    </x:row>
    <x:row r="1801">
      <x:c r="B1801" t="str">
        <x:v>PH-TG-727-L</x:v>
      </x:c>
      <x:c r="C1801" t="str">
        <x:v>PHYSICAL</x:v>
      </x:c>
      <x:c r="D1801" t="str">
        <x:v>terrain load</x:v>
      </x:c>
      <x:c r="E1801" t="n">
        <x:f>IF('Terrain Field'!K733&lt;&gt;"",1,0)</x:f>
        <x:v>0</x:v>
      </x:c>
      <x:c r="F1801" t="n">
        <x:v>1</x:v>
      </x:c>
      <x:c r="G1801" t="str">
        <x:v>equals</x:v>
      </x:c>
      <x:c r="H1801" t="str">
        <x:v>independent physical acceptance</x:v>
      </x:c>
      <x:c r="I1801" t="str">
        <x:f>IF(E1801=1,"PASS","OPEN")</x:f>
        <x:v>OPEN</x:v>
      </x:c>
    </x:row>
    <x:row r="1802">
      <x:c r="B1802" t="str">
        <x:v>PH-TG-728-G</x:v>
      </x:c>
      <x:c r="C1802" t="str">
        <x:v>PHYSICAL</x:v>
      </x:c>
      <x:c r="D1802" t="str">
        <x:v>terrain geometry</x:v>
      </x:c>
      <x:c r="E1802" t="n">
        <x:f>IF('Terrain Field'!J734&lt;&gt;"",1,0)</x:f>
        <x:v>0</x:v>
      </x:c>
      <x:c r="F1802" t="n">
        <x:v>1</x:v>
      </x:c>
      <x:c r="G1802" t="str">
        <x:v>equals</x:v>
      </x:c>
      <x:c r="H1802" t="str">
        <x:v>independent physical acceptance</x:v>
      </x:c>
      <x:c r="I1802" t="str">
        <x:f>IF(E1802=1,"PASS","OPEN")</x:f>
        <x:v>OPEN</x:v>
      </x:c>
    </x:row>
    <x:row r="1803">
      <x:c r="B1803" t="str">
        <x:v>PH-TG-728-L</x:v>
      </x:c>
      <x:c r="C1803" t="str">
        <x:v>PHYSICAL</x:v>
      </x:c>
      <x:c r="D1803" t="str">
        <x:v>terrain load</x:v>
      </x:c>
      <x:c r="E1803" t="n">
        <x:f>IF('Terrain Field'!K734&lt;&gt;"",1,0)</x:f>
        <x:v>0</x:v>
      </x:c>
      <x:c r="F1803" t="n">
        <x:v>1</x:v>
      </x:c>
      <x:c r="G1803" t="str">
        <x:v>equals</x:v>
      </x:c>
      <x:c r="H1803" t="str">
        <x:v>independent physical acceptance</x:v>
      </x:c>
      <x:c r="I1803" t="str">
        <x:f>IF(E1803=1,"PASS","OPEN")</x:f>
        <x:v>OPEN</x:v>
      </x:c>
    </x:row>
    <x:row r="1804">
      <x:c r="B1804" t="str">
        <x:v>PH-TG-729-G</x:v>
      </x:c>
      <x:c r="C1804" t="str">
        <x:v>PHYSICAL</x:v>
      </x:c>
      <x:c r="D1804" t="str">
        <x:v>terrain geometry</x:v>
      </x:c>
      <x:c r="E1804" t="n">
        <x:f>IF('Terrain Field'!J735&lt;&gt;"",1,0)</x:f>
        <x:v>0</x:v>
      </x:c>
      <x:c r="F1804" t="n">
        <x:v>1</x:v>
      </x:c>
      <x:c r="G1804" t="str">
        <x:v>equals</x:v>
      </x:c>
      <x:c r="H1804" t="str">
        <x:v>independent physical acceptance</x:v>
      </x:c>
      <x:c r="I1804" t="str">
        <x:f>IF(E1804=1,"PASS","OPEN")</x:f>
        <x:v>OPEN</x:v>
      </x:c>
    </x:row>
    <x:row r="1805">
      <x:c r="B1805" t="str">
        <x:v>PH-TG-729-L</x:v>
      </x:c>
      <x:c r="C1805" t="str">
        <x:v>PHYSICAL</x:v>
      </x:c>
      <x:c r="D1805" t="str">
        <x:v>terrain load</x:v>
      </x:c>
      <x:c r="E1805" t="n">
        <x:f>IF('Terrain Field'!K735&lt;&gt;"",1,0)</x:f>
        <x:v>0</x:v>
      </x:c>
      <x:c r="F1805" t="n">
        <x:v>1</x:v>
      </x:c>
      <x:c r="G1805" t="str">
        <x:v>equals</x:v>
      </x:c>
      <x:c r="H1805" t="str">
        <x:v>independent physical acceptance</x:v>
      </x:c>
      <x:c r="I1805" t="str">
        <x:f>IF(E1805=1,"PASS","OPEN")</x:f>
        <x:v>OPEN</x:v>
      </x:c>
    </x:row>
    <x:row r="1806">
      <x:c r="B1806" t="str">
        <x:v>PH-TG-730-G</x:v>
      </x:c>
      <x:c r="C1806" t="str">
        <x:v>PHYSICAL</x:v>
      </x:c>
      <x:c r="D1806" t="str">
        <x:v>terrain geometry</x:v>
      </x:c>
      <x:c r="E1806" t="n">
        <x:f>IF('Terrain Field'!J736&lt;&gt;"",1,0)</x:f>
        <x:v>0</x:v>
      </x:c>
      <x:c r="F1806" t="n">
        <x:v>1</x:v>
      </x:c>
      <x:c r="G1806" t="str">
        <x:v>equals</x:v>
      </x:c>
      <x:c r="H1806" t="str">
        <x:v>independent physical acceptance</x:v>
      </x:c>
      <x:c r="I1806" t="str">
        <x:f>IF(E1806=1,"PASS","OPEN")</x:f>
        <x:v>OPEN</x:v>
      </x:c>
    </x:row>
    <x:row r="1807">
      <x:c r="B1807" t="str">
        <x:v>PH-TG-730-L</x:v>
      </x:c>
      <x:c r="C1807" t="str">
        <x:v>PHYSICAL</x:v>
      </x:c>
      <x:c r="D1807" t="str">
        <x:v>terrain load</x:v>
      </x:c>
      <x:c r="E1807" t="n">
        <x:f>IF('Terrain Field'!K736&lt;&gt;"",1,0)</x:f>
        <x:v>0</x:v>
      </x:c>
      <x:c r="F1807" t="n">
        <x:v>1</x:v>
      </x:c>
      <x:c r="G1807" t="str">
        <x:v>equals</x:v>
      </x:c>
      <x:c r="H1807" t="str">
        <x:v>independent physical acceptance</x:v>
      </x:c>
      <x:c r="I1807" t="str">
        <x:f>IF(E1807=1,"PASS","OPEN")</x:f>
        <x:v>OPEN</x:v>
      </x:c>
    </x:row>
    <x:row r="1808">
      <x:c r="B1808" t="str">
        <x:v>PH-TG-731-G</x:v>
      </x:c>
      <x:c r="C1808" t="str">
        <x:v>PHYSICAL</x:v>
      </x:c>
      <x:c r="D1808" t="str">
        <x:v>terrain geometry</x:v>
      </x:c>
      <x:c r="E1808" t="n">
        <x:f>IF('Terrain Field'!J737&lt;&gt;"",1,0)</x:f>
        <x:v>0</x:v>
      </x:c>
      <x:c r="F1808" t="n">
        <x:v>1</x:v>
      </x:c>
      <x:c r="G1808" t="str">
        <x:v>equals</x:v>
      </x:c>
      <x:c r="H1808" t="str">
        <x:v>independent physical acceptance</x:v>
      </x:c>
      <x:c r="I1808" t="str">
        <x:f>IF(E1808=1,"PASS","OPEN")</x:f>
        <x:v>OPEN</x:v>
      </x:c>
    </x:row>
    <x:row r="1809">
      <x:c r="B1809" t="str">
        <x:v>PH-TG-731-L</x:v>
      </x:c>
      <x:c r="C1809" t="str">
        <x:v>PHYSICAL</x:v>
      </x:c>
      <x:c r="D1809" t="str">
        <x:v>terrain load</x:v>
      </x:c>
      <x:c r="E1809" t="n">
        <x:f>IF('Terrain Field'!K737&lt;&gt;"",1,0)</x:f>
        <x:v>0</x:v>
      </x:c>
      <x:c r="F1809" t="n">
        <x:v>1</x:v>
      </x:c>
      <x:c r="G1809" t="str">
        <x:v>equals</x:v>
      </x:c>
      <x:c r="H1809" t="str">
        <x:v>independent physical acceptance</x:v>
      </x:c>
      <x:c r="I1809" t="str">
        <x:f>IF(E1809=1,"PASS","OPEN")</x:f>
        <x:v>OPEN</x:v>
      </x:c>
    </x:row>
    <x:row r="1810">
      <x:c r="B1810" t="str">
        <x:v>PH-TG-732-G</x:v>
      </x:c>
      <x:c r="C1810" t="str">
        <x:v>PHYSICAL</x:v>
      </x:c>
      <x:c r="D1810" t="str">
        <x:v>terrain geometry</x:v>
      </x:c>
      <x:c r="E1810" t="n">
        <x:f>IF('Terrain Field'!J738&lt;&gt;"",1,0)</x:f>
        <x:v>0</x:v>
      </x:c>
      <x:c r="F1810" t="n">
        <x:v>1</x:v>
      </x:c>
      <x:c r="G1810" t="str">
        <x:v>equals</x:v>
      </x:c>
      <x:c r="H1810" t="str">
        <x:v>independent physical acceptance</x:v>
      </x:c>
      <x:c r="I1810" t="str">
        <x:f>IF(E1810=1,"PASS","OPEN")</x:f>
        <x:v>OPEN</x:v>
      </x:c>
    </x:row>
    <x:row r="1811">
      <x:c r="B1811" t="str">
        <x:v>PH-TG-732-L</x:v>
      </x:c>
      <x:c r="C1811" t="str">
        <x:v>PHYSICAL</x:v>
      </x:c>
      <x:c r="D1811" t="str">
        <x:v>terrain load</x:v>
      </x:c>
      <x:c r="E1811" t="n">
        <x:f>IF('Terrain Field'!K738&lt;&gt;"",1,0)</x:f>
        <x:v>0</x:v>
      </x:c>
      <x:c r="F1811" t="n">
        <x:v>1</x:v>
      </x:c>
      <x:c r="G1811" t="str">
        <x:v>equals</x:v>
      </x:c>
      <x:c r="H1811" t="str">
        <x:v>independent physical acceptance</x:v>
      </x:c>
      <x:c r="I1811" t="str">
        <x:f>IF(E1811=1,"PASS","OPEN")</x:f>
        <x:v>OPEN</x:v>
      </x:c>
    </x:row>
    <x:row r="1812">
      <x:c r="B1812" t="str">
        <x:v>PH-TG-733-G</x:v>
      </x:c>
      <x:c r="C1812" t="str">
        <x:v>PHYSICAL</x:v>
      </x:c>
      <x:c r="D1812" t="str">
        <x:v>terrain geometry</x:v>
      </x:c>
      <x:c r="E1812" t="n">
        <x:f>IF('Terrain Field'!J739&lt;&gt;"",1,0)</x:f>
        <x:v>0</x:v>
      </x:c>
      <x:c r="F1812" t="n">
        <x:v>1</x:v>
      </x:c>
      <x:c r="G1812" t="str">
        <x:v>equals</x:v>
      </x:c>
      <x:c r="H1812" t="str">
        <x:v>independent physical acceptance</x:v>
      </x:c>
      <x:c r="I1812" t="str">
        <x:f>IF(E1812=1,"PASS","OPEN")</x:f>
        <x:v>OPEN</x:v>
      </x:c>
    </x:row>
    <x:row r="1813">
      <x:c r="B1813" t="str">
        <x:v>PH-TG-733-L</x:v>
      </x:c>
      <x:c r="C1813" t="str">
        <x:v>PHYSICAL</x:v>
      </x:c>
      <x:c r="D1813" t="str">
        <x:v>terrain load</x:v>
      </x:c>
      <x:c r="E1813" t="n">
        <x:f>IF('Terrain Field'!K739&lt;&gt;"",1,0)</x:f>
        <x:v>0</x:v>
      </x:c>
      <x:c r="F1813" t="n">
        <x:v>1</x:v>
      </x:c>
      <x:c r="G1813" t="str">
        <x:v>equals</x:v>
      </x:c>
      <x:c r="H1813" t="str">
        <x:v>independent physical acceptance</x:v>
      </x:c>
      <x:c r="I1813" t="str">
        <x:f>IF(E1813=1,"PASS","OPEN")</x:f>
        <x:v>OPEN</x:v>
      </x:c>
    </x:row>
    <x:row r="1814">
      <x:c r="B1814" t="str">
        <x:v>PH-TG-734-G</x:v>
      </x:c>
      <x:c r="C1814" t="str">
        <x:v>PHYSICAL</x:v>
      </x:c>
      <x:c r="D1814" t="str">
        <x:v>terrain geometry</x:v>
      </x:c>
      <x:c r="E1814" t="n">
        <x:f>IF('Terrain Field'!J740&lt;&gt;"",1,0)</x:f>
        <x:v>0</x:v>
      </x:c>
      <x:c r="F1814" t="n">
        <x:v>1</x:v>
      </x:c>
      <x:c r="G1814" t="str">
        <x:v>equals</x:v>
      </x:c>
      <x:c r="H1814" t="str">
        <x:v>independent physical acceptance</x:v>
      </x:c>
      <x:c r="I1814" t="str">
        <x:f>IF(E1814=1,"PASS","OPEN")</x:f>
        <x:v>OPEN</x:v>
      </x:c>
    </x:row>
    <x:row r="1815">
      <x:c r="B1815" t="str">
        <x:v>PH-TG-734-L</x:v>
      </x:c>
      <x:c r="C1815" t="str">
        <x:v>PHYSICAL</x:v>
      </x:c>
      <x:c r="D1815" t="str">
        <x:v>terrain load</x:v>
      </x:c>
      <x:c r="E1815" t="n">
        <x:f>IF('Terrain Field'!K740&lt;&gt;"",1,0)</x:f>
        <x:v>0</x:v>
      </x:c>
      <x:c r="F1815" t="n">
        <x:v>1</x:v>
      </x:c>
      <x:c r="G1815" t="str">
        <x:v>equals</x:v>
      </x:c>
      <x:c r="H1815" t="str">
        <x:v>independent physical acceptance</x:v>
      </x:c>
      <x:c r="I1815" t="str">
        <x:f>IF(E1815=1,"PASS","OPEN")</x:f>
        <x:v>OPEN</x:v>
      </x:c>
    </x:row>
    <x:row r="1816">
      <x:c r="B1816" t="str">
        <x:v>PH-TG-735-G</x:v>
      </x:c>
      <x:c r="C1816" t="str">
        <x:v>PHYSICAL</x:v>
      </x:c>
      <x:c r="D1816" t="str">
        <x:v>terrain geometry</x:v>
      </x:c>
      <x:c r="E1816" t="n">
        <x:f>IF('Terrain Field'!J741&lt;&gt;"",1,0)</x:f>
        <x:v>0</x:v>
      </x:c>
      <x:c r="F1816" t="n">
        <x:v>1</x:v>
      </x:c>
      <x:c r="G1816" t="str">
        <x:v>equals</x:v>
      </x:c>
      <x:c r="H1816" t="str">
        <x:v>independent physical acceptance</x:v>
      </x:c>
      <x:c r="I1816" t="str">
        <x:f>IF(E1816=1,"PASS","OPEN")</x:f>
        <x:v>OPEN</x:v>
      </x:c>
    </x:row>
    <x:row r="1817">
      <x:c r="B1817" t="str">
        <x:v>PH-TG-735-L</x:v>
      </x:c>
      <x:c r="C1817" t="str">
        <x:v>PHYSICAL</x:v>
      </x:c>
      <x:c r="D1817" t="str">
        <x:v>terrain load</x:v>
      </x:c>
      <x:c r="E1817" t="n">
        <x:f>IF('Terrain Field'!K741&lt;&gt;"",1,0)</x:f>
        <x:v>0</x:v>
      </x:c>
      <x:c r="F1817" t="n">
        <x:v>1</x:v>
      </x:c>
      <x:c r="G1817" t="str">
        <x:v>equals</x:v>
      </x:c>
      <x:c r="H1817" t="str">
        <x:v>independent physical acceptance</x:v>
      </x:c>
      <x:c r="I1817" t="str">
        <x:f>IF(E1817=1,"PASS","OPEN")</x:f>
        <x:v>OPEN</x:v>
      </x:c>
    </x:row>
    <x:row r="1818">
      <x:c r="B1818" t="str">
        <x:v>PH-TG-736-G</x:v>
      </x:c>
      <x:c r="C1818" t="str">
        <x:v>PHYSICAL</x:v>
      </x:c>
      <x:c r="D1818" t="str">
        <x:v>terrain geometry</x:v>
      </x:c>
      <x:c r="E1818" t="n">
        <x:f>IF('Terrain Field'!J742&lt;&gt;"",1,0)</x:f>
        <x:v>0</x:v>
      </x:c>
      <x:c r="F1818" t="n">
        <x:v>1</x:v>
      </x:c>
      <x:c r="G1818" t="str">
        <x:v>equals</x:v>
      </x:c>
      <x:c r="H1818" t="str">
        <x:v>independent physical acceptance</x:v>
      </x:c>
      <x:c r="I1818" t="str">
        <x:f>IF(E1818=1,"PASS","OPEN")</x:f>
        <x:v>OPEN</x:v>
      </x:c>
    </x:row>
    <x:row r="1819">
      <x:c r="B1819" t="str">
        <x:v>PH-TG-736-L</x:v>
      </x:c>
      <x:c r="C1819" t="str">
        <x:v>PHYSICAL</x:v>
      </x:c>
      <x:c r="D1819" t="str">
        <x:v>terrain load</x:v>
      </x:c>
      <x:c r="E1819" t="n">
        <x:f>IF('Terrain Field'!K742&lt;&gt;"",1,0)</x:f>
        <x:v>0</x:v>
      </x:c>
      <x:c r="F1819" t="n">
        <x:v>1</x:v>
      </x:c>
      <x:c r="G1819" t="str">
        <x:v>equals</x:v>
      </x:c>
      <x:c r="H1819" t="str">
        <x:v>independent physical acceptance</x:v>
      </x:c>
      <x:c r="I1819" t="str">
        <x:f>IF(E1819=1,"PASS","OPEN")</x:f>
        <x:v>OPEN</x:v>
      </x:c>
    </x:row>
    <x:row r="1820">
      <x:c r="B1820" t="str">
        <x:v>PH-TG-737-G</x:v>
      </x:c>
      <x:c r="C1820" t="str">
        <x:v>PHYSICAL</x:v>
      </x:c>
      <x:c r="D1820" t="str">
        <x:v>terrain geometry</x:v>
      </x:c>
      <x:c r="E1820" t="n">
        <x:f>IF('Terrain Field'!J743&lt;&gt;"",1,0)</x:f>
        <x:v>0</x:v>
      </x:c>
      <x:c r="F1820" t="n">
        <x:v>1</x:v>
      </x:c>
      <x:c r="G1820" t="str">
        <x:v>equals</x:v>
      </x:c>
      <x:c r="H1820" t="str">
        <x:v>independent physical acceptance</x:v>
      </x:c>
      <x:c r="I1820" t="str">
        <x:f>IF(E1820=1,"PASS","OPEN")</x:f>
        <x:v>OPEN</x:v>
      </x:c>
    </x:row>
    <x:row r="1821">
      <x:c r="B1821" t="str">
        <x:v>PH-TG-737-L</x:v>
      </x:c>
      <x:c r="C1821" t="str">
        <x:v>PHYSICAL</x:v>
      </x:c>
      <x:c r="D1821" t="str">
        <x:v>terrain load</x:v>
      </x:c>
      <x:c r="E1821" t="n">
        <x:f>IF('Terrain Field'!K743&lt;&gt;"",1,0)</x:f>
        <x:v>0</x:v>
      </x:c>
      <x:c r="F1821" t="n">
        <x:v>1</x:v>
      </x:c>
      <x:c r="G1821" t="str">
        <x:v>equals</x:v>
      </x:c>
      <x:c r="H1821" t="str">
        <x:v>independent physical acceptance</x:v>
      </x:c>
      <x:c r="I1821" t="str">
        <x:f>IF(E1821=1,"PASS","OPEN")</x:f>
        <x:v>OPEN</x:v>
      </x:c>
    </x:row>
    <x:row r="1822">
      <x:c r="B1822" t="str">
        <x:v>PH-TG-738-G</x:v>
      </x:c>
      <x:c r="C1822" t="str">
        <x:v>PHYSICAL</x:v>
      </x:c>
      <x:c r="D1822" t="str">
        <x:v>terrain geometry</x:v>
      </x:c>
      <x:c r="E1822" t="n">
        <x:f>IF('Terrain Field'!J744&lt;&gt;"",1,0)</x:f>
        <x:v>0</x:v>
      </x:c>
      <x:c r="F1822" t="n">
        <x:v>1</x:v>
      </x:c>
      <x:c r="G1822" t="str">
        <x:v>equals</x:v>
      </x:c>
      <x:c r="H1822" t="str">
        <x:v>independent physical acceptance</x:v>
      </x:c>
      <x:c r="I1822" t="str">
        <x:f>IF(E1822=1,"PASS","OPEN")</x:f>
        <x:v>OPEN</x:v>
      </x:c>
    </x:row>
    <x:row r="1823">
      <x:c r="B1823" t="str">
        <x:v>PH-TG-738-L</x:v>
      </x:c>
      <x:c r="C1823" t="str">
        <x:v>PHYSICAL</x:v>
      </x:c>
      <x:c r="D1823" t="str">
        <x:v>terrain load</x:v>
      </x:c>
      <x:c r="E1823" t="n">
        <x:f>IF('Terrain Field'!K744&lt;&gt;"",1,0)</x:f>
        <x:v>0</x:v>
      </x:c>
      <x:c r="F1823" t="n">
        <x:v>1</x:v>
      </x:c>
      <x:c r="G1823" t="str">
        <x:v>equals</x:v>
      </x:c>
      <x:c r="H1823" t="str">
        <x:v>independent physical acceptance</x:v>
      </x:c>
      <x:c r="I1823" t="str">
        <x:f>IF(E1823=1,"PASS","OPEN")</x:f>
        <x:v>OPEN</x:v>
      </x:c>
    </x:row>
    <x:row r="1824">
      <x:c r="B1824" t="str">
        <x:v>PH-TG-739-G</x:v>
      </x:c>
      <x:c r="C1824" t="str">
        <x:v>PHYSICAL</x:v>
      </x:c>
      <x:c r="D1824" t="str">
        <x:v>terrain geometry</x:v>
      </x:c>
      <x:c r="E1824" t="n">
        <x:f>IF('Terrain Field'!J745&lt;&gt;"",1,0)</x:f>
        <x:v>0</x:v>
      </x:c>
      <x:c r="F1824" t="n">
        <x:v>1</x:v>
      </x:c>
      <x:c r="G1824" t="str">
        <x:v>equals</x:v>
      </x:c>
      <x:c r="H1824" t="str">
        <x:v>independent physical acceptance</x:v>
      </x:c>
      <x:c r="I1824" t="str">
        <x:f>IF(E1824=1,"PASS","OPEN")</x:f>
        <x:v>OPEN</x:v>
      </x:c>
    </x:row>
    <x:row r="1825">
      <x:c r="B1825" t="str">
        <x:v>PH-TG-739-L</x:v>
      </x:c>
      <x:c r="C1825" t="str">
        <x:v>PHYSICAL</x:v>
      </x:c>
      <x:c r="D1825" t="str">
        <x:v>terrain load</x:v>
      </x:c>
      <x:c r="E1825" t="n">
        <x:f>IF('Terrain Field'!K745&lt;&gt;"",1,0)</x:f>
        <x:v>0</x:v>
      </x:c>
      <x:c r="F1825" t="n">
        <x:v>1</x:v>
      </x:c>
      <x:c r="G1825" t="str">
        <x:v>equals</x:v>
      </x:c>
      <x:c r="H1825" t="str">
        <x:v>independent physical acceptance</x:v>
      </x:c>
      <x:c r="I1825" t="str">
        <x:f>IF(E1825=1,"PASS","OPEN")</x:f>
        <x:v>OPEN</x:v>
      </x:c>
    </x:row>
    <x:row r="1826">
      <x:c r="B1826" t="str">
        <x:v>PH-TG-740-G</x:v>
      </x:c>
      <x:c r="C1826" t="str">
        <x:v>PHYSICAL</x:v>
      </x:c>
      <x:c r="D1826" t="str">
        <x:v>terrain geometry</x:v>
      </x:c>
      <x:c r="E1826" t="n">
        <x:f>IF('Terrain Field'!J746&lt;&gt;"",1,0)</x:f>
        <x:v>0</x:v>
      </x:c>
      <x:c r="F1826" t="n">
        <x:v>1</x:v>
      </x:c>
      <x:c r="G1826" t="str">
        <x:v>equals</x:v>
      </x:c>
      <x:c r="H1826" t="str">
        <x:v>independent physical acceptance</x:v>
      </x:c>
      <x:c r="I1826" t="str">
        <x:f>IF(E1826=1,"PASS","OPEN")</x:f>
        <x:v>OPEN</x:v>
      </x:c>
    </x:row>
    <x:row r="1827">
      <x:c r="B1827" t="str">
        <x:v>PH-TG-740-L</x:v>
      </x:c>
      <x:c r="C1827" t="str">
        <x:v>PHYSICAL</x:v>
      </x:c>
      <x:c r="D1827" t="str">
        <x:v>terrain load</x:v>
      </x:c>
      <x:c r="E1827" t="n">
        <x:f>IF('Terrain Field'!K746&lt;&gt;"",1,0)</x:f>
        <x:v>0</x:v>
      </x:c>
      <x:c r="F1827" t="n">
        <x:v>1</x:v>
      </x:c>
      <x:c r="G1827" t="str">
        <x:v>equals</x:v>
      </x:c>
      <x:c r="H1827" t="str">
        <x:v>independent physical acceptance</x:v>
      </x:c>
      <x:c r="I1827" t="str">
        <x:f>IF(E1827=1,"PASS","OPEN")</x:f>
        <x:v>OPEN</x:v>
      </x:c>
    </x:row>
    <x:row r="1828">
      <x:c r="B1828" t="str">
        <x:v>PH-TG-741-G</x:v>
      </x:c>
      <x:c r="C1828" t="str">
        <x:v>PHYSICAL</x:v>
      </x:c>
      <x:c r="D1828" t="str">
        <x:v>terrain geometry</x:v>
      </x:c>
      <x:c r="E1828" t="n">
        <x:f>IF('Terrain Field'!J747&lt;&gt;"",1,0)</x:f>
        <x:v>0</x:v>
      </x:c>
      <x:c r="F1828" t="n">
        <x:v>1</x:v>
      </x:c>
      <x:c r="G1828" t="str">
        <x:v>equals</x:v>
      </x:c>
      <x:c r="H1828" t="str">
        <x:v>independent physical acceptance</x:v>
      </x:c>
      <x:c r="I1828" t="str">
        <x:f>IF(E1828=1,"PASS","OPEN")</x:f>
        <x:v>OPEN</x:v>
      </x:c>
    </x:row>
    <x:row r="1829">
      <x:c r="B1829" t="str">
        <x:v>PH-TG-741-L</x:v>
      </x:c>
      <x:c r="C1829" t="str">
        <x:v>PHYSICAL</x:v>
      </x:c>
      <x:c r="D1829" t="str">
        <x:v>terrain load</x:v>
      </x:c>
      <x:c r="E1829" t="n">
        <x:f>IF('Terrain Field'!K747&lt;&gt;"",1,0)</x:f>
        <x:v>0</x:v>
      </x:c>
      <x:c r="F1829" t="n">
        <x:v>1</x:v>
      </x:c>
      <x:c r="G1829" t="str">
        <x:v>equals</x:v>
      </x:c>
      <x:c r="H1829" t="str">
        <x:v>independent physical acceptance</x:v>
      </x:c>
      <x:c r="I1829" t="str">
        <x:f>IF(E1829=1,"PASS","OPEN")</x:f>
        <x:v>OPEN</x:v>
      </x:c>
    </x:row>
    <x:row r="1830">
      <x:c r="B1830" t="str">
        <x:v>PH-TG-742-G</x:v>
      </x:c>
      <x:c r="C1830" t="str">
        <x:v>PHYSICAL</x:v>
      </x:c>
      <x:c r="D1830" t="str">
        <x:v>terrain geometry</x:v>
      </x:c>
      <x:c r="E1830" t="n">
        <x:f>IF('Terrain Field'!J748&lt;&gt;"",1,0)</x:f>
        <x:v>0</x:v>
      </x:c>
      <x:c r="F1830" t="n">
        <x:v>1</x:v>
      </x:c>
      <x:c r="G1830" t="str">
        <x:v>equals</x:v>
      </x:c>
      <x:c r="H1830" t="str">
        <x:v>independent physical acceptance</x:v>
      </x:c>
      <x:c r="I1830" t="str">
        <x:f>IF(E1830=1,"PASS","OPEN")</x:f>
        <x:v>OPEN</x:v>
      </x:c>
    </x:row>
    <x:row r="1831">
      <x:c r="B1831" t="str">
        <x:v>PH-TG-742-L</x:v>
      </x:c>
      <x:c r="C1831" t="str">
        <x:v>PHYSICAL</x:v>
      </x:c>
      <x:c r="D1831" t="str">
        <x:v>terrain load</x:v>
      </x:c>
      <x:c r="E1831" t="n">
        <x:f>IF('Terrain Field'!K748&lt;&gt;"",1,0)</x:f>
        <x:v>0</x:v>
      </x:c>
      <x:c r="F1831" t="n">
        <x:v>1</x:v>
      </x:c>
      <x:c r="G1831" t="str">
        <x:v>equals</x:v>
      </x:c>
      <x:c r="H1831" t="str">
        <x:v>independent physical acceptance</x:v>
      </x:c>
      <x:c r="I1831" t="str">
        <x:f>IF(E1831=1,"PASS","OPEN")</x:f>
        <x:v>OPEN</x:v>
      </x:c>
    </x:row>
    <x:row r="1832">
      <x:c r="B1832" t="str">
        <x:v>PH-TG-743-G</x:v>
      </x:c>
      <x:c r="C1832" t="str">
        <x:v>PHYSICAL</x:v>
      </x:c>
      <x:c r="D1832" t="str">
        <x:v>terrain geometry</x:v>
      </x:c>
      <x:c r="E1832" t="n">
        <x:f>IF('Terrain Field'!J749&lt;&gt;"",1,0)</x:f>
        <x:v>0</x:v>
      </x:c>
      <x:c r="F1832" t="n">
        <x:v>1</x:v>
      </x:c>
      <x:c r="G1832" t="str">
        <x:v>equals</x:v>
      </x:c>
      <x:c r="H1832" t="str">
        <x:v>independent physical acceptance</x:v>
      </x:c>
      <x:c r="I1832" t="str">
        <x:f>IF(E1832=1,"PASS","OPEN")</x:f>
        <x:v>OPEN</x:v>
      </x:c>
    </x:row>
    <x:row r="1833">
      <x:c r="B1833" t="str">
        <x:v>PH-TG-743-L</x:v>
      </x:c>
      <x:c r="C1833" t="str">
        <x:v>PHYSICAL</x:v>
      </x:c>
      <x:c r="D1833" t="str">
        <x:v>terrain load</x:v>
      </x:c>
      <x:c r="E1833" t="n">
        <x:f>IF('Terrain Field'!K749&lt;&gt;"",1,0)</x:f>
        <x:v>0</x:v>
      </x:c>
      <x:c r="F1833" t="n">
        <x:v>1</x:v>
      </x:c>
      <x:c r="G1833" t="str">
        <x:v>equals</x:v>
      </x:c>
      <x:c r="H1833" t="str">
        <x:v>independent physical acceptance</x:v>
      </x:c>
      <x:c r="I1833" t="str">
        <x:f>IF(E1833=1,"PASS","OPEN")</x:f>
        <x:v>OPEN</x:v>
      </x:c>
    </x:row>
    <x:row r="1834">
      <x:c r="B1834" t="str">
        <x:v>PH-TG-744-G</x:v>
      </x:c>
      <x:c r="C1834" t="str">
        <x:v>PHYSICAL</x:v>
      </x:c>
      <x:c r="D1834" t="str">
        <x:v>terrain geometry</x:v>
      </x:c>
      <x:c r="E1834" t="n">
        <x:f>IF('Terrain Field'!J750&lt;&gt;"",1,0)</x:f>
        <x:v>0</x:v>
      </x:c>
      <x:c r="F1834" t="n">
        <x:v>1</x:v>
      </x:c>
      <x:c r="G1834" t="str">
        <x:v>equals</x:v>
      </x:c>
      <x:c r="H1834" t="str">
        <x:v>independent physical acceptance</x:v>
      </x:c>
      <x:c r="I1834" t="str">
        <x:f>IF(E1834=1,"PASS","OPEN")</x:f>
        <x:v>OPEN</x:v>
      </x:c>
    </x:row>
    <x:row r="1835">
      <x:c r="B1835" t="str">
        <x:v>PH-TG-744-L</x:v>
      </x:c>
      <x:c r="C1835" t="str">
        <x:v>PHYSICAL</x:v>
      </x:c>
      <x:c r="D1835" t="str">
        <x:v>terrain load</x:v>
      </x:c>
      <x:c r="E1835" t="n">
        <x:f>IF('Terrain Field'!K750&lt;&gt;"",1,0)</x:f>
        <x:v>0</x:v>
      </x:c>
      <x:c r="F1835" t="n">
        <x:v>1</x:v>
      </x:c>
      <x:c r="G1835" t="str">
        <x:v>equals</x:v>
      </x:c>
      <x:c r="H1835" t="str">
        <x:v>independent physical acceptance</x:v>
      </x:c>
      <x:c r="I1835" t="str">
        <x:f>IF(E1835=1,"PASS","OPEN")</x:f>
        <x:v>OPEN</x:v>
      </x:c>
    </x:row>
    <x:row r="1836">
      <x:c r="B1836" t="str">
        <x:v>PH-TG-745-G</x:v>
      </x:c>
      <x:c r="C1836" t="str">
        <x:v>PHYSICAL</x:v>
      </x:c>
      <x:c r="D1836" t="str">
        <x:v>terrain geometry</x:v>
      </x:c>
      <x:c r="E1836" t="n">
        <x:f>IF('Terrain Field'!J751&lt;&gt;"",1,0)</x:f>
        <x:v>0</x:v>
      </x:c>
      <x:c r="F1836" t="n">
        <x:v>1</x:v>
      </x:c>
      <x:c r="G1836" t="str">
        <x:v>equals</x:v>
      </x:c>
      <x:c r="H1836" t="str">
        <x:v>independent physical acceptance</x:v>
      </x:c>
      <x:c r="I1836" t="str">
        <x:f>IF(E1836=1,"PASS","OPEN")</x:f>
        <x:v>OPEN</x:v>
      </x:c>
    </x:row>
    <x:row r="1837">
      <x:c r="B1837" t="str">
        <x:v>PH-TG-745-L</x:v>
      </x:c>
      <x:c r="C1837" t="str">
        <x:v>PHYSICAL</x:v>
      </x:c>
      <x:c r="D1837" t="str">
        <x:v>terrain load</x:v>
      </x:c>
      <x:c r="E1837" t="n">
        <x:f>IF('Terrain Field'!K751&lt;&gt;"",1,0)</x:f>
        <x:v>0</x:v>
      </x:c>
      <x:c r="F1837" t="n">
        <x:v>1</x:v>
      </x:c>
      <x:c r="G1837" t="str">
        <x:v>equals</x:v>
      </x:c>
      <x:c r="H1837" t="str">
        <x:v>independent physical acceptance</x:v>
      </x:c>
      <x:c r="I1837" t="str">
        <x:f>IF(E1837=1,"PASS","OPEN")</x:f>
        <x:v>OPEN</x:v>
      </x:c>
    </x:row>
    <x:row r="1838">
      <x:c r="B1838" t="str">
        <x:v>PH-TG-746-G</x:v>
      </x:c>
      <x:c r="C1838" t="str">
        <x:v>PHYSICAL</x:v>
      </x:c>
      <x:c r="D1838" t="str">
        <x:v>terrain geometry</x:v>
      </x:c>
      <x:c r="E1838" t="n">
        <x:f>IF('Terrain Field'!J752&lt;&gt;"",1,0)</x:f>
        <x:v>0</x:v>
      </x:c>
      <x:c r="F1838" t="n">
        <x:v>1</x:v>
      </x:c>
      <x:c r="G1838" t="str">
        <x:v>equals</x:v>
      </x:c>
      <x:c r="H1838" t="str">
        <x:v>independent physical acceptance</x:v>
      </x:c>
      <x:c r="I1838" t="str">
        <x:f>IF(E1838=1,"PASS","OPEN")</x:f>
        <x:v>OPEN</x:v>
      </x:c>
    </x:row>
    <x:row r="1839">
      <x:c r="B1839" t="str">
        <x:v>PH-TG-746-L</x:v>
      </x:c>
      <x:c r="C1839" t="str">
        <x:v>PHYSICAL</x:v>
      </x:c>
      <x:c r="D1839" t="str">
        <x:v>terrain load</x:v>
      </x:c>
      <x:c r="E1839" t="n">
        <x:f>IF('Terrain Field'!K752&lt;&gt;"",1,0)</x:f>
        <x:v>0</x:v>
      </x:c>
      <x:c r="F1839" t="n">
        <x:v>1</x:v>
      </x:c>
      <x:c r="G1839" t="str">
        <x:v>equals</x:v>
      </x:c>
      <x:c r="H1839" t="str">
        <x:v>independent physical acceptance</x:v>
      </x:c>
      <x:c r="I1839" t="str">
        <x:f>IF(E1839=1,"PASS","OPEN")</x:f>
        <x:v>OPEN</x:v>
      </x:c>
    </x:row>
    <x:row r="1840">
      <x:c r="B1840" t="str">
        <x:v>PH-TG-747-G</x:v>
      </x:c>
      <x:c r="C1840" t="str">
        <x:v>PHYSICAL</x:v>
      </x:c>
      <x:c r="D1840" t="str">
        <x:v>terrain geometry</x:v>
      </x:c>
      <x:c r="E1840" t="n">
        <x:f>IF('Terrain Field'!J753&lt;&gt;"",1,0)</x:f>
        <x:v>0</x:v>
      </x:c>
      <x:c r="F1840" t="n">
        <x:v>1</x:v>
      </x:c>
      <x:c r="G1840" t="str">
        <x:v>equals</x:v>
      </x:c>
      <x:c r="H1840" t="str">
        <x:v>independent physical acceptance</x:v>
      </x:c>
      <x:c r="I1840" t="str">
        <x:f>IF(E1840=1,"PASS","OPEN")</x:f>
        <x:v>OPEN</x:v>
      </x:c>
    </x:row>
    <x:row r="1841">
      <x:c r="B1841" t="str">
        <x:v>PH-TG-747-L</x:v>
      </x:c>
      <x:c r="C1841" t="str">
        <x:v>PHYSICAL</x:v>
      </x:c>
      <x:c r="D1841" t="str">
        <x:v>terrain load</x:v>
      </x:c>
      <x:c r="E1841" t="n">
        <x:f>IF('Terrain Field'!K753&lt;&gt;"",1,0)</x:f>
        <x:v>0</x:v>
      </x:c>
      <x:c r="F1841" t="n">
        <x:v>1</x:v>
      </x:c>
      <x:c r="G1841" t="str">
        <x:v>equals</x:v>
      </x:c>
      <x:c r="H1841" t="str">
        <x:v>independent physical acceptance</x:v>
      </x:c>
      <x:c r="I1841" t="str">
        <x:f>IF(E1841=1,"PASS","OPEN")</x:f>
        <x:v>OPEN</x:v>
      </x:c>
    </x:row>
    <x:row r="1842">
      <x:c r="B1842" t="str">
        <x:v>PH-TG-748-G</x:v>
      </x:c>
      <x:c r="C1842" t="str">
        <x:v>PHYSICAL</x:v>
      </x:c>
      <x:c r="D1842" t="str">
        <x:v>terrain geometry</x:v>
      </x:c>
      <x:c r="E1842" t="n">
        <x:f>IF('Terrain Field'!J754&lt;&gt;"",1,0)</x:f>
        <x:v>0</x:v>
      </x:c>
      <x:c r="F1842" t="n">
        <x:v>1</x:v>
      </x:c>
      <x:c r="G1842" t="str">
        <x:v>equals</x:v>
      </x:c>
      <x:c r="H1842" t="str">
        <x:v>independent physical acceptance</x:v>
      </x:c>
      <x:c r="I1842" t="str">
        <x:f>IF(E1842=1,"PASS","OPEN")</x:f>
        <x:v>OPEN</x:v>
      </x:c>
    </x:row>
    <x:row r="1843">
      <x:c r="B1843" t="str">
        <x:v>PH-TG-748-L</x:v>
      </x:c>
      <x:c r="C1843" t="str">
        <x:v>PHYSICAL</x:v>
      </x:c>
      <x:c r="D1843" t="str">
        <x:v>terrain load</x:v>
      </x:c>
      <x:c r="E1843" t="n">
        <x:f>IF('Terrain Field'!K754&lt;&gt;"",1,0)</x:f>
        <x:v>0</x:v>
      </x:c>
      <x:c r="F1843" t="n">
        <x:v>1</x:v>
      </x:c>
      <x:c r="G1843" t="str">
        <x:v>equals</x:v>
      </x:c>
      <x:c r="H1843" t="str">
        <x:v>independent physical acceptance</x:v>
      </x:c>
      <x:c r="I1843" t="str">
        <x:f>IF(E1843=1,"PASS","OPEN")</x:f>
        <x:v>OPEN</x:v>
      </x:c>
    </x:row>
    <x:row r="1844">
      <x:c r="B1844" t="str">
        <x:v>PH-TG-749-G</x:v>
      </x:c>
      <x:c r="C1844" t="str">
        <x:v>PHYSICAL</x:v>
      </x:c>
      <x:c r="D1844" t="str">
        <x:v>terrain geometry</x:v>
      </x:c>
      <x:c r="E1844" t="n">
        <x:f>IF('Terrain Field'!J755&lt;&gt;"",1,0)</x:f>
        <x:v>0</x:v>
      </x:c>
      <x:c r="F1844" t="n">
        <x:v>1</x:v>
      </x:c>
      <x:c r="G1844" t="str">
        <x:v>equals</x:v>
      </x:c>
      <x:c r="H1844" t="str">
        <x:v>independent physical acceptance</x:v>
      </x:c>
      <x:c r="I1844" t="str">
        <x:f>IF(E1844=1,"PASS","OPEN")</x:f>
        <x:v>OPEN</x:v>
      </x:c>
    </x:row>
    <x:row r="1845">
      <x:c r="B1845" t="str">
        <x:v>PH-TG-749-L</x:v>
      </x:c>
      <x:c r="C1845" t="str">
        <x:v>PHYSICAL</x:v>
      </x:c>
      <x:c r="D1845" t="str">
        <x:v>terrain load</x:v>
      </x:c>
      <x:c r="E1845" t="n">
        <x:f>IF('Terrain Field'!K755&lt;&gt;"",1,0)</x:f>
        <x:v>0</x:v>
      </x:c>
      <x:c r="F1845" t="n">
        <x:v>1</x:v>
      </x:c>
      <x:c r="G1845" t="str">
        <x:v>equals</x:v>
      </x:c>
      <x:c r="H1845" t="str">
        <x:v>independent physical acceptance</x:v>
      </x:c>
      <x:c r="I1845" t="str">
        <x:f>IF(E1845=1,"PASS","OPEN")</x:f>
        <x:v>OPEN</x:v>
      </x:c>
    </x:row>
    <x:row r="1846">
      <x:c r="B1846" t="str">
        <x:v>PH-TG-750-G</x:v>
      </x:c>
      <x:c r="C1846" t="str">
        <x:v>PHYSICAL</x:v>
      </x:c>
      <x:c r="D1846" t="str">
        <x:v>terrain geometry</x:v>
      </x:c>
      <x:c r="E1846" t="n">
        <x:f>IF('Terrain Field'!J756&lt;&gt;"",1,0)</x:f>
        <x:v>0</x:v>
      </x:c>
      <x:c r="F1846" t="n">
        <x:v>1</x:v>
      </x:c>
      <x:c r="G1846" t="str">
        <x:v>equals</x:v>
      </x:c>
      <x:c r="H1846" t="str">
        <x:v>independent physical acceptance</x:v>
      </x:c>
      <x:c r="I1846" t="str">
        <x:f>IF(E1846=1,"PASS","OPEN")</x:f>
        <x:v>OPEN</x:v>
      </x:c>
    </x:row>
    <x:row r="1847">
      <x:c r="B1847" t="str">
        <x:v>PH-TG-750-L</x:v>
      </x:c>
      <x:c r="C1847" t="str">
        <x:v>PHYSICAL</x:v>
      </x:c>
      <x:c r="D1847" t="str">
        <x:v>terrain load</x:v>
      </x:c>
      <x:c r="E1847" t="n">
        <x:f>IF('Terrain Field'!K756&lt;&gt;"",1,0)</x:f>
        <x:v>0</x:v>
      </x:c>
      <x:c r="F1847" t="n">
        <x:v>1</x:v>
      </x:c>
      <x:c r="G1847" t="str">
        <x:v>equals</x:v>
      </x:c>
      <x:c r="H1847" t="str">
        <x:v>independent physical acceptance</x:v>
      </x:c>
      <x:c r="I1847" t="str">
        <x:f>IF(E1847=1,"PASS","OPEN")</x:f>
        <x:v>OPEN</x:v>
      </x:c>
    </x:row>
    <x:row r="1848">
      <x:c r="B1848" t="str">
        <x:v>PH-TG-751-G</x:v>
      </x:c>
      <x:c r="C1848" t="str">
        <x:v>PHYSICAL</x:v>
      </x:c>
      <x:c r="D1848" t="str">
        <x:v>terrain geometry</x:v>
      </x:c>
      <x:c r="E1848" t="n">
        <x:f>IF('Terrain Field'!J757&lt;&gt;"",1,0)</x:f>
        <x:v>0</x:v>
      </x:c>
      <x:c r="F1848" t="n">
        <x:v>1</x:v>
      </x:c>
      <x:c r="G1848" t="str">
        <x:v>equals</x:v>
      </x:c>
      <x:c r="H1848" t="str">
        <x:v>independent physical acceptance</x:v>
      </x:c>
      <x:c r="I1848" t="str">
        <x:f>IF(E1848=1,"PASS","OPEN")</x:f>
        <x:v>OPEN</x:v>
      </x:c>
    </x:row>
    <x:row r="1849">
      <x:c r="B1849" t="str">
        <x:v>PH-TG-751-L</x:v>
      </x:c>
      <x:c r="C1849" t="str">
        <x:v>PHYSICAL</x:v>
      </x:c>
      <x:c r="D1849" t="str">
        <x:v>terrain load</x:v>
      </x:c>
      <x:c r="E1849" t="n">
        <x:f>IF('Terrain Field'!K757&lt;&gt;"",1,0)</x:f>
        <x:v>0</x:v>
      </x:c>
      <x:c r="F1849" t="n">
        <x:v>1</x:v>
      </x:c>
      <x:c r="G1849" t="str">
        <x:v>equals</x:v>
      </x:c>
      <x:c r="H1849" t="str">
        <x:v>independent physical acceptance</x:v>
      </x:c>
      <x:c r="I1849" t="str">
        <x:f>IF(E1849=1,"PASS","OPEN")</x:f>
        <x:v>OPEN</x:v>
      </x:c>
    </x:row>
    <x:row r="1850">
      <x:c r="B1850" t="str">
        <x:v>PH-TG-752-G</x:v>
      </x:c>
      <x:c r="C1850" t="str">
        <x:v>PHYSICAL</x:v>
      </x:c>
      <x:c r="D1850" t="str">
        <x:v>terrain geometry</x:v>
      </x:c>
      <x:c r="E1850" t="n">
        <x:f>IF('Terrain Field'!J758&lt;&gt;"",1,0)</x:f>
        <x:v>0</x:v>
      </x:c>
      <x:c r="F1850" t="n">
        <x:v>1</x:v>
      </x:c>
      <x:c r="G1850" t="str">
        <x:v>equals</x:v>
      </x:c>
      <x:c r="H1850" t="str">
        <x:v>independent physical acceptance</x:v>
      </x:c>
      <x:c r="I1850" t="str">
        <x:f>IF(E1850=1,"PASS","OPEN")</x:f>
        <x:v>OPEN</x:v>
      </x:c>
    </x:row>
    <x:row r="1851">
      <x:c r="B1851" t="str">
        <x:v>PH-TG-752-L</x:v>
      </x:c>
      <x:c r="C1851" t="str">
        <x:v>PHYSICAL</x:v>
      </x:c>
      <x:c r="D1851" t="str">
        <x:v>terrain load</x:v>
      </x:c>
      <x:c r="E1851" t="n">
        <x:f>IF('Terrain Field'!K758&lt;&gt;"",1,0)</x:f>
        <x:v>0</x:v>
      </x:c>
      <x:c r="F1851" t="n">
        <x:v>1</x:v>
      </x:c>
      <x:c r="G1851" t="str">
        <x:v>equals</x:v>
      </x:c>
      <x:c r="H1851" t="str">
        <x:v>independent physical acceptance</x:v>
      </x:c>
      <x:c r="I1851" t="str">
        <x:f>IF(E1851=1,"PASS","OPEN")</x:f>
        <x:v>OPEN</x:v>
      </x:c>
    </x:row>
    <x:row r="1852">
      <x:c r="B1852" t="str">
        <x:v>PH-TG-753-G</x:v>
      </x:c>
      <x:c r="C1852" t="str">
        <x:v>PHYSICAL</x:v>
      </x:c>
      <x:c r="D1852" t="str">
        <x:v>terrain geometry</x:v>
      </x:c>
      <x:c r="E1852" t="n">
        <x:f>IF('Terrain Field'!J759&lt;&gt;"",1,0)</x:f>
        <x:v>0</x:v>
      </x:c>
      <x:c r="F1852" t="n">
        <x:v>1</x:v>
      </x:c>
      <x:c r="G1852" t="str">
        <x:v>equals</x:v>
      </x:c>
      <x:c r="H1852" t="str">
        <x:v>independent physical acceptance</x:v>
      </x:c>
      <x:c r="I1852" t="str">
        <x:f>IF(E1852=1,"PASS","OPEN")</x:f>
        <x:v>OPEN</x:v>
      </x:c>
    </x:row>
    <x:row r="1853">
      <x:c r="B1853" t="str">
        <x:v>PH-TG-753-L</x:v>
      </x:c>
      <x:c r="C1853" t="str">
        <x:v>PHYSICAL</x:v>
      </x:c>
      <x:c r="D1853" t="str">
        <x:v>terrain load</x:v>
      </x:c>
      <x:c r="E1853" t="n">
        <x:f>IF('Terrain Field'!K759&lt;&gt;"",1,0)</x:f>
        <x:v>0</x:v>
      </x:c>
      <x:c r="F1853" t="n">
        <x:v>1</x:v>
      </x:c>
      <x:c r="G1853" t="str">
        <x:v>equals</x:v>
      </x:c>
      <x:c r="H1853" t="str">
        <x:v>independent physical acceptance</x:v>
      </x:c>
      <x:c r="I1853" t="str">
        <x:f>IF(E1853=1,"PASS","OPEN")</x:f>
        <x:v>OPEN</x:v>
      </x:c>
    </x:row>
    <x:row r="1854">
      <x:c r="B1854" t="str">
        <x:v>PH-TG-754-G</x:v>
      </x:c>
      <x:c r="C1854" t="str">
        <x:v>PHYSICAL</x:v>
      </x:c>
      <x:c r="D1854" t="str">
        <x:v>terrain geometry</x:v>
      </x:c>
      <x:c r="E1854" t="n">
        <x:f>IF('Terrain Field'!J760&lt;&gt;"",1,0)</x:f>
        <x:v>0</x:v>
      </x:c>
      <x:c r="F1854" t="n">
        <x:v>1</x:v>
      </x:c>
      <x:c r="G1854" t="str">
        <x:v>equals</x:v>
      </x:c>
      <x:c r="H1854" t="str">
        <x:v>independent physical acceptance</x:v>
      </x:c>
      <x:c r="I1854" t="str">
        <x:f>IF(E1854=1,"PASS","OPEN")</x:f>
        <x:v>OPEN</x:v>
      </x:c>
    </x:row>
    <x:row r="1855">
      <x:c r="B1855" t="str">
        <x:v>PH-TG-754-L</x:v>
      </x:c>
      <x:c r="C1855" t="str">
        <x:v>PHYSICAL</x:v>
      </x:c>
      <x:c r="D1855" t="str">
        <x:v>terrain load</x:v>
      </x:c>
      <x:c r="E1855" t="n">
        <x:f>IF('Terrain Field'!K760&lt;&gt;"",1,0)</x:f>
        <x:v>0</x:v>
      </x:c>
      <x:c r="F1855" t="n">
        <x:v>1</x:v>
      </x:c>
      <x:c r="G1855" t="str">
        <x:v>equals</x:v>
      </x:c>
      <x:c r="H1855" t="str">
        <x:v>independent physical acceptance</x:v>
      </x:c>
      <x:c r="I1855" t="str">
        <x:f>IF(E1855=1,"PASS","OPEN")</x:f>
        <x:v>OPEN</x:v>
      </x:c>
    </x:row>
    <x:row r="1856">
      <x:c r="B1856" t="str">
        <x:v>PH-TG-755-G</x:v>
      </x:c>
      <x:c r="C1856" t="str">
        <x:v>PHYSICAL</x:v>
      </x:c>
      <x:c r="D1856" t="str">
        <x:v>terrain geometry</x:v>
      </x:c>
      <x:c r="E1856" t="n">
        <x:f>IF('Terrain Field'!J761&lt;&gt;"",1,0)</x:f>
        <x:v>0</x:v>
      </x:c>
      <x:c r="F1856" t="n">
        <x:v>1</x:v>
      </x:c>
      <x:c r="G1856" t="str">
        <x:v>equals</x:v>
      </x:c>
      <x:c r="H1856" t="str">
        <x:v>independent physical acceptance</x:v>
      </x:c>
      <x:c r="I1856" t="str">
        <x:f>IF(E1856=1,"PASS","OPEN")</x:f>
        <x:v>OPEN</x:v>
      </x:c>
    </x:row>
    <x:row r="1857">
      <x:c r="B1857" t="str">
        <x:v>PH-TG-755-L</x:v>
      </x:c>
      <x:c r="C1857" t="str">
        <x:v>PHYSICAL</x:v>
      </x:c>
      <x:c r="D1857" t="str">
        <x:v>terrain load</x:v>
      </x:c>
      <x:c r="E1857" t="n">
        <x:f>IF('Terrain Field'!K761&lt;&gt;"",1,0)</x:f>
        <x:v>0</x:v>
      </x:c>
      <x:c r="F1857" t="n">
        <x:v>1</x:v>
      </x:c>
      <x:c r="G1857" t="str">
        <x:v>equals</x:v>
      </x:c>
      <x:c r="H1857" t="str">
        <x:v>independent physical acceptance</x:v>
      </x:c>
      <x:c r="I1857" t="str">
        <x:f>IF(E1857=1,"PASS","OPEN")</x:f>
        <x:v>OPEN</x:v>
      </x:c>
    </x:row>
    <x:row r="1858">
      <x:c r="B1858" t="str">
        <x:v>PH-TG-756-G</x:v>
      </x:c>
      <x:c r="C1858" t="str">
        <x:v>PHYSICAL</x:v>
      </x:c>
      <x:c r="D1858" t="str">
        <x:v>terrain geometry</x:v>
      </x:c>
      <x:c r="E1858" t="n">
        <x:f>IF('Terrain Field'!J762&lt;&gt;"",1,0)</x:f>
        <x:v>0</x:v>
      </x:c>
      <x:c r="F1858" t="n">
        <x:v>1</x:v>
      </x:c>
      <x:c r="G1858" t="str">
        <x:v>equals</x:v>
      </x:c>
      <x:c r="H1858" t="str">
        <x:v>independent physical acceptance</x:v>
      </x:c>
      <x:c r="I1858" t="str">
        <x:f>IF(E1858=1,"PASS","OPEN")</x:f>
        <x:v>OPEN</x:v>
      </x:c>
    </x:row>
    <x:row r="1859">
      <x:c r="B1859" t="str">
        <x:v>PH-TG-756-L</x:v>
      </x:c>
      <x:c r="C1859" t="str">
        <x:v>PHYSICAL</x:v>
      </x:c>
      <x:c r="D1859" t="str">
        <x:v>terrain load</x:v>
      </x:c>
      <x:c r="E1859" t="n">
        <x:f>IF('Terrain Field'!K762&lt;&gt;"",1,0)</x:f>
        <x:v>0</x:v>
      </x:c>
      <x:c r="F1859" t="n">
        <x:v>1</x:v>
      </x:c>
      <x:c r="G1859" t="str">
        <x:v>equals</x:v>
      </x:c>
      <x:c r="H1859" t="str">
        <x:v>independent physical acceptance</x:v>
      </x:c>
      <x:c r="I1859" t="str">
        <x:f>IF(E1859=1,"PASS","OPEN")</x:f>
        <x:v>OPEN</x:v>
      </x:c>
    </x:row>
    <x:row r="1860">
      <x:c r="B1860" t="str">
        <x:v>PH-TG-757-G</x:v>
      </x:c>
      <x:c r="C1860" t="str">
        <x:v>PHYSICAL</x:v>
      </x:c>
      <x:c r="D1860" t="str">
        <x:v>terrain geometry</x:v>
      </x:c>
      <x:c r="E1860" t="n">
        <x:f>IF('Terrain Field'!J763&lt;&gt;"",1,0)</x:f>
        <x:v>0</x:v>
      </x:c>
      <x:c r="F1860" t="n">
        <x:v>1</x:v>
      </x:c>
      <x:c r="G1860" t="str">
        <x:v>equals</x:v>
      </x:c>
      <x:c r="H1860" t="str">
        <x:v>independent physical acceptance</x:v>
      </x:c>
      <x:c r="I1860" t="str">
        <x:f>IF(E1860=1,"PASS","OPEN")</x:f>
        <x:v>OPEN</x:v>
      </x:c>
    </x:row>
    <x:row r="1861">
      <x:c r="B1861" t="str">
        <x:v>PH-TG-757-L</x:v>
      </x:c>
      <x:c r="C1861" t="str">
        <x:v>PHYSICAL</x:v>
      </x:c>
      <x:c r="D1861" t="str">
        <x:v>terrain load</x:v>
      </x:c>
      <x:c r="E1861" t="n">
        <x:f>IF('Terrain Field'!K763&lt;&gt;"",1,0)</x:f>
        <x:v>0</x:v>
      </x:c>
      <x:c r="F1861" t="n">
        <x:v>1</x:v>
      </x:c>
      <x:c r="G1861" t="str">
        <x:v>equals</x:v>
      </x:c>
      <x:c r="H1861" t="str">
        <x:v>independent physical acceptance</x:v>
      </x:c>
      <x:c r="I1861" t="str">
        <x:f>IF(E1861=1,"PASS","OPEN")</x:f>
        <x:v>OPEN</x:v>
      </x:c>
    </x:row>
    <x:row r="1862">
      <x:c r="B1862" t="str">
        <x:v>PH-TG-758-G</x:v>
      </x:c>
      <x:c r="C1862" t="str">
        <x:v>PHYSICAL</x:v>
      </x:c>
      <x:c r="D1862" t="str">
        <x:v>terrain geometry</x:v>
      </x:c>
      <x:c r="E1862" t="n">
        <x:f>IF('Terrain Field'!J764&lt;&gt;"",1,0)</x:f>
        <x:v>0</x:v>
      </x:c>
      <x:c r="F1862" t="n">
        <x:v>1</x:v>
      </x:c>
      <x:c r="G1862" t="str">
        <x:v>equals</x:v>
      </x:c>
      <x:c r="H1862" t="str">
        <x:v>independent physical acceptance</x:v>
      </x:c>
      <x:c r="I1862" t="str">
        <x:f>IF(E1862=1,"PASS","OPEN")</x:f>
        <x:v>OPEN</x:v>
      </x:c>
    </x:row>
    <x:row r="1863">
      <x:c r="B1863" t="str">
        <x:v>PH-TG-758-L</x:v>
      </x:c>
      <x:c r="C1863" t="str">
        <x:v>PHYSICAL</x:v>
      </x:c>
      <x:c r="D1863" t="str">
        <x:v>terrain load</x:v>
      </x:c>
      <x:c r="E1863" t="n">
        <x:f>IF('Terrain Field'!K764&lt;&gt;"",1,0)</x:f>
        <x:v>0</x:v>
      </x:c>
      <x:c r="F1863" t="n">
        <x:v>1</x:v>
      </x:c>
      <x:c r="G1863" t="str">
        <x:v>equals</x:v>
      </x:c>
      <x:c r="H1863" t="str">
        <x:v>independent physical acceptance</x:v>
      </x:c>
      <x:c r="I1863" t="str">
        <x:f>IF(E1863=1,"PASS","OPEN")</x:f>
        <x:v>OPEN</x:v>
      </x:c>
    </x:row>
    <x:row r="1864">
      <x:c r="B1864" t="str">
        <x:v>PH-TG-759-G</x:v>
      </x:c>
      <x:c r="C1864" t="str">
        <x:v>PHYSICAL</x:v>
      </x:c>
      <x:c r="D1864" t="str">
        <x:v>terrain geometry</x:v>
      </x:c>
      <x:c r="E1864" t="n">
        <x:f>IF('Terrain Field'!J765&lt;&gt;"",1,0)</x:f>
        <x:v>0</x:v>
      </x:c>
      <x:c r="F1864" t="n">
        <x:v>1</x:v>
      </x:c>
      <x:c r="G1864" t="str">
        <x:v>equals</x:v>
      </x:c>
      <x:c r="H1864" t="str">
        <x:v>independent physical acceptance</x:v>
      </x:c>
      <x:c r="I1864" t="str">
        <x:f>IF(E1864=1,"PASS","OPEN")</x:f>
        <x:v>OPEN</x:v>
      </x:c>
    </x:row>
    <x:row r="1865">
      <x:c r="B1865" t="str">
        <x:v>PH-TG-759-L</x:v>
      </x:c>
      <x:c r="C1865" t="str">
        <x:v>PHYSICAL</x:v>
      </x:c>
      <x:c r="D1865" t="str">
        <x:v>terrain load</x:v>
      </x:c>
      <x:c r="E1865" t="n">
        <x:f>IF('Terrain Field'!K765&lt;&gt;"",1,0)</x:f>
        <x:v>0</x:v>
      </x:c>
      <x:c r="F1865" t="n">
        <x:v>1</x:v>
      </x:c>
      <x:c r="G1865" t="str">
        <x:v>equals</x:v>
      </x:c>
      <x:c r="H1865" t="str">
        <x:v>independent physical acceptance</x:v>
      </x:c>
      <x:c r="I1865" t="str">
        <x:f>IF(E1865=1,"PASS","OPEN")</x:f>
        <x:v>OPEN</x:v>
      </x:c>
    </x:row>
    <x:row r="1866">
      <x:c r="B1866" t="str">
        <x:v>PH-TG-760-G</x:v>
      </x:c>
      <x:c r="C1866" t="str">
        <x:v>PHYSICAL</x:v>
      </x:c>
      <x:c r="D1866" t="str">
        <x:v>terrain geometry</x:v>
      </x:c>
      <x:c r="E1866" t="n">
        <x:f>IF('Terrain Field'!J766&lt;&gt;"",1,0)</x:f>
        <x:v>0</x:v>
      </x:c>
      <x:c r="F1866" t="n">
        <x:v>1</x:v>
      </x:c>
      <x:c r="G1866" t="str">
        <x:v>equals</x:v>
      </x:c>
      <x:c r="H1866" t="str">
        <x:v>independent physical acceptance</x:v>
      </x:c>
      <x:c r="I1866" t="str">
        <x:f>IF(E1866=1,"PASS","OPEN")</x:f>
        <x:v>OPEN</x:v>
      </x:c>
    </x:row>
    <x:row r="1867">
      <x:c r="B1867" t="str">
        <x:v>PH-TG-760-L</x:v>
      </x:c>
      <x:c r="C1867" t="str">
        <x:v>PHYSICAL</x:v>
      </x:c>
      <x:c r="D1867" t="str">
        <x:v>terrain load</x:v>
      </x:c>
      <x:c r="E1867" t="n">
        <x:f>IF('Terrain Field'!K766&lt;&gt;"",1,0)</x:f>
        <x:v>0</x:v>
      </x:c>
      <x:c r="F1867" t="n">
        <x:v>1</x:v>
      </x:c>
      <x:c r="G1867" t="str">
        <x:v>equals</x:v>
      </x:c>
      <x:c r="H1867" t="str">
        <x:v>independent physical acceptance</x:v>
      </x:c>
      <x:c r="I1867" t="str">
        <x:f>IF(E1867=1,"PASS","OPEN")</x:f>
        <x:v>OPEN</x:v>
      </x:c>
    </x:row>
    <x:row r="1868">
      <x:c r="B1868" t="str">
        <x:v>PH-TG-761-G</x:v>
      </x:c>
      <x:c r="C1868" t="str">
        <x:v>PHYSICAL</x:v>
      </x:c>
      <x:c r="D1868" t="str">
        <x:v>terrain geometry</x:v>
      </x:c>
      <x:c r="E1868" t="n">
        <x:f>IF('Terrain Field'!J767&lt;&gt;"",1,0)</x:f>
        <x:v>0</x:v>
      </x:c>
      <x:c r="F1868" t="n">
        <x:v>1</x:v>
      </x:c>
      <x:c r="G1868" t="str">
        <x:v>equals</x:v>
      </x:c>
      <x:c r="H1868" t="str">
        <x:v>independent physical acceptance</x:v>
      </x:c>
      <x:c r="I1868" t="str">
        <x:f>IF(E1868=1,"PASS","OPEN")</x:f>
        <x:v>OPEN</x:v>
      </x:c>
    </x:row>
    <x:row r="1869">
      <x:c r="B1869" t="str">
        <x:v>PH-TG-761-L</x:v>
      </x:c>
      <x:c r="C1869" t="str">
        <x:v>PHYSICAL</x:v>
      </x:c>
      <x:c r="D1869" t="str">
        <x:v>terrain load</x:v>
      </x:c>
      <x:c r="E1869" t="n">
        <x:f>IF('Terrain Field'!K767&lt;&gt;"",1,0)</x:f>
        <x:v>0</x:v>
      </x:c>
      <x:c r="F1869" t="n">
        <x:v>1</x:v>
      </x:c>
      <x:c r="G1869" t="str">
        <x:v>equals</x:v>
      </x:c>
      <x:c r="H1869" t="str">
        <x:v>independent physical acceptance</x:v>
      </x:c>
      <x:c r="I1869" t="str">
        <x:f>IF(E1869=1,"PASS","OPEN")</x:f>
        <x:v>OPEN</x:v>
      </x:c>
    </x:row>
    <x:row r="1870">
      <x:c r="B1870" t="str">
        <x:v>PH-TG-762-G</x:v>
      </x:c>
      <x:c r="C1870" t="str">
        <x:v>PHYSICAL</x:v>
      </x:c>
      <x:c r="D1870" t="str">
        <x:v>terrain geometry</x:v>
      </x:c>
      <x:c r="E1870" t="n">
        <x:f>IF('Terrain Field'!J768&lt;&gt;"",1,0)</x:f>
        <x:v>0</x:v>
      </x:c>
      <x:c r="F1870" t="n">
        <x:v>1</x:v>
      </x:c>
      <x:c r="G1870" t="str">
        <x:v>equals</x:v>
      </x:c>
      <x:c r="H1870" t="str">
        <x:v>independent physical acceptance</x:v>
      </x:c>
      <x:c r="I1870" t="str">
        <x:f>IF(E1870=1,"PASS","OPEN")</x:f>
        <x:v>OPEN</x:v>
      </x:c>
    </x:row>
    <x:row r="1871">
      <x:c r="B1871" t="str">
        <x:v>PH-TG-762-L</x:v>
      </x:c>
      <x:c r="C1871" t="str">
        <x:v>PHYSICAL</x:v>
      </x:c>
      <x:c r="D1871" t="str">
        <x:v>terrain load</x:v>
      </x:c>
      <x:c r="E1871" t="n">
        <x:f>IF('Terrain Field'!K768&lt;&gt;"",1,0)</x:f>
        <x:v>0</x:v>
      </x:c>
      <x:c r="F1871" t="n">
        <x:v>1</x:v>
      </x:c>
      <x:c r="G1871" t="str">
        <x:v>equals</x:v>
      </x:c>
      <x:c r="H1871" t="str">
        <x:v>independent physical acceptance</x:v>
      </x:c>
      <x:c r="I1871" t="str">
        <x:f>IF(E1871=1,"PASS","OPEN")</x:f>
        <x:v>OPEN</x:v>
      </x:c>
    </x:row>
    <x:row r="1872">
      <x:c r="B1872" t="str">
        <x:v>PH-TG-763-G</x:v>
      </x:c>
      <x:c r="C1872" t="str">
        <x:v>PHYSICAL</x:v>
      </x:c>
      <x:c r="D1872" t="str">
        <x:v>terrain geometry</x:v>
      </x:c>
      <x:c r="E1872" t="n">
        <x:f>IF('Terrain Field'!J769&lt;&gt;"",1,0)</x:f>
        <x:v>0</x:v>
      </x:c>
      <x:c r="F1872" t="n">
        <x:v>1</x:v>
      </x:c>
      <x:c r="G1872" t="str">
        <x:v>equals</x:v>
      </x:c>
      <x:c r="H1872" t="str">
        <x:v>independent physical acceptance</x:v>
      </x:c>
      <x:c r="I1872" t="str">
        <x:f>IF(E1872=1,"PASS","OPEN")</x:f>
        <x:v>OPEN</x:v>
      </x:c>
    </x:row>
    <x:row r="1873">
      <x:c r="B1873" t="str">
        <x:v>PH-TG-763-L</x:v>
      </x:c>
      <x:c r="C1873" t="str">
        <x:v>PHYSICAL</x:v>
      </x:c>
      <x:c r="D1873" t="str">
        <x:v>terrain load</x:v>
      </x:c>
      <x:c r="E1873" t="n">
        <x:f>IF('Terrain Field'!K769&lt;&gt;"",1,0)</x:f>
        <x:v>0</x:v>
      </x:c>
      <x:c r="F1873" t="n">
        <x:v>1</x:v>
      </x:c>
      <x:c r="G1873" t="str">
        <x:v>equals</x:v>
      </x:c>
      <x:c r="H1873" t="str">
        <x:v>independent physical acceptance</x:v>
      </x:c>
      <x:c r="I1873" t="str">
        <x:f>IF(E1873=1,"PASS","OPEN")</x:f>
        <x:v>OPEN</x:v>
      </x:c>
    </x:row>
    <x:row r="1874">
      <x:c r="B1874" t="str">
        <x:v>PH-TG-764-G</x:v>
      </x:c>
      <x:c r="C1874" t="str">
        <x:v>PHYSICAL</x:v>
      </x:c>
      <x:c r="D1874" t="str">
        <x:v>terrain geometry</x:v>
      </x:c>
      <x:c r="E1874" t="n">
        <x:f>IF('Terrain Field'!J770&lt;&gt;"",1,0)</x:f>
        <x:v>0</x:v>
      </x:c>
      <x:c r="F1874" t="n">
        <x:v>1</x:v>
      </x:c>
      <x:c r="G1874" t="str">
        <x:v>equals</x:v>
      </x:c>
      <x:c r="H1874" t="str">
        <x:v>independent physical acceptance</x:v>
      </x:c>
      <x:c r="I1874" t="str">
        <x:f>IF(E1874=1,"PASS","OPEN")</x:f>
        <x:v>OPEN</x:v>
      </x:c>
    </x:row>
    <x:row r="1875">
      <x:c r="B1875" t="str">
        <x:v>PH-TG-764-L</x:v>
      </x:c>
      <x:c r="C1875" t="str">
        <x:v>PHYSICAL</x:v>
      </x:c>
      <x:c r="D1875" t="str">
        <x:v>terrain load</x:v>
      </x:c>
      <x:c r="E1875" t="n">
        <x:f>IF('Terrain Field'!K770&lt;&gt;"",1,0)</x:f>
        <x:v>0</x:v>
      </x:c>
      <x:c r="F1875" t="n">
        <x:v>1</x:v>
      </x:c>
      <x:c r="G1875" t="str">
        <x:v>equals</x:v>
      </x:c>
      <x:c r="H1875" t="str">
        <x:v>independent physical acceptance</x:v>
      </x:c>
      <x:c r="I1875" t="str">
        <x:f>IF(E1875=1,"PASS","OPEN")</x:f>
        <x:v>OPEN</x:v>
      </x:c>
    </x:row>
    <x:row r="1876">
      <x:c r="B1876" t="str">
        <x:v>PH-TG-765-G</x:v>
      </x:c>
      <x:c r="C1876" t="str">
        <x:v>PHYSICAL</x:v>
      </x:c>
      <x:c r="D1876" t="str">
        <x:v>terrain geometry</x:v>
      </x:c>
      <x:c r="E1876" t="n">
        <x:f>IF('Terrain Field'!J771&lt;&gt;"",1,0)</x:f>
        <x:v>0</x:v>
      </x:c>
      <x:c r="F1876" t="n">
        <x:v>1</x:v>
      </x:c>
      <x:c r="G1876" t="str">
        <x:v>equals</x:v>
      </x:c>
      <x:c r="H1876" t="str">
        <x:v>independent physical acceptance</x:v>
      </x:c>
      <x:c r="I1876" t="str">
        <x:f>IF(E1876=1,"PASS","OPEN")</x:f>
        <x:v>OPEN</x:v>
      </x:c>
    </x:row>
    <x:row r="1877">
      <x:c r="B1877" t="str">
        <x:v>PH-TG-765-L</x:v>
      </x:c>
      <x:c r="C1877" t="str">
        <x:v>PHYSICAL</x:v>
      </x:c>
      <x:c r="D1877" t="str">
        <x:v>terrain load</x:v>
      </x:c>
      <x:c r="E1877" t="n">
        <x:f>IF('Terrain Field'!K771&lt;&gt;"",1,0)</x:f>
        <x:v>0</x:v>
      </x:c>
      <x:c r="F1877" t="n">
        <x:v>1</x:v>
      </x:c>
      <x:c r="G1877" t="str">
        <x:v>equals</x:v>
      </x:c>
      <x:c r="H1877" t="str">
        <x:v>independent physical acceptance</x:v>
      </x:c>
      <x:c r="I1877" t="str">
        <x:f>IF(E1877=1,"PASS","OPEN")</x:f>
        <x:v>OPEN</x:v>
      </x:c>
    </x:row>
    <x:row r="1878">
      <x:c r="B1878" t="str">
        <x:v>PH-TG-766-G</x:v>
      </x:c>
      <x:c r="C1878" t="str">
        <x:v>PHYSICAL</x:v>
      </x:c>
      <x:c r="D1878" t="str">
        <x:v>terrain geometry</x:v>
      </x:c>
      <x:c r="E1878" t="n">
        <x:f>IF('Terrain Field'!J772&lt;&gt;"",1,0)</x:f>
        <x:v>0</x:v>
      </x:c>
      <x:c r="F1878" t="n">
        <x:v>1</x:v>
      </x:c>
      <x:c r="G1878" t="str">
        <x:v>equals</x:v>
      </x:c>
      <x:c r="H1878" t="str">
        <x:v>independent physical acceptance</x:v>
      </x:c>
      <x:c r="I1878" t="str">
        <x:f>IF(E1878=1,"PASS","OPEN")</x:f>
        <x:v>OPEN</x:v>
      </x:c>
    </x:row>
    <x:row r="1879">
      <x:c r="B1879" t="str">
        <x:v>PH-TG-766-L</x:v>
      </x:c>
      <x:c r="C1879" t="str">
        <x:v>PHYSICAL</x:v>
      </x:c>
      <x:c r="D1879" t="str">
        <x:v>terrain load</x:v>
      </x:c>
      <x:c r="E1879" t="n">
        <x:f>IF('Terrain Field'!K772&lt;&gt;"",1,0)</x:f>
        <x:v>0</x:v>
      </x:c>
      <x:c r="F1879" t="n">
        <x:v>1</x:v>
      </x:c>
      <x:c r="G1879" t="str">
        <x:v>equals</x:v>
      </x:c>
      <x:c r="H1879" t="str">
        <x:v>independent physical acceptance</x:v>
      </x:c>
      <x:c r="I1879" t="str">
        <x:f>IF(E1879=1,"PASS","OPEN")</x:f>
        <x:v>OPEN</x:v>
      </x:c>
    </x:row>
    <x:row r="1880">
      <x:c r="B1880" t="str">
        <x:v>PH-TG-767-G</x:v>
      </x:c>
      <x:c r="C1880" t="str">
        <x:v>PHYSICAL</x:v>
      </x:c>
      <x:c r="D1880" t="str">
        <x:v>terrain geometry</x:v>
      </x:c>
      <x:c r="E1880" t="n">
        <x:f>IF('Terrain Field'!J773&lt;&gt;"",1,0)</x:f>
        <x:v>0</x:v>
      </x:c>
      <x:c r="F1880" t="n">
        <x:v>1</x:v>
      </x:c>
      <x:c r="G1880" t="str">
        <x:v>equals</x:v>
      </x:c>
      <x:c r="H1880" t="str">
        <x:v>independent physical acceptance</x:v>
      </x:c>
      <x:c r="I1880" t="str">
        <x:f>IF(E1880=1,"PASS","OPEN")</x:f>
        <x:v>OPEN</x:v>
      </x:c>
    </x:row>
    <x:row r="1881">
      <x:c r="B1881" t="str">
        <x:v>PH-TG-767-L</x:v>
      </x:c>
      <x:c r="C1881" t="str">
        <x:v>PHYSICAL</x:v>
      </x:c>
      <x:c r="D1881" t="str">
        <x:v>terrain load</x:v>
      </x:c>
      <x:c r="E1881" t="n">
        <x:f>IF('Terrain Field'!K773&lt;&gt;"",1,0)</x:f>
        <x:v>0</x:v>
      </x:c>
      <x:c r="F1881" t="n">
        <x:v>1</x:v>
      </x:c>
      <x:c r="G1881" t="str">
        <x:v>equals</x:v>
      </x:c>
      <x:c r="H1881" t="str">
        <x:v>independent physical acceptance</x:v>
      </x:c>
      <x:c r="I1881" t="str">
        <x:f>IF(E1881=1,"PASS","OPEN")</x:f>
        <x:v>OPEN</x:v>
      </x:c>
    </x:row>
    <x:row r="1882">
      <x:c r="B1882" t="str">
        <x:v>PH-TG-768-G</x:v>
      </x:c>
      <x:c r="C1882" t="str">
        <x:v>PHYSICAL</x:v>
      </x:c>
      <x:c r="D1882" t="str">
        <x:v>terrain geometry</x:v>
      </x:c>
      <x:c r="E1882" t="n">
        <x:f>IF('Terrain Field'!J774&lt;&gt;"",1,0)</x:f>
        <x:v>0</x:v>
      </x:c>
      <x:c r="F1882" t="n">
        <x:v>1</x:v>
      </x:c>
      <x:c r="G1882" t="str">
        <x:v>equals</x:v>
      </x:c>
      <x:c r="H1882" t="str">
        <x:v>independent physical acceptance</x:v>
      </x:c>
      <x:c r="I1882" t="str">
        <x:f>IF(E1882=1,"PASS","OPEN")</x:f>
        <x:v>OPEN</x:v>
      </x:c>
    </x:row>
    <x:row r="1883">
      <x:c r="B1883" t="str">
        <x:v>PH-TG-768-L</x:v>
      </x:c>
      <x:c r="C1883" t="str">
        <x:v>PHYSICAL</x:v>
      </x:c>
      <x:c r="D1883" t="str">
        <x:v>terrain load</x:v>
      </x:c>
      <x:c r="E1883" t="n">
        <x:f>IF('Terrain Field'!K774&lt;&gt;"",1,0)</x:f>
        <x:v>0</x:v>
      </x:c>
      <x:c r="F1883" t="n">
        <x:v>1</x:v>
      </x:c>
      <x:c r="G1883" t="str">
        <x:v>equals</x:v>
      </x:c>
      <x:c r="H1883" t="str">
        <x:v>independent physical acceptance</x:v>
      </x:c>
      <x:c r="I1883" t="str">
        <x:f>IF(E1883=1,"PASS","OPEN")</x:f>
        <x:v>OPEN</x:v>
      </x:c>
    </x:row>
    <x:row r="1884">
      <x:c r="B1884" t="str">
        <x:v>PH-TG-769-G</x:v>
      </x:c>
      <x:c r="C1884" t="str">
        <x:v>PHYSICAL</x:v>
      </x:c>
      <x:c r="D1884" t="str">
        <x:v>terrain geometry</x:v>
      </x:c>
      <x:c r="E1884" t="n">
        <x:f>IF('Terrain Field'!J775&lt;&gt;"",1,0)</x:f>
        <x:v>0</x:v>
      </x:c>
      <x:c r="F1884" t="n">
        <x:v>1</x:v>
      </x:c>
      <x:c r="G1884" t="str">
        <x:v>equals</x:v>
      </x:c>
      <x:c r="H1884" t="str">
        <x:v>independent physical acceptance</x:v>
      </x:c>
      <x:c r="I1884" t="str">
        <x:f>IF(E1884=1,"PASS","OPEN")</x:f>
        <x:v>OPEN</x:v>
      </x:c>
    </x:row>
    <x:row r="1885">
      <x:c r="B1885" t="str">
        <x:v>PH-TG-769-L</x:v>
      </x:c>
      <x:c r="C1885" t="str">
        <x:v>PHYSICAL</x:v>
      </x:c>
      <x:c r="D1885" t="str">
        <x:v>terrain load</x:v>
      </x:c>
      <x:c r="E1885" t="n">
        <x:f>IF('Terrain Field'!K775&lt;&gt;"",1,0)</x:f>
        <x:v>0</x:v>
      </x:c>
      <x:c r="F1885" t="n">
        <x:v>1</x:v>
      </x:c>
      <x:c r="G1885" t="str">
        <x:v>equals</x:v>
      </x:c>
      <x:c r="H1885" t="str">
        <x:v>independent physical acceptance</x:v>
      </x:c>
      <x:c r="I1885" t="str">
        <x:f>IF(E1885=1,"PASS","OPEN")</x:f>
        <x:v>OPEN</x:v>
      </x:c>
    </x:row>
    <x:row r="1886">
      <x:c r="B1886" t="str">
        <x:v>PH-TG-770-G</x:v>
      </x:c>
      <x:c r="C1886" t="str">
        <x:v>PHYSICAL</x:v>
      </x:c>
      <x:c r="D1886" t="str">
        <x:v>terrain geometry</x:v>
      </x:c>
      <x:c r="E1886" t="n">
        <x:f>IF('Terrain Field'!J776&lt;&gt;"",1,0)</x:f>
        <x:v>0</x:v>
      </x:c>
      <x:c r="F1886" t="n">
        <x:v>1</x:v>
      </x:c>
      <x:c r="G1886" t="str">
        <x:v>equals</x:v>
      </x:c>
      <x:c r="H1886" t="str">
        <x:v>independent physical acceptance</x:v>
      </x:c>
      <x:c r="I1886" t="str">
        <x:f>IF(E1886=1,"PASS","OPEN")</x:f>
        <x:v>OPEN</x:v>
      </x:c>
    </x:row>
    <x:row r="1887">
      <x:c r="B1887" t="str">
        <x:v>PH-TG-770-L</x:v>
      </x:c>
      <x:c r="C1887" t="str">
        <x:v>PHYSICAL</x:v>
      </x:c>
      <x:c r="D1887" t="str">
        <x:v>terrain load</x:v>
      </x:c>
      <x:c r="E1887" t="n">
        <x:f>IF('Terrain Field'!K776&lt;&gt;"",1,0)</x:f>
        <x:v>0</x:v>
      </x:c>
      <x:c r="F1887" t="n">
        <x:v>1</x:v>
      </x:c>
      <x:c r="G1887" t="str">
        <x:v>equals</x:v>
      </x:c>
      <x:c r="H1887" t="str">
        <x:v>independent physical acceptance</x:v>
      </x:c>
      <x:c r="I1887" t="str">
        <x:f>IF(E1887=1,"PASS","OPEN")</x:f>
        <x:v>OPEN</x:v>
      </x:c>
    </x:row>
    <x:row r="1888">
      <x:c r="B1888" t="str">
        <x:v>PH-TG-771-G</x:v>
      </x:c>
      <x:c r="C1888" t="str">
        <x:v>PHYSICAL</x:v>
      </x:c>
      <x:c r="D1888" t="str">
        <x:v>terrain geometry</x:v>
      </x:c>
      <x:c r="E1888" t="n">
        <x:f>IF('Terrain Field'!J777&lt;&gt;"",1,0)</x:f>
        <x:v>0</x:v>
      </x:c>
      <x:c r="F1888" t="n">
        <x:v>1</x:v>
      </x:c>
      <x:c r="G1888" t="str">
        <x:v>equals</x:v>
      </x:c>
      <x:c r="H1888" t="str">
        <x:v>independent physical acceptance</x:v>
      </x:c>
      <x:c r="I1888" t="str">
        <x:f>IF(E1888=1,"PASS","OPEN")</x:f>
        <x:v>OPEN</x:v>
      </x:c>
    </x:row>
    <x:row r="1889">
      <x:c r="B1889" t="str">
        <x:v>PH-TG-771-L</x:v>
      </x:c>
      <x:c r="C1889" t="str">
        <x:v>PHYSICAL</x:v>
      </x:c>
      <x:c r="D1889" t="str">
        <x:v>terrain load</x:v>
      </x:c>
      <x:c r="E1889" t="n">
        <x:f>IF('Terrain Field'!K777&lt;&gt;"",1,0)</x:f>
        <x:v>0</x:v>
      </x:c>
      <x:c r="F1889" t="n">
        <x:v>1</x:v>
      </x:c>
      <x:c r="G1889" t="str">
        <x:v>equals</x:v>
      </x:c>
      <x:c r="H1889" t="str">
        <x:v>independent physical acceptance</x:v>
      </x:c>
      <x:c r="I1889" t="str">
        <x:f>IF(E1889=1,"PASS","OPEN")</x:f>
        <x:v>OPEN</x:v>
      </x:c>
    </x:row>
    <x:row r="1890">
      <x:c r="B1890" t="str">
        <x:v>PH-TG-772-G</x:v>
      </x:c>
      <x:c r="C1890" t="str">
        <x:v>PHYSICAL</x:v>
      </x:c>
      <x:c r="D1890" t="str">
        <x:v>terrain geometry</x:v>
      </x:c>
      <x:c r="E1890" t="n">
        <x:f>IF('Terrain Field'!J778&lt;&gt;"",1,0)</x:f>
        <x:v>0</x:v>
      </x:c>
      <x:c r="F1890" t="n">
        <x:v>1</x:v>
      </x:c>
      <x:c r="G1890" t="str">
        <x:v>equals</x:v>
      </x:c>
      <x:c r="H1890" t="str">
        <x:v>independent physical acceptance</x:v>
      </x:c>
      <x:c r="I1890" t="str">
        <x:f>IF(E1890=1,"PASS","OPEN")</x:f>
        <x:v>OPEN</x:v>
      </x:c>
    </x:row>
    <x:row r="1891">
      <x:c r="B1891" t="str">
        <x:v>PH-TG-772-L</x:v>
      </x:c>
      <x:c r="C1891" t="str">
        <x:v>PHYSICAL</x:v>
      </x:c>
      <x:c r="D1891" t="str">
        <x:v>terrain load</x:v>
      </x:c>
      <x:c r="E1891" t="n">
        <x:f>IF('Terrain Field'!K778&lt;&gt;"",1,0)</x:f>
        <x:v>0</x:v>
      </x:c>
      <x:c r="F1891" t="n">
        <x:v>1</x:v>
      </x:c>
      <x:c r="G1891" t="str">
        <x:v>equals</x:v>
      </x:c>
      <x:c r="H1891" t="str">
        <x:v>independent physical acceptance</x:v>
      </x:c>
      <x:c r="I1891" t="str">
        <x:f>IF(E1891=1,"PASS","OPEN")</x:f>
        <x:v>OPEN</x:v>
      </x:c>
    </x:row>
    <x:row r="1892">
      <x:c r="B1892" t="str">
        <x:v>PH-TG-773-G</x:v>
      </x:c>
      <x:c r="C1892" t="str">
        <x:v>PHYSICAL</x:v>
      </x:c>
      <x:c r="D1892" t="str">
        <x:v>terrain geometry</x:v>
      </x:c>
      <x:c r="E1892" t="n">
        <x:f>IF('Terrain Field'!J779&lt;&gt;"",1,0)</x:f>
        <x:v>0</x:v>
      </x:c>
      <x:c r="F1892" t="n">
        <x:v>1</x:v>
      </x:c>
      <x:c r="G1892" t="str">
        <x:v>equals</x:v>
      </x:c>
      <x:c r="H1892" t="str">
        <x:v>independent physical acceptance</x:v>
      </x:c>
      <x:c r="I1892" t="str">
        <x:f>IF(E1892=1,"PASS","OPEN")</x:f>
        <x:v>OPEN</x:v>
      </x:c>
    </x:row>
    <x:row r="1893">
      <x:c r="B1893" t="str">
        <x:v>PH-TG-773-L</x:v>
      </x:c>
      <x:c r="C1893" t="str">
        <x:v>PHYSICAL</x:v>
      </x:c>
      <x:c r="D1893" t="str">
        <x:v>terrain load</x:v>
      </x:c>
      <x:c r="E1893" t="n">
        <x:f>IF('Terrain Field'!K779&lt;&gt;"",1,0)</x:f>
        <x:v>0</x:v>
      </x:c>
      <x:c r="F1893" t="n">
        <x:v>1</x:v>
      </x:c>
      <x:c r="G1893" t="str">
        <x:v>equals</x:v>
      </x:c>
      <x:c r="H1893" t="str">
        <x:v>independent physical acceptance</x:v>
      </x:c>
      <x:c r="I1893" t="str">
        <x:f>IF(E1893=1,"PASS","OPEN")</x:f>
        <x:v>OPEN</x:v>
      </x:c>
    </x:row>
    <x:row r="1894">
      <x:c r="B1894" t="str">
        <x:v>PH-TG-774-G</x:v>
      </x:c>
      <x:c r="C1894" t="str">
        <x:v>PHYSICAL</x:v>
      </x:c>
      <x:c r="D1894" t="str">
        <x:v>terrain geometry</x:v>
      </x:c>
      <x:c r="E1894" t="n">
        <x:f>IF('Terrain Field'!J780&lt;&gt;"",1,0)</x:f>
        <x:v>0</x:v>
      </x:c>
      <x:c r="F1894" t="n">
        <x:v>1</x:v>
      </x:c>
      <x:c r="G1894" t="str">
        <x:v>equals</x:v>
      </x:c>
      <x:c r="H1894" t="str">
        <x:v>independent physical acceptance</x:v>
      </x:c>
      <x:c r="I1894" t="str">
        <x:f>IF(E1894=1,"PASS","OPEN")</x:f>
        <x:v>OPEN</x:v>
      </x:c>
    </x:row>
    <x:row r="1895">
      <x:c r="B1895" t="str">
        <x:v>PH-TG-774-L</x:v>
      </x:c>
      <x:c r="C1895" t="str">
        <x:v>PHYSICAL</x:v>
      </x:c>
      <x:c r="D1895" t="str">
        <x:v>terrain load</x:v>
      </x:c>
      <x:c r="E1895" t="n">
        <x:f>IF('Terrain Field'!K780&lt;&gt;"",1,0)</x:f>
        <x:v>0</x:v>
      </x:c>
      <x:c r="F1895" t="n">
        <x:v>1</x:v>
      </x:c>
      <x:c r="G1895" t="str">
        <x:v>equals</x:v>
      </x:c>
      <x:c r="H1895" t="str">
        <x:v>independent physical acceptance</x:v>
      </x:c>
      <x:c r="I1895" t="str">
        <x:f>IF(E1895=1,"PASS","OPEN")</x:f>
        <x:v>OPEN</x:v>
      </x:c>
    </x:row>
    <x:row r="1896">
      <x:c r="B1896" t="str">
        <x:v>PH-TG-775-G</x:v>
      </x:c>
      <x:c r="C1896" t="str">
        <x:v>PHYSICAL</x:v>
      </x:c>
      <x:c r="D1896" t="str">
        <x:v>terrain geometry</x:v>
      </x:c>
      <x:c r="E1896" t="n">
        <x:f>IF('Terrain Field'!J781&lt;&gt;"",1,0)</x:f>
        <x:v>0</x:v>
      </x:c>
      <x:c r="F1896" t="n">
        <x:v>1</x:v>
      </x:c>
      <x:c r="G1896" t="str">
        <x:v>equals</x:v>
      </x:c>
      <x:c r="H1896" t="str">
        <x:v>independent physical acceptance</x:v>
      </x:c>
      <x:c r="I1896" t="str">
        <x:f>IF(E1896=1,"PASS","OPEN")</x:f>
        <x:v>OPEN</x:v>
      </x:c>
    </x:row>
    <x:row r="1897">
      <x:c r="B1897" t="str">
        <x:v>PH-TG-775-L</x:v>
      </x:c>
      <x:c r="C1897" t="str">
        <x:v>PHYSICAL</x:v>
      </x:c>
      <x:c r="D1897" t="str">
        <x:v>terrain load</x:v>
      </x:c>
      <x:c r="E1897" t="n">
        <x:f>IF('Terrain Field'!K781&lt;&gt;"",1,0)</x:f>
        <x:v>0</x:v>
      </x:c>
      <x:c r="F1897" t="n">
        <x:v>1</x:v>
      </x:c>
      <x:c r="G1897" t="str">
        <x:v>equals</x:v>
      </x:c>
      <x:c r="H1897" t="str">
        <x:v>independent physical acceptance</x:v>
      </x:c>
      <x:c r="I1897" t="str">
        <x:f>IF(E1897=1,"PASS","OPEN")</x:f>
        <x:v>OPEN</x:v>
      </x:c>
    </x:row>
    <x:row r="1898">
      <x:c r="B1898" t="str">
        <x:v>PH-TG-776-G</x:v>
      </x:c>
      <x:c r="C1898" t="str">
        <x:v>PHYSICAL</x:v>
      </x:c>
      <x:c r="D1898" t="str">
        <x:v>terrain geometry</x:v>
      </x:c>
      <x:c r="E1898" t="n">
        <x:f>IF('Terrain Field'!J782&lt;&gt;"",1,0)</x:f>
        <x:v>0</x:v>
      </x:c>
      <x:c r="F1898" t="n">
        <x:v>1</x:v>
      </x:c>
      <x:c r="G1898" t="str">
        <x:v>equals</x:v>
      </x:c>
      <x:c r="H1898" t="str">
        <x:v>independent physical acceptance</x:v>
      </x:c>
      <x:c r="I1898" t="str">
        <x:f>IF(E1898=1,"PASS","OPEN")</x:f>
        <x:v>OPEN</x:v>
      </x:c>
    </x:row>
    <x:row r="1899">
      <x:c r="B1899" t="str">
        <x:v>PH-TG-776-L</x:v>
      </x:c>
      <x:c r="C1899" t="str">
        <x:v>PHYSICAL</x:v>
      </x:c>
      <x:c r="D1899" t="str">
        <x:v>terrain load</x:v>
      </x:c>
      <x:c r="E1899" t="n">
        <x:f>IF('Terrain Field'!K782&lt;&gt;"",1,0)</x:f>
        <x:v>0</x:v>
      </x:c>
      <x:c r="F1899" t="n">
        <x:v>1</x:v>
      </x:c>
      <x:c r="G1899" t="str">
        <x:v>equals</x:v>
      </x:c>
      <x:c r="H1899" t="str">
        <x:v>independent physical acceptance</x:v>
      </x:c>
      <x:c r="I1899" t="str">
        <x:f>IF(E1899=1,"PASS","OPEN")</x:f>
        <x:v>OPEN</x:v>
      </x:c>
    </x:row>
    <x:row r="1900">
      <x:c r="B1900" t="str">
        <x:v>PH-TG-777-G</x:v>
      </x:c>
      <x:c r="C1900" t="str">
        <x:v>PHYSICAL</x:v>
      </x:c>
      <x:c r="D1900" t="str">
        <x:v>terrain geometry</x:v>
      </x:c>
      <x:c r="E1900" t="n">
        <x:f>IF('Terrain Field'!J783&lt;&gt;"",1,0)</x:f>
        <x:v>0</x:v>
      </x:c>
      <x:c r="F1900" t="n">
        <x:v>1</x:v>
      </x:c>
      <x:c r="G1900" t="str">
        <x:v>equals</x:v>
      </x:c>
      <x:c r="H1900" t="str">
        <x:v>independent physical acceptance</x:v>
      </x:c>
      <x:c r="I1900" t="str">
        <x:f>IF(E1900=1,"PASS","OPEN")</x:f>
        <x:v>OPEN</x:v>
      </x:c>
    </x:row>
    <x:row r="1901">
      <x:c r="B1901" t="str">
        <x:v>PH-TG-777-L</x:v>
      </x:c>
      <x:c r="C1901" t="str">
        <x:v>PHYSICAL</x:v>
      </x:c>
      <x:c r="D1901" t="str">
        <x:v>terrain load</x:v>
      </x:c>
      <x:c r="E1901" t="n">
        <x:f>IF('Terrain Field'!K783&lt;&gt;"",1,0)</x:f>
        <x:v>0</x:v>
      </x:c>
      <x:c r="F1901" t="n">
        <x:v>1</x:v>
      </x:c>
      <x:c r="G1901" t="str">
        <x:v>equals</x:v>
      </x:c>
      <x:c r="H1901" t="str">
        <x:v>independent physical acceptance</x:v>
      </x:c>
      <x:c r="I1901" t="str">
        <x:f>IF(E1901=1,"PASS","OPEN")</x:f>
        <x:v>OPEN</x:v>
      </x:c>
    </x:row>
    <x:row r="1902">
      <x:c r="B1902" t="str">
        <x:v>PH-TG-778-G</x:v>
      </x:c>
      <x:c r="C1902" t="str">
        <x:v>PHYSICAL</x:v>
      </x:c>
      <x:c r="D1902" t="str">
        <x:v>terrain geometry</x:v>
      </x:c>
      <x:c r="E1902" t="n">
        <x:f>IF('Terrain Field'!J784&lt;&gt;"",1,0)</x:f>
        <x:v>0</x:v>
      </x:c>
      <x:c r="F1902" t="n">
        <x:v>1</x:v>
      </x:c>
      <x:c r="G1902" t="str">
        <x:v>equals</x:v>
      </x:c>
      <x:c r="H1902" t="str">
        <x:v>independent physical acceptance</x:v>
      </x:c>
      <x:c r="I1902" t="str">
        <x:f>IF(E1902=1,"PASS","OPEN")</x:f>
        <x:v>OPEN</x:v>
      </x:c>
    </x:row>
    <x:row r="1903">
      <x:c r="B1903" t="str">
        <x:v>PH-TG-778-L</x:v>
      </x:c>
      <x:c r="C1903" t="str">
        <x:v>PHYSICAL</x:v>
      </x:c>
      <x:c r="D1903" t="str">
        <x:v>terrain load</x:v>
      </x:c>
      <x:c r="E1903" t="n">
        <x:f>IF('Terrain Field'!K784&lt;&gt;"",1,0)</x:f>
        <x:v>0</x:v>
      </x:c>
      <x:c r="F1903" t="n">
        <x:v>1</x:v>
      </x:c>
      <x:c r="G1903" t="str">
        <x:v>equals</x:v>
      </x:c>
      <x:c r="H1903" t="str">
        <x:v>independent physical acceptance</x:v>
      </x:c>
      <x:c r="I1903" t="str">
        <x:f>IF(E1903=1,"PASS","OPEN")</x:f>
        <x:v>OPEN</x:v>
      </x:c>
    </x:row>
    <x:row r="1904">
      <x:c r="B1904" t="str">
        <x:v>PH-TG-779-G</x:v>
      </x:c>
      <x:c r="C1904" t="str">
        <x:v>PHYSICAL</x:v>
      </x:c>
      <x:c r="D1904" t="str">
        <x:v>terrain geometry</x:v>
      </x:c>
      <x:c r="E1904" t="n">
        <x:f>IF('Terrain Field'!J785&lt;&gt;"",1,0)</x:f>
        <x:v>0</x:v>
      </x:c>
      <x:c r="F1904" t="n">
        <x:v>1</x:v>
      </x:c>
      <x:c r="G1904" t="str">
        <x:v>equals</x:v>
      </x:c>
      <x:c r="H1904" t="str">
        <x:v>independent physical acceptance</x:v>
      </x:c>
      <x:c r="I1904" t="str">
        <x:f>IF(E1904=1,"PASS","OPEN")</x:f>
        <x:v>OPEN</x:v>
      </x:c>
    </x:row>
    <x:row r="1905">
      <x:c r="B1905" t="str">
        <x:v>PH-TG-779-L</x:v>
      </x:c>
      <x:c r="C1905" t="str">
        <x:v>PHYSICAL</x:v>
      </x:c>
      <x:c r="D1905" t="str">
        <x:v>terrain load</x:v>
      </x:c>
      <x:c r="E1905" t="n">
        <x:f>IF('Terrain Field'!K785&lt;&gt;"",1,0)</x:f>
        <x:v>0</x:v>
      </x:c>
      <x:c r="F1905" t="n">
        <x:v>1</x:v>
      </x:c>
      <x:c r="G1905" t="str">
        <x:v>equals</x:v>
      </x:c>
      <x:c r="H1905" t="str">
        <x:v>independent physical acceptance</x:v>
      </x:c>
      <x:c r="I1905" t="str">
        <x:f>IF(E1905=1,"PASS","OPEN")</x:f>
        <x:v>OPEN</x:v>
      </x:c>
    </x:row>
    <x:row r="1906">
      <x:c r="B1906" t="str">
        <x:v>PH-TG-780-G</x:v>
      </x:c>
      <x:c r="C1906" t="str">
        <x:v>PHYSICAL</x:v>
      </x:c>
      <x:c r="D1906" t="str">
        <x:v>terrain geometry</x:v>
      </x:c>
      <x:c r="E1906" t="n">
        <x:f>IF('Terrain Field'!J786&lt;&gt;"",1,0)</x:f>
        <x:v>0</x:v>
      </x:c>
      <x:c r="F1906" t="n">
        <x:v>1</x:v>
      </x:c>
      <x:c r="G1906" t="str">
        <x:v>equals</x:v>
      </x:c>
      <x:c r="H1906" t="str">
        <x:v>independent physical acceptance</x:v>
      </x:c>
      <x:c r="I1906" t="str">
        <x:f>IF(E1906=1,"PASS","OPEN")</x:f>
        <x:v>OPEN</x:v>
      </x:c>
    </x:row>
    <x:row r="1907">
      <x:c r="B1907" t="str">
        <x:v>PH-TG-780-L</x:v>
      </x:c>
      <x:c r="C1907" t="str">
        <x:v>PHYSICAL</x:v>
      </x:c>
      <x:c r="D1907" t="str">
        <x:v>terrain load</x:v>
      </x:c>
      <x:c r="E1907" t="n">
        <x:f>IF('Terrain Field'!K786&lt;&gt;"",1,0)</x:f>
        <x:v>0</x:v>
      </x:c>
      <x:c r="F1907" t="n">
        <x:v>1</x:v>
      </x:c>
      <x:c r="G1907" t="str">
        <x:v>equals</x:v>
      </x:c>
      <x:c r="H1907" t="str">
        <x:v>independent physical acceptance</x:v>
      </x:c>
      <x:c r="I1907" t="str">
        <x:f>IF(E1907=1,"PASS","OPEN")</x:f>
        <x:v>OPEN</x:v>
      </x:c>
    </x:row>
    <x:row r="1908">
      <x:c r="B1908" t="str">
        <x:v>PH-TG-781-G</x:v>
      </x:c>
      <x:c r="C1908" t="str">
        <x:v>PHYSICAL</x:v>
      </x:c>
      <x:c r="D1908" t="str">
        <x:v>terrain geometry</x:v>
      </x:c>
      <x:c r="E1908" t="n">
        <x:f>IF('Terrain Field'!J787&lt;&gt;"",1,0)</x:f>
        <x:v>0</x:v>
      </x:c>
      <x:c r="F1908" t="n">
        <x:v>1</x:v>
      </x:c>
      <x:c r="G1908" t="str">
        <x:v>equals</x:v>
      </x:c>
      <x:c r="H1908" t="str">
        <x:v>independent physical acceptance</x:v>
      </x:c>
      <x:c r="I1908" t="str">
        <x:f>IF(E1908=1,"PASS","OPEN")</x:f>
        <x:v>OPEN</x:v>
      </x:c>
    </x:row>
    <x:row r="1909">
      <x:c r="B1909" t="str">
        <x:v>PH-TG-781-L</x:v>
      </x:c>
      <x:c r="C1909" t="str">
        <x:v>PHYSICAL</x:v>
      </x:c>
      <x:c r="D1909" t="str">
        <x:v>terrain load</x:v>
      </x:c>
      <x:c r="E1909" t="n">
        <x:f>IF('Terrain Field'!K787&lt;&gt;"",1,0)</x:f>
        <x:v>0</x:v>
      </x:c>
      <x:c r="F1909" t="n">
        <x:v>1</x:v>
      </x:c>
      <x:c r="G1909" t="str">
        <x:v>equals</x:v>
      </x:c>
      <x:c r="H1909" t="str">
        <x:v>independent physical acceptance</x:v>
      </x:c>
      <x:c r="I1909" t="str">
        <x:f>IF(E1909=1,"PASS","OPEN")</x:f>
        <x:v>OPEN</x:v>
      </x:c>
    </x:row>
    <x:row r="1910">
      <x:c r="B1910" t="str">
        <x:v>PH-TG-782-G</x:v>
      </x:c>
      <x:c r="C1910" t="str">
        <x:v>PHYSICAL</x:v>
      </x:c>
      <x:c r="D1910" t="str">
        <x:v>terrain geometry</x:v>
      </x:c>
      <x:c r="E1910" t="n">
        <x:f>IF('Terrain Field'!J788&lt;&gt;"",1,0)</x:f>
        <x:v>0</x:v>
      </x:c>
      <x:c r="F1910" t="n">
        <x:v>1</x:v>
      </x:c>
      <x:c r="G1910" t="str">
        <x:v>equals</x:v>
      </x:c>
      <x:c r="H1910" t="str">
        <x:v>independent physical acceptance</x:v>
      </x:c>
      <x:c r="I1910" t="str">
        <x:f>IF(E1910=1,"PASS","OPEN")</x:f>
        <x:v>OPEN</x:v>
      </x:c>
    </x:row>
    <x:row r="1911">
      <x:c r="B1911" t="str">
        <x:v>PH-TG-782-L</x:v>
      </x:c>
      <x:c r="C1911" t="str">
        <x:v>PHYSICAL</x:v>
      </x:c>
      <x:c r="D1911" t="str">
        <x:v>terrain load</x:v>
      </x:c>
      <x:c r="E1911" t="n">
        <x:f>IF('Terrain Field'!K788&lt;&gt;"",1,0)</x:f>
        <x:v>0</x:v>
      </x:c>
      <x:c r="F1911" t="n">
        <x:v>1</x:v>
      </x:c>
      <x:c r="G1911" t="str">
        <x:v>equals</x:v>
      </x:c>
      <x:c r="H1911" t="str">
        <x:v>independent physical acceptance</x:v>
      </x:c>
      <x:c r="I1911" t="str">
        <x:f>IF(E1911=1,"PASS","OPEN")</x:f>
        <x:v>OPEN</x:v>
      </x:c>
    </x:row>
    <x:row r="1912">
      <x:c r="B1912" t="str">
        <x:v>PH-TG-783-G</x:v>
      </x:c>
      <x:c r="C1912" t="str">
        <x:v>PHYSICAL</x:v>
      </x:c>
      <x:c r="D1912" t="str">
        <x:v>terrain geometry</x:v>
      </x:c>
      <x:c r="E1912" t="n">
        <x:f>IF('Terrain Field'!J789&lt;&gt;"",1,0)</x:f>
        <x:v>0</x:v>
      </x:c>
      <x:c r="F1912" t="n">
        <x:v>1</x:v>
      </x:c>
      <x:c r="G1912" t="str">
        <x:v>equals</x:v>
      </x:c>
      <x:c r="H1912" t="str">
        <x:v>independent physical acceptance</x:v>
      </x:c>
      <x:c r="I1912" t="str">
        <x:f>IF(E1912=1,"PASS","OPEN")</x:f>
        <x:v>OPEN</x:v>
      </x:c>
    </x:row>
    <x:row r="1913">
      <x:c r="B1913" t="str">
        <x:v>PH-TG-783-L</x:v>
      </x:c>
      <x:c r="C1913" t="str">
        <x:v>PHYSICAL</x:v>
      </x:c>
      <x:c r="D1913" t="str">
        <x:v>terrain load</x:v>
      </x:c>
      <x:c r="E1913" t="n">
        <x:f>IF('Terrain Field'!K789&lt;&gt;"",1,0)</x:f>
        <x:v>0</x:v>
      </x:c>
      <x:c r="F1913" t="n">
        <x:v>1</x:v>
      </x:c>
      <x:c r="G1913" t="str">
        <x:v>equals</x:v>
      </x:c>
      <x:c r="H1913" t="str">
        <x:v>independent physical acceptance</x:v>
      </x:c>
      <x:c r="I1913" t="str">
        <x:f>IF(E1913=1,"PASS","OPEN")</x:f>
        <x:v>OPEN</x:v>
      </x:c>
    </x:row>
    <x:row r="1914">
      <x:c r="B1914" t="str">
        <x:v>PH-TG-784-G</x:v>
      </x:c>
      <x:c r="C1914" t="str">
        <x:v>PHYSICAL</x:v>
      </x:c>
      <x:c r="D1914" t="str">
        <x:v>terrain geometry</x:v>
      </x:c>
      <x:c r="E1914" t="n">
        <x:f>IF('Terrain Field'!J790&lt;&gt;"",1,0)</x:f>
        <x:v>0</x:v>
      </x:c>
      <x:c r="F1914" t="n">
        <x:v>1</x:v>
      </x:c>
      <x:c r="G1914" t="str">
        <x:v>equals</x:v>
      </x:c>
      <x:c r="H1914" t="str">
        <x:v>independent physical acceptance</x:v>
      </x:c>
      <x:c r="I1914" t="str">
        <x:f>IF(E1914=1,"PASS","OPEN")</x:f>
        <x:v>OPEN</x:v>
      </x:c>
    </x:row>
    <x:row r="1915">
      <x:c r="B1915" t="str">
        <x:v>PH-TG-784-L</x:v>
      </x:c>
      <x:c r="C1915" t="str">
        <x:v>PHYSICAL</x:v>
      </x:c>
      <x:c r="D1915" t="str">
        <x:v>terrain load</x:v>
      </x:c>
      <x:c r="E1915" t="n">
        <x:f>IF('Terrain Field'!K790&lt;&gt;"",1,0)</x:f>
        <x:v>0</x:v>
      </x:c>
      <x:c r="F1915" t="n">
        <x:v>1</x:v>
      </x:c>
      <x:c r="G1915" t="str">
        <x:v>equals</x:v>
      </x:c>
      <x:c r="H1915" t="str">
        <x:v>independent physical acceptance</x:v>
      </x:c>
      <x:c r="I1915" t="str">
        <x:f>IF(E1915=1,"PASS","OPEN")</x:f>
        <x:v>OPEN</x:v>
      </x:c>
    </x:row>
    <x:row r="1916">
      <x:c r="B1916" t="str">
        <x:v>PH-TG-785-G</x:v>
      </x:c>
      <x:c r="C1916" t="str">
        <x:v>PHYSICAL</x:v>
      </x:c>
      <x:c r="D1916" t="str">
        <x:v>terrain geometry</x:v>
      </x:c>
      <x:c r="E1916" t="n">
        <x:f>IF('Terrain Field'!J791&lt;&gt;"",1,0)</x:f>
        <x:v>0</x:v>
      </x:c>
      <x:c r="F1916" t="n">
        <x:v>1</x:v>
      </x:c>
      <x:c r="G1916" t="str">
        <x:v>equals</x:v>
      </x:c>
      <x:c r="H1916" t="str">
        <x:v>independent physical acceptance</x:v>
      </x:c>
      <x:c r="I1916" t="str">
        <x:f>IF(E1916=1,"PASS","OPEN")</x:f>
        <x:v>OPEN</x:v>
      </x:c>
    </x:row>
    <x:row r="1917">
      <x:c r="B1917" t="str">
        <x:v>PH-TG-785-L</x:v>
      </x:c>
      <x:c r="C1917" t="str">
        <x:v>PHYSICAL</x:v>
      </x:c>
      <x:c r="D1917" t="str">
        <x:v>terrain load</x:v>
      </x:c>
      <x:c r="E1917" t="n">
        <x:f>IF('Terrain Field'!K791&lt;&gt;"",1,0)</x:f>
        <x:v>0</x:v>
      </x:c>
      <x:c r="F1917" t="n">
        <x:v>1</x:v>
      </x:c>
      <x:c r="G1917" t="str">
        <x:v>equals</x:v>
      </x:c>
      <x:c r="H1917" t="str">
        <x:v>independent physical acceptance</x:v>
      </x:c>
      <x:c r="I1917" t="str">
        <x:f>IF(E1917=1,"PASS","OPEN")</x:f>
        <x:v>OPEN</x:v>
      </x:c>
    </x:row>
    <x:row r="1918">
      <x:c r="B1918" t="str">
        <x:v>PH-TG-786-G</x:v>
      </x:c>
      <x:c r="C1918" t="str">
        <x:v>PHYSICAL</x:v>
      </x:c>
      <x:c r="D1918" t="str">
        <x:v>terrain geometry</x:v>
      </x:c>
      <x:c r="E1918" t="n">
        <x:f>IF('Terrain Field'!J792&lt;&gt;"",1,0)</x:f>
        <x:v>0</x:v>
      </x:c>
      <x:c r="F1918" t="n">
        <x:v>1</x:v>
      </x:c>
      <x:c r="G1918" t="str">
        <x:v>equals</x:v>
      </x:c>
      <x:c r="H1918" t="str">
        <x:v>independent physical acceptance</x:v>
      </x:c>
      <x:c r="I1918" t="str">
        <x:f>IF(E1918=1,"PASS","OPEN")</x:f>
        <x:v>OPEN</x:v>
      </x:c>
    </x:row>
    <x:row r="1919">
      <x:c r="B1919" t="str">
        <x:v>PH-TG-786-L</x:v>
      </x:c>
      <x:c r="C1919" t="str">
        <x:v>PHYSICAL</x:v>
      </x:c>
      <x:c r="D1919" t="str">
        <x:v>terrain load</x:v>
      </x:c>
      <x:c r="E1919" t="n">
        <x:f>IF('Terrain Field'!K792&lt;&gt;"",1,0)</x:f>
        <x:v>0</x:v>
      </x:c>
      <x:c r="F1919" t="n">
        <x:v>1</x:v>
      </x:c>
      <x:c r="G1919" t="str">
        <x:v>equals</x:v>
      </x:c>
      <x:c r="H1919" t="str">
        <x:v>independent physical acceptance</x:v>
      </x:c>
      <x:c r="I1919" t="str">
        <x:f>IF(E1919=1,"PASS","OPEN")</x:f>
        <x:v>OPEN</x:v>
      </x:c>
    </x:row>
    <x:row r="1920">
      <x:c r="B1920" t="str">
        <x:v>PH-TG-787-G</x:v>
      </x:c>
      <x:c r="C1920" t="str">
        <x:v>PHYSICAL</x:v>
      </x:c>
      <x:c r="D1920" t="str">
        <x:v>terrain geometry</x:v>
      </x:c>
      <x:c r="E1920" t="n">
        <x:f>IF('Terrain Field'!J793&lt;&gt;"",1,0)</x:f>
        <x:v>0</x:v>
      </x:c>
      <x:c r="F1920" t="n">
        <x:v>1</x:v>
      </x:c>
      <x:c r="G1920" t="str">
        <x:v>equals</x:v>
      </x:c>
      <x:c r="H1920" t="str">
        <x:v>independent physical acceptance</x:v>
      </x:c>
      <x:c r="I1920" t="str">
        <x:f>IF(E1920=1,"PASS","OPEN")</x:f>
        <x:v>OPEN</x:v>
      </x:c>
    </x:row>
    <x:row r="1921">
      <x:c r="B1921" t="str">
        <x:v>PH-TG-787-L</x:v>
      </x:c>
      <x:c r="C1921" t="str">
        <x:v>PHYSICAL</x:v>
      </x:c>
      <x:c r="D1921" t="str">
        <x:v>terrain load</x:v>
      </x:c>
      <x:c r="E1921" t="n">
        <x:f>IF('Terrain Field'!K793&lt;&gt;"",1,0)</x:f>
        <x:v>0</x:v>
      </x:c>
      <x:c r="F1921" t="n">
        <x:v>1</x:v>
      </x:c>
      <x:c r="G1921" t="str">
        <x:v>equals</x:v>
      </x:c>
      <x:c r="H1921" t="str">
        <x:v>independent physical acceptance</x:v>
      </x:c>
      <x:c r="I1921" t="str">
        <x:f>IF(E1921=1,"PASS","OPEN")</x:f>
        <x:v>OPEN</x:v>
      </x:c>
    </x:row>
    <x:row r="1922">
      <x:c r="B1922" t="str">
        <x:v>PH-TG-788-G</x:v>
      </x:c>
      <x:c r="C1922" t="str">
        <x:v>PHYSICAL</x:v>
      </x:c>
      <x:c r="D1922" t="str">
        <x:v>terrain geometry</x:v>
      </x:c>
      <x:c r="E1922" t="n">
        <x:f>IF('Terrain Field'!J794&lt;&gt;"",1,0)</x:f>
        <x:v>0</x:v>
      </x:c>
      <x:c r="F1922" t="n">
        <x:v>1</x:v>
      </x:c>
      <x:c r="G1922" t="str">
        <x:v>equals</x:v>
      </x:c>
      <x:c r="H1922" t="str">
        <x:v>independent physical acceptance</x:v>
      </x:c>
      <x:c r="I1922" t="str">
        <x:f>IF(E1922=1,"PASS","OPEN")</x:f>
        <x:v>OPEN</x:v>
      </x:c>
    </x:row>
    <x:row r="1923">
      <x:c r="B1923" t="str">
        <x:v>PH-TG-788-L</x:v>
      </x:c>
      <x:c r="C1923" t="str">
        <x:v>PHYSICAL</x:v>
      </x:c>
      <x:c r="D1923" t="str">
        <x:v>terrain load</x:v>
      </x:c>
      <x:c r="E1923" t="n">
        <x:f>IF('Terrain Field'!K794&lt;&gt;"",1,0)</x:f>
        <x:v>0</x:v>
      </x:c>
      <x:c r="F1923" t="n">
        <x:v>1</x:v>
      </x:c>
      <x:c r="G1923" t="str">
        <x:v>equals</x:v>
      </x:c>
      <x:c r="H1923" t="str">
        <x:v>independent physical acceptance</x:v>
      </x:c>
      <x:c r="I1923" t="str">
        <x:f>IF(E1923=1,"PASS","OPEN")</x:f>
        <x:v>OPEN</x:v>
      </x:c>
    </x:row>
    <x:row r="1924">
      <x:c r="B1924" t="str">
        <x:v>PH-TG-789-G</x:v>
      </x:c>
      <x:c r="C1924" t="str">
        <x:v>PHYSICAL</x:v>
      </x:c>
      <x:c r="D1924" t="str">
        <x:v>terrain geometry</x:v>
      </x:c>
      <x:c r="E1924" t="n">
        <x:f>IF('Terrain Field'!J795&lt;&gt;"",1,0)</x:f>
        <x:v>0</x:v>
      </x:c>
      <x:c r="F1924" t="n">
        <x:v>1</x:v>
      </x:c>
      <x:c r="G1924" t="str">
        <x:v>equals</x:v>
      </x:c>
      <x:c r="H1924" t="str">
        <x:v>independent physical acceptance</x:v>
      </x:c>
      <x:c r="I1924" t="str">
        <x:f>IF(E1924=1,"PASS","OPEN")</x:f>
        <x:v>OPEN</x:v>
      </x:c>
    </x:row>
    <x:row r="1925">
      <x:c r="B1925" t="str">
        <x:v>PH-TG-789-L</x:v>
      </x:c>
      <x:c r="C1925" t="str">
        <x:v>PHYSICAL</x:v>
      </x:c>
      <x:c r="D1925" t="str">
        <x:v>terrain load</x:v>
      </x:c>
      <x:c r="E1925" t="n">
        <x:f>IF('Terrain Field'!K795&lt;&gt;"",1,0)</x:f>
        <x:v>0</x:v>
      </x:c>
      <x:c r="F1925" t="n">
        <x:v>1</x:v>
      </x:c>
      <x:c r="G1925" t="str">
        <x:v>equals</x:v>
      </x:c>
      <x:c r="H1925" t="str">
        <x:v>independent physical acceptance</x:v>
      </x:c>
      <x:c r="I1925" t="str">
        <x:f>IF(E1925=1,"PASS","OPEN")</x:f>
        <x:v>OPEN</x:v>
      </x:c>
    </x:row>
    <x:row r="1926">
      <x:c r="B1926" t="str">
        <x:v>PH-TG-790-G</x:v>
      </x:c>
      <x:c r="C1926" t="str">
        <x:v>PHYSICAL</x:v>
      </x:c>
      <x:c r="D1926" t="str">
        <x:v>terrain geometry</x:v>
      </x:c>
      <x:c r="E1926" t="n">
        <x:f>IF('Terrain Field'!J796&lt;&gt;"",1,0)</x:f>
        <x:v>0</x:v>
      </x:c>
      <x:c r="F1926" t="n">
        <x:v>1</x:v>
      </x:c>
      <x:c r="G1926" t="str">
        <x:v>equals</x:v>
      </x:c>
      <x:c r="H1926" t="str">
        <x:v>independent physical acceptance</x:v>
      </x:c>
      <x:c r="I1926" t="str">
        <x:f>IF(E1926=1,"PASS","OPEN")</x:f>
        <x:v>OPEN</x:v>
      </x:c>
    </x:row>
    <x:row r="1927">
      <x:c r="B1927" t="str">
        <x:v>PH-TG-790-L</x:v>
      </x:c>
      <x:c r="C1927" t="str">
        <x:v>PHYSICAL</x:v>
      </x:c>
      <x:c r="D1927" t="str">
        <x:v>terrain load</x:v>
      </x:c>
      <x:c r="E1927" t="n">
        <x:f>IF('Terrain Field'!K796&lt;&gt;"",1,0)</x:f>
        <x:v>0</x:v>
      </x:c>
      <x:c r="F1927" t="n">
        <x:v>1</x:v>
      </x:c>
      <x:c r="G1927" t="str">
        <x:v>equals</x:v>
      </x:c>
      <x:c r="H1927" t="str">
        <x:v>independent physical acceptance</x:v>
      </x:c>
      <x:c r="I1927" t="str">
        <x:f>IF(E1927=1,"PASS","OPEN")</x:f>
        <x:v>OPEN</x:v>
      </x:c>
    </x:row>
    <x:row r="1928">
      <x:c r="B1928" t="str">
        <x:v>PH-TG-791-G</x:v>
      </x:c>
      <x:c r="C1928" t="str">
        <x:v>PHYSICAL</x:v>
      </x:c>
      <x:c r="D1928" t="str">
        <x:v>terrain geometry</x:v>
      </x:c>
      <x:c r="E1928" t="n">
        <x:f>IF('Terrain Field'!J797&lt;&gt;"",1,0)</x:f>
        <x:v>0</x:v>
      </x:c>
      <x:c r="F1928" t="n">
        <x:v>1</x:v>
      </x:c>
      <x:c r="G1928" t="str">
        <x:v>equals</x:v>
      </x:c>
      <x:c r="H1928" t="str">
        <x:v>independent physical acceptance</x:v>
      </x:c>
      <x:c r="I1928" t="str">
        <x:f>IF(E1928=1,"PASS","OPEN")</x:f>
        <x:v>OPEN</x:v>
      </x:c>
    </x:row>
    <x:row r="1929">
      <x:c r="B1929" t="str">
        <x:v>PH-TG-791-L</x:v>
      </x:c>
      <x:c r="C1929" t="str">
        <x:v>PHYSICAL</x:v>
      </x:c>
      <x:c r="D1929" t="str">
        <x:v>terrain load</x:v>
      </x:c>
      <x:c r="E1929" t="n">
        <x:f>IF('Terrain Field'!K797&lt;&gt;"",1,0)</x:f>
        <x:v>0</x:v>
      </x:c>
      <x:c r="F1929" t="n">
        <x:v>1</x:v>
      </x:c>
      <x:c r="G1929" t="str">
        <x:v>equals</x:v>
      </x:c>
      <x:c r="H1929" t="str">
        <x:v>independent physical acceptance</x:v>
      </x:c>
      <x:c r="I1929" t="str">
        <x:f>IF(E1929=1,"PASS","OPEN")</x:f>
        <x:v>OPEN</x:v>
      </x:c>
    </x:row>
    <x:row r="1930">
      <x:c r="B1930" t="str">
        <x:v>PH-TG-792-G</x:v>
      </x:c>
      <x:c r="C1930" t="str">
        <x:v>PHYSICAL</x:v>
      </x:c>
      <x:c r="D1930" t="str">
        <x:v>terrain geometry</x:v>
      </x:c>
      <x:c r="E1930" t="n">
        <x:f>IF('Terrain Field'!J798&lt;&gt;"",1,0)</x:f>
        <x:v>0</x:v>
      </x:c>
      <x:c r="F1930" t="n">
        <x:v>1</x:v>
      </x:c>
      <x:c r="G1930" t="str">
        <x:v>equals</x:v>
      </x:c>
      <x:c r="H1930" t="str">
        <x:v>independent physical acceptance</x:v>
      </x:c>
      <x:c r="I1930" t="str">
        <x:f>IF(E1930=1,"PASS","OPEN")</x:f>
        <x:v>OPEN</x:v>
      </x:c>
    </x:row>
    <x:row r="1931">
      <x:c r="B1931" t="str">
        <x:v>PH-TG-792-L</x:v>
      </x:c>
      <x:c r="C1931" t="str">
        <x:v>PHYSICAL</x:v>
      </x:c>
      <x:c r="D1931" t="str">
        <x:v>terrain load</x:v>
      </x:c>
      <x:c r="E1931" t="n">
        <x:f>IF('Terrain Field'!K798&lt;&gt;"",1,0)</x:f>
        <x:v>0</x:v>
      </x:c>
      <x:c r="F1931" t="n">
        <x:v>1</x:v>
      </x:c>
      <x:c r="G1931" t="str">
        <x:v>equals</x:v>
      </x:c>
      <x:c r="H1931" t="str">
        <x:v>independent physical acceptance</x:v>
      </x:c>
      <x:c r="I1931" t="str">
        <x:f>IF(E1931=1,"PASS","OPEN")</x:f>
        <x:v>OPEN</x:v>
      </x:c>
    </x:row>
    <x:row r="1932">
      <x:c r="B1932" t="str">
        <x:v>PH-TG-793-G</x:v>
      </x:c>
      <x:c r="C1932" t="str">
        <x:v>PHYSICAL</x:v>
      </x:c>
      <x:c r="D1932" t="str">
        <x:v>terrain geometry</x:v>
      </x:c>
      <x:c r="E1932" t="n">
        <x:f>IF('Terrain Field'!J799&lt;&gt;"",1,0)</x:f>
        <x:v>0</x:v>
      </x:c>
      <x:c r="F1932" t="n">
        <x:v>1</x:v>
      </x:c>
      <x:c r="G1932" t="str">
        <x:v>equals</x:v>
      </x:c>
      <x:c r="H1932" t="str">
        <x:v>independent physical acceptance</x:v>
      </x:c>
      <x:c r="I1932" t="str">
        <x:f>IF(E1932=1,"PASS","OPEN")</x:f>
        <x:v>OPEN</x:v>
      </x:c>
    </x:row>
    <x:row r="1933">
      <x:c r="B1933" t="str">
        <x:v>PH-TG-793-L</x:v>
      </x:c>
      <x:c r="C1933" t="str">
        <x:v>PHYSICAL</x:v>
      </x:c>
      <x:c r="D1933" t="str">
        <x:v>terrain load</x:v>
      </x:c>
      <x:c r="E1933" t="n">
        <x:f>IF('Terrain Field'!K799&lt;&gt;"",1,0)</x:f>
        <x:v>0</x:v>
      </x:c>
      <x:c r="F1933" t="n">
        <x:v>1</x:v>
      </x:c>
      <x:c r="G1933" t="str">
        <x:v>equals</x:v>
      </x:c>
      <x:c r="H1933" t="str">
        <x:v>independent physical acceptance</x:v>
      </x:c>
      <x:c r="I1933" t="str">
        <x:f>IF(E1933=1,"PASS","OPEN")</x:f>
        <x:v>OPEN</x:v>
      </x:c>
    </x:row>
    <x:row r="1934">
      <x:c r="B1934" t="str">
        <x:v>PH-TG-794-G</x:v>
      </x:c>
      <x:c r="C1934" t="str">
        <x:v>PHYSICAL</x:v>
      </x:c>
      <x:c r="D1934" t="str">
        <x:v>terrain geometry</x:v>
      </x:c>
      <x:c r="E1934" t="n">
        <x:f>IF('Terrain Field'!J800&lt;&gt;"",1,0)</x:f>
        <x:v>0</x:v>
      </x:c>
      <x:c r="F1934" t="n">
        <x:v>1</x:v>
      </x:c>
      <x:c r="G1934" t="str">
        <x:v>equals</x:v>
      </x:c>
      <x:c r="H1934" t="str">
        <x:v>independent physical acceptance</x:v>
      </x:c>
      <x:c r="I1934" t="str">
        <x:f>IF(E1934=1,"PASS","OPEN")</x:f>
        <x:v>OPEN</x:v>
      </x:c>
    </x:row>
    <x:row r="1935">
      <x:c r="B1935" t="str">
        <x:v>PH-TG-794-L</x:v>
      </x:c>
      <x:c r="C1935" t="str">
        <x:v>PHYSICAL</x:v>
      </x:c>
      <x:c r="D1935" t="str">
        <x:v>terrain load</x:v>
      </x:c>
      <x:c r="E1935" t="n">
        <x:f>IF('Terrain Field'!K800&lt;&gt;"",1,0)</x:f>
        <x:v>0</x:v>
      </x:c>
      <x:c r="F1935" t="n">
        <x:v>1</x:v>
      </x:c>
      <x:c r="G1935" t="str">
        <x:v>equals</x:v>
      </x:c>
      <x:c r="H1935" t="str">
        <x:v>independent physical acceptance</x:v>
      </x:c>
      <x:c r="I1935" t="str">
        <x:f>IF(E1935=1,"PASS","OPEN")</x:f>
        <x:v>OPEN</x:v>
      </x:c>
    </x:row>
    <x:row r="1936">
      <x:c r="B1936" t="str">
        <x:v>PH-TG-795-G</x:v>
      </x:c>
      <x:c r="C1936" t="str">
        <x:v>PHYSICAL</x:v>
      </x:c>
      <x:c r="D1936" t="str">
        <x:v>terrain geometry</x:v>
      </x:c>
      <x:c r="E1936" t="n">
        <x:f>IF('Terrain Field'!J801&lt;&gt;"",1,0)</x:f>
        <x:v>0</x:v>
      </x:c>
      <x:c r="F1936" t="n">
        <x:v>1</x:v>
      </x:c>
      <x:c r="G1936" t="str">
        <x:v>equals</x:v>
      </x:c>
      <x:c r="H1936" t="str">
        <x:v>independent physical acceptance</x:v>
      </x:c>
      <x:c r="I1936" t="str">
        <x:f>IF(E1936=1,"PASS","OPEN")</x:f>
        <x:v>OPEN</x:v>
      </x:c>
    </x:row>
    <x:row r="1937">
      <x:c r="B1937" t="str">
        <x:v>PH-TG-795-L</x:v>
      </x:c>
      <x:c r="C1937" t="str">
        <x:v>PHYSICAL</x:v>
      </x:c>
      <x:c r="D1937" t="str">
        <x:v>terrain load</x:v>
      </x:c>
      <x:c r="E1937" t="n">
        <x:f>IF('Terrain Field'!K801&lt;&gt;"",1,0)</x:f>
        <x:v>0</x:v>
      </x:c>
      <x:c r="F1937" t="n">
        <x:v>1</x:v>
      </x:c>
      <x:c r="G1937" t="str">
        <x:v>equals</x:v>
      </x:c>
      <x:c r="H1937" t="str">
        <x:v>independent physical acceptance</x:v>
      </x:c>
      <x:c r="I1937" t="str">
        <x:f>IF(E1937=1,"PASS","OPEN")</x:f>
        <x:v>OPEN</x:v>
      </x:c>
    </x:row>
    <x:row r="1938">
      <x:c r="B1938" t="str">
        <x:v>PH-TG-796-G</x:v>
      </x:c>
      <x:c r="C1938" t="str">
        <x:v>PHYSICAL</x:v>
      </x:c>
      <x:c r="D1938" t="str">
        <x:v>terrain geometry</x:v>
      </x:c>
      <x:c r="E1938" t="n">
        <x:f>IF('Terrain Field'!J802&lt;&gt;"",1,0)</x:f>
        <x:v>0</x:v>
      </x:c>
      <x:c r="F1938" t="n">
        <x:v>1</x:v>
      </x:c>
      <x:c r="G1938" t="str">
        <x:v>equals</x:v>
      </x:c>
      <x:c r="H1938" t="str">
        <x:v>independent physical acceptance</x:v>
      </x:c>
      <x:c r="I1938" t="str">
        <x:f>IF(E1938=1,"PASS","OPEN")</x:f>
        <x:v>OPEN</x:v>
      </x:c>
    </x:row>
    <x:row r="1939">
      <x:c r="B1939" t="str">
        <x:v>PH-TG-796-L</x:v>
      </x:c>
      <x:c r="C1939" t="str">
        <x:v>PHYSICAL</x:v>
      </x:c>
      <x:c r="D1939" t="str">
        <x:v>terrain load</x:v>
      </x:c>
      <x:c r="E1939" t="n">
        <x:f>IF('Terrain Field'!K802&lt;&gt;"",1,0)</x:f>
        <x:v>0</x:v>
      </x:c>
      <x:c r="F1939" t="n">
        <x:v>1</x:v>
      </x:c>
      <x:c r="G1939" t="str">
        <x:v>equals</x:v>
      </x:c>
      <x:c r="H1939" t="str">
        <x:v>independent physical acceptance</x:v>
      </x:c>
      <x:c r="I1939" t="str">
        <x:f>IF(E1939=1,"PASS","OPEN")</x:f>
        <x:v>OPEN</x:v>
      </x:c>
    </x:row>
    <x:row r="1940">
      <x:c r="B1940" t="str">
        <x:v>PH-TG-797-G</x:v>
      </x:c>
      <x:c r="C1940" t="str">
        <x:v>PHYSICAL</x:v>
      </x:c>
      <x:c r="D1940" t="str">
        <x:v>terrain geometry</x:v>
      </x:c>
      <x:c r="E1940" t="n">
        <x:f>IF('Terrain Field'!J803&lt;&gt;"",1,0)</x:f>
        <x:v>0</x:v>
      </x:c>
      <x:c r="F1940" t="n">
        <x:v>1</x:v>
      </x:c>
      <x:c r="G1940" t="str">
        <x:v>equals</x:v>
      </x:c>
      <x:c r="H1940" t="str">
        <x:v>independent physical acceptance</x:v>
      </x:c>
      <x:c r="I1940" t="str">
        <x:f>IF(E1940=1,"PASS","OPEN")</x:f>
        <x:v>OPEN</x:v>
      </x:c>
    </x:row>
    <x:row r="1941">
      <x:c r="B1941" t="str">
        <x:v>PH-TG-797-L</x:v>
      </x:c>
      <x:c r="C1941" t="str">
        <x:v>PHYSICAL</x:v>
      </x:c>
      <x:c r="D1941" t="str">
        <x:v>terrain load</x:v>
      </x:c>
      <x:c r="E1941" t="n">
        <x:f>IF('Terrain Field'!K803&lt;&gt;"",1,0)</x:f>
        <x:v>0</x:v>
      </x:c>
      <x:c r="F1941" t="n">
        <x:v>1</x:v>
      </x:c>
      <x:c r="G1941" t="str">
        <x:v>equals</x:v>
      </x:c>
      <x:c r="H1941" t="str">
        <x:v>independent physical acceptance</x:v>
      </x:c>
      <x:c r="I1941" t="str">
        <x:f>IF(E1941=1,"PASS","OPEN")</x:f>
        <x:v>OPEN</x:v>
      </x:c>
    </x:row>
    <x:row r="1942">
      <x:c r="B1942" t="str">
        <x:v>PH-TG-798-G</x:v>
      </x:c>
      <x:c r="C1942" t="str">
        <x:v>PHYSICAL</x:v>
      </x:c>
      <x:c r="D1942" t="str">
        <x:v>terrain geometry</x:v>
      </x:c>
      <x:c r="E1942" t="n">
        <x:f>IF('Terrain Field'!J804&lt;&gt;"",1,0)</x:f>
        <x:v>0</x:v>
      </x:c>
      <x:c r="F1942" t="n">
        <x:v>1</x:v>
      </x:c>
      <x:c r="G1942" t="str">
        <x:v>equals</x:v>
      </x:c>
      <x:c r="H1942" t="str">
        <x:v>independent physical acceptance</x:v>
      </x:c>
      <x:c r="I1942" t="str">
        <x:f>IF(E1942=1,"PASS","OPEN")</x:f>
        <x:v>OPEN</x:v>
      </x:c>
    </x:row>
    <x:row r="1943">
      <x:c r="B1943" t="str">
        <x:v>PH-TG-798-L</x:v>
      </x:c>
      <x:c r="C1943" t="str">
        <x:v>PHYSICAL</x:v>
      </x:c>
      <x:c r="D1943" t="str">
        <x:v>terrain load</x:v>
      </x:c>
      <x:c r="E1943" t="n">
        <x:f>IF('Terrain Field'!K804&lt;&gt;"",1,0)</x:f>
        <x:v>0</x:v>
      </x:c>
      <x:c r="F1943" t="n">
        <x:v>1</x:v>
      </x:c>
      <x:c r="G1943" t="str">
        <x:v>equals</x:v>
      </x:c>
      <x:c r="H1943" t="str">
        <x:v>independent physical acceptance</x:v>
      </x:c>
      <x:c r="I1943" t="str">
        <x:f>IF(E1943=1,"PASS","OPEN")</x:f>
        <x:v>OPEN</x:v>
      </x:c>
    </x:row>
    <x:row r="1944">
      <x:c r="B1944" t="str">
        <x:v>PH-TG-799-G</x:v>
      </x:c>
      <x:c r="C1944" t="str">
        <x:v>PHYSICAL</x:v>
      </x:c>
      <x:c r="D1944" t="str">
        <x:v>terrain geometry</x:v>
      </x:c>
      <x:c r="E1944" t="n">
        <x:f>IF('Terrain Field'!J805&lt;&gt;"",1,0)</x:f>
        <x:v>0</x:v>
      </x:c>
      <x:c r="F1944" t="n">
        <x:v>1</x:v>
      </x:c>
      <x:c r="G1944" t="str">
        <x:v>equals</x:v>
      </x:c>
      <x:c r="H1944" t="str">
        <x:v>independent physical acceptance</x:v>
      </x:c>
      <x:c r="I1944" t="str">
        <x:f>IF(E1944=1,"PASS","OPEN")</x:f>
        <x:v>OPEN</x:v>
      </x:c>
    </x:row>
    <x:row r="1945">
      <x:c r="B1945" t="str">
        <x:v>PH-TG-799-L</x:v>
      </x:c>
      <x:c r="C1945" t="str">
        <x:v>PHYSICAL</x:v>
      </x:c>
      <x:c r="D1945" t="str">
        <x:v>terrain load</x:v>
      </x:c>
      <x:c r="E1945" t="n">
        <x:f>IF('Terrain Field'!K805&lt;&gt;"",1,0)</x:f>
        <x:v>0</x:v>
      </x:c>
      <x:c r="F1945" t="n">
        <x:v>1</x:v>
      </x:c>
      <x:c r="G1945" t="str">
        <x:v>equals</x:v>
      </x:c>
      <x:c r="H1945" t="str">
        <x:v>independent physical acceptance</x:v>
      </x:c>
      <x:c r="I1945" t="str">
        <x:f>IF(E1945=1,"PASS","OPEN")</x:f>
        <x:v>OPEN</x:v>
      </x:c>
    </x:row>
    <x:row r="1946">
      <x:c r="B1946" t="str">
        <x:v>PH-TG-800-G</x:v>
      </x:c>
      <x:c r="C1946" t="str">
        <x:v>PHYSICAL</x:v>
      </x:c>
      <x:c r="D1946" t="str">
        <x:v>terrain geometry</x:v>
      </x:c>
      <x:c r="E1946" t="n">
        <x:f>IF('Terrain Field'!J806&lt;&gt;"",1,0)</x:f>
        <x:v>0</x:v>
      </x:c>
      <x:c r="F1946" t="n">
        <x:v>1</x:v>
      </x:c>
      <x:c r="G1946" t="str">
        <x:v>equals</x:v>
      </x:c>
      <x:c r="H1946" t="str">
        <x:v>independent physical acceptance</x:v>
      </x:c>
      <x:c r="I1946" t="str">
        <x:f>IF(E1946=1,"PASS","OPEN")</x:f>
        <x:v>OPEN</x:v>
      </x:c>
    </x:row>
    <x:row r="1947">
      <x:c r="B1947" t="str">
        <x:v>PH-TG-800-L</x:v>
      </x:c>
      <x:c r="C1947" t="str">
        <x:v>PHYSICAL</x:v>
      </x:c>
      <x:c r="D1947" t="str">
        <x:v>terrain load</x:v>
      </x:c>
      <x:c r="E1947" t="n">
        <x:f>IF('Terrain Field'!K806&lt;&gt;"",1,0)</x:f>
        <x:v>0</x:v>
      </x:c>
      <x:c r="F1947" t="n">
        <x:v>1</x:v>
      </x:c>
      <x:c r="G1947" t="str">
        <x:v>equals</x:v>
      </x:c>
      <x:c r="H1947" t="str">
        <x:v>independent physical acceptance</x:v>
      </x:c>
      <x:c r="I1947" t="str">
        <x:f>IF(E1947=1,"PASS","OPEN")</x:f>
        <x:v>OPEN</x:v>
      </x:c>
    </x:row>
    <x:row r="1948">
      <x:c r="B1948" t="str">
        <x:v>PH-TG-801-G</x:v>
      </x:c>
      <x:c r="C1948" t="str">
        <x:v>PHYSICAL</x:v>
      </x:c>
      <x:c r="D1948" t="str">
        <x:v>terrain geometry</x:v>
      </x:c>
      <x:c r="E1948" t="n">
        <x:f>IF('Terrain Field'!J807&lt;&gt;"",1,0)</x:f>
        <x:v>0</x:v>
      </x:c>
      <x:c r="F1948" t="n">
        <x:v>1</x:v>
      </x:c>
      <x:c r="G1948" t="str">
        <x:v>equals</x:v>
      </x:c>
      <x:c r="H1948" t="str">
        <x:v>independent physical acceptance</x:v>
      </x:c>
      <x:c r="I1948" t="str">
        <x:f>IF(E1948=1,"PASS","OPEN")</x:f>
        <x:v>OPEN</x:v>
      </x:c>
    </x:row>
    <x:row r="1949">
      <x:c r="B1949" t="str">
        <x:v>PH-TG-801-L</x:v>
      </x:c>
      <x:c r="C1949" t="str">
        <x:v>PHYSICAL</x:v>
      </x:c>
      <x:c r="D1949" t="str">
        <x:v>terrain load</x:v>
      </x:c>
      <x:c r="E1949" t="n">
        <x:f>IF('Terrain Field'!K807&lt;&gt;"",1,0)</x:f>
        <x:v>0</x:v>
      </x:c>
      <x:c r="F1949" t="n">
        <x:v>1</x:v>
      </x:c>
      <x:c r="G1949" t="str">
        <x:v>equals</x:v>
      </x:c>
      <x:c r="H1949" t="str">
        <x:v>independent physical acceptance</x:v>
      </x:c>
      <x:c r="I1949" t="str">
        <x:f>IF(E1949=1,"PASS","OPEN")</x:f>
        <x:v>OPEN</x:v>
      </x:c>
    </x:row>
    <x:row r="1950">
      <x:c r="B1950" t="str">
        <x:v>PH-TG-802-G</x:v>
      </x:c>
      <x:c r="C1950" t="str">
        <x:v>PHYSICAL</x:v>
      </x:c>
      <x:c r="D1950" t="str">
        <x:v>terrain geometry</x:v>
      </x:c>
      <x:c r="E1950" t="n">
        <x:f>IF('Terrain Field'!J808&lt;&gt;"",1,0)</x:f>
        <x:v>0</x:v>
      </x:c>
      <x:c r="F1950" t="n">
        <x:v>1</x:v>
      </x:c>
      <x:c r="G1950" t="str">
        <x:v>equals</x:v>
      </x:c>
      <x:c r="H1950" t="str">
        <x:v>independent physical acceptance</x:v>
      </x:c>
      <x:c r="I1950" t="str">
        <x:f>IF(E1950=1,"PASS","OPEN")</x:f>
        <x:v>OPEN</x:v>
      </x:c>
    </x:row>
    <x:row r="1951">
      <x:c r="B1951" t="str">
        <x:v>PH-TG-802-L</x:v>
      </x:c>
      <x:c r="C1951" t="str">
        <x:v>PHYSICAL</x:v>
      </x:c>
      <x:c r="D1951" t="str">
        <x:v>terrain load</x:v>
      </x:c>
      <x:c r="E1951" t="n">
        <x:f>IF('Terrain Field'!K808&lt;&gt;"",1,0)</x:f>
        <x:v>0</x:v>
      </x:c>
      <x:c r="F1951" t="n">
        <x:v>1</x:v>
      </x:c>
      <x:c r="G1951" t="str">
        <x:v>equals</x:v>
      </x:c>
      <x:c r="H1951" t="str">
        <x:v>independent physical acceptance</x:v>
      </x:c>
      <x:c r="I1951" t="str">
        <x:f>IF(E1951=1,"PASS","OPEN")</x:f>
        <x:v>OPEN</x:v>
      </x:c>
    </x:row>
    <x:row r="1952">
      <x:c r="B1952" t="str">
        <x:v>PH-TG-803-G</x:v>
      </x:c>
      <x:c r="C1952" t="str">
        <x:v>PHYSICAL</x:v>
      </x:c>
      <x:c r="D1952" t="str">
        <x:v>terrain geometry</x:v>
      </x:c>
      <x:c r="E1952" t="n">
        <x:f>IF('Terrain Field'!J809&lt;&gt;"",1,0)</x:f>
        <x:v>0</x:v>
      </x:c>
      <x:c r="F1952" t="n">
        <x:v>1</x:v>
      </x:c>
      <x:c r="G1952" t="str">
        <x:v>equals</x:v>
      </x:c>
      <x:c r="H1952" t="str">
        <x:v>independent physical acceptance</x:v>
      </x:c>
      <x:c r="I1952" t="str">
        <x:f>IF(E1952=1,"PASS","OPEN")</x:f>
        <x:v>OPEN</x:v>
      </x:c>
    </x:row>
    <x:row r="1953">
      <x:c r="B1953" t="str">
        <x:v>PH-TG-803-L</x:v>
      </x:c>
      <x:c r="C1953" t="str">
        <x:v>PHYSICAL</x:v>
      </x:c>
      <x:c r="D1953" t="str">
        <x:v>terrain load</x:v>
      </x:c>
      <x:c r="E1953" t="n">
        <x:f>IF('Terrain Field'!K809&lt;&gt;"",1,0)</x:f>
        <x:v>0</x:v>
      </x:c>
      <x:c r="F1953" t="n">
        <x:v>1</x:v>
      </x:c>
      <x:c r="G1953" t="str">
        <x:v>equals</x:v>
      </x:c>
      <x:c r="H1953" t="str">
        <x:v>independent physical acceptance</x:v>
      </x:c>
      <x:c r="I1953" t="str">
        <x:f>IF(E1953=1,"PASS","OPEN")</x:f>
        <x:v>OPEN</x:v>
      </x:c>
    </x:row>
    <x:row r="1954">
      <x:c r="B1954" t="str">
        <x:v>PH-TG-804-G</x:v>
      </x:c>
      <x:c r="C1954" t="str">
        <x:v>PHYSICAL</x:v>
      </x:c>
      <x:c r="D1954" t="str">
        <x:v>terrain geometry</x:v>
      </x:c>
      <x:c r="E1954" t="n">
        <x:f>IF('Terrain Field'!J810&lt;&gt;"",1,0)</x:f>
        <x:v>0</x:v>
      </x:c>
      <x:c r="F1954" t="n">
        <x:v>1</x:v>
      </x:c>
      <x:c r="G1954" t="str">
        <x:v>equals</x:v>
      </x:c>
      <x:c r="H1954" t="str">
        <x:v>independent physical acceptance</x:v>
      </x:c>
      <x:c r="I1954" t="str">
        <x:f>IF(E1954=1,"PASS","OPEN")</x:f>
        <x:v>OPEN</x:v>
      </x:c>
    </x:row>
    <x:row r="1955">
      <x:c r="B1955" t="str">
        <x:v>PH-TG-804-L</x:v>
      </x:c>
      <x:c r="C1955" t="str">
        <x:v>PHYSICAL</x:v>
      </x:c>
      <x:c r="D1955" t="str">
        <x:v>terrain load</x:v>
      </x:c>
      <x:c r="E1955" t="n">
        <x:f>IF('Terrain Field'!K810&lt;&gt;"",1,0)</x:f>
        <x:v>0</x:v>
      </x:c>
      <x:c r="F1955" t="n">
        <x:v>1</x:v>
      </x:c>
      <x:c r="G1955" t="str">
        <x:v>equals</x:v>
      </x:c>
      <x:c r="H1955" t="str">
        <x:v>independent physical acceptance</x:v>
      </x:c>
      <x:c r="I1955" t="str">
        <x:f>IF(E1955=1,"PASS","OPEN")</x:f>
        <x:v>OPEN</x:v>
      </x:c>
    </x:row>
    <x:row r="1956">
      <x:c r="B1956" t="str">
        <x:v>PH-TG-805-G</x:v>
      </x:c>
      <x:c r="C1956" t="str">
        <x:v>PHYSICAL</x:v>
      </x:c>
      <x:c r="D1956" t="str">
        <x:v>terrain geometry</x:v>
      </x:c>
      <x:c r="E1956" t="n">
        <x:f>IF('Terrain Field'!J811&lt;&gt;"",1,0)</x:f>
        <x:v>0</x:v>
      </x:c>
      <x:c r="F1956" t="n">
        <x:v>1</x:v>
      </x:c>
      <x:c r="G1956" t="str">
        <x:v>equals</x:v>
      </x:c>
      <x:c r="H1956" t="str">
        <x:v>independent physical acceptance</x:v>
      </x:c>
      <x:c r="I1956" t="str">
        <x:f>IF(E1956=1,"PASS","OPEN")</x:f>
        <x:v>OPEN</x:v>
      </x:c>
    </x:row>
    <x:row r="1957">
      <x:c r="B1957" t="str">
        <x:v>PH-TG-805-L</x:v>
      </x:c>
      <x:c r="C1957" t="str">
        <x:v>PHYSICAL</x:v>
      </x:c>
      <x:c r="D1957" t="str">
        <x:v>terrain load</x:v>
      </x:c>
      <x:c r="E1957" t="n">
        <x:f>IF('Terrain Field'!K811&lt;&gt;"",1,0)</x:f>
        <x:v>0</x:v>
      </x:c>
      <x:c r="F1957" t="n">
        <x:v>1</x:v>
      </x:c>
      <x:c r="G1957" t="str">
        <x:v>equals</x:v>
      </x:c>
      <x:c r="H1957" t="str">
        <x:v>independent physical acceptance</x:v>
      </x:c>
      <x:c r="I1957" t="str">
        <x:f>IF(E1957=1,"PASS","OPEN")</x:f>
        <x:v>OPEN</x:v>
      </x:c>
    </x:row>
    <x:row r="1958">
      <x:c r="B1958" t="str">
        <x:v>PH-TG-806-G</x:v>
      </x:c>
      <x:c r="C1958" t="str">
        <x:v>PHYSICAL</x:v>
      </x:c>
      <x:c r="D1958" t="str">
        <x:v>terrain geometry</x:v>
      </x:c>
      <x:c r="E1958" t="n">
        <x:f>IF('Terrain Field'!J812&lt;&gt;"",1,0)</x:f>
        <x:v>0</x:v>
      </x:c>
      <x:c r="F1958" t="n">
        <x:v>1</x:v>
      </x:c>
      <x:c r="G1958" t="str">
        <x:v>equals</x:v>
      </x:c>
      <x:c r="H1958" t="str">
        <x:v>independent physical acceptance</x:v>
      </x:c>
      <x:c r="I1958" t="str">
        <x:f>IF(E1958=1,"PASS","OPEN")</x:f>
        <x:v>OPEN</x:v>
      </x:c>
    </x:row>
    <x:row r="1959">
      <x:c r="B1959" t="str">
        <x:v>PH-TG-806-L</x:v>
      </x:c>
      <x:c r="C1959" t="str">
        <x:v>PHYSICAL</x:v>
      </x:c>
      <x:c r="D1959" t="str">
        <x:v>terrain load</x:v>
      </x:c>
      <x:c r="E1959" t="n">
        <x:f>IF('Terrain Field'!K812&lt;&gt;"",1,0)</x:f>
        <x:v>0</x:v>
      </x:c>
      <x:c r="F1959" t="n">
        <x:v>1</x:v>
      </x:c>
      <x:c r="G1959" t="str">
        <x:v>equals</x:v>
      </x:c>
      <x:c r="H1959" t="str">
        <x:v>independent physical acceptance</x:v>
      </x:c>
      <x:c r="I1959" t="str">
        <x:f>IF(E1959=1,"PASS","OPEN")</x:f>
        <x:v>OPEN</x:v>
      </x:c>
    </x:row>
    <x:row r="1960">
      <x:c r="B1960" t="str">
        <x:v>PH-TG-807-G</x:v>
      </x:c>
      <x:c r="C1960" t="str">
        <x:v>PHYSICAL</x:v>
      </x:c>
      <x:c r="D1960" t="str">
        <x:v>terrain geometry</x:v>
      </x:c>
      <x:c r="E1960" t="n">
        <x:f>IF('Terrain Field'!J813&lt;&gt;"",1,0)</x:f>
        <x:v>0</x:v>
      </x:c>
      <x:c r="F1960" t="n">
        <x:v>1</x:v>
      </x:c>
      <x:c r="G1960" t="str">
        <x:v>equals</x:v>
      </x:c>
      <x:c r="H1960" t="str">
        <x:v>independent physical acceptance</x:v>
      </x:c>
      <x:c r="I1960" t="str">
        <x:f>IF(E1960=1,"PASS","OPEN")</x:f>
        <x:v>OPEN</x:v>
      </x:c>
    </x:row>
    <x:row r="1961">
      <x:c r="B1961" t="str">
        <x:v>PH-TG-807-L</x:v>
      </x:c>
      <x:c r="C1961" t="str">
        <x:v>PHYSICAL</x:v>
      </x:c>
      <x:c r="D1961" t="str">
        <x:v>terrain load</x:v>
      </x:c>
      <x:c r="E1961" t="n">
        <x:f>IF('Terrain Field'!K813&lt;&gt;"",1,0)</x:f>
        <x:v>0</x:v>
      </x:c>
      <x:c r="F1961" t="n">
        <x:v>1</x:v>
      </x:c>
      <x:c r="G1961" t="str">
        <x:v>equals</x:v>
      </x:c>
      <x:c r="H1961" t="str">
        <x:v>independent physical acceptance</x:v>
      </x:c>
      <x:c r="I1961" t="str">
        <x:f>IF(E1961=1,"PASS","OPEN")</x:f>
        <x:v>OPEN</x:v>
      </x:c>
    </x:row>
    <x:row r="1962">
      <x:c r="B1962" t="str">
        <x:v>PH-TG-808-G</x:v>
      </x:c>
      <x:c r="C1962" t="str">
        <x:v>PHYSICAL</x:v>
      </x:c>
      <x:c r="D1962" t="str">
        <x:v>terrain geometry</x:v>
      </x:c>
      <x:c r="E1962" t="n">
        <x:f>IF('Terrain Field'!J814&lt;&gt;"",1,0)</x:f>
        <x:v>0</x:v>
      </x:c>
      <x:c r="F1962" t="n">
        <x:v>1</x:v>
      </x:c>
      <x:c r="G1962" t="str">
        <x:v>equals</x:v>
      </x:c>
      <x:c r="H1962" t="str">
        <x:v>independent physical acceptance</x:v>
      </x:c>
      <x:c r="I1962" t="str">
        <x:f>IF(E1962=1,"PASS","OPEN")</x:f>
        <x:v>OPEN</x:v>
      </x:c>
    </x:row>
    <x:row r="1963">
      <x:c r="B1963" t="str">
        <x:v>PH-TG-808-L</x:v>
      </x:c>
      <x:c r="C1963" t="str">
        <x:v>PHYSICAL</x:v>
      </x:c>
      <x:c r="D1963" t="str">
        <x:v>terrain load</x:v>
      </x:c>
      <x:c r="E1963" t="n">
        <x:f>IF('Terrain Field'!K814&lt;&gt;"",1,0)</x:f>
        <x:v>0</x:v>
      </x:c>
      <x:c r="F1963" t="n">
        <x:v>1</x:v>
      </x:c>
      <x:c r="G1963" t="str">
        <x:v>equals</x:v>
      </x:c>
      <x:c r="H1963" t="str">
        <x:v>independent physical acceptance</x:v>
      </x:c>
      <x:c r="I1963" t="str">
        <x:f>IF(E1963=1,"PASS","OPEN")</x:f>
        <x:v>OPEN</x:v>
      </x:c>
    </x:row>
    <x:row r="1964">
      <x:c r="B1964" t="str">
        <x:v>PH-TG-809-G</x:v>
      </x:c>
      <x:c r="C1964" t="str">
        <x:v>PHYSICAL</x:v>
      </x:c>
      <x:c r="D1964" t="str">
        <x:v>terrain geometry</x:v>
      </x:c>
      <x:c r="E1964" t="n">
        <x:f>IF('Terrain Field'!J815&lt;&gt;"",1,0)</x:f>
        <x:v>0</x:v>
      </x:c>
      <x:c r="F1964" t="n">
        <x:v>1</x:v>
      </x:c>
      <x:c r="G1964" t="str">
        <x:v>equals</x:v>
      </x:c>
      <x:c r="H1964" t="str">
        <x:v>independent physical acceptance</x:v>
      </x:c>
      <x:c r="I1964" t="str">
        <x:f>IF(E1964=1,"PASS","OPEN")</x:f>
        <x:v>OPEN</x:v>
      </x:c>
    </x:row>
    <x:row r="1965">
      <x:c r="B1965" t="str">
        <x:v>PH-TG-809-L</x:v>
      </x:c>
      <x:c r="C1965" t="str">
        <x:v>PHYSICAL</x:v>
      </x:c>
      <x:c r="D1965" t="str">
        <x:v>terrain load</x:v>
      </x:c>
      <x:c r="E1965" t="n">
        <x:f>IF('Terrain Field'!K815&lt;&gt;"",1,0)</x:f>
        <x:v>0</x:v>
      </x:c>
      <x:c r="F1965" t="n">
        <x:v>1</x:v>
      </x:c>
      <x:c r="G1965" t="str">
        <x:v>equals</x:v>
      </x:c>
      <x:c r="H1965" t="str">
        <x:v>independent physical acceptance</x:v>
      </x:c>
      <x:c r="I1965" t="str">
        <x:f>IF(E1965=1,"PASS","OPEN")</x:f>
        <x:v>OPEN</x:v>
      </x:c>
    </x:row>
    <x:row r="1966">
      <x:c r="B1966" t="str">
        <x:v>PH-TG-810-G</x:v>
      </x:c>
      <x:c r="C1966" t="str">
        <x:v>PHYSICAL</x:v>
      </x:c>
      <x:c r="D1966" t="str">
        <x:v>terrain geometry</x:v>
      </x:c>
      <x:c r="E1966" t="n">
        <x:f>IF('Terrain Field'!J816&lt;&gt;"",1,0)</x:f>
        <x:v>0</x:v>
      </x:c>
      <x:c r="F1966" t="n">
        <x:v>1</x:v>
      </x:c>
      <x:c r="G1966" t="str">
        <x:v>equals</x:v>
      </x:c>
      <x:c r="H1966" t="str">
        <x:v>independent physical acceptance</x:v>
      </x:c>
      <x:c r="I1966" t="str">
        <x:f>IF(E1966=1,"PASS","OPEN")</x:f>
        <x:v>OPEN</x:v>
      </x:c>
    </x:row>
    <x:row r="1967">
      <x:c r="B1967" t="str">
        <x:v>PH-TG-810-L</x:v>
      </x:c>
      <x:c r="C1967" t="str">
        <x:v>PHYSICAL</x:v>
      </x:c>
      <x:c r="D1967" t="str">
        <x:v>terrain load</x:v>
      </x:c>
      <x:c r="E1967" t="n">
        <x:f>IF('Terrain Field'!K816&lt;&gt;"",1,0)</x:f>
        <x:v>0</x:v>
      </x:c>
      <x:c r="F1967" t="n">
        <x:v>1</x:v>
      </x:c>
      <x:c r="G1967" t="str">
        <x:v>equals</x:v>
      </x:c>
      <x:c r="H1967" t="str">
        <x:v>independent physical acceptance</x:v>
      </x:c>
      <x:c r="I1967" t="str">
        <x:f>IF(E1967=1,"PASS","OPEN")</x:f>
        <x:v>OPEN</x:v>
      </x:c>
    </x:row>
    <x:row r="1968">
      <x:c r="B1968" t="str">
        <x:v>PH-TG-811-G</x:v>
      </x:c>
      <x:c r="C1968" t="str">
        <x:v>PHYSICAL</x:v>
      </x:c>
      <x:c r="D1968" t="str">
        <x:v>terrain geometry</x:v>
      </x:c>
      <x:c r="E1968" t="n">
        <x:f>IF('Terrain Field'!J817&lt;&gt;"",1,0)</x:f>
        <x:v>0</x:v>
      </x:c>
      <x:c r="F1968" t="n">
        <x:v>1</x:v>
      </x:c>
      <x:c r="G1968" t="str">
        <x:v>equals</x:v>
      </x:c>
      <x:c r="H1968" t="str">
        <x:v>independent physical acceptance</x:v>
      </x:c>
      <x:c r="I1968" t="str">
        <x:f>IF(E1968=1,"PASS","OPEN")</x:f>
        <x:v>OPEN</x:v>
      </x:c>
    </x:row>
    <x:row r="1969">
      <x:c r="B1969" t="str">
        <x:v>PH-TG-811-L</x:v>
      </x:c>
      <x:c r="C1969" t="str">
        <x:v>PHYSICAL</x:v>
      </x:c>
      <x:c r="D1969" t="str">
        <x:v>terrain load</x:v>
      </x:c>
      <x:c r="E1969" t="n">
        <x:f>IF('Terrain Field'!K817&lt;&gt;"",1,0)</x:f>
        <x:v>0</x:v>
      </x:c>
      <x:c r="F1969" t="n">
        <x:v>1</x:v>
      </x:c>
      <x:c r="G1969" t="str">
        <x:v>equals</x:v>
      </x:c>
      <x:c r="H1969" t="str">
        <x:v>independent physical acceptance</x:v>
      </x:c>
      <x:c r="I1969" t="str">
        <x:f>IF(E1969=1,"PASS","OPEN")</x:f>
        <x:v>OPEN</x:v>
      </x:c>
    </x:row>
    <x:row r="1970">
      <x:c r="B1970" t="str">
        <x:v>PH-TG-812-G</x:v>
      </x:c>
      <x:c r="C1970" t="str">
        <x:v>PHYSICAL</x:v>
      </x:c>
      <x:c r="D1970" t="str">
        <x:v>terrain geometry</x:v>
      </x:c>
      <x:c r="E1970" t="n">
        <x:f>IF('Terrain Field'!J818&lt;&gt;"",1,0)</x:f>
        <x:v>0</x:v>
      </x:c>
      <x:c r="F1970" t="n">
        <x:v>1</x:v>
      </x:c>
      <x:c r="G1970" t="str">
        <x:v>equals</x:v>
      </x:c>
      <x:c r="H1970" t="str">
        <x:v>independent physical acceptance</x:v>
      </x:c>
      <x:c r="I1970" t="str">
        <x:f>IF(E1970=1,"PASS","OPEN")</x:f>
        <x:v>OPEN</x:v>
      </x:c>
    </x:row>
    <x:row r="1971">
      <x:c r="B1971" t="str">
        <x:v>PH-TG-812-L</x:v>
      </x:c>
      <x:c r="C1971" t="str">
        <x:v>PHYSICAL</x:v>
      </x:c>
      <x:c r="D1971" t="str">
        <x:v>terrain load</x:v>
      </x:c>
      <x:c r="E1971" t="n">
        <x:f>IF('Terrain Field'!K818&lt;&gt;"",1,0)</x:f>
        <x:v>0</x:v>
      </x:c>
      <x:c r="F1971" t="n">
        <x:v>1</x:v>
      </x:c>
      <x:c r="G1971" t="str">
        <x:v>equals</x:v>
      </x:c>
      <x:c r="H1971" t="str">
        <x:v>independent physical acceptance</x:v>
      </x:c>
      <x:c r="I1971" t="str">
        <x:f>IF(E1971=1,"PASS","OPEN")</x:f>
        <x:v>OPEN</x:v>
      </x:c>
    </x:row>
    <x:row r="1972">
      <x:c r="B1972" t="str">
        <x:v>PH-TG-813-G</x:v>
      </x:c>
      <x:c r="C1972" t="str">
        <x:v>PHYSICAL</x:v>
      </x:c>
      <x:c r="D1972" t="str">
        <x:v>terrain geometry</x:v>
      </x:c>
      <x:c r="E1972" t="n">
        <x:f>IF('Terrain Field'!J819&lt;&gt;"",1,0)</x:f>
        <x:v>0</x:v>
      </x:c>
      <x:c r="F1972" t="n">
        <x:v>1</x:v>
      </x:c>
      <x:c r="G1972" t="str">
        <x:v>equals</x:v>
      </x:c>
      <x:c r="H1972" t="str">
        <x:v>independent physical acceptance</x:v>
      </x:c>
      <x:c r="I1972" t="str">
        <x:f>IF(E1972=1,"PASS","OPEN")</x:f>
        <x:v>OPEN</x:v>
      </x:c>
    </x:row>
    <x:row r="1973">
      <x:c r="B1973" t="str">
        <x:v>PH-TG-813-L</x:v>
      </x:c>
      <x:c r="C1973" t="str">
        <x:v>PHYSICAL</x:v>
      </x:c>
      <x:c r="D1973" t="str">
        <x:v>terrain load</x:v>
      </x:c>
      <x:c r="E1973" t="n">
        <x:f>IF('Terrain Field'!K819&lt;&gt;"",1,0)</x:f>
        <x:v>0</x:v>
      </x:c>
      <x:c r="F1973" t="n">
        <x:v>1</x:v>
      </x:c>
      <x:c r="G1973" t="str">
        <x:v>equals</x:v>
      </x:c>
      <x:c r="H1973" t="str">
        <x:v>independent physical acceptance</x:v>
      </x:c>
      <x:c r="I1973" t="str">
        <x:f>IF(E1973=1,"PASS","OPEN")</x:f>
        <x:v>OPEN</x:v>
      </x:c>
    </x:row>
    <x:row r="1974">
      <x:c r="B1974" t="str">
        <x:v>PH-TG-814-G</x:v>
      </x:c>
      <x:c r="C1974" t="str">
        <x:v>PHYSICAL</x:v>
      </x:c>
      <x:c r="D1974" t="str">
        <x:v>terrain geometry</x:v>
      </x:c>
      <x:c r="E1974" t="n">
        <x:f>IF('Terrain Field'!J820&lt;&gt;"",1,0)</x:f>
        <x:v>0</x:v>
      </x:c>
      <x:c r="F1974" t="n">
        <x:v>1</x:v>
      </x:c>
      <x:c r="G1974" t="str">
        <x:v>equals</x:v>
      </x:c>
      <x:c r="H1974" t="str">
        <x:v>independent physical acceptance</x:v>
      </x:c>
      <x:c r="I1974" t="str">
        <x:f>IF(E1974=1,"PASS","OPEN")</x:f>
        <x:v>OPEN</x:v>
      </x:c>
    </x:row>
    <x:row r="1975">
      <x:c r="B1975" t="str">
        <x:v>PH-TG-814-L</x:v>
      </x:c>
      <x:c r="C1975" t="str">
        <x:v>PHYSICAL</x:v>
      </x:c>
      <x:c r="D1975" t="str">
        <x:v>terrain load</x:v>
      </x:c>
      <x:c r="E1975" t="n">
        <x:f>IF('Terrain Field'!K820&lt;&gt;"",1,0)</x:f>
        <x:v>0</x:v>
      </x:c>
      <x:c r="F1975" t="n">
        <x:v>1</x:v>
      </x:c>
      <x:c r="G1975" t="str">
        <x:v>equals</x:v>
      </x:c>
      <x:c r="H1975" t="str">
        <x:v>independent physical acceptance</x:v>
      </x:c>
      <x:c r="I1975" t="str">
        <x:f>IF(E1975=1,"PASS","OPEN")</x:f>
        <x:v>OPEN</x:v>
      </x:c>
    </x:row>
    <x:row r="1976">
      <x:c r="B1976" t="str">
        <x:v>PH-TG-815-G</x:v>
      </x:c>
      <x:c r="C1976" t="str">
        <x:v>PHYSICAL</x:v>
      </x:c>
      <x:c r="D1976" t="str">
        <x:v>terrain geometry</x:v>
      </x:c>
      <x:c r="E1976" t="n">
        <x:f>IF('Terrain Field'!J821&lt;&gt;"",1,0)</x:f>
        <x:v>0</x:v>
      </x:c>
      <x:c r="F1976" t="n">
        <x:v>1</x:v>
      </x:c>
      <x:c r="G1976" t="str">
        <x:v>equals</x:v>
      </x:c>
      <x:c r="H1976" t="str">
        <x:v>independent physical acceptance</x:v>
      </x:c>
      <x:c r="I1976" t="str">
        <x:f>IF(E1976=1,"PASS","OPEN")</x:f>
        <x:v>OPEN</x:v>
      </x:c>
    </x:row>
    <x:row r="1977">
      <x:c r="B1977" t="str">
        <x:v>PH-TG-815-L</x:v>
      </x:c>
      <x:c r="C1977" t="str">
        <x:v>PHYSICAL</x:v>
      </x:c>
      <x:c r="D1977" t="str">
        <x:v>terrain load</x:v>
      </x:c>
      <x:c r="E1977" t="n">
        <x:f>IF('Terrain Field'!K821&lt;&gt;"",1,0)</x:f>
        <x:v>0</x:v>
      </x:c>
      <x:c r="F1977" t="n">
        <x:v>1</x:v>
      </x:c>
      <x:c r="G1977" t="str">
        <x:v>equals</x:v>
      </x:c>
      <x:c r="H1977" t="str">
        <x:v>independent physical acceptance</x:v>
      </x:c>
      <x:c r="I1977" t="str">
        <x:f>IF(E1977=1,"PASS","OPEN")</x:f>
        <x:v>OPEN</x:v>
      </x:c>
    </x:row>
    <x:row r="1978">
      <x:c r="B1978" t="str">
        <x:v>PH-TG-816-G</x:v>
      </x:c>
      <x:c r="C1978" t="str">
        <x:v>PHYSICAL</x:v>
      </x:c>
      <x:c r="D1978" t="str">
        <x:v>terrain geometry</x:v>
      </x:c>
      <x:c r="E1978" t="n">
        <x:f>IF('Terrain Field'!J822&lt;&gt;"",1,0)</x:f>
        <x:v>0</x:v>
      </x:c>
      <x:c r="F1978" t="n">
        <x:v>1</x:v>
      </x:c>
      <x:c r="G1978" t="str">
        <x:v>equals</x:v>
      </x:c>
      <x:c r="H1978" t="str">
        <x:v>independent physical acceptance</x:v>
      </x:c>
      <x:c r="I1978" t="str">
        <x:f>IF(E1978=1,"PASS","OPEN")</x:f>
        <x:v>OPEN</x:v>
      </x:c>
    </x:row>
    <x:row r="1979">
      <x:c r="B1979" t="str">
        <x:v>PH-TG-816-L</x:v>
      </x:c>
      <x:c r="C1979" t="str">
        <x:v>PHYSICAL</x:v>
      </x:c>
      <x:c r="D1979" t="str">
        <x:v>terrain load</x:v>
      </x:c>
      <x:c r="E1979" t="n">
        <x:f>IF('Terrain Field'!K822&lt;&gt;"",1,0)</x:f>
        <x:v>0</x:v>
      </x:c>
      <x:c r="F1979" t="n">
        <x:v>1</x:v>
      </x:c>
      <x:c r="G1979" t="str">
        <x:v>equals</x:v>
      </x:c>
      <x:c r="H1979" t="str">
        <x:v>independent physical acceptance</x:v>
      </x:c>
      <x:c r="I1979" t="str">
        <x:f>IF(E1979=1,"PASS","OPEN")</x:f>
        <x:v>OPEN</x:v>
      </x:c>
    </x:row>
    <x:row r="1980">
      <x:c r="B1980" t="str">
        <x:v>PH-TG-817-G</x:v>
      </x:c>
      <x:c r="C1980" t="str">
        <x:v>PHYSICAL</x:v>
      </x:c>
      <x:c r="D1980" t="str">
        <x:v>terrain geometry</x:v>
      </x:c>
      <x:c r="E1980" t="n">
        <x:f>IF('Terrain Field'!J823&lt;&gt;"",1,0)</x:f>
        <x:v>0</x:v>
      </x:c>
      <x:c r="F1980" t="n">
        <x:v>1</x:v>
      </x:c>
      <x:c r="G1980" t="str">
        <x:v>equals</x:v>
      </x:c>
      <x:c r="H1980" t="str">
        <x:v>independent physical acceptance</x:v>
      </x:c>
      <x:c r="I1980" t="str">
        <x:f>IF(E1980=1,"PASS","OPEN")</x:f>
        <x:v>OPEN</x:v>
      </x:c>
    </x:row>
    <x:row r="1981">
      <x:c r="B1981" t="str">
        <x:v>PH-TG-817-L</x:v>
      </x:c>
      <x:c r="C1981" t="str">
        <x:v>PHYSICAL</x:v>
      </x:c>
      <x:c r="D1981" t="str">
        <x:v>terrain load</x:v>
      </x:c>
      <x:c r="E1981" t="n">
        <x:f>IF('Terrain Field'!K823&lt;&gt;"",1,0)</x:f>
        <x:v>0</x:v>
      </x:c>
      <x:c r="F1981" t="n">
        <x:v>1</x:v>
      </x:c>
      <x:c r="G1981" t="str">
        <x:v>equals</x:v>
      </x:c>
      <x:c r="H1981" t="str">
        <x:v>independent physical acceptance</x:v>
      </x:c>
      <x:c r="I1981" t="str">
        <x:f>IF(E1981=1,"PASS","OPEN")</x:f>
        <x:v>OPEN</x:v>
      </x:c>
    </x:row>
    <x:row r="1982">
      <x:c r="B1982" t="str">
        <x:v>PH-TG-818-G</x:v>
      </x:c>
      <x:c r="C1982" t="str">
        <x:v>PHYSICAL</x:v>
      </x:c>
      <x:c r="D1982" t="str">
        <x:v>terrain geometry</x:v>
      </x:c>
      <x:c r="E1982" t="n">
        <x:f>IF('Terrain Field'!J824&lt;&gt;"",1,0)</x:f>
        <x:v>0</x:v>
      </x:c>
      <x:c r="F1982" t="n">
        <x:v>1</x:v>
      </x:c>
      <x:c r="G1982" t="str">
        <x:v>equals</x:v>
      </x:c>
      <x:c r="H1982" t="str">
        <x:v>independent physical acceptance</x:v>
      </x:c>
      <x:c r="I1982" t="str">
        <x:f>IF(E1982=1,"PASS","OPEN")</x:f>
        <x:v>OPEN</x:v>
      </x:c>
    </x:row>
    <x:row r="1983">
      <x:c r="B1983" t="str">
        <x:v>PH-TG-818-L</x:v>
      </x:c>
      <x:c r="C1983" t="str">
        <x:v>PHYSICAL</x:v>
      </x:c>
      <x:c r="D1983" t="str">
        <x:v>terrain load</x:v>
      </x:c>
      <x:c r="E1983" t="n">
        <x:f>IF('Terrain Field'!K824&lt;&gt;"",1,0)</x:f>
        <x:v>0</x:v>
      </x:c>
      <x:c r="F1983" t="n">
        <x:v>1</x:v>
      </x:c>
      <x:c r="G1983" t="str">
        <x:v>equals</x:v>
      </x:c>
      <x:c r="H1983" t="str">
        <x:v>independent physical acceptance</x:v>
      </x:c>
      <x:c r="I1983" t="str">
        <x:f>IF(E1983=1,"PASS","OPEN")</x:f>
        <x:v>OPEN</x:v>
      </x:c>
    </x:row>
    <x:row r="1984">
      <x:c r="B1984" t="str">
        <x:v>PH-TG-819-G</x:v>
      </x:c>
      <x:c r="C1984" t="str">
        <x:v>PHYSICAL</x:v>
      </x:c>
      <x:c r="D1984" t="str">
        <x:v>terrain geometry</x:v>
      </x:c>
      <x:c r="E1984" t="n">
        <x:f>IF('Terrain Field'!J825&lt;&gt;"",1,0)</x:f>
        <x:v>0</x:v>
      </x:c>
      <x:c r="F1984" t="n">
        <x:v>1</x:v>
      </x:c>
      <x:c r="G1984" t="str">
        <x:v>equals</x:v>
      </x:c>
      <x:c r="H1984" t="str">
        <x:v>independent physical acceptance</x:v>
      </x:c>
      <x:c r="I1984" t="str">
        <x:f>IF(E1984=1,"PASS","OPEN")</x:f>
        <x:v>OPEN</x:v>
      </x:c>
    </x:row>
    <x:row r="1985">
      <x:c r="B1985" t="str">
        <x:v>PH-TG-819-L</x:v>
      </x:c>
      <x:c r="C1985" t="str">
        <x:v>PHYSICAL</x:v>
      </x:c>
      <x:c r="D1985" t="str">
        <x:v>terrain load</x:v>
      </x:c>
      <x:c r="E1985" t="n">
        <x:f>IF('Terrain Field'!K825&lt;&gt;"",1,0)</x:f>
        <x:v>0</x:v>
      </x:c>
      <x:c r="F1985" t="n">
        <x:v>1</x:v>
      </x:c>
      <x:c r="G1985" t="str">
        <x:v>equals</x:v>
      </x:c>
      <x:c r="H1985" t="str">
        <x:v>independent physical acceptance</x:v>
      </x:c>
      <x:c r="I1985" t="str">
        <x:f>IF(E1985=1,"PASS","OPEN")</x:f>
        <x:v>OPEN</x:v>
      </x:c>
    </x:row>
    <x:row r="1986">
      <x:c r="B1986" t="str">
        <x:v>PH-TG-820-G</x:v>
      </x:c>
      <x:c r="C1986" t="str">
        <x:v>PHYSICAL</x:v>
      </x:c>
      <x:c r="D1986" t="str">
        <x:v>terrain geometry</x:v>
      </x:c>
      <x:c r="E1986" t="n">
        <x:f>IF('Terrain Field'!J826&lt;&gt;"",1,0)</x:f>
        <x:v>0</x:v>
      </x:c>
      <x:c r="F1986" t="n">
        <x:v>1</x:v>
      </x:c>
      <x:c r="G1986" t="str">
        <x:v>equals</x:v>
      </x:c>
      <x:c r="H1986" t="str">
        <x:v>independent physical acceptance</x:v>
      </x:c>
      <x:c r="I1986" t="str">
        <x:f>IF(E1986=1,"PASS","OPEN")</x:f>
        <x:v>OPEN</x:v>
      </x:c>
    </x:row>
    <x:row r="1987">
      <x:c r="B1987" t="str">
        <x:v>PH-TG-820-L</x:v>
      </x:c>
      <x:c r="C1987" t="str">
        <x:v>PHYSICAL</x:v>
      </x:c>
      <x:c r="D1987" t="str">
        <x:v>terrain load</x:v>
      </x:c>
      <x:c r="E1987" t="n">
        <x:f>IF('Terrain Field'!K826&lt;&gt;"",1,0)</x:f>
        <x:v>0</x:v>
      </x:c>
      <x:c r="F1987" t="n">
        <x:v>1</x:v>
      </x:c>
      <x:c r="G1987" t="str">
        <x:v>equals</x:v>
      </x:c>
      <x:c r="H1987" t="str">
        <x:v>independent physical acceptance</x:v>
      </x:c>
      <x:c r="I1987" t="str">
        <x:f>IF(E1987=1,"PASS","OPEN")</x:f>
        <x:v>OPEN</x:v>
      </x:c>
    </x:row>
    <x:row r="1988">
      <x:c r="B1988" t="str">
        <x:v>PH-TG-821-G</x:v>
      </x:c>
      <x:c r="C1988" t="str">
        <x:v>PHYSICAL</x:v>
      </x:c>
      <x:c r="D1988" t="str">
        <x:v>terrain geometry</x:v>
      </x:c>
      <x:c r="E1988" t="n">
        <x:f>IF('Terrain Field'!J827&lt;&gt;"",1,0)</x:f>
        <x:v>0</x:v>
      </x:c>
      <x:c r="F1988" t="n">
        <x:v>1</x:v>
      </x:c>
      <x:c r="G1988" t="str">
        <x:v>equals</x:v>
      </x:c>
      <x:c r="H1988" t="str">
        <x:v>independent physical acceptance</x:v>
      </x:c>
      <x:c r="I1988" t="str">
        <x:f>IF(E1988=1,"PASS","OPEN")</x:f>
        <x:v>OPEN</x:v>
      </x:c>
    </x:row>
    <x:row r="1989">
      <x:c r="B1989" t="str">
        <x:v>PH-TG-821-L</x:v>
      </x:c>
      <x:c r="C1989" t="str">
        <x:v>PHYSICAL</x:v>
      </x:c>
      <x:c r="D1989" t="str">
        <x:v>terrain load</x:v>
      </x:c>
      <x:c r="E1989" t="n">
        <x:f>IF('Terrain Field'!K827&lt;&gt;"",1,0)</x:f>
        <x:v>0</x:v>
      </x:c>
      <x:c r="F1989" t="n">
        <x:v>1</x:v>
      </x:c>
      <x:c r="G1989" t="str">
        <x:v>equals</x:v>
      </x:c>
      <x:c r="H1989" t="str">
        <x:v>independent physical acceptance</x:v>
      </x:c>
      <x:c r="I1989" t="str">
        <x:f>IF(E1989=1,"PASS","OPEN")</x:f>
        <x:v>OPEN</x:v>
      </x:c>
    </x:row>
    <x:row r="1990">
      <x:c r="B1990" t="str">
        <x:v>PH-TG-822-G</x:v>
      </x:c>
      <x:c r="C1990" t="str">
        <x:v>PHYSICAL</x:v>
      </x:c>
      <x:c r="D1990" t="str">
        <x:v>terrain geometry</x:v>
      </x:c>
      <x:c r="E1990" t="n">
        <x:f>IF('Terrain Field'!J828&lt;&gt;"",1,0)</x:f>
        <x:v>0</x:v>
      </x:c>
      <x:c r="F1990" t="n">
        <x:v>1</x:v>
      </x:c>
      <x:c r="G1990" t="str">
        <x:v>equals</x:v>
      </x:c>
      <x:c r="H1990" t="str">
        <x:v>independent physical acceptance</x:v>
      </x:c>
      <x:c r="I1990" t="str">
        <x:f>IF(E1990=1,"PASS","OPEN")</x:f>
        <x:v>OPEN</x:v>
      </x:c>
    </x:row>
    <x:row r="1991">
      <x:c r="B1991" t="str">
        <x:v>PH-TG-822-L</x:v>
      </x:c>
      <x:c r="C1991" t="str">
        <x:v>PHYSICAL</x:v>
      </x:c>
      <x:c r="D1991" t="str">
        <x:v>terrain load</x:v>
      </x:c>
      <x:c r="E1991" t="n">
        <x:f>IF('Terrain Field'!K828&lt;&gt;"",1,0)</x:f>
        <x:v>0</x:v>
      </x:c>
      <x:c r="F1991" t="n">
        <x:v>1</x:v>
      </x:c>
      <x:c r="G1991" t="str">
        <x:v>equals</x:v>
      </x:c>
      <x:c r="H1991" t="str">
        <x:v>independent physical acceptance</x:v>
      </x:c>
      <x:c r="I1991" t="str">
        <x:f>IF(E1991=1,"PASS","OPEN")</x:f>
        <x:v>OPEN</x:v>
      </x:c>
    </x:row>
    <x:row r="1992">
      <x:c r="B1992" t="str">
        <x:v>PH-TG-823-G</x:v>
      </x:c>
      <x:c r="C1992" t="str">
        <x:v>PHYSICAL</x:v>
      </x:c>
      <x:c r="D1992" t="str">
        <x:v>terrain geometry</x:v>
      </x:c>
      <x:c r="E1992" t="n">
        <x:f>IF('Terrain Field'!J829&lt;&gt;"",1,0)</x:f>
        <x:v>0</x:v>
      </x:c>
      <x:c r="F1992" t="n">
        <x:v>1</x:v>
      </x:c>
      <x:c r="G1992" t="str">
        <x:v>equals</x:v>
      </x:c>
      <x:c r="H1992" t="str">
        <x:v>independent physical acceptance</x:v>
      </x:c>
      <x:c r="I1992" t="str">
        <x:f>IF(E1992=1,"PASS","OPEN")</x:f>
        <x:v>OPEN</x:v>
      </x:c>
    </x:row>
    <x:row r="1993">
      <x:c r="B1993" t="str">
        <x:v>PH-TG-823-L</x:v>
      </x:c>
      <x:c r="C1993" t="str">
        <x:v>PHYSICAL</x:v>
      </x:c>
      <x:c r="D1993" t="str">
        <x:v>terrain load</x:v>
      </x:c>
      <x:c r="E1993" t="n">
        <x:f>IF('Terrain Field'!K829&lt;&gt;"",1,0)</x:f>
        <x:v>0</x:v>
      </x:c>
      <x:c r="F1993" t="n">
        <x:v>1</x:v>
      </x:c>
      <x:c r="G1993" t="str">
        <x:v>equals</x:v>
      </x:c>
      <x:c r="H1993" t="str">
        <x:v>independent physical acceptance</x:v>
      </x:c>
      <x:c r="I1993" t="str">
        <x:f>IF(E1993=1,"PASS","OPEN")</x:f>
        <x:v>OPEN</x:v>
      </x:c>
    </x:row>
    <x:row r="1994">
      <x:c r="B1994" t="str">
        <x:v>PH-TG-824-G</x:v>
      </x:c>
      <x:c r="C1994" t="str">
        <x:v>PHYSICAL</x:v>
      </x:c>
      <x:c r="D1994" t="str">
        <x:v>terrain geometry</x:v>
      </x:c>
      <x:c r="E1994" t="n">
        <x:f>IF('Terrain Field'!J830&lt;&gt;"",1,0)</x:f>
        <x:v>0</x:v>
      </x:c>
      <x:c r="F1994" t="n">
        <x:v>1</x:v>
      </x:c>
      <x:c r="G1994" t="str">
        <x:v>equals</x:v>
      </x:c>
      <x:c r="H1994" t="str">
        <x:v>independent physical acceptance</x:v>
      </x:c>
      <x:c r="I1994" t="str">
        <x:f>IF(E1994=1,"PASS","OPEN")</x:f>
        <x:v>OPEN</x:v>
      </x:c>
    </x:row>
    <x:row r="1995">
      <x:c r="B1995" t="str">
        <x:v>PH-TG-824-L</x:v>
      </x:c>
      <x:c r="C1995" t="str">
        <x:v>PHYSICAL</x:v>
      </x:c>
      <x:c r="D1995" t="str">
        <x:v>terrain load</x:v>
      </x:c>
      <x:c r="E1995" t="n">
        <x:f>IF('Terrain Field'!K830&lt;&gt;"",1,0)</x:f>
        <x:v>0</x:v>
      </x:c>
      <x:c r="F1995" t="n">
        <x:v>1</x:v>
      </x:c>
      <x:c r="G1995" t="str">
        <x:v>equals</x:v>
      </x:c>
      <x:c r="H1995" t="str">
        <x:v>independent physical acceptance</x:v>
      </x:c>
      <x:c r="I1995" t="str">
        <x:f>IF(E1995=1,"PASS","OPEN")</x:f>
        <x:v>OPEN</x:v>
      </x:c>
    </x:row>
    <x:row r="1996">
      <x:c r="B1996" t="str">
        <x:v>PH-TG-825-G</x:v>
      </x:c>
      <x:c r="C1996" t="str">
        <x:v>PHYSICAL</x:v>
      </x:c>
      <x:c r="D1996" t="str">
        <x:v>terrain geometry</x:v>
      </x:c>
      <x:c r="E1996" t="n">
        <x:f>IF('Terrain Field'!J831&lt;&gt;"",1,0)</x:f>
        <x:v>0</x:v>
      </x:c>
      <x:c r="F1996" t="n">
        <x:v>1</x:v>
      </x:c>
      <x:c r="G1996" t="str">
        <x:v>equals</x:v>
      </x:c>
      <x:c r="H1996" t="str">
        <x:v>independent physical acceptance</x:v>
      </x:c>
      <x:c r="I1996" t="str">
        <x:f>IF(E1996=1,"PASS","OPEN")</x:f>
        <x:v>OPEN</x:v>
      </x:c>
    </x:row>
    <x:row r="1997">
      <x:c r="B1997" t="str">
        <x:v>PH-TG-825-L</x:v>
      </x:c>
      <x:c r="C1997" t="str">
        <x:v>PHYSICAL</x:v>
      </x:c>
      <x:c r="D1997" t="str">
        <x:v>terrain load</x:v>
      </x:c>
      <x:c r="E1997" t="n">
        <x:f>IF('Terrain Field'!K831&lt;&gt;"",1,0)</x:f>
        <x:v>0</x:v>
      </x:c>
      <x:c r="F1997" t="n">
        <x:v>1</x:v>
      </x:c>
      <x:c r="G1997" t="str">
        <x:v>equals</x:v>
      </x:c>
      <x:c r="H1997" t="str">
        <x:v>independent physical acceptance</x:v>
      </x:c>
      <x:c r="I1997" t="str">
        <x:f>IF(E1997=1,"PASS","OPEN")</x:f>
        <x:v>OPEN</x:v>
      </x:c>
    </x:row>
    <x:row r="1998">
      <x:c r="B1998" t="str">
        <x:v>PH-TG-826-G</x:v>
      </x:c>
      <x:c r="C1998" t="str">
        <x:v>PHYSICAL</x:v>
      </x:c>
      <x:c r="D1998" t="str">
        <x:v>terrain geometry</x:v>
      </x:c>
      <x:c r="E1998" t="n">
        <x:f>IF('Terrain Field'!J832&lt;&gt;"",1,0)</x:f>
        <x:v>0</x:v>
      </x:c>
      <x:c r="F1998" t="n">
        <x:v>1</x:v>
      </x:c>
      <x:c r="G1998" t="str">
        <x:v>equals</x:v>
      </x:c>
      <x:c r="H1998" t="str">
        <x:v>independent physical acceptance</x:v>
      </x:c>
      <x:c r="I1998" t="str">
        <x:f>IF(E1998=1,"PASS","OPEN")</x:f>
        <x:v>OPEN</x:v>
      </x:c>
    </x:row>
    <x:row r="1999">
      <x:c r="B1999" t="str">
        <x:v>PH-TG-826-L</x:v>
      </x:c>
      <x:c r="C1999" t="str">
        <x:v>PHYSICAL</x:v>
      </x:c>
      <x:c r="D1999" t="str">
        <x:v>terrain load</x:v>
      </x:c>
      <x:c r="E1999" t="n">
        <x:f>IF('Terrain Field'!K832&lt;&gt;"",1,0)</x:f>
        <x:v>0</x:v>
      </x:c>
      <x:c r="F1999" t="n">
        <x:v>1</x:v>
      </x:c>
      <x:c r="G1999" t="str">
        <x:v>equals</x:v>
      </x:c>
      <x:c r="H1999" t="str">
        <x:v>independent physical acceptance</x:v>
      </x:c>
      <x:c r="I1999" t="str">
        <x:f>IF(E1999=1,"PASS","OPEN")</x:f>
        <x:v>OPEN</x:v>
      </x:c>
    </x:row>
    <x:row r="2000">
      <x:c r="B2000" t="str">
        <x:v>PH-TG-827-G</x:v>
      </x:c>
      <x:c r="C2000" t="str">
        <x:v>PHYSICAL</x:v>
      </x:c>
      <x:c r="D2000" t="str">
        <x:v>terrain geometry</x:v>
      </x:c>
      <x:c r="E2000" t="n">
        <x:f>IF('Terrain Field'!J833&lt;&gt;"",1,0)</x:f>
        <x:v>0</x:v>
      </x:c>
      <x:c r="F2000" t="n">
        <x:v>1</x:v>
      </x:c>
      <x:c r="G2000" t="str">
        <x:v>equals</x:v>
      </x:c>
      <x:c r="H2000" t="str">
        <x:v>independent physical acceptance</x:v>
      </x:c>
      <x:c r="I2000" t="str">
        <x:f>IF(E2000=1,"PASS","OPEN")</x:f>
        <x:v>OPEN</x:v>
      </x:c>
    </x:row>
    <x:row r="2001">
      <x:c r="B2001" t="str">
        <x:v>PH-TG-827-L</x:v>
      </x:c>
      <x:c r="C2001" t="str">
        <x:v>PHYSICAL</x:v>
      </x:c>
      <x:c r="D2001" t="str">
        <x:v>terrain load</x:v>
      </x:c>
      <x:c r="E2001" t="n">
        <x:f>IF('Terrain Field'!K833&lt;&gt;"",1,0)</x:f>
        <x:v>0</x:v>
      </x:c>
      <x:c r="F2001" t="n">
        <x:v>1</x:v>
      </x:c>
      <x:c r="G2001" t="str">
        <x:v>equals</x:v>
      </x:c>
      <x:c r="H2001" t="str">
        <x:v>independent physical acceptance</x:v>
      </x:c>
      <x:c r="I2001" t="str">
        <x:f>IF(E2001=1,"PASS","OPEN")</x:f>
        <x:v>OPEN</x:v>
      </x:c>
    </x:row>
    <x:row r="2002">
      <x:c r="B2002" t="str">
        <x:v>PH-TG-828-G</x:v>
      </x:c>
      <x:c r="C2002" t="str">
        <x:v>PHYSICAL</x:v>
      </x:c>
      <x:c r="D2002" t="str">
        <x:v>terrain geometry</x:v>
      </x:c>
      <x:c r="E2002" t="n">
        <x:f>IF('Terrain Field'!J834&lt;&gt;"",1,0)</x:f>
        <x:v>0</x:v>
      </x:c>
      <x:c r="F2002" t="n">
        <x:v>1</x:v>
      </x:c>
      <x:c r="G2002" t="str">
        <x:v>equals</x:v>
      </x:c>
      <x:c r="H2002" t="str">
        <x:v>independent physical acceptance</x:v>
      </x:c>
      <x:c r="I2002" t="str">
        <x:f>IF(E2002=1,"PASS","OPEN")</x:f>
        <x:v>OPEN</x:v>
      </x:c>
    </x:row>
    <x:row r="2003">
      <x:c r="B2003" t="str">
        <x:v>PH-TG-828-L</x:v>
      </x:c>
      <x:c r="C2003" t="str">
        <x:v>PHYSICAL</x:v>
      </x:c>
      <x:c r="D2003" t="str">
        <x:v>terrain load</x:v>
      </x:c>
      <x:c r="E2003" t="n">
        <x:f>IF('Terrain Field'!K834&lt;&gt;"",1,0)</x:f>
        <x:v>0</x:v>
      </x:c>
      <x:c r="F2003" t="n">
        <x:v>1</x:v>
      </x:c>
      <x:c r="G2003" t="str">
        <x:v>equals</x:v>
      </x:c>
      <x:c r="H2003" t="str">
        <x:v>independent physical acceptance</x:v>
      </x:c>
      <x:c r="I2003" t="str">
        <x:f>IF(E2003=1,"PASS","OPEN")</x:f>
        <x:v>OPEN</x:v>
      </x:c>
    </x:row>
    <x:row r="2004">
      <x:c r="B2004" t="str">
        <x:v>PH-TG-829-G</x:v>
      </x:c>
      <x:c r="C2004" t="str">
        <x:v>PHYSICAL</x:v>
      </x:c>
      <x:c r="D2004" t="str">
        <x:v>terrain geometry</x:v>
      </x:c>
      <x:c r="E2004" t="n">
        <x:f>IF('Terrain Field'!J835&lt;&gt;"",1,0)</x:f>
        <x:v>0</x:v>
      </x:c>
      <x:c r="F2004" t="n">
        <x:v>1</x:v>
      </x:c>
      <x:c r="G2004" t="str">
        <x:v>equals</x:v>
      </x:c>
      <x:c r="H2004" t="str">
        <x:v>independent physical acceptance</x:v>
      </x:c>
      <x:c r="I2004" t="str">
        <x:f>IF(E2004=1,"PASS","OPEN")</x:f>
        <x:v>OPEN</x:v>
      </x:c>
    </x:row>
    <x:row r="2005">
      <x:c r="B2005" t="str">
        <x:v>PH-TG-829-L</x:v>
      </x:c>
      <x:c r="C2005" t="str">
        <x:v>PHYSICAL</x:v>
      </x:c>
      <x:c r="D2005" t="str">
        <x:v>terrain load</x:v>
      </x:c>
      <x:c r="E2005" t="n">
        <x:f>IF('Terrain Field'!K835&lt;&gt;"",1,0)</x:f>
        <x:v>0</x:v>
      </x:c>
      <x:c r="F2005" t="n">
        <x:v>1</x:v>
      </x:c>
      <x:c r="G2005" t="str">
        <x:v>equals</x:v>
      </x:c>
      <x:c r="H2005" t="str">
        <x:v>independent physical acceptance</x:v>
      </x:c>
      <x:c r="I2005" t="str">
        <x:f>IF(E2005=1,"PASS","OPEN")</x:f>
        <x:v>OPEN</x:v>
      </x:c>
    </x:row>
    <x:row r="2006">
      <x:c r="B2006" t="str">
        <x:v>PH-TG-830-G</x:v>
      </x:c>
      <x:c r="C2006" t="str">
        <x:v>PHYSICAL</x:v>
      </x:c>
      <x:c r="D2006" t="str">
        <x:v>terrain geometry</x:v>
      </x:c>
      <x:c r="E2006" t="n">
        <x:f>IF('Terrain Field'!J836&lt;&gt;"",1,0)</x:f>
        <x:v>0</x:v>
      </x:c>
      <x:c r="F2006" t="n">
        <x:v>1</x:v>
      </x:c>
      <x:c r="G2006" t="str">
        <x:v>equals</x:v>
      </x:c>
      <x:c r="H2006" t="str">
        <x:v>independent physical acceptance</x:v>
      </x:c>
      <x:c r="I2006" t="str">
        <x:f>IF(E2006=1,"PASS","OPEN")</x:f>
        <x:v>OPEN</x:v>
      </x:c>
    </x:row>
    <x:row r="2007">
      <x:c r="B2007" t="str">
        <x:v>PH-TG-830-L</x:v>
      </x:c>
      <x:c r="C2007" t="str">
        <x:v>PHYSICAL</x:v>
      </x:c>
      <x:c r="D2007" t="str">
        <x:v>terrain load</x:v>
      </x:c>
      <x:c r="E2007" t="n">
        <x:f>IF('Terrain Field'!K836&lt;&gt;"",1,0)</x:f>
        <x:v>0</x:v>
      </x:c>
      <x:c r="F2007" t="n">
        <x:v>1</x:v>
      </x:c>
      <x:c r="G2007" t="str">
        <x:v>equals</x:v>
      </x:c>
      <x:c r="H2007" t="str">
        <x:v>independent physical acceptance</x:v>
      </x:c>
      <x:c r="I2007" t="str">
        <x:f>IF(E2007=1,"PASS","OPEN")</x:f>
        <x:v>OPEN</x:v>
      </x:c>
    </x:row>
    <x:row r="2008">
      <x:c r="B2008" t="str">
        <x:v>PH-TG-831-G</x:v>
      </x:c>
      <x:c r="C2008" t="str">
        <x:v>PHYSICAL</x:v>
      </x:c>
      <x:c r="D2008" t="str">
        <x:v>terrain geometry</x:v>
      </x:c>
      <x:c r="E2008" t="n">
        <x:f>IF('Terrain Field'!J837&lt;&gt;"",1,0)</x:f>
        <x:v>0</x:v>
      </x:c>
      <x:c r="F2008" t="n">
        <x:v>1</x:v>
      </x:c>
      <x:c r="G2008" t="str">
        <x:v>equals</x:v>
      </x:c>
      <x:c r="H2008" t="str">
        <x:v>independent physical acceptance</x:v>
      </x:c>
      <x:c r="I2008" t="str">
        <x:f>IF(E2008=1,"PASS","OPEN")</x:f>
        <x:v>OPEN</x:v>
      </x:c>
    </x:row>
    <x:row r="2009">
      <x:c r="B2009" t="str">
        <x:v>PH-TG-831-L</x:v>
      </x:c>
      <x:c r="C2009" t="str">
        <x:v>PHYSICAL</x:v>
      </x:c>
      <x:c r="D2009" t="str">
        <x:v>terrain load</x:v>
      </x:c>
      <x:c r="E2009" t="n">
        <x:f>IF('Terrain Field'!K837&lt;&gt;"",1,0)</x:f>
        <x:v>0</x:v>
      </x:c>
      <x:c r="F2009" t="n">
        <x:v>1</x:v>
      </x:c>
      <x:c r="G2009" t="str">
        <x:v>equals</x:v>
      </x:c>
      <x:c r="H2009" t="str">
        <x:v>independent physical acceptance</x:v>
      </x:c>
      <x:c r="I2009" t="str">
        <x:f>IF(E2009=1,"PASS","OPEN")</x:f>
        <x:v>OPEN</x:v>
      </x:c>
    </x:row>
    <x:row r="2010">
      <x:c r="B2010" t="str">
        <x:v>PH-TG-832-G</x:v>
      </x:c>
      <x:c r="C2010" t="str">
        <x:v>PHYSICAL</x:v>
      </x:c>
      <x:c r="D2010" t="str">
        <x:v>terrain geometry</x:v>
      </x:c>
      <x:c r="E2010" t="n">
        <x:f>IF('Terrain Field'!J838&lt;&gt;"",1,0)</x:f>
        <x:v>0</x:v>
      </x:c>
      <x:c r="F2010" t="n">
        <x:v>1</x:v>
      </x:c>
      <x:c r="G2010" t="str">
        <x:v>equals</x:v>
      </x:c>
      <x:c r="H2010" t="str">
        <x:v>independent physical acceptance</x:v>
      </x:c>
      <x:c r="I2010" t="str">
        <x:f>IF(E2010=1,"PASS","OPEN")</x:f>
        <x:v>OPEN</x:v>
      </x:c>
    </x:row>
    <x:row r="2011">
      <x:c r="B2011" t="str">
        <x:v>PH-TG-832-L</x:v>
      </x:c>
      <x:c r="C2011" t="str">
        <x:v>PHYSICAL</x:v>
      </x:c>
      <x:c r="D2011" t="str">
        <x:v>terrain load</x:v>
      </x:c>
      <x:c r="E2011" t="n">
        <x:f>IF('Terrain Field'!K838&lt;&gt;"",1,0)</x:f>
        <x:v>0</x:v>
      </x:c>
      <x:c r="F2011" t="n">
        <x:v>1</x:v>
      </x:c>
      <x:c r="G2011" t="str">
        <x:v>equals</x:v>
      </x:c>
      <x:c r="H2011" t="str">
        <x:v>independent physical acceptance</x:v>
      </x:c>
      <x:c r="I2011" t="str">
        <x:f>IF(E2011=1,"PASS","OPEN")</x:f>
        <x:v>OPEN</x:v>
      </x:c>
    </x:row>
    <x:row r="2012">
      <x:c r="B2012" t="str">
        <x:v>PH-TG-833-G</x:v>
      </x:c>
      <x:c r="C2012" t="str">
        <x:v>PHYSICAL</x:v>
      </x:c>
      <x:c r="D2012" t="str">
        <x:v>terrain geometry</x:v>
      </x:c>
      <x:c r="E2012" t="n">
        <x:f>IF('Terrain Field'!J839&lt;&gt;"",1,0)</x:f>
        <x:v>0</x:v>
      </x:c>
      <x:c r="F2012" t="n">
        <x:v>1</x:v>
      </x:c>
      <x:c r="G2012" t="str">
        <x:v>equals</x:v>
      </x:c>
      <x:c r="H2012" t="str">
        <x:v>independent physical acceptance</x:v>
      </x:c>
      <x:c r="I2012" t="str">
        <x:f>IF(E2012=1,"PASS","OPEN")</x:f>
        <x:v>OPEN</x:v>
      </x:c>
    </x:row>
    <x:row r="2013">
      <x:c r="B2013" t="str">
        <x:v>PH-TG-833-L</x:v>
      </x:c>
      <x:c r="C2013" t="str">
        <x:v>PHYSICAL</x:v>
      </x:c>
      <x:c r="D2013" t="str">
        <x:v>terrain load</x:v>
      </x:c>
      <x:c r="E2013" t="n">
        <x:f>IF('Terrain Field'!K839&lt;&gt;"",1,0)</x:f>
        <x:v>0</x:v>
      </x:c>
      <x:c r="F2013" t="n">
        <x:v>1</x:v>
      </x:c>
      <x:c r="G2013" t="str">
        <x:v>equals</x:v>
      </x:c>
      <x:c r="H2013" t="str">
        <x:v>independent physical acceptance</x:v>
      </x:c>
      <x:c r="I2013" t="str">
        <x:f>IF(E2013=1,"PASS","OPEN")</x:f>
        <x:v>OPEN</x:v>
      </x:c>
    </x:row>
    <x:row r="2014">
      <x:c r="B2014" t="str">
        <x:v>PH-TG-834-G</x:v>
      </x:c>
      <x:c r="C2014" t="str">
        <x:v>PHYSICAL</x:v>
      </x:c>
      <x:c r="D2014" t="str">
        <x:v>terrain geometry</x:v>
      </x:c>
      <x:c r="E2014" t="n">
        <x:f>IF('Terrain Field'!J840&lt;&gt;"",1,0)</x:f>
        <x:v>0</x:v>
      </x:c>
      <x:c r="F2014" t="n">
        <x:v>1</x:v>
      </x:c>
      <x:c r="G2014" t="str">
        <x:v>equals</x:v>
      </x:c>
      <x:c r="H2014" t="str">
        <x:v>independent physical acceptance</x:v>
      </x:c>
      <x:c r="I2014" t="str">
        <x:f>IF(E2014=1,"PASS","OPEN")</x:f>
        <x:v>OPEN</x:v>
      </x:c>
    </x:row>
    <x:row r="2015">
      <x:c r="B2015" t="str">
        <x:v>PH-TG-834-L</x:v>
      </x:c>
      <x:c r="C2015" t="str">
        <x:v>PHYSICAL</x:v>
      </x:c>
      <x:c r="D2015" t="str">
        <x:v>terrain load</x:v>
      </x:c>
      <x:c r="E2015" t="n">
        <x:f>IF('Terrain Field'!K840&lt;&gt;"",1,0)</x:f>
        <x:v>0</x:v>
      </x:c>
      <x:c r="F2015" t="n">
        <x:v>1</x:v>
      </x:c>
      <x:c r="G2015" t="str">
        <x:v>equals</x:v>
      </x:c>
      <x:c r="H2015" t="str">
        <x:v>independent physical acceptance</x:v>
      </x:c>
      <x:c r="I2015" t="str">
        <x:f>IF(E2015=1,"PASS","OPEN")</x:f>
        <x:v>OPEN</x:v>
      </x:c>
    </x:row>
    <x:row r="2016">
      <x:c r="B2016" t="str">
        <x:v>PH-TG-835-G</x:v>
      </x:c>
      <x:c r="C2016" t="str">
        <x:v>PHYSICAL</x:v>
      </x:c>
      <x:c r="D2016" t="str">
        <x:v>terrain geometry</x:v>
      </x:c>
      <x:c r="E2016" t="n">
        <x:f>IF('Terrain Field'!J841&lt;&gt;"",1,0)</x:f>
        <x:v>0</x:v>
      </x:c>
      <x:c r="F2016" t="n">
        <x:v>1</x:v>
      </x:c>
      <x:c r="G2016" t="str">
        <x:v>equals</x:v>
      </x:c>
      <x:c r="H2016" t="str">
        <x:v>independent physical acceptance</x:v>
      </x:c>
      <x:c r="I2016" t="str">
        <x:f>IF(E2016=1,"PASS","OPEN")</x:f>
        <x:v>OPEN</x:v>
      </x:c>
    </x:row>
    <x:row r="2017">
      <x:c r="B2017" t="str">
        <x:v>PH-TG-835-L</x:v>
      </x:c>
      <x:c r="C2017" t="str">
        <x:v>PHYSICAL</x:v>
      </x:c>
      <x:c r="D2017" t="str">
        <x:v>terrain load</x:v>
      </x:c>
      <x:c r="E2017" t="n">
        <x:f>IF('Terrain Field'!K841&lt;&gt;"",1,0)</x:f>
        <x:v>0</x:v>
      </x:c>
      <x:c r="F2017" t="n">
        <x:v>1</x:v>
      </x:c>
      <x:c r="G2017" t="str">
        <x:v>equals</x:v>
      </x:c>
      <x:c r="H2017" t="str">
        <x:v>independent physical acceptance</x:v>
      </x:c>
      <x:c r="I2017" t="str">
        <x:f>IF(E2017=1,"PASS","OPEN")</x:f>
        <x:v>OPEN</x:v>
      </x:c>
    </x:row>
    <x:row r="2018">
      <x:c r="B2018" t="str">
        <x:v>PH-TG-836-G</x:v>
      </x:c>
      <x:c r="C2018" t="str">
        <x:v>PHYSICAL</x:v>
      </x:c>
      <x:c r="D2018" t="str">
        <x:v>terrain geometry</x:v>
      </x:c>
      <x:c r="E2018" t="n">
        <x:f>IF('Terrain Field'!J842&lt;&gt;"",1,0)</x:f>
        <x:v>0</x:v>
      </x:c>
      <x:c r="F2018" t="n">
        <x:v>1</x:v>
      </x:c>
      <x:c r="G2018" t="str">
        <x:v>equals</x:v>
      </x:c>
      <x:c r="H2018" t="str">
        <x:v>independent physical acceptance</x:v>
      </x:c>
      <x:c r="I2018" t="str">
        <x:f>IF(E2018=1,"PASS","OPEN")</x:f>
        <x:v>OPEN</x:v>
      </x:c>
    </x:row>
    <x:row r="2019">
      <x:c r="B2019" t="str">
        <x:v>PH-TG-836-L</x:v>
      </x:c>
      <x:c r="C2019" t="str">
        <x:v>PHYSICAL</x:v>
      </x:c>
      <x:c r="D2019" t="str">
        <x:v>terrain load</x:v>
      </x:c>
      <x:c r="E2019" t="n">
        <x:f>IF('Terrain Field'!K842&lt;&gt;"",1,0)</x:f>
        <x:v>0</x:v>
      </x:c>
      <x:c r="F2019" t="n">
        <x:v>1</x:v>
      </x:c>
      <x:c r="G2019" t="str">
        <x:v>equals</x:v>
      </x:c>
      <x:c r="H2019" t="str">
        <x:v>independent physical acceptance</x:v>
      </x:c>
      <x:c r="I2019" t="str">
        <x:f>IF(E2019=1,"PASS","OPEN")</x:f>
        <x:v>OPEN</x:v>
      </x:c>
    </x:row>
    <x:row r="2020">
      <x:c r="B2020" t="str">
        <x:v>PH-TG-837-G</x:v>
      </x:c>
      <x:c r="C2020" t="str">
        <x:v>PHYSICAL</x:v>
      </x:c>
      <x:c r="D2020" t="str">
        <x:v>terrain geometry</x:v>
      </x:c>
      <x:c r="E2020" t="n">
        <x:f>IF('Terrain Field'!J843&lt;&gt;"",1,0)</x:f>
        <x:v>0</x:v>
      </x:c>
      <x:c r="F2020" t="n">
        <x:v>1</x:v>
      </x:c>
      <x:c r="G2020" t="str">
        <x:v>equals</x:v>
      </x:c>
      <x:c r="H2020" t="str">
        <x:v>independent physical acceptance</x:v>
      </x:c>
      <x:c r="I2020" t="str">
        <x:f>IF(E2020=1,"PASS","OPEN")</x:f>
        <x:v>OPEN</x:v>
      </x:c>
    </x:row>
    <x:row r="2021">
      <x:c r="B2021" t="str">
        <x:v>PH-TG-837-L</x:v>
      </x:c>
      <x:c r="C2021" t="str">
        <x:v>PHYSICAL</x:v>
      </x:c>
      <x:c r="D2021" t="str">
        <x:v>terrain load</x:v>
      </x:c>
      <x:c r="E2021" t="n">
        <x:f>IF('Terrain Field'!K843&lt;&gt;"",1,0)</x:f>
        <x:v>0</x:v>
      </x:c>
      <x:c r="F2021" t="n">
        <x:v>1</x:v>
      </x:c>
      <x:c r="G2021" t="str">
        <x:v>equals</x:v>
      </x:c>
      <x:c r="H2021" t="str">
        <x:v>independent physical acceptance</x:v>
      </x:c>
      <x:c r="I2021" t="str">
        <x:f>IF(E2021=1,"PASS","OPEN")</x:f>
        <x:v>OPEN</x:v>
      </x:c>
    </x:row>
    <x:row r="2022">
      <x:c r="B2022" t="str">
        <x:v>PH-TG-838-G</x:v>
      </x:c>
      <x:c r="C2022" t="str">
        <x:v>PHYSICAL</x:v>
      </x:c>
      <x:c r="D2022" t="str">
        <x:v>terrain geometry</x:v>
      </x:c>
      <x:c r="E2022" t="n">
        <x:f>IF('Terrain Field'!J844&lt;&gt;"",1,0)</x:f>
        <x:v>0</x:v>
      </x:c>
      <x:c r="F2022" t="n">
        <x:v>1</x:v>
      </x:c>
      <x:c r="G2022" t="str">
        <x:v>equals</x:v>
      </x:c>
      <x:c r="H2022" t="str">
        <x:v>independent physical acceptance</x:v>
      </x:c>
      <x:c r="I2022" t="str">
        <x:f>IF(E2022=1,"PASS","OPEN")</x:f>
        <x:v>OPEN</x:v>
      </x:c>
    </x:row>
    <x:row r="2023">
      <x:c r="B2023" t="str">
        <x:v>PH-TG-838-L</x:v>
      </x:c>
      <x:c r="C2023" t="str">
        <x:v>PHYSICAL</x:v>
      </x:c>
      <x:c r="D2023" t="str">
        <x:v>terrain load</x:v>
      </x:c>
      <x:c r="E2023" t="n">
        <x:f>IF('Terrain Field'!K844&lt;&gt;"",1,0)</x:f>
        <x:v>0</x:v>
      </x:c>
      <x:c r="F2023" t="n">
        <x:v>1</x:v>
      </x:c>
      <x:c r="G2023" t="str">
        <x:v>equals</x:v>
      </x:c>
      <x:c r="H2023" t="str">
        <x:v>independent physical acceptance</x:v>
      </x:c>
      <x:c r="I2023" t="str">
        <x:f>IF(E2023=1,"PASS","OPEN")</x:f>
        <x:v>OPEN</x:v>
      </x:c>
    </x:row>
    <x:row r="2024">
      <x:c r="B2024" t="str">
        <x:v>PH-TG-839-G</x:v>
      </x:c>
      <x:c r="C2024" t="str">
        <x:v>PHYSICAL</x:v>
      </x:c>
      <x:c r="D2024" t="str">
        <x:v>terrain geometry</x:v>
      </x:c>
      <x:c r="E2024" t="n">
        <x:f>IF('Terrain Field'!J845&lt;&gt;"",1,0)</x:f>
        <x:v>0</x:v>
      </x:c>
      <x:c r="F2024" t="n">
        <x:v>1</x:v>
      </x:c>
      <x:c r="G2024" t="str">
        <x:v>equals</x:v>
      </x:c>
      <x:c r="H2024" t="str">
        <x:v>independent physical acceptance</x:v>
      </x:c>
      <x:c r="I2024" t="str">
        <x:f>IF(E2024=1,"PASS","OPEN")</x:f>
        <x:v>OPEN</x:v>
      </x:c>
    </x:row>
    <x:row r="2025">
      <x:c r="B2025" t="str">
        <x:v>PH-TG-839-L</x:v>
      </x:c>
      <x:c r="C2025" t="str">
        <x:v>PHYSICAL</x:v>
      </x:c>
      <x:c r="D2025" t="str">
        <x:v>terrain load</x:v>
      </x:c>
      <x:c r="E2025" t="n">
        <x:f>IF('Terrain Field'!K845&lt;&gt;"",1,0)</x:f>
        <x:v>0</x:v>
      </x:c>
      <x:c r="F2025" t="n">
        <x:v>1</x:v>
      </x:c>
      <x:c r="G2025" t="str">
        <x:v>equals</x:v>
      </x:c>
      <x:c r="H2025" t="str">
        <x:v>independent physical acceptance</x:v>
      </x:c>
      <x:c r="I2025" t="str">
        <x:f>IF(E2025=1,"PASS","OPEN")</x:f>
        <x:v>OPEN</x:v>
      </x:c>
    </x:row>
    <x:row r="2026">
      <x:c r="B2026" t="str">
        <x:v>PH-TG-840-G</x:v>
      </x:c>
      <x:c r="C2026" t="str">
        <x:v>PHYSICAL</x:v>
      </x:c>
      <x:c r="D2026" t="str">
        <x:v>terrain geometry</x:v>
      </x:c>
      <x:c r="E2026" t="n">
        <x:f>IF('Terrain Field'!J846&lt;&gt;"",1,0)</x:f>
        <x:v>0</x:v>
      </x:c>
      <x:c r="F2026" t="n">
        <x:v>1</x:v>
      </x:c>
      <x:c r="G2026" t="str">
        <x:v>equals</x:v>
      </x:c>
      <x:c r="H2026" t="str">
        <x:v>independent physical acceptance</x:v>
      </x:c>
      <x:c r="I2026" t="str">
        <x:f>IF(E2026=1,"PASS","OPEN")</x:f>
        <x:v>OPEN</x:v>
      </x:c>
    </x:row>
    <x:row r="2027">
      <x:c r="B2027" t="str">
        <x:v>PH-TG-840-L</x:v>
      </x:c>
      <x:c r="C2027" t="str">
        <x:v>PHYSICAL</x:v>
      </x:c>
      <x:c r="D2027" t="str">
        <x:v>terrain load</x:v>
      </x:c>
      <x:c r="E2027" t="n">
        <x:f>IF('Terrain Field'!K846&lt;&gt;"",1,0)</x:f>
        <x:v>0</x:v>
      </x:c>
      <x:c r="F2027" t="n">
        <x:v>1</x:v>
      </x:c>
      <x:c r="G2027" t="str">
        <x:v>equals</x:v>
      </x:c>
      <x:c r="H2027" t="str">
        <x:v>independent physical acceptance</x:v>
      </x:c>
      <x:c r="I2027" t="str">
        <x:f>IF(E2027=1,"PASS","OPEN")</x:f>
        <x:v>OPEN</x:v>
      </x:c>
    </x:row>
    <x:row r="2028">
      <x:c r="B2028" t="str">
        <x:v>PH-TG-841-G</x:v>
      </x:c>
      <x:c r="C2028" t="str">
        <x:v>PHYSICAL</x:v>
      </x:c>
      <x:c r="D2028" t="str">
        <x:v>terrain geometry</x:v>
      </x:c>
      <x:c r="E2028" t="n">
        <x:f>IF('Terrain Field'!J847&lt;&gt;"",1,0)</x:f>
        <x:v>0</x:v>
      </x:c>
      <x:c r="F2028" t="n">
        <x:v>1</x:v>
      </x:c>
      <x:c r="G2028" t="str">
        <x:v>equals</x:v>
      </x:c>
      <x:c r="H2028" t="str">
        <x:v>independent physical acceptance</x:v>
      </x:c>
      <x:c r="I2028" t="str">
        <x:f>IF(E2028=1,"PASS","OPEN")</x:f>
        <x:v>OPEN</x:v>
      </x:c>
    </x:row>
    <x:row r="2029">
      <x:c r="B2029" t="str">
        <x:v>PH-TG-841-L</x:v>
      </x:c>
      <x:c r="C2029" t="str">
        <x:v>PHYSICAL</x:v>
      </x:c>
      <x:c r="D2029" t="str">
        <x:v>terrain load</x:v>
      </x:c>
      <x:c r="E2029" t="n">
        <x:f>IF('Terrain Field'!K847&lt;&gt;"",1,0)</x:f>
        <x:v>0</x:v>
      </x:c>
      <x:c r="F2029" t="n">
        <x:v>1</x:v>
      </x:c>
      <x:c r="G2029" t="str">
        <x:v>equals</x:v>
      </x:c>
      <x:c r="H2029" t="str">
        <x:v>independent physical acceptance</x:v>
      </x:c>
      <x:c r="I2029" t="str">
        <x:f>IF(E2029=1,"PASS","OPEN")</x:f>
        <x:v>OPEN</x:v>
      </x:c>
    </x:row>
    <x:row r="2030">
      <x:c r="B2030" t="str">
        <x:v>PH-TG-842-G</x:v>
      </x:c>
      <x:c r="C2030" t="str">
        <x:v>PHYSICAL</x:v>
      </x:c>
      <x:c r="D2030" t="str">
        <x:v>terrain geometry</x:v>
      </x:c>
      <x:c r="E2030" t="n">
        <x:f>IF('Terrain Field'!J848&lt;&gt;"",1,0)</x:f>
        <x:v>0</x:v>
      </x:c>
      <x:c r="F2030" t="n">
        <x:v>1</x:v>
      </x:c>
      <x:c r="G2030" t="str">
        <x:v>equals</x:v>
      </x:c>
      <x:c r="H2030" t="str">
        <x:v>independent physical acceptance</x:v>
      </x:c>
      <x:c r="I2030" t="str">
        <x:f>IF(E2030=1,"PASS","OPEN")</x:f>
        <x:v>OPEN</x:v>
      </x:c>
    </x:row>
    <x:row r="2031">
      <x:c r="B2031" t="str">
        <x:v>PH-TG-842-L</x:v>
      </x:c>
      <x:c r="C2031" t="str">
        <x:v>PHYSICAL</x:v>
      </x:c>
      <x:c r="D2031" t="str">
        <x:v>terrain load</x:v>
      </x:c>
      <x:c r="E2031" t="n">
        <x:f>IF('Terrain Field'!K848&lt;&gt;"",1,0)</x:f>
        <x:v>0</x:v>
      </x:c>
      <x:c r="F2031" t="n">
        <x:v>1</x:v>
      </x:c>
      <x:c r="G2031" t="str">
        <x:v>equals</x:v>
      </x:c>
      <x:c r="H2031" t="str">
        <x:v>independent physical acceptance</x:v>
      </x:c>
      <x:c r="I2031" t="str">
        <x:f>IF(E2031=1,"PASS","OPEN")</x:f>
        <x:v>OPEN</x:v>
      </x:c>
    </x:row>
    <x:row r="2032">
      <x:c r="B2032" t="str">
        <x:v>PH-TG-843-G</x:v>
      </x:c>
      <x:c r="C2032" t="str">
        <x:v>PHYSICAL</x:v>
      </x:c>
      <x:c r="D2032" t="str">
        <x:v>terrain geometry</x:v>
      </x:c>
      <x:c r="E2032" t="n">
        <x:f>IF('Terrain Field'!J849&lt;&gt;"",1,0)</x:f>
        <x:v>0</x:v>
      </x:c>
      <x:c r="F2032" t="n">
        <x:v>1</x:v>
      </x:c>
      <x:c r="G2032" t="str">
        <x:v>equals</x:v>
      </x:c>
      <x:c r="H2032" t="str">
        <x:v>independent physical acceptance</x:v>
      </x:c>
      <x:c r="I2032" t="str">
        <x:f>IF(E2032=1,"PASS","OPEN")</x:f>
        <x:v>OPEN</x:v>
      </x:c>
    </x:row>
    <x:row r="2033">
      <x:c r="B2033" t="str">
        <x:v>PH-TG-843-L</x:v>
      </x:c>
      <x:c r="C2033" t="str">
        <x:v>PHYSICAL</x:v>
      </x:c>
      <x:c r="D2033" t="str">
        <x:v>terrain load</x:v>
      </x:c>
      <x:c r="E2033" t="n">
        <x:f>IF('Terrain Field'!K849&lt;&gt;"",1,0)</x:f>
        <x:v>0</x:v>
      </x:c>
      <x:c r="F2033" t="n">
        <x:v>1</x:v>
      </x:c>
      <x:c r="G2033" t="str">
        <x:v>equals</x:v>
      </x:c>
      <x:c r="H2033" t="str">
        <x:v>independent physical acceptance</x:v>
      </x:c>
      <x:c r="I2033" t="str">
        <x:f>IF(E2033=1,"PASS","OPEN")</x:f>
        <x:v>OPEN</x:v>
      </x:c>
    </x:row>
    <x:row r="2034">
      <x:c r="B2034" t="str">
        <x:v>PH-TG-844-G</x:v>
      </x:c>
      <x:c r="C2034" t="str">
        <x:v>PHYSICAL</x:v>
      </x:c>
      <x:c r="D2034" t="str">
        <x:v>terrain geometry</x:v>
      </x:c>
      <x:c r="E2034" t="n">
        <x:f>IF('Terrain Field'!J850&lt;&gt;"",1,0)</x:f>
        <x:v>0</x:v>
      </x:c>
      <x:c r="F2034" t="n">
        <x:v>1</x:v>
      </x:c>
      <x:c r="G2034" t="str">
        <x:v>equals</x:v>
      </x:c>
      <x:c r="H2034" t="str">
        <x:v>independent physical acceptance</x:v>
      </x:c>
      <x:c r="I2034" t="str">
        <x:f>IF(E2034=1,"PASS","OPEN")</x:f>
        <x:v>OPEN</x:v>
      </x:c>
    </x:row>
    <x:row r="2035">
      <x:c r="B2035" t="str">
        <x:v>PH-TG-844-L</x:v>
      </x:c>
      <x:c r="C2035" t="str">
        <x:v>PHYSICAL</x:v>
      </x:c>
      <x:c r="D2035" t="str">
        <x:v>terrain load</x:v>
      </x:c>
      <x:c r="E2035" t="n">
        <x:f>IF('Terrain Field'!K850&lt;&gt;"",1,0)</x:f>
        <x:v>0</x:v>
      </x:c>
      <x:c r="F2035" t="n">
        <x:v>1</x:v>
      </x:c>
      <x:c r="G2035" t="str">
        <x:v>equals</x:v>
      </x:c>
      <x:c r="H2035" t="str">
        <x:v>independent physical acceptance</x:v>
      </x:c>
      <x:c r="I2035" t="str">
        <x:f>IF(E2035=1,"PASS","OPEN")</x:f>
        <x:v>OPEN</x:v>
      </x:c>
    </x:row>
    <x:row r="2036">
      <x:c r="B2036" t="str">
        <x:v>PH-TG-845-G</x:v>
      </x:c>
      <x:c r="C2036" t="str">
        <x:v>PHYSICAL</x:v>
      </x:c>
      <x:c r="D2036" t="str">
        <x:v>terrain geometry</x:v>
      </x:c>
      <x:c r="E2036" t="n">
        <x:f>IF('Terrain Field'!J851&lt;&gt;"",1,0)</x:f>
        <x:v>0</x:v>
      </x:c>
      <x:c r="F2036" t="n">
        <x:v>1</x:v>
      </x:c>
      <x:c r="G2036" t="str">
        <x:v>equals</x:v>
      </x:c>
      <x:c r="H2036" t="str">
        <x:v>independent physical acceptance</x:v>
      </x:c>
      <x:c r="I2036" t="str">
        <x:f>IF(E2036=1,"PASS","OPEN")</x:f>
        <x:v>OPEN</x:v>
      </x:c>
    </x:row>
    <x:row r="2037">
      <x:c r="B2037" t="str">
        <x:v>PH-TG-845-L</x:v>
      </x:c>
      <x:c r="C2037" t="str">
        <x:v>PHYSICAL</x:v>
      </x:c>
      <x:c r="D2037" t="str">
        <x:v>terrain load</x:v>
      </x:c>
      <x:c r="E2037" t="n">
        <x:f>IF('Terrain Field'!K851&lt;&gt;"",1,0)</x:f>
        <x:v>0</x:v>
      </x:c>
      <x:c r="F2037" t="n">
        <x:v>1</x:v>
      </x:c>
      <x:c r="G2037" t="str">
        <x:v>equals</x:v>
      </x:c>
      <x:c r="H2037" t="str">
        <x:v>independent physical acceptance</x:v>
      </x:c>
      <x:c r="I2037" t="str">
        <x:f>IF(E2037=1,"PASS","OPEN")</x:f>
        <x:v>OPEN</x:v>
      </x:c>
    </x:row>
    <x:row r="2038">
      <x:c r="B2038" t="str">
        <x:v>PH-TG-846-G</x:v>
      </x:c>
      <x:c r="C2038" t="str">
        <x:v>PHYSICAL</x:v>
      </x:c>
      <x:c r="D2038" t="str">
        <x:v>terrain geometry</x:v>
      </x:c>
      <x:c r="E2038" t="n">
        <x:f>IF('Terrain Field'!J852&lt;&gt;"",1,0)</x:f>
        <x:v>0</x:v>
      </x:c>
      <x:c r="F2038" t="n">
        <x:v>1</x:v>
      </x:c>
      <x:c r="G2038" t="str">
        <x:v>equals</x:v>
      </x:c>
      <x:c r="H2038" t="str">
        <x:v>independent physical acceptance</x:v>
      </x:c>
      <x:c r="I2038" t="str">
        <x:f>IF(E2038=1,"PASS","OPEN")</x:f>
        <x:v>OPEN</x:v>
      </x:c>
    </x:row>
    <x:row r="2039">
      <x:c r="B2039" t="str">
        <x:v>PH-TG-846-L</x:v>
      </x:c>
      <x:c r="C2039" t="str">
        <x:v>PHYSICAL</x:v>
      </x:c>
      <x:c r="D2039" t="str">
        <x:v>terrain load</x:v>
      </x:c>
      <x:c r="E2039" t="n">
        <x:f>IF('Terrain Field'!K852&lt;&gt;"",1,0)</x:f>
        <x:v>0</x:v>
      </x:c>
      <x:c r="F2039" t="n">
        <x:v>1</x:v>
      </x:c>
      <x:c r="G2039" t="str">
        <x:v>equals</x:v>
      </x:c>
      <x:c r="H2039" t="str">
        <x:v>independent physical acceptance</x:v>
      </x:c>
      <x:c r="I2039" t="str">
        <x:f>IF(E2039=1,"PASS","OPEN")</x:f>
        <x:v>OPEN</x:v>
      </x:c>
    </x:row>
    <x:row r="2040">
      <x:c r="B2040" t="str">
        <x:v>PH-TG-847-G</x:v>
      </x:c>
      <x:c r="C2040" t="str">
        <x:v>PHYSICAL</x:v>
      </x:c>
      <x:c r="D2040" t="str">
        <x:v>terrain geometry</x:v>
      </x:c>
      <x:c r="E2040" t="n">
        <x:f>IF('Terrain Field'!J853&lt;&gt;"",1,0)</x:f>
        <x:v>0</x:v>
      </x:c>
      <x:c r="F2040" t="n">
        <x:v>1</x:v>
      </x:c>
      <x:c r="G2040" t="str">
        <x:v>equals</x:v>
      </x:c>
      <x:c r="H2040" t="str">
        <x:v>independent physical acceptance</x:v>
      </x:c>
      <x:c r="I2040" t="str">
        <x:f>IF(E2040=1,"PASS","OPEN")</x:f>
        <x:v>OPEN</x:v>
      </x:c>
    </x:row>
    <x:row r="2041">
      <x:c r="B2041" t="str">
        <x:v>PH-TG-847-L</x:v>
      </x:c>
      <x:c r="C2041" t="str">
        <x:v>PHYSICAL</x:v>
      </x:c>
      <x:c r="D2041" t="str">
        <x:v>terrain load</x:v>
      </x:c>
      <x:c r="E2041" t="n">
        <x:f>IF('Terrain Field'!K853&lt;&gt;"",1,0)</x:f>
        <x:v>0</x:v>
      </x:c>
      <x:c r="F2041" t="n">
        <x:v>1</x:v>
      </x:c>
      <x:c r="G2041" t="str">
        <x:v>equals</x:v>
      </x:c>
      <x:c r="H2041" t="str">
        <x:v>independent physical acceptance</x:v>
      </x:c>
      <x:c r="I2041" t="str">
        <x:f>IF(E2041=1,"PASS","OPEN")</x:f>
        <x:v>OPEN</x:v>
      </x:c>
    </x:row>
    <x:row r="2042">
      <x:c r="B2042" t="str">
        <x:v>PH-TG-848-G</x:v>
      </x:c>
      <x:c r="C2042" t="str">
        <x:v>PHYSICAL</x:v>
      </x:c>
      <x:c r="D2042" t="str">
        <x:v>terrain geometry</x:v>
      </x:c>
      <x:c r="E2042" t="n">
        <x:f>IF('Terrain Field'!J854&lt;&gt;"",1,0)</x:f>
        <x:v>0</x:v>
      </x:c>
      <x:c r="F2042" t="n">
        <x:v>1</x:v>
      </x:c>
      <x:c r="G2042" t="str">
        <x:v>equals</x:v>
      </x:c>
      <x:c r="H2042" t="str">
        <x:v>independent physical acceptance</x:v>
      </x:c>
      <x:c r="I2042" t="str">
        <x:f>IF(E2042=1,"PASS","OPEN")</x:f>
        <x:v>OPEN</x:v>
      </x:c>
    </x:row>
    <x:row r="2043">
      <x:c r="B2043" t="str">
        <x:v>PH-TG-848-L</x:v>
      </x:c>
      <x:c r="C2043" t="str">
        <x:v>PHYSICAL</x:v>
      </x:c>
      <x:c r="D2043" t="str">
        <x:v>terrain load</x:v>
      </x:c>
      <x:c r="E2043" t="n">
        <x:f>IF('Terrain Field'!K854&lt;&gt;"",1,0)</x:f>
        <x:v>0</x:v>
      </x:c>
      <x:c r="F2043" t="n">
        <x:v>1</x:v>
      </x:c>
      <x:c r="G2043" t="str">
        <x:v>equals</x:v>
      </x:c>
      <x:c r="H2043" t="str">
        <x:v>independent physical acceptance</x:v>
      </x:c>
      <x:c r="I2043" t="str">
        <x:f>IF(E2043=1,"PASS","OPEN")</x:f>
        <x:v>OPEN</x:v>
      </x:c>
    </x:row>
    <x:row r="2044">
      <x:c r="B2044" t="str">
        <x:v>PH-TG-849-G</x:v>
      </x:c>
      <x:c r="C2044" t="str">
        <x:v>PHYSICAL</x:v>
      </x:c>
      <x:c r="D2044" t="str">
        <x:v>terrain geometry</x:v>
      </x:c>
      <x:c r="E2044" t="n">
        <x:f>IF('Terrain Field'!J855&lt;&gt;"",1,0)</x:f>
        <x:v>0</x:v>
      </x:c>
      <x:c r="F2044" t="n">
        <x:v>1</x:v>
      </x:c>
      <x:c r="G2044" t="str">
        <x:v>equals</x:v>
      </x:c>
      <x:c r="H2044" t="str">
        <x:v>independent physical acceptance</x:v>
      </x:c>
      <x:c r="I2044" t="str">
        <x:f>IF(E2044=1,"PASS","OPEN")</x:f>
        <x:v>OPEN</x:v>
      </x:c>
    </x:row>
    <x:row r="2045">
      <x:c r="B2045" t="str">
        <x:v>PH-TG-849-L</x:v>
      </x:c>
      <x:c r="C2045" t="str">
        <x:v>PHYSICAL</x:v>
      </x:c>
      <x:c r="D2045" t="str">
        <x:v>terrain load</x:v>
      </x:c>
      <x:c r="E2045" t="n">
        <x:f>IF('Terrain Field'!K855&lt;&gt;"",1,0)</x:f>
        <x:v>0</x:v>
      </x:c>
      <x:c r="F2045" t="n">
        <x:v>1</x:v>
      </x:c>
      <x:c r="G2045" t="str">
        <x:v>equals</x:v>
      </x:c>
      <x:c r="H2045" t="str">
        <x:v>independent physical acceptance</x:v>
      </x:c>
      <x:c r="I2045" t="str">
        <x:f>IF(E2045=1,"PASS","OPEN")</x:f>
        <x:v>OPEN</x:v>
      </x:c>
    </x:row>
    <x:row r="2046">
      <x:c r="B2046" t="str">
        <x:v>PH-TG-850-G</x:v>
      </x:c>
      <x:c r="C2046" t="str">
        <x:v>PHYSICAL</x:v>
      </x:c>
      <x:c r="D2046" t="str">
        <x:v>terrain geometry</x:v>
      </x:c>
      <x:c r="E2046" t="n">
        <x:f>IF('Terrain Field'!J856&lt;&gt;"",1,0)</x:f>
        <x:v>0</x:v>
      </x:c>
      <x:c r="F2046" t="n">
        <x:v>1</x:v>
      </x:c>
      <x:c r="G2046" t="str">
        <x:v>equals</x:v>
      </x:c>
      <x:c r="H2046" t="str">
        <x:v>independent physical acceptance</x:v>
      </x:c>
      <x:c r="I2046" t="str">
        <x:f>IF(E2046=1,"PASS","OPEN")</x:f>
        <x:v>OPEN</x:v>
      </x:c>
    </x:row>
    <x:row r="2047">
      <x:c r="B2047" t="str">
        <x:v>PH-TG-850-L</x:v>
      </x:c>
      <x:c r="C2047" t="str">
        <x:v>PHYSICAL</x:v>
      </x:c>
      <x:c r="D2047" t="str">
        <x:v>terrain load</x:v>
      </x:c>
      <x:c r="E2047" t="n">
        <x:f>IF('Terrain Field'!K856&lt;&gt;"",1,0)</x:f>
        <x:v>0</x:v>
      </x:c>
      <x:c r="F2047" t="n">
        <x:v>1</x:v>
      </x:c>
      <x:c r="G2047" t="str">
        <x:v>equals</x:v>
      </x:c>
      <x:c r="H2047" t="str">
        <x:v>independent physical acceptance</x:v>
      </x:c>
      <x:c r="I2047" t="str">
        <x:f>IF(E2047=1,"PASS","OPEN")</x:f>
        <x:v>OPEN</x:v>
      </x:c>
    </x:row>
    <x:row r="2048">
      <x:c r="B2048" t="str">
        <x:v>PH-TG-851-G</x:v>
      </x:c>
      <x:c r="C2048" t="str">
        <x:v>PHYSICAL</x:v>
      </x:c>
      <x:c r="D2048" t="str">
        <x:v>terrain geometry</x:v>
      </x:c>
      <x:c r="E2048" t="n">
        <x:f>IF('Terrain Field'!J857&lt;&gt;"",1,0)</x:f>
        <x:v>0</x:v>
      </x:c>
      <x:c r="F2048" t="n">
        <x:v>1</x:v>
      </x:c>
      <x:c r="G2048" t="str">
        <x:v>equals</x:v>
      </x:c>
      <x:c r="H2048" t="str">
        <x:v>independent physical acceptance</x:v>
      </x:c>
      <x:c r="I2048" t="str">
        <x:f>IF(E2048=1,"PASS","OPEN")</x:f>
        <x:v>OPEN</x:v>
      </x:c>
    </x:row>
    <x:row r="2049">
      <x:c r="B2049" t="str">
        <x:v>PH-TG-851-L</x:v>
      </x:c>
      <x:c r="C2049" t="str">
        <x:v>PHYSICAL</x:v>
      </x:c>
      <x:c r="D2049" t="str">
        <x:v>terrain load</x:v>
      </x:c>
      <x:c r="E2049" t="n">
        <x:f>IF('Terrain Field'!K857&lt;&gt;"",1,0)</x:f>
        <x:v>0</x:v>
      </x:c>
      <x:c r="F2049" t="n">
        <x:v>1</x:v>
      </x:c>
      <x:c r="G2049" t="str">
        <x:v>equals</x:v>
      </x:c>
      <x:c r="H2049" t="str">
        <x:v>independent physical acceptance</x:v>
      </x:c>
      <x:c r="I2049" t="str">
        <x:f>IF(E2049=1,"PASS","OPEN")</x:f>
        <x:v>OPEN</x:v>
      </x:c>
    </x:row>
    <x:row r="2050">
      <x:c r="B2050" t="str">
        <x:v>PH-TG-852-G</x:v>
      </x:c>
      <x:c r="C2050" t="str">
        <x:v>PHYSICAL</x:v>
      </x:c>
      <x:c r="D2050" t="str">
        <x:v>terrain geometry</x:v>
      </x:c>
      <x:c r="E2050" t="n">
        <x:f>IF('Terrain Field'!J858&lt;&gt;"",1,0)</x:f>
        <x:v>0</x:v>
      </x:c>
      <x:c r="F2050" t="n">
        <x:v>1</x:v>
      </x:c>
      <x:c r="G2050" t="str">
        <x:v>equals</x:v>
      </x:c>
      <x:c r="H2050" t="str">
        <x:v>independent physical acceptance</x:v>
      </x:c>
      <x:c r="I2050" t="str">
        <x:f>IF(E2050=1,"PASS","OPEN")</x:f>
        <x:v>OPEN</x:v>
      </x:c>
    </x:row>
    <x:row r="2051">
      <x:c r="B2051" t="str">
        <x:v>PH-TG-852-L</x:v>
      </x:c>
      <x:c r="C2051" t="str">
        <x:v>PHYSICAL</x:v>
      </x:c>
      <x:c r="D2051" t="str">
        <x:v>terrain load</x:v>
      </x:c>
      <x:c r="E2051" t="n">
        <x:f>IF('Terrain Field'!K858&lt;&gt;"",1,0)</x:f>
        <x:v>0</x:v>
      </x:c>
      <x:c r="F2051" t="n">
        <x:v>1</x:v>
      </x:c>
      <x:c r="G2051" t="str">
        <x:v>equals</x:v>
      </x:c>
      <x:c r="H2051" t="str">
        <x:v>independent physical acceptance</x:v>
      </x:c>
      <x:c r="I2051" t="str">
        <x:f>IF(E2051=1,"PASS","OPEN")</x:f>
        <x:v>OPEN</x:v>
      </x:c>
    </x:row>
    <x:row r="2052">
      <x:c r="B2052" t="str">
        <x:v>PH-TG-853-G</x:v>
      </x:c>
      <x:c r="C2052" t="str">
        <x:v>PHYSICAL</x:v>
      </x:c>
      <x:c r="D2052" t="str">
        <x:v>terrain geometry</x:v>
      </x:c>
      <x:c r="E2052" t="n">
        <x:f>IF('Terrain Field'!J859&lt;&gt;"",1,0)</x:f>
        <x:v>0</x:v>
      </x:c>
      <x:c r="F2052" t="n">
        <x:v>1</x:v>
      </x:c>
      <x:c r="G2052" t="str">
        <x:v>equals</x:v>
      </x:c>
      <x:c r="H2052" t="str">
        <x:v>independent physical acceptance</x:v>
      </x:c>
      <x:c r="I2052" t="str">
        <x:f>IF(E2052=1,"PASS","OPEN")</x:f>
        <x:v>OPEN</x:v>
      </x:c>
    </x:row>
    <x:row r="2053">
      <x:c r="B2053" t="str">
        <x:v>PH-TG-853-L</x:v>
      </x:c>
      <x:c r="C2053" t="str">
        <x:v>PHYSICAL</x:v>
      </x:c>
      <x:c r="D2053" t="str">
        <x:v>terrain load</x:v>
      </x:c>
      <x:c r="E2053" t="n">
        <x:f>IF('Terrain Field'!K859&lt;&gt;"",1,0)</x:f>
        <x:v>0</x:v>
      </x:c>
      <x:c r="F2053" t="n">
        <x:v>1</x:v>
      </x:c>
      <x:c r="G2053" t="str">
        <x:v>equals</x:v>
      </x:c>
      <x:c r="H2053" t="str">
        <x:v>independent physical acceptance</x:v>
      </x:c>
      <x:c r="I2053" t="str">
        <x:f>IF(E2053=1,"PASS","OPEN")</x:f>
        <x:v>OPEN</x:v>
      </x:c>
    </x:row>
    <x:row r="2054">
      <x:c r="B2054" t="str">
        <x:v>PH-TG-854-G</x:v>
      </x:c>
      <x:c r="C2054" t="str">
        <x:v>PHYSICAL</x:v>
      </x:c>
      <x:c r="D2054" t="str">
        <x:v>terrain geometry</x:v>
      </x:c>
      <x:c r="E2054" t="n">
        <x:f>IF('Terrain Field'!J860&lt;&gt;"",1,0)</x:f>
        <x:v>0</x:v>
      </x:c>
      <x:c r="F2054" t="n">
        <x:v>1</x:v>
      </x:c>
      <x:c r="G2054" t="str">
        <x:v>equals</x:v>
      </x:c>
      <x:c r="H2054" t="str">
        <x:v>independent physical acceptance</x:v>
      </x:c>
      <x:c r="I2054" t="str">
        <x:f>IF(E2054=1,"PASS","OPEN")</x:f>
        <x:v>OPEN</x:v>
      </x:c>
    </x:row>
    <x:row r="2055">
      <x:c r="B2055" t="str">
        <x:v>PH-TG-854-L</x:v>
      </x:c>
      <x:c r="C2055" t="str">
        <x:v>PHYSICAL</x:v>
      </x:c>
      <x:c r="D2055" t="str">
        <x:v>terrain load</x:v>
      </x:c>
      <x:c r="E2055" t="n">
        <x:f>IF('Terrain Field'!K860&lt;&gt;"",1,0)</x:f>
        <x:v>0</x:v>
      </x:c>
      <x:c r="F2055" t="n">
        <x:v>1</x:v>
      </x:c>
      <x:c r="G2055" t="str">
        <x:v>equals</x:v>
      </x:c>
      <x:c r="H2055" t="str">
        <x:v>independent physical acceptance</x:v>
      </x:c>
      <x:c r="I2055" t="str">
        <x:f>IF(E2055=1,"PASS","OPEN")</x:f>
        <x:v>OPEN</x:v>
      </x:c>
    </x:row>
    <x:row r="2056">
      <x:c r="B2056" t="str">
        <x:v>PH-TG-855-G</x:v>
      </x:c>
      <x:c r="C2056" t="str">
        <x:v>PHYSICAL</x:v>
      </x:c>
      <x:c r="D2056" t="str">
        <x:v>terrain geometry</x:v>
      </x:c>
      <x:c r="E2056" t="n">
        <x:f>IF('Terrain Field'!J861&lt;&gt;"",1,0)</x:f>
        <x:v>0</x:v>
      </x:c>
      <x:c r="F2056" t="n">
        <x:v>1</x:v>
      </x:c>
      <x:c r="G2056" t="str">
        <x:v>equals</x:v>
      </x:c>
      <x:c r="H2056" t="str">
        <x:v>independent physical acceptance</x:v>
      </x:c>
      <x:c r="I2056" t="str">
        <x:f>IF(E2056=1,"PASS","OPEN")</x:f>
        <x:v>OPEN</x:v>
      </x:c>
    </x:row>
    <x:row r="2057">
      <x:c r="B2057" t="str">
        <x:v>PH-TG-855-L</x:v>
      </x:c>
      <x:c r="C2057" t="str">
        <x:v>PHYSICAL</x:v>
      </x:c>
      <x:c r="D2057" t="str">
        <x:v>terrain load</x:v>
      </x:c>
      <x:c r="E2057" t="n">
        <x:f>IF('Terrain Field'!K861&lt;&gt;"",1,0)</x:f>
        <x:v>0</x:v>
      </x:c>
      <x:c r="F2057" t="n">
        <x:v>1</x:v>
      </x:c>
      <x:c r="G2057" t="str">
        <x:v>equals</x:v>
      </x:c>
      <x:c r="H2057" t="str">
        <x:v>independent physical acceptance</x:v>
      </x:c>
      <x:c r="I2057" t="str">
        <x:f>IF(E2057=1,"PASS","OPEN")</x:f>
        <x:v>OPEN</x:v>
      </x:c>
    </x:row>
    <x:row r="2058">
      <x:c r="B2058" t="str">
        <x:v>PH-TG-856-G</x:v>
      </x:c>
      <x:c r="C2058" t="str">
        <x:v>PHYSICAL</x:v>
      </x:c>
      <x:c r="D2058" t="str">
        <x:v>terrain geometry</x:v>
      </x:c>
      <x:c r="E2058" t="n">
        <x:f>IF('Terrain Field'!J862&lt;&gt;"",1,0)</x:f>
        <x:v>0</x:v>
      </x:c>
      <x:c r="F2058" t="n">
        <x:v>1</x:v>
      </x:c>
      <x:c r="G2058" t="str">
        <x:v>equals</x:v>
      </x:c>
      <x:c r="H2058" t="str">
        <x:v>independent physical acceptance</x:v>
      </x:c>
      <x:c r="I2058" t="str">
        <x:f>IF(E2058=1,"PASS","OPEN")</x:f>
        <x:v>OPEN</x:v>
      </x:c>
    </x:row>
    <x:row r="2059">
      <x:c r="B2059" t="str">
        <x:v>PH-TG-856-L</x:v>
      </x:c>
      <x:c r="C2059" t="str">
        <x:v>PHYSICAL</x:v>
      </x:c>
      <x:c r="D2059" t="str">
        <x:v>terrain load</x:v>
      </x:c>
      <x:c r="E2059" t="n">
        <x:f>IF('Terrain Field'!K862&lt;&gt;"",1,0)</x:f>
        <x:v>0</x:v>
      </x:c>
      <x:c r="F2059" t="n">
        <x:v>1</x:v>
      </x:c>
      <x:c r="G2059" t="str">
        <x:v>equals</x:v>
      </x:c>
      <x:c r="H2059" t="str">
        <x:v>independent physical acceptance</x:v>
      </x:c>
      <x:c r="I2059" t="str">
        <x:f>IF(E2059=1,"PASS","OPEN")</x:f>
        <x:v>OPEN</x:v>
      </x:c>
    </x:row>
    <x:row r="2060">
      <x:c r="B2060" t="str">
        <x:v>PH-TG-857-G</x:v>
      </x:c>
      <x:c r="C2060" t="str">
        <x:v>PHYSICAL</x:v>
      </x:c>
      <x:c r="D2060" t="str">
        <x:v>terrain geometry</x:v>
      </x:c>
      <x:c r="E2060" t="n">
        <x:f>IF('Terrain Field'!J863&lt;&gt;"",1,0)</x:f>
        <x:v>0</x:v>
      </x:c>
      <x:c r="F2060" t="n">
        <x:v>1</x:v>
      </x:c>
      <x:c r="G2060" t="str">
        <x:v>equals</x:v>
      </x:c>
      <x:c r="H2060" t="str">
        <x:v>independent physical acceptance</x:v>
      </x:c>
      <x:c r="I2060" t="str">
        <x:f>IF(E2060=1,"PASS","OPEN")</x:f>
        <x:v>OPEN</x:v>
      </x:c>
    </x:row>
    <x:row r="2061">
      <x:c r="B2061" t="str">
        <x:v>PH-TG-857-L</x:v>
      </x:c>
      <x:c r="C2061" t="str">
        <x:v>PHYSICAL</x:v>
      </x:c>
      <x:c r="D2061" t="str">
        <x:v>terrain load</x:v>
      </x:c>
      <x:c r="E2061" t="n">
        <x:f>IF('Terrain Field'!K863&lt;&gt;"",1,0)</x:f>
        <x:v>0</x:v>
      </x:c>
      <x:c r="F2061" t="n">
        <x:v>1</x:v>
      </x:c>
      <x:c r="G2061" t="str">
        <x:v>equals</x:v>
      </x:c>
      <x:c r="H2061" t="str">
        <x:v>independent physical acceptance</x:v>
      </x:c>
      <x:c r="I2061" t="str">
        <x:f>IF(E2061=1,"PASS","OPEN")</x:f>
        <x:v>OPEN</x:v>
      </x:c>
    </x:row>
    <x:row r="2062">
      <x:c r="B2062" t="str">
        <x:v>PH-TG-858-G</x:v>
      </x:c>
      <x:c r="C2062" t="str">
        <x:v>PHYSICAL</x:v>
      </x:c>
      <x:c r="D2062" t="str">
        <x:v>terrain geometry</x:v>
      </x:c>
      <x:c r="E2062" t="n">
        <x:f>IF('Terrain Field'!J864&lt;&gt;"",1,0)</x:f>
        <x:v>0</x:v>
      </x:c>
      <x:c r="F2062" t="n">
        <x:v>1</x:v>
      </x:c>
      <x:c r="G2062" t="str">
        <x:v>equals</x:v>
      </x:c>
      <x:c r="H2062" t="str">
        <x:v>independent physical acceptance</x:v>
      </x:c>
      <x:c r="I2062" t="str">
        <x:f>IF(E2062=1,"PASS","OPEN")</x:f>
        <x:v>OPEN</x:v>
      </x:c>
    </x:row>
    <x:row r="2063">
      <x:c r="B2063" t="str">
        <x:v>PH-TG-858-L</x:v>
      </x:c>
      <x:c r="C2063" t="str">
        <x:v>PHYSICAL</x:v>
      </x:c>
      <x:c r="D2063" t="str">
        <x:v>terrain load</x:v>
      </x:c>
      <x:c r="E2063" t="n">
        <x:f>IF('Terrain Field'!K864&lt;&gt;"",1,0)</x:f>
        <x:v>0</x:v>
      </x:c>
      <x:c r="F2063" t="n">
        <x:v>1</x:v>
      </x:c>
      <x:c r="G2063" t="str">
        <x:v>equals</x:v>
      </x:c>
      <x:c r="H2063" t="str">
        <x:v>independent physical acceptance</x:v>
      </x:c>
      <x:c r="I2063" t="str">
        <x:f>IF(E2063=1,"PASS","OPEN")</x:f>
        <x:v>OPEN</x:v>
      </x:c>
    </x:row>
    <x:row r="2064">
      <x:c r="B2064" t="str">
        <x:v>PH-TG-859-G</x:v>
      </x:c>
      <x:c r="C2064" t="str">
        <x:v>PHYSICAL</x:v>
      </x:c>
      <x:c r="D2064" t="str">
        <x:v>terrain geometry</x:v>
      </x:c>
      <x:c r="E2064" t="n">
        <x:f>IF('Terrain Field'!J865&lt;&gt;"",1,0)</x:f>
        <x:v>0</x:v>
      </x:c>
      <x:c r="F2064" t="n">
        <x:v>1</x:v>
      </x:c>
      <x:c r="G2064" t="str">
        <x:v>equals</x:v>
      </x:c>
      <x:c r="H2064" t="str">
        <x:v>independent physical acceptance</x:v>
      </x:c>
      <x:c r="I2064" t="str">
        <x:f>IF(E2064=1,"PASS","OPEN")</x:f>
        <x:v>OPEN</x:v>
      </x:c>
    </x:row>
    <x:row r="2065">
      <x:c r="B2065" t="str">
        <x:v>PH-TG-859-L</x:v>
      </x:c>
      <x:c r="C2065" t="str">
        <x:v>PHYSICAL</x:v>
      </x:c>
      <x:c r="D2065" t="str">
        <x:v>terrain load</x:v>
      </x:c>
      <x:c r="E2065" t="n">
        <x:f>IF('Terrain Field'!K865&lt;&gt;"",1,0)</x:f>
        <x:v>0</x:v>
      </x:c>
      <x:c r="F2065" t="n">
        <x:v>1</x:v>
      </x:c>
      <x:c r="G2065" t="str">
        <x:v>equals</x:v>
      </x:c>
      <x:c r="H2065" t="str">
        <x:v>independent physical acceptance</x:v>
      </x:c>
      <x:c r="I2065" t="str">
        <x:f>IF(E2065=1,"PASS","OPEN")</x:f>
        <x:v>OPEN</x:v>
      </x:c>
    </x:row>
    <x:row r="2066">
      <x:c r="B2066" t="str">
        <x:v>PH-TG-860-G</x:v>
      </x:c>
      <x:c r="C2066" t="str">
        <x:v>PHYSICAL</x:v>
      </x:c>
      <x:c r="D2066" t="str">
        <x:v>terrain geometry</x:v>
      </x:c>
      <x:c r="E2066" t="n">
        <x:f>IF('Terrain Field'!J866&lt;&gt;"",1,0)</x:f>
        <x:v>0</x:v>
      </x:c>
      <x:c r="F2066" t="n">
        <x:v>1</x:v>
      </x:c>
      <x:c r="G2066" t="str">
        <x:v>equals</x:v>
      </x:c>
      <x:c r="H2066" t="str">
        <x:v>independent physical acceptance</x:v>
      </x:c>
      <x:c r="I2066" t="str">
        <x:f>IF(E2066=1,"PASS","OPEN")</x:f>
        <x:v>OPEN</x:v>
      </x:c>
    </x:row>
    <x:row r="2067">
      <x:c r="B2067" t="str">
        <x:v>PH-TG-860-L</x:v>
      </x:c>
      <x:c r="C2067" t="str">
        <x:v>PHYSICAL</x:v>
      </x:c>
      <x:c r="D2067" t="str">
        <x:v>terrain load</x:v>
      </x:c>
      <x:c r="E2067" t="n">
        <x:f>IF('Terrain Field'!K866&lt;&gt;"",1,0)</x:f>
        <x:v>0</x:v>
      </x:c>
      <x:c r="F2067" t="n">
        <x:v>1</x:v>
      </x:c>
      <x:c r="G2067" t="str">
        <x:v>equals</x:v>
      </x:c>
      <x:c r="H2067" t="str">
        <x:v>independent physical acceptance</x:v>
      </x:c>
      <x:c r="I2067" t="str">
        <x:f>IF(E2067=1,"PASS","OPEN")</x:f>
        <x:v>OPEN</x:v>
      </x:c>
    </x:row>
    <x:row r="2068">
      <x:c r="B2068" t="str">
        <x:v>PH-TG-861-G</x:v>
      </x:c>
      <x:c r="C2068" t="str">
        <x:v>PHYSICAL</x:v>
      </x:c>
      <x:c r="D2068" t="str">
        <x:v>terrain geometry</x:v>
      </x:c>
      <x:c r="E2068" t="n">
        <x:f>IF('Terrain Field'!J867&lt;&gt;"",1,0)</x:f>
        <x:v>0</x:v>
      </x:c>
      <x:c r="F2068" t="n">
        <x:v>1</x:v>
      </x:c>
      <x:c r="G2068" t="str">
        <x:v>equals</x:v>
      </x:c>
      <x:c r="H2068" t="str">
        <x:v>independent physical acceptance</x:v>
      </x:c>
      <x:c r="I2068" t="str">
        <x:f>IF(E2068=1,"PASS","OPEN")</x:f>
        <x:v>OPEN</x:v>
      </x:c>
    </x:row>
    <x:row r="2069">
      <x:c r="B2069" t="str">
        <x:v>PH-TG-861-L</x:v>
      </x:c>
      <x:c r="C2069" t="str">
        <x:v>PHYSICAL</x:v>
      </x:c>
      <x:c r="D2069" t="str">
        <x:v>terrain load</x:v>
      </x:c>
      <x:c r="E2069" t="n">
        <x:f>IF('Terrain Field'!K867&lt;&gt;"",1,0)</x:f>
        <x:v>0</x:v>
      </x:c>
      <x:c r="F2069" t="n">
        <x:v>1</x:v>
      </x:c>
      <x:c r="G2069" t="str">
        <x:v>equals</x:v>
      </x:c>
      <x:c r="H2069" t="str">
        <x:v>independent physical acceptance</x:v>
      </x:c>
      <x:c r="I2069" t="str">
        <x:f>IF(E2069=1,"PASS","OPEN")</x:f>
        <x:v>OPEN</x:v>
      </x:c>
    </x:row>
    <x:row r="2070">
      <x:c r="B2070" t="str">
        <x:v>PH-TG-862-G</x:v>
      </x:c>
      <x:c r="C2070" t="str">
        <x:v>PHYSICAL</x:v>
      </x:c>
      <x:c r="D2070" t="str">
        <x:v>terrain geometry</x:v>
      </x:c>
      <x:c r="E2070" t="n">
        <x:f>IF('Terrain Field'!J868&lt;&gt;"",1,0)</x:f>
        <x:v>0</x:v>
      </x:c>
      <x:c r="F2070" t="n">
        <x:v>1</x:v>
      </x:c>
      <x:c r="G2070" t="str">
        <x:v>equals</x:v>
      </x:c>
      <x:c r="H2070" t="str">
        <x:v>independent physical acceptance</x:v>
      </x:c>
      <x:c r="I2070" t="str">
        <x:f>IF(E2070=1,"PASS","OPEN")</x:f>
        <x:v>OPEN</x:v>
      </x:c>
    </x:row>
    <x:row r="2071">
      <x:c r="B2071" t="str">
        <x:v>PH-TG-862-L</x:v>
      </x:c>
      <x:c r="C2071" t="str">
        <x:v>PHYSICAL</x:v>
      </x:c>
      <x:c r="D2071" t="str">
        <x:v>terrain load</x:v>
      </x:c>
      <x:c r="E2071" t="n">
        <x:f>IF('Terrain Field'!K868&lt;&gt;"",1,0)</x:f>
        <x:v>0</x:v>
      </x:c>
      <x:c r="F2071" t="n">
        <x:v>1</x:v>
      </x:c>
      <x:c r="G2071" t="str">
        <x:v>equals</x:v>
      </x:c>
      <x:c r="H2071" t="str">
        <x:v>independent physical acceptance</x:v>
      </x:c>
      <x:c r="I2071" t="str">
        <x:f>IF(E2071=1,"PASS","OPEN")</x:f>
        <x:v>OPEN</x:v>
      </x:c>
    </x:row>
    <x:row r="2072">
      <x:c r="B2072" t="str">
        <x:v>PH-TG-863-G</x:v>
      </x:c>
      <x:c r="C2072" t="str">
        <x:v>PHYSICAL</x:v>
      </x:c>
      <x:c r="D2072" t="str">
        <x:v>terrain geometry</x:v>
      </x:c>
      <x:c r="E2072" t="n">
        <x:f>IF('Terrain Field'!J869&lt;&gt;"",1,0)</x:f>
        <x:v>0</x:v>
      </x:c>
      <x:c r="F2072" t="n">
        <x:v>1</x:v>
      </x:c>
      <x:c r="G2072" t="str">
        <x:v>equals</x:v>
      </x:c>
      <x:c r="H2072" t="str">
        <x:v>independent physical acceptance</x:v>
      </x:c>
      <x:c r="I2072" t="str">
        <x:f>IF(E2072=1,"PASS","OPEN")</x:f>
        <x:v>OPEN</x:v>
      </x:c>
    </x:row>
    <x:row r="2073">
      <x:c r="B2073" t="str">
        <x:v>PH-TG-863-L</x:v>
      </x:c>
      <x:c r="C2073" t="str">
        <x:v>PHYSICAL</x:v>
      </x:c>
      <x:c r="D2073" t="str">
        <x:v>terrain load</x:v>
      </x:c>
      <x:c r="E2073" t="n">
        <x:f>IF('Terrain Field'!K869&lt;&gt;"",1,0)</x:f>
        <x:v>0</x:v>
      </x:c>
      <x:c r="F2073" t="n">
        <x:v>1</x:v>
      </x:c>
      <x:c r="G2073" t="str">
        <x:v>equals</x:v>
      </x:c>
      <x:c r="H2073" t="str">
        <x:v>independent physical acceptance</x:v>
      </x:c>
      <x:c r="I2073" t="str">
        <x:f>IF(E2073=1,"PASS","OPEN")</x:f>
        <x:v>OPEN</x:v>
      </x:c>
    </x:row>
    <x:row r="2074">
      <x:c r="B2074" t="str">
        <x:v>PH-TG-864-G</x:v>
      </x:c>
      <x:c r="C2074" t="str">
        <x:v>PHYSICAL</x:v>
      </x:c>
      <x:c r="D2074" t="str">
        <x:v>terrain geometry</x:v>
      </x:c>
      <x:c r="E2074" t="n">
        <x:f>IF('Terrain Field'!J870&lt;&gt;"",1,0)</x:f>
        <x:v>0</x:v>
      </x:c>
      <x:c r="F2074" t="n">
        <x:v>1</x:v>
      </x:c>
      <x:c r="G2074" t="str">
        <x:v>equals</x:v>
      </x:c>
      <x:c r="H2074" t="str">
        <x:v>independent physical acceptance</x:v>
      </x:c>
      <x:c r="I2074" t="str">
        <x:f>IF(E2074=1,"PASS","OPEN")</x:f>
        <x:v>OPEN</x:v>
      </x:c>
    </x:row>
    <x:row r="2075">
      <x:c r="B2075" t="str">
        <x:v>PH-TG-864-L</x:v>
      </x:c>
      <x:c r="C2075" t="str">
        <x:v>PHYSICAL</x:v>
      </x:c>
      <x:c r="D2075" t="str">
        <x:v>terrain load</x:v>
      </x:c>
      <x:c r="E2075" t="n">
        <x:f>IF('Terrain Field'!K870&lt;&gt;"",1,0)</x:f>
        <x:v>0</x:v>
      </x:c>
      <x:c r="F2075" t="n">
        <x:v>1</x:v>
      </x:c>
      <x:c r="G2075" t="str">
        <x:v>equals</x:v>
      </x:c>
      <x:c r="H2075" t="str">
        <x:v>independent physical acceptance</x:v>
      </x:c>
      <x:c r="I2075" t="str">
        <x:f>IF(E2075=1,"PASS","OPEN")</x:f>
        <x:v>OPEN</x:v>
      </x:c>
    </x:row>
    <x:row r="2076">
      <x:c r="B2076" t="str">
        <x:v>PH-TG-865-G</x:v>
      </x:c>
      <x:c r="C2076" t="str">
        <x:v>PHYSICAL</x:v>
      </x:c>
      <x:c r="D2076" t="str">
        <x:v>terrain geometry</x:v>
      </x:c>
      <x:c r="E2076" t="n">
        <x:f>IF('Terrain Field'!J871&lt;&gt;"",1,0)</x:f>
        <x:v>0</x:v>
      </x:c>
      <x:c r="F2076" t="n">
        <x:v>1</x:v>
      </x:c>
      <x:c r="G2076" t="str">
        <x:v>equals</x:v>
      </x:c>
      <x:c r="H2076" t="str">
        <x:v>independent physical acceptance</x:v>
      </x:c>
      <x:c r="I2076" t="str">
        <x:f>IF(E2076=1,"PASS","OPEN")</x:f>
        <x:v>OPEN</x:v>
      </x:c>
    </x:row>
    <x:row r="2077">
      <x:c r="B2077" t="str">
        <x:v>PH-TG-865-L</x:v>
      </x:c>
      <x:c r="C2077" t="str">
        <x:v>PHYSICAL</x:v>
      </x:c>
      <x:c r="D2077" t="str">
        <x:v>terrain load</x:v>
      </x:c>
      <x:c r="E2077" t="n">
        <x:f>IF('Terrain Field'!K871&lt;&gt;"",1,0)</x:f>
        <x:v>0</x:v>
      </x:c>
      <x:c r="F2077" t="n">
        <x:v>1</x:v>
      </x:c>
      <x:c r="G2077" t="str">
        <x:v>equals</x:v>
      </x:c>
      <x:c r="H2077" t="str">
        <x:v>independent physical acceptance</x:v>
      </x:c>
      <x:c r="I2077" t="str">
        <x:f>IF(E2077=1,"PASS","OPEN")</x:f>
        <x:v>OPEN</x:v>
      </x:c>
    </x:row>
    <x:row r="2078">
      <x:c r="B2078" t="str">
        <x:v>PH-TG-866-G</x:v>
      </x:c>
      <x:c r="C2078" t="str">
        <x:v>PHYSICAL</x:v>
      </x:c>
      <x:c r="D2078" t="str">
        <x:v>terrain geometry</x:v>
      </x:c>
      <x:c r="E2078" t="n">
        <x:f>IF('Terrain Field'!J872&lt;&gt;"",1,0)</x:f>
        <x:v>0</x:v>
      </x:c>
      <x:c r="F2078" t="n">
        <x:v>1</x:v>
      </x:c>
      <x:c r="G2078" t="str">
        <x:v>equals</x:v>
      </x:c>
      <x:c r="H2078" t="str">
        <x:v>independent physical acceptance</x:v>
      </x:c>
      <x:c r="I2078" t="str">
        <x:f>IF(E2078=1,"PASS","OPEN")</x:f>
        <x:v>OPEN</x:v>
      </x:c>
    </x:row>
    <x:row r="2079">
      <x:c r="B2079" t="str">
        <x:v>PH-TG-866-L</x:v>
      </x:c>
      <x:c r="C2079" t="str">
        <x:v>PHYSICAL</x:v>
      </x:c>
      <x:c r="D2079" t="str">
        <x:v>terrain load</x:v>
      </x:c>
      <x:c r="E2079" t="n">
        <x:f>IF('Terrain Field'!K872&lt;&gt;"",1,0)</x:f>
        <x:v>0</x:v>
      </x:c>
      <x:c r="F2079" t="n">
        <x:v>1</x:v>
      </x:c>
      <x:c r="G2079" t="str">
        <x:v>equals</x:v>
      </x:c>
      <x:c r="H2079" t="str">
        <x:v>independent physical acceptance</x:v>
      </x:c>
      <x:c r="I2079" t="str">
        <x:f>IF(E2079=1,"PASS","OPEN")</x:f>
        <x:v>OPEN</x:v>
      </x:c>
    </x:row>
    <x:row r="2080">
      <x:c r="B2080" t="str">
        <x:v>PH-TG-867-G</x:v>
      </x:c>
      <x:c r="C2080" t="str">
        <x:v>PHYSICAL</x:v>
      </x:c>
      <x:c r="D2080" t="str">
        <x:v>terrain geometry</x:v>
      </x:c>
      <x:c r="E2080" t="n">
        <x:f>IF('Terrain Field'!J873&lt;&gt;"",1,0)</x:f>
        <x:v>0</x:v>
      </x:c>
      <x:c r="F2080" t="n">
        <x:v>1</x:v>
      </x:c>
      <x:c r="G2080" t="str">
        <x:v>equals</x:v>
      </x:c>
      <x:c r="H2080" t="str">
        <x:v>independent physical acceptance</x:v>
      </x:c>
      <x:c r="I2080" t="str">
        <x:f>IF(E2080=1,"PASS","OPEN")</x:f>
        <x:v>OPEN</x:v>
      </x:c>
    </x:row>
    <x:row r="2081">
      <x:c r="B2081" t="str">
        <x:v>PH-TG-867-L</x:v>
      </x:c>
      <x:c r="C2081" t="str">
        <x:v>PHYSICAL</x:v>
      </x:c>
      <x:c r="D2081" t="str">
        <x:v>terrain load</x:v>
      </x:c>
      <x:c r="E2081" t="n">
        <x:f>IF('Terrain Field'!K873&lt;&gt;"",1,0)</x:f>
        <x:v>0</x:v>
      </x:c>
      <x:c r="F2081" t="n">
        <x:v>1</x:v>
      </x:c>
      <x:c r="G2081" t="str">
        <x:v>equals</x:v>
      </x:c>
      <x:c r="H2081" t="str">
        <x:v>independent physical acceptance</x:v>
      </x:c>
      <x:c r="I2081" t="str">
        <x:f>IF(E2081=1,"PASS","OPEN")</x:f>
        <x:v>OPEN</x:v>
      </x:c>
    </x:row>
    <x:row r="2082">
      <x:c r="B2082" t="str">
        <x:v>PH-TG-868-G</x:v>
      </x:c>
      <x:c r="C2082" t="str">
        <x:v>PHYSICAL</x:v>
      </x:c>
      <x:c r="D2082" t="str">
        <x:v>terrain geometry</x:v>
      </x:c>
      <x:c r="E2082" t="n">
        <x:f>IF('Terrain Field'!J874&lt;&gt;"",1,0)</x:f>
        <x:v>0</x:v>
      </x:c>
      <x:c r="F2082" t="n">
        <x:v>1</x:v>
      </x:c>
      <x:c r="G2082" t="str">
        <x:v>equals</x:v>
      </x:c>
      <x:c r="H2082" t="str">
        <x:v>independent physical acceptance</x:v>
      </x:c>
      <x:c r="I2082" t="str">
        <x:f>IF(E2082=1,"PASS","OPEN")</x:f>
        <x:v>OPEN</x:v>
      </x:c>
    </x:row>
    <x:row r="2083">
      <x:c r="B2083" t="str">
        <x:v>PH-TG-868-L</x:v>
      </x:c>
      <x:c r="C2083" t="str">
        <x:v>PHYSICAL</x:v>
      </x:c>
      <x:c r="D2083" t="str">
        <x:v>terrain load</x:v>
      </x:c>
      <x:c r="E2083" t="n">
        <x:f>IF('Terrain Field'!K874&lt;&gt;"",1,0)</x:f>
        <x:v>0</x:v>
      </x:c>
      <x:c r="F2083" t="n">
        <x:v>1</x:v>
      </x:c>
      <x:c r="G2083" t="str">
        <x:v>equals</x:v>
      </x:c>
      <x:c r="H2083" t="str">
        <x:v>independent physical acceptance</x:v>
      </x:c>
      <x:c r="I2083" t="str">
        <x:f>IF(E2083=1,"PASS","OPEN")</x:f>
        <x:v>OPEN</x:v>
      </x:c>
    </x:row>
    <x:row r="2084">
      <x:c r="B2084" t="str">
        <x:v>PH-TG-869-G</x:v>
      </x:c>
      <x:c r="C2084" t="str">
        <x:v>PHYSICAL</x:v>
      </x:c>
      <x:c r="D2084" t="str">
        <x:v>terrain geometry</x:v>
      </x:c>
      <x:c r="E2084" t="n">
        <x:f>IF('Terrain Field'!J875&lt;&gt;"",1,0)</x:f>
        <x:v>0</x:v>
      </x:c>
      <x:c r="F2084" t="n">
        <x:v>1</x:v>
      </x:c>
      <x:c r="G2084" t="str">
        <x:v>equals</x:v>
      </x:c>
      <x:c r="H2084" t="str">
        <x:v>independent physical acceptance</x:v>
      </x:c>
      <x:c r="I2084" t="str">
        <x:f>IF(E2084=1,"PASS","OPEN")</x:f>
        <x:v>OPEN</x:v>
      </x:c>
    </x:row>
    <x:row r="2085">
      <x:c r="B2085" t="str">
        <x:v>PH-TG-869-L</x:v>
      </x:c>
      <x:c r="C2085" t="str">
        <x:v>PHYSICAL</x:v>
      </x:c>
      <x:c r="D2085" t="str">
        <x:v>terrain load</x:v>
      </x:c>
      <x:c r="E2085" t="n">
        <x:f>IF('Terrain Field'!K875&lt;&gt;"",1,0)</x:f>
        <x:v>0</x:v>
      </x:c>
      <x:c r="F2085" t="n">
        <x:v>1</x:v>
      </x:c>
      <x:c r="G2085" t="str">
        <x:v>equals</x:v>
      </x:c>
      <x:c r="H2085" t="str">
        <x:v>independent physical acceptance</x:v>
      </x:c>
      <x:c r="I2085" t="str">
        <x:f>IF(E2085=1,"PASS","OPEN")</x:f>
        <x:v>OPEN</x:v>
      </x:c>
    </x:row>
    <x:row r="2086">
      <x:c r="B2086" t="str">
        <x:v>PH-TG-870-G</x:v>
      </x:c>
      <x:c r="C2086" t="str">
        <x:v>PHYSICAL</x:v>
      </x:c>
      <x:c r="D2086" t="str">
        <x:v>terrain geometry</x:v>
      </x:c>
      <x:c r="E2086" t="n">
        <x:f>IF('Terrain Field'!J876&lt;&gt;"",1,0)</x:f>
        <x:v>0</x:v>
      </x:c>
      <x:c r="F2086" t="n">
        <x:v>1</x:v>
      </x:c>
      <x:c r="G2086" t="str">
        <x:v>equals</x:v>
      </x:c>
      <x:c r="H2086" t="str">
        <x:v>independent physical acceptance</x:v>
      </x:c>
      <x:c r="I2086" t="str">
        <x:f>IF(E2086=1,"PASS","OPEN")</x:f>
        <x:v>OPEN</x:v>
      </x:c>
    </x:row>
    <x:row r="2087">
      <x:c r="B2087" t="str">
        <x:v>PH-TG-870-L</x:v>
      </x:c>
      <x:c r="C2087" t="str">
        <x:v>PHYSICAL</x:v>
      </x:c>
      <x:c r="D2087" t="str">
        <x:v>terrain load</x:v>
      </x:c>
      <x:c r="E2087" t="n">
        <x:f>IF('Terrain Field'!K876&lt;&gt;"",1,0)</x:f>
        <x:v>0</x:v>
      </x:c>
      <x:c r="F2087" t="n">
        <x:v>1</x:v>
      </x:c>
      <x:c r="G2087" t="str">
        <x:v>equals</x:v>
      </x:c>
      <x:c r="H2087" t="str">
        <x:v>independent physical acceptance</x:v>
      </x:c>
      <x:c r="I2087" t="str">
        <x:f>IF(E2087=1,"PASS","OPEN")</x:f>
        <x:v>OPEN</x:v>
      </x:c>
    </x:row>
    <x:row r="2088">
      <x:c r="B2088" t="str">
        <x:v>PH-TG-871-G</x:v>
      </x:c>
      <x:c r="C2088" t="str">
        <x:v>PHYSICAL</x:v>
      </x:c>
      <x:c r="D2088" t="str">
        <x:v>terrain geometry</x:v>
      </x:c>
      <x:c r="E2088" t="n">
        <x:f>IF('Terrain Field'!J877&lt;&gt;"",1,0)</x:f>
        <x:v>0</x:v>
      </x:c>
      <x:c r="F2088" t="n">
        <x:v>1</x:v>
      </x:c>
      <x:c r="G2088" t="str">
        <x:v>equals</x:v>
      </x:c>
      <x:c r="H2088" t="str">
        <x:v>independent physical acceptance</x:v>
      </x:c>
      <x:c r="I2088" t="str">
        <x:f>IF(E2088=1,"PASS","OPEN")</x:f>
        <x:v>OPEN</x:v>
      </x:c>
    </x:row>
    <x:row r="2089">
      <x:c r="B2089" t="str">
        <x:v>PH-TG-871-L</x:v>
      </x:c>
      <x:c r="C2089" t="str">
        <x:v>PHYSICAL</x:v>
      </x:c>
      <x:c r="D2089" t="str">
        <x:v>terrain load</x:v>
      </x:c>
      <x:c r="E2089" t="n">
        <x:f>IF('Terrain Field'!K877&lt;&gt;"",1,0)</x:f>
        <x:v>0</x:v>
      </x:c>
      <x:c r="F2089" t="n">
        <x:v>1</x:v>
      </x:c>
      <x:c r="G2089" t="str">
        <x:v>equals</x:v>
      </x:c>
      <x:c r="H2089" t="str">
        <x:v>independent physical acceptance</x:v>
      </x:c>
      <x:c r="I2089" t="str">
        <x:f>IF(E2089=1,"PASS","OPEN")</x:f>
        <x:v>OPEN</x:v>
      </x:c>
    </x:row>
    <x:row r="2090">
      <x:c r="B2090" t="str">
        <x:v>PH-TG-872-G</x:v>
      </x:c>
      <x:c r="C2090" t="str">
        <x:v>PHYSICAL</x:v>
      </x:c>
      <x:c r="D2090" t="str">
        <x:v>terrain geometry</x:v>
      </x:c>
      <x:c r="E2090" t="n">
        <x:f>IF('Terrain Field'!J878&lt;&gt;"",1,0)</x:f>
        <x:v>0</x:v>
      </x:c>
      <x:c r="F2090" t="n">
        <x:v>1</x:v>
      </x:c>
      <x:c r="G2090" t="str">
        <x:v>equals</x:v>
      </x:c>
      <x:c r="H2090" t="str">
        <x:v>independent physical acceptance</x:v>
      </x:c>
      <x:c r="I2090" t="str">
        <x:f>IF(E2090=1,"PASS","OPEN")</x:f>
        <x:v>OPEN</x:v>
      </x:c>
    </x:row>
    <x:row r="2091">
      <x:c r="B2091" t="str">
        <x:v>PH-TG-872-L</x:v>
      </x:c>
      <x:c r="C2091" t="str">
        <x:v>PHYSICAL</x:v>
      </x:c>
      <x:c r="D2091" t="str">
        <x:v>terrain load</x:v>
      </x:c>
      <x:c r="E2091" t="n">
        <x:f>IF('Terrain Field'!K878&lt;&gt;"",1,0)</x:f>
        <x:v>0</x:v>
      </x:c>
      <x:c r="F2091" t="n">
        <x:v>1</x:v>
      </x:c>
      <x:c r="G2091" t="str">
        <x:v>equals</x:v>
      </x:c>
      <x:c r="H2091" t="str">
        <x:v>independent physical acceptance</x:v>
      </x:c>
      <x:c r="I2091" t="str">
        <x:f>IF(E2091=1,"PASS","OPEN")</x:f>
        <x:v>OPEN</x:v>
      </x:c>
    </x:row>
    <x:row r="2092">
      <x:c r="B2092" t="str">
        <x:v>PH-TG-873-G</x:v>
      </x:c>
      <x:c r="C2092" t="str">
        <x:v>PHYSICAL</x:v>
      </x:c>
      <x:c r="D2092" t="str">
        <x:v>terrain geometry</x:v>
      </x:c>
      <x:c r="E2092" t="n">
        <x:f>IF('Terrain Field'!J879&lt;&gt;"",1,0)</x:f>
        <x:v>0</x:v>
      </x:c>
      <x:c r="F2092" t="n">
        <x:v>1</x:v>
      </x:c>
      <x:c r="G2092" t="str">
        <x:v>equals</x:v>
      </x:c>
      <x:c r="H2092" t="str">
        <x:v>independent physical acceptance</x:v>
      </x:c>
      <x:c r="I2092" t="str">
        <x:f>IF(E2092=1,"PASS","OPEN")</x:f>
        <x:v>OPEN</x:v>
      </x:c>
    </x:row>
    <x:row r="2093">
      <x:c r="B2093" t="str">
        <x:v>PH-TG-873-L</x:v>
      </x:c>
      <x:c r="C2093" t="str">
        <x:v>PHYSICAL</x:v>
      </x:c>
      <x:c r="D2093" t="str">
        <x:v>terrain load</x:v>
      </x:c>
      <x:c r="E2093" t="n">
        <x:f>IF('Terrain Field'!K879&lt;&gt;"",1,0)</x:f>
        <x:v>0</x:v>
      </x:c>
      <x:c r="F2093" t="n">
        <x:v>1</x:v>
      </x:c>
      <x:c r="G2093" t="str">
        <x:v>equals</x:v>
      </x:c>
      <x:c r="H2093" t="str">
        <x:v>independent physical acceptance</x:v>
      </x:c>
      <x:c r="I2093" t="str">
        <x:f>IF(E2093=1,"PASS","OPEN")</x:f>
        <x:v>OPEN</x:v>
      </x:c>
    </x:row>
    <x:row r="2094">
      <x:c r="B2094" t="str">
        <x:v>PH-TG-874-G</x:v>
      </x:c>
      <x:c r="C2094" t="str">
        <x:v>PHYSICAL</x:v>
      </x:c>
      <x:c r="D2094" t="str">
        <x:v>terrain geometry</x:v>
      </x:c>
      <x:c r="E2094" t="n">
        <x:f>IF('Terrain Field'!J880&lt;&gt;"",1,0)</x:f>
        <x:v>0</x:v>
      </x:c>
      <x:c r="F2094" t="n">
        <x:v>1</x:v>
      </x:c>
      <x:c r="G2094" t="str">
        <x:v>equals</x:v>
      </x:c>
      <x:c r="H2094" t="str">
        <x:v>independent physical acceptance</x:v>
      </x:c>
      <x:c r="I2094" t="str">
        <x:f>IF(E2094=1,"PASS","OPEN")</x:f>
        <x:v>OPEN</x:v>
      </x:c>
    </x:row>
    <x:row r="2095">
      <x:c r="B2095" t="str">
        <x:v>PH-TG-874-L</x:v>
      </x:c>
      <x:c r="C2095" t="str">
        <x:v>PHYSICAL</x:v>
      </x:c>
      <x:c r="D2095" t="str">
        <x:v>terrain load</x:v>
      </x:c>
      <x:c r="E2095" t="n">
        <x:f>IF('Terrain Field'!K880&lt;&gt;"",1,0)</x:f>
        <x:v>0</x:v>
      </x:c>
      <x:c r="F2095" t="n">
        <x:v>1</x:v>
      </x:c>
      <x:c r="G2095" t="str">
        <x:v>equals</x:v>
      </x:c>
      <x:c r="H2095" t="str">
        <x:v>independent physical acceptance</x:v>
      </x:c>
      <x:c r="I2095" t="str">
        <x:f>IF(E2095=1,"PASS","OPEN")</x:f>
        <x:v>OPEN</x:v>
      </x:c>
    </x:row>
    <x:row r="2096">
      <x:c r="B2096" t="str">
        <x:v>PH-TG-875-G</x:v>
      </x:c>
      <x:c r="C2096" t="str">
        <x:v>PHYSICAL</x:v>
      </x:c>
      <x:c r="D2096" t="str">
        <x:v>terrain geometry</x:v>
      </x:c>
      <x:c r="E2096" t="n">
        <x:f>IF('Terrain Field'!J881&lt;&gt;"",1,0)</x:f>
        <x:v>0</x:v>
      </x:c>
      <x:c r="F2096" t="n">
        <x:v>1</x:v>
      </x:c>
      <x:c r="G2096" t="str">
        <x:v>equals</x:v>
      </x:c>
      <x:c r="H2096" t="str">
        <x:v>independent physical acceptance</x:v>
      </x:c>
      <x:c r="I2096" t="str">
        <x:f>IF(E2096=1,"PASS","OPEN")</x:f>
        <x:v>OPEN</x:v>
      </x:c>
    </x:row>
    <x:row r="2097">
      <x:c r="B2097" t="str">
        <x:v>PH-TG-875-L</x:v>
      </x:c>
      <x:c r="C2097" t="str">
        <x:v>PHYSICAL</x:v>
      </x:c>
      <x:c r="D2097" t="str">
        <x:v>terrain load</x:v>
      </x:c>
      <x:c r="E2097" t="n">
        <x:f>IF('Terrain Field'!K881&lt;&gt;"",1,0)</x:f>
        <x:v>0</x:v>
      </x:c>
      <x:c r="F2097" t="n">
        <x:v>1</x:v>
      </x:c>
      <x:c r="G2097" t="str">
        <x:v>equals</x:v>
      </x:c>
      <x:c r="H2097" t="str">
        <x:v>independent physical acceptance</x:v>
      </x:c>
      <x:c r="I2097" t="str">
        <x:f>IF(E2097=1,"PASS","OPEN")</x:f>
        <x:v>OPEN</x:v>
      </x:c>
    </x:row>
    <x:row r="2098">
      <x:c r="B2098" t="str">
        <x:v>PH-TG-876-G</x:v>
      </x:c>
      <x:c r="C2098" t="str">
        <x:v>PHYSICAL</x:v>
      </x:c>
      <x:c r="D2098" t="str">
        <x:v>terrain geometry</x:v>
      </x:c>
      <x:c r="E2098" t="n">
        <x:f>IF('Terrain Field'!J882&lt;&gt;"",1,0)</x:f>
        <x:v>0</x:v>
      </x:c>
      <x:c r="F2098" t="n">
        <x:v>1</x:v>
      </x:c>
      <x:c r="G2098" t="str">
        <x:v>equals</x:v>
      </x:c>
      <x:c r="H2098" t="str">
        <x:v>independent physical acceptance</x:v>
      </x:c>
      <x:c r="I2098" t="str">
        <x:f>IF(E2098=1,"PASS","OPEN")</x:f>
        <x:v>OPEN</x:v>
      </x:c>
    </x:row>
    <x:row r="2099">
      <x:c r="B2099" t="str">
        <x:v>PH-TG-876-L</x:v>
      </x:c>
      <x:c r="C2099" t="str">
        <x:v>PHYSICAL</x:v>
      </x:c>
      <x:c r="D2099" t="str">
        <x:v>terrain load</x:v>
      </x:c>
      <x:c r="E2099" t="n">
        <x:f>IF('Terrain Field'!K882&lt;&gt;"",1,0)</x:f>
        <x:v>0</x:v>
      </x:c>
      <x:c r="F2099" t="n">
        <x:v>1</x:v>
      </x:c>
      <x:c r="G2099" t="str">
        <x:v>equals</x:v>
      </x:c>
      <x:c r="H2099" t="str">
        <x:v>independent physical acceptance</x:v>
      </x:c>
      <x:c r="I2099" t="str">
        <x:f>IF(E2099=1,"PASS","OPEN")</x:f>
        <x:v>OPEN</x:v>
      </x:c>
    </x:row>
    <x:row r="2100">
      <x:c r="B2100" t="str">
        <x:v>PH-TG-877-G</x:v>
      </x:c>
      <x:c r="C2100" t="str">
        <x:v>PHYSICAL</x:v>
      </x:c>
      <x:c r="D2100" t="str">
        <x:v>terrain geometry</x:v>
      </x:c>
      <x:c r="E2100" t="n">
        <x:f>IF('Terrain Field'!J883&lt;&gt;"",1,0)</x:f>
        <x:v>0</x:v>
      </x:c>
      <x:c r="F2100" t="n">
        <x:v>1</x:v>
      </x:c>
      <x:c r="G2100" t="str">
        <x:v>equals</x:v>
      </x:c>
      <x:c r="H2100" t="str">
        <x:v>independent physical acceptance</x:v>
      </x:c>
      <x:c r="I2100" t="str">
        <x:f>IF(E2100=1,"PASS","OPEN")</x:f>
        <x:v>OPEN</x:v>
      </x:c>
    </x:row>
    <x:row r="2101">
      <x:c r="B2101" t="str">
        <x:v>PH-TG-877-L</x:v>
      </x:c>
      <x:c r="C2101" t="str">
        <x:v>PHYSICAL</x:v>
      </x:c>
      <x:c r="D2101" t="str">
        <x:v>terrain load</x:v>
      </x:c>
      <x:c r="E2101" t="n">
        <x:f>IF('Terrain Field'!K883&lt;&gt;"",1,0)</x:f>
        <x:v>0</x:v>
      </x:c>
      <x:c r="F2101" t="n">
        <x:v>1</x:v>
      </x:c>
      <x:c r="G2101" t="str">
        <x:v>equals</x:v>
      </x:c>
      <x:c r="H2101" t="str">
        <x:v>independent physical acceptance</x:v>
      </x:c>
      <x:c r="I2101" t="str">
        <x:f>IF(E2101=1,"PASS","OPEN")</x:f>
        <x:v>OPEN</x:v>
      </x:c>
    </x:row>
    <x:row r="2102">
      <x:c r="B2102" t="str">
        <x:v>PH-TG-878-G</x:v>
      </x:c>
      <x:c r="C2102" t="str">
        <x:v>PHYSICAL</x:v>
      </x:c>
      <x:c r="D2102" t="str">
        <x:v>terrain geometry</x:v>
      </x:c>
      <x:c r="E2102" t="n">
        <x:f>IF('Terrain Field'!J884&lt;&gt;"",1,0)</x:f>
        <x:v>0</x:v>
      </x:c>
      <x:c r="F2102" t="n">
        <x:v>1</x:v>
      </x:c>
      <x:c r="G2102" t="str">
        <x:v>equals</x:v>
      </x:c>
      <x:c r="H2102" t="str">
        <x:v>independent physical acceptance</x:v>
      </x:c>
      <x:c r="I2102" t="str">
        <x:f>IF(E2102=1,"PASS","OPEN")</x:f>
        <x:v>OPEN</x:v>
      </x:c>
    </x:row>
    <x:row r="2103">
      <x:c r="B2103" t="str">
        <x:v>PH-TG-878-L</x:v>
      </x:c>
      <x:c r="C2103" t="str">
        <x:v>PHYSICAL</x:v>
      </x:c>
      <x:c r="D2103" t="str">
        <x:v>terrain load</x:v>
      </x:c>
      <x:c r="E2103" t="n">
        <x:f>IF('Terrain Field'!K884&lt;&gt;"",1,0)</x:f>
        <x:v>0</x:v>
      </x:c>
      <x:c r="F2103" t="n">
        <x:v>1</x:v>
      </x:c>
      <x:c r="G2103" t="str">
        <x:v>equals</x:v>
      </x:c>
      <x:c r="H2103" t="str">
        <x:v>independent physical acceptance</x:v>
      </x:c>
      <x:c r="I2103" t="str">
        <x:f>IF(E2103=1,"PASS","OPEN")</x:f>
        <x:v>OPEN</x:v>
      </x:c>
    </x:row>
    <x:row r="2104">
      <x:c r="B2104" t="str">
        <x:v>PH-TG-879-G</x:v>
      </x:c>
      <x:c r="C2104" t="str">
        <x:v>PHYSICAL</x:v>
      </x:c>
      <x:c r="D2104" t="str">
        <x:v>terrain geometry</x:v>
      </x:c>
      <x:c r="E2104" t="n">
        <x:f>IF('Terrain Field'!J885&lt;&gt;"",1,0)</x:f>
        <x:v>0</x:v>
      </x:c>
      <x:c r="F2104" t="n">
        <x:v>1</x:v>
      </x:c>
      <x:c r="G2104" t="str">
        <x:v>equals</x:v>
      </x:c>
      <x:c r="H2104" t="str">
        <x:v>independent physical acceptance</x:v>
      </x:c>
      <x:c r="I2104" t="str">
        <x:f>IF(E2104=1,"PASS","OPEN")</x:f>
        <x:v>OPEN</x:v>
      </x:c>
    </x:row>
    <x:row r="2105">
      <x:c r="B2105" t="str">
        <x:v>PH-TG-879-L</x:v>
      </x:c>
      <x:c r="C2105" t="str">
        <x:v>PHYSICAL</x:v>
      </x:c>
      <x:c r="D2105" t="str">
        <x:v>terrain load</x:v>
      </x:c>
      <x:c r="E2105" t="n">
        <x:f>IF('Terrain Field'!K885&lt;&gt;"",1,0)</x:f>
        <x:v>0</x:v>
      </x:c>
      <x:c r="F2105" t="n">
        <x:v>1</x:v>
      </x:c>
      <x:c r="G2105" t="str">
        <x:v>equals</x:v>
      </x:c>
      <x:c r="H2105" t="str">
        <x:v>independent physical acceptance</x:v>
      </x:c>
      <x:c r="I2105" t="str">
        <x:f>IF(E2105=1,"PASS","OPEN")</x:f>
        <x:v>OPEN</x:v>
      </x:c>
    </x:row>
    <x:row r="2106">
      <x:c r="B2106" t="str">
        <x:v>PH-TG-880-G</x:v>
      </x:c>
      <x:c r="C2106" t="str">
        <x:v>PHYSICAL</x:v>
      </x:c>
      <x:c r="D2106" t="str">
        <x:v>terrain geometry</x:v>
      </x:c>
      <x:c r="E2106" t="n">
        <x:f>IF('Terrain Field'!J886&lt;&gt;"",1,0)</x:f>
        <x:v>0</x:v>
      </x:c>
      <x:c r="F2106" t="n">
        <x:v>1</x:v>
      </x:c>
      <x:c r="G2106" t="str">
        <x:v>equals</x:v>
      </x:c>
      <x:c r="H2106" t="str">
        <x:v>independent physical acceptance</x:v>
      </x:c>
      <x:c r="I2106" t="str">
        <x:f>IF(E2106=1,"PASS","OPEN")</x:f>
        <x:v>OPEN</x:v>
      </x:c>
    </x:row>
    <x:row r="2107">
      <x:c r="B2107" t="str">
        <x:v>PH-TG-880-L</x:v>
      </x:c>
      <x:c r="C2107" t="str">
        <x:v>PHYSICAL</x:v>
      </x:c>
      <x:c r="D2107" t="str">
        <x:v>terrain load</x:v>
      </x:c>
      <x:c r="E2107" t="n">
        <x:f>IF('Terrain Field'!K886&lt;&gt;"",1,0)</x:f>
        <x:v>0</x:v>
      </x:c>
      <x:c r="F2107" t="n">
        <x:v>1</x:v>
      </x:c>
      <x:c r="G2107" t="str">
        <x:v>equals</x:v>
      </x:c>
      <x:c r="H2107" t="str">
        <x:v>independent physical acceptance</x:v>
      </x:c>
      <x:c r="I2107" t="str">
        <x:f>IF(E2107=1,"PASS","OPEN")</x:f>
        <x:v>OPEN</x:v>
      </x:c>
    </x:row>
    <x:row r="2108">
      <x:c r="B2108" t="str">
        <x:v>PH-TG-881-G</x:v>
      </x:c>
      <x:c r="C2108" t="str">
        <x:v>PHYSICAL</x:v>
      </x:c>
      <x:c r="D2108" t="str">
        <x:v>terrain geometry</x:v>
      </x:c>
      <x:c r="E2108" t="n">
        <x:f>IF('Terrain Field'!J887&lt;&gt;"",1,0)</x:f>
        <x:v>0</x:v>
      </x:c>
      <x:c r="F2108" t="n">
        <x:v>1</x:v>
      </x:c>
      <x:c r="G2108" t="str">
        <x:v>equals</x:v>
      </x:c>
      <x:c r="H2108" t="str">
        <x:v>independent physical acceptance</x:v>
      </x:c>
      <x:c r="I2108" t="str">
        <x:f>IF(E2108=1,"PASS","OPEN")</x:f>
        <x:v>OPEN</x:v>
      </x:c>
    </x:row>
    <x:row r="2109">
      <x:c r="B2109" t="str">
        <x:v>PH-TG-881-L</x:v>
      </x:c>
      <x:c r="C2109" t="str">
        <x:v>PHYSICAL</x:v>
      </x:c>
      <x:c r="D2109" t="str">
        <x:v>terrain load</x:v>
      </x:c>
      <x:c r="E2109" t="n">
        <x:f>IF('Terrain Field'!K887&lt;&gt;"",1,0)</x:f>
        <x:v>0</x:v>
      </x:c>
      <x:c r="F2109" t="n">
        <x:v>1</x:v>
      </x:c>
      <x:c r="G2109" t="str">
        <x:v>equals</x:v>
      </x:c>
      <x:c r="H2109" t="str">
        <x:v>independent physical acceptance</x:v>
      </x:c>
      <x:c r="I2109" t="str">
        <x:f>IF(E2109=1,"PASS","OPEN")</x:f>
        <x:v>OPEN</x:v>
      </x:c>
    </x:row>
    <x:row r="2110">
      <x:c r="B2110" t="str">
        <x:v>PH-TG-882-G</x:v>
      </x:c>
      <x:c r="C2110" t="str">
        <x:v>PHYSICAL</x:v>
      </x:c>
      <x:c r="D2110" t="str">
        <x:v>terrain geometry</x:v>
      </x:c>
      <x:c r="E2110" t="n">
        <x:f>IF('Terrain Field'!J888&lt;&gt;"",1,0)</x:f>
        <x:v>0</x:v>
      </x:c>
      <x:c r="F2110" t="n">
        <x:v>1</x:v>
      </x:c>
      <x:c r="G2110" t="str">
        <x:v>equals</x:v>
      </x:c>
      <x:c r="H2110" t="str">
        <x:v>independent physical acceptance</x:v>
      </x:c>
      <x:c r="I2110" t="str">
        <x:f>IF(E2110=1,"PASS","OPEN")</x:f>
        <x:v>OPEN</x:v>
      </x:c>
    </x:row>
    <x:row r="2111">
      <x:c r="B2111" t="str">
        <x:v>PH-TG-882-L</x:v>
      </x:c>
      <x:c r="C2111" t="str">
        <x:v>PHYSICAL</x:v>
      </x:c>
      <x:c r="D2111" t="str">
        <x:v>terrain load</x:v>
      </x:c>
      <x:c r="E2111" t="n">
        <x:f>IF('Terrain Field'!K888&lt;&gt;"",1,0)</x:f>
        <x:v>0</x:v>
      </x:c>
      <x:c r="F2111" t="n">
        <x:v>1</x:v>
      </x:c>
      <x:c r="G2111" t="str">
        <x:v>equals</x:v>
      </x:c>
      <x:c r="H2111" t="str">
        <x:v>independent physical acceptance</x:v>
      </x:c>
      <x:c r="I2111" t="str">
        <x:f>IF(E2111=1,"PASS","OPEN")</x:f>
        <x:v>OPEN</x:v>
      </x:c>
    </x:row>
    <x:row r="2112">
      <x:c r="B2112" t="str">
        <x:v>PH-TG-883-G</x:v>
      </x:c>
      <x:c r="C2112" t="str">
        <x:v>PHYSICAL</x:v>
      </x:c>
      <x:c r="D2112" t="str">
        <x:v>terrain geometry</x:v>
      </x:c>
      <x:c r="E2112" t="n">
        <x:f>IF('Terrain Field'!J889&lt;&gt;"",1,0)</x:f>
        <x:v>0</x:v>
      </x:c>
      <x:c r="F2112" t="n">
        <x:v>1</x:v>
      </x:c>
      <x:c r="G2112" t="str">
        <x:v>equals</x:v>
      </x:c>
      <x:c r="H2112" t="str">
        <x:v>independent physical acceptance</x:v>
      </x:c>
      <x:c r="I2112" t="str">
        <x:f>IF(E2112=1,"PASS","OPEN")</x:f>
        <x:v>OPEN</x:v>
      </x:c>
    </x:row>
    <x:row r="2113">
      <x:c r="B2113" t="str">
        <x:v>PH-TG-883-L</x:v>
      </x:c>
      <x:c r="C2113" t="str">
        <x:v>PHYSICAL</x:v>
      </x:c>
      <x:c r="D2113" t="str">
        <x:v>terrain load</x:v>
      </x:c>
      <x:c r="E2113" t="n">
        <x:f>IF('Terrain Field'!K889&lt;&gt;"",1,0)</x:f>
        <x:v>0</x:v>
      </x:c>
      <x:c r="F2113" t="n">
        <x:v>1</x:v>
      </x:c>
      <x:c r="G2113" t="str">
        <x:v>equals</x:v>
      </x:c>
      <x:c r="H2113" t="str">
        <x:v>independent physical acceptance</x:v>
      </x:c>
      <x:c r="I2113" t="str">
        <x:f>IF(E2113=1,"PASS","OPEN")</x:f>
        <x:v>OPEN</x:v>
      </x:c>
    </x:row>
    <x:row r="2114">
      <x:c r="B2114" t="str">
        <x:v>PH-TG-884-G</x:v>
      </x:c>
      <x:c r="C2114" t="str">
        <x:v>PHYSICAL</x:v>
      </x:c>
      <x:c r="D2114" t="str">
        <x:v>terrain geometry</x:v>
      </x:c>
      <x:c r="E2114" t="n">
        <x:f>IF('Terrain Field'!J890&lt;&gt;"",1,0)</x:f>
        <x:v>0</x:v>
      </x:c>
      <x:c r="F2114" t="n">
        <x:v>1</x:v>
      </x:c>
      <x:c r="G2114" t="str">
        <x:v>equals</x:v>
      </x:c>
      <x:c r="H2114" t="str">
        <x:v>independent physical acceptance</x:v>
      </x:c>
      <x:c r="I2114" t="str">
        <x:f>IF(E2114=1,"PASS","OPEN")</x:f>
        <x:v>OPEN</x:v>
      </x:c>
    </x:row>
    <x:row r="2115">
      <x:c r="B2115" t="str">
        <x:v>PH-TG-884-L</x:v>
      </x:c>
      <x:c r="C2115" t="str">
        <x:v>PHYSICAL</x:v>
      </x:c>
      <x:c r="D2115" t="str">
        <x:v>terrain load</x:v>
      </x:c>
      <x:c r="E2115" t="n">
        <x:f>IF('Terrain Field'!K890&lt;&gt;"",1,0)</x:f>
        <x:v>0</x:v>
      </x:c>
      <x:c r="F2115" t="n">
        <x:v>1</x:v>
      </x:c>
      <x:c r="G2115" t="str">
        <x:v>equals</x:v>
      </x:c>
      <x:c r="H2115" t="str">
        <x:v>independent physical acceptance</x:v>
      </x:c>
      <x:c r="I2115" t="str">
        <x:f>IF(E2115=1,"PASS","OPEN")</x:f>
        <x:v>OPEN</x:v>
      </x:c>
    </x:row>
    <x:row r="2116">
      <x:c r="B2116" t="str">
        <x:v>PH-TG-885-G</x:v>
      </x:c>
      <x:c r="C2116" t="str">
        <x:v>PHYSICAL</x:v>
      </x:c>
      <x:c r="D2116" t="str">
        <x:v>terrain geometry</x:v>
      </x:c>
      <x:c r="E2116" t="n">
        <x:f>IF('Terrain Field'!J891&lt;&gt;"",1,0)</x:f>
        <x:v>0</x:v>
      </x:c>
      <x:c r="F2116" t="n">
        <x:v>1</x:v>
      </x:c>
      <x:c r="G2116" t="str">
        <x:v>equals</x:v>
      </x:c>
      <x:c r="H2116" t="str">
        <x:v>independent physical acceptance</x:v>
      </x:c>
      <x:c r="I2116" t="str">
        <x:f>IF(E2116=1,"PASS","OPEN")</x:f>
        <x:v>OPEN</x:v>
      </x:c>
    </x:row>
    <x:row r="2117">
      <x:c r="B2117" t="str">
        <x:v>PH-TG-885-L</x:v>
      </x:c>
      <x:c r="C2117" t="str">
        <x:v>PHYSICAL</x:v>
      </x:c>
      <x:c r="D2117" t="str">
        <x:v>terrain load</x:v>
      </x:c>
      <x:c r="E2117" t="n">
        <x:f>IF('Terrain Field'!K891&lt;&gt;"",1,0)</x:f>
        <x:v>0</x:v>
      </x:c>
      <x:c r="F2117" t="n">
        <x:v>1</x:v>
      </x:c>
      <x:c r="G2117" t="str">
        <x:v>equals</x:v>
      </x:c>
      <x:c r="H2117" t="str">
        <x:v>independent physical acceptance</x:v>
      </x:c>
      <x:c r="I2117" t="str">
        <x:f>IF(E2117=1,"PASS","OPEN")</x:f>
        <x:v>OPEN</x:v>
      </x:c>
    </x:row>
    <x:row r="2118">
      <x:c r="B2118" t="str">
        <x:v>PH-TG-886-G</x:v>
      </x:c>
      <x:c r="C2118" t="str">
        <x:v>PHYSICAL</x:v>
      </x:c>
      <x:c r="D2118" t="str">
        <x:v>terrain geometry</x:v>
      </x:c>
      <x:c r="E2118" t="n">
        <x:f>IF('Terrain Field'!J892&lt;&gt;"",1,0)</x:f>
        <x:v>0</x:v>
      </x:c>
      <x:c r="F2118" t="n">
        <x:v>1</x:v>
      </x:c>
      <x:c r="G2118" t="str">
        <x:v>equals</x:v>
      </x:c>
      <x:c r="H2118" t="str">
        <x:v>independent physical acceptance</x:v>
      </x:c>
      <x:c r="I2118" t="str">
        <x:f>IF(E2118=1,"PASS","OPEN")</x:f>
        <x:v>OPEN</x:v>
      </x:c>
    </x:row>
    <x:row r="2119">
      <x:c r="B2119" t="str">
        <x:v>PH-TG-886-L</x:v>
      </x:c>
      <x:c r="C2119" t="str">
        <x:v>PHYSICAL</x:v>
      </x:c>
      <x:c r="D2119" t="str">
        <x:v>terrain load</x:v>
      </x:c>
      <x:c r="E2119" t="n">
        <x:f>IF('Terrain Field'!K892&lt;&gt;"",1,0)</x:f>
        <x:v>0</x:v>
      </x:c>
      <x:c r="F2119" t="n">
        <x:v>1</x:v>
      </x:c>
      <x:c r="G2119" t="str">
        <x:v>equals</x:v>
      </x:c>
      <x:c r="H2119" t="str">
        <x:v>independent physical acceptance</x:v>
      </x:c>
      <x:c r="I2119" t="str">
        <x:f>IF(E2119=1,"PASS","OPEN")</x:f>
        <x:v>OPEN</x:v>
      </x:c>
    </x:row>
    <x:row r="2120">
      <x:c r="B2120" t="str">
        <x:v>PH-TG-887-G</x:v>
      </x:c>
      <x:c r="C2120" t="str">
        <x:v>PHYSICAL</x:v>
      </x:c>
      <x:c r="D2120" t="str">
        <x:v>terrain geometry</x:v>
      </x:c>
      <x:c r="E2120" t="n">
        <x:f>IF('Terrain Field'!J893&lt;&gt;"",1,0)</x:f>
        <x:v>0</x:v>
      </x:c>
      <x:c r="F2120" t="n">
        <x:v>1</x:v>
      </x:c>
      <x:c r="G2120" t="str">
        <x:v>equals</x:v>
      </x:c>
      <x:c r="H2120" t="str">
        <x:v>independent physical acceptance</x:v>
      </x:c>
      <x:c r="I2120" t="str">
        <x:f>IF(E2120=1,"PASS","OPEN")</x:f>
        <x:v>OPEN</x:v>
      </x:c>
    </x:row>
    <x:row r="2121">
      <x:c r="B2121" t="str">
        <x:v>PH-TG-887-L</x:v>
      </x:c>
      <x:c r="C2121" t="str">
        <x:v>PHYSICAL</x:v>
      </x:c>
      <x:c r="D2121" t="str">
        <x:v>terrain load</x:v>
      </x:c>
      <x:c r="E2121" t="n">
        <x:f>IF('Terrain Field'!K893&lt;&gt;"",1,0)</x:f>
        <x:v>0</x:v>
      </x:c>
      <x:c r="F2121" t="n">
        <x:v>1</x:v>
      </x:c>
      <x:c r="G2121" t="str">
        <x:v>equals</x:v>
      </x:c>
      <x:c r="H2121" t="str">
        <x:v>independent physical acceptance</x:v>
      </x:c>
      <x:c r="I2121" t="str">
        <x:f>IF(E2121=1,"PASS","OPEN")</x:f>
        <x:v>OPEN</x:v>
      </x:c>
    </x:row>
    <x:row r="2122">
      <x:c r="B2122" t="str">
        <x:v>PH-TG-888-G</x:v>
      </x:c>
      <x:c r="C2122" t="str">
        <x:v>PHYSICAL</x:v>
      </x:c>
      <x:c r="D2122" t="str">
        <x:v>terrain geometry</x:v>
      </x:c>
      <x:c r="E2122" t="n">
        <x:f>IF('Terrain Field'!J894&lt;&gt;"",1,0)</x:f>
        <x:v>0</x:v>
      </x:c>
      <x:c r="F2122" t="n">
        <x:v>1</x:v>
      </x:c>
      <x:c r="G2122" t="str">
        <x:v>equals</x:v>
      </x:c>
      <x:c r="H2122" t="str">
        <x:v>independent physical acceptance</x:v>
      </x:c>
      <x:c r="I2122" t="str">
        <x:f>IF(E2122=1,"PASS","OPEN")</x:f>
        <x:v>OPEN</x:v>
      </x:c>
    </x:row>
    <x:row r="2123">
      <x:c r="B2123" t="str">
        <x:v>PH-TG-888-L</x:v>
      </x:c>
      <x:c r="C2123" t="str">
        <x:v>PHYSICAL</x:v>
      </x:c>
      <x:c r="D2123" t="str">
        <x:v>terrain load</x:v>
      </x:c>
      <x:c r="E2123" t="n">
        <x:f>IF('Terrain Field'!K894&lt;&gt;"",1,0)</x:f>
        <x:v>0</x:v>
      </x:c>
      <x:c r="F2123" t="n">
        <x:v>1</x:v>
      </x:c>
      <x:c r="G2123" t="str">
        <x:v>equals</x:v>
      </x:c>
      <x:c r="H2123" t="str">
        <x:v>independent physical acceptance</x:v>
      </x:c>
      <x:c r="I2123" t="str">
        <x:f>IF(E2123=1,"PASS","OPEN")</x:f>
        <x:v>OPEN</x:v>
      </x:c>
    </x:row>
    <x:row r="2124">
      <x:c r="B2124" t="str">
        <x:v>PH-TG-889-G</x:v>
      </x:c>
      <x:c r="C2124" t="str">
        <x:v>PHYSICAL</x:v>
      </x:c>
      <x:c r="D2124" t="str">
        <x:v>terrain geometry</x:v>
      </x:c>
      <x:c r="E2124" t="n">
        <x:f>IF('Terrain Field'!J895&lt;&gt;"",1,0)</x:f>
        <x:v>0</x:v>
      </x:c>
      <x:c r="F2124" t="n">
        <x:v>1</x:v>
      </x:c>
      <x:c r="G2124" t="str">
        <x:v>equals</x:v>
      </x:c>
      <x:c r="H2124" t="str">
        <x:v>independent physical acceptance</x:v>
      </x:c>
      <x:c r="I2124" t="str">
        <x:f>IF(E2124=1,"PASS","OPEN")</x:f>
        <x:v>OPEN</x:v>
      </x:c>
    </x:row>
    <x:row r="2125">
      <x:c r="B2125" t="str">
        <x:v>PH-TG-889-L</x:v>
      </x:c>
      <x:c r="C2125" t="str">
        <x:v>PHYSICAL</x:v>
      </x:c>
      <x:c r="D2125" t="str">
        <x:v>terrain load</x:v>
      </x:c>
      <x:c r="E2125" t="n">
        <x:f>IF('Terrain Field'!K895&lt;&gt;"",1,0)</x:f>
        <x:v>0</x:v>
      </x:c>
      <x:c r="F2125" t="n">
        <x:v>1</x:v>
      </x:c>
      <x:c r="G2125" t="str">
        <x:v>equals</x:v>
      </x:c>
      <x:c r="H2125" t="str">
        <x:v>independent physical acceptance</x:v>
      </x:c>
      <x:c r="I2125" t="str">
        <x:f>IF(E2125=1,"PASS","OPEN")</x:f>
        <x:v>OPEN</x:v>
      </x:c>
    </x:row>
    <x:row r="2126">
      <x:c r="B2126" t="str">
        <x:v>PH-TG-890-G</x:v>
      </x:c>
      <x:c r="C2126" t="str">
        <x:v>PHYSICAL</x:v>
      </x:c>
      <x:c r="D2126" t="str">
        <x:v>terrain geometry</x:v>
      </x:c>
      <x:c r="E2126" t="n">
        <x:f>IF('Terrain Field'!J896&lt;&gt;"",1,0)</x:f>
        <x:v>0</x:v>
      </x:c>
      <x:c r="F2126" t="n">
        <x:v>1</x:v>
      </x:c>
      <x:c r="G2126" t="str">
        <x:v>equals</x:v>
      </x:c>
      <x:c r="H2126" t="str">
        <x:v>independent physical acceptance</x:v>
      </x:c>
      <x:c r="I2126" t="str">
        <x:f>IF(E2126=1,"PASS","OPEN")</x:f>
        <x:v>OPEN</x:v>
      </x:c>
    </x:row>
    <x:row r="2127">
      <x:c r="B2127" t="str">
        <x:v>PH-TG-890-L</x:v>
      </x:c>
      <x:c r="C2127" t="str">
        <x:v>PHYSICAL</x:v>
      </x:c>
      <x:c r="D2127" t="str">
        <x:v>terrain load</x:v>
      </x:c>
      <x:c r="E2127" t="n">
        <x:f>IF('Terrain Field'!K896&lt;&gt;"",1,0)</x:f>
        <x:v>0</x:v>
      </x:c>
      <x:c r="F2127" t="n">
        <x:v>1</x:v>
      </x:c>
      <x:c r="G2127" t="str">
        <x:v>equals</x:v>
      </x:c>
      <x:c r="H2127" t="str">
        <x:v>independent physical acceptance</x:v>
      </x:c>
      <x:c r="I2127" t="str">
        <x:f>IF(E2127=1,"PASS","OPEN")</x:f>
        <x:v>OPEN</x:v>
      </x:c>
    </x:row>
    <x:row r="2128">
      <x:c r="B2128" t="str">
        <x:v>PH-TG-891-G</x:v>
      </x:c>
      <x:c r="C2128" t="str">
        <x:v>PHYSICAL</x:v>
      </x:c>
      <x:c r="D2128" t="str">
        <x:v>terrain geometry</x:v>
      </x:c>
      <x:c r="E2128" t="n">
        <x:f>IF('Terrain Field'!J897&lt;&gt;"",1,0)</x:f>
        <x:v>0</x:v>
      </x:c>
      <x:c r="F2128" t="n">
        <x:v>1</x:v>
      </x:c>
      <x:c r="G2128" t="str">
        <x:v>equals</x:v>
      </x:c>
      <x:c r="H2128" t="str">
        <x:v>independent physical acceptance</x:v>
      </x:c>
      <x:c r="I2128" t="str">
        <x:f>IF(E2128=1,"PASS","OPEN")</x:f>
        <x:v>OPEN</x:v>
      </x:c>
    </x:row>
    <x:row r="2129">
      <x:c r="B2129" t="str">
        <x:v>PH-TG-891-L</x:v>
      </x:c>
      <x:c r="C2129" t="str">
        <x:v>PHYSICAL</x:v>
      </x:c>
      <x:c r="D2129" t="str">
        <x:v>terrain load</x:v>
      </x:c>
      <x:c r="E2129" t="n">
        <x:f>IF('Terrain Field'!K897&lt;&gt;"",1,0)</x:f>
        <x:v>0</x:v>
      </x:c>
      <x:c r="F2129" t="n">
        <x:v>1</x:v>
      </x:c>
      <x:c r="G2129" t="str">
        <x:v>equals</x:v>
      </x:c>
      <x:c r="H2129" t="str">
        <x:v>independent physical acceptance</x:v>
      </x:c>
      <x:c r="I2129" t="str">
        <x:f>IF(E2129=1,"PASS","OPEN")</x:f>
        <x:v>OPEN</x:v>
      </x:c>
    </x:row>
    <x:row r="2130">
      <x:c r="B2130" t="str">
        <x:v>PH-TG-892-G</x:v>
      </x:c>
      <x:c r="C2130" t="str">
        <x:v>PHYSICAL</x:v>
      </x:c>
      <x:c r="D2130" t="str">
        <x:v>terrain geometry</x:v>
      </x:c>
      <x:c r="E2130" t="n">
        <x:f>IF('Terrain Field'!J898&lt;&gt;"",1,0)</x:f>
        <x:v>0</x:v>
      </x:c>
      <x:c r="F2130" t="n">
        <x:v>1</x:v>
      </x:c>
      <x:c r="G2130" t="str">
        <x:v>equals</x:v>
      </x:c>
      <x:c r="H2130" t="str">
        <x:v>independent physical acceptance</x:v>
      </x:c>
      <x:c r="I2130" t="str">
        <x:f>IF(E2130=1,"PASS","OPEN")</x:f>
        <x:v>OPEN</x:v>
      </x:c>
    </x:row>
    <x:row r="2131">
      <x:c r="B2131" t="str">
        <x:v>PH-TG-892-L</x:v>
      </x:c>
      <x:c r="C2131" t="str">
        <x:v>PHYSICAL</x:v>
      </x:c>
      <x:c r="D2131" t="str">
        <x:v>terrain load</x:v>
      </x:c>
      <x:c r="E2131" t="n">
        <x:f>IF('Terrain Field'!K898&lt;&gt;"",1,0)</x:f>
        <x:v>0</x:v>
      </x:c>
      <x:c r="F2131" t="n">
        <x:v>1</x:v>
      </x:c>
      <x:c r="G2131" t="str">
        <x:v>equals</x:v>
      </x:c>
      <x:c r="H2131" t="str">
        <x:v>independent physical acceptance</x:v>
      </x:c>
      <x:c r="I2131" t="str">
        <x:f>IF(E2131=1,"PASS","OPEN")</x:f>
        <x:v>OPEN</x:v>
      </x:c>
    </x:row>
    <x:row r="2132">
      <x:c r="B2132" t="str">
        <x:v>PH-TG-893-G</x:v>
      </x:c>
      <x:c r="C2132" t="str">
        <x:v>PHYSICAL</x:v>
      </x:c>
      <x:c r="D2132" t="str">
        <x:v>terrain geometry</x:v>
      </x:c>
      <x:c r="E2132" t="n">
        <x:f>IF('Terrain Field'!J899&lt;&gt;"",1,0)</x:f>
        <x:v>0</x:v>
      </x:c>
      <x:c r="F2132" t="n">
        <x:v>1</x:v>
      </x:c>
      <x:c r="G2132" t="str">
        <x:v>equals</x:v>
      </x:c>
      <x:c r="H2132" t="str">
        <x:v>independent physical acceptance</x:v>
      </x:c>
      <x:c r="I2132" t="str">
        <x:f>IF(E2132=1,"PASS","OPEN")</x:f>
        <x:v>OPEN</x:v>
      </x:c>
    </x:row>
    <x:row r="2133">
      <x:c r="B2133" t="str">
        <x:v>PH-TG-893-L</x:v>
      </x:c>
      <x:c r="C2133" t="str">
        <x:v>PHYSICAL</x:v>
      </x:c>
      <x:c r="D2133" t="str">
        <x:v>terrain load</x:v>
      </x:c>
      <x:c r="E2133" t="n">
        <x:f>IF('Terrain Field'!K899&lt;&gt;"",1,0)</x:f>
        <x:v>0</x:v>
      </x:c>
      <x:c r="F2133" t="n">
        <x:v>1</x:v>
      </x:c>
      <x:c r="G2133" t="str">
        <x:v>equals</x:v>
      </x:c>
      <x:c r="H2133" t="str">
        <x:v>independent physical acceptance</x:v>
      </x:c>
      <x:c r="I2133" t="str">
        <x:f>IF(E2133=1,"PASS","OPEN")</x:f>
        <x:v>OPEN</x:v>
      </x:c>
    </x:row>
    <x:row r="2134">
      <x:c r="B2134" t="str">
        <x:v>PH-TG-894-G</x:v>
      </x:c>
      <x:c r="C2134" t="str">
        <x:v>PHYSICAL</x:v>
      </x:c>
      <x:c r="D2134" t="str">
        <x:v>terrain geometry</x:v>
      </x:c>
      <x:c r="E2134" t="n">
        <x:f>IF('Terrain Field'!J900&lt;&gt;"",1,0)</x:f>
        <x:v>0</x:v>
      </x:c>
      <x:c r="F2134" t="n">
        <x:v>1</x:v>
      </x:c>
      <x:c r="G2134" t="str">
        <x:v>equals</x:v>
      </x:c>
      <x:c r="H2134" t="str">
        <x:v>independent physical acceptance</x:v>
      </x:c>
      <x:c r="I2134" t="str">
        <x:f>IF(E2134=1,"PASS","OPEN")</x:f>
        <x:v>OPEN</x:v>
      </x:c>
    </x:row>
    <x:row r="2135">
      <x:c r="B2135" t="str">
        <x:v>PH-TG-894-L</x:v>
      </x:c>
      <x:c r="C2135" t="str">
        <x:v>PHYSICAL</x:v>
      </x:c>
      <x:c r="D2135" t="str">
        <x:v>terrain load</x:v>
      </x:c>
      <x:c r="E2135" t="n">
        <x:f>IF('Terrain Field'!K900&lt;&gt;"",1,0)</x:f>
        <x:v>0</x:v>
      </x:c>
      <x:c r="F2135" t="n">
        <x:v>1</x:v>
      </x:c>
      <x:c r="G2135" t="str">
        <x:v>equals</x:v>
      </x:c>
      <x:c r="H2135" t="str">
        <x:v>independent physical acceptance</x:v>
      </x:c>
      <x:c r="I2135" t="str">
        <x:f>IF(E2135=1,"PASS","OPEN")</x:f>
        <x:v>OPEN</x:v>
      </x:c>
    </x:row>
    <x:row r="2136">
      <x:c r="B2136" t="str">
        <x:v>PH-TG-895-G</x:v>
      </x:c>
      <x:c r="C2136" t="str">
        <x:v>PHYSICAL</x:v>
      </x:c>
      <x:c r="D2136" t="str">
        <x:v>terrain geometry</x:v>
      </x:c>
      <x:c r="E2136" t="n">
        <x:f>IF('Terrain Field'!J901&lt;&gt;"",1,0)</x:f>
        <x:v>0</x:v>
      </x:c>
      <x:c r="F2136" t="n">
        <x:v>1</x:v>
      </x:c>
      <x:c r="G2136" t="str">
        <x:v>equals</x:v>
      </x:c>
      <x:c r="H2136" t="str">
        <x:v>independent physical acceptance</x:v>
      </x:c>
      <x:c r="I2136" t="str">
        <x:f>IF(E2136=1,"PASS","OPEN")</x:f>
        <x:v>OPEN</x:v>
      </x:c>
    </x:row>
    <x:row r="2137">
      <x:c r="B2137" t="str">
        <x:v>PH-TG-895-L</x:v>
      </x:c>
      <x:c r="C2137" t="str">
        <x:v>PHYSICAL</x:v>
      </x:c>
      <x:c r="D2137" t="str">
        <x:v>terrain load</x:v>
      </x:c>
      <x:c r="E2137" t="n">
        <x:f>IF('Terrain Field'!K901&lt;&gt;"",1,0)</x:f>
        <x:v>0</x:v>
      </x:c>
      <x:c r="F2137" t="n">
        <x:v>1</x:v>
      </x:c>
      <x:c r="G2137" t="str">
        <x:v>equals</x:v>
      </x:c>
      <x:c r="H2137" t="str">
        <x:v>independent physical acceptance</x:v>
      </x:c>
      <x:c r="I2137" t="str">
        <x:f>IF(E2137=1,"PASS","OPEN")</x:f>
        <x:v>OPEN</x:v>
      </x:c>
    </x:row>
    <x:row r="2138">
      <x:c r="B2138" t="str">
        <x:v>PH-TG-896-G</x:v>
      </x:c>
      <x:c r="C2138" t="str">
        <x:v>PHYSICAL</x:v>
      </x:c>
      <x:c r="D2138" t="str">
        <x:v>terrain geometry</x:v>
      </x:c>
      <x:c r="E2138" t="n">
        <x:f>IF('Terrain Field'!J902&lt;&gt;"",1,0)</x:f>
        <x:v>0</x:v>
      </x:c>
      <x:c r="F2138" t="n">
        <x:v>1</x:v>
      </x:c>
      <x:c r="G2138" t="str">
        <x:v>equals</x:v>
      </x:c>
      <x:c r="H2138" t="str">
        <x:v>independent physical acceptance</x:v>
      </x:c>
      <x:c r="I2138" t="str">
        <x:f>IF(E2138=1,"PASS","OPEN")</x:f>
        <x:v>OPEN</x:v>
      </x:c>
    </x:row>
    <x:row r="2139">
      <x:c r="B2139" t="str">
        <x:v>PH-TG-896-L</x:v>
      </x:c>
      <x:c r="C2139" t="str">
        <x:v>PHYSICAL</x:v>
      </x:c>
      <x:c r="D2139" t="str">
        <x:v>terrain load</x:v>
      </x:c>
      <x:c r="E2139" t="n">
        <x:f>IF('Terrain Field'!K902&lt;&gt;"",1,0)</x:f>
        <x:v>0</x:v>
      </x:c>
      <x:c r="F2139" t="n">
        <x:v>1</x:v>
      </x:c>
      <x:c r="G2139" t="str">
        <x:v>equals</x:v>
      </x:c>
      <x:c r="H2139" t="str">
        <x:v>independent physical acceptance</x:v>
      </x:c>
      <x:c r="I2139" t="str">
        <x:f>IF(E2139=1,"PASS","OPEN")</x:f>
        <x:v>OPEN</x:v>
      </x:c>
    </x:row>
    <x:row r="2140">
      <x:c r="B2140" t="str">
        <x:v>PH-TG-897-G</x:v>
      </x:c>
      <x:c r="C2140" t="str">
        <x:v>PHYSICAL</x:v>
      </x:c>
      <x:c r="D2140" t="str">
        <x:v>terrain geometry</x:v>
      </x:c>
      <x:c r="E2140" t="n">
        <x:f>IF('Terrain Field'!J903&lt;&gt;"",1,0)</x:f>
        <x:v>0</x:v>
      </x:c>
      <x:c r="F2140" t="n">
        <x:v>1</x:v>
      </x:c>
      <x:c r="G2140" t="str">
        <x:v>equals</x:v>
      </x:c>
      <x:c r="H2140" t="str">
        <x:v>independent physical acceptance</x:v>
      </x:c>
      <x:c r="I2140" t="str">
        <x:f>IF(E2140=1,"PASS","OPEN")</x:f>
        <x:v>OPEN</x:v>
      </x:c>
    </x:row>
    <x:row r="2141">
      <x:c r="B2141" t="str">
        <x:v>PH-TG-897-L</x:v>
      </x:c>
      <x:c r="C2141" t="str">
        <x:v>PHYSICAL</x:v>
      </x:c>
      <x:c r="D2141" t="str">
        <x:v>terrain load</x:v>
      </x:c>
      <x:c r="E2141" t="n">
        <x:f>IF('Terrain Field'!K903&lt;&gt;"",1,0)</x:f>
        <x:v>0</x:v>
      </x:c>
      <x:c r="F2141" t="n">
        <x:v>1</x:v>
      </x:c>
      <x:c r="G2141" t="str">
        <x:v>equals</x:v>
      </x:c>
      <x:c r="H2141" t="str">
        <x:v>independent physical acceptance</x:v>
      </x:c>
      <x:c r="I2141" t="str">
        <x:f>IF(E2141=1,"PASS","OPEN")</x:f>
        <x:v>OPEN</x:v>
      </x:c>
    </x:row>
    <x:row r="2142">
      <x:c r="B2142" t="str">
        <x:v>PH-TG-898-G</x:v>
      </x:c>
      <x:c r="C2142" t="str">
        <x:v>PHYSICAL</x:v>
      </x:c>
      <x:c r="D2142" t="str">
        <x:v>terrain geometry</x:v>
      </x:c>
      <x:c r="E2142" t="n">
        <x:f>IF('Terrain Field'!J904&lt;&gt;"",1,0)</x:f>
        <x:v>0</x:v>
      </x:c>
      <x:c r="F2142" t="n">
        <x:v>1</x:v>
      </x:c>
      <x:c r="G2142" t="str">
        <x:v>equals</x:v>
      </x:c>
      <x:c r="H2142" t="str">
        <x:v>independent physical acceptance</x:v>
      </x:c>
      <x:c r="I2142" t="str">
        <x:f>IF(E2142=1,"PASS","OPEN")</x:f>
        <x:v>OPEN</x:v>
      </x:c>
    </x:row>
    <x:row r="2143">
      <x:c r="B2143" t="str">
        <x:v>PH-TG-898-L</x:v>
      </x:c>
      <x:c r="C2143" t="str">
        <x:v>PHYSICAL</x:v>
      </x:c>
      <x:c r="D2143" t="str">
        <x:v>terrain load</x:v>
      </x:c>
      <x:c r="E2143" t="n">
        <x:f>IF('Terrain Field'!K904&lt;&gt;"",1,0)</x:f>
        <x:v>0</x:v>
      </x:c>
      <x:c r="F2143" t="n">
        <x:v>1</x:v>
      </x:c>
      <x:c r="G2143" t="str">
        <x:v>equals</x:v>
      </x:c>
      <x:c r="H2143" t="str">
        <x:v>independent physical acceptance</x:v>
      </x:c>
      <x:c r="I2143" t="str">
        <x:f>IF(E2143=1,"PASS","OPEN")</x:f>
        <x:v>OPEN</x:v>
      </x:c>
    </x:row>
    <x:row r="2144">
      <x:c r="B2144" t="str">
        <x:v>PH-TG-899-G</x:v>
      </x:c>
      <x:c r="C2144" t="str">
        <x:v>PHYSICAL</x:v>
      </x:c>
      <x:c r="D2144" t="str">
        <x:v>terrain geometry</x:v>
      </x:c>
      <x:c r="E2144" t="n">
        <x:f>IF('Terrain Field'!J905&lt;&gt;"",1,0)</x:f>
        <x:v>0</x:v>
      </x:c>
      <x:c r="F2144" t="n">
        <x:v>1</x:v>
      </x:c>
      <x:c r="G2144" t="str">
        <x:v>equals</x:v>
      </x:c>
      <x:c r="H2144" t="str">
        <x:v>independent physical acceptance</x:v>
      </x:c>
      <x:c r="I2144" t="str">
        <x:f>IF(E2144=1,"PASS","OPEN")</x:f>
        <x:v>OPEN</x:v>
      </x:c>
    </x:row>
    <x:row r="2145">
      <x:c r="B2145" t="str">
        <x:v>PH-TG-899-L</x:v>
      </x:c>
      <x:c r="C2145" t="str">
        <x:v>PHYSICAL</x:v>
      </x:c>
      <x:c r="D2145" t="str">
        <x:v>terrain load</x:v>
      </x:c>
      <x:c r="E2145" t="n">
        <x:f>IF('Terrain Field'!K905&lt;&gt;"",1,0)</x:f>
        <x:v>0</x:v>
      </x:c>
      <x:c r="F2145" t="n">
        <x:v>1</x:v>
      </x:c>
      <x:c r="G2145" t="str">
        <x:v>equals</x:v>
      </x:c>
      <x:c r="H2145" t="str">
        <x:v>independent physical acceptance</x:v>
      </x:c>
      <x:c r="I2145" t="str">
        <x:f>IF(E2145=1,"PASS","OPEN")</x:f>
        <x:v>OPEN</x:v>
      </x:c>
    </x:row>
    <x:row r="2146">
      <x:c r="B2146" t="str">
        <x:v>PH-TG-900-G</x:v>
      </x:c>
      <x:c r="C2146" t="str">
        <x:v>PHYSICAL</x:v>
      </x:c>
      <x:c r="D2146" t="str">
        <x:v>terrain geometry</x:v>
      </x:c>
      <x:c r="E2146" t="n">
        <x:f>IF('Terrain Field'!J906&lt;&gt;"",1,0)</x:f>
        <x:v>0</x:v>
      </x:c>
      <x:c r="F2146" t="n">
        <x:v>1</x:v>
      </x:c>
      <x:c r="G2146" t="str">
        <x:v>equals</x:v>
      </x:c>
      <x:c r="H2146" t="str">
        <x:v>independent physical acceptance</x:v>
      </x:c>
      <x:c r="I2146" t="str">
        <x:f>IF(E2146=1,"PASS","OPEN")</x:f>
        <x:v>OPEN</x:v>
      </x:c>
    </x:row>
    <x:row r="2147">
      <x:c r="B2147" t="str">
        <x:v>PH-TG-900-L</x:v>
      </x:c>
      <x:c r="C2147" t="str">
        <x:v>PHYSICAL</x:v>
      </x:c>
      <x:c r="D2147" t="str">
        <x:v>terrain load</x:v>
      </x:c>
      <x:c r="E2147" t="n">
        <x:f>IF('Terrain Field'!K906&lt;&gt;"",1,0)</x:f>
        <x:v>0</x:v>
      </x:c>
      <x:c r="F2147" t="n">
        <x:v>1</x:v>
      </x:c>
      <x:c r="G2147" t="str">
        <x:v>equals</x:v>
      </x:c>
      <x:c r="H2147" t="str">
        <x:v>independent physical acceptance</x:v>
      </x:c>
      <x:c r="I2147" t="str">
        <x:f>IF(E2147=1,"PASS","OPEN")</x:f>
        <x:v>OPEN</x:v>
      </x:c>
    </x:row>
    <x:row r="2148">
      <x:c r="B2148" t="str">
        <x:v>PH-SD-1</x:v>
      </x:c>
      <x:c r="C2148" t="str">
        <x:v>PHYSICAL</x:v>
      </x:c>
      <x:c r="D2148" t="str">
        <x:v>source dispenser element</x:v>
      </x:c>
      <x:c r="E2148" t="n">
        <x:f>IF('Source Dispenser'!H7&lt;&gt;"",1,0)</x:f>
        <x:v>0</x:v>
      </x:c>
      <x:c r="F2148" t="n">
        <x:v>1</x:v>
      </x:c>
      <x:c r="G2148" t="str">
        <x:v>equals</x:v>
      </x:c>
      <x:c r="H2148" t="str">
        <x:v>independent physical acceptance</x:v>
      </x:c>
      <x:c r="I2148" t="str">
        <x:f>IF(E2148=1,"PASS","OPEN")</x:f>
        <x:v>OPEN</x:v>
      </x:c>
    </x:row>
    <x:row r="2149">
      <x:c r="B2149" t="str">
        <x:v>PH-SD-2</x:v>
      </x:c>
      <x:c r="C2149" t="str">
        <x:v>PHYSICAL</x:v>
      </x:c>
      <x:c r="D2149" t="str">
        <x:v>source dispenser element</x:v>
      </x:c>
      <x:c r="E2149" t="n">
        <x:f>IF('Source Dispenser'!H8&lt;&gt;"",1,0)</x:f>
        <x:v>0</x:v>
      </x:c>
      <x:c r="F2149" t="n">
        <x:v>1</x:v>
      </x:c>
      <x:c r="G2149" t="str">
        <x:v>equals</x:v>
      </x:c>
      <x:c r="H2149" t="str">
        <x:v>independent physical acceptance</x:v>
      </x:c>
      <x:c r="I2149" t="str">
        <x:f>IF(E2149=1,"PASS","OPEN")</x:f>
        <x:v>OPEN</x:v>
      </x:c>
    </x:row>
    <x:row r="2150">
      <x:c r="B2150" t="str">
        <x:v>PH-SD-3</x:v>
      </x:c>
      <x:c r="C2150" t="str">
        <x:v>PHYSICAL</x:v>
      </x:c>
      <x:c r="D2150" t="str">
        <x:v>source dispenser element</x:v>
      </x:c>
      <x:c r="E2150" t="n">
        <x:f>IF('Source Dispenser'!H9&lt;&gt;"",1,0)</x:f>
        <x:v>0</x:v>
      </x:c>
      <x:c r="F2150" t="n">
        <x:v>1</x:v>
      </x:c>
      <x:c r="G2150" t="str">
        <x:v>equals</x:v>
      </x:c>
      <x:c r="H2150" t="str">
        <x:v>independent physical acceptance</x:v>
      </x:c>
      <x:c r="I2150" t="str">
        <x:f>IF(E2150=1,"PASS","OPEN")</x:f>
        <x:v>OPEN</x:v>
      </x:c>
    </x:row>
    <x:row r="2151">
      <x:c r="B2151" t="str">
        <x:v>PH-SD-4</x:v>
      </x:c>
      <x:c r="C2151" t="str">
        <x:v>PHYSICAL</x:v>
      </x:c>
      <x:c r="D2151" t="str">
        <x:v>source dispenser element</x:v>
      </x:c>
      <x:c r="E2151" t="n">
        <x:f>IF('Source Dispenser'!H10&lt;&gt;"",1,0)</x:f>
        <x:v>0</x:v>
      </x:c>
      <x:c r="F2151" t="n">
        <x:v>1</x:v>
      </x:c>
      <x:c r="G2151" t="str">
        <x:v>equals</x:v>
      </x:c>
      <x:c r="H2151" t="str">
        <x:v>independent physical acceptance</x:v>
      </x:c>
      <x:c r="I2151" t="str">
        <x:f>IF(E2151=1,"PASS","OPEN")</x:f>
        <x:v>OPEN</x:v>
      </x:c>
    </x:row>
    <x:row r="2152">
      <x:c r="B2152" t="str">
        <x:v>PH-SD-5</x:v>
      </x:c>
      <x:c r="C2152" t="str">
        <x:v>PHYSICAL</x:v>
      </x:c>
      <x:c r="D2152" t="str">
        <x:v>source dispenser element</x:v>
      </x:c>
      <x:c r="E2152" t="n">
        <x:f>IF('Source Dispenser'!H11&lt;&gt;"",1,0)</x:f>
        <x:v>0</x:v>
      </x:c>
      <x:c r="F2152" t="n">
        <x:v>1</x:v>
      </x:c>
      <x:c r="G2152" t="str">
        <x:v>equals</x:v>
      </x:c>
      <x:c r="H2152" t="str">
        <x:v>independent physical acceptance</x:v>
      </x:c>
      <x:c r="I2152" t="str">
        <x:f>IF(E2152=1,"PASS","OPEN")</x:f>
        <x:v>OPEN</x:v>
      </x:c>
    </x:row>
    <x:row r="2153">
      <x:c r="B2153" t="str">
        <x:v>PH-SD-6</x:v>
      </x:c>
      <x:c r="C2153" t="str">
        <x:v>PHYSICAL</x:v>
      </x:c>
      <x:c r="D2153" t="str">
        <x:v>source dispenser element</x:v>
      </x:c>
      <x:c r="E2153" t="n">
        <x:f>IF('Source Dispenser'!H12&lt;&gt;"",1,0)</x:f>
        <x:v>0</x:v>
      </x:c>
      <x:c r="F2153" t="n">
        <x:v>1</x:v>
      </x:c>
      <x:c r="G2153" t="str">
        <x:v>equals</x:v>
      </x:c>
      <x:c r="H2153" t="str">
        <x:v>independent physical acceptance</x:v>
      </x:c>
      <x:c r="I2153" t="str">
        <x:f>IF(E2153=1,"PASS","OPEN")</x:f>
        <x:v>OPEN</x:v>
      </x:c>
    </x:row>
    <x:row r="2154">
      <x:c r="B2154" t="str">
        <x:v>PH-SD-7</x:v>
      </x:c>
      <x:c r="C2154" t="str">
        <x:v>PHYSICAL</x:v>
      </x:c>
      <x:c r="D2154" t="str">
        <x:v>source dispenser element</x:v>
      </x:c>
      <x:c r="E2154" t="n">
        <x:f>IF('Source Dispenser'!H13&lt;&gt;"",1,0)</x:f>
        <x:v>0</x:v>
      </x:c>
      <x:c r="F2154" t="n">
        <x:v>1</x:v>
      </x:c>
      <x:c r="G2154" t="str">
        <x:v>equals</x:v>
      </x:c>
      <x:c r="H2154" t="str">
        <x:v>independent physical acceptance</x:v>
      </x:c>
      <x:c r="I2154" t="str">
        <x:f>IF(E2154=1,"PASS","OPEN")</x:f>
        <x:v>OPEN</x:v>
      </x:c>
    </x:row>
    <x:row r="2155">
      <x:c r="B2155" t="str">
        <x:v>PH-SD-8</x:v>
      </x:c>
      <x:c r="C2155" t="str">
        <x:v>PHYSICAL</x:v>
      </x:c>
      <x:c r="D2155" t="str">
        <x:v>source dispenser element</x:v>
      </x:c>
      <x:c r="E2155" t="n">
        <x:f>IF('Source Dispenser'!H14&lt;&gt;"",1,0)</x:f>
        <x:v>0</x:v>
      </x:c>
      <x:c r="F2155" t="n">
        <x:v>1</x:v>
      </x:c>
      <x:c r="G2155" t="str">
        <x:v>equals</x:v>
      </x:c>
      <x:c r="H2155" t="str">
        <x:v>independent physical acceptance</x:v>
      </x:c>
      <x:c r="I2155" t="str">
        <x:f>IF(E2155=1,"PASS","OPEN")</x:f>
        <x:v>OPEN</x:v>
      </x:c>
    </x:row>
    <x:row r="2156">
      <x:c r="B2156" t="str">
        <x:v>PH-DG-1</x:v>
      </x:c>
      <x:c r="C2156" t="str">
        <x:v>PHYSICAL</x:v>
      </x:c>
      <x:c r="D2156" t="str">
        <x:v>drain bay</x:v>
      </x:c>
      <x:c r="E2156" t="n">
        <x:f>IF('Drain Gallery'!L7&lt;&gt;"",1,0)</x:f>
        <x:v>0</x:v>
      </x:c>
      <x:c r="F2156" t="n">
        <x:v>1</x:v>
      </x:c>
      <x:c r="G2156" t="str">
        <x:v>equals</x:v>
      </x:c>
      <x:c r="H2156" t="str">
        <x:v>independent physical acceptance</x:v>
      </x:c>
      <x:c r="I2156" t="str">
        <x:f>IF(E2156=1,"PASS","OPEN")</x:f>
        <x:v>OPEN</x:v>
      </x:c>
    </x:row>
    <x:row r="2157">
      <x:c r="B2157" t="str">
        <x:v>PH-DG-2</x:v>
      </x:c>
      <x:c r="C2157" t="str">
        <x:v>PHYSICAL</x:v>
      </x:c>
      <x:c r="D2157" t="str">
        <x:v>drain bay</x:v>
      </x:c>
      <x:c r="E2157" t="n">
        <x:f>IF('Drain Gallery'!L8&lt;&gt;"",1,0)</x:f>
        <x:v>0</x:v>
      </x:c>
      <x:c r="F2157" t="n">
        <x:v>1</x:v>
      </x:c>
      <x:c r="G2157" t="str">
        <x:v>equals</x:v>
      </x:c>
      <x:c r="H2157" t="str">
        <x:v>independent physical acceptance</x:v>
      </x:c>
      <x:c r="I2157" t="str">
        <x:f>IF(E2157=1,"PASS","OPEN")</x:f>
        <x:v>OPEN</x:v>
      </x:c>
    </x:row>
    <x:row r="2158">
      <x:c r="B2158" t="str">
        <x:v>PH-DG-3</x:v>
      </x:c>
      <x:c r="C2158" t="str">
        <x:v>PHYSICAL</x:v>
      </x:c>
      <x:c r="D2158" t="str">
        <x:v>drain bay</x:v>
      </x:c>
      <x:c r="E2158" t="n">
        <x:f>IF('Drain Gallery'!L9&lt;&gt;"",1,0)</x:f>
        <x:v>0</x:v>
      </x:c>
      <x:c r="F2158" t="n">
        <x:v>1</x:v>
      </x:c>
      <x:c r="G2158" t="str">
        <x:v>equals</x:v>
      </x:c>
      <x:c r="H2158" t="str">
        <x:v>independent physical acceptance</x:v>
      </x:c>
      <x:c r="I2158" t="str">
        <x:f>IF(E2158=1,"PASS","OPEN")</x:f>
        <x:v>OPEN</x:v>
      </x:c>
    </x:row>
    <x:row r="2159">
      <x:c r="B2159" t="str">
        <x:v>PH-DG-4</x:v>
      </x:c>
      <x:c r="C2159" t="str">
        <x:v>PHYSICAL</x:v>
      </x:c>
      <x:c r="D2159" t="str">
        <x:v>drain bay</x:v>
      </x:c>
      <x:c r="E2159" t="n">
        <x:f>IF('Drain Gallery'!L10&lt;&gt;"",1,0)</x:f>
        <x:v>0</x:v>
      </x:c>
      <x:c r="F2159" t="n">
        <x:v>1</x:v>
      </x:c>
      <x:c r="G2159" t="str">
        <x:v>equals</x:v>
      </x:c>
      <x:c r="H2159" t="str">
        <x:v>independent physical acceptance</x:v>
      </x:c>
      <x:c r="I2159" t="str">
        <x:f>IF(E2159=1,"PASS","OPEN")</x:f>
        <x:v>OPEN</x:v>
      </x:c>
    </x:row>
    <x:row r="2160">
      <x:c r="B2160" t="str">
        <x:v>PH-DG-5</x:v>
      </x:c>
      <x:c r="C2160" t="str">
        <x:v>PHYSICAL</x:v>
      </x:c>
      <x:c r="D2160" t="str">
        <x:v>drain bay</x:v>
      </x:c>
      <x:c r="E2160" t="n">
        <x:f>IF('Drain Gallery'!L11&lt;&gt;"",1,0)</x:f>
        <x:v>0</x:v>
      </x:c>
      <x:c r="F2160" t="n">
        <x:v>1</x:v>
      </x:c>
      <x:c r="G2160" t="str">
        <x:v>equals</x:v>
      </x:c>
      <x:c r="H2160" t="str">
        <x:v>independent physical acceptance</x:v>
      </x:c>
      <x:c r="I2160" t="str">
        <x:f>IF(E2160=1,"PASS","OPEN")</x:f>
        <x:v>OPEN</x:v>
      </x:c>
    </x:row>
    <x:row r="2161">
      <x:c r="B2161" t="str">
        <x:v>PH-DG-6</x:v>
      </x:c>
      <x:c r="C2161" t="str">
        <x:v>PHYSICAL</x:v>
      </x:c>
      <x:c r="D2161" t="str">
        <x:v>drain bay</x:v>
      </x:c>
      <x:c r="E2161" t="n">
        <x:f>IF('Drain Gallery'!L12&lt;&gt;"",1,0)</x:f>
        <x:v>0</x:v>
      </x:c>
      <x:c r="F2161" t="n">
        <x:v>1</x:v>
      </x:c>
      <x:c r="G2161" t="str">
        <x:v>equals</x:v>
      </x:c>
      <x:c r="H2161" t="str">
        <x:v>independent physical acceptance</x:v>
      </x:c>
      <x:c r="I2161" t="str">
        <x:f>IF(E2161=1,"PASS","OPEN")</x:f>
        <x:v>OPEN</x:v>
      </x:c>
    </x:row>
    <x:row r="2162">
      <x:c r="B2162" t="str">
        <x:v>PH-DG-7</x:v>
      </x:c>
      <x:c r="C2162" t="str">
        <x:v>PHYSICAL</x:v>
      </x:c>
      <x:c r="D2162" t="str">
        <x:v>drain bay</x:v>
      </x:c>
      <x:c r="E2162" t="n">
        <x:f>IF('Drain Gallery'!L13&lt;&gt;"",1,0)</x:f>
        <x:v>0</x:v>
      </x:c>
      <x:c r="F2162" t="n">
        <x:v>1</x:v>
      </x:c>
      <x:c r="G2162" t="str">
        <x:v>equals</x:v>
      </x:c>
      <x:c r="H2162" t="str">
        <x:v>independent physical acceptance</x:v>
      </x:c>
      <x:c r="I2162" t="str">
        <x:f>IF(E2162=1,"PASS","OPEN")</x:f>
        <x:v>OPEN</x:v>
      </x:c>
    </x:row>
    <x:row r="2163">
      <x:c r="B2163" t="str">
        <x:v>PH-DG-8</x:v>
      </x:c>
      <x:c r="C2163" t="str">
        <x:v>PHYSICAL</x:v>
      </x:c>
      <x:c r="D2163" t="str">
        <x:v>drain bay</x:v>
      </x:c>
      <x:c r="E2163" t="n">
        <x:f>IF('Drain Gallery'!L14&lt;&gt;"",1,0)</x:f>
        <x:v>0</x:v>
      </x:c>
      <x:c r="F2163" t="n">
        <x:v>1</x:v>
      </x:c>
      <x:c r="G2163" t="str">
        <x:v>equals</x:v>
      </x:c>
      <x:c r="H2163" t="str">
        <x:v>independent physical acceptance</x:v>
      </x:c>
      <x:c r="I2163" t="str">
        <x:f>IF(E2163=1,"PASS","OPEN")</x:f>
        <x:v>OPEN</x:v>
      </x:c>
    </x:row>
    <x:row r="2164">
      <x:c r="B2164" t="str">
        <x:v>PH-DG-9</x:v>
      </x:c>
      <x:c r="C2164" t="str">
        <x:v>PHYSICAL</x:v>
      </x:c>
      <x:c r="D2164" t="str">
        <x:v>drain bay</x:v>
      </x:c>
      <x:c r="E2164" t="n">
        <x:f>IF('Drain Gallery'!L15&lt;&gt;"",1,0)</x:f>
        <x:v>0</x:v>
      </x:c>
      <x:c r="F2164" t="n">
        <x:v>1</x:v>
      </x:c>
      <x:c r="G2164" t="str">
        <x:v>equals</x:v>
      </x:c>
      <x:c r="H2164" t="str">
        <x:v>independent physical acceptance</x:v>
      </x:c>
      <x:c r="I2164" t="str">
        <x:f>IF(E2164=1,"PASS","OPEN")</x:f>
        <x:v>OPEN</x:v>
      </x:c>
    </x:row>
    <x:row r="2165">
      <x:c r="B2165" t="str">
        <x:v>PH-DG-10</x:v>
      </x:c>
      <x:c r="C2165" t="str">
        <x:v>PHYSICAL</x:v>
      </x:c>
      <x:c r="D2165" t="str">
        <x:v>drain bay</x:v>
      </x:c>
      <x:c r="E2165" t="n">
        <x:f>IF('Drain Gallery'!L16&lt;&gt;"",1,0)</x:f>
        <x:v>0</x:v>
      </x:c>
      <x:c r="F2165" t="n">
        <x:v>1</x:v>
      </x:c>
      <x:c r="G2165" t="str">
        <x:v>equals</x:v>
      </x:c>
      <x:c r="H2165" t="str">
        <x:v>independent physical acceptance</x:v>
      </x:c>
      <x:c r="I2165" t="str">
        <x:f>IF(E2165=1,"PASS","OPEN")</x:f>
        <x:v>OPEN</x:v>
      </x:c>
    </x:row>
    <x:row r="2166">
      <x:c r="B2166" t="str">
        <x:v>PH-DG-11</x:v>
      </x:c>
      <x:c r="C2166" t="str">
        <x:v>PHYSICAL</x:v>
      </x:c>
      <x:c r="D2166" t="str">
        <x:v>drain bay</x:v>
      </x:c>
      <x:c r="E2166" t="n">
        <x:f>IF('Drain Gallery'!L17&lt;&gt;"",1,0)</x:f>
        <x:v>0</x:v>
      </x:c>
      <x:c r="F2166" t="n">
        <x:v>1</x:v>
      </x:c>
      <x:c r="G2166" t="str">
        <x:v>equals</x:v>
      </x:c>
      <x:c r="H2166" t="str">
        <x:v>independent physical acceptance</x:v>
      </x:c>
      <x:c r="I2166" t="str">
        <x:f>IF(E2166=1,"PASS","OPEN")</x:f>
        <x:v>OPEN</x:v>
      </x:c>
    </x:row>
    <x:row r="2167">
      <x:c r="B2167" t="str">
        <x:v>PH-DG-12</x:v>
      </x:c>
      <x:c r="C2167" t="str">
        <x:v>PHYSICAL</x:v>
      </x:c>
      <x:c r="D2167" t="str">
        <x:v>drain bay</x:v>
      </x:c>
      <x:c r="E2167" t="n">
        <x:f>IF('Drain Gallery'!L18&lt;&gt;"",1,0)</x:f>
        <x:v>0</x:v>
      </x:c>
      <x:c r="F2167" t="n">
        <x:v>1</x:v>
      </x:c>
      <x:c r="G2167" t="str">
        <x:v>equals</x:v>
      </x:c>
      <x:c r="H2167" t="str">
        <x:v>independent physical acceptance</x:v>
      </x:c>
      <x:c r="I2167" t="str">
        <x:f>IF(E2167=1,"PASS","OPEN")</x:f>
        <x:v>OPEN</x:v>
      </x:c>
    </x:row>
    <x:row r="2168">
      <x:c r="B2168" t="str">
        <x:v>PH-DG-13</x:v>
      </x:c>
      <x:c r="C2168" t="str">
        <x:v>PHYSICAL</x:v>
      </x:c>
      <x:c r="D2168" t="str">
        <x:v>drain bay</x:v>
      </x:c>
      <x:c r="E2168" t="n">
        <x:f>IF('Drain Gallery'!L19&lt;&gt;"",1,0)</x:f>
        <x:v>0</x:v>
      </x:c>
      <x:c r="F2168" t="n">
        <x:v>1</x:v>
      </x:c>
      <x:c r="G2168" t="str">
        <x:v>equals</x:v>
      </x:c>
      <x:c r="H2168" t="str">
        <x:v>independent physical acceptance</x:v>
      </x:c>
      <x:c r="I2168" t="str">
        <x:f>IF(E2168=1,"PASS","OPEN")</x:f>
        <x:v>OPEN</x:v>
      </x:c>
    </x:row>
    <x:row r="2169">
      <x:c r="B2169" t="str">
        <x:v>PH-DG-14</x:v>
      </x:c>
      <x:c r="C2169" t="str">
        <x:v>PHYSICAL</x:v>
      </x:c>
      <x:c r="D2169" t="str">
        <x:v>drain bay</x:v>
      </x:c>
      <x:c r="E2169" t="n">
        <x:f>IF('Drain Gallery'!L20&lt;&gt;"",1,0)</x:f>
        <x:v>0</x:v>
      </x:c>
      <x:c r="F2169" t="n">
        <x:v>1</x:v>
      </x:c>
      <x:c r="G2169" t="str">
        <x:v>equals</x:v>
      </x:c>
      <x:c r="H2169" t="str">
        <x:v>independent physical acceptance</x:v>
      </x:c>
      <x:c r="I2169" t="str">
        <x:f>IF(E2169=1,"PASS","OPEN")</x:f>
        <x:v>OPEN</x:v>
      </x:c>
    </x:row>
    <x:row r="2170">
      <x:c r="B2170" t="str">
        <x:v>PH-DG-15</x:v>
      </x:c>
      <x:c r="C2170" t="str">
        <x:v>PHYSICAL</x:v>
      </x:c>
      <x:c r="D2170" t="str">
        <x:v>drain bay</x:v>
      </x:c>
      <x:c r="E2170" t="n">
        <x:f>IF('Drain Gallery'!L21&lt;&gt;"",1,0)</x:f>
        <x:v>0</x:v>
      </x:c>
      <x:c r="F2170" t="n">
        <x:v>1</x:v>
      </x:c>
      <x:c r="G2170" t="str">
        <x:v>equals</x:v>
      </x:c>
      <x:c r="H2170" t="str">
        <x:v>independent physical acceptance</x:v>
      </x:c>
      <x:c r="I2170" t="str">
        <x:f>IF(E2170=1,"PASS","OPEN")</x:f>
        <x:v>OPEN</x:v>
      </x:c>
    </x:row>
    <x:row r="2171">
      <x:c r="B2171" t="str">
        <x:v>PH-DG-16</x:v>
      </x:c>
      <x:c r="C2171" t="str">
        <x:v>PHYSICAL</x:v>
      </x:c>
      <x:c r="D2171" t="str">
        <x:v>drain bay</x:v>
      </x:c>
      <x:c r="E2171" t="n">
        <x:f>IF('Drain Gallery'!L22&lt;&gt;"",1,0)</x:f>
        <x:v>0</x:v>
      </x:c>
      <x:c r="F2171" t="n">
        <x:v>1</x:v>
      </x:c>
      <x:c r="G2171" t="str">
        <x:v>equals</x:v>
      </x:c>
      <x:c r="H2171" t="str">
        <x:v>independent physical acceptance</x:v>
      </x:c>
      <x:c r="I2171" t="str">
        <x:f>IF(E2171=1,"PASS","OPEN")</x:f>
        <x:v>OPEN</x:v>
      </x:c>
    </x:row>
    <x:row r="2172">
      <x:c r="B2172" t="str">
        <x:v>PH-DG-17</x:v>
      </x:c>
      <x:c r="C2172" t="str">
        <x:v>PHYSICAL</x:v>
      </x:c>
      <x:c r="D2172" t="str">
        <x:v>drain bay</x:v>
      </x:c>
      <x:c r="E2172" t="n">
        <x:f>IF('Drain Gallery'!L23&lt;&gt;"",1,0)</x:f>
        <x:v>0</x:v>
      </x:c>
      <x:c r="F2172" t="n">
        <x:v>1</x:v>
      </x:c>
      <x:c r="G2172" t="str">
        <x:v>equals</x:v>
      </x:c>
      <x:c r="H2172" t="str">
        <x:v>independent physical acceptance</x:v>
      </x:c>
      <x:c r="I2172" t="str">
        <x:f>IF(E2172=1,"PASS","OPEN")</x:f>
        <x:v>OPEN</x:v>
      </x:c>
    </x:row>
    <x:row r="2173">
      <x:c r="B2173" t="str">
        <x:v>PH-DG-18</x:v>
      </x:c>
      <x:c r="C2173" t="str">
        <x:v>PHYSICAL</x:v>
      </x:c>
      <x:c r="D2173" t="str">
        <x:v>drain bay</x:v>
      </x:c>
      <x:c r="E2173" t="n">
        <x:f>IF('Drain Gallery'!L24&lt;&gt;"",1,0)</x:f>
        <x:v>0</x:v>
      </x:c>
      <x:c r="F2173" t="n">
        <x:v>1</x:v>
      </x:c>
      <x:c r="G2173" t="str">
        <x:v>equals</x:v>
      </x:c>
      <x:c r="H2173" t="str">
        <x:v>independent physical acceptance</x:v>
      </x:c>
      <x:c r="I2173" t="str">
        <x:f>IF(E2173=1,"PASS","OPEN")</x:f>
        <x:v>OPEN</x:v>
      </x:c>
    </x:row>
    <x:row r="2174">
      <x:c r="B2174" t="str">
        <x:v>PH-DG-19</x:v>
      </x:c>
      <x:c r="C2174" t="str">
        <x:v>PHYSICAL</x:v>
      </x:c>
      <x:c r="D2174" t="str">
        <x:v>drain bay</x:v>
      </x:c>
      <x:c r="E2174" t="n">
        <x:f>IF('Drain Gallery'!L25&lt;&gt;"",1,0)</x:f>
        <x:v>0</x:v>
      </x:c>
      <x:c r="F2174" t="n">
        <x:v>1</x:v>
      </x:c>
      <x:c r="G2174" t="str">
        <x:v>equals</x:v>
      </x:c>
      <x:c r="H2174" t="str">
        <x:v>independent physical acceptance</x:v>
      </x:c>
      <x:c r="I2174" t="str">
        <x:f>IF(E2174=1,"PASS","OPEN")</x:f>
        <x:v>OPEN</x:v>
      </x:c>
    </x:row>
    <x:row r="2175">
      <x:c r="B2175" t="str">
        <x:v>PH-DG-20</x:v>
      </x:c>
      <x:c r="C2175" t="str">
        <x:v>PHYSICAL</x:v>
      </x:c>
      <x:c r="D2175" t="str">
        <x:v>drain bay</x:v>
      </x:c>
      <x:c r="E2175" t="n">
        <x:f>IF('Drain Gallery'!L26&lt;&gt;"",1,0)</x:f>
        <x:v>0</x:v>
      </x:c>
      <x:c r="F2175" t="n">
        <x:v>1</x:v>
      </x:c>
      <x:c r="G2175" t="str">
        <x:v>equals</x:v>
      </x:c>
      <x:c r="H2175" t="str">
        <x:v>independent physical acceptance</x:v>
      </x:c>
      <x:c r="I2175" t="str">
        <x:f>IF(E2175=1,"PASS","OPEN")</x:f>
        <x:v>OPEN</x:v>
      </x:c>
    </x:row>
    <x:row r="2176">
      <x:c r="B2176" t="str">
        <x:v>PH-DG-21</x:v>
      </x:c>
      <x:c r="C2176" t="str">
        <x:v>PHYSICAL</x:v>
      </x:c>
      <x:c r="D2176" t="str">
        <x:v>drain bay</x:v>
      </x:c>
      <x:c r="E2176" t="n">
        <x:f>IF('Drain Gallery'!L27&lt;&gt;"",1,0)</x:f>
        <x:v>0</x:v>
      </x:c>
      <x:c r="F2176" t="n">
        <x:v>1</x:v>
      </x:c>
      <x:c r="G2176" t="str">
        <x:v>equals</x:v>
      </x:c>
      <x:c r="H2176" t="str">
        <x:v>independent physical acceptance</x:v>
      </x:c>
      <x:c r="I2176" t="str">
        <x:f>IF(E2176=1,"PASS","OPEN")</x:f>
        <x:v>OPEN</x:v>
      </x:c>
    </x:row>
    <x:row r="2177">
      <x:c r="B2177" t="str">
        <x:v>PH-DG-22</x:v>
      </x:c>
      <x:c r="C2177" t="str">
        <x:v>PHYSICAL</x:v>
      </x:c>
      <x:c r="D2177" t="str">
        <x:v>drain bay</x:v>
      </x:c>
      <x:c r="E2177" t="n">
        <x:f>IF('Drain Gallery'!L28&lt;&gt;"",1,0)</x:f>
        <x:v>0</x:v>
      </x:c>
      <x:c r="F2177" t="n">
        <x:v>1</x:v>
      </x:c>
      <x:c r="G2177" t="str">
        <x:v>equals</x:v>
      </x:c>
      <x:c r="H2177" t="str">
        <x:v>independent physical acceptance</x:v>
      </x:c>
      <x:c r="I2177" t="str">
        <x:f>IF(E2177=1,"PASS","OPEN")</x:f>
        <x:v>OPEN</x:v>
      </x:c>
    </x:row>
    <x:row r="2178">
      <x:c r="B2178" t="str">
        <x:v>PH-DG-23</x:v>
      </x:c>
      <x:c r="C2178" t="str">
        <x:v>PHYSICAL</x:v>
      </x:c>
      <x:c r="D2178" t="str">
        <x:v>drain bay</x:v>
      </x:c>
      <x:c r="E2178" t="n">
        <x:f>IF('Drain Gallery'!L29&lt;&gt;"",1,0)</x:f>
        <x:v>0</x:v>
      </x:c>
      <x:c r="F2178" t="n">
        <x:v>1</x:v>
      </x:c>
      <x:c r="G2178" t="str">
        <x:v>equals</x:v>
      </x:c>
      <x:c r="H2178" t="str">
        <x:v>independent physical acceptance</x:v>
      </x:c>
      <x:c r="I2178" t="str">
        <x:f>IF(E2178=1,"PASS","OPEN")</x:f>
        <x:v>OPEN</x:v>
      </x:c>
    </x:row>
    <x:row r="2179">
      <x:c r="B2179" t="str">
        <x:v>PH-DG-24</x:v>
      </x:c>
      <x:c r="C2179" t="str">
        <x:v>PHYSICAL</x:v>
      </x:c>
      <x:c r="D2179" t="str">
        <x:v>drain bay</x:v>
      </x:c>
      <x:c r="E2179" t="n">
        <x:f>IF('Drain Gallery'!L30&lt;&gt;"",1,0)</x:f>
        <x:v>0</x:v>
      </x:c>
      <x:c r="F2179" t="n">
        <x:v>1</x:v>
      </x:c>
      <x:c r="G2179" t="str">
        <x:v>equals</x:v>
      </x:c>
      <x:c r="H2179" t="str">
        <x:v>independent physical acceptance</x:v>
      </x:c>
      <x:c r="I2179" t="str">
        <x:f>IF(E2179=1,"PASS","OPEN")</x:f>
        <x:v>OPEN</x:v>
      </x:c>
    </x:row>
    <x:row r="2180">
      <x:c r="B2180" t="str">
        <x:v>PH-DG-25</x:v>
      </x:c>
      <x:c r="C2180" t="str">
        <x:v>PHYSICAL</x:v>
      </x:c>
      <x:c r="D2180" t="str">
        <x:v>drain bay</x:v>
      </x:c>
      <x:c r="E2180" t="n">
        <x:f>IF('Drain Gallery'!L31&lt;&gt;"",1,0)</x:f>
        <x:v>0</x:v>
      </x:c>
      <x:c r="F2180" t="n">
        <x:v>1</x:v>
      </x:c>
      <x:c r="G2180" t="str">
        <x:v>equals</x:v>
      </x:c>
      <x:c r="H2180" t="str">
        <x:v>independent physical acceptance</x:v>
      </x:c>
      <x:c r="I2180" t="str">
        <x:f>IF(E2180=1,"PASS","OPEN")</x:f>
        <x:v>OPEN</x:v>
      </x:c>
    </x:row>
    <x:row r="2181">
      <x:c r="B2181" t="str">
        <x:v>PH-DG-26</x:v>
      </x:c>
      <x:c r="C2181" t="str">
        <x:v>PHYSICAL</x:v>
      </x:c>
      <x:c r="D2181" t="str">
        <x:v>drain bay</x:v>
      </x:c>
      <x:c r="E2181" t="n">
        <x:f>IF('Drain Gallery'!L32&lt;&gt;"",1,0)</x:f>
        <x:v>0</x:v>
      </x:c>
      <x:c r="F2181" t="n">
        <x:v>1</x:v>
      </x:c>
      <x:c r="G2181" t="str">
        <x:v>equals</x:v>
      </x:c>
      <x:c r="H2181" t="str">
        <x:v>independent physical acceptance</x:v>
      </x:c>
      <x:c r="I2181" t="str">
        <x:f>IF(E2181=1,"PASS","OPEN")</x:f>
        <x:v>OPEN</x:v>
      </x:c>
    </x:row>
    <x:row r="2182">
      <x:c r="B2182" t="str">
        <x:v>PH-DG-27</x:v>
      </x:c>
      <x:c r="C2182" t="str">
        <x:v>PHYSICAL</x:v>
      </x:c>
      <x:c r="D2182" t="str">
        <x:v>drain bay</x:v>
      </x:c>
      <x:c r="E2182" t="n">
        <x:f>IF('Drain Gallery'!L33&lt;&gt;"",1,0)</x:f>
        <x:v>0</x:v>
      </x:c>
      <x:c r="F2182" t="n">
        <x:v>1</x:v>
      </x:c>
      <x:c r="G2182" t="str">
        <x:v>equals</x:v>
      </x:c>
      <x:c r="H2182" t="str">
        <x:v>independent physical acceptance</x:v>
      </x:c>
      <x:c r="I2182" t="str">
        <x:f>IF(E2182=1,"PASS","OPEN")</x:f>
        <x:v>OPEN</x:v>
      </x:c>
    </x:row>
    <x:row r="2183">
      <x:c r="B2183" t="str">
        <x:v>PH-DG-28</x:v>
      </x:c>
      <x:c r="C2183" t="str">
        <x:v>PHYSICAL</x:v>
      </x:c>
      <x:c r="D2183" t="str">
        <x:v>drain bay</x:v>
      </x:c>
      <x:c r="E2183" t="n">
        <x:f>IF('Drain Gallery'!L34&lt;&gt;"",1,0)</x:f>
        <x:v>0</x:v>
      </x:c>
      <x:c r="F2183" t="n">
        <x:v>1</x:v>
      </x:c>
      <x:c r="G2183" t="str">
        <x:v>equals</x:v>
      </x:c>
      <x:c r="H2183" t="str">
        <x:v>independent physical acceptance</x:v>
      </x:c>
      <x:c r="I2183" t="str">
        <x:f>IF(E2183=1,"PASS","OPEN")</x:f>
        <x:v>OPEN</x:v>
      </x:c>
    </x:row>
    <x:row r="2184">
      <x:c r="B2184" t="str">
        <x:v>PH-DG-29</x:v>
      </x:c>
      <x:c r="C2184" t="str">
        <x:v>PHYSICAL</x:v>
      </x:c>
      <x:c r="D2184" t="str">
        <x:v>drain bay</x:v>
      </x:c>
      <x:c r="E2184" t="n">
        <x:f>IF('Drain Gallery'!L35&lt;&gt;"",1,0)</x:f>
        <x:v>0</x:v>
      </x:c>
      <x:c r="F2184" t="n">
        <x:v>1</x:v>
      </x:c>
      <x:c r="G2184" t="str">
        <x:v>equals</x:v>
      </x:c>
      <x:c r="H2184" t="str">
        <x:v>independent physical acceptance</x:v>
      </x:c>
      <x:c r="I2184" t="str">
        <x:f>IF(E2184=1,"PASS","OPEN")</x:f>
        <x:v>OPEN</x:v>
      </x:c>
    </x:row>
    <x:row r="2185">
      <x:c r="B2185" t="str">
        <x:v>PH-DG-30</x:v>
      </x:c>
      <x:c r="C2185" t="str">
        <x:v>PHYSICAL</x:v>
      </x:c>
      <x:c r="D2185" t="str">
        <x:v>drain bay</x:v>
      </x:c>
      <x:c r="E2185" t="n">
        <x:f>IF('Drain Gallery'!L36&lt;&gt;"",1,0)</x:f>
        <x:v>0</x:v>
      </x:c>
      <x:c r="F2185" t="n">
        <x:v>1</x:v>
      </x:c>
      <x:c r="G2185" t="str">
        <x:v>equals</x:v>
      </x:c>
      <x:c r="H2185" t="str">
        <x:v>independent physical acceptance</x:v>
      </x:c>
      <x:c r="I2185" t="str">
        <x:f>IF(E2185=1,"PASS","OPEN")</x:f>
        <x:v>OPEN</x:v>
      </x:c>
    </x:row>
    <x:row r="2186">
      <x:c r="B2186" t="str">
        <x:v>PH-DG-31</x:v>
      </x:c>
      <x:c r="C2186" t="str">
        <x:v>PHYSICAL</x:v>
      </x:c>
      <x:c r="D2186" t="str">
        <x:v>drain bay</x:v>
      </x:c>
      <x:c r="E2186" t="n">
        <x:f>IF('Drain Gallery'!L37&lt;&gt;"",1,0)</x:f>
        <x:v>0</x:v>
      </x:c>
      <x:c r="F2186" t="n">
        <x:v>1</x:v>
      </x:c>
      <x:c r="G2186" t="str">
        <x:v>equals</x:v>
      </x:c>
      <x:c r="H2186" t="str">
        <x:v>independent physical acceptance</x:v>
      </x:c>
      <x:c r="I2186" t="str">
        <x:f>IF(E2186=1,"PASS","OPEN")</x:f>
        <x:v>OPEN</x:v>
      </x:c>
    </x:row>
    <x:row r="2187">
      <x:c r="B2187" t="str">
        <x:v>PH-DG-32</x:v>
      </x:c>
      <x:c r="C2187" t="str">
        <x:v>PHYSICAL</x:v>
      </x:c>
      <x:c r="D2187" t="str">
        <x:v>drain bay</x:v>
      </x:c>
      <x:c r="E2187" t="n">
        <x:f>IF('Drain Gallery'!L38&lt;&gt;"",1,0)</x:f>
        <x:v>0</x:v>
      </x:c>
      <x:c r="F2187" t="n">
        <x:v>1</x:v>
      </x:c>
      <x:c r="G2187" t="str">
        <x:v>equals</x:v>
      </x:c>
      <x:c r="H2187" t="str">
        <x:v>independent physical acceptance</x:v>
      </x:c>
      <x:c r="I2187" t="str">
        <x:f>IF(E2187=1,"PASS","OPEN")</x:f>
        <x:v>OPEN</x:v>
      </x:c>
    </x:row>
    <x:row r="2188">
      <x:c r="B2188" t="str">
        <x:v>PH-DG-33</x:v>
      </x:c>
      <x:c r="C2188" t="str">
        <x:v>PHYSICAL</x:v>
      </x:c>
      <x:c r="D2188" t="str">
        <x:v>drain bay</x:v>
      </x:c>
      <x:c r="E2188" t="n">
        <x:f>IF('Drain Gallery'!L39&lt;&gt;"",1,0)</x:f>
        <x:v>0</x:v>
      </x:c>
      <x:c r="F2188" t="n">
        <x:v>1</x:v>
      </x:c>
      <x:c r="G2188" t="str">
        <x:v>equals</x:v>
      </x:c>
      <x:c r="H2188" t="str">
        <x:v>independent physical acceptance</x:v>
      </x:c>
      <x:c r="I2188" t="str">
        <x:f>IF(E2188=1,"PASS","OPEN")</x:f>
        <x:v>OPEN</x:v>
      </x:c>
    </x:row>
    <x:row r="2189">
      <x:c r="B2189" t="str">
        <x:v>PH-DG-34</x:v>
      </x:c>
      <x:c r="C2189" t="str">
        <x:v>PHYSICAL</x:v>
      </x:c>
      <x:c r="D2189" t="str">
        <x:v>drain bay</x:v>
      </x:c>
      <x:c r="E2189" t="n">
        <x:f>IF('Drain Gallery'!L40&lt;&gt;"",1,0)</x:f>
        <x:v>0</x:v>
      </x:c>
      <x:c r="F2189" t="n">
        <x:v>1</x:v>
      </x:c>
      <x:c r="G2189" t="str">
        <x:v>equals</x:v>
      </x:c>
      <x:c r="H2189" t="str">
        <x:v>independent physical acceptance</x:v>
      </x:c>
      <x:c r="I2189" t="str">
        <x:f>IF(E2189=1,"PASS","OPEN")</x:f>
        <x:v>OPEN</x:v>
      </x:c>
    </x:row>
    <x:row r="2190">
      <x:c r="B2190" t="str">
        <x:v>PH-DG-35</x:v>
      </x:c>
      <x:c r="C2190" t="str">
        <x:v>PHYSICAL</x:v>
      </x:c>
      <x:c r="D2190" t="str">
        <x:v>drain bay</x:v>
      </x:c>
      <x:c r="E2190" t="n">
        <x:f>IF('Drain Gallery'!L41&lt;&gt;"",1,0)</x:f>
        <x:v>0</x:v>
      </x:c>
      <x:c r="F2190" t="n">
        <x:v>1</x:v>
      </x:c>
      <x:c r="G2190" t="str">
        <x:v>equals</x:v>
      </x:c>
      <x:c r="H2190" t="str">
        <x:v>independent physical acceptance</x:v>
      </x:c>
      <x:c r="I2190" t="str">
        <x:f>IF(E2190=1,"PASS","OPEN")</x:f>
        <x:v>OPEN</x:v>
      </x:c>
    </x:row>
    <x:row r="2191">
      <x:c r="B2191" t="str">
        <x:v>PH-DG-36</x:v>
      </x:c>
      <x:c r="C2191" t="str">
        <x:v>PHYSICAL</x:v>
      </x:c>
      <x:c r="D2191" t="str">
        <x:v>drain bay</x:v>
      </x:c>
      <x:c r="E2191" t="n">
        <x:f>IF('Drain Gallery'!L42&lt;&gt;"",1,0)</x:f>
        <x:v>0</x:v>
      </x:c>
      <x:c r="F2191" t="n">
        <x:v>1</x:v>
      </x:c>
      <x:c r="G2191" t="str">
        <x:v>equals</x:v>
      </x:c>
      <x:c r="H2191" t="str">
        <x:v>independent physical acceptance</x:v>
      </x:c>
      <x:c r="I2191" t="str">
        <x:f>IF(E2191=1,"PASS","OPEN")</x:f>
        <x:v>OPEN</x:v>
      </x:c>
    </x:row>
    <x:row r="2192">
      <x:c r="B2192" t="str">
        <x:v>PH-DG-37</x:v>
      </x:c>
      <x:c r="C2192" t="str">
        <x:v>PHYSICAL</x:v>
      </x:c>
      <x:c r="D2192" t="str">
        <x:v>drain bay</x:v>
      </x:c>
      <x:c r="E2192" t="n">
        <x:f>IF('Drain Gallery'!L43&lt;&gt;"",1,0)</x:f>
        <x:v>0</x:v>
      </x:c>
      <x:c r="F2192" t="n">
        <x:v>1</x:v>
      </x:c>
      <x:c r="G2192" t="str">
        <x:v>equals</x:v>
      </x:c>
      <x:c r="H2192" t="str">
        <x:v>independent physical acceptance</x:v>
      </x:c>
      <x:c r="I2192" t="str">
        <x:f>IF(E2192=1,"PASS","OPEN")</x:f>
        <x:v>OPEN</x:v>
      </x:c>
    </x:row>
    <x:row r="2193">
      <x:c r="B2193" t="str">
        <x:v>PH-DG-38</x:v>
      </x:c>
      <x:c r="C2193" t="str">
        <x:v>PHYSICAL</x:v>
      </x:c>
      <x:c r="D2193" t="str">
        <x:v>drain bay</x:v>
      </x:c>
      <x:c r="E2193" t="n">
        <x:f>IF('Drain Gallery'!L44&lt;&gt;"",1,0)</x:f>
        <x:v>0</x:v>
      </x:c>
      <x:c r="F2193" t="n">
        <x:v>1</x:v>
      </x:c>
      <x:c r="G2193" t="str">
        <x:v>equals</x:v>
      </x:c>
      <x:c r="H2193" t="str">
        <x:v>independent physical acceptance</x:v>
      </x:c>
      <x:c r="I2193" t="str">
        <x:f>IF(E2193=1,"PASS","OPEN")</x:f>
        <x:v>OPEN</x:v>
      </x:c>
    </x:row>
    <x:row r="2194">
      <x:c r="B2194" t="str">
        <x:v>PH-DG-39</x:v>
      </x:c>
      <x:c r="C2194" t="str">
        <x:v>PHYSICAL</x:v>
      </x:c>
      <x:c r="D2194" t="str">
        <x:v>drain bay</x:v>
      </x:c>
      <x:c r="E2194" t="n">
        <x:f>IF('Drain Gallery'!L45&lt;&gt;"",1,0)</x:f>
        <x:v>0</x:v>
      </x:c>
      <x:c r="F2194" t="n">
        <x:v>1</x:v>
      </x:c>
      <x:c r="G2194" t="str">
        <x:v>equals</x:v>
      </x:c>
      <x:c r="H2194" t="str">
        <x:v>independent physical acceptance</x:v>
      </x:c>
      <x:c r="I2194" t="str">
        <x:f>IF(E2194=1,"PASS","OPEN")</x:f>
        <x:v>OPEN</x:v>
      </x:c>
    </x:row>
    <x:row r="2195">
      <x:c r="B2195" t="str">
        <x:v>PH-DG-40</x:v>
      </x:c>
      <x:c r="C2195" t="str">
        <x:v>PHYSICAL</x:v>
      </x:c>
      <x:c r="D2195" t="str">
        <x:v>drain bay</x:v>
      </x:c>
      <x:c r="E2195" t="n">
        <x:f>IF('Drain Gallery'!L46&lt;&gt;"",1,0)</x:f>
        <x:v>0</x:v>
      </x:c>
      <x:c r="F2195" t="n">
        <x:v>1</x:v>
      </x:c>
      <x:c r="G2195" t="str">
        <x:v>equals</x:v>
      </x:c>
      <x:c r="H2195" t="str">
        <x:v>independent physical acceptance</x:v>
      </x:c>
      <x:c r="I2195" t="str">
        <x:f>IF(E2195=1,"PASS","OPEN")</x:f>
        <x:v>OPEN</x:v>
      </x:c>
    </x:row>
    <x:row r="2196">
      <x:c r="B2196" t="str">
        <x:v>PH-DG-41</x:v>
      </x:c>
      <x:c r="C2196" t="str">
        <x:v>PHYSICAL</x:v>
      </x:c>
      <x:c r="D2196" t="str">
        <x:v>drain bay</x:v>
      </x:c>
      <x:c r="E2196" t="n">
        <x:f>IF('Drain Gallery'!L47&lt;&gt;"",1,0)</x:f>
        <x:v>0</x:v>
      </x:c>
      <x:c r="F2196" t="n">
        <x:v>1</x:v>
      </x:c>
      <x:c r="G2196" t="str">
        <x:v>equals</x:v>
      </x:c>
      <x:c r="H2196" t="str">
        <x:v>independent physical acceptance</x:v>
      </x:c>
      <x:c r="I2196" t="str">
        <x:f>IF(E2196=1,"PASS","OPEN")</x:f>
        <x:v>OPEN</x:v>
      </x:c>
    </x:row>
    <x:row r="2197">
      <x:c r="B2197" t="str">
        <x:v>PH-DG-42</x:v>
      </x:c>
      <x:c r="C2197" t="str">
        <x:v>PHYSICAL</x:v>
      </x:c>
      <x:c r="D2197" t="str">
        <x:v>drain bay</x:v>
      </x:c>
      <x:c r="E2197" t="n">
        <x:f>IF('Drain Gallery'!L48&lt;&gt;"",1,0)</x:f>
        <x:v>0</x:v>
      </x:c>
      <x:c r="F2197" t="n">
        <x:v>1</x:v>
      </x:c>
      <x:c r="G2197" t="str">
        <x:v>equals</x:v>
      </x:c>
      <x:c r="H2197" t="str">
        <x:v>independent physical acceptance</x:v>
      </x:c>
      <x:c r="I2197" t="str">
        <x:f>IF(E2197=1,"PASS","OPEN")</x:f>
        <x:v>OPEN</x:v>
      </x:c>
    </x:row>
    <x:row r="2198">
      <x:c r="B2198" t="str">
        <x:v>PH-DG-43</x:v>
      </x:c>
      <x:c r="C2198" t="str">
        <x:v>PHYSICAL</x:v>
      </x:c>
      <x:c r="D2198" t="str">
        <x:v>drain bay</x:v>
      </x:c>
      <x:c r="E2198" t="n">
        <x:f>IF('Drain Gallery'!L49&lt;&gt;"",1,0)</x:f>
        <x:v>0</x:v>
      </x:c>
      <x:c r="F2198" t="n">
        <x:v>1</x:v>
      </x:c>
      <x:c r="G2198" t="str">
        <x:v>equals</x:v>
      </x:c>
      <x:c r="H2198" t="str">
        <x:v>independent physical acceptance</x:v>
      </x:c>
      <x:c r="I2198" t="str">
        <x:f>IF(E2198=1,"PASS","OPEN")</x:f>
        <x:v>OPEN</x:v>
      </x:c>
    </x:row>
    <x:row r="2199">
      <x:c r="B2199" t="str">
        <x:v>PH-DG-44</x:v>
      </x:c>
      <x:c r="C2199" t="str">
        <x:v>PHYSICAL</x:v>
      </x:c>
      <x:c r="D2199" t="str">
        <x:v>drain bay</x:v>
      </x:c>
      <x:c r="E2199" t="n">
        <x:f>IF('Drain Gallery'!L50&lt;&gt;"",1,0)</x:f>
        <x:v>0</x:v>
      </x:c>
      <x:c r="F2199" t="n">
        <x:v>1</x:v>
      </x:c>
      <x:c r="G2199" t="str">
        <x:v>equals</x:v>
      </x:c>
      <x:c r="H2199" t="str">
        <x:v>independent physical acceptance</x:v>
      </x:c>
      <x:c r="I2199" t="str">
        <x:f>IF(E2199=1,"PASS","OPEN")</x:f>
        <x:v>OPEN</x:v>
      </x:c>
    </x:row>
    <x:row r="2200">
      <x:c r="B2200" t="str">
        <x:v>PH-DG-45</x:v>
      </x:c>
      <x:c r="C2200" t="str">
        <x:v>PHYSICAL</x:v>
      </x:c>
      <x:c r="D2200" t="str">
        <x:v>drain bay</x:v>
      </x:c>
      <x:c r="E2200" t="n">
        <x:f>IF('Drain Gallery'!L51&lt;&gt;"",1,0)</x:f>
        <x:v>0</x:v>
      </x:c>
      <x:c r="F2200" t="n">
        <x:v>1</x:v>
      </x:c>
      <x:c r="G2200" t="str">
        <x:v>equals</x:v>
      </x:c>
      <x:c r="H2200" t="str">
        <x:v>independent physical acceptance</x:v>
      </x:c>
      <x:c r="I2200" t="str">
        <x:f>IF(E2200=1,"PASS","OPEN")</x:f>
        <x:v>OPEN</x:v>
      </x:c>
    </x:row>
    <x:row r="2201">
      <x:c r="B2201" t="str">
        <x:v>PH-DG-46</x:v>
      </x:c>
      <x:c r="C2201" t="str">
        <x:v>PHYSICAL</x:v>
      </x:c>
      <x:c r="D2201" t="str">
        <x:v>drain bay</x:v>
      </x:c>
      <x:c r="E2201" t="n">
        <x:f>IF('Drain Gallery'!L52&lt;&gt;"",1,0)</x:f>
        <x:v>0</x:v>
      </x:c>
      <x:c r="F2201" t="n">
        <x:v>1</x:v>
      </x:c>
      <x:c r="G2201" t="str">
        <x:v>equals</x:v>
      </x:c>
      <x:c r="H2201" t="str">
        <x:v>independent physical acceptance</x:v>
      </x:c>
      <x:c r="I2201" t="str">
        <x:f>IF(E2201=1,"PASS","OPEN")</x:f>
        <x:v>OPEN</x:v>
      </x:c>
    </x:row>
    <x:row r="2202">
      <x:c r="B2202" t="str">
        <x:v>PH-DG-47</x:v>
      </x:c>
      <x:c r="C2202" t="str">
        <x:v>PHYSICAL</x:v>
      </x:c>
      <x:c r="D2202" t="str">
        <x:v>drain bay</x:v>
      </x:c>
      <x:c r="E2202" t="n">
        <x:f>IF('Drain Gallery'!L53&lt;&gt;"",1,0)</x:f>
        <x:v>0</x:v>
      </x:c>
      <x:c r="F2202" t="n">
        <x:v>1</x:v>
      </x:c>
      <x:c r="G2202" t="str">
        <x:v>equals</x:v>
      </x:c>
      <x:c r="H2202" t="str">
        <x:v>independent physical acceptance</x:v>
      </x:c>
      <x:c r="I2202" t="str">
        <x:f>IF(E2202=1,"PASS","OPEN")</x:f>
        <x:v>OPEN</x:v>
      </x:c>
    </x:row>
    <x:row r="2203">
      <x:c r="B2203" t="str">
        <x:v>PH-DG-48</x:v>
      </x:c>
      <x:c r="C2203" t="str">
        <x:v>PHYSICAL</x:v>
      </x:c>
      <x:c r="D2203" t="str">
        <x:v>drain bay</x:v>
      </x:c>
      <x:c r="E2203" t="n">
        <x:f>IF('Drain Gallery'!L54&lt;&gt;"",1,0)</x:f>
        <x:v>0</x:v>
      </x:c>
      <x:c r="F2203" t="n">
        <x:v>1</x:v>
      </x:c>
      <x:c r="G2203" t="str">
        <x:v>equals</x:v>
      </x:c>
      <x:c r="H2203" t="str">
        <x:v>independent physical acceptance</x:v>
      </x:c>
      <x:c r="I2203" t="str">
        <x:f>IF(E2203=1,"PASS","OPEN")</x:f>
        <x:v>OPEN</x:v>
      </x:c>
    </x:row>
    <x:row r="2204">
      <x:c r="B2204" t="str">
        <x:v>PH-DG-49</x:v>
      </x:c>
      <x:c r="C2204" t="str">
        <x:v>PHYSICAL</x:v>
      </x:c>
      <x:c r="D2204" t="str">
        <x:v>drain bay</x:v>
      </x:c>
      <x:c r="E2204" t="n">
        <x:f>IF('Drain Gallery'!L55&lt;&gt;"",1,0)</x:f>
        <x:v>0</x:v>
      </x:c>
      <x:c r="F2204" t="n">
        <x:v>1</x:v>
      </x:c>
      <x:c r="G2204" t="str">
        <x:v>equals</x:v>
      </x:c>
      <x:c r="H2204" t="str">
        <x:v>independent physical acceptance</x:v>
      </x:c>
      <x:c r="I2204" t="str">
        <x:f>IF(E2204=1,"PASS","OPEN")</x:f>
        <x:v>OPEN</x:v>
      </x:c>
    </x:row>
    <x:row r="2205">
      <x:c r="B2205" t="str">
        <x:v>PH-DG-50</x:v>
      </x:c>
      <x:c r="C2205" t="str">
        <x:v>PHYSICAL</x:v>
      </x:c>
      <x:c r="D2205" t="str">
        <x:v>drain bay</x:v>
      </x:c>
      <x:c r="E2205" t="n">
        <x:f>IF('Drain Gallery'!L56&lt;&gt;"",1,0)</x:f>
        <x:v>0</x:v>
      </x:c>
      <x:c r="F2205" t="n">
        <x:v>1</x:v>
      </x:c>
      <x:c r="G2205" t="str">
        <x:v>equals</x:v>
      </x:c>
      <x:c r="H2205" t="str">
        <x:v>independent physical acceptance</x:v>
      </x:c>
      <x:c r="I2205" t="str">
        <x:f>IF(E2205=1,"PASS","OPEN")</x:f>
        <x:v>OPEN</x:v>
      </x:c>
    </x:row>
    <x:row r="2206">
      <x:c r="B2206" t="str">
        <x:v>PH-DG-51</x:v>
      </x:c>
      <x:c r="C2206" t="str">
        <x:v>PHYSICAL</x:v>
      </x:c>
      <x:c r="D2206" t="str">
        <x:v>drain bay</x:v>
      </x:c>
      <x:c r="E2206" t="n">
        <x:f>IF('Drain Gallery'!L57&lt;&gt;"",1,0)</x:f>
        <x:v>0</x:v>
      </x:c>
      <x:c r="F2206" t="n">
        <x:v>1</x:v>
      </x:c>
      <x:c r="G2206" t="str">
        <x:v>equals</x:v>
      </x:c>
      <x:c r="H2206" t="str">
        <x:v>independent physical acceptance</x:v>
      </x:c>
      <x:c r="I2206" t="str">
        <x:f>IF(E2206=1,"PASS","OPEN")</x:f>
        <x:v>OPEN</x:v>
      </x:c>
    </x:row>
    <x:row r="2207">
      <x:c r="B2207" t="str">
        <x:v>PH-DG-52</x:v>
      </x:c>
      <x:c r="C2207" t="str">
        <x:v>PHYSICAL</x:v>
      </x:c>
      <x:c r="D2207" t="str">
        <x:v>drain bay</x:v>
      </x:c>
      <x:c r="E2207" t="n">
        <x:f>IF('Drain Gallery'!L58&lt;&gt;"",1,0)</x:f>
        <x:v>0</x:v>
      </x:c>
      <x:c r="F2207" t="n">
        <x:v>1</x:v>
      </x:c>
      <x:c r="G2207" t="str">
        <x:v>equals</x:v>
      </x:c>
      <x:c r="H2207" t="str">
        <x:v>independent physical acceptance</x:v>
      </x:c>
      <x:c r="I2207" t="str">
        <x:f>IF(E2207=1,"PASS","OPEN")</x:f>
        <x:v>OPEN</x:v>
      </x:c>
    </x:row>
    <x:row r="2208">
      <x:c r="B2208" t="str">
        <x:v>PH-DG-53</x:v>
      </x:c>
      <x:c r="C2208" t="str">
        <x:v>PHYSICAL</x:v>
      </x:c>
      <x:c r="D2208" t="str">
        <x:v>drain bay</x:v>
      </x:c>
      <x:c r="E2208" t="n">
        <x:f>IF('Drain Gallery'!L59&lt;&gt;"",1,0)</x:f>
        <x:v>0</x:v>
      </x:c>
      <x:c r="F2208" t="n">
        <x:v>1</x:v>
      </x:c>
      <x:c r="G2208" t="str">
        <x:v>equals</x:v>
      </x:c>
      <x:c r="H2208" t="str">
        <x:v>independent physical acceptance</x:v>
      </x:c>
      <x:c r="I2208" t="str">
        <x:f>IF(E2208=1,"PASS","OPEN")</x:f>
        <x:v>OPEN</x:v>
      </x:c>
    </x:row>
    <x:row r="2209">
      <x:c r="B2209" t="str">
        <x:v>PH-DG-54</x:v>
      </x:c>
      <x:c r="C2209" t="str">
        <x:v>PHYSICAL</x:v>
      </x:c>
      <x:c r="D2209" t="str">
        <x:v>drain bay</x:v>
      </x:c>
      <x:c r="E2209" t="n">
        <x:f>IF('Drain Gallery'!L60&lt;&gt;"",1,0)</x:f>
        <x:v>0</x:v>
      </x:c>
      <x:c r="F2209" t="n">
        <x:v>1</x:v>
      </x:c>
      <x:c r="G2209" t="str">
        <x:v>equals</x:v>
      </x:c>
      <x:c r="H2209" t="str">
        <x:v>independent physical acceptance</x:v>
      </x:c>
      <x:c r="I2209" t="str">
        <x:f>IF(E2209=1,"PASS","OPEN")</x:f>
        <x:v>OPEN</x:v>
      </x:c>
    </x:row>
    <x:row r="2210">
      <x:c r="B2210" t="str">
        <x:v>PH-DG-55</x:v>
      </x:c>
      <x:c r="C2210" t="str">
        <x:v>PHYSICAL</x:v>
      </x:c>
      <x:c r="D2210" t="str">
        <x:v>drain bay</x:v>
      </x:c>
      <x:c r="E2210" t="n">
        <x:f>IF('Drain Gallery'!L61&lt;&gt;"",1,0)</x:f>
        <x:v>0</x:v>
      </x:c>
      <x:c r="F2210" t="n">
        <x:v>1</x:v>
      </x:c>
      <x:c r="G2210" t="str">
        <x:v>equals</x:v>
      </x:c>
      <x:c r="H2210" t="str">
        <x:v>independent physical acceptance</x:v>
      </x:c>
      <x:c r="I2210" t="str">
        <x:f>IF(E2210=1,"PASS","OPEN")</x:f>
        <x:v>OPEN</x:v>
      </x:c>
    </x:row>
    <x:row r="2211">
      <x:c r="B2211" t="str">
        <x:v>PH-DG-56</x:v>
      </x:c>
      <x:c r="C2211" t="str">
        <x:v>PHYSICAL</x:v>
      </x:c>
      <x:c r="D2211" t="str">
        <x:v>drain bay</x:v>
      </x:c>
      <x:c r="E2211" t="n">
        <x:f>IF('Drain Gallery'!L62&lt;&gt;"",1,0)</x:f>
        <x:v>0</x:v>
      </x:c>
      <x:c r="F2211" t="n">
        <x:v>1</x:v>
      </x:c>
      <x:c r="G2211" t="str">
        <x:v>equals</x:v>
      </x:c>
      <x:c r="H2211" t="str">
        <x:v>independent physical acceptance</x:v>
      </x:c>
      <x:c r="I2211" t="str">
        <x:f>IF(E2211=1,"PASS","OPEN")</x:f>
        <x:v>OPEN</x:v>
      </x:c>
    </x:row>
    <x:row r="2212">
      <x:c r="B2212" t="str">
        <x:v>PH-DG-57</x:v>
      </x:c>
      <x:c r="C2212" t="str">
        <x:v>PHYSICAL</x:v>
      </x:c>
      <x:c r="D2212" t="str">
        <x:v>drain bay</x:v>
      </x:c>
      <x:c r="E2212" t="n">
        <x:f>IF('Drain Gallery'!L63&lt;&gt;"",1,0)</x:f>
        <x:v>0</x:v>
      </x:c>
      <x:c r="F2212" t="n">
        <x:v>1</x:v>
      </x:c>
      <x:c r="G2212" t="str">
        <x:v>equals</x:v>
      </x:c>
      <x:c r="H2212" t="str">
        <x:v>independent physical acceptance</x:v>
      </x:c>
      <x:c r="I2212" t="str">
        <x:f>IF(E2212=1,"PASS","OPEN")</x:f>
        <x:v>OPEN</x:v>
      </x:c>
    </x:row>
    <x:row r="2213">
      <x:c r="B2213" t="str">
        <x:v>PH-DG-58</x:v>
      </x:c>
      <x:c r="C2213" t="str">
        <x:v>PHYSICAL</x:v>
      </x:c>
      <x:c r="D2213" t="str">
        <x:v>drain bay</x:v>
      </x:c>
      <x:c r="E2213" t="n">
        <x:f>IF('Drain Gallery'!L64&lt;&gt;"",1,0)</x:f>
        <x:v>0</x:v>
      </x:c>
      <x:c r="F2213" t="n">
        <x:v>1</x:v>
      </x:c>
      <x:c r="G2213" t="str">
        <x:v>equals</x:v>
      </x:c>
      <x:c r="H2213" t="str">
        <x:v>independent physical acceptance</x:v>
      </x:c>
      <x:c r="I2213" t="str">
        <x:f>IF(E2213=1,"PASS","OPEN")</x:f>
        <x:v>OPEN</x:v>
      </x:c>
    </x:row>
    <x:row r="2214">
      <x:c r="B2214" t="str">
        <x:v>PH-DG-59</x:v>
      </x:c>
      <x:c r="C2214" t="str">
        <x:v>PHYSICAL</x:v>
      </x:c>
      <x:c r="D2214" t="str">
        <x:v>drain bay</x:v>
      </x:c>
      <x:c r="E2214" t="n">
        <x:f>IF('Drain Gallery'!L65&lt;&gt;"",1,0)</x:f>
        <x:v>0</x:v>
      </x:c>
      <x:c r="F2214" t="n">
        <x:v>1</x:v>
      </x:c>
      <x:c r="G2214" t="str">
        <x:v>equals</x:v>
      </x:c>
      <x:c r="H2214" t="str">
        <x:v>independent physical acceptance</x:v>
      </x:c>
      <x:c r="I2214" t="str">
        <x:f>IF(E2214=1,"PASS","OPEN")</x:f>
        <x:v>OPEN</x:v>
      </x:c>
    </x:row>
    <x:row r="2215">
      <x:c r="B2215" t="str">
        <x:v>PH-DG-60</x:v>
      </x:c>
      <x:c r="C2215" t="str">
        <x:v>PHYSICAL</x:v>
      </x:c>
      <x:c r="D2215" t="str">
        <x:v>drain bay</x:v>
      </x:c>
      <x:c r="E2215" t="n">
        <x:f>IF('Drain Gallery'!L66&lt;&gt;"",1,0)</x:f>
        <x:v>0</x:v>
      </x:c>
      <x:c r="F2215" t="n">
        <x:v>1</x:v>
      </x:c>
      <x:c r="G2215" t="str">
        <x:v>equals</x:v>
      </x:c>
      <x:c r="H2215" t="str">
        <x:v>independent physical acceptance</x:v>
      </x:c>
      <x:c r="I2215" t="str">
        <x:f>IF(E2215=1,"PASS","OPEN")</x:f>
        <x:v>OPEN</x:v>
      </x:c>
    </x:row>
    <x:row r="2216">
      <x:c r="B2216" t="str">
        <x:v>PH-DG-61</x:v>
      </x:c>
      <x:c r="C2216" t="str">
        <x:v>PHYSICAL</x:v>
      </x:c>
      <x:c r="D2216" t="str">
        <x:v>drain bay</x:v>
      </x:c>
      <x:c r="E2216" t="n">
        <x:f>IF('Drain Gallery'!L67&lt;&gt;"",1,0)</x:f>
        <x:v>0</x:v>
      </x:c>
      <x:c r="F2216" t="n">
        <x:v>1</x:v>
      </x:c>
      <x:c r="G2216" t="str">
        <x:v>equals</x:v>
      </x:c>
      <x:c r="H2216" t="str">
        <x:v>independent physical acceptance</x:v>
      </x:c>
      <x:c r="I2216" t="str">
        <x:f>IF(E2216=1,"PASS","OPEN")</x:f>
        <x:v>OPEN</x:v>
      </x:c>
    </x:row>
    <x:row r="2217">
      <x:c r="B2217" t="str">
        <x:v>PH-DG-62</x:v>
      </x:c>
      <x:c r="C2217" t="str">
        <x:v>PHYSICAL</x:v>
      </x:c>
      <x:c r="D2217" t="str">
        <x:v>drain bay</x:v>
      </x:c>
      <x:c r="E2217" t="n">
        <x:f>IF('Drain Gallery'!L68&lt;&gt;"",1,0)</x:f>
        <x:v>0</x:v>
      </x:c>
      <x:c r="F2217" t="n">
        <x:v>1</x:v>
      </x:c>
      <x:c r="G2217" t="str">
        <x:v>equals</x:v>
      </x:c>
      <x:c r="H2217" t="str">
        <x:v>independent physical acceptance</x:v>
      </x:c>
      <x:c r="I2217" t="str">
        <x:f>IF(E2217=1,"PASS","OPEN")</x:f>
        <x:v>OPEN</x:v>
      </x:c>
    </x:row>
    <x:row r="2218">
      <x:c r="B2218" t="str">
        <x:v>PH-DG-63</x:v>
      </x:c>
      <x:c r="C2218" t="str">
        <x:v>PHYSICAL</x:v>
      </x:c>
      <x:c r="D2218" t="str">
        <x:v>drain bay</x:v>
      </x:c>
      <x:c r="E2218" t="n">
        <x:f>IF('Drain Gallery'!L69&lt;&gt;"",1,0)</x:f>
        <x:v>0</x:v>
      </x:c>
      <x:c r="F2218" t="n">
        <x:v>1</x:v>
      </x:c>
      <x:c r="G2218" t="str">
        <x:v>equals</x:v>
      </x:c>
      <x:c r="H2218" t="str">
        <x:v>independent physical acceptance</x:v>
      </x:c>
      <x:c r="I2218" t="str">
        <x:f>IF(E2218=1,"PASS","OPEN")</x:f>
        <x:v>OPEN</x:v>
      </x:c>
    </x:row>
    <x:row r="2219">
      <x:c r="B2219" t="str">
        <x:v>PH-DG-64</x:v>
      </x:c>
      <x:c r="C2219" t="str">
        <x:v>PHYSICAL</x:v>
      </x:c>
      <x:c r="D2219" t="str">
        <x:v>drain bay</x:v>
      </x:c>
      <x:c r="E2219" t="n">
        <x:f>IF('Drain Gallery'!L70&lt;&gt;"",1,0)</x:f>
        <x:v>0</x:v>
      </x:c>
      <x:c r="F2219" t="n">
        <x:v>1</x:v>
      </x:c>
      <x:c r="G2219" t="str">
        <x:v>equals</x:v>
      </x:c>
      <x:c r="H2219" t="str">
        <x:v>independent physical acceptance</x:v>
      </x:c>
      <x:c r="I2219" t="str">
        <x:f>IF(E2219=1,"PASS","OPEN")</x:f>
        <x:v>OPEN</x:v>
      </x:c>
    </x:row>
    <x:row r="2220">
      <x:c r="B2220" t="str">
        <x:v>PH-DG-65</x:v>
      </x:c>
      <x:c r="C2220" t="str">
        <x:v>PHYSICAL</x:v>
      </x:c>
      <x:c r="D2220" t="str">
        <x:v>drain bay</x:v>
      </x:c>
      <x:c r="E2220" t="n">
        <x:f>IF('Drain Gallery'!L71&lt;&gt;"",1,0)</x:f>
        <x:v>0</x:v>
      </x:c>
      <x:c r="F2220" t="n">
        <x:v>1</x:v>
      </x:c>
      <x:c r="G2220" t="str">
        <x:v>equals</x:v>
      </x:c>
      <x:c r="H2220" t="str">
        <x:v>independent physical acceptance</x:v>
      </x:c>
      <x:c r="I2220" t="str">
        <x:f>IF(E2220=1,"PASS","OPEN")</x:f>
        <x:v>OPEN</x:v>
      </x:c>
    </x:row>
    <x:row r="2221">
      <x:c r="B2221" t="str">
        <x:v>PH-DG-66</x:v>
      </x:c>
      <x:c r="C2221" t="str">
        <x:v>PHYSICAL</x:v>
      </x:c>
      <x:c r="D2221" t="str">
        <x:v>drain bay</x:v>
      </x:c>
      <x:c r="E2221" t="n">
        <x:f>IF('Drain Gallery'!L72&lt;&gt;"",1,0)</x:f>
        <x:v>0</x:v>
      </x:c>
      <x:c r="F2221" t="n">
        <x:v>1</x:v>
      </x:c>
      <x:c r="G2221" t="str">
        <x:v>equals</x:v>
      </x:c>
      <x:c r="H2221" t="str">
        <x:v>independent physical acceptance</x:v>
      </x:c>
      <x:c r="I2221" t="str">
        <x:f>IF(E2221=1,"PASS","OPEN")</x:f>
        <x:v>OPEN</x:v>
      </x:c>
    </x:row>
    <x:row r="2222">
      <x:c r="B2222" t="str">
        <x:v>PH-DG-67</x:v>
      </x:c>
      <x:c r="C2222" t="str">
        <x:v>PHYSICAL</x:v>
      </x:c>
      <x:c r="D2222" t="str">
        <x:v>drain bay</x:v>
      </x:c>
      <x:c r="E2222" t="n">
        <x:f>IF('Drain Gallery'!L73&lt;&gt;"",1,0)</x:f>
        <x:v>0</x:v>
      </x:c>
      <x:c r="F2222" t="n">
        <x:v>1</x:v>
      </x:c>
      <x:c r="G2222" t="str">
        <x:v>equals</x:v>
      </x:c>
      <x:c r="H2222" t="str">
        <x:v>independent physical acceptance</x:v>
      </x:c>
      <x:c r="I2222" t="str">
        <x:f>IF(E2222=1,"PASS","OPEN")</x:f>
        <x:v>OPEN</x:v>
      </x:c>
    </x:row>
    <x:row r="2223">
      <x:c r="B2223" t="str">
        <x:v>PH-DG-68</x:v>
      </x:c>
      <x:c r="C2223" t="str">
        <x:v>PHYSICAL</x:v>
      </x:c>
      <x:c r="D2223" t="str">
        <x:v>drain bay</x:v>
      </x:c>
      <x:c r="E2223" t="n">
        <x:f>IF('Drain Gallery'!L74&lt;&gt;"",1,0)</x:f>
        <x:v>0</x:v>
      </x:c>
      <x:c r="F2223" t="n">
        <x:v>1</x:v>
      </x:c>
      <x:c r="G2223" t="str">
        <x:v>equals</x:v>
      </x:c>
      <x:c r="H2223" t="str">
        <x:v>independent physical acceptance</x:v>
      </x:c>
      <x:c r="I2223" t="str">
        <x:f>IF(E2223=1,"PASS","OPEN")</x:f>
        <x:v>OPEN</x:v>
      </x:c>
    </x:row>
    <x:row r="2224">
      <x:c r="B2224" t="str">
        <x:v>PH-DG-69</x:v>
      </x:c>
      <x:c r="C2224" t="str">
        <x:v>PHYSICAL</x:v>
      </x:c>
      <x:c r="D2224" t="str">
        <x:v>drain bay</x:v>
      </x:c>
      <x:c r="E2224" t="n">
        <x:f>IF('Drain Gallery'!L75&lt;&gt;"",1,0)</x:f>
        <x:v>0</x:v>
      </x:c>
      <x:c r="F2224" t="n">
        <x:v>1</x:v>
      </x:c>
      <x:c r="G2224" t="str">
        <x:v>equals</x:v>
      </x:c>
      <x:c r="H2224" t="str">
        <x:v>independent physical acceptance</x:v>
      </x:c>
      <x:c r="I2224" t="str">
        <x:f>IF(E2224=1,"PASS","OPEN")</x:f>
        <x:v>OPEN</x:v>
      </x:c>
    </x:row>
    <x:row r="2225">
      <x:c r="B2225" t="str">
        <x:v>PH-DG-70</x:v>
      </x:c>
      <x:c r="C2225" t="str">
        <x:v>PHYSICAL</x:v>
      </x:c>
      <x:c r="D2225" t="str">
        <x:v>drain bay</x:v>
      </x:c>
      <x:c r="E2225" t="n">
        <x:f>IF('Drain Gallery'!L76&lt;&gt;"",1,0)</x:f>
        <x:v>0</x:v>
      </x:c>
      <x:c r="F2225" t="n">
        <x:v>1</x:v>
      </x:c>
      <x:c r="G2225" t="str">
        <x:v>equals</x:v>
      </x:c>
      <x:c r="H2225" t="str">
        <x:v>independent physical acceptance</x:v>
      </x:c>
      <x:c r="I2225" t="str">
        <x:f>IF(E2225=1,"PASS","OPEN")</x:f>
        <x:v>OPEN</x:v>
      </x:c>
    </x:row>
    <x:row r="2226">
      <x:c r="B2226" t="str">
        <x:v>PH-DG-71</x:v>
      </x:c>
      <x:c r="C2226" t="str">
        <x:v>PHYSICAL</x:v>
      </x:c>
      <x:c r="D2226" t="str">
        <x:v>drain bay</x:v>
      </x:c>
      <x:c r="E2226" t="n">
        <x:f>IF('Drain Gallery'!L77&lt;&gt;"",1,0)</x:f>
        <x:v>0</x:v>
      </x:c>
      <x:c r="F2226" t="n">
        <x:v>1</x:v>
      </x:c>
      <x:c r="G2226" t="str">
        <x:v>equals</x:v>
      </x:c>
      <x:c r="H2226" t="str">
        <x:v>independent physical acceptance</x:v>
      </x:c>
      <x:c r="I2226" t="str">
        <x:f>IF(E2226=1,"PASS","OPEN")</x:f>
        <x:v>OPEN</x:v>
      </x:c>
    </x:row>
    <x:row r="2227">
      <x:c r="B2227" t="str">
        <x:v>PH-DG-72</x:v>
      </x:c>
      <x:c r="C2227" t="str">
        <x:v>PHYSICAL</x:v>
      </x:c>
      <x:c r="D2227" t="str">
        <x:v>drain bay</x:v>
      </x:c>
      <x:c r="E2227" t="n">
        <x:f>IF('Drain Gallery'!L78&lt;&gt;"",1,0)</x:f>
        <x:v>0</x:v>
      </x:c>
      <x:c r="F2227" t="n">
        <x:v>1</x:v>
      </x:c>
      <x:c r="G2227" t="str">
        <x:v>equals</x:v>
      </x:c>
      <x:c r="H2227" t="str">
        <x:v>independent physical acceptance</x:v>
      </x:c>
      <x:c r="I2227" t="str">
        <x:f>IF(E2227=1,"PASS","OPEN")</x:f>
        <x:v>OPEN</x:v>
      </x:c>
    </x:row>
    <x:row r="2228">
      <x:c r="B2228" t="str">
        <x:v>PH-DG-73</x:v>
      </x:c>
      <x:c r="C2228" t="str">
        <x:v>PHYSICAL</x:v>
      </x:c>
      <x:c r="D2228" t="str">
        <x:v>drain bay</x:v>
      </x:c>
      <x:c r="E2228" t="n">
        <x:f>IF('Drain Gallery'!L79&lt;&gt;"",1,0)</x:f>
        <x:v>0</x:v>
      </x:c>
      <x:c r="F2228" t="n">
        <x:v>1</x:v>
      </x:c>
      <x:c r="G2228" t="str">
        <x:v>equals</x:v>
      </x:c>
      <x:c r="H2228" t="str">
        <x:v>independent physical acceptance</x:v>
      </x:c>
      <x:c r="I2228" t="str">
        <x:f>IF(E2228=1,"PASS","OPEN")</x:f>
        <x:v>OPEN</x:v>
      </x:c>
    </x:row>
    <x:row r="2229">
      <x:c r="B2229" t="str">
        <x:v>PH-DG-74</x:v>
      </x:c>
      <x:c r="C2229" t="str">
        <x:v>PHYSICAL</x:v>
      </x:c>
      <x:c r="D2229" t="str">
        <x:v>drain bay</x:v>
      </x:c>
      <x:c r="E2229" t="n">
        <x:f>IF('Drain Gallery'!L80&lt;&gt;"",1,0)</x:f>
        <x:v>0</x:v>
      </x:c>
      <x:c r="F2229" t="n">
        <x:v>1</x:v>
      </x:c>
      <x:c r="G2229" t="str">
        <x:v>equals</x:v>
      </x:c>
      <x:c r="H2229" t="str">
        <x:v>independent physical acceptance</x:v>
      </x:c>
      <x:c r="I2229" t="str">
        <x:f>IF(E2229=1,"PASS","OPEN")</x:f>
        <x:v>OPEN</x:v>
      </x:c>
    </x:row>
    <x:row r="2230">
      <x:c r="B2230" t="str">
        <x:v>PH-DG-75</x:v>
      </x:c>
      <x:c r="C2230" t="str">
        <x:v>PHYSICAL</x:v>
      </x:c>
      <x:c r="D2230" t="str">
        <x:v>drain bay</x:v>
      </x:c>
      <x:c r="E2230" t="n">
        <x:f>IF('Drain Gallery'!L81&lt;&gt;"",1,0)</x:f>
        <x:v>0</x:v>
      </x:c>
      <x:c r="F2230" t="n">
        <x:v>1</x:v>
      </x:c>
      <x:c r="G2230" t="str">
        <x:v>equals</x:v>
      </x:c>
      <x:c r="H2230" t="str">
        <x:v>independent physical acceptance</x:v>
      </x:c>
      <x:c r="I2230" t="str">
        <x:f>IF(E2230=1,"PASS","OPEN")</x:f>
        <x:v>OPEN</x:v>
      </x:c>
    </x:row>
    <x:row r="2231">
      <x:c r="B2231" t="str">
        <x:v>PH-DG-76</x:v>
      </x:c>
      <x:c r="C2231" t="str">
        <x:v>PHYSICAL</x:v>
      </x:c>
      <x:c r="D2231" t="str">
        <x:v>drain bay</x:v>
      </x:c>
      <x:c r="E2231" t="n">
        <x:f>IF('Drain Gallery'!L82&lt;&gt;"",1,0)</x:f>
        <x:v>0</x:v>
      </x:c>
      <x:c r="F2231" t="n">
        <x:v>1</x:v>
      </x:c>
      <x:c r="G2231" t="str">
        <x:v>equals</x:v>
      </x:c>
      <x:c r="H2231" t="str">
        <x:v>independent physical acceptance</x:v>
      </x:c>
      <x:c r="I2231" t="str">
        <x:f>IF(E2231=1,"PASS","OPEN")</x:f>
        <x:v>OPEN</x:v>
      </x:c>
    </x:row>
    <x:row r="2232">
      <x:c r="B2232" t="str">
        <x:v>PH-DG-77</x:v>
      </x:c>
      <x:c r="C2232" t="str">
        <x:v>PHYSICAL</x:v>
      </x:c>
      <x:c r="D2232" t="str">
        <x:v>drain bay</x:v>
      </x:c>
      <x:c r="E2232" t="n">
        <x:f>IF('Drain Gallery'!L83&lt;&gt;"",1,0)</x:f>
        <x:v>0</x:v>
      </x:c>
      <x:c r="F2232" t="n">
        <x:v>1</x:v>
      </x:c>
      <x:c r="G2232" t="str">
        <x:v>equals</x:v>
      </x:c>
      <x:c r="H2232" t="str">
        <x:v>independent physical acceptance</x:v>
      </x:c>
      <x:c r="I2232" t="str">
        <x:f>IF(E2232=1,"PASS","OPEN")</x:f>
        <x:v>OPEN</x:v>
      </x:c>
    </x:row>
    <x:row r="2233">
      <x:c r="B2233" t="str">
        <x:v>PH-DG-78</x:v>
      </x:c>
      <x:c r="C2233" t="str">
        <x:v>PHYSICAL</x:v>
      </x:c>
      <x:c r="D2233" t="str">
        <x:v>drain bay</x:v>
      </x:c>
      <x:c r="E2233" t="n">
        <x:f>IF('Drain Gallery'!L84&lt;&gt;"",1,0)</x:f>
        <x:v>0</x:v>
      </x:c>
      <x:c r="F2233" t="n">
        <x:v>1</x:v>
      </x:c>
      <x:c r="G2233" t="str">
        <x:v>equals</x:v>
      </x:c>
      <x:c r="H2233" t="str">
        <x:v>independent physical acceptance</x:v>
      </x:c>
      <x:c r="I2233" t="str">
        <x:f>IF(E2233=1,"PASS","OPEN")</x:f>
        <x:v>OPEN</x:v>
      </x:c>
    </x:row>
    <x:row r="2234">
      <x:c r="B2234" t="str">
        <x:v>PH-DG-79</x:v>
      </x:c>
      <x:c r="C2234" t="str">
        <x:v>PHYSICAL</x:v>
      </x:c>
      <x:c r="D2234" t="str">
        <x:v>drain bay</x:v>
      </x:c>
      <x:c r="E2234" t="n">
        <x:f>IF('Drain Gallery'!L85&lt;&gt;"",1,0)</x:f>
        <x:v>0</x:v>
      </x:c>
      <x:c r="F2234" t="n">
        <x:v>1</x:v>
      </x:c>
      <x:c r="G2234" t="str">
        <x:v>equals</x:v>
      </x:c>
      <x:c r="H2234" t="str">
        <x:v>independent physical acceptance</x:v>
      </x:c>
      <x:c r="I2234" t="str">
        <x:f>IF(E2234=1,"PASS","OPEN")</x:f>
        <x:v>OPEN</x:v>
      </x:c>
    </x:row>
    <x:row r="2235">
      <x:c r="B2235" t="str">
        <x:v>PH-DG-80</x:v>
      </x:c>
      <x:c r="C2235" t="str">
        <x:v>PHYSICAL</x:v>
      </x:c>
      <x:c r="D2235" t="str">
        <x:v>drain bay</x:v>
      </x:c>
      <x:c r="E2235" t="n">
        <x:f>IF('Drain Gallery'!L86&lt;&gt;"",1,0)</x:f>
        <x:v>0</x:v>
      </x:c>
      <x:c r="F2235" t="n">
        <x:v>1</x:v>
      </x:c>
      <x:c r="G2235" t="str">
        <x:v>equals</x:v>
      </x:c>
      <x:c r="H2235" t="str">
        <x:v>independent physical acceptance</x:v>
      </x:c>
      <x:c r="I2235" t="str">
        <x:f>IF(E2235=1,"PASS","OPEN")</x:f>
        <x:v>OPEN</x:v>
      </x:c>
    </x:row>
    <x:row r="2236">
      <x:c r="B2236" t="str">
        <x:v>PH-DG-81</x:v>
      </x:c>
      <x:c r="C2236" t="str">
        <x:v>PHYSICAL</x:v>
      </x:c>
      <x:c r="D2236" t="str">
        <x:v>drain bay</x:v>
      </x:c>
      <x:c r="E2236" t="n">
        <x:f>IF('Drain Gallery'!L87&lt;&gt;"",1,0)</x:f>
        <x:v>0</x:v>
      </x:c>
      <x:c r="F2236" t="n">
        <x:v>1</x:v>
      </x:c>
      <x:c r="G2236" t="str">
        <x:v>equals</x:v>
      </x:c>
      <x:c r="H2236" t="str">
        <x:v>independent physical acceptance</x:v>
      </x:c>
      <x:c r="I2236" t="str">
        <x:f>IF(E2236=1,"PASS","OPEN")</x:f>
        <x:v>OPEN</x:v>
      </x:c>
    </x:row>
    <x:row r="2237">
      <x:c r="B2237" t="str">
        <x:v>PH-DG-82</x:v>
      </x:c>
      <x:c r="C2237" t="str">
        <x:v>PHYSICAL</x:v>
      </x:c>
      <x:c r="D2237" t="str">
        <x:v>drain bay</x:v>
      </x:c>
      <x:c r="E2237" t="n">
        <x:f>IF('Drain Gallery'!L88&lt;&gt;"",1,0)</x:f>
        <x:v>0</x:v>
      </x:c>
      <x:c r="F2237" t="n">
        <x:v>1</x:v>
      </x:c>
      <x:c r="G2237" t="str">
        <x:v>equals</x:v>
      </x:c>
      <x:c r="H2237" t="str">
        <x:v>independent physical acceptance</x:v>
      </x:c>
      <x:c r="I2237" t="str">
        <x:f>IF(E2237=1,"PASS","OPEN")</x:f>
        <x:v>OPEN</x:v>
      </x:c>
    </x:row>
    <x:row r="2238">
      <x:c r="B2238" t="str">
        <x:v>PH-DG-83</x:v>
      </x:c>
      <x:c r="C2238" t="str">
        <x:v>PHYSICAL</x:v>
      </x:c>
      <x:c r="D2238" t="str">
        <x:v>drain bay</x:v>
      </x:c>
      <x:c r="E2238" t="n">
        <x:f>IF('Drain Gallery'!L89&lt;&gt;"",1,0)</x:f>
        <x:v>0</x:v>
      </x:c>
      <x:c r="F2238" t="n">
        <x:v>1</x:v>
      </x:c>
      <x:c r="G2238" t="str">
        <x:v>equals</x:v>
      </x:c>
      <x:c r="H2238" t="str">
        <x:v>independent physical acceptance</x:v>
      </x:c>
      <x:c r="I2238" t="str">
        <x:f>IF(E2238=1,"PASS","OPEN")</x:f>
        <x:v>OPEN</x:v>
      </x:c>
    </x:row>
    <x:row r="2239">
      <x:c r="B2239" t="str">
        <x:v>PH-DG-84</x:v>
      </x:c>
      <x:c r="C2239" t="str">
        <x:v>PHYSICAL</x:v>
      </x:c>
      <x:c r="D2239" t="str">
        <x:v>drain bay</x:v>
      </x:c>
      <x:c r="E2239" t="n">
        <x:f>IF('Drain Gallery'!L90&lt;&gt;"",1,0)</x:f>
        <x:v>0</x:v>
      </x:c>
      <x:c r="F2239" t="n">
        <x:v>1</x:v>
      </x:c>
      <x:c r="G2239" t="str">
        <x:v>equals</x:v>
      </x:c>
      <x:c r="H2239" t="str">
        <x:v>independent physical acceptance</x:v>
      </x:c>
      <x:c r="I2239" t="str">
        <x:f>IF(E2239=1,"PASS","OPEN")</x:f>
        <x:v>OPEN</x:v>
      </x:c>
    </x:row>
    <x:row r="2240">
      <x:c r="B2240" t="str">
        <x:v>PH-DG-85</x:v>
      </x:c>
      <x:c r="C2240" t="str">
        <x:v>PHYSICAL</x:v>
      </x:c>
      <x:c r="D2240" t="str">
        <x:v>drain bay</x:v>
      </x:c>
      <x:c r="E2240" t="n">
        <x:f>IF('Drain Gallery'!L91&lt;&gt;"",1,0)</x:f>
        <x:v>0</x:v>
      </x:c>
      <x:c r="F2240" t="n">
        <x:v>1</x:v>
      </x:c>
      <x:c r="G2240" t="str">
        <x:v>equals</x:v>
      </x:c>
      <x:c r="H2240" t="str">
        <x:v>independent physical acceptance</x:v>
      </x:c>
      <x:c r="I2240" t="str">
        <x:f>IF(E2240=1,"PASS","OPEN")</x:f>
        <x:v>OPEN</x:v>
      </x:c>
    </x:row>
    <x:row r="2241">
      <x:c r="B2241" t="str">
        <x:v>PH-DG-86</x:v>
      </x:c>
      <x:c r="C2241" t="str">
        <x:v>PHYSICAL</x:v>
      </x:c>
      <x:c r="D2241" t="str">
        <x:v>drain bay</x:v>
      </x:c>
      <x:c r="E2241" t="n">
        <x:f>IF('Drain Gallery'!L92&lt;&gt;"",1,0)</x:f>
        <x:v>0</x:v>
      </x:c>
      <x:c r="F2241" t="n">
        <x:v>1</x:v>
      </x:c>
      <x:c r="G2241" t="str">
        <x:v>equals</x:v>
      </x:c>
      <x:c r="H2241" t="str">
        <x:v>independent physical acceptance</x:v>
      </x:c>
      <x:c r="I2241" t="str">
        <x:f>IF(E2241=1,"PASS","OPEN")</x:f>
        <x:v>OPEN</x:v>
      </x:c>
    </x:row>
    <x:row r="2242">
      <x:c r="B2242" t="str">
        <x:v>PH-DG-87</x:v>
      </x:c>
      <x:c r="C2242" t="str">
        <x:v>PHYSICAL</x:v>
      </x:c>
      <x:c r="D2242" t="str">
        <x:v>drain bay</x:v>
      </x:c>
      <x:c r="E2242" t="n">
        <x:f>IF('Drain Gallery'!L93&lt;&gt;"",1,0)</x:f>
        <x:v>0</x:v>
      </x:c>
      <x:c r="F2242" t="n">
        <x:v>1</x:v>
      </x:c>
      <x:c r="G2242" t="str">
        <x:v>equals</x:v>
      </x:c>
      <x:c r="H2242" t="str">
        <x:v>independent physical acceptance</x:v>
      </x:c>
      <x:c r="I2242" t="str">
        <x:f>IF(E2242=1,"PASS","OPEN")</x:f>
        <x:v>OPEN</x:v>
      </x:c>
    </x:row>
    <x:row r="2243">
      <x:c r="B2243" t="str">
        <x:v>PH-DG-88</x:v>
      </x:c>
      <x:c r="C2243" t="str">
        <x:v>PHYSICAL</x:v>
      </x:c>
      <x:c r="D2243" t="str">
        <x:v>drain bay</x:v>
      </x:c>
      <x:c r="E2243" t="n">
        <x:f>IF('Drain Gallery'!L94&lt;&gt;"",1,0)</x:f>
        <x:v>0</x:v>
      </x:c>
      <x:c r="F2243" t="n">
        <x:v>1</x:v>
      </x:c>
      <x:c r="G2243" t="str">
        <x:v>equals</x:v>
      </x:c>
      <x:c r="H2243" t="str">
        <x:v>independent physical acceptance</x:v>
      </x:c>
      <x:c r="I2243" t="str">
        <x:f>IF(E2243=1,"PASS","OPEN")</x:f>
        <x:v>OPEN</x:v>
      </x:c>
    </x:row>
    <x:row r="2244">
      <x:c r="B2244" t="str">
        <x:v>PH-DG-89</x:v>
      </x:c>
      <x:c r="C2244" t="str">
        <x:v>PHYSICAL</x:v>
      </x:c>
      <x:c r="D2244" t="str">
        <x:v>drain bay</x:v>
      </x:c>
      <x:c r="E2244" t="n">
        <x:f>IF('Drain Gallery'!L95&lt;&gt;"",1,0)</x:f>
        <x:v>0</x:v>
      </x:c>
      <x:c r="F2244" t="n">
        <x:v>1</x:v>
      </x:c>
      <x:c r="G2244" t="str">
        <x:v>equals</x:v>
      </x:c>
      <x:c r="H2244" t="str">
        <x:v>independent physical acceptance</x:v>
      </x:c>
      <x:c r="I2244" t="str">
        <x:f>IF(E2244=1,"PASS","OPEN")</x:f>
        <x:v>OPEN</x:v>
      </x:c>
    </x:row>
    <x:row r="2245">
      <x:c r="B2245" t="str">
        <x:v>PH-DG-90</x:v>
      </x:c>
      <x:c r="C2245" t="str">
        <x:v>PHYSICAL</x:v>
      </x:c>
      <x:c r="D2245" t="str">
        <x:v>drain bay</x:v>
      </x:c>
      <x:c r="E2245" t="n">
        <x:f>IF('Drain Gallery'!L96&lt;&gt;"",1,0)</x:f>
        <x:v>0</x:v>
      </x:c>
      <x:c r="F2245" t="n">
        <x:v>1</x:v>
      </x:c>
      <x:c r="G2245" t="str">
        <x:v>equals</x:v>
      </x:c>
      <x:c r="H2245" t="str">
        <x:v>independent physical acceptance</x:v>
      </x:c>
      <x:c r="I2245" t="str">
        <x:f>IF(E2245=1,"PASS","OPEN")</x:f>
        <x:v>OPEN</x:v>
      </x:c>
    </x:row>
    <x:row r="2246">
      <x:c r="B2246" t="str">
        <x:v>PH-DG-91</x:v>
      </x:c>
      <x:c r="C2246" t="str">
        <x:v>PHYSICAL</x:v>
      </x:c>
      <x:c r="D2246" t="str">
        <x:v>drain bay</x:v>
      </x:c>
      <x:c r="E2246" t="n">
        <x:f>IF('Drain Gallery'!L97&lt;&gt;"",1,0)</x:f>
        <x:v>0</x:v>
      </x:c>
      <x:c r="F2246" t="n">
        <x:v>1</x:v>
      </x:c>
      <x:c r="G2246" t="str">
        <x:v>equals</x:v>
      </x:c>
      <x:c r="H2246" t="str">
        <x:v>independent physical acceptance</x:v>
      </x:c>
      <x:c r="I2246" t="str">
        <x:f>IF(E2246=1,"PASS","OPEN")</x:f>
        <x:v>OPEN</x:v>
      </x:c>
    </x:row>
    <x:row r="2247">
      <x:c r="B2247" t="str">
        <x:v>PH-DG-92</x:v>
      </x:c>
      <x:c r="C2247" t="str">
        <x:v>PHYSICAL</x:v>
      </x:c>
      <x:c r="D2247" t="str">
        <x:v>drain bay</x:v>
      </x:c>
      <x:c r="E2247" t="n">
        <x:f>IF('Drain Gallery'!L98&lt;&gt;"",1,0)</x:f>
        <x:v>0</x:v>
      </x:c>
      <x:c r="F2247" t="n">
        <x:v>1</x:v>
      </x:c>
      <x:c r="G2247" t="str">
        <x:v>equals</x:v>
      </x:c>
      <x:c r="H2247" t="str">
        <x:v>independent physical acceptance</x:v>
      </x:c>
      <x:c r="I2247" t="str">
        <x:f>IF(E2247=1,"PASS","OPEN")</x:f>
        <x:v>OPEN</x:v>
      </x:c>
    </x:row>
    <x:row r="2248">
      <x:c r="B2248" t="str">
        <x:v>PH-DG-93</x:v>
      </x:c>
      <x:c r="C2248" t="str">
        <x:v>PHYSICAL</x:v>
      </x:c>
      <x:c r="D2248" t="str">
        <x:v>drain bay</x:v>
      </x:c>
      <x:c r="E2248" t="n">
        <x:f>IF('Drain Gallery'!L99&lt;&gt;"",1,0)</x:f>
        <x:v>0</x:v>
      </x:c>
      <x:c r="F2248" t="n">
        <x:v>1</x:v>
      </x:c>
      <x:c r="G2248" t="str">
        <x:v>equals</x:v>
      </x:c>
      <x:c r="H2248" t="str">
        <x:v>independent physical acceptance</x:v>
      </x:c>
      <x:c r="I2248" t="str">
        <x:f>IF(E2248=1,"PASS","OPEN")</x:f>
        <x:v>OPEN</x:v>
      </x:c>
    </x:row>
    <x:row r="2249">
      <x:c r="B2249" t="str">
        <x:v>PH-DG-94</x:v>
      </x:c>
      <x:c r="C2249" t="str">
        <x:v>PHYSICAL</x:v>
      </x:c>
      <x:c r="D2249" t="str">
        <x:v>drain bay</x:v>
      </x:c>
      <x:c r="E2249" t="n">
        <x:f>IF('Drain Gallery'!L100&lt;&gt;"",1,0)</x:f>
        <x:v>0</x:v>
      </x:c>
      <x:c r="F2249" t="n">
        <x:v>1</x:v>
      </x:c>
      <x:c r="G2249" t="str">
        <x:v>equals</x:v>
      </x:c>
      <x:c r="H2249" t="str">
        <x:v>independent physical acceptance</x:v>
      </x:c>
      <x:c r="I2249" t="str">
        <x:f>IF(E2249=1,"PASS","OPEN")</x:f>
        <x:v>OPEN</x:v>
      </x:c>
    </x:row>
    <x:row r="2250">
      <x:c r="B2250" t="str">
        <x:v>PH-DG-95</x:v>
      </x:c>
      <x:c r="C2250" t="str">
        <x:v>PHYSICAL</x:v>
      </x:c>
      <x:c r="D2250" t="str">
        <x:v>drain bay</x:v>
      </x:c>
      <x:c r="E2250" t="n">
        <x:f>IF('Drain Gallery'!L101&lt;&gt;"",1,0)</x:f>
        <x:v>0</x:v>
      </x:c>
      <x:c r="F2250" t="n">
        <x:v>1</x:v>
      </x:c>
      <x:c r="G2250" t="str">
        <x:v>equals</x:v>
      </x:c>
      <x:c r="H2250" t="str">
        <x:v>independent physical acceptance</x:v>
      </x:c>
      <x:c r="I2250" t="str">
        <x:f>IF(E2250=1,"PASS","OPEN")</x:f>
        <x:v>OPEN</x:v>
      </x:c>
    </x:row>
    <x:row r="2251">
      <x:c r="B2251" t="str">
        <x:v>PH-DG-96</x:v>
      </x:c>
      <x:c r="C2251" t="str">
        <x:v>PHYSICAL</x:v>
      </x:c>
      <x:c r="D2251" t="str">
        <x:v>drain bay</x:v>
      </x:c>
      <x:c r="E2251" t="n">
        <x:f>IF('Drain Gallery'!L102&lt;&gt;"",1,0)</x:f>
        <x:v>0</x:v>
      </x:c>
      <x:c r="F2251" t="n">
        <x:v>1</x:v>
      </x:c>
      <x:c r="G2251" t="str">
        <x:v>equals</x:v>
      </x:c>
      <x:c r="H2251" t="str">
        <x:v>independent physical acceptance</x:v>
      </x:c>
      <x:c r="I2251" t="str">
        <x:f>IF(E2251=1,"PASS","OPEN")</x:f>
        <x:v>OPEN</x:v>
      </x:c>
    </x:row>
    <x:row r="2252">
      <x:c r="B2252" t="str">
        <x:v>PH-DG-97</x:v>
      </x:c>
      <x:c r="C2252" t="str">
        <x:v>PHYSICAL</x:v>
      </x:c>
      <x:c r="D2252" t="str">
        <x:v>drain bay</x:v>
      </x:c>
      <x:c r="E2252" t="n">
        <x:f>IF('Drain Gallery'!L103&lt;&gt;"",1,0)</x:f>
        <x:v>0</x:v>
      </x:c>
      <x:c r="F2252" t="n">
        <x:v>1</x:v>
      </x:c>
      <x:c r="G2252" t="str">
        <x:v>equals</x:v>
      </x:c>
      <x:c r="H2252" t="str">
        <x:v>independent physical acceptance</x:v>
      </x:c>
      <x:c r="I2252" t="str">
        <x:f>IF(E2252=1,"PASS","OPEN")</x:f>
        <x:v>OPEN</x:v>
      </x:c>
    </x:row>
    <x:row r="2253">
      <x:c r="B2253" t="str">
        <x:v>PH-DG-98</x:v>
      </x:c>
      <x:c r="C2253" t="str">
        <x:v>PHYSICAL</x:v>
      </x:c>
      <x:c r="D2253" t="str">
        <x:v>drain bay</x:v>
      </x:c>
      <x:c r="E2253" t="n">
        <x:f>IF('Drain Gallery'!L104&lt;&gt;"",1,0)</x:f>
        <x:v>0</x:v>
      </x:c>
      <x:c r="F2253" t="n">
        <x:v>1</x:v>
      </x:c>
      <x:c r="G2253" t="str">
        <x:v>equals</x:v>
      </x:c>
      <x:c r="H2253" t="str">
        <x:v>independent physical acceptance</x:v>
      </x:c>
      <x:c r="I2253" t="str">
        <x:f>IF(E2253=1,"PASS","OPEN")</x:f>
        <x:v>OPEN</x:v>
      </x:c>
    </x:row>
    <x:row r="2254">
      <x:c r="B2254" t="str">
        <x:v>PH-DG-99</x:v>
      </x:c>
      <x:c r="C2254" t="str">
        <x:v>PHYSICAL</x:v>
      </x:c>
      <x:c r="D2254" t="str">
        <x:v>drain bay</x:v>
      </x:c>
      <x:c r="E2254" t="n">
        <x:f>IF('Drain Gallery'!L105&lt;&gt;"",1,0)</x:f>
        <x:v>0</x:v>
      </x:c>
      <x:c r="F2254" t="n">
        <x:v>1</x:v>
      </x:c>
      <x:c r="G2254" t="str">
        <x:v>equals</x:v>
      </x:c>
      <x:c r="H2254" t="str">
        <x:v>independent physical acceptance</x:v>
      </x:c>
      <x:c r="I2254" t="str">
        <x:f>IF(E2254=1,"PASS","OPEN")</x:f>
        <x:v>OPEN</x:v>
      </x:c>
    </x:row>
    <x:row r="2255">
      <x:c r="B2255" t="str">
        <x:v>PH-DG-100</x:v>
      </x:c>
      <x:c r="C2255" t="str">
        <x:v>PHYSICAL</x:v>
      </x:c>
      <x:c r="D2255" t="str">
        <x:v>drain bay</x:v>
      </x:c>
      <x:c r="E2255" t="n">
        <x:f>IF('Drain Gallery'!L106&lt;&gt;"",1,0)</x:f>
        <x:v>0</x:v>
      </x:c>
      <x:c r="F2255" t="n">
        <x:v>1</x:v>
      </x:c>
      <x:c r="G2255" t="str">
        <x:v>equals</x:v>
      </x:c>
      <x:c r="H2255" t="str">
        <x:v>independent physical acceptance</x:v>
      </x:c>
      <x:c r="I2255" t="str">
        <x:f>IF(E2255=1,"PASS","OPEN")</x:f>
        <x:v>OPEN</x:v>
      </x:c>
    </x:row>
    <x:row r="2256">
      <x:c r="B2256" t="str">
        <x:v>PH-DG-101</x:v>
      </x:c>
      <x:c r="C2256" t="str">
        <x:v>PHYSICAL</x:v>
      </x:c>
      <x:c r="D2256" t="str">
        <x:v>drain bay</x:v>
      </x:c>
      <x:c r="E2256" t="n">
        <x:f>IF('Drain Gallery'!L107&lt;&gt;"",1,0)</x:f>
        <x:v>0</x:v>
      </x:c>
      <x:c r="F2256" t="n">
        <x:v>1</x:v>
      </x:c>
      <x:c r="G2256" t="str">
        <x:v>equals</x:v>
      </x:c>
      <x:c r="H2256" t="str">
        <x:v>independent physical acceptance</x:v>
      </x:c>
      <x:c r="I2256" t="str">
        <x:f>IF(E2256=1,"PASS","OPEN")</x:f>
        <x:v>OPEN</x:v>
      </x:c>
    </x:row>
    <x:row r="2257">
      <x:c r="B2257" t="str">
        <x:v>PH-DG-102</x:v>
      </x:c>
      <x:c r="C2257" t="str">
        <x:v>PHYSICAL</x:v>
      </x:c>
      <x:c r="D2257" t="str">
        <x:v>drain bay</x:v>
      </x:c>
      <x:c r="E2257" t="n">
        <x:f>IF('Drain Gallery'!L108&lt;&gt;"",1,0)</x:f>
        <x:v>0</x:v>
      </x:c>
      <x:c r="F2257" t="n">
        <x:v>1</x:v>
      </x:c>
      <x:c r="G2257" t="str">
        <x:v>equals</x:v>
      </x:c>
      <x:c r="H2257" t="str">
        <x:v>independent physical acceptance</x:v>
      </x:c>
      <x:c r="I2257" t="str">
        <x:f>IF(E2257=1,"PASS","OPEN")</x:f>
        <x:v>OPEN</x:v>
      </x:c>
    </x:row>
    <x:row r="2258">
      <x:c r="B2258" t="str">
        <x:v>PH-DG-103</x:v>
      </x:c>
      <x:c r="C2258" t="str">
        <x:v>PHYSICAL</x:v>
      </x:c>
      <x:c r="D2258" t="str">
        <x:v>drain bay</x:v>
      </x:c>
      <x:c r="E2258" t="n">
        <x:f>IF('Drain Gallery'!L109&lt;&gt;"",1,0)</x:f>
        <x:v>0</x:v>
      </x:c>
      <x:c r="F2258" t="n">
        <x:v>1</x:v>
      </x:c>
      <x:c r="G2258" t="str">
        <x:v>equals</x:v>
      </x:c>
      <x:c r="H2258" t="str">
        <x:v>independent physical acceptance</x:v>
      </x:c>
      <x:c r="I2258" t="str">
        <x:f>IF(E2258=1,"PASS","OPEN")</x:f>
        <x:v>OPEN</x:v>
      </x:c>
    </x:row>
    <x:row r="2259">
      <x:c r="B2259" t="str">
        <x:v>PH-DG-104</x:v>
      </x:c>
      <x:c r="C2259" t="str">
        <x:v>PHYSICAL</x:v>
      </x:c>
      <x:c r="D2259" t="str">
        <x:v>drain bay</x:v>
      </x:c>
      <x:c r="E2259" t="n">
        <x:f>IF('Drain Gallery'!L110&lt;&gt;"",1,0)</x:f>
        <x:v>0</x:v>
      </x:c>
      <x:c r="F2259" t="n">
        <x:v>1</x:v>
      </x:c>
      <x:c r="G2259" t="str">
        <x:v>equals</x:v>
      </x:c>
      <x:c r="H2259" t="str">
        <x:v>independent physical acceptance</x:v>
      </x:c>
      <x:c r="I2259" t="str">
        <x:f>IF(E2259=1,"PASS","OPEN")</x:f>
        <x:v>OPEN</x:v>
      </x:c>
    </x:row>
    <x:row r="2260">
      <x:c r="B2260" t="str">
        <x:v>PH-DG-105</x:v>
      </x:c>
      <x:c r="C2260" t="str">
        <x:v>PHYSICAL</x:v>
      </x:c>
      <x:c r="D2260" t="str">
        <x:v>drain bay</x:v>
      </x:c>
      <x:c r="E2260" t="n">
        <x:f>IF('Drain Gallery'!L111&lt;&gt;"",1,0)</x:f>
        <x:v>0</x:v>
      </x:c>
      <x:c r="F2260" t="n">
        <x:v>1</x:v>
      </x:c>
      <x:c r="G2260" t="str">
        <x:v>equals</x:v>
      </x:c>
      <x:c r="H2260" t="str">
        <x:v>independent physical acceptance</x:v>
      </x:c>
      <x:c r="I2260" t="str">
        <x:f>IF(E2260=1,"PASS","OPEN")</x:f>
        <x:v>OPEN</x:v>
      </x:c>
    </x:row>
    <x:row r="2261">
      <x:c r="B2261" t="str">
        <x:v>PH-DG-106</x:v>
      </x:c>
      <x:c r="C2261" t="str">
        <x:v>PHYSICAL</x:v>
      </x:c>
      <x:c r="D2261" t="str">
        <x:v>drain bay</x:v>
      </x:c>
      <x:c r="E2261" t="n">
        <x:f>IF('Drain Gallery'!L112&lt;&gt;"",1,0)</x:f>
        <x:v>0</x:v>
      </x:c>
      <x:c r="F2261" t="n">
        <x:v>1</x:v>
      </x:c>
      <x:c r="G2261" t="str">
        <x:v>equals</x:v>
      </x:c>
      <x:c r="H2261" t="str">
        <x:v>independent physical acceptance</x:v>
      </x:c>
      <x:c r="I2261" t="str">
        <x:f>IF(E2261=1,"PASS","OPEN")</x:f>
        <x:v>OPEN</x:v>
      </x:c>
    </x:row>
    <x:row r="2262">
      <x:c r="B2262" t="str">
        <x:v>PH-DG-107</x:v>
      </x:c>
      <x:c r="C2262" t="str">
        <x:v>PHYSICAL</x:v>
      </x:c>
      <x:c r="D2262" t="str">
        <x:v>drain bay</x:v>
      </x:c>
      <x:c r="E2262" t="n">
        <x:f>IF('Drain Gallery'!L113&lt;&gt;"",1,0)</x:f>
        <x:v>0</x:v>
      </x:c>
      <x:c r="F2262" t="n">
        <x:v>1</x:v>
      </x:c>
      <x:c r="G2262" t="str">
        <x:v>equals</x:v>
      </x:c>
      <x:c r="H2262" t="str">
        <x:v>independent physical acceptance</x:v>
      </x:c>
      <x:c r="I2262" t="str">
        <x:f>IF(E2262=1,"PASS","OPEN")</x:f>
        <x:v>OPEN</x:v>
      </x:c>
    </x:row>
    <x:row r="2263">
      <x:c r="B2263" t="str">
        <x:v>PH-DG-108</x:v>
      </x:c>
      <x:c r="C2263" t="str">
        <x:v>PHYSICAL</x:v>
      </x:c>
      <x:c r="D2263" t="str">
        <x:v>drain bay</x:v>
      </x:c>
      <x:c r="E2263" t="n">
        <x:f>IF('Drain Gallery'!L114&lt;&gt;"",1,0)</x:f>
        <x:v>0</x:v>
      </x:c>
      <x:c r="F2263" t="n">
        <x:v>1</x:v>
      </x:c>
      <x:c r="G2263" t="str">
        <x:v>equals</x:v>
      </x:c>
      <x:c r="H2263" t="str">
        <x:v>independent physical acceptance</x:v>
      </x:c>
      <x:c r="I2263" t="str">
        <x:f>IF(E2263=1,"PASS","OPEN")</x:f>
        <x:v>OPEN</x:v>
      </x:c>
    </x:row>
    <x:row r="2264">
      <x:c r="B2264" t="str">
        <x:v>PH-DG-109</x:v>
      </x:c>
      <x:c r="C2264" t="str">
        <x:v>PHYSICAL</x:v>
      </x:c>
      <x:c r="D2264" t="str">
        <x:v>drain bay</x:v>
      </x:c>
      <x:c r="E2264" t="n">
        <x:f>IF('Drain Gallery'!L115&lt;&gt;"",1,0)</x:f>
        <x:v>0</x:v>
      </x:c>
      <x:c r="F2264" t="n">
        <x:v>1</x:v>
      </x:c>
      <x:c r="G2264" t="str">
        <x:v>equals</x:v>
      </x:c>
      <x:c r="H2264" t="str">
        <x:v>independent physical acceptance</x:v>
      </x:c>
      <x:c r="I2264" t="str">
        <x:f>IF(E2264=1,"PASS","OPEN")</x:f>
        <x:v>OPEN</x:v>
      </x:c>
    </x:row>
    <x:row r="2265">
      <x:c r="B2265" t="str">
        <x:v>PH-DG-110</x:v>
      </x:c>
      <x:c r="C2265" t="str">
        <x:v>PHYSICAL</x:v>
      </x:c>
      <x:c r="D2265" t="str">
        <x:v>drain bay</x:v>
      </x:c>
      <x:c r="E2265" t="n">
        <x:f>IF('Drain Gallery'!L116&lt;&gt;"",1,0)</x:f>
        <x:v>0</x:v>
      </x:c>
      <x:c r="F2265" t="n">
        <x:v>1</x:v>
      </x:c>
      <x:c r="G2265" t="str">
        <x:v>equals</x:v>
      </x:c>
      <x:c r="H2265" t="str">
        <x:v>independent physical acceptance</x:v>
      </x:c>
      <x:c r="I2265" t="str">
        <x:f>IF(E2265=1,"PASS","OPEN")</x:f>
        <x:v>OPEN</x:v>
      </x:c>
    </x:row>
    <x:row r="2266">
      <x:c r="B2266" t="str">
        <x:v>PH-DG-111</x:v>
      </x:c>
      <x:c r="C2266" t="str">
        <x:v>PHYSICAL</x:v>
      </x:c>
      <x:c r="D2266" t="str">
        <x:v>drain bay</x:v>
      </x:c>
      <x:c r="E2266" t="n">
        <x:f>IF('Drain Gallery'!L117&lt;&gt;"",1,0)</x:f>
        <x:v>0</x:v>
      </x:c>
      <x:c r="F2266" t="n">
        <x:v>1</x:v>
      </x:c>
      <x:c r="G2266" t="str">
        <x:v>equals</x:v>
      </x:c>
      <x:c r="H2266" t="str">
        <x:v>independent physical acceptance</x:v>
      </x:c>
      <x:c r="I2266" t="str">
        <x:f>IF(E2266=1,"PASS","OPEN")</x:f>
        <x:v>OPEN</x:v>
      </x:c>
    </x:row>
    <x:row r="2267">
      <x:c r="B2267" t="str">
        <x:v>PH-DG-112</x:v>
      </x:c>
      <x:c r="C2267" t="str">
        <x:v>PHYSICAL</x:v>
      </x:c>
      <x:c r="D2267" t="str">
        <x:v>drain bay</x:v>
      </x:c>
      <x:c r="E2267" t="n">
        <x:f>IF('Drain Gallery'!L118&lt;&gt;"",1,0)</x:f>
        <x:v>0</x:v>
      </x:c>
      <x:c r="F2267" t="n">
        <x:v>1</x:v>
      </x:c>
      <x:c r="G2267" t="str">
        <x:v>equals</x:v>
      </x:c>
      <x:c r="H2267" t="str">
        <x:v>independent physical acceptance</x:v>
      </x:c>
      <x:c r="I2267" t="str">
        <x:f>IF(E2267=1,"PASS","OPEN")</x:f>
        <x:v>OPEN</x:v>
      </x:c>
    </x:row>
    <x:row r="2268">
      <x:c r="B2268" t="str">
        <x:v>PH-DG-113</x:v>
      </x:c>
      <x:c r="C2268" t="str">
        <x:v>PHYSICAL</x:v>
      </x:c>
      <x:c r="D2268" t="str">
        <x:v>drain bay</x:v>
      </x:c>
      <x:c r="E2268" t="n">
        <x:f>IF('Drain Gallery'!L119&lt;&gt;"",1,0)</x:f>
        <x:v>0</x:v>
      </x:c>
      <x:c r="F2268" t="n">
        <x:v>1</x:v>
      </x:c>
      <x:c r="G2268" t="str">
        <x:v>equals</x:v>
      </x:c>
      <x:c r="H2268" t="str">
        <x:v>independent physical acceptance</x:v>
      </x:c>
      <x:c r="I2268" t="str">
        <x:f>IF(E2268=1,"PASS","OPEN")</x:f>
        <x:v>OPEN</x:v>
      </x:c>
    </x:row>
    <x:row r="2269">
      <x:c r="B2269" t="str">
        <x:v>PH-DG-114</x:v>
      </x:c>
      <x:c r="C2269" t="str">
        <x:v>PHYSICAL</x:v>
      </x:c>
      <x:c r="D2269" t="str">
        <x:v>drain bay</x:v>
      </x:c>
      <x:c r="E2269" t="n">
        <x:f>IF('Drain Gallery'!L120&lt;&gt;"",1,0)</x:f>
        <x:v>0</x:v>
      </x:c>
      <x:c r="F2269" t="n">
        <x:v>1</x:v>
      </x:c>
      <x:c r="G2269" t="str">
        <x:v>equals</x:v>
      </x:c>
      <x:c r="H2269" t="str">
        <x:v>independent physical acceptance</x:v>
      </x:c>
      <x:c r="I2269" t="str">
        <x:f>IF(E2269=1,"PASS","OPEN")</x:f>
        <x:v>OPEN</x:v>
      </x:c>
    </x:row>
    <x:row r="2270">
      <x:c r="B2270" t="str">
        <x:v>PH-DG-115</x:v>
      </x:c>
      <x:c r="C2270" t="str">
        <x:v>PHYSICAL</x:v>
      </x:c>
      <x:c r="D2270" t="str">
        <x:v>drain bay</x:v>
      </x:c>
      <x:c r="E2270" t="n">
        <x:f>IF('Drain Gallery'!L121&lt;&gt;"",1,0)</x:f>
        <x:v>0</x:v>
      </x:c>
      <x:c r="F2270" t="n">
        <x:v>1</x:v>
      </x:c>
      <x:c r="G2270" t="str">
        <x:v>equals</x:v>
      </x:c>
      <x:c r="H2270" t="str">
        <x:v>independent physical acceptance</x:v>
      </x:c>
      <x:c r="I2270" t="str">
        <x:f>IF(E2270=1,"PASS","OPEN")</x:f>
        <x:v>OPEN</x:v>
      </x:c>
    </x:row>
    <x:row r="2271">
      <x:c r="B2271" t="str">
        <x:v>PH-DG-116</x:v>
      </x:c>
      <x:c r="C2271" t="str">
        <x:v>PHYSICAL</x:v>
      </x:c>
      <x:c r="D2271" t="str">
        <x:v>drain bay</x:v>
      </x:c>
      <x:c r="E2271" t="n">
        <x:f>IF('Drain Gallery'!L122&lt;&gt;"",1,0)</x:f>
        <x:v>0</x:v>
      </x:c>
      <x:c r="F2271" t="n">
        <x:v>1</x:v>
      </x:c>
      <x:c r="G2271" t="str">
        <x:v>equals</x:v>
      </x:c>
      <x:c r="H2271" t="str">
        <x:v>independent physical acceptance</x:v>
      </x:c>
      <x:c r="I2271" t="str">
        <x:f>IF(E2271=1,"PASS","OPEN")</x:f>
        <x:v>OPEN</x:v>
      </x:c>
    </x:row>
    <x:row r="2272">
      <x:c r="B2272" t="str">
        <x:v>PH-DG-117</x:v>
      </x:c>
      <x:c r="C2272" t="str">
        <x:v>PHYSICAL</x:v>
      </x:c>
      <x:c r="D2272" t="str">
        <x:v>drain bay</x:v>
      </x:c>
      <x:c r="E2272" t="n">
        <x:f>IF('Drain Gallery'!L123&lt;&gt;"",1,0)</x:f>
        <x:v>0</x:v>
      </x:c>
      <x:c r="F2272" t="n">
        <x:v>1</x:v>
      </x:c>
      <x:c r="G2272" t="str">
        <x:v>equals</x:v>
      </x:c>
      <x:c r="H2272" t="str">
        <x:v>independent physical acceptance</x:v>
      </x:c>
      <x:c r="I2272" t="str">
        <x:f>IF(E2272=1,"PASS","OPEN")</x:f>
        <x:v>OPEN</x:v>
      </x:c>
    </x:row>
    <x:row r="2273">
      <x:c r="B2273" t="str">
        <x:v>PH-DG-118</x:v>
      </x:c>
      <x:c r="C2273" t="str">
        <x:v>PHYSICAL</x:v>
      </x:c>
      <x:c r="D2273" t="str">
        <x:v>drain bay</x:v>
      </x:c>
      <x:c r="E2273" t="n">
        <x:f>IF('Drain Gallery'!L124&lt;&gt;"",1,0)</x:f>
        <x:v>0</x:v>
      </x:c>
      <x:c r="F2273" t="n">
        <x:v>1</x:v>
      </x:c>
      <x:c r="G2273" t="str">
        <x:v>equals</x:v>
      </x:c>
      <x:c r="H2273" t="str">
        <x:v>independent physical acceptance</x:v>
      </x:c>
      <x:c r="I2273" t="str">
        <x:f>IF(E2273=1,"PASS","OPEN")</x:f>
        <x:v>OPEN</x:v>
      </x:c>
    </x:row>
    <x:row r="2274">
      <x:c r="B2274" t="str">
        <x:v>PH-DG-119</x:v>
      </x:c>
      <x:c r="C2274" t="str">
        <x:v>PHYSICAL</x:v>
      </x:c>
      <x:c r="D2274" t="str">
        <x:v>drain bay</x:v>
      </x:c>
      <x:c r="E2274" t="n">
        <x:f>IF('Drain Gallery'!L125&lt;&gt;"",1,0)</x:f>
        <x:v>0</x:v>
      </x:c>
      <x:c r="F2274" t="n">
        <x:v>1</x:v>
      </x:c>
      <x:c r="G2274" t="str">
        <x:v>equals</x:v>
      </x:c>
      <x:c r="H2274" t="str">
        <x:v>independent physical acceptance</x:v>
      </x:c>
      <x:c r="I2274" t="str">
        <x:f>IF(E2274=1,"PASS","OPEN")</x:f>
        <x:v>OPEN</x:v>
      </x:c>
    </x:row>
    <x:row r="2275">
      <x:c r="B2275" t="str">
        <x:v>PH-DG-120</x:v>
      </x:c>
      <x:c r="C2275" t="str">
        <x:v>PHYSICAL</x:v>
      </x:c>
      <x:c r="D2275" t="str">
        <x:v>drain bay</x:v>
      </x:c>
      <x:c r="E2275" t="n">
        <x:f>IF('Drain Gallery'!L126&lt;&gt;"",1,0)</x:f>
        <x:v>0</x:v>
      </x:c>
      <x:c r="F2275" t="n">
        <x:v>1</x:v>
      </x:c>
      <x:c r="G2275" t="str">
        <x:v>equals</x:v>
      </x:c>
      <x:c r="H2275" t="str">
        <x:v>independent physical acceptance</x:v>
      </x:c>
      <x:c r="I2275" t="str">
        <x:f>IF(E2275=1,"PASS","OPEN")</x:f>
        <x:v>OPEN</x:v>
      </x:c>
    </x:row>
    <x:row r="2276">
      <x:c r="B2276" t="str">
        <x:v>PH-DG-121</x:v>
      </x:c>
      <x:c r="C2276" t="str">
        <x:v>PHYSICAL</x:v>
      </x:c>
      <x:c r="D2276" t="str">
        <x:v>drain bay</x:v>
      </x:c>
      <x:c r="E2276" t="n">
        <x:f>IF('Drain Gallery'!L127&lt;&gt;"",1,0)</x:f>
        <x:v>0</x:v>
      </x:c>
      <x:c r="F2276" t="n">
        <x:v>1</x:v>
      </x:c>
      <x:c r="G2276" t="str">
        <x:v>equals</x:v>
      </x:c>
      <x:c r="H2276" t="str">
        <x:v>independent physical acceptance</x:v>
      </x:c>
      <x:c r="I2276" t="str">
        <x:f>IF(E2276=1,"PASS","OPEN")</x:f>
        <x:v>OPEN</x:v>
      </x:c>
    </x:row>
    <x:row r="2277">
      <x:c r="B2277" t="str">
        <x:v>PH-DG-122</x:v>
      </x:c>
      <x:c r="C2277" t="str">
        <x:v>PHYSICAL</x:v>
      </x:c>
      <x:c r="D2277" t="str">
        <x:v>drain bay</x:v>
      </x:c>
      <x:c r="E2277" t="n">
        <x:f>IF('Drain Gallery'!L128&lt;&gt;"",1,0)</x:f>
        <x:v>0</x:v>
      </x:c>
      <x:c r="F2277" t="n">
        <x:v>1</x:v>
      </x:c>
      <x:c r="G2277" t="str">
        <x:v>equals</x:v>
      </x:c>
      <x:c r="H2277" t="str">
        <x:v>independent physical acceptance</x:v>
      </x:c>
      <x:c r="I2277" t="str">
        <x:f>IF(E2277=1,"PASS","OPEN")</x:f>
        <x:v>OPEN</x:v>
      </x:c>
    </x:row>
    <x:row r="2278">
      <x:c r="B2278" t="str">
        <x:v>PH-DG-123</x:v>
      </x:c>
      <x:c r="C2278" t="str">
        <x:v>PHYSICAL</x:v>
      </x:c>
      <x:c r="D2278" t="str">
        <x:v>drain bay</x:v>
      </x:c>
      <x:c r="E2278" t="n">
        <x:f>IF('Drain Gallery'!L129&lt;&gt;"",1,0)</x:f>
        <x:v>0</x:v>
      </x:c>
      <x:c r="F2278" t="n">
        <x:v>1</x:v>
      </x:c>
      <x:c r="G2278" t="str">
        <x:v>equals</x:v>
      </x:c>
      <x:c r="H2278" t="str">
        <x:v>independent physical acceptance</x:v>
      </x:c>
      <x:c r="I2278" t="str">
        <x:f>IF(E2278=1,"PASS","OPEN")</x:f>
        <x:v>OPEN</x:v>
      </x:c>
    </x:row>
    <x:row r="2279">
      <x:c r="B2279" t="str">
        <x:v>PH-DG-124</x:v>
      </x:c>
      <x:c r="C2279" t="str">
        <x:v>PHYSICAL</x:v>
      </x:c>
      <x:c r="D2279" t="str">
        <x:v>drain bay</x:v>
      </x:c>
      <x:c r="E2279" t="n">
        <x:f>IF('Drain Gallery'!L130&lt;&gt;"",1,0)</x:f>
        <x:v>0</x:v>
      </x:c>
      <x:c r="F2279" t="n">
        <x:v>1</x:v>
      </x:c>
      <x:c r="G2279" t="str">
        <x:v>equals</x:v>
      </x:c>
      <x:c r="H2279" t="str">
        <x:v>independent physical acceptance</x:v>
      </x:c>
      <x:c r="I2279" t="str">
        <x:f>IF(E2279=1,"PASS","OPEN")</x:f>
        <x:v>OPEN</x:v>
      </x:c>
    </x:row>
    <x:row r="2280">
      <x:c r="B2280" t="str">
        <x:v>PH-DG-125</x:v>
      </x:c>
      <x:c r="C2280" t="str">
        <x:v>PHYSICAL</x:v>
      </x:c>
      <x:c r="D2280" t="str">
        <x:v>drain bay</x:v>
      </x:c>
      <x:c r="E2280" t="n">
        <x:f>IF('Drain Gallery'!L131&lt;&gt;"",1,0)</x:f>
        <x:v>0</x:v>
      </x:c>
      <x:c r="F2280" t="n">
        <x:v>1</x:v>
      </x:c>
      <x:c r="G2280" t="str">
        <x:v>equals</x:v>
      </x:c>
      <x:c r="H2280" t="str">
        <x:v>independent physical acceptance</x:v>
      </x:c>
      <x:c r="I2280" t="str">
        <x:f>IF(E2280=1,"PASS","OPEN")</x:f>
        <x:v>OPEN</x:v>
      </x:c>
    </x:row>
    <x:row r="2281">
      <x:c r="B2281" t="str">
        <x:v>PH-DG-126</x:v>
      </x:c>
      <x:c r="C2281" t="str">
        <x:v>PHYSICAL</x:v>
      </x:c>
      <x:c r="D2281" t="str">
        <x:v>drain bay</x:v>
      </x:c>
      <x:c r="E2281" t="n">
        <x:f>IF('Drain Gallery'!L132&lt;&gt;"",1,0)</x:f>
        <x:v>0</x:v>
      </x:c>
      <x:c r="F2281" t="n">
        <x:v>1</x:v>
      </x:c>
      <x:c r="G2281" t="str">
        <x:v>equals</x:v>
      </x:c>
      <x:c r="H2281" t="str">
        <x:v>independent physical acceptance</x:v>
      </x:c>
      <x:c r="I2281" t="str">
        <x:f>IF(E2281=1,"PASS","OPEN")</x:f>
        <x:v>OPEN</x:v>
      </x:c>
    </x:row>
    <x:row r="2282">
      <x:c r="B2282" t="str">
        <x:v>PH-DG-127</x:v>
      </x:c>
      <x:c r="C2282" t="str">
        <x:v>PHYSICAL</x:v>
      </x:c>
      <x:c r="D2282" t="str">
        <x:v>drain bay</x:v>
      </x:c>
      <x:c r="E2282" t="n">
        <x:f>IF('Drain Gallery'!L133&lt;&gt;"",1,0)</x:f>
        <x:v>0</x:v>
      </x:c>
      <x:c r="F2282" t="n">
        <x:v>1</x:v>
      </x:c>
      <x:c r="G2282" t="str">
        <x:v>equals</x:v>
      </x:c>
      <x:c r="H2282" t="str">
        <x:v>independent physical acceptance</x:v>
      </x:c>
      <x:c r="I2282" t="str">
        <x:f>IF(E2282=1,"PASS","OPEN")</x:f>
        <x:v>OPEN</x:v>
      </x:c>
    </x:row>
    <x:row r="2283">
      <x:c r="B2283" t="str">
        <x:v>PH-DG-128</x:v>
      </x:c>
      <x:c r="C2283" t="str">
        <x:v>PHYSICAL</x:v>
      </x:c>
      <x:c r="D2283" t="str">
        <x:v>drain bay</x:v>
      </x:c>
      <x:c r="E2283" t="n">
        <x:f>IF('Drain Gallery'!L134&lt;&gt;"",1,0)</x:f>
        <x:v>0</x:v>
      </x:c>
      <x:c r="F2283" t="n">
        <x:v>1</x:v>
      </x:c>
      <x:c r="G2283" t="str">
        <x:v>equals</x:v>
      </x:c>
      <x:c r="H2283" t="str">
        <x:v>independent physical acceptance</x:v>
      </x:c>
      <x:c r="I2283" t="str">
        <x:f>IF(E2283=1,"PASS","OPEN")</x:f>
        <x:v>OPEN</x:v>
      </x:c>
    </x:row>
    <x:row r="2284">
      <x:c r="B2284" t="str">
        <x:v>PH-DG-129</x:v>
      </x:c>
      <x:c r="C2284" t="str">
        <x:v>PHYSICAL</x:v>
      </x:c>
      <x:c r="D2284" t="str">
        <x:v>drain bay</x:v>
      </x:c>
      <x:c r="E2284" t="n">
        <x:f>IF('Drain Gallery'!L135&lt;&gt;"",1,0)</x:f>
        <x:v>0</x:v>
      </x:c>
      <x:c r="F2284" t="n">
        <x:v>1</x:v>
      </x:c>
      <x:c r="G2284" t="str">
        <x:v>equals</x:v>
      </x:c>
      <x:c r="H2284" t="str">
        <x:v>independent physical acceptance</x:v>
      </x:c>
      <x:c r="I2284" t="str">
        <x:f>IF(E2284=1,"PASS","OPEN")</x:f>
        <x:v>OPEN</x:v>
      </x:c>
    </x:row>
    <x:row r="2285">
      <x:c r="B2285" t="str">
        <x:v>PH-DG-130</x:v>
      </x:c>
      <x:c r="C2285" t="str">
        <x:v>PHYSICAL</x:v>
      </x:c>
      <x:c r="D2285" t="str">
        <x:v>drain bay</x:v>
      </x:c>
      <x:c r="E2285" t="n">
        <x:f>IF('Drain Gallery'!L136&lt;&gt;"",1,0)</x:f>
        <x:v>0</x:v>
      </x:c>
      <x:c r="F2285" t="n">
        <x:v>1</x:v>
      </x:c>
      <x:c r="G2285" t="str">
        <x:v>equals</x:v>
      </x:c>
      <x:c r="H2285" t="str">
        <x:v>independent physical acceptance</x:v>
      </x:c>
      <x:c r="I2285" t="str">
        <x:f>IF(E2285=1,"PASS","OPEN")</x:f>
        <x:v>OPEN</x:v>
      </x:c>
    </x:row>
    <x:row r="2286">
      <x:c r="B2286" t="str">
        <x:v>PH-DG-131</x:v>
      </x:c>
      <x:c r="C2286" t="str">
        <x:v>PHYSICAL</x:v>
      </x:c>
      <x:c r="D2286" t="str">
        <x:v>drain bay</x:v>
      </x:c>
      <x:c r="E2286" t="n">
        <x:f>IF('Drain Gallery'!L137&lt;&gt;"",1,0)</x:f>
        <x:v>0</x:v>
      </x:c>
      <x:c r="F2286" t="n">
        <x:v>1</x:v>
      </x:c>
      <x:c r="G2286" t="str">
        <x:v>equals</x:v>
      </x:c>
      <x:c r="H2286" t="str">
        <x:v>independent physical acceptance</x:v>
      </x:c>
      <x:c r="I2286" t="str">
        <x:f>IF(E2286=1,"PASS","OPEN")</x:f>
        <x:v>OPEN</x:v>
      </x:c>
    </x:row>
    <x:row r="2287">
      <x:c r="B2287" t="str">
        <x:v>PH-DG-132</x:v>
      </x:c>
      <x:c r="C2287" t="str">
        <x:v>PHYSICAL</x:v>
      </x:c>
      <x:c r="D2287" t="str">
        <x:v>drain bay</x:v>
      </x:c>
      <x:c r="E2287" t="n">
        <x:f>IF('Drain Gallery'!L138&lt;&gt;"",1,0)</x:f>
        <x:v>0</x:v>
      </x:c>
      <x:c r="F2287" t="n">
        <x:v>1</x:v>
      </x:c>
      <x:c r="G2287" t="str">
        <x:v>equals</x:v>
      </x:c>
      <x:c r="H2287" t="str">
        <x:v>independent physical acceptance</x:v>
      </x:c>
      <x:c r="I2287" t="str">
        <x:f>IF(E2287=1,"PASS","OPEN")</x:f>
        <x:v>OPEN</x:v>
      </x:c>
    </x:row>
    <x:row r="2288">
      <x:c r="B2288" t="str">
        <x:v>PH-DG-133</x:v>
      </x:c>
      <x:c r="C2288" t="str">
        <x:v>PHYSICAL</x:v>
      </x:c>
      <x:c r="D2288" t="str">
        <x:v>drain bay</x:v>
      </x:c>
      <x:c r="E2288" t="n">
        <x:f>IF('Drain Gallery'!L139&lt;&gt;"",1,0)</x:f>
        <x:v>0</x:v>
      </x:c>
      <x:c r="F2288" t="n">
        <x:v>1</x:v>
      </x:c>
      <x:c r="G2288" t="str">
        <x:v>equals</x:v>
      </x:c>
      <x:c r="H2288" t="str">
        <x:v>independent physical acceptance</x:v>
      </x:c>
      <x:c r="I2288" t="str">
        <x:f>IF(E2288=1,"PASS","OPEN")</x:f>
        <x:v>OPEN</x:v>
      </x:c>
    </x:row>
    <x:row r="2289">
      <x:c r="B2289" t="str">
        <x:v>PH-DG-134</x:v>
      </x:c>
      <x:c r="C2289" t="str">
        <x:v>PHYSICAL</x:v>
      </x:c>
      <x:c r="D2289" t="str">
        <x:v>drain bay</x:v>
      </x:c>
      <x:c r="E2289" t="n">
        <x:f>IF('Drain Gallery'!L140&lt;&gt;"",1,0)</x:f>
        <x:v>0</x:v>
      </x:c>
      <x:c r="F2289" t="n">
        <x:v>1</x:v>
      </x:c>
      <x:c r="G2289" t="str">
        <x:v>equals</x:v>
      </x:c>
      <x:c r="H2289" t="str">
        <x:v>independent physical acceptance</x:v>
      </x:c>
      <x:c r="I2289" t="str">
        <x:f>IF(E2289=1,"PASS","OPEN")</x:f>
        <x:v>OPEN</x:v>
      </x:c>
    </x:row>
    <x:row r="2290">
      <x:c r="B2290" t="str">
        <x:v>PH-DG-135</x:v>
      </x:c>
      <x:c r="C2290" t="str">
        <x:v>PHYSICAL</x:v>
      </x:c>
      <x:c r="D2290" t="str">
        <x:v>drain bay</x:v>
      </x:c>
      <x:c r="E2290" t="n">
        <x:f>IF('Drain Gallery'!L141&lt;&gt;"",1,0)</x:f>
        <x:v>0</x:v>
      </x:c>
      <x:c r="F2290" t="n">
        <x:v>1</x:v>
      </x:c>
      <x:c r="G2290" t="str">
        <x:v>equals</x:v>
      </x:c>
      <x:c r="H2290" t="str">
        <x:v>independent physical acceptance</x:v>
      </x:c>
      <x:c r="I2290" t="str">
        <x:f>IF(E2290=1,"PASS","OPEN")</x:f>
        <x:v>OPEN</x:v>
      </x:c>
    </x:row>
    <x:row r="2291">
      <x:c r="B2291" t="str">
        <x:v>PH-DG-136</x:v>
      </x:c>
      <x:c r="C2291" t="str">
        <x:v>PHYSICAL</x:v>
      </x:c>
      <x:c r="D2291" t="str">
        <x:v>drain bay</x:v>
      </x:c>
      <x:c r="E2291" t="n">
        <x:f>IF('Drain Gallery'!L142&lt;&gt;"",1,0)</x:f>
        <x:v>0</x:v>
      </x:c>
      <x:c r="F2291" t="n">
        <x:v>1</x:v>
      </x:c>
      <x:c r="G2291" t="str">
        <x:v>equals</x:v>
      </x:c>
      <x:c r="H2291" t="str">
        <x:v>independent physical acceptance</x:v>
      </x:c>
      <x:c r="I2291" t="str">
        <x:f>IF(E2291=1,"PASS","OPEN")</x:f>
        <x:v>OPEN</x:v>
      </x:c>
    </x:row>
    <x:row r="2292">
      <x:c r="B2292" t="str">
        <x:v>PH-DG-137</x:v>
      </x:c>
      <x:c r="C2292" t="str">
        <x:v>PHYSICAL</x:v>
      </x:c>
      <x:c r="D2292" t="str">
        <x:v>drain bay</x:v>
      </x:c>
      <x:c r="E2292" t="n">
        <x:f>IF('Drain Gallery'!L143&lt;&gt;"",1,0)</x:f>
        <x:v>0</x:v>
      </x:c>
      <x:c r="F2292" t="n">
        <x:v>1</x:v>
      </x:c>
      <x:c r="G2292" t="str">
        <x:v>equals</x:v>
      </x:c>
      <x:c r="H2292" t="str">
        <x:v>independent physical acceptance</x:v>
      </x:c>
      <x:c r="I2292" t="str">
        <x:f>IF(E2292=1,"PASS","OPEN")</x:f>
        <x:v>OPEN</x:v>
      </x:c>
    </x:row>
    <x:row r="2293">
      <x:c r="B2293" t="str">
        <x:v>PH-DG-138</x:v>
      </x:c>
      <x:c r="C2293" t="str">
        <x:v>PHYSICAL</x:v>
      </x:c>
      <x:c r="D2293" t="str">
        <x:v>drain bay</x:v>
      </x:c>
      <x:c r="E2293" t="n">
        <x:f>IF('Drain Gallery'!L144&lt;&gt;"",1,0)</x:f>
        <x:v>0</x:v>
      </x:c>
      <x:c r="F2293" t="n">
        <x:v>1</x:v>
      </x:c>
      <x:c r="G2293" t="str">
        <x:v>equals</x:v>
      </x:c>
      <x:c r="H2293" t="str">
        <x:v>independent physical acceptance</x:v>
      </x:c>
      <x:c r="I2293" t="str">
        <x:f>IF(E2293=1,"PASS","OPEN")</x:f>
        <x:v>OPEN</x:v>
      </x:c>
    </x:row>
    <x:row r="2294">
      <x:c r="B2294" t="str">
        <x:v>PH-DG-139</x:v>
      </x:c>
      <x:c r="C2294" t="str">
        <x:v>PHYSICAL</x:v>
      </x:c>
      <x:c r="D2294" t="str">
        <x:v>drain bay</x:v>
      </x:c>
      <x:c r="E2294" t="n">
        <x:f>IF('Drain Gallery'!L145&lt;&gt;"",1,0)</x:f>
        <x:v>0</x:v>
      </x:c>
      <x:c r="F2294" t="n">
        <x:v>1</x:v>
      </x:c>
      <x:c r="G2294" t="str">
        <x:v>equals</x:v>
      </x:c>
      <x:c r="H2294" t="str">
        <x:v>independent physical acceptance</x:v>
      </x:c>
      <x:c r="I2294" t="str">
        <x:f>IF(E2294=1,"PASS","OPEN")</x:f>
        <x:v>OPEN</x:v>
      </x:c>
    </x:row>
    <x:row r="2295">
      <x:c r="B2295" t="str">
        <x:v>PH-DG-140</x:v>
      </x:c>
      <x:c r="C2295" t="str">
        <x:v>PHYSICAL</x:v>
      </x:c>
      <x:c r="D2295" t="str">
        <x:v>drain bay</x:v>
      </x:c>
      <x:c r="E2295" t="n">
        <x:f>IF('Drain Gallery'!L146&lt;&gt;"",1,0)</x:f>
        <x:v>0</x:v>
      </x:c>
      <x:c r="F2295" t="n">
        <x:v>1</x:v>
      </x:c>
      <x:c r="G2295" t="str">
        <x:v>equals</x:v>
      </x:c>
      <x:c r="H2295" t="str">
        <x:v>independent physical acceptance</x:v>
      </x:c>
      <x:c r="I2295" t="str">
        <x:f>IF(E2295=1,"PASS","OPEN")</x:f>
        <x:v>OPEN</x:v>
      </x:c>
    </x:row>
    <x:row r="2296">
      <x:c r="B2296" t="str">
        <x:v>PH-DG-141</x:v>
      </x:c>
      <x:c r="C2296" t="str">
        <x:v>PHYSICAL</x:v>
      </x:c>
      <x:c r="D2296" t="str">
        <x:v>drain bay</x:v>
      </x:c>
      <x:c r="E2296" t="n">
        <x:f>IF('Drain Gallery'!L147&lt;&gt;"",1,0)</x:f>
        <x:v>0</x:v>
      </x:c>
      <x:c r="F2296" t="n">
        <x:v>1</x:v>
      </x:c>
      <x:c r="G2296" t="str">
        <x:v>equals</x:v>
      </x:c>
      <x:c r="H2296" t="str">
        <x:v>independent physical acceptance</x:v>
      </x:c>
      <x:c r="I2296" t="str">
        <x:f>IF(E2296=1,"PASS","OPEN")</x:f>
        <x:v>OPEN</x:v>
      </x:c>
    </x:row>
    <x:row r="2297">
      <x:c r="B2297" t="str">
        <x:v>PH-DG-142</x:v>
      </x:c>
      <x:c r="C2297" t="str">
        <x:v>PHYSICAL</x:v>
      </x:c>
      <x:c r="D2297" t="str">
        <x:v>drain bay</x:v>
      </x:c>
      <x:c r="E2297" t="n">
        <x:f>IF('Drain Gallery'!L148&lt;&gt;"",1,0)</x:f>
        <x:v>0</x:v>
      </x:c>
      <x:c r="F2297" t="n">
        <x:v>1</x:v>
      </x:c>
      <x:c r="G2297" t="str">
        <x:v>equals</x:v>
      </x:c>
      <x:c r="H2297" t="str">
        <x:v>independent physical acceptance</x:v>
      </x:c>
      <x:c r="I2297" t="str">
        <x:f>IF(E2297=1,"PASS","OPEN")</x:f>
        <x:v>OPEN</x:v>
      </x:c>
    </x:row>
    <x:row r="2298">
      <x:c r="B2298" t="str">
        <x:v>PH-DG-143</x:v>
      </x:c>
      <x:c r="C2298" t="str">
        <x:v>PHYSICAL</x:v>
      </x:c>
      <x:c r="D2298" t="str">
        <x:v>drain bay</x:v>
      </x:c>
      <x:c r="E2298" t="n">
        <x:f>IF('Drain Gallery'!L149&lt;&gt;"",1,0)</x:f>
        <x:v>0</x:v>
      </x:c>
      <x:c r="F2298" t="n">
        <x:v>1</x:v>
      </x:c>
      <x:c r="G2298" t="str">
        <x:v>equals</x:v>
      </x:c>
      <x:c r="H2298" t="str">
        <x:v>independent physical acceptance</x:v>
      </x:c>
      <x:c r="I2298" t="str">
        <x:f>IF(E2298=1,"PASS","OPEN")</x:f>
        <x:v>OPEN</x:v>
      </x:c>
    </x:row>
    <x:row r="2299">
      <x:c r="B2299" t="str">
        <x:v>PH-DG-144</x:v>
      </x:c>
      <x:c r="C2299" t="str">
        <x:v>PHYSICAL</x:v>
      </x:c>
      <x:c r="D2299" t="str">
        <x:v>drain bay</x:v>
      </x:c>
      <x:c r="E2299" t="n">
        <x:f>IF('Drain Gallery'!L150&lt;&gt;"",1,0)</x:f>
        <x:v>0</x:v>
      </x:c>
      <x:c r="F2299" t="n">
        <x:v>1</x:v>
      </x:c>
      <x:c r="G2299" t="str">
        <x:v>equals</x:v>
      </x:c>
      <x:c r="H2299" t="str">
        <x:v>independent physical acceptance</x:v>
      </x:c>
      <x:c r="I2299" t="str">
        <x:f>IF(E2299=1,"PASS","OPEN")</x:f>
        <x:v>OPEN</x:v>
      </x:c>
    </x:row>
    <x:row r="2300">
      <x:c r="B2300" t="str">
        <x:v>PH-FW-1</x:v>
      </x:c>
      <x:c r="C2300" t="str">
        <x:v>PHYSICAL</x:v>
      </x:c>
      <x:c r="D2300" t="str">
        <x:v>firewater path</x:v>
      </x:c>
      <x:c r="E2300" t="n">
        <x:f>IF('Firewater Plant'!I7&lt;&gt;"",1,0)</x:f>
        <x:v>0</x:v>
      </x:c>
      <x:c r="F2300" t="n">
        <x:v>1</x:v>
      </x:c>
      <x:c r="G2300" t="str">
        <x:v>equals</x:v>
      </x:c>
      <x:c r="H2300" t="str">
        <x:v>independent physical acceptance</x:v>
      </x:c>
      <x:c r="I2300" t="str">
        <x:f>IF(E2300=1,"PASS","OPEN")</x:f>
        <x:v>OPEN</x:v>
      </x:c>
    </x:row>
    <x:row r="2301">
      <x:c r="B2301" t="str">
        <x:v>PH-FW-2</x:v>
      </x:c>
      <x:c r="C2301" t="str">
        <x:v>PHYSICAL</x:v>
      </x:c>
      <x:c r="D2301" t="str">
        <x:v>firewater path</x:v>
      </x:c>
      <x:c r="E2301" t="n">
        <x:f>IF('Firewater Plant'!I8&lt;&gt;"",1,0)</x:f>
        <x:v>0</x:v>
      </x:c>
      <x:c r="F2301" t="n">
        <x:v>1</x:v>
      </x:c>
      <x:c r="G2301" t="str">
        <x:v>equals</x:v>
      </x:c>
      <x:c r="H2301" t="str">
        <x:v>independent physical acceptance</x:v>
      </x:c>
      <x:c r="I2301" t="str">
        <x:f>IF(E2301=1,"PASS","OPEN")</x:f>
        <x:v>OPEN</x:v>
      </x:c>
    </x:row>
    <x:row r="2302">
      <x:c r="B2302" t="str">
        <x:v>PH-FW-3</x:v>
      </x:c>
      <x:c r="C2302" t="str">
        <x:v>PHYSICAL</x:v>
      </x:c>
      <x:c r="D2302" t="str">
        <x:v>firewater path</x:v>
      </x:c>
      <x:c r="E2302" t="n">
        <x:f>IF('Firewater Plant'!I9&lt;&gt;"",1,0)</x:f>
        <x:v>0</x:v>
      </x:c>
      <x:c r="F2302" t="n">
        <x:v>1</x:v>
      </x:c>
      <x:c r="G2302" t="str">
        <x:v>equals</x:v>
      </x:c>
      <x:c r="H2302" t="str">
        <x:v>independent physical acceptance</x:v>
      </x:c>
      <x:c r="I2302" t="str">
        <x:f>IF(E2302=1,"PASS","OPEN")</x:f>
        <x:v>OPEN</x:v>
      </x:c>
    </x:row>
    <x:row r="2303">
      <x:c r="B2303" t="str">
        <x:v>PH-FW-4</x:v>
      </x:c>
      <x:c r="C2303" t="str">
        <x:v>PHYSICAL</x:v>
      </x:c>
      <x:c r="D2303" t="str">
        <x:v>firewater path</x:v>
      </x:c>
      <x:c r="E2303" t="n">
        <x:f>IF('Firewater Plant'!I10&lt;&gt;"",1,0)</x:f>
        <x:v>0</x:v>
      </x:c>
      <x:c r="F2303" t="n">
        <x:v>1</x:v>
      </x:c>
      <x:c r="G2303" t="str">
        <x:v>equals</x:v>
      </x:c>
      <x:c r="H2303" t="str">
        <x:v>independent physical acceptance</x:v>
      </x:c>
      <x:c r="I2303" t="str">
        <x:f>IF(E2303=1,"PASS","OPEN")</x:f>
        <x:v>OPEN</x:v>
      </x:c>
    </x:row>
    <x:row r="2304">
      <x:c r="B2304" t="str">
        <x:v>PH-FW-5</x:v>
      </x:c>
      <x:c r="C2304" t="str">
        <x:v>PHYSICAL</x:v>
      </x:c>
      <x:c r="D2304" t="str">
        <x:v>firewater path</x:v>
      </x:c>
      <x:c r="E2304" t="n">
        <x:f>IF('Firewater Plant'!I11&lt;&gt;"",1,0)</x:f>
        <x:v>0</x:v>
      </x:c>
      <x:c r="F2304" t="n">
        <x:v>1</x:v>
      </x:c>
      <x:c r="G2304" t="str">
        <x:v>equals</x:v>
      </x:c>
      <x:c r="H2304" t="str">
        <x:v>independent physical acceptance</x:v>
      </x:c>
      <x:c r="I2304" t="str">
        <x:f>IF(E2304=1,"PASS","OPEN")</x:f>
        <x:v>OPEN</x:v>
      </x:c>
    </x:row>
    <x:row r="2305">
      <x:c r="B2305" t="str">
        <x:v>PH-FW-6</x:v>
      </x:c>
      <x:c r="C2305" t="str">
        <x:v>PHYSICAL</x:v>
      </x:c>
      <x:c r="D2305" t="str">
        <x:v>firewater path</x:v>
      </x:c>
      <x:c r="E2305" t="n">
        <x:f>IF('Firewater Plant'!I12&lt;&gt;"",1,0)</x:f>
        <x:v>0</x:v>
      </x:c>
      <x:c r="F2305" t="n">
        <x:v>1</x:v>
      </x:c>
      <x:c r="G2305" t="str">
        <x:v>equals</x:v>
      </x:c>
      <x:c r="H2305" t="str">
        <x:v>independent physical acceptance</x:v>
      </x:c>
      <x:c r="I2305" t="str">
        <x:f>IF(E2305=1,"PASS","OPEN")</x:f>
        <x:v>OPEN</x:v>
      </x:c>
    </x:row>
    <x:row r="2306">
      <x:c r="B2306" t="str">
        <x:v>PH-FW-7</x:v>
      </x:c>
      <x:c r="C2306" t="str">
        <x:v>PHYSICAL</x:v>
      </x:c>
      <x:c r="D2306" t="str">
        <x:v>firewater path</x:v>
      </x:c>
      <x:c r="E2306" t="n">
        <x:f>IF('Firewater Plant'!I13&lt;&gt;"",1,0)</x:f>
        <x:v>0</x:v>
      </x:c>
      <x:c r="F2306" t="n">
        <x:v>1</x:v>
      </x:c>
      <x:c r="G2306" t="str">
        <x:v>equals</x:v>
      </x:c>
      <x:c r="H2306" t="str">
        <x:v>independent physical acceptance</x:v>
      </x:c>
      <x:c r="I2306" t="str">
        <x:f>IF(E2306=1,"PASS","OPEN")</x:f>
        <x:v>OPEN</x:v>
      </x:c>
    </x:row>
    <x:row r="2307">
      <x:c r="B2307" t="str">
        <x:v>PH-FW-8</x:v>
      </x:c>
      <x:c r="C2307" t="str">
        <x:v>PHYSICAL</x:v>
      </x:c>
      <x:c r="D2307" t="str">
        <x:v>firewater path</x:v>
      </x:c>
      <x:c r="E2307" t="n">
        <x:f>IF('Firewater Plant'!I14&lt;&gt;"",1,0)</x:f>
        <x:v>0</x:v>
      </x:c>
      <x:c r="F2307" t="n">
        <x:v>1</x:v>
      </x:c>
      <x:c r="G2307" t="str">
        <x:v>equals</x:v>
      </x:c>
      <x:c r="H2307" t="str">
        <x:v>independent physical acceptance</x:v>
      </x:c>
      <x:c r="I2307" t="str">
        <x:f>IF(E2307=1,"PASS","OPEN")</x:f>
        <x:v>OPEN</x:v>
      </x:c>
    </x:row>
    <x:row r="2308">
      <x:c r="B2308" t="str">
        <x:v>PH-FW-9</x:v>
      </x:c>
      <x:c r="C2308" t="str">
        <x:v>PHYSICAL</x:v>
      </x:c>
      <x:c r="D2308" t="str">
        <x:v>firewater path</x:v>
      </x:c>
      <x:c r="E2308" t="n">
        <x:f>IF('Firewater Plant'!I15&lt;&gt;"",1,0)</x:f>
        <x:v>0</x:v>
      </x:c>
      <x:c r="F2308" t="n">
        <x:v>1</x:v>
      </x:c>
      <x:c r="G2308" t="str">
        <x:v>equals</x:v>
      </x:c>
      <x:c r="H2308" t="str">
        <x:v>independent physical acceptance</x:v>
      </x:c>
      <x:c r="I2308" t="str">
        <x:f>IF(E2308=1,"PASS","OPEN")</x:f>
        <x:v>OPEN</x:v>
      </x:c>
    </x:row>
    <x:row r="2309">
      <x:c r="B2309" t="str">
        <x:v>PH-FW-10</x:v>
      </x:c>
      <x:c r="C2309" t="str">
        <x:v>PHYSICAL</x:v>
      </x:c>
      <x:c r="D2309" t="str">
        <x:v>firewater path</x:v>
      </x:c>
      <x:c r="E2309" t="n">
        <x:f>IF('Firewater Plant'!I16&lt;&gt;"",1,0)</x:f>
        <x:v>0</x:v>
      </x:c>
      <x:c r="F2309" t="n">
        <x:v>1</x:v>
      </x:c>
      <x:c r="G2309" t="str">
        <x:v>equals</x:v>
      </x:c>
      <x:c r="H2309" t="str">
        <x:v>independent physical acceptance</x:v>
      </x:c>
      <x:c r="I2309" t="str">
        <x:f>IF(E2309=1,"PASS","OPEN")</x:f>
        <x:v>OPEN</x:v>
      </x:c>
    </x:row>
    <x:row r="2310">
      <x:c r="B2310" t="str">
        <x:v>PH-FW-11</x:v>
      </x:c>
      <x:c r="C2310" t="str">
        <x:v>PHYSICAL</x:v>
      </x:c>
      <x:c r="D2310" t="str">
        <x:v>firewater path</x:v>
      </x:c>
      <x:c r="E2310" t="n">
        <x:f>IF('Firewater Plant'!I17&lt;&gt;"",1,0)</x:f>
        <x:v>0</x:v>
      </x:c>
      <x:c r="F2310" t="n">
        <x:v>1</x:v>
      </x:c>
      <x:c r="G2310" t="str">
        <x:v>equals</x:v>
      </x:c>
      <x:c r="H2310" t="str">
        <x:v>independent physical acceptance</x:v>
      </x:c>
      <x:c r="I2310" t="str">
        <x:f>IF(E2310=1,"PASS","OPEN")</x:f>
        <x:v>OPEN</x:v>
      </x:c>
    </x:row>
    <x:row r="2311">
      <x:c r="B2311" t="str">
        <x:v>PH-FW-12</x:v>
      </x:c>
      <x:c r="C2311" t="str">
        <x:v>PHYSICAL</x:v>
      </x:c>
      <x:c r="D2311" t="str">
        <x:v>firewater path</x:v>
      </x:c>
      <x:c r="E2311" t="n">
        <x:f>IF('Firewater Plant'!I18&lt;&gt;"",1,0)</x:f>
        <x:v>0</x:v>
      </x:c>
      <x:c r="F2311" t="n">
        <x:v>1</x:v>
      </x:c>
      <x:c r="G2311" t="str">
        <x:v>equals</x:v>
      </x:c>
      <x:c r="H2311" t="str">
        <x:v>independent physical acceptance</x:v>
      </x:c>
      <x:c r="I2311" t="str">
        <x:f>IF(E2311=1,"PASS","OPEN")</x:f>
        <x:v>OPEN</x:v>
      </x:c>
    </x:row>
    <x:row r="2312">
      <x:c r="B2312" t="str">
        <x:v>PH-FW-13</x:v>
      </x:c>
      <x:c r="C2312" t="str">
        <x:v>PHYSICAL</x:v>
      </x:c>
      <x:c r="D2312" t="str">
        <x:v>firewater path</x:v>
      </x:c>
      <x:c r="E2312" t="n">
        <x:f>IF('Firewater Plant'!I19&lt;&gt;"",1,0)</x:f>
        <x:v>0</x:v>
      </x:c>
      <x:c r="F2312" t="n">
        <x:v>1</x:v>
      </x:c>
      <x:c r="G2312" t="str">
        <x:v>equals</x:v>
      </x:c>
      <x:c r="H2312" t="str">
        <x:v>independent physical acceptance</x:v>
      </x:c>
      <x:c r="I2312" t="str">
        <x:f>IF(E2312=1,"PASS","OPEN")</x:f>
        <x:v>OPEN</x:v>
      </x:c>
    </x:row>
    <x:row r="2313">
      <x:c r="B2313" t="str">
        <x:v>PH-FW-14</x:v>
      </x:c>
      <x:c r="C2313" t="str">
        <x:v>PHYSICAL</x:v>
      </x:c>
      <x:c r="D2313" t="str">
        <x:v>firewater path</x:v>
      </x:c>
      <x:c r="E2313" t="n">
        <x:f>IF('Firewater Plant'!I20&lt;&gt;"",1,0)</x:f>
        <x:v>0</x:v>
      </x:c>
      <x:c r="F2313" t="n">
        <x:v>1</x:v>
      </x:c>
      <x:c r="G2313" t="str">
        <x:v>equals</x:v>
      </x:c>
      <x:c r="H2313" t="str">
        <x:v>independent physical acceptance</x:v>
      </x:c>
      <x:c r="I2313" t="str">
        <x:f>IF(E2313=1,"PASS","OPEN")</x:f>
        <x:v>OPEN</x:v>
      </x:c>
    </x:row>
    <x:row r="2314">
      <x:c r="B2314" t="str">
        <x:v>PH-FW-15</x:v>
      </x:c>
      <x:c r="C2314" t="str">
        <x:v>PHYSICAL</x:v>
      </x:c>
      <x:c r="D2314" t="str">
        <x:v>firewater path</x:v>
      </x:c>
      <x:c r="E2314" t="n">
        <x:f>IF('Firewater Plant'!I21&lt;&gt;"",1,0)</x:f>
        <x:v>0</x:v>
      </x:c>
      <x:c r="F2314" t="n">
        <x:v>1</x:v>
      </x:c>
      <x:c r="G2314" t="str">
        <x:v>equals</x:v>
      </x:c>
      <x:c r="H2314" t="str">
        <x:v>independent physical acceptance</x:v>
      </x:c>
      <x:c r="I2314" t="str">
        <x:f>IF(E2314=1,"PASS","OPEN")</x:f>
        <x:v>OPEN</x:v>
      </x:c>
    </x:row>
    <x:row r="2315">
      <x:c r="B2315" t="str">
        <x:v>PH-FW-16</x:v>
      </x:c>
      <x:c r="C2315" t="str">
        <x:v>PHYSICAL</x:v>
      </x:c>
      <x:c r="D2315" t="str">
        <x:v>firewater path</x:v>
      </x:c>
      <x:c r="E2315" t="n">
        <x:f>IF('Firewater Plant'!I22&lt;&gt;"",1,0)</x:f>
        <x:v>0</x:v>
      </x:c>
      <x:c r="F2315" t="n">
        <x:v>1</x:v>
      </x:c>
      <x:c r="G2315" t="str">
        <x:v>equals</x:v>
      </x:c>
      <x:c r="H2315" t="str">
        <x:v>independent physical acceptance</x:v>
      </x:c>
      <x:c r="I2315" t="str">
        <x:f>IF(E2315=1,"PASS","OPEN")</x:f>
        <x:v>OPEN</x:v>
      </x:c>
    </x:row>
    <x:row r="2316">
      <x:c r="B2316" t="str">
        <x:v>PH-FW-17</x:v>
      </x:c>
      <x:c r="C2316" t="str">
        <x:v>PHYSICAL</x:v>
      </x:c>
      <x:c r="D2316" t="str">
        <x:v>firewater path</x:v>
      </x:c>
      <x:c r="E2316" t="n">
        <x:f>IF('Firewater Plant'!I23&lt;&gt;"",1,0)</x:f>
        <x:v>0</x:v>
      </x:c>
      <x:c r="F2316" t="n">
        <x:v>1</x:v>
      </x:c>
      <x:c r="G2316" t="str">
        <x:v>equals</x:v>
      </x:c>
      <x:c r="H2316" t="str">
        <x:v>independent physical acceptance</x:v>
      </x:c>
      <x:c r="I2316" t="str">
        <x:f>IF(E2316=1,"PASS","OPEN")</x:f>
        <x:v>OPEN</x:v>
      </x:c>
    </x:row>
    <x:row r="2317">
      <x:c r="B2317" t="str">
        <x:v>PH-FW-18</x:v>
      </x:c>
      <x:c r="C2317" t="str">
        <x:v>PHYSICAL</x:v>
      </x:c>
      <x:c r="D2317" t="str">
        <x:v>firewater path</x:v>
      </x:c>
      <x:c r="E2317" t="n">
        <x:f>IF('Firewater Plant'!I24&lt;&gt;"",1,0)</x:f>
        <x:v>0</x:v>
      </x:c>
      <x:c r="F2317" t="n">
        <x:v>1</x:v>
      </x:c>
      <x:c r="G2317" t="str">
        <x:v>equals</x:v>
      </x:c>
      <x:c r="H2317" t="str">
        <x:v>independent physical acceptance</x:v>
      </x:c>
      <x:c r="I2317" t="str">
        <x:f>IF(E2317=1,"PASS","OPEN")</x:f>
        <x:v>OPEN</x:v>
      </x:c>
    </x:row>
    <x:row r="2318">
      <x:c r="B2318" t="str">
        <x:v>PH-FW-19</x:v>
      </x:c>
      <x:c r="C2318" t="str">
        <x:v>PHYSICAL</x:v>
      </x:c>
      <x:c r="D2318" t="str">
        <x:v>firewater path</x:v>
      </x:c>
      <x:c r="E2318" t="n">
        <x:f>IF('Firewater Plant'!I25&lt;&gt;"",1,0)</x:f>
        <x:v>0</x:v>
      </x:c>
      <x:c r="F2318" t="n">
        <x:v>1</x:v>
      </x:c>
      <x:c r="G2318" t="str">
        <x:v>equals</x:v>
      </x:c>
      <x:c r="H2318" t="str">
        <x:v>independent physical acceptance</x:v>
      </x:c>
      <x:c r="I2318" t="str">
        <x:f>IF(E2318=1,"PASS","OPEN")</x:f>
        <x:v>OPEN</x:v>
      </x:c>
    </x:row>
    <x:row r="2319">
      <x:c r="B2319" t="str">
        <x:v>PH-FW-20</x:v>
      </x:c>
      <x:c r="C2319" t="str">
        <x:v>PHYSICAL</x:v>
      </x:c>
      <x:c r="D2319" t="str">
        <x:v>firewater path</x:v>
      </x:c>
      <x:c r="E2319" t="n">
        <x:f>IF('Firewater Plant'!I26&lt;&gt;"",1,0)</x:f>
        <x:v>0</x:v>
      </x:c>
      <x:c r="F2319" t="n">
        <x:v>1</x:v>
      </x:c>
      <x:c r="G2319" t="str">
        <x:v>equals</x:v>
      </x:c>
      <x:c r="H2319" t="str">
        <x:v>independent physical acceptance</x:v>
      </x:c>
      <x:c r="I2319" t="str">
        <x:f>IF(E2319=1,"PASS","OPEN")</x:f>
        <x:v>OPEN</x:v>
      </x:c>
    </x:row>
    <x:row r="2320">
      <x:c r="B2320" t="str">
        <x:v>PH-FW-21</x:v>
      </x:c>
      <x:c r="C2320" t="str">
        <x:v>PHYSICAL</x:v>
      </x:c>
      <x:c r="D2320" t="str">
        <x:v>firewater path</x:v>
      </x:c>
      <x:c r="E2320" t="n">
        <x:f>IF('Firewater Plant'!I27&lt;&gt;"",1,0)</x:f>
        <x:v>0</x:v>
      </x:c>
      <x:c r="F2320" t="n">
        <x:v>1</x:v>
      </x:c>
      <x:c r="G2320" t="str">
        <x:v>equals</x:v>
      </x:c>
      <x:c r="H2320" t="str">
        <x:v>independent physical acceptance</x:v>
      </x:c>
      <x:c r="I2320" t="str">
        <x:f>IF(E2320=1,"PASS","OPEN")</x:f>
        <x:v>OPEN</x:v>
      </x:c>
    </x:row>
    <x:row r="2321">
      <x:c r="B2321" t="str">
        <x:v>PH-FW-22</x:v>
      </x:c>
      <x:c r="C2321" t="str">
        <x:v>PHYSICAL</x:v>
      </x:c>
      <x:c r="D2321" t="str">
        <x:v>firewater path</x:v>
      </x:c>
      <x:c r="E2321" t="n">
        <x:f>IF('Firewater Plant'!I28&lt;&gt;"",1,0)</x:f>
        <x:v>0</x:v>
      </x:c>
      <x:c r="F2321" t="n">
        <x:v>1</x:v>
      </x:c>
      <x:c r="G2321" t="str">
        <x:v>equals</x:v>
      </x:c>
      <x:c r="H2321" t="str">
        <x:v>independent physical acceptance</x:v>
      </x:c>
      <x:c r="I2321" t="str">
        <x:f>IF(E2321=1,"PASS","OPEN")</x:f>
        <x:v>OPEN</x:v>
      </x:c>
    </x:row>
    <x:row r="2322">
      <x:c r="B2322" t="str">
        <x:v>PH-FW-23</x:v>
      </x:c>
      <x:c r="C2322" t="str">
        <x:v>PHYSICAL</x:v>
      </x:c>
      <x:c r="D2322" t="str">
        <x:v>firewater path</x:v>
      </x:c>
      <x:c r="E2322" t="n">
        <x:f>IF('Firewater Plant'!I29&lt;&gt;"",1,0)</x:f>
        <x:v>0</x:v>
      </x:c>
      <x:c r="F2322" t="n">
        <x:v>1</x:v>
      </x:c>
      <x:c r="G2322" t="str">
        <x:v>equals</x:v>
      </x:c>
      <x:c r="H2322" t="str">
        <x:v>independent physical acceptance</x:v>
      </x:c>
      <x:c r="I2322" t="str">
        <x:f>IF(E2322=1,"PASS","OPEN")</x:f>
        <x:v>OPEN</x:v>
      </x:c>
    </x:row>
    <x:row r="2323">
      <x:c r="B2323" t="str">
        <x:v>PH-FW-24</x:v>
      </x:c>
      <x:c r="C2323" t="str">
        <x:v>PHYSICAL</x:v>
      </x:c>
      <x:c r="D2323" t="str">
        <x:v>firewater path</x:v>
      </x:c>
      <x:c r="E2323" t="n">
        <x:f>IF('Firewater Plant'!I30&lt;&gt;"",1,0)</x:f>
        <x:v>0</x:v>
      </x:c>
      <x:c r="F2323" t="n">
        <x:v>1</x:v>
      </x:c>
      <x:c r="G2323" t="str">
        <x:v>equals</x:v>
      </x:c>
      <x:c r="H2323" t="str">
        <x:v>independent physical acceptance</x:v>
      </x:c>
      <x:c r="I2323" t="str">
        <x:f>IF(E2323=1,"PASS","OPEN")</x:f>
        <x:v>OPEN</x:v>
      </x:c>
    </x:row>
    <x:row r="2324">
      <x:c r="B2324" t="str">
        <x:v>PH-RC-1</x:v>
      </x:c>
      <x:c r="C2324" t="str">
        <x:v>PHYSICAL</x:v>
      </x:c>
      <x:c r="D2324" t="str">
        <x:v>robot corridor</x:v>
      </x:c>
      <x:c r="E2324" t="n">
        <x:f>IF('Robot Corridor'!I7&lt;&gt;"",1,0)</x:f>
        <x:v>0</x:v>
      </x:c>
      <x:c r="F2324" t="n">
        <x:v>1</x:v>
      </x:c>
      <x:c r="G2324" t="str">
        <x:v>equals</x:v>
      </x:c>
      <x:c r="H2324" t="str">
        <x:v>independent physical acceptance</x:v>
      </x:c>
      <x:c r="I2324" t="str">
        <x:f>IF(E2324=1,"PASS","OPEN")</x:f>
        <x:v>OPEN</x:v>
      </x:c>
    </x:row>
    <x:row r="2325">
      <x:c r="B2325" t="str">
        <x:v>PH-RC-2</x:v>
      </x:c>
      <x:c r="C2325" t="str">
        <x:v>PHYSICAL</x:v>
      </x:c>
      <x:c r="D2325" t="str">
        <x:v>robot corridor</x:v>
      </x:c>
      <x:c r="E2325" t="n">
        <x:f>IF('Robot Corridor'!I8&lt;&gt;"",1,0)</x:f>
        <x:v>0</x:v>
      </x:c>
      <x:c r="F2325" t="n">
        <x:v>1</x:v>
      </x:c>
      <x:c r="G2325" t="str">
        <x:v>equals</x:v>
      </x:c>
      <x:c r="H2325" t="str">
        <x:v>independent physical acceptance</x:v>
      </x:c>
      <x:c r="I2325" t="str">
        <x:f>IF(E2325=1,"PASS","OPEN")</x:f>
        <x:v>OPEN</x:v>
      </x:c>
    </x:row>
    <x:row r="2326">
      <x:c r="B2326" t="str">
        <x:v>PH-RC-3</x:v>
      </x:c>
      <x:c r="C2326" t="str">
        <x:v>PHYSICAL</x:v>
      </x:c>
      <x:c r="D2326" t="str">
        <x:v>robot corridor</x:v>
      </x:c>
      <x:c r="E2326" t="n">
        <x:f>IF('Robot Corridor'!I9&lt;&gt;"",1,0)</x:f>
        <x:v>0</x:v>
      </x:c>
      <x:c r="F2326" t="n">
        <x:v>1</x:v>
      </x:c>
      <x:c r="G2326" t="str">
        <x:v>equals</x:v>
      </x:c>
      <x:c r="H2326" t="str">
        <x:v>independent physical acceptance</x:v>
      </x:c>
      <x:c r="I2326" t="str">
        <x:f>IF(E2326=1,"PASS","OPEN")</x:f>
        <x:v>OPEN</x:v>
      </x:c>
    </x:row>
    <x:row r="2327">
      <x:c r="B2327" t="str">
        <x:v>PH-RC-4</x:v>
      </x:c>
      <x:c r="C2327" t="str">
        <x:v>PHYSICAL</x:v>
      </x:c>
      <x:c r="D2327" t="str">
        <x:v>robot corridor</x:v>
      </x:c>
      <x:c r="E2327" t="n">
        <x:f>IF('Robot Corridor'!I10&lt;&gt;"",1,0)</x:f>
        <x:v>0</x:v>
      </x:c>
      <x:c r="F2327" t="n">
        <x:v>1</x:v>
      </x:c>
      <x:c r="G2327" t="str">
        <x:v>equals</x:v>
      </x:c>
      <x:c r="H2327" t="str">
        <x:v>independent physical acceptance</x:v>
      </x:c>
      <x:c r="I2327" t="str">
        <x:f>IF(E2327=1,"PASS","OPEN")</x:f>
        <x:v>OPEN</x:v>
      </x:c>
    </x:row>
    <x:row r="2328">
      <x:c r="B2328" t="str">
        <x:v>PH-RC-5</x:v>
      </x:c>
      <x:c r="C2328" t="str">
        <x:v>PHYSICAL</x:v>
      </x:c>
      <x:c r="D2328" t="str">
        <x:v>robot corridor</x:v>
      </x:c>
      <x:c r="E2328" t="n">
        <x:f>IF('Robot Corridor'!I11&lt;&gt;"",1,0)</x:f>
        <x:v>0</x:v>
      </x:c>
      <x:c r="F2328" t="n">
        <x:v>1</x:v>
      </x:c>
      <x:c r="G2328" t="str">
        <x:v>equals</x:v>
      </x:c>
      <x:c r="H2328" t="str">
        <x:v>independent physical acceptance</x:v>
      </x:c>
      <x:c r="I2328" t="str">
        <x:f>IF(E2328=1,"PASS","OPEN")</x:f>
        <x:v>OPEN</x:v>
      </x:c>
    </x:row>
    <x:row r="2329">
      <x:c r="B2329" t="str">
        <x:v>PH-RC-6</x:v>
      </x:c>
      <x:c r="C2329" t="str">
        <x:v>PHYSICAL</x:v>
      </x:c>
      <x:c r="D2329" t="str">
        <x:v>robot corridor</x:v>
      </x:c>
      <x:c r="E2329" t="n">
        <x:f>IF('Robot Corridor'!I12&lt;&gt;"",1,0)</x:f>
        <x:v>0</x:v>
      </x:c>
      <x:c r="F2329" t="n">
        <x:v>1</x:v>
      </x:c>
      <x:c r="G2329" t="str">
        <x:v>equals</x:v>
      </x:c>
      <x:c r="H2329" t="str">
        <x:v>independent physical acceptance</x:v>
      </x:c>
      <x:c r="I2329" t="str">
        <x:f>IF(E2329=1,"PASS","OPEN")</x:f>
        <x:v>OPEN</x:v>
      </x:c>
    </x:row>
    <x:row r="2330">
      <x:c r="B2330" t="str">
        <x:v>PH-RC-7</x:v>
      </x:c>
      <x:c r="C2330" t="str">
        <x:v>PHYSICAL</x:v>
      </x:c>
      <x:c r="D2330" t="str">
        <x:v>robot corridor</x:v>
      </x:c>
      <x:c r="E2330" t="n">
        <x:f>IF('Robot Corridor'!I13&lt;&gt;"",1,0)</x:f>
        <x:v>0</x:v>
      </x:c>
      <x:c r="F2330" t="n">
        <x:v>1</x:v>
      </x:c>
      <x:c r="G2330" t="str">
        <x:v>equals</x:v>
      </x:c>
      <x:c r="H2330" t="str">
        <x:v>independent physical acceptance</x:v>
      </x:c>
      <x:c r="I2330" t="str">
        <x:f>IF(E2330=1,"PASS","OPEN")</x:f>
        <x:v>OPEN</x:v>
      </x:c>
    </x:row>
    <x:row r="2331">
      <x:c r="B2331" t="str">
        <x:v>PH-RC-8</x:v>
      </x:c>
      <x:c r="C2331" t="str">
        <x:v>PHYSICAL</x:v>
      </x:c>
      <x:c r="D2331" t="str">
        <x:v>robot corridor</x:v>
      </x:c>
      <x:c r="E2331" t="n">
        <x:f>IF('Robot Corridor'!I14&lt;&gt;"",1,0)</x:f>
        <x:v>0</x:v>
      </x:c>
      <x:c r="F2331" t="n">
        <x:v>1</x:v>
      </x:c>
      <x:c r="G2331" t="str">
        <x:v>equals</x:v>
      </x:c>
      <x:c r="H2331" t="str">
        <x:v>independent physical acceptance</x:v>
      </x:c>
      <x:c r="I2331" t="str">
        <x:f>IF(E2331=1,"PASS","OPEN")</x:f>
        <x:v>OPEN</x:v>
      </x:c>
    </x:row>
    <x:row r="2332">
      <x:c r="B2332" t="str">
        <x:v>PH-RC-9</x:v>
      </x:c>
      <x:c r="C2332" t="str">
        <x:v>PHYSICAL</x:v>
      </x:c>
      <x:c r="D2332" t="str">
        <x:v>robot corridor</x:v>
      </x:c>
      <x:c r="E2332" t="n">
        <x:f>IF('Robot Corridor'!I15&lt;&gt;"",1,0)</x:f>
        <x:v>0</x:v>
      </x:c>
      <x:c r="F2332" t="n">
        <x:v>1</x:v>
      </x:c>
      <x:c r="G2332" t="str">
        <x:v>equals</x:v>
      </x:c>
      <x:c r="H2332" t="str">
        <x:v>independent physical acceptance</x:v>
      </x:c>
      <x:c r="I2332" t="str">
        <x:f>IF(E2332=1,"PASS","OPEN")</x:f>
        <x:v>OPEN</x:v>
      </x:c>
    </x:row>
    <x:row r="2333">
      <x:c r="B2333" t="str">
        <x:v>PH-RC-10</x:v>
      </x:c>
      <x:c r="C2333" t="str">
        <x:v>PHYSICAL</x:v>
      </x:c>
      <x:c r="D2333" t="str">
        <x:v>robot corridor</x:v>
      </x:c>
      <x:c r="E2333" t="n">
        <x:f>IF('Robot Corridor'!I16&lt;&gt;"",1,0)</x:f>
        <x:v>0</x:v>
      </x:c>
      <x:c r="F2333" t="n">
        <x:v>1</x:v>
      </x:c>
      <x:c r="G2333" t="str">
        <x:v>equals</x:v>
      </x:c>
      <x:c r="H2333" t="str">
        <x:v>independent physical acceptance</x:v>
      </x:c>
      <x:c r="I2333" t="str">
        <x:f>IF(E2333=1,"PASS","OPEN")</x:f>
        <x:v>OPEN</x:v>
      </x:c>
    </x:row>
    <x:row r="2334">
      <x:c r="B2334" t="str">
        <x:v>PH-RC-11</x:v>
      </x:c>
      <x:c r="C2334" t="str">
        <x:v>PHYSICAL</x:v>
      </x:c>
      <x:c r="D2334" t="str">
        <x:v>robot corridor</x:v>
      </x:c>
      <x:c r="E2334" t="n">
        <x:f>IF('Robot Corridor'!I17&lt;&gt;"",1,0)</x:f>
        <x:v>0</x:v>
      </x:c>
      <x:c r="F2334" t="n">
        <x:v>1</x:v>
      </x:c>
      <x:c r="G2334" t="str">
        <x:v>equals</x:v>
      </x:c>
      <x:c r="H2334" t="str">
        <x:v>independent physical acceptance</x:v>
      </x:c>
      <x:c r="I2334" t="str">
        <x:f>IF(E2334=1,"PASS","OPEN")</x:f>
        <x:v>OPEN</x:v>
      </x:c>
    </x:row>
    <x:row r="2335">
      <x:c r="B2335" t="str">
        <x:v>PH-RC-12</x:v>
      </x:c>
      <x:c r="C2335" t="str">
        <x:v>PHYSICAL</x:v>
      </x:c>
      <x:c r="D2335" t="str">
        <x:v>robot corridor</x:v>
      </x:c>
      <x:c r="E2335" t="n">
        <x:f>IF('Robot Corridor'!I18&lt;&gt;"",1,0)</x:f>
        <x:v>0</x:v>
      </x:c>
      <x:c r="F2335" t="n">
        <x:v>1</x:v>
      </x:c>
      <x:c r="G2335" t="str">
        <x:v>equals</x:v>
      </x:c>
      <x:c r="H2335" t="str">
        <x:v>independent physical acceptance</x:v>
      </x:c>
      <x:c r="I2335" t="str">
        <x:f>IF(E2335=1,"PASS","OPEN")</x:f>
        <x:v>OPEN</x:v>
      </x:c>
    </x:row>
    <x:row r="2336">
      <x:c r="B2336" t="str">
        <x:v>PH-RC-13</x:v>
      </x:c>
      <x:c r="C2336" t="str">
        <x:v>PHYSICAL</x:v>
      </x:c>
      <x:c r="D2336" t="str">
        <x:v>robot corridor</x:v>
      </x:c>
      <x:c r="E2336" t="n">
        <x:f>IF('Robot Corridor'!I19&lt;&gt;"",1,0)</x:f>
        <x:v>0</x:v>
      </x:c>
      <x:c r="F2336" t="n">
        <x:v>1</x:v>
      </x:c>
      <x:c r="G2336" t="str">
        <x:v>equals</x:v>
      </x:c>
      <x:c r="H2336" t="str">
        <x:v>independent physical acceptance</x:v>
      </x:c>
      <x:c r="I2336" t="str">
        <x:f>IF(E2336=1,"PASS","OPEN")</x:f>
        <x:v>OPEN</x:v>
      </x:c>
    </x:row>
    <x:row r="2337">
      <x:c r="B2337" t="str">
        <x:v>PH-RC-14</x:v>
      </x:c>
      <x:c r="C2337" t="str">
        <x:v>PHYSICAL</x:v>
      </x:c>
      <x:c r="D2337" t="str">
        <x:v>robot corridor</x:v>
      </x:c>
      <x:c r="E2337" t="n">
        <x:f>IF('Robot Corridor'!I20&lt;&gt;"",1,0)</x:f>
        <x:v>0</x:v>
      </x:c>
      <x:c r="F2337" t="n">
        <x:v>1</x:v>
      </x:c>
      <x:c r="G2337" t="str">
        <x:v>equals</x:v>
      </x:c>
      <x:c r="H2337" t="str">
        <x:v>independent physical acceptance</x:v>
      </x:c>
      <x:c r="I2337" t="str">
        <x:f>IF(E2337=1,"PASS","OPEN")</x:f>
        <x:v>OPEN</x:v>
      </x:c>
    </x:row>
    <x:row r="2338">
      <x:c r="B2338" t="str">
        <x:v>PH-RC-15</x:v>
      </x:c>
      <x:c r="C2338" t="str">
        <x:v>PHYSICAL</x:v>
      </x:c>
      <x:c r="D2338" t="str">
        <x:v>robot corridor</x:v>
      </x:c>
      <x:c r="E2338" t="n">
        <x:f>IF('Robot Corridor'!I21&lt;&gt;"",1,0)</x:f>
        <x:v>0</x:v>
      </x:c>
      <x:c r="F2338" t="n">
        <x:v>1</x:v>
      </x:c>
      <x:c r="G2338" t="str">
        <x:v>equals</x:v>
      </x:c>
      <x:c r="H2338" t="str">
        <x:v>independent physical acceptance</x:v>
      </x:c>
      <x:c r="I2338" t="str">
        <x:f>IF(E2338=1,"PASS","OPEN")</x:f>
        <x:v>OPEN</x:v>
      </x:c>
    </x:row>
    <x:row r="2339">
      <x:c r="B2339" t="str">
        <x:v>PH-RC-16</x:v>
      </x:c>
      <x:c r="C2339" t="str">
        <x:v>PHYSICAL</x:v>
      </x:c>
      <x:c r="D2339" t="str">
        <x:v>robot corridor</x:v>
      </x:c>
      <x:c r="E2339" t="n">
        <x:f>IF('Robot Corridor'!I22&lt;&gt;"",1,0)</x:f>
        <x:v>0</x:v>
      </x:c>
      <x:c r="F2339" t="n">
        <x:v>1</x:v>
      </x:c>
      <x:c r="G2339" t="str">
        <x:v>equals</x:v>
      </x:c>
      <x:c r="H2339" t="str">
        <x:v>independent physical acceptance</x:v>
      </x:c>
      <x:c r="I2339" t="str">
        <x:f>IF(E2339=1,"PASS","OPEN")</x:f>
        <x:v>OPEN</x:v>
      </x:c>
    </x:row>
    <x:row r="2340">
      <x:c r="B2340" t="str">
        <x:v>PH-RC-17</x:v>
      </x:c>
      <x:c r="C2340" t="str">
        <x:v>PHYSICAL</x:v>
      </x:c>
      <x:c r="D2340" t="str">
        <x:v>robot corridor</x:v>
      </x:c>
      <x:c r="E2340" t="n">
        <x:f>IF('Robot Corridor'!I23&lt;&gt;"",1,0)</x:f>
        <x:v>0</x:v>
      </x:c>
      <x:c r="F2340" t="n">
        <x:v>1</x:v>
      </x:c>
      <x:c r="G2340" t="str">
        <x:v>equals</x:v>
      </x:c>
      <x:c r="H2340" t="str">
        <x:v>independent physical acceptance</x:v>
      </x:c>
      <x:c r="I2340" t="str">
        <x:f>IF(E2340=1,"PASS","OPEN")</x:f>
        <x:v>OPEN</x:v>
      </x:c>
    </x:row>
    <x:row r="2341">
      <x:c r="B2341" t="str">
        <x:v>PH-RC-18</x:v>
      </x:c>
      <x:c r="C2341" t="str">
        <x:v>PHYSICAL</x:v>
      </x:c>
      <x:c r="D2341" t="str">
        <x:v>robot corridor</x:v>
      </x:c>
      <x:c r="E2341" t="n">
        <x:f>IF('Robot Corridor'!I24&lt;&gt;"",1,0)</x:f>
        <x:v>0</x:v>
      </x:c>
      <x:c r="F2341" t="n">
        <x:v>1</x:v>
      </x:c>
      <x:c r="G2341" t="str">
        <x:v>equals</x:v>
      </x:c>
      <x:c r="H2341" t="str">
        <x:v>independent physical acceptance</x:v>
      </x:c>
      <x:c r="I2341" t="str">
        <x:f>IF(E2341=1,"PASS","OPEN")</x:f>
        <x:v>OPEN</x:v>
      </x:c>
    </x:row>
    <x:row r="2342">
      <x:c r="B2342" t="str">
        <x:v>PH-MF-1</x:v>
      </x:c>
      <x:c r="C2342" t="str">
        <x:v>PHYSICAL</x:v>
      </x:c>
      <x:c r="D2342" t="str">
        <x:v>sensor function</x:v>
      </x:c>
      <x:c r="E2342" t="n">
        <x:f>IF('Sensor Plan'!I7&lt;&gt;"",1,0)</x:f>
        <x:v>0</x:v>
      </x:c>
      <x:c r="F2342" t="n">
        <x:v>1</x:v>
      </x:c>
      <x:c r="G2342" t="str">
        <x:v>equals</x:v>
      </x:c>
      <x:c r="H2342" t="str">
        <x:v>independent physical acceptance</x:v>
      </x:c>
      <x:c r="I2342" t="str">
        <x:f>IF(E2342=1,"PASS","OPEN")</x:f>
        <x:v>OPEN</x:v>
      </x:c>
    </x:row>
    <x:row r="2343">
      <x:c r="B2343" t="str">
        <x:v>PH-MF-2</x:v>
      </x:c>
      <x:c r="C2343" t="str">
        <x:v>PHYSICAL</x:v>
      </x:c>
      <x:c r="D2343" t="str">
        <x:v>sensor function</x:v>
      </x:c>
      <x:c r="E2343" t="n">
        <x:f>IF('Sensor Plan'!I8&lt;&gt;"",1,0)</x:f>
        <x:v>0</x:v>
      </x:c>
      <x:c r="F2343" t="n">
        <x:v>1</x:v>
      </x:c>
      <x:c r="G2343" t="str">
        <x:v>equals</x:v>
      </x:c>
      <x:c r="H2343" t="str">
        <x:v>independent physical acceptance</x:v>
      </x:c>
      <x:c r="I2343" t="str">
        <x:f>IF(E2343=1,"PASS","OPEN")</x:f>
        <x:v>OPEN</x:v>
      </x:c>
    </x:row>
    <x:row r="2344">
      <x:c r="B2344" t="str">
        <x:v>PH-MF-3</x:v>
      </x:c>
      <x:c r="C2344" t="str">
        <x:v>PHYSICAL</x:v>
      </x:c>
      <x:c r="D2344" t="str">
        <x:v>sensor function</x:v>
      </x:c>
      <x:c r="E2344" t="n">
        <x:f>IF('Sensor Plan'!I9&lt;&gt;"",1,0)</x:f>
        <x:v>0</x:v>
      </x:c>
      <x:c r="F2344" t="n">
        <x:v>1</x:v>
      </x:c>
      <x:c r="G2344" t="str">
        <x:v>equals</x:v>
      </x:c>
      <x:c r="H2344" t="str">
        <x:v>independent physical acceptance</x:v>
      </x:c>
      <x:c r="I2344" t="str">
        <x:f>IF(E2344=1,"PASS","OPEN")</x:f>
        <x:v>OPEN</x:v>
      </x:c>
    </x:row>
    <x:row r="2345">
      <x:c r="B2345" t="str">
        <x:v>PH-MF-4</x:v>
      </x:c>
      <x:c r="C2345" t="str">
        <x:v>PHYSICAL</x:v>
      </x:c>
      <x:c r="D2345" t="str">
        <x:v>sensor function</x:v>
      </x:c>
      <x:c r="E2345" t="n">
        <x:f>IF('Sensor Plan'!I10&lt;&gt;"",1,0)</x:f>
        <x:v>0</x:v>
      </x:c>
      <x:c r="F2345" t="n">
        <x:v>1</x:v>
      </x:c>
      <x:c r="G2345" t="str">
        <x:v>equals</x:v>
      </x:c>
      <x:c r="H2345" t="str">
        <x:v>independent physical acceptance</x:v>
      </x:c>
      <x:c r="I2345" t="str">
        <x:f>IF(E2345=1,"PASS","OPEN")</x:f>
        <x:v>OPEN</x:v>
      </x:c>
    </x:row>
    <x:row r="2346">
      <x:c r="B2346" t="str">
        <x:v>PH-MF-5</x:v>
      </x:c>
      <x:c r="C2346" t="str">
        <x:v>PHYSICAL</x:v>
      </x:c>
      <x:c r="D2346" t="str">
        <x:v>sensor function</x:v>
      </x:c>
      <x:c r="E2346" t="n">
        <x:f>IF('Sensor Plan'!I11&lt;&gt;"",1,0)</x:f>
        <x:v>0</x:v>
      </x:c>
      <x:c r="F2346" t="n">
        <x:v>1</x:v>
      </x:c>
      <x:c r="G2346" t="str">
        <x:v>equals</x:v>
      </x:c>
      <x:c r="H2346" t="str">
        <x:v>independent physical acceptance</x:v>
      </x:c>
      <x:c r="I2346" t="str">
        <x:f>IF(E2346=1,"PASS","OPEN")</x:f>
        <x:v>OPEN</x:v>
      </x:c>
    </x:row>
    <x:row r="2347">
      <x:c r="B2347" t="str">
        <x:v>PH-MF-6</x:v>
      </x:c>
      <x:c r="C2347" t="str">
        <x:v>PHYSICAL</x:v>
      </x:c>
      <x:c r="D2347" t="str">
        <x:v>sensor function</x:v>
      </x:c>
      <x:c r="E2347" t="n">
        <x:f>IF('Sensor Plan'!I12&lt;&gt;"",1,0)</x:f>
        <x:v>0</x:v>
      </x:c>
      <x:c r="F2347" t="n">
        <x:v>1</x:v>
      </x:c>
      <x:c r="G2347" t="str">
        <x:v>equals</x:v>
      </x:c>
      <x:c r="H2347" t="str">
        <x:v>independent physical acceptance</x:v>
      </x:c>
      <x:c r="I2347" t="str">
        <x:f>IF(E2347=1,"PASS","OPEN")</x:f>
        <x:v>OPEN</x:v>
      </x:c>
    </x:row>
    <x:row r="2348">
      <x:c r="B2348" t="str">
        <x:v>PH-MF-7</x:v>
      </x:c>
      <x:c r="C2348" t="str">
        <x:v>PHYSICAL</x:v>
      </x:c>
      <x:c r="D2348" t="str">
        <x:v>sensor function</x:v>
      </x:c>
      <x:c r="E2348" t="n">
        <x:f>IF('Sensor Plan'!I13&lt;&gt;"",1,0)</x:f>
        <x:v>0</x:v>
      </x:c>
      <x:c r="F2348" t="n">
        <x:v>1</x:v>
      </x:c>
      <x:c r="G2348" t="str">
        <x:v>equals</x:v>
      </x:c>
      <x:c r="H2348" t="str">
        <x:v>independent physical acceptance</x:v>
      </x:c>
      <x:c r="I2348" t="str">
        <x:f>IF(E2348=1,"PASS","OPEN")</x:f>
        <x:v>OPEN</x:v>
      </x:c>
    </x:row>
    <x:row r="2349">
      <x:c r="B2349" t="str">
        <x:v>PH-MF-8</x:v>
      </x:c>
      <x:c r="C2349" t="str">
        <x:v>PHYSICAL</x:v>
      </x:c>
      <x:c r="D2349" t="str">
        <x:v>sensor function</x:v>
      </x:c>
      <x:c r="E2349" t="n">
        <x:f>IF('Sensor Plan'!I14&lt;&gt;"",1,0)</x:f>
        <x:v>0</x:v>
      </x:c>
      <x:c r="F2349" t="n">
        <x:v>1</x:v>
      </x:c>
      <x:c r="G2349" t="str">
        <x:v>equals</x:v>
      </x:c>
      <x:c r="H2349" t="str">
        <x:v>independent physical acceptance</x:v>
      </x:c>
      <x:c r="I2349" t="str">
        <x:f>IF(E2349=1,"PASS","OPEN")</x:f>
        <x:v>OPEN</x:v>
      </x:c>
    </x:row>
    <x:row r="2350">
      <x:c r="B2350" t="str">
        <x:v>PH-MF-9</x:v>
      </x:c>
      <x:c r="C2350" t="str">
        <x:v>PHYSICAL</x:v>
      </x:c>
      <x:c r="D2350" t="str">
        <x:v>sensor function</x:v>
      </x:c>
      <x:c r="E2350" t="n">
        <x:f>IF('Sensor Plan'!I15&lt;&gt;"",1,0)</x:f>
        <x:v>0</x:v>
      </x:c>
      <x:c r="F2350" t="n">
        <x:v>1</x:v>
      </x:c>
      <x:c r="G2350" t="str">
        <x:v>equals</x:v>
      </x:c>
      <x:c r="H2350" t="str">
        <x:v>independent physical acceptance</x:v>
      </x:c>
      <x:c r="I2350" t="str">
        <x:f>IF(E2350=1,"PASS","OPEN")</x:f>
        <x:v>OPEN</x:v>
      </x:c>
    </x:row>
    <x:row r="2351">
      <x:c r="B2351" t="str">
        <x:v>PH-MF-10</x:v>
      </x:c>
      <x:c r="C2351" t="str">
        <x:v>PHYSICAL</x:v>
      </x:c>
      <x:c r="D2351" t="str">
        <x:v>sensor function</x:v>
      </x:c>
      <x:c r="E2351" t="n">
        <x:f>IF('Sensor Plan'!I16&lt;&gt;"",1,0)</x:f>
        <x:v>0</x:v>
      </x:c>
      <x:c r="F2351" t="n">
        <x:v>1</x:v>
      </x:c>
      <x:c r="G2351" t="str">
        <x:v>equals</x:v>
      </x:c>
      <x:c r="H2351" t="str">
        <x:v>independent physical acceptance</x:v>
      </x:c>
      <x:c r="I2351" t="str">
        <x:f>IF(E2351=1,"PASS","OPEN")</x:f>
        <x:v>OPEN</x:v>
      </x:c>
    </x:row>
    <x:row r="2352">
      <x:c r="B2352" t="str">
        <x:v>PH-MF-11</x:v>
      </x:c>
      <x:c r="C2352" t="str">
        <x:v>PHYSICAL</x:v>
      </x:c>
      <x:c r="D2352" t="str">
        <x:v>sensor function</x:v>
      </x:c>
      <x:c r="E2352" t="n">
        <x:f>IF('Sensor Plan'!I17&lt;&gt;"",1,0)</x:f>
        <x:v>0</x:v>
      </x:c>
      <x:c r="F2352" t="n">
        <x:v>1</x:v>
      </x:c>
      <x:c r="G2352" t="str">
        <x:v>equals</x:v>
      </x:c>
      <x:c r="H2352" t="str">
        <x:v>independent physical acceptance</x:v>
      </x:c>
      <x:c r="I2352" t="str">
        <x:f>IF(E2352=1,"PASS","OPEN")</x:f>
        <x:v>OPEN</x:v>
      </x:c>
    </x:row>
    <x:row r="2353">
      <x:c r="B2353" t="str">
        <x:v>PH-MF-12</x:v>
      </x:c>
      <x:c r="C2353" t="str">
        <x:v>PHYSICAL</x:v>
      </x:c>
      <x:c r="D2353" t="str">
        <x:v>sensor function</x:v>
      </x:c>
      <x:c r="E2353" t="n">
        <x:f>IF('Sensor Plan'!I18&lt;&gt;"",1,0)</x:f>
        <x:v>0</x:v>
      </x:c>
      <x:c r="F2353" t="n">
        <x:v>1</x:v>
      </x:c>
      <x:c r="G2353" t="str">
        <x:v>equals</x:v>
      </x:c>
      <x:c r="H2353" t="str">
        <x:v>independent physical acceptance</x:v>
      </x:c>
      <x:c r="I2353" t="str">
        <x:f>IF(E2353=1,"PASS","OPEN")</x:f>
        <x:v>OPEN</x:v>
      </x:c>
    </x:row>
    <x:row r="2354">
      <x:c r="B2354" t="str">
        <x:v>PH-MF-13</x:v>
      </x:c>
      <x:c r="C2354" t="str">
        <x:v>PHYSICAL</x:v>
      </x:c>
      <x:c r="D2354" t="str">
        <x:v>sensor function</x:v>
      </x:c>
      <x:c r="E2354" t="n">
        <x:f>IF('Sensor Plan'!I19&lt;&gt;"",1,0)</x:f>
        <x:v>0</x:v>
      </x:c>
      <x:c r="F2354" t="n">
        <x:v>1</x:v>
      </x:c>
      <x:c r="G2354" t="str">
        <x:v>equals</x:v>
      </x:c>
      <x:c r="H2354" t="str">
        <x:v>independent physical acceptance</x:v>
      </x:c>
      <x:c r="I2354" t="str">
        <x:f>IF(E2354=1,"PASS","OPEN")</x:f>
        <x:v>OPEN</x:v>
      </x:c>
    </x:row>
    <x:row r="2355">
      <x:c r="B2355" t="str">
        <x:v>PH-MF-14</x:v>
      </x:c>
      <x:c r="C2355" t="str">
        <x:v>PHYSICAL</x:v>
      </x:c>
      <x:c r="D2355" t="str">
        <x:v>sensor function</x:v>
      </x:c>
      <x:c r="E2355" t="n">
        <x:f>IF('Sensor Plan'!I20&lt;&gt;"",1,0)</x:f>
        <x:v>0</x:v>
      </x:c>
      <x:c r="F2355" t="n">
        <x:v>1</x:v>
      </x:c>
      <x:c r="G2355" t="str">
        <x:v>equals</x:v>
      </x:c>
      <x:c r="H2355" t="str">
        <x:v>independent physical acceptance</x:v>
      </x:c>
      <x:c r="I2355" t="str">
        <x:f>IF(E2355=1,"PASS","OPEN")</x:f>
        <x:v>OPEN</x:v>
      </x:c>
    </x:row>
    <x:row r="2356">
      <x:c r="B2356" t="str">
        <x:v>PH-MF-15</x:v>
      </x:c>
      <x:c r="C2356" t="str">
        <x:v>PHYSICAL</x:v>
      </x:c>
      <x:c r="D2356" t="str">
        <x:v>sensor function</x:v>
      </x:c>
      <x:c r="E2356" t="n">
        <x:f>IF('Sensor Plan'!I21&lt;&gt;"",1,0)</x:f>
        <x:v>0</x:v>
      </x:c>
      <x:c r="F2356" t="n">
        <x:v>1</x:v>
      </x:c>
      <x:c r="G2356" t="str">
        <x:v>equals</x:v>
      </x:c>
      <x:c r="H2356" t="str">
        <x:v>independent physical acceptance</x:v>
      </x:c>
      <x:c r="I2356" t="str">
        <x:f>IF(E2356=1,"PASS","OPEN")</x:f>
        <x:v>OPEN</x:v>
      </x:c>
    </x:row>
    <x:row r="2357">
      <x:c r="B2357" t="str">
        <x:v>PH-MF-16</x:v>
      </x:c>
      <x:c r="C2357" t="str">
        <x:v>PHYSICAL</x:v>
      </x:c>
      <x:c r="D2357" t="str">
        <x:v>sensor function</x:v>
      </x:c>
      <x:c r="E2357" t="n">
        <x:f>IF('Sensor Plan'!I22&lt;&gt;"",1,0)</x:f>
        <x:v>0</x:v>
      </x:c>
      <x:c r="F2357" t="n">
        <x:v>1</x:v>
      </x:c>
      <x:c r="G2357" t="str">
        <x:v>equals</x:v>
      </x:c>
      <x:c r="H2357" t="str">
        <x:v>independent physical acceptance</x:v>
      </x:c>
      <x:c r="I2357" t="str">
        <x:f>IF(E2357=1,"PASS","OPEN")</x:f>
        <x:v>OPEN</x:v>
      </x:c>
    </x:row>
    <x:row r="2358">
      <x:c r="B2358" t="str">
        <x:v>PH-MF-17</x:v>
      </x:c>
      <x:c r="C2358" t="str">
        <x:v>PHYSICAL</x:v>
      </x:c>
      <x:c r="D2358" t="str">
        <x:v>sensor function</x:v>
      </x:c>
      <x:c r="E2358" t="n">
        <x:f>IF('Sensor Plan'!I23&lt;&gt;"",1,0)</x:f>
        <x:v>0</x:v>
      </x:c>
      <x:c r="F2358" t="n">
        <x:v>1</x:v>
      </x:c>
      <x:c r="G2358" t="str">
        <x:v>equals</x:v>
      </x:c>
      <x:c r="H2358" t="str">
        <x:v>independent physical acceptance</x:v>
      </x:c>
      <x:c r="I2358" t="str">
        <x:f>IF(E2358=1,"PASS","OPEN")</x:f>
        <x:v>OPEN</x:v>
      </x:c>
    </x:row>
    <x:row r="2359">
      <x:c r="B2359" t="str">
        <x:v>PH-MF-18</x:v>
      </x:c>
      <x:c r="C2359" t="str">
        <x:v>PHYSICAL</x:v>
      </x:c>
      <x:c r="D2359" t="str">
        <x:v>sensor function</x:v>
      </x:c>
      <x:c r="E2359" t="n">
        <x:f>IF('Sensor Plan'!I24&lt;&gt;"",1,0)</x:f>
        <x:v>0</x:v>
      </x:c>
      <x:c r="F2359" t="n">
        <x:v>1</x:v>
      </x:c>
      <x:c r="G2359" t="str">
        <x:v>equals</x:v>
      </x:c>
      <x:c r="H2359" t="str">
        <x:v>independent physical acceptance</x:v>
      </x:c>
      <x:c r="I2359" t="str">
        <x:f>IF(E2359=1,"PASS","OPEN")</x:f>
        <x:v>OPEN</x:v>
      </x:c>
    </x:row>
    <x:row r="2360">
      <x:c r="B2360" t="str">
        <x:v>PH-MF-19</x:v>
      </x:c>
      <x:c r="C2360" t="str">
        <x:v>PHYSICAL</x:v>
      </x:c>
      <x:c r="D2360" t="str">
        <x:v>sensor function</x:v>
      </x:c>
      <x:c r="E2360" t="n">
        <x:f>IF('Sensor Plan'!I25&lt;&gt;"",1,0)</x:f>
        <x:v>0</x:v>
      </x:c>
      <x:c r="F2360" t="n">
        <x:v>1</x:v>
      </x:c>
      <x:c r="G2360" t="str">
        <x:v>equals</x:v>
      </x:c>
      <x:c r="H2360" t="str">
        <x:v>independent physical acceptance</x:v>
      </x:c>
      <x:c r="I2360" t="str">
        <x:f>IF(E2360=1,"PASS","OPEN")</x:f>
        <x:v>OPEN</x:v>
      </x:c>
    </x:row>
    <x:row r="2361">
      <x:c r="B2361" t="str">
        <x:v>PH-MF-20</x:v>
      </x:c>
      <x:c r="C2361" t="str">
        <x:v>PHYSICAL</x:v>
      </x:c>
      <x:c r="D2361" t="str">
        <x:v>sensor function</x:v>
      </x:c>
      <x:c r="E2361" t="n">
        <x:f>IF('Sensor Plan'!I26&lt;&gt;"",1,0)</x:f>
        <x:v>0</x:v>
      </x:c>
      <x:c r="F2361" t="n">
        <x:v>1</x:v>
      </x:c>
      <x:c r="G2361" t="str">
        <x:v>equals</x:v>
      </x:c>
      <x:c r="H2361" t="str">
        <x:v>independent physical acceptance</x:v>
      </x:c>
      <x:c r="I2361" t="str">
        <x:f>IF(E2361=1,"PASS","OPEN")</x:f>
        <x:v>OPEN</x:v>
      </x:c>
    </x:row>
    <x:row r="2362">
      <x:c r="B2362" t="str">
        <x:v>PH-MF-21</x:v>
      </x:c>
      <x:c r="C2362" t="str">
        <x:v>PHYSICAL</x:v>
      </x:c>
      <x:c r="D2362" t="str">
        <x:v>sensor function</x:v>
      </x:c>
      <x:c r="E2362" t="n">
        <x:f>IF('Sensor Plan'!I27&lt;&gt;"",1,0)</x:f>
        <x:v>0</x:v>
      </x:c>
      <x:c r="F2362" t="n">
        <x:v>1</x:v>
      </x:c>
      <x:c r="G2362" t="str">
        <x:v>equals</x:v>
      </x:c>
      <x:c r="H2362" t="str">
        <x:v>independent physical acceptance</x:v>
      </x:c>
      <x:c r="I2362" t="str">
        <x:f>IF(E2362=1,"PASS","OPEN")</x:f>
        <x:v>OPEN</x:v>
      </x:c>
    </x:row>
    <x:row r="2363">
      <x:c r="B2363" t="str">
        <x:v>PH-MF-22</x:v>
      </x:c>
      <x:c r="C2363" t="str">
        <x:v>PHYSICAL</x:v>
      </x:c>
      <x:c r="D2363" t="str">
        <x:v>sensor function</x:v>
      </x:c>
      <x:c r="E2363" t="n">
        <x:f>IF('Sensor Plan'!I28&lt;&gt;"",1,0)</x:f>
        <x:v>0</x:v>
      </x:c>
      <x:c r="F2363" t="n">
        <x:v>1</x:v>
      </x:c>
      <x:c r="G2363" t="str">
        <x:v>equals</x:v>
      </x:c>
      <x:c r="H2363" t="str">
        <x:v>independent physical acceptance</x:v>
      </x:c>
      <x:c r="I2363" t="str">
        <x:f>IF(E2363=1,"PASS","OPEN")</x:f>
        <x:v>OPEN</x:v>
      </x:c>
    </x:row>
    <x:row r="2364">
      <x:c r="B2364" t="str">
        <x:v>PH-MF-23</x:v>
      </x:c>
      <x:c r="C2364" t="str">
        <x:v>PHYSICAL</x:v>
      </x:c>
      <x:c r="D2364" t="str">
        <x:v>sensor function</x:v>
      </x:c>
      <x:c r="E2364" t="n">
        <x:f>IF('Sensor Plan'!I29&lt;&gt;"",1,0)</x:f>
        <x:v>0</x:v>
      </x:c>
      <x:c r="F2364" t="n">
        <x:v>1</x:v>
      </x:c>
      <x:c r="G2364" t="str">
        <x:v>equals</x:v>
      </x:c>
      <x:c r="H2364" t="str">
        <x:v>independent physical acceptance</x:v>
      </x:c>
      <x:c r="I2364" t="str">
        <x:f>IF(E2364=1,"PASS","OPEN")</x:f>
        <x:v>OPEN</x:v>
      </x:c>
    </x:row>
    <x:row r="2365">
      <x:c r="B2365" t="str">
        <x:v>PH-MF-24</x:v>
      </x:c>
      <x:c r="C2365" t="str">
        <x:v>PHYSICAL</x:v>
      </x:c>
      <x:c r="D2365" t="str">
        <x:v>sensor function</x:v>
      </x:c>
      <x:c r="E2365" t="n">
        <x:f>IF('Sensor Plan'!I30&lt;&gt;"",1,0)</x:f>
        <x:v>0</x:v>
      </x:c>
      <x:c r="F2365" t="n">
        <x:v>1</x:v>
      </x:c>
      <x:c r="G2365" t="str">
        <x:v>equals</x:v>
      </x:c>
      <x:c r="H2365" t="str">
        <x:v>independent physical acceptance</x:v>
      </x:c>
      <x:c r="I2365" t="str">
        <x:f>IF(E2365=1,"PASS","OPEN")</x:f>
        <x:v>OPEN</x:v>
      </x:c>
    </x:row>
    <x:row r="2366">
      <x:c r="B2366" t="str">
        <x:v>PH-SF-1</x:v>
      </x:c>
      <x:c r="C2366" t="str">
        <x:v>PHYSICAL</x:v>
      </x:c>
      <x:c r="D2366" t="str">
        <x:v>safeing path</x:v>
      </x:c>
      <x:c r="E2366" t="n">
        <x:f>IF('Safety Paths'!G7&lt;&gt;"",1,0)</x:f>
        <x:v>0</x:v>
      </x:c>
      <x:c r="F2366" t="n">
        <x:v>1</x:v>
      </x:c>
      <x:c r="G2366" t="str">
        <x:v>equals</x:v>
      </x:c>
      <x:c r="H2366" t="str">
        <x:v>independent physical acceptance</x:v>
      </x:c>
      <x:c r="I2366" t="str">
        <x:f>IF(E2366=1,"PASS","OPEN")</x:f>
        <x:v>OPEN</x:v>
      </x:c>
    </x:row>
    <x:row r="2367">
      <x:c r="B2367" t="str">
        <x:v>PH-SF-2</x:v>
      </x:c>
      <x:c r="C2367" t="str">
        <x:v>PHYSICAL</x:v>
      </x:c>
      <x:c r="D2367" t="str">
        <x:v>safeing path</x:v>
      </x:c>
      <x:c r="E2367" t="n">
        <x:f>IF('Safety Paths'!G8&lt;&gt;"",1,0)</x:f>
        <x:v>0</x:v>
      </x:c>
      <x:c r="F2367" t="n">
        <x:v>1</x:v>
      </x:c>
      <x:c r="G2367" t="str">
        <x:v>equals</x:v>
      </x:c>
      <x:c r="H2367" t="str">
        <x:v>independent physical acceptance</x:v>
      </x:c>
      <x:c r="I2367" t="str">
        <x:f>IF(E2367=1,"PASS","OPEN")</x:f>
        <x:v>OPEN</x:v>
      </x:c>
    </x:row>
    <x:row r="2368">
      <x:c r="B2368" t="str">
        <x:v>PH-SF-3</x:v>
      </x:c>
      <x:c r="C2368" t="str">
        <x:v>PHYSICAL</x:v>
      </x:c>
      <x:c r="D2368" t="str">
        <x:v>safeing path</x:v>
      </x:c>
      <x:c r="E2368" t="n">
        <x:f>IF('Safety Paths'!G9&lt;&gt;"",1,0)</x:f>
        <x:v>0</x:v>
      </x:c>
      <x:c r="F2368" t="n">
        <x:v>1</x:v>
      </x:c>
      <x:c r="G2368" t="str">
        <x:v>equals</x:v>
      </x:c>
      <x:c r="H2368" t="str">
        <x:v>independent physical acceptance</x:v>
      </x:c>
      <x:c r="I2368" t="str">
        <x:f>IF(E2368=1,"PASS","OPEN")</x:f>
        <x:v>OPEN</x:v>
      </x:c>
    </x:row>
    <x:row r="2369">
      <x:c r="B2369" t="str">
        <x:v>PH-SF-4</x:v>
      </x:c>
      <x:c r="C2369" t="str">
        <x:v>PHYSICAL</x:v>
      </x:c>
      <x:c r="D2369" t="str">
        <x:v>safeing path</x:v>
      </x:c>
      <x:c r="E2369" t="n">
        <x:f>IF('Safety Paths'!G10&lt;&gt;"",1,0)</x:f>
        <x:v>0</x:v>
      </x:c>
      <x:c r="F2369" t="n">
        <x:v>1</x:v>
      </x:c>
      <x:c r="G2369" t="str">
        <x:v>equals</x:v>
      </x:c>
      <x:c r="H2369" t="str">
        <x:v>independent physical acceptance</x:v>
      </x:c>
      <x:c r="I2369" t="str">
        <x:f>IF(E2369=1,"PASS","OPEN")</x:f>
        <x:v>OPEN</x:v>
      </x:c>
    </x:row>
    <x:row r="2370">
      <x:c r="B2370" t="str">
        <x:v>PH-SF-5</x:v>
      </x:c>
      <x:c r="C2370" t="str">
        <x:v>PHYSICAL</x:v>
      </x:c>
      <x:c r="D2370" t="str">
        <x:v>safeing path</x:v>
      </x:c>
      <x:c r="E2370" t="n">
        <x:f>IF('Safety Paths'!G11&lt;&gt;"",1,0)</x:f>
        <x:v>0</x:v>
      </x:c>
      <x:c r="F2370" t="n">
        <x:v>1</x:v>
      </x:c>
      <x:c r="G2370" t="str">
        <x:v>equals</x:v>
      </x:c>
      <x:c r="H2370" t="str">
        <x:v>independent physical acceptance</x:v>
      </x:c>
      <x:c r="I2370" t="str">
        <x:f>IF(E2370=1,"PASS","OPEN")</x:f>
        <x:v>OPEN</x:v>
      </x:c>
    </x:row>
    <x:row r="2371">
      <x:c r="B2371" t="str">
        <x:v>PH-SF-6</x:v>
      </x:c>
      <x:c r="C2371" t="str">
        <x:v>PHYSICAL</x:v>
      </x:c>
      <x:c r="D2371" t="str">
        <x:v>safeing path</x:v>
      </x:c>
      <x:c r="E2371" t="n">
        <x:f>IF('Safety Paths'!G12&lt;&gt;"",1,0)</x:f>
        <x:v>0</x:v>
      </x:c>
      <x:c r="F2371" t="n">
        <x:v>1</x:v>
      </x:c>
      <x:c r="G2371" t="str">
        <x:v>equals</x:v>
      </x:c>
      <x:c r="H2371" t="str">
        <x:v>independent physical acceptance</x:v>
      </x:c>
      <x:c r="I2371" t="str">
        <x:f>IF(E2371=1,"PASS","OPEN")</x:f>
        <x:v>OPEN</x:v>
      </x:c>
    </x:row>
    <x:row r="2372">
      <x:c r="B2372" t="str">
        <x:v>PH-SF-7</x:v>
      </x:c>
      <x:c r="C2372" t="str">
        <x:v>PHYSICAL</x:v>
      </x:c>
      <x:c r="D2372" t="str">
        <x:v>safeing path</x:v>
      </x:c>
      <x:c r="E2372" t="n">
        <x:f>IF('Safety Paths'!G13&lt;&gt;"",1,0)</x:f>
        <x:v>0</x:v>
      </x:c>
      <x:c r="F2372" t="n">
        <x:v>1</x:v>
      </x:c>
      <x:c r="G2372" t="str">
        <x:v>equals</x:v>
      </x:c>
      <x:c r="H2372" t="str">
        <x:v>independent physical acceptance</x:v>
      </x:c>
      <x:c r="I2372" t="str">
        <x:f>IF(E2372=1,"PASS","OPEN")</x:f>
        <x:v>OPEN</x:v>
      </x:c>
    </x:row>
    <x:row r="2373">
      <x:c r="B2373" t="str">
        <x:v>PH-SF-8</x:v>
      </x:c>
      <x:c r="C2373" t="str">
        <x:v>PHYSICAL</x:v>
      </x:c>
      <x:c r="D2373" t="str">
        <x:v>safeing path</x:v>
      </x:c>
      <x:c r="E2373" t="n">
        <x:f>IF('Safety Paths'!G14&lt;&gt;"",1,0)</x:f>
        <x:v>0</x:v>
      </x:c>
      <x:c r="F2373" t="n">
        <x:v>1</x:v>
      </x:c>
      <x:c r="G2373" t="str">
        <x:v>equals</x:v>
      </x:c>
      <x:c r="H2373" t="str">
        <x:v>independent physical acceptance</x:v>
      </x:c>
      <x:c r="I2373" t="str">
        <x:f>IF(E2373=1,"PASS","OPEN")</x:f>
        <x:v>OPEN</x:v>
      </x:c>
    </x:row>
    <x:row r="2374">
      <x:c r="B2374" t="str">
        <x:v>PH-SF-9</x:v>
      </x:c>
      <x:c r="C2374" t="str">
        <x:v>PHYSICAL</x:v>
      </x:c>
      <x:c r="D2374" t="str">
        <x:v>safeing path</x:v>
      </x:c>
      <x:c r="E2374" t="n">
        <x:f>IF('Safety Paths'!G15&lt;&gt;"",1,0)</x:f>
        <x:v>0</x:v>
      </x:c>
      <x:c r="F2374" t="n">
        <x:v>1</x:v>
      </x:c>
      <x:c r="G2374" t="str">
        <x:v>equals</x:v>
      </x:c>
      <x:c r="H2374" t="str">
        <x:v>independent physical acceptance</x:v>
      </x:c>
      <x:c r="I2374" t="str">
        <x:f>IF(E2374=1,"PASS","OPEN")</x:f>
        <x:v>OPEN</x:v>
      </x:c>
    </x:row>
    <x:row r="2375">
      <x:c r="B2375" t="str">
        <x:v>PH-SF-10</x:v>
      </x:c>
      <x:c r="C2375" t="str">
        <x:v>PHYSICAL</x:v>
      </x:c>
      <x:c r="D2375" t="str">
        <x:v>safeing path</x:v>
      </x:c>
      <x:c r="E2375" t="n">
        <x:f>IF('Safety Paths'!G16&lt;&gt;"",1,0)</x:f>
        <x:v>0</x:v>
      </x:c>
      <x:c r="F2375" t="n">
        <x:v>1</x:v>
      </x:c>
      <x:c r="G2375" t="str">
        <x:v>equals</x:v>
      </x:c>
      <x:c r="H2375" t="str">
        <x:v>independent physical acceptance</x:v>
      </x:c>
      <x:c r="I2375" t="str">
        <x:f>IF(E2375=1,"PASS","OPEN")</x:f>
        <x:v>OPEN</x:v>
      </x:c>
    </x:row>
    <x:row r="2376">
      <x:c r="B2376" t="str">
        <x:v>PH-SF-11</x:v>
      </x:c>
      <x:c r="C2376" t="str">
        <x:v>PHYSICAL</x:v>
      </x:c>
      <x:c r="D2376" t="str">
        <x:v>safeing path</x:v>
      </x:c>
      <x:c r="E2376" t="n">
        <x:f>IF('Safety Paths'!G17&lt;&gt;"",1,0)</x:f>
        <x:v>0</x:v>
      </x:c>
      <x:c r="F2376" t="n">
        <x:v>1</x:v>
      </x:c>
      <x:c r="G2376" t="str">
        <x:v>equals</x:v>
      </x:c>
      <x:c r="H2376" t="str">
        <x:v>independent physical acceptance</x:v>
      </x:c>
      <x:c r="I2376" t="str">
        <x:f>IF(E2376=1,"PASS","OPEN")</x:f>
        <x:v>OPEN</x:v>
      </x:c>
    </x:row>
    <x:row r="2377">
      <x:c r="B2377" t="str">
        <x:v>PH-SF-12</x:v>
      </x:c>
      <x:c r="C2377" t="str">
        <x:v>PHYSICAL</x:v>
      </x:c>
      <x:c r="D2377" t="str">
        <x:v>safeing path</x:v>
      </x:c>
      <x:c r="E2377" t="n">
        <x:f>IF('Safety Paths'!G18&lt;&gt;"",1,0)</x:f>
        <x:v>0</x:v>
      </x:c>
      <x:c r="F2377" t="n">
        <x:v>1</x:v>
      </x:c>
      <x:c r="G2377" t="str">
        <x:v>equals</x:v>
      </x:c>
      <x:c r="H2377" t="str">
        <x:v>independent physical acceptance</x:v>
      </x:c>
      <x:c r="I2377" t="str">
        <x:f>IF(E2377=1,"PASS","OPEN")</x:f>
        <x:v>OPEN</x:v>
      </x:c>
    </x:row>
    <x:row r="2378">
      <x:c r="B2378" t="str">
        <x:v>PH-SF-13</x:v>
      </x:c>
      <x:c r="C2378" t="str">
        <x:v>PHYSICAL</x:v>
      </x:c>
      <x:c r="D2378" t="str">
        <x:v>safeing path</x:v>
      </x:c>
      <x:c r="E2378" t="n">
        <x:f>IF('Safety Paths'!G19&lt;&gt;"",1,0)</x:f>
        <x:v>0</x:v>
      </x:c>
      <x:c r="F2378" t="n">
        <x:v>1</x:v>
      </x:c>
      <x:c r="G2378" t="str">
        <x:v>equals</x:v>
      </x:c>
      <x:c r="H2378" t="str">
        <x:v>independent physical acceptance</x:v>
      </x:c>
      <x:c r="I2378" t="str">
        <x:f>IF(E2378=1,"PASS","OPEN")</x:f>
        <x:v>OPEN</x:v>
      </x:c>
    </x:row>
    <x:row r="2379">
      <x:c r="B2379" t="str">
        <x:v>PH-SF-14</x:v>
      </x:c>
      <x:c r="C2379" t="str">
        <x:v>PHYSICAL</x:v>
      </x:c>
      <x:c r="D2379" t="str">
        <x:v>safeing path</x:v>
      </x:c>
      <x:c r="E2379" t="n">
        <x:f>IF('Safety Paths'!G20&lt;&gt;"",1,0)</x:f>
        <x:v>0</x:v>
      </x:c>
      <x:c r="F2379" t="n">
        <x:v>1</x:v>
      </x:c>
      <x:c r="G2379" t="str">
        <x:v>equals</x:v>
      </x:c>
      <x:c r="H2379" t="str">
        <x:v>independent physical acceptance</x:v>
      </x:c>
      <x:c r="I2379" t="str">
        <x:f>IF(E2379=1,"PASS","OPEN")</x:f>
        <x:v>OPEN</x:v>
      </x:c>
    </x:row>
    <x:row r="2380">
      <x:c r="B2380" t="str">
        <x:v>PH-SF-15</x:v>
      </x:c>
      <x:c r="C2380" t="str">
        <x:v>PHYSICAL</x:v>
      </x:c>
      <x:c r="D2380" t="str">
        <x:v>safeing path</x:v>
      </x:c>
      <x:c r="E2380" t="n">
        <x:f>IF('Safety Paths'!G21&lt;&gt;"",1,0)</x:f>
        <x:v>0</x:v>
      </x:c>
      <x:c r="F2380" t="n">
        <x:v>1</x:v>
      </x:c>
      <x:c r="G2380" t="str">
        <x:v>equals</x:v>
      </x:c>
      <x:c r="H2380" t="str">
        <x:v>independent physical acceptance</x:v>
      </x:c>
      <x:c r="I2380" t="str">
        <x:f>IF(E2380=1,"PASS","OPEN")</x:f>
        <x:v>OPEN</x:v>
      </x:c>
    </x:row>
    <x:row r="2381">
      <x:c r="B2381" t="str">
        <x:v>PH-SF-16</x:v>
      </x:c>
      <x:c r="C2381" t="str">
        <x:v>PHYSICAL</x:v>
      </x:c>
      <x:c r="D2381" t="str">
        <x:v>safeing path</x:v>
      </x:c>
      <x:c r="E2381" t="n">
        <x:f>IF('Safety Paths'!G22&lt;&gt;"",1,0)</x:f>
        <x:v>0</x:v>
      </x:c>
      <x:c r="F2381" t="n">
        <x:v>1</x:v>
      </x:c>
      <x:c r="G2381" t="str">
        <x:v>equals</x:v>
      </x:c>
      <x:c r="H2381" t="str">
        <x:v>independent physical acceptance</x:v>
      </x:c>
      <x:c r="I2381" t="str">
        <x:f>IF(E2381=1,"PASS","OPEN")</x:f>
        <x:v>OPEN</x:v>
      </x:c>
    </x:row>
    <x:row r="2382">
      <x:c r="B2382" t="str">
        <x:v>PH-SF-17</x:v>
      </x:c>
      <x:c r="C2382" t="str">
        <x:v>PHYSICAL</x:v>
      </x:c>
      <x:c r="D2382" t="str">
        <x:v>safeing path</x:v>
      </x:c>
      <x:c r="E2382" t="n">
        <x:f>IF('Safety Paths'!G23&lt;&gt;"",1,0)</x:f>
        <x:v>0</x:v>
      </x:c>
      <x:c r="F2382" t="n">
        <x:v>1</x:v>
      </x:c>
      <x:c r="G2382" t="str">
        <x:v>equals</x:v>
      </x:c>
      <x:c r="H2382" t="str">
        <x:v>independent physical acceptance</x:v>
      </x:c>
      <x:c r="I2382" t="str">
        <x:f>IF(E2382=1,"PASS","OPEN")</x:f>
        <x:v>OPEN</x:v>
      </x:c>
    </x:row>
    <x:row r="2383">
      <x:c r="B2383" t="str">
        <x:v>PH-SF-18</x:v>
      </x:c>
      <x:c r="C2383" t="str">
        <x:v>PHYSICAL</x:v>
      </x:c>
      <x:c r="D2383" t="str">
        <x:v>safeing path</x:v>
      </x:c>
      <x:c r="E2383" t="n">
        <x:f>IF('Safety Paths'!G24&lt;&gt;"",1,0)</x:f>
        <x:v>0</x:v>
      </x:c>
      <x:c r="F2383" t="n">
        <x:v>1</x:v>
      </x:c>
      <x:c r="G2383" t="str">
        <x:v>equals</x:v>
      </x:c>
      <x:c r="H2383" t="str">
        <x:v>independent physical acceptance</x:v>
      </x:c>
      <x:c r="I2383" t="str">
        <x:f>IF(E2383=1,"PASS","OPEN")</x:f>
        <x:v>OPEN</x:v>
      </x:c>
    </x:row>
    <x:row r="2384">
      <x:c r="B2384" t="str">
        <x:v>PH-AM-1</x:v>
      </x:c>
      <x:c r="C2384" t="str">
        <x:v>PHYSICAL</x:v>
      </x:c>
      <x:c r="D2384" t="str">
        <x:v>method admitted</x:v>
      </x:c>
      <x:c r="E2384" t="n">
        <x:f>'Method Admission'!G7</x:f>
        <x:v>0</x:v>
      </x:c>
      <x:c r="F2384" t="n">
        <x:v>1</x:v>
      </x:c>
      <x:c r="G2384" t="str">
        <x:v>equals</x:v>
      </x:c>
      <x:c r="H2384" t="str">
        <x:v>independent physical acceptance</x:v>
      </x:c>
      <x:c r="I2384" t="str">
        <x:f>IF(E2384=1,"PASS","OPEN")</x:f>
        <x:v>OPEN</x:v>
      </x:c>
    </x:row>
    <x:row r="2385">
      <x:c r="B2385" t="str">
        <x:v>PH-AM-2</x:v>
      </x:c>
      <x:c r="C2385" t="str">
        <x:v>PHYSICAL</x:v>
      </x:c>
      <x:c r="D2385" t="str">
        <x:v>method admitted</x:v>
      </x:c>
      <x:c r="E2385" t="n">
        <x:f>'Method Admission'!G8</x:f>
        <x:v>0</x:v>
      </x:c>
      <x:c r="F2385" t="n">
        <x:v>1</x:v>
      </x:c>
      <x:c r="G2385" t="str">
        <x:v>equals</x:v>
      </x:c>
      <x:c r="H2385" t="str">
        <x:v>independent physical acceptance</x:v>
      </x:c>
      <x:c r="I2385" t="str">
        <x:f>IF(E2385=1,"PASS","OPEN")</x:f>
        <x:v>OPEN</x:v>
      </x:c>
    </x:row>
    <x:row r="2386">
      <x:c r="B2386" t="str">
        <x:v>PH-AM-3</x:v>
      </x:c>
      <x:c r="C2386" t="str">
        <x:v>PHYSICAL</x:v>
      </x:c>
      <x:c r="D2386" t="str">
        <x:v>method admitted</x:v>
      </x:c>
      <x:c r="E2386" t="n">
        <x:f>'Method Admission'!G9</x:f>
        <x:v>0</x:v>
      </x:c>
      <x:c r="F2386" t="n">
        <x:v>1</x:v>
      </x:c>
      <x:c r="G2386" t="str">
        <x:v>equals</x:v>
      </x:c>
      <x:c r="H2386" t="str">
        <x:v>independent physical acceptance</x:v>
      </x:c>
      <x:c r="I2386" t="str">
        <x:f>IF(E2386=1,"PASS","OPEN")</x:f>
        <x:v>OPEN</x:v>
      </x:c>
    </x:row>
    <x:row r="2387">
      <x:c r="B2387" t="str">
        <x:v>PH-AM-4</x:v>
      </x:c>
      <x:c r="C2387" t="str">
        <x:v>PHYSICAL</x:v>
      </x:c>
      <x:c r="D2387" t="str">
        <x:v>method admitted</x:v>
      </x:c>
      <x:c r="E2387" t="n">
        <x:f>'Method Admission'!G10</x:f>
        <x:v>0</x:v>
      </x:c>
      <x:c r="F2387" t="n">
        <x:v>1</x:v>
      </x:c>
      <x:c r="G2387" t="str">
        <x:v>equals</x:v>
      </x:c>
      <x:c r="H2387" t="str">
        <x:v>independent physical acceptance</x:v>
      </x:c>
      <x:c r="I2387" t="str">
        <x:f>IF(E2387=1,"PASS","OPEN")</x:f>
        <x:v>OPEN</x:v>
      </x:c>
    </x:row>
    <x:row r="2388">
      <x:c r="B2388" t="str">
        <x:v>PH-AM-5</x:v>
      </x:c>
      <x:c r="C2388" t="str">
        <x:v>PHYSICAL</x:v>
      </x:c>
      <x:c r="D2388" t="str">
        <x:v>method admitted</x:v>
      </x:c>
      <x:c r="E2388" t="n">
        <x:f>'Method Admission'!G11</x:f>
        <x:v>0</x:v>
      </x:c>
      <x:c r="F2388" t="n">
        <x:v>1</x:v>
      </x:c>
      <x:c r="G2388" t="str">
        <x:v>equals</x:v>
      </x:c>
      <x:c r="H2388" t="str">
        <x:v>independent physical acceptance</x:v>
      </x:c>
      <x:c r="I2388" t="str">
        <x:f>IF(E2388=1,"PASS","OPEN")</x:f>
        <x:v>OPEN</x:v>
      </x:c>
    </x:row>
    <x:row r="2389">
      <x:c r="B2389" t="str">
        <x:v>PH-AM-6</x:v>
      </x:c>
      <x:c r="C2389" t="str">
        <x:v>PHYSICAL</x:v>
      </x:c>
      <x:c r="D2389" t="str">
        <x:v>method admitted</x:v>
      </x:c>
      <x:c r="E2389" t="n">
        <x:f>'Method Admission'!G12</x:f>
        <x:v>0</x:v>
      </x:c>
      <x:c r="F2389" t="n">
        <x:v>1</x:v>
      </x:c>
      <x:c r="G2389" t="str">
        <x:v>equals</x:v>
      </x:c>
      <x:c r="H2389" t="str">
        <x:v>independent physical acceptance</x:v>
      </x:c>
      <x:c r="I2389" t="str">
        <x:f>IF(E2389=1,"PASS","OPEN")</x:f>
        <x:v>OPEN</x:v>
      </x:c>
    </x:row>
    <x:row r="2390">
      <x:c r="B2390" t="str">
        <x:v>PH-AM-7</x:v>
      </x:c>
      <x:c r="C2390" t="str">
        <x:v>PHYSICAL</x:v>
      </x:c>
      <x:c r="D2390" t="str">
        <x:v>method admitted</x:v>
      </x:c>
      <x:c r="E2390" t="n">
        <x:f>'Method Admission'!G13</x:f>
        <x:v>0</x:v>
      </x:c>
      <x:c r="F2390" t="n">
        <x:v>1</x:v>
      </x:c>
      <x:c r="G2390" t="str">
        <x:v>equals</x:v>
      </x:c>
      <x:c r="H2390" t="str">
        <x:v>independent physical acceptance</x:v>
      </x:c>
      <x:c r="I2390" t="str">
        <x:f>IF(E2390=1,"PASS","OPEN")</x:f>
        <x:v>OPEN</x:v>
      </x:c>
    </x:row>
    <x:row r="2391">
      <x:c r="B2391" t="str">
        <x:v>PH-AM-8</x:v>
      </x:c>
      <x:c r="C2391" t="str">
        <x:v>PHYSICAL</x:v>
      </x:c>
      <x:c r="D2391" t="str">
        <x:v>method admitted</x:v>
      </x:c>
      <x:c r="E2391" t="n">
        <x:f>'Method Admission'!G14</x:f>
        <x:v>0</x:v>
      </x:c>
      <x:c r="F2391" t="n">
        <x:v>1</x:v>
      </x:c>
      <x:c r="G2391" t="str">
        <x:v>equals</x:v>
      </x:c>
      <x:c r="H2391" t="str">
        <x:v>independent physical acceptance</x:v>
      </x:c>
      <x:c r="I2391" t="str">
        <x:f>IF(E2391=1,"PASS","OPEN")</x:f>
        <x:v>OPEN</x:v>
      </x:c>
    </x:row>
    <x:row r="2392">
      <x:c r="B2392" t="str">
        <x:v>PH-AM-9</x:v>
      </x:c>
      <x:c r="C2392" t="str">
        <x:v>PHYSICAL</x:v>
      </x:c>
      <x:c r="D2392" t="str">
        <x:v>method admitted</x:v>
      </x:c>
      <x:c r="E2392" t="n">
        <x:f>'Method Admission'!G15</x:f>
        <x:v>0</x:v>
      </x:c>
      <x:c r="F2392" t="n">
        <x:v>1</x:v>
      </x:c>
      <x:c r="G2392" t="str">
        <x:v>equals</x:v>
      </x:c>
      <x:c r="H2392" t="str">
        <x:v>independent physical acceptance</x:v>
      </x:c>
      <x:c r="I2392" t="str">
        <x:f>IF(E2392=1,"PASS","OPEN")</x:f>
        <x:v>OPEN</x:v>
      </x:c>
    </x:row>
    <x:row r="2393">
      <x:c r="B2393" t="str">
        <x:v>PH-AM-10</x:v>
      </x:c>
      <x:c r="C2393" t="str">
        <x:v>PHYSICAL</x:v>
      </x:c>
      <x:c r="D2393" t="str">
        <x:v>method admitted</x:v>
      </x:c>
      <x:c r="E2393" t="n">
        <x:f>'Method Admission'!G16</x:f>
        <x:v>0</x:v>
      </x:c>
      <x:c r="F2393" t="n">
        <x:v>1</x:v>
      </x:c>
      <x:c r="G2393" t="str">
        <x:v>equals</x:v>
      </x:c>
      <x:c r="H2393" t="str">
        <x:v>independent physical acceptance</x:v>
      </x:c>
      <x:c r="I2393" t="str">
        <x:f>IF(E2393=1,"PASS","OPEN")</x:f>
        <x:v>OPEN</x:v>
      </x:c>
    </x:row>
    <x:row r="2394">
      <x:c r="B2394" t="str">
        <x:v>PH-DWG-1</x:v>
      </x:c>
      <x:c r="C2394" t="str">
        <x:v>PHYSICAL</x:v>
      </x:c>
      <x:c r="D2394" t="str">
        <x:v>drawing released</x:v>
      </x:c>
      <x:c r="E2394" t="n">
        <x:f>IF('Drawing Register'!E7&lt;&gt;"",1,0)</x:f>
        <x:v>0</x:v>
      </x:c>
      <x:c r="F2394" t="n">
        <x:v>1</x:v>
      </x:c>
      <x:c r="G2394" t="str">
        <x:v>equals</x:v>
      </x:c>
      <x:c r="H2394" t="str">
        <x:v>independent physical acceptance</x:v>
      </x:c>
      <x:c r="I2394" t="str">
        <x:f>IF(E2394=1,"PASS","OPEN")</x:f>
        <x:v>OPEN</x:v>
      </x:c>
    </x:row>
    <x:row r="2395">
      <x:c r="B2395" t="str">
        <x:v>PH-DWG-2</x:v>
      </x:c>
      <x:c r="C2395" t="str">
        <x:v>PHYSICAL</x:v>
      </x:c>
      <x:c r="D2395" t="str">
        <x:v>drawing released</x:v>
      </x:c>
      <x:c r="E2395" t="n">
        <x:f>IF('Drawing Register'!E8&lt;&gt;"",1,0)</x:f>
        <x:v>0</x:v>
      </x:c>
      <x:c r="F2395" t="n">
        <x:v>1</x:v>
      </x:c>
      <x:c r="G2395" t="str">
        <x:v>equals</x:v>
      </x:c>
      <x:c r="H2395" t="str">
        <x:v>independent physical acceptance</x:v>
      </x:c>
      <x:c r="I2395" t="str">
        <x:f>IF(E2395=1,"PASS","OPEN")</x:f>
        <x:v>OPEN</x:v>
      </x:c>
    </x:row>
    <x:row r="2396">
      <x:c r="B2396" t="str">
        <x:v>PH-DWG-3</x:v>
      </x:c>
      <x:c r="C2396" t="str">
        <x:v>PHYSICAL</x:v>
      </x:c>
      <x:c r="D2396" t="str">
        <x:v>drawing released</x:v>
      </x:c>
      <x:c r="E2396" t="n">
        <x:f>IF('Drawing Register'!E9&lt;&gt;"",1,0)</x:f>
        <x:v>0</x:v>
      </x:c>
      <x:c r="F2396" t="n">
        <x:v>1</x:v>
      </x:c>
      <x:c r="G2396" t="str">
        <x:v>equals</x:v>
      </x:c>
      <x:c r="H2396" t="str">
        <x:v>independent physical acceptance</x:v>
      </x:c>
      <x:c r="I2396" t="str">
        <x:f>IF(E2396=1,"PASS","OPEN")</x:f>
        <x:v>OPEN</x:v>
      </x:c>
    </x:row>
    <x:row r="2397">
      <x:c r="B2397" t="str">
        <x:v>PH-DWG-4</x:v>
      </x:c>
      <x:c r="C2397" t="str">
        <x:v>PHYSICAL</x:v>
      </x:c>
      <x:c r="D2397" t="str">
        <x:v>drawing released</x:v>
      </x:c>
      <x:c r="E2397" t="n">
        <x:f>IF('Drawing Register'!E10&lt;&gt;"",1,0)</x:f>
        <x:v>0</x:v>
      </x:c>
      <x:c r="F2397" t="n">
        <x:v>1</x:v>
      </x:c>
      <x:c r="G2397" t="str">
        <x:v>equals</x:v>
      </x:c>
      <x:c r="H2397" t="str">
        <x:v>independent physical acceptance</x:v>
      </x:c>
      <x:c r="I2397" t="str">
        <x:f>IF(E2397=1,"PASS","OPEN")</x:f>
        <x:v>OPEN</x:v>
      </x:c>
    </x:row>
    <x:row r="2398">
      <x:c r="B2398" t="str">
        <x:v>PH-DWG-5</x:v>
      </x:c>
      <x:c r="C2398" t="str">
        <x:v>PHYSICAL</x:v>
      </x:c>
      <x:c r="D2398" t="str">
        <x:v>drawing released</x:v>
      </x:c>
      <x:c r="E2398" t="n">
        <x:f>IF('Drawing Register'!E11&lt;&gt;"",1,0)</x:f>
        <x:v>0</x:v>
      </x:c>
      <x:c r="F2398" t="n">
        <x:v>1</x:v>
      </x:c>
      <x:c r="G2398" t="str">
        <x:v>equals</x:v>
      </x:c>
      <x:c r="H2398" t="str">
        <x:v>independent physical acceptance</x:v>
      </x:c>
      <x:c r="I2398" t="str">
        <x:f>IF(E2398=1,"PASS","OPEN")</x:f>
        <x:v>OPEN</x:v>
      </x:c>
    </x:row>
    <x:row r="2399">
      <x:c r="B2399" t="str">
        <x:v>PH-DWG-6</x:v>
      </x:c>
      <x:c r="C2399" t="str">
        <x:v>PHYSICAL</x:v>
      </x:c>
      <x:c r="D2399" t="str">
        <x:v>drawing released</x:v>
      </x:c>
      <x:c r="E2399" t="n">
        <x:f>IF('Drawing Register'!E12&lt;&gt;"",1,0)</x:f>
        <x:v>0</x:v>
      </x:c>
      <x:c r="F2399" t="n">
        <x:v>1</x:v>
      </x:c>
      <x:c r="G2399" t="str">
        <x:v>equals</x:v>
      </x:c>
      <x:c r="H2399" t="str">
        <x:v>independent physical acceptance</x:v>
      </x:c>
      <x:c r="I2399" t="str">
        <x:f>IF(E2399=1,"PASS","OPEN")</x:f>
        <x:v>OPEN</x:v>
      </x:c>
    </x:row>
    <x:row r="2400">
      <x:c r="B2400" t="str">
        <x:v>PH-DWG-7</x:v>
      </x:c>
      <x:c r="C2400" t="str">
        <x:v>PHYSICAL</x:v>
      </x:c>
      <x:c r="D2400" t="str">
        <x:v>drawing released</x:v>
      </x:c>
      <x:c r="E2400" t="n">
        <x:f>IF('Drawing Register'!E13&lt;&gt;"",1,0)</x:f>
        <x:v>0</x:v>
      </x:c>
      <x:c r="F2400" t="n">
        <x:v>1</x:v>
      </x:c>
      <x:c r="G2400" t="str">
        <x:v>equals</x:v>
      </x:c>
      <x:c r="H2400" t="str">
        <x:v>independent physical acceptance</x:v>
      </x:c>
      <x:c r="I2400" t="str">
        <x:f>IF(E2400=1,"PASS","OPEN")</x:f>
        <x:v>OPEN</x:v>
      </x:c>
    </x:row>
    <x:row r="2401">
      <x:c r="B2401" t="str">
        <x:v>PH-DWG-8</x:v>
      </x:c>
      <x:c r="C2401" t="str">
        <x:v>PHYSICAL</x:v>
      </x:c>
      <x:c r="D2401" t="str">
        <x:v>drawing released</x:v>
      </x:c>
      <x:c r="E2401" t="n">
        <x:f>IF('Drawing Register'!E14&lt;&gt;"",1,0)</x:f>
        <x:v>0</x:v>
      </x:c>
      <x:c r="F2401" t="n">
        <x:v>1</x:v>
      </x:c>
      <x:c r="G2401" t="str">
        <x:v>equals</x:v>
      </x:c>
      <x:c r="H2401" t="str">
        <x:v>independent physical acceptance</x:v>
      </x:c>
      <x:c r="I2401" t="str">
        <x:f>IF(E2401=1,"PASS","OPEN")</x:f>
        <x:v>OPEN</x:v>
      </x:c>
    </x:row>
    <x:row r="2402">
      <x:c r="B2402" t="str">
        <x:v>PH-DWG-9</x:v>
      </x:c>
      <x:c r="C2402" t="str">
        <x:v>PHYSICAL</x:v>
      </x:c>
      <x:c r="D2402" t="str">
        <x:v>drawing released</x:v>
      </x:c>
      <x:c r="E2402" t="n">
        <x:f>IF('Drawing Register'!E15&lt;&gt;"",1,0)</x:f>
        <x:v>0</x:v>
      </x:c>
      <x:c r="F2402" t="n">
        <x:v>1</x:v>
      </x:c>
      <x:c r="G2402" t="str">
        <x:v>equals</x:v>
      </x:c>
      <x:c r="H2402" t="str">
        <x:v>independent physical acceptance</x:v>
      </x:c>
      <x:c r="I2402" t="str">
        <x:f>IF(E2402=1,"PASS","OPEN")</x:f>
        <x:v>OPEN</x:v>
      </x:c>
    </x:row>
    <x:row r="2403">
      <x:c r="B2403" t="str">
        <x:v>PH-DWG-10</x:v>
      </x:c>
      <x:c r="C2403" t="str">
        <x:v>PHYSICAL</x:v>
      </x:c>
      <x:c r="D2403" t="str">
        <x:v>drawing released</x:v>
      </x:c>
      <x:c r="E2403" t="n">
        <x:f>IF('Drawing Register'!E16&lt;&gt;"",1,0)</x:f>
        <x:v>0</x:v>
      </x:c>
      <x:c r="F2403" t="n">
        <x:v>1</x:v>
      </x:c>
      <x:c r="G2403" t="str">
        <x:v>equals</x:v>
      </x:c>
      <x:c r="H2403" t="str">
        <x:v>independent physical acceptance</x:v>
      </x:c>
      <x:c r="I2403" t="str">
        <x:f>IF(E2403=1,"PASS","OPEN")</x:f>
        <x:v>OPEN</x:v>
      </x:c>
    </x:row>
    <x:row r="2404">
      <x:c r="B2404" t="str">
        <x:v>PH-DWG-11</x:v>
      </x:c>
      <x:c r="C2404" t="str">
        <x:v>PHYSICAL</x:v>
      </x:c>
      <x:c r="D2404" t="str">
        <x:v>drawing released</x:v>
      </x:c>
      <x:c r="E2404" t="n">
        <x:f>IF('Drawing Register'!E17&lt;&gt;"",1,0)</x:f>
        <x:v>0</x:v>
      </x:c>
      <x:c r="F2404" t="n">
        <x:v>1</x:v>
      </x:c>
      <x:c r="G2404" t="str">
        <x:v>equals</x:v>
      </x:c>
      <x:c r="H2404" t="str">
        <x:v>independent physical acceptance</x:v>
      </x:c>
      <x:c r="I2404" t="str">
        <x:f>IF(E2404=1,"PASS","OPEN")</x:f>
        <x:v>OPEN</x:v>
      </x:c>
    </x:row>
    <x:row r="2405">
      <x:c r="B2405" t="str">
        <x:v>PH-DWG-12</x:v>
      </x:c>
      <x:c r="C2405" t="str">
        <x:v>PHYSICAL</x:v>
      </x:c>
      <x:c r="D2405" t="str">
        <x:v>drawing released</x:v>
      </x:c>
      <x:c r="E2405" t="n">
        <x:f>IF('Drawing Register'!E18&lt;&gt;"",1,0)</x:f>
        <x:v>0</x:v>
      </x:c>
      <x:c r="F2405" t="n">
        <x:v>1</x:v>
      </x:c>
      <x:c r="G2405" t="str">
        <x:v>equals</x:v>
      </x:c>
      <x:c r="H2405" t="str">
        <x:v>independent physical acceptance</x:v>
      </x:c>
      <x:c r="I2405" t="str">
        <x:f>IF(E2405=1,"PASS","OPEN")</x:f>
        <x:v>OPEN</x:v>
      </x:c>
    </x:row>
    <x:row r="2406">
      <x:c r="B2406" t="str">
        <x:v>PH-DWG-13</x:v>
      </x:c>
      <x:c r="C2406" t="str">
        <x:v>PHYSICAL</x:v>
      </x:c>
      <x:c r="D2406" t="str">
        <x:v>drawing released</x:v>
      </x:c>
      <x:c r="E2406" t="n">
        <x:f>IF('Drawing Register'!E19&lt;&gt;"",1,0)</x:f>
        <x:v>0</x:v>
      </x:c>
      <x:c r="F2406" t="n">
        <x:v>1</x:v>
      </x:c>
      <x:c r="G2406" t="str">
        <x:v>equals</x:v>
      </x:c>
      <x:c r="H2406" t="str">
        <x:v>independent physical acceptance</x:v>
      </x:c>
      <x:c r="I2406" t="str">
        <x:f>IF(E2406=1,"PASS","OPEN")</x:f>
        <x:v>OPEN</x:v>
      </x:c>
    </x:row>
    <x:row r="2407">
      <x:c r="B2407" t="str">
        <x:v>PH-DWG-14</x:v>
      </x:c>
      <x:c r="C2407" t="str">
        <x:v>PHYSICAL</x:v>
      </x:c>
      <x:c r="D2407" t="str">
        <x:v>drawing released</x:v>
      </x:c>
      <x:c r="E2407" t="n">
        <x:f>IF('Drawing Register'!E20&lt;&gt;"",1,0)</x:f>
        <x:v>0</x:v>
      </x:c>
      <x:c r="F2407" t="n">
        <x:v>1</x:v>
      </x:c>
      <x:c r="G2407" t="str">
        <x:v>equals</x:v>
      </x:c>
      <x:c r="H2407" t="str">
        <x:v>independent physical acceptance</x:v>
      </x:c>
      <x:c r="I2407" t="str">
        <x:f>IF(E2407=1,"PASS","OPEN")</x:f>
        <x:v>OPEN</x:v>
      </x:c>
    </x:row>
    <x:row r="2408">
      <x:c r="B2408" t="str">
        <x:v>PH-DWG-15</x:v>
      </x:c>
      <x:c r="C2408" t="str">
        <x:v>PHYSICAL</x:v>
      </x:c>
      <x:c r="D2408" t="str">
        <x:v>drawing released</x:v>
      </x:c>
      <x:c r="E2408" t="n">
        <x:f>IF('Drawing Register'!E21&lt;&gt;"",1,0)</x:f>
        <x:v>0</x:v>
      </x:c>
      <x:c r="F2408" t="n">
        <x:v>1</x:v>
      </x:c>
      <x:c r="G2408" t="str">
        <x:v>equals</x:v>
      </x:c>
      <x:c r="H2408" t="str">
        <x:v>independent physical acceptance</x:v>
      </x:c>
      <x:c r="I2408" t="str">
        <x:f>IF(E2408=1,"PASS","OPEN")</x:f>
        <x:v>OPEN</x:v>
      </x:c>
    </x:row>
    <x:row r="2409">
      <x:c r="B2409" t="str">
        <x:v>PH-DWG-16</x:v>
      </x:c>
      <x:c r="C2409" t="str">
        <x:v>PHYSICAL</x:v>
      </x:c>
      <x:c r="D2409" t="str">
        <x:v>drawing released</x:v>
      </x:c>
      <x:c r="E2409" t="n">
        <x:f>IF('Drawing Register'!E22&lt;&gt;"",1,0)</x:f>
        <x:v>0</x:v>
      </x:c>
      <x:c r="F2409" t="n">
        <x:v>1</x:v>
      </x:c>
      <x:c r="G2409" t="str">
        <x:v>equals</x:v>
      </x:c>
      <x:c r="H2409" t="str">
        <x:v>independent physical acceptance</x:v>
      </x:c>
      <x:c r="I2409" t="str">
        <x:f>IF(E2409=1,"PASS","OPEN")</x:f>
        <x:v>OPEN</x:v>
      </x:c>
    </x:row>
    <x:row r="2410">
      <x:c r="B2410" t="str">
        <x:v>PH-DWG-17</x:v>
      </x:c>
      <x:c r="C2410" t="str">
        <x:v>PHYSICAL</x:v>
      </x:c>
      <x:c r="D2410" t="str">
        <x:v>drawing released</x:v>
      </x:c>
      <x:c r="E2410" t="n">
        <x:f>IF('Drawing Register'!E23&lt;&gt;"",1,0)</x:f>
        <x:v>0</x:v>
      </x:c>
      <x:c r="F2410" t="n">
        <x:v>1</x:v>
      </x:c>
      <x:c r="G2410" t="str">
        <x:v>equals</x:v>
      </x:c>
      <x:c r="H2410" t="str">
        <x:v>independent physical acceptance</x:v>
      </x:c>
      <x:c r="I2410" t="str">
        <x:f>IF(E2410=1,"PASS","OPEN")</x:f>
        <x:v>OPEN</x:v>
      </x:c>
    </x:row>
    <x:row r="2411">
      <x:c r="B2411" t="str">
        <x:v>PH-DWG-18</x:v>
      </x:c>
      <x:c r="C2411" t="str">
        <x:v>PHYSICAL</x:v>
      </x:c>
      <x:c r="D2411" t="str">
        <x:v>drawing released</x:v>
      </x:c>
      <x:c r="E2411" t="n">
        <x:f>IF('Drawing Register'!E24&lt;&gt;"",1,0)</x:f>
        <x:v>0</x:v>
      </x:c>
      <x:c r="F2411" t="n">
        <x:v>1</x:v>
      </x:c>
      <x:c r="G2411" t="str">
        <x:v>equals</x:v>
      </x:c>
      <x:c r="H2411" t="str">
        <x:v>independent physical acceptance</x:v>
      </x:c>
      <x:c r="I2411" t="str">
        <x:f>IF(E2411=1,"PASS","OPEN")</x:f>
        <x:v>OPEN</x:v>
      </x:c>
    </x:row>
    <x:row r="2412">
      <x:c r="B2412" t="str">
        <x:v>PH-DWG-19</x:v>
      </x:c>
      <x:c r="C2412" t="str">
        <x:v>PHYSICAL</x:v>
      </x:c>
      <x:c r="D2412" t="str">
        <x:v>drawing released</x:v>
      </x:c>
      <x:c r="E2412" t="n">
        <x:f>IF('Drawing Register'!E25&lt;&gt;"",1,0)</x:f>
        <x:v>0</x:v>
      </x:c>
      <x:c r="F2412" t="n">
        <x:v>1</x:v>
      </x:c>
      <x:c r="G2412" t="str">
        <x:v>equals</x:v>
      </x:c>
      <x:c r="H2412" t="str">
        <x:v>independent physical acceptance</x:v>
      </x:c>
      <x:c r="I2412" t="str">
        <x:f>IF(E2412=1,"PASS","OPEN")</x:f>
        <x:v>OPEN</x:v>
      </x:c>
    </x:row>
    <x:row r="2413">
      <x:c r="B2413" t="str">
        <x:v>PH-DWG-20</x:v>
      </x:c>
      <x:c r="C2413" t="str">
        <x:v>PHYSICAL</x:v>
      </x:c>
      <x:c r="D2413" t="str">
        <x:v>drawing released</x:v>
      </x:c>
      <x:c r="E2413" t="n">
        <x:f>IF('Drawing Register'!E26&lt;&gt;"",1,0)</x:f>
        <x:v>0</x:v>
      </x:c>
      <x:c r="F2413" t="n">
        <x:v>1</x:v>
      </x:c>
      <x:c r="G2413" t="str">
        <x:v>equals</x:v>
      </x:c>
      <x:c r="H2413" t="str">
        <x:v>independent physical acceptance</x:v>
      </x:c>
      <x:c r="I2413" t="str">
        <x:f>IF(E2413=1,"PASS","OPEN")</x:f>
        <x:v>OPEN</x:v>
      </x:c>
    </x:row>
    <x:row r="2414">
      <x:c r="B2414" t="str">
        <x:v>PH-DWG-21</x:v>
      </x:c>
      <x:c r="C2414" t="str">
        <x:v>PHYSICAL</x:v>
      </x:c>
      <x:c r="D2414" t="str">
        <x:v>drawing released</x:v>
      </x:c>
      <x:c r="E2414" t="n">
        <x:f>IF('Drawing Register'!E27&lt;&gt;"",1,0)</x:f>
        <x:v>0</x:v>
      </x:c>
      <x:c r="F2414" t="n">
        <x:v>1</x:v>
      </x:c>
      <x:c r="G2414" t="str">
        <x:v>equals</x:v>
      </x:c>
      <x:c r="H2414" t="str">
        <x:v>independent physical acceptance</x:v>
      </x:c>
      <x:c r="I2414" t="str">
        <x:f>IF(E2414=1,"PASS","OPEN")</x:f>
        <x:v>OPEN</x:v>
      </x:c>
    </x:row>
    <x:row r="2415">
      <x:c r="B2415" t="str">
        <x:v>PH-DWG-22</x:v>
      </x:c>
      <x:c r="C2415" t="str">
        <x:v>PHYSICAL</x:v>
      </x:c>
      <x:c r="D2415" t="str">
        <x:v>drawing released</x:v>
      </x:c>
      <x:c r="E2415" t="n">
        <x:f>IF('Drawing Register'!E28&lt;&gt;"",1,0)</x:f>
        <x:v>0</x:v>
      </x:c>
      <x:c r="F2415" t="n">
        <x:v>1</x:v>
      </x:c>
      <x:c r="G2415" t="str">
        <x:v>equals</x:v>
      </x:c>
      <x:c r="H2415" t="str">
        <x:v>independent physical acceptance</x:v>
      </x:c>
      <x:c r="I2415" t="str">
        <x:f>IF(E2415=1,"PASS","OPEN")</x:f>
        <x:v>OPEN</x:v>
      </x:c>
    </x:row>
    <x:row r="2416">
      <x:c r="B2416" t="str">
        <x:v>PH-DWG-23</x:v>
      </x:c>
      <x:c r="C2416" t="str">
        <x:v>PHYSICAL</x:v>
      </x:c>
      <x:c r="D2416" t="str">
        <x:v>drawing released</x:v>
      </x:c>
      <x:c r="E2416" t="n">
        <x:f>IF('Drawing Register'!E29&lt;&gt;"",1,0)</x:f>
        <x:v>0</x:v>
      </x:c>
      <x:c r="F2416" t="n">
        <x:v>1</x:v>
      </x:c>
      <x:c r="G2416" t="str">
        <x:v>equals</x:v>
      </x:c>
      <x:c r="H2416" t="str">
        <x:v>independent physical acceptance</x:v>
      </x:c>
      <x:c r="I2416" t="str">
        <x:f>IF(E2416=1,"PASS","OPEN")</x:f>
        <x:v>OPEN</x:v>
      </x:c>
    </x:row>
    <x:row r="2417">
      <x:c r="B2417" t="str">
        <x:v>PH-DWG-24</x:v>
      </x:c>
      <x:c r="C2417" t="str">
        <x:v>PHYSICAL</x:v>
      </x:c>
      <x:c r="D2417" t="str">
        <x:v>drawing released</x:v>
      </x:c>
      <x:c r="E2417" t="n">
        <x:f>IF('Drawing Register'!E30&lt;&gt;"",1,0)</x:f>
        <x:v>0</x:v>
      </x:c>
      <x:c r="F2417" t="n">
        <x:v>1</x:v>
      </x:c>
      <x:c r="G2417" t="str">
        <x:v>equals</x:v>
      </x:c>
      <x:c r="H2417" t="str">
        <x:v>independent physical acceptance</x:v>
      </x:c>
      <x:c r="I2417" t="str">
        <x:f>IF(E2417=1,"PASS","OPEN")</x:f>
        <x:v>OPEN</x:v>
      </x:c>
    </x:row>
    <x:row r="2418">
      <x:c r="B2418" t="str">
        <x:v>PH-DWG-25</x:v>
      </x:c>
      <x:c r="C2418" t="str">
        <x:v>PHYSICAL</x:v>
      </x:c>
      <x:c r="D2418" t="str">
        <x:v>drawing released</x:v>
      </x:c>
      <x:c r="E2418" t="n">
        <x:f>IF('Drawing Register'!E31&lt;&gt;"",1,0)</x:f>
        <x:v>0</x:v>
      </x:c>
      <x:c r="F2418" t="n">
        <x:v>1</x:v>
      </x:c>
      <x:c r="G2418" t="str">
        <x:v>equals</x:v>
      </x:c>
      <x:c r="H2418" t="str">
        <x:v>independent physical acceptance</x:v>
      </x:c>
      <x:c r="I2418" t="str">
        <x:f>IF(E2418=1,"PASS","OPEN")</x:f>
        <x:v>OPEN</x:v>
      </x:c>
    </x:row>
    <x:row r="2419">
      <x:c r="B2419" t="str">
        <x:v>PH-DWG-26</x:v>
      </x:c>
      <x:c r="C2419" t="str">
        <x:v>PHYSICAL</x:v>
      </x:c>
      <x:c r="D2419" t="str">
        <x:v>drawing released</x:v>
      </x:c>
      <x:c r="E2419" t="n">
        <x:f>IF('Drawing Register'!E32&lt;&gt;"",1,0)</x:f>
        <x:v>0</x:v>
      </x:c>
      <x:c r="F2419" t="n">
        <x:v>1</x:v>
      </x:c>
      <x:c r="G2419" t="str">
        <x:v>equals</x:v>
      </x:c>
      <x:c r="H2419" t="str">
        <x:v>independent physical acceptance</x:v>
      </x:c>
      <x:c r="I2419" t="str">
        <x:f>IF(E2419=1,"PASS","OPEN")</x:f>
        <x:v>OPEN</x:v>
      </x:c>
    </x:row>
    <x:row r="2420">
      <x:c r="B2420" t="str">
        <x:v>PH-DWG-27</x:v>
      </x:c>
      <x:c r="C2420" t="str">
        <x:v>PHYSICAL</x:v>
      </x:c>
      <x:c r="D2420" t="str">
        <x:v>drawing released</x:v>
      </x:c>
      <x:c r="E2420" t="n">
        <x:f>IF('Drawing Register'!E33&lt;&gt;"",1,0)</x:f>
        <x:v>0</x:v>
      </x:c>
      <x:c r="F2420" t="n">
        <x:v>1</x:v>
      </x:c>
      <x:c r="G2420" t="str">
        <x:v>equals</x:v>
      </x:c>
      <x:c r="H2420" t="str">
        <x:v>independent physical acceptance</x:v>
      </x:c>
      <x:c r="I2420" t="str">
        <x:f>IF(E2420=1,"PASS","OPEN")</x:f>
        <x:v>OPEN</x:v>
      </x:c>
    </x:row>
    <x:row r="2421">
      <x:c r="B2421" t="str">
        <x:v>PH-DWG-28</x:v>
      </x:c>
      <x:c r="C2421" t="str">
        <x:v>PHYSICAL</x:v>
      </x:c>
      <x:c r="D2421" t="str">
        <x:v>drawing released</x:v>
      </x:c>
      <x:c r="E2421" t="n">
        <x:f>IF('Drawing Register'!E34&lt;&gt;"",1,0)</x:f>
        <x:v>0</x:v>
      </x:c>
      <x:c r="F2421" t="n">
        <x:v>1</x:v>
      </x:c>
      <x:c r="G2421" t="str">
        <x:v>equals</x:v>
      </x:c>
      <x:c r="H2421" t="str">
        <x:v>independent physical acceptance</x:v>
      </x:c>
      <x:c r="I2421" t="str">
        <x:f>IF(E2421=1,"PASS","OPEN")</x:f>
        <x:v>OPEN</x:v>
      </x:c>
    </x:row>
    <x:row r="2422">
      <x:c r="B2422" t="str">
        <x:v>PH-DWG-29</x:v>
      </x:c>
      <x:c r="C2422" t="str">
        <x:v>PHYSICAL</x:v>
      </x:c>
      <x:c r="D2422" t="str">
        <x:v>drawing released</x:v>
      </x:c>
      <x:c r="E2422" t="n">
        <x:f>IF('Drawing Register'!E35&lt;&gt;"",1,0)</x:f>
        <x:v>0</x:v>
      </x:c>
      <x:c r="F2422" t="n">
        <x:v>1</x:v>
      </x:c>
      <x:c r="G2422" t="str">
        <x:v>equals</x:v>
      </x:c>
      <x:c r="H2422" t="str">
        <x:v>independent physical acceptance</x:v>
      </x:c>
      <x:c r="I2422" t="str">
        <x:f>IF(E2422=1,"PASS","OPEN")</x:f>
        <x:v>OPEN</x:v>
      </x:c>
    </x:row>
    <x:row r="2423">
      <x:c r="B2423" t="str">
        <x:v>PH-DWG-30</x:v>
      </x:c>
      <x:c r="C2423" t="str">
        <x:v>PHYSICAL</x:v>
      </x:c>
      <x:c r="D2423" t="str">
        <x:v>drawing released</x:v>
      </x:c>
      <x:c r="E2423" t="n">
        <x:f>IF('Drawing Register'!E36&lt;&gt;"",1,0)</x:f>
        <x:v>0</x:v>
      </x:c>
      <x:c r="F2423" t="n">
        <x:v>1</x:v>
      </x:c>
      <x:c r="G2423" t="str">
        <x:v>equals</x:v>
      </x:c>
      <x:c r="H2423" t="str">
        <x:v>independent physical acceptance</x:v>
      </x:c>
      <x:c r="I2423" t="str">
        <x:f>IF(E2423=1,"PASS","OPEN")</x:f>
        <x:v>OPEN</x:v>
      </x:c>
    </x:row>
    <x:row r="2424">
      <x:c r="B2424" t="str">
        <x:v>PH-DWG-31</x:v>
      </x:c>
      <x:c r="C2424" t="str">
        <x:v>PHYSICAL</x:v>
      </x:c>
      <x:c r="D2424" t="str">
        <x:v>drawing released</x:v>
      </x:c>
      <x:c r="E2424" t="n">
        <x:f>IF('Drawing Register'!E37&lt;&gt;"",1,0)</x:f>
        <x:v>0</x:v>
      </x:c>
      <x:c r="F2424" t="n">
        <x:v>1</x:v>
      </x:c>
      <x:c r="G2424" t="str">
        <x:v>equals</x:v>
      </x:c>
      <x:c r="H2424" t="str">
        <x:v>independent physical acceptance</x:v>
      </x:c>
      <x:c r="I2424" t="str">
        <x:f>IF(E2424=1,"PASS","OPEN")</x:f>
        <x:v>OPEN</x:v>
      </x:c>
    </x:row>
    <x:row r="2425">
      <x:c r="B2425" t="str">
        <x:v>PH-DWG-32</x:v>
      </x:c>
      <x:c r="C2425" t="str">
        <x:v>PHYSICAL</x:v>
      </x:c>
      <x:c r="D2425" t="str">
        <x:v>drawing released</x:v>
      </x:c>
      <x:c r="E2425" t="n">
        <x:f>IF('Drawing Register'!E38&lt;&gt;"",1,0)</x:f>
        <x:v>0</x:v>
      </x:c>
      <x:c r="F2425" t="n">
        <x:v>1</x:v>
      </x:c>
      <x:c r="G2425" t="str">
        <x:v>equals</x:v>
      </x:c>
      <x:c r="H2425" t="str">
        <x:v>independent physical acceptance</x:v>
      </x:c>
      <x:c r="I2425" t="str">
        <x:f>IF(E2425=1,"PASS","OPEN")</x:f>
        <x:v>OPEN</x:v>
      </x:c>
    </x:row>
    <x:row r="2426">
      <x:c r="B2426" t="str">
        <x:v>PH-DWG-33</x:v>
      </x:c>
      <x:c r="C2426" t="str">
        <x:v>PHYSICAL</x:v>
      </x:c>
      <x:c r="D2426" t="str">
        <x:v>drawing released</x:v>
      </x:c>
      <x:c r="E2426" t="n">
        <x:f>IF('Drawing Register'!E39&lt;&gt;"",1,0)</x:f>
        <x:v>0</x:v>
      </x:c>
      <x:c r="F2426" t="n">
        <x:v>1</x:v>
      </x:c>
      <x:c r="G2426" t="str">
        <x:v>equals</x:v>
      </x:c>
      <x:c r="H2426" t="str">
        <x:v>independent physical acceptance</x:v>
      </x:c>
      <x:c r="I2426" t="str">
        <x:f>IF(E2426=1,"PASS","OPEN")</x:f>
        <x:v>OPEN</x:v>
      </x:c>
    </x:row>
    <x:row r="2427">
      <x:c r="B2427" t="str">
        <x:v>PH-DWG-34</x:v>
      </x:c>
      <x:c r="C2427" t="str">
        <x:v>PHYSICAL</x:v>
      </x:c>
      <x:c r="D2427" t="str">
        <x:v>drawing released</x:v>
      </x:c>
      <x:c r="E2427" t="n">
        <x:f>IF('Drawing Register'!E40&lt;&gt;"",1,0)</x:f>
        <x:v>0</x:v>
      </x:c>
      <x:c r="F2427" t="n">
        <x:v>1</x:v>
      </x:c>
      <x:c r="G2427" t="str">
        <x:v>equals</x:v>
      </x:c>
      <x:c r="H2427" t="str">
        <x:v>independent physical acceptance</x:v>
      </x:c>
      <x:c r="I2427" t="str">
        <x:f>IF(E2427=1,"PASS","OPEN")</x:f>
        <x:v>OPEN</x:v>
      </x:c>
    </x:row>
    <x:row r="2428">
      <x:c r="B2428" t="str">
        <x:v>PH-DWG-35</x:v>
      </x:c>
      <x:c r="C2428" t="str">
        <x:v>PHYSICAL</x:v>
      </x:c>
      <x:c r="D2428" t="str">
        <x:v>drawing released</x:v>
      </x:c>
      <x:c r="E2428" t="n">
        <x:f>IF('Drawing Register'!E41&lt;&gt;"",1,0)</x:f>
        <x:v>0</x:v>
      </x:c>
      <x:c r="F2428" t="n">
        <x:v>1</x:v>
      </x:c>
      <x:c r="G2428" t="str">
        <x:v>equals</x:v>
      </x:c>
      <x:c r="H2428" t="str">
        <x:v>independent physical acceptance</x:v>
      </x:c>
      <x:c r="I2428" t="str">
        <x:f>IF(E2428=1,"PASS","OPEN")</x:f>
        <x:v>OPEN</x:v>
      </x:c>
    </x:row>
    <x:row r="2429">
      <x:c r="B2429" t="str">
        <x:v>PH-DWG-36</x:v>
      </x:c>
      <x:c r="C2429" t="str">
        <x:v>PHYSICAL</x:v>
      </x:c>
      <x:c r="D2429" t="str">
        <x:v>drawing released</x:v>
      </x:c>
      <x:c r="E2429" t="n">
        <x:f>IF('Drawing Register'!E42&lt;&gt;"",1,0)</x:f>
        <x:v>0</x:v>
      </x:c>
      <x:c r="F2429" t="n">
        <x:v>1</x:v>
      </x:c>
      <x:c r="G2429" t="str">
        <x:v>equals</x:v>
      </x:c>
      <x:c r="H2429" t="str">
        <x:v>independent physical acceptance</x:v>
      </x:c>
      <x:c r="I2429" t="str">
        <x:f>IF(E2429=1,"PASS","OPEN")</x:f>
        <x:v>OPEN</x:v>
      </x:c>
    </x:row>
    <x:row r="2430">
      <x:c r="B2430" t="str">
        <x:v>PH-DWG-37</x:v>
      </x:c>
      <x:c r="C2430" t="str">
        <x:v>PHYSICAL</x:v>
      </x:c>
      <x:c r="D2430" t="str">
        <x:v>drawing released</x:v>
      </x:c>
      <x:c r="E2430" t="n">
        <x:f>IF('Drawing Register'!E43&lt;&gt;"",1,0)</x:f>
        <x:v>0</x:v>
      </x:c>
      <x:c r="F2430" t="n">
        <x:v>1</x:v>
      </x:c>
      <x:c r="G2430" t="str">
        <x:v>equals</x:v>
      </x:c>
      <x:c r="H2430" t="str">
        <x:v>independent physical acceptance</x:v>
      </x:c>
      <x:c r="I2430" t="str">
        <x:f>IF(E2430=1,"PASS","OPEN")</x:f>
        <x:v>OPEN</x:v>
      </x:c>
    </x:row>
    <x:row r="2431">
      <x:c r="B2431" t="str">
        <x:v>PH-DWG-38</x:v>
      </x:c>
      <x:c r="C2431" t="str">
        <x:v>PHYSICAL</x:v>
      </x:c>
      <x:c r="D2431" t="str">
        <x:v>drawing released</x:v>
      </x:c>
      <x:c r="E2431" t="n">
        <x:f>IF('Drawing Register'!E44&lt;&gt;"",1,0)</x:f>
        <x:v>0</x:v>
      </x:c>
      <x:c r="F2431" t="n">
        <x:v>1</x:v>
      </x:c>
      <x:c r="G2431" t="str">
        <x:v>equals</x:v>
      </x:c>
      <x:c r="H2431" t="str">
        <x:v>independent physical acceptance</x:v>
      </x:c>
      <x:c r="I2431" t="str">
        <x:f>IF(E2431=1,"PASS","OPEN")</x:f>
        <x:v>OPEN</x:v>
      </x:c>
    </x:row>
    <x:row r="2432">
      <x:c r="B2432" t="str">
        <x:v>PH-DWG-39</x:v>
      </x:c>
      <x:c r="C2432" t="str">
        <x:v>PHYSICAL</x:v>
      </x:c>
      <x:c r="D2432" t="str">
        <x:v>drawing released</x:v>
      </x:c>
      <x:c r="E2432" t="n">
        <x:f>IF('Drawing Register'!E45&lt;&gt;"",1,0)</x:f>
        <x:v>0</x:v>
      </x:c>
      <x:c r="F2432" t="n">
        <x:v>1</x:v>
      </x:c>
      <x:c r="G2432" t="str">
        <x:v>equals</x:v>
      </x:c>
      <x:c r="H2432" t="str">
        <x:v>independent physical acceptance</x:v>
      </x:c>
      <x:c r="I2432" t="str">
        <x:f>IF(E2432=1,"PASS","OPEN")</x:f>
        <x:v>OPEN</x:v>
      </x:c>
    </x:row>
    <x:row r="2433">
      <x:c r="B2433" t="str">
        <x:v>PH-DWG-40</x:v>
      </x:c>
      <x:c r="C2433" t="str">
        <x:v>PHYSICAL</x:v>
      </x:c>
      <x:c r="D2433" t="str">
        <x:v>drawing released</x:v>
      </x:c>
      <x:c r="E2433" t="n">
        <x:f>IF('Drawing Register'!E46&lt;&gt;"",1,0)</x:f>
        <x:v>0</x:v>
      </x:c>
      <x:c r="F2433" t="n">
        <x:v>1</x:v>
      </x:c>
      <x:c r="G2433" t="str">
        <x:v>equals</x:v>
      </x:c>
      <x:c r="H2433" t="str">
        <x:v>independent physical acceptance</x:v>
      </x:c>
      <x:c r="I2433" t="str">
        <x:f>IF(E2433=1,"PASS","OPEN")</x:f>
        <x:v>OPEN</x:v>
      </x:c>
    </x:row>
    <x:row r="2434">
      <x:c r="B2434" t="str">
        <x:v>PH-DWG-41</x:v>
      </x:c>
      <x:c r="C2434" t="str">
        <x:v>PHYSICAL</x:v>
      </x:c>
      <x:c r="D2434" t="str">
        <x:v>drawing released</x:v>
      </x:c>
      <x:c r="E2434" t="n">
        <x:f>IF('Drawing Register'!E47&lt;&gt;"",1,0)</x:f>
        <x:v>0</x:v>
      </x:c>
      <x:c r="F2434" t="n">
        <x:v>1</x:v>
      </x:c>
      <x:c r="G2434" t="str">
        <x:v>equals</x:v>
      </x:c>
      <x:c r="H2434" t="str">
        <x:v>independent physical acceptance</x:v>
      </x:c>
      <x:c r="I2434" t="str">
        <x:f>IF(E2434=1,"PASS","OPEN")</x:f>
        <x:v>OPEN</x:v>
      </x:c>
    </x:row>
    <x:row r="2435">
      <x:c r="B2435" t="str">
        <x:v>PH-DWG-42</x:v>
      </x:c>
      <x:c r="C2435" t="str">
        <x:v>PHYSICAL</x:v>
      </x:c>
      <x:c r="D2435" t="str">
        <x:v>drawing released</x:v>
      </x:c>
      <x:c r="E2435" t="n">
        <x:f>IF('Drawing Register'!E48&lt;&gt;"",1,0)</x:f>
        <x:v>0</x:v>
      </x:c>
      <x:c r="F2435" t="n">
        <x:v>1</x:v>
      </x:c>
      <x:c r="G2435" t="str">
        <x:v>equals</x:v>
      </x:c>
      <x:c r="H2435" t="str">
        <x:v>independent physical acceptance</x:v>
      </x:c>
      <x:c r="I2435" t="str">
        <x:f>IF(E2435=1,"PASS","OPEN")</x:f>
        <x:v>OPEN</x:v>
      </x:c>
    </x:row>
    <x:row r="2436">
      <x:c r="B2436" t="str">
        <x:v>PH-DWG-43</x:v>
      </x:c>
      <x:c r="C2436" t="str">
        <x:v>PHYSICAL</x:v>
      </x:c>
      <x:c r="D2436" t="str">
        <x:v>drawing released</x:v>
      </x:c>
      <x:c r="E2436" t="n">
        <x:f>IF('Drawing Register'!E49&lt;&gt;"",1,0)</x:f>
        <x:v>0</x:v>
      </x:c>
      <x:c r="F2436" t="n">
        <x:v>1</x:v>
      </x:c>
      <x:c r="G2436" t="str">
        <x:v>equals</x:v>
      </x:c>
      <x:c r="H2436" t="str">
        <x:v>independent physical acceptance</x:v>
      </x:c>
      <x:c r="I2436" t="str">
        <x:f>IF(E2436=1,"PASS","OPEN")</x:f>
        <x:v>OPEN</x:v>
      </x:c>
    </x:row>
    <x:row r="2437">
      <x:c r="B2437" t="str">
        <x:v>PH-DWG-44</x:v>
      </x:c>
      <x:c r="C2437" t="str">
        <x:v>PHYSICAL</x:v>
      </x:c>
      <x:c r="D2437" t="str">
        <x:v>drawing released</x:v>
      </x:c>
      <x:c r="E2437" t="n">
        <x:f>IF('Drawing Register'!E50&lt;&gt;"",1,0)</x:f>
        <x:v>0</x:v>
      </x:c>
      <x:c r="F2437" t="n">
        <x:v>1</x:v>
      </x:c>
      <x:c r="G2437" t="str">
        <x:v>equals</x:v>
      </x:c>
      <x:c r="H2437" t="str">
        <x:v>independent physical acceptance</x:v>
      </x:c>
      <x:c r="I2437" t="str">
        <x:f>IF(E2437=1,"PASS","OPEN")</x:f>
        <x:v>OPEN</x:v>
      </x:c>
    </x:row>
    <x:row r="2438">
      <x:c r="B2438" t="str">
        <x:v>PH-DWG-45</x:v>
      </x:c>
      <x:c r="C2438" t="str">
        <x:v>PHYSICAL</x:v>
      </x:c>
      <x:c r="D2438" t="str">
        <x:v>drawing released</x:v>
      </x:c>
      <x:c r="E2438" t="n">
        <x:f>IF('Drawing Register'!E51&lt;&gt;"",1,0)</x:f>
        <x:v>0</x:v>
      </x:c>
      <x:c r="F2438" t="n">
        <x:v>1</x:v>
      </x:c>
      <x:c r="G2438" t="str">
        <x:v>equals</x:v>
      </x:c>
      <x:c r="H2438" t="str">
        <x:v>independent physical acceptance</x:v>
      </x:c>
      <x:c r="I2438" t="str">
        <x:f>IF(E2438=1,"PASS","OPEN")</x:f>
        <x:v>OPEN</x:v>
      </x:c>
    </x:row>
    <x:row r="2439">
      <x:c r="B2439" t="str">
        <x:v>PH-DWG-46</x:v>
      </x:c>
      <x:c r="C2439" t="str">
        <x:v>PHYSICAL</x:v>
      </x:c>
      <x:c r="D2439" t="str">
        <x:v>drawing released</x:v>
      </x:c>
      <x:c r="E2439" t="n">
        <x:f>IF('Drawing Register'!E52&lt;&gt;"",1,0)</x:f>
        <x:v>0</x:v>
      </x:c>
      <x:c r="F2439" t="n">
        <x:v>1</x:v>
      </x:c>
      <x:c r="G2439" t="str">
        <x:v>equals</x:v>
      </x:c>
      <x:c r="H2439" t="str">
        <x:v>independent physical acceptance</x:v>
      </x:c>
      <x:c r="I2439" t="str">
        <x:f>IF(E2439=1,"PASS","OPEN")</x:f>
        <x:v>OPEN</x:v>
      </x:c>
    </x:row>
    <x:row r="2440">
      <x:c r="B2440" t="str">
        <x:v>PH-DWG-47</x:v>
      </x:c>
      <x:c r="C2440" t="str">
        <x:v>PHYSICAL</x:v>
      </x:c>
      <x:c r="D2440" t="str">
        <x:v>drawing released</x:v>
      </x:c>
      <x:c r="E2440" t="n">
        <x:f>IF('Drawing Register'!E53&lt;&gt;"",1,0)</x:f>
        <x:v>0</x:v>
      </x:c>
      <x:c r="F2440" t="n">
        <x:v>1</x:v>
      </x:c>
      <x:c r="G2440" t="str">
        <x:v>equals</x:v>
      </x:c>
      <x:c r="H2440" t="str">
        <x:v>independent physical acceptance</x:v>
      </x:c>
      <x:c r="I2440" t="str">
        <x:f>IF(E2440=1,"PASS","OPEN")</x:f>
        <x:v>OPEN</x:v>
      </x:c>
    </x:row>
    <x:row r="2441">
      <x:c r="B2441" t="str">
        <x:v>PH-DWG-48</x:v>
      </x:c>
      <x:c r="C2441" t="str">
        <x:v>PHYSICAL</x:v>
      </x:c>
      <x:c r="D2441" t="str">
        <x:v>drawing released</x:v>
      </x:c>
      <x:c r="E2441" t="n">
        <x:f>IF('Drawing Register'!E54&lt;&gt;"",1,0)</x:f>
        <x:v>0</x:v>
      </x:c>
      <x:c r="F2441" t="n">
        <x:v>1</x:v>
      </x:c>
      <x:c r="G2441" t="str">
        <x:v>equals</x:v>
      </x:c>
      <x:c r="H2441" t="str">
        <x:v>independent physical acceptance</x:v>
      </x:c>
      <x:c r="I2441" t="str">
        <x:f>IF(E2441=1,"PASS","OPEN")</x:f>
        <x:v>OPEN</x:v>
      </x:c>
    </x:row>
    <x:row r="2442">
      <x:c r="B2442" t="str">
        <x:v>PH-DWG-49</x:v>
      </x:c>
      <x:c r="C2442" t="str">
        <x:v>PHYSICAL</x:v>
      </x:c>
      <x:c r="D2442" t="str">
        <x:v>drawing released</x:v>
      </x:c>
      <x:c r="E2442" t="n">
        <x:f>IF('Drawing Register'!E55&lt;&gt;"",1,0)</x:f>
        <x:v>0</x:v>
      </x:c>
      <x:c r="F2442" t="n">
        <x:v>1</x:v>
      </x:c>
      <x:c r="G2442" t="str">
        <x:v>equals</x:v>
      </x:c>
      <x:c r="H2442" t="str">
        <x:v>independent physical acceptance</x:v>
      </x:c>
      <x:c r="I2442" t="str">
        <x:f>IF(E2442=1,"PASS","OPEN")</x:f>
        <x:v>OPEN</x:v>
      </x:c>
    </x:row>
    <x:row r="2443">
      <x:c r="B2443" t="str">
        <x:v>PH-DWG-50</x:v>
      </x:c>
      <x:c r="C2443" t="str">
        <x:v>PHYSICAL</x:v>
      </x:c>
      <x:c r="D2443" t="str">
        <x:v>drawing released</x:v>
      </x:c>
      <x:c r="E2443" t="n">
        <x:f>IF('Drawing Register'!E56&lt;&gt;"",1,0)</x:f>
        <x:v>0</x:v>
      </x:c>
      <x:c r="F2443" t="n">
        <x:v>1</x:v>
      </x:c>
      <x:c r="G2443" t="str">
        <x:v>equals</x:v>
      </x:c>
      <x:c r="H2443" t="str">
        <x:v>independent physical acceptance</x:v>
      </x:c>
      <x:c r="I2443" t="str">
        <x:f>IF(E2443=1,"PASS","OPEN")</x:f>
        <x:v>OPEN</x:v>
      </x:c>
    </x:row>
    <x:row r="2444">
      <x:c r="B2444" t="str">
        <x:v>PH-DWG-51</x:v>
      </x:c>
      <x:c r="C2444" t="str">
        <x:v>PHYSICAL</x:v>
      </x:c>
      <x:c r="D2444" t="str">
        <x:v>drawing released</x:v>
      </x:c>
      <x:c r="E2444" t="n">
        <x:f>IF('Drawing Register'!E57&lt;&gt;"",1,0)</x:f>
        <x:v>0</x:v>
      </x:c>
      <x:c r="F2444" t="n">
        <x:v>1</x:v>
      </x:c>
      <x:c r="G2444" t="str">
        <x:v>equals</x:v>
      </x:c>
      <x:c r="H2444" t="str">
        <x:v>independent physical acceptance</x:v>
      </x:c>
      <x:c r="I2444" t="str">
        <x:f>IF(E2444=1,"PASS","OPEN")</x:f>
        <x:v>OPEN</x:v>
      </x:c>
    </x:row>
    <x:row r="2445">
      <x:c r="B2445" t="str">
        <x:v>PH-DWG-52</x:v>
      </x:c>
      <x:c r="C2445" t="str">
        <x:v>PHYSICAL</x:v>
      </x:c>
      <x:c r="D2445" t="str">
        <x:v>drawing released</x:v>
      </x:c>
      <x:c r="E2445" t="n">
        <x:f>IF('Drawing Register'!E58&lt;&gt;"",1,0)</x:f>
        <x:v>0</x:v>
      </x:c>
      <x:c r="F2445" t="n">
        <x:v>1</x:v>
      </x:c>
      <x:c r="G2445" t="str">
        <x:v>equals</x:v>
      </x:c>
      <x:c r="H2445" t="str">
        <x:v>independent physical acceptance</x:v>
      </x:c>
      <x:c r="I2445" t="str">
        <x:f>IF(E2445=1,"PASS","OPEN")</x:f>
        <x:v>OPEN</x:v>
      </x:c>
    </x:row>
    <x:row r="2446">
      <x:c r="B2446" t="str">
        <x:v>PH-DWG-53</x:v>
      </x:c>
      <x:c r="C2446" t="str">
        <x:v>PHYSICAL</x:v>
      </x:c>
      <x:c r="D2446" t="str">
        <x:v>drawing released</x:v>
      </x:c>
      <x:c r="E2446" t="n">
        <x:f>IF('Drawing Register'!E59&lt;&gt;"",1,0)</x:f>
        <x:v>0</x:v>
      </x:c>
      <x:c r="F2446" t="n">
        <x:v>1</x:v>
      </x:c>
      <x:c r="G2446" t="str">
        <x:v>equals</x:v>
      </x:c>
      <x:c r="H2446" t="str">
        <x:v>independent physical acceptance</x:v>
      </x:c>
      <x:c r="I2446" t="str">
        <x:f>IF(E2446=1,"PASS","OPEN")</x:f>
        <x:v>OPEN</x:v>
      </x:c>
    </x:row>
    <x:row r="2447">
      <x:c r="B2447" t="str">
        <x:v>PH-DWG-54</x:v>
      </x:c>
      <x:c r="C2447" t="str">
        <x:v>PHYSICAL</x:v>
      </x:c>
      <x:c r="D2447" t="str">
        <x:v>drawing released</x:v>
      </x:c>
      <x:c r="E2447" t="n">
        <x:f>IF('Drawing Register'!E60&lt;&gt;"",1,0)</x:f>
        <x:v>0</x:v>
      </x:c>
      <x:c r="F2447" t="n">
        <x:v>1</x:v>
      </x:c>
      <x:c r="G2447" t="str">
        <x:v>equals</x:v>
      </x:c>
      <x:c r="H2447" t="str">
        <x:v>independent physical acceptance</x:v>
      </x:c>
      <x:c r="I2447" t="str">
        <x:f>IF(E2447=1,"PASS","OPEN")</x:f>
        <x:v>OPEN</x:v>
      </x:c>
    </x:row>
    <x:row r="2448">
      <x:c r="B2448" t="str">
        <x:v>PH-DWG-55</x:v>
      </x:c>
      <x:c r="C2448" t="str">
        <x:v>PHYSICAL</x:v>
      </x:c>
      <x:c r="D2448" t="str">
        <x:v>drawing released</x:v>
      </x:c>
      <x:c r="E2448" t="n">
        <x:f>IF('Drawing Register'!E61&lt;&gt;"",1,0)</x:f>
        <x:v>0</x:v>
      </x:c>
      <x:c r="F2448" t="n">
        <x:v>1</x:v>
      </x:c>
      <x:c r="G2448" t="str">
        <x:v>equals</x:v>
      </x:c>
      <x:c r="H2448" t="str">
        <x:v>independent physical acceptance</x:v>
      </x:c>
      <x:c r="I2448" t="str">
        <x:f>IF(E2448=1,"PASS","OPEN")</x:f>
        <x:v>OPEN</x:v>
      </x:c>
    </x:row>
    <x:row r="2449">
      <x:c r="B2449" t="str">
        <x:v>PH-DWG-56</x:v>
      </x:c>
      <x:c r="C2449" t="str">
        <x:v>PHYSICAL</x:v>
      </x:c>
      <x:c r="D2449" t="str">
        <x:v>drawing released</x:v>
      </x:c>
      <x:c r="E2449" t="n">
        <x:f>IF('Drawing Register'!E62&lt;&gt;"",1,0)</x:f>
        <x:v>0</x:v>
      </x:c>
      <x:c r="F2449" t="n">
        <x:v>1</x:v>
      </x:c>
      <x:c r="G2449" t="str">
        <x:v>equals</x:v>
      </x:c>
      <x:c r="H2449" t="str">
        <x:v>independent physical acceptance</x:v>
      </x:c>
      <x:c r="I2449" t="str">
        <x:f>IF(E2449=1,"PASS","OPEN")</x:f>
        <x:v>OPEN</x:v>
      </x:c>
    </x:row>
    <x:row r="2450">
      <x:c r="B2450" t="str">
        <x:v>PH-DWG-57</x:v>
      </x:c>
      <x:c r="C2450" t="str">
        <x:v>PHYSICAL</x:v>
      </x:c>
      <x:c r="D2450" t="str">
        <x:v>drawing released</x:v>
      </x:c>
      <x:c r="E2450" t="n">
        <x:f>IF('Drawing Register'!E63&lt;&gt;"",1,0)</x:f>
        <x:v>0</x:v>
      </x:c>
      <x:c r="F2450" t="n">
        <x:v>1</x:v>
      </x:c>
      <x:c r="G2450" t="str">
        <x:v>equals</x:v>
      </x:c>
      <x:c r="H2450" t="str">
        <x:v>independent physical acceptance</x:v>
      </x:c>
      <x:c r="I2450" t="str">
        <x:f>IF(E2450=1,"PASS","OPEN")</x:f>
        <x:v>OPEN</x:v>
      </x:c>
    </x:row>
    <x:row r="2451">
      <x:c r="B2451" t="str">
        <x:v>PH-DWG-58</x:v>
      </x:c>
      <x:c r="C2451" t="str">
        <x:v>PHYSICAL</x:v>
      </x:c>
      <x:c r="D2451" t="str">
        <x:v>drawing released</x:v>
      </x:c>
      <x:c r="E2451" t="n">
        <x:f>IF('Drawing Register'!E64&lt;&gt;"",1,0)</x:f>
        <x:v>0</x:v>
      </x:c>
      <x:c r="F2451" t="n">
        <x:v>1</x:v>
      </x:c>
      <x:c r="G2451" t="str">
        <x:v>equals</x:v>
      </x:c>
      <x:c r="H2451" t="str">
        <x:v>independent physical acceptance</x:v>
      </x:c>
      <x:c r="I2451" t="str">
        <x:f>IF(E2451=1,"PASS","OPEN")</x:f>
        <x:v>OPEN</x:v>
      </x:c>
    </x:row>
    <x:row r="2452">
      <x:c r="B2452" t="str">
        <x:v>PH-DWG-59</x:v>
      </x:c>
      <x:c r="C2452" t="str">
        <x:v>PHYSICAL</x:v>
      </x:c>
      <x:c r="D2452" t="str">
        <x:v>drawing released</x:v>
      </x:c>
      <x:c r="E2452" t="n">
        <x:f>IF('Drawing Register'!E65&lt;&gt;"",1,0)</x:f>
        <x:v>0</x:v>
      </x:c>
      <x:c r="F2452" t="n">
        <x:v>1</x:v>
      </x:c>
      <x:c r="G2452" t="str">
        <x:v>equals</x:v>
      </x:c>
      <x:c r="H2452" t="str">
        <x:v>independent physical acceptance</x:v>
      </x:c>
      <x:c r="I2452" t="str">
        <x:f>IF(E2452=1,"PASS","OPEN")</x:f>
        <x:v>OPEN</x:v>
      </x:c>
    </x:row>
    <x:row r="2453">
      <x:c r="B2453" t="str">
        <x:v>PH-DWG-60</x:v>
      </x:c>
      <x:c r="C2453" t="str">
        <x:v>PHYSICAL</x:v>
      </x:c>
      <x:c r="D2453" t="str">
        <x:v>drawing released</x:v>
      </x:c>
      <x:c r="E2453" t="n">
        <x:f>IF('Drawing Register'!E66&lt;&gt;"",1,0)</x:f>
        <x:v>0</x:v>
      </x:c>
      <x:c r="F2453" t="n">
        <x:v>1</x:v>
      </x:c>
      <x:c r="G2453" t="str">
        <x:v>equals</x:v>
      </x:c>
      <x:c r="H2453" t="str">
        <x:v>independent physical acceptance</x:v>
      </x:c>
      <x:c r="I2453" t="str">
        <x:f>IF(E2453=1,"PASS","OPEN")</x:f>
        <x:v>OPEN</x:v>
      </x:c>
    </x:row>
    <x:row r="2454">
      <x:c r="B2454" t="str">
        <x:v>PH-DWG-61</x:v>
      </x:c>
      <x:c r="C2454" t="str">
        <x:v>PHYSICAL</x:v>
      </x:c>
      <x:c r="D2454" t="str">
        <x:v>drawing released</x:v>
      </x:c>
      <x:c r="E2454" t="n">
        <x:f>IF('Drawing Register'!E67&lt;&gt;"",1,0)</x:f>
        <x:v>0</x:v>
      </x:c>
      <x:c r="F2454" t="n">
        <x:v>1</x:v>
      </x:c>
      <x:c r="G2454" t="str">
        <x:v>equals</x:v>
      </x:c>
      <x:c r="H2454" t="str">
        <x:v>independent physical acceptance</x:v>
      </x:c>
      <x:c r="I2454" t="str">
        <x:f>IF(E2454=1,"PASS","OPEN")</x:f>
        <x:v>OPEN</x:v>
      </x:c>
    </x:row>
    <x:row r="2455">
      <x:c r="B2455" t="str">
        <x:v>PH-DWG-62</x:v>
      </x:c>
      <x:c r="C2455" t="str">
        <x:v>PHYSICAL</x:v>
      </x:c>
      <x:c r="D2455" t="str">
        <x:v>drawing released</x:v>
      </x:c>
      <x:c r="E2455" t="n">
        <x:f>IF('Drawing Register'!E68&lt;&gt;"",1,0)</x:f>
        <x:v>0</x:v>
      </x:c>
      <x:c r="F2455" t="n">
        <x:v>1</x:v>
      </x:c>
      <x:c r="G2455" t="str">
        <x:v>equals</x:v>
      </x:c>
      <x:c r="H2455" t="str">
        <x:v>independent physical acceptance</x:v>
      </x:c>
      <x:c r="I2455" t="str">
        <x:f>IF(E2455=1,"PASS","OPEN")</x:f>
        <x:v>OPEN</x:v>
      </x:c>
    </x:row>
    <x:row r="2456">
      <x:c r="B2456" t="str">
        <x:v>PH-DWG-63</x:v>
      </x:c>
      <x:c r="C2456" t="str">
        <x:v>PHYSICAL</x:v>
      </x:c>
      <x:c r="D2456" t="str">
        <x:v>drawing released</x:v>
      </x:c>
      <x:c r="E2456" t="n">
        <x:f>IF('Drawing Register'!E69&lt;&gt;"",1,0)</x:f>
        <x:v>0</x:v>
      </x:c>
      <x:c r="F2456" t="n">
        <x:v>1</x:v>
      </x:c>
      <x:c r="G2456" t="str">
        <x:v>equals</x:v>
      </x:c>
      <x:c r="H2456" t="str">
        <x:v>independent physical acceptance</x:v>
      </x:c>
      <x:c r="I2456" t="str">
        <x:f>IF(E2456=1,"PASS","OPEN")</x:f>
        <x:v>OPEN</x:v>
      </x:c>
    </x:row>
    <x:row r="2457">
      <x:c r="B2457" t="str">
        <x:v>PH-DWG-64</x:v>
      </x:c>
      <x:c r="C2457" t="str">
        <x:v>PHYSICAL</x:v>
      </x:c>
      <x:c r="D2457" t="str">
        <x:v>drawing released</x:v>
      </x:c>
      <x:c r="E2457" t="n">
        <x:f>IF('Drawing Register'!E70&lt;&gt;"",1,0)</x:f>
        <x:v>0</x:v>
      </x:c>
      <x:c r="F2457" t="n">
        <x:v>1</x:v>
      </x:c>
      <x:c r="G2457" t="str">
        <x:v>equals</x:v>
      </x:c>
      <x:c r="H2457" t="str">
        <x:v>independent physical acceptance</x:v>
      </x:c>
      <x:c r="I2457" t="str">
        <x:f>IF(E2457=1,"PASS","OPEN")</x:f>
        <x:v>OPEN</x:v>
      </x:c>
    </x:row>
    <x:row r="2458">
      <x:c r="B2458" t="str">
        <x:v>PH-DWG-65</x:v>
      </x:c>
      <x:c r="C2458" t="str">
        <x:v>PHYSICAL</x:v>
      </x:c>
      <x:c r="D2458" t="str">
        <x:v>drawing released</x:v>
      </x:c>
      <x:c r="E2458" t="n">
        <x:f>IF('Drawing Register'!E71&lt;&gt;"",1,0)</x:f>
        <x:v>0</x:v>
      </x:c>
      <x:c r="F2458" t="n">
        <x:v>1</x:v>
      </x:c>
      <x:c r="G2458" t="str">
        <x:v>equals</x:v>
      </x:c>
      <x:c r="H2458" t="str">
        <x:v>independent physical acceptance</x:v>
      </x:c>
      <x:c r="I2458" t="str">
        <x:f>IF(E2458=1,"PASS","OPEN")</x:f>
        <x:v>OPEN</x:v>
      </x:c>
    </x:row>
    <x:row r="2459">
      <x:c r="B2459" t="str">
        <x:v>PH-DWG-66</x:v>
      </x:c>
      <x:c r="C2459" t="str">
        <x:v>PHYSICAL</x:v>
      </x:c>
      <x:c r="D2459" t="str">
        <x:v>drawing released</x:v>
      </x:c>
      <x:c r="E2459" t="n">
        <x:f>IF('Drawing Register'!E72&lt;&gt;"",1,0)</x:f>
        <x:v>0</x:v>
      </x:c>
      <x:c r="F2459" t="n">
        <x:v>1</x:v>
      </x:c>
      <x:c r="G2459" t="str">
        <x:v>equals</x:v>
      </x:c>
      <x:c r="H2459" t="str">
        <x:v>independent physical acceptance</x:v>
      </x:c>
      <x:c r="I2459" t="str">
        <x:f>IF(E2459=1,"PASS","OPEN")</x:f>
        <x:v>OPEN</x:v>
      </x:c>
    </x:row>
    <x:row r="2460">
      <x:c r="B2460" t="str">
        <x:v>PH-DWG-67</x:v>
      </x:c>
      <x:c r="C2460" t="str">
        <x:v>PHYSICAL</x:v>
      </x:c>
      <x:c r="D2460" t="str">
        <x:v>drawing released</x:v>
      </x:c>
      <x:c r="E2460" t="n">
        <x:f>IF('Drawing Register'!E73&lt;&gt;"",1,0)</x:f>
        <x:v>0</x:v>
      </x:c>
      <x:c r="F2460" t="n">
        <x:v>1</x:v>
      </x:c>
      <x:c r="G2460" t="str">
        <x:v>equals</x:v>
      </x:c>
      <x:c r="H2460" t="str">
        <x:v>independent physical acceptance</x:v>
      </x:c>
      <x:c r="I2460" t="str">
        <x:f>IF(E2460=1,"PASS","OPEN")</x:f>
        <x:v>OPEN</x:v>
      </x:c>
    </x:row>
    <x:row r="2461">
      <x:c r="B2461" t="str">
        <x:v>PH-DWG-68</x:v>
      </x:c>
      <x:c r="C2461" t="str">
        <x:v>PHYSICAL</x:v>
      </x:c>
      <x:c r="D2461" t="str">
        <x:v>drawing released</x:v>
      </x:c>
      <x:c r="E2461" t="n">
        <x:f>IF('Drawing Register'!E74&lt;&gt;"",1,0)</x:f>
        <x:v>0</x:v>
      </x:c>
      <x:c r="F2461" t="n">
        <x:v>1</x:v>
      </x:c>
      <x:c r="G2461" t="str">
        <x:v>equals</x:v>
      </x:c>
      <x:c r="H2461" t="str">
        <x:v>independent physical acceptance</x:v>
      </x:c>
      <x:c r="I2461" t="str">
        <x:f>IF(E2461=1,"PASS","OPEN")</x:f>
        <x:v>OPEN</x:v>
      </x:c>
    </x:row>
    <x:row r="2462">
      <x:c r="B2462" t="str">
        <x:v>PH-DWG-69</x:v>
      </x:c>
      <x:c r="C2462" t="str">
        <x:v>PHYSICAL</x:v>
      </x:c>
      <x:c r="D2462" t="str">
        <x:v>drawing released</x:v>
      </x:c>
      <x:c r="E2462" t="n">
        <x:f>IF('Drawing Register'!E75&lt;&gt;"",1,0)</x:f>
        <x:v>0</x:v>
      </x:c>
      <x:c r="F2462" t="n">
        <x:v>1</x:v>
      </x:c>
      <x:c r="G2462" t="str">
        <x:v>equals</x:v>
      </x:c>
      <x:c r="H2462" t="str">
        <x:v>independent physical acceptance</x:v>
      </x:c>
      <x:c r="I2462" t="str">
        <x:f>IF(E2462=1,"PASS","OPEN")</x:f>
        <x:v>OPEN</x:v>
      </x:c>
    </x:row>
    <x:row r="2463">
      <x:c r="B2463" t="str">
        <x:v>PH-DWG-70</x:v>
      </x:c>
      <x:c r="C2463" t="str">
        <x:v>PHYSICAL</x:v>
      </x:c>
      <x:c r="D2463" t="str">
        <x:v>drawing released</x:v>
      </x:c>
      <x:c r="E2463" t="n">
        <x:f>IF('Drawing Register'!E76&lt;&gt;"",1,0)</x:f>
        <x:v>0</x:v>
      </x:c>
      <x:c r="F2463" t="n">
        <x:v>1</x:v>
      </x:c>
      <x:c r="G2463" t="str">
        <x:v>equals</x:v>
      </x:c>
      <x:c r="H2463" t="str">
        <x:v>independent physical acceptance</x:v>
      </x:c>
      <x:c r="I2463" t="str">
        <x:f>IF(E2463=1,"PASS","OPEN")</x:f>
        <x:v>OPEN</x:v>
      </x:c>
    </x:row>
    <x:row r="2464">
      <x:c r="B2464" t="str">
        <x:v>PH-DWG-71</x:v>
      </x:c>
      <x:c r="C2464" t="str">
        <x:v>PHYSICAL</x:v>
      </x:c>
      <x:c r="D2464" t="str">
        <x:v>drawing released</x:v>
      </x:c>
      <x:c r="E2464" t="n">
        <x:f>IF('Drawing Register'!E77&lt;&gt;"",1,0)</x:f>
        <x:v>0</x:v>
      </x:c>
      <x:c r="F2464" t="n">
        <x:v>1</x:v>
      </x:c>
      <x:c r="G2464" t="str">
        <x:v>equals</x:v>
      </x:c>
      <x:c r="H2464" t="str">
        <x:v>independent physical acceptance</x:v>
      </x:c>
      <x:c r="I2464" t="str">
        <x:f>IF(E2464=1,"PASS","OPEN")</x:f>
        <x:v>OPEN</x:v>
      </x:c>
    </x:row>
    <x:row r="2465">
      <x:c r="B2465" t="str">
        <x:v>PH-DWG-72</x:v>
      </x:c>
      <x:c r="C2465" t="str">
        <x:v>PHYSICAL</x:v>
      </x:c>
      <x:c r="D2465" t="str">
        <x:v>drawing released</x:v>
      </x:c>
      <x:c r="E2465" t="n">
        <x:f>IF('Drawing Register'!E78&lt;&gt;"",1,0)</x:f>
        <x:v>0</x:v>
      </x:c>
      <x:c r="F2465" t="n">
        <x:v>1</x:v>
      </x:c>
      <x:c r="G2465" t="str">
        <x:v>equals</x:v>
      </x:c>
      <x:c r="H2465" t="str">
        <x:v>independent physical acceptance</x:v>
      </x:c>
      <x:c r="I2465" t="str">
        <x:f>IF(E2465=1,"PASS","OPEN")</x:f>
        <x:v>OPEN</x:v>
      </x:c>
    </x:row>
    <x:row r="2466">
      <x:c r="B2466" t="str">
        <x:v>PH-DWG-73</x:v>
      </x:c>
      <x:c r="C2466" t="str">
        <x:v>PHYSICAL</x:v>
      </x:c>
      <x:c r="D2466" t="str">
        <x:v>drawing released</x:v>
      </x:c>
      <x:c r="E2466" t="n">
        <x:f>IF('Drawing Register'!E79&lt;&gt;"",1,0)</x:f>
        <x:v>0</x:v>
      </x:c>
      <x:c r="F2466" t="n">
        <x:v>1</x:v>
      </x:c>
      <x:c r="G2466" t="str">
        <x:v>equals</x:v>
      </x:c>
      <x:c r="H2466" t="str">
        <x:v>independent physical acceptance</x:v>
      </x:c>
      <x:c r="I2466" t="str">
        <x:f>IF(E2466=1,"PASS","OPEN")</x:f>
        <x:v>OPEN</x:v>
      </x:c>
    </x:row>
    <x:row r="2467">
      <x:c r="B2467" t="str">
        <x:v>PH-DWG-74</x:v>
      </x:c>
      <x:c r="C2467" t="str">
        <x:v>PHYSICAL</x:v>
      </x:c>
      <x:c r="D2467" t="str">
        <x:v>drawing released</x:v>
      </x:c>
      <x:c r="E2467" t="n">
        <x:f>IF('Drawing Register'!E80&lt;&gt;"",1,0)</x:f>
        <x:v>0</x:v>
      </x:c>
      <x:c r="F2467" t="n">
        <x:v>1</x:v>
      </x:c>
      <x:c r="G2467" t="str">
        <x:v>equals</x:v>
      </x:c>
      <x:c r="H2467" t="str">
        <x:v>independent physical acceptance</x:v>
      </x:c>
      <x:c r="I2467" t="str">
        <x:f>IF(E2467=1,"PASS","OPEN")</x:f>
        <x:v>OPEN</x:v>
      </x:c>
    </x:row>
    <x:row r="2468">
      <x:c r="B2468" t="str">
        <x:v>PH-DWG-75</x:v>
      </x:c>
      <x:c r="C2468" t="str">
        <x:v>PHYSICAL</x:v>
      </x:c>
      <x:c r="D2468" t="str">
        <x:v>drawing released</x:v>
      </x:c>
      <x:c r="E2468" t="n">
        <x:f>IF('Drawing Register'!E81&lt;&gt;"",1,0)</x:f>
        <x:v>0</x:v>
      </x:c>
      <x:c r="F2468" t="n">
        <x:v>1</x:v>
      </x:c>
      <x:c r="G2468" t="str">
        <x:v>equals</x:v>
      </x:c>
      <x:c r="H2468" t="str">
        <x:v>independent physical acceptance</x:v>
      </x:c>
      <x:c r="I2468" t="str">
        <x:f>IF(E2468=1,"PASS","OPEN")</x:f>
        <x:v>OPEN</x:v>
      </x:c>
    </x:row>
    <x:row r="2469">
      <x:c r="B2469" t="str">
        <x:v>PH-DWG-76</x:v>
      </x:c>
      <x:c r="C2469" t="str">
        <x:v>PHYSICAL</x:v>
      </x:c>
      <x:c r="D2469" t="str">
        <x:v>drawing released</x:v>
      </x:c>
      <x:c r="E2469" t="n">
        <x:f>IF('Drawing Register'!E82&lt;&gt;"",1,0)</x:f>
        <x:v>0</x:v>
      </x:c>
      <x:c r="F2469" t="n">
        <x:v>1</x:v>
      </x:c>
      <x:c r="G2469" t="str">
        <x:v>equals</x:v>
      </x:c>
      <x:c r="H2469" t="str">
        <x:v>independent physical acceptance</x:v>
      </x:c>
      <x:c r="I2469" t="str">
        <x:f>IF(E2469=1,"PASS","OPEN")</x:f>
        <x:v>OPEN</x:v>
      </x:c>
    </x:row>
    <x:row r="2470">
      <x:c r="B2470" t="str">
        <x:v>PH-DWG-77</x:v>
      </x:c>
      <x:c r="C2470" t="str">
        <x:v>PHYSICAL</x:v>
      </x:c>
      <x:c r="D2470" t="str">
        <x:v>drawing released</x:v>
      </x:c>
      <x:c r="E2470" t="n">
        <x:f>IF('Drawing Register'!E83&lt;&gt;"",1,0)</x:f>
        <x:v>0</x:v>
      </x:c>
      <x:c r="F2470" t="n">
        <x:v>1</x:v>
      </x:c>
      <x:c r="G2470" t="str">
        <x:v>equals</x:v>
      </x:c>
      <x:c r="H2470" t="str">
        <x:v>independent physical acceptance</x:v>
      </x:c>
      <x:c r="I2470" t="str">
        <x:f>IF(E2470=1,"PASS","OPEN")</x:f>
        <x:v>OPEN</x:v>
      </x:c>
    </x:row>
    <x:row r="2471">
      <x:c r="B2471" t="str">
        <x:v>PH-DWG-78</x:v>
      </x:c>
      <x:c r="C2471" t="str">
        <x:v>PHYSICAL</x:v>
      </x:c>
      <x:c r="D2471" t="str">
        <x:v>drawing released</x:v>
      </x:c>
      <x:c r="E2471" t="n">
        <x:f>IF('Drawing Register'!E84&lt;&gt;"",1,0)</x:f>
        <x:v>0</x:v>
      </x:c>
      <x:c r="F2471" t="n">
        <x:v>1</x:v>
      </x:c>
      <x:c r="G2471" t="str">
        <x:v>equals</x:v>
      </x:c>
      <x:c r="H2471" t="str">
        <x:v>independent physical acceptance</x:v>
      </x:c>
      <x:c r="I2471" t="str">
        <x:f>IF(E2471=1,"PASS","OPEN")</x:f>
        <x:v>OPEN</x:v>
      </x:c>
    </x:row>
    <x:row r="2472">
      <x:c r="B2472" t="str">
        <x:v>PH-DWG-79</x:v>
      </x:c>
      <x:c r="C2472" t="str">
        <x:v>PHYSICAL</x:v>
      </x:c>
      <x:c r="D2472" t="str">
        <x:v>drawing released</x:v>
      </x:c>
      <x:c r="E2472" t="n">
        <x:f>IF('Drawing Register'!E85&lt;&gt;"",1,0)</x:f>
        <x:v>0</x:v>
      </x:c>
      <x:c r="F2472" t="n">
        <x:v>1</x:v>
      </x:c>
      <x:c r="G2472" t="str">
        <x:v>equals</x:v>
      </x:c>
      <x:c r="H2472" t="str">
        <x:v>independent physical acceptance</x:v>
      </x:c>
      <x:c r="I2472" t="str">
        <x:f>IF(E2472=1,"PASS","OPEN")</x:f>
        <x:v>OPEN</x:v>
      </x:c>
    </x:row>
    <x:row r="2473">
      <x:c r="B2473" t="str">
        <x:v>PH-DWG-80</x:v>
      </x:c>
      <x:c r="C2473" t="str">
        <x:v>PHYSICAL</x:v>
      </x:c>
      <x:c r="D2473" t="str">
        <x:v>drawing released</x:v>
      </x:c>
      <x:c r="E2473" t="n">
        <x:f>IF('Drawing Register'!E86&lt;&gt;"",1,0)</x:f>
        <x:v>0</x:v>
      </x:c>
      <x:c r="F2473" t="n">
        <x:v>1</x:v>
      </x:c>
      <x:c r="G2473" t="str">
        <x:v>equals</x:v>
      </x:c>
      <x:c r="H2473" t="str">
        <x:v>independent physical acceptance</x:v>
      </x:c>
      <x:c r="I2473" t="str">
        <x:f>IF(E2473=1,"PASS","OPEN")</x:f>
        <x:v>OPEN</x:v>
      </x:c>
    </x:row>
    <x:row r="2474">
      <x:c r="B2474" t="str">
        <x:v>PH-DWG-81</x:v>
      </x:c>
      <x:c r="C2474" t="str">
        <x:v>PHYSICAL</x:v>
      </x:c>
      <x:c r="D2474" t="str">
        <x:v>drawing released</x:v>
      </x:c>
      <x:c r="E2474" t="n">
        <x:f>IF('Drawing Register'!E87&lt;&gt;"",1,0)</x:f>
        <x:v>0</x:v>
      </x:c>
      <x:c r="F2474" t="n">
        <x:v>1</x:v>
      </x:c>
      <x:c r="G2474" t="str">
        <x:v>equals</x:v>
      </x:c>
      <x:c r="H2474" t="str">
        <x:v>independent physical acceptance</x:v>
      </x:c>
      <x:c r="I2474" t="str">
        <x:f>IF(E2474=1,"PASS","OPEN")</x:f>
        <x:v>OPEN</x:v>
      </x:c>
    </x:row>
    <x:row r="2475">
      <x:c r="B2475" t="str">
        <x:v>PH-DWG-82</x:v>
      </x:c>
      <x:c r="C2475" t="str">
        <x:v>PHYSICAL</x:v>
      </x:c>
      <x:c r="D2475" t="str">
        <x:v>drawing released</x:v>
      </x:c>
      <x:c r="E2475" t="n">
        <x:f>IF('Drawing Register'!E88&lt;&gt;"",1,0)</x:f>
        <x:v>0</x:v>
      </x:c>
      <x:c r="F2475" t="n">
        <x:v>1</x:v>
      </x:c>
      <x:c r="G2475" t="str">
        <x:v>equals</x:v>
      </x:c>
      <x:c r="H2475" t="str">
        <x:v>independent physical acceptance</x:v>
      </x:c>
      <x:c r="I2475" t="str">
        <x:f>IF(E2475=1,"PASS","OPEN")</x:f>
        <x:v>OPEN</x:v>
      </x:c>
    </x:row>
    <x:row r="2476">
      <x:c r="B2476" t="str">
        <x:v>PH-DWG-83</x:v>
      </x:c>
      <x:c r="C2476" t="str">
        <x:v>PHYSICAL</x:v>
      </x:c>
      <x:c r="D2476" t="str">
        <x:v>drawing released</x:v>
      </x:c>
      <x:c r="E2476" t="n">
        <x:f>IF('Drawing Register'!E89&lt;&gt;"",1,0)</x:f>
        <x:v>0</x:v>
      </x:c>
      <x:c r="F2476" t="n">
        <x:v>1</x:v>
      </x:c>
      <x:c r="G2476" t="str">
        <x:v>equals</x:v>
      </x:c>
      <x:c r="H2476" t="str">
        <x:v>independent physical acceptance</x:v>
      </x:c>
      <x:c r="I2476" t="str">
        <x:f>IF(E2476=1,"PASS","OPEN")</x:f>
        <x:v>OPEN</x:v>
      </x:c>
    </x:row>
    <x:row r="2477">
      <x:c r="B2477" t="str">
        <x:v>PH-DWG-84</x:v>
      </x:c>
      <x:c r="C2477" t="str">
        <x:v>PHYSICAL</x:v>
      </x:c>
      <x:c r="D2477" t="str">
        <x:v>drawing released</x:v>
      </x:c>
      <x:c r="E2477" t="n">
        <x:f>IF('Drawing Register'!E90&lt;&gt;"",1,0)</x:f>
        <x:v>0</x:v>
      </x:c>
      <x:c r="F2477" t="n">
        <x:v>1</x:v>
      </x:c>
      <x:c r="G2477" t="str">
        <x:v>equals</x:v>
      </x:c>
      <x:c r="H2477" t="str">
        <x:v>independent physical acceptance</x:v>
      </x:c>
      <x:c r="I2477" t="str">
        <x:f>IF(E2477=1,"PASS","OPEN")</x:f>
        <x:v>OPEN</x:v>
      </x:c>
    </x:row>
    <x:row r="2478">
      <x:c r="B2478" t="str">
        <x:v>PH-DWG-85</x:v>
      </x:c>
      <x:c r="C2478" t="str">
        <x:v>PHYSICAL</x:v>
      </x:c>
      <x:c r="D2478" t="str">
        <x:v>drawing released</x:v>
      </x:c>
      <x:c r="E2478" t="n">
        <x:f>IF('Drawing Register'!E91&lt;&gt;"",1,0)</x:f>
        <x:v>0</x:v>
      </x:c>
      <x:c r="F2478" t="n">
        <x:v>1</x:v>
      </x:c>
      <x:c r="G2478" t="str">
        <x:v>equals</x:v>
      </x:c>
      <x:c r="H2478" t="str">
        <x:v>independent physical acceptance</x:v>
      </x:c>
      <x:c r="I2478" t="str">
        <x:f>IF(E2478=1,"PASS","OPEN")</x:f>
        <x:v>OPEN</x:v>
      </x:c>
    </x:row>
    <x:row r="2479">
      <x:c r="B2479" t="str">
        <x:v>PH-DWG-86</x:v>
      </x:c>
      <x:c r="C2479" t="str">
        <x:v>PHYSICAL</x:v>
      </x:c>
      <x:c r="D2479" t="str">
        <x:v>drawing released</x:v>
      </x:c>
      <x:c r="E2479" t="n">
        <x:f>IF('Drawing Register'!E92&lt;&gt;"",1,0)</x:f>
        <x:v>0</x:v>
      </x:c>
      <x:c r="F2479" t="n">
        <x:v>1</x:v>
      </x:c>
      <x:c r="G2479" t="str">
        <x:v>equals</x:v>
      </x:c>
      <x:c r="H2479" t="str">
        <x:v>independent physical acceptance</x:v>
      </x:c>
      <x:c r="I2479" t="str">
        <x:f>IF(E2479=1,"PASS","OPEN")</x:f>
        <x:v>OPEN</x:v>
      </x:c>
    </x:row>
    <x:row r="2480">
      <x:c r="B2480" t="str">
        <x:v>PH-DWG-87</x:v>
      </x:c>
      <x:c r="C2480" t="str">
        <x:v>PHYSICAL</x:v>
      </x:c>
      <x:c r="D2480" t="str">
        <x:v>drawing released</x:v>
      </x:c>
      <x:c r="E2480" t="n">
        <x:f>IF('Drawing Register'!E93&lt;&gt;"",1,0)</x:f>
        <x:v>0</x:v>
      </x:c>
      <x:c r="F2480" t="n">
        <x:v>1</x:v>
      </x:c>
      <x:c r="G2480" t="str">
        <x:v>equals</x:v>
      </x:c>
      <x:c r="H2480" t="str">
        <x:v>independent physical acceptance</x:v>
      </x:c>
      <x:c r="I2480" t="str">
        <x:f>IF(E2480=1,"PASS","OPEN")</x:f>
        <x:v>OPEN</x:v>
      </x:c>
    </x:row>
    <x:row r="2481">
      <x:c r="B2481" t="str">
        <x:v>PH-DWG-88</x:v>
      </x:c>
      <x:c r="C2481" t="str">
        <x:v>PHYSICAL</x:v>
      </x:c>
      <x:c r="D2481" t="str">
        <x:v>drawing released</x:v>
      </x:c>
      <x:c r="E2481" t="n">
        <x:f>IF('Drawing Register'!E94&lt;&gt;"",1,0)</x:f>
        <x:v>0</x:v>
      </x:c>
      <x:c r="F2481" t="n">
        <x:v>1</x:v>
      </x:c>
      <x:c r="G2481" t="str">
        <x:v>equals</x:v>
      </x:c>
      <x:c r="H2481" t="str">
        <x:v>independent physical acceptance</x:v>
      </x:c>
      <x:c r="I2481" t="str">
        <x:f>IF(E2481=1,"PASS","OPEN")</x:f>
        <x:v>OPEN</x:v>
      </x:c>
    </x:row>
    <x:row r="2482">
      <x:c r="B2482" t="str">
        <x:v>PH-DWG-89</x:v>
      </x:c>
      <x:c r="C2482" t="str">
        <x:v>PHYSICAL</x:v>
      </x:c>
      <x:c r="D2482" t="str">
        <x:v>drawing released</x:v>
      </x:c>
      <x:c r="E2482" t="n">
        <x:f>IF('Drawing Register'!E95&lt;&gt;"",1,0)</x:f>
        <x:v>0</x:v>
      </x:c>
      <x:c r="F2482" t="n">
        <x:v>1</x:v>
      </x:c>
      <x:c r="G2482" t="str">
        <x:v>equals</x:v>
      </x:c>
      <x:c r="H2482" t="str">
        <x:v>independent physical acceptance</x:v>
      </x:c>
      <x:c r="I2482" t="str">
        <x:f>IF(E2482=1,"PASS","OPEN")</x:f>
        <x:v>OPEN</x:v>
      </x:c>
    </x:row>
    <x:row r="2483">
      <x:c r="B2483" t="str">
        <x:v>PH-DWG-90</x:v>
      </x:c>
      <x:c r="C2483" t="str">
        <x:v>PHYSICAL</x:v>
      </x:c>
      <x:c r="D2483" t="str">
        <x:v>drawing released</x:v>
      </x:c>
      <x:c r="E2483" t="n">
        <x:f>IF('Drawing Register'!E96&lt;&gt;"",1,0)</x:f>
        <x:v>0</x:v>
      </x:c>
      <x:c r="F2483" t="n">
        <x:v>1</x:v>
      </x:c>
      <x:c r="G2483" t="str">
        <x:v>equals</x:v>
      </x:c>
      <x:c r="H2483" t="str">
        <x:v>independent physical acceptance</x:v>
      </x:c>
      <x:c r="I2483" t="str">
        <x:f>IF(E2483=1,"PASS","OPEN")</x:f>
        <x:v>OPEN</x:v>
      </x:c>
    </x:row>
    <x:row r="2484">
      <x:c r="B2484" t="str">
        <x:v>PH-DWG-91</x:v>
      </x:c>
      <x:c r="C2484" t="str">
        <x:v>PHYSICAL</x:v>
      </x:c>
      <x:c r="D2484" t="str">
        <x:v>drawing released</x:v>
      </x:c>
      <x:c r="E2484" t="n">
        <x:f>IF('Drawing Register'!E97&lt;&gt;"",1,0)</x:f>
        <x:v>0</x:v>
      </x:c>
      <x:c r="F2484" t="n">
        <x:v>1</x:v>
      </x:c>
      <x:c r="G2484" t="str">
        <x:v>equals</x:v>
      </x:c>
      <x:c r="H2484" t="str">
        <x:v>independent physical acceptance</x:v>
      </x:c>
      <x:c r="I2484" t="str">
        <x:f>IF(E2484=1,"PASS","OPEN")</x:f>
        <x:v>OPEN</x:v>
      </x:c>
    </x:row>
    <x:row r="2485">
      <x:c r="B2485" t="str">
        <x:v>PH-DWG-92</x:v>
      </x:c>
      <x:c r="C2485" t="str">
        <x:v>PHYSICAL</x:v>
      </x:c>
      <x:c r="D2485" t="str">
        <x:v>drawing released</x:v>
      </x:c>
      <x:c r="E2485" t="n">
        <x:f>IF('Drawing Register'!E98&lt;&gt;"",1,0)</x:f>
        <x:v>0</x:v>
      </x:c>
      <x:c r="F2485" t="n">
        <x:v>1</x:v>
      </x:c>
      <x:c r="G2485" t="str">
        <x:v>equals</x:v>
      </x:c>
      <x:c r="H2485" t="str">
        <x:v>independent physical acceptance</x:v>
      </x:c>
      <x:c r="I2485" t="str">
        <x:f>IF(E2485=1,"PASS","OPEN")</x:f>
        <x:v>OPEN</x:v>
      </x:c>
    </x:row>
    <x:row r="2486">
      <x:c r="B2486" t="str">
        <x:v>PH-DWG-93</x:v>
      </x:c>
      <x:c r="C2486" t="str">
        <x:v>PHYSICAL</x:v>
      </x:c>
      <x:c r="D2486" t="str">
        <x:v>drawing released</x:v>
      </x:c>
      <x:c r="E2486" t="n">
        <x:f>IF('Drawing Register'!E99&lt;&gt;"",1,0)</x:f>
        <x:v>0</x:v>
      </x:c>
      <x:c r="F2486" t="n">
        <x:v>1</x:v>
      </x:c>
      <x:c r="G2486" t="str">
        <x:v>equals</x:v>
      </x:c>
      <x:c r="H2486" t="str">
        <x:v>independent physical acceptance</x:v>
      </x:c>
      <x:c r="I2486" t="str">
        <x:f>IF(E2486=1,"PASS","OPEN")</x:f>
        <x:v>OPEN</x:v>
      </x:c>
    </x:row>
    <x:row r="2487">
      <x:c r="B2487" t="str">
        <x:v>PH-DWG-94</x:v>
      </x:c>
      <x:c r="C2487" t="str">
        <x:v>PHYSICAL</x:v>
      </x:c>
      <x:c r="D2487" t="str">
        <x:v>drawing released</x:v>
      </x:c>
      <x:c r="E2487" t="n">
        <x:f>IF('Drawing Register'!E100&lt;&gt;"",1,0)</x:f>
        <x:v>0</x:v>
      </x:c>
      <x:c r="F2487" t="n">
        <x:v>1</x:v>
      </x:c>
      <x:c r="G2487" t="str">
        <x:v>equals</x:v>
      </x:c>
      <x:c r="H2487" t="str">
        <x:v>independent physical acceptance</x:v>
      </x:c>
      <x:c r="I2487" t="str">
        <x:f>IF(E2487=1,"PASS","OPEN")</x:f>
        <x:v>OPEN</x:v>
      </x:c>
    </x:row>
    <x:row r="2488">
      <x:c r="B2488" t="str">
        <x:v>PH-DWG-95</x:v>
      </x:c>
      <x:c r="C2488" t="str">
        <x:v>PHYSICAL</x:v>
      </x:c>
      <x:c r="D2488" t="str">
        <x:v>drawing released</x:v>
      </x:c>
      <x:c r="E2488" t="n">
        <x:f>IF('Drawing Register'!E101&lt;&gt;"",1,0)</x:f>
        <x:v>0</x:v>
      </x:c>
      <x:c r="F2488" t="n">
        <x:v>1</x:v>
      </x:c>
      <x:c r="G2488" t="str">
        <x:v>equals</x:v>
      </x:c>
      <x:c r="H2488" t="str">
        <x:v>independent physical acceptance</x:v>
      </x:c>
      <x:c r="I2488" t="str">
        <x:f>IF(E2488=1,"PASS","OPEN")</x:f>
        <x:v>OPEN</x:v>
      </x:c>
    </x:row>
    <x:row r="2489">
      <x:c r="B2489" t="str">
        <x:v>PH-DWG-96</x:v>
      </x:c>
      <x:c r="C2489" t="str">
        <x:v>PHYSICAL</x:v>
      </x:c>
      <x:c r="D2489" t="str">
        <x:v>drawing released</x:v>
      </x:c>
      <x:c r="E2489" t="n">
        <x:f>IF('Drawing Register'!E102&lt;&gt;"",1,0)</x:f>
        <x:v>0</x:v>
      </x:c>
      <x:c r="F2489" t="n">
        <x:v>1</x:v>
      </x:c>
      <x:c r="G2489" t="str">
        <x:v>equals</x:v>
      </x:c>
      <x:c r="H2489" t="str">
        <x:v>independent physical acceptance</x:v>
      </x:c>
      <x:c r="I2489" t="str">
        <x:f>IF(E2489=1,"PASS","OPEN")</x:f>
        <x:v>OPEN</x:v>
      </x:c>
    </x:row>
    <x:row r="2490">
      <x:c r="B2490" t="str">
        <x:v>PH-DWG-97</x:v>
      </x:c>
      <x:c r="C2490" t="str">
        <x:v>PHYSICAL</x:v>
      </x:c>
      <x:c r="D2490" t="str">
        <x:v>drawing released</x:v>
      </x:c>
      <x:c r="E2490" t="n">
        <x:f>IF('Drawing Register'!E103&lt;&gt;"",1,0)</x:f>
        <x:v>0</x:v>
      </x:c>
      <x:c r="F2490" t="n">
        <x:v>1</x:v>
      </x:c>
      <x:c r="G2490" t="str">
        <x:v>equals</x:v>
      </x:c>
      <x:c r="H2490" t="str">
        <x:v>independent physical acceptance</x:v>
      </x:c>
      <x:c r="I2490" t="str">
        <x:f>IF(E2490=1,"PASS","OPEN")</x:f>
        <x:v>OPEN</x:v>
      </x:c>
    </x:row>
    <x:row r="2491">
      <x:c r="B2491" t="str">
        <x:v>PH-DWG-98</x:v>
      </x:c>
      <x:c r="C2491" t="str">
        <x:v>PHYSICAL</x:v>
      </x:c>
      <x:c r="D2491" t="str">
        <x:v>drawing released</x:v>
      </x:c>
      <x:c r="E2491" t="n">
        <x:f>IF('Drawing Register'!E104&lt;&gt;"",1,0)</x:f>
        <x:v>0</x:v>
      </x:c>
      <x:c r="F2491" t="n">
        <x:v>1</x:v>
      </x:c>
      <x:c r="G2491" t="str">
        <x:v>equals</x:v>
      </x:c>
      <x:c r="H2491" t="str">
        <x:v>independent physical acceptance</x:v>
      </x:c>
      <x:c r="I2491" t="str">
        <x:f>IF(E2491=1,"PASS","OPEN")</x:f>
        <x:v>OPEN</x:v>
      </x:c>
    </x:row>
    <x:row r="2492">
      <x:c r="B2492" t="str">
        <x:v>PH-DWG-99</x:v>
      </x:c>
      <x:c r="C2492" t="str">
        <x:v>PHYSICAL</x:v>
      </x:c>
      <x:c r="D2492" t="str">
        <x:v>drawing released</x:v>
      </x:c>
      <x:c r="E2492" t="n">
        <x:f>IF('Drawing Register'!E105&lt;&gt;"",1,0)</x:f>
        <x:v>0</x:v>
      </x:c>
      <x:c r="F2492" t="n">
        <x:v>1</x:v>
      </x:c>
      <x:c r="G2492" t="str">
        <x:v>equals</x:v>
      </x:c>
      <x:c r="H2492" t="str">
        <x:v>independent physical acceptance</x:v>
      </x:c>
      <x:c r="I2492" t="str">
        <x:f>IF(E2492=1,"PASS","OPEN")</x:f>
        <x:v>OPEN</x:v>
      </x:c>
    </x:row>
    <x:row r="2493">
      <x:c r="B2493" t="str">
        <x:v>PH-DWG-100</x:v>
      </x:c>
      <x:c r="C2493" t="str">
        <x:v>PHYSICAL</x:v>
      </x:c>
      <x:c r="D2493" t="str">
        <x:v>drawing released</x:v>
      </x:c>
      <x:c r="E2493" t="n">
        <x:f>IF('Drawing Register'!E106&lt;&gt;"",1,0)</x:f>
        <x:v>0</x:v>
      </x:c>
      <x:c r="F2493" t="n">
        <x:v>1</x:v>
      </x:c>
      <x:c r="G2493" t="str">
        <x:v>equals</x:v>
      </x:c>
      <x:c r="H2493" t="str">
        <x:v>independent physical acceptance</x:v>
      </x:c>
      <x:c r="I2493" t="str">
        <x:f>IF(E2493=1,"PASS","OPEN")</x:f>
        <x:v>OPEN</x:v>
      </x:c>
    </x:row>
    <x:row r="2494">
      <x:c r="B2494" t="str">
        <x:v>PH-DWG-101</x:v>
      </x:c>
      <x:c r="C2494" t="str">
        <x:v>PHYSICAL</x:v>
      </x:c>
      <x:c r="D2494" t="str">
        <x:v>drawing released</x:v>
      </x:c>
      <x:c r="E2494" t="n">
        <x:f>IF('Drawing Register'!E107&lt;&gt;"",1,0)</x:f>
        <x:v>0</x:v>
      </x:c>
      <x:c r="F2494" t="n">
        <x:v>1</x:v>
      </x:c>
      <x:c r="G2494" t="str">
        <x:v>equals</x:v>
      </x:c>
      <x:c r="H2494" t="str">
        <x:v>independent physical acceptance</x:v>
      </x:c>
      <x:c r="I2494" t="str">
        <x:f>IF(E2494=1,"PASS","OPEN")</x:f>
        <x:v>OPEN</x:v>
      </x:c>
    </x:row>
    <x:row r="2495">
      <x:c r="B2495" t="str">
        <x:v>PH-DWG-102</x:v>
      </x:c>
      <x:c r="C2495" t="str">
        <x:v>PHYSICAL</x:v>
      </x:c>
      <x:c r="D2495" t="str">
        <x:v>drawing released</x:v>
      </x:c>
      <x:c r="E2495" t="n">
        <x:f>IF('Drawing Register'!E108&lt;&gt;"",1,0)</x:f>
        <x:v>0</x:v>
      </x:c>
      <x:c r="F2495" t="n">
        <x:v>1</x:v>
      </x:c>
      <x:c r="G2495" t="str">
        <x:v>equals</x:v>
      </x:c>
      <x:c r="H2495" t="str">
        <x:v>independent physical acceptance</x:v>
      </x:c>
      <x:c r="I2495" t="str">
        <x:f>IF(E2495=1,"PASS","OPEN")</x:f>
        <x:v>OPEN</x:v>
      </x:c>
    </x:row>
    <x:row r="2496">
      <x:c r="B2496" t="str">
        <x:v>PH-DWG-103</x:v>
      </x:c>
      <x:c r="C2496" t="str">
        <x:v>PHYSICAL</x:v>
      </x:c>
      <x:c r="D2496" t="str">
        <x:v>drawing released</x:v>
      </x:c>
      <x:c r="E2496" t="n">
        <x:f>IF('Drawing Register'!E109&lt;&gt;"",1,0)</x:f>
        <x:v>0</x:v>
      </x:c>
      <x:c r="F2496" t="n">
        <x:v>1</x:v>
      </x:c>
      <x:c r="G2496" t="str">
        <x:v>equals</x:v>
      </x:c>
      <x:c r="H2496" t="str">
        <x:v>independent physical acceptance</x:v>
      </x:c>
      <x:c r="I2496" t="str">
        <x:f>IF(E2496=1,"PASS","OPEN")</x:f>
        <x:v>OPEN</x:v>
      </x:c>
    </x:row>
    <x:row r="2497">
      <x:c r="B2497" t="str">
        <x:v>PH-DWG-104</x:v>
      </x:c>
      <x:c r="C2497" t="str">
        <x:v>PHYSICAL</x:v>
      </x:c>
      <x:c r="D2497" t="str">
        <x:v>drawing released</x:v>
      </x:c>
      <x:c r="E2497" t="n">
        <x:f>IF('Drawing Register'!E110&lt;&gt;"",1,0)</x:f>
        <x:v>0</x:v>
      </x:c>
      <x:c r="F2497" t="n">
        <x:v>1</x:v>
      </x:c>
      <x:c r="G2497" t="str">
        <x:v>equals</x:v>
      </x:c>
      <x:c r="H2497" t="str">
        <x:v>independent physical acceptance</x:v>
      </x:c>
      <x:c r="I2497" t="str">
        <x:f>IF(E2497=1,"PASS","OPEN")</x:f>
        <x:v>OPEN</x:v>
      </x:c>
    </x:row>
    <x:row r="2498">
      <x:c r="B2498" t="str">
        <x:v>PH-DWG-105</x:v>
      </x:c>
      <x:c r="C2498" t="str">
        <x:v>PHYSICAL</x:v>
      </x:c>
      <x:c r="D2498" t="str">
        <x:v>drawing released</x:v>
      </x:c>
      <x:c r="E2498" t="n">
        <x:f>IF('Drawing Register'!E111&lt;&gt;"",1,0)</x:f>
        <x:v>0</x:v>
      </x:c>
      <x:c r="F2498" t="n">
        <x:v>1</x:v>
      </x:c>
      <x:c r="G2498" t="str">
        <x:v>equals</x:v>
      </x:c>
      <x:c r="H2498" t="str">
        <x:v>independent physical acceptance</x:v>
      </x:c>
      <x:c r="I2498" t="str">
        <x:f>IF(E2498=1,"PASS","OPEN")</x:f>
        <x:v>OPEN</x:v>
      </x:c>
    </x:row>
    <x:row r="2499">
      <x:c r="B2499" t="str">
        <x:v>PH-DWG-106</x:v>
      </x:c>
      <x:c r="C2499" t="str">
        <x:v>PHYSICAL</x:v>
      </x:c>
      <x:c r="D2499" t="str">
        <x:v>drawing released</x:v>
      </x:c>
      <x:c r="E2499" t="n">
        <x:f>IF('Drawing Register'!E112&lt;&gt;"",1,0)</x:f>
        <x:v>0</x:v>
      </x:c>
      <x:c r="F2499" t="n">
        <x:v>1</x:v>
      </x:c>
      <x:c r="G2499" t="str">
        <x:v>equals</x:v>
      </x:c>
      <x:c r="H2499" t="str">
        <x:v>independent physical acceptance</x:v>
      </x:c>
      <x:c r="I2499" t="str">
        <x:f>IF(E2499=1,"PASS","OPEN")</x:f>
        <x:v>OPEN</x:v>
      </x:c>
    </x:row>
    <x:row r="2500">
      <x:c r="B2500" t="str">
        <x:v>PH-DWG-107</x:v>
      </x:c>
      <x:c r="C2500" t="str">
        <x:v>PHYSICAL</x:v>
      </x:c>
      <x:c r="D2500" t="str">
        <x:v>drawing released</x:v>
      </x:c>
      <x:c r="E2500" t="n">
        <x:f>IF('Drawing Register'!E113&lt;&gt;"",1,0)</x:f>
        <x:v>0</x:v>
      </x:c>
      <x:c r="F2500" t="n">
        <x:v>1</x:v>
      </x:c>
      <x:c r="G2500" t="str">
        <x:v>equals</x:v>
      </x:c>
      <x:c r="H2500" t="str">
        <x:v>independent physical acceptance</x:v>
      </x:c>
      <x:c r="I2500" t="str">
        <x:f>IF(E2500=1,"PASS","OPEN")</x:f>
        <x:v>OPEN</x:v>
      </x:c>
    </x:row>
    <x:row r="2501">
      <x:c r="B2501" t="str">
        <x:v>PH-DWG-108</x:v>
      </x:c>
      <x:c r="C2501" t="str">
        <x:v>PHYSICAL</x:v>
      </x:c>
      <x:c r="D2501" t="str">
        <x:v>drawing released</x:v>
      </x:c>
      <x:c r="E2501" t="n">
        <x:f>IF('Drawing Register'!E114&lt;&gt;"",1,0)</x:f>
        <x:v>0</x:v>
      </x:c>
      <x:c r="F2501" t="n">
        <x:v>1</x:v>
      </x:c>
      <x:c r="G2501" t="str">
        <x:v>equals</x:v>
      </x:c>
      <x:c r="H2501" t="str">
        <x:v>independent physical acceptance</x:v>
      </x:c>
      <x:c r="I2501" t="str">
        <x:f>IF(E2501=1,"PASS","OPEN")</x:f>
        <x:v>OPEN</x:v>
      </x:c>
    </x:row>
    <x:row r="2502">
      <x:c r="B2502" t="str">
        <x:v>PH-DWG-109</x:v>
      </x:c>
      <x:c r="C2502" t="str">
        <x:v>PHYSICAL</x:v>
      </x:c>
      <x:c r="D2502" t="str">
        <x:v>drawing released</x:v>
      </x:c>
      <x:c r="E2502" t="n">
        <x:f>IF('Drawing Register'!E115&lt;&gt;"",1,0)</x:f>
        <x:v>0</x:v>
      </x:c>
      <x:c r="F2502" t="n">
        <x:v>1</x:v>
      </x:c>
      <x:c r="G2502" t="str">
        <x:v>equals</x:v>
      </x:c>
      <x:c r="H2502" t="str">
        <x:v>independent physical acceptance</x:v>
      </x:c>
      <x:c r="I2502" t="str">
        <x:f>IF(E2502=1,"PASS","OPEN")</x:f>
        <x:v>OPEN</x:v>
      </x:c>
    </x:row>
    <x:row r="2503">
      <x:c r="B2503" t="str">
        <x:v>PH-DWG-110</x:v>
      </x:c>
      <x:c r="C2503" t="str">
        <x:v>PHYSICAL</x:v>
      </x:c>
      <x:c r="D2503" t="str">
        <x:v>drawing released</x:v>
      </x:c>
      <x:c r="E2503" t="n">
        <x:f>IF('Drawing Register'!E116&lt;&gt;"",1,0)</x:f>
        <x:v>0</x:v>
      </x:c>
      <x:c r="F2503" t="n">
        <x:v>1</x:v>
      </x:c>
      <x:c r="G2503" t="str">
        <x:v>equals</x:v>
      </x:c>
      <x:c r="H2503" t="str">
        <x:v>independent physical acceptance</x:v>
      </x:c>
      <x:c r="I2503" t="str">
        <x:f>IF(E2503=1,"PASS","OPEN")</x:f>
        <x:v>OPEN</x:v>
      </x:c>
    </x:row>
    <x:row r="2504">
      <x:c r="B2504" t="str">
        <x:v>PH-DWG-111</x:v>
      </x:c>
      <x:c r="C2504" t="str">
        <x:v>PHYSICAL</x:v>
      </x:c>
      <x:c r="D2504" t="str">
        <x:v>drawing released</x:v>
      </x:c>
      <x:c r="E2504" t="n">
        <x:f>IF('Drawing Register'!E117&lt;&gt;"",1,0)</x:f>
        <x:v>0</x:v>
      </x:c>
      <x:c r="F2504" t="n">
        <x:v>1</x:v>
      </x:c>
      <x:c r="G2504" t="str">
        <x:v>equals</x:v>
      </x:c>
      <x:c r="H2504" t="str">
        <x:v>independent physical acceptance</x:v>
      </x:c>
      <x:c r="I2504" t="str">
        <x:f>IF(E2504=1,"PASS","OPEN")</x:f>
        <x:v>OPEN</x:v>
      </x:c>
    </x:row>
    <x:row r="2505">
      <x:c r="B2505" t="str">
        <x:v>PH-DWG-112</x:v>
      </x:c>
      <x:c r="C2505" t="str">
        <x:v>PHYSICAL</x:v>
      </x:c>
      <x:c r="D2505" t="str">
        <x:v>drawing released</x:v>
      </x:c>
      <x:c r="E2505" t="n">
        <x:f>IF('Drawing Register'!E118&lt;&gt;"",1,0)</x:f>
        <x:v>0</x:v>
      </x:c>
      <x:c r="F2505" t="n">
        <x:v>1</x:v>
      </x:c>
      <x:c r="G2505" t="str">
        <x:v>equals</x:v>
      </x:c>
      <x:c r="H2505" t="str">
        <x:v>independent physical acceptance</x:v>
      </x:c>
      <x:c r="I2505" t="str">
        <x:f>IF(E2505=1,"PASS","OPEN")</x:f>
        <x:v>OPEN</x:v>
      </x:c>
    </x:row>
    <x:row r="2506">
      <x:c r="B2506" t="str">
        <x:v>PH-DWG-113</x:v>
      </x:c>
      <x:c r="C2506" t="str">
        <x:v>PHYSICAL</x:v>
      </x:c>
      <x:c r="D2506" t="str">
        <x:v>drawing released</x:v>
      </x:c>
      <x:c r="E2506" t="n">
        <x:f>IF('Drawing Register'!E119&lt;&gt;"",1,0)</x:f>
        <x:v>0</x:v>
      </x:c>
      <x:c r="F2506" t="n">
        <x:v>1</x:v>
      </x:c>
      <x:c r="G2506" t="str">
        <x:v>equals</x:v>
      </x:c>
      <x:c r="H2506" t="str">
        <x:v>independent physical acceptance</x:v>
      </x:c>
      <x:c r="I2506" t="str">
        <x:f>IF(E2506=1,"PASS","OPEN")</x:f>
        <x:v>OPEN</x:v>
      </x:c>
    </x:row>
    <x:row r="2507">
      <x:c r="B2507" t="str">
        <x:v>PH-DWG-114</x:v>
      </x:c>
      <x:c r="C2507" t="str">
        <x:v>PHYSICAL</x:v>
      </x:c>
      <x:c r="D2507" t="str">
        <x:v>drawing released</x:v>
      </x:c>
      <x:c r="E2507" t="n">
        <x:f>IF('Drawing Register'!E120&lt;&gt;"",1,0)</x:f>
        <x:v>0</x:v>
      </x:c>
      <x:c r="F2507" t="n">
        <x:v>1</x:v>
      </x:c>
      <x:c r="G2507" t="str">
        <x:v>equals</x:v>
      </x:c>
      <x:c r="H2507" t="str">
        <x:v>independent physical acceptance</x:v>
      </x:c>
      <x:c r="I2507" t="str">
        <x:f>IF(E2507=1,"PASS","OPEN")</x:f>
        <x:v>OPEN</x:v>
      </x:c>
    </x:row>
    <x:row r="2508">
      <x:c r="B2508" t="str">
        <x:v>PH-DWG-115</x:v>
      </x:c>
      <x:c r="C2508" t="str">
        <x:v>PHYSICAL</x:v>
      </x:c>
      <x:c r="D2508" t="str">
        <x:v>drawing released</x:v>
      </x:c>
      <x:c r="E2508" t="n">
        <x:f>IF('Drawing Register'!E121&lt;&gt;"",1,0)</x:f>
        <x:v>0</x:v>
      </x:c>
      <x:c r="F2508" t="n">
        <x:v>1</x:v>
      </x:c>
      <x:c r="G2508" t="str">
        <x:v>equals</x:v>
      </x:c>
      <x:c r="H2508" t="str">
        <x:v>independent physical acceptance</x:v>
      </x:c>
      <x:c r="I2508" t="str">
        <x:f>IF(E2508=1,"PASS","OPEN")</x:f>
        <x:v>OPEN</x:v>
      </x:c>
    </x:row>
    <x:row r="2509">
      <x:c r="B2509" t="str">
        <x:v>PH-DWG-116</x:v>
      </x:c>
      <x:c r="C2509" t="str">
        <x:v>PHYSICAL</x:v>
      </x:c>
      <x:c r="D2509" t="str">
        <x:v>drawing released</x:v>
      </x:c>
      <x:c r="E2509" t="n">
        <x:f>IF('Drawing Register'!E122&lt;&gt;"",1,0)</x:f>
        <x:v>0</x:v>
      </x:c>
      <x:c r="F2509" t="n">
        <x:v>1</x:v>
      </x:c>
      <x:c r="G2509" t="str">
        <x:v>equals</x:v>
      </x:c>
      <x:c r="H2509" t="str">
        <x:v>independent physical acceptance</x:v>
      </x:c>
      <x:c r="I2509" t="str">
        <x:f>IF(E2509=1,"PASS","OPEN")</x:f>
        <x:v>OPEN</x:v>
      </x:c>
    </x:row>
    <x:row r="2510">
      <x:c r="B2510" t="str">
        <x:v>PH-DWG-117</x:v>
      </x:c>
      <x:c r="C2510" t="str">
        <x:v>PHYSICAL</x:v>
      </x:c>
      <x:c r="D2510" t="str">
        <x:v>drawing released</x:v>
      </x:c>
      <x:c r="E2510" t="n">
        <x:f>IF('Drawing Register'!E123&lt;&gt;"",1,0)</x:f>
        <x:v>0</x:v>
      </x:c>
      <x:c r="F2510" t="n">
        <x:v>1</x:v>
      </x:c>
      <x:c r="G2510" t="str">
        <x:v>equals</x:v>
      </x:c>
      <x:c r="H2510" t="str">
        <x:v>independent physical acceptance</x:v>
      </x:c>
      <x:c r="I2510" t="str">
        <x:f>IF(E2510=1,"PASS","OPEN")</x:f>
        <x:v>OPEN</x:v>
      </x:c>
    </x:row>
    <x:row r="2511">
      <x:c r="B2511" t="str">
        <x:v>PH-DWG-118</x:v>
      </x:c>
      <x:c r="C2511" t="str">
        <x:v>PHYSICAL</x:v>
      </x:c>
      <x:c r="D2511" t="str">
        <x:v>drawing released</x:v>
      </x:c>
      <x:c r="E2511" t="n">
        <x:f>IF('Drawing Register'!E124&lt;&gt;"",1,0)</x:f>
        <x:v>0</x:v>
      </x:c>
      <x:c r="F2511" t="n">
        <x:v>1</x:v>
      </x:c>
      <x:c r="G2511" t="str">
        <x:v>equals</x:v>
      </x:c>
      <x:c r="H2511" t="str">
        <x:v>independent physical acceptance</x:v>
      </x:c>
      <x:c r="I2511" t="str">
        <x:f>IF(E2511=1,"PASS","OPEN")</x:f>
        <x:v>OPEN</x:v>
      </x:c>
    </x:row>
    <x:row r="2512">
      <x:c r="B2512" t="str">
        <x:v>PH-DWG-119</x:v>
      </x:c>
      <x:c r="C2512" t="str">
        <x:v>PHYSICAL</x:v>
      </x:c>
      <x:c r="D2512" t="str">
        <x:v>drawing released</x:v>
      </x:c>
      <x:c r="E2512" t="n">
        <x:f>IF('Drawing Register'!E125&lt;&gt;"",1,0)</x:f>
        <x:v>0</x:v>
      </x:c>
      <x:c r="F2512" t="n">
        <x:v>1</x:v>
      </x:c>
      <x:c r="G2512" t="str">
        <x:v>equals</x:v>
      </x:c>
      <x:c r="H2512" t="str">
        <x:v>independent physical acceptance</x:v>
      </x:c>
      <x:c r="I2512" t="str">
        <x:f>IF(E2512=1,"PASS","OPEN")</x:f>
        <x:v>OPEN</x:v>
      </x:c>
    </x:row>
    <x:row r="2513">
      <x:c r="B2513" t="str">
        <x:v>PH-DWG-120</x:v>
      </x:c>
      <x:c r="C2513" t="str">
        <x:v>PHYSICAL</x:v>
      </x:c>
      <x:c r="D2513" t="str">
        <x:v>drawing released</x:v>
      </x:c>
      <x:c r="E2513" t="n">
        <x:f>IF('Drawing Register'!E126&lt;&gt;"",1,0)</x:f>
        <x:v>0</x:v>
      </x:c>
      <x:c r="F2513" t="n">
        <x:v>1</x:v>
      </x:c>
      <x:c r="G2513" t="str">
        <x:v>equals</x:v>
      </x:c>
      <x:c r="H2513" t="str">
        <x:v>independent physical acceptance</x:v>
      </x:c>
      <x:c r="I2513" t="str">
        <x:f>IF(E2513=1,"PASS","OPEN")</x:f>
        <x:v>OPEN</x:v>
      </x:c>
    </x:row>
    <x:row r="2514">
      <x:c r="B2514" t="str">
        <x:v>PH-IF-1</x:v>
      </x:c>
      <x:c r="C2514" t="str">
        <x:v>PHYSICAL</x:v>
      </x:c>
      <x:c r="D2514" t="str">
        <x:v>interface accepted</x:v>
      </x:c>
      <x:c r="E2514" t="n">
        <x:f>IF('Interface Register'!H7&lt;&gt;"",1,0)</x:f>
        <x:v>0</x:v>
      </x:c>
      <x:c r="F2514" t="n">
        <x:v>1</x:v>
      </x:c>
      <x:c r="G2514" t="str">
        <x:v>equals</x:v>
      </x:c>
      <x:c r="H2514" t="str">
        <x:v>independent physical acceptance</x:v>
      </x:c>
      <x:c r="I2514" t="str">
        <x:f>IF(E2514=1,"PASS","OPEN")</x:f>
        <x:v>OPEN</x:v>
      </x:c>
    </x:row>
    <x:row r="2515">
      <x:c r="B2515" t="str">
        <x:v>PH-IF-2</x:v>
      </x:c>
      <x:c r="C2515" t="str">
        <x:v>PHYSICAL</x:v>
      </x:c>
      <x:c r="D2515" t="str">
        <x:v>interface accepted</x:v>
      </x:c>
      <x:c r="E2515" t="n">
        <x:f>IF('Interface Register'!H8&lt;&gt;"",1,0)</x:f>
        <x:v>0</x:v>
      </x:c>
      <x:c r="F2515" t="n">
        <x:v>1</x:v>
      </x:c>
      <x:c r="G2515" t="str">
        <x:v>equals</x:v>
      </x:c>
      <x:c r="H2515" t="str">
        <x:v>independent physical acceptance</x:v>
      </x:c>
      <x:c r="I2515" t="str">
        <x:f>IF(E2515=1,"PASS","OPEN")</x:f>
        <x:v>OPEN</x:v>
      </x:c>
    </x:row>
    <x:row r="2516">
      <x:c r="B2516" t="str">
        <x:v>PH-IF-3</x:v>
      </x:c>
      <x:c r="C2516" t="str">
        <x:v>PHYSICAL</x:v>
      </x:c>
      <x:c r="D2516" t="str">
        <x:v>interface accepted</x:v>
      </x:c>
      <x:c r="E2516" t="n">
        <x:f>IF('Interface Register'!H9&lt;&gt;"",1,0)</x:f>
        <x:v>0</x:v>
      </x:c>
      <x:c r="F2516" t="n">
        <x:v>1</x:v>
      </x:c>
      <x:c r="G2516" t="str">
        <x:v>equals</x:v>
      </x:c>
      <x:c r="H2516" t="str">
        <x:v>independent physical acceptance</x:v>
      </x:c>
      <x:c r="I2516" t="str">
        <x:f>IF(E2516=1,"PASS","OPEN")</x:f>
        <x:v>OPEN</x:v>
      </x:c>
    </x:row>
    <x:row r="2517">
      <x:c r="B2517" t="str">
        <x:v>PH-IF-4</x:v>
      </x:c>
      <x:c r="C2517" t="str">
        <x:v>PHYSICAL</x:v>
      </x:c>
      <x:c r="D2517" t="str">
        <x:v>interface accepted</x:v>
      </x:c>
      <x:c r="E2517" t="n">
        <x:f>IF('Interface Register'!H10&lt;&gt;"",1,0)</x:f>
        <x:v>0</x:v>
      </x:c>
      <x:c r="F2517" t="n">
        <x:v>1</x:v>
      </x:c>
      <x:c r="G2517" t="str">
        <x:v>equals</x:v>
      </x:c>
      <x:c r="H2517" t="str">
        <x:v>independent physical acceptance</x:v>
      </x:c>
      <x:c r="I2517" t="str">
        <x:f>IF(E2517=1,"PASS","OPEN")</x:f>
        <x:v>OPEN</x:v>
      </x:c>
    </x:row>
    <x:row r="2518">
      <x:c r="B2518" t="str">
        <x:v>PH-IF-5</x:v>
      </x:c>
      <x:c r="C2518" t="str">
        <x:v>PHYSICAL</x:v>
      </x:c>
      <x:c r="D2518" t="str">
        <x:v>interface accepted</x:v>
      </x:c>
      <x:c r="E2518" t="n">
        <x:f>IF('Interface Register'!H11&lt;&gt;"",1,0)</x:f>
        <x:v>0</x:v>
      </x:c>
      <x:c r="F2518" t="n">
        <x:v>1</x:v>
      </x:c>
      <x:c r="G2518" t="str">
        <x:v>equals</x:v>
      </x:c>
      <x:c r="H2518" t="str">
        <x:v>independent physical acceptance</x:v>
      </x:c>
      <x:c r="I2518" t="str">
        <x:f>IF(E2518=1,"PASS","OPEN")</x:f>
        <x:v>OPEN</x:v>
      </x:c>
    </x:row>
    <x:row r="2519">
      <x:c r="B2519" t="str">
        <x:v>PH-IF-6</x:v>
      </x:c>
      <x:c r="C2519" t="str">
        <x:v>PHYSICAL</x:v>
      </x:c>
      <x:c r="D2519" t="str">
        <x:v>interface accepted</x:v>
      </x:c>
      <x:c r="E2519" t="n">
        <x:f>IF('Interface Register'!H12&lt;&gt;"",1,0)</x:f>
        <x:v>0</x:v>
      </x:c>
      <x:c r="F2519" t="n">
        <x:v>1</x:v>
      </x:c>
      <x:c r="G2519" t="str">
        <x:v>equals</x:v>
      </x:c>
      <x:c r="H2519" t="str">
        <x:v>independent physical acceptance</x:v>
      </x:c>
      <x:c r="I2519" t="str">
        <x:f>IF(E2519=1,"PASS","OPEN")</x:f>
        <x:v>OPEN</x:v>
      </x:c>
    </x:row>
    <x:row r="2520">
      <x:c r="B2520" t="str">
        <x:v>PH-IF-7</x:v>
      </x:c>
      <x:c r="C2520" t="str">
        <x:v>PHYSICAL</x:v>
      </x:c>
      <x:c r="D2520" t="str">
        <x:v>interface accepted</x:v>
      </x:c>
      <x:c r="E2520" t="n">
        <x:f>IF('Interface Register'!H13&lt;&gt;"",1,0)</x:f>
        <x:v>0</x:v>
      </x:c>
      <x:c r="F2520" t="n">
        <x:v>1</x:v>
      </x:c>
      <x:c r="G2520" t="str">
        <x:v>equals</x:v>
      </x:c>
      <x:c r="H2520" t="str">
        <x:v>independent physical acceptance</x:v>
      </x:c>
      <x:c r="I2520" t="str">
        <x:f>IF(E2520=1,"PASS","OPEN")</x:f>
        <x:v>OPEN</x:v>
      </x:c>
    </x:row>
    <x:row r="2521">
      <x:c r="B2521" t="str">
        <x:v>PH-IF-8</x:v>
      </x:c>
      <x:c r="C2521" t="str">
        <x:v>PHYSICAL</x:v>
      </x:c>
      <x:c r="D2521" t="str">
        <x:v>interface accepted</x:v>
      </x:c>
      <x:c r="E2521" t="n">
        <x:f>IF('Interface Register'!H14&lt;&gt;"",1,0)</x:f>
        <x:v>0</x:v>
      </x:c>
      <x:c r="F2521" t="n">
        <x:v>1</x:v>
      </x:c>
      <x:c r="G2521" t="str">
        <x:v>equals</x:v>
      </x:c>
      <x:c r="H2521" t="str">
        <x:v>independent physical acceptance</x:v>
      </x:c>
      <x:c r="I2521" t="str">
        <x:f>IF(E2521=1,"PASS","OPEN")</x:f>
        <x:v>OPEN</x:v>
      </x:c>
    </x:row>
    <x:row r="2522">
      <x:c r="B2522" t="str">
        <x:v>PH-IF-9</x:v>
      </x:c>
      <x:c r="C2522" t="str">
        <x:v>PHYSICAL</x:v>
      </x:c>
      <x:c r="D2522" t="str">
        <x:v>interface accepted</x:v>
      </x:c>
      <x:c r="E2522" t="n">
        <x:f>IF('Interface Register'!H15&lt;&gt;"",1,0)</x:f>
        <x:v>0</x:v>
      </x:c>
      <x:c r="F2522" t="n">
        <x:v>1</x:v>
      </x:c>
      <x:c r="G2522" t="str">
        <x:v>equals</x:v>
      </x:c>
      <x:c r="H2522" t="str">
        <x:v>independent physical acceptance</x:v>
      </x:c>
      <x:c r="I2522" t="str">
        <x:f>IF(E2522=1,"PASS","OPEN")</x:f>
        <x:v>OPEN</x:v>
      </x:c>
    </x:row>
    <x:row r="2523">
      <x:c r="B2523" t="str">
        <x:v>PH-IF-10</x:v>
      </x:c>
      <x:c r="C2523" t="str">
        <x:v>PHYSICAL</x:v>
      </x:c>
      <x:c r="D2523" t="str">
        <x:v>interface accepted</x:v>
      </x:c>
      <x:c r="E2523" t="n">
        <x:f>IF('Interface Register'!H16&lt;&gt;"",1,0)</x:f>
        <x:v>0</x:v>
      </x:c>
      <x:c r="F2523" t="n">
        <x:v>1</x:v>
      </x:c>
      <x:c r="G2523" t="str">
        <x:v>equals</x:v>
      </x:c>
      <x:c r="H2523" t="str">
        <x:v>independent physical acceptance</x:v>
      </x:c>
      <x:c r="I2523" t="str">
        <x:f>IF(E2523=1,"PASS","OPEN")</x:f>
        <x:v>OPEN</x:v>
      </x:c>
    </x:row>
    <x:row r="2524">
      <x:c r="B2524" t="str">
        <x:v>PH-IF-11</x:v>
      </x:c>
      <x:c r="C2524" t="str">
        <x:v>PHYSICAL</x:v>
      </x:c>
      <x:c r="D2524" t="str">
        <x:v>interface accepted</x:v>
      </x:c>
      <x:c r="E2524" t="n">
        <x:f>IF('Interface Register'!H17&lt;&gt;"",1,0)</x:f>
        <x:v>0</x:v>
      </x:c>
      <x:c r="F2524" t="n">
        <x:v>1</x:v>
      </x:c>
      <x:c r="G2524" t="str">
        <x:v>equals</x:v>
      </x:c>
      <x:c r="H2524" t="str">
        <x:v>independent physical acceptance</x:v>
      </x:c>
      <x:c r="I2524" t="str">
        <x:f>IF(E2524=1,"PASS","OPEN")</x:f>
        <x:v>OPEN</x:v>
      </x:c>
    </x:row>
    <x:row r="2525">
      <x:c r="B2525" t="str">
        <x:v>PH-IF-12</x:v>
      </x:c>
      <x:c r="C2525" t="str">
        <x:v>PHYSICAL</x:v>
      </x:c>
      <x:c r="D2525" t="str">
        <x:v>interface accepted</x:v>
      </x:c>
      <x:c r="E2525" t="n">
        <x:f>IF('Interface Register'!H18&lt;&gt;"",1,0)</x:f>
        <x:v>0</x:v>
      </x:c>
      <x:c r="F2525" t="n">
        <x:v>1</x:v>
      </x:c>
      <x:c r="G2525" t="str">
        <x:v>equals</x:v>
      </x:c>
      <x:c r="H2525" t="str">
        <x:v>independent physical acceptance</x:v>
      </x:c>
      <x:c r="I2525" t="str">
        <x:f>IF(E2525=1,"PASS","OPEN")</x:f>
        <x:v>OPEN</x:v>
      </x:c>
    </x:row>
    <x:row r="2526">
      <x:c r="B2526" t="str">
        <x:v>PH-IF-13</x:v>
      </x:c>
      <x:c r="C2526" t="str">
        <x:v>PHYSICAL</x:v>
      </x:c>
      <x:c r="D2526" t="str">
        <x:v>interface accepted</x:v>
      </x:c>
      <x:c r="E2526" t="n">
        <x:f>IF('Interface Register'!H19&lt;&gt;"",1,0)</x:f>
        <x:v>0</x:v>
      </x:c>
      <x:c r="F2526" t="n">
        <x:v>1</x:v>
      </x:c>
      <x:c r="G2526" t="str">
        <x:v>equals</x:v>
      </x:c>
      <x:c r="H2526" t="str">
        <x:v>independent physical acceptance</x:v>
      </x:c>
      <x:c r="I2526" t="str">
        <x:f>IF(E2526=1,"PASS","OPEN")</x:f>
        <x:v>OPEN</x:v>
      </x:c>
    </x:row>
    <x:row r="2527">
      <x:c r="B2527" t="str">
        <x:v>PH-IF-14</x:v>
      </x:c>
      <x:c r="C2527" t="str">
        <x:v>PHYSICAL</x:v>
      </x:c>
      <x:c r="D2527" t="str">
        <x:v>interface accepted</x:v>
      </x:c>
      <x:c r="E2527" t="n">
        <x:f>IF('Interface Register'!H20&lt;&gt;"",1,0)</x:f>
        <x:v>0</x:v>
      </x:c>
      <x:c r="F2527" t="n">
        <x:v>1</x:v>
      </x:c>
      <x:c r="G2527" t="str">
        <x:v>equals</x:v>
      </x:c>
      <x:c r="H2527" t="str">
        <x:v>independent physical acceptance</x:v>
      </x:c>
      <x:c r="I2527" t="str">
        <x:f>IF(E2527=1,"PASS","OPEN")</x:f>
        <x:v>OPEN</x:v>
      </x:c>
    </x:row>
    <x:row r="2528">
      <x:c r="B2528" t="str">
        <x:v>PH-IF-15</x:v>
      </x:c>
      <x:c r="C2528" t="str">
        <x:v>PHYSICAL</x:v>
      </x:c>
      <x:c r="D2528" t="str">
        <x:v>interface accepted</x:v>
      </x:c>
      <x:c r="E2528" t="n">
        <x:f>IF('Interface Register'!H21&lt;&gt;"",1,0)</x:f>
        <x:v>0</x:v>
      </x:c>
      <x:c r="F2528" t="n">
        <x:v>1</x:v>
      </x:c>
      <x:c r="G2528" t="str">
        <x:v>equals</x:v>
      </x:c>
      <x:c r="H2528" t="str">
        <x:v>independent physical acceptance</x:v>
      </x:c>
      <x:c r="I2528" t="str">
        <x:f>IF(E2528=1,"PASS","OPEN")</x:f>
        <x:v>OPEN</x:v>
      </x:c>
    </x:row>
    <x:row r="2529">
      <x:c r="B2529" t="str">
        <x:v>PH-IF-16</x:v>
      </x:c>
      <x:c r="C2529" t="str">
        <x:v>PHYSICAL</x:v>
      </x:c>
      <x:c r="D2529" t="str">
        <x:v>interface accepted</x:v>
      </x:c>
      <x:c r="E2529" t="n">
        <x:f>IF('Interface Register'!H22&lt;&gt;"",1,0)</x:f>
        <x:v>0</x:v>
      </x:c>
      <x:c r="F2529" t="n">
        <x:v>1</x:v>
      </x:c>
      <x:c r="G2529" t="str">
        <x:v>equals</x:v>
      </x:c>
      <x:c r="H2529" t="str">
        <x:v>independent physical acceptance</x:v>
      </x:c>
      <x:c r="I2529" t="str">
        <x:f>IF(E2529=1,"PASS","OPEN")</x:f>
        <x:v>OPEN</x:v>
      </x:c>
    </x:row>
    <x:row r="2530">
      <x:c r="B2530" t="str">
        <x:v>PH-IF-17</x:v>
      </x:c>
      <x:c r="C2530" t="str">
        <x:v>PHYSICAL</x:v>
      </x:c>
      <x:c r="D2530" t="str">
        <x:v>interface accepted</x:v>
      </x:c>
      <x:c r="E2530" t="n">
        <x:f>IF('Interface Register'!H23&lt;&gt;"",1,0)</x:f>
        <x:v>0</x:v>
      </x:c>
      <x:c r="F2530" t="n">
        <x:v>1</x:v>
      </x:c>
      <x:c r="G2530" t="str">
        <x:v>equals</x:v>
      </x:c>
      <x:c r="H2530" t="str">
        <x:v>independent physical acceptance</x:v>
      </x:c>
      <x:c r="I2530" t="str">
        <x:f>IF(E2530=1,"PASS","OPEN")</x:f>
        <x:v>OPEN</x:v>
      </x:c>
    </x:row>
    <x:row r="2531">
      <x:c r="B2531" t="str">
        <x:v>PH-IF-18</x:v>
      </x:c>
      <x:c r="C2531" t="str">
        <x:v>PHYSICAL</x:v>
      </x:c>
      <x:c r="D2531" t="str">
        <x:v>interface accepted</x:v>
      </x:c>
      <x:c r="E2531" t="n">
        <x:f>IF('Interface Register'!H24&lt;&gt;"",1,0)</x:f>
        <x:v>0</x:v>
      </x:c>
      <x:c r="F2531" t="n">
        <x:v>1</x:v>
      </x:c>
      <x:c r="G2531" t="str">
        <x:v>equals</x:v>
      </x:c>
      <x:c r="H2531" t="str">
        <x:v>independent physical acceptance</x:v>
      </x:c>
      <x:c r="I2531" t="str">
        <x:f>IF(E2531=1,"PASS","OPEN")</x:f>
        <x:v>OPEN</x:v>
      </x:c>
    </x:row>
    <x:row r="2532">
      <x:c r="B2532" t="str">
        <x:v>PH-IF-19</x:v>
      </x:c>
      <x:c r="C2532" t="str">
        <x:v>PHYSICAL</x:v>
      </x:c>
      <x:c r="D2532" t="str">
        <x:v>interface accepted</x:v>
      </x:c>
      <x:c r="E2532" t="n">
        <x:f>IF('Interface Register'!H25&lt;&gt;"",1,0)</x:f>
        <x:v>0</x:v>
      </x:c>
      <x:c r="F2532" t="n">
        <x:v>1</x:v>
      </x:c>
      <x:c r="G2532" t="str">
        <x:v>equals</x:v>
      </x:c>
      <x:c r="H2532" t="str">
        <x:v>independent physical acceptance</x:v>
      </x:c>
      <x:c r="I2532" t="str">
        <x:f>IF(E2532=1,"PASS","OPEN")</x:f>
        <x:v>OPEN</x:v>
      </x:c>
    </x:row>
    <x:row r="2533">
      <x:c r="B2533" t="str">
        <x:v>PH-IF-20</x:v>
      </x:c>
      <x:c r="C2533" t="str">
        <x:v>PHYSICAL</x:v>
      </x:c>
      <x:c r="D2533" t="str">
        <x:v>interface accepted</x:v>
      </x:c>
      <x:c r="E2533" t="n">
        <x:f>IF('Interface Register'!H26&lt;&gt;"",1,0)</x:f>
        <x:v>0</x:v>
      </x:c>
      <x:c r="F2533" t="n">
        <x:v>1</x:v>
      </x:c>
      <x:c r="G2533" t="str">
        <x:v>equals</x:v>
      </x:c>
      <x:c r="H2533" t="str">
        <x:v>independent physical acceptance</x:v>
      </x:c>
      <x:c r="I2533" t="str">
        <x:f>IF(E2533=1,"PASS","OPEN")</x:f>
        <x:v>OPEN</x:v>
      </x:c>
    </x:row>
    <x:row r="2534">
      <x:c r="B2534" t="str">
        <x:v>PH-IF-21</x:v>
      </x:c>
      <x:c r="C2534" t="str">
        <x:v>PHYSICAL</x:v>
      </x:c>
      <x:c r="D2534" t="str">
        <x:v>interface accepted</x:v>
      </x:c>
      <x:c r="E2534" t="n">
        <x:f>IF('Interface Register'!H27&lt;&gt;"",1,0)</x:f>
        <x:v>0</x:v>
      </x:c>
      <x:c r="F2534" t="n">
        <x:v>1</x:v>
      </x:c>
      <x:c r="G2534" t="str">
        <x:v>equals</x:v>
      </x:c>
      <x:c r="H2534" t="str">
        <x:v>independent physical acceptance</x:v>
      </x:c>
      <x:c r="I2534" t="str">
        <x:f>IF(E2534=1,"PASS","OPEN")</x:f>
        <x:v>OPEN</x:v>
      </x:c>
    </x:row>
    <x:row r="2535">
      <x:c r="B2535" t="str">
        <x:v>PH-IF-22</x:v>
      </x:c>
      <x:c r="C2535" t="str">
        <x:v>PHYSICAL</x:v>
      </x:c>
      <x:c r="D2535" t="str">
        <x:v>interface accepted</x:v>
      </x:c>
      <x:c r="E2535" t="n">
        <x:f>IF('Interface Register'!H28&lt;&gt;"",1,0)</x:f>
        <x:v>0</x:v>
      </x:c>
      <x:c r="F2535" t="n">
        <x:v>1</x:v>
      </x:c>
      <x:c r="G2535" t="str">
        <x:v>equals</x:v>
      </x:c>
      <x:c r="H2535" t="str">
        <x:v>independent physical acceptance</x:v>
      </x:c>
      <x:c r="I2535" t="str">
        <x:f>IF(E2535=1,"PASS","OPEN")</x:f>
        <x:v>OPEN</x:v>
      </x:c>
    </x:row>
    <x:row r="2536">
      <x:c r="B2536" t="str">
        <x:v>PH-IF-23</x:v>
      </x:c>
      <x:c r="C2536" t="str">
        <x:v>PHYSICAL</x:v>
      </x:c>
      <x:c r="D2536" t="str">
        <x:v>interface accepted</x:v>
      </x:c>
      <x:c r="E2536" t="n">
        <x:f>IF('Interface Register'!H29&lt;&gt;"",1,0)</x:f>
        <x:v>0</x:v>
      </x:c>
      <x:c r="F2536" t="n">
        <x:v>1</x:v>
      </x:c>
      <x:c r="G2536" t="str">
        <x:v>equals</x:v>
      </x:c>
      <x:c r="H2536" t="str">
        <x:v>independent physical acceptance</x:v>
      </x:c>
      <x:c r="I2536" t="str">
        <x:f>IF(E2536=1,"PASS","OPEN")</x:f>
        <x:v>OPEN</x:v>
      </x:c>
    </x:row>
    <x:row r="2537">
      <x:c r="B2537" t="str">
        <x:v>PH-IF-24</x:v>
      </x:c>
      <x:c r="C2537" t="str">
        <x:v>PHYSICAL</x:v>
      </x:c>
      <x:c r="D2537" t="str">
        <x:v>interface accepted</x:v>
      </x:c>
      <x:c r="E2537" t="n">
        <x:f>IF('Interface Register'!H30&lt;&gt;"",1,0)</x:f>
        <x:v>0</x:v>
      </x:c>
      <x:c r="F2537" t="n">
        <x:v>1</x:v>
      </x:c>
      <x:c r="G2537" t="str">
        <x:v>equals</x:v>
      </x:c>
      <x:c r="H2537" t="str">
        <x:v>independent physical acceptance</x:v>
      </x:c>
      <x:c r="I2537" t="str">
        <x:f>IF(E2537=1,"PASS","OPEN")</x:f>
        <x:v>OPEN</x:v>
      </x:c>
    </x:row>
    <x:row r="2538">
      <x:c r="B2538" t="str">
        <x:v>PH-IF-25</x:v>
      </x:c>
      <x:c r="C2538" t="str">
        <x:v>PHYSICAL</x:v>
      </x:c>
      <x:c r="D2538" t="str">
        <x:v>interface accepted</x:v>
      </x:c>
      <x:c r="E2538" t="n">
        <x:f>IF('Interface Register'!H31&lt;&gt;"",1,0)</x:f>
        <x:v>0</x:v>
      </x:c>
      <x:c r="F2538" t="n">
        <x:v>1</x:v>
      </x:c>
      <x:c r="G2538" t="str">
        <x:v>equals</x:v>
      </x:c>
      <x:c r="H2538" t="str">
        <x:v>independent physical acceptance</x:v>
      </x:c>
      <x:c r="I2538" t="str">
        <x:f>IF(E2538=1,"PASS","OPEN")</x:f>
        <x:v>OPEN</x:v>
      </x:c>
    </x:row>
    <x:row r="2539">
      <x:c r="B2539" t="str">
        <x:v>PH-IF-26</x:v>
      </x:c>
      <x:c r="C2539" t="str">
        <x:v>PHYSICAL</x:v>
      </x:c>
      <x:c r="D2539" t="str">
        <x:v>interface accepted</x:v>
      </x:c>
      <x:c r="E2539" t="n">
        <x:f>IF('Interface Register'!H32&lt;&gt;"",1,0)</x:f>
        <x:v>0</x:v>
      </x:c>
      <x:c r="F2539" t="n">
        <x:v>1</x:v>
      </x:c>
      <x:c r="G2539" t="str">
        <x:v>equals</x:v>
      </x:c>
      <x:c r="H2539" t="str">
        <x:v>independent physical acceptance</x:v>
      </x:c>
      <x:c r="I2539" t="str">
        <x:f>IF(E2539=1,"PASS","OPEN")</x:f>
        <x:v>OPEN</x:v>
      </x:c>
    </x:row>
    <x:row r="2540">
      <x:c r="B2540" t="str">
        <x:v>PH-IF-27</x:v>
      </x:c>
      <x:c r="C2540" t="str">
        <x:v>PHYSICAL</x:v>
      </x:c>
      <x:c r="D2540" t="str">
        <x:v>interface accepted</x:v>
      </x:c>
      <x:c r="E2540" t="n">
        <x:f>IF('Interface Register'!H33&lt;&gt;"",1,0)</x:f>
        <x:v>0</x:v>
      </x:c>
      <x:c r="F2540" t="n">
        <x:v>1</x:v>
      </x:c>
      <x:c r="G2540" t="str">
        <x:v>equals</x:v>
      </x:c>
      <x:c r="H2540" t="str">
        <x:v>independent physical acceptance</x:v>
      </x:c>
      <x:c r="I2540" t="str">
        <x:f>IF(E2540=1,"PASS","OPEN")</x:f>
        <x:v>OPEN</x:v>
      </x:c>
    </x:row>
    <x:row r="2541">
      <x:c r="B2541" t="str">
        <x:v>PH-IF-28</x:v>
      </x:c>
      <x:c r="C2541" t="str">
        <x:v>PHYSICAL</x:v>
      </x:c>
      <x:c r="D2541" t="str">
        <x:v>interface accepted</x:v>
      </x:c>
      <x:c r="E2541" t="n">
        <x:f>IF('Interface Register'!H34&lt;&gt;"",1,0)</x:f>
        <x:v>0</x:v>
      </x:c>
      <x:c r="F2541" t="n">
        <x:v>1</x:v>
      </x:c>
      <x:c r="G2541" t="str">
        <x:v>equals</x:v>
      </x:c>
      <x:c r="H2541" t="str">
        <x:v>independent physical acceptance</x:v>
      </x:c>
      <x:c r="I2541" t="str">
        <x:f>IF(E2541=1,"PASS","OPEN")</x:f>
        <x:v>OPEN</x:v>
      </x:c>
    </x:row>
    <x:row r="2542">
      <x:c r="B2542" t="str">
        <x:v>PH-IF-29</x:v>
      </x:c>
      <x:c r="C2542" t="str">
        <x:v>PHYSICAL</x:v>
      </x:c>
      <x:c r="D2542" t="str">
        <x:v>interface accepted</x:v>
      </x:c>
      <x:c r="E2542" t="n">
        <x:f>IF('Interface Register'!H35&lt;&gt;"",1,0)</x:f>
        <x:v>0</x:v>
      </x:c>
      <x:c r="F2542" t="n">
        <x:v>1</x:v>
      </x:c>
      <x:c r="G2542" t="str">
        <x:v>equals</x:v>
      </x:c>
      <x:c r="H2542" t="str">
        <x:v>independent physical acceptance</x:v>
      </x:c>
      <x:c r="I2542" t="str">
        <x:f>IF(E2542=1,"PASS","OPEN")</x:f>
        <x:v>OPEN</x:v>
      </x:c>
    </x:row>
    <x:row r="2543">
      <x:c r="B2543" t="str">
        <x:v>PH-IF-30</x:v>
      </x:c>
      <x:c r="C2543" t="str">
        <x:v>PHYSICAL</x:v>
      </x:c>
      <x:c r="D2543" t="str">
        <x:v>interface accepted</x:v>
      </x:c>
      <x:c r="E2543" t="n">
        <x:f>IF('Interface Register'!H36&lt;&gt;"",1,0)</x:f>
        <x:v>0</x:v>
      </x:c>
      <x:c r="F2543" t="n">
        <x:v>1</x:v>
      </x:c>
      <x:c r="G2543" t="str">
        <x:v>equals</x:v>
      </x:c>
      <x:c r="H2543" t="str">
        <x:v>independent physical acceptance</x:v>
      </x:c>
      <x:c r="I2543" t="str">
        <x:f>IF(E2543=1,"PASS","OPEN")</x:f>
        <x:v>OPEN</x:v>
      </x:c>
    </x:row>
    <x:row r="2544">
      <x:c r="B2544" t="str">
        <x:v>PH-IF-31</x:v>
      </x:c>
      <x:c r="C2544" t="str">
        <x:v>PHYSICAL</x:v>
      </x:c>
      <x:c r="D2544" t="str">
        <x:v>interface accepted</x:v>
      </x:c>
      <x:c r="E2544" t="n">
        <x:f>IF('Interface Register'!H37&lt;&gt;"",1,0)</x:f>
        <x:v>0</x:v>
      </x:c>
      <x:c r="F2544" t="n">
        <x:v>1</x:v>
      </x:c>
      <x:c r="G2544" t="str">
        <x:v>equals</x:v>
      </x:c>
      <x:c r="H2544" t="str">
        <x:v>independent physical acceptance</x:v>
      </x:c>
      <x:c r="I2544" t="str">
        <x:f>IF(E2544=1,"PASS","OPEN")</x:f>
        <x:v>OPEN</x:v>
      </x:c>
    </x:row>
    <x:row r="2545">
      <x:c r="B2545" t="str">
        <x:v>PH-IF-32</x:v>
      </x:c>
      <x:c r="C2545" t="str">
        <x:v>PHYSICAL</x:v>
      </x:c>
      <x:c r="D2545" t="str">
        <x:v>interface accepted</x:v>
      </x:c>
      <x:c r="E2545" t="n">
        <x:f>IF('Interface Register'!H38&lt;&gt;"",1,0)</x:f>
        <x:v>0</x:v>
      </x:c>
      <x:c r="F2545" t="n">
        <x:v>1</x:v>
      </x:c>
      <x:c r="G2545" t="str">
        <x:v>equals</x:v>
      </x:c>
      <x:c r="H2545" t="str">
        <x:v>independent physical acceptance</x:v>
      </x:c>
      <x:c r="I2545" t="str">
        <x:f>IF(E2545=1,"PASS","OPEN")</x:f>
        <x:v>OPEN</x:v>
      </x:c>
    </x:row>
    <x:row r="2546">
      <x:c r="B2546" t="str">
        <x:v>PH-IF-33</x:v>
      </x:c>
      <x:c r="C2546" t="str">
        <x:v>PHYSICAL</x:v>
      </x:c>
      <x:c r="D2546" t="str">
        <x:v>interface accepted</x:v>
      </x:c>
      <x:c r="E2546" t="n">
        <x:f>IF('Interface Register'!H39&lt;&gt;"",1,0)</x:f>
        <x:v>0</x:v>
      </x:c>
      <x:c r="F2546" t="n">
        <x:v>1</x:v>
      </x:c>
      <x:c r="G2546" t="str">
        <x:v>equals</x:v>
      </x:c>
      <x:c r="H2546" t="str">
        <x:v>independent physical acceptance</x:v>
      </x:c>
      <x:c r="I2546" t="str">
        <x:f>IF(E2546=1,"PASS","OPEN")</x:f>
        <x:v>OPEN</x:v>
      </x:c>
    </x:row>
    <x:row r="2547">
      <x:c r="B2547" t="str">
        <x:v>PH-IF-34</x:v>
      </x:c>
      <x:c r="C2547" t="str">
        <x:v>PHYSICAL</x:v>
      </x:c>
      <x:c r="D2547" t="str">
        <x:v>interface accepted</x:v>
      </x:c>
      <x:c r="E2547" t="n">
        <x:f>IF('Interface Register'!H40&lt;&gt;"",1,0)</x:f>
        <x:v>0</x:v>
      </x:c>
      <x:c r="F2547" t="n">
        <x:v>1</x:v>
      </x:c>
      <x:c r="G2547" t="str">
        <x:v>equals</x:v>
      </x:c>
      <x:c r="H2547" t="str">
        <x:v>independent physical acceptance</x:v>
      </x:c>
      <x:c r="I2547" t="str">
        <x:f>IF(E2547=1,"PASS","OPEN")</x:f>
        <x:v>OPEN</x:v>
      </x:c>
    </x:row>
    <x:row r="2548">
      <x:c r="B2548" t="str">
        <x:v>PH-IF-35</x:v>
      </x:c>
      <x:c r="C2548" t="str">
        <x:v>PHYSICAL</x:v>
      </x:c>
      <x:c r="D2548" t="str">
        <x:v>interface accepted</x:v>
      </x:c>
      <x:c r="E2548" t="n">
        <x:f>IF('Interface Register'!H41&lt;&gt;"",1,0)</x:f>
        <x:v>0</x:v>
      </x:c>
      <x:c r="F2548" t="n">
        <x:v>1</x:v>
      </x:c>
      <x:c r="G2548" t="str">
        <x:v>equals</x:v>
      </x:c>
      <x:c r="H2548" t="str">
        <x:v>independent physical acceptance</x:v>
      </x:c>
      <x:c r="I2548" t="str">
        <x:f>IF(E2548=1,"PASS","OPEN")</x:f>
        <x:v>OPEN</x:v>
      </x:c>
    </x:row>
    <x:row r="2549">
      <x:c r="B2549" t="str">
        <x:v>PH-IF-36</x:v>
      </x:c>
      <x:c r="C2549" t="str">
        <x:v>PHYSICAL</x:v>
      </x:c>
      <x:c r="D2549" t="str">
        <x:v>interface accepted</x:v>
      </x:c>
      <x:c r="E2549" t="n">
        <x:f>IF('Interface Register'!H42&lt;&gt;"",1,0)</x:f>
        <x:v>0</x:v>
      </x:c>
      <x:c r="F2549" t="n">
        <x:v>1</x:v>
      </x:c>
      <x:c r="G2549" t="str">
        <x:v>equals</x:v>
      </x:c>
      <x:c r="H2549" t="str">
        <x:v>independent physical acceptance</x:v>
      </x:c>
      <x:c r="I2549" t="str">
        <x:f>IF(E2549=1,"PASS","OPEN")</x:f>
        <x:v>OPEN</x:v>
      </x:c>
    </x:row>
    <x:row r="2550">
      <x:c r="B2550" t="str">
        <x:v>PH-IF-37</x:v>
      </x:c>
      <x:c r="C2550" t="str">
        <x:v>PHYSICAL</x:v>
      </x:c>
      <x:c r="D2550" t="str">
        <x:v>interface accepted</x:v>
      </x:c>
      <x:c r="E2550" t="n">
        <x:f>IF('Interface Register'!H43&lt;&gt;"",1,0)</x:f>
        <x:v>0</x:v>
      </x:c>
      <x:c r="F2550" t="n">
        <x:v>1</x:v>
      </x:c>
      <x:c r="G2550" t="str">
        <x:v>equals</x:v>
      </x:c>
      <x:c r="H2550" t="str">
        <x:v>independent physical acceptance</x:v>
      </x:c>
      <x:c r="I2550" t="str">
        <x:f>IF(E2550=1,"PASS","OPEN")</x:f>
        <x:v>OPEN</x:v>
      </x:c>
    </x:row>
    <x:row r="2551">
      <x:c r="B2551" t="str">
        <x:v>PH-IF-38</x:v>
      </x:c>
      <x:c r="C2551" t="str">
        <x:v>PHYSICAL</x:v>
      </x:c>
      <x:c r="D2551" t="str">
        <x:v>interface accepted</x:v>
      </x:c>
      <x:c r="E2551" t="n">
        <x:f>IF('Interface Register'!H44&lt;&gt;"",1,0)</x:f>
        <x:v>0</x:v>
      </x:c>
      <x:c r="F2551" t="n">
        <x:v>1</x:v>
      </x:c>
      <x:c r="G2551" t="str">
        <x:v>equals</x:v>
      </x:c>
      <x:c r="H2551" t="str">
        <x:v>independent physical acceptance</x:v>
      </x:c>
      <x:c r="I2551" t="str">
        <x:f>IF(E2551=1,"PASS","OPEN")</x:f>
        <x:v>OPEN</x:v>
      </x:c>
    </x:row>
    <x:row r="2552">
      <x:c r="B2552" t="str">
        <x:v>PH-IF-39</x:v>
      </x:c>
      <x:c r="C2552" t="str">
        <x:v>PHYSICAL</x:v>
      </x:c>
      <x:c r="D2552" t="str">
        <x:v>interface accepted</x:v>
      </x:c>
      <x:c r="E2552" t="n">
        <x:f>IF('Interface Register'!H45&lt;&gt;"",1,0)</x:f>
        <x:v>0</x:v>
      </x:c>
      <x:c r="F2552" t="n">
        <x:v>1</x:v>
      </x:c>
      <x:c r="G2552" t="str">
        <x:v>equals</x:v>
      </x:c>
      <x:c r="H2552" t="str">
        <x:v>independent physical acceptance</x:v>
      </x:c>
      <x:c r="I2552" t="str">
        <x:f>IF(E2552=1,"PASS","OPEN")</x:f>
        <x:v>OPEN</x:v>
      </x:c>
    </x:row>
    <x:row r="2553">
      <x:c r="B2553" t="str">
        <x:v>PH-IF-40</x:v>
      </x:c>
      <x:c r="C2553" t="str">
        <x:v>PHYSICAL</x:v>
      </x:c>
      <x:c r="D2553" t="str">
        <x:v>interface accepted</x:v>
      </x:c>
      <x:c r="E2553" t="n">
        <x:f>IF('Interface Register'!H46&lt;&gt;"",1,0)</x:f>
        <x:v>0</x:v>
      </x:c>
      <x:c r="F2553" t="n">
        <x:v>1</x:v>
      </x:c>
      <x:c r="G2553" t="str">
        <x:v>equals</x:v>
      </x:c>
      <x:c r="H2553" t="str">
        <x:v>independent physical acceptance</x:v>
      </x:c>
      <x:c r="I2553" t="str">
        <x:f>IF(E2553=1,"PASS","OPEN")</x:f>
        <x:v>OPEN</x:v>
      </x:c>
    </x:row>
    <x:row r="2554">
      <x:c r="B2554" t="str">
        <x:v>PH-IF-41</x:v>
      </x:c>
      <x:c r="C2554" t="str">
        <x:v>PHYSICAL</x:v>
      </x:c>
      <x:c r="D2554" t="str">
        <x:v>interface accepted</x:v>
      </x:c>
      <x:c r="E2554" t="n">
        <x:f>IF('Interface Register'!H47&lt;&gt;"",1,0)</x:f>
        <x:v>0</x:v>
      </x:c>
      <x:c r="F2554" t="n">
        <x:v>1</x:v>
      </x:c>
      <x:c r="G2554" t="str">
        <x:v>equals</x:v>
      </x:c>
      <x:c r="H2554" t="str">
        <x:v>independent physical acceptance</x:v>
      </x:c>
      <x:c r="I2554" t="str">
        <x:f>IF(E2554=1,"PASS","OPEN")</x:f>
        <x:v>OPEN</x:v>
      </x:c>
    </x:row>
    <x:row r="2555">
      <x:c r="B2555" t="str">
        <x:v>PH-IF-42</x:v>
      </x:c>
      <x:c r="C2555" t="str">
        <x:v>PHYSICAL</x:v>
      </x:c>
      <x:c r="D2555" t="str">
        <x:v>interface accepted</x:v>
      </x:c>
      <x:c r="E2555" t="n">
        <x:f>IF('Interface Register'!H48&lt;&gt;"",1,0)</x:f>
        <x:v>0</x:v>
      </x:c>
      <x:c r="F2555" t="n">
        <x:v>1</x:v>
      </x:c>
      <x:c r="G2555" t="str">
        <x:v>equals</x:v>
      </x:c>
      <x:c r="H2555" t="str">
        <x:v>independent physical acceptance</x:v>
      </x:c>
      <x:c r="I2555" t="str">
        <x:f>IF(E2555=1,"PASS","OPEN")</x:f>
        <x:v>OPEN</x:v>
      </x:c>
    </x:row>
    <x:row r="2556">
      <x:c r="B2556" t="str">
        <x:v>PH-IF-43</x:v>
      </x:c>
      <x:c r="C2556" t="str">
        <x:v>PHYSICAL</x:v>
      </x:c>
      <x:c r="D2556" t="str">
        <x:v>interface accepted</x:v>
      </x:c>
      <x:c r="E2556" t="n">
        <x:f>IF('Interface Register'!H49&lt;&gt;"",1,0)</x:f>
        <x:v>0</x:v>
      </x:c>
      <x:c r="F2556" t="n">
        <x:v>1</x:v>
      </x:c>
      <x:c r="G2556" t="str">
        <x:v>equals</x:v>
      </x:c>
      <x:c r="H2556" t="str">
        <x:v>independent physical acceptance</x:v>
      </x:c>
      <x:c r="I2556" t="str">
        <x:f>IF(E2556=1,"PASS","OPEN")</x:f>
        <x:v>OPEN</x:v>
      </x:c>
    </x:row>
    <x:row r="2557">
      <x:c r="B2557" t="str">
        <x:v>PH-IF-44</x:v>
      </x:c>
      <x:c r="C2557" t="str">
        <x:v>PHYSICAL</x:v>
      </x:c>
      <x:c r="D2557" t="str">
        <x:v>interface accepted</x:v>
      </x:c>
      <x:c r="E2557" t="n">
        <x:f>IF('Interface Register'!H50&lt;&gt;"",1,0)</x:f>
        <x:v>0</x:v>
      </x:c>
      <x:c r="F2557" t="n">
        <x:v>1</x:v>
      </x:c>
      <x:c r="G2557" t="str">
        <x:v>equals</x:v>
      </x:c>
      <x:c r="H2557" t="str">
        <x:v>independent physical acceptance</x:v>
      </x:c>
      <x:c r="I2557" t="str">
        <x:f>IF(E2557=1,"PASS","OPEN")</x:f>
        <x:v>OPEN</x:v>
      </x:c>
    </x:row>
    <x:row r="2558">
      <x:c r="B2558" t="str">
        <x:v>PH-IF-45</x:v>
      </x:c>
      <x:c r="C2558" t="str">
        <x:v>PHYSICAL</x:v>
      </x:c>
      <x:c r="D2558" t="str">
        <x:v>interface accepted</x:v>
      </x:c>
      <x:c r="E2558" t="n">
        <x:f>IF('Interface Register'!H51&lt;&gt;"",1,0)</x:f>
        <x:v>0</x:v>
      </x:c>
      <x:c r="F2558" t="n">
        <x:v>1</x:v>
      </x:c>
      <x:c r="G2558" t="str">
        <x:v>equals</x:v>
      </x:c>
      <x:c r="H2558" t="str">
        <x:v>independent physical acceptance</x:v>
      </x:c>
      <x:c r="I2558" t="str">
        <x:f>IF(E2558=1,"PASS","OPEN")</x:f>
        <x:v>OPEN</x:v>
      </x:c>
    </x:row>
    <x:row r="2559">
      <x:c r="B2559" t="str">
        <x:v>PH-IF-46</x:v>
      </x:c>
      <x:c r="C2559" t="str">
        <x:v>PHYSICAL</x:v>
      </x:c>
      <x:c r="D2559" t="str">
        <x:v>interface accepted</x:v>
      </x:c>
      <x:c r="E2559" t="n">
        <x:f>IF('Interface Register'!H52&lt;&gt;"",1,0)</x:f>
        <x:v>0</x:v>
      </x:c>
      <x:c r="F2559" t="n">
        <x:v>1</x:v>
      </x:c>
      <x:c r="G2559" t="str">
        <x:v>equals</x:v>
      </x:c>
      <x:c r="H2559" t="str">
        <x:v>independent physical acceptance</x:v>
      </x:c>
      <x:c r="I2559" t="str">
        <x:f>IF(E2559=1,"PASS","OPEN")</x:f>
        <x:v>OPEN</x:v>
      </x:c>
    </x:row>
    <x:row r="2560">
      <x:c r="B2560" t="str">
        <x:v>PH-IF-47</x:v>
      </x:c>
      <x:c r="C2560" t="str">
        <x:v>PHYSICAL</x:v>
      </x:c>
      <x:c r="D2560" t="str">
        <x:v>interface accepted</x:v>
      </x:c>
      <x:c r="E2560" t="n">
        <x:f>IF('Interface Register'!H53&lt;&gt;"",1,0)</x:f>
        <x:v>0</x:v>
      </x:c>
      <x:c r="F2560" t="n">
        <x:v>1</x:v>
      </x:c>
      <x:c r="G2560" t="str">
        <x:v>equals</x:v>
      </x:c>
      <x:c r="H2560" t="str">
        <x:v>independent physical acceptance</x:v>
      </x:c>
      <x:c r="I2560" t="str">
        <x:f>IF(E2560=1,"PASS","OPEN")</x:f>
        <x:v>OPEN</x:v>
      </x:c>
    </x:row>
    <x:row r="2561">
      <x:c r="B2561" t="str">
        <x:v>PH-IF-48</x:v>
      </x:c>
      <x:c r="C2561" t="str">
        <x:v>PHYSICAL</x:v>
      </x:c>
      <x:c r="D2561" t="str">
        <x:v>interface accepted</x:v>
      </x:c>
      <x:c r="E2561" t="n">
        <x:f>IF('Interface Register'!H54&lt;&gt;"",1,0)</x:f>
        <x:v>0</x:v>
      </x:c>
      <x:c r="F2561" t="n">
        <x:v>1</x:v>
      </x:c>
      <x:c r="G2561" t="str">
        <x:v>equals</x:v>
      </x:c>
      <x:c r="H2561" t="str">
        <x:v>independent physical acceptance</x:v>
      </x:c>
      <x:c r="I2561" t="str">
        <x:f>IF(E2561=1,"PASS","OPEN")</x:f>
        <x:v>OPEN</x:v>
      </x:c>
    </x:row>
    <x:row r="2562">
      <x:c r="B2562" t="str">
        <x:v>PH-IF-49</x:v>
      </x:c>
      <x:c r="C2562" t="str">
        <x:v>PHYSICAL</x:v>
      </x:c>
      <x:c r="D2562" t="str">
        <x:v>interface accepted</x:v>
      </x:c>
      <x:c r="E2562" t="n">
        <x:f>IF('Interface Register'!H55&lt;&gt;"",1,0)</x:f>
        <x:v>0</x:v>
      </x:c>
      <x:c r="F2562" t="n">
        <x:v>1</x:v>
      </x:c>
      <x:c r="G2562" t="str">
        <x:v>equals</x:v>
      </x:c>
      <x:c r="H2562" t="str">
        <x:v>independent physical acceptance</x:v>
      </x:c>
      <x:c r="I2562" t="str">
        <x:f>IF(E2562=1,"PASS","OPEN")</x:f>
        <x:v>OPEN</x:v>
      </x:c>
    </x:row>
    <x:row r="2563">
      <x:c r="B2563" t="str">
        <x:v>PH-IF-50</x:v>
      </x:c>
      <x:c r="C2563" t="str">
        <x:v>PHYSICAL</x:v>
      </x:c>
      <x:c r="D2563" t="str">
        <x:v>interface accepted</x:v>
      </x:c>
      <x:c r="E2563" t="n">
        <x:f>IF('Interface Register'!H56&lt;&gt;"",1,0)</x:f>
        <x:v>0</x:v>
      </x:c>
      <x:c r="F2563" t="n">
        <x:v>1</x:v>
      </x:c>
      <x:c r="G2563" t="str">
        <x:v>equals</x:v>
      </x:c>
      <x:c r="H2563" t="str">
        <x:v>independent physical acceptance</x:v>
      </x:c>
      <x:c r="I2563" t="str">
        <x:f>IF(E2563=1,"PASS","OPEN")</x:f>
        <x:v>OPEN</x:v>
      </x:c>
    </x:row>
    <x:row r="2564">
      <x:c r="B2564" t="str">
        <x:v>PH-IF-51</x:v>
      </x:c>
      <x:c r="C2564" t="str">
        <x:v>PHYSICAL</x:v>
      </x:c>
      <x:c r="D2564" t="str">
        <x:v>interface accepted</x:v>
      </x:c>
      <x:c r="E2564" t="n">
        <x:f>IF('Interface Register'!H57&lt;&gt;"",1,0)</x:f>
        <x:v>0</x:v>
      </x:c>
      <x:c r="F2564" t="n">
        <x:v>1</x:v>
      </x:c>
      <x:c r="G2564" t="str">
        <x:v>equals</x:v>
      </x:c>
      <x:c r="H2564" t="str">
        <x:v>independent physical acceptance</x:v>
      </x:c>
      <x:c r="I2564" t="str">
        <x:f>IF(E2564=1,"PASS","OPEN")</x:f>
        <x:v>OPEN</x:v>
      </x:c>
    </x:row>
    <x:row r="2565">
      <x:c r="B2565" t="str">
        <x:v>PH-IF-52</x:v>
      </x:c>
      <x:c r="C2565" t="str">
        <x:v>PHYSICAL</x:v>
      </x:c>
      <x:c r="D2565" t="str">
        <x:v>interface accepted</x:v>
      </x:c>
      <x:c r="E2565" t="n">
        <x:f>IF('Interface Register'!H58&lt;&gt;"",1,0)</x:f>
        <x:v>0</x:v>
      </x:c>
      <x:c r="F2565" t="n">
        <x:v>1</x:v>
      </x:c>
      <x:c r="G2565" t="str">
        <x:v>equals</x:v>
      </x:c>
      <x:c r="H2565" t="str">
        <x:v>independent physical acceptance</x:v>
      </x:c>
      <x:c r="I2565" t="str">
        <x:f>IF(E2565=1,"PASS","OPEN")</x:f>
        <x:v>OPEN</x:v>
      </x:c>
    </x:row>
    <x:row r="2566">
      <x:c r="B2566" t="str">
        <x:v>PH-IF-53</x:v>
      </x:c>
      <x:c r="C2566" t="str">
        <x:v>PHYSICAL</x:v>
      </x:c>
      <x:c r="D2566" t="str">
        <x:v>interface accepted</x:v>
      </x:c>
      <x:c r="E2566" t="n">
        <x:f>IF('Interface Register'!H59&lt;&gt;"",1,0)</x:f>
        <x:v>0</x:v>
      </x:c>
      <x:c r="F2566" t="n">
        <x:v>1</x:v>
      </x:c>
      <x:c r="G2566" t="str">
        <x:v>equals</x:v>
      </x:c>
      <x:c r="H2566" t="str">
        <x:v>independent physical acceptance</x:v>
      </x:c>
      <x:c r="I2566" t="str">
        <x:f>IF(E2566=1,"PASS","OPEN")</x:f>
        <x:v>OPEN</x:v>
      </x:c>
    </x:row>
    <x:row r="2567">
      <x:c r="B2567" t="str">
        <x:v>PH-IF-54</x:v>
      </x:c>
      <x:c r="C2567" t="str">
        <x:v>PHYSICAL</x:v>
      </x:c>
      <x:c r="D2567" t="str">
        <x:v>interface accepted</x:v>
      </x:c>
      <x:c r="E2567" t="n">
        <x:f>IF('Interface Register'!H60&lt;&gt;"",1,0)</x:f>
        <x:v>0</x:v>
      </x:c>
      <x:c r="F2567" t="n">
        <x:v>1</x:v>
      </x:c>
      <x:c r="G2567" t="str">
        <x:v>equals</x:v>
      </x:c>
      <x:c r="H2567" t="str">
        <x:v>independent physical acceptance</x:v>
      </x:c>
      <x:c r="I2567" t="str">
        <x:f>IF(E2567=1,"PASS","OPEN")</x:f>
        <x:v>OPEN</x:v>
      </x:c>
    </x:row>
    <x:row r="2568">
      <x:c r="B2568" t="str">
        <x:v>PH-IF-55</x:v>
      </x:c>
      <x:c r="C2568" t="str">
        <x:v>PHYSICAL</x:v>
      </x:c>
      <x:c r="D2568" t="str">
        <x:v>interface accepted</x:v>
      </x:c>
      <x:c r="E2568" t="n">
        <x:f>IF('Interface Register'!H61&lt;&gt;"",1,0)</x:f>
        <x:v>0</x:v>
      </x:c>
      <x:c r="F2568" t="n">
        <x:v>1</x:v>
      </x:c>
      <x:c r="G2568" t="str">
        <x:v>equals</x:v>
      </x:c>
      <x:c r="H2568" t="str">
        <x:v>independent physical acceptance</x:v>
      </x:c>
      <x:c r="I2568" t="str">
        <x:f>IF(E2568=1,"PASS","OPEN")</x:f>
        <x:v>OPEN</x:v>
      </x:c>
    </x:row>
    <x:row r="2569">
      <x:c r="B2569" t="str">
        <x:v>PH-IF-56</x:v>
      </x:c>
      <x:c r="C2569" t="str">
        <x:v>PHYSICAL</x:v>
      </x:c>
      <x:c r="D2569" t="str">
        <x:v>interface accepted</x:v>
      </x:c>
      <x:c r="E2569" t="n">
        <x:f>IF('Interface Register'!H62&lt;&gt;"",1,0)</x:f>
        <x:v>0</x:v>
      </x:c>
      <x:c r="F2569" t="n">
        <x:v>1</x:v>
      </x:c>
      <x:c r="G2569" t="str">
        <x:v>equals</x:v>
      </x:c>
      <x:c r="H2569" t="str">
        <x:v>independent physical acceptance</x:v>
      </x:c>
      <x:c r="I2569" t="str">
        <x:f>IF(E2569=1,"PASS","OPEN")</x:f>
        <x:v>OPEN</x:v>
      </x:c>
    </x:row>
    <x:row r="2570">
      <x:c r="B2570" t="str">
        <x:v>PH-IF-57</x:v>
      </x:c>
      <x:c r="C2570" t="str">
        <x:v>PHYSICAL</x:v>
      </x:c>
      <x:c r="D2570" t="str">
        <x:v>interface accepted</x:v>
      </x:c>
      <x:c r="E2570" t="n">
        <x:f>IF('Interface Register'!H63&lt;&gt;"",1,0)</x:f>
        <x:v>0</x:v>
      </x:c>
      <x:c r="F2570" t="n">
        <x:v>1</x:v>
      </x:c>
      <x:c r="G2570" t="str">
        <x:v>equals</x:v>
      </x:c>
      <x:c r="H2570" t="str">
        <x:v>independent physical acceptance</x:v>
      </x:c>
      <x:c r="I2570" t="str">
        <x:f>IF(E2570=1,"PASS","OPEN")</x:f>
        <x:v>OPEN</x:v>
      </x:c>
    </x:row>
    <x:row r="2571">
      <x:c r="B2571" t="str">
        <x:v>PH-IF-58</x:v>
      </x:c>
      <x:c r="C2571" t="str">
        <x:v>PHYSICAL</x:v>
      </x:c>
      <x:c r="D2571" t="str">
        <x:v>interface accepted</x:v>
      </x:c>
      <x:c r="E2571" t="n">
        <x:f>IF('Interface Register'!H64&lt;&gt;"",1,0)</x:f>
        <x:v>0</x:v>
      </x:c>
      <x:c r="F2571" t="n">
        <x:v>1</x:v>
      </x:c>
      <x:c r="G2571" t="str">
        <x:v>equals</x:v>
      </x:c>
      <x:c r="H2571" t="str">
        <x:v>independent physical acceptance</x:v>
      </x:c>
      <x:c r="I2571" t="str">
        <x:f>IF(E2571=1,"PASS","OPEN")</x:f>
        <x:v>OPEN</x:v>
      </x:c>
    </x:row>
    <x:row r="2572">
      <x:c r="B2572" t="str">
        <x:v>PH-IF-59</x:v>
      </x:c>
      <x:c r="C2572" t="str">
        <x:v>PHYSICAL</x:v>
      </x:c>
      <x:c r="D2572" t="str">
        <x:v>interface accepted</x:v>
      </x:c>
      <x:c r="E2572" t="n">
        <x:f>IF('Interface Register'!H65&lt;&gt;"",1,0)</x:f>
        <x:v>0</x:v>
      </x:c>
      <x:c r="F2572" t="n">
        <x:v>1</x:v>
      </x:c>
      <x:c r="G2572" t="str">
        <x:v>equals</x:v>
      </x:c>
      <x:c r="H2572" t="str">
        <x:v>independent physical acceptance</x:v>
      </x:c>
      <x:c r="I2572" t="str">
        <x:f>IF(E2572=1,"PASS","OPEN")</x:f>
        <x:v>OPEN</x:v>
      </x:c>
    </x:row>
    <x:row r="2573">
      <x:c r="B2573" t="str">
        <x:v>PH-IF-60</x:v>
      </x:c>
      <x:c r="C2573" t="str">
        <x:v>PHYSICAL</x:v>
      </x:c>
      <x:c r="D2573" t="str">
        <x:v>interface accepted</x:v>
      </x:c>
      <x:c r="E2573" t="n">
        <x:f>IF('Interface Register'!H66&lt;&gt;"",1,0)</x:f>
        <x:v>0</x:v>
      </x:c>
      <x:c r="F2573" t="n">
        <x:v>1</x:v>
      </x:c>
      <x:c r="G2573" t="str">
        <x:v>equals</x:v>
      </x:c>
      <x:c r="H2573" t="str">
        <x:v>independent physical acceptance</x:v>
      </x:c>
      <x:c r="I2573" t="str">
        <x:f>IF(E2573=1,"PASS","OPEN")</x:f>
        <x:v>OPEN</x:v>
      </x:c>
    </x:row>
    <x:row r="2574">
      <x:c r="B2574" t="str">
        <x:v>PH-IF-61</x:v>
      </x:c>
      <x:c r="C2574" t="str">
        <x:v>PHYSICAL</x:v>
      </x:c>
      <x:c r="D2574" t="str">
        <x:v>interface accepted</x:v>
      </x:c>
      <x:c r="E2574" t="n">
        <x:f>IF('Interface Register'!H67&lt;&gt;"",1,0)</x:f>
        <x:v>0</x:v>
      </x:c>
      <x:c r="F2574" t="n">
        <x:v>1</x:v>
      </x:c>
      <x:c r="G2574" t="str">
        <x:v>equals</x:v>
      </x:c>
      <x:c r="H2574" t="str">
        <x:v>independent physical acceptance</x:v>
      </x:c>
      <x:c r="I2574" t="str">
        <x:f>IF(E2574=1,"PASS","OPEN")</x:f>
        <x:v>OPEN</x:v>
      </x:c>
    </x:row>
    <x:row r="2575">
      <x:c r="B2575" t="str">
        <x:v>PH-IF-62</x:v>
      </x:c>
      <x:c r="C2575" t="str">
        <x:v>PHYSICAL</x:v>
      </x:c>
      <x:c r="D2575" t="str">
        <x:v>interface accepted</x:v>
      </x:c>
      <x:c r="E2575" t="n">
        <x:f>IF('Interface Register'!H68&lt;&gt;"",1,0)</x:f>
        <x:v>0</x:v>
      </x:c>
      <x:c r="F2575" t="n">
        <x:v>1</x:v>
      </x:c>
      <x:c r="G2575" t="str">
        <x:v>equals</x:v>
      </x:c>
      <x:c r="H2575" t="str">
        <x:v>independent physical acceptance</x:v>
      </x:c>
      <x:c r="I2575" t="str">
        <x:f>IF(E2575=1,"PASS","OPEN")</x:f>
        <x:v>OPEN</x:v>
      </x:c>
    </x:row>
    <x:row r="2576">
      <x:c r="B2576" t="str">
        <x:v>PH-IF-63</x:v>
      </x:c>
      <x:c r="C2576" t="str">
        <x:v>PHYSICAL</x:v>
      </x:c>
      <x:c r="D2576" t="str">
        <x:v>interface accepted</x:v>
      </x:c>
      <x:c r="E2576" t="n">
        <x:f>IF('Interface Register'!H69&lt;&gt;"",1,0)</x:f>
        <x:v>0</x:v>
      </x:c>
      <x:c r="F2576" t="n">
        <x:v>1</x:v>
      </x:c>
      <x:c r="G2576" t="str">
        <x:v>equals</x:v>
      </x:c>
      <x:c r="H2576" t="str">
        <x:v>independent physical acceptance</x:v>
      </x:c>
      <x:c r="I2576" t="str">
        <x:f>IF(E2576=1,"PASS","OPEN")</x:f>
        <x:v>OPEN</x:v>
      </x:c>
    </x:row>
    <x:row r="2577">
      <x:c r="B2577" t="str">
        <x:v>PH-IF-64</x:v>
      </x:c>
      <x:c r="C2577" t="str">
        <x:v>PHYSICAL</x:v>
      </x:c>
      <x:c r="D2577" t="str">
        <x:v>interface accepted</x:v>
      </x:c>
      <x:c r="E2577" t="n">
        <x:f>IF('Interface Register'!H70&lt;&gt;"",1,0)</x:f>
        <x:v>0</x:v>
      </x:c>
      <x:c r="F2577" t="n">
        <x:v>1</x:v>
      </x:c>
      <x:c r="G2577" t="str">
        <x:v>equals</x:v>
      </x:c>
      <x:c r="H2577" t="str">
        <x:v>independent physical acceptance</x:v>
      </x:c>
      <x:c r="I2577" t="str">
        <x:f>IF(E2577=1,"PASS","OPEN")</x:f>
        <x:v>OPEN</x:v>
      </x:c>
    </x:row>
    <x:row r="2578">
      <x:c r="B2578" t="str">
        <x:v>PH-IF-65</x:v>
      </x:c>
      <x:c r="C2578" t="str">
        <x:v>PHYSICAL</x:v>
      </x:c>
      <x:c r="D2578" t="str">
        <x:v>interface accepted</x:v>
      </x:c>
      <x:c r="E2578" t="n">
        <x:f>IF('Interface Register'!H71&lt;&gt;"",1,0)</x:f>
        <x:v>0</x:v>
      </x:c>
      <x:c r="F2578" t="n">
        <x:v>1</x:v>
      </x:c>
      <x:c r="G2578" t="str">
        <x:v>equals</x:v>
      </x:c>
      <x:c r="H2578" t="str">
        <x:v>independent physical acceptance</x:v>
      </x:c>
      <x:c r="I2578" t="str">
        <x:f>IF(E2578=1,"PASS","OPEN")</x:f>
        <x:v>OPEN</x:v>
      </x:c>
    </x:row>
    <x:row r="2579">
      <x:c r="B2579" t="str">
        <x:v>PH-IF-66</x:v>
      </x:c>
      <x:c r="C2579" t="str">
        <x:v>PHYSICAL</x:v>
      </x:c>
      <x:c r="D2579" t="str">
        <x:v>interface accepted</x:v>
      </x:c>
      <x:c r="E2579" t="n">
        <x:f>IF('Interface Register'!H72&lt;&gt;"",1,0)</x:f>
        <x:v>0</x:v>
      </x:c>
      <x:c r="F2579" t="n">
        <x:v>1</x:v>
      </x:c>
      <x:c r="G2579" t="str">
        <x:v>equals</x:v>
      </x:c>
      <x:c r="H2579" t="str">
        <x:v>independent physical acceptance</x:v>
      </x:c>
      <x:c r="I2579" t="str">
        <x:f>IF(E2579=1,"PASS","OPEN")</x:f>
        <x:v>OPEN</x:v>
      </x:c>
    </x:row>
    <x:row r="2580">
      <x:c r="B2580" t="str">
        <x:v>PH-IF-67</x:v>
      </x:c>
      <x:c r="C2580" t="str">
        <x:v>PHYSICAL</x:v>
      </x:c>
      <x:c r="D2580" t="str">
        <x:v>interface accepted</x:v>
      </x:c>
      <x:c r="E2580" t="n">
        <x:f>IF('Interface Register'!H73&lt;&gt;"",1,0)</x:f>
        <x:v>0</x:v>
      </x:c>
      <x:c r="F2580" t="n">
        <x:v>1</x:v>
      </x:c>
      <x:c r="G2580" t="str">
        <x:v>equals</x:v>
      </x:c>
      <x:c r="H2580" t="str">
        <x:v>independent physical acceptance</x:v>
      </x:c>
      <x:c r="I2580" t="str">
        <x:f>IF(E2580=1,"PASS","OPEN")</x:f>
        <x:v>OPEN</x:v>
      </x:c>
    </x:row>
    <x:row r="2581">
      <x:c r="B2581" t="str">
        <x:v>PH-IF-68</x:v>
      </x:c>
      <x:c r="C2581" t="str">
        <x:v>PHYSICAL</x:v>
      </x:c>
      <x:c r="D2581" t="str">
        <x:v>interface accepted</x:v>
      </x:c>
      <x:c r="E2581" t="n">
        <x:f>IF('Interface Register'!H74&lt;&gt;"",1,0)</x:f>
        <x:v>0</x:v>
      </x:c>
      <x:c r="F2581" t="n">
        <x:v>1</x:v>
      </x:c>
      <x:c r="G2581" t="str">
        <x:v>equals</x:v>
      </x:c>
      <x:c r="H2581" t="str">
        <x:v>independent physical acceptance</x:v>
      </x:c>
      <x:c r="I2581" t="str">
        <x:f>IF(E2581=1,"PASS","OPEN")</x:f>
        <x:v>OPEN</x:v>
      </x:c>
    </x:row>
    <x:row r="2582">
      <x:c r="B2582" t="str">
        <x:v>PH-IF-69</x:v>
      </x:c>
      <x:c r="C2582" t="str">
        <x:v>PHYSICAL</x:v>
      </x:c>
      <x:c r="D2582" t="str">
        <x:v>interface accepted</x:v>
      </x:c>
      <x:c r="E2582" t="n">
        <x:f>IF('Interface Register'!H75&lt;&gt;"",1,0)</x:f>
        <x:v>0</x:v>
      </x:c>
      <x:c r="F2582" t="n">
        <x:v>1</x:v>
      </x:c>
      <x:c r="G2582" t="str">
        <x:v>equals</x:v>
      </x:c>
      <x:c r="H2582" t="str">
        <x:v>independent physical acceptance</x:v>
      </x:c>
      <x:c r="I2582" t="str">
        <x:f>IF(E2582=1,"PASS","OPEN")</x:f>
        <x:v>OPEN</x:v>
      </x:c>
    </x:row>
    <x:row r="2583">
      <x:c r="B2583" t="str">
        <x:v>PH-IF-70</x:v>
      </x:c>
      <x:c r="C2583" t="str">
        <x:v>PHYSICAL</x:v>
      </x:c>
      <x:c r="D2583" t="str">
        <x:v>interface accepted</x:v>
      </x:c>
      <x:c r="E2583" t="n">
        <x:f>IF('Interface Register'!H76&lt;&gt;"",1,0)</x:f>
        <x:v>0</x:v>
      </x:c>
      <x:c r="F2583" t="n">
        <x:v>1</x:v>
      </x:c>
      <x:c r="G2583" t="str">
        <x:v>equals</x:v>
      </x:c>
      <x:c r="H2583" t="str">
        <x:v>independent physical acceptance</x:v>
      </x:c>
      <x:c r="I2583" t="str">
        <x:f>IF(E2583=1,"PASS","OPEN")</x:f>
        <x:v>OPEN</x:v>
      </x:c>
    </x:row>
    <x:row r="2584">
      <x:c r="B2584" t="str">
        <x:v>PH-IF-71</x:v>
      </x:c>
      <x:c r="C2584" t="str">
        <x:v>PHYSICAL</x:v>
      </x:c>
      <x:c r="D2584" t="str">
        <x:v>interface accepted</x:v>
      </x:c>
      <x:c r="E2584" t="n">
        <x:f>IF('Interface Register'!H77&lt;&gt;"",1,0)</x:f>
        <x:v>0</x:v>
      </x:c>
      <x:c r="F2584" t="n">
        <x:v>1</x:v>
      </x:c>
      <x:c r="G2584" t="str">
        <x:v>equals</x:v>
      </x:c>
      <x:c r="H2584" t="str">
        <x:v>independent physical acceptance</x:v>
      </x:c>
      <x:c r="I2584" t="str">
        <x:f>IF(E2584=1,"PASS","OPEN")</x:f>
        <x:v>OPEN</x:v>
      </x:c>
    </x:row>
    <x:row r="2585">
      <x:c r="B2585" t="str">
        <x:v>PH-IF-72</x:v>
      </x:c>
      <x:c r="C2585" t="str">
        <x:v>PHYSICAL</x:v>
      </x:c>
      <x:c r="D2585" t="str">
        <x:v>interface accepted</x:v>
      </x:c>
      <x:c r="E2585" t="n">
        <x:f>IF('Interface Register'!H78&lt;&gt;"",1,0)</x:f>
        <x:v>0</x:v>
      </x:c>
      <x:c r="F2585" t="n">
        <x:v>1</x:v>
      </x:c>
      <x:c r="G2585" t="str">
        <x:v>equals</x:v>
      </x:c>
      <x:c r="H2585" t="str">
        <x:v>independent physical acceptance</x:v>
      </x:c>
      <x:c r="I2585" t="str">
        <x:f>IF(E2585=1,"PASS","OPEN")</x:f>
        <x:v>OPEN</x:v>
      </x:c>
    </x:row>
    <x:row r="2586">
      <x:c r="B2586" t="str">
        <x:v>DS-01</x:v>
      </x:c>
      <x:c r="C2586" t="str">
        <x:v>DOWNSTREAM</x:v>
      </x:c>
      <x:c r="D2586" t="str">
        <x:v>water-only campaign</x:v>
      </x:c>
      <x:c r="E2586" t="n">
        <x:f>Controls!$D$72</x:f>
        <x:v>0</x:v>
      </x:c>
      <x:c r="F2586" t="n">
        <x:v>1</x:v>
      </x:c>
      <x:c r="G2586" t="str">
        <x:v>equals</x:v>
      </x:c>
      <x:c r="H2586" t="str">
        <x:v>separate authority</x:v>
      </x:c>
      <x:c r="I2586" t="str">
        <x:f>IF(E2586=1,"PASS","BLOCKED")</x:f>
        <x:v>BLOCKED</x:v>
      </x:c>
    </x:row>
    <x:row r="2587">
      <x:c r="B2587" t="str">
        <x:v>DS-02</x:v>
      </x:c>
      <x:c r="C2587" t="str">
        <x:v>DOWNSTREAM</x:v>
      </x:c>
      <x:c r="D2587" t="str">
        <x:v>surrogate-source campaign</x:v>
      </x:c>
      <x:c r="E2587" t="n">
        <x:f>Controls!$D$73</x:f>
        <x:v>0</x:v>
      </x:c>
      <x:c r="F2587" t="n">
        <x:v>1</x:v>
      </x:c>
      <x:c r="G2587" t="str">
        <x:v>equals</x:v>
      </x:c>
      <x:c r="H2587" t="str">
        <x:v>separate authority</x:v>
      </x:c>
      <x:c r="I2587" t="str">
        <x:f>IF(E2587=1,"PASS","BLOCKED")</x:f>
        <x:v>BLOCKED</x:v>
      </x:c>
    </x:row>
    <x:row r="2588">
      <x:c r="B2588" t="str">
        <x:v>DS-03</x:v>
      </x:c>
      <x:c r="C2588" t="str">
        <x:v>DOWNSTREAM</x:v>
      </x:c>
      <x:c r="D2588" t="str">
        <x:v>quarter-source campaign</x:v>
      </x:c>
      <x:c r="E2588" t="n">
        <x:f>Controls!$D$74</x:f>
        <x:v>0</x:v>
      </x:c>
      <x:c r="F2588" t="n">
        <x:v>1</x:v>
      </x:c>
      <x:c r="G2588" t="str">
        <x:v>equals</x:v>
      </x:c>
      <x:c r="H2588" t="str">
        <x:v>separate authority</x:v>
      </x:c>
      <x:c r="I2588" t="str">
        <x:f>IF(E2588=1,"PASS","BLOCKED")</x:f>
        <x:v>BLOCKED</x:v>
      </x:c>
    </x:row>
    <x:row r="2589">
      <x:c r="B2589" t="str">
        <x:v>DS-04</x:v>
      </x:c>
      <x:c r="C2589" t="str">
        <x:v>DOWNSTREAM</x:v>
      </x:c>
      <x:c r="D2589" t="str">
        <x:v>full-source fire campaign</x:v>
      </x:c>
      <x:c r="E2589" t="n">
        <x:f>Controls!$D$75</x:f>
        <x:v>0</x:v>
      </x:c>
      <x:c r="F2589" t="n">
        <x:v>1</x:v>
      </x:c>
      <x:c r="G2589" t="str">
        <x:v>equals</x:v>
      </x:c>
      <x:c r="H2589" t="str">
        <x:v>separate authority</x:v>
      </x:c>
      <x:c r="I2589" t="str">
        <x:f>IF(E2589=1,"PASS","BLOCKED")</x:f>
        <x:v>BLOCKED</x:v>
      </x:c>
    </x:row>
    <x:row r="2590">
      <x:c r="B2590" t="str">
        <x:v>DS-05</x:v>
      </x:c>
      <x:c r="C2590" t="str">
        <x:v>DOWNSTREAM</x:v>
      </x:c>
      <x:c r="D2590" t="str">
        <x:v>destructive campaign</x:v>
      </x:c>
      <x:c r="E2590" t="n">
        <x:f>Controls!$D$76</x:f>
        <x:v>0</x:v>
      </x:c>
      <x:c r="F2590" t="n">
        <x:v>1</x:v>
      </x:c>
      <x:c r="G2590" t="str">
        <x:v>equals</x:v>
      </x:c>
      <x:c r="H2590" t="str">
        <x:v>separate authority</x:v>
      </x:c>
      <x:c r="I2590" t="str">
        <x:f>IF(E2590=1,"PASS","BLOCKED")</x:f>
        <x:v>BLOCKED</x:v>
      </x:c>
    </x:row>
    <x:row r="2591">
      <x:c r="B2591" t="str">
        <x:v>DS-06</x:v>
      </x:c>
      <x:c r="C2591" t="str">
        <x:v>DOWNSTREAM</x:v>
      </x:c>
      <x:c r="D2591" t="str">
        <x:v>candidate selection</x:v>
      </x:c>
      <x:c r="E2591" t="n">
        <x:f>Controls!$D$77</x:f>
        <x:v>0</x:v>
      </x:c>
      <x:c r="F2591" t="n">
        <x:v>1</x:v>
      </x:c>
      <x:c r="G2591" t="str">
        <x:v>equals</x:v>
      </x:c>
      <x:c r="H2591" t="str">
        <x:v>separate authority</x:v>
      </x:c>
      <x:c r="I2591" t="str">
        <x:f>IF(E2591=1,"PASS","BLOCKED")</x:f>
        <x:v>BLOCKED</x:v>
      </x:c>
    </x:row>
    <x:row r="2592">
      <x:c r="B2592" t="str">
        <x:v>DS-07</x:v>
      </x:c>
      <x:c r="C2592" t="str">
        <x:v>DOWNSTREAM</x:v>
      </x:c>
      <x:c r="D2592" t="str">
        <x:v>Root A freeze</x:v>
      </x:c>
      <x:c r="E2592" t="n">
        <x:f>Controls!$D$78</x:f>
        <x:v>0</x:v>
      </x:c>
      <x:c r="F2592" t="n">
        <x:v>1</x:v>
      </x:c>
      <x:c r="G2592" t="str">
        <x:v>equals</x:v>
      </x:c>
      <x:c r="H2592" t="str">
        <x:v>separate authority</x:v>
      </x:c>
      <x:c r="I2592" t="str">
        <x:f>IF(E2592=1,"PASS","BLOCKED")</x:f>
        <x:v>BLOCKED</x:v>
      </x:c>
    </x:row>
    <x:row r="2593">
      <x:c r="B2593" t="str">
        <x:v>DS-08</x:v>
      </x:c>
      <x:c r="C2593" t="str">
        <x:v>DOWNSTREAM</x:v>
      </x:c>
      <x:c r="D2593" t="str">
        <x:v>production release</x:v>
      </x:c>
      <x:c r="E2593" t="n">
        <x:f>Controls!$D$79</x:f>
        <x:v>0</x:v>
      </x:c>
      <x:c r="F2593" t="n">
        <x:v>1</x:v>
      </x:c>
      <x:c r="G2593" t="str">
        <x:v>equals</x:v>
      </x:c>
      <x:c r="H2593" t="str">
        <x:v>separate authority</x:v>
      </x:c>
      <x:c r="I2593" t="str">
        <x:f>IF(E2593=1,"PASS","BLOCKED")</x:f>
        <x:v>BLOCKED</x:v>
      </x:c>
    </x:row>
    <x:row r="2594">
      <x:c r="B2594" t="str">
        <x:v>DS-09</x:v>
      </x:c>
      <x:c r="C2594" t="str">
        <x:v>DOWNSTREAM</x:v>
      </x:c>
      <x:c r="D2594" t="str">
        <x:v>exterior rendering</x:v>
      </x:c>
      <x:c r="E2594" t="n">
        <x:f>Controls!$D$80</x:f>
        <x:v>0</x:v>
      </x:c>
      <x:c r="F2594" t="n">
        <x:v>1</x:v>
      </x:c>
      <x:c r="G2594" t="str">
        <x:v>equals</x:v>
      </x:c>
      <x:c r="H2594" t="str">
        <x:v>separate authority</x:v>
      </x:c>
      <x:c r="I2594" t="str">
        <x:f>IF(E2594=1,"PASS","BLOCKED")</x:f>
        <x:v>BLOCKED</x:v>
      </x:c>
    </x:row>
  </x:sheetData>
  <x:conditionalFormatting sqref="I7:I2594">
    <x:cfRule type="containsText" dxfId="90" priority="1" operator="containsText" text="FAIL"/>
    <x:cfRule type="containsText" dxfId="91" priority="2" operator="containsText" text="BLOCKED"/>
    <x:cfRule type="containsText" dxfId="92" priority="3" operator="containsText" text="OPEN"/>
    <x:cfRule type="containsText" dxfId="93" priority="4" operator="containsText" text="GAP"/>
    <x:cfRule type="containsText" dxfId="94" priority="5" operator="containsText" text="PASS"/>
    <x:cfRule type="containsText" dxfId="95" priority="6" operator="containsText" text="INVALID"/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51" hidden="0" customWidth="1"/>
    <x:col min="5" max="5" width="19" hidden="0" customWidth="1"/>
    <x:col min="6" max="6" width="19" hidden="0" customWidth="1"/>
    <x:col min="7" max="7" width="12" hidden="0" customWidth="1"/>
    <x:col min="8" max="8" width="14" hidden="0" customWidth="1"/>
    <x:col min="11" max="11" width="16" hidden="0" customWidth="1"/>
  </x:cols>
  <x:sheetData>
    <x:row r="2">
      <x:c r="B2" s="1" t="str">
        <x:v>Terminal-observer audit</x:v>
      </x:c>
      <x:c r="K2" t="n">
        <x:v>26</x:v>
      </x:c>
    </x:row>
    <x:row r="3">
      <x:c r="B3" s="2" t="str">
        <x:v>Headline invariants and every release state are observed without feeding results back to sources.</x:v>
      </x:c>
      <x:c r="K3" t="n">
        <x:v>2588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Audit</x:v>
      </x:c>
      <x:c r="C6" s="7" t="str">
        <x:v>Class</x:v>
      </x:c>
      <x:c r="D6" s="7" t="str">
        <x:v>Requirement</x:v>
      </x:c>
      <x:c r="E6" s="7" t="str">
        <x:v>Observed</x:v>
      </x:c>
      <x:c r="F6" s="7" t="str">
        <x:v>Expected</x:v>
      </x:c>
      <x:c r="G6" s="7" t="str">
        <x:v>Comparator</x:v>
      </x:c>
      <x:c r="H6" s="7" t="str">
        <x:v>State</x:v>
      </x:c>
    </x:row>
    <x:row r="7">
      <x:c r="B7" t="str">
        <x:v>H01</x:v>
      </x:c>
      <x:c r="C7" t="str">
        <x:v>HEADLINE</x:v>
      </x:c>
      <x:c r="D7" t="str">
        <x:v>worksheets</x:v>
      </x:c>
      <x:c r="E7" s="19" t="n">
        <x:f>COUNTA(ReadMe!B7:B16)+23</x:f>
        <x:v>33</x:v>
      </x:c>
      <x:c r="F7" s="19" t="n">
        <x:v>33</x:v>
      </x:c>
      <x:c r="G7" t="str">
        <x:v>equals</x:v>
      </x:c>
      <x:c r="H7" t="str">
        <x:f>IF(ABS(E7-F7)&lt;0.01,"PASS","FAIL")</x:f>
        <x:v>PASS</x:v>
      </x:c>
    </x:row>
    <x:row r="8">
      <x:c r="B8" t="str">
        <x:v>H02</x:v>
      </x:c>
      <x:c r="C8" t="str">
        <x:v>HEADLINE</x:v>
      </x:c>
      <x:c r="D8" t="str">
        <x:v>rigs</x:v>
      </x:c>
      <x:c r="E8" s="19" t="n">
        <x:f>COUNTA('Rig Federation'!B7:B12)</x:f>
        <x:v>6</x:v>
      </x:c>
      <x:c r="F8" s="19" t="n">
        <x:v>6</x:v>
      </x:c>
      <x:c r="G8" t="str">
        <x:v>equals</x:v>
      </x:c>
      <x:c r="H8" t="str">
        <x:f>IF(ABS(E8-F8)&lt;0.01,"PASS","FAIL")</x:f>
        <x:v>PASS</x:v>
      </x:c>
    </x:row>
    <x:row r="9">
      <x:c r="B9" t="str">
        <x:v>H03</x:v>
      </x:c>
      <x:c r="C9" t="str">
        <x:v>HEADLINE</x:v>
      </x:c>
      <x:c r="D9" t="str">
        <x:v>terrain cassettes</x:v>
      </x:c>
      <x:c r="E9" s="19" t="n">
        <x:f>COUNTA('Terrain Field'!B7:B906)</x:f>
        <x:v>900</x:v>
      </x:c>
      <x:c r="F9" s="19" t="n">
        <x:v>900</x:v>
      </x:c>
      <x:c r="G9" t="str">
        <x:v>equals</x:v>
      </x:c>
      <x:c r="H9" t="str">
        <x:f>IF(ABS(E9-F9)&lt;0.01,"PASS","FAIL")</x:f>
        <x:v>PASS</x:v>
      </x:c>
    </x:row>
    <x:row r="10">
      <x:c r="B10" t="str">
        <x:v>H04</x:v>
      </x:c>
      <x:c r="C10" t="str">
        <x:v>HEADLINE</x:v>
      </x:c>
      <x:c r="D10" t="str">
        <x:v>terrain panels</x:v>
      </x:c>
      <x:c r="E10" s="19" t="n">
        <x:f>SUM('Terrain Field'!G7:G906)</x:f>
        <x:v>3600</x:v>
      </x:c>
      <x:c r="F10" s="19" t="n">
        <x:v>3600</x:v>
      </x:c>
      <x:c r="G10" t="str">
        <x:v>equals</x:v>
      </x:c>
      <x:c r="H10" t="str">
        <x:f>IF(ABS(E10-F10)&lt;0.01,"PASS","FAIL")</x:f>
        <x:v>PASS</x:v>
      </x:c>
    </x:row>
    <x:row r="11">
      <x:c r="B11" t="str">
        <x:v>H05</x:v>
      </x:c>
      <x:c r="C11" t="str">
        <x:v>HEADLINE</x:v>
      </x:c>
      <x:c r="D11" t="str">
        <x:v>drain bays</x:v>
      </x:c>
      <x:c r="E11" s="19" t="n">
        <x:f>COUNTA('Drain Gallery'!B7:B150)</x:f>
        <x:v>144</x:v>
      </x:c>
      <x:c r="F11" s="19" t="n">
        <x:v>144</x:v>
      </x:c>
      <x:c r="G11" t="str">
        <x:v>equals</x:v>
      </x:c>
      <x:c r="H11" t="str">
        <x:f>IF(ABS(E11-F11)&lt;0.01,"PASS","FAIL")</x:f>
        <x:v>PASS</x:v>
      </x:c>
    </x:row>
    <x:row r="12">
      <x:c r="B12" t="str">
        <x:v>H06</x:v>
      </x:c>
      <x:c r="C12" t="str">
        <x:v>HEADLINE</x:v>
      </x:c>
      <x:c r="D12" t="str">
        <x:v>robot corridors</x:v>
      </x:c>
      <x:c r="E12" s="19" t="n">
        <x:f>COUNTA('Robot Corridor'!B7:B24)</x:f>
        <x:v>18</x:v>
      </x:c>
      <x:c r="F12" s="19" t="n">
        <x:v>18</x:v>
      </x:c>
      <x:c r="G12" t="str">
        <x:v>equals</x:v>
      </x:c>
      <x:c r="H12" t="str">
        <x:f>IF(ABS(E12-F12)&lt;0.01,"PASS","FAIL")</x:f>
        <x:v>PASS</x:v>
      </x:c>
    </x:row>
    <x:row r="13">
      <x:c r="B13" t="str">
        <x:v>H07</x:v>
      </x:c>
      <x:c r="C13" t="str">
        <x:v>HEADLINE</x:v>
      </x:c>
      <x:c r="D13" t="str">
        <x:v>scientific channels</x:v>
      </x:c>
      <x:c r="E13" s="19" t="n">
        <x:f>SUM('Sensor Plan'!D7:D26)</x:f>
        <x:v>480</x:v>
      </x:c>
      <x:c r="F13" s="19" t="n">
        <x:v>480</x:v>
      </x:c>
      <x:c r="G13" t="str">
        <x:v>equals</x:v>
      </x:c>
      <x:c r="H13" t="str">
        <x:f>IF(ABS(E13-F13)&lt;0.01,"PASS","FAIL")</x:f>
        <x:v>PASS</x:v>
      </x:c>
    </x:row>
    <x:row r="14">
      <x:c r="B14" t="str">
        <x:v>H08</x:v>
      </x:c>
      <x:c r="C14" t="str">
        <x:v>HEADLINE</x:v>
      </x:c>
      <x:c r="D14" t="str">
        <x:v>facility witness channels</x:v>
      </x:c>
      <x:c r="E14" s="19" t="n">
        <x:f>SUM('Sensor Plan'!D27:D30)</x:f>
        <x:v>96</x:v>
      </x:c>
      <x:c r="F14" s="19" t="n">
        <x:v>96</x:v>
      </x:c>
      <x:c r="G14" t="str">
        <x:v>equals</x:v>
      </x:c>
      <x:c r="H14" t="str">
        <x:f>IF(ABS(E14-F14)&lt;0.01,"PASS","FAIL")</x:f>
        <x:v>PASS</x:v>
      </x:c>
    </x:row>
    <x:row r="15">
      <x:c r="B15" t="str">
        <x:v>H09</x:v>
      </x:c>
      <x:c r="C15" t="str">
        <x:v>HEADLINE</x:v>
      </x:c>
      <x:c r="D15" t="str">
        <x:v>native channels</x:v>
      </x:c>
      <x:c r="E15" s="19" t="n">
        <x:f>'Sensor Plan'!D31</x:f>
        <x:v>576</x:v>
      </x:c>
      <x:c r="F15" s="19" t="n">
        <x:v>576</x:v>
      </x:c>
      <x:c r="G15" t="str">
        <x:v>equals</x:v>
      </x:c>
      <x:c r="H15" t="str">
        <x:f>IF(ABS(E15-F15)&lt;0.01,"PASS","FAIL")</x:f>
        <x:v>PASS</x:v>
      </x:c>
    </x:row>
    <x:row r="16">
      <x:c r="B16" t="str">
        <x:v>H10</x:v>
      </x:c>
      <x:c r="C16" t="str">
        <x:v>HEADLINE</x:v>
      </x:c>
      <x:c r="D16" t="str">
        <x:v>campaign events</x:v>
      </x:c>
      <x:c r="E16" s="19" t="n">
        <x:f>'Event Capacity'!E38</x:f>
        <x:v>306</x:v>
      </x:c>
      <x:c r="F16" s="19" t="n">
        <x:v>306</x:v>
      </x:c>
      <x:c r="G16" t="str">
        <x:v>equals</x:v>
      </x:c>
      <x:c r="H16" t="str">
        <x:f>IF(ABS(E16-F16)&lt;0.01,"PASS","FAIL")</x:f>
        <x:v>PASS</x:v>
      </x:c>
    </x:row>
    <x:row r="17">
      <x:c r="B17" t="str">
        <x:v>H11</x:v>
      </x:c>
      <x:c r="C17" t="str">
        <x:v>HEADLINE</x:v>
      </x:c>
      <x:c r="D17" t="str">
        <x:v>drawings</x:v>
      </x:c>
      <x:c r="E17" s="19" t="n">
        <x:f>COUNTA('Drawing Register'!B7:B126)</x:f>
        <x:v>120</x:v>
      </x:c>
      <x:c r="F17" s="19" t="n">
        <x:v>120</x:v>
      </x:c>
      <x:c r="G17" t="str">
        <x:v>equals</x:v>
      </x:c>
      <x:c r="H17" t="str">
        <x:f>IF(ABS(E17-F17)&lt;0.01,"PASS","FAIL")</x:f>
        <x:v>PASS</x:v>
      </x:c>
    </x:row>
    <x:row r="18">
      <x:c r="B18" t="str">
        <x:v>H12</x:v>
      </x:c>
      <x:c r="C18" t="str">
        <x:v>HEADLINE</x:v>
      </x:c>
      <x:c r="D18" t="str">
        <x:v>interfaces</x:v>
      </x:c>
      <x:c r="E18" s="19" t="n">
        <x:f>COUNTA('Interface Register'!B7:B78)</x:f>
        <x:v>72</x:v>
      </x:c>
      <x:c r="F18" s="19" t="n">
        <x:v>72</x:v>
      </x:c>
      <x:c r="G18" t="str">
        <x:v>equals</x:v>
      </x:c>
      <x:c r="H18" t="str">
        <x:f>IF(ABS(E18-F18)&lt;0.01,"PASS","FAIL")</x:f>
        <x:v>PASS</x:v>
      </x:c>
    </x:row>
    <x:row r="19">
      <x:c r="B19" t="str">
        <x:v>H13</x:v>
      </x:c>
      <x:c r="C19" t="str">
        <x:v>HEADLINE</x:v>
      </x:c>
      <x:c r="D19" t="str">
        <x:v>workforce</x:v>
      </x:c>
      <x:c r="E19" s="19" t="n">
        <x:f>Workforce!C18</x:f>
        <x:v>418</x:v>
      </x:c>
      <x:c r="F19" s="19" t="n">
        <x:v>418</x:v>
      </x:c>
      <x:c r="G19" t="str">
        <x:v>equals</x:v>
      </x:c>
      <x:c r="H19" t="str">
        <x:f>IF(ABS(E19-F19)&lt;0.01,"PASS","FAIL")</x:f>
        <x:v>PASS</x:v>
      </x:c>
    </x:row>
    <x:row r="20">
      <x:c r="B20" t="str">
        <x:v>H14</x:v>
      </x:c>
      <x:c r="C20" t="str">
        <x:v>HEADLINE</x:v>
      </x:c>
      <x:c r="D20" t="str">
        <x:v>capital</x:v>
      </x:c>
      <x:c r="E20" s="19" t="n">
        <x:f>Capital!C20</x:f>
        <x:v>720</x:v>
      </x:c>
      <x:c r="F20" s="19" t="n">
        <x:v>720</x:v>
      </x:c>
      <x:c r="G20" t="str">
        <x:v>equals</x:v>
      </x:c>
      <x:c r="H20" t="str">
        <x:f>IF(ABS(E20-F20)&lt;0.01,"PASS","FAIL")</x:f>
        <x:v>PASS</x:v>
      </x:c>
    </x:row>
    <x:row r="21">
      <x:c r="B21" t="str">
        <x:v>H15</x:v>
      </x:c>
      <x:c r="C21" t="str">
        <x:v>HEADLINE</x:v>
      </x:c>
      <x:c r="D21" t="str">
        <x:v>annual support</x:v>
      </x:c>
      <x:c r="E21" s="19" t="n">
        <x:f>'Annual Support'!C17</x:f>
        <x:v>112</x:v>
      </x:c>
      <x:c r="F21" s="19" t="n">
        <x:v>112</x:v>
      </x:c>
      <x:c r="G21" t="str">
        <x:v>equals</x:v>
      </x:c>
      <x:c r="H21" t="str">
        <x:f>IF(ABS(E21-F21)&lt;0.01,"PASS","FAIL")</x:f>
        <x:v>PASS</x:v>
      </x:c>
    </x:row>
    <x:row r="22">
      <x:c r="B22" t="str">
        <x:v>H16</x:v>
      </x:c>
      <x:c r="C22" t="str">
        <x:v>HEADLINE</x:v>
      </x:c>
      <x:c r="D22" t="str">
        <x:v>program exposure</x:v>
      </x:c>
      <x:c r="E22" s="19" t="n">
        <x:f>'Portfolio Boundary'!C22</x:f>
        <x:v>1056</x:v>
      </x:c>
      <x:c r="F22" s="19" t="n">
        <x:v>1056</x:v>
      </x:c>
      <x:c r="G22" t="str">
        <x:v>equals</x:v>
      </x:c>
      <x:c r="H22" t="str">
        <x:f>IF(ABS(E22-F22)&lt;0.01,"PASS","FAIL")</x:f>
        <x:v>PASS</x:v>
      </x:c>
    </x:row>
    <x:row r="23">
      <x:c r="B23" t="str">
        <x:v>H17</x:v>
      </x:c>
      <x:c r="C23" t="str">
        <x:v>HEADLINE</x:v>
      </x:c>
      <x:c r="D23" t="str">
        <x:v>gross net-new capital</x:v>
      </x:c>
      <x:c r="E23" s="19" t="n">
        <x:f>'Portfolio Boundary'!C9</x:f>
        <x:v>160</x:v>
      </x:c>
      <x:c r="F23" s="19" t="n">
        <x:v>160</x:v>
      </x:c>
      <x:c r="G23" t="str">
        <x:v>equals</x:v>
      </x:c>
      <x:c r="H23" t="str">
        <x:f>IF(ABS(E23-F23)&lt;0.01,"PASS","FAIL")</x:f>
        <x:v>PASS</x:v>
      </x:c>
    </x:row>
    <x:row r="24">
      <x:c r="B24" t="str">
        <x:v>H18</x:v>
      </x:c>
      <x:c r="C24" t="str">
        <x:v>HEADLINE</x:v>
      </x:c>
      <x:c r="D24" t="str">
        <x:v>gross net-new annual</x:v>
      </x:c>
      <x:c r="E24" s="19" t="n">
        <x:f>'Portfolio Boundary'!D9</x:f>
        <x:v>22</x:v>
      </x:c>
      <x:c r="F24" s="19" t="n">
        <x:v>22</x:v>
      </x:c>
      <x:c r="G24" t="str">
        <x:v>equals</x:v>
      </x:c>
      <x:c r="H24" t="str">
        <x:f>IF(ABS(E24-F24)&lt;0.01,"PASS","FAIL")</x:f>
        <x:v>PASS</x:v>
      </x:c>
    </x:row>
    <x:row r="25">
      <x:c r="B25" t="str">
        <x:v>H19</x:v>
      </x:c>
      <x:c r="C25" t="str">
        <x:v>HEADLINE</x:v>
      </x:c>
      <x:c r="D25" t="str">
        <x:v>BRD-10R capital</x:v>
      </x:c>
      <x:c r="E25" s="19" t="n">
        <x:f>'Portfolio Boundary'!C17</x:f>
        <x:v>2295</x:v>
      </x:c>
      <x:c r="F25" s="19" t="n">
        <x:v>2295</x:v>
      </x:c>
      <x:c r="G25" t="str">
        <x:v>equals</x:v>
      </x:c>
      <x:c r="H25" t="str">
        <x:f>IF(ABS(E25-F25)&lt;0.01,"PASS","FAIL")</x:f>
        <x:v>PASS</x:v>
      </x:c>
    </x:row>
    <x:row r="26">
      <x:c r="B26" t="str">
        <x:v>H20</x:v>
      </x:c>
      <x:c r="C26" t="str">
        <x:v>HEADLINE</x:v>
      </x:c>
      <x:c r="D26" t="str">
        <x:v>BRD-10R annual</x:v>
      </x:c>
      <x:c r="E26" s="19" t="n">
        <x:f>'Portfolio Boundary'!D17</x:f>
        <x:v>386</x:v>
      </x:c>
      <x:c r="F26" s="19" t="n">
        <x:v>386</x:v>
      </x:c>
      <x:c r="G26" t="str">
        <x:v>equals</x:v>
      </x:c>
      <x:c r="H26" t="str">
        <x:f>IF(ABS(E26-F26)&lt;0.01,"PASS","FAIL")</x:f>
        <x:v>PASS</x:v>
      </x:c>
    </x:row>
    <x:row r="27">
      <x:c r="B27" t="str">
        <x:v>H21</x:v>
      </x:c>
      <x:c r="C27" t="str">
        <x:v>HEADLINE</x:v>
      </x:c>
      <x:c r="D27" t="str">
        <x:v>BRD-10U capital</x:v>
      </x:c>
      <x:c r="E27" s="19" t="n">
        <x:f>'Portfolio Boundary'!C21</x:f>
        <x:v>2873</x:v>
      </x:c>
      <x:c r="F27" s="19" t="n">
        <x:v>2873</x:v>
      </x:c>
      <x:c r="G27" t="str">
        <x:v>equals</x:v>
      </x:c>
      <x:c r="H27" t="str">
        <x:f>IF(ABS(E27-F27)&lt;0.01,"PASS","FAIL")</x:f>
        <x:v>PASS</x:v>
      </x:c>
    </x:row>
    <x:row r="28">
      <x:c r="B28" t="str">
        <x:v>H22</x:v>
      </x:c>
      <x:c r="C28" t="str">
        <x:v>HEADLINE</x:v>
      </x:c>
      <x:c r="D28" t="str">
        <x:v>BRD-10U annual</x:v>
      </x:c>
      <x:c r="E28" s="19" t="n">
        <x:f>'Portfolio Boundary'!D21</x:f>
        <x:v>515</x:v>
      </x:c>
      <x:c r="F28" s="19" t="n">
        <x:v>515</x:v>
      </x:c>
      <x:c r="G28" t="str">
        <x:v>equals</x:v>
      </x:c>
      <x:c r="H28" t="str">
        <x:f>IF(ABS(E28-F28)&lt;0.01,"PASS","FAIL")</x:f>
        <x:v>PASS</x:v>
      </x:c>
    </x:row>
    <x:row r="29">
      <x:c r="B29" t="str">
        <x:v>H23</x:v>
      </x:c>
      <x:c r="C29" t="str">
        <x:v>HEADLINE</x:v>
      </x:c>
      <x:c r="D29" t="str">
        <x:v>mass expanded uncertainty</x:v>
      </x:c>
      <x:c r="E29" s="19" t="n">
        <x:f>'Mass Closure'!G14</x:f>
        <x:v>4.813522618623496</x:v>
      </x:c>
      <x:c r="F29" s="19" t="n">
        <x:v>4.8135226186</x:v>
      </x:c>
      <x:c r="G29" t="str">
        <x:v>equals</x:v>
      </x:c>
      <x:c r="H29" t="str">
        <x:f>IF(ABS(E29-F29)&lt;0.01,"PASS","FAIL")</x:f>
        <x:v>PASS</x:v>
      </x:c>
    </x:row>
    <x:row r="30">
      <x:c r="B30" t="str">
        <x:v>H24</x:v>
      </x:c>
      <x:c r="C30" t="str">
        <x:v>HEADLINE</x:v>
      </x:c>
      <x:c r="D30" t="str">
        <x:v>planning gates</x:v>
      </x:c>
      <x:c r="E30" s="19" t="n">
        <x:f>'Release Gates'!K2</x:f>
        <x:v>335</x:v>
      </x:c>
      <x:c r="F30" s="19" t="n">
        <x:v>335</x:v>
      </x:c>
      <x:c r="G30" t="str">
        <x:v>equals</x:v>
      </x:c>
      <x:c r="H30" t="str">
        <x:f>IF(ABS(E30-F30)&lt;0.01,"PASS","FAIL")</x:f>
        <x:v>PASS</x:v>
      </x:c>
    </x:row>
    <x:row r="31">
      <x:c r="B31" t="str">
        <x:v>H25</x:v>
      </x:c>
      <x:c r="C31" t="str">
        <x:v>HEADLINE</x:v>
      </x:c>
      <x:c r="D31" t="str">
        <x:v>physical gates</x:v>
      </x:c>
      <x:c r="E31" s="19" t="n">
        <x:f>'Release Gates'!K3</x:f>
        <x:v>2244</x:v>
      </x:c>
      <x:c r="F31" s="19" t="n">
        <x:v>2244</x:v>
      </x:c>
      <x:c r="G31" t="str">
        <x:v>equals</x:v>
      </x:c>
      <x:c r="H31" t="str">
        <x:f>IF(ABS(E31-F31)&lt;0.01,"PASS","FAIL")</x:f>
        <x:v>PASS</x:v>
      </x:c>
    </x:row>
    <x:row r="32">
      <x:c r="B32" t="str">
        <x:v>H26</x:v>
      </x:c>
      <x:c r="C32" t="str">
        <x:v>HEADLINE</x:v>
      </x:c>
      <x:c r="D32" t="str">
        <x:v>downstream gates</x:v>
      </x:c>
      <x:c r="E32" s="19" t="n">
        <x:f>'Release Gates'!K4</x:f>
        <x:v>9</x:v>
      </x:c>
      <x:c r="F32" s="19" t="n">
        <x:v>9</x:v>
      </x:c>
      <x:c r="G32" t="str">
        <x:v>equals</x:v>
      </x:c>
      <x:c r="H32" t="str">
        <x:f>IF(ABS(E32-F32)&lt;0.01,"PASS","FAIL")</x:f>
        <x:v>PASS</x:v>
      </x:c>
    </x:row>
    <x:row r="33">
      <x:c r="B33" t="str">
        <x:v>A-00001</x:v>
      </x:c>
      <x:c r="C33" t="str">
        <x:v>GATE</x:v>
      </x:c>
      <x:c r="D33" t="str">
        <x:v>release state mirrors governing ledger</x:v>
      </x:c>
      <x:c r="E33" t="str">
        <x:f>'Release Gates'!I7</x:f>
        <x:v>PASS</x:v>
      </x:c>
      <x:c r="F33" t="str">
        <x:f>IF('Release Gates'!C7="PLANNING","PASS",IF('Release Gates'!C7="PHYSICAL","OPEN","BLOCKED"))</x:f>
        <x:v>PASS</x:v>
      </x:c>
      <x:c r="G33" t="str">
        <x:v>equals</x:v>
      </x:c>
      <x:c r="H33" t="str">
        <x:f>IF(E33=F33,"PASS","FAIL")</x:f>
        <x:v>PASS</x:v>
      </x:c>
    </x:row>
    <x:row r="34">
      <x:c r="B34" t="str">
        <x:v>A-00002</x:v>
      </x:c>
      <x:c r="C34" t="str">
        <x:v>GATE</x:v>
      </x:c>
      <x:c r="D34" t="str">
        <x:v>release state mirrors governing ledger</x:v>
      </x:c>
      <x:c r="E34" t="str">
        <x:f>'Release Gates'!I8</x:f>
        <x:v>PASS</x:v>
      </x:c>
      <x:c r="F34" t="str">
        <x:f>IF('Release Gates'!C8="PLANNING","PASS",IF('Release Gates'!C8="PHYSICAL","OPEN","BLOCKED"))</x:f>
        <x:v>PASS</x:v>
      </x:c>
      <x:c r="G34" t="str">
        <x:v>equals</x:v>
      </x:c>
      <x:c r="H34" t="str">
        <x:f>IF(E34=F34,"PASS","FAIL")</x:f>
        <x:v>PASS</x:v>
      </x:c>
    </x:row>
    <x:row r="35">
      <x:c r="B35" t="str">
        <x:v>A-00003</x:v>
      </x:c>
      <x:c r="C35" t="str">
        <x:v>GATE</x:v>
      </x:c>
      <x:c r="D35" t="str">
        <x:v>release state mirrors governing ledger</x:v>
      </x:c>
      <x:c r="E35" t="str">
        <x:f>'Release Gates'!I9</x:f>
        <x:v>PASS</x:v>
      </x:c>
      <x:c r="F35" t="str">
        <x:f>IF('Release Gates'!C9="PLANNING","PASS",IF('Release Gates'!C9="PHYSICAL","OPEN","BLOCKED"))</x:f>
        <x:v>PASS</x:v>
      </x:c>
      <x:c r="G35" t="str">
        <x:v>equals</x:v>
      </x:c>
      <x:c r="H35" t="str">
        <x:f>IF(E35=F35,"PASS","FAIL")</x:f>
        <x:v>PASS</x:v>
      </x:c>
    </x:row>
    <x:row r="36">
      <x:c r="B36" t="str">
        <x:v>A-00004</x:v>
      </x:c>
      <x:c r="C36" t="str">
        <x:v>GATE</x:v>
      </x:c>
      <x:c r="D36" t="str">
        <x:v>release state mirrors governing ledger</x:v>
      </x:c>
      <x:c r="E36" t="str">
        <x:f>'Release Gates'!I10</x:f>
        <x:v>PASS</x:v>
      </x:c>
      <x:c r="F36" t="str">
        <x:f>IF('Release Gates'!C10="PLANNING","PASS",IF('Release Gates'!C10="PHYSICAL","OPEN","BLOCKED"))</x:f>
        <x:v>PASS</x:v>
      </x:c>
      <x:c r="G36" t="str">
        <x:v>equals</x:v>
      </x:c>
      <x:c r="H36" t="str">
        <x:f>IF(E36=F36,"PASS","FAIL")</x:f>
        <x:v>PASS</x:v>
      </x:c>
    </x:row>
    <x:row r="37">
      <x:c r="B37" t="str">
        <x:v>A-00005</x:v>
      </x:c>
      <x:c r="C37" t="str">
        <x:v>GATE</x:v>
      </x:c>
      <x:c r="D37" t="str">
        <x:v>release state mirrors governing ledger</x:v>
      </x:c>
      <x:c r="E37" t="str">
        <x:f>'Release Gates'!I11</x:f>
        <x:v>PASS</x:v>
      </x:c>
      <x:c r="F37" t="str">
        <x:f>IF('Release Gates'!C11="PLANNING","PASS",IF('Release Gates'!C11="PHYSICAL","OPEN","BLOCKED"))</x:f>
        <x:v>PASS</x:v>
      </x:c>
      <x:c r="G37" t="str">
        <x:v>equals</x:v>
      </x:c>
      <x:c r="H37" t="str">
        <x:f>IF(E37=F37,"PASS","FAIL")</x:f>
        <x:v>PASS</x:v>
      </x:c>
    </x:row>
    <x:row r="38">
      <x:c r="B38" t="str">
        <x:v>A-00006</x:v>
      </x:c>
      <x:c r="C38" t="str">
        <x:v>GATE</x:v>
      </x:c>
      <x:c r="D38" t="str">
        <x:v>release state mirrors governing ledger</x:v>
      </x:c>
      <x:c r="E38" t="str">
        <x:f>'Release Gates'!I12</x:f>
        <x:v>PASS</x:v>
      </x:c>
      <x:c r="F38" t="str">
        <x:f>IF('Release Gates'!C12="PLANNING","PASS",IF('Release Gates'!C12="PHYSICAL","OPEN","BLOCKED"))</x:f>
        <x:v>PASS</x:v>
      </x:c>
      <x:c r="G38" t="str">
        <x:v>equals</x:v>
      </x:c>
      <x:c r="H38" t="str">
        <x:f>IF(E38=F38,"PASS","FAIL")</x:f>
        <x:v>PASS</x:v>
      </x:c>
    </x:row>
    <x:row r="39">
      <x:c r="B39" t="str">
        <x:v>A-00007</x:v>
      </x:c>
      <x:c r="C39" t="str">
        <x:v>GATE</x:v>
      </x:c>
      <x:c r="D39" t="str">
        <x:v>release state mirrors governing ledger</x:v>
      </x:c>
      <x:c r="E39" t="str">
        <x:f>'Release Gates'!I13</x:f>
        <x:v>PASS</x:v>
      </x:c>
      <x:c r="F39" t="str">
        <x:f>IF('Release Gates'!C13="PLANNING","PASS",IF('Release Gates'!C13="PHYSICAL","OPEN","BLOCKED"))</x:f>
        <x:v>PASS</x:v>
      </x:c>
      <x:c r="G39" t="str">
        <x:v>equals</x:v>
      </x:c>
      <x:c r="H39" t="str">
        <x:f>IF(E39=F39,"PASS","FAIL")</x:f>
        <x:v>PASS</x:v>
      </x:c>
    </x:row>
    <x:row r="40">
      <x:c r="B40" t="str">
        <x:v>A-00008</x:v>
      </x:c>
      <x:c r="C40" t="str">
        <x:v>GATE</x:v>
      </x:c>
      <x:c r="D40" t="str">
        <x:v>release state mirrors governing ledger</x:v>
      </x:c>
      <x:c r="E40" t="str">
        <x:f>'Release Gates'!I14</x:f>
        <x:v>PASS</x:v>
      </x:c>
      <x:c r="F40" t="str">
        <x:f>IF('Release Gates'!C14="PLANNING","PASS",IF('Release Gates'!C14="PHYSICAL","OPEN","BLOCKED"))</x:f>
        <x:v>PASS</x:v>
      </x:c>
      <x:c r="G40" t="str">
        <x:v>equals</x:v>
      </x:c>
      <x:c r="H40" t="str">
        <x:f>IF(E40=F40,"PASS","FAIL")</x:f>
        <x:v>PASS</x:v>
      </x:c>
    </x:row>
    <x:row r="41">
      <x:c r="B41" t="str">
        <x:v>A-00009</x:v>
      </x:c>
      <x:c r="C41" t="str">
        <x:v>GATE</x:v>
      </x:c>
      <x:c r="D41" t="str">
        <x:v>release state mirrors governing ledger</x:v>
      </x:c>
      <x:c r="E41" t="str">
        <x:f>'Release Gates'!I15</x:f>
        <x:v>PASS</x:v>
      </x:c>
      <x:c r="F41" t="str">
        <x:f>IF('Release Gates'!C15="PLANNING","PASS",IF('Release Gates'!C15="PHYSICAL","OPEN","BLOCKED"))</x:f>
        <x:v>PASS</x:v>
      </x:c>
      <x:c r="G41" t="str">
        <x:v>equals</x:v>
      </x:c>
      <x:c r="H41" t="str">
        <x:f>IF(E41=F41,"PASS","FAIL")</x:f>
        <x:v>PASS</x:v>
      </x:c>
    </x:row>
    <x:row r="42">
      <x:c r="B42" t="str">
        <x:v>A-00010</x:v>
      </x:c>
      <x:c r="C42" t="str">
        <x:v>GATE</x:v>
      </x:c>
      <x:c r="D42" t="str">
        <x:v>release state mirrors governing ledger</x:v>
      </x:c>
      <x:c r="E42" t="str">
        <x:f>'Release Gates'!I16</x:f>
        <x:v>PASS</x:v>
      </x:c>
      <x:c r="F42" t="str">
        <x:f>IF('Release Gates'!C16="PLANNING","PASS",IF('Release Gates'!C16="PHYSICAL","OPEN","BLOCKED"))</x:f>
        <x:v>PASS</x:v>
      </x:c>
      <x:c r="G42" t="str">
        <x:v>equals</x:v>
      </x:c>
      <x:c r="H42" t="str">
        <x:f>IF(E42=F42,"PASS","FAIL")</x:f>
        <x:v>PASS</x:v>
      </x:c>
    </x:row>
    <x:row r="43">
      <x:c r="B43" t="str">
        <x:v>A-00011</x:v>
      </x:c>
      <x:c r="C43" t="str">
        <x:v>GATE</x:v>
      </x:c>
      <x:c r="D43" t="str">
        <x:v>release state mirrors governing ledger</x:v>
      </x:c>
      <x:c r="E43" t="str">
        <x:f>'Release Gates'!I17</x:f>
        <x:v>PASS</x:v>
      </x:c>
      <x:c r="F43" t="str">
        <x:f>IF('Release Gates'!C17="PLANNING","PASS",IF('Release Gates'!C17="PHYSICAL","OPEN","BLOCKED"))</x:f>
        <x:v>PASS</x:v>
      </x:c>
      <x:c r="G43" t="str">
        <x:v>equals</x:v>
      </x:c>
      <x:c r="H43" t="str">
        <x:f>IF(E43=F43,"PASS","FAIL")</x:f>
        <x:v>PASS</x:v>
      </x:c>
    </x:row>
    <x:row r="44">
      <x:c r="B44" t="str">
        <x:v>A-00012</x:v>
      </x:c>
      <x:c r="C44" t="str">
        <x:v>GATE</x:v>
      </x:c>
      <x:c r="D44" t="str">
        <x:v>release state mirrors governing ledger</x:v>
      </x:c>
      <x:c r="E44" t="str">
        <x:f>'Release Gates'!I18</x:f>
        <x:v>PASS</x:v>
      </x:c>
      <x:c r="F44" t="str">
        <x:f>IF('Release Gates'!C18="PLANNING","PASS",IF('Release Gates'!C18="PHYSICAL","OPEN","BLOCKED"))</x:f>
        <x:v>PASS</x:v>
      </x:c>
      <x:c r="G44" t="str">
        <x:v>equals</x:v>
      </x:c>
      <x:c r="H44" t="str">
        <x:f>IF(E44=F44,"PASS","FAIL")</x:f>
        <x:v>PASS</x:v>
      </x:c>
    </x:row>
    <x:row r="45">
      <x:c r="B45" t="str">
        <x:v>A-00013</x:v>
      </x:c>
      <x:c r="C45" t="str">
        <x:v>GATE</x:v>
      </x:c>
      <x:c r="D45" t="str">
        <x:v>release state mirrors governing ledger</x:v>
      </x:c>
      <x:c r="E45" t="str">
        <x:f>'Release Gates'!I19</x:f>
        <x:v>PASS</x:v>
      </x:c>
      <x:c r="F45" t="str">
        <x:f>IF('Release Gates'!C19="PLANNING","PASS",IF('Release Gates'!C19="PHYSICAL","OPEN","BLOCKED"))</x:f>
        <x:v>PASS</x:v>
      </x:c>
      <x:c r="G45" t="str">
        <x:v>equals</x:v>
      </x:c>
      <x:c r="H45" t="str">
        <x:f>IF(E45=F45,"PASS","FAIL")</x:f>
        <x:v>PASS</x:v>
      </x:c>
    </x:row>
    <x:row r="46">
      <x:c r="B46" t="str">
        <x:v>A-00014</x:v>
      </x:c>
      <x:c r="C46" t="str">
        <x:v>GATE</x:v>
      </x:c>
      <x:c r="D46" t="str">
        <x:v>release state mirrors governing ledger</x:v>
      </x:c>
      <x:c r="E46" t="str">
        <x:f>'Release Gates'!I20</x:f>
        <x:v>PASS</x:v>
      </x:c>
      <x:c r="F46" t="str">
        <x:f>IF('Release Gates'!C20="PLANNING","PASS",IF('Release Gates'!C20="PHYSICAL","OPEN","BLOCKED"))</x:f>
        <x:v>PASS</x:v>
      </x:c>
      <x:c r="G46" t="str">
        <x:v>equals</x:v>
      </x:c>
      <x:c r="H46" t="str">
        <x:f>IF(E46=F46,"PASS","FAIL")</x:f>
        <x:v>PASS</x:v>
      </x:c>
    </x:row>
    <x:row r="47">
      <x:c r="B47" t="str">
        <x:v>A-00015</x:v>
      </x:c>
      <x:c r="C47" t="str">
        <x:v>GATE</x:v>
      </x:c>
      <x:c r="D47" t="str">
        <x:v>release state mirrors governing ledger</x:v>
      </x:c>
      <x:c r="E47" t="str">
        <x:f>'Release Gates'!I21</x:f>
        <x:v>PASS</x:v>
      </x:c>
      <x:c r="F47" t="str">
        <x:f>IF('Release Gates'!C21="PLANNING","PASS",IF('Release Gates'!C21="PHYSICAL","OPEN","BLOCKED"))</x:f>
        <x:v>PASS</x:v>
      </x:c>
      <x:c r="G47" t="str">
        <x:v>equals</x:v>
      </x:c>
      <x:c r="H47" t="str">
        <x:f>IF(E47=F47,"PASS","FAIL")</x:f>
        <x:v>PASS</x:v>
      </x:c>
    </x:row>
    <x:row r="48">
      <x:c r="B48" t="str">
        <x:v>A-00016</x:v>
      </x:c>
      <x:c r="C48" t="str">
        <x:v>GATE</x:v>
      </x:c>
      <x:c r="D48" t="str">
        <x:v>release state mirrors governing ledger</x:v>
      </x:c>
      <x:c r="E48" t="str">
        <x:f>'Release Gates'!I22</x:f>
        <x:v>PASS</x:v>
      </x:c>
      <x:c r="F48" t="str">
        <x:f>IF('Release Gates'!C22="PLANNING","PASS",IF('Release Gates'!C22="PHYSICAL","OPEN","BLOCKED"))</x:f>
        <x:v>PASS</x:v>
      </x:c>
      <x:c r="G48" t="str">
        <x:v>equals</x:v>
      </x:c>
      <x:c r="H48" t="str">
        <x:f>IF(E48=F48,"PASS","FAIL")</x:f>
        <x:v>PASS</x:v>
      </x:c>
    </x:row>
    <x:row r="49">
      <x:c r="B49" t="str">
        <x:v>A-00017</x:v>
      </x:c>
      <x:c r="C49" t="str">
        <x:v>GATE</x:v>
      </x:c>
      <x:c r="D49" t="str">
        <x:v>release state mirrors governing ledger</x:v>
      </x:c>
      <x:c r="E49" t="str">
        <x:f>'Release Gates'!I23</x:f>
        <x:v>PASS</x:v>
      </x:c>
      <x:c r="F49" t="str">
        <x:f>IF('Release Gates'!C23="PLANNING","PASS",IF('Release Gates'!C23="PHYSICAL","OPEN","BLOCKED"))</x:f>
        <x:v>PASS</x:v>
      </x:c>
      <x:c r="G49" t="str">
        <x:v>equals</x:v>
      </x:c>
      <x:c r="H49" t="str">
        <x:f>IF(E49=F49,"PASS","FAIL")</x:f>
        <x:v>PASS</x:v>
      </x:c>
    </x:row>
    <x:row r="50">
      <x:c r="B50" t="str">
        <x:v>A-00018</x:v>
      </x:c>
      <x:c r="C50" t="str">
        <x:v>GATE</x:v>
      </x:c>
      <x:c r="D50" t="str">
        <x:v>release state mirrors governing ledger</x:v>
      </x:c>
      <x:c r="E50" t="str">
        <x:f>'Release Gates'!I24</x:f>
        <x:v>PASS</x:v>
      </x:c>
      <x:c r="F50" t="str">
        <x:f>IF('Release Gates'!C24="PLANNING","PASS",IF('Release Gates'!C24="PHYSICAL","OPEN","BLOCKED"))</x:f>
        <x:v>PASS</x:v>
      </x:c>
      <x:c r="G50" t="str">
        <x:v>equals</x:v>
      </x:c>
      <x:c r="H50" t="str">
        <x:f>IF(E50=F50,"PASS","FAIL")</x:f>
        <x:v>PASS</x:v>
      </x:c>
    </x:row>
    <x:row r="51">
      <x:c r="B51" t="str">
        <x:v>A-00019</x:v>
      </x:c>
      <x:c r="C51" t="str">
        <x:v>GATE</x:v>
      </x:c>
      <x:c r="D51" t="str">
        <x:v>release state mirrors governing ledger</x:v>
      </x:c>
      <x:c r="E51" t="str">
        <x:f>'Release Gates'!I25</x:f>
        <x:v>PASS</x:v>
      </x:c>
      <x:c r="F51" t="str">
        <x:f>IF('Release Gates'!C25="PLANNING","PASS",IF('Release Gates'!C25="PHYSICAL","OPEN","BLOCKED"))</x:f>
        <x:v>PASS</x:v>
      </x:c>
      <x:c r="G51" t="str">
        <x:v>equals</x:v>
      </x:c>
      <x:c r="H51" t="str">
        <x:f>IF(E51=F51,"PASS","FAIL")</x:f>
        <x:v>PASS</x:v>
      </x:c>
    </x:row>
    <x:row r="52">
      <x:c r="B52" t="str">
        <x:v>A-00020</x:v>
      </x:c>
      <x:c r="C52" t="str">
        <x:v>GATE</x:v>
      </x:c>
      <x:c r="D52" t="str">
        <x:v>release state mirrors governing ledger</x:v>
      </x:c>
      <x:c r="E52" t="str">
        <x:f>'Release Gates'!I26</x:f>
        <x:v>PASS</x:v>
      </x:c>
      <x:c r="F52" t="str">
        <x:f>IF('Release Gates'!C26="PLANNING","PASS",IF('Release Gates'!C26="PHYSICAL","OPEN","BLOCKED"))</x:f>
        <x:v>PASS</x:v>
      </x:c>
      <x:c r="G52" t="str">
        <x:v>equals</x:v>
      </x:c>
      <x:c r="H52" t="str">
        <x:f>IF(E52=F52,"PASS","FAIL")</x:f>
        <x:v>PASS</x:v>
      </x:c>
    </x:row>
    <x:row r="53">
      <x:c r="B53" t="str">
        <x:v>A-00021</x:v>
      </x:c>
      <x:c r="C53" t="str">
        <x:v>GATE</x:v>
      </x:c>
      <x:c r="D53" t="str">
        <x:v>release state mirrors governing ledger</x:v>
      </x:c>
      <x:c r="E53" t="str">
        <x:f>'Release Gates'!I27</x:f>
        <x:v>PASS</x:v>
      </x:c>
      <x:c r="F53" t="str">
        <x:f>IF('Release Gates'!C27="PLANNING","PASS",IF('Release Gates'!C27="PHYSICAL","OPEN","BLOCKED"))</x:f>
        <x:v>PASS</x:v>
      </x:c>
      <x:c r="G53" t="str">
        <x:v>equals</x:v>
      </x:c>
      <x:c r="H53" t="str">
        <x:f>IF(E53=F53,"PASS","FAIL")</x:f>
        <x:v>PASS</x:v>
      </x:c>
    </x:row>
    <x:row r="54">
      <x:c r="B54" t="str">
        <x:v>A-00022</x:v>
      </x:c>
      <x:c r="C54" t="str">
        <x:v>GATE</x:v>
      </x:c>
      <x:c r="D54" t="str">
        <x:v>release state mirrors governing ledger</x:v>
      </x:c>
      <x:c r="E54" t="str">
        <x:f>'Release Gates'!I28</x:f>
        <x:v>PASS</x:v>
      </x:c>
      <x:c r="F54" t="str">
        <x:f>IF('Release Gates'!C28="PLANNING","PASS",IF('Release Gates'!C28="PHYSICAL","OPEN","BLOCKED"))</x:f>
        <x:v>PASS</x:v>
      </x:c>
      <x:c r="G54" t="str">
        <x:v>equals</x:v>
      </x:c>
      <x:c r="H54" t="str">
        <x:f>IF(E54=F54,"PASS","FAIL")</x:f>
        <x:v>PASS</x:v>
      </x:c>
    </x:row>
    <x:row r="55">
      <x:c r="B55" t="str">
        <x:v>A-00023</x:v>
      </x:c>
      <x:c r="C55" t="str">
        <x:v>GATE</x:v>
      </x:c>
      <x:c r="D55" t="str">
        <x:v>release state mirrors governing ledger</x:v>
      </x:c>
      <x:c r="E55" t="str">
        <x:f>'Release Gates'!I29</x:f>
        <x:v>PASS</x:v>
      </x:c>
      <x:c r="F55" t="str">
        <x:f>IF('Release Gates'!C29="PLANNING","PASS",IF('Release Gates'!C29="PHYSICAL","OPEN","BLOCKED"))</x:f>
        <x:v>PASS</x:v>
      </x:c>
      <x:c r="G55" t="str">
        <x:v>equals</x:v>
      </x:c>
      <x:c r="H55" t="str">
        <x:f>IF(E55=F55,"PASS","FAIL")</x:f>
        <x:v>PASS</x:v>
      </x:c>
    </x:row>
    <x:row r="56">
      <x:c r="B56" t="str">
        <x:v>A-00024</x:v>
      </x:c>
      <x:c r="C56" t="str">
        <x:v>GATE</x:v>
      </x:c>
      <x:c r="D56" t="str">
        <x:v>release state mirrors governing ledger</x:v>
      </x:c>
      <x:c r="E56" t="str">
        <x:f>'Release Gates'!I30</x:f>
        <x:v>PASS</x:v>
      </x:c>
      <x:c r="F56" t="str">
        <x:f>IF('Release Gates'!C30="PLANNING","PASS",IF('Release Gates'!C30="PHYSICAL","OPEN","BLOCKED"))</x:f>
        <x:v>PASS</x:v>
      </x:c>
      <x:c r="G56" t="str">
        <x:v>equals</x:v>
      </x:c>
      <x:c r="H56" t="str">
        <x:f>IF(E56=F56,"PASS","FAIL")</x:f>
        <x:v>PASS</x:v>
      </x:c>
    </x:row>
    <x:row r="57">
      <x:c r="B57" t="str">
        <x:v>A-00025</x:v>
      </x:c>
      <x:c r="C57" t="str">
        <x:v>GATE</x:v>
      </x:c>
      <x:c r="D57" t="str">
        <x:v>release state mirrors governing ledger</x:v>
      </x:c>
      <x:c r="E57" t="str">
        <x:f>'Release Gates'!I31</x:f>
        <x:v>PASS</x:v>
      </x:c>
      <x:c r="F57" t="str">
        <x:f>IF('Release Gates'!C31="PLANNING","PASS",IF('Release Gates'!C31="PHYSICAL","OPEN","BLOCKED"))</x:f>
        <x:v>PASS</x:v>
      </x:c>
      <x:c r="G57" t="str">
        <x:v>equals</x:v>
      </x:c>
      <x:c r="H57" t="str">
        <x:f>IF(E57=F57,"PASS","FAIL")</x:f>
        <x:v>PASS</x:v>
      </x:c>
    </x:row>
    <x:row r="58">
      <x:c r="B58" t="str">
        <x:v>A-00026</x:v>
      </x:c>
      <x:c r="C58" t="str">
        <x:v>GATE</x:v>
      </x:c>
      <x:c r="D58" t="str">
        <x:v>release state mirrors governing ledger</x:v>
      </x:c>
      <x:c r="E58" t="str">
        <x:f>'Release Gates'!I32</x:f>
        <x:v>PASS</x:v>
      </x:c>
      <x:c r="F58" t="str">
        <x:f>IF('Release Gates'!C32="PLANNING","PASS",IF('Release Gates'!C32="PHYSICAL","OPEN","BLOCKED"))</x:f>
        <x:v>PASS</x:v>
      </x:c>
      <x:c r="G58" t="str">
        <x:v>equals</x:v>
      </x:c>
      <x:c r="H58" t="str">
        <x:f>IF(E58=F58,"PASS","FAIL")</x:f>
        <x:v>PASS</x:v>
      </x:c>
    </x:row>
    <x:row r="59">
      <x:c r="B59" t="str">
        <x:v>A-00027</x:v>
      </x:c>
      <x:c r="C59" t="str">
        <x:v>GATE</x:v>
      </x:c>
      <x:c r="D59" t="str">
        <x:v>release state mirrors governing ledger</x:v>
      </x:c>
      <x:c r="E59" t="str">
        <x:f>'Release Gates'!I33</x:f>
        <x:v>PASS</x:v>
      </x:c>
      <x:c r="F59" t="str">
        <x:f>IF('Release Gates'!C33="PLANNING","PASS",IF('Release Gates'!C33="PHYSICAL","OPEN","BLOCKED"))</x:f>
        <x:v>PASS</x:v>
      </x:c>
      <x:c r="G59" t="str">
        <x:v>equals</x:v>
      </x:c>
      <x:c r="H59" t="str">
        <x:f>IF(E59=F59,"PASS","FAIL")</x:f>
        <x:v>PASS</x:v>
      </x:c>
    </x:row>
    <x:row r="60">
      <x:c r="B60" t="str">
        <x:v>A-00028</x:v>
      </x:c>
      <x:c r="C60" t="str">
        <x:v>GATE</x:v>
      </x:c>
      <x:c r="D60" t="str">
        <x:v>release state mirrors governing ledger</x:v>
      </x:c>
      <x:c r="E60" t="str">
        <x:f>'Release Gates'!I34</x:f>
        <x:v>PASS</x:v>
      </x:c>
      <x:c r="F60" t="str">
        <x:f>IF('Release Gates'!C34="PLANNING","PASS",IF('Release Gates'!C34="PHYSICAL","OPEN","BLOCKED"))</x:f>
        <x:v>PASS</x:v>
      </x:c>
      <x:c r="G60" t="str">
        <x:v>equals</x:v>
      </x:c>
      <x:c r="H60" t="str">
        <x:f>IF(E60=F60,"PASS","FAIL")</x:f>
        <x:v>PASS</x:v>
      </x:c>
    </x:row>
    <x:row r="61">
      <x:c r="B61" t="str">
        <x:v>A-00029</x:v>
      </x:c>
      <x:c r="C61" t="str">
        <x:v>GATE</x:v>
      </x:c>
      <x:c r="D61" t="str">
        <x:v>release state mirrors governing ledger</x:v>
      </x:c>
      <x:c r="E61" t="str">
        <x:f>'Release Gates'!I35</x:f>
        <x:v>PASS</x:v>
      </x:c>
      <x:c r="F61" t="str">
        <x:f>IF('Release Gates'!C35="PLANNING","PASS",IF('Release Gates'!C35="PHYSICAL","OPEN","BLOCKED"))</x:f>
        <x:v>PASS</x:v>
      </x:c>
      <x:c r="G61" t="str">
        <x:v>equals</x:v>
      </x:c>
      <x:c r="H61" t="str">
        <x:f>IF(E61=F61,"PASS","FAIL")</x:f>
        <x:v>PASS</x:v>
      </x:c>
    </x:row>
    <x:row r="62">
      <x:c r="B62" t="str">
        <x:v>A-00030</x:v>
      </x:c>
      <x:c r="C62" t="str">
        <x:v>GATE</x:v>
      </x:c>
      <x:c r="D62" t="str">
        <x:v>release state mirrors governing ledger</x:v>
      </x:c>
      <x:c r="E62" t="str">
        <x:f>'Release Gates'!I36</x:f>
        <x:v>PASS</x:v>
      </x:c>
      <x:c r="F62" t="str">
        <x:f>IF('Release Gates'!C36="PLANNING","PASS",IF('Release Gates'!C36="PHYSICAL","OPEN","BLOCKED"))</x:f>
        <x:v>PASS</x:v>
      </x:c>
      <x:c r="G62" t="str">
        <x:v>equals</x:v>
      </x:c>
      <x:c r="H62" t="str">
        <x:f>IF(E62=F62,"PASS","FAIL")</x:f>
        <x:v>PASS</x:v>
      </x:c>
    </x:row>
    <x:row r="63">
      <x:c r="B63" t="str">
        <x:v>A-00031</x:v>
      </x:c>
      <x:c r="C63" t="str">
        <x:v>GATE</x:v>
      </x:c>
      <x:c r="D63" t="str">
        <x:v>release state mirrors governing ledger</x:v>
      </x:c>
      <x:c r="E63" t="str">
        <x:f>'Release Gates'!I37</x:f>
        <x:v>PASS</x:v>
      </x:c>
      <x:c r="F63" t="str">
        <x:f>IF('Release Gates'!C37="PLANNING","PASS",IF('Release Gates'!C37="PHYSICAL","OPEN","BLOCKED"))</x:f>
        <x:v>PASS</x:v>
      </x:c>
      <x:c r="G63" t="str">
        <x:v>equals</x:v>
      </x:c>
      <x:c r="H63" t="str">
        <x:f>IF(E63=F63,"PASS","FAIL")</x:f>
        <x:v>PASS</x:v>
      </x:c>
    </x:row>
    <x:row r="64">
      <x:c r="B64" t="str">
        <x:v>A-00032</x:v>
      </x:c>
      <x:c r="C64" t="str">
        <x:v>GATE</x:v>
      </x:c>
      <x:c r="D64" t="str">
        <x:v>release state mirrors governing ledger</x:v>
      </x:c>
      <x:c r="E64" t="str">
        <x:f>'Release Gates'!I38</x:f>
        <x:v>PASS</x:v>
      </x:c>
      <x:c r="F64" t="str">
        <x:f>IF('Release Gates'!C38="PLANNING","PASS",IF('Release Gates'!C38="PHYSICAL","OPEN","BLOCKED"))</x:f>
        <x:v>PASS</x:v>
      </x:c>
      <x:c r="G64" t="str">
        <x:v>equals</x:v>
      </x:c>
      <x:c r="H64" t="str">
        <x:f>IF(E64=F64,"PASS","FAIL")</x:f>
        <x:v>PASS</x:v>
      </x:c>
    </x:row>
    <x:row r="65">
      <x:c r="B65" t="str">
        <x:v>A-00033</x:v>
      </x:c>
      <x:c r="C65" t="str">
        <x:v>GATE</x:v>
      </x:c>
      <x:c r="D65" t="str">
        <x:v>release state mirrors governing ledger</x:v>
      </x:c>
      <x:c r="E65" t="str">
        <x:f>'Release Gates'!I39</x:f>
        <x:v>PASS</x:v>
      </x:c>
      <x:c r="F65" t="str">
        <x:f>IF('Release Gates'!C39="PLANNING","PASS",IF('Release Gates'!C39="PHYSICAL","OPEN","BLOCKED"))</x:f>
        <x:v>PASS</x:v>
      </x:c>
      <x:c r="G65" t="str">
        <x:v>equals</x:v>
      </x:c>
      <x:c r="H65" t="str">
        <x:f>IF(E65=F65,"PASS","FAIL")</x:f>
        <x:v>PASS</x:v>
      </x:c>
    </x:row>
    <x:row r="66">
      <x:c r="B66" t="str">
        <x:v>A-00034</x:v>
      </x:c>
      <x:c r="C66" t="str">
        <x:v>GATE</x:v>
      </x:c>
      <x:c r="D66" t="str">
        <x:v>release state mirrors governing ledger</x:v>
      </x:c>
      <x:c r="E66" t="str">
        <x:f>'Release Gates'!I40</x:f>
        <x:v>PASS</x:v>
      </x:c>
      <x:c r="F66" t="str">
        <x:f>IF('Release Gates'!C40="PLANNING","PASS",IF('Release Gates'!C40="PHYSICAL","OPEN","BLOCKED"))</x:f>
        <x:v>PASS</x:v>
      </x:c>
      <x:c r="G66" t="str">
        <x:v>equals</x:v>
      </x:c>
      <x:c r="H66" t="str">
        <x:f>IF(E66=F66,"PASS","FAIL")</x:f>
        <x:v>PASS</x:v>
      </x:c>
    </x:row>
    <x:row r="67">
      <x:c r="B67" t="str">
        <x:v>A-00035</x:v>
      </x:c>
      <x:c r="C67" t="str">
        <x:v>GATE</x:v>
      </x:c>
      <x:c r="D67" t="str">
        <x:v>release state mirrors governing ledger</x:v>
      </x:c>
      <x:c r="E67" t="str">
        <x:f>'Release Gates'!I41</x:f>
        <x:v>PASS</x:v>
      </x:c>
      <x:c r="F67" t="str">
        <x:f>IF('Release Gates'!C41="PLANNING","PASS",IF('Release Gates'!C41="PHYSICAL","OPEN","BLOCKED"))</x:f>
        <x:v>PASS</x:v>
      </x:c>
      <x:c r="G67" t="str">
        <x:v>equals</x:v>
      </x:c>
      <x:c r="H67" t="str">
        <x:f>IF(E67=F67,"PASS","FAIL")</x:f>
        <x:v>PASS</x:v>
      </x:c>
    </x:row>
    <x:row r="68">
      <x:c r="B68" t="str">
        <x:v>A-00036</x:v>
      </x:c>
      <x:c r="C68" t="str">
        <x:v>GATE</x:v>
      </x:c>
      <x:c r="D68" t="str">
        <x:v>release state mirrors governing ledger</x:v>
      </x:c>
      <x:c r="E68" t="str">
        <x:f>'Release Gates'!I42</x:f>
        <x:v>PASS</x:v>
      </x:c>
      <x:c r="F68" t="str">
        <x:f>IF('Release Gates'!C42="PLANNING","PASS",IF('Release Gates'!C42="PHYSICAL","OPEN","BLOCKED"))</x:f>
        <x:v>PASS</x:v>
      </x:c>
      <x:c r="G68" t="str">
        <x:v>equals</x:v>
      </x:c>
      <x:c r="H68" t="str">
        <x:f>IF(E68=F68,"PASS","FAIL")</x:f>
        <x:v>PASS</x:v>
      </x:c>
    </x:row>
    <x:row r="69">
      <x:c r="B69" t="str">
        <x:v>A-00037</x:v>
      </x:c>
      <x:c r="C69" t="str">
        <x:v>GATE</x:v>
      </x:c>
      <x:c r="D69" t="str">
        <x:v>release state mirrors governing ledger</x:v>
      </x:c>
      <x:c r="E69" t="str">
        <x:f>'Release Gates'!I43</x:f>
        <x:v>PASS</x:v>
      </x:c>
      <x:c r="F69" t="str">
        <x:f>IF('Release Gates'!C43="PLANNING","PASS",IF('Release Gates'!C43="PHYSICAL","OPEN","BLOCKED"))</x:f>
        <x:v>PASS</x:v>
      </x:c>
      <x:c r="G69" t="str">
        <x:v>equals</x:v>
      </x:c>
      <x:c r="H69" t="str">
        <x:f>IF(E69=F69,"PASS","FAIL")</x:f>
        <x:v>PASS</x:v>
      </x:c>
    </x:row>
    <x:row r="70">
      <x:c r="B70" t="str">
        <x:v>A-00038</x:v>
      </x:c>
      <x:c r="C70" t="str">
        <x:v>GATE</x:v>
      </x:c>
      <x:c r="D70" t="str">
        <x:v>release state mirrors governing ledger</x:v>
      </x:c>
      <x:c r="E70" t="str">
        <x:f>'Release Gates'!I44</x:f>
        <x:v>PASS</x:v>
      </x:c>
      <x:c r="F70" t="str">
        <x:f>IF('Release Gates'!C44="PLANNING","PASS",IF('Release Gates'!C44="PHYSICAL","OPEN","BLOCKED"))</x:f>
        <x:v>PASS</x:v>
      </x:c>
      <x:c r="G70" t="str">
        <x:v>equals</x:v>
      </x:c>
      <x:c r="H70" t="str">
        <x:f>IF(E70=F70,"PASS","FAIL")</x:f>
        <x:v>PASS</x:v>
      </x:c>
    </x:row>
    <x:row r="71">
      <x:c r="B71" t="str">
        <x:v>A-00039</x:v>
      </x:c>
      <x:c r="C71" t="str">
        <x:v>GATE</x:v>
      </x:c>
      <x:c r="D71" t="str">
        <x:v>release state mirrors governing ledger</x:v>
      </x:c>
      <x:c r="E71" t="str">
        <x:f>'Release Gates'!I45</x:f>
        <x:v>PASS</x:v>
      </x:c>
      <x:c r="F71" t="str">
        <x:f>IF('Release Gates'!C45="PLANNING","PASS",IF('Release Gates'!C45="PHYSICAL","OPEN","BLOCKED"))</x:f>
        <x:v>PASS</x:v>
      </x:c>
      <x:c r="G71" t="str">
        <x:v>equals</x:v>
      </x:c>
      <x:c r="H71" t="str">
        <x:f>IF(E71=F71,"PASS","FAIL")</x:f>
        <x:v>PASS</x:v>
      </x:c>
    </x:row>
    <x:row r="72">
      <x:c r="B72" t="str">
        <x:v>A-00040</x:v>
      </x:c>
      <x:c r="C72" t="str">
        <x:v>GATE</x:v>
      </x:c>
      <x:c r="D72" t="str">
        <x:v>release state mirrors governing ledger</x:v>
      </x:c>
      <x:c r="E72" t="str">
        <x:f>'Release Gates'!I46</x:f>
        <x:v>PASS</x:v>
      </x:c>
      <x:c r="F72" t="str">
        <x:f>IF('Release Gates'!C46="PLANNING","PASS",IF('Release Gates'!C46="PHYSICAL","OPEN","BLOCKED"))</x:f>
        <x:v>PASS</x:v>
      </x:c>
      <x:c r="G72" t="str">
        <x:v>equals</x:v>
      </x:c>
      <x:c r="H72" t="str">
        <x:f>IF(E72=F72,"PASS","FAIL")</x:f>
        <x:v>PASS</x:v>
      </x:c>
    </x:row>
    <x:row r="73">
      <x:c r="B73" t="str">
        <x:v>A-00041</x:v>
      </x:c>
      <x:c r="C73" t="str">
        <x:v>GATE</x:v>
      </x:c>
      <x:c r="D73" t="str">
        <x:v>release state mirrors governing ledger</x:v>
      </x:c>
      <x:c r="E73" t="str">
        <x:f>'Release Gates'!I47</x:f>
        <x:v>PASS</x:v>
      </x:c>
      <x:c r="F73" t="str">
        <x:f>IF('Release Gates'!C47="PLANNING","PASS",IF('Release Gates'!C47="PHYSICAL","OPEN","BLOCKED"))</x:f>
        <x:v>PASS</x:v>
      </x:c>
      <x:c r="G73" t="str">
        <x:v>equals</x:v>
      </x:c>
      <x:c r="H73" t="str">
        <x:f>IF(E73=F73,"PASS","FAIL")</x:f>
        <x:v>PASS</x:v>
      </x:c>
    </x:row>
    <x:row r="74">
      <x:c r="B74" t="str">
        <x:v>A-00042</x:v>
      </x:c>
      <x:c r="C74" t="str">
        <x:v>GATE</x:v>
      </x:c>
      <x:c r="D74" t="str">
        <x:v>release state mirrors governing ledger</x:v>
      </x:c>
      <x:c r="E74" t="str">
        <x:f>'Release Gates'!I48</x:f>
        <x:v>PASS</x:v>
      </x:c>
      <x:c r="F74" t="str">
        <x:f>IF('Release Gates'!C48="PLANNING","PASS",IF('Release Gates'!C48="PHYSICAL","OPEN","BLOCKED"))</x:f>
        <x:v>PASS</x:v>
      </x:c>
      <x:c r="G74" t="str">
        <x:v>equals</x:v>
      </x:c>
      <x:c r="H74" t="str">
        <x:f>IF(E74=F74,"PASS","FAIL")</x:f>
        <x:v>PASS</x:v>
      </x:c>
    </x:row>
    <x:row r="75">
      <x:c r="B75" t="str">
        <x:v>A-00043</x:v>
      </x:c>
      <x:c r="C75" t="str">
        <x:v>GATE</x:v>
      </x:c>
      <x:c r="D75" t="str">
        <x:v>release state mirrors governing ledger</x:v>
      </x:c>
      <x:c r="E75" t="str">
        <x:f>'Release Gates'!I49</x:f>
        <x:v>PASS</x:v>
      </x:c>
      <x:c r="F75" t="str">
        <x:f>IF('Release Gates'!C49="PLANNING","PASS",IF('Release Gates'!C49="PHYSICAL","OPEN","BLOCKED"))</x:f>
        <x:v>PASS</x:v>
      </x:c>
      <x:c r="G75" t="str">
        <x:v>equals</x:v>
      </x:c>
      <x:c r="H75" t="str">
        <x:f>IF(E75=F75,"PASS","FAIL")</x:f>
        <x:v>PASS</x:v>
      </x:c>
    </x:row>
    <x:row r="76">
      <x:c r="B76" t="str">
        <x:v>A-00044</x:v>
      </x:c>
      <x:c r="C76" t="str">
        <x:v>GATE</x:v>
      </x:c>
      <x:c r="D76" t="str">
        <x:v>release state mirrors governing ledger</x:v>
      </x:c>
      <x:c r="E76" t="str">
        <x:f>'Release Gates'!I50</x:f>
        <x:v>PASS</x:v>
      </x:c>
      <x:c r="F76" t="str">
        <x:f>IF('Release Gates'!C50="PLANNING","PASS",IF('Release Gates'!C50="PHYSICAL","OPEN","BLOCKED"))</x:f>
        <x:v>PASS</x:v>
      </x:c>
      <x:c r="G76" t="str">
        <x:v>equals</x:v>
      </x:c>
      <x:c r="H76" t="str">
        <x:f>IF(E76=F76,"PASS","FAIL")</x:f>
        <x:v>PASS</x:v>
      </x:c>
    </x:row>
    <x:row r="77">
      <x:c r="B77" t="str">
        <x:v>A-00045</x:v>
      </x:c>
      <x:c r="C77" t="str">
        <x:v>GATE</x:v>
      </x:c>
      <x:c r="D77" t="str">
        <x:v>release state mirrors governing ledger</x:v>
      </x:c>
      <x:c r="E77" t="str">
        <x:f>'Release Gates'!I51</x:f>
        <x:v>PASS</x:v>
      </x:c>
      <x:c r="F77" t="str">
        <x:f>IF('Release Gates'!C51="PLANNING","PASS",IF('Release Gates'!C51="PHYSICAL","OPEN","BLOCKED"))</x:f>
        <x:v>PASS</x:v>
      </x:c>
      <x:c r="G77" t="str">
        <x:v>equals</x:v>
      </x:c>
      <x:c r="H77" t="str">
        <x:f>IF(E77=F77,"PASS","FAIL")</x:f>
        <x:v>PASS</x:v>
      </x:c>
    </x:row>
    <x:row r="78">
      <x:c r="B78" t="str">
        <x:v>A-00046</x:v>
      </x:c>
      <x:c r="C78" t="str">
        <x:v>GATE</x:v>
      </x:c>
      <x:c r="D78" t="str">
        <x:v>release state mirrors governing ledger</x:v>
      </x:c>
      <x:c r="E78" t="str">
        <x:f>'Release Gates'!I52</x:f>
        <x:v>PASS</x:v>
      </x:c>
      <x:c r="F78" t="str">
        <x:f>IF('Release Gates'!C52="PLANNING","PASS",IF('Release Gates'!C52="PHYSICAL","OPEN","BLOCKED"))</x:f>
        <x:v>PASS</x:v>
      </x:c>
      <x:c r="G78" t="str">
        <x:v>equals</x:v>
      </x:c>
      <x:c r="H78" t="str">
        <x:f>IF(E78=F78,"PASS","FAIL")</x:f>
        <x:v>PASS</x:v>
      </x:c>
    </x:row>
    <x:row r="79">
      <x:c r="B79" t="str">
        <x:v>A-00047</x:v>
      </x:c>
      <x:c r="C79" t="str">
        <x:v>GATE</x:v>
      </x:c>
      <x:c r="D79" t="str">
        <x:v>release state mirrors governing ledger</x:v>
      </x:c>
      <x:c r="E79" t="str">
        <x:f>'Release Gates'!I53</x:f>
        <x:v>PASS</x:v>
      </x:c>
      <x:c r="F79" t="str">
        <x:f>IF('Release Gates'!C53="PLANNING","PASS",IF('Release Gates'!C53="PHYSICAL","OPEN","BLOCKED"))</x:f>
        <x:v>PASS</x:v>
      </x:c>
      <x:c r="G79" t="str">
        <x:v>equals</x:v>
      </x:c>
      <x:c r="H79" t="str">
        <x:f>IF(E79=F79,"PASS","FAIL")</x:f>
        <x:v>PASS</x:v>
      </x:c>
    </x:row>
    <x:row r="80">
      <x:c r="B80" t="str">
        <x:v>A-00048</x:v>
      </x:c>
      <x:c r="C80" t="str">
        <x:v>GATE</x:v>
      </x:c>
      <x:c r="D80" t="str">
        <x:v>release state mirrors governing ledger</x:v>
      </x:c>
      <x:c r="E80" t="str">
        <x:f>'Release Gates'!I54</x:f>
        <x:v>PASS</x:v>
      </x:c>
      <x:c r="F80" t="str">
        <x:f>IF('Release Gates'!C54="PLANNING","PASS",IF('Release Gates'!C54="PHYSICAL","OPEN","BLOCKED"))</x:f>
        <x:v>PASS</x:v>
      </x:c>
      <x:c r="G80" t="str">
        <x:v>equals</x:v>
      </x:c>
      <x:c r="H80" t="str">
        <x:f>IF(E80=F80,"PASS","FAIL")</x:f>
        <x:v>PASS</x:v>
      </x:c>
    </x:row>
    <x:row r="81">
      <x:c r="B81" t="str">
        <x:v>A-00049</x:v>
      </x:c>
      <x:c r="C81" t="str">
        <x:v>GATE</x:v>
      </x:c>
      <x:c r="D81" t="str">
        <x:v>release state mirrors governing ledger</x:v>
      </x:c>
      <x:c r="E81" t="str">
        <x:f>'Release Gates'!I55</x:f>
        <x:v>PASS</x:v>
      </x:c>
      <x:c r="F81" t="str">
        <x:f>IF('Release Gates'!C55="PLANNING","PASS",IF('Release Gates'!C55="PHYSICAL","OPEN","BLOCKED"))</x:f>
        <x:v>PASS</x:v>
      </x:c>
      <x:c r="G81" t="str">
        <x:v>equals</x:v>
      </x:c>
      <x:c r="H81" t="str">
        <x:f>IF(E81=F81,"PASS","FAIL")</x:f>
        <x:v>PASS</x:v>
      </x:c>
    </x:row>
    <x:row r="82">
      <x:c r="B82" t="str">
        <x:v>A-00050</x:v>
      </x:c>
      <x:c r="C82" t="str">
        <x:v>GATE</x:v>
      </x:c>
      <x:c r="D82" t="str">
        <x:v>release state mirrors governing ledger</x:v>
      </x:c>
      <x:c r="E82" t="str">
        <x:f>'Release Gates'!I56</x:f>
        <x:v>PASS</x:v>
      </x:c>
      <x:c r="F82" t="str">
        <x:f>IF('Release Gates'!C56="PLANNING","PASS",IF('Release Gates'!C56="PHYSICAL","OPEN","BLOCKED"))</x:f>
        <x:v>PASS</x:v>
      </x:c>
      <x:c r="G82" t="str">
        <x:v>equals</x:v>
      </x:c>
      <x:c r="H82" t="str">
        <x:f>IF(E82=F82,"PASS","FAIL")</x:f>
        <x:v>PASS</x:v>
      </x:c>
    </x:row>
    <x:row r="83">
      <x:c r="B83" t="str">
        <x:v>A-00051</x:v>
      </x:c>
      <x:c r="C83" t="str">
        <x:v>GATE</x:v>
      </x:c>
      <x:c r="D83" t="str">
        <x:v>release state mirrors governing ledger</x:v>
      </x:c>
      <x:c r="E83" t="str">
        <x:f>'Release Gates'!I57</x:f>
        <x:v>PASS</x:v>
      </x:c>
      <x:c r="F83" t="str">
        <x:f>IF('Release Gates'!C57="PLANNING","PASS",IF('Release Gates'!C57="PHYSICAL","OPEN","BLOCKED"))</x:f>
        <x:v>PASS</x:v>
      </x:c>
      <x:c r="G83" t="str">
        <x:v>equals</x:v>
      </x:c>
      <x:c r="H83" t="str">
        <x:f>IF(E83=F83,"PASS","FAIL")</x:f>
        <x:v>PASS</x:v>
      </x:c>
    </x:row>
    <x:row r="84">
      <x:c r="B84" t="str">
        <x:v>A-00052</x:v>
      </x:c>
      <x:c r="C84" t="str">
        <x:v>GATE</x:v>
      </x:c>
      <x:c r="D84" t="str">
        <x:v>release state mirrors governing ledger</x:v>
      </x:c>
      <x:c r="E84" t="str">
        <x:f>'Release Gates'!I58</x:f>
        <x:v>PASS</x:v>
      </x:c>
      <x:c r="F84" t="str">
        <x:f>IF('Release Gates'!C58="PLANNING","PASS",IF('Release Gates'!C58="PHYSICAL","OPEN","BLOCKED"))</x:f>
        <x:v>PASS</x:v>
      </x:c>
      <x:c r="G84" t="str">
        <x:v>equals</x:v>
      </x:c>
      <x:c r="H84" t="str">
        <x:f>IF(E84=F84,"PASS","FAIL")</x:f>
        <x:v>PASS</x:v>
      </x:c>
    </x:row>
    <x:row r="85">
      <x:c r="B85" t="str">
        <x:v>A-00053</x:v>
      </x:c>
      <x:c r="C85" t="str">
        <x:v>GATE</x:v>
      </x:c>
      <x:c r="D85" t="str">
        <x:v>release state mirrors governing ledger</x:v>
      </x:c>
      <x:c r="E85" t="str">
        <x:f>'Release Gates'!I59</x:f>
        <x:v>PASS</x:v>
      </x:c>
      <x:c r="F85" t="str">
        <x:f>IF('Release Gates'!C59="PLANNING","PASS",IF('Release Gates'!C59="PHYSICAL","OPEN","BLOCKED"))</x:f>
        <x:v>PASS</x:v>
      </x:c>
      <x:c r="G85" t="str">
        <x:v>equals</x:v>
      </x:c>
      <x:c r="H85" t="str">
        <x:f>IF(E85=F85,"PASS","FAIL")</x:f>
        <x:v>PASS</x:v>
      </x:c>
    </x:row>
    <x:row r="86">
      <x:c r="B86" t="str">
        <x:v>A-00054</x:v>
      </x:c>
      <x:c r="C86" t="str">
        <x:v>GATE</x:v>
      </x:c>
      <x:c r="D86" t="str">
        <x:v>release state mirrors governing ledger</x:v>
      </x:c>
      <x:c r="E86" t="str">
        <x:f>'Release Gates'!I60</x:f>
        <x:v>PASS</x:v>
      </x:c>
      <x:c r="F86" t="str">
        <x:f>IF('Release Gates'!C60="PLANNING","PASS",IF('Release Gates'!C60="PHYSICAL","OPEN","BLOCKED"))</x:f>
        <x:v>PASS</x:v>
      </x:c>
      <x:c r="G86" t="str">
        <x:v>equals</x:v>
      </x:c>
      <x:c r="H86" t="str">
        <x:f>IF(E86=F86,"PASS","FAIL")</x:f>
        <x:v>PASS</x:v>
      </x:c>
    </x:row>
    <x:row r="87">
      <x:c r="B87" t="str">
        <x:v>A-00055</x:v>
      </x:c>
      <x:c r="C87" t="str">
        <x:v>GATE</x:v>
      </x:c>
      <x:c r="D87" t="str">
        <x:v>release state mirrors governing ledger</x:v>
      </x:c>
      <x:c r="E87" t="str">
        <x:f>'Release Gates'!I61</x:f>
        <x:v>PASS</x:v>
      </x:c>
      <x:c r="F87" t="str">
        <x:f>IF('Release Gates'!C61="PLANNING","PASS",IF('Release Gates'!C61="PHYSICAL","OPEN","BLOCKED"))</x:f>
        <x:v>PASS</x:v>
      </x:c>
      <x:c r="G87" t="str">
        <x:v>equals</x:v>
      </x:c>
      <x:c r="H87" t="str">
        <x:f>IF(E87=F87,"PASS","FAIL")</x:f>
        <x:v>PASS</x:v>
      </x:c>
    </x:row>
    <x:row r="88">
      <x:c r="B88" t="str">
        <x:v>A-00056</x:v>
      </x:c>
      <x:c r="C88" t="str">
        <x:v>GATE</x:v>
      </x:c>
      <x:c r="D88" t="str">
        <x:v>release state mirrors governing ledger</x:v>
      </x:c>
      <x:c r="E88" t="str">
        <x:f>'Release Gates'!I62</x:f>
        <x:v>PASS</x:v>
      </x:c>
      <x:c r="F88" t="str">
        <x:f>IF('Release Gates'!C62="PLANNING","PASS",IF('Release Gates'!C62="PHYSICAL","OPEN","BLOCKED"))</x:f>
        <x:v>PASS</x:v>
      </x:c>
      <x:c r="G88" t="str">
        <x:v>equals</x:v>
      </x:c>
      <x:c r="H88" t="str">
        <x:f>IF(E88=F88,"PASS","FAIL")</x:f>
        <x:v>PASS</x:v>
      </x:c>
    </x:row>
    <x:row r="89">
      <x:c r="B89" t="str">
        <x:v>A-00057</x:v>
      </x:c>
      <x:c r="C89" t="str">
        <x:v>GATE</x:v>
      </x:c>
      <x:c r="D89" t="str">
        <x:v>release state mirrors governing ledger</x:v>
      </x:c>
      <x:c r="E89" t="str">
        <x:f>'Release Gates'!I63</x:f>
        <x:v>PASS</x:v>
      </x:c>
      <x:c r="F89" t="str">
        <x:f>IF('Release Gates'!C63="PLANNING","PASS",IF('Release Gates'!C63="PHYSICAL","OPEN","BLOCKED"))</x:f>
        <x:v>PASS</x:v>
      </x:c>
      <x:c r="G89" t="str">
        <x:v>equals</x:v>
      </x:c>
      <x:c r="H89" t="str">
        <x:f>IF(E89=F89,"PASS","FAIL")</x:f>
        <x:v>PASS</x:v>
      </x:c>
    </x:row>
    <x:row r="90">
      <x:c r="B90" t="str">
        <x:v>A-00058</x:v>
      </x:c>
      <x:c r="C90" t="str">
        <x:v>GATE</x:v>
      </x:c>
      <x:c r="D90" t="str">
        <x:v>release state mirrors governing ledger</x:v>
      </x:c>
      <x:c r="E90" t="str">
        <x:f>'Release Gates'!I64</x:f>
        <x:v>PASS</x:v>
      </x:c>
      <x:c r="F90" t="str">
        <x:f>IF('Release Gates'!C64="PLANNING","PASS",IF('Release Gates'!C64="PHYSICAL","OPEN","BLOCKED"))</x:f>
        <x:v>PASS</x:v>
      </x:c>
      <x:c r="G90" t="str">
        <x:v>equals</x:v>
      </x:c>
      <x:c r="H90" t="str">
        <x:f>IF(E90=F90,"PASS","FAIL")</x:f>
        <x:v>PASS</x:v>
      </x:c>
    </x:row>
    <x:row r="91">
      <x:c r="B91" t="str">
        <x:v>A-00059</x:v>
      </x:c>
      <x:c r="C91" t="str">
        <x:v>GATE</x:v>
      </x:c>
      <x:c r="D91" t="str">
        <x:v>release state mirrors governing ledger</x:v>
      </x:c>
      <x:c r="E91" t="str">
        <x:f>'Release Gates'!I65</x:f>
        <x:v>PASS</x:v>
      </x:c>
      <x:c r="F91" t="str">
        <x:f>IF('Release Gates'!C65="PLANNING","PASS",IF('Release Gates'!C65="PHYSICAL","OPEN","BLOCKED"))</x:f>
        <x:v>PASS</x:v>
      </x:c>
      <x:c r="G91" t="str">
        <x:v>equals</x:v>
      </x:c>
      <x:c r="H91" t="str">
        <x:f>IF(E91=F91,"PASS","FAIL")</x:f>
        <x:v>PASS</x:v>
      </x:c>
    </x:row>
    <x:row r="92">
      <x:c r="B92" t="str">
        <x:v>A-00060</x:v>
      </x:c>
      <x:c r="C92" t="str">
        <x:v>GATE</x:v>
      </x:c>
      <x:c r="D92" t="str">
        <x:v>release state mirrors governing ledger</x:v>
      </x:c>
      <x:c r="E92" t="str">
        <x:f>'Release Gates'!I66</x:f>
        <x:v>PASS</x:v>
      </x:c>
      <x:c r="F92" t="str">
        <x:f>IF('Release Gates'!C66="PLANNING","PASS",IF('Release Gates'!C66="PHYSICAL","OPEN","BLOCKED"))</x:f>
        <x:v>PASS</x:v>
      </x:c>
      <x:c r="G92" t="str">
        <x:v>equals</x:v>
      </x:c>
      <x:c r="H92" t="str">
        <x:f>IF(E92=F92,"PASS","FAIL")</x:f>
        <x:v>PASS</x:v>
      </x:c>
    </x:row>
    <x:row r="93">
      <x:c r="B93" t="str">
        <x:v>A-00061</x:v>
      </x:c>
      <x:c r="C93" t="str">
        <x:v>GATE</x:v>
      </x:c>
      <x:c r="D93" t="str">
        <x:v>release state mirrors governing ledger</x:v>
      </x:c>
      <x:c r="E93" t="str">
        <x:f>'Release Gates'!I67</x:f>
        <x:v>PASS</x:v>
      </x:c>
      <x:c r="F93" t="str">
        <x:f>IF('Release Gates'!C67="PLANNING","PASS",IF('Release Gates'!C67="PHYSICAL","OPEN","BLOCKED"))</x:f>
        <x:v>PASS</x:v>
      </x:c>
      <x:c r="G93" t="str">
        <x:v>equals</x:v>
      </x:c>
      <x:c r="H93" t="str">
        <x:f>IF(E93=F93,"PASS","FAIL")</x:f>
        <x:v>PASS</x:v>
      </x:c>
    </x:row>
    <x:row r="94">
      <x:c r="B94" t="str">
        <x:v>A-00062</x:v>
      </x:c>
      <x:c r="C94" t="str">
        <x:v>GATE</x:v>
      </x:c>
      <x:c r="D94" t="str">
        <x:v>release state mirrors governing ledger</x:v>
      </x:c>
      <x:c r="E94" t="str">
        <x:f>'Release Gates'!I68</x:f>
        <x:v>PASS</x:v>
      </x:c>
      <x:c r="F94" t="str">
        <x:f>IF('Release Gates'!C68="PLANNING","PASS",IF('Release Gates'!C68="PHYSICAL","OPEN","BLOCKED"))</x:f>
        <x:v>PASS</x:v>
      </x:c>
      <x:c r="G94" t="str">
        <x:v>equals</x:v>
      </x:c>
      <x:c r="H94" t="str">
        <x:f>IF(E94=F94,"PASS","FAIL")</x:f>
        <x:v>PASS</x:v>
      </x:c>
    </x:row>
    <x:row r="95">
      <x:c r="B95" t="str">
        <x:v>A-00063</x:v>
      </x:c>
      <x:c r="C95" t="str">
        <x:v>GATE</x:v>
      </x:c>
      <x:c r="D95" t="str">
        <x:v>release state mirrors governing ledger</x:v>
      </x:c>
      <x:c r="E95" t="str">
        <x:f>'Release Gates'!I69</x:f>
        <x:v>PASS</x:v>
      </x:c>
      <x:c r="F95" t="str">
        <x:f>IF('Release Gates'!C69="PLANNING","PASS",IF('Release Gates'!C69="PHYSICAL","OPEN","BLOCKED"))</x:f>
        <x:v>PASS</x:v>
      </x:c>
      <x:c r="G95" t="str">
        <x:v>equals</x:v>
      </x:c>
      <x:c r="H95" t="str">
        <x:f>IF(E95=F95,"PASS","FAIL")</x:f>
        <x:v>PASS</x:v>
      </x:c>
    </x:row>
    <x:row r="96">
      <x:c r="B96" t="str">
        <x:v>A-00064</x:v>
      </x:c>
      <x:c r="C96" t="str">
        <x:v>GATE</x:v>
      </x:c>
      <x:c r="D96" t="str">
        <x:v>release state mirrors governing ledger</x:v>
      </x:c>
      <x:c r="E96" t="str">
        <x:f>'Release Gates'!I70</x:f>
        <x:v>PASS</x:v>
      </x:c>
      <x:c r="F96" t="str">
        <x:f>IF('Release Gates'!C70="PLANNING","PASS",IF('Release Gates'!C70="PHYSICAL","OPEN","BLOCKED"))</x:f>
        <x:v>PASS</x:v>
      </x:c>
      <x:c r="G96" t="str">
        <x:v>equals</x:v>
      </x:c>
      <x:c r="H96" t="str">
        <x:f>IF(E96=F96,"PASS","FAIL")</x:f>
        <x:v>PASS</x:v>
      </x:c>
    </x:row>
    <x:row r="97">
      <x:c r="B97" t="str">
        <x:v>A-00065</x:v>
      </x:c>
      <x:c r="C97" t="str">
        <x:v>GATE</x:v>
      </x:c>
      <x:c r="D97" t="str">
        <x:v>release state mirrors governing ledger</x:v>
      </x:c>
      <x:c r="E97" t="str">
        <x:f>'Release Gates'!I71</x:f>
        <x:v>PASS</x:v>
      </x:c>
      <x:c r="F97" t="str">
        <x:f>IF('Release Gates'!C71="PLANNING","PASS",IF('Release Gates'!C71="PHYSICAL","OPEN","BLOCKED"))</x:f>
        <x:v>PASS</x:v>
      </x:c>
      <x:c r="G97" t="str">
        <x:v>equals</x:v>
      </x:c>
      <x:c r="H97" t="str">
        <x:f>IF(E97=F97,"PASS","FAIL")</x:f>
        <x:v>PASS</x:v>
      </x:c>
    </x:row>
    <x:row r="98">
      <x:c r="B98" t="str">
        <x:v>A-00066</x:v>
      </x:c>
      <x:c r="C98" t="str">
        <x:v>GATE</x:v>
      </x:c>
      <x:c r="D98" t="str">
        <x:v>release state mirrors governing ledger</x:v>
      </x:c>
      <x:c r="E98" t="str">
        <x:f>'Release Gates'!I72</x:f>
        <x:v>PASS</x:v>
      </x:c>
      <x:c r="F98" t="str">
        <x:f>IF('Release Gates'!C72="PLANNING","PASS",IF('Release Gates'!C72="PHYSICAL","OPEN","BLOCKED"))</x:f>
        <x:v>PASS</x:v>
      </x:c>
      <x:c r="G98" t="str">
        <x:v>equals</x:v>
      </x:c>
      <x:c r="H98" t="str">
        <x:f>IF(E98=F98,"PASS","FAIL")</x:f>
        <x:v>PASS</x:v>
      </x:c>
    </x:row>
    <x:row r="99">
      <x:c r="B99" t="str">
        <x:v>A-00067</x:v>
      </x:c>
      <x:c r="C99" t="str">
        <x:v>GATE</x:v>
      </x:c>
      <x:c r="D99" t="str">
        <x:v>release state mirrors governing ledger</x:v>
      </x:c>
      <x:c r="E99" t="str">
        <x:f>'Release Gates'!I73</x:f>
        <x:v>PASS</x:v>
      </x:c>
      <x:c r="F99" t="str">
        <x:f>IF('Release Gates'!C73="PLANNING","PASS",IF('Release Gates'!C73="PHYSICAL","OPEN","BLOCKED"))</x:f>
        <x:v>PASS</x:v>
      </x:c>
      <x:c r="G99" t="str">
        <x:v>equals</x:v>
      </x:c>
      <x:c r="H99" t="str">
        <x:f>IF(E99=F99,"PASS","FAIL")</x:f>
        <x:v>PASS</x:v>
      </x:c>
    </x:row>
    <x:row r="100">
      <x:c r="B100" t="str">
        <x:v>A-00068</x:v>
      </x:c>
      <x:c r="C100" t="str">
        <x:v>GATE</x:v>
      </x:c>
      <x:c r="D100" t="str">
        <x:v>release state mirrors governing ledger</x:v>
      </x:c>
      <x:c r="E100" t="str">
        <x:f>'Release Gates'!I74</x:f>
        <x:v>PASS</x:v>
      </x:c>
      <x:c r="F100" t="str">
        <x:f>IF('Release Gates'!C74="PLANNING","PASS",IF('Release Gates'!C74="PHYSICAL","OPEN","BLOCKED"))</x:f>
        <x:v>PASS</x:v>
      </x:c>
      <x:c r="G100" t="str">
        <x:v>equals</x:v>
      </x:c>
      <x:c r="H100" t="str">
        <x:f>IF(E100=F100,"PASS","FAIL")</x:f>
        <x:v>PASS</x:v>
      </x:c>
    </x:row>
    <x:row r="101">
      <x:c r="B101" t="str">
        <x:v>A-00069</x:v>
      </x:c>
      <x:c r="C101" t="str">
        <x:v>GATE</x:v>
      </x:c>
      <x:c r="D101" t="str">
        <x:v>release state mirrors governing ledger</x:v>
      </x:c>
      <x:c r="E101" t="str">
        <x:f>'Release Gates'!I75</x:f>
        <x:v>PASS</x:v>
      </x:c>
      <x:c r="F101" t="str">
        <x:f>IF('Release Gates'!C75="PLANNING","PASS",IF('Release Gates'!C75="PHYSICAL","OPEN","BLOCKED"))</x:f>
        <x:v>PASS</x:v>
      </x:c>
      <x:c r="G101" t="str">
        <x:v>equals</x:v>
      </x:c>
      <x:c r="H101" t="str">
        <x:f>IF(E101=F101,"PASS","FAIL")</x:f>
        <x:v>PASS</x:v>
      </x:c>
    </x:row>
    <x:row r="102">
      <x:c r="B102" t="str">
        <x:v>A-00070</x:v>
      </x:c>
      <x:c r="C102" t="str">
        <x:v>GATE</x:v>
      </x:c>
      <x:c r="D102" t="str">
        <x:v>release state mirrors governing ledger</x:v>
      </x:c>
      <x:c r="E102" t="str">
        <x:f>'Release Gates'!I76</x:f>
        <x:v>PASS</x:v>
      </x:c>
      <x:c r="F102" t="str">
        <x:f>IF('Release Gates'!C76="PLANNING","PASS",IF('Release Gates'!C76="PHYSICAL","OPEN","BLOCKED"))</x:f>
        <x:v>PASS</x:v>
      </x:c>
      <x:c r="G102" t="str">
        <x:v>equals</x:v>
      </x:c>
      <x:c r="H102" t="str">
        <x:f>IF(E102=F102,"PASS","FAIL")</x:f>
        <x:v>PASS</x:v>
      </x:c>
    </x:row>
    <x:row r="103">
      <x:c r="B103" t="str">
        <x:v>A-00071</x:v>
      </x:c>
      <x:c r="C103" t="str">
        <x:v>GATE</x:v>
      </x:c>
      <x:c r="D103" t="str">
        <x:v>release state mirrors governing ledger</x:v>
      </x:c>
      <x:c r="E103" t="str">
        <x:f>'Release Gates'!I77</x:f>
        <x:v>PASS</x:v>
      </x:c>
      <x:c r="F103" t="str">
        <x:f>IF('Release Gates'!C77="PLANNING","PASS",IF('Release Gates'!C77="PHYSICAL","OPEN","BLOCKED"))</x:f>
        <x:v>PASS</x:v>
      </x:c>
      <x:c r="G103" t="str">
        <x:v>equals</x:v>
      </x:c>
      <x:c r="H103" t="str">
        <x:f>IF(E103=F103,"PASS","FAIL")</x:f>
        <x:v>PASS</x:v>
      </x:c>
    </x:row>
    <x:row r="104">
      <x:c r="B104" t="str">
        <x:v>A-00072</x:v>
      </x:c>
      <x:c r="C104" t="str">
        <x:v>GATE</x:v>
      </x:c>
      <x:c r="D104" t="str">
        <x:v>release state mirrors governing ledger</x:v>
      </x:c>
      <x:c r="E104" t="str">
        <x:f>'Release Gates'!I78</x:f>
        <x:v>PASS</x:v>
      </x:c>
      <x:c r="F104" t="str">
        <x:f>IF('Release Gates'!C78="PLANNING","PASS",IF('Release Gates'!C78="PHYSICAL","OPEN","BLOCKED"))</x:f>
        <x:v>PASS</x:v>
      </x:c>
      <x:c r="G104" t="str">
        <x:v>equals</x:v>
      </x:c>
      <x:c r="H104" t="str">
        <x:f>IF(E104=F104,"PASS","FAIL")</x:f>
        <x:v>PASS</x:v>
      </x:c>
    </x:row>
    <x:row r="105">
      <x:c r="B105" t="str">
        <x:v>A-00073</x:v>
      </x:c>
      <x:c r="C105" t="str">
        <x:v>GATE</x:v>
      </x:c>
      <x:c r="D105" t="str">
        <x:v>release state mirrors governing ledger</x:v>
      </x:c>
      <x:c r="E105" t="str">
        <x:f>'Release Gates'!I79</x:f>
        <x:v>PASS</x:v>
      </x:c>
      <x:c r="F105" t="str">
        <x:f>IF('Release Gates'!C79="PLANNING","PASS",IF('Release Gates'!C79="PHYSICAL","OPEN","BLOCKED"))</x:f>
        <x:v>PASS</x:v>
      </x:c>
      <x:c r="G105" t="str">
        <x:v>equals</x:v>
      </x:c>
      <x:c r="H105" t="str">
        <x:f>IF(E105=F105,"PASS","FAIL")</x:f>
        <x:v>PASS</x:v>
      </x:c>
    </x:row>
    <x:row r="106">
      <x:c r="B106" t="str">
        <x:v>A-00074</x:v>
      </x:c>
      <x:c r="C106" t="str">
        <x:v>GATE</x:v>
      </x:c>
      <x:c r="D106" t="str">
        <x:v>release state mirrors governing ledger</x:v>
      </x:c>
      <x:c r="E106" t="str">
        <x:f>'Release Gates'!I80</x:f>
        <x:v>PASS</x:v>
      </x:c>
      <x:c r="F106" t="str">
        <x:f>IF('Release Gates'!C80="PLANNING","PASS",IF('Release Gates'!C80="PHYSICAL","OPEN","BLOCKED"))</x:f>
        <x:v>PASS</x:v>
      </x:c>
      <x:c r="G106" t="str">
        <x:v>equals</x:v>
      </x:c>
      <x:c r="H106" t="str">
        <x:f>IF(E106=F106,"PASS","FAIL")</x:f>
        <x:v>PASS</x:v>
      </x:c>
    </x:row>
    <x:row r="107">
      <x:c r="B107" t="str">
        <x:v>A-00075</x:v>
      </x:c>
      <x:c r="C107" t="str">
        <x:v>GATE</x:v>
      </x:c>
      <x:c r="D107" t="str">
        <x:v>release state mirrors governing ledger</x:v>
      </x:c>
      <x:c r="E107" t="str">
        <x:f>'Release Gates'!I81</x:f>
        <x:v>PASS</x:v>
      </x:c>
      <x:c r="F107" t="str">
        <x:f>IF('Release Gates'!C81="PLANNING","PASS",IF('Release Gates'!C81="PHYSICAL","OPEN","BLOCKED"))</x:f>
        <x:v>PASS</x:v>
      </x:c>
      <x:c r="G107" t="str">
        <x:v>equals</x:v>
      </x:c>
      <x:c r="H107" t="str">
        <x:f>IF(E107=F107,"PASS","FAIL")</x:f>
        <x:v>PASS</x:v>
      </x:c>
    </x:row>
    <x:row r="108">
      <x:c r="B108" t="str">
        <x:v>A-00076</x:v>
      </x:c>
      <x:c r="C108" t="str">
        <x:v>GATE</x:v>
      </x:c>
      <x:c r="D108" t="str">
        <x:v>release state mirrors governing ledger</x:v>
      </x:c>
      <x:c r="E108" t="str">
        <x:f>'Release Gates'!I82</x:f>
        <x:v>PASS</x:v>
      </x:c>
      <x:c r="F108" t="str">
        <x:f>IF('Release Gates'!C82="PLANNING","PASS",IF('Release Gates'!C82="PHYSICAL","OPEN","BLOCKED"))</x:f>
        <x:v>PASS</x:v>
      </x:c>
      <x:c r="G108" t="str">
        <x:v>equals</x:v>
      </x:c>
      <x:c r="H108" t="str">
        <x:f>IF(E108=F108,"PASS","FAIL")</x:f>
        <x:v>PASS</x:v>
      </x:c>
    </x:row>
    <x:row r="109">
      <x:c r="B109" t="str">
        <x:v>A-00077</x:v>
      </x:c>
      <x:c r="C109" t="str">
        <x:v>GATE</x:v>
      </x:c>
      <x:c r="D109" t="str">
        <x:v>release state mirrors governing ledger</x:v>
      </x:c>
      <x:c r="E109" t="str">
        <x:f>'Release Gates'!I83</x:f>
        <x:v>PASS</x:v>
      </x:c>
      <x:c r="F109" t="str">
        <x:f>IF('Release Gates'!C83="PLANNING","PASS",IF('Release Gates'!C83="PHYSICAL","OPEN","BLOCKED"))</x:f>
        <x:v>PASS</x:v>
      </x:c>
      <x:c r="G109" t="str">
        <x:v>equals</x:v>
      </x:c>
      <x:c r="H109" t="str">
        <x:f>IF(E109=F109,"PASS","FAIL")</x:f>
        <x:v>PASS</x:v>
      </x:c>
    </x:row>
    <x:row r="110">
      <x:c r="B110" t="str">
        <x:v>A-00078</x:v>
      </x:c>
      <x:c r="C110" t="str">
        <x:v>GATE</x:v>
      </x:c>
      <x:c r="D110" t="str">
        <x:v>release state mirrors governing ledger</x:v>
      </x:c>
      <x:c r="E110" t="str">
        <x:f>'Release Gates'!I84</x:f>
        <x:v>PASS</x:v>
      </x:c>
      <x:c r="F110" t="str">
        <x:f>IF('Release Gates'!C84="PLANNING","PASS",IF('Release Gates'!C84="PHYSICAL","OPEN","BLOCKED"))</x:f>
        <x:v>PASS</x:v>
      </x:c>
      <x:c r="G110" t="str">
        <x:v>equals</x:v>
      </x:c>
      <x:c r="H110" t="str">
        <x:f>IF(E110=F110,"PASS","FAIL")</x:f>
        <x:v>PASS</x:v>
      </x:c>
    </x:row>
    <x:row r="111">
      <x:c r="B111" t="str">
        <x:v>A-00079</x:v>
      </x:c>
      <x:c r="C111" t="str">
        <x:v>GATE</x:v>
      </x:c>
      <x:c r="D111" t="str">
        <x:v>release state mirrors governing ledger</x:v>
      </x:c>
      <x:c r="E111" t="str">
        <x:f>'Release Gates'!I85</x:f>
        <x:v>PASS</x:v>
      </x:c>
      <x:c r="F111" t="str">
        <x:f>IF('Release Gates'!C85="PLANNING","PASS",IF('Release Gates'!C85="PHYSICAL","OPEN","BLOCKED"))</x:f>
        <x:v>PASS</x:v>
      </x:c>
      <x:c r="G111" t="str">
        <x:v>equals</x:v>
      </x:c>
      <x:c r="H111" t="str">
        <x:f>IF(E111=F111,"PASS","FAIL")</x:f>
        <x:v>PASS</x:v>
      </x:c>
    </x:row>
    <x:row r="112">
      <x:c r="B112" t="str">
        <x:v>A-00080</x:v>
      </x:c>
      <x:c r="C112" t="str">
        <x:v>GATE</x:v>
      </x:c>
      <x:c r="D112" t="str">
        <x:v>release state mirrors governing ledger</x:v>
      </x:c>
      <x:c r="E112" t="str">
        <x:f>'Release Gates'!I86</x:f>
        <x:v>PASS</x:v>
      </x:c>
      <x:c r="F112" t="str">
        <x:f>IF('Release Gates'!C86="PLANNING","PASS",IF('Release Gates'!C86="PHYSICAL","OPEN","BLOCKED"))</x:f>
        <x:v>PASS</x:v>
      </x:c>
      <x:c r="G112" t="str">
        <x:v>equals</x:v>
      </x:c>
      <x:c r="H112" t="str">
        <x:f>IF(E112=F112,"PASS","FAIL")</x:f>
        <x:v>PASS</x:v>
      </x:c>
    </x:row>
    <x:row r="113">
      <x:c r="B113" t="str">
        <x:v>A-00081</x:v>
      </x:c>
      <x:c r="C113" t="str">
        <x:v>GATE</x:v>
      </x:c>
      <x:c r="D113" t="str">
        <x:v>release state mirrors governing ledger</x:v>
      </x:c>
      <x:c r="E113" t="str">
        <x:f>'Release Gates'!I87</x:f>
        <x:v>PASS</x:v>
      </x:c>
      <x:c r="F113" t="str">
        <x:f>IF('Release Gates'!C87="PLANNING","PASS",IF('Release Gates'!C87="PHYSICAL","OPEN","BLOCKED"))</x:f>
        <x:v>PASS</x:v>
      </x:c>
      <x:c r="G113" t="str">
        <x:v>equals</x:v>
      </x:c>
      <x:c r="H113" t="str">
        <x:f>IF(E113=F113,"PASS","FAIL")</x:f>
        <x:v>PASS</x:v>
      </x:c>
    </x:row>
    <x:row r="114">
      <x:c r="B114" t="str">
        <x:v>A-00082</x:v>
      </x:c>
      <x:c r="C114" t="str">
        <x:v>GATE</x:v>
      </x:c>
      <x:c r="D114" t="str">
        <x:v>release state mirrors governing ledger</x:v>
      </x:c>
      <x:c r="E114" t="str">
        <x:f>'Release Gates'!I88</x:f>
        <x:v>PASS</x:v>
      </x:c>
      <x:c r="F114" t="str">
        <x:f>IF('Release Gates'!C88="PLANNING","PASS",IF('Release Gates'!C88="PHYSICAL","OPEN","BLOCKED"))</x:f>
        <x:v>PASS</x:v>
      </x:c>
      <x:c r="G114" t="str">
        <x:v>equals</x:v>
      </x:c>
      <x:c r="H114" t="str">
        <x:f>IF(E114=F114,"PASS","FAIL")</x:f>
        <x:v>PASS</x:v>
      </x:c>
    </x:row>
    <x:row r="115">
      <x:c r="B115" t="str">
        <x:v>A-00083</x:v>
      </x:c>
      <x:c r="C115" t="str">
        <x:v>GATE</x:v>
      </x:c>
      <x:c r="D115" t="str">
        <x:v>release state mirrors governing ledger</x:v>
      </x:c>
      <x:c r="E115" t="str">
        <x:f>'Release Gates'!I89</x:f>
        <x:v>PASS</x:v>
      </x:c>
      <x:c r="F115" t="str">
        <x:f>IF('Release Gates'!C89="PLANNING","PASS",IF('Release Gates'!C89="PHYSICAL","OPEN","BLOCKED"))</x:f>
        <x:v>PASS</x:v>
      </x:c>
      <x:c r="G115" t="str">
        <x:v>equals</x:v>
      </x:c>
      <x:c r="H115" t="str">
        <x:f>IF(E115=F115,"PASS","FAIL")</x:f>
        <x:v>PASS</x:v>
      </x:c>
    </x:row>
    <x:row r="116">
      <x:c r="B116" t="str">
        <x:v>A-00084</x:v>
      </x:c>
      <x:c r="C116" t="str">
        <x:v>GATE</x:v>
      </x:c>
      <x:c r="D116" t="str">
        <x:v>release state mirrors governing ledger</x:v>
      </x:c>
      <x:c r="E116" t="str">
        <x:f>'Release Gates'!I90</x:f>
        <x:v>PASS</x:v>
      </x:c>
      <x:c r="F116" t="str">
        <x:f>IF('Release Gates'!C90="PLANNING","PASS",IF('Release Gates'!C90="PHYSICAL","OPEN","BLOCKED"))</x:f>
        <x:v>PASS</x:v>
      </x:c>
      <x:c r="G116" t="str">
        <x:v>equals</x:v>
      </x:c>
      <x:c r="H116" t="str">
        <x:f>IF(E116=F116,"PASS","FAIL")</x:f>
        <x:v>PASS</x:v>
      </x:c>
    </x:row>
    <x:row r="117">
      <x:c r="B117" t="str">
        <x:v>A-00085</x:v>
      </x:c>
      <x:c r="C117" t="str">
        <x:v>GATE</x:v>
      </x:c>
      <x:c r="D117" t="str">
        <x:v>release state mirrors governing ledger</x:v>
      </x:c>
      <x:c r="E117" t="str">
        <x:f>'Release Gates'!I91</x:f>
        <x:v>PASS</x:v>
      </x:c>
      <x:c r="F117" t="str">
        <x:f>IF('Release Gates'!C91="PLANNING","PASS",IF('Release Gates'!C91="PHYSICAL","OPEN","BLOCKED"))</x:f>
        <x:v>PASS</x:v>
      </x:c>
      <x:c r="G117" t="str">
        <x:v>equals</x:v>
      </x:c>
      <x:c r="H117" t="str">
        <x:f>IF(E117=F117,"PASS","FAIL")</x:f>
        <x:v>PASS</x:v>
      </x:c>
    </x:row>
    <x:row r="118">
      <x:c r="B118" t="str">
        <x:v>A-00086</x:v>
      </x:c>
      <x:c r="C118" t="str">
        <x:v>GATE</x:v>
      </x:c>
      <x:c r="D118" t="str">
        <x:v>release state mirrors governing ledger</x:v>
      </x:c>
      <x:c r="E118" t="str">
        <x:f>'Release Gates'!I92</x:f>
        <x:v>PASS</x:v>
      </x:c>
      <x:c r="F118" t="str">
        <x:f>IF('Release Gates'!C92="PLANNING","PASS",IF('Release Gates'!C92="PHYSICAL","OPEN","BLOCKED"))</x:f>
        <x:v>PASS</x:v>
      </x:c>
      <x:c r="G118" t="str">
        <x:v>equals</x:v>
      </x:c>
      <x:c r="H118" t="str">
        <x:f>IF(E118=F118,"PASS","FAIL")</x:f>
        <x:v>PASS</x:v>
      </x:c>
    </x:row>
    <x:row r="119">
      <x:c r="B119" t="str">
        <x:v>A-00087</x:v>
      </x:c>
      <x:c r="C119" t="str">
        <x:v>GATE</x:v>
      </x:c>
      <x:c r="D119" t="str">
        <x:v>release state mirrors governing ledger</x:v>
      </x:c>
      <x:c r="E119" t="str">
        <x:f>'Release Gates'!I93</x:f>
        <x:v>PASS</x:v>
      </x:c>
      <x:c r="F119" t="str">
        <x:f>IF('Release Gates'!C93="PLANNING","PASS",IF('Release Gates'!C93="PHYSICAL","OPEN","BLOCKED"))</x:f>
        <x:v>PASS</x:v>
      </x:c>
      <x:c r="G119" t="str">
        <x:v>equals</x:v>
      </x:c>
      <x:c r="H119" t="str">
        <x:f>IF(E119=F119,"PASS","FAIL")</x:f>
        <x:v>PASS</x:v>
      </x:c>
    </x:row>
    <x:row r="120">
      <x:c r="B120" t="str">
        <x:v>A-00088</x:v>
      </x:c>
      <x:c r="C120" t="str">
        <x:v>GATE</x:v>
      </x:c>
      <x:c r="D120" t="str">
        <x:v>release state mirrors governing ledger</x:v>
      </x:c>
      <x:c r="E120" t="str">
        <x:f>'Release Gates'!I94</x:f>
        <x:v>PASS</x:v>
      </x:c>
      <x:c r="F120" t="str">
        <x:f>IF('Release Gates'!C94="PLANNING","PASS",IF('Release Gates'!C94="PHYSICAL","OPEN","BLOCKED"))</x:f>
        <x:v>PASS</x:v>
      </x:c>
      <x:c r="G120" t="str">
        <x:v>equals</x:v>
      </x:c>
      <x:c r="H120" t="str">
        <x:f>IF(E120=F120,"PASS","FAIL")</x:f>
        <x:v>PASS</x:v>
      </x:c>
    </x:row>
    <x:row r="121">
      <x:c r="B121" t="str">
        <x:v>A-00089</x:v>
      </x:c>
      <x:c r="C121" t="str">
        <x:v>GATE</x:v>
      </x:c>
      <x:c r="D121" t="str">
        <x:v>release state mirrors governing ledger</x:v>
      </x:c>
      <x:c r="E121" t="str">
        <x:f>'Release Gates'!I95</x:f>
        <x:v>PASS</x:v>
      </x:c>
      <x:c r="F121" t="str">
        <x:f>IF('Release Gates'!C95="PLANNING","PASS",IF('Release Gates'!C95="PHYSICAL","OPEN","BLOCKED"))</x:f>
        <x:v>PASS</x:v>
      </x:c>
      <x:c r="G121" t="str">
        <x:v>equals</x:v>
      </x:c>
      <x:c r="H121" t="str">
        <x:f>IF(E121=F121,"PASS","FAIL")</x:f>
        <x:v>PASS</x:v>
      </x:c>
    </x:row>
    <x:row r="122">
      <x:c r="B122" t="str">
        <x:v>A-00090</x:v>
      </x:c>
      <x:c r="C122" t="str">
        <x:v>GATE</x:v>
      </x:c>
      <x:c r="D122" t="str">
        <x:v>release state mirrors governing ledger</x:v>
      </x:c>
      <x:c r="E122" t="str">
        <x:f>'Release Gates'!I96</x:f>
        <x:v>PASS</x:v>
      </x:c>
      <x:c r="F122" t="str">
        <x:f>IF('Release Gates'!C96="PLANNING","PASS",IF('Release Gates'!C96="PHYSICAL","OPEN","BLOCKED"))</x:f>
        <x:v>PASS</x:v>
      </x:c>
      <x:c r="G122" t="str">
        <x:v>equals</x:v>
      </x:c>
      <x:c r="H122" t="str">
        <x:f>IF(E122=F122,"PASS","FAIL")</x:f>
        <x:v>PASS</x:v>
      </x:c>
    </x:row>
    <x:row r="123">
      <x:c r="B123" t="str">
        <x:v>A-00091</x:v>
      </x:c>
      <x:c r="C123" t="str">
        <x:v>GATE</x:v>
      </x:c>
      <x:c r="D123" t="str">
        <x:v>release state mirrors governing ledger</x:v>
      </x:c>
      <x:c r="E123" t="str">
        <x:f>'Release Gates'!I97</x:f>
        <x:v>PASS</x:v>
      </x:c>
      <x:c r="F123" t="str">
        <x:f>IF('Release Gates'!C97="PLANNING","PASS",IF('Release Gates'!C97="PHYSICAL","OPEN","BLOCKED"))</x:f>
        <x:v>PASS</x:v>
      </x:c>
      <x:c r="G123" t="str">
        <x:v>equals</x:v>
      </x:c>
      <x:c r="H123" t="str">
        <x:f>IF(E123=F123,"PASS","FAIL")</x:f>
        <x:v>PASS</x:v>
      </x:c>
    </x:row>
    <x:row r="124">
      <x:c r="B124" t="str">
        <x:v>A-00092</x:v>
      </x:c>
      <x:c r="C124" t="str">
        <x:v>GATE</x:v>
      </x:c>
      <x:c r="D124" t="str">
        <x:v>release state mirrors governing ledger</x:v>
      </x:c>
      <x:c r="E124" t="str">
        <x:f>'Release Gates'!I98</x:f>
        <x:v>PASS</x:v>
      </x:c>
      <x:c r="F124" t="str">
        <x:f>IF('Release Gates'!C98="PLANNING","PASS",IF('Release Gates'!C98="PHYSICAL","OPEN","BLOCKED"))</x:f>
        <x:v>PASS</x:v>
      </x:c>
      <x:c r="G124" t="str">
        <x:v>equals</x:v>
      </x:c>
      <x:c r="H124" t="str">
        <x:f>IF(E124=F124,"PASS","FAIL")</x:f>
        <x:v>PASS</x:v>
      </x:c>
    </x:row>
    <x:row r="125">
      <x:c r="B125" t="str">
        <x:v>A-00093</x:v>
      </x:c>
      <x:c r="C125" t="str">
        <x:v>GATE</x:v>
      </x:c>
      <x:c r="D125" t="str">
        <x:v>release state mirrors governing ledger</x:v>
      </x:c>
      <x:c r="E125" t="str">
        <x:f>'Release Gates'!I99</x:f>
        <x:v>PASS</x:v>
      </x:c>
      <x:c r="F125" t="str">
        <x:f>IF('Release Gates'!C99="PLANNING","PASS",IF('Release Gates'!C99="PHYSICAL","OPEN","BLOCKED"))</x:f>
        <x:v>PASS</x:v>
      </x:c>
      <x:c r="G125" t="str">
        <x:v>equals</x:v>
      </x:c>
      <x:c r="H125" t="str">
        <x:f>IF(E125=F125,"PASS","FAIL")</x:f>
        <x:v>PASS</x:v>
      </x:c>
    </x:row>
    <x:row r="126">
      <x:c r="B126" t="str">
        <x:v>A-00094</x:v>
      </x:c>
      <x:c r="C126" t="str">
        <x:v>GATE</x:v>
      </x:c>
      <x:c r="D126" t="str">
        <x:v>release state mirrors governing ledger</x:v>
      </x:c>
      <x:c r="E126" t="str">
        <x:f>'Release Gates'!I100</x:f>
        <x:v>PASS</x:v>
      </x:c>
      <x:c r="F126" t="str">
        <x:f>IF('Release Gates'!C100="PLANNING","PASS",IF('Release Gates'!C100="PHYSICAL","OPEN","BLOCKED"))</x:f>
        <x:v>PASS</x:v>
      </x:c>
      <x:c r="G126" t="str">
        <x:v>equals</x:v>
      </x:c>
      <x:c r="H126" t="str">
        <x:f>IF(E126=F126,"PASS","FAIL")</x:f>
        <x:v>PASS</x:v>
      </x:c>
    </x:row>
    <x:row r="127">
      <x:c r="B127" t="str">
        <x:v>A-00095</x:v>
      </x:c>
      <x:c r="C127" t="str">
        <x:v>GATE</x:v>
      </x:c>
      <x:c r="D127" t="str">
        <x:v>release state mirrors governing ledger</x:v>
      </x:c>
      <x:c r="E127" t="str">
        <x:f>'Release Gates'!I101</x:f>
        <x:v>PASS</x:v>
      </x:c>
      <x:c r="F127" t="str">
        <x:f>IF('Release Gates'!C101="PLANNING","PASS",IF('Release Gates'!C101="PHYSICAL","OPEN","BLOCKED"))</x:f>
        <x:v>PASS</x:v>
      </x:c>
      <x:c r="G127" t="str">
        <x:v>equals</x:v>
      </x:c>
      <x:c r="H127" t="str">
        <x:f>IF(E127=F127,"PASS","FAIL")</x:f>
        <x:v>PASS</x:v>
      </x:c>
    </x:row>
    <x:row r="128">
      <x:c r="B128" t="str">
        <x:v>A-00096</x:v>
      </x:c>
      <x:c r="C128" t="str">
        <x:v>GATE</x:v>
      </x:c>
      <x:c r="D128" t="str">
        <x:v>release state mirrors governing ledger</x:v>
      </x:c>
      <x:c r="E128" t="str">
        <x:f>'Release Gates'!I102</x:f>
        <x:v>PASS</x:v>
      </x:c>
      <x:c r="F128" t="str">
        <x:f>IF('Release Gates'!C102="PLANNING","PASS",IF('Release Gates'!C102="PHYSICAL","OPEN","BLOCKED"))</x:f>
        <x:v>PASS</x:v>
      </x:c>
      <x:c r="G128" t="str">
        <x:v>equals</x:v>
      </x:c>
      <x:c r="H128" t="str">
        <x:f>IF(E128=F128,"PASS","FAIL")</x:f>
        <x:v>PASS</x:v>
      </x:c>
    </x:row>
    <x:row r="129">
      <x:c r="B129" t="str">
        <x:v>A-00097</x:v>
      </x:c>
      <x:c r="C129" t="str">
        <x:v>GATE</x:v>
      </x:c>
      <x:c r="D129" t="str">
        <x:v>release state mirrors governing ledger</x:v>
      </x:c>
      <x:c r="E129" t="str">
        <x:f>'Release Gates'!I103</x:f>
        <x:v>PASS</x:v>
      </x:c>
      <x:c r="F129" t="str">
        <x:f>IF('Release Gates'!C103="PLANNING","PASS",IF('Release Gates'!C103="PHYSICAL","OPEN","BLOCKED"))</x:f>
        <x:v>PASS</x:v>
      </x:c>
      <x:c r="G129" t="str">
        <x:v>equals</x:v>
      </x:c>
      <x:c r="H129" t="str">
        <x:f>IF(E129=F129,"PASS","FAIL")</x:f>
        <x:v>PASS</x:v>
      </x:c>
    </x:row>
    <x:row r="130">
      <x:c r="B130" t="str">
        <x:v>A-00098</x:v>
      </x:c>
      <x:c r="C130" t="str">
        <x:v>GATE</x:v>
      </x:c>
      <x:c r="D130" t="str">
        <x:v>release state mirrors governing ledger</x:v>
      </x:c>
      <x:c r="E130" t="str">
        <x:f>'Release Gates'!I104</x:f>
        <x:v>PASS</x:v>
      </x:c>
      <x:c r="F130" t="str">
        <x:f>IF('Release Gates'!C104="PLANNING","PASS",IF('Release Gates'!C104="PHYSICAL","OPEN","BLOCKED"))</x:f>
        <x:v>PASS</x:v>
      </x:c>
      <x:c r="G130" t="str">
        <x:v>equals</x:v>
      </x:c>
      <x:c r="H130" t="str">
        <x:f>IF(E130=F130,"PASS","FAIL")</x:f>
        <x:v>PASS</x:v>
      </x:c>
    </x:row>
    <x:row r="131">
      <x:c r="B131" t="str">
        <x:v>A-00099</x:v>
      </x:c>
      <x:c r="C131" t="str">
        <x:v>GATE</x:v>
      </x:c>
      <x:c r="D131" t="str">
        <x:v>release state mirrors governing ledger</x:v>
      </x:c>
      <x:c r="E131" t="str">
        <x:f>'Release Gates'!I105</x:f>
        <x:v>PASS</x:v>
      </x:c>
      <x:c r="F131" t="str">
        <x:f>IF('Release Gates'!C105="PLANNING","PASS",IF('Release Gates'!C105="PHYSICAL","OPEN","BLOCKED"))</x:f>
        <x:v>PASS</x:v>
      </x:c>
      <x:c r="G131" t="str">
        <x:v>equals</x:v>
      </x:c>
      <x:c r="H131" t="str">
        <x:f>IF(E131=F131,"PASS","FAIL")</x:f>
        <x:v>PASS</x:v>
      </x:c>
    </x:row>
    <x:row r="132">
      <x:c r="B132" t="str">
        <x:v>A-00100</x:v>
      </x:c>
      <x:c r="C132" t="str">
        <x:v>GATE</x:v>
      </x:c>
      <x:c r="D132" t="str">
        <x:v>release state mirrors governing ledger</x:v>
      </x:c>
      <x:c r="E132" t="str">
        <x:f>'Release Gates'!I106</x:f>
        <x:v>PASS</x:v>
      </x:c>
      <x:c r="F132" t="str">
        <x:f>IF('Release Gates'!C106="PLANNING","PASS",IF('Release Gates'!C106="PHYSICAL","OPEN","BLOCKED"))</x:f>
        <x:v>PASS</x:v>
      </x:c>
      <x:c r="G132" t="str">
        <x:v>equals</x:v>
      </x:c>
      <x:c r="H132" t="str">
        <x:f>IF(E132=F132,"PASS","FAIL")</x:f>
        <x:v>PASS</x:v>
      </x:c>
    </x:row>
    <x:row r="133">
      <x:c r="B133" t="str">
        <x:v>A-00101</x:v>
      </x:c>
      <x:c r="C133" t="str">
        <x:v>GATE</x:v>
      </x:c>
      <x:c r="D133" t="str">
        <x:v>release state mirrors governing ledger</x:v>
      </x:c>
      <x:c r="E133" t="str">
        <x:f>'Release Gates'!I107</x:f>
        <x:v>PASS</x:v>
      </x:c>
      <x:c r="F133" t="str">
        <x:f>IF('Release Gates'!C107="PLANNING","PASS",IF('Release Gates'!C107="PHYSICAL","OPEN","BLOCKED"))</x:f>
        <x:v>PASS</x:v>
      </x:c>
      <x:c r="G133" t="str">
        <x:v>equals</x:v>
      </x:c>
      <x:c r="H133" t="str">
        <x:f>IF(E133=F133,"PASS","FAIL")</x:f>
        <x:v>PASS</x:v>
      </x:c>
    </x:row>
    <x:row r="134">
      <x:c r="B134" t="str">
        <x:v>A-00102</x:v>
      </x:c>
      <x:c r="C134" t="str">
        <x:v>GATE</x:v>
      </x:c>
      <x:c r="D134" t="str">
        <x:v>release state mirrors governing ledger</x:v>
      </x:c>
      <x:c r="E134" t="str">
        <x:f>'Release Gates'!I108</x:f>
        <x:v>PASS</x:v>
      </x:c>
      <x:c r="F134" t="str">
        <x:f>IF('Release Gates'!C108="PLANNING","PASS",IF('Release Gates'!C108="PHYSICAL","OPEN","BLOCKED"))</x:f>
        <x:v>PASS</x:v>
      </x:c>
      <x:c r="G134" t="str">
        <x:v>equals</x:v>
      </x:c>
      <x:c r="H134" t="str">
        <x:f>IF(E134=F134,"PASS","FAIL")</x:f>
        <x:v>PASS</x:v>
      </x:c>
    </x:row>
    <x:row r="135">
      <x:c r="B135" t="str">
        <x:v>A-00103</x:v>
      </x:c>
      <x:c r="C135" t="str">
        <x:v>GATE</x:v>
      </x:c>
      <x:c r="D135" t="str">
        <x:v>release state mirrors governing ledger</x:v>
      </x:c>
      <x:c r="E135" t="str">
        <x:f>'Release Gates'!I109</x:f>
        <x:v>PASS</x:v>
      </x:c>
      <x:c r="F135" t="str">
        <x:f>IF('Release Gates'!C109="PLANNING","PASS",IF('Release Gates'!C109="PHYSICAL","OPEN","BLOCKED"))</x:f>
        <x:v>PASS</x:v>
      </x:c>
      <x:c r="G135" t="str">
        <x:v>equals</x:v>
      </x:c>
      <x:c r="H135" t="str">
        <x:f>IF(E135=F135,"PASS","FAIL")</x:f>
        <x:v>PASS</x:v>
      </x:c>
    </x:row>
    <x:row r="136">
      <x:c r="B136" t="str">
        <x:v>A-00104</x:v>
      </x:c>
      <x:c r="C136" t="str">
        <x:v>GATE</x:v>
      </x:c>
      <x:c r="D136" t="str">
        <x:v>release state mirrors governing ledger</x:v>
      </x:c>
      <x:c r="E136" t="str">
        <x:f>'Release Gates'!I110</x:f>
        <x:v>PASS</x:v>
      </x:c>
      <x:c r="F136" t="str">
        <x:f>IF('Release Gates'!C110="PLANNING","PASS",IF('Release Gates'!C110="PHYSICAL","OPEN","BLOCKED"))</x:f>
        <x:v>PASS</x:v>
      </x:c>
      <x:c r="G136" t="str">
        <x:v>equals</x:v>
      </x:c>
      <x:c r="H136" t="str">
        <x:f>IF(E136=F136,"PASS","FAIL")</x:f>
        <x:v>PASS</x:v>
      </x:c>
    </x:row>
    <x:row r="137">
      <x:c r="B137" t="str">
        <x:v>A-00105</x:v>
      </x:c>
      <x:c r="C137" t="str">
        <x:v>GATE</x:v>
      </x:c>
      <x:c r="D137" t="str">
        <x:v>release state mirrors governing ledger</x:v>
      </x:c>
      <x:c r="E137" t="str">
        <x:f>'Release Gates'!I111</x:f>
        <x:v>PASS</x:v>
      </x:c>
      <x:c r="F137" t="str">
        <x:f>IF('Release Gates'!C111="PLANNING","PASS",IF('Release Gates'!C111="PHYSICAL","OPEN","BLOCKED"))</x:f>
        <x:v>PASS</x:v>
      </x:c>
      <x:c r="G137" t="str">
        <x:v>equals</x:v>
      </x:c>
      <x:c r="H137" t="str">
        <x:f>IF(E137=F137,"PASS","FAIL")</x:f>
        <x:v>PASS</x:v>
      </x:c>
    </x:row>
    <x:row r="138">
      <x:c r="B138" t="str">
        <x:v>A-00106</x:v>
      </x:c>
      <x:c r="C138" t="str">
        <x:v>GATE</x:v>
      </x:c>
      <x:c r="D138" t="str">
        <x:v>release state mirrors governing ledger</x:v>
      </x:c>
      <x:c r="E138" t="str">
        <x:f>'Release Gates'!I112</x:f>
        <x:v>PASS</x:v>
      </x:c>
      <x:c r="F138" t="str">
        <x:f>IF('Release Gates'!C112="PLANNING","PASS",IF('Release Gates'!C112="PHYSICAL","OPEN","BLOCKED"))</x:f>
        <x:v>PASS</x:v>
      </x:c>
      <x:c r="G138" t="str">
        <x:v>equals</x:v>
      </x:c>
      <x:c r="H138" t="str">
        <x:f>IF(E138=F138,"PASS","FAIL")</x:f>
        <x:v>PASS</x:v>
      </x:c>
    </x:row>
    <x:row r="139">
      <x:c r="B139" t="str">
        <x:v>A-00107</x:v>
      </x:c>
      <x:c r="C139" t="str">
        <x:v>GATE</x:v>
      </x:c>
      <x:c r="D139" t="str">
        <x:v>release state mirrors governing ledger</x:v>
      </x:c>
      <x:c r="E139" t="str">
        <x:f>'Release Gates'!I113</x:f>
        <x:v>PASS</x:v>
      </x:c>
      <x:c r="F139" t="str">
        <x:f>IF('Release Gates'!C113="PLANNING","PASS",IF('Release Gates'!C113="PHYSICAL","OPEN","BLOCKED"))</x:f>
        <x:v>PASS</x:v>
      </x:c>
      <x:c r="G139" t="str">
        <x:v>equals</x:v>
      </x:c>
      <x:c r="H139" t="str">
        <x:f>IF(E139=F139,"PASS","FAIL")</x:f>
        <x:v>PASS</x:v>
      </x:c>
    </x:row>
    <x:row r="140">
      <x:c r="B140" t="str">
        <x:v>A-00108</x:v>
      </x:c>
      <x:c r="C140" t="str">
        <x:v>GATE</x:v>
      </x:c>
      <x:c r="D140" t="str">
        <x:v>release state mirrors governing ledger</x:v>
      </x:c>
      <x:c r="E140" t="str">
        <x:f>'Release Gates'!I114</x:f>
        <x:v>PASS</x:v>
      </x:c>
      <x:c r="F140" t="str">
        <x:f>IF('Release Gates'!C114="PLANNING","PASS",IF('Release Gates'!C114="PHYSICAL","OPEN","BLOCKED"))</x:f>
        <x:v>PASS</x:v>
      </x:c>
      <x:c r="G140" t="str">
        <x:v>equals</x:v>
      </x:c>
      <x:c r="H140" t="str">
        <x:f>IF(E140=F140,"PASS","FAIL")</x:f>
        <x:v>PASS</x:v>
      </x:c>
    </x:row>
    <x:row r="141">
      <x:c r="B141" t="str">
        <x:v>A-00109</x:v>
      </x:c>
      <x:c r="C141" t="str">
        <x:v>GATE</x:v>
      </x:c>
      <x:c r="D141" t="str">
        <x:v>release state mirrors governing ledger</x:v>
      </x:c>
      <x:c r="E141" t="str">
        <x:f>'Release Gates'!I115</x:f>
        <x:v>PASS</x:v>
      </x:c>
      <x:c r="F141" t="str">
        <x:f>IF('Release Gates'!C115="PLANNING","PASS",IF('Release Gates'!C115="PHYSICAL","OPEN","BLOCKED"))</x:f>
        <x:v>PASS</x:v>
      </x:c>
      <x:c r="G141" t="str">
        <x:v>equals</x:v>
      </x:c>
      <x:c r="H141" t="str">
        <x:f>IF(E141=F141,"PASS","FAIL")</x:f>
        <x:v>PASS</x:v>
      </x:c>
    </x:row>
    <x:row r="142">
      <x:c r="B142" t="str">
        <x:v>A-00110</x:v>
      </x:c>
      <x:c r="C142" t="str">
        <x:v>GATE</x:v>
      </x:c>
      <x:c r="D142" t="str">
        <x:v>release state mirrors governing ledger</x:v>
      </x:c>
      <x:c r="E142" t="str">
        <x:f>'Release Gates'!I116</x:f>
        <x:v>PASS</x:v>
      </x:c>
      <x:c r="F142" t="str">
        <x:f>IF('Release Gates'!C116="PLANNING","PASS",IF('Release Gates'!C116="PHYSICAL","OPEN","BLOCKED"))</x:f>
        <x:v>PASS</x:v>
      </x:c>
      <x:c r="G142" t="str">
        <x:v>equals</x:v>
      </x:c>
      <x:c r="H142" t="str">
        <x:f>IF(E142=F142,"PASS","FAIL")</x:f>
        <x:v>PASS</x:v>
      </x:c>
    </x:row>
    <x:row r="143">
      <x:c r="B143" t="str">
        <x:v>A-00111</x:v>
      </x:c>
      <x:c r="C143" t="str">
        <x:v>GATE</x:v>
      </x:c>
      <x:c r="D143" t="str">
        <x:v>release state mirrors governing ledger</x:v>
      </x:c>
      <x:c r="E143" t="str">
        <x:f>'Release Gates'!I117</x:f>
        <x:v>PASS</x:v>
      </x:c>
      <x:c r="F143" t="str">
        <x:f>IF('Release Gates'!C117="PLANNING","PASS",IF('Release Gates'!C117="PHYSICAL","OPEN","BLOCKED"))</x:f>
        <x:v>PASS</x:v>
      </x:c>
      <x:c r="G143" t="str">
        <x:v>equals</x:v>
      </x:c>
      <x:c r="H143" t="str">
        <x:f>IF(E143=F143,"PASS","FAIL")</x:f>
        <x:v>PASS</x:v>
      </x:c>
    </x:row>
    <x:row r="144">
      <x:c r="B144" t="str">
        <x:v>A-00112</x:v>
      </x:c>
      <x:c r="C144" t="str">
        <x:v>GATE</x:v>
      </x:c>
      <x:c r="D144" t="str">
        <x:v>release state mirrors governing ledger</x:v>
      </x:c>
      <x:c r="E144" t="str">
        <x:f>'Release Gates'!I118</x:f>
        <x:v>PASS</x:v>
      </x:c>
      <x:c r="F144" t="str">
        <x:f>IF('Release Gates'!C118="PLANNING","PASS",IF('Release Gates'!C118="PHYSICAL","OPEN","BLOCKED"))</x:f>
        <x:v>PASS</x:v>
      </x:c>
      <x:c r="G144" t="str">
        <x:v>equals</x:v>
      </x:c>
      <x:c r="H144" t="str">
        <x:f>IF(E144=F144,"PASS","FAIL")</x:f>
        <x:v>PASS</x:v>
      </x:c>
    </x:row>
    <x:row r="145">
      <x:c r="B145" t="str">
        <x:v>A-00113</x:v>
      </x:c>
      <x:c r="C145" t="str">
        <x:v>GATE</x:v>
      </x:c>
      <x:c r="D145" t="str">
        <x:v>release state mirrors governing ledger</x:v>
      </x:c>
      <x:c r="E145" t="str">
        <x:f>'Release Gates'!I119</x:f>
        <x:v>PASS</x:v>
      </x:c>
      <x:c r="F145" t="str">
        <x:f>IF('Release Gates'!C119="PLANNING","PASS",IF('Release Gates'!C119="PHYSICAL","OPEN","BLOCKED"))</x:f>
        <x:v>PASS</x:v>
      </x:c>
      <x:c r="G145" t="str">
        <x:v>equals</x:v>
      </x:c>
      <x:c r="H145" t="str">
        <x:f>IF(E145=F145,"PASS","FAIL")</x:f>
        <x:v>PASS</x:v>
      </x:c>
    </x:row>
    <x:row r="146">
      <x:c r="B146" t="str">
        <x:v>A-00114</x:v>
      </x:c>
      <x:c r="C146" t="str">
        <x:v>GATE</x:v>
      </x:c>
      <x:c r="D146" t="str">
        <x:v>release state mirrors governing ledger</x:v>
      </x:c>
      <x:c r="E146" t="str">
        <x:f>'Release Gates'!I120</x:f>
        <x:v>PASS</x:v>
      </x:c>
      <x:c r="F146" t="str">
        <x:f>IF('Release Gates'!C120="PLANNING","PASS",IF('Release Gates'!C120="PHYSICAL","OPEN","BLOCKED"))</x:f>
        <x:v>PASS</x:v>
      </x:c>
      <x:c r="G146" t="str">
        <x:v>equals</x:v>
      </x:c>
      <x:c r="H146" t="str">
        <x:f>IF(E146=F146,"PASS","FAIL")</x:f>
        <x:v>PASS</x:v>
      </x:c>
    </x:row>
    <x:row r="147">
      <x:c r="B147" t="str">
        <x:v>A-00115</x:v>
      </x:c>
      <x:c r="C147" t="str">
        <x:v>GATE</x:v>
      </x:c>
      <x:c r="D147" t="str">
        <x:v>release state mirrors governing ledger</x:v>
      </x:c>
      <x:c r="E147" t="str">
        <x:f>'Release Gates'!I121</x:f>
        <x:v>PASS</x:v>
      </x:c>
      <x:c r="F147" t="str">
        <x:f>IF('Release Gates'!C121="PLANNING","PASS",IF('Release Gates'!C121="PHYSICAL","OPEN","BLOCKED"))</x:f>
        <x:v>PASS</x:v>
      </x:c>
      <x:c r="G147" t="str">
        <x:v>equals</x:v>
      </x:c>
      <x:c r="H147" t="str">
        <x:f>IF(E147=F147,"PASS","FAIL")</x:f>
        <x:v>PASS</x:v>
      </x:c>
    </x:row>
    <x:row r="148">
      <x:c r="B148" t="str">
        <x:v>A-00116</x:v>
      </x:c>
      <x:c r="C148" t="str">
        <x:v>GATE</x:v>
      </x:c>
      <x:c r="D148" t="str">
        <x:v>release state mirrors governing ledger</x:v>
      </x:c>
      <x:c r="E148" t="str">
        <x:f>'Release Gates'!I122</x:f>
        <x:v>PASS</x:v>
      </x:c>
      <x:c r="F148" t="str">
        <x:f>IF('Release Gates'!C122="PLANNING","PASS",IF('Release Gates'!C122="PHYSICAL","OPEN","BLOCKED"))</x:f>
        <x:v>PASS</x:v>
      </x:c>
      <x:c r="G148" t="str">
        <x:v>equals</x:v>
      </x:c>
      <x:c r="H148" t="str">
        <x:f>IF(E148=F148,"PASS","FAIL")</x:f>
        <x:v>PASS</x:v>
      </x:c>
    </x:row>
    <x:row r="149">
      <x:c r="B149" t="str">
        <x:v>A-00117</x:v>
      </x:c>
      <x:c r="C149" t="str">
        <x:v>GATE</x:v>
      </x:c>
      <x:c r="D149" t="str">
        <x:v>release state mirrors governing ledger</x:v>
      </x:c>
      <x:c r="E149" t="str">
        <x:f>'Release Gates'!I123</x:f>
        <x:v>PASS</x:v>
      </x:c>
      <x:c r="F149" t="str">
        <x:f>IF('Release Gates'!C123="PLANNING","PASS",IF('Release Gates'!C123="PHYSICAL","OPEN","BLOCKED"))</x:f>
        <x:v>PASS</x:v>
      </x:c>
      <x:c r="G149" t="str">
        <x:v>equals</x:v>
      </x:c>
      <x:c r="H149" t="str">
        <x:f>IF(E149=F149,"PASS","FAIL")</x:f>
        <x:v>PASS</x:v>
      </x:c>
    </x:row>
    <x:row r="150">
      <x:c r="B150" t="str">
        <x:v>A-00118</x:v>
      </x:c>
      <x:c r="C150" t="str">
        <x:v>GATE</x:v>
      </x:c>
      <x:c r="D150" t="str">
        <x:v>release state mirrors governing ledger</x:v>
      </x:c>
      <x:c r="E150" t="str">
        <x:f>'Release Gates'!I124</x:f>
        <x:v>PASS</x:v>
      </x:c>
      <x:c r="F150" t="str">
        <x:f>IF('Release Gates'!C124="PLANNING","PASS",IF('Release Gates'!C124="PHYSICAL","OPEN","BLOCKED"))</x:f>
        <x:v>PASS</x:v>
      </x:c>
      <x:c r="G150" t="str">
        <x:v>equals</x:v>
      </x:c>
      <x:c r="H150" t="str">
        <x:f>IF(E150=F150,"PASS","FAIL")</x:f>
        <x:v>PASS</x:v>
      </x:c>
    </x:row>
    <x:row r="151">
      <x:c r="B151" t="str">
        <x:v>A-00119</x:v>
      </x:c>
      <x:c r="C151" t="str">
        <x:v>GATE</x:v>
      </x:c>
      <x:c r="D151" t="str">
        <x:v>release state mirrors governing ledger</x:v>
      </x:c>
      <x:c r="E151" t="str">
        <x:f>'Release Gates'!I125</x:f>
        <x:v>PASS</x:v>
      </x:c>
      <x:c r="F151" t="str">
        <x:f>IF('Release Gates'!C125="PLANNING","PASS",IF('Release Gates'!C125="PHYSICAL","OPEN","BLOCKED"))</x:f>
        <x:v>PASS</x:v>
      </x:c>
      <x:c r="G151" t="str">
        <x:v>equals</x:v>
      </x:c>
      <x:c r="H151" t="str">
        <x:f>IF(E151=F151,"PASS","FAIL")</x:f>
        <x:v>PASS</x:v>
      </x:c>
    </x:row>
    <x:row r="152">
      <x:c r="B152" t="str">
        <x:v>A-00120</x:v>
      </x:c>
      <x:c r="C152" t="str">
        <x:v>GATE</x:v>
      </x:c>
      <x:c r="D152" t="str">
        <x:v>release state mirrors governing ledger</x:v>
      </x:c>
      <x:c r="E152" t="str">
        <x:f>'Release Gates'!I126</x:f>
        <x:v>PASS</x:v>
      </x:c>
      <x:c r="F152" t="str">
        <x:f>IF('Release Gates'!C126="PLANNING","PASS",IF('Release Gates'!C126="PHYSICAL","OPEN","BLOCKED"))</x:f>
        <x:v>PASS</x:v>
      </x:c>
      <x:c r="G152" t="str">
        <x:v>equals</x:v>
      </x:c>
      <x:c r="H152" t="str">
        <x:f>IF(E152=F152,"PASS","FAIL")</x:f>
        <x:v>PASS</x:v>
      </x:c>
    </x:row>
    <x:row r="153">
      <x:c r="B153" t="str">
        <x:v>A-00121</x:v>
      </x:c>
      <x:c r="C153" t="str">
        <x:v>GATE</x:v>
      </x:c>
      <x:c r="D153" t="str">
        <x:v>release state mirrors governing ledger</x:v>
      </x:c>
      <x:c r="E153" t="str">
        <x:f>'Release Gates'!I127</x:f>
        <x:v>PASS</x:v>
      </x:c>
      <x:c r="F153" t="str">
        <x:f>IF('Release Gates'!C127="PLANNING","PASS",IF('Release Gates'!C127="PHYSICAL","OPEN","BLOCKED"))</x:f>
        <x:v>PASS</x:v>
      </x:c>
      <x:c r="G153" t="str">
        <x:v>equals</x:v>
      </x:c>
      <x:c r="H153" t="str">
        <x:f>IF(E153=F153,"PASS","FAIL")</x:f>
        <x:v>PASS</x:v>
      </x:c>
    </x:row>
    <x:row r="154">
      <x:c r="B154" t="str">
        <x:v>A-00122</x:v>
      </x:c>
      <x:c r="C154" t="str">
        <x:v>GATE</x:v>
      </x:c>
      <x:c r="D154" t="str">
        <x:v>release state mirrors governing ledger</x:v>
      </x:c>
      <x:c r="E154" t="str">
        <x:f>'Release Gates'!I128</x:f>
        <x:v>PASS</x:v>
      </x:c>
      <x:c r="F154" t="str">
        <x:f>IF('Release Gates'!C128="PLANNING","PASS",IF('Release Gates'!C128="PHYSICAL","OPEN","BLOCKED"))</x:f>
        <x:v>PASS</x:v>
      </x:c>
      <x:c r="G154" t="str">
        <x:v>equals</x:v>
      </x:c>
      <x:c r="H154" t="str">
        <x:f>IF(E154=F154,"PASS","FAIL")</x:f>
        <x:v>PASS</x:v>
      </x:c>
    </x:row>
    <x:row r="155">
      <x:c r="B155" t="str">
        <x:v>A-00123</x:v>
      </x:c>
      <x:c r="C155" t="str">
        <x:v>GATE</x:v>
      </x:c>
      <x:c r="D155" t="str">
        <x:v>release state mirrors governing ledger</x:v>
      </x:c>
      <x:c r="E155" t="str">
        <x:f>'Release Gates'!I129</x:f>
        <x:v>PASS</x:v>
      </x:c>
      <x:c r="F155" t="str">
        <x:f>IF('Release Gates'!C129="PLANNING","PASS",IF('Release Gates'!C129="PHYSICAL","OPEN","BLOCKED"))</x:f>
        <x:v>PASS</x:v>
      </x:c>
      <x:c r="G155" t="str">
        <x:v>equals</x:v>
      </x:c>
      <x:c r="H155" t="str">
        <x:f>IF(E155=F155,"PASS","FAIL")</x:f>
        <x:v>PASS</x:v>
      </x:c>
    </x:row>
    <x:row r="156">
      <x:c r="B156" t="str">
        <x:v>A-00124</x:v>
      </x:c>
      <x:c r="C156" t="str">
        <x:v>GATE</x:v>
      </x:c>
      <x:c r="D156" t="str">
        <x:v>release state mirrors governing ledger</x:v>
      </x:c>
      <x:c r="E156" t="str">
        <x:f>'Release Gates'!I130</x:f>
        <x:v>PASS</x:v>
      </x:c>
      <x:c r="F156" t="str">
        <x:f>IF('Release Gates'!C130="PLANNING","PASS",IF('Release Gates'!C130="PHYSICAL","OPEN","BLOCKED"))</x:f>
        <x:v>PASS</x:v>
      </x:c>
      <x:c r="G156" t="str">
        <x:v>equals</x:v>
      </x:c>
      <x:c r="H156" t="str">
        <x:f>IF(E156=F156,"PASS","FAIL")</x:f>
        <x:v>PASS</x:v>
      </x:c>
    </x:row>
    <x:row r="157">
      <x:c r="B157" t="str">
        <x:v>A-00125</x:v>
      </x:c>
      <x:c r="C157" t="str">
        <x:v>GATE</x:v>
      </x:c>
      <x:c r="D157" t="str">
        <x:v>release state mirrors governing ledger</x:v>
      </x:c>
      <x:c r="E157" t="str">
        <x:f>'Release Gates'!I131</x:f>
        <x:v>PASS</x:v>
      </x:c>
      <x:c r="F157" t="str">
        <x:f>IF('Release Gates'!C131="PLANNING","PASS",IF('Release Gates'!C131="PHYSICAL","OPEN","BLOCKED"))</x:f>
        <x:v>PASS</x:v>
      </x:c>
      <x:c r="G157" t="str">
        <x:v>equals</x:v>
      </x:c>
      <x:c r="H157" t="str">
        <x:f>IF(E157=F157,"PASS","FAIL")</x:f>
        <x:v>PASS</x:v>
      </x:c>
    </x:row>
    <x:row r="158">
      <x:c r="B158" t="str">
        <x:v>A-00126</x:v>
      </x:c>
      <x:c r="C158" t="str">
        <x:v>GATE</x:v>
      </x:c>
      <x:c r="D158" t="str">
        <x:v>release state mirrors governing ledger</x:v>
      </x:c>
      <x:c r="E158" t="str">
        <x:f>'Release Gates'!I132</x:f>
        <x:v>PASS</x:v>
      </x:c>
      <x:c r="F158" t="str">
        <x:f>IF('Release Gates'!C132="PLANNING","PASS",IF('Release Gates'!C132="PHYSICAL","OPEN","BLOCKED"))</x:f>
        <x:v>PASS</x:v>
      </x:c>
      <x:c r="G158" t="str">
        <x:v>equals</x:v>
      </x:c>
      <x:c r="H158" t="str">
        <x:f>IF(E158=F158,"PASS","FAIL")</x:f>
        <x:v>PASS</x:v>
      </x:c>
    </x:row>
    <x:row r="159">
      <x:c r="B159" t="str">
        <x:v>A-00127</x:v>
      </x:c>
      <x:c r="C159" t="str">
        <x:v>GATE</x:v>
      </x:c>
      <x:c r="D159" t="str">
        <x:v>release state mirrors governing ledger</x:v>
      </x:c>
      <x:c r="E159" t="str">
        <x:f>'Release Gates'!I133</x:f>
        <x:v>PASS</x:v>
      </x:c>
      <x:c r="F159" t="str">
        <x:f>IF('Release Gates'!C133="PLANNING","PASS",IF('Release Gates'!C133="PHYSICAL","OPEN","BLOCKED"))</x:f>
        <x:v>PASS</x:v>
      </x:c>
      <x:c r="G159" t="str">
        <x:v>equals</x:v>
      </x:c>
      <x:c r="H159" t="str">
        <x:f>IF(E159=F159,"PASS","FAIL")</x:f>
        <x:v>PASS</x:v>
      </x:c>
    </x:row>
    <x:row r="160">
      <x:c r="B160" t="str">
        <x:v>A-00128</x:v>
      </x:c>
      <x:c r="C160" t="str">
        <x:v>GATE</x:v>
      </x:c>
      <x:c r="D160" t="str">
        <x:v>release state mirrors governing ledger</x:v>
      </x:c>
      <x:c r="E160" t="str">
        <x:f>'Release Gates'!I134</x:f>
        <x:v>PASS</x:v>
      </x:c>
      <x:c r="F160" t="str">
        <x:f>IF('Release Gates'!C134="PLANNING","PASS",IF('Release Gates'!C134="PHYSICAL","OPEN","BLOCKED"))</x:f>
        <x:v>PASS</x:v>
      </x:c>
      <x:c r="G160" t="str">
        <x:v>equals</x:v>
      </x:c>
      <x:c r="H160" t="str">
        <x:f>IF(E160=F160,"PASS","FAIL")</x:f>
        <x:v>PASS</x:v>
      </x:c>
    </x:row>
    <x:row r="161">
      <x:c r="B161" t="str">
        <x:v>A-00129</x:v>
      </x:c>
      <x:c r="C161" t="str">
        <x:v>GATE</x:v>
      </x:c>
      <x:c r="D161" t="str">
        <x:v>release state mirrors governing ledger</x:v>
      </x:c>
      <x:c r="E161" t="str">
        <x:f>'Release Gates'!I135</x:f>
        <x:v>PASS</x:v>
      </x:c>
      <x:c r="F161" t="str">
        <x:f>IF('Release Gates'!C135="PLANNING","PASS",IF('Release Gates'!C135="PHYSICAL","OPEN","BLOCKED"))</x:f>
        <x:v>PASS</x:v>
      </x:c>
      <x:c r="G161" t="str">
        <x:v>equals</x:v>
      </x:c>
      <x:c r="H161" t="str">
        <x:f>IF(E161=F161,"PASS","FAIL")</x:f>
        <x:v>PASS</x:v>
      </x:c>
    </x:row>
    <x:row r="162">
      <x:c r="B162" t="str">
        <x:v>A-00130</x:v>
      </x:c>
      <x:c r="C162" t="str">
        <x:v>GATE</x:v>
      </x:c>
      <x:c r="D162" t="str">
        <x:v>release state mirrors governing ledger</x:v>
      </x:c>
      <x:c r="E162" t="str">
        <x:f>'Release Gates'!I136</x:f>
        <x:v>PASS</x:v>
      </x:c>
      <x:c r="F162" t="str">
        <x:f>IF('Release Gates'!C136="PLANNING","PASS",IF('Release Gates'!C136="PHYSICAL","OPEN","BLOCKED"))</x:f>
        <x:v>PASS</x:v>
      </x:c>
      <x:c r="G162" t="str">
        <x:v>equals</x:v>
      </x:c>
      <x:c r="H162" t="str">
        <x:f>IF(E162=F162,"PASS","FAIL")</x:f>
        <x:v>PASS</x:v>
      </x:c>
    </x:row>
    <x:row r="163">
      <x:c r="B163" t="str">
        <x:v>A-00131</x:v>
      </x:c>
      <x:c r="C163" t="str">
        <x:v>GATE</x:v>
      </x:c>
      <x:c r="D163" t="str">
        <x:v>release state mirrors governing ledger</x:v>
      </x:c>
      <x:c r="E163" t="str">
        <x:f>'Release Gates'!I137</x:f>
        <x:v>PASS</x:v>
      </x:c>
      <x:c r="F163" t="str">
        <x:f>IF('Release Gates'!C137="PLANNING","PASS",IF('Release Gates'!C137="PHYSICAL","OPEN","BLOCKED"))</x:f>
        <x:v>PASS</x:v>
      </x:c>
      <x:c r="G163" t="str">
        <x:v>equals</x:v>
      </x:c>
      <x:c r="H163" t="str">
        <x:f>IF(E163=F163,"PASS","FAIL")</x:f>
        <x:v>PASS</x:v>
      </x:c>
    </x:row>
    <x:row r="164">
      <x:c r="B164" t="str">
        <x:v>A-00132</x:v>
      </x:c>
      <x:c r="C164" t="str">
        <x:v>GATE</x:v>
      </x:c>
      <x:c r="D164" t="str">
        <x:v>release state mirrors governing ledger</x:v>
      </x:c>
      <x:c r="E164" t="str">
        <x:f>'Release Gates'!I138</x:f>
        <x:v>PASS</x:v>
      </x:c>
      <x:c r="F164" t="str">
        <x:f>IF('Release Gates'!C138="PLANNING","PASS",IF('Release Gates'!C138="PHYSICAL","OPEN","BLOCKED"))</x:f>
        <x:v>PASS</x:v>
      </x:c>
      <x:c r="G164" t="str">
        <x:v>equals</x:v>
      </x:c>
      <x:c r="H164" t="str">
        <x:f>IF(E164=F164,"PASS","FAIL")</x:f>
        <x:v>PASS</x:v>
      </x:c>
    </x:row>
    <x:row r="165">
      <x:c r="B165" t="str">
        <x:v>A-00133</x:v>
      </x:c>
      <x:c r="C165" t="str">
        <x:v>GATE</x:v>
      </x:c>
      <x:c r="D165" t="str">
        <x:v>release state mirrors governing ledger</x:v>
      </x:c>
      <x:c r="E165" t="str">
        <x:f>'Release Gates'!I139</x:f>
        <x:v>PASS</x:v>
      </x:c>
      <x:c r="F165" t="str">
        <x:f>IF('Release Gates'!C139="PLANNING","PASS",IF('Release Gates'!C139="PHYSICAL","OPEN","BLOCKED"))</x:f>
        <x:v>PASS</x:v>
      </x:c>
      <x:c r="G165" t="str">
        <x:v>equals</x:v>
      </x:c>
      <x:c r="H165" t="str">
        <x:f>IF(E165=F165,"PASS","FAIL")</x:f>
        <x:v>PASS</x:v>
      </x:c>
    </x:row>
    <x:row r="166">
      <x:c r="B166" t="str">
        <x:v>A-00134</x:v>
      </x:c>
      <x:c r="C166" t="str">
        <x:v>GATE</x:v>
      </x:c>
      <x:c r="D166" t="str">
        <x:v>release state mirrors governing ledger</x:v>
      </x:c>
      <x:c r="E166" t="str">
        <x:f>'Release Gates'!I140</x:f>
        <x:v>PASS</x:v>
      </x:c>
      <x:c r="F166" t="str">
        <x:f>IF('Release Gates'!C140="PLANNING","PASS",IF('Release Gates'!C140="PHYSICAL","OPEN","BLOCKED"))</x:f>
        <x:v>PASS</x:v>
      </x:c>
      <x:c r="G166" t="str">
        <x:v>equals</x:v>
      </x:c>
      <x:c r="H166" t="str">
        <x:f>IF(E166=F166,"PASS","FAIL")</x:f>
        <x:v>PASS</x:v>
      </x:c>
    </x:row>
    <x:row r="167">
      <x:c r="B167" t="str">
        <x:v>A-00135</x:v>
      </x:c>
      <x:c r="C167" t="str">
        <x:v>GATE</x:v>
      </x:c>
      <x:c r="D167" t="str">
        <x:v>release state mirrors governing ledger</x:v>
      </x:c>
      <x:c r="E167" t="str">
        <x:f>'Release Gates'!I141</x:f>
        <x:v>PASS</x:v>
      </x:c>
      <x:c r="F167" t="str">
        <x:f>IF('Release Gates'!C141="PLANNING","PASS",IF('Release Gates'!C141="PHYSICAL","OPEN","BLOCKED"))</x:f>
        <x:v>PASS</x:v>
      </x:c>
      <x:c r="G167" t="str">
        <x:v>equals</x:v>
      </x:c>
      <x:c r="H167" t="str">
        <x:f>IF(E167=F167,"PASS","FAIL")</x:f>
        <x:v>PASS</x:v>
      </x:c>
    </x:row>
    <x:row r="168">
      <x:c r="B168" t="str">
        <x:v>A-00136</x:v>
      </x:c>
      <x:c r="C168" t="str">
        <x:v>GATE</x:v>
      </x:c>
      <x:c r="D168" t="str">
        <x:v>release state mirrors governing ledger</x:v>
      </x:c>
      <x:c r="E168" t="str">
        <x:f>'Release Gates'!I142</x:f>
        <x:v>PASS</x:v>
      </x:c>
      <x:c r="F168" t="str">
        <x:f>IF('Release Gates'!C142="PLANNING","PASS",IF('Release Gates'!C142="PHYSICAL","OPEN","BLOCKED"))</x:f>
        <x:v>PASS</x:v>
      </x:c>
      <x:c r="G168" t="str">
        <x:v>equals</x:v>
      </x:c>
      <x:c r="H168" t="str">
        <x:f>IF(E168=F168,"PASS","FAIL")</x:f>
        <x:v>PASS</x:v>
      </x:c>
    </x:row>
    <x:row r="169">
      <x:c r="B169" t="str">
        <x:v>A-00137</x:v>
      </x:c>
      <x:c r="C169" t="str">
        <x:v>GATE</x:v>
      </x:c>
      <x:c r="D169" t="str">
        <x:v>release state mirrors governing ledger</x:v>
      </x:c>
      <x:c r="E169" t="str">
        <x:f>'Release Gates'!I143</x:f>
        <x:v>PASS</x:v>
      </x:c>
      <x:c r="F169" t="str">
        <x:f>IF('Release Gates'!C143="PLANNING","PASS",IF('Release Gates'!C143="PHYSICAL","OPEN","BLOCKED"))</x:f>
        <x:v>PASS</x:v>
      </x:c>
      <x:c r="G169" t="str">
        <x:v>equals</x:v>
      </x:c>
      <x:c r="H169" t="str">
        <x:f>IF(E169=F169,"PASS","FAIL")</x:f>
        <x:v>PASS</x:v>
      </x:c>
    </x:row>
    <x:row r="170">
      <x:c r="B170" t="str">
        <x:v>A-00138</x:v>
      </x:c>
      <x:c r="C170" t="str">
        <x:v>GATE</x:v>
      </x:c>
      <x:c r="D170" t="str">
        <x:v>release state mirrors governing ledger</x:v>
      </x:c>
      <x:c r="E170" t="str">
        <x:f>'Release Gates'!I144</x:f>
        <x:v>PASS</x:v>
      </x:c>
      <x:c r="F170" t="str">
        <x:f>IF('Release Gates'!C144="PLANNING","PASS",IF('Release Gates'!C144="PHYSICAL","OPEN","BLOCKED"))</x:f>
        <x:v>PASS</x:v>
      </x:c>
      <x:c r="G170" t="str">
        <x:v>equals</x:v>
      </x:c>
      <x:c r="H170" t="str">
        <x:f>IF(E170=F170,"PASS","FAIL")</x:f>
        <x:v>PASS</x:v>
      </x:c>
    </x:row>
    <x:row r="171">
      <x:c r="B171" t="str">
        <x:v>A-00139</x:v>
      </x:c>
      <x:c r="C171" t="str">
        <x:v>GATE</x:v>
      </x:c>
      <x:c r="D171" t="str">
        <x:v>release state mirrors governing ledger</x:v>
      </x:c>
      <x:c r="E171" t="str">
        <x:f>'Release Gates'!I145</x:f>
        <x:v>PASS</x:v>
      </x:c>
      <x:c r="F171" t="str">
        <x:f>IF('Release Gates'!C145="PLANNING","PASS",IF('Release Gates'!C145="PHYSICAL","OPEN","BLOCKED"))</x:f>
        <x:v>PASS</x:v>
      </x:c>
      <x:c r="G171" t="str">
        <x:v>equals</x:v>
      </x:c>
      <x:c r="H171" t="str">
        <x:f>IF(E171=F171,"PASS","FAIL")</x:f>
        <x:v>PASS</x:v>
      </x:c>
    </x:row>
    <x:row r="172">
      <x:c r="B172" t="str">
        <x:v>A-00140</x:v>
      </x:c>
      <x:c r="C172" t="str">
        <x:v>GATE</x:v>
      </x:c>
      <x:c r="D172" t="str">
        <x:v>release state mirrors governing ledger</x:v>
      </x:c>
      <x:c r="E172" t="str">
        <x:f>'Release Gates'!I146</x:f>
        <x:v>PASS</x:v>
      </x:c>
      <x:c r="F172" t="str">
        <x:f>IF('Release Gates'!C146="PLANNING","PASS",IF('Release Gates'!C146="PHYSICAL","OPEN","BLOCKED"))</x:f>
        <x:v>PASS</x:v>
      </x:c>
      <x:c r="G172" t="str">
        <x:v>equals</x:v>
      </x:c>
      <x:c r="H172" t="str">
        <x:f>IF(E172=F172,"PASS","FAIL")</x:f>
        <x:v>PASS</x:v>
      </x:c>
    </x:row>
    <x:row r="173">
      <x:c r="B173" t="str">
        <x:v>A-00141</x:v>
      </x:c>
      <x:c r="C173" t="str">
        <x:v>GATE</x:v>
      </x:c>
      <x:c r="D173" t="str">
        <x:v>release state mirrors governing ledger</x:v>
      </x:c>
      <x:c r="E173" t="str">
        <x:f>'Release Gates'!I147</x:f>
        <x:v>PASS</x:v>
      </x:c>
      <x:c r="F173" t="str">
        <x:f>IF('Release Gates'!C147="PLANNING","PASS",IF('Release Gates'!C147="PHYSICAL","OPEN","BLOCKED"))</x:f>
        <x:v>PASS</x:v>
      </x:c>
      <x:c r="G173" t="str">
        <x:v>equals</x:v>
      </x:c>
      <x:c r="H173" t="str">
        <x:f>IF(E173=F173,"PASS","FAIL")</x:f>
        <x:v>PASS</x:v>
      </x:c>
    </x:row>
    <x:row r="174">
      <x:c r="B174" t="str">
        <x:v>A-00142</x:v>
      </x:c>
      <x:c r="C174" t="str">
        <x:v>GATE</x:v>
      </x:c>
      <x:c r="D174" t="str">
        <x:v>release state mirrors governing ledger</x:v>
      </x:c>
      <x:c r="E174" t="str">
        <x:f>'Release Gates'!I148</x:f>
        <x:v>PASS</x:v>
      </x:c>
      <x:c r="F174" t="str">
        <x:f>IF('Release Gates'!C148="PLANNING","PASS",IF('Release Gates'!C148="PHYSICAL","OPEN","BLOCKED"))</x:f>
        <x:v>PASS</x:v>
      </x:c>
      <x:c r="G174" t="str">
        <x:v>equals</x:v>
      </x:c>
      <x:c r="H174" t="str">
        <x:f>IF(E174=F174,"PASS","FAIL")</x:f>
        <x:v>PASS</x:v>
      </x:c>
    </x:row>
    <x:row r="175">
      <x:c r="B175" t="str">
        <x:v>A-00143</x:v>
      </x:c>
      <x:c r="C175" t="str">
        <x:v>GATE</x:v>
      </x:c>
      <x:c r="D175" t="str">
        <x:v>release state mirrors governing ledger</x:v>
      </x:c>
      <x:c r="E175" t="str">
        <x:f>'Release Gates'!I149</x:f>
        <x:v>PASS</x:v>
      </x:c>
      <x:c r="F175" t="str">
        <x:f>IF('Release Gates'!C149="PLANNING","PASS",IF('Release Gates'!C149="PHYSICAL","OPEN","BLOCKED"))</x:f>
        <x:v>PASS</x:v>
      </x:c>
      <x:c r="G175" t="str">
        <x:v>equals</x:v>
      </x:c>
      <x:c r="H175" t="str">
        <x:f>IF(E175=F175,"PASS","FAIL")</x:f>
        <x:v>PASS</x:v>
      </x:c>
    </x:row>
    <x:row r="176">
      <x:c r="B176" t="str">
        <x:v>A-00144</x:v>
      </x:c>
      <x:c r="C176" t="str">
        <x:v>GATE</x:v>
      </x:c>
      <x:c r="D176" t="str">
        <x:v>release state mirrors governing ledger</x:v>
      </x:c>
      <x:c r="E176" t="str">
        <x:f>'Release Gates'!I150</x:f>
        <x:v>PASS</x:v>
      </x:c>
      <x:c r="F176" t="str">
        <x:f>IF('Release Gates'!C150="PLANNING","PASS",IF('Release Gates'!C150="PHYSICAL","OPEN","BLOCKED"))</x:f>
        <x:v>PASS</x:v>
      </x:c>
      <x:c r="G176" t="str">
        <x:v>equals</x:v>
      </x:c>
      <x:c r="H176" t="str">
        <x:f>IF(E176=F176,"PASS","FAIL")</x:f>
        <x:v>PASS</x:v>
      </x:c>
    </x:row>
    <x:row r="177">
      <x:c r="B177" t="str">
        <x:v>A-00145</x:v>
      </x:c>
      <x:c r="C177" t="str">
        <x:v>GATE</x:v>
      </x:c>
      <x:c r="D177" t="str">
        <x:v>release state mirrors governing ledger</x:v>
      </x:c>
      <x:c r="E177" t="str">
        <x:f>'Release Gates'!I151</x:f>
        <x:v>PASS</x:v>
      </x:c>
      <x:c r="F177" t="str">
        <x:f>IF('Release Gates'!C151="PLANNING","PASS",IF('Release Gates'!C151="PHYSICAL","OPEN","BLOCKED"))</x:f>
        <x:v>PASS</x:v>
      </x:c>
      <x:c r="G177" t="str">
        <x:v>equals</x:v>
      </x:c>
      <x:c r="H177" t="str">
        <x:f>IF(E177=F177,"PASS","FAIL")</x:f>
        <x:v>PASS</x:v>
      </x:c>
    </x:row>
    <x:row r="178">
      <x:c r="B178" t="str">
        <x:v>A-00146</x:v>
      </x:c>
      <x:c r="C178" t="str">
        <x:v>GATE</x:v>
      </x:c>
      <x:c r="D178" t="str">
        <x:v>release state mirrors governing ledger</x:v>
      </x:c>
      <x:c r="E178" t="str">
        <x:f>'Release Gates'!I152</x:f>
        <x:v>PASS</x:v>
      </x:c>
      <x:c r="F178" t="str">
        <x:f>IF('Release Gates'!C152="PLANNING","PASS",IF('Release Gates'!C152="PHYSICAL","OPEN","BLOCKED"))</x:f>
        <x:v>PASS</x:v>
      </x:c>
      <x:c r="G178" t="str">
        <x:v>equals</x:v>
      </x:c>
      <x:c r="H178" t="str">
        <x:f>IF(E178=F178,"PASS","FAIL")</x:f>
        <x:v>PASS</x:v>
      </x:c>
    </x:row>
    <x:row r="179">
      <x:c r="B179" t="str">
        <x:v>A-00147</x:v>
      </x:c>
      <x:c r="C179" t="str">
        <x:v>GATE</x:v>
      </x:c>
      <x:c r="D179" t="str">
        <x:v>release state mirrors governing ledger</x:v>
      </x:c>
      <x:c r="E179" t="str">
        <x:f>'Release Gates'!I153</x:f>
        <x:v>PASS</x:v>
      </x:c>
      <x:c r="F179" t="str">
        <x:f>IF('Release Gates'!C153="PLANNING","PASS",IF('Release Gates'!C153="PHYSICAL","OPEN","BLOCKED"))</x:f>
        <x:v>PASS</x:v>
      </x:c>
      <x:c r="G179" t="str">
        <x:v>equals</x:v>
      </x:c>
      <x:c r="H179" t="str">
        <x:f>IF(E179=F179,"PASS","FAIL")</x:f>
        <x:v>PASS</x:v>
      </x:c>
    </x:row>
    <x:row r="180">
      <x:c r="B180" t="str">
        <x:v>A-00148</x:v>
      </x:c>
      <x:c r="C180" t="str">
        <x:v>GATE</x:v>
      </x:c>
      <x:c r="D180" t="str">
        <x:v>release state mirrors governing ledger</x:v>
      </x:c>
      <x:c r="E180" t="str">
        <x:f>'Release Gates'!I154</x:f>
        <x:v>PASS</x:v>
      </x:c>
      <x:c r="F180" t="str">
        <x:f>IF('Release Gates'!C154="PLANNING","PASS",IF('Release Gates'!C154="PHYSICAL","OPEN","BLOCKED"))</x:f>
        <x:v>PASS</x:v>
      </x:c>
      <x:c r="G180" t="str">
        <x:v>equals</x:v>
      </x:c>
      <x:c r="H180" t="str">
        <x:f>IF(E180=F180,"PASS","FAIL")</x:f>
        <x:v>PASS</x:v>
      </x:c>
    </x:row>
    <x:row r="181">
      <x:c r="B181" t="str">
        <x:v>A-00149</x:v>
      </x:c>
      <x:c r="C181" t="str">
        <x:v>GATE</x:v>
      </x:c>
      <x:c r="D181" t="str">
        <x:v>release state mirrors governing ledger</x:v>
      </x:c>
      <x:c r="E181" t="str">
        <x:f>'Release Gates'!I155</x:f>
        <x:v>PASS</x:v>
      </x:c>
      <x:c r="F181" t="str">
        <x:f>IF('Release Gates'!C155="PLANNING","PASS",IF('Release Gates'!C155="PHYSICAL","OPEN","BLOCKED"))</x:f>
        <x:v>PASS</x:v>
      </x:c>
      <x:c r="G181" t="str">
        <x:v>equals</x:v>
      </x:c>
      <x:c r="H181" t="str">
        <x:f>IF(E181=F181,"PASS","FAIL")</x:f>
        <x:v>PASS</x:v>
      </x:c>
    </x:row>
    <x:row r="182">
      <x:c r="B182" t="str">
        <x:v>A-00150</x:v>
      </x:c>
      <x:c r="C182" t="str">
        <x:v>GATE</x:v>
      </x:c>
      <x:c r="D182" t="str">
        <x:v>release state mirrors governing ledger</x:v>
      </x:c>
      <x:c r="E182" t="str">
        <x:f>'Release Gates'!I156</x:f>
        <x:v>PASS</x:v>
      </x:c>
      <x:c r="F182" t="str">
        <x:f>IF('Release Gates'!C156="PLANNING","PASS",IF('Release Gates'!C156="PHYSICAL","OPEN","BLOCKED"))</x:f>
        <x:v>PASS</x:v>
      </x:c>
      <x:c r="G182" t="str">
        <x:v>equals</x:v>
      </x:c>
      <x:c r="H182" t="str">
        <x:f>IF(E182=F182,"PASS","FAIL")</x:f>
        <x:v>PASS</x:v>
      </x:c>
    </x:row>
    <x:row r="183">
      <x:c r="B183" t="str">
        <x:v>A-00151</x:v>
      </x:c>
      <x:c r="C183" t="str">
        <x:v>GATE</x:v>
      </x:c>
      <x:c r="D183" t="str">
        <x:v>release state mirrors governing ledger</x:v>
      </x:c>
      <x:c r="E183" t="str">
        <x:f>'Release Gates'!I157</x:f>
        <x:v>PASS</x:v>
      </x:c>
      <x:c r="F183" t="str">
        <x:f>IF('Release Gates'!C157="PLANNING","PASS",IF('Release Gates'!C157="PHYSICAL","OPEN","BLOCKED"))</x:f>
        <x:v>PASS</x:v>
      </x:c>
      <x:c r="G183" t="str">
        <x:v>equals</x:v>
      </x:c>
      <x:c r="H183" t="str">
        <x:f>IF(E183=F183,"PASS","FAIL")</x:f>
        <x:v>PASS</x:v>
      </x:c>
    </x:row>
    <x:row r="184">
      <x:c r="B184" t="str">
        <x:v>A-00152</x:v>
      </x:c>
      <x:c r="C184" t="str">
        <x:v>GATE</x:v>
      </x:c>
      <x:c r="D184" t="str">
        <x:v>release state mirrors governing ledger</x:v>
      </x:c>
      <x:c r="E184" t="str">
        <x:f>'Release Gates'!I158</x:f>
        <x:v>PASS</x:v>
      </x:c>
      <x:c r="F184" t="str">
        <x:f>IF('Release Gates'!C158="PLANNING","PASS",IF('Release Gates'!C158="PHYSICAL","OPEN","BLOCKED"))</x:f>
        <x:v>PASS</x:v>
      </x:c>
      <x:c r="G184" t="str">
        <x:v>equals</x:v>
      </x:c>
      <x:c r="H184" t="str">
        <x:f>IF(E184=F184,"PASS","FAIL")</x:f>
        <x:v>PASS</x:v>
      </x:c>
    </x:row>
    <x:row r="185">
      <x:c r="B185" t="str">
        <x:v>A-00153</x:v>
      </x:c>
      <x:c r="C185" t="str">
        <x:v>GATE</x:v>
      </x:c>
      <x:c r="D185" t="str">
        <x:v>release state mirrors governing ledger</x:v>
      </x:c>
      <x:c r="E185" t="str">
        <x:f>'Release Gates'!I159</x:f>
        <x:v>PASS</x:v>
      </x:c>
      <x:c r="F185" t="str">
        <x:f>IF('Release Gates'!C159="PLANNING","PASS",IF('Release Gates'!C159="PHYSICAL","OPEN","BLOCKED"))</x:f>
        <x:v>PASS</x:v>
      </x:c>
      <x:c r="G185" t="str">
        <x:v>equals</x:v>
      </x:c>
      <x:c r="H185" t="str">
        <x:f>IF(E185=F185,"PASS","FAIL")</x:f>
        <x:v>PASS</x:v>
      </x:c>
    </x:row>
    <x:row r="186">
      <x:c r="B186" t="str">
        <x:v>A-00154</x:v>
      </x:c>
      <x:c r="C186" t="str">
        <x:v>GATE</x:v>
      </x:c>
      <x:c r="D186" t="str">
        <x:v>release state mirrors governing ledger</x:v>
      </x:c>
      <x:c r="E186" t="str">
        <x:f>'Release Gates'!I160</x:f>
        <x:v>PASS</x:v>
      </x:c>
      <x:c r="F186" t="str">
        <x:f>IF('Release Gates'!C160="PLANNING","PASS",IF('Release Gates'!C160="PHYSICAL","OPEN","BLOCKED"))</x:f>
        <x:v>PASS</x:v>
      </x:c>
      <x:c r="G186" t="str">
        <x:v>equals</x:v>
      </x:c>
      <x:c r="H186" t="str">
        <x:f>IF(E186=F186,"PASS","FAIL")</x:f>
        <x:v>PASS</x:v>
      </x:c>
    </x:row>
    <x:row r="187">
      <x:c r="B187" t="str">
        <x:v>A-00155</x:v>
      </x:c>
      <x:c r="C187" t="str">
        <x:v>GATE</x:v>
      </x:c>
      <x:c r="D187" t="str">
        <x:v>release state mirrors governing ledger</x:v>
      </x:c>
      <x:c r="E187" t="str">
        <x:f>'Release Gates'!I161</x:f>
        <x:v>PASS</x:v>
      </x:c>
      <x:c r="F187" t="str">
        <x:f>IF('Release Gates'!C161="PLANNING","PASS",IF('Release Gates'!C161="PHYSICAL","OPEN","BLOCKED"))</x:f>
        <x:v>PASS</x:v>
      </x:c>
      <x:c r="G187" t="str">
        <x:v>equals</x:v>
      </x:c>
      <x:c r="H187" t="str">
        <x:f>IF(E187=F187,"PASS","FAIL")</x:f>
        <x:v>PASS</x:v>
      </x:c>
    </x:row>
    <x:row r="188">
      <x:c r="B188" t="str">
        <x:v>A-00156</x:v>
      </x:c>
      <x:c r="C188" t="str">
        <x:v>GATE</x:v>
      </x:c>
      <x:c r="D188" t="str">
        <x:v>release state mirrors governing ledger</x:v>
      </x:c>
      <x:c r="E188" t="str">
        <x:f>'Release Gates'!I162</x:f>
        <x:v>PASS</x:v>
      </x:c>
      <x:c r="F188" t="str">
        <x:f>IF('Release Gates'!C162="PLANNING","PASS",IF('Release Gates'!C162="PHYSICAL","OPEN","BLOCKED"))</x:f>
        <x:v>PASS</x:v>
      </x:c>
      <x:c r="G188" t="str">
        <x:v>equals</x:v>
      </x:c>
      <x:c r="H188" t="str">
        <x:f>IF(E188=F188,"PASS","FAIL")</x:f>
        <x:v>PASS</x:v>
      </x:c>
    </x:row>
    <x:row r="189">
      <x:c r="B189" t="str">
        <x:v>A-00157</x:v>
      </x:c>
      <x:c r="C189" t="str">
        <x:v>GATE</x:v>
      </x:c>
      <x:c r="D189" t="str">
        <x:v>release state mirrors governing ledger</x:v>
      </x:c>
      <x:c r="E189" t="str">
        <x:f>'Release Gates'!I163</x:f>
        <x:v>PASS</x:v>
      </x:c>
      <x:c r="F189" t="str">
        <x:f>IF('Release Gates'!C163="PLANNING","PASS",IF('Release Gates'!C163="PHYSICAL","OPEN","BLOCKED"))</x:f>
        <x:v>PASS</x:v>
      </x:c>
      <x:c r="G189" t="str">
        <x:v>equals</x:v>
      </x:c>
      <x:c r="H189" t="str">
        <x:f>IF(E189=F189,"PASS","FAIL")</x:f>
        <x:v>PASS</x:v>
      </x:c>
    </x:row>
    <x:row r="190">
      <x:c r="B190" t="str">
        <x:v>A-00158</x:v>
      </x:c>
      <x:c r="C190" t="str">
        <x:v>GATE</x:v>
      </x:c>
      <x:c r="D190" t="str">
        <x:v>release state mirrors governing ledger</x:v>
      </x:c>
      <x:c r="E190" t="str">
        <x:f>'Release Gates'!I164</x:f>
        <x:v>PASS</x:v>
      </x:c>
      <x:c r="F190" t="str">
        <x:f>IF('Release Gates'!C164="PLANNING","PASS",IF('Release Gates'!C164="PHYSICAL","OPEN","BLOCKED"))</x:f>
        <x:v>PASS</x:v>
      </x:c>
      <x:c r="G190" t="str">
        <x:v>equals</x:v>
      </x:c>
      <x:c r="H190" t="str">
        <x:f>IF(E190=F190,"PASS","FAIL")</x:f>
        <x:v>PASS</x:v>
      </x:c>
    </x:row>
    <x:row r="191">
      <x:c r="B191" t="str">
        <x:v>A-00159</x:v>
      </x:c>
      <x:c r="C191" t="str">
        <x:v>GATE</x:v>
      </x:c>
      <x:c r="D191" t="str">
        <x:v>release state mirrors governing ledger</x:v>
      </x:c>
      <x:c r="E191" t="str">
        <x:f>'Release Gates'!I165</x:f>
        <x:v>PASS</x:v>
      </x:c>
      <x:c r="F191" t="str">
        <x:f>IF('Release Gates'!C165="PLANNING","PASS",IF('Release Gates'!C165="PHYSICAL","OPEN","BLOCKED"))</x:f>
        <x:v>PASS</x:v>
      </x:c>
      <x:c r="G191" t="str">
        <x:v>equals</x:v>
      </x:c>
      <x:c r="H191" t="str">
        <x:f>IF(E191=F191,"PASS","FAIL")</x:f>
        <x:v>PASS</x:v>
      </x:c>
    </x:row>
    <x:row r="192">
      <x:c r="B192" t="str">
        <x:v>A-00160</x:v>
      </x:c>
      <x:c r="C192" t="str">
        <x:v>GATE</x:v>
      </x:c>
      <x:c r="D192" t="str">
        <x:v>release state mirrors governing ledger</x:v>
      </x:c>
      <x:c r="E192" t="str">
        <x:f>'Release Gates'!I166</x:f>
        <x:v>PASS</x:v>
      </x:c>
      <x:c r="F192" t="str">
        <x:f>IF('Release Gates'!C166="PLANNING","PASS",IF('Release Gates'!C166="PHYSICAL","OPEN","BLOCKED"))</x:f>
        <x:v>PASS</x:v>
      </x:c>
      <x:c r="G192" t="str">
        <x:v>equals</x:v>
      </x:c>
      <x:c r="H192" t="str">
        <x:f>IF(E192=F192,"PASS","FAIL")</x:f>
        <x:v>PASS</x:v>
      </x:c>
    </x:row>
    <x:row r="193">
      <x:c r="B193" t="str">
        <x:v>A-00161</x:v>
      </x:c>
      <x:c r="C193" t="str">
        <x:v>GATE</x:v>
      </x:c>
      <x:c r="D193" t="str">
        <x:v>release state mirrors governing ledger</x:v>
      </x:c>
      <x:c r="E193" t="str">
        <x:f>'Release Gates'!I167</x:f>
        <x:v>PASS</x:v>
      </x:c>
      <x:c r="F193" t="str">
        <x:f>IF('Release Gates'!C167="PLANNING","PASS",IF('Release Gates'!C167="PHYSICAL","OPEN","BLOCKED"))</x:f>
        <x:v>PASS</x:v>
      </x:c>
      <x:c r="G193" t="str">
        <x:v>equals</x:v>
      </x:c>
      <x:c r="H193" t="str">
        <x:f>IF(E193=F193,"PASS","FAIL")</x:f>
        <x:v>PASS</x:v>
      </x:c>
    </x:row>
    <x:row r="194">
      <x:c r="B194" t="str">
        <x:v>A-00162</x:v>
      </x:c>
      <x:c r="C194" t="str">
        <x:v>GATE</x:v>
      </x:c>
      <x:c r="D194" t="str">
        <x:v>release state mirrors governing ledger</x:v>
      </x:c>
      <x:c r="E194" t="str">
        <x:f>'Release Gates'!I168</x:f>
        <x:v>PASS</x:v>
      </x:c>
      <x:c r="F194" t="str">
        <x:f>IF('Release Gates'!C168="PLANNING","PASS",IF('Release Gates'!C168="PHYSICAL","OPEN","BLOCKED"))</x:f>
        <x:v>PASS</x:v>
      </x:c>
      <x:c r="G194" t="str">
        <x:v>equals</x:v>
      </x:c>
      <x:c r="H194" t="str">
        <x:f>IF(E194=F194,"PASS","FAIL")</x:f>
        <x:v>PASS</x:v>
      </x:c>
    </x:row>
    <x:row r="195">
      <x:c r="B195" t="str">
        <x:v>A-00163</x:v>
      </x:c>
      <x:c r="C195" t="str">
        <x:v>GATE</x:v>
      </x:c>
      <x:c r="D195" t="str">
        <x:v>release state mirrors governing ledger</x:v>
      </x:c>
      <x:c r="E195" t="str">
        <x:f>'Release Gates'!I169</x:f>
        <x:v>PASS</x:v>
      </x:c>
      <x:c r="F195" t="str">
        <x:f>IF('Release Gates'!C169="PLANNING","PASS",IF('Release Gates'!C169="PHYSICAL","OPEN","BLOCKED"))</x:f>
        <x:v>PASS</x:v>
      </x:c>
      <x:c r="G195" t="str">
        <x:v>equals</x:v>
      </x:c>
      <x:c r="H195" t="str">
        <x:f>IF(E195=F195,"PASS","FAIL")</x:f>
        <x:v>PASS</x:v>
      </x:c>
    </x:row>
    <x:row r="196">
      <x:c r="B196" t="str">
        <x:v>A-00164</x:v>
      </x:c>
      <x:c r="C196" t="str">
        <x:v>GATE</x:v>
      </x:c>
      <x:c r="D196" t="str">
        <x:v>release state mirrors governing ledger</x:v>
      </x:c>
      <x:c r="E196" t="str">
        <x:f>'Release Gates'!I170</x:f>
        <x:v>PASS</x:v>
      </x:c>
      <x:c r="F196" t="str">
        <x:f>IF('Release Gates'!C170="PLANNING","PASS",IF('Release Gates'!C170="PHYSICAL","OPEN","BLOCKED"))</x:f>
        <x:v>PASS</x:v>
      </x:c>
      <x:c r="G196" t="str">
        <x:v>equals</x:v>
      </x:c>
      <x:c r="H196" t="str">
        <x:f>IF(E196=F196,"PASS","FAIL")</x:f>
        <x:v>PASS</x:v>
      </x:c>
    </x:row>
    <x:row r="197">
      <x:c r="B197" t="str">
        <x:v>A-00165</x:v>
      </x:c>
      <x:c r="C197" t="str">
        <x:v>GATE</x:v>
      </x:c>
      <x:c r="D197" t="str">
        <x:v>release state mirrors governing ledger</x:v>
      </x:c>
      <x:c r="E197" t="str">
        <x:f>'Release Gates'!I171</x:f>
        <x:v>PASS</x:v>
      </x:c>
      <x:c r="F197" t="str">
        <x:f>IF('Release Gates'!C171="PLANNING","PASS",IF('Release Gates'!C171="PHYSICAL","OPEN","BLOCKED"))</x:f>
        <x:v>PASS</x:v>
      </x:c>
      <x:c r="G197" t="str">
        <x:v>equals</x:v>
      </x:c>
      <x:c r="H197" t="str">
        <x:f>IF(E197=F197,"PASS","FAIL")</x:f>
        <x:v>PASS</x:v>
      </x:c>
    </x:row>
    <x:row r="198">
      <x:c r="B198" t="str">
        <x:v>A-00166</x:v>
      </x:c>
      <x:c r="C198" t="str">
        <x:v>GATE</x:v>
      </x:c>
      <x:c r="D198" t="str">
        <x:v>release state mirrors governing ledger</x:v>
      </x:c>
      <x:c r="E198" t="str">
        <x:f>'Release Gates'!I172</x:f>
        <x:v>PASS</x:v>
      </x:c>
      <x:c r="F198" t="str">
        <x:f>IF('Release Gates'!C172="PLANNING","PASS",IF('Release Gates'!C172="PHYSICAL","OPEN","BLOCKED"))</x:f>
        <x:v>PASS</x:v>
      </x:c>
      <x:c r="G198" t="str">
        <x:v>equals</x:v>
      </x:c>
      <x:c r="H198" t="str">
        <x:f>IF(E198=F198,"PASS","FAIL")</x:f>
        <x:v>PASS</x:v>
      </x:c>
    </x:row>
    <x:row r="199">
      <x:c r="B199" t="str">
        <x:v>A-00167</x:v>
      </x:c>
      <x:c r="C199" t="str">
        <x:v>GATE</x:v>
      </x:c>
      <x:c r="D199" t="str">
        <x:v>release state mirrors governing ledger</x:v>
      </x:c>
      <x:c r="E199" t="str">
        <x:f>'Release Gates'!I173</x:f>
        <x:v>PASS</x:v>
      </x:c>
      <x:c r="F199" t="str">
        <x:f>IF('Release Gates'!C173="PLANNING","PASS",IF('Release Gates'!C173="PHYSICAL","OPEN","BLOCKED"))</x:f>
        <x:v>PASS</x:v>
      </x:c>
      <x:c r="G199" t="str">
        <x:v>equals</x:v>
      </x:c>
      <x:c r="H199" t="str">
        <x:f>IF(E199=F199,"PASS","FAIL")</x:f>
        <x:v>PASS</x:v>
      </x:c>
    </x:row>
    <x:row r="200">
      <x:c r="B200" t="str">
        <x:v>A-00168</x:v>
      </x:c>
      <x:c r="C200" t="str">
        <x:v>GATE</x:v>
      </x:c>
      <x:c r="D200" t="str">
        <x:v>release state mirrors governing ledger</x:v>
      </x:c>
      <x:c r="E200" t="str">
        <x:f>'Release Gates'!I174</x:f>
        <x:v>PASS</x:v>
      </x:c>
      <x:c r="F200" t="str">
        <x:f>IF('Release Gates'!C174="PLANNING","PASS",IF('Release Gates'!C174="PHYSICAL","OPEN","BLOCKED"))</x:f>
        <x:v>PASS</x:v>
      </x:c>
      <x:c r="G200" t="str">
        <x:v>equals</x:v>
      </x:c>
      <x:c r="H200" t="str">
        <x:f>IF(E200=F200,"PASS","FAIL")</x:f>
        <x:v>PASS</x:v>
      </x:c>
    </x:row>
    <x:row r="201">
      <x:c r="B201" t="str">
        <x:v>A-00169</x:v>
      </x:c>
      <x:c r="C201" t="str">
        <x:v>GATE</x:v>
      </x:c>
      <x:c r="D201" t="str">
        <x:v>release state mirrors governing ledger</x:v>
      </x:c>
      <x:c r="E201" t="str">
        <x:f>'Release Gates'!I175</x:f>
        <x:v>PASS</x:v>
      </x:c>
      <x:c r="F201" t="str">
        <x:f>IF('Release Gates'!C175="PLANNING","PASS",IF('Release Gates'!C175="PHYSICAL","OPEN","BLOCKED"))</x:f>
        <x:v>PASS</x:v>
      </x:c>
      <x:c r="G201" t="str">
        <x:v>equals</x:v>
      </x:c>
      <x:c r="H201" t="str">
        <x:f>IF(E201=F201,"PASS","FAIL")</x:f>
        <x:v>PASS</x:v>
      </x:c>
    </x:row>
    <x:row r="202">
      <x:c r="B202" t="str">
        <x:v>A-00170</x:v>
      </x:c>
      <x:c r="C202" t="str">
        <x:v>GATE</x:v>
      </x:c>
      <x:c r="D202" t="str">
        <x:v>release state mirrors governing ledger</x:v>
      </x:c>
      <x:c r="E202" t="str">
        <x:f>'Release Gates'!I176</x:f>
        <x:v>PASS</x:v>
      </x:c>
      <x:c r="F202" t="str">
        <x:f>IF('Release Gates'!C176="PLANNING","PASS",IF('Release Gates'!C176="PHYSICAL","OPEN","BLOCKED"))</x:f>
        <x:v>PASS</x:v>
      </x:c>
      <x:c r="G202" t="str">
        <x:v>equals</x:v>
      </x:c>
      <x:c r="H202" t="str">
        <x:f>IF(E202=F202,"PASS","FAIL")</x:f>
        <x:v>PASS</x:v>
      </x:c>
    </x:row>
    <x:row r="203">
      <x:c r="B203" t="str">
        <x:v>A-00171</x:v>
      </x:c>
      <x:c r="C203" t="str">
        <x:v>GATE</x:v>
      </x:c>
      <x:c r="D203" t="str">
        <x:v>release state mirrors governing ledger</x:v>
      </x:c>
      <x:c r="E203" t="str">
        <x:f>'Release Gates'!I177</x:f>
        <x:v>PASS</x:v>
      </x:c>
      <x:c r="F203" t="str">
        <x:f>IF('Release Gates'!C177="PLANNING","PASS",IF('Release Gates'!C177="PHYSICAL","OPEN","BLOCKED"))</x:f>
        <x:v>PASS</x:v>
      </x:c>
      <x:c r="G203" t="str">
        <x:v>equals</x:v>
      </x:c>
      <x:c r="H203" t="str">
        <x:f>IF(E203=F203,"PASS","FAIL")</x:f>
        <x:v>PASS</x:v>
      </x:c>
    </x:row>
    <x:row r="204">
      <x:c r="B204" t="str">
        <x:v>A-00172</x:v>
      </x:c>
      <x:c r="C204" t="str">
        <x:v>GATE</x:v>
      </x:c>
      <x:c r="D204" t="str">
        <x:v>release state mirrors governing ledger</x:v>
      </x:c>
      <x:c r="E204" t="str">
        <x:f>'Release Gates'!I178</x:f>
        <x:v>PASS</x:v>
      </x:c>
      <x:c r="F204" t="str">
        <x:f>IF('Release Gates'!C178="PLANNING","PASS",IF('Release Gates'!C178="PHYSICAL","OPEN","BLOCKED"))</x:f>
        <x:v>PASS</x:v>
      </x:c>
      <x:c r="G204" t="str">
        <x:v>equals</x:v>
      </x:c>
      <x:c r="H204" t="str">
        <x:f>IF(E204=F204,"PASS","FAIL")</x:f>
        <x:v>PASS</x:v>
      </x:c>
    </x:row>
    <x:row r="205">
      <x:c r="B205" t="str">
        <x:v>A-00173</x:v>
      </x:c>
      <x:c r="C205" t="str">
        <x:v>GATE</x:v>
      </x:c>
      <x:c r="D205" t="str">
        <x:v>release state mirrors governing ledger</x:v>
      </x:c>
      <x:c r="E205" t="str">
        <x:f>'Release Gates'!I179</x:f>
        <x:v>PASS</x:v>
      </x:c>
      <x:c r="F205" t="str">
        <x:f>IF('Release Gates'!C179="PLANNING","PASS",IF('Release Gates'!C179="PHYSICAL","OPEN","BLOCKED"))</x:f>
        <x:v>PASS</x:v>
      </x:c>
      <x:c r="G205" t="str">
        <x:v>equals</x:v>
      </x:c>
      <x:c r="H205" t="str">
        <x:f>IF(E205=F205,"PASS","FAIL")</x:f>
        <x:v>PASS</x:v>
      </x:c>
    </x:row>
    <x:row r="206">
      <x:c r="B206" t="str">
        <x:v>A-00174</x:v>
      </x:c>
      <x:c r="C206" t="str">
        <x:v>GATE</x:v>
      </x:c>
      <x:c r="D206" t="str">
        <x:v>release state mirrors governing ledger</x:v>
      </x:c>
      <x:c r="E206" t="str">
        <x:f>'Release Gates'!I180</x:f>
        <x:v>PASS</x:v>
      </x:c>
      <x:c r="F206" t="str">
        <x:f>IF('Release Gates'!C180="PLANNING","PASS",IF('Release Gates'!C180="PHYSICAL","OPEN","BLOCKED"))</x:f>
        <x:v>PASS</x:v>
      </x:c>
      <x:c r="G206" t="str">
        <x:v>equals</x:v>
      </x:c>
      <x:c r="H206" t="str">
        <x:f>IF(E206=F206,"PASS","FAIL")</x:f>
        <x:v>PASS</x:v>
      </x:c>
    </x:row>
    <x:row r="207">
      <x:c r="B207" t="str">
        <x:v>A-00175</x:v>
      </x:c>
      <x:c r="C207" t="str">
        <x:v>GATE</x:v>
      </x:c>
      <x:c r="D207" t="str">
        <x:v>release state mirrors governing ledger</x:v>
      </x:c>
      <x:c r="E207" t="str">
        <x:f>'Release Gates'!I181</x:f>
        <x:v>PASS</x:v>
      </x:c>
      <x:c r="F207" t="str">
        <x:f>IF('Release Gates'!C181="PLANNING","PASS",IF('Release Gates'!C181="PHYSICAL","OPEN","BLOCKED"))</x:f>
        <x:v>PASS</x:v>
      </x:c>
      <x:c r="G207" t="str">
        <x:v>equals</x:v>
      </x:c>
      <x:c r="H207" t="str">
        <x:f>IF(E207=F207,"PASS","FAIL")</x:f>
        <x:v>PASS</x:v>
      </x:c>
    </x:row>
    <x:row r="208">
      <x:c r="B208" t="str">
        <x:v>A-00176</x:v>
      </x:c>
      <x:c r="C208" t="str">
        <x:v>GATE</x:v>
      </x:c>
      <x:c r="D208" t="str">
        <x:v>release state mirrors governing ledger</x:v>
      </x:c>
      <x:c r="E208" t="str">
        <x:f>'Release Gates'!I182</x:f>
        <x:v>PASS</x:v>
      </x:c>
      <x:c r="F208" t="str">
        <x:f>IF('Release Gates'!C182="PLANNING","PASS",IF('Release Gates'!C182="PHYSICAL","OPEN","BLOCKED"))</x:f>
        <x:v>PASS</x:v>
      </x:c>
      <x:c r="G208" t="str">
        <x:v>equals</x:v>
      </x:c>
      <x:c r="H208" t="str">
        <x:f>IF(E208=F208,"PASS","FAIL")</x:f>
        <x:v>PASS</x:v>
      </x:c>
    </x:row>
    <x:row r="209">
      <x:c r="B209" t="str">
        <x:v>A-00177</x:v>
      </x:c>
      <x:c r="C209" t="str">
        <x:v>GATE</x:v>
      </x:c>
      <x:c r="D209" t="str">
        <x:v>release state mirrors governing ledger</x:v>
      </x:c>
      <x:c r="E209" t="str">
        <x:f>'Release Gates'!I183</x:f>
        <x:v>PASS</x:v>
      </x:c>
      <x:c r="F209" t="str">
        <x:f>IF('Release Gates'!C183="PLANNING","PASS",IF('Release Gates'!C183="PHYSICAL","OPEN","BLOCKED"))</x:f>
        <x:v>PASS</x:v>
      </x:c>
      <x:c r="G209" t="str">
        <x:v>equals</x:v>
      </x:c>
      <x:c r="H209" t="str">
        <x:f>IF(E209=F209,"PASS","FAIL")</x:f>
        <x:v>PASS</x:v>
      </x:c>
    </x:row>
    <x:row r="210">
      <x:c r="B210" t="str">
        <x:v>A-00178</x:v>
      </x:c>
      <x:c r="C210" t="str">
        <x:v>GATE</x:v>
      </x:c>
      <x:c r="D210" t="str">
        <x:v>release state mirrors governing ledger</x:v>
      </x:c>
      <x:c r="E210" t="str">
        <x:f>'Release Gates'!I184</x:f>
        <x:v>PASS</x:v>
      </x:c>
      <x:c r="F210" t="str">
        <x:f>IF('Release Gates'!C184="PLANNING","PASS",IF('Release Gates'!C184="PHYSICAL","OPEN","BLOCKED"))</x:f>
        <x:v>PASS</x:v>
      </x:c>
      <x:c r="G210" t="str">
        <x:v>equals</x:v>
      </x:c>
      <x:c r="H210" t="str">
        <x:f>IF(E210=F210,"PASS","FAIL")</x:f>
        <x:v>PASS</x:v>
      </x:c>
    </x:row>
    <x:row r="211">
      <x:c r="B211" t="str">
        <x:v>A-00179</x:v>
      </x:c>
      <x:c r="C211" t="str">
        <x:v>GATE</x:v>
      </x:c>
      <x:c r="D211" t="str">
        <x:v>release state mirrors governing ledger</x:v>
      </x:c>
      <x:c r="E211" t="str">
        <x:f>'Release Gates'!I185</x:f>
        <x:v>PASS</x:v>
      </x:c>
      <x:c r="F211" t="str">
        <x:f>IF('Release Gates'!C185="PLANNING","PASS",IF('Release Gates'!C185="PHYSICAL","OPEN","BLOCKED"))</x:f>
        <x:v>PASS</x:v>
      </x:c>
      <x:c r="G211" t="str">
        <x:v>equals</x:v>
      </x:c>
      <x:c r="H211" t="str">
        <x:f>IF(E211=F211,"PASS","FAIL")</x:f>
        <x:v>PASS</x:v>
      </x:c>
    </x:row>
    <x:row r="212">
      <x:c r="B212" t="str">
        <x:v>A-00180</x:v>
      </x:c>
      <x:c r="C212" t="str">
        <x:v>GATE</x:v>
      </x:c>
      <x:c r="D212" t="str">
        <x:v>release state mirrors governing ledger</x:v>
      </x:c>
      <x:c r="E212" t="str">
        <x:f>'Release Gates'!I186</x:f>
        <x:v>PASS</x:v>
      </x:c>
      <x:c r="F212" t="str">
        <x:f>IF('Release Gates'!C186="PLANNING","PASS",IF('Release Gates'!C186="PHYSICAL","OPEN","BLOCKED"))</x:f>
        <x:v>PASS</x:v>
      </x:c>
      <x:c r="G212" t="str">
        <x:v>equals</x:v>
      </x:c>
      <x:c r="H212" t="str">
        <x:f>IF(E212=F212,"PASS","FAIL")</x:f>
        <x:v>PASS</x:v>
      </x:c>
    </x:row>
    <x:row r="213">
      <x:c r="B213" t="str">
        <x:v>A-00181</x:v>
      </x:c>
      <x:c r="C213" t="str">
        <x:v>GATE</x:v>
      </x:c>
      <x:c r="D213" t="str">
        <x:v>release state mirrors governing ledger</x:v>
      </x:c>
      <x:c r="E213" t="str">
        <x:f>'Release Gates'!I187</x:f>
        <x:v>PASS</x:v>
      </x:c>
      <x:c r="F213" t="str">
        <x:f>IF('Release Gates'!C187="PLANNING","PASS",IF('Release Gates'!C187="PHYSICAL","OPEN","BLOCKED"))</x:f>
        <x:v>PASS</x:v>
      </x:c>
      <x:c r="G213" t="str">
        <x:v>equals</x:v>
      </x:c>
      <x:c r="H213" t="str">
        <x:f>IF(E213=F213,"PASS","FAIL")</x:f>
        <x:v>PASS</x:v>
      </x:c>
    </x:row>
    <x:row r="214">
      <x:c r="B214" t="str">
        <x:v>A-00182</x:v>
      </x:c>
      <x:c r="C214" t="str">
        <x:v>GATE</x:v>
      </x:c>
      <x:c r="D214" t="str">
        <x:v>release state mirrors governing ledger</x:v>
      </x:c>
      <x:c r="E214" t="str">
        <x:f>'Release Gates'!I188</x:f>
        <x:v>PASS</x:v>
      </x:c>
      <x:c r="F214" t="str">
        <x:f>IF('Release Gates'!C188="PLANNING","PASS",IF('Release Gates'!C188="PHYSICAL","OPEN","BLOCKED"))</x:f>
        <x:v>PASS</x:v>
      </x:c>
      <x:c r="G214" t="str">
        <x:v>equals</x:v>
      </x:c>
      <x:c r="H214" t="str">
        <x:f>IF(E214=F214,"PASS","FAIL")</x:f>
        <x:v>PASS</x:v>
      </x:c>
    </x:row>
    <x:row r="215">
      <x:c r="B215" t="str">
        <x:v>A-00183</x:v>
      </x:c>
      <x:c r="C215" t="str">
        <x:v>GATE</x:v>
      </x:c>
      <x:c r="D215" t="str">
        <x:v>release state mirrors governing ledger</x:v>
      </x:c>
      <x:c r="E215" t="str">
        <x:f>'Release Gates'!I189</x:f>
        <x:v>PASS</x:v>
      </x:c>
      <x:c r="F215" t="str">
        <x:f>IF('Release Gates'!C189="PLANNING","PASS",IF('Release Gates'!C189="PHYSICAL","OPEN","BLOCKED"))</x:f>
        <x:v>PASS</x:v>
      </x:c>
      <x:c r="G215" t="str">
        <x:v>equals</x:v>
      </x:c>
      <x:c r="H215" t="str">
        <x:f>IF(E215=F215,"PASS","FAIL")</x:f>
        <x:v>PASS</x:v>
      </x:c>
    </x:row>
    <x:row r="216">
      <x:c r="B216" t="str">
        <x:v>A-00184</x:v>
      </x:c>
      <x:c r="C216" t="str">
        <x:v>GATE</x:v>
      </x:c>
      <x:c r="D216" t="str">
        <x:v>release state mirrors governing ledger</x:v>
      </x:c>
      <x:c r="E216" t="str">
        <x:f>'Release Gates'!I190</x:f>
        <x:v>PASS</x:v>
      </x:c>
      <x:c r="F216" t="str">
        <x:f>IF('Release Gates'!C190="PLANNING","PASS",IF('Release Gates'!C190="PHYSICAL","OPEN","BLOCKED"))</x:f>
        <x:v>PASS</x:v>
      </x:c>
      <x:c r="G216" t="str">
        <x:v>equals</x:v>
      </x:c>
      <x:c r="H216" t="str">
        <x:f>IF(E216=F216,"PASS","FAIL")</x:f>
        <x:v>PASS</x:v>
      </x:c>
    </x:row>
    <x:row r="217">
      <x:c r="B217" t="str">
        <x:v>A-00185</x:v>
      </x:c>
      <x:c r="C217" t="str">
        <x:v>GATE</x:v>
      </x:c>
      <x:c r="D217" t="str">
        <x:v>release state mirrors governing ledger</x:v>
      </x:c>
      <x:c r="E217" t="str">
        <x:f>'Release Gates'!I191</x:f>
        <x:v>PASS</x:v>
      </x:c>
      <x:c r="F217" t="str">
        <x:f>IF('Release Gates'!C191="PLANNING","PASS",IF('Release Gates'!C191="PHYSICAL","OPEN","BLOCKED"))</x:f>
        <x:v>PASS</x:v>
      </x:c>
      <x:c r="G217" t="str">
        <x:v>equals</x:v>
      </x:c>
      <x:c r="H217" t="str">
        <x:f>IF(E217=F217,"PASS","FAIL")</x:f>
        <x:v>PASS</x:v>
      </x:c>
    </x:row>
    <x:row r="218">
      <x:c r="B218" t="str">
        <x:v>A-00186</x:v>
      </x:c>
      <x:c r="C218" t="str">
        <x:v>GATE</x:v>
      </x:c>
      <x:c r="D218" t="str">
        <x:v>release state mirrors governing ledger</x:v>
      </x:c>
      <x:c r="E218" t="str">
        <x:f>'Release Gates'!I192</x:f>
        <x:v>PASS</x:v>
      </x:c>
      <x:c r="F218" t="str">
        <x:f>IF('Release Gates'!C192="PLANNING","PASS",IF('Release Gates'!C192="PHYSICAL","OPEN","BLOCKED"))</x:f>
        <x:v>PASS</x:v>
      </x:c>
      <x:c r="G218" t="str">
        <x:v>equals</x:v>
      </x:c>
      <x:c r="H218" t="str">
        <x:f>IF(E218=F218,"PASS","FAIL")</x:f>
        <x:v>PASS</x:v>
      </x:c>
    </x:row>
    <x:row r="219">
      <x:c r="B219" t="str">
        <x:v>A-00187</x:v>
      </x:c>
      <x:c r="C219" t="str">
        <x:v>GATE</x:v>
      </x:c>
      <x:c r="D219" t="str">
        <x:v>release state mirrors governing ledger</x:v>
      </x:c>
      <x:c r="E219" t="str">
        <x:f>'Release Gates'!I193</x:f>
        <x:v>PASS</x:v>
      </x:c>
      <x:c r="F219" t="str">
        <x:f>IF('Release Gates'!C193="PLANNING","PASS",IF('Release Gates'!C193="PHYSICAL","OPEN","BLOCKED"))</x:f>
        <x:v>PASS</x:v>
      </x:c>
      <x:c r="G219" t="str">
        <x:v>equals</x:v>
      </x:c>
      <x:c r="H219" t="str">
        <x:f>IF(E219=F219,"PASS","FAIL")</x:f>
        <x:v>PASS</x:v>
      </x:c>
    </x:row>
    <x:row r="220">
      <x:c r="B220" t="str">
        <x:v>A-00188</x:v>
      </x:c>
      <x:c r="C220" t="str">
        <x:v>GATE</x:v>
      </x:c>
      <x:c r="D220" t="str">
        <x:v>release state mirrors governing ledger</x:v>
      </x:c>
      <x:c r="E220" t="str">
        <x:f>'Release Gates'!I194</x:f>
        <x:v>PASS</x:v>
      </x:c>
      <x:c r="F220" t="str">
        <x:f>IF('Release Gates'!C194="PLANNING","PASS",IF('Release Gates'!C194="PHYSICAL","OPEN","BLOCKED"))</x:f>
        <x:v>PASS</x:v>
      </x:c>
      <x:c r="G220" t="str">
        <x:v>equals</x:v>
      </x:c>
      <x:c r="H220" t="str">
        <x:f>IF(E220=F220,"PASS","FAIL")</x:f>
        <x:v>PASS</x:v>
      </x:c>
    </x:row>
    <x:row r="221">
      <x:c r="B221" t="str">
        <x:v>A-00189</x:v>
      </x:c>
      <x:c r="C221" t="str">
        <x:v>GATE</x:v>
      </x:c>
      <x:c r="D221" t="str">
        <x:v>release state mirrors governing ledger</x:v>
      </x:c>
      <x:c r="E221" t="str">
        <x:f>'Release Gates'!I195</x:f>
        <x:v>PASS</x:v>
      </x:c>
      <x:c r="F221" t="str">
        <x:f>IF('Release Gates'!C195="PLANNING","PASS",IF('Release Gates'!C195="PHYSICAL","OPEN","BLOCKED"))</x:f>
        <x:v>PASS</x:v>
      </x:c>
      <x:c r="G221" t="str">
        <x:v>equals</x:v>
      </x:c>
      <x:c r="H221" t="str">
        <x:f>IF(E221=F221,"PASS","FAIL")</x:f>
        <x:v>PASS</x:v>
      </x:c>
    </x:row>
    <x:row r="222">
      <x:c r="B222" t="str">
        <x:v>A-00190</x:v>
      </x:c>
      <x:c r="C222" t="str">
        <x:v>GATE</x:v>
      </x:c>
      <x:c r="D222" t="str">
        <x:v>release state mirrors governing ledger</x:v>
      </x:c>
      <x:c r="E222" t="str">
        <x:f>'Release Gates'!I196</x:f>
        <x:v>PASS</x:v>
      </x:c>
      <x:c r="F222" t="str">
        <x:f>IF('Release Gates'!C196="PLANNING","PASS",IF('Release Gates'!C196="PHYSICAL","OPEN","BLOCKED"))</x:f>
        <x:v>PASS</x:v>
      </x:c>
      <x:c r="G222" t="str">
        <x:v>equals</x:v>
      </x:c>
      <x:c r="H222" t="str">
        <x:f>IF(E222=F222,"PASS","FAIL")</x:f>
        <x:v>PASS</x:v>
      </x:c>
    </x:row>
    <x:row r="223">
      <x:c r="B223" t="str">
        <x:v>A-00191</x:v>
      </x:c>
      <x:c r="C223" t="str">
        <x:v>GATE</x:v>
      </x:c>
      <x:c r="D223" t="str">
        <x:v>release state mirrors governing ledger</x:v>
      </x:c>
      <x:c r="E223" t="str">
        <x:f>'Release Gates'!I197</x:f>
        <x:v>PASS</x:v>
      </x:c>
      <x:c r="F223" t="str">
        <x:f>IF('Release Gates'!C197="PLANNING","PASS",IF('Release Gates'!C197="PHYSICAL","OPEN","BLOCKED"))</x:f>
        <x:v>PASS</x:v>
      </x:c>
      <x:c r="G223" t="str">
        <x:v>equals</x:v>
      </x:c>
      <x:c r="H223" t="str">
        <x:f>IF(E223=F223,"PASS","FAIL")</x:f>
        <x:v>PASS</x:v>
      </x:c>
    </x:row>
    <x:row r="224">
      <x:c r="B224" t="str">
        <x:v>A-00192</x:v>
      </x:c>
      <x:c r="C224" t="str">
        <x:v>GATE</x:v>
      </x:c>
      <x:c r="D224" t="str">
        <x:v>release state mirrors governing ledger</x:v>
      </x:c>
      <x:c r="E224" t="str">
        <x:f>'Release Gates'!I198</x:f>
        <x:v>PASS</x:v>
      </x:c>
      <x:c r="F224" t="str">
        <x:f>IF('Release Gates'!C198="PLANNING","PASS",IF('Release Gates'!C198="PHYSICAL","OPEN","BLOCKED"))</x:f>
        <x:v>PASS</x:v>
      </x:c>
      <x:c r="G224" t="str">
        <x:v>equals</x:v>
      </x:c>
      <x:c r="H224" t="str">
        <x:f>IF(E224=F224,"PASS","FAIL")</x:f>
        <x:v>PASS</x:v>
      </x:c>
    </x:row>
    <x:row r="225">
      <x:c r="B225" t="str">
        <x:v>A-00193</x:v>
      </x:c>
      <x:c r="C225" t="str">
        <x:v>GATE</x:v>
      </x:c>
      <x:c r="D225" t="str">
        <x:v>release state mirrors governing ledger</x:v>
      </x:c>
      <x:c r="E225" t="str">
        <x:f>'Release Gates'!I199</x:f>
        <x:v>PASS</x:v>
      </x:c>
      <x:c r="F225" t="str">
        <x:f>IF('Release Gates'!C199="PLANNING","PASS",IF('Release Gates'!C199="PHYSICAL","OPEN","BLOCKED"))</x:f>
        <x:v>PASS</x:v>
      </x:c>
      <x:c r="G225" t="str">
        <x:v>equals</x:v>
      </x:c>
      <x:c r="H225" t="str">
        <x:f>IF(E225=F225,"PASS","FAIL")</x:f>
        <x:v>PASS</x:v>
      </x:c>
    </x:row>
    <x:row r="226">
      <x:c r="B226" t="str">
        <x:v>A-00194</x:v>
      </x:c>
      <x:c r="C226" t="str">
        <x:v>GATE</x:v>
      </x:c>
      <x:c r="D226" t="str">
        <x:v>release state mirrors governing ledger</x:v>
      </x:c>
      <x:c r="E226" t="str">
        <x:f>'Release Gates'!I200</x:f>
        <x:v>PASS</x:v>
      </x:c>
      <x:c r="F226" t="str">
        <x:f>IF('Release Gates'!C200="PLANNING","PASS",IF('Release Gates'!C200="PHYSICAL","OPEN","BLOCKED"))</x:f>
        <x:v>PASS</x:v>
      </x:c>
      <x:c r="G226" t="str">
        <x:v>equals</x:v>
      </x:c>
      <x:c r="H226" t="str">
        <x:f>IF(E226=F226,"PASS","FAIL")</x:f>
        <x:v>PASS</x:v>
      </x:c>
    </x:row>
    <x:row r="227">
      <x:c r="B227" t="str">
        <x:v>A-00195</x:v>
      </x:c>
      <x:c r="C227" t="str">
        <x:v>GATE</x:v>
      </x:c>
      <x:c r="D227" t="str">
        <x:v>release state mirrors governing ledger</x:v>
      </x:c>
      <x:c r="E227" t="str">
        <x:f>'Release Gates'!I201</x:f>
        <x:v>PASS</x:v>
      </x:c>
      <x:c r="F227" t="str">
        <x:f>IF('Release Gates'!C201="PLANNING","PASS",IF('Release Gates'!C201="PHYSICAL","OPEN","BLOCKED"))</x:f>
        <x:v>PASS</x:v>
      </x:c>
      <x:c r="G227" t="str">
        <x:v>equals</x:v>
      </x:c>
      <x:c r="H227" t="str">
        <x:f>IF(E227=F227,"PASS","FAIL")</x:f>
        <x:v>PASS</x:v>
      </x:c>
    </x:row>
    <x:row r="228">
      <x:c r="B228" t="str">
        <x:v>A-00196</x:v>
      </x:c>
      <x:c r="C228" t="str">
        <x:v>GATE</x:v>
      </x:c>
      <x:c r="D228" t="str">
        <x:v>release state mirrors governing ledger</x:v>
      </x:c>
      <x:c r="E228" t="str">
        <x:f>'Release Gates'!I202</x:f>
        <x:v>PASS</x:v>
      </x:c>
      <x:c r="F228" t="str">
        <x:f>IF('Release Gates'!C202="PLANNING","PASS",IF('Release Gates'!C202="PHYSICAL","OPEN","BLOCKED"))</x:f>
        <x:v>PASS</x:v>
      </x:c>
      <x:c r="G228" t="str">
        <x:v>equals</x:v>
      </x:c>
      <x:c r="H228" t="str">
        <x:f>IF(E228=F228,"PASS","FAIL")</x:f>
        <x:v>PASS</x:v>
      </x:c>
    </x:row>
    <x:row r="229">
      <x:c r="B229" t="str">
        <x:v>A-00197</x:v>
      </x:c>
      <x:c r="C229" t="str">
        <x:v>GATE</x:v>
      </x:c>
      <x:c r="D229" t="str">
        <x:v>release state mirrors governing ledger</x:v>
      </x:c>
      <x:c r="E229" t="str">
        <x:f>'Release Gates'!I203</x:f>
        <x:v>PASS</x:v>
      </x:c>
      <x:c r="F229" t="str">
        <x:f>IF('Release Gates'!C203="PLANNING","PASS",IF('Release Gates'!C203="PHYSICAL","OPEN","BLOCKED"))</x:f>
        <x:v>PASS</x:v>
      </x:c>
      <x:c r="G229" t="str">
        <x:v>equals</x:v>
      </x:c>
      <x:c r="H229" t="str">
        <x:f>IF(E229=F229,"PASS","FAIL")</x:f>
        <x:v>PASS</x:v>
      </x:c>
    </x:row>
    <x:row r="230">
      <x:c r="B230" t="str">
        <x:v>A-00198</x:v>
      </x:c>
      <x:c r="C230" t="str">
        <x:v>GATE</x:v>
      </x:c>
      <x:c r="D230" t="str">
        <x:v>release state mirrors governing ledger</x:v>
      </x:c>
      <x:c r="E230" t="str">
        <x:f>'Release Gates'!I204</x:f>
        <x:v>PASS</x:v>
      </x:c>
      <x:c r="F230" t="str">
        <x:f>IF('Release Gates'!C204="PLANNING","PASS",IF('Release Gates'!C204="PHYSICAL","OPEN","BLOCKED"))</x:f>
        <x:v>PASS</x:v>
      </x:c>
      <x:c r="G230" t="str">
        <x:v>equals</x:v>
      </x:c>
      <x:c r="H230" t="str">
        <x:f>IF(E230=F230,"PASS","FAIL")</x:f>
        <x:v>PASS</x:v>
      </x:c>
    </x:row>
    <x:row r="231">
      <x:c r="B231" t="str">
        <x:v>A-00199</x:v>
      </x:c>
      <x:c r="C231" t="str">
        <x:v>GATE</x:v>
      </x:c>
      <x:c r="D231" t="str">
        <x:v>release state mirrors governing ledger</x:v>
      </x:c>
      <x:c r="E231" t="str">
        <x:f>'Release Gates'!I205</x:f>
        <x:v>PASS</x:v>
      </x:c>
      <x:c r="F231" t="str">
        <x:f>IF('Release Gates'!C205="PLANNING","PASS",IF('Release Gates'!C205="PHYSICAL","OPEN","BLOCKED"))</x:f>
        <x:v>PASS</x:v>
      </x:c>
      <x:c r="G231" t="str">
        <x:v>equals</x:v>
      </x:c>
      <x:c r="H231" t="str">
        <x:f>IF(E231=F231,"PASS","FAIL")</x:f>
        <x:v>PASS</x:v>
      </x:c>
    </x:row>
    <x:row r="232">
      <x:c r="B232" t="str">
        <x:v>A-00200</x:v>
      </x:c>
      <x:c r="C232" t="str">
        <x:v>GATE</x:v>
      </x:c>
      <x:c r="D232" t="str">
        <x:v>release state mirrors governing ledger</x:v>
      </x:c>
      <x:c r="E232" t="str">
        <x:f>'Release Gates'!I206</x:f>
        <x:v>PASS</x:v>
      </x:c>
      <x:c r="F232" t="str">
        <x:f>IF('Release Gates'!C206="PLANNING","PASS",IF('Release Gates'!C206="PHYSICAL","OPEN","BLOCKED"))</x:f>
        <x:v>PASS</x:v>
      </x:c>
      <x:c r="G232" t="str">
        <x:v>equals</x:v>
      </x:c>
      <x:c r="H232" t="str">
        <x:f>IF(E232=F232,"PASS","FAIL")</x:f>
        <x:v>PASS</x:v>
      </x:c>
    </x:row>
    <x:row r="233">
      <x:c r="B233" t="str">
        <x:v>A-00201</x:v>
      </x:c>
      <x:c r="C233" t="str">
        <x:v>GATE</x:v>
      </x:c>
      <x:c r="D233" t="str">
        <x:v>release state mirrors governing ledger</x:v>
      </x:c>
      <x:c r="E233" t="str">
        <x:f>'Release Gates'!I207</x:f>
        <x:v>PASS</x:v>
      </x:c>
      <x:c r="F233" t="str">
        <x:f>IF('Release Gates'!C207="PLANNING","PASS",IF('Release Gates'!C207="PHYSICAL","OPEN","BLOCKED"))</x:f>
        <x:v>PASS</x:v>
      </x:c>
      <x:c r="G233" t="str">
        <x:v>equals</x:v>
      </x:c>
      <x:c r="H233" t="str">
        <x:f>IF(E233=F233,"PASS","FAIL")</x:f>
        <x:v>PASS</x:v>
      </x:c>
    </x:row>
    <x:row r="234">
      <x:c r="B234" t="str">
        <x:v>A-00202</x:v>
      </x:c>
      <x:c r="C234" t="str">
        <x:v>GATE</x:v>
      </x:c>
      <x:c r="D234" t="str">
        <x:v>release state mirrors governing ledger</x:v>
      </x:c>
      <x:c r="E234" t="str">
        <x:f>'Release Gates'!I208</x:f>
        <x:v>PASS</x:v>
      </x:c>
      <x:c r="F234" t="str">
        <x:f>IF('Release Gates'!C208="PLANNING","PASS",IF('Release Gates'!C208="PHYSICAL","OPEN","BLOCKED"))</x:f>
        <x:v>PASS</x:v>
      </x:c>
      <x:c r="G234" t="str">
        <x:v>equals</x:v>
      </x:c>
      <x:c r="H234" t="str">
        <x:f>IF(E234=F234,"PASS","FAIL")</x:f>
        <x:v>PASS</x:v>
      </x:c>
    </x:row>
    <x:row r="235">
      <x:c r="B235" t="str">
        <x:v>A-00203</x:v>
      </x:c>
      <x:c r="C235" t="str">
        <x:v>GATE</x:v>
      </x:c>
      <x:c r="D235" t="str">
        <x:v>release state mirrors governing ledger</x:v>
      </x:c>
      <x:c r="E235" t="str">
        <x:f>'Release Gates'!I209</x:f>
        <x:v>PASS</x:v>
      </x:c>
      <x:c r="F235" t="str">
        <x:f>IF('Release Gates'!C209="PLANNING","PASS",IF('Release Gates'!C209="PHYSICAL","OPEN","BLOCKED"))</x:f>
        <x:v>PASS</x:v>
      </x:c>
      <x:c r="G235" t="str">
        <x:v>equals</x:v>
      </x:c>
      <x:c r="H235" t="str">
        <x:f>IF(E235=F235,"PASS","FAIL")</x:f>
        <x:v>PASS</x:v>
      </x:c>
    </x:row>
    <x:row r="236">
      <x:c r="B236" t="str">
        <x:v>A-00204</x:v>
      </x:c>
      <x:c r="C236" t="str">
        <x:v>GATE</x:v>
      </x:c>
      <x:c r="D236" t="str">
        <x:v>release state mirrors governing ledger</x:v>
      </x:c>
      <x:c r="E236" t="str">
        <x:f>'Release Gates'!I210</x:f>
        <x:v>PASS</x:v>
      </x:c>
      <x:c r="F236" t="str">
        <x:f>IF('Release Gates'!C210="PLANNING","PASS",IF('Release Gates'!C210="PHYSICAL","OPEN","BLOCKED"))</x:f>
        <x:v>PASS</x:v>
      </x:c>
      <x:c r="G236" t="str">
        <x:v>equals</x:v>
      </x:c>
      <x:c r="H236" t="str">
        <x:f>IF(E236=F236,"PASS","FAIL")</x:f>
        <x:v>PASS</x:v>
      </x:c>
    </x:row>
    <x:row r="237">
      <x:c r="B237" t="str">
        <x:v>A-00205</x:v>
      </x:c>
      <x:c r="C237" t="str">
        <x:v>GATE</x:v>
      </x:c>
      <x:c r="D237" t="str">
        <x:v>release state mirrors governing ledger</x:v>
      </x:c>
      <x:c r="E237" t="str">
        <x:f>'Release Gates'!I211</x:f>
        <x:v>PASS</x:v>
      </x:c>
      <x:c r="F237" t="str">
        <x:f>IF('Release Gates'!C211="PLANNING","PASS",IF('Release Gates'!C211="PHYSICAL","OPEN","BLOCKED"))</x:f>
        <x:v>PASS</x:v>
      </x:c>
      <x:c r="G237" t="str">
        <x:v>equals</x:v>
      </x:c>
      <x:c r="H237" t="str">
        <x:f>IF(E237=F237,"PASS","FAIL")</x:f>
        <x:v>PASS</x:v>
      </x:c>
    </x:row>
    <x:row r="238">
      <x:c r="B238" t="str">
        <x:v>A-00206</x:v>
      </x:c>
      <x:c r="C238" t="str">
        <x:v>GATE</x:v>
      </x:c>
      <x:c r="D238" t="str">
        <x:v>release state mirrors governing ledger</x:v>
      </x:c>
      <x:c r="E238" t="str">
        <x:f>'Release Gates'!I212</x:f>
        <x:v>PASS</x:v>
      </x:c>
      <x:c r="F238" t="str">
        <x:f>IF('Release Gates'!C212="PLANNING","PASS",IF('Release Gates'!C212="PHYSICAL","OPEN","BLOCKED"))</x:f>
        <x:v>PASS</x:v>
      </x:c>
      <x:c r="G238" t="str">
        <x:v>equals</x:v>
      </x:c>
      <x:c r="H238" t="str">
        <x:f>IF(E238=F238,"PASS","FAIL")</x:f>
        <x:v>PASS</x:v>
      </x:c>
    </x:row>
    <x:row r="239">
      <x:c r="B239" t="str">
        <x:v>A-00207</x:v>
      </x:c>
      <x:c r="C239" t="str">
        <x:v>GATE</x:v>
      </x:c>
      <x:c r="D239" t="str">
        <x:v>release state mirrors governing ledger</x:v>
      </x:c>
      <x:c r="E239" t="str">
        <x:f>'Release Gates'!I213</x:f>
        <x:v>PASS</x:v>
      </x:c>
      <x:c r="F239" t="str">
        <x:f>IF('Release Gates'!C213="PLANNING","PASS",IF('Release Gates'!C213="PHYSICAL","OPEN","BLOCKED"))</x:f>
        <x:v>PASS</x:v>
      </x:c>
      <x:c r="G239" t="str">
        <x:v>equals</x:v>
      </x:c>
      <x:c r="H239" t="str">
        <x:f>IF(E239=F239,"PASS","FAIL")</x:f>
        <x:v>PASS</x:v>
      </x:c>
    </x:row>
    <x:row r="240">
      <x:c r="B240" t="str">
        <x:v>A-00208</x:v>
      </x:c>
      <x:c r="C240" t="str">
        <x:v>GATE</x:v>
      </x:c>
      <x:c r="D240" t="str">
        <x:v>release state mirrors governing ledger</x:v>
      </x:c>
      <x:c r="E240" t="str">
        <x:f>'Release Gates'!I214</x:f>
        <x:v>PASS</x:v>
      </x:c>
      <x:c r="F240" t="str">
        <x:f>IF('Release Gates'!C214="PLANNING","PASS",IF('Release Gates'!C214="PHYSICAL","OPEN","BLOCKED"))</x:f>
        <x:v>PASS</x:v>
      </x:c>
      <x:c r="G240" t="str">
        <x:v>equals</x:v>
      </x:c>
      <x:c r="H240" t="str">
        <x:f>IF(E240=F240,"PASS","FAIL")</x:f>
        <x:v>PASS</x:v>
      </x:c>
    </x:row>
    <x:row r="241">
      <x:c r="B241" t="str">
        <x:v>A-00209</x:v>
      </x:c>
      <x:c r="C241" t="str">
        <x:v>GATE</x:v>
      </x:c>
      <x:c r="D241" t="str">
        <x:v>release state mirrors governing ledger</x:v>
      </x:c>
      <x:c r="E241" t="str">
        <x:f>'Release Gates'!I215</x:f>
        <x:v>PASS</x:v>
      </x:c>
      <x:c r="F241" t="str">
        <x:f>IF('Release Gates'!C215="PLANNING","PASS",IF('Release Gates'!C215="PHYSICAL","OPEN","BLOCKED"))</x:f>
        <x:v>PASS</x:v>
      </x:c>
      <x:c r="G241" t="str">
        <x:v>equals</x:v>
      </x:c>
      <x:c r="H241" t="str">
        <x:f>IF(E241=F241,"PASS","FAIL")</x:f>
        <x:v>PASS</x:v>
      </x:c>
    </x:row>
    <x:row r="242">
      <x:c r="B242" t="str">
        <x:v>A-00210</x:v>
      </x:c>
      <x:c r="C242" t="str">
        <x:v>GATE</x:v>
      </x:c>
      <x:c r="D242" t="str">
        <x:v>release state mirrors governing ledger</x:v>
      </x:c>
      <x:c r="E242" t="str">
        <x:f>'Release Gates'!I216</x:f>
        <x:v>PASS</x:v>
      </x:c>
      <x:c r="F242" t="str">
        <x:f>IF('Release Gates'!C216="PLANNING","PASS",IF('Release Gates'!C216="PHYSICAL","OPEN","BLOCKED"))</x:f>
        <x:v>PASS</x:v>
      </x:c>
      <x:c r="G242" t="str">
        <x:v>equals</x:v>
      </x:c>
      <x:c r="H242" t="str">
        <x:f>IF(E242=F242,"PASS","FAIL")</x:f>
        <x:v>PASS</x:v>
      </x:c>
    </x:row>
    <x:row r="243">
      <x:c r="B243" t="str">
        <x:v>A-00211</x:v>
      </x:c>
      <x:c r="C243" t="str">
        <x:v>GATE</x:v>
      </x:c>
      <x:c r="D243" t="str">
        <x:v>release state mirrors governing ledger</x:v>
      </x:c>
      <x:c r="E243" t="str">
        <x:f>'Release Gates'!I217</x:f>
        <x:v>PASS</x:v>
      </x:c>
      <x:c r="F243" t="str">
        <x:f>IF('Release Gates'!C217="PLANNING","PASS",IF('Release Gates'!C217="PHYSICAL","OPEN","BLOCKED"))</x:f>
        <x:v>PASS</x:v>
      </x:c>
      <x:c r="G243" t="str">
        <x:v>equals</x:v>
      </x:c>
      <x:c r="H243" t="str">
        <x:f>IF(E243=F243,"PASS","FAIL")</x:f>
        <x:v>PASS</x:v>
      </x:c>
    </x:row>
    <x:row r="244">
      <x:c r="B244" t="str">
        <x:v>A-00212</x:v>
      </x:c>
      <x:c r="C244" t="str">
        <x:v>GATE</x:v>
      </x:c>
      <x:c r="D244" t="str">
        <x:v>release state mirrors governing ledger</x:v>
      </x:c>
      <x:c r="E244" t="str">
        <x:f>'Release Gates'!I218</x:f>
        <x:v>PASS</x:v>
      </x:c>
      <x:c r="F244" t="str">
        <x:f>IF('Release Gates'!C218="PLANNING","PASS",IF('Release Gates'!C218="PHYSICAL","OPEN","BLOCKED"))</x:f>
        <x:v>PASS</x:v>
      </x:c>
      <x:c r="G244" t="str">
        <x:v>equals</x:v>
      </x:c>
      <x:c r="H244" t="str">
        <x:f>IF(E244=F244,"PASS","FAIL")</x:f>
        <x:v>PASS</x:v>
      </x:c>
    </x:row>
    <x:row r="245">
      <x:c r="B245" t="str">
        <x:v>A-00213</x:v>
      </x:c>
      <x:c r="C245" t="str">
        <x:v>GATE</x:v>
      </x:c>
      <x:c r="D245" t="str">
        <x:v>release state mirrors governing ledger</x:v>
      </x:c>
      <x:c r="E245" t="str">
        <x:f>'Release Gates'!I219</x:f>
        <x:v>PASS</x:v>
      </x:c>
      <x:c r="F245" t="str">
        <x:f>IF('Release Gates'!C219="PLANNING","PASS",IF('Release Gates'!C219="PHYSICAL","OPEN","BLOCKED"))</x:f>
        <x:v>PASS</x:v>
      </x:c>
      <x:c r="G245" t="str">
        <x:v>equals</x:v>
      </x:c>
      <x:c r="H245" t="str">
        <x:f>IF(E245=F245,"PASS","FAIL")</x:f>
        <x:v>PASS</x:v>
      </x:c>
    </x:row>
    <x:row r="246">
      <x:c r="B246" t="str">
        <x:v>A-00214</x:v>
      </x:c>
      <x:c r="C246" t="str">
        <x:v>GATE</x:v>
      </x:c>
      <x:c r="D246" t="str">
        <x:v>release state mirrors governing ledger</x:v>
      </x:c>
      <x:c r="E246" t="str">
        <x:f>'Release Gates'!I220</x:f>
        <x:v>PASS</x:v>
      </x:c>
      <x:c r="F246" t="str">
        <x:f>IF('Release Gates'!C220="PLANNING","PASS",IF('Release Gates'!C220="PHYSICAL","OPEN","BLOCKED"))</x:f>
        <x:v>PASS</x:v>
      </x:c>
      <x:c r="G246" t="str">
        <x:v>equals</x:v>
      </x:c>
      <x:c r="H246" t="str">
        <x:f>IF(E246=F246,"PASS","FAIL")</x:f>
        <x:v>PASS</x:v>
      </x:c>
    </x:row>
    <x:row r="247">
      <x:c r="B247" t="str">
        <x:v>A-00215</x:v>
      </x:c>
      <x:c r="C247" t="str">
        <x:v>GATE</x:v>
      </x:c>
      <x:c r="D247" t="str">
        <x:v>release state mirrors governing ledger</x:v>
      </x:c>
      <x:c r="E247" t="str">
        <x:f>'Release Gates'!I221</x:f>
        <x:v>PASS</x:v>
      </x:c>
      <x:c r="F247" t="str">
        <x:f>IF('Release Gates'!C221="PLANNING","PASS",IF('Release Gates'!C221="PHYSICAL","OPEN","BLOCKED"))</x:f>
        <x:v>PASS</x:v>
      </x:c>
      <x:c r="G247" t="str">
        <x:v>equals</x:v>
      </x:c>
      <x:c r="H247" t="str">
        <x:f>IF(E247=F247,"PASS","FAIL")</x:f>
        <x:v>PASS</x:v>
      </x:c>
    </x:row>
    <x:row r="248">
      <x:c r="B248" t="str">
        <x:v>A-00216</x:v>
      </x:c>
      <x:c r="C248" t="str">
        <x:v>GATE</x:v>
      </x:c>
      <x:c r="D248" t="str">
        <x:v>release state mirrors governing ledger</x:v>
      </x:c>
      <x:c r="E248" t="str">
        <x:f>'Release Gates'!I222</x:f>
        <x:v>PASS</x:v>
      </x:c>
      <x:c r="F248" t="str">
        <x:f>IF('Release Gates'!C222="PLANNING","PASS",IF('Release Gates'!C222="PHYSICAL","OPEN","BLOCKED"))</x:f>
        <x:v>PASS</x:v>
      </x:c>
      <x:c r="G248" t="str">
        <x:v>equals</x:v>
      </x:c>
      <x:c r="H248" t="str">
        <x:f>IF(E248=F248,"PASS","FAIL")</x:f>
        <x:v>PASS</x:v>
      </x:c>
    </x:row>
    <x:row r="249">
      <x:c r="B249" t="str">
        <x:v>A-00217</x:v>
      </x:c>
      <x:c r="C249" t="str">
        <x:v>GATE</x:v>
      </x:c>
      <x:c r="D249" t="str">
        <x:v>release state mirrors governing ledger</x:v>
      </x:c>
      <x:c r="E249" t="str">
        <x:f>'Release Gates'!I223</x:f>
        <x:v>PASS</x:v>
      </x:c>
      <x:c r="F249" t="str">
        <x:f>IF('Release Gates'!C223="PLANNING","PASS",IF('Release Gates'!C223="PHYSICAL","OPEN","BLOCKED"))</x:f>
        <x:v>PASS</x:v>
      </x:c>
      <x:c r="G249" t="str">
        <x:v>equals</x:v>
      </x:c>
      <x:c r="H249" t="str">
        <x:f>IF(E249=F249,"PASS","FAIL")</x:f>
        <x:v>PASS</x:v>
      </x:c>
    </x:row>
    <x:row r="250">
      <x:c r="B250" t="str">
        <x:v>A-00218</x:v>
      </x:c>
      <x:c r="C250" t="str">
        <x:v>GATE</x:v>
      </x:c>
      <x:c r="D250" t="str">
        <x:v>release state mirrors governing ledger</x:v>
      </x:c>
      <x:c r="E250" t="str">
        <x:f>'Release Gates'!I224</x:f>
        <x:v>PASS</x:v>
      </x:c>
      <x:c r="F250" t="str">
        <x:f>IF('Release Gates'!C224="PLANNING","PASS",IF('Release Gates'!C224="PHYSICAL","OPEN","BLOCKED"))</x:f>
        <x:v>PASS</x:v>
      </x:c>
      <x:c r="G250" t="str">
        <x:v>equals</x:v>
      </x:c>
      <x:c r="H250" t="str">
        <x:f>IF(E250=F250,"PASS","FAIL")</x:f>
        <x:v>PASS</x:v>
      </x:c>
    </x:row>
    <x:row r="251">
      <x:c r="B251" t="str">
        <x:v>A-00219</x:v>
      </x:c>
      <x:c r="C251" t="str">
        <x:v>GATE</x:v>
      </x:c>
      <x:c r="D251" t="str">
        <x:v>release state mirrors governing ledger</x:v>
      </x:c>
      <x:c r="E251" t="str">
        <x:f>'Release Gates'!I225</x:f>
        <x:v>PASS</x:v>
      </x:c>
      <x:c r="F251" t="str">
        <x:f>IF('Release Gates'!C225="PLANNING","PASS",IF('Release Gates'!C225="PHYSICAL","OPEN","BLOCKED"))</x:f>
        <x:v>PASS</x:v>
      </x:c>
      <x:c r="G251" t="str">
        <x:v>equals</x:v>
      </x:c>
      <x:c r="H251" t="str">
        <x:f>IF(E251=F251,"PASS","FAIL")</x:f>
        <x:v>PASS</x:v>
      </x:c>
    </x:row>
    <x:row r="252">
      <x:c r="B252" t="str">
        <x:v>A-00220</x:v>
      </x:c>
      <x:c r="C252" t="str">
        <x:v>GATE</x:v>
      </x:c>
      <x:c r="D252" t="str">
        <x:v>release state mirrors governing ledger</x:v>
      </x:c>
      <x:c r="E252" t="str">
        <x:f>'Release Gates'!I226</x:f>
        <x:v>PASS</x:v>
      </x:c>
      <x:c r="F252" t="str">
        <x:f>IF('Release Gates'!C226="PLANNING","PASS",IF('Release Gates'!C226="PHYSICAL","OPEN","BLOCKED"))</x:f>
        <x:v>PASS</x:v>
      </x:c>
      <x:c r="G252" t="str">
        <x:v>equals</x:v>
      </x:c>
      <x:c r="H252" t="str">
        <x:f>IF(E252=F252,"PASS","FAIL")</x:f>
        <x:v>PASS</x:v>
      </x:c>
    </x:row>
    <x:row r="253">
      <x:c r="B253" t="str">
        <x:v>A-00221</x:v>
      </x:c>
      <x:c r="C253" t="str">
        <x:v>GATE</x:v>
      </x:c>
      <x:c r="D253" t="str">
        <x:v>release state mirrors governing ledger</x:v>
      </x:c>
      <x:c r="E253" t="str">
        <x:f>'Release Gates'!I227</x:f>
        <x:v>PASS</x:v>
      </x:c>
      <x:c r="F253" t="str">
        <x:f>IF('Release Gates'!C227="PLANNING","PASS",IF('Release Gates'!C227="PHYSICAL","OPEN","BLOCKED"))</x:f>
        <x:v>PASS</x:v>
      </x:c>
      <x:c r="G253" t="str">
        <x:v>equals</x:v>
      </x:c>
      <x:c r="H253" t="str">
        <x:f>IF(E253=F253,"PASS","FAIL")</x:f>
        <x:v>PASS</x:v>
      </x:c>
    </x:row>
    <x:row r="254">
      <x:c r="B254" t="str">
        <x:v>A-00222</x:v>
      </x:c>
      <x:c r="C254" t="str">
        <x:v>GATE</x:v>
      </x:c>
      <x:c r="D254" t="str">
        <x:v>release state mirrors governing ledger</x:v>
      </x:c>
      <x:c r="E254" t="str">
        <x:f>'Release Gates'!I228</x:f>
        <x:v>PASS</x:v>
      </x:c>
      <x:c r="F254" t="str">
        <x:f>IF('Release Gates'!C228="PLANNING","PASS",IF('Release Gates'!C228="PHYSICAL","OPEN","BLOCKED"))</x:f>
        <x:v>PASS</x:v>
      </x:c>
      <x:c r="G254" t="str">
        <x:v>equals</x:v>
      </x:c>
      <x:c r="H254" t="str">
        <x:f>IF(E254=F254,"PASS","FAIL")</x:f>
        <x:v>PASS</x:v>
      </x:c>
    </x:row>
    <x:row r="255">
      <x:c r="B255" t="str">
        <x:v>A-00223</x:v>
      </x:c>
      <x:c r="C255" t="str">
        <x:v>GATE</x:v>
      </x:c>
      <x:c r="D255" t="str">
        <x:v>release state mirrors governing ledger</x:v>
      </x:c>
      <x:c r="E255" t="str">
        <x:f>'Release Gates'!I229</x:f>
        <x:v>PASS</x:v>
      </x:c>
      <x:c r="F255" t="str">
        <x:f>IF('Release Gates'!C229="PLANNING","PASS",IF('Release Gates'!C229="PHYSICAL","OPEN","BLOCKED"))</x:f>
        <x:v>PASS</x:v>
      </x:c>
      <x:c r="G255" t="str">
        <x:v>equals</x:v>
      </x:c>
      <x:c r="H255" t="str">
        <x:f>IF(E255=F255,"PASS","FAIL")</x:f>
        <x:v>PASS</x:v>
      </x:c>
    </x:row>
    <x:row r="256">
      <x:c r="B256" t="str">
        <x:v>A-00224</x:v>
      </x:c>
      <x:c r="C256" t="str">
        <x:v>GATE</x:v>
      </x:c>
      <x:c r="D256" t="str">
        <x:v>release state mirrors governing ledger</x:v>
      </x:c>
      <x:c r="E256" t="str">
        <x:f>'Release Gates'!I230</x:f>
        <x:v>PASS</x:v>
      </x:c>
      <x:c r="F256" t="str">
        <x:f>IF('Release Gates'!C230="PLANNING","PASS",IF('Release Gates'!C230="PHYSICAL","OPEN","BLOCKED"))</x:f>
        <x:v>PASS</x:v>
      </x:c>
      <x:c r="G256" t="str">
        <x:v>equals</x:v>
      </x:c>
      <x:c r="H256" t="str">
        <x:f>IF(E256=F256,"PASS","FAIL")</x:f>
        <x:v>PASS</x:v>
      </x:c>
    </x:row>
    <x:row r="257">
      <x:c r="B257" t="str">
        <x:v>A-00225</x:v>
      </x:c>
      <x:c r="C257" t="str">
        <x:v>GATE</x:v>
      </x:c>
      <x:c r="D257" t="str">
        <x:v>release state mirrors governing ledger</x:v>
      </x:c>
      <x:c r="E257" t="str">
        <x:f>'Release Gates'!I231</x:f>
        <x:v>PASS</x:v>
      </x:c>
      <x:c r="F257" t="str">
        <x:f>IF('Release Gates'!C231="PLANNING","PASS",IF('Release Gates'!C231="PHYSICAL","OPEN","BLOCKED"))</x:f>
        <x:v>PASS</x:v>
      </x:c>
      <x:c r="G257" t="str">
        <x:v>equals</x:v>
      </x:c>
      <x:c r="H257" t="str">
        <x:f>IF(E257=F257,"PASS","FAIL")</x:f>
        <x:v>PASS</x:v>
      </x:c>
    </x:row>
    <x:row r="258">
      <x:c r="B258" t="str">
        <x:v>A-00226</x:v>
      </x:c>
      <x:c r="C258" t="str">
        <x:v>GATE</x:v>
      </x:c>
      <x:c r="D258" t="str">
        <x:v>release state mirrors governing ledger</x:v>
      </x:c>
      <x:c r="E258" t="str">
        <x:f>'Release Gates'!I232</x:f>
        <x:v>PASS</x:v>
      </x:c>
      <x:c r="F258" t="str">
        <x:f>IF('Release Gates'!C232="PLANNING","PASS",IF('Release Gates'!C232="PHYSICAL","OPEN","BLOCKED"))</x:f>
        <x:v>PASS</x:v>
      </x:c>
      <x:c r="G258" t="str">
        <x:v>equals</x:v>
      </x:c>
      <x:c r="H258" t="str">
        <x:f>IF(E258=F258,"PASS","FAIL")</x:f>
        <x:v>PASS</x:v>
      </x:c>
    </x:row>
    <x:row r="259">
      <x:c r="B259" t="str">
        <x:v>A-00227</x:v>
      </x:c>
      <x:c r="C259" t="str">
        <x:v>GATE</x:v>
      </x:c>
      <x:c r="D259" t="str">
        <x:v>release state mirrors governing ledger</x:v>
      </x:c>
      <x:c r="E259" t="str">
        <x:f>'Release Gates'!I233</x:f>
        <x:v>PASS</x:v>
      </x:c>
      <x:c r="F259" t="str">
        <x:f>IF('Release Gates'!C233="PLANNING","PASS",IF('Release Gates'!C233="PHYSICAL","OPEN","BLOCKED"))</x:f>
        <x:v>PASS</x:v>
      </x:c>
      <x:c r="G259" t="str">
        <x:v>equals</x:v>
      </x:c>
      <x:c r="H259" t="str">
        <x:f>IF(E259=F259,"PASS","FAIL")</x:f>
        <x:v>PASS</x:v>
      </x:c>
    </x:row>
    <x:row r="260">
      <x:c r="B260" t="str">
        <x:v>A-00228</x:v>
      </x:c>
      <x:c r="C260" t="str">
        <x:v>GATE</x:v>
      </x:c>
      <x:c r="D260" t="str">
        <x:v>release state mirrors governing ledger</x:v>
      </x:c>
      <x:c r="E260" t="str">
        <x:f>'Release Gates'!I234</x:f>
        <x:v>PASS</x:v>
      </x:c>
      <x:c r="F260" t="str">
        <x:f>IF('Release Gates'!C234="PLANNING","PASS",IF('Release Gates'!C234="PHYSICAL","OPEN","BLOCKED"))</x:f>
        <x:v>PASS</x:v>
      </x:c>
      <x:c r="G260" t="str">
        <x:v>equals</x:v>
      </x:c>
      <x:c r="H260" t="str">
        <x:f>IF(E260=F260,"PASS","FAIL")</x:f>
        <x:v>PASS</x:v>
      </x:c>
    </x:row>
    <x:row r="261">
      <x:c r="B261" t="str">
        <x:v>A-00229</x:v>
      </x:c>
      <x:c r="C261" t="str">
        <x:v>GATE</x:v>
      </x:c>
      <x:c r="D261" t="str">
        <x:v>release state mirrors governing ledger</x:v>
      </x:c>
      <x:c r="E261" t="str">
        <x:f>'Release Gates'!I235</x:f>
        <x:v>PASS</x:v>
      </x:c>
      <x:c r="F261" t="str">
        <x:f>IF('Release Gates'!C235="PLANNING","PASS",IF('Release Gates'!C235="PHYSICAL","OPEN","BLOCKED"))</x:f>
        <x:v>PASS</x:v>
      </x:c>
      <x:c r="G261" t="str">
        <x:v>equals</x:v>
      </x:c>
      <x:c r="H261" t="str">
        <x:f>IF(E261=F261,"PASS","FAIL")</x:f>
        <x:v>PASS</x:v>
      </x:c>
    </x:row>
    <x:row r="262">
      <x:c r="B262" t="str">
        <x:v>A-00230</x:v>
      </x:c>
      <x:c r="C262" t="str">
        <x:v>GATE</x:v>
      </x:c>
      <x:c r="D262" t="str">
        <x:v>release state mirrors governing ledger</x:v>
      </x:c>
      <x:c r="E262" t="str">
        <x:f>'Release Gates'!I236</x:f>
        <x:v>PASS</x:v>
      </x:c>
      <x:c r="F262" t="str">
        <x:f>IF('Release Gates'!C236="PLANNING","PASS",IF('Release Gates'!C236="PHYSICAL","OPEN","BLOCKED"))</x:f>
        <x:v>PASS</x:v>
      </x:c>
      <x:c r="G262" t="str">
        <x:v>equals</x:v>
      </x:c>
      <x:c r="H262" t="str">
        <x:f>IF(E262=F262,"PASS","FAIL")</x:f>
        <x:v>PASS</x:v>
      </x:c>
    </x:row>
    <x:row r="263">
      <x:c r="B263" t="str">
        <x:v>A-00231</x:v>
      </x:c>
      <x:c r="C263" t="str">
        <x:v>GATE</x:v>
      </x:c>
      <x:c r="D263" t="str">
        <x:v>release state mirrors governing ledger</x:v>
      </x:c>
      <x:c r="E263" t="str">
        <x:f>'Release Gates'!I237</x:f>
        <x:v>PASS</x:v>
      </x:c>
      <x:c r="F263" t="str">
        <x:f>IF('Release Gates'!C237="PLANNING","PASS",IF('Release Gates'!C237="PHYSICAL","OPEN","BLOCKED"))</x:f>
        <x:v>PASS</x:v>
      </x:c>
      <x:c r="G263" t="str">
        <x:v>equals</x:v>
      </x:c>
      <x:c r="H263" t="str">
        <x:f>IF(E263=F263,"PASS","FAIL")</x:f>
        <x:v>PASS</x:v>
      </x:c>
    </x:row>
    <x:row r="264">
      <x:c r="B264" t="str">
        <x:v>A-00232</x:v>
      </x:c>
      <x:c r="C264" t="str">
        <x:v>GATE</x:v>
      </x:c>
      <x:c r="D264" t="str">
        <x:v>release state mirrors governing ledger</x:v>
      </x:c>
      <x:c r="E264" t="str">
        <x:f>'Release Gates'!I238</x:f>
        <x:v>PASS</x:v>
      </x:c>
      <x:c r="F264" t="str">
        <x:f>IF('Release Gates'!C238="PLANNING","PASS",IF('Release Gates'!C238="PHYSICAL","OPEN","BLOCKED"))</x:f>
        <x:v>PASS</x:v>
      </x:c>
      <x:c r="G264" t="str">
        <x:v>equals</x:v>
      </x:c>
      <x:c r="H264" t="str">
        <x:f>IF(E264=F264,"PASS","FAIL")</x:f>
        <x:v>PASS</x:v>
      </x:c>
    </x:row>
    <x:row r="265">
      <x:c r="B265" t="str">
        <x:v>A-00233</x:v>
      </x:c>
      <x:c r="C265" t="str">
        <x:v>GATE</x:v>
      </x:c>
      <x:c r="D265" t="str">
        <x:v>release state mirrors governing ledger</x:v>
      </x:c>
      <x:c r="E265" t="str">
        <x:f>'Release Gates'!I239</x:f>
        <x:v>PASS</x:v>
      </x:c>
      <x:c r="F265" t="str">
        <x:f>IF('Release Gates'!C239="PLANNING","PASS",IF('Release Gates'!C239="PHYSICAL","OPEN","BLOCKED"))</x:f>
        <x:v>PASS</x:v>
      </x:c>
      <x:c r="G265" t="str">
        <x:v>equals</x:v>
      </x:c>
      <x:c r="H265" t="str">
        <x:f>IF(E265=F265,"PASS","FAIL")</x:f>
        <x:v>PASS</x:v>
      </x:c>
    </x:row>
    <x:row r="266">
      <x:c r="B266" t="str">
        <x:v>A-00234</x:v>
      </x:c>
      <x:c r="C266" t="str">
        <x:v>GATE</x:v>
      </x:c>
      <x:c r="D266" t="str">
        <x:v>release state mirrors governing ledger</x:v>
      </x:c>
      <x:c r="E266" t="str">
        <x:f>'Release Gates'!I240</x:f>
        <x:v>PASS</x:v>
      </x:c>
      <x:c r="F266" t="str">
        <x:f>IF('Release Gates'!C240="PLANNING","PASS",IF('Release Gates'!C240="PHYSICAL","OPEN","BLOCKED"))</x:f>
        <x:v>PASS</x:v>
      </x:c>
      <x:c r="G266" t="str">
        <x:v>equals</x:v>
      </x:c>
      <x:c r="H266" t="str">
        <x:f>IF(E266=F266,"PASS","FAIL")</x:f>
        <x:v>PASS</x:v>
      </x:c>
    </x:row>
    <x:row r="267">
      <x:c r="B267" t="str">
        <x:v>A-00235</x:v>
      </x:c>
      <x:c r="C267" t="str">
        <x:v>GATE</x:v>
      </x:c>
      <x:c r="D267" t="str">
        <x:v>release state mirrors governing ledger</x:v>
      </x:c>
      <x:c r="E267" t="str">
        <x:f>'Release Gates'!I241</x:f>
        <x:v>PASS</x:v>
      </x:c>
      <x:c r="F267" t="str">
        <x:f>IF('Release Gates'!C241="PLANNING","PASS",IF('Release Gates'!C241="PHYSICAL","OPEN","BLOCKED"))</x:f>
        <x:v>PASS</x:v>
      </x:c>
      <x:c r="G267" t="str">
        <x:v>equals</x:v>
      </x:c>
      <x:c r="H267" t="str">
        <x:f>IF(E267=F267,"PASS","FAIL")</x:f>
        <x:v>PASS</x:v>
      </x:c>
    </x:row>
    <x:row r="268">
      <x:c r="B268" t="str">
        <x:v>A-00236</x:v>
      </x:c>
      <x:c r="C268" t="str">
        <x:v>GATE</x:v>
      </x:c>
      <x:c r="D268" t="str">
        <x:v>release state mirrors governing ledger</x:v>
      </x:c>
      <x:c r="E268" t="str">
        <x:f>'Release Gates'!I242</x:f>
        <x:v>PASS</x:v>
      </x:c>
      <x:c r="F268" t="str">
        <x:f>IF('Release Gates'!C242="PLANNING","PASS",IF('Release Gates'!C242="PHYSICAL","OPEN","BLOCKED"))</x:f>
        <x:v>PASS</x:v>
      </x:c>
      <x:c r="G268" t="str">
        <x:v>equals</x:v>
      </x:c>
      <x:c r="H268" t="str">
        <x:f>IF(E268=F268,"PASS","FAIL")</x:f>
        <x:v>PASS</x:v>
      </x:c>
    </x:row>
    <x:row r="269">
      <x:c r="B269" t="str">
        <x:v>A-00237</x:v>
      </x:c>
      <x:c r="C269" t="str">
        <x:v>GATE</x:v>
      </x:c>
      <x:c r="D269" t="str">
        <x:v>release state mirrors governing ledger</x:v>
      </x:c>
      <x:c r="E269" t="str">
        <x:f>'Release Gates'!I243</x:f>
        <x:v>PASS</x:v>
      </x:c>
      <x:c r="F269" t="str">
        <x:f>IF('Release Gates'!C243="PLANNING","PASS",IF('Release Gates'!C243="PHYSICAL","OPEN","BLOCKED"))</x:f>
        <x:v>PASS</x:v>
      </x:c>
      <x:c r="G269" t="str">
        <x:v>equals</x:v>
      </x:c>
      <x:c r="H269" t="str">
        <x:f>IF(E269=F269,"PASS","FAIL")</x:f>
        <x:v>PASS</x:v>
      </x:c>
    </x:row>
    <x:row r="270">
      <x:c r="B270" t="str">
        <x:v>A-00238</x:v>
      </x:c>
      <x:c r="C270" t="str">
        <x:v>GATE</x:v>
      </x:c>
      <x:c r="D270" t="str">
        <x:v>release state mirrors governing ledger</x:v>
      </x:c>
      <x:c r="E270" t="str">
        <x:f>'Release Gates'!I244</x:f>
        <x:v>PASS</x:v>
      </x:c>
      <x:c r="F270" t="str">
        <x:f>IF('Release Gates'!C244="PLANNING","PASS",IF('Release Gates'!C244="PHYSICAL","OPEN","BLOCKED"))</x:f>
        <x:v>PASS</x:v>
      </x:c>
      <x:c r="G270" t="str">
        <x:v>equals</x:v>
      </x:c>
      <x:c r="H270" t="str">
        <x:f>IF(E270=F270,"PASS","FAIL")</x:f>
        <x:v>PASS</x:v>
      </x:c>
    </x:row>
    <x:row r="271">
      <x:c r="B271" t="str">
        <x:v>A-00239</x:v>
      </x:c>
      <x:c r="C271" t="str">
        <x:v>GATE</x:v>
      </x:c>
      <x:c r="D271" t="str">
        <x:v>release state mirrors governing ledger</x:v>
      </x:c>
      <x:c r="E271" t="str">
        <x:f>'Release Gates'!I245</x:f>
        <x:v>PASS</x:v>
      </x:c>
      <x:c r="F271" t="str">
        <x:f>IF('Release Gates'!C245="PLANNING","PASS",IF('Release Gates'!C245="PHYSICAL","OPEN","BLOCKED"))</x:f>
        <x:v>PASS</x:v>
      </x:c>
      <x:c r="G271" t="str">
        <x:v>equals</x:v>
      </x:c>
      <x:c r="H271" t="str">
        <x:f>IF(E271=F271,"PASS","FAIL")</x:f>
        <x:v>PASS</x:v>
      </x:c>
    </x:row>
    <x:row r="272">
      <x:c r="B272" t="str">
        <x:v>A-00240</x:v>
      </x:c>
      <x:c r="C272" t="str">
        <x:v>GATE</x:v>
      </x:c>
      <x:c r="D272" t="str">
        <x:v>release state mirrors governing ledger</x:v>
      </x:c>
      <x:c r="E272" t="str">
        <x:f>'Release Gates'!I246</x:f>
        <x:v>PASS</x:v>
      </x:c>
      <x:c r="F272" t="str">
        <x:f>IF('Release Gates'!C246="PLANNING","PASS",IF('Release Gates'!C246="PHYSICAL","OPEN","BLOCKED"))</x:f>
        <x:v>PASS</x:v>
      </x:c>
      <x:c r="G272" t="str">
        <x:v>equals</x:v>
      </x:c>
      <x:c r="H272" t="str">
        <x:f>IF(E272=F272,"PASS","FAIL")</x:f>
        <x:v>PASS</x:v>
      </x:c>
    </x:row>
    <x:row r="273">
      <x:c r="B273" t="str">
        <x:v>A-00241</x:v>
      </x:c>
      <x:c r="C273" t="str">
        <x:v>GATE</x:v>
      </x:c>
      <x:c r="D273" t="str">
        <x:v>release state mirrors governing ledger</x:v>
      </x:c>
      <x:c r="E273" t="str">
        <x:f>'Release Gates'!I247</x:f>
        <x:v>PASS</x:v>
      </x:c>
      <x:c r="F273" t="str">
        <x:f>IF('Release Gates'!C247="PLANNING","PASS",IF('Release Gates'!C247="PHYSICAL","OPEN","BLOCKED"))</x:f>
        <x:v>PASS</x:v>
      </x:c>
      <x:c r="G273" t="str">
        <x:v>equals</x:v>
      </x:c>
      <x:c r="H273" t="str">
        <x:f>IF(E273=F273,"PASS","FAIL")</x:f>
        <x:v>PASS</x:v>
      </x:c>
    </x:row>
    <x:row r="274">
      <x:c r="B274" t="str">
        <x:v>A-00242</x:v>
      </x:c>
      <x:c r="C274" t="str">
        <x:v>GATE</x:v>
      </x:c>
      <x:c r="D274" t="str">
        <x:v>release state mirrors governing ledger</x:v>
      </x:c>
      <x:c r="E274" t="str">
        <x:f>'Release Gates'!I248</x:f>
        <x:v>PASS</x:v>
      </x:c>
      <x:c r="F274" t="str">
        <x:f>IF('Release Gates'!C248="PLANNING","PASS",IF('Release Gates'!C248="PHYSICAL","OPEN","BLOCKED"))</x:f>
        <x:v>PASS</x:v>
      </x:c>
      <x:c r="G274" t="str">
        <x:v>equals</x:v>
      </x:c>
      <x:c r="H274" t="str">
        <x:f>IF(E274=F274,"PASS","FAIL")</x:f>
        <x:v>PASS</x:v>
      </x:c>
    </x:row>
    <x:row r="275">
      <x:c r="B275" t="str">
        <x:v>A-00243</x:v>
      </x:c>
      <x:c r="C275" t="str">
        <x:v>GATE</x:v>
      </x:c>
      <x:c r="D275" t="str">
        <x:v>release state mirrors governing ledger</x:v>
      </x:c>
      <x:c r="E275" t="str">
        <x:f>'Release Gates'!I249</x:f>
        <x:v>PASS</x:v>
      </x:c>
      <x:c r="F275" t="str">
        <x:f>IF('Release Gates'!C249="PLANNING","PASS",IF('Release Gates'!C249="PHYSICAL","OPEN","BLOCKED"))</x:f>
        <x:v>PASS</x:v>
      </x:c>
      <x:c r="G275" t="str">
        <x:v>equals</x:v>
      </x:c>
      <x:c r="H275" t="str">
        <x:f>IF(E275=F275,"PASS","FAIL")</x:f>
        <x:v>PASS</x:v>
      </x:c>
    </x:row>
    <x:row r="276">
      <x:c r="B276" t="str">
        <x:v>A-00244</x:v>
      </x:c>
      <x:c r="C276" t="str">
        <x:v>GATE</x:v>
      </x:c>
      <x:c r="D276" t="str">
        <x:v>release state mirrors governing ledger</x:v>
      </x:c>
      <x:c r="E276" t="str">
        <x:f>'Release Gates'!I250</x:f>
        <x:v>PASS</x:v>
      </x:c>
      <x:c r="F276" t="str">
        <x:f>IF('Release Gates'!C250="PLANNING","PASS",IF('Release Gates'!C250="PHYSICAL","OPEN","BLOCKED"))</x:f>
        <x:v>PASS</x:v>
      </x:c>
      <x:c r="G276" t="str">
        <x:v>equals</x:v>
      </x:c>
      <x:c r="H276" t="str">
        <x:f>IF(E276=F276,"PASS","FAIL")</x:f>
        <x:v>PASS</x:v>
      </x:c>
    </x:row>
    <x:row r="277">
      <x:c r="B277" t="str">
        <x:v>A-00245</x:v>
      </x:c>
      <x:c r="C277" t="str">
        <x:v>GATE</x:v>
      </x:c>
      <x:c r="D277" t="str">
        <x:v>release state mirrors governing ledger</x:v>
      </x:c>
      <x:c r="E277" t="str">
        <x:f>'Release Gates'!I251</x:f>
        <x:v>PASS</x:v>
      </x:c>
      <x:c r="F277" t="str">
        <x:f>IF('Release Gates'!C251="PLANNING","PASS",IF('Release Gates'!C251="PHYSICAL","OPEN","BLOCKED"))</x:f>
        <x:v>PASS</x:v>
      </x:c>
      <x:c r="G277" t="str">
        <x:v>equals</x:v>
      </x:c>
      <x:c r="H277" t="str">
        <x:f>IF(E277=F277,"PASS","FAIL")</x:f>
        <x:v>PASS</x:v>
      </x:c>
    </x:row>
    <x:row r="278">
      <x:c r="B278" t="str">
        <x:v>A-00246</x:v>
      </x:c>
      <x:c r="C278" t="str">
        <x:v>GATE</x:v>
      </x:c>
      <x:c r="D278" t="str">
        <x:v>release state mirrors governing ledger</x:v>
      </x:c>
      <x:c r="E278" t="str">
        <x:f>'Release Gates'!I252</x:f>
        <x:v>PASS</x:v>
      </x:c>
      <x:c r="F278" t="str">
        <x:f>IF('Release Gates'!C252="PLANNING","PASS",IF('Release Gates'!C252="PHYSICAL","OPEN","BLOCKED"))</x:f>
        <x:v>PASS</x:v>
      </x:c>
      <x:c r="G278" t="str">
        <x:v>equals</x:v>
      </x:c>
      <x:c r="H278" t="str">
        <x:f>IF(E278=F278,"PASS","FAIL")</x:f>
        <x:v>PASS</x:v>
      </x:c>
    </x:row>
    <x:row r="279">
      <x:c r="B279" t="str">
        <x:v>A-00247</x:v>
      </x:c>
      <x:c r="C279" t="str">
        <x:v>GATE</x:v>
      </x:c>
      <x:c r="D279" t="str">
        <x:v>release state mirrors governing ledger</x:v>
      </x:c>
      <x:c r="E279" t="str">
        <x:f>'Release Gates'!I253</x:f>
        <x:v>PASS</x:v>
      </x:c>
      <x:c r="F279" t="str">
        <x:f>IF('Release Gates'!C253="PLANNING","PASS",IF('Release Gates'!C253="PHYSICAL","OPEN","BLOCKED"))</x:f>
        <x:v>PASS</x:v>
      </x:c>
      <x:c r="G279" t="str">
        <x:v>equals</x:v>
      </x:c>
      <x:c r="H279" t="str">
        <x:f>IF(E279=F279,"PASS","FAIL")</x:f>
        <x:v>PASS</x:v>
      </x:c>
    </x:row>
    <x:row r="280">
      <x:c r="B280" t="str">
        <x:v>A-00248</x:v>
      </x:c>
      <x:c r="C280" t="str">
        <x:v>GATE</x:v>
      </x:c>
      <x:c r="D280" t="str">
        <x:v>release state mirrors governing ledger</x:v>
      </x:c>
      <x:c r="E280" t="str">
        <x:f>'Release Gates'!I254</x:f>
        <x:v>PASS</x:v>
      </x:c>
      <x:c r="F280" t="str">
        <x:f>IF('Release Gates'!C254="PLANNING","PASS",IF('Release Gates'!C254="PHYSICAL","OPEN","BLOCKED"))</x:f>
        <x:v>PASS</x:v>
      </x:c>
      <x:c r="G280" t="str">
        <x:v>equals</x:v>
      </x:c>
      <x:c r="H280" t="str">
        <x:f>IF(E280=F280,"PASS","FAIL")</x:f>
        <x:v>PASS</x:v>
      </x:c>
    </x:row>
    <x:row r="281">
      <x:c r="B281" t="str">
        <x:v>A-00249</x:v>
      </x:c>
      <x:c r="C281" t="str">
        <x:v>GATE</x:v>
      </x:c>
      <x:c r="D281" t="str">
        <x:v>release state mirrors governing ledger</x:v>
      </x:c>
      <x:c r="E281" t="str">
        <x:f>'Release Gates'!I255</x:f>
        <x:v>PASS</x:v>
      </x:c>
      <x:c r="F281" t="str">
        <x:f>IF('Release Gates'!C255="PLANNING","PASS",IF('Release Gates'!C255="PHYSICAL","OPEN","BLOCKED"))</x:f>
        <x:v>PASS</x:v>
      </x:c>
      <x:c r="G281" t="str">
        <x:v>equals</x:v>
      </x:c>
      <x:c r="H281" t="str">
        <x:f>IF(E281=F281,"PASS","FAIL")</x:f>
        <x:v>PASS</x:v>
      </x:c>
    </x:row>
    <x:row r="282">
      <x:c r="B282" t="str">
        <x:v>A-00250</x:v>
      </x:c>
      <x:c r="C282" t="str">
        <x:v>GATE</x:v>
      </x:c>
      <x:c r="D282" t="str">
        <x:v>release state mirrors governing ledger</x:v>
      </x:c>
      <x:c r="E282" t="str">
        <x:f>'Release Gates'!I256</x:f>
        <x:v>PASS</x:v>
      </x:c>
      <x:c r="F282" t="str">
        <x:f>IF('Release Gates'!C256="PLANNING","PASS",IF('Release Gates'!C256="PHYSICAL","OPEN","BLOCKED"))</x:f>
        <x:v>PASS</x:v>
      </x:c>
      <x:c r="G282" t="str">
        <x:v>equals</x:v>
      </x:c>
      <x:c r="H282" t="str">
        <x:f>IF(E282=F282,"PASS","FAIL")</x:f>
        <x:v>PASS</x:v>
      </x:c>
    </x:row>
    <x:row r="283">
      <x:c r="B283" t="str">
        <x:v>A-00251</x:v>
      </x:c>
      <x:c r="C283" t="str">
        <x:v>GATE</x:v>
      </x:c>
      <x:c r="D283" t="str">
        <x:v>release state mirrors governing ledger</x:v>
      </x:c>
      <x:c r="E283" t="str">
        <x:f>'Release Gates'!I257</x:f>
        <x:v>PASS</x:v>
      </x:c>
      <x:c r="F283" t="str">
        <x:f>IF('Release Gates'!C257="PLANNING","PASS",IF('Release Gates'!C257="PHYSICAL","OPEN","BLOCKED"))</x:f>
        <x:v>PASS</x:v>
      </x:c>
      <x:c r="G283" t="str">
        <x:v>equals</x:v>
      </x:c>
      <x:c r="H283" t="str">
        <x:f>IF(E283=F283,"PASS","FAIL")</x:f>
        <x:v>PASS</x:v>
      </x:c>
    </x:row>
    <x:row r="284">
      <x:c r="B284" t="str">
        <x:v>A-00252</x:v>
      </x:c>
      <x:c r="C284" t="str">
        <x:v>GATE</x:v>
      </x:c>
      <x:c r="D284" t="str">
        <x:v>release state mirrors governing ledger</x:v>
      </x:c>
      <x:c r="E284" t="str">
        <x:f>'Release Gates'!I258</x:f>
        <x:v>PASS</x:v>
      </x:c>
      <x:c r="F284" t="str">
        <x:f>IF('Release Gates'!C258="PLANNING","PASS",IF('Release Gates'!C258="PHYSICAL","OPEN","BLOCKED"))</x:f>
        <x:v>PASS</x:v>
      </x:c>
      <x:c r="G284" t="str">
        <x:v>equals</x:v>
      </x:c>
      <x:c r="H284" t="str">
        <x:f>IF(E284=F284,"PASS","FAIL")</x:f>
        <x:v>PASS</x:v>
      </x:c>
    </x:row>
    <x:row r="285">
      <x:c r="B285" t="str">
        <x:v>A-00253</x:v>
      </x:c>
      <x:c r="C285" t="str">
        <x:v>GATE</x:v>
      </x:c>
      <x:c r="D285" t="str">
        <x:v>release state mirrors governing ledger</x:v>
      </x:c>
      <x:c r="E285" t="str">
        <x:f>'Release Gates'!I259</x:f>
        <x:v>PASS</x:v>
      </x:c>
      <x:c r="F285" t="str">
        <x:f>IF('Release Gates'!C259="PLANNING","PASS",IF('Release Gates'!C259="PHYSICAL","OPEN","BLOCKED"))</x:f>
        <x:v>PASS</x:v>
      </x:c>
      <x:c r="G285" t="str">
        <x:v>equals</x:v>
      </x:c>
      <x:c r="H285" t="str">
        <x:f>IF(E285=F285,"PASS","FAIL")</x:f>
        <x:v>PASS</x:v>
      </x:c>
    </x:row>
    <x:row r="286">
      <x:c r="B286" t="str">
        <x:v>A-00254</x:v>
      </x:c>
      <x:c r="C286" t="str">
        <x:v>GATE</x:v>
      </x:c>
      <x:c r="D286" t="str">
        <x:v>release state mirrors governing ledger</x:v>
      </x:c>
      <x:c r="E286" t="str">
        <x:f>'Release Gates'!I260</x:f>
        <x:v>PASS</x:v>
      </x:c>
      <x:c r="F286" t="str">
        <x:f>IF('Release Gates'!C260="PLANNING","PASS",IF('Release Gates'!C260="PHYSICAL","OPEN","BLOCKED"))</x:f>
        <x:v>PASS</x:v>
      </x:c>
      <x:c r="G286" t="str">
        <x:v>equals</x:v>
      </x:c>
      <x:c r="H286" t="str">
        <x:f>IF(E286=F286,"PASS","FAIL")</x:f>
        <x:v>PASS</x:v>
      </x:c>
    </x:row>
    <x:row r="287">
      <x:c r="B287" t="str">
        <x:v>A-00255</x:v>
      </x:c>
      <x:c r="C287" t="str">
        <x:v>GATE</x:v>
      </x:c>
      <x:c r="D287" t="str">
        <x:v>release state mirrors governing ledger</x:v>
      </x:c>
      <x:c r="E287" t="str">
        <x:f>'Release Gates'!I261</x:f>
        <x:v>PASS</x:v>
      </x:c>
      <x:c r="F287" t="str">
        <x:f>IF('Release Gates'!C261="PLANNING","PASS",IF('Release Gates'!C261="PHYSICAL","OPEN","BLOCKED"))</x:f>
        <x:v>PASS</x:v>
      </x:c>
      <x:c r="G287" t="str">
        <x:v>equals</x:v>
      </x:c>
      <x:c r="H287" t="str">
        <x:f>IF(E287=F287,"PASS","FAIL")</x:f>
        <x:v>PASS</x:v>
      </x:c>
    </x:row>
    <x:row r="288">
      <x:c r="B288" t="str">
        <x:v>A-00256</x:v>
      </x:c>
      <x:c r="C288" t="str">
        <x:v>GATE</x:v>
      </x:c>
      <x:c r="D288" t="str">
        <x:v>release state mirrors governing ledger</x:v>
      </x:c>
      <x:c r="E288" t="str">
        <x:f>'Release Gates'!I262</x:f>
        <x:v>PASS</x:v>
      </x:c>
      <x:c r="F288" t="str">
        <x:f>IF('Release Gates'!C262="PLANNING","PASS",IF('Release Gates'!C262="PHYSICAL","OPEN","BLOCKED"))</x:f>
        <x:v>PASS</x:v>
      </x:c>
      <x:c r="G288" t="str">
        <x:v>equals</x:v>
      </x:c>
      <x:c r="H288" t="str">
        <x:f>IF(E288=F288,"PASS","FAIL")</x:f>
        <x:v>PASS</x:v>
      </x:c>
    </x:row>
    <x:row r="289">
      <x:c r="B289" t="str">
        <x:v>A-00257</x:v>
      </x:c>
      <x:c r="C289" t="str">
        <x:v>GATE</x:v>
      </x:c>
      <x:c r="D289" t="str">
        <x:v>release state mirrors governing ledger</x:v>
      </x:c>
      <x:c r="E289" t="str">
        <x:f>'Release Gates'!I263</x:f>
        <x:v>PASS</x:v>
      </x:c>
      <x:c r="F289" t="str">
        <x:f>IF('Release Gates'!C263="PLANNING","PASS",IF('Release Gates'!C263="PHYSICAL","OPEN","BLOCKED"))</x:f>
        <x:v>PASS</x:v>
      </x:c>
      <x:c r="G289" t="str">
        <x:v>equals</x:v>
      </x:c>
      <x:c r="H289" t="str">
        <x:f>IF(E289=F289,"PASS","FAIL")</x:f>
        <x:v>PASS</x:v>
      </x:c>
    </x:row>
    <x:row r="290">
      <x:c r="B290" t="str">
        <x:v>A-00258</x:v>
      </x:c>
      <x:c r="C290" t="str">
        <x:v>GATE</x:v>
      </x:c>
      <x:c r="D290" t="str">
        <x:v>release state mirrors governing ledger</x:v>
      </x:c>
      <x:c r="E290" t="str">
        <x:f>'Release Gates'!I264</x:f>
        <x:v>PASS</x:v>
      </x:c>
      <x:c r="F290" t="str">
        <x:f>IF('Release Gates'!C264="PLANNING","PASS",IF('Release Gates'!C264="PHYSICAL","OPEN","BLOCKED"))</x:f>
        <x:v>PASS</x:v>
      </x:c>
      <x:c r="G290" t="str">
        <x:v>equals</x:v>
      </x:c>
      <x:c r="H290" t="str">
        <x:f>IF(E290=F290,"PASS","FAIL")</x:f>
        <x:v>PASS</x:v>
      </x:c>
    </x:row>
    <x:row r="291">
      <x:c r="B291" t="str">
        <x:v>A-00259</x:v>
      </x:c>
      <x:c r="C291" t="str">
        <x:v>GATE</x:v>
      </x:c>
      <x:c r="D291" t="str">
        <x:v>release state mirrors governing ledger</x:v>
      </x:c>
      <x:c r="E291" t="str">
        <x:f>'Release Gates'!I265</x:f>
        <x:v>PASS</x:v>
      </x:c>
      <x:c r="F291" t="str">
        <x:f>IF('Release Gates'!C265="PLANNING","PASS",IF('Release Gates'!C265="PHYSICAL","OPEN","BLOCKED"))</x:f>
        <x:v>PASS</x:v>
      </x:c>
      <x:c r="G291" t="str">
        <x:v>equals</x:v>
      </x:c>
      <x:c r="H291" t="str">
        <x:f>IF(E291=F291,"PASS","FAIL")</x:f>
        <x:v>PASS</x:v>
      </x:c>
    </x:row>
    <x:row r="292">
      <x:c r="B292" t="str">
        <x:v>A-00260</x:v>
      </x:c>
      <x:c r="C292" t="str">
        <x:v>GATE</x:v>
      </x:c>
      <x:c r="D292" t="str">
        <x:v>release state mirrors governing ledger</x:v>
      </x:c>
      <x:c r="E292" t="str">
        <x:f>'Release Gates'!I266</x:f>
        <x:v>PASS</x:v>
      </x:c>
      <x:c r="F292" t="str">
        <x:f>IF('Release Gates'!C266="PLANNING","PASS",IF('Release Gates'!C266="PHYSICAL","OPEN","BLOCKED"))</x:f>
        <x:v>PASS</x:v>
      </x:c>
      <x:c r="G292" t="str">
        <x:v>equals</x:v>
      </x:c>
      <x:c r="H292" t="str">
        <x:f>IF(E292=F292,"PASS","FAIL")</x:f>
        <x:v>PASS</x:v>
      </x:c>
    </x:row>
    <x:row r="293">
      <x:c r="B293" t="str">
        <x:v>A-00261</x:v>
      </x:c>
      <x:c r="C293" t="str">
        <x:v>GATE</x:v>
      </x:c>
      <x:c r="D293" t="str">
        <x:v>release state mirrors governing ledger</x:v>
      </x:c>
      <x:c r="E293" t="str">
        <x:f>'Release Gates'!I267</x:f>
        <x:v>PASS</x:v>
      </x:c>
      <x:c r="F293" t="str">
        <x:f>IF('Release Gates'!C267="PLANNING","PASS",IF('Release Gates'!C267="PHYSICAL","OPEN","BLOCKED"))</x:f>
        <x:v>PASS</x:v>
      </x:c>
      <x:c r="G293" t="str">
        <x:v>equals</x:v>
      </x:c>
      <x:c r="H293" t="str">
        <x:f>IF(E293=F293,"PASS","FAIL")</x:f>
        <x:v>PASS</x:v>
      </x:c>
    </x:row>
    <x:row r="294">
      <x:c r="B294" t="str">
        <x:v>A-00262</x:v>
      </x:c>
      <x:c r="C294" t="str">
        <x:v>GATE</x:v>
      </x:c>
      <x:c r="D294" t="str">
        <x:v>release state mirrors governing ledger</x:v>
      </x:c>
      <x:c r="E294" t="str">
        <x:f>'Release Gates'!I268</x:f>
        <x:v>PASS</x:v>
      </x:c>
      <x:c r="F294" t="str">
        <x:f>IF('Release Gates'!C268="PLANNING","PASS",IF('Release Gates'!C268="PHYSICAL","OPEN","BLOCKED"))</x:f>
        <x:v>PASS</x:v>
      </x:c>
      <x:c r="G294" t="str">
        <x:v>equals</x:v>
      </x:c>
      <x:c r="H294" t="str">
        <x:f>IF(E294=F294,"PASS","FAIL")</x:f>
        <x:v>PASS</x:v>
      </x:c>
    </x:row>
    <x:row r="295">
      <x:c r="B295" t="str">
        <x:v>A-00263</x:v>
      </x:c>
      <x:c r="C295" t="str">
        <x:v>GATE</x:v>
      </x:c>
      <x:c r="D295" t="str">
        <x:v>release state mirrors governing ledger</x:v>
      </x:c>
      <x:c r="E295" t="str">
        <x:f>'Release Gates'!I269</x:f>
        <x:v>PASS</x:v>
      </x:c>
      <x:c r="F295" t="str">
        <x:f>IF('Release Gates'!C269="PLANNING","PASS",IF('Release Gates'!C269="PHYSICAL","OPEN","BLOCKED"))</x:f>
        <x:v>PASS</x:v>
      </x:c>
      <x:c r="G295" t="str">
        <x:v>equals</x:v>
      </x:c>
      <x:c r="H295" t="str">
        <x:f>IF(E295=F295,"PASS","FAIL")</x:f>
        <x:v>PASS</x:v>
      </x:c>
    </x:row>
    <x:row r="296">
      <x:c r="B296" t="str">
        <x:v>A-00264</x:v>
      </x:c>
      <x:c r="C296" t="str">
        <x:v>GATE</x:v>
      </x:c>
      <x:c r="D296" t="str">
        <x:v>release state mirrors governing ledger</x:v>
      </x:c>
      <x:c r="E296" t="str">
        <x:f>'Release Gates'!I270</x:f>
        <x:v>PASS</x:v>
      </x:c>
      <x:c r="F296" t="str">
        <x:f>IF('Release Gates'!C270="PLANNING","PASS",IF('Release Gates'!C270="PHYSICAL","OPEN","BLOCKED"))</x:f>
        <x:v>PASS</x:v>
      </x:c>
      <x:c r="G296" t="str">
        <x:v>equals</x:v>
      </x:c>
      <x:c r="H296" t="str">
        <x:f>IF(E296=F296,"PASS","FAIL")</x:f>
        <x:v>PASS</x:v>
      </x:c>
    </x:row>
    <x:row r="297">
      <x:c r="B297" t="str">
        <x:v>A-00265</x:v>
      </x:c>
      <x:c r="C297" t="str">
        <x:v>GATE</x:v>
      </x:c>
      <x:c r="D297" t="str">
        <x:v>release state mirrors governing ledger</x:v>
      </x:c>
      <x:c r="E297" t="str">
        <x:f>'Release Gates'!I271</x:f>
        <x:v>PASS</x:v>
      </x:c>
      <x:c r="F297" t="str">
        <x:f>IF('Release Gates'!C271="PLANNING","PASS",IF('Release Gates'!C271="PHYSICAL","OPEN","BLOCKED"))</x:f>
        <x:v>PASS</x:v>
      </x:c>
      <x:c r="G297" t="str">
        <x:v>equals</x:v>
      </x:c>
      <x:c r="H297" t="str">
        <x:f>IF(E297=F297,"PASS","FAIL")</x:f>
        <x:v>PASS</x:v>
      </x:c>
    </x:row>
    <x:row r="298">
      <x:c r="B298" t="str">
        <x:v>A-00266</x:v>
      </x:c>
      <x:c r="C298" t="str">
        <x:v>GATE</x:v>
      </x:c>
      <x:c r="D298" t="str">
        <x:v>release state mirrors governing ledger</x:v>
      </x:c>
      <x:c r="E298" t="str">
        <x:f>'Release Gates'!I272</x:f>
        <x:v>PASS</x:v>
      </x:c>
      <x:c r="F298" t="str">
        <x:f>IF('Release Gates'!C272="PLANNING","PASS",IF('Release Gates'!C272="PHYSICAL","OPEN","BLOCKED"))</x:f>
        <x:v>PASS</x:v>
      </x:c>
      <x:c r="G298" t="str">
        <x:v>equals</x:v>
      </x:c>
      <x:c r="H298" t="str">
        <x:f>IF(E298=F298,"PASS","FAIL")</x:f>
        <x:v>PASS</x:v>
      </x:c>
    </x:row>
    <x:row r="299">
      <x:c r="B299" t="str">
        <x:v>A-00267</x:v>
      </x:c>
      <x:c r="C299" t="str">
        <x:v>GATE</x:v>
      </x:c>
      <x:c r="D299" t="str">
        <x:v>release state mirrors governing ledger</x:v>
      </x:c>
      <x:c r="E299" t="str">
        <x:f>'Release Gates'!I273</x:f>
        <x:v>PASS</x:v>
      </x:c>
      <x:c r="F299" t="str">
        <x:f>IF('Release Gates'!C273="PLANNING","PASS",IF('Release Gates'!C273="PHYSICAL","OPEN","BLOCKED"))</x:f>
        <x:v>PASS</x:v>
      </x:c>
      <x:c r="G299" t="str">
        <x:v>equals</x:v>
      </x:c>
      <x:c r="H299" t="str">
        <x:f>IF(E299=F299,"PASS","FAIL")</x:f>
        <x:v>PASS</x:v>
      </x:c>
    </x:row>
    <x:row r="300">
      <x:c r="B300" t="str">
        <x:v>A-00268</x:v>
      </x:c>
      <x:c r="C300" t="str">
        <x:v>GATE</x:v>
      </x:c>
      <x:c r="D300" t="str">
        <x:v>release state mirrors governing ledger</x:v>
      </x:c>
      <x:c r="E300" t="str">
        <x:f>'Release Gates'!I274</x:f>
        <x:v>PASS</x:v>
      </x:c>
      <x:c r="F300" t="str">
        <x:f>IF('Release Gates'!C274="PLANNING","PASS",IF('Release Gates'!C274="PHYSICAL","OPEN","BLOCKED"))</x:f>
        <x:v>PASS</x:v>
      </x:c>
      <x:c r="G300" t="str">
        <x:v>equals</x:v>
      </x:c>
      <x:c r="H300" t="str">
        <x:f>IF(E300=F300,"PASS","FAIL")</x:f>
        <x:v>PASS</x:v>
      </x:c>
    </x:row>
    <x:row r="301">
      <x:c r="B301" t="str">
        <x:v>A-00269</x:v>
      </x:c>
      <x:c r="C301" t="str">
        <x:v>GATE</x:v>
      </x:c>
      <x:c r="D301" t="str">
        <x:v>release state mirrors governing ledger</x:v>
      </x:c>
      <x:c r="E301" t="str">
        <x:f>'Release Gates'!I275</x:f>
        <x:v>PASS</x:v>
      </x:c>
      <x:c r="F301" t="str">
        <x:f>IF('Release Gates'!C275="PLANNING","PASS",IF('Release Gates'!C275="PHYSICAL","OPEN","BLOCKED"))</x:f>
        <x:v>PASS</x:v>
      </x:c>
      <x:c r="G301" t="str">
        <x:v>equals</x:v>
      </x:c>
      <x:c r="H301" t="str">
        <x:f>IF(E301=F301,"PASS","FAIL")</x:f>
        <x:v>PASS</x:v>
      </x:c>
    </x:row>
    <x:row r="302">
      <x:c r="B302" t="str">
        <x:v>A-00270</x:v>
      </x:c>
      <x:c r="C302" t="str">
        <x:v>GATE</x:v>
      </x:c>
      <x:c r="D302" t="str">
        <x:v>release state mirrors governing ledger</x:v>
      </x:c>
      <x:c r="E302" t="str">
        <x:f>'Release Gates'!I276</x:f>
        <x:v>PASS</x:v>
      </x:c>
      <x:c r="F302" t="str">
        <x:f>IF('Release Gates'!C276="PLANNING","PASS",IF('Release Gates'!C276="PHYSICAL","OPEN","BLOCKED"))</x:f>
        <x:v>PASS</x:v>
      </x:c>
      <x:c r="G302" t="str">
        <x:v>equals</x:v>
      </x:c>
      <x:c r="H302" t="str">
        <x:f>IF(E302=F302,"PASS","FAIL")</x:f>
        <x:v>PASS</x:v>
      </x:c>
    </x:row>
    <x:row r="303">
      <x:c r="B303" t="str">
        <x:v>A-00271</x:v>
      </x:c>
      <x:c r="C303" t="str">
        <x:v>GATE</x:v>
      </x:c>
      <x:c r="D303" t="str">
        <x:v>release state mirrors governing ledger</x:v>
      </x:c>
      <x:c r="E303" t="str">
        <x:f>'Release Gates'!I277</x:f>
        <x:v>PASS</x:v>
      </x:c>
      <x:c r="F303" t="str">
        <x:f>IF('Release Gates'!C277="PLANNING","PASS",IF('Release Gates'!C277="PHYSICAL","OPEN","BLOCKED"))</x:f>
        <x:v>PASS</x:v>
      </x:c>
      <x:c r="G303" t="str">
        <x:v>equals</x:v>
      </x:c>
      <x:c r="H303" t="str">
        <x:f>IF(E303=F303,"PASS","FAIL")</x:f>
        <x:v>PASS</x:v>
      </x:c>
    </x:row>
    <x:row r="304">
      <x:c r="B304" t="str">
        <x:v>A-00272</x:v>
      </x:c>
      <x:c r="C304" t="str">
        <x:v>GATE</x:v>
      </x:c>
      <x:c r="D304" t="str">
        <x:v>release state mirrors governing ledger</x:v>
      </x:c>
      <x:c r="E304" t="str">
        <x:f>'Release Gates'!I278</x:f>
        <x:v>PASS</x:v>
      </x:c>
      <x:c r="F304" t="str">
        <x:f>IF('Release Gates'!C278="PLANNING","PASS",IF('Release Gates'!C278="PHYSICAL","OPEN","BLOCKED"))</x:f>
        <x:v>PASS</x:v>
      </x:c>
      <x:c r="G304" t="str">
        <x:v>equals</x:v>
      </x:c>
      <x:c r="H304" t="str">
        <x:f>IF(E304=F304,"PASS","FAIL")</x:f>
        <x:v>PASS</x:v>
      </x:c>
    </x:row>
    <x:row r="305">
      <x:c r="B305" t="str">
        <x:v>A-00273</x:v>
      </x:c>
      <x:c r="C305" t="str">
        <x:v>GATE</x:v>
      </x:c>
      <x:c r="D305" t="str">
        <x:v>release state mirrors governing ledger</x:v>
      </x:c>
      <x:c r="E305" t="str">
        <x:f>'Release Gates'!I279</x:f>
        <x:v>PASS</x:v>
      </x:c>
      <x:c r="F305" t="str">
        <x:f>IF('Release Gates'!C279="PLANNING","PASS",IF('Release Gates'!C279="PHYSICAL","OPEN","BLOCKED"))</x:f>
        <x:v>PASS</x:v>
      </x:c>
      <x:c r="G305" t="str">
        <x:v>equals</x:v>
      </x:c>
      <x:c r="H305" t="str">
        <x:f>IF(E305=F305,"PASS","FAIL")</x:f>
        <x:v>PASS</x:v>
      </x:c>
    </x:row>
    <x:row r="306">
      <x:c r="B306" t="str">
        <x:v>A-00274</x:v>
      </x:c>
      <x:c r="C306" t="str">
        <x:v>GATE</x:v>
      </x:c>
      <x:c r="D306" t="str">
        <x:v>release state mirrors governing ledger</x:v>
      </x:c>
      <x:c r="E306" t="str">
        <x:f>'Release Gates'!I280</x:f>
        <x:v>PASS</x:v>
      </x:c>
      <x:c r="F306" t="str">
        <x:f>IF('Release Gates'!C280="PLANNING","PASS",IF('Release Gates'!C280="PHYSICAL","OPEN","BLOCKED"))</x:f>
        <x:v>PASS</x:v>
      </x:c>
      <x:c r="G306" t="str">
        <x:v>equals</x:v>
      </x:c>
      <x:c r="H306" t="str">
        <x:f>IF(E306=F306,"PASS","FAIL")</x:f>
        <x:v>PASS</x:v>
      </x:c>
    </x:row>
    <x:row r="307">
      <x:c r="B307" t="str">
        <x:v>A-00275</x:v>
      </x:c>
      <x:c r="C307" t="str">
        <x:v>GATE</x:v>
      </x:c>
      <x:c r="D307" t="str">
        <x:v>release state mirrors governing ledger</x:v>
      </x:c>
      <x:c r="E307" t="str">
        <x:f>'Release Gates'!I281</x:f>
        <x:v>PASS</x:v>
      </x:c>
      <x:c r="F307" t="str">
        <x:f>IF('Release Gates'!C281="PLANNING","PASS",IF('Release Gates'!C281="PHYSICAL","OPEN","BLOCKED"))</x:f>
        <x:v>PASS</x:v>
      </x:c>
      <x:c r="G307" t="str">
        <x:v>equals</x:v>
      </x:c>
      <x:c r="H307" t="str">
        <x:f>IF(E307=F307,"PASS","FAIL")</x:f>
        <x:v>PASS</x:v>
      </x:c>
    </x:row>
    <x:row r="308">
      <x:c r="B308" t="str">
        <x:v>A-00276</x:v>
      </x:c>
      <x:c r="C308" t="str">
        <x:v>GATE</x:v>
      </x:c>
      <x:c r="D308" t="str">
        <x:v>release state mirrors governing ledger</x:v>
      </x:c>
      <x:c r="E308" t="str">
        <x:f>'Release Gates'!I282</x:f>
        <x:v>PASS</x:v>
      </x:c>
      <x:c r="F308" t="str">
        <x:f>IF('Release Gates'!C282="PLANNING","PASS",IF('Release Gates'!C282="PHYSICAL","OPEN","BLOCKED"))</x:f>
        <x:v>PASS</x:v>
      </x:c>
      <x:c r="G308" t="str">
        <x:v>equals</x:v>
      </x:c>
      <x:c r="H308" t="str">
        <x:f>IF(E308=F308,"PASS","FAIL")</x:f>
        <x:v>PASS</x:v>
      </x:c>
    </x:row>
    <x:row r="309">
      <x:c r="B309" t="str">
        <x:v>A-00277</x:v>
      </x:c>
      <x:c r="C309" t="str">
        <x:v>GATE</x:v>
      </x:c>
      <x:c r="D309" t="str">
        <x:v>release state mirrors governing ledger</x:v>
      </x:c>
      <x:c r="E309" t="str">
        <x:f>'Release Gates'!I283</x:f>
        <x:v>PASS</x:v>
      </x:c>
      <x:c r="F309" t="str">
        <x:f>IF('Release Gates'!C283="PLANNING","PASS",IF('Release Gates'!C283="PHYSICAL","OPEN","BLOCKED"))</x:f>
        <x:v>PASS</x:v>
      </x:c>
      <x:c r="G309" t="str">
        <x:v>equals</x:v>
      </x:c>
      <x:c r="H309" t="str">
        <x:f>IF(E309=F309,"PASS","FAIL")</x:f>
        <x:v>PASS</x:v>
      </x:c>
    </x:row>
    <x:row r="310">
      <x:c r="B310" t="str">
        <x:v>A-00278</x:v>
      </x:c>
      <x:c r="C310" t="str">
        <x:v>GATE</x:v>
      </x:c>
      <x:c r="D310" t="str">
        <x:v>release state mirrors governing ledger</x:v>
      </x:c>
      <x:c r="E310" t="str">
        <x:f>'Release Gates'!I284</x:f>
        <x:v>PASS</x:v>
      </x:c>
      <x:c r="F310" t="str">
        <x:f>IF('Release Gates'!C284="PLANNING","PASS",IF('Release Gates'!C284="PHYSICAL","OPEN","BLOCKED"))</x:f>
        <x:v>PASS</x:v>
      </x:c>
      <x:c r="G310" t="str">
        <x:v>equals</x:v>
      </x:c>
      <x:c r="H310" t="str">
        <x:f>IF(E310=F310,"PASS","FAIL")</x:f>
        <x:v>PASS</x:v>
      </x:c>
    </x:row>
    <x:row r="311">
      <x:c r="B311" t="str">
        <x:v>A-00279</x:v>
      </x:c>
      <x:c r="C311" t="str">
        <x:v>GATE</x:v>
      </x:c>
      <x:c r="D311" t="str">
        <x:v>release state mirrors governing ledger</x:v>
      </x:c>
      <x:c r="E311" t="str">
        <x:f>'Release Gates'!I285</x:f>
        <x:v>PASS</x:v>
      </x:c>
      <x:c r="F311" t="str">
        <x:f>IF('Release Gates'!C285="PLANNING","PASS",IF('Release Gates'!C285="PHYSICAL","OPEN","BLOCKED"))</x:f>
        <x:v>PASS</x:v>
      </x:c>
      <x:c r="G311" t="str">
        <x:v>equals</x:v>
      </x:c>
      <x:c r="H311" t="str">
        <x:f>IF(E311=F311,"PASS","FAIL")</x:f>
        <x:v>PASS</x:v>
      </x:c>
    </x:row>
    <x:row r="312">
      <x:c r="B312" t="str">
        <x:v>A-00280</x:v>
      </x:c>
      <x:c r="C312" t="str">
        <x:v>GATE</x:v>
      </x:c>
      <x:c r="D312" t="str">
        <x:v>release state mirrors governing ledger</x:v>
      </x:c>
      <x:c r="E312" t="str">
        <x:f>'Release Gates'!I286</x:f>
        <x:v>PASS</x:v>
      </x:c>
      <x:c r="F312" t="str">
        <x:f>IF('Release Gates'!C286="PLANNING","PASS",IF('Release Gates'!C286="PHYSICAL","OPEN","BLOCKED"))</x:f>
        <x:v>PASS</x:v>
      </x:c>
      <x:c r="G312" t="str">
        <x:v>equals</x:v>
      </x:c>
      <x:c r="H312" t="str">
        <x:f>IF(E312=F312,"PASS","FAIL")</x:f>
        <x:v>PASS</x:v>
      </x:c>
    </x:row>
    <x:row r="313">
      <x:c r="B313" t="str">
        <x:v>A-00281</x:v>
      </x:c>
      <x:c r="C313" t="str">
        <x:v>GATE</x:v>
      </x:c>
      <x:c r="D313" t="str">
        <x:v>release state mirrors governing ledger</x:v>
      </x:c>
      <x:c r="E313" t="str">
        <x:f>'Release Gates'!I287</x:f>
        <x:v>PASS</x:v>
      </x:c>
      <x:c r="F313" t="str">
        <x:f>IF('Release Gates'!C287="PLANNING","PASS",IF('Release Gates'!C287="PHYSICAL","OPEN","BLOCKED"))</x:f>
        <x:v>PASS</x:v>
      </x:c>
      <x:c r="G313" t="str">
        <x:v>equals</x:v>
      </x:c>
      <x:c r="H313" t="str">
        <x:f>IF(E313=F313,"PASS","FAIL")</x:f>
        <x:v>PASS</x:v>
      </x:c>
    </x:row>
    <x:row r="314">
      <x:c r="B314" t="str">
        <x:v>A-00282</x:v>
      </x:c>
      <x:c r="C314" t="str">
        <x:v>GATE</x:v>
      </x:c>
      <x:c r="D314" t="str">
        <x:v>release state mirrors governing ledger</x:v>
      </x:c>
      <x:c r="E314" t="str">
        <x:f>'Release Gates'!I288</x:f>
        <x:v>PASS</x:v>
      </x:c>
      <x:c r="F314" t="str">
        <x:f>IF('Release Gates'!C288="PLANNING","PASS",IF('Release Gates'!C288="PHYSICAL","OPEN","BLOCKED"))</x:f>
        <x:v>PASS</x:v>
      </x:c>
      <x:c r="G314" t="str">
        <x:v>equals</x:v>
      </x:c>
      <x:c r="H314" t="str">
        <x:f>IF(E314=F314,"PASS","FAIL")</x:f>
        <x:v>PASS</x:v>
      </x:c>
    </x:row>
    <x:row r="315">
      <x:c r="B315" t="str">
        <x:v>A-00283</x:v>
      </x:c>
      <x:c r="C315" t="str">
        <x:v>GATE</x:v>
      </x:c>
      <x:c r="D315" t="str">
        <x:v>release state mirrors governing ledger</x:v>
      </x:c>
      <x:c r="E315" t="str">
        <x:f>'Release Gates'!I289</x:f>
        <x:v>PASS</x:v>
      </x:c>
      <x:c r="F315" t="str">
        <x:f>IF('Release Gates'!C289="PLANNING","PASS",IF('Release Gates'!C289="PHYSICAL","OPEN","BLOCKED"))</x:f>
        <x:v>PASS</x:v>
      </x:c>
      <x:c r="G315" t="str">
        <x:v>equals</x:v>
      </x:c>
      <x:c r="H315" t="str">
        <x:f>IF(E315=F315,"PASS","FAIL")</x:f>
        <x:v>PASS</x:v>
      </x:c>
    </x:row>
    <x:row r="316">
      <x:c r="B316" t="str">
        <x:v>A-00284</x:v>
      </x:c>
      <x:c r="C316" t="str">
        <x:v>GATE</x:v>
      </x:c>
      <x:c r="D316" t="str">
        <x:v>release state mirrors governing ledger</x:v>
      </x:c>
      <x:c r="E316" t="str">
        <x:f>'Release Gates'!I290</x:f>
        <x:v>PASS</x:v>
      </x:c>
      <x:c r="F316" t="str">
        <x:f>IF('Release Gates'!C290="PLANNING","PASS",IF('Release Gates'!C290="PHYSICAL","OPEN","BLOCKED"))</x:f>
        <x:v>PASS</x:v>
      </x:c>
      <x:c r="G316" t="str">
        <x:v>equals</x:v>
      </x:c>
      <x:c r="H316" t="str">
        <x:f>IF(E316=F316,"PASS","FAIL")</x:f>
        <x:v>PASS</x:v>
      </x:c>
    </x:row>
    <x:row r="317">
      <x:c r="B317" t="str">
        <x:v>A-00285</x:v>
      </x:c>
      <x:c r="C317" t="str">
        <x:v>GATE</x:v>
      </x:c>
      <x:c r="D317" t="str">
        <x:v>release state mirrors governing ledger</x:v>
      </x:c>
      <x:c r="E317" t="str">
        <x:f>'Release Gates'!I291</x:f>
        <x:v>PASS</x:v>
      </x:c>
      <x:c r="F317" t="str">
        <x:f>IF('Release Gates'!C291="PLANNING","PASS",IF('Release Gates'!C291="PHYSICAL","OPEN","BLOCKED"))</x:f>
        <x:v>PASS</x:v>
      </x:c>
      <x:c r="G317" t="str">
        <x:v>equals</x:v>
      </x:c>
      <x:c r="H317" t="str">
        <x:f>IF(E317=F317,"PASS","FAIL")</x:f>
        <x:v>PASS</x:v>
      </x:c>
    </x:row>
    <x:row r="318">
      <x:c r="B318" t="str">
        <x:v>A-00286</x:v>
      </x:c>
      <x:c r="C318" t="str">
        <x:v>GATE</x:v>
      </x:c>
      <x:c r="D318" t="str">
        <x:v>release state mirrors governing ledger</x:v>
      </x:c>
      <x:c r="E318" t="str">
        <x:f>'Release Gates'!I292</x:f>
        <x:v>PASS</x:v>
      </x:c>
      <x:c r="F318" t="str">
        <x:f>IF('Release Gates'!C292="PLANNING","PASS",IF('Release Gates'!C292="PHYSICAL","OPEN","BLOCKED"))</x:f>
        <x:v>PASS</x:v>
      </x:c>
      <x:c r="G318" t="str">
        <x:v>equals</x:v>
      </x:c>
      <x:c r="H318" t="str">
        <x:f>IF(E318=F318,"PASS","FAIL")</x:f>
        <x:v>PASS</x:v>
      </x:c>
    </x:row>
    <x:row r="319">
      <x:c r="B319" t="str">
        <x:v>A-00287</x:v>
      </x:c>
      <x:c r="C319" t="str">
        <x:v>GATE</x:v>
      </x:c>
      <x:c r="D319" t="str">
        <x:v>release state mirrors governing ledger</x:v>
      </x:c>
      <x:c r="E319" t="str">
        <x:f>'Release Gates'!I293</x:f>
        <x:v>PASS</x:v>
      </x:c>
      <x:c r="F319" t="str">
        <x:f>IF('Release Gates'!C293="PLANNING","PASS",IF('Release Gates'!C293="PHYSICAL","OPEN","BLOCKED"))</x:f>
        <x:v>PASS</x:v>
      </x:c>
      <x:c r="G319" t="str">
        <x:v>equals</x:v>
      </x:c>
      <x:c r="H319" t="str">
        <x:f>IF(E319=F319,"PASS","FAIL")</x:f>
        <x:v>PASS</x:v>
      </x:c>
    </x:row>
    <x:row r="320">
      <x:c r="B320" t="str">
        <x:v>A-00288</x:v>
      </x:c>
      <x:c r="C320" t="str">
        <x:v>GATE</x:v>
      </x:c>
      <x:c r="D320" t="str">
        <x:v>release state mirrors governing ledger</x:v>
      </x:c>
      <x:c r="E320" t="str">
        <x:f>'Release Gates'!I294</x:f>
        <x:v>PASS</x:v>
      </x:c>
      <x:c r="F320" t="str">
        <x:f>IF('Release Gates'!C294="PLANNING","PASS",IF('Release Gates'!C294="PHYSICAL","OPEN","BLOCKED"))</x:f>
        <x:v>PASS</x:v>
      </x:c>
      <x:c r="G320" t="str">
        <x:v>equals</x:v>
      </x:c>
      <x:c r="H320" t="str">
        <x:f>IF(E320=F320,"PASS","FAIL")</x:f>
        <x:v>PASS</x:v>
      </x:c>
    </x:row>
    <x:row r="321">
      <x:c r="B321" t="str">
        <x:v>A-00289</x:v>
      </x:c>
      <x:c r="C321" t="str">
        <x:v>GATE</x:v>
      </x:c>
      <x:c r="D321" t="str">
        <x:v>release state mirrors governing ledger</x:v>
      </x:c>
      <x:c r="E321" t="str">
        <x:f>'Release Gates'!I295</x:f>
        <x:v>PASS</x:v>
      </x:c>
      <x:c r="F321" t="str">
        <x:f>IF('Release Gates'!C295="PLANNING","PASS",IF('Release Gates'!C295="PHYSICAL","OPEN","BLOCKED"))</x:f>
        <x:v>PASS</x:v>
      </x:c>
      <x:c r="G321" t="str">
        <x:v>equals</x:v>
      </x:c>
      <x:c r="H321" t="str">
        <x:f>IF(E321=F321,"PASS","FAIL")</x:f>
        <x:v>PASS</x:v>
      </x:c>
    </x:row>
    <x:row r="322">
      <x:c r="B322" t="str">
        <x:v>A-00290</x:v>
      </x:c>
      <x:c r="C322" t="str">
        <x:v>GATE</x:v>
      </x:c>
      <x:c r="D322" t="str">
        <x:v>release state mirrors governing ledger</x:v>
      </x:c>
      <x:c r="E322" t="str">
        <x:f>'Release Gates'!I296</x:f>
        <x:v>PASS</x:v>
      </x:c>
      <x:c r="F322" t="str">
        <x:f>IF('Release Gates'!C296="PLANNING","PASS",IF('Release Gates'!C296="PHYSICAL","OPEN","BLOCKED"))</x:f>
        <x:v>PASS</x:v>
      </x:c>
      <x:c r="G322" t="str">
        <x:v>equals</x:v>
      </x:c>
      <x:c r="H322" t="str">
        <x:f>IF(E322=F322,"PASS","FAIL")</x:f>
        <x:v>PASS</x:v>
      </x:c>
    </x:row>
    <x:row r="323">
      <x:c r="B323" t="str">
        <x:v>A-00291</x:v>
      </x:c>
      <x:c r="C323" t="str">
        <x:v>GATE</x:v>
      </x:c>
      <x:c r="D323" t="str">
        <x:v>release state mirrors governing ledger</x:v>
      </x:c>
      <x:c r="E323" t="str">
        <x:f>'Release Gates'!I297</x:f>
        <x:v>PASS</x:v>
      </x:c>
      <x:c r="F323" t="str">
        <x:f>IF('Release Gates'!C297="PLANNING","PASS",IF('Release Gates'!C297="PHYSICAL","OPEN","BLOCKED"))</x:f>
        <x:v>PASS</x:v>
      </x:c>
      <x:c r="G323" t="str">
        <x:v>equals</x:v>
      </x:c>
      <x:c r="H323" t="str">
        <x:f>IF(E323=F323,"PASS","FAIL")</x:f>
        <x:v>PASS</x:v>
      </x:c>
    </x:row>
    <x:row r="324">
      <x:c r="B324" t="str">
        <x:v>A-00292</x:v>
      </x:c>
      <x:c r="C324" t="str">
        <x:v>GATE</x:v>
      </x:c>
      <x:c r="D324" t="str">
        <x:v>release state mirrors governing ledger</x:v>
      </x:c>
      <x:c r="E324" t="str">
        <x:f>'Release Gates'!I298</x:f>
        <x:v>PASS</x:v>
      </x:c>
      <x:c r="F324" t="str">
        <x:f>IF('Release Gates'!C298="PLANNING","PASS",IF('Release Gates'!C298="PHYSICAL","OPEN","BLOCKED"))</x:f>
        <x:v>PASS</x:v>
      </x:c>
      <x:c r="G324" t="str">
        <x:v>equals</x:v>
      </x:c>
      <x:c r="H324" t="str">
        <x:f>IF(E324=F324,"PASS","FAIL")</x:f>
        <x:v>PASS</x:v>
      </x:c>
    </x:row>
    <x:row r="325">
      <x:c r="B325" t="str">
        <x:v>A-00293</x:v>
      </x:c>
      <x:c r="C325" t="str">
        <x:v>GATE</x:v>
      </x:c>
      <x:c r="D325" t="str">
        <x:v>release state mirrors governing ledger</x:v>
      </x:c>
      <x:c r="E325" t="str">
        <x:f>'Release Gates'!I299</x:f>
        <x:v>PASS</x:v>
      </x:c>
      <x:c r="F325" t="str">
        <x:f>IF('Release Gates'!C299="PLANNING","PASS",IF('Release Gates'!C299="PHYSICAL","OPEN","BLOCKED"))</x:f>
        <x:v>PASS</x:v>
      </x:c>
      <x:c r="G325" t="str">
        <x:v>equals</x:v>
      </x:c>
      <x:c r="H325" t="str">
        <x:f>IF(E325=F325,"PASS","FAIL")</x:f>
        <x:v>PASS</x:v>
      </x:c>
    </x:row>
    <x:row r="326">
      <x:c r="B326" t="str">
        <x:v>A-00294</x:v>
      </x:c>
      <x:c r="C326" t="str">
        <x:v>GATE</x:v>
      </x:c>
      <x:c r="D326" t="str">
        <x:v>release state mirrors governing ledger</x:v>
      </x:c>
      <x:c r="E326" t="str">
        <x:f>'Release Gates'!I300</x:f>
        <x:v>PASS</x:v>
      </x:c>
      <x:c r="F326" t="str">
        <x:f>IF('Release Gates'!C300="PLANNING","PASS",IF('Release Gates'!C300="PHYSICAL","OPEN","BLOCKED"))</x:f>
        <x:v>PASS</x:v>
      </x:c>
      <x:c r="G326" t="str">
        <x:v>equals</x:v>
      </x:c>
      <x:c r="H326" t="str">
        <x:f>IF(E326=F326,"PASS","FAIL")</x:f>
        <x:v>PASS</x:v>
      </x:c>
    </x:row>
    <x:row r="327">
      <x:c r="B327" t="str">
        <x:v>A-00295</x:v>
      </x:c>
      <x:c r="C327" t="str">
        <x:v>GATE</x:v>
      </x:c>
      <x:c r="D327" t="str">
        <x:v>release state mirrors governing ledger</x:v>
      </x:c>
      <x:c r="E327" t="str">
        <x:f>'Release Gates'!I301</x:f>
        <x:v>PASS</x:v>
      </x:c>
      <x:c r="F327" t="str">
        <x:f>IF('Release Gates'!C301="PLANNING","PASS",IF('Release Gates'!C301="PHYSICAL","OPEN","BLOCKED"))</x:f>
        <x:v>PASS</x:v>
      </x:c>
      <x:c r="G327" t="str">
        <x:v>equals</x:v>
      </x:c>
      <x:c r="H327" t="str">
        <x:f>IF(E327=F327,"PASS","FAIL")</x:f>
        <x:v>PASS</x:v>
      </x:c>
    </x:row>
    <x:row r="328">
      <x:c r="B328" t="str">
        <x:v>A-00296</x:v>
      </x:c>
      <x:c r="C328" t="str">
        <x:v>GATE</x:v>
      </x:c>
      <x:c r="D328" t="str">
        <x:v>release state mirrors governing ledger</x:v>
      </x:c>
      <x:c r="E328" t="str">
        <x:f>'Release Gates'!I302</x:f>
        <x:v>PASS</x:v>
      </x:c>
      <x:c r="F328" t="str">
        <x:f>IF('Release Gates'!C302="PLANNING","PASS",IF('Release Gates'!C302="PHYSICAL","OPEN","BLOCKED"))</x:f>
        <x:v>PASS</x:v>
      </x:c>
      <x:c r="G328" t="str">
        <x:v>equals</x:v>
      </x:c>
      <x:c r="H328" t="str">
        <x:f>IF(E328=F328,"PASS","FAIL")</x:f>
        <x:v>PASS</x:v>
      </x:c>
    </x:row>
    <x:row r="329">
      <x:c r="B329" t="str">
        <x:v>A-00297</x:v>
      </x:c>
      <x:c r="C329" t="str">
        <x:v>GATE</x:v>
      </x:c>
      <x:c r="D329" t="str">
        <x:v>release state mirrors governing ledger</x:v>
      </x:c>
      <x:c r="E329" t="str">
        <x:f>'Release Gates'!I303</x:f>
        <x:v>PASS</x:v>
      </x:c>
      <x:c r="F329" t="str">
        <x:f>IF('Release Gates'!C303="PLANNING","PASS",IF('Release Gates'!C303="PHYSICAL","OPEN","BLOCKED"))</x:f>
        <x:v>PASS</x:v>
      </x:c>
      <x:c r="G329" t="str">
        <x:v>equals</x:v>
      </x:c>
      <x:c r="H329" t="str">
        <x:f>IF(E329=F329,"PASS","FAIL")</x:f>
        <x:v>PASS</x:v>
      </x:c>
    </x:row>
    <x:row r="330">
      <x:c r="B330" t="str">
        <x:v>A-00298</x:v>
      </x:c>
      <x:c r="C330" t="str">
        <x:v>GATE</x:v>
      </x:c>
      <x:c r="D330" t="str">
        <x:v>release state mirrors governing ledger</x:v>
      </x:c>
      <x:c r="E330" t="str">
        <x:f>'Release Gates'!I304</x:f>
        <x:v>PASS</x:v>
      </x:c>
      <x:c r="F330" t="str">
        <x:f>IF('Release Gates'!C304="PLANNING","PASS",IF('Release Gates'!C304="PHYSICAL","OPEN","BLOCKED"))</x:f>
        <x:v>PASS</x:v>
      </x:c>
      <x:c r="G330" t="str">
        <x:v>equals</x:v>
      </x:c>
      <x:c r="H330" t="str">
        <x:f>IF(E330=F330,"PASS","FAIL")</x:f>
        <x:v>PASS</x:v>
      </x:c>
    </x:row>
    <x:row r="331">
      <x:c r="B331" t="str">
        <x:v>A-00299</x:v>
      </x:c>
      <x:c r="C331" t="str">
        <x:v>GATE</x:v>
      </x:c>
      <x:c r="D331" t="str">
        <x:v>release state mirrors governing ledger</x:v>
      </x:c>
      <x:c r="E331" t="str">
        <x:f>'Release Gates'!I305</x:f>
        <x:v>PASS</x:v>
      </x:c>
      <x:c r="F331" t="str">
        <x:f>IF('Release Gates'!C305="PLANNING","PASS",IF('Release Gates'!C305="PHYSICAL","OPEN","BLOCKED"))</x:f>
        <x:v>PASS</x:v>
      </x:c>
      <x:c r="G331" t="str">
        <x:v>equals</x:v>
      </x:c>
      <x:c r="H331" t="str">
        <x:f>IF(E331=F331,"PASS","FAIL")</x:f>
        <x:v>PASS</x:v>
      </x:c>
    </x:row>
    <x:row r="332">
      <x:c r="B332" t="str">
        <x:v>A-00300</x:v>
      </x:c>
      <x:c r="C332" t="str">
        <x:v>GATE</x:v>
      </x:c>
      <x:c r="D332" t="str">
        <x:v>release state mirrors governing ledger</x:v>
      </x:c>
      <x:c r="E332" t="str">
        <x:f>'Release Gates'!I306</x:f>
        <x:v>PASS</x:v>
      </x:c>
      <x:c r="F332" t="str">
        <x:f>IF('Release Gates'!C306="PLANNING","PASS",IF('Release Gates'!C306="PHYSICAL","OPEN","BLOCKED"))</x:f>
        <x:v>PASS</x:v>
      </x:c>
      <x:c r="G332" t="str">
        <x:v>equals</x:v>
      </x:c>
      <x:c r="H332" t="str">
        <x:f>IF(E332=F332,"PASS","FAIL")</x:f>
        <x:v>PASS</x:v>
      </x:c>
    </x:row>
    <x:row r="333">
      <x:c r="B333" t="str">
        <x:v>A-00301</x:v>
      </x:c>
      <x:c r="C333" t="str">
        <x:v>GATE</x:v>
      </x:c>
      <x:c r="D333" t="str">
        <x:v>release state mirrors governing ledger</x:v>
      </x:c>
      <x:c r="E333" t="str">
        <x:f>'Release Gates'!I307</x:f>
        <x:v>PASS</x:v>
      </x:c>
      <x:c r="F333" t="str">
        <x:f>IF('Release Gates'!C307="PLANNING","PASS",IF('Release Gates'!C307="PHYSICAL","OPEN","BLOCKED"))</x:f>
        <x:v>PASS</x:v>
      </x:c>
      <x:c r="G333" t="str">
        <x:v>equals</x:v>
      </x:c>
      <x:c r="H333" t="str">
        <x:f>IF(E333=F333,"PASS","FAIL")</x:f>
        <x:v>PASS</x:v>
      </x:c>
    </x:row>
    <x:row r="334">
      <x:c r="B334" t="str">
        <x:v>A-00302</x:v>
      </x:c>
      <x:c r="C334" t="str">
        <x:v>GATE</x:v>
      </x:c>
      <x:c r="D334" t="str">
        <x:v>release state mirrors governing ledger</x:v>
      </x:c>
      <x:c r="E334" t="str">
        <x:f>'Release Gates'!I308</x:f>
        <x:v>PASS</x:v>
      </x:c>
      <x:c r="F334" t="str">
        <x:f>IF('Release Gates'!C308="PLANNING","PASS",IF('Release Gates'!C308="PHYSICAL","OPEN","BLOCKED"))</x:f>
        <x:v>PASS</x:v>
      </x:c>
      <x:c r="G334" t="str">
        <x:v>equals</x:v>
      </x:c>
      <x:c r="H334" t="str">
        <x:f>IF(E334=F334,"PASS","FAIL")</x:f>
        <x:v>PASS</x:v>
      </x:c>
    </x:row>
    <x:row r="335">
      <x:c r="B335" t="str">
        <x:v>A-00303</x:v>
      </x:c>
      <x:c r="C335" t="str">
        <x:v>GATE</x:v>
      </x:c>
      <x:c r="D335" t="str">
        <x:v>release state mirrors governing ledger</x:v>
      </x:c>
      <x:c r="E335" t="str">
        <x:f>'Release Gates'!I309</x:f>
        <x:v>PASS</x:v>
      </x:c>
      <x:c r="F335" t="str">
        <x:f>IF('Release Gates'!C309="PLANNING","PASS",IF('Release Gates'!C309="PHYSICAL","OPEN","BLOCKED"))</x:f>
        <x:v>PASS</x:v>
      </x:c>
      <x:c r="G335" t="str">
        <x:v>equals</x:v>
      </x:c>
      <x:c r="H335" t="str">
        <x:f>IF(E335=F335,"PASS","FAIL")</x:f>
        <x:v>PASS</x:v>
      </x:c>
    </x:row>
    <x:row r="336">
      <x:c r="B336" t="str">
        <x:v>A-00304</x:v>
      </x:c>
      <x:c r="C336" t="str">
        <x:v>GATE</x:v>
      </x:c>
      <x:c r="D336" t="str">
        <x:v>release state mirrors governing ledger</x:v>
      </x:c>
      <x:c r="E336" t="str">
        <x:f>'Release Gates'!I310</x:f>
        <x:v>PASS</x:v>
      </x:c>
      <x:c r="F336" t="str">
        <x:f>IF('Release Gates'!C310="PLANNING","PASS",IF('Release Gates'!C310="PHYSICAL","OPEN","BLOCKED"))</x:f>
        <x:v>PASS</x:v>
      </x:c>
      <x:c r="G336" t="str">
        <x:v>equals</x:v>
      </x:c>
      <x:c r="H336" t="str">
        <x:f>IF(E336=F336,"PASS","FAIL")</x:f>
        <x:v>PASS</x:v>
      </x:c>
    </x:row>
    <x:row r="337">
      <x:c r="B337" t="str">
        <x:v>A-00305</x:v>
      </x:c>
      <x:c r="C337" t="str">
        <x:v>GATE</x:v>
      </x:c>
      <x:c r="D337" t="str">
        <x:v>release state mirrors governing ledger</x:v>
      </x:c>
      <x:c r="E337" t="str">
        <x:f>'Release Gates'!I311</x:f>
        <x:v>PASS</x:v>
      </x:c>
      <x:c r="F337" t="str">
        <x:f>IF('Release Gates'!C311="PLANNING","PASS",IF('Release Gates'!C311="PHYSICAL","OPEN","BLOCKED"))</x:f>
        <x:v>PASS</x:v>
      </x:c>
      <x:c r="G337" t="str">
        <x:v>equals</x:v>
      </x:c>
      <x:c r="H337" t="str">
        <x:f>IF(E337=F337,"PASS","FAIL")</x:f>
        <x:v>PASS</x:v>
      </x:c>
    </x:row>
    <x:row r="338">
      <x:c r="B338" t="str">
        <x:v>A-00306</x:v>
      </x:c>
      <x:c r="C338" t="str">
        <x:v>GATE</x:v>
      </x:c>
      <x:c r="D338" t="str">
        <x:v>release state mirrors governing ledger</x:v>
      </x:c>
      <x:c r="E338" t="str">
        <x:f>'Release Gates'!I312</x:f>
        <x:v>PASS</x:v>
      </x:c>
      <x:c r="F338" t="str">
        <x:f>IF('Release Gates'!C312="PLANNING","PASS",IF('Release Gates'!C312="PHYSICAL","OPEN","BLOCKED"))</x:f>
        <x:v>PASS</x:v>
      </x:c>
      <x:c r="G338" t="str">
        <x:v>equals</x:v>
      </x:c>
      <x:c r="H338" t="str">
        <x:f>IF(E338=F338,"PASS","FAIL")</x:f>
        <x:v>PASS</x:v>
      </x:c>
    </x:row>
    <x:row r="339">
      <x:c r="B339" t="str">
        <x:v>A-00307</x:v>
      </x:c>
      <x:c r="C339" t="str">
        <x:v>GATE</x:v>
      </x:c>
      <x:c r="D339" t="str">
        <x:v>release state mirrors governing ledger</x:v>
      </x:c>
      <x:c r="E339" t="str">
        <x:f>'Release Gates'!I313</x:f>
        <x:v>PASS</x:v>
      </x:c>
      <x:c r="F339" t="str">
        <x:f>IF('Release Gates'!C313="PLANNING","PASS",IF('Release Gates'!C313="PHYSICAL","OPEN","BLOCKED"))</x:f>
        <x:v>PASS</x:v>
      </x:c>
      <x:c r="G339" t="str">
        <x:v>equals</x:v>
      </x:c>
      <x:c r="H339" t="str">
        <x:f>IF(E339=F339,"PASS","FAIL")</x:f>
        <x:v>PASS</x:v>
      </x:c>
    </x:row>
    <x:row r="340">
      <x:c r="B340" t="str">
        <x:v>A-00308</x:v>
      </x:c>
      <x:c r="C340" t="str">
        <x:v>GATE</x:v>
      </x:c>
      <x:c r="D340" t="str">
        <x:v>release state mirrors governing ledger</x:v>
      </x:c>
      <x:c r="E340" t="str">
        <x:f>'Release Gates'!I314</x:f>
        <x:v>PASS</x:v>
      </x:c>
      <x:c r="F340" t="str">
        <x:f>IF('Release Gates'!C314="PLANNING","PASS",IF('Release Gates'!C314="PHYSICAL","OPEN","BLOCKED"))</x:f>
        <x:v>PASS</x:v>
      </x:c>
      <x:c r="G340" t="str">
        <x:v>equals</x:v>
      </x:c>
      <x:c r="H340" t="str">
        <x:f>IF(E340=F340,"PASS","FAIL")</x:f>
        <x:v>PASS</x:v>
      </x:c>
    </x:row>
    <x:row r="341">
      <x:c r="B341" t="str">
        <x:v>A-00309</x:v>
      </x:c>
      <x:c r="C341" t="str">
        <x:v>GATE</x:v>
      </x:c>
      <x:c r="D341" t="str">
        <x:v>release state mirrors governing ledger</x:v>
      </x:c>
      <x:c r="E341" t="str">
        <x:f>'Release Gates'!I315</x:f>
        <x:v>PASS</x:v>
      </x:c>
      <x:c r="F341" t="str">
        <x:f>IF('Release Gates'!C315="PLANNING","PASS",IF('Release Gates'!C315="PHYSICAL","OPEN","BLOCKED"))</x:f>
        <x:v>PASS</x:v>
      </x:c>
      <x:c r="G341" t="str">
        <x:v>equals</x:v>
      </x:c>
      <x:c r="H341" t="str">
        <x:f>IF(E341=F341,"PASS","FAIL")</x:f>
        <x:v>PASS</x:v>
      </x:c>
    </x:row>
    <x:row r="342">
      <x:c r="B342" t="str">
        <x:v>A-00310</x:v>
      </x:c>
      <x:c r="C342" t="str">
        <x:v>GATE</x:v>
      </x:c>
      <x:c r="D342" t="str">
        <x:v>release state mirrors governing ledger</x:v>
      </x:c>
      <x:c r="E342" t="str">
        <x:f>'Release Gates'!I316</x:f>
        <x:v>PASS</x:v>
      </x:c>
      <x:c r="F342" t="str">
        <x:f>IF('Release Gates'!C316="PLANNING","PASS",IF('Release Gates'!C316="PHYSICAL","OPEN","BLOCKED"))</x:f>
        <x:v>PASS</x:v>
      </x:c>
      <x:c r="G342" t="str">
        <x:v>equals</x:v>
      </x:c>
      <x:c r="H342" t="str">
        <x:f>IF(E342=F342,"PASS","FAIL")</x:f>
        <x:v>PASS</x:v>
      </x:c>
    </x:row>
    <x:row r="343">
      <x:c r="B343" t="str">
        <x:v>A-00311</x:v>
      </x:c>
      <x:c r="C343" t="str">
        <x:v>GATE</x:v>
      </x:c>
      <x:c r="D343" t="str">
        <x:v>release state mirrors governing ledger</x:v>
      </x:c>
      <x:c r="E343" t="str">
        <x:f>'Release Gates'!I317</x:f>
        <x:v>PASS</x:v>
      </x:c>
      <x:c r="F343" t="str">
        <x:f>IF('Release Gates'!C317="PLANNING","PASS",IF('Release Gates'!C317="PHYSICAL","OPEN","BLOCKED"))</x:f>
        <x:v>PASS</x:v>
      </x:c>
      <x:c r="G343" t="str">
        <x:v>equals</x:v>
      </x:c>
      <x:c r="H343" t="str">
        <x:f>IF(E343=F343,"PASS","FAIL")</x:f>
        <x:v>PASS</x:v>
      </x:c>
    </x:row>
    <x:row r="344">
      <x:c r="B344" t="str">
        <x:v>A-00312</x:v>
      </x:c>
      <x:c r="C344" t="str">
        <x:v>GATE</x:v>
      </x:c>
      <x:c r="D344" t="str">
        <x:v>release state mirrors governing ledger</x:v>
      </x:c>
      <x:c r="E344" t="str">
        <x:f>'Release Gates'!I318</x:f>
        <x:v>PASS</x:v>
      </x:c>
      <x:c r="F344" t="str">
        <x:f>IF('Release Gates'!C318="PLANNING","PASS",IF('Release Gates'!C318="PHYSICAL","OPEN","BLOCKED"))</x:f>
        <x:v>PASS</x:v>
      </x:c>
      <x:c r="G344" t="str">
        <x:v>equals</x:v>
      </x:c>
      <x:c r="H344" t="str">
        <x:f>IF(E344=F344,"PASS","FAIL")</x:f>
        <x:v>PASS</x:v>
      </x:c>
    </x:row>
    <x:row r="345">
      <x:c r="B345" t="str">
        <x:v>A-00313</x:v>
      </x:c>
      <x:c r="C345" t="str">
        <x:v>GATE</x:v>
      </x:c>
      <x:c r="D345" t="str">
        <x:v>release state mirrors governing ledger</x:v>
      </x:c>
      <x:c r="E345" t="str">
        <x:f>'Release Gates'!I319</x:f>
        <x:v>PASS</x:v>
      </x:c>
      <x:c r="F345" t="str">
        <x:f>IF('Release Gates'!C319="PLANNING","PASS",IF('Release Gates'!C319="PHYSICAL","OPEN","BLOCKED"))</x:f>
        <x:v>PASS</x:v>
      </x:c>
      <x:c r="G345" t="str">
        <x:v>equals</x:v>
      </x:c>
      <x:c r="H345" t="str">
        <x:f>IF(E345=F345,"PASS","FAIL")</x:f>
        <x:v>PASS</x:v>
      </x:c>
    </x:row>
    <x:row r="346">
      <x:c r="B346" t="str">
        <x:v>A-00314</x:v>
      </x:c>
      <x:c r="C346" t="str">
        <x:v>GATE</x:v>
      </x:c>
      <x:c r="D346" t="str">
        <x:v>release state mirrors governing ledger</x:v>
      </x:c>
      <x:c r="E346" t="str">
        <x:f>'Release Gates'!I320</x:f>
        <x:v>PASS</x:v>
      </x:c>
      <x:c r="F346" t="str">
        <x:f>IF('Release Gates'!C320="PLANNING","PASS",IF('Release Gates'!C320="PHYSICAL","OPEN","BLOCKED"))</x:f>
        <x:v>PASS</x:v>
      </x:c>
      <x:c r="G346" t="str">
        <x:v>equals</x:v>
      </x:c>
      <x:c r="H346" t="str">
        <x:f>IF(E346=F346,"PASS","FAIL")</x:f>
        <x:v>PASS</x:v>
      </x:c>
    </x:row>
    <x:row r="347">
      <x:c r="B347" t="str">
        <x:v>A-00315</x:v>
      </x:c>
      <x:c r="C347" t="str">
        <x:v>GATE</x:v>
      </x:c>
      <x:c r="D347" t="str">
        <x:v>release state mirrors governing ledger</x:v>
      </x:c>
      <x:c r="E347" t="str">
        <x:f>'Release Gates'!I321</x:f>
        <x:v>PASS</x:v>
      </x:c>
      <x:c r="F347" t="str">
        <x:f>IF('Release Gates'!C321="PLANNING","PASS",IF('Release Gates'!C321="PHYSICAL","OPEN","BLOCKED"))</x:f>
        <x:v>PASS</x:v>
      </x:c>
      <x:c r="G347" t="str">
        <x:v>equals</x:v>
      </x:c>
      <x:c r="H347" t="str">
        <x:f>IF(E347=F347,"PASS","FAIL")</x:f>
        <x:v>PASS</x:v>
      </x:c>
    </x:row>
    <x:row r="348">
      <x:c r="B348" t="str">
        <x:v>A-00316</x:v>
      </x:c>
      <x:c r="C348" t="str">
        <x:v>GATE</x:v>
      </x:c>
      <x:c r="D348" t="str">
        <x:v>release state mirrors governing ledger</x:v>
      </x:c>
      <x:c r="E348" t="str">
        <x:f>'Release Gates'!I322</x:f>
        <x:v>PASS</x:v>
      </x:c>
      <x:c r="F348" t="str">
        <x:f>IF('Release Gates'!C322="PLANNING","PASS",IF('Release Gates'!C322="PHYSICAL","OPEN","BLOCKED"))</x:f>
        <x:v>PASS</x:v>
      </x:c>
      <x:c r="G348" t="str">
        <x:v>equals</x:v>
      </x:c>
      <x:c r="H348" t="str">
        <x:f>IF(E348=F348,"PASS","FAIL")</x:f>
        <x:v>PASS</x:v>
      </x:c>
    </x:row>
    <x:row r="349">
      <x:c r="B349" t="str">
        <x:v>A-00317</x:v>
      </x:c>
      <x:c r="C349" t="str">
        <x:v>GATE</x:v>
      </x:c>
      <x:c r="D349" t="str">
        <x:v>release state mirrors governing ledger</x:v>
      </x:c>
      <x:c r="E349" t="str">
        <x:f>'Release Gates'!I323</x:f>
        <x:v>PASS</x:v>
      </x:c>
      <x:c r="F349" t="str">
        <x:f>IF('Release Gates'!C323="PLANNING","PASS",IF('Release Gates'!C323="PHYSICAL","OPEN","BLOCKED"))</x:f>
        <x:v>PASS</x:v>
      </x:c>
      <x:c r="G349" t="str">
        <x:v>equals</x:v>
      </x:c>
      <x:c r="H349" t="str">
        <x:f>IF(E349=F349,"PASS","FAIL")</x:f>
        <x:v>PASS</x:v>
      </x:c>
    </x:row>
    <x:row r="350">
      <x:c r="B350" t="str">
        <x:v>A-00318</x:v>
      </x:c>
      <x:c r="C350" t="str">
        <x:v>GATE</x:v>
      </x:c>
      <x:c r="D350" t="str">
        <x:v>release state mirrors governing ledger</x:v>
      </x:c>
      <x:c r="E350" t="str">
        <x:f>'Release Gates'!I324</x:f>
        <x:v>PASS</x:v>
      </x:c>
      <x:c r="F350" t="str">
        <x:f>IF('Release Gates'!C324="PLANNING","PASS",IF('Release Gates'!C324="PHYSICAL","OPEN","BLOCKED"))</x:f>
        <x:v>PASS</x:v>
      </x:c>
      <x:c r="G350" t="str">
        <x:v>equals</x:v>
      </x:c>
      <x:c r="H350" t="str">
        <x:f>IF(E350=F350,"PASS","FAIL")</x:f>
        <x:v>PASS</x:v>
      </x:c>
    </x:row>
    <x:row r="351">
      <x:c r="B351" t="str">
        <x:v>A-00319</x:v>
      </x:c>
      <x:c r="C351" t="str">
        <x:v>GATE</x:v>
      </x:c>
      <x:c r="D351" t="str">
        <x:v>release state mirrors governing ledger</x:v>
      </x:c>
      <x:c r="E351" t="str">
        <x:f>'Release Gates'!I325</x:f>
        <x:v>PASS</x:v>
      </x:c>
      <x:c r="F351" t="str">
        <x:f>IF('Release Gates'!C325="PLANNING","PASS",IF('Release Gates'!C325="PHYSICAL","OPEN","BLOCKED"))</x:f>
        <x:v>PASS</x:v>
      </x:c>
      <x:c r="G351" t="str">
        <x:v>equals</x:v>
      </x:c>
      <x:c r="H351" t="str">
        <x:f>IF(E351=F351,"PASS","FAIL")</x:f>
        <x:v>PASS</x:v>
      </x:c>
    </x:row>
    <x:row r="352">
      <x:c r="B352" t="str">
        <x:v>A-00320</x:v>
      </x:c>
      <x:c r="C352" t="str">
        <x:v>GATE</x:v>
      </x:c>
      <x:c r="D352" t="str">
        <x:v>release state mirrors governing ledger</x:v>
      </x:c>
      <x:c r="E352" t="str">
        <x:f>'Release Gates'!I326</x:f>
        <x:v>PASS</x:v>
      </x:c>
      <x:c r="F352" t="str">
        <x:f>IF('Release Gates'!C326="PLANNING","PASS",IF('Release Gates'!C326="PHYSICAL","OPEN","BLOCKED"))</x:f>
        <x:v>PASS</x:v>
      </x:c>
      <x:c r="G352" t="str">
        <x:v>equals</x:v>
      </x:c>
      <x:c r="H352" t="str">
        <x:f>IF(E352=F352,"PASS","FAIL")</x:f>
        <x:v>PASS</x:v>
      </x:c>
    </x:row>
    <x:row r="353">
      <x:c r="B353" t="str">
        <x:v>A-00321</x:v>
      </x:c>
      <x:c r="C353" t="str">
        <x:v>GATE</x:v>
      </x:c>
      <x:c r="D353" t="str">
        <x:v>release state mirrors governing ledger</x:v>
      </x:c>
      <x:c r="E353" t="str">
        <x:f>'Release Gates'!I327</x:f>
        <x:v>PASS</x:v>
      </x:c>
      <x:c r="F353" t="str">
        <x:f>IF('Release Gates'!C327="PLANNING","PASS",IF('Release Gates'!C327="PHYSICAL","OPEN","BLOCKED"))</x:f>
        <x:v>PASS</x:v>
      </x:c>
      <x:c r="G353" t="str">
        <x:v>equals</x:v>
      </x:c>
      <x:c r="H353" t="str">
        <x:f>IF(E353=F353,"PASS","FAIL")</x:f>
        <x:v>PASS</x:v>
      </x:c>
    </x:row>
    <x:row r="354">
      <x:c r="B354" t="str">
        <x:v>A-00322</x:v>
      </x:c>
      <x:c r="C354" t="str">
        <x:v>GATE</x:v>
      </x:c>
      <x:c r="D354" t="str">
        <x:v>release state mirrors governing ledger</x:v>
      </x:c>
      <x:c r="E354" t="str">
        <x:f>'Release Gates'!I328</x:f>
        <x:v>PASS</x:v>
      </x:c>
      <x:c r="F354" t="str">
        <x:f>IF('Release Gates'!C328="PLANNING","PASS",IF('Release Gates'!C328="PHYSICAL","OPEN","BLOCKED"))</x:f>
        <x:v>PASS</x:v>
      </x:c>
      <x:c r="G354" t="str">
        <x:v>equals</x:v>
      </x:c>
      <x:c r="H354" t="str">
        <x:f>IF(E354=F354,"PASS","FAIL")</x:f>
        <x:v>PASS</x:v>
      </x:c>
    </x:row>
    <x:row r="355">
      <x:c r="B355" t="str">
        <x:v>A-00323</x:v>
      </x:c>
      <x:c r="C355" t="str">
        <x:v>GATE</x:v>
      </x:c>
      <x:c r="D355" t="str">
        <x:v>release state mirrors governing ledger</x:v>
      </x:c>
      <x:c r="E355" t="str">
        <x:f>'Release Gates'!I329</x:f>
        <x:v>PASS</x:v>
      </x:c>
      <x:c r="F355" t="str">
        <x:f>IF('Release Gates'!C329="PLANNING","PASS",IF('Release Gates'!C329="PHYSICAL","OPEN","BLOCKED"))</x:f>
        <x:v>PASS</x:v>
      </x:c>
      <x:c r="G355" t="str">
        <x:v>equals</x:v>
      </x:c>
      <x:c r="H355" t="str">
        <x:f>IF(E355=F355,"PASS","FAIL")</x:f>
        <x:v>PASS</x:v>
      </x:c>
    </x:row>
    <x:row r="356">
      <x:c r="B356" t="str">
        <x:v>A-00324</x:v>
      </x:c>
      <x:c r="C356" t="str">
        <x:v>GATE</x:v>
      </x:c>
      <x:c r="D356" t="str">
        <x:v>release state mirrors governing ledger</x:v>
      </x:c>
      <x:c r="E356" t="str">
        <x:f>'Release Gates'!I330</x:f>
        <x:v>PASS</x:v>
      </x:c>
      <x:c r="F356" t="str">
        <x:f>IF('Release Gates'!C330="PLANNING","PASS",IF('Release Gates'!C330="PHYSICAL","OPEN","BLOCKED"))</x:f>
        <x:v>PASS</x:v>
      </x:c>
      <x:c r="G356" t="str">
        <x:v>equals</x:v>
      </x:c>
      <x:c r="H356" t="str">
        <x:f>IF(E356=F356,"PASS","FAIL")</x:f>
        <x:v>PASS</x:v>
      </x:c>
    </x:row>
    <x:row r="357">
      <x:c r="B357" t="str">
        <x:v>A-00325</x:v>
      </x:c>
      <x:c r="C357" t="str">
        <x:v>GATE</x:v>
      </x:c>
      <x:c r="D357" t="str">
        <x:v>release state mirrors governing ledger</x:v>
      </x:c>
      <x:c r="E357" t="str">
        <x:f>'Release Gates'!I331</x:f>
        <x:v>PASS</x:v>
      </x:c>
      <x:c r="F357" t="str">
        <x:f>IF('Release Gates'!C331="PLANNING","PASS",IF('Release Gates'!C331="PHYSICAL","OPEN","BLOCKED"))</x:f>
        <x:v>PASS</x:v>
      </x:c>
      <x:c r="G357" t="str">
        <x:v>equals</x:v>
      </x:c>
      <x:c r="H357" t="str">
        <x:f>IF(E357=F357,"PASS","FAIL")</x:f>
        <x:v>PASS</x:v>
      </x:c>
    </x:row>
    <x:row r="358">
      <x:c r="B358" t="str">
        <x:v>A-00326</x:v>
      </x:c>
      <x:c r="C358" t="str">
        <x:v>GATE</x:v>
      </x:c>
      <x:c r="D358" t="str">
        <x:v>release state mirrors governing ledger</x:v>
      </x:c>
      <x:c r="E358" t="str">
        <x:f>'Release Gates'!I332</x:f>
        <x:v>PASS</x:v>
      </x:c>
      <x:c r="F358" t="str">
        <x:f>IF('Release Gates'!C332="PLANNING","PASS",IF('Release Gates'!C332="PHYSICAL","OPEN","BLOCKED"))</x:f>
        <x:v>PASS</x:v>
      </x:c>
      <x:c r="G358" t="str">
        <x:v>equals</x:v>
      </x:c>
      <x:c r="H358" t="str">
        <x:f>IF(E358=F358,"PASS","FAIL")</x:f>
        <x:v>PASS</x:v>
      </x:c>
    </x:row>
    <x:row r="359">
      <x:c r="B359" t="str">
        <x:v>A-00327</x:v>
      </x:c>
      <x:c r="C359" t="str">
        <x:v>GATE</x:v>
      </x:c>
      <x:c r="D359" t="str">
        <x:v>release state mirrors governing ledger</x:v>
      </x:c>
      <x:c r="E359" t="str">
        <x:f>'Release Gates'!I333</x:f>
        <x:v>PASS</x:v>
      </x:c>
      <x:c r="F359" t="str">
        <x:f>IF('Release Gates'!C333="PLANNING","PASS",IF('Release Gates'!C333="PHYSICAL","OPEN","BLOCKED"))</x:f>
        <x:v>PASS</x:v>
      </x:c>
      <x:c r="G359" t="str">
        <x:v>equals</x:v>
      </x:c>
      <x:c r="H359" t="str">
        <x:f>IF(E359=F359,"PASS","FAIL")</x:f>
        <x:v>PASS</x:v>
      </x:c>
    </x:row>
    <x:row r="360">
      <x:c r="B360" t="str">
        <x:v>A-00328</x:v>
      </x:c>
      <x:c r="C360" t="str">
        <x:v>GATE</x:v>
      </x:c>
      <x:c r="D360" t="str">
        <x:v>release state mirrors governing ledger</x:v>
      </x:c>
      <x:c r="E360" t="str">
        <x:f>'Release Gates'!I334</x:f>
        <x:v>PASS</x:v>
      </x:c>
      <x:c r="F360" t="str">
        <x:f>IF('Release Gates'!C334="PLANNING","PASS",IF('Release Gates'!C334="PHYSICAL","OPEN","BLOCKED"))</x:f>
        <x:v>PASS</x:v>
      </x:c>
      <x:c r="G360" t="str">
        <x:v>equals</x:v>
      </x:c>
      <x:c r="H360" t="str">
        <x:f>IF(E360=F360,"PASS","FAIL")</x:f>
        <x:v>PASS</x:v>
      </x:c>
    </x:row>
    <x:row r="361">
      <x:c r="B361" t="str">
        <x:v>A-00329</x:v>
      </x:c>
      <x:c r="C361" t="str">
        <x:v>GATE</x:v>
      </x:c>
      <x:c r="D361" t="str">
        <x:v>release state mirrors governing ledger</x:v>
      </x:c>
      <x:c r="E361" t="str">
        <x:f>'Release Gates'!I335</x:f>
        <x:v>PASS</x:v>
      </x:c>
      <x:c r="F361" t="str">
        <x:f>IF('Release Gates'!C335="PLANNING","PASS",IF('Release Gates'!C335="PHYSICAL","OPEN","BLOCKED"))</x:f>
        <x:v>PASS</x:v>
      </x:c>
      <x:c r="G361" t="str">
        <x:v>equals</x:v>
      </x:c>
      <x:c r="H361" t="str">
        <x:f>IF(E361=F361,"PASS","FAIL")</x:f>
        <x:v>PASS</x:v>
      </x:c>
    </x:row>
    <x:row r="362">
      <x:c r="B362" t="str">
        <x:v>A-00330</x:v>
      </x:c>
      <x:c r="C362" t="str">
        <x:v>GATE</x:v>
      </x:c>
      <x:c r="D362" t="str">
        <x:v>release state mirrors governing ledger</x:v>
      </x:c>
      <x:c r="E362" t="str">
        <x:f>'Release Gates'!I336</x:f>
        <x:v>PASS</x:v>
      </x:c>
      <x:c r="F362" t="str">
        <x:f>IF('Release Gates'!C336="PLANNING","PASS",IF('Release Gates'!C336="PHYSICAL","OPEN","BLOCKED"))</x:f>
        <x:v>PASS</x:v>
      </x:c>
      <x:c r="G362" t="str">
        <x:v>equals</x:v>
      </x:c>
      <x:c r="H362" t="str">
        <x:f>IF(E362=F362,"PASS","FAIL")</x:f>
        <x:v>PASS</x:v>
      </x:c>
    </x:row>
    <x:row r="363">
      <x:c r="B363" t="str">
        <x:v>A-00331</x:v>
      </x:c>
      <x:c r="C363" t="str">
        <x:v>GATE</x:v>
      </x:c>
      <x:c r="D363" t="str">
        <x:v>release state mirrors governing ledger</x:v>
      </x:c>
      <x:c r="E363" t="str">
        <x:f>'Release Gates'!I337</x:f>
        <x:v>PASS</x:v>
      </x:c>
      <x:c r="F363" t="str">
        <x:f>IF('Release Gates'!C337="PLANNING","PASS",IF('Release Gates'!C337="PHYSICAL","OPEN","BLOCKED"))</x:f>
        <x:v>PASS</x:v>
      </x:c>
      <x:c r="G363" t="str">
        <x:v>equals</x:v>
      </x:c>
      <x:c r="H363" t="str">
        <x:f>IF(E363=F363,"PASS","FAIL")</x:f>
        <x:v>PASS</x:v>
      </x:c>
    </x:row>
    <x:row r="364">
      <x:c r="B364" t="str">
        <x:v>A-00332</x:v>
      </x:c>
      <x:c r="C364" t="str">
        <x:v>GATE</x:v>
      </x:c>
      <x:c r="D364" t="str">
        <x:v>release state mirrors governing ledger</x:v>
      </x:c>
      <x:c r="E364" t="str">
        <x:f>'Release Gates'!I338</x:f>
        <x:v>PASS</x:v>
      </x:c>
      <x:c r="F364" t="str">
        <x:f>IF('Release Gates'!C338="PLANNING","PASS",IF('Release Gates'!C338="PHYSICAL","OPEN","BLOCKED"))</x:f>
        <x:v>PASS</x:v>
      </x:c>
      <x:c r="G364" t="str">
        <x:v>equals</x:v>
      </x:c>
      <x:c r="H364" t="str">
        <x:f>IF(E364=F364,"PASS","FAIL")</x:f>
        <x:v>PASS</x:v>
      </x:c>
    </x:row>
    <x:row r="365">
      <x:c r="B365" t="str">
        <x:v>A-00333</x:v>
      </x:c>
      <x:c r="C365" t="str">
        <x:v>GATE</x:v>
      </x:c>
      <x:c r="D365" t="str">
        <x:v>release state mirrors governing ledger</x:v>
      </x:c>
      <x:c r="E365" t="str">
        <x:f>'Release Gates'!I339</x:f>
        <x:v>PASS</x:v>
      </x:c>
      <x:c r="F365" t="str">
        <x:f>IF('Release Gates'!C339="PLANNING","PASS",IF('Release Gates'!C339="PHYSICAL","OPEN","BLOCKED"))</x:f>
        <x:v>PASS</x:v>
      </x:c>
      <x:c r="G365" t="str">
        <x:v>equals</x:v>
      </x:c>
      <x:c r="H365" t="str">
        <x:f>IF(E365=F365,"PASS","FAIL")</x:f>
        <x:v>PASS</x:v>
      </x:c>
    </x:row>
    <x:row r="366">
      <x:c r="B366" t="str">
        <x:v>A-00334</x:v>
      </x:c>
      <x:c r="C366" t="str">
        <x:v>GATE</x:v>
      </x:c>
      <x:c r="D366" t="str">
        <x:v>release state mirrors governing ledger</x:v>
      </x:c>
      <x:c r="E366" t="str">
        <x:f>'Release Gates'!I340</x:f>
        <x:v>PASS</x:v>
      </x:c>
      <x:c r="F366" t="str">
        <x:f>IF('Release Gates'!C340="PLANNING","PASS",IF('Release Gates'!C340="PHYSICAL","OPEN","BLOCKED"))</x:f>
        <x:v>PASS</x:v>
      </x:c>
      <x:c r="G366" t="str">
        <x:v>equals</x:v>
      </x:c>
      <x:c r="H366" t="str">
        <x:f>IF(E366=F366,"PASS","FAIL")</x:f>
        <x:v>PASS</x:v>
      </x:c>
    </x:row>
    <x:row r="367">
      <x:c r="B367" t="str">
        <x:v>A-00335</x:v>
      </x:c>
      <x:c r="C367" t="str">
        <x:v>GATE</x:v>
      </x:c>
      <x:c r="D367" t="str">
        <x:v>release state mirrors governing ledger</x:v>
      </x:c>
      <x:c r="E367" t="str">
        <x:f>'Release Gates'!I341</x:f>
        <x:v>PASS</x:v>
      </x:c>
      <x:c r="F367" t="str">
        <x:f>IF('Release Gates'!C341="PLANNING","PASS",IF('Release Gates'!C341="PHYSICAL","OPEN","BLOCKED"))</x:f>
        <x:v>PASS</x:v>
      </x:c>
      <x:c r="G367" t="str">
        <x:v>equals</x:v>
      </x:c>
      <x:c r="H367" t="str">
        <x:f>IF(E367=F367,"PASS","FAIL")</x:f>
        <x:v>PASS</x:v>
      </x:c>
    </x:row>
    <x:row r="368">
      <x:c r="B368" t="str">
        <x:v>A-00336</x:v>
      </x:c>
      <x:c r="C368" t="str">
        <x:v>GATE</x:v>
      </x:c>
      <x:c r="D368" t="str">
        <x:v>release state mirrors governing ledger</x:v>
      </x:c>
      <x:c r="E368" t="str">
        <x:f>'Release Gates'!I342</x:f>
        <x:v>OPEN</x:v>
      </x:c>
      <x:c r="F368" t="str">
        <x:f>IF('Release Gates'!C342="PLANNING","PASS",IF('Release Gates'!C342="PHYSICAL","OPEN","BLOCKED"))</x:f>
        <x:v>OPEN</x:v>
      </x:c>
      <x:c r="G368" t="str">
        <x:v>equals</x:v>
      </x:c>
      <x:c r="H368" t="str">
        <x:f>IF(E368=F368,"PASS","FAIL")</x:f>
        <x:v>PASS</x:v>
      </x:c>
    </x:row>
    <x:row r="369">
      <x:c r="B369" t="str">
        <x:v>A-00337</x:v>
      </x:c>
      <x:c r="C369" t="str">
        <x:v>GATE</x:v>
      </x:c>
      <x:c r="D369" t="str">
        <x:v>release state mirrors governing ledger</x:v>
      </x:c>
      <x:c r="E369" t="str">
        <x:f>'Release Gates'!I343</x:f>
        <x:v>OPEN</x:v>
      </x:c>
      <x:c r="F369" t="str">
        <x:f>IF('Release Gates'!C343="PLANNING","PASS",IF('Release Gates'!C343="PHYSICAL","OPEN","BLOCKED"))</x:f>
        <x:v>OPEN</x:v>
      </x:c>
      <x:c r="G369" t="str">
        <x:v>equals</x:v>
      </x:c>
      <x:c r="H369" t="str">
        <x:f>IF(E369=F369,"PASS","FAIL")</x:f>
        <x:v>PASS</x:v>
      </x:c>
    </x:row>
    <x:row r="370">
      <x:c r="B370" t="str">
        <x:v>A-00338</x:v>
      </x:c>
      <x:c r="C370" t="str">
        <x:v>GATE</x:v>
      </x:c>
      <x:c r="D370" t="str">
        <x:v>release state mirrors governing ledger</x:v>
      </x:c>
      <x:c r="E370" t="str">
        <x:f>'Release Gates'!I344</x:f>
        <x:v>OPEN</x:v>
      </x:c>
      <x:c r="F370" t="str">
        <x:f>IF('Release Gates'!C344="PLANNING","PASS",IF('Release Gates'!C344="PHYSICAL","OPEN","BLOCKED"))</x:f>
        <x:v>OPEN</x:v>
      </x:c>
      <x:c r="G370" t="str">
        <x:v>equals</x:v>
      </x:c>
      <x:c r="H370" t="str">
        <x:f>IF(E370=F370,"PASS","FAIL")</x:f>
        <x:v>PASS</x:v>
      </x:c>
    </x:row>
    <x:row r="371">
      <x:c r="B371" t="str">
        <x:v>A-00339</x:v>
      </x:c>
      <x:c r="C371" t="str">
        <x:v>GATE</x:v>
      </x:c>
      <x:c r="D371" t="str">
        <x:v>release state mirrors governing ledger</x:v>
      </x:c>
      <x:c r="E371" t="str">
        <x:f>'Release Gates'!I345</x:f>
        <x:v>OPEN</x:v>
      </x:c>
      <x:c r="F371" t="str">
        <x:f>IF('Release Gates'!C345="PLANNING","PASS",IF('Release Gates'!C345="PHYSICAL","OPEN","BLOCKED"))</x:f>
        <x:v>OPEN</x:v>
      </x:c>
      <x:c r="G371" t="str">
        <x:v>equals</x:v>
      </x:c>
      <x:c r="H371" t="str">
        <x:f>IF(E371=F371,"PASS","FAIL")</x:f>
        <x:v>PASS</x:v>
      </x:c>
    </x:row>
    <x:row r="372">
      <x:c r="B372" t="str">
        <x:v>A-00340</x:v>
      </x:c>
      <x:c r="C372" t="str">
        <x:v>GATE</x:v>
      </x:c>
      <x:c r="D372" t="str">
        <x:v>release state mirrors governing ledger</x:v>
      </x:c>
      <x:c r="E372" t="str">
        <x:f>'Release Gates'!I346</x:f>
        <x:v>OPEN</x:v>
      </x:c>
      <x:c r="F372" t="str">
        <x:f>IF('Release Gates'!C346="PLANNING","PASS",IF('Release Gates'!C346="PHYSICAL","OPEN","BLOCKED"))</x:f>
        <x:v>OPEN</x:v>
      </x:c>
      <x:c r="G372" t="str">
        <x:v>equals</x:v>
      </x:c>
      <x:c r="H372" t="str">
        <x:f>IF(E372=F372,"PASS","FAIL")</x:f>
        <x:v>PASS</x:v>
      </x:c>
    </x:row>
    <x:row r="373">
      <x:c r="B373" t="str">
        <x:v>A-00341</x:v>
      </x:c>
      <x:c r="C373" t="str">
        <x:v>GATE</x:v>
      </x:c>
      <x:c r="D373" t="str">
        <x:v>release state mirrors governing ledger</x:v>
      </x:c>
      <x:c r="E373" t="str">
        <x:f>'Release Gates'!I347</x:f>
        <x:v>OPEN</x:v>
      </x:c>
      <x:c r="F373" t="str">
        <x:f>IF('Release Gates'!C347="PLANNING","PASS",IF('Release Gates'!C347="PHYSICAL","OPEN","BLOCKED"))</x:f>
        <x:v>OPEN</x:v>
      </x:c>
      <x:c r="G373" t="str">
        <x:v>equals</x:v>
      </x:c>
      <x:c r="H373" t="str">
        <x:f>IF(E373=F373,"PASS","FAIL")</x:f>
        <x:v>PASS</x:v>
      </x:c>
    </x:row>
    <x:row r="374">
      <x:c r="B374" t="str">
        <x:v>A-00342</x:v>
      </x:c>
      <x:c r="C374" t="str">
        <x:v>GATE</x:v>
      </x:c>
      <x:c r="D374" t="str">
        <x:v>release state mirrors governing ledger</x:v>
      </x:c>
      <x:c r="E374" t="str">
        <x:f>'Release Gates'!I348</x:f>
        <x:v>OPEN</x:v>
      </x:c>
      <x:c r="F374" t="str">
        <x:f>IF('Release Gates'!C348="PLANNING","PASS",IF('Release Gates'!C348="PHYSICAL","OPEN","BLOCKED"))</x:f>
        <x:v>OPEN</x:v>
      </x:c>
      <x:c r="G374" t="str">
        <x:v>equals</x:v>
      </x:c>
      <x:c r="H374" t="str">
        <x:f>IF(E374=F374,"PASS","FAIL")</x:f>
        <x:v>PASS</x:v>
      </x:c>
    </x:row>
    <x:row r="375">
      <x:c r="B375" t="str">
        <x:v>A-00343</x:v>
      </x:c>
      <x:c r="C375" t="str">
        <x:v>GATE</x:v>
      </x:c>
      <x:c r="D375" t="str">
        <x:v>release state mirrors governing ledger</x:v>
      </x:c>
      <x:c r="E375" t="str">
        <x:f>'Release Gates'!I349</x:f>
        <x:v>OPEN</x:v>
      </x:c>
      <x:c r="F375" t="str">
        <x:f>IF('Release Gates'!C349="PLANNING","PASS",IF('Release Gates'!C349="PHYSICAL","OPEN","BLOCKED"))</x:f>
        <x:v>OPEN</x:v>
      </x:c>
      <x:c r="G375" t="str">
        <x:v>equals</x:v>
      </x:c>
      <x:c r="H375" t="str">
        <x:f>IF(E375=F375,"PASS","FAIL")</x:f>
        <x:v>PASS</x:v>
      </x:c>
    </x:row>
    <x:row r="376">
      <x:c r="B376" t="str">
        <x:v>A-00344</x:v>
      </x:c>
      <x:c r="C376" t="str">
        <x:v>GATE</x:v>
      </x:c>
      <x:c r="D376" t="str">
        <x:v>release state mirrors governing ledger</x:v>
      </x:c>
      <x:c r="E376" t="str">
        <x:f>'Release Gates'!I350</x:f>
        <x:v>OPEN</x:v>
      </x:c>
      <x:c r="F376" t="str">
        <x:f>IF('Release Gates'!C350="PLANNING","PASS",IF('Release Gates'!C350="PHYSICAL","OPEN","BLOCKED"))</x:f>
        <x:v>OPEN</x:v>
      </x:c>
      <x:c r="G376" t="str">
        <x:v>equals</x:v>
      </x:c>
      <x:c r="H376" t="str">
        <x:f>IF(E376=F376,"PASS","FAIL")</x:f>
        <x:v>PASS</x:v>
      </x:c>
    </x:row>
    <x:row r="377">
      <x:c r="B377" t="str">
        <x:v>A-00345</x:v>
      </x:c>
      <x:c r="C377" t="str">
        <x:v>GATE</x:v>
      </x:c>
      <x:c r="D377" t="str">
        <x:v>release state mirrors governing ledger</x:v>
      </x:c>
      <x:c r="E377" t="str">
        <x:f>'Release Gates'!I351</x:f>
        <x:v>OPEN</x:v>
      </x:c>
      <x:c r="F377" t="str">
        <x:f>IF('Release Gates'!C351="PLANNING","PASS",IF('Release Gates'!C351="PHYSICAL","OPEN","BLOCKED"))</x:f>
        <x:v>OPEN</x:v>
      </x:c>
      <x:c r="G377" t="str">
        <x:v>equals</x:v>
      </x:c>
      <x:c r="H377" t="str">
        <x:f>IF(E377=F377,"PASS","FAIL")</x:f>
        <x:v>PASS</x:v>
      </x:c>
    </x:row>
    <x:row r="378">
      <x:c r="B378" t="str">
        <x:v>A-00346</x:v>
      </x:c>
      <x:c r="C378" t="str">
        <x:v>GATE</x:v>
      </x:c>
      <x:c r="D378" t="str">
        <x:v>release state mirrors governing ledger</x:v>
      </x:c>
      <x:c r="E378" t="str">
        <x:f>'Release Gates'!I352</x:f>
        <x:v>OPEN</x:v>
      </x:c>
      <x:c r="F378" t="str">
        <x:f>IF('Release Gates'!C352="PLANNING","PASS",IF('Release Gates'!C352="PHYSICAL","OPEN","BLOCKED"))</x:f>
        <x:v>OPEN</x:v>
      </x:c>
      <x:c r="G378" t="str">
        <x:v>equals</x:v>
      </x:c>
      <x:c r="H378" t="str">
        <x:f>IF(E378=F378,"PASS","FAIL")</x:f>
        <x:v>PASS</x:v>
      </x:c>
    </x:row>
    <x:row r="379">
      <x:c r="B379" t="str">
        <x:v>A-00347</x:v>
      </x:c>
      <x:c r="C379" t="str">
        <x:v>GATE</x:v>
      </x:c>
      <x:c r="D379" t="str">
        <x:v>release state mirrors governing ledger</x:v>
      </x:c>
      <x:c r="E379" t="str">
        <x:f>'Release Gates'!I353</x:f>
        <x:v>OPEN</x:v>
      </x:c>
      <x:c r="F379" t="str">
        <x:f>IF('Release Gates'!C353="PLANNING","PASS",IF('Release Gates'!C353="PHYSICAL","OPEN","BLOCKED"))</x:f>
        <x:v>OPEN</x:v>
      </x:c>
      <x:c r="G379" t="str">
        <x:v>equals</x:v>
      </x:c>
      <x:c r="H379" t="str">
        <x:f>IF(E379=F379,"PASS","FAIL")</x:f>
        <x:v>PASS</x:v>
      </x:c>
    </x:row>
    <x:row r="380">
      <x:c r="B380" t="str">
        <x:v>A-00348</x:v>
      </x:c>
      <x:c r="C380" t="str">
        <x:v>GATE</x:v>
      </x:c>
      <x:c r="D380" t="str">
        <x:v>release state mirrors governing ledger</x:v>
      </x:c>
      <x:c r="E380" t="str">
        <x:f>'Release Gates'!I354</x:f>
        <x:v>OPEN</x:v>
      </x:c>
      <x:c r="F380" t="str">
        <x:f>IF('Release Gates'!C354="PLANNING","PASS",IF('Release Gates'!C354="PHYSICAL","OPEN","BLOCKED"))</x:f>
        <x:v>OPEN</x:v>
      </x:c>
      <x:c r="G380" t="str">
        <x:v>equals</x:v>
      </x:c>
      <x:c r="H380" t="str">
        <x:f>IF(E380=F380,"PASS","FAIL")</x:f>
        <x:v>PASS</x:v>
      </x:c>
    </x:row>
    <x:row r="381">
      <x:c r="B381" t="str">
        <x:v>A-00349</x:v>
      </x:c>
      <x:c r="C381" t="str">
        <x:v>GATE</x:v>
      </x:c>
      <x:c r="D381" t="str">
        <x:v>release state mirrors governing ledger</x:v>
      </x:c>
      <x:c r="E381" t="str">
        <x:f>'Release Gates'!I355</x:f>
        <x:v>OPEN</x:v>
      </x:c>
      <x:c r="F381" t="str">
        <x:f>IF('Release Gates'!C355="PLANNING","PASS",IF('Release Gates'!C355="PHYSICAL","OPEN","BLOCKED"))</x:f>
        <x:v>OPEN</x:v>
      </x:c>
      <x:c r="G381" t="str">
        <x:v>equals</x:v>
      </x:c>
      <x:c r="H381" t="str">
        <x:f>IF(E381=F381,"PASS","FAIL")</x:f>
        <x:v>PASS</x:v>
      </x:c>
    </x:row>
    <x:row r="382">
      <x:c r="B382" t="str">
        <x:v>A-00350</x:v>
      </x:c>
      <x:c r="C382" t="str">
        <x:v>GATE</x:v>
      </x:c>
      <x:c r="D382" t="str">
        <x:v>release state mirrors governing ledger</x:v>
      </x:c>
      <x:c r="E382" t="str">
        <x:f>'Release Gates'!I356</x:f>
        <x:v>OPEN</x:v>
      </x:c>
      <x:c r="F382" t="str">
        <x:f>IF('Release Gates'!C356="PLANNING","PASS",IF('Release Gates'!C356="PHYSICAL","OPEN","BLOCKED"))</x:f>
        <x:v>OPEN</x:v>
      </x:c>
      <x:c r="G382" t="str">
        <x:v>equals</x:v>
      </x:c>
      <x:c r="H382" t="str">
        <x:f>IF(E382=F382,"PASS","FAIL")</x:f>
        <x:v>PASS</x:v>
      </x:c>
    </x:row>
    <x:row r="383">
      <x:c r="B383" t="str">
        <x:v>A-00351</x:v>
      </x:c>
      <x:c r="C383" t="str">
        <x:v>GATE</x:v>
      </x:c>
      <x:c r="D383" t="str">
        <x:v>release state mirrors governing ledger</x:v>
      </x:c>
      <x:c r="E383" t="str">
        <x:f>'Release Gates'!I357</x:f>
        <x:v>OPEN</x:v>
      </x:c>
      <x:c r="F383" t="str">
        <x:f>IF('Release Gates'!C357="PLANNING","PASS",IF('Release Gates'!C357="PHYSICAL","OPEN","BLOCKED"))</x:f>
        <x:v>OPEN</x:v>
      </x:c>
      <x:c r="G383" t="str">
        <x:v>equals</x:v>
      </x:c>
      <x:c r="H383" t="str">
        <x:f>IF(E383=F383,"PASS","FAIL")</x:f>
        <x:v>PASS</x:v>
      </x:c>
    </x:row>
    <x:row r="384">
      <x:c r="B384" t="str">
        <x:v>A-00352</x:v>
      </x:c>
      <x:c r="C384" t="str">
        <x:v>GATE</x:v>
      </x:c>
      <x:c r="D384" t="str">
        <x:v>release state mirrors governing ledger</x:v>
      </x:c>
      <x:c r="E384" t="str">
        <x:f>'Release Gates'!I358</x:f>
        <x:v>OPEN</x:v>
      </x:c>
      <x:c r="F384" t="str">
        <x:f>IF('Release Gates'!C358="PLANNING","PASS",IF('Release Gates'!C358="PHYSICAL","OPEN","BLOCKED"))</x:f>
        <x:v>OPEN</x:v>
      </x:c>
      <x:c r="G384" t="str">
        <x:v>equals</x:v>
      </x:c>
      <x:c r="H384" t="str">
        <x:f>IF(E384=F384,"PASS","FAIL")</x:f>
        <x:v>PASS</x:v>
      </x:c>
    </x:row>
    <x:row r="385">
      <x:c r="B385" t="str">
        <x:v>A-00353</x:v>
      </x:c>
      <x:c r="C385" t="str">
        <x:v>GATE</x:v>
      </x:c>
      <x:c r="D385" t="str">
        <x:v>release state mirrors governing ledger</x:v>
      </x:c>
      <x:c r="E385" t="str">
        <x:f>'Release Gates'!I359</x:f>
        <x:v>OPEN</x:v>
      </x:c>
      <x:c r="F385" t="str">
        <x:f>IF('Release Gates'!C359="PLANNING","PASS",IF('Release Gates'!C359="PHYSICAL","OPEN","BLOCKED"))</x:f>
        <x:v>OPEN</x:v>
      </x:c>
      <x:c r="G385" t="str">
        <x:v>equals</x:v>
      </x:c>
      <x:c r="H385" t="str">
        <x:f>IF(E385=F385,"PASS","FAIL")</x:f>
        <x:v>PASS</x:v>
      </x:c>
    </x:row>
    <x:row r="386">
      <x:c r="B386" t="str">
        <x:v>A-00354</x:v>
      </x:c>
      <x:c r="C386" t="str">
        <x:v>GATE</x:v>
      </x:c>
      <x:c r="D386" t="str">
        <x:v>release state mirrors governing ledger</x:v>
      </x:c>
      <x:c r="E386" t="str">
        <x:f>'Release Gates'!I360</x:f>
        <x:v>OPEN</x:v>
      </x:c>
      <x:c r="F386" t="str">
        <x:f>IF('Release Gates'!C360="PLANNING","PASS",IF('Release Gates'!C360="PHYSICAL","OPEN","BLOCKED"))</x:f>
        <x:v>OPEN</x:v>
      </x:c>
      <x:c r="G386" t="str">
        <x:v>equals</x:v>
      </x:c>
      <x:c r="H386" t="str">
        <x:f>IF(E386=F386,"PASS","FAIL")</x:f>
        <x:v>PASS</x:v>
      </x:c>
    </x:row>
    <x:row r="387">
      <x:c r="B387" t="str">
        <x:v>A-00355</x:v>
      </x:c>
      <x:c r="C387" t="str">
        <x:v>GATE</x:v>
      </x:c>
      <x:c r="D387" t="str">
        <x:v>release state mirrors governing ledger</x:v>
      </x:c>
      <x:c r="E387" t="str">
        <x:f>'Release Gates'!I361</x:f>
        <x:v>OPEN</x:v>
      </x:c>
      <x:c r="F387" t="str">
        <x:f>IF('Release Gates'!C361="PLANNING","PASS",IF('Release Gates'!C361="PHYSICAL","OPEN","BLOCKED"))</x:f>
        <x:v>OPEN</x:v>
      </x:c>
      <x:c r="G387" t="str">
        <x:v>equals</x:v>
      </x:c>
      <x:c r="H387" t="str">
        <x:f>IF(E387=F387,"PASS","FAIL")</x:f>
        <x:v>PASS</x:v>
      </x:c>
    </x:row>
    <x:row r="388">
      <x:c r="B388" t="str">
        <x:v>A-00356</x:v>
      </x:c>
      <x:c r="C388" t="str">
        <x:v>GATE</x:v>
      </x:c>
      <x:c r="D388" t="str">
        <x:v>release state mirrors governing ledger</x:v>
      </x:c>
      <x:c r="E388" t="str">
        <x:f>'Release Gates'!I362</x:f>
        <x:v>OPEN</x:v>
      </x:c>
      <x:c r="F388" t="str">
        <x:f>IF('Release Gates'!C362="PLANNING","PASS",IF('Release Gates'!C362="PHYSICAL","OPEN","BLOCKED"))</x:f>
        <x:v>OPEN</x:v>
      </x:c>
      <x:c r="G388" t="str">
        <x:v>equals</x:v>
      </x:c>
      <x:c r="H388" t="str">
        <x:f>IF(E388=F388,"PASS","FAIL")</x:f>
        <x:v>PASS</x:v>
      </x:c>
    </x:row>
    <x:row r="389">
      <x:c r="B389" t="str">
        <x:v>A-00357</x:v>
      </x:c>
      <x:c r="C389" t="str">
        <x:v>GATE</x:v>
      </x:c>
      <x:c r="D389" t="str">
        <x:v>release state mirrors governing ledger</x:v>
      </x:c>
      <x:c r="E389" t="str">
        <x:f>'Release Gates'!I363</x:f>
        <x:v>OPEN</x:v>
      </x:c>
      <x:c r="F389" t="str">
        <x:f>IF('Release Gates'!C363="PLANNING","PASS",IF('Release Gates'!C363="PHYSICAL","OPEN","BLOCKED"))</x:f>
        <x:v>OPEN</x:v>
      </x:c>
      <x:c r="G389" t="str">
        <x:v>equals</x:v>
      </x:c>
      <x:c r="H389" t="str">
        <x:f>IF(E389=F389,"PASS","FAIL")</x:f>
        <x:v>PASS</x:v>
      </x:c>
    </x:row>
    <x:row r="390">
      <x:c r="B390" t="str">
        <x:v>A-00358</x:v>
      </x:c>
      <x:c r="C390" t="str">
        <x:v>GATE</x:v>
      </x:c>
      <x:c r="D390" t="str">
        <x:v>release state mirrors governing ledger</x:v>
      </x:c>
      <x:c r="E390" t="str">
        <x:f>'Release Gates'!I364</x:f>
        <x:v>OPEN</x:v>
      </x:c>
      <x:c r="F390" t="str">
        <x:f>IF('Release Gates'!C364="PLANNING","PASS",IF('Release Gates'!C364="PHYSICAL","OPEN","BLOCKED"))</x:f>
        <x:v>OPEN</x:v>
      </x:c>
      <x:c r="G390" t="str">
        <x:v>equals</x:v>
      </x:c>
      <x:c r="H390" t="str">
        <x:f>IF(E390=F390,"PASS","FAIL")</x:f>
        <x:v>PASS</x:v>
      </x:c>
    </x:row>
    <x:row r="391">
      <x:c r="B391" t="str">
        <x:v>A-00359</x:v>
      </x:c>
      <x:c r="C391" t="str">
        <x:v>GATE</x:v>
      </x:c>
      <x:c r="D391" t="str">
        <x:v>release state mirrors governing ledger</x:v>
      </x:c>
      <x:c r="E391" t="str">
        <x:f>'Release Gates'!I365</x:f>
        <x:v>OPEN</x:v>
      </x:c>
      <x:c r="F391" t="str">
        <x:f>IF('Release Gates'!C365="PLANNING","PASS",IF('Release Gates'!C365="PHYSICAL","OPEN","BLOCKED"))</x:f>
        <x:v>OPEN</x:v>
      </x:c>
      <x:c r="G391" t="str">
        <x:v>equals</x:v>
      </x:c>
      <x:c r="H391" t="str">
        <x:f>IF(E391=F391,"PASS","FAIL")</x:f>
        <x:v>PASS</x:v>
      </x:c>
    </x:row>
    <x:row r="392">
      <x:c r="B392" t="str">
        <x:v>A-00360</x:v>
      </x:c>
      <x:c r="C392" t="str">
        <x:v>GATE</x:v>
      </x:c>
      <x:c r="D392" t="str">
        <x:v>release state mirrors governing ledger</x:v>
      </x:c>
      <x:c r="E392" t="str">
        <x:f>'Release Gates'!I366</x:f>
        <x:v>OPEN</x:v>
      </x:c>
      <x:c r="F392" t="str">
        <x:f>IF('Release Gates'!C366="PLANNING","PASS",IF('Release Gates'!C366="PHYSICAL","OPEN","BLOCKED"))</x:f>
        <x:v>OPEN</x:v>
      </x:c>
      <x:c r="G392" t="str">
        <x:v>equals</x:v>
      </x:c>
      <x:c r="H392" t="str">
        <x:f>IF(E392=F392,"PASS","FAIL")</x:f>
        <x:v>PASS</x:v>
      </x:c>
    </x:row>
    <x:row r="393">
      <x:c r="B393" t="str">
        <x:v>A-00361</x:v>
      </x:c>
      <x:c r="C393" t="str">
        <x:v>GATE</x:v>
      </x:c>
      <x:c r="D393" t="str">
        <x:v>release state mirrors governing ledger</x:v>
      </x:c>
      <x:c r="E393" t="str">
        <x:f>'Release Gates'!I367</x:f>
        <x:v>OPEN</x:v>
      </x:c>
      <x:c r="F393" t="str">
        <x:f>IF('Release Gates'!C367="PLANNING","PASS",IF('Release Gates'!C367="PHYSICAL","OPEN","BLOCKED"))</x:f>
        <x:v>OPEN</x:v>
      </x:c>
      <x:c r="G393" t="str">
        <x:v>equals</x:v>
      </x:c>
      <x:c r="H393" t="str">
        <x:f>IF(E393=F393,"PASS","FAIL")</x:f>
        <x:v>PASS</x:v>
      </x:c>
    </x:row>
    <x:row r="394">
      <x:c r="B394" t="str">
        <x:v>A-00362</x:v>
      </x:c>
      <x:c r="C394" t="str">
        <x:v>GATE</x:v>
      </x:c>
      <x:c r="D394" t="str">
        <x:v>release state mirrors governing ledger</x:v>
      </x:c>
      <x:c r="E394" t="str">
        <x:f>'Release Gates'!I368</x:f>
        <x:v>OPEN</x:v>
      </x:c>
      <x:c r="F394" t="str">
        <x:f>IF('Release Gates'!C368="PLANNING","PASS",IF('Release Gates'!C368="PHYSICAL","OPEN","BLOCKED"))</x:f>
        <x:v>OPEN</x:v>
      </x:c>
      <x:c r="G394" t="str">
        <x:v>equals</x:v>
      </x:c>
      <x:c r="H394" t="str">
        <x:f>IF(E394=F394,"PASS","FAIL")</x:f>
        <x:v>PASS</x:v>
      </x:c>
    </x:row>
    <x:row r="395">
      <x:c r="B395" t="str">
        <x:v>A-00363</x:v>
      </x:c>
      <x:c r="C395" t="str">
        <x:v>GATE</x:v>
      </x:c>
      <x:c r="D395" t="str">
        <x:v>release state mirrors governing ledger</x:v>
      </x:c>
      <x:c r="E395" t="str">
        <x:f>'Release Gates'!I369</x:f>
        <x:v>OPEN</x:v>
      </x:c>
      <x:c r="F395" t="str">
        <x:f>IF('Release Gates'!C369="PLANNING","PASS",IF('Release Gates'!C369="PHYSICAL","OPEN","BLOCKED"))</x:f>
        <x:v>OPEN</x:v>
      </x:c>
      <x:c r="G395" t="str">
        <x:v>equals</x:v>
      </x:c>
      <x:c r="H395" t="str">
        <x:f>IF(E395=F395,"PASS","FAIL")</x:f>
        <x:v>PASS</x:v>
      </x:c>
    </x:row>
    <x:row r="396">
      <x:c r="B396" t="str">
        <x:v>A-00364</x:v>
      </x:c>
      <x:c r="C396" t="str">
        <x:v>GATE</x:v>
      </x:c>
      <x:c r="D396" t="str">
        <x:v>release state mirrors governing ledger</x:v>
      </x:c>
      <x:c r="E396" t="str">
        <x:f>'Release Gates'!I370</x:f>
        <x:v>OPEN</x:v>
      </x:c>
      <x:c r="F396" t="str">
        <x:f>IF('Release Gates'!C370="PLANNING","PASS",IF('Release Gates'!C370="PHYSICAL","OPEN","BLOCKED"))</x:f>
        <x:v>OPEN</x:v>
      </x:c>
      <x:c r="G396" t="str">
        <x:v>equals</x:v>
      </x:c>
      <x:c r="H396" t="str">
        <x:f>IF(E396=F396,"PASS","FAIL")</x:f>
        <x:v>PASS</x:v>
      </x:c>
    </x:row>
    <x:row r="397">
      <x:c r="B397" t="str">
        <x:v>A-00365</x:v>
      </x:c>
      <x:c r="C397" t="str">
        <x:v>GATE</x:v>
      </x:c>
      <x:c r="D397" t="str">
        <x:v>release state mirrors governing ledger</x:v>
      </x:c>
      <x:c r="E397" t="str">
        <x:f>'Release Gates'!I371</x:f>
        <x:v>OPEN</x:v>
      </x:c>
      <x:c r="F397" t="str">
        <x:f>IF('Release Gates'!C371="PLANNING","PASS",IF('Release Gates'!C371="PHYSICAL","OPEN","BLOCKED"))</x:f>
        <x:v>OPEN</x:v>
      </x:c>
      <x:c r="G397" t="str">
        <x:v>equals</x:v>
      </x:c>
      <x:c r="H397" t="str">
        <x:f>IF(E397=F397,"PASS","FAIL")</x:f>
        <x:v>PASS</x:v>
      </x:c>
    </x:row>
    <x:row r="398">
      <x:c r="B398" t="str">
        <x:v>A-00366</x:v>
      </x:c>
      <x:c r="C398" t="str">
        <x:v>GATE</x:v>
      </x:c>
      <x:c r="D398" t="str">
        <x:v>release state mirrors governing ledger</x:v>
      </x:c>
      <x:c r="E398" t="str">
        <x:f>'Release Gates'!I372</x:f>
        <x:v>OPEN</x:v>
      </x:c>
      <x:c r="F398" t="str">
        <x:f>IF('Release Gates'!C372="PLANNING","PASS",IF('Release Gates'!C372="PHYSICAL","OPEN","BLOCKED"))</x:f>
        <x:v>OPEN</x:v>
      </x:c>
      <x:c r="G398" t="str">
        <x:v>equals</x:v>
      </x:c>
      <x:c r="H398" t="str">
        <x:f>IF(E398=F398,"PASS","FAIL")</x:f>
        <x:v>PASS</x:v>
      </x:c>
    </x:row>
    <x:row r="399">
      <x:c r="B399" t="str">
        <x:v>A-00367</x:v>
      </x:c>
      <x:c r="C399" t="str">
        <x:v>GATE</x:v>
      </x:c>
      <x:c r="D399" t="str">
        <x:v>release state mirrors governing ledger</x:v>
      </x:c>
      <x:c r="E399" t="str">
        <x:f>'Release Gates'!I373</x:f>
        <x:v>OPEN</x:v>
      </x:c>
      <x:c r="F399" t="str">
        <x:f>IF('Release Gates'!C373="PLANNING","PASS",IF('Release Gates'!C373="PHYSICAL","OPEN","BLOCKED"))</x:f>
        <x:v>OPEN</x:v>
      </x:c>
      <x:c r="G399" t="str">
        <x:v>equals</x:v>
      </x:c>
      <x:c r="H399" t="str">
        <x:f>IF(E399=F399,"PASS","FAIL")</x:f>
        <x:v>PASS</x:v>
      </x:c>
    </x:row>
    <x:row r="400">
      <x:c r="B400" t="str">
        <x:v>A-00368</x:v>
      </x:c>
      <x:c r="C400" t="str">
        <x:v>GATE</x:v>
      </x:c>
      <x:c r="D400" t="str">
        <x:v>release state mirrors governing ledger</x:v>
      </x:c>
      <x:c r="E400" t="str">
        <x:f>'Release Gates'!I374</x:f>
        <x:v>OPEN</x:v>
      </x:c>
      <x:c r="F400" t="str">
        <x:f>IF('Release Gates'!C374="PLANNING","PASS",IF('Release Gates'!C374="PHYSICAL","OPEN","BLOCKED"))</x:f>
        <x:v>OPEN</x:v>
      </x:c>
      <x:c r="G400" t="str">
        <x:v>equals</x:v>
      </x:c>
      <x:c r="H400" t="str">
        <x:f>IF(E400=F400,"PASS","FAIL")</x:f>
        <x:v>PASS</x:v>
      </x:c>
    </x:row>
    <x:row r="401">
      <x:c r="B401" t="str">
        <x:v>A-00369</x:v>
      </x:c>
      <x:c r="C401" t="str">
        <x:v>GATE</x:v>
      </x:c>
      <x:c r="D401" t="str">
        <x:v>release state mirrors governing ledger</x:v>
      </x:c>
      <x:c r="E401" t="str">
        <x:f>'Release Gates'!I375</x:f>
        <x:v>OPEN</x:v>
      </x:c>
      <x:c r="F401" t="str">
        <x:f>IF('Release Gates'!C375="PLANNING","PASS",IF('Release Gates'!C375="PHYSICAL","OPEN","BLOCKED"))</x:f>
        <x:v>OPEN</x:v>
      </x:c>
      <x:c r="G401" t="str">
        <x:v>equals</x:v>
      </x:c>
      <x:c r="H401" t="str">
        <x:f>IF(E401=F401,"PASS","FAIL")</x:f>
        <x:v>PASS</x:v>
      </x:c>
    </x:row>
    <x:row r="402">
      <x:c r="B402" t="str">
        <x:v>A-00370</x:v>
      </x:c>
      <x:c r="C402" t="str">
        <x:v>GATE</x:v>
      </x:c>
      <x:c r="D402" t="str">
        <x:v>release state mirrors governing ledger</x:v>
      </x:c>
      <x:c r="E402" t="str">
        <x:f>'Release Gates'!I376</x:f>
        <x:v>OPEN</x:v>
      </x:c>
      <x:c r="F402" t="str">
        <x:f>IF('Release Gates'!C376="PLANNING","PASS",IF('Release Gates'!C376="PHYSICAL","OPEN","BLOCKED"))</x:f>
        <x:v>OPEN</x:v>
      </x:c>
      <x:c r="G402" t="str">
        <x:v>equals</x:v>
      </x:c>
      <x:c r="H402" t="str">
        <x:f>IF(E402=F402,"PASS","FAIL")</x:f>
        <x:v>PASS</x:v>
      </x:c>
    </x:row>
    <x:row r="403">
      <x:c r="B403" t="str">
        <x:v>A-00371</x:v>
      </x:c>
      <x:c r="C403" t="str">
        <x:v>GATE</x:v>
      </x:c>
      <x:c r="D403" t="str">
        <x:v>release state mirrors governing ledger</x:v>
      </x:c>
      <x:c r="E403" t="str">
        <x:f>'Release Gates'!I377</x:f>
        <x:v>OPEN</x:v>
      </x:c>
      <x:c r="F403" t="str">
        <x:f>IF('Release Gates'!C377="PLANNING","PASS",IF('Release Gates'!C377="PHYSICAL","OPEN","BLOCKED"))</x:f>
        <x:v>OPEN</x:v>
      </x:c>
      <x:c r="G403" t="str">
        <x:v>equals</x:v>
      </x:c>
      <x:c r="H403" t="str">
        <x:f>IF(E403=F403,"PASS","FAIL")</x:f>
        <x:v>PASS</x:v>
      </x:c>
    </x:row>
    <x:row r="404">
      <x:c r="B404" t="str">
        <x:v>A-00372</x:v>
      </x:c>
      <x:c r="C404" t="str">
        <x:v>GATE</x:v>
      </x:c>
      <x:c r="D404" t="str">
        <x:v>release state mirrors governing ledger</x:v>
      </x:c>
      <x:c r="E404" t="str">
        <x:f>'Release Gates'!I378</x:f>
        <x:v>OPEN</x:v>
      </x:c>
      <x:c r="F404" t="str">
        <x:f>IF('Release Gates'!C378="PLANNING","PASS",IF('Release Gates'!C378="PHYSICAL","OPEN","BLOCKED"))</x:f>
        <x:v>OPEN</x:v>
      </x:c>
      <x:c r="G404" t="str">
        <x:v>equals</x:v>
      </x:c>
      <x:c r="H404" t="str">
        <x:f>IF(E404=F404,"PASS","FAIL")</x:f>
        <x:v>PASS</x:v>
      </x:c>
    </x:row>
    <x:row r="405">
      <x:c r="B405" t="str">
        <x:v>A-00373</x:v>
      </x:c>
      <x:c r="C405" t="str">
        <x:v>GATE</x:v>
      </x:c>
      <x:c r="D405" t="str">
        <x:v>release state mirrors governing ledger</x:v>
      </x:c>
      <x:c r="E405" t="str">
        <x:f>'Release Gates'!I379</x:f>
        <x:v>OPEN</x:v>
      </x:c>
      <x:c r="F405" t="str">
        <x:f>IF('Release Gates'!C379="PLANNING","PASS",IF('Release Gates'!C379="PHYSICAL","OPEN","BLOCKED"))</x:f>
        <x:v>OPEN</x:v>
      </x:c>
      <x:c r="G405" t="str">
        <x:v>equals</x:v>
      </x:c>
      <x:c r="H405" t="str">
        <x:f>IF(E405=F405,"PASS","FAIL")</x:f>
        <x:v>PASS</x:v>
      </x:c>
    </x:row>
    <x:row r="406">
      <x:c r="B406" t="str">
        <x:v>A-00374</x:v>
      </x:c>
      <x:c r="C406" t="str">
        <x:v>GATE</x:v>
      </x:c>
      <x:c r="D406" t="str">
        <x:v>release state mirrors governing ledger</x:v>
      </x:c>
      <x:c r="E406" t="str">
        <x:f>'Release Gates'!I380</x:f>
        <x:v>OPEN</x:v>
      </x:c>
      <x:c r="F406" t="str">
        <x:f>IF('Release Gates'!C380="PLANNING","PASS",IF('Release Gates'!C380="PHYSICAL","OPEN","BLOCKED"))</x:f>
        <x:v>OPEN</x:v>
      </x:c>
      <x:c r="G406" t="str">
        <x:v>equals</x:v>
      </x:c>
      <x:c r="H406" t="str">
        <x:f>IF(E406=F406,"PASS","FAIL")</x:f>
        <x:v>PASS</x:v>
      </x:c>
    </x:row>
    <x:row r="407">
      <x:c r="B407" t="str">
        <x:v>A-00375</x:v>
      </x:c>
      <x:c r="C407" t="str">
        <x:v>GATE</x:v>
      </x:c>
      <x:c r="D407" t="str">
        <x:v>release state mirrors governing ledger</x:v>
      </x:c>
      <x:c r="E407" t="str">
        <x:f>'Release Gates'!I381</x:f>
        <x:v>OPEN</x:v>
      </x:c>
      <x:c r="F407" t="str">
        <x:f>IF('Release Gates'!C381="PLANNING","PASS",IF('Release Gates'!C381="PHYSICAL","OPEN","BLOCKED"))</x:f>
        <x:v>OPEN</x:v>
      </x:c>
      <x:c r="G407" t="str">
        <x:v>equals</x:v>
      </x:c>
      <x:c r="H407" t="str">
        <x:f>IF(E407=F407,"PASS","FAIL")</x:f>
        <x:v>PASS</x:v>
      </x:c>
    </x:row>
    <x:row r="408">
      <x:c r="B408" t="str">
        <x:v>A-00376</x:v>
      </x:c>
      <x:c r="C408" t="str">
        <x:v>GATE</x:v>
      </x:c>
      <x:c r="D408" t="str">
        <x:v>release state mirrors governing ledger</x:v>
      </x:c>
      <x:c r="E408" t="str">
        <x:f>'Release Gates'!I382</x:f>
        <x:v>OPEN</x:v>
      </x:c>
      <x:c r="F408" t="str">
        <x:f>IF('Release Gates'!C382="PLANNING","PASS",IF('Release Gates'!C382="PHYSICAL","OPEN","BLOCKED"))</x:f>
        <x:v>OPEN</x:v>
      </x:c>
      <x:c r="G408" t="str">
        <x:v>equals</x:v>
      </x:c>
      <x:c r="H408" t="str">
        <x:f>IF(E408=F408,"PASS","FAIL")</x:f>
        <x:v>PASS</x:v>
      </x:c>
    </x:row>
    <x:row r="409">
      <x:c r="B409" t="str">
        <x:v>A-00377</x:v>
      </x:c>
      <x:c r="C409" t="str">
        <x:v>GATE</x:v>
      </x:c>
      <x:c r="D409" t="str">
        <x:v>release state mirrors governing ledger</x:v>
      </x:c>
      <x:c r="E409" t="str">
        <x:f>'Release Gates'!I383</x:f>
        <x:v>OPEN</x:v>
      </x:c>
      <x:c r="F409" t="str">
        <x:f>IF('Release Gates'!C383="PLANNING","PASS",IF('Release Gates'!C383="PHYSICAL","OPEN","BLOCKED"))</x:f>
        <x:v>OPEN</x:v>
      </x:c>
      <x:c r="G409" t="str">
        <x:v>equals</x:v>
      </x:c>
      <x:c r="H409" t="str">
        <x:f>IF(E409=F409,"PASS","FAIL")</x:f>
        <x:v>PASS</x:v>
      </x:c>
    </x:row>
    <x:row r="410">
      <x:c r="B410" t="str">
        <x:v>A-00378</x:v>
      </x:c>
      <x:c r="C410" t="str">
        <x:v>GATE</x:v>
      </x:c>
      <x:c r="D410" t="str">
        <x:v>release state mirrors governing ledger</x:v>
      </x:c>
      <x:c r="E410" t="str">
        <x:f>'Release Gates'!I384</x:f>
        <x:v>OPEN</x:v>
      </x:c>
      <x:c r="F410" t="str">
        <x:f>IF('Release Gates'!C384="PLANNING","PASS",IF('Release Gates'!C384="PHYSICAL","OPEN","BLOCKED"))</x:f>
        <x:v>OPEN</x:v>
      </x:c>
      <x:c r="G410" t="str">
        <x:v>equals</x:v>
      </x:c>
      <x:c r="H410" t="str">
        <x:f>IF(E410=F410,"PASS","FAIL")</x:f>
        <x:v>PASS</x:v>
      </x:c>
    </x:row>
    <x:row r="411">
      <x:c r="B411" t="str">
        <x:v>A-00379</x:v>
      </x:c>
      <x:c r="C411" t="str">
        <x:v>GATE</x:v>
      </x:c>
      <x:c r="D411" t="str">
        <x:v>release state mirrors governing ledger</x:v>
      </x:c>
      <x:c r="E411" t="str">
        <x:f>'Release Gates'!I385</x:f>
        <x:v>OPEN</x:v>
      </x:c>
      <x:c r="F411" t="str">
        <x:f>IF('Release Gates'!C385="PLANNING","PASS",IF('Release Gates'!C385="PHYSICAL","OPEN","BLOCKED"))</x:f>
        <x:v>OPEN</x:v>
      </x:c>
      <x:c r="G411" t="str">
        <x:v>equals</x:v>
      </x:c>
      <x:c r="H411" t="str">
        <x:f>IF(E411=F411,"PASS","FAIL")</x:f>
        <x:v>PASS</x:v>
      </x:c>
    </x:row>
    <x:row r="412">
      <x:c r="B412" t="str">
        <x:v>A-00380</x:v>
      </x:c>
      <x:c r="C412" t="str">
        <x:v>GATE</x:v>
      </x:c>
      <x:c r="D412" t="str">
        <x:v>release state mirrors governing ledger</x:v>
      </x:c>
      <x:c r="E412" t="str">
        <x:f>'Release Gates'!I386</x:f>
        <x:v>OPEN</x:v>
      </x:c>
      <x:c r="F412" t="str">
        <x:f>IF('Release Gates'!C386="PLANNING","PASS",IF('Release Gates'!C386="PHYSICAL","OPEN","BLOCKED"))</x:f>
        <x:v>OPEN</x:v>
      </x:c>
      <x:c r="G412" t="str">
        <x:v>equals</x:v>
      </x:c>
      <x:c r="H412" t="str">
        <x:f>IF(E412=F412,"PASS","FAIL")</x:f>
        <x:v>PASS</x:v>
      </x:c>
    </x:row>
    <x:row r="413">
      <x:c r="B413" t="str">
        <x:v>A-00381</x:v>
      </x:c>
      <x:c r="C413" t="str">
        <x:v>GATE</x:v>
      </x:c>
      <x:c r="D413" t="str">
        <x:v>release state mirrors governing ledger</x:v>
      </x:c>
      <x:c r="E413" t="str">
        <x:f>'Release Gates'!I387</x:f>
        <x:v>OPEN</x:v>
      </x:c>
      <x:c r="F413" t="str">
        <x:f>IF('Release Gates'!C387="PLANNING","PASS",IF('Release Gates'!C387="PHYSICAL","OPEN","BLOCKED"))</x:f>
        <x:v>OPEN</x:v>
      </x:c>
      <x:c r="G413" t="str">
        <x:v>equals</x:v>
      </x:c>
      <x:c r="H413" t="str">
        <x:f>IF(E413=F413,"PASS","FAIL")</x:f>
        <x:v>PASS</x:v>
      </x:c>
    </x:row>
    <x:row r="414">
      <x:c r="B414" t="str">
        <x:v>A-00382</x:v>
      </x:c>
      <x:c r="C414" t="str">
        <x:v>GATE</x:v>
      </x:c>
      <x:c r="D414" t="str">
        <x:v>release state mirrors governing ledger</x:v>
      </x:c>
      <x:c r="E414" t="str">
        <x:f>'Release Gates'!I388</x:f>
        <x:v>OPEN</x:v>
      </x:c>
      <x:c r="F414" t="str">
        <x:f>IF('Release Gates'!C388="PLANNING","PASS",IF('Release Gates'!C388="PHYSICAL","OPEN","BLOCKED"))</x:f>
        <x:v>OPEN</x:v>
      </x:c>
      <x:c r="G414" t="str">
        <x:v>equals</x:v>
      </x:c>
      <x:c r="H414" t="str">
        <x:f>IF(E414=F414,"PASS","FAIL")</x:f>
        <x:v>PASS</x:v>
      </x:c>
    </x:row>
    <x:row r="415">
      <x:c r="B415" t="str">
        <x:v>A-00383</x:v>
      </x:c>
      <x:c r="C415" t="str">
        <x:v>GATE</x:v>
      </x:c>
      <x:c r="D415" t="str">
        <x:v>release state mirrors governing ledger</x:v>
      </x:c>
      <x:c r="E415" t="str">
        <x:f>'Release Gates'!I389</x:f>
        <x:v>OPEN</x:v>
      </x:c>
      <x:c r="F415" t="str">
        <x:f>IF('Release Gates'!C389="PLANNING","PASS",IF('Release Gates'!C389="PHYSICAL","OPEN","BLOCKED"))</x:f>
        <x:v>OPEN</x:v>
      </x:c>
      <x:c r="G415" t="str">
        <x:v>equals</x:v>
      </x:c>
      <x:c r="H415" t="str">
        <x:f>IF(E415=F415,"PASS","FAIL")</x:f>
        <x:v>PASS</x:v>
      </x:c>
    </x:row>
    <x:row r="416">
      <x:c r="B416" t="str">
        <x:v>A-00384</x:v>
      </x:c>
      <x:c r="C416" t="str">
        <x:v>GATE</x:v>
      </x:c>
      <x:c r="D416" t="str">
        <x:v>release state mirrors governing ledger</x:v>
      </x:c>
      <x:c r="E416" t="str">
        <x:f>'Release Gates'!I390</x:f>
        <x:v>OPEN</x:v>
      </x:c>
      <x:c r="F416" t="str">
        <x:f>IF('Release Gates'!C390="PLANNING","PASS",IF('Release Gates'!C390="PHYSICAL","OPEN","BLOCKED"))</x:f>
        <x:v>OPEN</x:v>
      </x:c>
      <x:c r="G416" t="str">
        <x:v>equals</x:v>
      </x:c>
      <x:c r="H416" t="str">
        <x:f>IF(E416=F416,"PASS","FAIL")</x:f>
        <x:v>PASS</x:v>
      </x:c>
    </x:row>
    <x:row r="417">
      <x:c r="B417" t="str">
        <x:v>A-00385</x:v>
      </x:c>
      <x:c r="C417" t="str">
        <x:v>GATE</x:v>
      </x:c>
      <x:c r="D417" t="str">
        <x:v>release state mirrors governing ledger</x:v>
      </x:c>
      <x:c r="E417" t="str">
        <x:f>'Release Gates'!I391</x:f>
        <x:v>OPEN</x:v>
      </x:c>
      <x:c r="F417" t="str">
        <x:f>IF('Release Gates'!C391="PLANNING","PASS",IF('Release Gates'!C391="PHYSICAL","OPEN","BLOCKED"))</x:f>
        <x:v>OPEN</x:v>
      </x:c>
      <x:c r="G417" t="str">
        <x:v>equals</x:v>
      </x:c>
      <x:c r="H417" t="str">
        <x:f>IF(E417=F417,"PASS","FAIL")</x:f>
        <x:v>PASS</x:v>
      </x:c>
    </x:row>
    <x:row r="418">
      <x:c r="B418" t="str">
        <x:v>A-00386</x:v>
      </x:c>
      <x:c r="C418" t="str">
        <x:v>GATE</x:v>
      </x:c>
      <x:c r="D418" t="str">
        <x:v>release state mirrors governing ledger</x:v>
      </x:c>
      <x:c r="E418" t="str">
        <x:f>'Release Gates'!I392</x:f>
        <x:v>OPEN</x:v>
      </x:c>
      <x:c r="F418" t="str">
        <x:f>IF('Release Gates'!C392="PLANNING","PASS",IF('Release Gates'!C392="PHYSICAL","OPEN","BLOCKED"))</x:f>
        <x:v>OPEN</x:v>
      </x:c>
      <x:c r="G418" t="str">
        <x:v>equals</x:v>
      </x:c>
      <x:c r="H418" t="str">
        <x:f>IF(E418=F418,"PASS","FAIL")</x:f>
        <x:v>PASS</x:v>
      </x:c>
    </x:row>
    <x:row r="419">
      <x:c r="B419" t="str">
        <x:v>A-00387</x:v>
      </x:c>
      <x:c r="C419" t="str">
        <x:v>GATE</x:v>
      </x:c>
      <x:c r="D419" t="str">
        <x:v>release state mirrors governing ledger</x:v>
      </x:c>
      <x:c r="E419" t="str">
        <x:f>'Release Gates'!I393</x:f>
        <x:v>OPEN</x:v>
      </x:c>
      <x:c r="F419" t="str">
        <x:f>IF('Release Gates'!C393="PLANNING","PASS",IF('Release Gates'!C393="PHYSICAL","OPEN","BLOCKED"))</x:f>
        <x:v>OPEN</x:v>
      </x:c>
      <x:c r="G419" t="str">
        <x:v>equals</x:v>
      </x:c>
      <x:c r="H419" t="str">
        <x:f>IF(E419=F419,"PASS","FAIL")</x:f>
        <x:v>PASS</x:v>
      </x:c>
    </x:row>
    <x:row r="420">
      <x:c r="B420" t="str">
        <x:v>A-00388</x:v>
      </x:c>
      <x:c r="C420" t="str">
        <x:v>GATE</x:v>
      </x:c>
      <x:c r="D420" t="str">
        <x:v>release state mirrors governing ledger</x:v>
      </x:c>
      <x:c r="E420" t="str">
        <x:f>'Release Gates'!I394</x:f>
        <x:v>OPEN</x:v>
      </x:c>
      <x:c r="F420" t="str">
        <x:f>IF('Release Gates'!C394="PLANNING","PASS",IF('Release Gates'!C394="PHYSICAL","OPEN","BLOCKED"))</x:f>
        <x:v>OPEN</x:v>
      </x:c>
      <x:c r="G420" t="str">
        <x:v>equals</x:v>
      </x:c>
      <x:c r="H420" t="str">
        <x:f>IF(E420=F420,"PASS","FAIL")</x:f>
        <x:v>PASS</x:v>
      </x:c>
    </x:row>
    <x:row r="421">
      <x:c r="B421" t="str">
        <x:v>A-00389</x:v>
      </x:c>
      <x:c r="C421" t="str">
        <x:v>GATE</x:v>
      </x:c>
      <x:c r="D421" t="str">
        <x:v>release state mirrors governing ledger</x:v>
      </x:c>
      <x:c r="E421" t="str">
        <x:f>'Release Gates'!I395</x:f>
        <x:v>OPEN</x:v>
      </x:c>
      <x:c r="F421" t="str">
        <x:f>IF('Release Gates'!C395="PLANNING","PASS",IF('Release Gates'!C395="PHYSICAL","OPEN","BLOCKED"))</x:f>
        <x:v>OPEN</x:v>
      </x:c>
      <x:c r="G421" t="str">
        <x:v>equals</x:v>
      </x:c>
      <x:c r="H421" t="str">
        <x:f>IF(E421=F421,"PASS","FAIL")</x:f>
        <x:v>PASS</x:v>
      </x:c>
    </x:row>
    <x:row r="422">
      <x:c r="B422" t="str">
        <x:v>A-00390</x:v>
      </x:c>
      <x:c r="C422" t="str">
        <x:v>GATE</x:v>
      </x:c>
      <x:c r="D422" t="str">
        <x:v>release state mirrors governing ledger</x:v>
      </x:c>
      <x:c r="E422" t="str">
        <x:f>'Release Gates'!I396</x:f>
        <x:v>OPEN</x:v>
      </x:c>
      <x:c r="F422" t="str">
        <x:f>IF('Release Gates'!C396="PLANNING","PASS",IF('Release Gates'!C396="PHYSICAL","OPEN","BLOCKED"))</x:f>
        <x:v>OPEN</x:v>
      </x:c>
      <x:c r="G422" t="str">
        <x:v>equals</x:v>
      </x:c>
      <x:c r="H422" t="str">
        <x:f>IF(E422=F422,"PASS","FAIL")</x:f>
        <x:v>PASS</x:v>
      </x:c>
    </x:row>
    <x:row r="423">
      <x:c r="B423" t="str">
        <x:v>A-00391</x:v>
      </x:c>
      <x:c r="C423" t="str">
        <x:v>GATE</x:v>
      </x:c>
      <x:c r="D423" t="str">
        <x:v>release state mirrors governing ledger</x:v>
      </x:c>
      <x:c r="E423" t="str">
        <x:f>'Release Gates'!I397</x:f>
        <x:v>OPEN</x:v>
      </x:c>
      <x:c r="F423" t="str">
        <x:f>IF('Release Gates'!C397="PLANNING","PASS",IF('Release Gates'!C397="PHYSICAL","OPEN","BLOCKED"))</x:f>
        <x:v>OPEN</x:v>
      </x:c>
      <x:c r="G423" t="str">
        <x:v>equals</x:v>
      </x:c>
      <x:c r="H423" t="str">
        <x:f>IF(E423=F423,"PASS","FAIL")</x:f>
        <x:v>PASS</x:v>
      </x:c>
    </x:row>
    <x:row r="424">
      <x:c r="B424" t="str">
        <x:v>A-00392</x:v>
      </x:c>
      <x:c r="C424" t="str">
        <x:v>GATE</x:v>
      </x:c>
      <x:c r="D424" t="str">
        <x:v>release state mirrors governing ledger</x:v>
      </x:c>
      <x:c r="E424" t="str">
        <x:f>'Release Gates'!I398</x:f>
        <x:v>OPEN</x:v>
      </x:c>
      <x:c r="F424" t="str">
        <x:f>IF('Release Gates'!C398="PLANNING","PASS",IF('Release Gates'!C398="PHYSICAL","OPEN","BLOCKED"))</x:f>
        <x:v>OPEN</x:v>
      </x:c>
      <x:c r="G424" t="str">
        <x:v>equals</x:v>
      </x:c>
      <x:c r="H424" t="str">
        <x:f>IF(E424=F424,"PASS","FAIL")</x:f>
        <x:v>PASS</x:v>
      </x:c>
    </x:row>
    <x:row r="425">
      <x:c r="B425" t="str">
        <x:v>A-00393</x:v>
      </x:c>
      <x:c r="C425" t="str">
        <x:v>GATE</x:v>
      </x:c>
      <x:c r="D425" t="str">
        <x:v>release state mirrors governing ledger</x:v>
      </x:c>
      <x:c r="E425" t="str">
        <x:f>'Release Gates'!I399</x:f>
        <x:v>OPEN</x:v>
      </x:c>
      <x:c r="F425" t="str">
        <x:f>IF('Release Gates'!C399="PLANNING","PASS",IF('Release Gates'!C399="PHYSICAL","OPEN","BLOCKED"))</x:f>
        <x:v>OPEN</x:v>
      </x:c>
      <x:c r="G425" t="str">
        <x:v>equals</x:v>
      </x:c>
      <x:c r="H425" t="str">
        <x:f>IF(E425=F425,"PASS","FAIL")</x:f>
        <x:v>PASS</x:v>
      </x:c>
    </x:row>
    <x:row r="426">
      <x:c r="B426" t="str">
        <x:v>A-00394</x:v>
      </x:c>
      <x:c r="C426" t="str">
        <x:v>GATE</x:v>
      </x:c>
      <x:c r="D426" t="str">
        <x:v>release state mirrors governing ledger</x:v>
      </x:c>
      <x:c r="E426" t="str">
        <x:f>'Release Gates'!I400</x:f>
        <x:v>OPEN</x:v>
      </x:c>
      <x:c r="F426" t="str">
        <x:f>IF('Release Gates'!C400="PLANNING","PASS",IF('Release Gates'!C400="PHYSICAL","OPEN","BLOCKED"))</x:f>
        <x:v>OPEN</x:v>
      </x:c>
      <x:c r="G426" t="str">
        <x:v>equals</x:v>
      </x:c>
      <x:c r="H426" t="str">
        <x:f>IF(E426=F426,"PASS","FAIL")</x:f>
        <x:v>PASS</x:v>
      </x:c>
    </x:row>
    <x:row r="427">
      <x:c r="B427" t="str">
        <x:v>A-00395</x:v>
      </x:c>
      <x:c r="C427" t="str">
        <x:v>GATE</x:v>
      </x:c>
      <x:c r="D427" t="str">
        <x:v>release state mirrors governing ledger</x:v>
      </x:c>
      <x:c r="E427" t="str">
        <x:f>'Release Gates'!I401</x:f>
        <x:v>OPEN</x:v>
      </x:c>
      <x:c r="F427" t="str">
        <x:f>IF('Release Gates'!C401="PLANNING","PASS",IF('Release Gates'!C401="PHYSICAL","OPEN","BLOCKED"))</x:f>
        <x:v>OPEN</x:v>
      </x:c>
      <x:c r="G427" t="str">
        <x:v>equals</x:v>
      </x:c>
      <x:c r="H427" t="str">
        <x:f>IF(E427=F427,"PASS","FAIL")</x:f>
        <x:v>PASS</x:v>
      </x:c>
    </x:row>
    <x:row r="428">
      <x:c r="B428" t="str">
        <x:v>A-00396</x:v>
      </x:c>
      <x:c r="C428" t="str">
        <x:v>GATE</x:v>
      </x:c>
      <x:c r="D428" t="str">
        <x:v>release state mirrors governing ledger</x:v>
      </x:c>
      <x:c r="E428" t="str">
        <x:f>'Release Gates'!I402</x:f>
        <x:v>OPEN</x:v>
      </x:c>
      <x:c r="F428" t="str">
        <x:f>IF('Release Gates'!C402="PLANNING","PASS",IF('Release Gates'!C402="PHYSICAL","OPEN","BLOCKED"))</x:f>
        <x:v>OPEN</x:v>
      </x:c>
      <x:c r="G428" t="str">
        <x:v>equals</x:v>
      </x:c>
      <x:c r="H428" t="str">
        <x:f>IF(E428=F428,"PASS","FAIL")</x:f>
        <x:v>PASS</x:v>
      </x:c>
    </x:row>
    <x:row r="429">
      <x:c r="B429" t="str">
        <x:v>A-00397</x:v>
      </x:c>
      <x:c r="C429" t="str">
        <x:v>GATE</x:v>
      </x:c>
      <x:c r="D429" t="str">
        <x:v>release state mirrors governing ledger</x:v>
      </x:c>
      <x:c r="E429" t="str">
        <x:f>'Release Gates'!I403</x:f>
        <x:v>OPEN</x:v>
      </x:c>
      <x:c r="F429" t="str">
        <x:f>IF('Release Gates'!C403="PLANNING","PASS",IF('Release Gates'!C403="PHYSICAL","OPEN","BLOCKED"))</x:f>
        <x:v>OPEN</x:v>
      </x:c>
      <x:c r="G429" t="str">
        <x:v>equals</x:v>
      </x:c>
      <x:c r="H429" t="str">
        <x:f>IF(E429=F429,"PASS","FAIL")</x:f>
        <x:v>PASS</x:v>
      </x:c>
    </x:row>
    <x:row r="430">
      <x:c r="B430" t="str">
        <x:v>A-00398</x:v>
      </x:c>
      <x:c r="C430" t="str">
        <x:v>GATE</x:v>
      </x:c>
      <x:c r="D430" t="str">
        <x:v>release state mirrors governing ledger</x:v>
      </x:c>
      <x:c r="E430" t="str">
        <x:f>'Release Gates'!I404</x:f>
        <x:v>OPEN</x:v>
      </x:c>
      <x:c r="F430" t="str">
        <x:f>IF('Release Gates'!C404="PLANNING","PASS",IF('Release Gates'!C404="PHYSICAL","OPEN","BLOCKED"))</x:f>
        <x:v>OPEN</x:v>
      </x:c>
      <x:c r="G430" t="str">
        <x:v>equals</x:v>
      </x:c>
      <x:c r="H430" t="str">
        <x:f>IF(E430=F430,"PASS","FAIL")</x:f>
        <x:v>PASS</x:v>
      </x:c>
    </x:row>
    <x:row r="431">
      <x:c r="B431" t="str">
        <x:v>A-00399</x:v>
      </x:c>
      <x:c r="C431" t="str">
        <x:v>GATE</x:v>
      </x:c>
      <x:c r="D431" t="str">
        <x:v>release state mirrors governing ledger</x:v>
      </x:c>
      <x:c r="E431" t="str">
        <x:f>'Release Gates'!I405</x:f>
        <x:v>OPEN</x:v>
      </x:c>
      <x:c r="F431" t="str">
        <x:f>IF('Release Gates'!C405="PLANNING","PASS",IF('Release Gates'!C405="PHYSICAL","OPEN","BLOCKED"))</x:f>
        <x:v>OPEN</x:v>
      </x:c>
      <x:c r="G431" t="str">
        <x:v>equals</x:v>
      </x:c>
      <x:c r="H431" t="str">
        <x:f>IF(E431=F431,"PASS","FAIL")</x:f>
        <x:v>PASS</x:v>
      </x:c>
    </x:row>
    <x:row r="432">
      <x:c r="B432" t="str">
        <x:v>A-00400</x:v>
      </x:c>
      <x:c r="C432" t="str">
        <x:v>GATE</x:v>
      </x:c>
      <x:c r="D432" t="str">
        <x:v>release state mirrors governing ledger</x:v>
      </x:c>
      <x:c r="E432" t="str">
        <x:f>'Release Gates'!I406</x:f>
        <x:v>OPEN</x:v>
      </x:c>
      <x:c r="F432" t="str">
        <x:f>IF('Release Gates'!C406="PLANNING","PASS",IF('Release Gates'!C406="PHYSICAL","OPEN","BLOCKED"))</x:f>
        <x:v>OPEN</x:v>
      </x:c>
      <x:c r="G432" t="str">
        <x:v>equals</x:v>
      </x:c>
      <x:c r="H432" t="str">
        <x:f>IF(E432=F432,"PASS","FAIL")</x:f>
        <x:v>PASS</x:v>
      </x:c>
    </x:row>
    <x:row r="433">
      <x:c r="B433" t="str">
        <x:v>A-00401</x:v>
      </x:c>
      <x:c r="C433" t="str">
        <x:v>GATE</x:v>
      </x:c>
      <x:c r="D433" t="str">
        <x:v>release state mirrors governing ledger</x:v>
      </x:c>
      <x:c r="E433" t="str">
        <x:f>'Release Gates'!I407</x:f>
        <x:v>OPEN</x:v>
      </x:c>
      <x:c r="F433" t="str">
        <x:f>IF('Release Gates'!C407="PLANNING","PASS",IF('Release Gates'!C407="PHYSICAL","OPEN","BLOCKED"))</x:f>
        <x:v>OPEN</x:v>
      </x:c>
      <x:c r="G433" t="str">
        <x:v>equals</x:v>
      </x:c>
      <x:c r="H433" t="str">
        <x:f>IF(E433=F433,"PASS","FAIL")</x:f>
        <x:v>PASS</x:v>
      </x:c>
    </x:row>
    <x:row r="434">
      <x:c r="B434" t="str">
        <x:v>A-00402</x:v>
      </x:c>
      <x:c r="C434" t="str">
        <x:v>GATE</x:v>
      </x:c>
      <x:c r="D434" t="str">
        <x:v>release state mirrors governing ledger</x:v>
      </x:c>
      <x:c r="E434" t="str">
        <x:f>'Release Gates'!I408</x:f>
        <x:v>OPEN</x:v>
      </x:c>
      <x:c r="F434" t="str">
        <x:f>IF('Release Gates'!C408="PLANNING","PASS",IF('Release Gates'!C408="PHYSICAL","OPEN","BLOCKED"))</x:f>
        <x:v>OPEN</x:v>
      </x:c>
      <x:c r="G434" t="str">
        <x:v>equals</x:v>
      </x:c>
      <x:c r="H434" t="str">
        <x:f>IF(E434=F434,"PASS","FAIL")</x:f>
        <x:v>PASS</x:v>
      </x:c>
    </x:row>
    <x:row r="435">
      <x:c r="B435" t="str">
        <x:v>A-00403</x:v>
      </x:c>
      <x:c r="C435" t="str">
        <x:v>GATE</x:v>
      </x:c>
      <x:c r="D435" t="str">
        <x:v>release state mirrors governing ledger</x:v>
      </x:c>
      <x:c r="E435" t="str">
        <x:f>'Release Gates'!I409</x:f>
        <x:v>OPEN</x:v>
      </x:c>
      <x:c r="F435" t="str">
        <x:f>IF('Release Gates'!C409="PLANNING","PASS",IF('Release Gates'!C409="PHYSICAL","OPEN","BLOCKED"))</x:f>
        <x:v>OPEN</x:v>
      </x:c>
      <x:c r="G435" t="str">
        <x:v>equals</x:v>
      </x:c>
      <x:c r="H435" t="str">
        <x:f>IF(E435=F435,"PASS","FAIL")</x:f>
        <x:v>PASS</x:v>
      </x:c>
    </x:row>
    <x:row r="436">
      <x:c r="B436" t="str">
        <x:v>A-00404</x:v>
      </x:c>
      <x:c r="C436" t="str">
        <x:v>GATE</x:v>
      </x:c>
      <x:c r="D436" t="str">
        <x:v>release state mirrors governing ledger</x:v>
      </x:c>
      <x:c r="E436" t="str">
        <x:f>'Release Gates'!I410</x:f>
        <x:v>OPEN</x:v>
      </x:c>
      <x:c r="F436" t="str">
        <x:f>IF('Release Gates'!C410="PLANNING","PASS",IF('Release Gates'!C410="PHYSICAL","OPEN","BLOCKED"))</x:f>
        <x:v>OPEN</x:v>
      </x:c>
      <x:c r="G436" t="str">
        <x:v>equals</x:v>
      </x:c>
      <x:c r="H436" t="str">
        <x:f>IF(E436=F436,"PASS","FAIL")</x:f>
        <x:v>PASS</x:v>
      </x:c>
    </x:row>
    <x:row r="437">
      <x:c r="B437" t="str">
        <x:v>A-00405</x:v>
      </x:c>
      <x:c r="C437" t="str">
        <x:v>GATE</x:v>
      </x:c>
      <x:c r="D437" t="str">
        <x:v>release state mirrors governing ledger</x:v>
      </x:c>
      <x:c r="E437" t="str">
        <x:f>'Release Gates'!I411</x:f>
        <x:v>OPEN</x:v>
      </x:c>
      <x:c r="F437" t="str">
        <x:f>IF('Release Gates'!C411="PLANNING","PASS",IF('Release Gates'!C411="PHYSICAL","OPEN","BLOCKED"))</x:f>
        <x:v>OPEN</x:v>
      </x:c>
      <x:c r="G437" t="str">
        <x:v>equals</x:v>
      </x:c>
      <x:c r="H437" t="str">
        <x:f>IF(E437=F437,"PASS","FAIL")</x:f>
        <x:v>PASS</x:v>
      </x:c>
    </x:row>
    <x:row r="438">
      <x:c r="B438" t="str">
        <x:v>A-00406</x:v>
      </x:c>
      <x:c r="C438" t="str">
        <x:v>GATE</x:v>
      </x:c>
      <x:c r="D438" t="str">
        <x:v>release state mirrors governing ledger</x:v>
      </x:c>
      <x:c r="E438" t="str">
        <x:f>'Release Gates'!I412</x:f>
        <x:v>OPEN</x:v>
      </x:c>
      <x:c r="F438" t="str">
        <x:f>IF('Release Gates'!C412="PLANNING","PASS",IF('Release Gates'!C412="PHYSICAL","OPEN","BLOCKED"))</x:f>
        <x:v>OPEN</x:v>
      </x:c>
      <x:c r="G438" t="str">
        <x:v>equals</x:v>
      </x:c>
      <x:c r="H438" t="str">
        <x:f>IF(E438=F438,"PASS","FAIL")</x:f>
        <x:v>PASS</x:v>
      </x:c>
    </x:row>
    <x:row r="439">
      <x:c r="B439" t="str">
        <x:v>A-00407</x:v>
      </x:c>
      <x:c r="C439" t="str">
        <x:v>GATE</x:v>
      </x:c>
      <x:c r="D439" t="str">
        <x:v>release state mirrors governing ledger</x:v>
      </x:c>
      <x:c r="E439" t="str">
        <x:f>'Release Gates'!I413</x:f>
        <x:v>OPEN</x:v>
      </x:c>
      <x:c r="F439" t="str">
        <x:f>IF('Release Gates'!C413="PLANNING","PASS",IF('Release Gates'!C413="PHYSICAL","OPEN","BLOCKED"))</x:f>
        <x:v>OPEN</x:v>
      </x:c>
      <x:c r="G439" t="str">
        <x:v>equals</x:v>
      </x:c>
      <x:c r="H439" t="str">
        <x:f>IF(E439=F439,"PASS","FAIL")</x:f>
        <x:v>PASS</x:v>
      </x:c>
    </x:row>
    <x:row r="440">
      <x:c r="B440" t="str">
        <x:v>A-00408</x:v>
      </x:c>
      <x:c r="C440" t="str">
        <x:v>GATE</x:v>
      </x:c>
      <x:c r="D440" t="str">
        <x:v>release state mirrors governing ledger</x:v>
      </x:c>
      <x:c r="E440" t="str">
        <x:f>'Release Gates'!I414</x:f>
        <x:v>OPEN</x:v>
      </x:c>
      <x:c r="F440" t="str">
        <x:f>IF('Release Gates'!C414="PLANNING","PASS",IF('Release Gates'!C414="PHYSICAL","OPEN","BLOCKED"))</x:f>
        <x:v>OPEN</x:v>
      </x:c>
      <x:c r="G440" t="str">
        <x:v>equals</x:v>
      </x:c>
      <x:c r="H440" t="str">
        <x:f>IF(E440=F440,"PASS","FAIL")</x:f>
        <x:v>PASS</x:v>
      </x:c>
    </x:row>
    <x:row r="441">
      <x:c r="B441" t="str">
        <x:v>A-00409</x:v>
      </x:c>
      <x:c r="C441" t="str">
        <x:v>GATE</x:v>
      </x:c>
      <x:c r="D441" t="str">
        <x:v>release state mirrors governing ledger</x:v>
      </x:c>
      <x:c r="E441" t="str">
        <x:f>'Release Gates'!I415</x:f>
        <x:v>OPEN</x:v>
      </x:c>
      <x:c r="F441" t="str">
        <x:f>IF('Release Gates'!C415="PLANNING","PASS",IF('Release Gates'!C415="PHYSICAL","OPEN","BLOCKED"))</x:f>
        <x:v>OPEN</x:v>
      </x:c>
      <x:c r="G441" t="str">
        <x:v>equals</x:v>
      </x:c>
      <x:c r="H441" t="str">
        <x:f>IF(E441=F441,"PASS","FAIL")</x:f>
        <x:v>PASS</x:v>
      </x:c>
    </x:row>
    <x:row r="442">
      <x:c r="B442" t="str">
        <x:v>A-00410</x:v>
      </x:c>
      <x:c r="C442" t="str">
        <x:v>GATE</x:v>
      </x:c>
      <x:c r="D442" t="str">
        <x:v>release state mirrors governing ledger</x:v>
      </x:c>
      <x:c r="E442" t="str">
        <x:f>'Release Gates'!I416</x:f>
        <x:v>OPEN</x:v>
      </x:c>
      <x:c r="F442" t="str">
        <x:f>IF('Release Gates'!C416="PLANNING","PASS",IF('Release Gates'!C416="PHYSICAL","OPEN","BLOCKED"))</x:f>
        <x:v>OPEN</x:v>
      </x:c>
      <x:c r="G442" t="str">
        <x:v>equals</x:v>
      </x:c>
      <x:c r="H442" t="str">
        <x:f>IF(E442=F442,"PASS","FAIL")</x:f>
        <x:v>PASS</x:v>
      </x:c>
    </x:row>
    <x:row r="443">
      <x:c r="B443" t="str">
        <x:v>A-00411</x:v>
      </x:c>
      <x:c r="C443" t="str">
        <x:v>GATE</x:v>
      </x:c>
      <x:c r="D443" t="str">
        <x:v>release state mirrors governing ledger</x:v>
      </x:c>
      <x:c r="E443" t="str">
        <x:f>'Release Gates'!I417</x:f>
        <x:v>OPEN</x:v>
      </x:c>
      <x:c r="F443" t="str">
        <x:f>IF('Release Gates'!C417="PLANNING","PASS",IF('Release Gates'!C417="PHYSICAL","OPEN","BLOCKED"))</x:f>
        <x:v>OPEN</x:v>
      </x:c>
      <x:c r="G443" t="str">
        <x:v>equals</x:v>
      </x:c>
      <x:c r="H443" t="str">
        <x:f>IF(E443=F443,"PASS","FAIL")</x:f>
        <x:v>PASS</x:v>
      </x:c>
    </x:row>
    <x:row r="444">
      <x:c r="B444" t="str">
        <x:v>A-00412</x:v>
      </x:c>
      <x:c r="C444" t="str">
        <x:v>GATE</x:v>
      </x:c>
      <x:c r="D444" t="str">
        <x:v>release state mirrors governing ledger</x:v>
      </x:c>
      <x:c r="E444" t="str">
        <x:f>'Release Gates'!I418</x:f>
        <x:v>OPEN</x:v>
      </x:c>
      <x:c r="F444" t="str">
        <x:f>IF('Release Gates'!C418="PLANNING","PASS",IF('Release Gates'!C418="PHYSICAL","OPEN","BLOCKED"))</x:f>
        <x:v>OPEN</x:v>
      </x:c>
      <x:c r="G444" t="str">
        <x:v>equals</x:v>
      </x:c>
      <x:c r="H444" t="str">
        <x:f>IF(E444=F444,"PASS","FAIL")</x:f>
        <x:v>PASS</x:v>
      </x:c>
    </x:row>
    <x:row r="445">
      <x:c r="B445" t="str">
        <x:v>A-00413</x:v>
      </x:c>
      <x:c r="C445" t="str">
        <x:v>GATE</x:v>
      </x:c>
      <x:c r="D445" t="str">
        <x:v>release state mirrors governing ledger</x:v>
      </x:c>
      <x:c r="E445" t="str">
        <x:f>'Release Gates'!I419</x:f>
        <x:v>OPEN</x:v>
      </x:c>
      <x:c r="F445" t="str">
        <x:f>IF('Release Gates'!C419="PLANNING","PASS",IF('Release Gates'!C419="PHYSICAL","OPEN","BLOCKED"))</x:f>
        <x:v>OPEN</x:v>
      </x:c>
      <x:c r="G445" t="str">
        <x:v>equals</x:v>
      </x:c>
      <x:c r="H445" t="str">
        <x:f>IF(E445=F445,"PASS","FAIL")</x:f>
        <x:v>PASS</x:v>
      </x:c>
    </x:row>
    <x:row r="446">
      <x:c r="B446" t="str">
        <x:v>A-00414</x:v>
      </x:c>
      <x:c r="C446" t="str">
        <x:v>GATE</x:v>
      </x:c>
      <x:c r="D446" t="str">
        <x:v>release state mirrors governing ledger</x:v>
      </x:c>
      <x:c r="E446" t="str">
        <x:f>'Release Gates'!I420</x:f>
        <x:v>OPEN</x:v>
      </x:c>
      <x:c r="F446" t="str">
        <x:f>IF('Release Gates'!C420="PLANNING","PASS",IF('Release Gates'!C420="PHYSICAL","OPEN","BLOCKED"))</x:f>
        <x:v>OPEN</x:v>
      </x:c>
      <x:c r="G446" t="str">
        <x:v>equals</x:v>
      </x:c>
      <x:c r="H446" t="str">
        <x:f>IF(E446=F446,"PASS","FAIL")</x:f>
        <x:v>PASS</x:v>
      </x:c>
    </x:row>
    <x:row r="447">
      <x:c r="B447" t="str">
        <x:v>A-00415</x:v>
      </x:c>
      <x:c r="C447" t="str">
        <x:v>GATE</x:v>
      </x:c>
      <x:c r="D447" t="str">
        <x:v>release state mirrors governing ledger</x:v>
      </x:c>
      <x:c r="E447" t="str">
        <x:f>'Release Gates'!I421</x:f>
        <x:v>OPEN</x:v>
      </x:c>
      <x:c r="F447" t="str">
        <x:f>IF('Release Gates'!C421="PLANNING","PASS",IF('Release Gates'!C421="PHYSICAL","OPEN","BLOCKED"))</x:f>
        <x:v>OPEN</x:v>
      </x:c>
      <x:c r="G447" t="str">
        <x:v>equals</x:v>
      </x:c>
      <x:c r="H447" t="str">
        <x:f>IF(E447=F447,"PASS","FAIL")</x:f>
        <x:v>PASS</x:v>
      </x:c>
    </x:row>
    <x:row r="448">
      <x:c r="B448" t="str">
        <x:v>A-00416</x:v>
      </x:c>
      <x:c r="C448" t="str">
        <x:v>GATE</x:v>
      </x:c>
      <x:c r="D448" t="str">
        <x:v>release state mirrors governing ledger</x:v>
      </x:c>
      <x:c r="E448" t="str">
        <x:f>'Release Gates'!I422</x:f>
        <x:v>OPEN</x:v>
      </x:c>
      <x:c r="F448" t="str">
        <x:f>IF('Release Gates'!C422="PLANNING","PASS",IF('Release Gates'!C422="PHYSICAL","OPEN","BLOCKED"))</x:f>
        <x:v>OPEN</x:v>
      </x:c>
      <x:c r="G448" t="str">
        <x:v>equals</x:v>
      </x:c>
      <x:c r="H448" t="str">
        <x:f>IF(E448=F448,"PASS","FAIL")</x:f>
        <x:v>PASS</x:v>
      </x:c>
    </x:row>
    <x:row r="449">
      <x:c r="B449" t="str">
        <x:v>A-00417</x:v>
      </x:c>
      <x:c r="C449" t="str">
        <x:v>GATE</x:v>
      </x:c>
      <x:c r="D449" t="str">
        <x:v>release state mirrors governing ledger</x:v>
      </x:c>
      <x:c r="E449" t="str">
        <x:f>'Release Gates'!I423</x:f>
        <x:v>OPEN</x:v>
      </x:c>
      <x:c r="F449" t="str">
        <x:f>IF('Release Gates'!C423="PLANNING","PASS",IF('Release Gates'!C423="PHYSICAL","OPEN","BLOCKED"))</x:f>
        <x:v>OPEN</x:v>
      </x:c>
      <x:c r="G449" t="str">
        <x:v>equals</x:v>
      </x:c>
      <x:c r="H449" t="str">
        <x:f>IF(E449=F449,"PASS","FAIL")</x:f>
        <x:v>PASS</x:v>
      </x:c>
    </x:row>
    <x:row r="450">
      <x:c r="B450" t="str">
        <x:v>A-00418</x:v>
      </x:c>
      <x:c r="C450" t="str">
        <x:v>GATE</x:v>
      </x:c>
      <x:c r="D450" t="str">
        <x:v>release state mirrors governing ledger</x:v>
      </x:c>
      <x:c r="E450" t="str">
        <x:f>'Release Gates'!I424</x:f>
        <x:v>OPEN</x:v>
      </x:c>
      <x:c r="F450" t="str">
        <x:f>IF('Release Gates'!C424="PLANNING","PASS",IF('Release Gates'!C424="PHYSICAL","OPEN","BLOCKED"))</x:f>
        <x:v>OPEN</x:v>
      </x:c>
      <x:c r="G450" t="str">
        <x:v>equals</x:v>
      </x:c>
      <x:c r="H450" t="str">
        <x:f>IF(E450=F450,"PASS","FAIL")</x:f>
        <x:v>PASS</x:v>
      </x:c>
    </x:row>
    <x:row r="451">
      <x:c r="B451" t="str">
        <x:v>A-00419</x:v>
      </x:c>
      <x:c r="C451" t="str">
        <x:v>GATE</x:v>
      </x:c>
      <x:c r="D451" t="str">
        <x:v>release state mirrors governing ledger</x:v>
      </x:c>
      <x:c r="E451" t="str">
        <x:f>'Release Gates'!I425</x:f>
        <x:v>OPEN</x:v>
      </x:c>
      <x:c r="F451" t="str">
        <x:f>IF('Release Gates'!C425="PLANNING","PASS",IF('Release Gates'!C425="PHYSICAL","OPEN","BLOCKED"))</x:f>
        <x:v>OPEN</x:v>
      </x:c>
      <x:c r="G451" t="str">
        <x:v>equals</x:v>
      </x:c>
      <x:c r="H451" t="str">
        <x:f>IF(E451=F451,"PASS","FAIL")</x:f>
        <x:v>PASS</x:v>
      </x:c>
    </x:row>
    <x:row r="452">
      <x:c r="B452" t="str">
        <x:v>A-00420</x:v>
      </x:c>
      <x:c r="C452" t="str">
        <x:v>GATE</x:v>
      </x:c>
      <x:c r="D452" t="str">
        <x:v>release state mirrors governing ledger</x:v>
      </x:c>
      <x:c r="E452" t="str">
        <x:f>'Release Gates'!I426</x:f>
        <x:v>OPEN</x:v>
      </x:c>
      <x:c r="F452" t="str">
        <x:f>IF('Release Gates'!C426="PLANNING","PASS",IF('Release Gates'!C426="PHYSICAL","OPEN","BLOCKED"))</x:f>
        <x:v>OPEN</x:v>
      </x:c>
      <x:c r="G452" t="str">
        <x:v>equals</x:v>
      </x:c>
      <x:c r="H452" t="str">
        <x:f>IF(E452=F452,"PASS","FAIL")</x:f>
        <x:v>PASS</x:v>
      </x:c>
    </x:row>
    <x:row r="453">
      <x:c r="B453" t="str">
        <x:v>A-00421</x:v>
      </x:c>
      <x:c r="C453" t="str">
        <x:v>GATE</x:v>
      </x:c>
      <x:c r="D453" t="str">
        <x:v>release state mirrors governing ledger</x:v>
      </x:c>
      <x:c r="E453" t="str">
        <x:f>'Release Gates'!I427</x:f>
        <x:v>OPEN</x:v>
      </x:c>
      <x:c r="F453" t="str">
        <x:f>IF('Release Gates'!C427="PLANNING","PASS",IF('Release Gates'!C427="PHYSICAL","OPEN","BLOCKED"))</x:f>
        <x:v>OPEN</x:v>
      </x:c>
      <x:c r="G453" t="str">
        <x:v>equals</x:v>
      </x:c>
      <x:c r="H453" t="str">
        <x:f>IF(E453=F453,"PASS","FAIL")</x:f>
        <x:v>PASS</x:v>
      </x:c>
    </x:row>
    <x:row r="454">
      <x:c r="B454" t="str">
        <x:v>A-00422</x:v>
      </x:c>
      <x:c r="C454" t="str">
        <x:v>GATE</x:v>
      </x:c>
      <x:c r="D454" t="str">
        <x:v>release state mirrors governing ledger</x:v>
      </x:c>
      <x:c r="E454" t="str">
        <x:f>'Release Gates'!I428</x:f>
        <x:v>OPEN</x:v>
      </x:c>
      <x:c r="F454" t="str">
        <x:f>IF('Release Gates'!C428="PLANNING","PASS",IF('Release Gates'!C428="PHYSICAL","OPEN","BLOCKED"))</x:f>
        <x:v>OPEN</x:v>
      </x:c>
      <x:c r="G454" t="str">
        <x:v>equals</x:v>
      </x:c>
      <x:c r="H454" t="str">
        <x:f>IF(E454=F454,"PASS","FAIL")</x:f>
        <x:v>PASS</x:v>
      </x:c>
    </x:row>
    <x:row r="455">
      <x:c r="B455" t="str">
        <x:v>A-00423</x:v>
      </x:c>
      <x:c r="C455" t="str">
        <x:v>GATE</x:v>
      </x:c>
      <x:c r="D455" t="str">
        <x:v>release state mirrors governing ledger</x:v>
      </x:c>
      <x:c r="E455" t="str">
        <x:f>'Release Gates'!I429</x:f>
        <x:v>OPEN</x:v>
      </x:c>
      <x:c r="F455" t="str">
        <x:f>IF('Release Gates'!C429="PLANNING","PASS",IF('Release Gates'!C429="PHYSICAL","OPEN","BLOCKED"))</x:f>
        <x:v>OPEN</x:v>
      </x:c>
      <x:c r="G455" t="str">
        <x:v>equals</x:v>
      </x:c>
      <x:c r="H455" t="str">
        <x:f>IF(E455=F455,"PASS","FAIL")</x:f>
        <x:v>PASS</x:v>
      </x:c>
    </x:row>
    <x:row r="456">
      <x:c r="B456" t="str">
        <x:v>A-00424</x:v>
      </x:c>
      <x:c r="C456" t="str">
        <x:v>GATE</x:v>
      </x:c>
      <x:c r="D456" t="str">
        <x:v>release state mirrors governing ledger</x:v>
      </x:c>
      <x:c r="E456" t="str">
        <x:f>'Release Gates'!I430</x:f>
        <x:v>OPEN</x:v>
      </x:c>
      <x:c r="F456" t="str">
        <x:f>IF('Release Gates'!C430="PLANNING","PASS",IF('Release Gates'!C430="PHYSICAL","OPEN","BLOCKED"))</x:f>
        <x:v>OPEN</x:v>
      </x:c>
      <x:c r="G456" t="str">
        <x:v>equals</x:v>
      </x:c>
      <x:c r="H456" t="str">
        <x:f>IF(E456=F456,"PASS","FAIL")</x:f>
        <x:v>PASS</x:v>
      </x:c>
    </x:row>
    <x:row r="457">
      <x:c r="B457" t="str">
        <x:v>A-00425</x:v>
      </x:c>
      <x:c r="C457" t="str">
        <x:v>GATE</x:v>
      </x:c>
      <x:c r="D457" t="str">
        <x:v>release state mirrors governing ledger</x:v>
      </x:c>
      <x:c r="E457" t="str">
        <x:f>'Release Gates'!I431</x:f>
        <x:v>OPEN</x:v>
      </x:c>
      <x:c r="F457" t="str">
        <x:f>IF('Release Gates'!C431="PLANNING","PASS",IF('Release Gates'!C431="PHYSICAL","OPEN","BLOCKED"))</x:f>
        <x:v>OPEN</x:v>
      </x:c>
      <x:c r="G457" t="str">
        <x:v>equals</x:v>
      </x:c>
      <x:c r="H457" t="str">
        <x:f>IF(E457=F457,"PASS","FAIL")</x:f>
        <x:v>PASS</x:v>
      </x:c>
    </x:row>
    <x:row r="458">
      <x:c r="B458" t="str">
        <x:v>A-00426</x:v>
      </x:c>
      <x:c r="C458" t="str">
        <x:v>GATE</x:v>
      </x:c>
      <x:c r="D458" t="str">
        <x:v>release state mirrors governing ledger</x:v>
      </x:c>
      <x:c r="E458" t="str">
        <x:f>'Release Gates'!I432</x:f>
        <x:v>OPEN</x:v>
      </x:c>
      <x:c r="F458" t="str">
        <x:f>IF('Release Gates'!C432="PLANNING","PASS",IF('Release Gates'!C432="PHYSICAL","OPEN","BLOCKED"))</x:f>
        <x:v>OPEN</x:v>
      </x:c>
      <x:c r="G458" t="str">
        <x:v>equals</x:v>
      </x:c>
      <x:c r="H458" t="str">
        <x:f>IF(E458=F458,"PASS","FAIL")</x:f>
        <x:v>PASS</x:v>
      </x:c>
    </x:row>
    <x:row r="459">
      <x:c r="B459" t="str">
        <x:v>A-00427</x:v>
      </x:c>
      <x:c r="C459" t="str">
        <x:v>GATE</x:v>
      </x:c>
      <x:c r="D459" t="str">
        <x:v>release state mirrors governing ledger</x:v>
      </x:c>
      <x:c r="E459" t="str">
        <x:f>'Release Gates'!I433</x:f>
        <x:v>OPEN</x:v>
      </x:c>
      <x:c r="F459" t="str">
        <x:f>IF('Release Gates'!C433="PLANNING","PASS",IF('Release Gates'!C433="PHYSICAL","OPEN","BLOCKED"))</x:f>
        <x:v>OPEN</x:v>
      </x:c>
      <x:c r="G459" t="str">
        <x:v>equals</x:v>
      </x:c>
      <x:c r="H459" t="str">
        <x:f>IF(E459=F459,"PASS","FAIL")</x:f>
        <x:v>PASS</x:v>
      </x:c>
    </x:row>
    <x:row r="460">
      <x:c r="B460" t="str">
        <x:v>A-00428</x:v>
      </x:c>
      <x:c r="C460" t="str">
        <x:v>GATE</x:v>
      </x:c>
      <x:c r="D460" t="str">
        <x:v>release state mirrors governing ledger</x:v>
      </x:c>
      <x:c r="E460" t="str">
        <x:f>'Release Gates'!I434</x:f>
        <x:v>OPEN</x:v>
      </x:c>
      <x:c r="F460" t="str">
        <x:f>IF('Release Gates'!C434="PLANNING","PASS",IF('Release Gates'!C434="PHYSICAL","OPEN","BLOCKED"))</x:f>
        <x:v>OPEN</x:v>
      </x:c>
      <x:c r="G460" t="str">
        <x:v>equals</x:v>
      </x:c>
      <x:c r="H460" t="str">
        <x:f>IF(E460=F460,"PASS","FAIL")</x:f>
        <x:v>PASS</x:v>
      </x:c>
    </x:row>
    <x:row r="461">
      <x:c r="B461" t="str">
        <x:v>A-00429</x:v>
      </x:c>
      <x:c r="C461" t="str">
        <x:v>GATE</x:v>
      </x:c>
      <x:c r="D461" t="str">
        <x:v>release state mirrors governing ledger</x:v>
      </x:c>
      <x:c r="E461" t="str">
        <x:f>'Release Gates'!I435</x:f>
        <x:v>OPEN</x:v>
      </x:c>
      <x:c r="F461" t="str">
        <x:f>IF('Release Gates'!C435="PLANNING","PASS",IF('Release Gates'!C435="PHYSICAL","OPEN","BLOCKED"))</x:f>
        <x:v>OPEN</x:v>
      </x:c>
      <x:c r="G461" t="str">
        <x:v>equals</x:v>
      </x:c>
      <x:c r="H461" t="str">
        <x:f>IF(E461=F461,"PASS","FAIL")</x:f>
        <x:v>PASS</x:v>
      </x:c>
    </x:row>
    <x:row r="462">
      <x:c r="B462" t="str">
        <x:v>A-00430</x:v>
      </x:c>
      <x:c r="C462" t="str">
        <x:v>GATE</x:v>
      </x:c>
      <x:c r="D462" t="str">
        <x:v>release state mirrors governing ledger</x:v>
      </x:c>
      <x:c r="E462" t="str">
        <x:f>'Release Gates'!I436</x:f>
        <x:v>OPEN</x:v>
      </x:c>
      <x:c r="F462" t="str">
        <x:f>IF('Release Gates'!C436="PLANNING","PASS",IF('Release Gates'!C436="PHYSICAL","OPEN","BLOCKED"))</x:f>
        <x:v>OPEN</x:v>
      </x:c>
      <x:c r="G462" t="str">
        <x:v>equals</x:v>
      </x:c>
      <x:c r="H462" t="str">
        <x:f>IF(E462=F462,"PASS","FAIL")</x:f>
        <x:v>PASS</x:v>
      </x:c>
    </x:row>
    <x:row r="463">
      <x:c r="B463" t="str">
        <x:v>A-00431</x:v>
      </x:c>
      <x:c r="C463" t="str">
        <x:v>GATE</x:v>
      </x:c>
      <x:c r="D463" t="str">
        <x:v>release state mirrors governing ledger</x:v>
      </x:c>
      <x:c r="E463" t="str">
        <x:f>'Release Gates'!I437</x:f>
        <x:v>OPEN</x:v>
      </x:c>
      <x:c r="F463" t="str">
        <x:f>IF('Release Gates'!C437="PLANNING","PASS",IF('Release Gates'!C437="PHYSICAL","OPEN","BLOCKED"))</x:f>
        <x:v>OPEN</x:v>
      </x:c>
      <x:c r="G463" t="str">
        <x:v>equals</x:v>
      </x:c>
      <x:c r="H463" t="str">
        <x:f>IF(E463=F463,"PASS","FAIL")</x:f>
        <x:v>PASS</x:v>
      </x:c>
    </x:row>
    <x:row r="464">
      <x:c r="B464" t="str">
        <x:v>A-00432</x:v>
      </x:c>
      <x:c r="C464" t="str">
        <x:v>GATE</x:v>
      </x:c>
      <x:c r="D464" t="str">
        <x:v>release state mirrors governing ledger</x:v>
      </x:c>
      <x:c r="E464" t="str">
        <x:f>'Release Gates'!I438</x:f>
        <x:v>OPEN</x:v>
      </x:c>
      <x:c r="F464" t="str">
        <x:f>IF('Release Gates'!C438="PLANNING","PASS",IF('Release Gates'!C438="PHYSICAL","OPEN","BLOCKED"))</x:f>
        <x:v>OPEN</x:v>
      </x:c>
      <x:c r="G464" t="str">
        <x:v>equals</x:v>
      </x:c>
      <x:c r="H464" t="str">
        <x:f>IF(E464=F464,"PASS","FAIL")</x:f>
        <x:v>PASS</x:v>
      </x:c>
    </x:row>
    <x:row r="465">
      <x:c r="B465" t="str">
        <x:v>A-00433</x:v>
      </x:c>
      <x:c r="C465" t="str">
        <x:v>GATE</x:v>
      </x:c>
      <x:c r="D465" t="str">
        <x:v>release state mirrors governing ledger</x:v>
      </x:c>
      <x:c r="E465" t="str">
        <x:f>'Release Gates'!I439</x:f>
        <x:v>OPEN</x:v>
      </x:c>
      <x:c r="F465" t="str">
        <x:f>IF('Release Gates'!C439="PLANNING","PASS",IF('Release Gates'!C439="PHYSICAL","OPEN","BLOCKED"))</x:f>
        <x:v>OPEN</x:v>
      </x:c>
      <x:c r="G465" t="str">
        <x:v>equals</x:v>
      </x:c>
      <x:c r="H465" t="str">
        <x:f>IF(E465=F465,"PASS","FAIL")</x:f>
        <x:v>PASS</x:v>
      </x:c>
    </x:row>
    <x:row r="466">
      <x:c r="B466" t="str">
        <x:v>A-00434</x:v>
      </x:c>
      <x:c r="C466" t="str">
        <x:v>GATE</x:v>
      </x:c>
      <x:c r="D466" t="str">
        <x:v>release state mirrors governing ledger</x:v>
      </x:c>
      <x:c r="E466" t="str">
        <x:f>'Release Gates'!I440</x:f>
        <x:v>OPEN</x:v>
      </x:c>
      <x:c r="F466" t="str">
        <x:f>IF('Release Gates'!C440="PLANNING","PASS",IF('Release Gates'!C440="PHYSICAL","OPEN","BLOCKED"))</x:f>
        <x:v>OPEN</x:v>
      </x:c>
      <x:c r="G466" t="str">
        <x:v>equals</x:v>
      </x:c>
      <x:c r="H466" t="str">
        <x:f>IF(E466=F466,"PASS","FAIL")</x:f>
        <x:v>PASS</x:v>
      </x:c>
    </x:row>
    <x:row r="467">
      <x:c r="B467" t="str">
        <x:v>A-00435</x:v>
      </x:c>
      <x:c r="C467" t="str">
        <x:v>GATE</x:v>
      </x:c>
      <x:c r="D467" t="str">
        <x:v>release state mirrors governing ledger</x:v>
      </x:c>
      <x:c r="E467" t="str">
        <x:f>'Release Gates'!I441</x:f>
        <x:v>OPEN</x:v>
      </x:c>
      <x:c r="F467" t="str">
        <x:f>IF('Release Gates'!C441="PLANNING","PASS",IF('Release Gates'!C441="PHYSICAL","OPEN","BLOCKED"))</x:f>
        <x:v>OPEN</x:v>
      </x:c>
      <x:c r="G467" t="str">
        <x:v>equals</x:v>
      </x:c>
      <x:c r="H467" t="str">
        <x:f>IF(E467=F467,"PASS","FAIL")</x:f>
        <x:v>PASS</x:v>
      </x:c>
    </x:row>
    <x:row r="468">
      <x:c r="B468" t="str">
        <x:v>A-00436</x:v>
      </x:c>
      <x:c r="C468" t="str">
        <x:v>GATE</x:v>
      </x:c>
      <x:c r="D468" t="str">
        <x:v>release state mirrors governing ledger</x:v>
      </x:c>
      <x:c r="E468" t="str">
        <x:f>'Release Gates'!I442</x:f>
        <x:v>OPEN</x:v>
      </x:c>
      <x:c r="F468" t="str">
        <x:f>IF('Release Gates'!C442="PLANNING","PASS",IF('Release Gates'!C442="PHYSICAL","OPEN","BLOCKED"))</x:f>
        <x:v>OPEN</x:v>
      </x:c>
      <x:c r="G468" t="str">
        <x:v>equals</x:v>
      </x:c>
      <x:c r="H468" t="str">
        <x:f>IF(E468=F468,"PASS","FAIL")</x:f>
        <x:v>PASS</x:v>
      </x:c>
    </x:row>
    <x:row r="469">
      <x:c r="B469" t="str">
        <x:v>A-00437</x:v>
      </x:c>
      <x:c r="C469" t="str">
        <x:v>GATE</x:v>
      </x:c>
      <x:c r="D469" t="str">
        <x:v>release state mirrors governing ledger</x:v>
      </x:c>
      <x:c r="E469" t="str">
        <x:f>'Release Gates'!I443</x:f>
        <x:v>OPEN</x:v>
      </x:c>
      <x:c r="F469" t="str">
        <x:f>IF('Release Gates'!C443="PLANNING","PASS",IF('Release Gates'!C443="PHYSICAL","OPEN","BLOCKED"))</x:f>
        <x:v>OPEN</x:v>
      </x:c>
      <x:c r="G469" t="str">
        <x:v>equals</x:v>
      </x:c>
      <x:c r="H469" t="str">
        <x:f>IF(E469=F469,"PASS","FAIL")</x:f>
        <x:v>PASS</x:v>
      </x:c>
    </x:row>
    <x:row r="470">
      <x:c r="B470" t="str">
        <x:v>A-00438</x:v>
      </x:c>
      <x:c r="C470" t="str">
        <x:v>GATE</x:v>
      </x:c>
      <x:c r="D470" t="str">
        <x:v>release state mirrors governing ledger</x:v>
      </x:c>
      <x:c r="E470" t="str">
        <x:f>'Release Gates'!I444</x:f>
        <x:v>OPEN</x:v>
      </x:c>
      <x:c r="F470" t="str">
        <x:f>IF('Release Gates'!C444="PLANNING","PASS",IF('Release Gates'!C444="PHYSICAL","OPEN","BLOCKED"))</x:f>
        <x:v>OPEN</x:v>
      </x:c>
      <x:c r="G470" t="str">
        <x:v>equals</x:v>
      </x:c>
      <x:c r="H470" t="str">
        <x:f>IF(E470=F470,"PASS","FAIL")</x:f>
        <x:v>PASS</x:v>
      </x:c>
    </x:row>
    <x:row r="471">
      <x:c r="B471" t="str">
        <x:v>A-00439</x:v>
      </x:c>
      <x:c r="C471" t="str">
        <x:v>GATE</x:v>
      </x:c>
      <x:c r="D471" t="str">
        <x:v>release state mirrors governing ledger</x:v>
      </x:c>
      <x:c r="E471" t="str">
        <x:f>'Release Gates'!I445</x:f>
        <x:v>OPEN</x:v>
      </x:c>
      <x:c r="F471" t="str">
        <x:f>IF('Release Gates'!C445="PLANNING","PASS",IF('Release Gates'!C445="PHYSICAL","OPEN","BLOCKED"))</x:f>
        <x:v>OPEN</x:v>
      </x:c>
      <x:c r="G471" t="str">
        <x:v>equals</x:v>
      </x:c>
      <x:c r="H471" t="str">
        <x:f>IF(E471=F471,"PASS","FAIL")</x:f>
        <x:v>PASS</x:v>
      </x:c>
    </x:row>
    <x:row r="472">
      <x:c r="B472" t="str">
        <x:v>A-00440</x:v>
      </x:c>
      <x:c r="C472" t="str">
        <x:v>GATE</x:v>
      </x:c>
      <x:c r="D472" t="str">
        <x:v>release state mirrors governing ledger</x:v>
      </x:c>
      <x:c r="E472" t="str">
        <x:f>'Release Gates'!I446</x:f>
        <x:v>OPEN</x:v>
      </x:c>
      <x:c r="F472" t="str">
        <x:f>IF('Release Gates'!C446="PLANNING","PASS",IF('Release Gates'!C446="PHYSICAL","OPEN","BLOCKED"))</x:f>
        <x:v>OPEN</x:v>
      </x:c>
      <x:c r="G472" t="str">
        <x:v>equals</x:v>
      </x:c>
      <x:c r="H472" t="str">
        <x:f>IF(E472=F472,"PASS","FAIL")</x:f>
        <x:v>PASS</x:v>
      </x:c>
    </x:row>
    <x:row r="473">
      <x:c r="B473" t="str">
        <x:v>A-00441</x:v>
      </x:c>
      <x:c r="C473" t="str">
        <x:v>GATE</x:v>
      </x:c>
      <x:c r="D473" t="str">
        <x:v>release state mirrors governing ledger</x:v>
      </x:c>
      <x:c r="E473" t="str">
        <x:f>'Release Gates'!I447</x:f>
        <x:v>OPEN</x:v>
      </x:c>
      <x:c r="F473" t="str">
        <x:f>IF('Release Gates'!C447="PLANNING","PASS",IF('Release Gates'!C447="PHYSICAL","OPEN","BLOCKED"))</x:f>
        <x:v>OPEN</x:v>
      </x:c>
      <x:c r="G473" t="str">
        <x:v>equals</x:v>
      </x:c>
      <x:c r="H473" t="str">
        <x:f>IF(E473=F473,"PASS","FAIL")</x:f>
        <x:v>PASS</x:v>
      </x:c>
    </x:row>
    <x:row r="474">
      <x:c r="B474" t="str">
        <x:v>A-00442</x:v>
      </x:c>
      <x:c r="C474" t="str">
        <x:v>GATE</x:v>
      </x:c>
      <x:c r="D474" t="str">
        <x:v>release state mirrors governing ledger</x:v>
      </x:c>
      <x:c r="E474" t="str">
        <x:f>'Release Gates'!I448</x:f>
        <x:v>OPEN</x:v>
      </x:c>
      <x:c r="F474" t="str">
        <x:f>IF('Release Gates'!C448="PLANNING","PASS",IF('Release Gates'!C448="PHYSICAL","OPEN","BLOCKED"))</x:f>
        <x:v>OPEN</x:v>
      </x:c>
      <x:c r="G474" t="str">
        <x:v>equals</x:v>
      </x:c>
      <x:c r="H474" t="str">
        <x:f>IF(E474=F474,"PASS","FAIL")</x:f>
        <x:v>PASS</x:v>
      </x:c>
    </x:row>
    <x:row r="475">
      <x:c r="B475" t="str">
        <x:v>A-00443</x:v>
      </x:c>
      <x:c r="C475" t="str">
        <x:v>GATE</x:v>
      </x:c>
      <x:c r="D475" t="str">
        <x:v>release state mirrors governing ledger</x:v>
      </x:c>
      <x:c r="E475" t="str">
        <x:f>'Release Gates'!I449</x:f>
        <x:v>OPEN</x:v>
      </x:c>
      <x:c r="F475" t="str">
        <x:f>IF('Release Gates'!C449="PLANNING","PASS",IF('Release Gates'!C449="PHYSICAL","OPEN","BLOCKED"))</x:f>
        <x:v>OPEN</x:v>
      </x:c>
      <x:c r="G475" t="str">
        <x:v>equals</x:v>
      </x:c>
      <x:c r="H475" t="str">
        <x:f>IF(E475=F475,"PASS","FAIL")</x:f>
        <x:v>PASS</x:v>
      </x:c>
    </x:row>
    <x:row r="476">
      <x:c r="B476" t="str">
        <x:v>A-00444</x:v>
      </x:c>
      <x:c r="C476" t="str">
        <x:v>GATE</x:v>
      </x:c>
      <x:c r="D476" t="str">
        <x:v>release state mirrors governing ledger</x:v>
      </x:c>
      <x:c r="E476" t="str">
        <x:f>'Release Gates'!I450</x:f>
        <x:v>OPEN</x:v>
      </x:c>
      <x:c r="F476" t="str">
        <x:f>IF('Release Gates'!C450="PLANNING","PASS",IF('Release Gates'!C450="PHYSICAL","OPEN","BLOCKED"))</x:f>
        <x:v>OPEN</x:v>
      </x:c>
      <x:c r="G476" t="str">
        <x:v>equals</x:v>
      </x:c>
      <x:c r="H476" t="str">
        <x:f>IF(E476=F476,"PASS","FAIL")</x:f>
        <x:v>PASS</x:v>
      </x:c>
    </x:row>
    <x:row r="477">
      <x:c r="B477" t="str">
        <x:v>A-00445</x:v>
      </x:c>
      <x:c r="C477" t="str">
        <x:v>GATE</x:v>
      </x:c>
      <x:c r="D477" t="str">
        <x:v>release state mirrors governing ledger</x:v>
      </x:c>
      <x:c r="E477" t="str">
        <x:f>'Release Gates'!I451</x:f>
        <x:v>OPEN</x:v>
      </x:c>
      <x:c r="F477" t="str">
        <x:f>IF('Release Gates'!C451="PLANNING","PASS",IF('Release Gates'!C451="PHYSICAL","OPEN","BLOCKED"))</x:f>
        <x:v>OPEN</x:v>
      </x:c>
      <x:c r="G477" t="str">
        <x:v>equals</x:v>
      </x:c>
      <x:c r="H477" t="str">
        <x:f>IF(E477=F477,"PASS","FAIL")</x:f>
        <x:v>PASS</x:v>
      </x:c>
    </x:row>
    <x:row r="478">
      <x:c r="B478" t="str">
        <x:v>A-00446</x:v>
      </x:c>
      <x:c r="C478" t="str">
        <x:v>GATE</x:v>
      </x:c>
      <x:c r="D478" t="str">
        <x:v>release state mirrors governing ledger</x:v>
      </x:c>
      <x:c r="E478" t="str">
        <x:f>'Release Gates'!I452</x:f>
        <x:v>OPEN</x:v>
      </x:c>
      <x:c r="F478" t="str">
        <x:f>IF('Release Gates'!C452="PLANNING","PASS",IF('Release Gates'!C452="PHYSICAL","OPEN","BLOCKED"))</x:f>
        <x:v>OPEN</x:v>
      </x:c>
      <x:c r="G478" t="str">
        <x:v>equals</x:v>
      </x:c>
      <x:c r="H478" t="str">
        <x:f>IF(E478=F478,"PASS","FAIL")</x:f>
        <x:v>PASS</x:v>
      </x:c>
    </x:row>
    <x:row r="479">
      <x:c r="B479" t="str">
        <x:v>A-00447</x:v>
      </x:c>
      <x:c r="C479" t="str">
        <x:v>GATE</x:v>
      </x:c>
      <x:c r="D479" t="str">
        <x:v>release state mirrors governing ledger</x:v>
      </x:c>
      <x:c r="E479" t="str">
        <x:f>'Release Gates'!I453</x:f>
        <x:v>OPEN</x:v>
      </x:c>
      <x:c r="F479" t="str">
        <x:f>IF('Release Gates'!C453="PLANNING","PASS",IF('Release Gates'!C453="PHYSICAL","OPEN","BLOCKED"))</x:f>
        <x:v>OPEN</x:v>
      </x:c>
      <x:c r="G479" t="str">
        <x:v>equals</x:v>
      </x:c>
      <x:c r="H479" t="str">
        <x:f>IF(E479=F479,"PASS","FAIL")</x:f>
        <x:v>PASS</x:v>
      </x:c>
    </x:row>
    <x:row r="480">
      <x:c r="B480" t="str">
        <x:v>A-00448</x:v>
      </x:c>
      <x:c r="C480" t="str">
        <x:v>GATE</x:v>
      </x:c>
      <x:c r="D480" t="str">
        <x:v>release state mirrors governing ledger</x:v>
      </x:c>
      <x:c r="E480" t="str">
        <x:f>'Release Gates'!I454</x:f>
        <x:v>OPEN</x:v>
      </x:c>
      <x:c r="F480" t="str">
        <x:f>IF('Release Gates'!C454="PLANNING","PASS",IF('Release Gates'!C454="PHYSICAL","OPEN","BLOCKED"))</x:f>
        <x:v>OPEN</x:v>
      </x:c>
      <x:c r="G480" t="str">
        <x:v>equals</x:v>
      </x:c>
      <x:c r="H480" t="str">
        <x:f>IF(E480=F480,"PASS","FAIL")</x:f>
        <x:v>PASS</x:v>
      </x:c>
    </x:row>
    <x:row r="481">
      <x:c r="B481" t="str">
        <x:v>A-00449</x:v>
      </x:c>
      <x:c r="C481" t="str">
        <x:v>GATE</x:v>
      </x:c>
      <x:c r="D481" t="str">
        <x:v>release state mirrors governing ledger</x:v>
      </x:c>
      <x:c r="E481" t="str">
        <x:f>'Release Gates'!I455</x:f>
        <x:v>OPEN</x:v>
      </x:c>
      <x:c r="F481" t="str">
        <x:f>IF('Release Gates'!C455="PLANNING","PASS",IF('Release Gates'!C455="PHYSICAL","OPEN","BLOCKED"))</x:f>
        <x:v>OPEN</x:v>
      </x:c>
      <x:c r="G481" t="str">
        <x:v>equals</x:v>
      </x:c>
      <x:c r="H481" t="str">
        <x:f>IF(E481=F481,"PASS","FAIL")</x:f>
        <x:v>PASS</x:v>
      </x:c>
    </x:row>
    <x:row r="482">
      <x:c r="B482" t="str">
        <x:v>A-00450</x:v>
      </x:c>
      <x:c r="C482" t="str">
        <x:v>GATE</x:v>
      </x:c>
      <x:c r="D482" t="str">
        <x:v>release state mirrors governing ledger</x:v>
      </x:c>
      <x:c r="E482" t="str">
        <x:f>'Release Gates'!I456</x:f>
        <x:v>OPEN</x:v>
      </x:c>
      <x:c r="F482" t="str">
        <x:f>IF('Release Gates'!C456="PLANNING","PASS",IF('Release Gates'!C456="PHYSICAL","OPEN","BLOCKED"))</x:f>
        <x:v>OPEN</x:v>
      </x:c>
      <x:c r="G482" t="str">
        <x:v>equals</x:v>
      </x:c>
      <x:c r="H482" t="str">
        <x:f>IF(E482=F482,"PASS","FAIL")</x:f>
        <x:v>PASS</x:v>
      </x:c>
    </x:row>
    <x:row r="483">
      <x:c r="B483" t="str">
        <x:v>A-00451</x:v>
      </x:c>
      <x:c r="C483" t="str">
        <x:v>GATE</x:v>
      </x:c>
      <x:c r="D483" t="str">
        <x:v>release state mirrors governing ledger</x:v>
      </x:c>
      <x:c r="E483" t="str">
        <x:f>'Release Gates'!I457</x:f>
        <x:v>OPEN</x:v>
      </x:c>
      <x:c r="F483" t="str">
        <x:f>IF('Release Gates'!C457="PLANNING","PASS",IF('Release Gates'!C457="PHYSICAL","OPEN","BLOCKED"))</x:f>
        <x:v>OPEN</x:v>
      </x:c>
      <x:c r="G483" t="str">
        <x:v>equals</x:v>
      </x:c>
      <x:c r="H483" t="str">
        <x:f>IF(E483=F483,"PASS","FAIL")</x:f>
        <x:v>PASS</x:v>
      </x:c>
    </x:row>
    <x:row r="484">
      <x:c r="B484" t="str">
        <x:v>A-00452</x:v>
      </x:c>
      <x:c r="C484" t="str">
        <x:v>GATE</x:v>
      </x:c>
      <x:c r="D484" t="str">
        <x:v>release state mirrors governing ledger</x:v>
      </x:c>
      <x:c r="E484" t="str">
        <x:f>'Release Gates'!I458</x:f>
        <x:v>OPEN</x:v>
      </x:c>
      <x:c r="F484" t="str">
        <x:f>IF('Release Gates'!C458="PLANNING","PASS",IF('Release Gates'!C458="PHYSICAL","OPEN","BLOCKED"))</x:f>
        <x:v>OPEN</x:v>
      </x:c>
      <x:c r="G484" t="str">
        <x:v>equals</x:v>
      </x:c>
      <x:c r="H484" t="str">
        <x:f>IF(E484=F484,"PASS","FAIL")</x:f>
        <x:v>PASS</x:v>
      </x:c>
    </x:row>
    <x:row r="485">
      <x:c r="B485" t="str">
        <x:v>A-00453</x:v>
      </x:c>
      <x:c r="C485" t="str">
        <x:v>GATE</x:v>
      </x:c>
      <x:c r="D485" t="str">
        <x:v>release state mirrors governing ledger</x:v>
      </x:c>
      <x:c r="E485" t="str">
        <x:f>'Release Gates'!I459</x:f>
        <x:v>OPEN</x:v>
      </x:c>
      <x:c r="F485" t="str">
        <x:f>IF('Release Gates'!C459="PLANNING","PASS",IF('Release Gates'!C459="PHYSICAL","OPEN","BLOCKED"))</x:f>
        <x:v>OPEN</x:v>
      </x:c>
      <x:c r="G485" t="str">
        <x:v>equals</x:v>
      </x:c>
      <x:c r="H485" t="str">
        <x:f>IF(E485=F485,"PASS","FAIL")</x:f>
        <x:v>PASS</x:v>
      </x:c>
    </x:row>
    <x:row r="486">
      <x:c r="B486" t="str">
        <x:v>A-00454</x:v>
      </x:c>
      <x:c r="C486" t="str">
        <x:v>GATE</x:v>
      </x:c>
      <x:c r="D486" t="str">
        <x:v>release state mirrors governing ledger</x:v>
      </x:c>
      <x:c r="E486" t="str">
        <x:f>'Release Gates'!I460</x:f>
        <x:v>OPEN</x:v>
      </x:c>
      <x:c r="F486" t="str">
        <x:f>IF('Release Gates'!C460="PLANNING","PASS",IF('Release Gates'!C460="PHYSICAL","OPEN","BLOCKED"))</x:f>
        <x:v>OPEN</x:v>
      </x:c>
      <x:c r="G486" t="str">
        <x:v>equals</x:v>
      </x:c>
      <x:c r="H486" t="str">
        <x:f>IF(E486=F486,"PASS","FAIL")</x:f>
        <x:v>PASS</x:v>
      </x:c>
    </x:row>
    <x:row r="487">
      <x:c r="B487" t="str">
        <x:v>A-00455</x:v>
      </x:c>
      <x:c r="C487" t="str">
        <x:v>GATE</x:v>
      </x:c>
      <x:c r="D487" t="str">
        <x:v>release state mirrors governing ledger</x:v>
      </x:c>
      <x:c r="E487" t="str">
        <x:f>'Release Gates'!I461</x:f>
        <x:v>OPEN</x:v>
      </x:c>
      <x:c r="F487" t="str">
        <x:f>IF('Release Gates'!C461="PLANNING","PASS",IF('Release Gates'!C461="PHYSICAL","OPEN","BLOCKED"))</x:f>
        <x:v>OPEN</x:v>
      </x:c>
      <x:c r="G487" t="str">
        <x:v>equals</x:v>
      </x:c>
      <x:c r="H487" t="str">
        <x:f>IF(E487=F487,"PASS","FAIL")</x:f>
        <x:v>PASS</x:v>
      </x:c>
    </x:row>
    <x:row r="488">
      <x:c r="B488" t="str">
        <x:v>A-00456</x:v>
      </x:c>
      <x:c r="C488" t="str">
        <x:v>GATE</x:v>
      </x:c>
      <x:c r="D488" t="str">
        <x:v>release state mirrors governing ledger</x:v>
      </x:c>
      <x:c r="E488" t="str">
        <x:f>'Release Gates'!I462</x:f>
        <x:v>OPEN</x:v>
      </x:c>
      <x:c r="F488" t="str">
        <x:f>IF('Release Gates'!C462="PLANNING","PASS",IF('Release Gates'!C462="PHYSICAL","OPEN","BLOCKED"))</x:f>
        <x:v>OPEN</x:v>
      </x:c>
      <x:c r="G488" t="str">
        <x:v>equals</x:v>
      </x:c>
      <x:c r="H488" t="str">
        <x:f>IF(E488=F488,"PASS","FAIL")</x:f>
        <x:v>PASS</x:v>
      </x:c>
    </x:row>
    <x:row r="489">
      <x:c r="B489" t="str">
        <x:v>A-00457</x:v>
      </x:c>
      <x:c r="C489" t="str">
        <x:v>GATE</x:v>
      </x:c>
      <x:c r="D489" t="str">
        <x:v>release state mirrors governing ledger</x:v>
      </x:c>
      <x:c r="E489" t="str">
        <x:f>'Release Gates'!I463</x:f>
        <x:v>OPEN</x:v>
      </x:c>
      <x:c r="F489" t="str">
        <x:f>IF('Release Gates'!C463="PLANNING","PASS",IF('Release Gates'!C463="PHYSICAL","OPEN","BLOCKED"))</x:f>
        <x:v>OPEN</x:v>
      </x:c>
      <x:c r="G489" t="str">
        <x:v>equals</x:v>
      </x:c>
      <x:c r="H489" t="str">
        <x:f>IF(E489=F489,"PASS","FAIL")</x:f>
        <x:v>PASS</x:v>
      </x:c>
    </x:row>
    <x:row r="490">
      <x:c r="B490" t="str">
        <x:v>A-00458</x:v>
      </x:c>
      <x:c r="C490" t="str">
        <x:v>GATE</x:v>
      </x:c>
      <x:c r="D490" t="str">
        <x:v>release state mirrors governing ledger</x:v>
      </x:c>
      <x:c r="E490" t="str">
        <x:f>'Release Gates'!I464</x:f>
        <x:v>OPEN</x:v>
      </x:c>
      <x:c r="F490" t="str">
        <x:f>IF('Release Gates'!C464="PLANNING","PASS",IF('Release Gates'!C464="PHYSICAL","OPEN","BLOCKED"))</x:f>
        <x:v>OPEN</x:v>
      </x:c>
      <x:c r="G490" t="str">
        <x:v>equals</x:v>
      </x:c>
      <x:c r="H490" t="str">
        <x:f>IF(E490=F490,"PASS","FAIL")</x:f>
        <x:v>PASS</x:v>
      </x:c>
    </x:row>
    <x:row r="491">
      <x:c r="B491" t="str">
        <x:v>A-00459</x:v>
      </x:c>
      <x:c r="C491" t="str">
        <x:v>GATE</x:v>
      </x:c>
      <x:c r="D491" t="str">
        <x:v>release state mirrors governing ledger</x:v>
      </x:c>
      <x:c r="E491" t="str">
        <x:f>'Release Gates'!I465</x:f>
        <x:v>OPEN</x:v>
      </x:c>
      <x:c r="F491" t="str">
        <x:f>IF('Release Gates'!C465="PLANNING","PASS",IF('Release Gates'!C465="PHYSICAL","OPEN","BLOCKED"))</x:f>
        <x:v>OPEN</x:v>
      </x:c>
      <x:c r="G491" t="str">
        <x:v>equals</x:v>
      </x:c>
      <x:c r="H491" t="str">
        <x:f>IF(E491=F491,"PASS","FAIL")</x:f>
        <x:v>PASS</x:v>
      </x:c>
    </x:row>
    <x:row r="492">
      <x:c r="B492" t="str">
        <x:v>A-00460</x:v>
      </x:c>
      <x:c r="C492" t="str">
        <x:v>GATE</x:v>
      </x:c>
      <x:c r="D492" t="str">
        <x:v>release state mirrors governing ledger</x:v>
      </x:c>
      <x:c r="E492" t="str">
        <x:f>'Release Gates'!I466</x:f>
        <x:v>OPEN</x:v>
      </x:c>
      <x:c r="F492" t="str">
        <x:f>IF('Release Gates'!C466="PLANNING","PASS",IF('Release Gates'!C466="PHYSICAL","OPEN","BLOCKED"))</x:f>
        <x:v>OPEN</x:v>
      </x:c>
      <x:c r="G492" t="str">
        <x:v>equals</x:v>
      </x:c>
      <x:c r="H492" t="str">
        <x:f>IF(E492=F492,"PASS","FAIL")</x:f>
        <x:v>PASS</x:v>
      </x:c>
    </x:row>
    <x:row r="493">
      <x:c r="B493" t="str">
        <x:v>A-00461</x:v>
      </x:c>
      <x:c r="C493" t="str">
        <x:v>GATE</x:v>
      </x:c>
      <x:c r="D493" t="str">
        <x:v>release state mirrors governing ledger</x:v>
      </x:c>
      <x:c r="E493" t="str">
        <x:f>'Release Gates'!I467</x:f>
        <x:v>OPEN</x:v>
      </x:c>
      <x:c r="F493" t="str">
        <x:f>IF('Release Gates'!C467="PLANNING","PASS",IF('Release Gates'!C467="PHYSICAL","OPEN","BLOCKED"))</x:f>
        <x:v>OPEN</x:v>
      </x:c>
      <x:c r="G493" t="str">
        <x:v>equals</x:v>
      </x:c>
      <x:c r="H493" t="str">
        <x:f>IF(E493=F493,"PASS","FAIL")</x:f>
        <x:v>PASS</x:v>
      </x:c>
    </x:row>
    <x:row r="494">
      <x:c r="B494" t="str">
        <x:v>A-00462</x:v>
      </x:c>
      <x:c r="C494" t="str">
        <x:v>GATE</x:v>
      </x:c>
      <x:c r="D494" t="str">
        <x:v>release state mirrors governing ledger</x:v>
      </x:c>
      <x:c r="E494" t="str">
        <x:f>'Release Gates'!I468</x:f>
        <x:v>OPEN</x:v>
      </x:c>
      <x:c r="F494" t="str">
        <x:f>IF('Release Gates'!C468="PLANNING","PASS",IF('Release Gates'!C468="PHYSICAL","OPEN","BLOCKED"))</x:f>
        <x:v>OPEN</x:v>
      </x:c>
      <x:c r="G494" t="str">
        <x:v>equals</x:v>
      </x:c>
      <x:c r="H494" t="str">
        <x:f>IF(E494=F494,"PASS","FAIL")</x:f>
        <x:v>PASS</x:v>
      </x:c>
    </x:row>
    <x:row r="495">
      <x:c r="B495" t="str">
        <x:v>A-00463</x:v>
      </x:c>
      <x:c r="C495" t="str">
        <x:v>GATE</x:v>
      </x:c>
      <x:c r="D495" t="str">
        <x:v>release state mirrors governing ledger</x:v>
      </x:c>
      <x:c r="E495" t="str">
        <x:f>'Release Gates'!I469</x:f>
        <x:v>OPEN</x:v>
      </x:c>
      <x:c r="F495" t="str">
        <x:f>IF('Release Gates'!C469="PLANNING","PASS",IF('Release Gates'!C469="PHYSICAL","OPEN","BLOCKED"))</x:f>
        <x:v>OPEN</x:v>
      </x:c>
      <x:c r="G495" t="str">
        <x:v>equals</x:v>
      </x:c>
      <x:c r="H495" t="str">
        <x:f>IF(E495=F495,"PASS","FAIL")</x:f>
        <x:v>PASS</x:v>
      </x:c>
    </x:row>
    <x:row r="496">
      <x:c r="B496" t="str">
        <x:v>A-00464</x:v>
      </x:c>
      <x:c r="C496" t="str">
        <x:v>GATE</x:v>
      </x:c>
      <x:c r="D496" t="str">
        <x:v>release state mirrors governing ledger</x:v>
      </x:c>
      <x:c r="E496" t="str">
        <x:f>'Release Gates'!I470</x:f>
        <x:v>OPEN</x:v>
      </x:c>
      <x:c r="F496" t="str">
        <x:f>IF('Release Gates'!C470="PLANNING","PASS",IF('Release Gates'!C470="PHYSICAL","OPEN","BLOCKED"))</x:f>
        <x:v>OPEN</x:v>
      </x:c>
      <x:c r="G496" t="str">
        <x:v>equals</x:v>
      </x:c>
      <x:c r="H496" t="str">
        <x:f>IF(E496=F496,"PASS","FAIL")</x:f>
        <x:v>PASS</x:v>
      </x:c>
    </x:row>
    <x:row r="497">
      <x:c r="B497" t="str">
        <x:v>A-00465</x:v>
      </x:c>
      <x:c r="C497" t="str">
        <x:v>GATE</x:v>
      </x:c>
      <x:c r="D497" t="str">
        <x:v>release state mirrors governing ledger</x:v>
      </x:c>
      <x:c r="E497" t="str">
        <x:f>'Release Gates'!I471</x:f>
        <x:v>OPEN</x:v>
      </x:c>
      <x:c r="F497" t="str">
        <x:f>IF('Release Gates'!C471="PLANNING","PASS",IF('Release Gates'!C471="PHYSICAL","OPEN","BLOCKED"))</x:f>
        <x:v>OPEN</x:v>
      </x:c>
      <x:c r="G497" t="str">
        <x:v>equals</x:v>
      </x:c>
      <x:c r="H497" t="str">
        <x:f>IF(E497=F497,"PASS","FAIL")</x:f>
        <x:v>PASS</x:v>
      </x:c>
    </x:row>
    <x:row r="498">
      <x:c r="B498" t="str">
        <x:v>A-00466</x:v>
      </x:c>
      <x:c r="C498" t="str">
        <x:v>GATE</x:v>
      </x:c>
      <x:c r="D498" t="str">
        <x:v>release state mirrors governing ledger</x:v>
      </x:c>
      <x:c r="E498" t="str">
        <x:f>'Release Gates'!I472</x:f>
        <x:v>OPEN</x:v>
      </x:c>
      <x:c r="F498" t="str">
        <x:f>IF('Release Gates'!C472="PLANNING","PASS",IF('Release Gates'!C472="PHYSICAL","OPEN","BLOCKED"))</x:f>
        <x:v>OPEN</x:v>
      </x:c>
      <x:c r="G498" t="str">
        <x:v>equals</x:v>
      </x:c>
      <x:c r="H498" t="str">
        <x:f>IF(E498=F498,"PASS","FAIL")</x:f>
        <x:v>PASS</x:v>
      </x:c>
    </x:row>
    <x:row r="499">
      <x:c r="B499" t="str">
        <x:v>A-00467</x:v>
      </x:c>
      <x:c r="C499" t="str">
        <x:v>GATE</x:v>
      </x:c>
      <x:c r="D499" t="str">
        <x:v>release state mirrors governing ledger</x:v>
      </x:c>
      <x:c r="E499" t="str">
        <x:f>'Release Gates'!I473</x:f>
        <x:v>OPEN</x:v>
      </x:c>
      <x:c r="F499" t="str">
        <x:f>IF('Release Gates'!C473="PLANNING","PASS",IF('Release Gates'!C473="PHYSICAL","OPEN","BLOCKED"))</x:f>
        <x:v>OPEN</x:v>
      </x:c>
      <x:c r="G499" t="str">
        <x:v>equals</x:v>
      </x:c>
      <x:c r="H499" t="str">
        <x:f>IF(E499=F499,"PASS","FAIL")</x:f>
        <x:v>PASS</x:v>
      </x:c>
    </x:row>
    <x:row r="500">
      <x:c r="B500" t="str">
        <x:v>A-00468</x:v>
      </x:c>
      <x:c r="C500" t="str">
        <x:v>GATE</x:v>
      </x:c>
      <x:c r="D500" t="str">
        <x:v>release state mirrors governing ledger</x:v>
      </x:c>
      <x:c r="E500" t="str">
        <x:f>'Release Gates'!I474</x:f>
        <x:v>OPEN</x:v>
      </x:c>
      <x:c r="F500" t="str">
        <x:f>IF('Release Gates'!C474="PLANNING","PASS",IF('Release Gates'!C474="PHYSICAL","OPEN","BLOCKED"))</x:f>
        <x:v>OPEN</x:v>
      </x:c>
      <x:c r="G500" t="str">
        <x:v>equals</x:v>
      </x:c>
      <x:c r="H500" t="str">
        <x:f>IF(E500=F500,"PASS","FAIL")</x:f>
        <x:v>PASS</x:v>
      </x:c>
    </x:row>
    <x:row r="501">
      <x:c r="B501" t="str">
        <x:v>A-00469</x:v>
      </x:c>
      <x:c r="C501" t="str">
        <x:v>GATE</x:v>
      </x:c>
      <x:c r="D501" t="str">
        <x:v>release state mirrors governing ledger</x:v>
      </x:c>
      <x:c r="E501" t="str">
        <x:f>'Release Gates'!I475</x:f>
        <x:v>OPEN</x:v>
      </x:c>
      <x:c r="F501" t="str">
        <x:f>IF('Release Gates'!C475="PLANNING","PASS",IF('Release Gates'!C475="PHYSICAL","OPEN","BLOCKED"))</x:f>
        <x:v>OPEN</x:v>
      </x:c>
      <x:c r="G501" t="str">
        <x:v>equals</x:v>
      </x:c>
      <x:c r="H501" t="str">
        <x:f>IF(E501=F501,"PASS","FAIL")</x:f>
        <x:v>PASS</x:v>
      </x:c>
    </x:row>
    <x:row r="502">
      <x:c r="B502" t="str">
        <x:v>A-00470</x:v>
      </x:c>
      <x:c r="C502" t="str">
        <x:v>GATE</x:v>
      </x:c>
      <x:c r="D502" t="str">
        <x:v>release state mirrors governing ledger</x:v>
      </x:c>
      <x:c r="E502" t="str">
        <x:f>'Release Gates'!I476</x:f>
        <x:v>OPEN</x:v>
      </x:c>
      <x:c r="F502" t="str">
        <x:f>IF('Release Gates'!C476="PLANNING","PASS",IF('Release Gates'!C476="PHYSICAL","OPEN","BLOCKED"))</x:f>
        <x:v>OPEN</x:v>
      </x:c>
      <x:c r="G502" t="str">
        <x:v>equals</x:v>
      </x:c>
      <x:c r="H502" t="str">
        <x:f>IF(E502=F502,"PASS","FAIL")</x:f>
        <x:v>PASS</x:v>
      </x:c>
    </x:row>
    <x:row r="503">
      <x:c r="B503" t="str">
        <x:v>A-00471</x:v>
      </x:c>
      <x:c r="C503" t="str">
        <x:v>GATE</x:v>
      </x:c>
      <x:c r="D503" t="str">
        <x:v>release state mirrors governing ledger</x:v>
      </x:c>
      <x:c r="E503" t="str">
        <x:f>'Release Gates'!I477</x:f>
        <x:v>OPEN</x:v>
      </x:c>
      <x:c r="F503" t="str">
        <x:f>IF('Release Gates'!C477="PLANNING","PASS",IF('Release Gates'!C477="PHYSICAL","OPEN","BLOCKED"))</x:f>
        <x:v>OPEN</x:v>
      </x:c>
      <x:c r="G503" t="str">
        <x:v>equals</x:v>
      </x:c>
      <x:c r="H503" t="str">
        <x:f>IF(E503=F503,"PASS","FAIL")</x:f>
        <x:v>PASS</x:v>
      </x:c>
    </x:row>
    <x:row r="504">
      <x:c r="B504" t="str">
        <x:v>A-00472</x:v>
      </x:c>
      <x:c r="C504" t="str">
        <x:v>GATE</x:v>
      </x:c>
      <x:c r="D504" t="str">
        <x:v>release state mirrors governing ledger</x:v>
      </x:c>
      <x:c r="E504" t="str">
        <x:f>'Release Gates'!I478</x:f>
        <x:v>OPEN</x:v>
      </x:c>
      <x:c r="F504" t="str">
        <x:f>IF('Release Gates'!C478="PLANNING","PASS",IF('Release Gates'!C478="PHYSICAL","OPEN","BLOCKED"))</x:f>
        <x:v>OPEN</x:v>
      </x:c>
      <x:c r="G504" t="str">
        <x:v>equals</x:v>
      </x:c>
      <x:c r="H504" t="str">
        <x:f>IF(E504=F504,"PASS","FAIL")</x:f>
        <x:v>PASS</x:v>
      </x:c>
    </x:row>
    <x:row r="505">
      <x:c r="B505" t="str">
        <x:v>A-00473</x:v>
      </x:c>
      <x:c r="C505" t="str">
        <x:v>GATE</x:v>
      </x:c>
      <x:c r="D505" t="str">
        <x:v>release state mirrors governing ledger</x:v>
      </x:c>
      <x:c r="E505" t="str">
        <x:f>'Release Gates'!I479</x:f>
        <x:v>OPEN</x:v>
      </x:c>
      <x:c r="F505" t="str">
        <x:f>IF('Release Gates'!C479="PLANNING","PASS",IF('Release Gates'!C479="PHYSICAL","OPEN","BLOCKED"))</x:f>
        <x:v>OPEN</x:v>
      </x:c>
      <x:c r="G505" t="str">
        <x:v>equals</x:v>
      </x:c>
      <x:c r="H505" t="str">
        <x:f>IF(E505=F505,"PASS","FAIL")</x:f>
        <x:v>PASS</x:v>
      </x:c>
    </x:row>
    <x:row r="506">
      <x:c r="B506" t="str">
        <x:v>A-00474</x:v>
      </x:c>
      <x:c r="C506" t="str">
        <x:v>GATE</x:v>
      </x:c>
      <x:c r="D506" t="str">
        <x:v>release state mirrors governing ledger</x:v>
      </x:c>
      <x:c r="E506" t="str">
        <x:f>'Release Gates'!I480</x:f>
        <x:v>OPEN</x:v>
      </x:c>
      <x:c r="F506" t="str">
        <x:f>IF('Release Gates'!C480="PLANNING","PASS",IF('Release Gates'!C480="PHYSICAL","OPEN","BLOCKED"))</x:f>
        <x:v>OPEN</x:v>
      </x:c>
      <x:c r="G506" t="str">
        <x:v>equals</x:v>
      </x:c>
      <x:c r="H506" t="str">
        <x:f>IF(E506=F506,"PASS","FAIL")</x:f>
        <x:v>PASS</x:v>
      </x:c>
    </x:row>
    <x:row r="507">
      <x:c r="B507" t="str">
        <x:v>A-00475</x:v>
      </x:c>
      <x:c r="C507" t="str">
        <x:v>GATE</x:v>
      </x:c>
      <x:c r="D507" t="str">
        <x:v>release state mirrors governing ledger</x:v>
      </x:c>
      <x:c r="E507" t="str">
        <x:f>'Release Gates'!I481</x:f>
        <x:v>OPEN</x:v>
      </x:c>
      <x:c r="F507" t="str">
        <x:f>IF('Release Gates'!C481="PLANNING","PASS",IF('Release Gates'!C481="PHYSICAL","OPEN","BLOCKED"))</x:f>
        <x:v>OPEN</x:v>
      </x:c>
      <x:c r="G507" t="str">
        <x:v>equals</x:v>
      </x:c>
      <x:c r="H507" t="str">
        <x:f>IF(E507=F507,"PASS","FAIL")</x:f>
        <x:v>PASS</x:v>
      </x:c>
    </x:row>
    <x:row r="508">
      <x:c r="B508" t="str">
        <x:v>A-00476</x:v>
      </x:c>
      <x:c r="C508" t="str">
        <x:v>GATE</x:v>
      </x:c>
      <x:c r="D508" t="str">
        <x:v>release state mirrors governing ledger</x:v>
      </x:c>
      <x:c r="E508" t="str">
        <x:f>'Release Gates'!I482</x:f>
        <x:v>OPEN</x:v>
      </x:c>
      <x:c r="F508" t="str">
        <x:f>IF('Release Gates'!C482="PLANNING","PASS",IF('Release Gates'!C482="PHYSICAL","OPEN","BLOCKED"))</x:f>
        <x:v>OPEN</x:v>
      </x:c>
      <x:c r="G508" t="str">
        <x:v>equals</x:v>
      </x:c>
      <x:c r="H508" t="str">
        <x:f>IF(E508=F508,"PASS","FAIL")</x:f>
        <x:v>PASS</x:v>
      </x:c>
    </x:row>
    <x:row r="509">
      <x:c r="B509" t="str">
        <x:v>A-00477</x:v>
      </x:c>
      <x:c r="C509" t="str">
        <x:v>GATE</x:v>
      </x:c>
      <x:c r="D509" t="str">
        <x:v>release state mirrors governing ledger</x:v>
      </x:c>
      <x:c r="E509" t="str">
        <x:f>'Release Gates'!I483</x:f>
        <x:v>OPEN</x:v>
      </x:c>
      <x:c r="F509" t="str">
        <x:f>IF('Release Gates'!C483="PLANNING","PASS",IF('Release Gates'!C483="PHYSICAL","OPEN","BLOCKED"))</x:f>
        <x:v>OPEN</x:v>
      </x:c>
      <x:c r="G509" t="str">
        <x:v>equals</x:v>
      </x:c>
      <x:c r="H509" t="str">
        <x:f>IF(E509=F509,"PASS","FAIL")</x:f>
        <x:v>PASS</x:v>
      </x:c>
    </x:row>
    <x:row r="510">
      <x:c r="B510" t="str">
        <x:v>A-00478</x:v>
      </x:c>
      <x:c r="C510" t="str">
        <x:v>GATE</x:v>
      </x:c>
      <x:c r="D510" t="str">
        <x:v>release state mirrors governing ledger</x:v>
      </x:c>
      <x:c r="E510" t="str">
        <x:f>'Release Gates'!I484</x:f>
        <x:v>OPEN</x:v>
      </x:c>
      <x:c r="F510" t="str">
        <x:f>IF('Release Gates'!C484="PLANNING","PASS",IF('Release Gates'!C484="PHYSICAL","OPEN","BLOCKED"))</x:f>
        <x:v>OPEN</x:v>
      </x:c>
      <x:c r="G510" t="str">
        <x:v>equals</x:v>
      </x:c>
      <x:c r="H510" t="str">
        <x:f>IF(E510=F510,"PASS","FAIL")</x:f>
        <x:v>PASS</x:v>
      </x:c>
    </x:row>
    <x:row r="511">
      <x:c r="B511" t="str">
        <x:v>A-00479</x:v>
      </x:c>
      <x:c r="C511" t="str">
        <x:v>GATE</x:v>
      </x:c>
      <x:c r="D511" t="str">
        <x:v>release state mirrors governing ledger</x:v>
      </x:c>
      <x:c r="E511" t="str">
        <x:f>'Release Gates'!I485</x:f>
        <x:v>OPEN</x:v>
      </x:c>
      <x:c r="F511" t="str">
        <x:f>IF('Release Gates'!C485="PLANNING","PASS",IF('Release Gates'!C485="PHYSICAL","OPEN","BLOCKED"))</x:f>
        <x:v>OPEN</x:v>
      </x:c>
      <x:c r="G511" t="str">
        <x:v>equals</x:v>
      </x:c>
      <x:c r="H511" t="str">
        <x:f>IF(E511=F511,"PASS","FAIL")</x:f>
        <x:v>PASS</x:v>
      </x:c>
    </x:row>
    <x:row r="512">
      <x:c r="B512" t="str">
        <x:v>A-00480</x:v>
      </x:c>
      <x:c r="C512" t="str">
        <x:v>GATE</x:v>
      </x:c>
      <x:c r="D512" t="str">
        <x:v>release state mirrors governing ledger</x:v>
      </x:c>
      <x:c r="E512" t="str">
        <x:f>'Release Gates'!I486</x:f>
        <x:v>OPEN</x:v>
      </x:c>
      <x:c r="F512" t="str">
        <x:f>IF('Release Gates'!C486="PLANNING","PASS",IF('Release Gates'!C486="PHYSICAL","OPEN","BLOCKED"))</x:f>
        <x:v>OPEN</x:v>
      </x:c>
      <x:c r="G512" t="str">
        <x:v>equals</x:v>
      </x:c>
      <x:c r="H512" t="str">
        <x:f>IF(E512=F512,"PASS","FAIL")</x:f>
        <x:v>PASS</x:v>
      </x:c>
    </x:row>
    <x:row r="513">
      <x:c r="B513" t="str">
        <x:v>A-00481</x:v>
      </x:c>
      <x:c r="C513" t="str">
        <x:v>GATE</x:v>
      </x:c>
      <x:c r="D513" t="str">
        <x:v>release state mirrors governing ledger</x:v>
      </x:c>
      <x:c r="E513" t="str">
        <x:f>'Release Gates'!I487</x:f>
        <x:v>OPEN</x:v>
      </x:c>
      <x:c r="F513" t="str">
        <x:f>IF('Release Gates'!C487="PLANNING","PASS",IF('Release Gates'!C487="PHYSICAL","OPEN","BLOCKED"))</x:f>
        <x:v>OPEN</x:v>
      </x:c>
      <x:c r="G513" t="str">
        <x:v>equals</x:v>
      </x:c>
      <x:c r="H513" t="str">
        <x:f>IF(E513=F513,"PASS","FAIL")</x:f>
        <x:v>PASS</x:v>
      </x:c>
    </x:row>
    <x:row r="514">
      <x:c r="B514" t="str">
        <x:v>A-00482</x:v>
      </x:c>
      <x:c r="C514" t="str">
        <x:v>GATE</x:v>
      </x:c>
      <x:c r="D514" t="str">
        <x:v>release state mirrors governing ledger</x:v>
      </x:c>
      <x:c r="E514" t="str">
        <x:f>'Release Gates'!I488</x:f>
        <x:v>OPEN</x:v>
      </x:c>
      <x:c r="F514" t="str">
        <x:f>IF('Release Gates'!C488="PLANNING","PASS",IF('Release Gates'!C488="PHYSICAL","OPEN","BLOCKED"))</x:f>
        <x:v>OPEN</x:v>
      </x:c>
      <x:c r="G514" t="str">
        <x:v>equals</x:v>
      </x:c>
      <x:c r="H514" t="str">
        <x:f>IF(E514=F514,"PASS","FAIL")</x:f>
        <x:v>PASS</x:v>
      </x:c>
    </x:row>
    <x:row r="515">
      <x:c r="B515" t="str">
        <x:v>A-00483</x:v>
      </x:c>
      <x:c r="C515" t="str">
        <x:v>GATE</x:v>
      </x:c>
      <x:c r="D515" t="str">
        <x:v>release state mirrors governing ledger</x:v>
      </x:c>
      <x:c r="E515" t="str">
        <x:f>'Release Gates'!I489</x:f>
        <x:v>OPEN</x:v>
      </x:c>
      <x:c r="F515" t="str">
        <x:f>IF('Release Gates'!C489="PLANNING","PASS",IF('Release Gates'!C489="PHYSICAL","OPEN","BLOCKED"))</x:f>
        <x:v>OPEN</x:v>
      </x:c>
      <x:c r="G515" t="str">
        <x:v>equals</x:v>
      </x:c>
      <x:c r="H515" t="str">
        <x:f>IF(E515=F515,"PASS","FAIL")</x:f>
        <x:v>PASS</x:v>
      </x:c>
    </x:row>
    <x:row r="516">
      <x:c r="B516" t="str">
        <x:v>A-00484</x:v>
      </x:c>
      <x:c r="C516" t="str">
        <x:v>GATE</x:v>
      </x:c>
      <x:c r="D516" t="str">
        <x:v>release state mirrors governing ledger</x:v>
      </x:c>
      <x:c r="E516" t="str">
        <x:f>'Release Gates'!I490</x:f>
        <x:v>OPEN</x:v>
      </x:c>
      <x:c r="F516" t="str">
        <x:f>IF('Release Gates'!C490="PLANNING","PASS",IF('Release Gates'!C490="PHYSICAL","OPEN","BLOCKED"))</x:f>
        <x:v>OPEN</x:v>
      </x:c>
      <x:c r="G516" t="str">
        <x:v>equals</x:v>
      </x:c>
      <x:c r="H516" t="str">
        <x:f>IF(E516=F516,"PASS","FAIL")</x:f>
        <x:v>PASS</x:v>
      </x:c>
    </x:row>
    <x:row r="517">
      <x:c r="B517" t="str">
        <x:v>A-00485</x:v>
      </x:c>
      <x:c r="C517" t="str">
        <x:v>GATE</x:v>
      </x:c>
      <x:c r="D517" t="str">
        <x:v>release state mirrors governing ledger</x:v>
      </x:c>
      <x:c r="E517" t="str">
        <x:f>'Release Gates'!I491</x:f>
        <x:v>OPEN</x:v>
      </x:c>
      <x:c r="F517" t="str">
        <x:f>IF('Release Gates'!C491="PLANNING","PASS",IF('Release Gates'!C491="PHYSICAL","OPEN","BLOCKED"))</x:f>
        <x:v>OPEN</x:v>
      </x:c>
      <x:c r="G517" t="str">
        <x:v>equals</x:v>
      </x:c>
      <x:c r="H517" t="str">
        <x:f>IF(E517=F517,"PASS","FAIL")</x:f>
        <x:v>PASS</x:v>
      </x:c>
    </x:row>
    <x:row r="518">
      <x:c r="B518" t="str">
        <x:v>A-00486</x:v>
      </x:c>
      <x:c r="C518" t="str">
        <x:v>GATE</x:v>
      </x:c>
      <x:c r="D518" t="str">
        <x:v>release state mirrors governing ledger</x:v>
      </x:c>
      <x:c r="E518" t="str">
        <x:f>'Release Gates'!I492</x:f>
        <x:v>OPEN</x:v>
      </x:c>
      <x:c r="F518" t="str">
        <x:f>IF('Release Gates'!C492="PLANNING","PASS",IF('Release Gates'!C492="PHYSICAL","OPEN","BLOCKED"))</x:f>
        <x:v>OPEN</x:v>
      </x:c>
      <x:c r="G518" t="str">
        <x:v>equals</x:v>
      </x:c>
      <x:c r="H518" t="str">
        <x:f>IF(E518=F518,"PASS","FAIL")</x:f>
        <x:v>PASS</x:v>
      </x:c>
    </x:row>
    <x:row r="519">
      <x:c r="B519" t="str">
        <x:v>A-00487</x:v>
      </x:c>
      <x:c r="C519" t="str">
        <x:v>GATE</x:v>
      </x:c>
      <x:c r="D519" t="str">
        <x:v>release state mirrors governing ledger</x:v>
      </x:c>
      <x:c r="E519" t="str">
        <x:f>'Release Gates'!I493</x:f>
        <x:v>OPEN</x:v>
      </x:c>
      <x:c r="F519" t="str">
        <x:f>IF('Release Gates'!C493="PLANNING","PASS",IF('Release Gates'!C493="PHYSICAL","OPEN","BLOCKED"))</x:f>
        <x:v>OPEN</x:v>
      </x:c>
      <x:c r="G519" t="str">
        <x:v>equals</x:v>
      </x:c>
      <x:c r="H519" t="str">
        <x:f>IF(E519=F519,"PASS","FAIL")</x:f>
        <x:v>PASS</x:v>
      </x:c>
    </x:row>
    <x:row r="520">
      <x:c r="B520" t="str">
        <x:v>A-00488</x:v>
      </x:c>
      <x:c r="C520" t="str">
        <x:v>GATE</x:v>
      </x:c>
      <x:c r="D520" t="str">
        <x:v>release state mirrors governing ledger</x:v>
      </x:c>
      <x:c r="E520" t="str">
        <x:f>'Release Gates'!I494</x:f>
        <x:v>OPEN</x:v>
      </x:c>
      <x:c r="F520" t="str">
        <x:f>IF('Release Gates'!C494="PLANNING","PASS",IF('Release Gates'!C494="PHYSICAL","OPEN","BLOCKED"))</x:f>
        <x:v>OPEN</x:v>
      </x:c>
      <x:c r="G520" t="str">
        <x:v>equals</x:v>
      </x:c>
      <x:c r="H520" t="str">
        <x:f>IF(E520=F520,"PASS","FAIL")</x:f>
        <x:v>PASS</x:v>
      </x:c>
    </x:row>
    <x:row r="521">
      <x:c r="B521" t="str">
        <x:v>A-00489</x:v>
      </x:c>
      <x:c r="C521" t="str">
        <x:v>GATE</x:v>
      </x:c>
      <x:c r="D521" t="str">
        <x:v>release state mirrors governing ledger</x:v>
      </x:c>
      <x:c r="E521" t="str">
        <x:f>'Release Gates'!I495</x:f>
        <x:v>OPEN</x:v>
      </x:c>
      <x:c r="F521" t="str">
        <x:f>IF('Release Gates'!C495="PLANNING","PASS",IF('Release Gates'!C495="PHYSICAL","OPEN","BLOCKED"))</x:f>
        <x:v>OPEN</x:v>
      </x:c>
      <x:c r="G521" t="str">
        <x:v>equals</x:v>
      </x:c>
      <x:c r="H521" t="str">
        <x:f>IF(E521=F521,"PASS","FAIL")</x:f>
        <x:v>PASS</x:v>
      </x:c>
    </x:row>
    <x:row r="522">
      <x:c r="B522" t="str">
        <x:v>A-00490</x:v>
      </x:c>
      <x:c r="C522" t="str">
        <x:v>GATE</x:v>
      </x:c>
      <x:c r="D522" t="str">
        <x:v>release state mirrors governing ledger</x:v>
      </x:c>
      <x:c r="E522" t="str">
        <x:f>'Release Gates'!I496</x:f>
        <x:v>OPEN</x:v>
      </x:c>
      <x:c r="F522" t="str">
        <x:f>IF('Release Gates'!C496="PLANNING","PASS",IF('Release Gates'!C496="PHYSICAL","OPEN","BLOCKED"))</x:f>
        <x:v>OPEN</x:v>
      </x:c>
      <x:c r="G522" t="str">
        <x:v>equals</x:v>
      </x:c>
      <x:c r="H522" t="str">
        <x:f>IF(E522=F522,"PASS","FAIL")</x:f>
        <x:v>PASS</x:v>
      </x:c>
    </x:row>
    <x:row r="523">
      <x:c r="B523" t="str">
        <x:v>A-00491</x:v>
      </x:c>
      <x:c r="C523" t="str">
        <x:v>GATE</x:v>
      </x:c>
      <x:c r="D523" t="str">
        <x:v>release state mirrors governing ledger</x:v>
      </x:c>
      <x:c r="E523" t="str">
        <x:f>'Release Gates'!I497</x:f>
        <x:v>OPEN</x:v>
      </x:c>
      <x:c r="F523" t="str">
        <x:f>IF('Release Gates'!C497="PLANNING","PASS",IF('Release Gates'!C497="PHYSICAL","OPEN","BLOCKED"))</x:f>
        <x:v>OPEN</x:v>
      </x:c>
      <x:c r="G523" t="str">
        <x:v>equals</x:v>
      </x:c>
      <x:c r="H523" t="str">
        <x:f>IF(E523=F523,"PASS","FAIL")</x:f>
        <x:v>PASS</x:v>
      </x:c>
    </x:row>
    <x:row r="524">
      <x:c r="B524" t="str">
        <x:v>A-00492</x:v>
      </x:c>
      <x:c r="C524" t="str">
        <x:v>GATE</x:v>
      </x:c>
      <x:c r="D524" t="str">
        <x:v>release state mirrors governing ledger</x:v>
      </x:c>
      <x:c r="E524" t="str">
        <x:f>'Release Gates'!I498</x:f>
        <x:v>OPEN</x:v>
      </x:c>
      <x:c r="F524" t="str">
        <x:f>IF('Release Gates'!C498="PLANNING","PASS",IF('Release Gates'!C498="PHYSICAL","OPEN","BLOCKED"))</x:f>
        <x:v>OPEN</x:v>
      </x:c>
      <x:c r="G524" t="str">
        <x:v>equals</x:v>
      </x:c>
      <x:c r="H524" t="str">
        <x:f>IF(E524=F524,"PASS","FAIL")</x:f>
        <x:v>PASS</x:v>
      </x:c>
    </x:row>
    <x:row r="525">
      <x:c r="B525" t="str">
        <x:v>A-00493</x:v>
      </x:c>
      <x:c r="C525" t="str">
        <x:v>GATE</x:v>
      </x:c>
      <x:c r="D525" t="str">
        <x:v>release state mirrors governing ledger</x:v>
      </x:c>
      <x:c r="E525" t="str">
        <x:f>'Release Gates'!I499</x:f>
        <x:v>OPEN</x:v>
      </x:c>
      <x:c r="F525" t="str">
        <x:f>IF('Release Gates'!C499="PLANNING","PASS",IF('Release Gates'!C499="PHYSICAL","OPEN","BLOCKED"))</x:f>
        <x:v>OPEN</x:v>
      </x:c>
      <x:c r="G525" t="str">
        <x:v>equals</x:v>
      </x:c>
      <x:c r="H525" t="str">
        <x:f>IF(E525=F525,"PASS","FAIL")</x:f>
        <x:v>PASS</x:v>
      </x:c>
    </x:row>
    <x:row r="526">
      <x:c r="B526" t="str">
        <x:v>A-00494</x:v>
      </x:c>
      <x:c r="C526" t="str">
        <x:v>GATE</x:v>
      </x:c>
      <x:c r="D526" t="str">
        <x:v>release state mirrors governing ledger</x:v>
      </x:c>
      <x:c r="E526" t="str">
        <x:f>'Release Gates'!I500</x:f>
        <x:v>OPEN</x:v>
      </x:c>
      <x:c r="F526" t="str">
        <x:f>IF('Release Gates'!C500="PLANNING","PASS",IF('Release Gates'!C500="PHYSICAL","OPEN","BLOCKED"))</x:f>
        <x:v>OPEN</x:v>
      </x:c>
      <x:c r="G526" t="str">
        <x:v>equals</x:v>
      </x:c>
      <x:c r="H526" t="str">
        <x:f>IF(E526=F526,"PASS","FAIL")</x:f>
        <x:v>PASS</x:v>
      </x:c>
    </x:row>
    <x:row r="527">
      <x:c r="B527" t="str">
        <x:v>A-00495</x:v>
      </x:c>
      <x:c r="C527" t="str">
        <x:v>GATE</x:v>
      </x:c>
      <x:c r="D527" t="str">
        <x:v>release state mirrors governing ledger</x:v>
      </x:c>
      <x:c r="E527" t="str">
        <x:f>'Release Gates'!I501</x:f>
        <x:v>OPEN</x:v>
      </x:c>
      <x:c r="F527" t="str">
        <x:f>IF('Release Gates'!C501="PLANNING","PASS",IF('Release Gates'!C501="PHYSICAL","OPEN","BLOCKED"))</x:f>
        <x:v>OPEN</x:v>
      </x:c>
      <x:c r="G527" t="str">
        <x:v>equals</x:v>
      </x:c>
      <x:c r="H527" t="str">
        <x:f>IF(E527=F527,"PASS","FAIL")</x:f>
        <x:v>PASS</x:v>
      </x:c>
    </x:row>
    <x:row r="528">
      <x:c r="B528" t="str">
        <x:v>A-00496</x:v>
      </x:c>
      <x:c r="C528" t="str">
        <x:v>GATE</x:v>
      </x:c>
      <x:c r="D528" t="str">
        <x:v>release state mirrors governing ledger</x:v>
      </x:c>
      <x:c r="E528" t="str">
        <x:f>'Release Gates'!I502</x:f>
        <x:v>OPEN</x:v>
      </x:c>
      <x:c r="F528" t="str">
        <x:f>IF('Release Gates'!C502="PLANNING","PASS",IF('Release Gates'!C502="PHYSICAL","OPEN","BLOCKED"))</x:f>
        <x:v>OPEN</x:v>
      </x:c>
      <x:c r="G528" t="str">
        <x:v>equals</x:v>
      </x:c>
      <x:c r="H528" t="str">
        <x:f>IF(E528=F528,"PASS","FAIL")</x:f>
        <x:v>PASS</x:v>
      </x:c>
    </x:row>
    <x:row r="529">
      <x:c r="B529" t="str">
        <x:v>A-00497</x:v>
      </x:c>
      <x:c r="C529" t="str">
        <x:v>GATE</x:v>
      </x:c>
      <x:c r="D529" t="str">
        <x:v>release state mirrors governing ledger</x:v>
      </x:c>
      <x:c r="E529" t="str">
        <x:f>'Release Gates'!I503</x:f>
        <x:v>OPEN</x:v>
      </x:c>
      <x:c r="F529" t="str">
        <x:f>IF('Release Gates'!C503="PLANNING","PASS",IF('Release Gates'!C503="PHYSICAL","OPEN","BLOCKED"))</x:f>
        <x:v>OPEN</x:v>
      </x:c>
      <x:c r="G529" t="str">
        <x:v>equals</x:v>
      </x:c>
      <x:c r="H529" t="str">
        <x:f>IF(E529=F529,"PASS","FAIL")</x:f>
        <x:v>PASS</x:v>
      </x:c>
    </x:row>
    <x:row r="530">
      <x:c r="B530" t="str">
        <x:v>A-00498</x:v>
      </x:c>
      <x:c r="C530" t="str">
        <x:v>GATE</x:v>
      </x:c>
      <x:c r="D530" t="str">
        <x:v>release state mirrors governing ledger</x:v>
      </x:c>
      <x:c r="E530" t="str">
        <x:f>'Release Gates'!I504</x:f>
        <x:v>OPEN</x:v>
      </x:c>
      <x:c r="F530" t="str">
        <x:f>IF('Release Gates'!C504="PLANNING","PASS",IF('Release Gates'!C504="PHYSICAL","OPEN","BLOCKED"))</x:f>
        <x:v>OPEN</x:v>
      </x:c>
      <x:c r="G530" t="str">
        <x:v>equals</x:v>
      </x:c>
      <x:c r="H530" t="str">
        <x:f>IF(E530=F530,"PASS","FAIL")</x:f>
        <x:v>PASS</x:v>
      </x:c>
    </x:row>
    <x:row r="531">
      <x:c r="B531" t="str">
        <x:v>A-00499</x:v>
      </x:c>
      <x:c r="C531" t="str">
        <x:v>GATE</x:v>
      </x:c>
      <x:c r="D531" t="str">
        <x:v>release state mirrors governing ledger</x:v>
      </x:c>
      <x:c r="E531" t="str">
        <x:f>'Release Gates'!I505</x:f>
        <x:v>OPEN</x:v>
      </x:c>
      <x:c r="F531" t="str">
        <x:f>IF('Release Gates'!C505="PLANNING","PASS",IF('Release Gates'!C505="PHYSICAL","OPEN","BLOCKED"))</x:f>
        <x:v>OPEN</x:v>
      </x:c>
      <x:c r="G531" t="str">
        <x:v>equals</x:v>
      </x:c>
      <x:c r="H531" t="str">
        <x:f>IF(E531=F531,"PASS","FAIL")</x:f>
        <x:v>PASS</x:v>
      </x:c>
    </x:row>
    <x:row r="532">
      <x:c r="B532" t="str">
        <x:v>A-00500</x:v>
      </x:c>
      <x:c r="C532" t="str">
        <x:v>GATE</x:v>
      </x:c>
      <x:c r="D532" t="str">
        <x:v>release state mirrors governing ledger</x:v>
      </x:c>
      <x:c r="E532" t="str">
        <x:f>'Release Gates'!I506</x:f>
        <x:v>OPEN</x:v>
      </x:c>
      <x:c r="F532" t="str">
        <x:f>IF('Release Gates'!C506="PLANNING","PASS",IF('Release Gates'!C506="PHYSICAL","OPEN","BLOCKED"))</x:f>
        <x:v>OPEN</x:v>
      </x:c>
      <x:c r="G532" t="str">
        <x:v>equals</x:v>
      </x:c>
      <x:c r="H532" t="str">
        <x:f>IF(E532=F532,"PASS","FAIL")</x:f>
        <x:v>PASS</x:v>
      </x:c>
    </x:row>
    <x:row r="533">
      <x:c r="B533" t="str">
        <x:v>A-00501</x:v>
      </x:c>
      <x:c r="C533" t="str">
        <x:v>GATE</x:v>
      </x:c>
      <x:c r="D533" t="str">
        <x:v>release state mirrors governing ledger</x:v>
      </x:c>
      <x:c r="E533" t="str">
        <x:f>'Release Gates'!I507</x:f>
        <x:v>OPEN</x:v>
      </x:c>
      <x:c r="F533" t="str">
        <x:f>IF('Release Gates'!C507="PLANNING","PASS",IF('Release Gates'!C507="PHYSICAL","OPEN","BLOCKED"))</x:f>
        <x:v>OPEN</x:v>
      </x:c>
      <x:c r="G533" t="str">
        <x:v>equals</x:v>
      </x:c>
      <x:c r="H533" t="str">
        <x:f>IF(E533=F533,"PASS","FAIL")</x:f>
        <x:v>PASS</x:v>
      </x:c>
    </x:row>
    <x:row r="534">
      <x:c r="B534" t="str">
        <x:v>A-00502</x:v>
      </x:c>
      <x:c r="C534" t="str">
        <x:v>GATE</x:v>
      </x:c>
      <x:c r="D534" t="str">
        <x:v>release state mirrors governing ledger</x:v>
      </x:c>
      <x:c r="E534" t="str">
        <x:f>'Release Gates'!I508</x:f>
        <x:v>OPEN</x:v>
      </x:c>
      <x:c r="F534" t="str">
        <x:f>IF('Release Gates'!C508="PLANNING","PASS",IF('Release Gates'!C508="PHYSICAL","OPEN","BLOCKED"))</x:f>
        <x:v>OPEN</x:v>
      </x:c>
      <x:c r="G534" t="str">
        <x:v>equals</x:v>
      </x:c>
      <x:c r="H534" t="str">
        <x:f>IF(E534=F534,"PASS","FAIL")</x:f>
        <x:v>PASS</x:v>
      </x:c>
    </x:row>
    <x:row r="535">
      <x:c r="B535" t="str">
        <x:v>A-00503</x:v>
      </x:c>
      <x:c r="C535" t="str">
        <x:v>GATE</x:v>
      </x:c>
      <x:c r="D535" t="str">
        <x:v>release state mirrors governing ledger</x:v>
      </x:c>
      <x:c r="E535" t="str">
        <x:f>'Release Gates'!I509</x:f>
        <x:v>OPEN</x:v>
      </x:c>
      <x:c r="F535" t="str">
        <x:f>IF('Release Gates'!C509="PLANNING","PASS",IF('Release Gates'!C509="PHYSICAL","OPEN","BLOCKED"))</x:f>
        <x:v>OPEN</x:v>
      </x:c>
      <x:c r="G535" t="str">
        <x:v>equals</x:v>
      </x:c>
      <x:c r="H535" t="str">
        <x:f>IF(E535=F535,"PASS","FAIL")</x:f>
        <x:v>PASS</x:v>
      </x:c>
    </x:row>
    <x:row r="536">
      <x:c r="B536" t="str">
        <x:v>A-00504</x:v>
      </x:c>
      <x:c r="C536" t="str">
        <x:v>GATE</x:v>
      </x:c>
      <x:c r="D536" t="str">
        <x:v>release state mirrors governing ledger</x:v>
      </x:c>
      <x:c r="E536" t="str">
        <x:f>'Release Gates'!I510</x:f>
        <x:v>OPEN</x:v>
      </x:c>
      <x:c r="F536" t="str">
        <x:f>IF('Release Gates'!C510="PLANNING","PASS",IF('Release Gates'!C510="PHYSICAL","OPEN","BLOCKED"))</x:f>
        <x:v>OPEN</x:v>
      </x:c>
      <x:c r="G536" t="str">
        <x:v>equals</x:v>
      </x:c>
      <x:c r="H536" t="str">
        <x:f>IF(E536=F536,"PASS","FAIL")</x:f>
        <x:v>PASS</x:v>
      </x:c>
    </x:row>
    <x:row r="537">
      <x:c r="B537" t="str">
        <x:v>A-00505</x:v>
      </x:c>
      <x:c r="C537" t="str">
        <x:v>GATE</x:v>
      </x:c>
      <x:c r="D537" t="str">
        <x:v>release state mirrors governing ledger</x:v>
      </x:c>
      <x:c r="E537" t="str">
        <x:f>'Release Gates'!I511</x:f>
        <x:v>OPEN</x:v>
      </x:c>
      <x:c r="F537" t="str">
        <x:f>IF('Release Gates'!C511="PLANNING","PASS",IF('Release Gates'!C511="PHYSICAL","OPEN","BLOCKED"))</x:f>
        <x:v>OPEN</x:v>
      </x:c>
      <x:c r="G537" t="str">
        <x:v>equals</x:v>
      </x:c>
      <x:c r="H537" t="str">
        <x:f>IF(E537=F537,"PASS","FAIL")</x:f>
        <x:v>PASS</x:v>
      </x:c>
    </x:row>
    <x:row r="538">
      <x:c r="B538" t="str">
        <x:v>A-00506</x:v>
      </x:c>
      <x:c r="C538" t="str">
        <x:v>GATE</x:v>
      </x:c>
      <x:c r="D538" t="str">
        <x:v>release state mirrors governing ledger</x:v>
      </x:c>
      <x:c r="E538" t="str">
        <x:f>'Release Gates'!I512</x:f>
        <x:v>OPEN</x:v>
      </x:c>
      <x:c r="F538" t="str">
        <x:f>IF('Release Gates'!C512="PLANNING","PASS",IF('Release Gates'!C512="PHYSICAL","OPEN","BLOCKED"))</x:f>
        <x:v>OPEN</x:v>
      </x:c>
      <x:c r="G538" t="str">
        <x:v>equals</x:v>
      </x:c>
      <x:c r="H538" t="str">
        <x:f>IF(E538=F538,"PASS","FAIL")</x:f>
        <x:v>PASS</x:v>
      </x:c>
    </x:row>
    <x:row r="539">
      <x:c r="B539" t="str">
        <x:v>A-00507</x:v>
      </x:c>
      <x:c r="C539" t="str">
        <x:v>GATE</x:v>
      </x:c>
      <x:c r="D539" t="str">
        <x:v>release state mirrors governing ledger</x:v>
      </x:c>
      <x:c r="E539" t="str">
        <x:f>'Release Gates'!I513</x:f>
        <x:v>OPEN</x:v>
      </x:c>
      <x:c r="F539" t="str">
        <x:f>IF('Release Gates'!C513="PLANNING","PASS",IF('Release Gates'!C513="PHYSICAL","OPEN","BLOCKED"))</x:f>
        <x:v>OPEN</x:v>
      </x:c>
      <x:c r="G539" t="str">
        <x:v>equals</x:v>
      </x:c>
      <x:c r="H539" t="str">
        <x:f>IF(E539=F539,"PASS","FAIL")</x:f>
        <x:v>PASS</x:v>
      </x:c>
    </x:row>
    <x:row r="540">
      <x:c r="B540" t="str">
        <x:v>A-00508</x:v>
      </x:c>
      <x:c r="C540" t="str">
        <x:v>GATE</x:v>
      </x:c>
      <x:c r="D540" t="str">
        <x:v>release state mirrors governing ledger</x:v>
      </x:c>
      <x:c r="E540" t="str">
        <x:f>'Release Gates'!I514</x:f>
        <x:v>OPEN</x:v>
      </x:c>
      <x:c r="F540" t="str">
        <x:f>IF('Release Gates'!C514="PLANNING","PASS",IF('Release Gates'!C514="PHYSICAL","OPEN","BLOCKED"))</x:f>
        <x:v>OPEN</x:v>
      </x:c>
      <x:c r="G540" t="str">
        <x:v>equals</x:v>
      </x:c>
      <x:c r="H540" t="str">
        <x:f>IF(E540=F540,"PASS","FAIL")</x:f>
        <x:v>PASS</x:v>
      </x:c>
    </x:row>
    <x:row r="541">
      <x:c r="B541" t="str">
        <x:v>A-00509</x:v>
      </x:c>
      <x:c r="C541" t="str">
        <x:v>GATE</x:v>
      </x:c>
      <x:c r="D541" t="str">
        <x:v>release state mirrors governing ledger</x:v>
      </x:c>
      <x:c r="E541" t="str">
        <x:f>'Release Gates'!I515</x:f>
        <x:v>OPEN</x:v>
      </x:c>
      <x:c r="F541" t="str">
        <x:f>IF('Release Gates'!C515="PLANNING","PASS",IF('Release Gates'!C515="PHYSICAL","OPEN","BLOCKED"))</x:f>
        <x:v>OPEN</x:v>
      </x:c>
      <x:c r="G541" t="str">
        <x:v>equals</x:v>
      </x:c>
      <x:c r="H541" t="str">
        <x:f>IF(E541=F541,"PASS","FAIL")</x:f>
        <x:v>PASS</x:v>
      </x:c>
    </x:row>
    <x:row r="542">
      <x:c r="B542" t="str">
        <x:v>A-00510</x:v>
      </x:c>
      <x:c r="C542" t="str">
        <x:v>GATE</x:v>
      </x:c>
      <x:c r="D542" t="str">
        <x:v>release state mirrors governing ledger</x:v>
      </x:c>
      <x:c r="E542" t="str">
        <x:f>'Release Gates'!I516</x:f>
        <x:v>OPEN</x:v>
      </x:c>
      <x:c r="F542" t="str">
        <x:f>IF('Release Gates'!C516="PLANNING","PASS",IF('Release Gates'!C516="PHYSICAL","OPEN","BLOCKED"))</x:f>
        <x:v>OPEN</x:v>
      </x:c>
      <x:c r="G542" t="str">
        <x:v>equals</x:v>
      </x:c>
      <x:c r="H542" t="str">
        <x:f>IF(E542=F542,"PASS","FAIL")</x:f>
        <x:v>PASS</x:v>
      </x:c>
    </x:row>
    <x:row r="543">
      <x:c r="B543" t="str">
        <x:v>A-00511</x:v>
      </x:c>
      <x:c r="C543" t="str">
        <x:v>GATE</x:v>
      </x:c>
      <x:c r="D543" t="str">
        <x:v>release state mirrors governing ledger</x:v>
      </x:c>
      <x:c r="E543" t="str">
        <x:f>'Release Gates'!I517</x:f>
        <x:v>OPEN</x:v>
      </x:c>
      <x:c r="F543" t="str">
        <x:f>IF('Release Gates'!C517="PLANNING","PASS",IF('Release Gates'!C517="PHYSICAL","OPEN","BLOCKED"))</x:f>
        <x:v>OPEN</x:v>
      </x:c>
      <x:c r="G543" t="str">
        <x:v>equals</x:v>
      </x:c>
      <x:c r="H543" t="str">
        <x:f>IF(E543=F543,"PASS","FAIL")</x:f>
        <x:v>PASS</x:v>
      </x:c>
    </x:row>
    <x:row r="544">
      <x:c r="B544" t="str">
        <x:v>A-00512</x:v>
      </x:c>
      <x:c r="C544" t="str">
        <x:v>GATE</x:v>
      </x:c>
      <x:c r="D544" t="str">
        <x:v>release state mirrors governing ledger</x:v>
      </x:c>
      <x:c r="E544" t="str">
        <x:f>'Release Gates'!I518</x:f>
        <x:v>OPEN</x:v>
      </x:c>
      <x:c r="F544" t="str">
        <x:f>IF('Release Gates'!C518="PLANNING","PASS",IF('Release Gates'!C518="PHYSICAL","OPEN","BLOCKED"))</x:f>
        <x:v>OPEN</x:v>
      </x:c>
      <x:c r="G544" t="str">
        <x:v>equals</x:v>
      </x:c>
      <x:c r="H544" t="str">
        <x:f>IF(E544=F544,"PASS","FAIL")</x:f>
        <x:v>PASS</x:v>
      </x:c>
    </x:row>
    <x:row r="545">
      <x:c r="B545" t="str">
        <x:v>A-00513</x:v>
      </x:c>
      <x:c r="C545" t="str">
        <x:v>GATE</x:v>
      </x:c>
      <x:c r="D545" t="str">
        <x:v>release state mirrors governing ledger</x:v>
      </x:c>
      <x:c r="E545" t="str">
        <x:f>'Release Gates'!I519</x:f>
        <x:v>OPEN</x:v>
      </x:c>
      <x:c r="F545" t="str">
        <x:f>IF('Release Gates'!C519="PLANNING","PASS",IF('Release Gates'!C519="PHYSICAL","OPEN","BLOCKED"))</x:f>
        <x:v>OPEN</x:v>
      </x:c>
      <x:c r="G545" t="str">
        <x:v>equals</x:v>
      </x:c>
      <x:c r="H545" t="str">
        <x:f>IF(E545=F545,"PASS","FAIL")</x:f>
        <x:v>PASS</x:v>
      </x:c>
    </x:row>
    <x:row r="546">
      <x:c r="B546" t="str">
        <x:v>A-00514</x:v>
      </x:c>
      <x:c r="C546" t="str">
        <x:v>GATE</x:v>
      </x:c>
      <x:c r="D546" t="str">
        <x:v>release state mirrors governing ledger</x:v>
      </x:c>
      <x:c r="E546" t="str">
        <x:f>'Release Gates'!I520</x:f>
        <x:v>OPEN</x:v>
      </x:c>
      <x:c r="F546" t="str">
        <x:f>IF('Release Gates'!C520="PLANNING","PASS",IF('Release Gates'!C520="PHYSICAL","OPEN","BLOCKED"))</x:f>
        <x:v>OPEN</x:v>
      </x:c>
      <x:c r="G546" t="str">
        <x:v>equals</x:v>
      </x:c>
      <x:c r="H546" t="str">
        <x:f>IF(E546=F546,"PASS","FAIL")</x:f>
        <x:v>PASS</x:v>
      </x:c>
    </x:row>
    <x:row r="547">
      <x:c r="B547" t="str">
        <x:v>A-00515</x:v>
      </x:c>
      <x:c r="C547" t="str">
        <x:v>GATE</x:v>
      </x:c>
      <x:c r="D547" t="str">
        <x:v>release state mirrors governing ledger</x:v>
      </x:c>
      <x:c r="E547" t="str">
        <x:f>'Release Gates'!I521</x:f>
        <x:v>OPEN</x:v>
      </x:c>
      <x:c r="F547" t="str">
        <x:f>IF('Release Gates'!C521="PLANNING","PASS",IF('Release Gates'!C521="PHYSICAL","OPEN","BLOCKED"))</x:f>
        <x:v>OPEN</x:v>
      </x:c>
      <x:c r="G547" t="str">
        <x:v>equals</x:v>
      </x:c>
      <x:c r="H547" t="str">
        <x:f>IF(E547=F547,"PASS","FAIL")</x:f>
        <x:v>PASS</x:v>
      </x:c>
    </x:row>
    <x:row r="548">
      <x:c r="B548" t="str">
        <x:v>A-00516</x:v>
      </x:c>
      <x:c r="C548" t="str">
        <x:v>GATE</x:v>
      </x:c>
      <x:c r="D548" t="str">
        <x:v>release state mirrors governing ledger</x:v>
      </x:c>
      <x:c r="E548" t="str">
        <x:f>'Release Gates'!I522</x:f>
        <x:v>OPEN</x:v>
      </x:c>
      <x:c r="F548" t="str">
        <x:f>IF('Release Gates'!C522="PLANNING","PASS",IF('Release Gates'!C522="PHYSICAL","OPEN","BLOCKED"))</x:f>
        <x:v>OPEN</x:v>
      </x:c>
      <x:c r="G548" t="str">
        <x:v>equals</x:v>
      </x:c>
      <x:c r="H548" t="str">
        <x:f>IF(E548=F548,"PASS","FAIL")</x:f>
        <x:v>PASS</x:v>
      </x:c>
    </x:row>
    <x:row r="549">
      <x:c r="B549" t="str">
        <x:v>A-00517</x:v>
      </x:c>
      <x:c r="C549" t="str">
        <x:v>GATE</x:v>
      </x:c>
      <x:c r="D549" t="str">
        <x:v>release state mirrors governing ledger</x:v>
      </x:c>
      <x:c r="E549" t="str">
        <x:f>'Release Gates'!I523</x:f>
        <x:v>OPEN</x:v>
      </x:c>
      <x:c r="F549" t="str">
        <x:f>IF('Release Gates'!C523="PLANNING","PASS",IF('Release Gates'!C523="PHYSICAL","OPEN","BLOCKED"))</x:f>
        <x:v>OPEN</x:v>
      </x:c>
      <x:c r="G549" t="str">
        <x:v>equals</x:v>
      </x:c>
      <x:c r="H549" t="str">
        <x:f>IF(E549=F549,"PASS","FAIL")</x:f>
        <x:v>PASS</x:v>
      </x:c>
    </x:row>
    <x:row r="550">
      <x:c r="B550" t="str">
        <x:v>A-00518</x:v>
      </x:c>
      <x:c r="C550" t="str">
        <x:v>GATE</x:v>
      </x:c>
      <x:c r="D550" t="str">
        <x:v>release state mirrors governing ledger</x:v>
      </x:c>
      <x:c r="E550" t="str">
        <x:f>'Release Gates'!I524</x:f>
        <x:v>OPEN</x:v>
      </x:c>
      <x:c r="F550" t="str">
        <x:f>IF('Release Gates'!C524="PLANNING","PASS",IF('Release Gates'!C524="PHYSICAL","OPEN","BLOCKED"))</x:f>
        <x:v>OPEN</x:v>
      </x:c>
      <x:c r="G550" t="str">
        <x:v>equals</x:v>
      </x:c>
      <x:c r="H550" t="str">
        <x:f>IF(E550=F550,"PASS","FAIL")</x:f>
        <x:v>PASS</x:v>
      </x:c>
    </x:row>
    <x:row r="551">
      <x:c r="B551" t="str">
        <x:v>A-00519</x:v>
      </x:c>
      <x:c r="C551" t="str">
        <x:v>GATE</x:v>
      </x:c>
      <x:c r="D551" t="str">
        <x:v>release state mirrors governing ledger</x:v>
      </x:c>
      <x:c r="E551" t="str">
        <x:f>'Release Gates'!I525</x:f>
        <x:v>OPEN</x:v>
      </x:c>
      <x:c r="F551" t="str">
        <x:f>IF('Release Gates'!C525="PLANNING","PASS",IF('Release Gates'!C525="PHYSICAL","OPEN","BLOCKED"))</x:f>
        <x:v>OPEN</x:v>
      </x:c>
      <x:c r="G551" t="str">
        <x:v>equals</x:v>
      </x:c>
      <x:c r="H551" t="str">
        <x:f>IF(E551=F551,"PASS","FAIL")</x:f>
        <x:v>PASS</x:v>
      </x:c>
    </x:row>
    <x:row r="552">
      <x:c r="B552" t="str">
        <x:v>A-00520</x:v>
      </x:c>
      <x:c r="C552" t="str">
        <x:v>GATE</x:v>
      </x:c>
      <x:c r="D552" t="str">
        <x:v>release state mirrors governing ledger</x:v>
      </x:c>
      <x:c r="E552" t="str">
        <x:f>'Release Gates'!I526</x:f>
        <x:v>OPEN</x:v>
      </x:c>
      <x:c r="F552" t="str">
        <x:f>IF('Release Gates'!C526="PLANNING","PASS",IF('Release Gates'!C526="PHYSICAL","OPEN","BLOCKED"))</x:f>
        <x:v>OPEN</x:v>
      </x:c>
      <x:c r="G552" t="str">
        <x:v>equals</x:v>
      </x:c>
      <x:c r="H552" t="str">
        <x:f>IF(E552=F552,"PASS","FAIL")</x:f>
        <x:v>PASS</x:v>
      </x:c>
    </x:row>
    <x:row r="553">
      <x:c r="B553" t="str">
        <x:v>A-00521</x:v>
      </x:c>
      <x:c r="C553" t="str">
        <x:v>GATE</x:v>
      </x:c>
      <x:c r="D553" t="str">
        <x:v>release state mirrors governing ledger</x:v>
      </x:c>
      <x:c r="E553" t="str">
        <x:f>'Release Gates'!I527</x:f>
        <x:v>OPEN</x:v>
      </x:c>
      <x:c r="F553" t="str">
        <x:f>IF('Release Gates'!C527="PLANNING","PASS",IF('Release Gates'!C527="PHYSICAL","OPEN","BLOCKED"))</x:f>
        <x:v>OPEN</x:v>
      </x:c>
      <x:c r="G553" t="str">
        <x:v>equals</x:v>
      </x:c>
      <x:c r="H553" t="str">
        <x:f>IF(E553=F553,"PASS","FAIL")</x:f>
        <x:v>PASS</x:v>
      </x:c>
    </x:row>
    <x:row r="554">
      <x:c r="B554" t="str">
        <x:v>A-00522</x:v>
      </x:c>
      <x:c r="C554" t="str">
        <x:v>GATE</x:v>
      </x:c>
      <x:c r="D554" t="str">
        <x:v>release state mirrors governing ledger</x:v>
      </x:c>
      <x:c r="E554" t="str">
        <x:f>'Release Gates'!I528</x:f>
        <x:v>OPEN</x:v>
      </x:c>
      <x:c r="F554" t="str">
        <x:f>IF('Release Gates'!C528="PLANNING","PASS",IF('Release Gates'!C528="PHYSICAL","OPEN","BLOCKED"))</x:f>
        <x:v>OPEN</x:v>
      </x:c>
      <x:c r="G554" t="str">
        <x:v>equals</x:v>
      </x:c>
      <x:c r="H554" t="str">
        <x:f>IF(E554=F554,"PASS","FAIL")</x:f>
        <x:v>PASS</x:v>
      </x:c>
    </x:row>
    <x:row r="555">
      <x:c r="B555" t="str">
        <x:v>A-00523</x:v>
      </x:c>
      <x:c r="C555" t="str">
        <x:v>GATE</x:v>
      </x:c>
      <x:c r="D555" t="str">
        <x:v>release state mirrors governing ledger</x:v>
      </x:c>
      <x:c r="E555" t="str">
        <x:f>'Release Gates'!I529</x:f>
        <x:v>OPEN</x:v>
      </x:c>
      <x:c r="F555" t="str">
        <x:f>IF('Release Gates'!C529="PLANNING","PASS",IF('Release Gates'!C529="PHYSICAL","OPEN","BLOCKED"))</x:f>
        <x:v>OPEN</x:v>
      </x:c>
      <x:c r="G555" t="str">
        <x:v>equals</x:v>
      </x:c>
      <x:c r="H555" t="str">
        <x:f>IF(E555=F555,"PASS","FAIL")</x:f>
        <x:v>PASS</x:v>
      </x:c>
    </x:row>
    <x:row r="556">
      <x:c r="B556" t="str">
        <x:v>A-00524</x:v>
      </x:c>
      <x:c r="C556" t="str">
        <x:v>GATE</x:v>
      </x:c>
      <x:c r="D556" t="str">
        <x:v>release state mirrors governing ledger</x:v>
      </x:c>
      <x:c r="E556" t="str">
        <x:f>'Release Gates'!I530</x:f>
        <x:v>OPEN</x:v>
      </x:c>
      <x:c r="F556" t="str">
        <x:f>IF('Release Gates'!C530="PLANNING","PASS",IF('Release Gates'!C530="PHYSICAL","OPEN","BLOCKED"))</x:f>
        <x:v>OPEN</x:v>
      </x:c>
      <x:c r="G556" t="str">
        <x:v>equals</x:v>
      </x:c>
      <x:c r="H556" t="str">
        <x:f>IF(E556=F556,"PASS","FAIL")</x:f>
        <x:v>PASS</x:v>
      </x:c>
    </x:row>
    <x:row r="557">
      <x:c r="B557" t="str">
        <x:v>A-00525</x:v>
      </x:c>
      <x:c r="C557" t="str">
        <x:v>GATE</x:v>
      </x:c>
      <x:c r="D557" t="str">
        <x:v>release state mirrors governing ledger</x:v>
      </x:c>
      <x:c r="E557" t="str">
        <x:f>'Release Gates'!I531</x:f>
        <x:v>OPEN</x:v>
      </x:c>
      <x:c r="F557" t="str">
        <x:f>IF('Release Gates'!C531="PLANNING","PASS",IF('Release Gates'!C531="PHYSICAL","OPEN","BLOCKED"))</x:f>
        <x:v>OPEN</x:v>
      </x:c>
      <x:c r="G557" t="str">
        <x:v>equals</x:v>
      </x:c>
      <x:c r="H557" t="str">
        <x:f>IF(E557=F557,"PASS","FAIL")</x:f>
        <x:v>PASS</x:v>
      </x:c>
    </x:row>
    <x:row r="558">
      <x:c r="B558" t="str">
        <x:v>A-00526</x:v>
      </x:c>
      <x:c r="C558" t="str">
        <x:v>GATE</x:v>
      </x:c>
      <x:c r="D558" t="str">
        <x:v>release state mirrors governing ledger</x:v>
      </x:c>
      <x:c r="E558" t="str">
        <x:f>'Release Gates'!I532</x:f>
        <x:v>OPEN</x:v>
      </x:c>
      <x:c r="F558" t="str">
        <x:f>IF('Release Gates'!C532="PLANNING","PASS",IF('Release Gates'!C532="PHYSICAL","OPEN","BLOCKED"))</x:f>
        <x:v>OPEN</x:v>
      </x:c>
      <x:c r="G558" t="str">
        <x:v>equals</x:v>
      </x:c>
      <x:c r="H558" t="str">
        <x:f>IF(E558=F558,"PASS","FAIL")</x:f>
        <x:v>PASS</x:v>
      </x:c>
    </x:row>
    <x:row r="559">
      <x:c r="B559" t="str">
        <x:v>A-00527</x:v>
      </x:c>
      <x:c r="C559" t="str">
        <x:v>GATE</x:v>
      </x:c>
      <x:c r="D559" t="str">
        <x:v>release state mirrors governing ledger</x:v>
      </x:c>
      <x:c r="E559" t="str">
        <x:f>'Release Gates'!I533</x:f>
        <x:v>OPEN</x:v>
      </x:c>
      <x:c r="F559" t="str">
        <x:f>IF('Release Gates'!C533="PLANNING","PASS",IF('Release Gates'!C533="PHYSICAL","OPEN","BLOCKED"))</x:f>
        <x:v>OPEN</x:v>
      </x:c>
      <x:c r="G559" t="str">
        <x:v>equals</x:v>
      </x:c>
      <x:c r="H559" t="str">
        <x:f>IF(E559=F559,"PASS","FAIL")</x:f>
        <x:v>PASS</x:v>
      </x:c>
    </x:row>
    <x:row r="560">
      <x:c r="B560" t="str">
        <x:v>A-00528</x:v>
      </x:c>
      <x:c r="C560" t="str">
        <x:v>GATE</x:v>
      </x:c>
      <x:c r="D560" t="str">
        <x:v>release state mirrors governing ledger</x:v>
      </x:c>
      <x:c r="E560" t="str">
        <x:f>'Release Gates'!I534</x:f>
        <x:v>OPEN</x:v>
      </x:c>
      <x:c r="F560" t="str">
        <x:f>IF('Release Gates'!C534="PLANNING","PASS",IF('Release Gates'!C534="PHYSICAL","OPEN","BLOCKED"))</x:f>
        <x:v>OPEN</x:v>
      </x:c>
      <x:c r="G560" t="str">
        <x:v>equals</x:v>
      </x:c>
      <x:c r="H560" t="str">
        <x:f>IF(E560=F560,"PASS","FAIL")</x:f>
        <x:v>PASS</x:v>
      </x:c>
    </x:row>
    <x:row r="561">
      <x:c r="B561" t="str">
        <x:v>A-00529</x:v>
      </x:c>
      <x:c r="C561" t="str">
        <x:v>GATE</x:v>
      </x:c>
      <x:c r="D561" t="str">
        <x:v>release state mirrors governing ledger</x:v>
      </x:c>
      <x:c r="E561" t="str">
        <x:f>'Release Gates'!I535</x:f>
        <x:v>OPEN</x:v>
      </x:c>
      <x:c r="F561" t="str">
        <x:f>IF('Release Gates'!C535="PLANNING","PASS",IF('Release Gates'!C535="PHYSICAL","OPEN","BLOCKED"))</x:f>
        <x:v>OPEN</x:v>
      </x:c>
      <x:c r="G561" t="str">
        <x:v>equals</x:v>
      </x:c>
      <x:c r="H561" t="str">
        <x:f>IF(E561=F561,"PASS","FAIL")</x:f>
        <x:v>PASS</x:v>
      </x:c>
    </x:row>
    <x:row r="562">
      <x:c r="B562" t="str">
        <x:v>A-00530</x:v>
      </x:c>
      <x:c r="C562" t="str">
        <x:v>GATE</x:v>
      </x:c>
      <x:c r="D562" t="str">
        <x:v>release state mirrors governing ledger</x:v>
      </x:c>
      <x:c r="E562" t="str">
        <x:f>'Release Gates'!I536</x:f>
        <x:v>OPEN</x:v>
      </x:c>
      <x:c r="F562" t="str">
        <x:f>IF('Release Gates'!C536="PLANNING","PASS",IF('Release Gates'!C536="PHYSICAL","OPEN","BLOCKED"))</x:f>
        <x:v>OPEN</x:v>
      </x:c>
      <x:c r="G562" t="str">
        <x:v>equals</x:v>
      </x:c>
      <x:c r="H562" t="str">
        <x:f>IF(E562=F562,"PASS","FAIL")</x:f>
        <x:v>PASS</x:v>
      </x:c>
    </x:row>
    <x:row r="563">
      <x:c r="B563" t="str">
        <x:v>A-00531</x:v>
      </x:c>
      <x:c r="C563" t="str">
        <x:v>GATE</x:v>
      </x:c>
      <x:c r="D563" t="str">
        <x:v>release state mirrors governing ledger</x:v>
      </x:c>
      <x:c r="E563" t="str">
        <x:f>'Release Gates'!I537</x:f>
        <x:v>OPEN</x:v>
      </x:c>
      <x:c r="F563" t="str">
        <x:f>IF('Release Gates'!C537="PLANNING","PASS",IF('Release Gates'!C537="PHYSICAL","OPEN","BLOCKED"))</x:f>
        <x:v>OPEN</x:v>
      </x:c>
      <x:c r="G563" t="str">
        <x:v>equals</x:v>
      </x:c>
      <x:c r="H563" t="str">
        <x:f>IF(E563=F563,"PASS","FAIL")</x:f>
        <x:v>PASS</x:v>
      </x:c>
    </x:row>
    <x:row r="564">
      <x:c r="B564" t="str">
        <x:v>A-00532</x:v>
      </x:c>
      <x:c r="C564" t="str">
        <x:v>GATE</x:v>
      </x:c>
      <x:c r="D564" t="str">
        <x:v>release state mirrors governing ledger</x:v>
      </x:c>
      <x:c r="E564" t="str">
        <x:f>'Release Gates'!I538</x:f>
        <x:v>OPEN</x:v>
      </x:c>
      <x:c r="F564" t="str">
        <x:f>IF('Release Gates'!C538="PLANNING","PASS",IF('Release Gates'!C538="PHYSICAL","OPEN","BLOCKED"))</x:f>
        <x:v>OPEN</x:v>
      </x:c>
      <x:c r="G564" t="str">
        <x:v>equals</x:v>
      </x:c>
      <x:c r="H564" t="str">
        <x:f>IF(E564=F564,"PASS","FAIL")</x:f>
        <x:v>PASS</x:v>
      </x:c>
    </x:row>
    <x:row r="565">
      <x:c r="B565" t="str">
        <x:v>A-00533</x:v>
      </x:c>
      <x:c r="C565" t="str">
        <x:v>GATE</x:v>
      </x:c>
      <x:c r="D565" t="str">
        <x:v>release state mirrors governing ledger</x:v>
      </x:c>
      <x:c r="E565" t="str">
        <x:f>'Release Gates'!I539</x:f>
        <x:v>OPEN</x:v>
      </x:c>
      <x:c r="F565" t="str">
        <x:f>IF('Release Gates'!C539="PLANNING","PASS",IF('Release Gates'!C539="PHYSICAL","OPEN","BLOCKED"))</x:f>
        <x:v>OPEN</x:v>
      </x:c>
      <x:c r="G565" t="str">
        <x:v>equals</x:v>
      </x:c>
      <x:c r="H565" t="str">
        <x:f>IF(E565=F565,"PASS","FAIL")</x:f>
        <x:v>PASS</x:v>
      </x:c>
    </x:row>
    <x:row r="566">
      <x:c r="B566" t="str">
        <x:v>A-00534</x:v>
      </x:c>
      <x:c r="C566" t="str">
        <x:v>GATE</x:v>
      </x:c>
      <x:c r="D566" t="str">
        <x:v>release state mirrors governing ledger</x:v>
      </x:c>
      <x:c r="E566" t="str">
        <x:f>'Release Gates'!I540</x:f>
        <x:v>OPEN</x:v>
      </x:c>
      <x:c r="F566" t="str">
        <x:f>IF('Release Gates'!C540="PLANNING","PASS",IF('Release Gates'!C540="PHYSICAL","OPEN","BLOCKED"))</x:f>
        <x:v>OPEN</x:v>
      </x:c>
      <x:c r="G566" t="str">
        <x:v>equals</x:v>
      </x:c>
      <x:c r="H566" t="str">
        <x:f>IF(E566=F566,"PASS","FAIL")</x:f>
        <x:v>PASS</x:v>
      </x:c>
    </x:row>
    <x:row r="567">
      <x:c r="B567" t="str">
        <x:v>A-00535</x:v>
      </x:c>
      <x:c r="C567" t="str">
        <x:v>GATE</x:v>
      </x:c>
      <x:c r="D567" t="str">
        <x:v>release state mirrors governing ledger</x:v>
      </x:c>
      <x:c r="E567" t="str">
        <x:f>'Release Gates'!I541</x:f>
        <x:v>OPEN</x:v>
      </x:c>
      <x:c r="F567" t="str">
        <x:f>IF('Release Gates'!C541="PLANNING","PASS",IF('Release Gates'!C541="PHYSICAL","OPEN","BLOCKED"))</x:f>
        <x:v>OPEN</x:v>
      </x:c>
      <x:c r="G567" t="str">
        <x:v>equals</x:v>
      </x:c>
      <x:c r="H567" t="str">
        <x:f>IF(E567=F567,"PASS","FAIL")</x:f>
        <x:v>PASS</x:v>
      </x:c>
    </x:row>
    <x:row r="568">
      <x:c r="B568" t="str">
        <x:v>A-00536</x:v>
      </x:c>
      <x:c r="C568" t="str">
        <x:v>GATE</x:v>
      </x:c>
      <x:c r="D568" t="str">
        <x:v>release state mirrors governing ledger</x:v>
      </x:c>
      <x:c r="E568" t="str">
        <x:f>'Release Gates'!I542</x:f>
        <x:v>OPEN</x:v>
      </x:c>
      <x:c r="F568" t="str">
        <x:f>IF('Release Gates'!C542="PLANNING","PASS",IF('Release Gates'!C542="PHYSICAL","OPEN","BLOCKED"))</x:f>
        <x:v>OPEN</x:v>
      </x:c>
      <x:c r="G568" t="str">
        <x:v>equals</x:v>
      </x:c>
      <x:c r="H568" t="str">
        <x:f>IF(E568=F568,"PASS","FAIL")</x:f>
        <x:v>PASS</x:v>
      </x:c>
    </x:row>
    <x:row r="569">
      <x:c r="B569" t="str">
        <x:v>A-00537</x:v>
      </x:c>
      <x:c r="C569" t="str">
        <x:v>GATE</x:v>
      </x:c>
      <x:c r="D569" t="str">
        <x:v>release state mirrors governing ledger</x:v>
      </x:c>
      <x:c r="E569" t="str">
        <x:f>'Release Gates'!I543</x:f>
        <x:v>OPEN</x:v>
      </x:c>
      <x:c r="F569" t="str">
        <x:f>IF('Release Gates'!C543="PLANNING","PASS",IF('Release Gates'!C543="PHYSICAL","OPEN","BLOCKED"))</x:f>
        <x:v>OPEN</x:v>
      </x:c>
      <x:c r="G569" t="str">
        <x:v>equals</x:v>
      </x:c>
      <x:c r="H569" t="str">
        <x:f>IF(E569=F569,"PASS","FAIL")</x:f>
        <x:v>PASS</x:v>
      </x:c>
    </x:row>
    <x:row r="570">
      <x:c r="B570" t="str">
        <x:v>A-00538</x:v>
      </x:c>
      <x:c r="C570" t="str">
        <x:v>GATE</x:v>
      </x:c>
      <x:c r="D570" t="str">
        <x:v>release state mirrors governing ledger</x:v>
      </x:c>
      <x:c r="E570" t="str">
        <x:f>'Release Gates'!I544</x:f>
        <x:v>OPEN</x:v>
      </x:c>
      <x:c r="F570" t="str">
        <x:f>IF('Release Gates'!C544="PLANNING","PASS",IF('Release Gates'!C544="PHYSICAL","OPEN","BLOCKED"))</x:f>
        <x:v>OPEN</x:v>
      </x:c>
      <x:c r="G570" t="str">
        <x:v>equals</x:v>
      </x:c>
      <x:c r="H570" t="str">
        <x:f>IF(E570=F570,"PASS","FAIL")</x:f>
        <x:v>PASS</x:v>
      </x:c>
    </x:row>
    <x:row r="571">
      <x:c r="B571" t="str">
        <x:v>A-00539</x:v>
      </x:c>
      <x:c r="C571" t="str">
        <x:v>GATE</x:v>
      </x:c>
      <x:c r="D571" t="str">
        <x:v>release state mirrors governing ledger</x:v>
      </x:c>
      <x:c r="E571" t="str">
        <x:f>'Release Gates'!I545</x:f>
        <x:v>OPEN</x:v>
      </x:c>
      <x:c r="F571" t="str">
        <x:f>IF('Release Gates'!C545="PLANNING","PASS",IF('Release Gates'!C545="PHYSICAL","OPEN","BLOCKED"))</x:f>
        <x:v>OPEN</x:v>
      </x:c>
      <x:c r="G571" t="str">
        <x:v>equals</x:v>
      </x:c>
      <x:c r="H571" t="str">
        <x:f>IF(E571=F571,"PASS","FAIL")</x:f>
        <x:v>PASS</x:v>
      </x:c>
    </x:row>
    <x:row r="572">
      <x:c r="B572" t="str">
        <x:v>A-00540</x:v>
      </x:c>
      <x:c r="C572" t="str">
        <x:v>GATE</x:v>
      </x:c>
      <x:c r="D572" t="str">
        <x:v>release state mirrors governing ledger</x:v>
      </x:c>
      <x:c r="E572" t="str">
        <x:f>'Release Gates'!I546</x:f>
        <x:v>OPEN</x:v>
      </x:c>
      <x:c r="F572" t="str">
        <x:f>IF('Release Gates'!C546="PLANNING","PASS",IF('Release Gates'!C546="PHYSICAL","OPEN","BLOCKED"))</x:f>
        <x:v>OPEN</x:v>
      </x:c>
      <x:c r="G572" t="str">
        <x:v>equals</x:v>
      </x:c>
      <x:c r="H572" t="str">
        <x:f>IF(E572=F572,"PASS","FAIL")</x:f>
        <x:v>PASS</x:v>
      </x:c>
    </x:row>
    <x:row r="573">
      <x:c r="B573" t="str">
        <x:v>A-00541</x:v>
      </x:c>
      <x:c r="C573" t="str">
        <x:v>GATE</x:v>
      </x:c>
      <x:c r="D573" t="str">
        <x:v>release state mirrors governing ledger</x:v>
      </x:c>
      <x:c r="E573" t="str">
        <x:f>'Release Gates'!I547</x:f>
        <x:v>OPEN</x:v>
      </x:c>
      <x:c r="F573" t="str">
        <x:f>IF('Release Gates'!C547="PLANNING","PASS",IF('Release Gates'!C547="PHYSICAL","OPEN","BLOCKED"))</x:f>
        <x:v>OPEN</x:v>
      </x:c>
      <x:c r="G573" t="str">
        <x:v>equals</x:v>
      </x:c>
      <x:c r="H573" t="str">
        <x:f>IF(E573=F573,"PASS","FAIL")</x:f>
        <x:v>PASS</x:v>
      </x:c>
    </x:row>
    <x:row r="574">
      <x:c r="B574" t="str">
        <x:v>A-00542</x:v>
      </x:c>
      <x:c r="C574" t="str">
        <x:v>GATE</x:v>
      </x:c>
      <x:c r="D574" t="str">
        <x:v>release state mirrors governing ledger</x:v>
      </x:c>
      <x:c r="E574" t="str">
        <x:f>'Release Gates'!I548</x:f>
        <x:v>OPEN</x:v>
      </x:c>
      <x:c r="F574" t="str">
        <x:f>IF('Release Gates'!C548="PLANNING","PASS",IF('Release Gates'!C548="PHYSICAL","OPEN","BLOCKED"))</x:f>
        <x:v>OPEN</x:v>
      </x:c>
      <x:c r="G574" t="str">
        <x:v>equals</x:v>
      </x:c>
      <x:c r="H574" t="str">
        <x:f>IF(E574=F574,"PASS","FAIL")</x:f>
        <x:v>PASS</x:v>
      </x:c>
    </x:row>
    <x:row r="575">
      <x:c r="B575" t="str">
        <x:v>A-00543</x:v>
      </x:c>
      <x:c r="C575" t="str">
        <x:v>GATE</x:v>
      </x:c>
      <x:c r="D575" t="str">
        <x:v>release state mirrors governing ledger</x:v>
      </x:c>
      <x:c r="E575" t="str">
        <x:f>'Release Gates'!I549</x:f>
        <x:v>OPEN</x:v>
      </x:c>
      <x:c r="F575" t="str">
        <x:f>IF('Release Gates'!C549="PLANNING","PASS",IF('Release Gates'!C549="PHYSICAL","OPEN","BLOCKED"))</x:f>
        <x:v>OPEN</x:v>
      </x:c>
      <x:c r="G575" t="str">
        <x:v>equals</x:v>
      </x:c>
      <x:c r="H575" t="str">
        <x:f>IF(E575=F575,"PASS","FAIL")</x:f>
        <x:v>PASS</x:v>
      </x:c>
    </x:row>
    <x:row r="576">
      <x:c r="B576" t="str">
        <x:v>A-00544</x:v>
      </x:c>
      <x:c r="C576" t="str">
        <x:v>GATE</x:v>
      </x:c>
      <x:c r="D576" t="str">
        <x:v>release state mirrors governing ledger</x:v>
      </x:c>
      <x:c r="E576" t="str">
        <x:f>'Release Gates'!I550</x:f>
        <x:v>OPEN</x:v>
      </x:c>
      <x:c r="F576" t="str">
        <x:f>IF('Release Gates'!C550="PLANNING","PASS",IF('Release Gates'!C550="PHYSICAL","OPEN","BLOCKED"))</x:f>
        <x:v>OPEN</x:v>
      </x:c>
      <x:c r="G576" t="str">
        <x:v>equals</x:v>
      </x:c>
      <x:c r="H576" t="str">
        <x:f>IF(E576=F576,"PASS","FAIL")</x:f>
        <x:v>PASS</x:v>
      </x:c>
    </x:row>
    <x:row r="577">
      <x:c r="B577" t="str">
        <x:v>A-00545</x:v>
      </x:c>
      <x:c r="C577" t="str">
        <x:v>GATE</x:v>
      </x:c>
      <x:c r="D577" t="str">
        <x:v>release state mirrors governing ledger</x:v>
      </x:c>
      <x:c r="E577" t="str">
        <x:f>'Release Gates'!I551</x:f>
        <x:v>OPEN</x:v>
      </x:c>
      <x:c r="F577" t="str">
        <x:f>IF('Release Gates'!C551="PLANNING","PASS",IF('Release Gates'!C551="PHYSICAL","OPEN","BLOCKED"))</x:f>
        <x:v>OPEN</x:v>
      </x:c>
      <x:c r="G577" t="str">
        <x:v>equals</x:v>
      </x:c>
      <x:c r="H577" t="str">
        <x:f>IF(E577=F577,"PASS","FAIL")</x:f>
        <x:v>PASS</x:v>
      </x:c>
    </x:row>
    <x:row r="578">
      <x:c r="B578" t="str">
        <x:v>A-00546</x:v>
      </x:c>
      <x:c r="C578" t="str">
        <x:v>GATE</x:v>
      </x:c>
      <x:c r="D578" t="str">
        <x:v>release state mirrors governing ledger</x:v>
      </x:c>
      <x:c r="E578" t="str">
        <x:f>'Release Gates'!I552</x:f>
        <x:v>OPEN</x:v>
      </x:c>
      <x:c r="F578" t="str">
        <x:f>IF('Release Gates'!C552="PLANNING","PASS",IF('Release Gates'!C552="PHYSICAL","OPEN","BLOCKED"))</x:f>
        <x:v>OPEN</x:v>
      </x:c>
      <x:c r="G578" t="str">
        <x:v>equals</x:v>
      </x:c>
      <x:c r="H578" t="str">
        <x:f>IF(E578=F578,"PASS","FAIL")</x:f>
        <x:v>PASS</x:v>
      </x:c>
    </x:row>
    <x:row r="579">
      <x:c r="B579" t="str">
        <x:v>A-00547</x:v>
      </x:c>
      <x:c r="C579" t="str">
        <x:v>GATE</x:v>
      </x:c>
      <x:c r="D579" t="str">
        <x:v>release state mirrors governing ledger</x:v>
      </x:c>
      <x:c r="E579" t="str">
        <x:f>'Release Gates'!I553</x:f>
        <x:v>OPEN</x:v>
      </x:c>
      <x:c r="F579" t="str">
        <x:f>IF('Release Gates'!C553="PLANNING","PASS",IF('Release Gates'!C553="PHYSICAL","OPEN","BLOCKED"))</x:f>
        <x:v>OPEN</x:v>
      </x:c>
      <x:c r="G579" t="str">
        <x:v>equals</x:v>
      </x:c>
      <x:c r="H579" t="str">
        <x:f>IF(E579=F579,"PASS","FAIL")</x:f>
        <x:v>PASS</x:v>
      </x:c>
    </x:row>
    <x:row r="580">
      <x:c r="B580" t="str">
        <x:v>A-00548</x:v>
      </x:c>
      <x:c r="C580" t="str">
        <x:v>GATE</x:v>
      </x:c>
      <x:c r="D580" t="str">
        <x:v>release state mirrors governing ledger</x:v>
      </x:c>
      <x:c r="E580" t="str">
        <x:f>'Release Gates'!I554</x:f>
        <x:v>OPEN</x:v>
      </x:c>
      <x:c r="F580" t="str">
        <x:f>IF('Release Gates'!C554="PLANNING","PASS",IF('Release Gates'!C554="PHYSICAL","OPEN","BLOCKED"))</x:f>
        <x:v>OPEN</x:v>
      </x:c>
      <x:c r="G580" t="str">
        <x:v>equals</x:v>
      </x:c>
      <x:c r="H580" t="str">
        <x:f>IF(E580=F580,"PASS","FAIL")</x:f>
        <x:v>PASS</x:v>
      </x:c>
    </x:row>
    <x:row r="581">
      <x:c r="B581" t="str">
        <x:v>A-00549</x:v>
      </x:c>
      <x:c r="C581" t="str">
        <x:v>GATE</x:v>
      </x:c>
      <x:c r="D581" t="str">
        <x:v>release state mirrors governing ledger</x:v>
      </x:c>
      <x:c r="E581" t="str">
        <x:f>'Release Gates'!I555</x:f>
        <x:v>OPEN</x:v>
      </x:c>
      <x:c r="F581" t="str">
        <x:f>IF('Release Gates'!C555="PLANNING","PASS",IF('Release Gates'!C555="PHYSICAL","OPEN","BLOCKED"))</x:f>
        <x:v>OPEN</x:v>
      </x:c>
      <x:c r="G581" t="str">
        <x:v>equals</x:v>
      </x:c>
      <x:c r="H581" t="str">
        <x:f>IF(E581=F581,"PASS","FAIL")</x:f>
        <x:v>PASS</x:v>
      </x:c>
    </x:row>
    <x:row r="582">
      <x:c r="B582" t="str">
        <x:v>A-00550</x:v>
      </x:c>
      <x:c r="C582" t="str">
        <x:v>GATE</x:v>
      </x:c>
      <x:c r="D582" t="str">
        <x:v>release state mirrors governing ledger</x:v>
      </x:c>
      <x:c r="E582" t="str">
        <x:f>'Release Gates'!I556</x:f>
        <x:v>OPEN</x:v>
      </x:c>
      <x:c r="F582" t="str">
        <x:f>IF('Release Gates'!C556="PLANNING","PASS",IF('Release Gates'!C556="PHYSICAL","OPEN","BLOCKED"))</x:f>
        <x:v>OPEN</x:v>
      </x:c>
      <x:c r="G582" t="str">
        <x:v>equals</x:v>
      </x:c>
      <x:c r="H582" t="str">
        <x:f>IF(E582=F582,"PASS","FAIL")</x:f>
        <x:v>PASS</x:v>
      </x:c>
    </x:row>
    <x:row r="583">
      <x:c r="B583" t="str">
        <x:v>A-00551</x:v>
      </x:c>
      <x:c r="C583" t="str">
        <x:v>GATE</x:v>
      </x:c>
      <x:c r="D583" t="str">
        <x:v>release state mirrors governing ledger</x:v>
      </x:c>
      <x:c r="E583" t="str">
        <x:f>'Release Gates'!I557</x:f>
        <x:v>OPEN</x:v>
      </x:c>
      <x:c r="F583" t="str">
        <x:f>IF('Release Gates'!C557="PLANNING","PASS",IF('Release Gates'!C557="PHYSICAL","OPEN","BLOCKED"))</x:f>
        <x:v>OPEN</x:v>
      </x:c>
      <x:c r="G583" t="str">
        <x:v>equals</x:v>
      </x:c>
      <x:c r="H583" t="str">
        <x:f>IF(E583=F583,"PASS","FAIL")</x:f>
        <x:v>PASS</x:v>
      </x:c>
    </x:row>
    <x:row r="584">
      <x:c r="B584" t="str">
        <x:v>A-00552</x:v>
      </x:c>
      <x:c r="C584" t="str">
        <x:v>GATE</x:v>
      </x:c>
      <x:c r="D584" t="str">
        <x:v>release state mirrors governing ledger</x:v>
      </x:c>
      <x:c r="E584" t="str">
        <x:f>'Release Gates'!I558</x:f>
        <x:v>OPEN</x:v>
      </x:c>
      <x:c r="F584" t="str">
        <x:f>IF('Release Gates'!C558="PLANNING","PASS",IF('Release Gates'!C558="PHYSICAL","OPEN","BLOCKED"))</x:f>
        <x:v>OPEN</x:v>
      </x:c>
      <x:c r="G584" t="str">
        <x:v>equals</x:v>
      </x:c>
      <x:c r="H584" t="str">
        <x:f>IF(E584=F584,"PASS","FAIL")</x:f>
        <x:v>PASS</x:v>
      </x:c>
    </x:row>
    <x:row r="585">
      <x:c r="B585" t="str">
        <x:v>A-00553</x:v>
      </x:c>
      <x:c r="C585" t="str">
        <x:v>GATE</x:v>
      </x:c>
      <x:c r="D585" t="str">
        <x:v>release state mirrors governing ledger</x:v>
      </x:c>
      <x:c r="E585" t="str">
        <x:f>'Release Gates'!I559</x:f>
        <x:v>OPEN</x:v>
      </x:c>
      <x:c r="F585" t="str">
        <x:f>IF('Release Gates'!C559="PLANNING","PASS",IF('Release Gates'!C559="PHYSICAL","OPEN","BLOCKED"))</x:f>
        <x:v>OPEN</x:v>
      </x:c>
      <x:c r="G585" t="str">
        <x:v>equals</x:v>
      </x:c>
      <x:c r="H585" t="str">
        <x:f>IF(E585=F585,"PASS","FAIL")</x:f>
        <x:v>PASS</x:v>
      </x:c>
    </x:row>
    <x:row r="586">
      <x:c r="B586" t="str">
        <x:v>A-00554</x:v>
      </x:c>
      <x:c r="C586" t="str">
        <x:v>GATE</x:v>
      </x:c>
      <x:c r="D586" t="str">
        <x:v>release state mirrors governing ledger</x:v>
      </x:c>
      <x:c r="E586" t="str">
        <x:f>'Release Gates'!I560</x:f>
        <x:v>OPEN</x:v>
      </x:c>
      <x:c r="F586" t="str">
        <x:f>IF('Release Gates'!C560="PLANNING","PASS",IF('Release Gates'!C560="PHYSICAL","OPEN","BLOCKED"))</x:f>
        <x:v>OPEN</x:v>
      </x:c>
      <x:c r="G586" t="str">
        <x:v>equals</x:v>
      </x:c>
      <x:c r="H586" t="str">
        <x:f>IF(E586=F586,"PASS","FAIL")</x:f>
        <x:v>PASS</x:v>
      </x:c>
    </x:row>
    <x:row r="587">
      <x:c r="B587" t="str">
        <x:v>A-00555</x:v>
      </x:c>
      <x:c r="C587" t="str">
        <x:v>GATE</x:v>
      </x:c>
      <x:c r="D587" t="str">
        <x:v>release state mirrors governing ledger</x:v>
      </x:c>
      <x:c r="E587" t="str">
        <x:f>'Release Gates'!I561</x:f>
        <x:v>OPEN</x:v>
      </x:c>
      <x:c r="F587" t="str">
        <x:f>IF('Release Gates'!C561="PLANNING","PASS",IF('Release Gates'!C561="PHYSICAL","OPEN","BLOCKED"))</x:f>
        <x:v>OPEN</x:v>
      </x:c>
      <x:c r="G587" t="str">
        <x:v>equals</x:v>
      </x:c>
      <x:c r="H587" t="str">
        <x:f>IF(E587=F587,"PASS","FAIL")</x:f>
        <x:v>PASS</x:v>
      </x:c>
    </x:row>
    <x:row r="588">
      <x:c r="B588" t="str">
        <x:v>A-00556</x:v>
      </x:c>
      <x:c r="C588" t="str">
        <x:v>GATE</x:v>
      </x:c>
      <x:c r="D588" t="str">
        <x:v>release state mirrors governing ledger</x:v>
      </x:c>
      <x:c r="E588" t="str">
        <x:f>'Release Gates'!I562</x:f>
        <x:v>OPEN</x:v>
      </x:c>
      <x:c r="F588" t="str">
        <x:f>IF('Release Gates'!C562="PLANNING","PASS",IF('Release Gates'!C562="PHYSICAL","OPEN","BLOCKED"))</x:f>
        <x:v>OPEN</x:v>
      </x:c>
      <x:c r="G588" t="str">
        <x:v>equals</x:v>
      </x:c>
      <x:c r="H588" t="str">
        <x:f>IF(E588=F588,"PASS","FAIL")</x:f>
        <x:v>PASS</x:v>
      </x:c>
    </x:row>
    <x:row r="589">
      <x:c r="B589" t="str">
        <x:v>A-00557</x:v>
      </x:c>
      <x:c r="C589" t="str">
        <x:v>GATE</x:v>
      </x:c>
      <x:c r="D589" t="str">
        <x:v>release state mirrors governing ledger</x:v>
      </x:c>
      <x:c r="E589" t="str">
        <x:f>'Release Gates'!I563</x:f>
        <x:v>OPEN</x:v>
      </x:c>
      <x:c r="F589" t="str">
        <x:f>IF('Release Gates'!C563="PLANNING","PASS",IF('Release Gates'!C563="PHYSICAL","OPEN","BLOCKED"))</x:f>
        <x:v>OPEN</x:v>
      </x:c>
      <x:c r="G589" t="str">
        <x:v>equals</x:v>
      </x:c>
      <x:c r="H589" t="str">
        <x:f>IF(E589=F589,"PASS","FAIL")</x:f>
        <x:v>PASS</x:v>
      </x:c>
    </x:row>
    <x:row r="590">
      <x:c r="B590" t="str">
        <x:v>A-00558</x:v>
      </x:c>
      <x:c r="C590" t="str">
        <x:v>GATE</x:v>
      </x:c>
      <x:c r="D590" t="str">
        <x:v>release state mirrors governing ledger</x:v>
      </x:c>
      <x:c r="E590" t="str">
        <x:f>'Release Gates'!I564</x:f>
        <x:v>OPEN</x:v>
      </x:c>
      <x:c r="F590" t="str">
        <x:f>IF('Release Gates'!C564="PLANNING","PASS",IF('Release Gates'!C564="PHYSICAL","OPEN","BLOCKED"))</x:f>
        <x:v>OPEN</x:v>
      </x:c>
      <x:c r="G590" t="str">
        <x:v>equals</x:v>
      </x:c>
      <x:c r="H590" t="str">
        <x:f>IF(E590=F590,"PASS","FAIL")</x:f>
        <x:v>PASS</x:v>
      </x:c>
    </x:row>
    <x:row r="591">
      <x:c r="B591" t="str">
        <x:v>A-00559</x:v>
      </x:c>
      <x:c r="C591" t="str">
        <x:v>GATE</x:v>
      </x:c>
      <x:c r="D591" t="str">
        <x:v>release state mirrors governing ledger</x:v>
      </x:c>
      <x:c r="E591" t="str">
        <x:f>'Release Gates'!I565</x:f>
        <x:v>OPEN</x:v>
      </x:c>
      <x:c r="F591" t="str">
        <x:f>IF('Release Gates'!C565="PLANNING","PASS",IF('Release Gates'!C565="PHYSICAL","OPEN","BLOCKED"))</x:f>
        <x:v>OPEN</x:v>
      </x:c>
      <x:c r="G591" t="str">
        <x:v>equals</x:v>
      </x:c>
      <x:c r="H591" t="str">
        <x:f>IF(E591=F591,"PASS","FAIL")</x:f>
        <x:v>PASS</x:v>
      </x:c>
    </x:row>
    <x:row r="592">
      <x:c r="B592" t="str">
        <x:v>A-00560</x:v>
      </x:c>
      <x:c r="C592" t="str">
        <x:v>GATE</x:v>
      </x:c>
      <x:c r="D592" t="str">
        <x:v>release state mirrors governing ledger</x:v>
      </x:c>
      <x:c r="E592" t="str">
        <x:f>'Release Gates'!I566</x:f>
        <x:v>OPEN</x:v>
      </x:c>
      <x:c r="F592" t="str">
        <x:f>IF('Release Gates'!C566="PLANNING","PASS",IF('Release Gates'!C566="PHYSICAL","OPEN","BLOCKED"))</x:f>
        <x:v>OPEN</x:v>
      </x:c>
      <x:c r="G592" t="str">
        <x:v>equals</x:v>
      </x:c>
      <x:c r="H592" t="str">
        <x:f>IF(E592=F592,"PASS","FAIL")</x:f>
        <x:v>PASS</x:v>
      </x:c>
    </x:row>
    <x:row r="593">
      <x:c r="B593" t="str">
        <x:v>A-00561</x:v>
      </x:c>
      <x:c r="C593" t="str">
        <x:v>GATE</x:v>
      </x:c>
      <x:c r="D593" t="str">
        <x:v>release state mirrors governing ledger</x:v>
      </x:c>
      <x:c r="E593" t="str">
        <x:f>'Release Gates'!I567</x:f>
        <x:v>OPEN</x:v>
      </x:c>
      <x:c r="F593" t="str">
        <x:f>IF('Release Gates'!C567="PLANNING","PASS",IF('Release Gates'!C567="PHYSICAL","OPEN","BLOCKED"))</x:f>
        <x:v>OPEN</x:v>
      </x:c>
      <x:c r="G593" t="str">
        <x:v>equals</x:v>
      </x:c>
      <x:c r="H593" t="str">
        <x:f>IF(E593=F593,"PASS","FAIL")</x:f>
        <x:v>PASS</x:v>
      </x:c>
    </x:row>
    <x:row r="594">
      <x:c r="B594" t="str">
        <x:v>A-00562</x:v>
      </x:c>
      <x:c r="C594" t="str">
        <x:v>GATE</x:v>
      </x:c>
      <x:c r="D594" t="str">
        <x:v>release state mirrors governing ledger</x:v>
      </x:c>
      <x:c r="E594" t="str">
        <x:f>'Release Gates'!I568</x:f>
        <x:v>OPEN</x:v>
      </x:c>
      <x:c r="F594" t="str">
        <x:f>IF('Release Gates'!C568="PLANNING","PASS",IF('Release Gates'!C568="PHYSICAL","OPEN","BLOCKED"))</x:f>
        <x:v>OPEN</x:v>
      </x:c>
      <x:c r="G594" t="str">
        <x:v>equals</x:v>
      </x:c>
      <x:c r="H594" t="str">
        <x:f>IF(E594=F594,"PASS","FAIL")</x:f>
        <x:v>PASS</x:v>
      </x:c>
    </x:row>
    <x:row r="595">
      <x:c r="B595" t="str">
        <x:v>A-00563</x:v>
      </x:c>
      <x:c r="C595" t="str">
        <x:v>GATE</x:v>
      </x:c>
      <x:c r="D595" t="str">
        <x:v>release state mirrors governing ledger</x:v>
      </x:c>
      <x:c r="E595" t="str">
        <x:f>'Release Gates'!I569</x:f>
        <x:v>OPEN</x:v>
      </x:c>
      <x:c r="F595" t="str">
        <x:f>IF('Release Gates'!C569="PLANNING","PASS",IF('Release Gates'!C569="PHYSICAL","OPEN","BLOCKED"))</x:f>
        <x:v>OPEN</x:v>
      </x:c>
      <x:c r="G595" t="str">
        <x:v>equals</x:v>
      </x:c>
      <x:c r="H595" t="str">
        <x:f>IF(E595=F595,"PASS","FAIL")</x:f>
        <x:v>PASS</x:v>
      </x:c>
    </x:row>
    <x:row r="596">
      <x:c r="B596" t="str">
        <x:v>A-00564</x:v>
      </x:c>
      <x:c r="C596" t="str">
        <x:v>GATE</x:v>
      </x:c>
      <x:c r="D596" t="str">
        <x:v>release state mirrors governing ledger</x:v>
      </x:c>
      <x:c r="E596" t="str">
        <x:f>'Release Gates'!I570</x:f>
        <x:v>OPEN</x:v>
      </x:c>
      <x:c r="F596" t="str">
        <x:f>IF('Release Gates'!C570="PLANNING","PASS",IF('Release Gates'!C570="PHYSICAL","OPEN","BLOCKED"))</x:f>
        <x:v>OPEN</x:v>
      </x:c>
      <x:c r="G596" t="str">
        <x:v>equals</x:v>
      </x:c>
      <x:c r="H596" t="str">
        <x:f>IF(E596=F596,"PASS","FAIL")</x:f>
        <x:v>PASS</x:v>
      </x:c>
    </x:row>
    <x:row r="597">
      <x:c r="B597" t="str">
        <x:v>A-00565</x:v>
      </x:c>
      <x:c r="C597" t="str">
        <x:v>GATE</x:v>
      </x:c>
      <x:c r="D597" t="str">
        <x:v>release state mirrors governing ledger</x:v>
      </x:c>
      <x:c r="E597" t="str">
        <x:f>'Release Gates'!I571</x:f>
        <x:v>OPEN</x:v>
      </x:c>
      <x:c r="F597" t="str">
        <x:f>IF('Release Gates'!C571="PLANNING","PASS",IF('Release Gates'!C571="PHYSICAL","OPEN","BLOCKED"))</x:f>
        <x:v>OPEN</x:v>
      </x:c>
      <x:c r="G597" t="str">
        <x:v>equals</x:v>
      </x:c>
      <x:c r="H597" t="str">
        <x:f>IF(E597=F597,"PASS","FAIL")</x:f>
        <x:v>PASS</x:v>
      </x:c>
    </x:row>
    <x:row r="598">
      <x:c r="B598" t="str">
        <x:v>A-00566</x:v>
      </x:c>
      <x:c r="C598" t="str">
        <x:v>GATE</x:v>
      </x:c>
      <x:c r="D598" t="str">
        <x:v>release state mirrors governing ledger</x:v>
      </x:c>
      <x:c r="E598" t="str">
        <x:f>'Release Gates'!I572</x:f>
        <x:v>OPEN</x:v>
      </x:c>
      <x:c r="F598" t="str">
        <x:f>IF('Release Gates'!C572="PLANNING","PASS",IF('Release Gates'!C572="PHYSICAL","OPEN","BLOCKED"))</x:f>
        <x:v>OPEN</x:v>
      </x:c>
      <x:c r="G598" t="str">
        <x:v>equals</x:v>
      </x:c>
      <x:c r="H598" t="str">
        <x:f>IF(E598=F598,"PASS","FAIL")</x:f>
        <x:v>PASS</x:v>
      </x:c>
    </x:row>
    <x:row r="599">
      <x:c r="B599" t="str">
        <x:v>A-00567</x:v>
      </x:c>
      <x:c r="C599" t="str">
        <x:v>GATE</x:v>
      </x:c>
      <x:c r="D599" t="str">
        <x:v>release state mirrors governing ledger</x:v>
      </x:c>
      <x:c r="E599" t="str">
        <x:f>'Release Gates'!I573</x:f>
        <x:v>OPEN</x:v>
      </x:c>
      <x:c r="F599" t="str">
        <x:f>IF('Release Gates'!C573="PLANNING","PASS",IF('Release Gates'!C573="PHYSICAL","OPEN","BLOCKED"))</x:f>
        <x:v>OPEN</x:v>
      </x:c>
      <x:c r="G599" t="str">
        <x:v>equals</x:v>
      </x:c>
      <x:c r="H599" t="str">
        <x:f>IF(E599=F599,"PASS","FAIL")</x:f>
        <x:v>PASS</x:v>
      </x:c>
    </x:row>
    <x:row r="600">
      <x:c r="B600" t="str">
        <x:v>A-00568</x:v>
      </x:c>
      <x:c r="C600" t="str">
        <x:v>GATE</x:v>
      </x:c>
      <x:c r="D600" t="str">
        <x:v>release state mirrors governing ledger</x:v>
      </x:c>
      <x:c r="E600" t="str">
        <x:f>'Release Gates'!I574</x:f>
        <x:v>OPEN</x:v>
      </x:c>
      <x:c r="F600" t="str">
        <x:f>IF('Release Gates'!C574="PLANNING","PASS",IF('Release Gates'!C574="PHYSICAL","OPEN","BLOCKED"))</x:f>
        <x:v>OPEN</x:v>
      </x:c>
      <x:c r="G600" t="str">
        <x:v>equals</x:v>
      </x:c>
      <x:c r="H600" t="str">
        <x:f>IF(E600=F600,"PASS","FAIL")</x:f>
        <x:v>PASS</x:v>
      </x:c>
    </x:row>
    <x:row r="601">
      <x:c r="B601" t="str">
        <x:v>A-00569</x:v>
      </x:c>
      <x:c r="C601" t="str">
        <x:v>GATE</x:v>
      </x:c>
      <x:c r="D601" t="str">
        <x:v>release state mirrors governing ledger</x:v>
      </x:c>
      <x:c r="E601" t="str">
        <x:f>'Release Gates'!I575</x:f>
        <x:v>OPEN</x:v>
      </x:c>
      <x:c r="F601" t="str">
        <x:f>IF('Release Gates'!C575="PLANNING","PASS",IF('Release Gates'!C575="PHYSICAL","OPEN","BLOCKED"))</x:f>
        <x:v>OPEN</x:v>
      </x:c>
      <x:c r="G601" t="str">
        <x:v>equals</x:v>
      </x:c>
      <x:c r="H601" t="str">
        <x:f>IF(E601=F601,"PASS","FAIL")</x:f>
        <x:v>PASS</x:v>
      </x:c>
    </x:row>
    <x:row r="602">
      <x:c r="B602" t="str">
        <x:v>A-00570</x:v>
      </x:c>
      <x:c r="C602" t="str">
        <x:v>GATE</x:v>
      </x:c>
      <x:c r="D602" t="str">
        <x:v>release state mirrors governing ledger</x:v>
      </x:c>
      <x:c r="E602" t="str">
        <x:f>'Release Gates'!I576</x:f>
        <x:v>OPEN</x:v>
      </x:c>
      <x:c r="F602" t="str">
        <x:f>IF('Release Gates'!C576="PLANNING","PASS",IF('Release Gates'!C576="PHYSICAL","OPEN","BLOCKED"))</x:f>
        <x:v>OPEN</x:v>
      </x:c>
      <x:c r="G602" t="str">
        <x:v>equals</x:v>
      </x:c>
      <x:c r="H602" t="str">
        <x:f>IF(E602=F602,"PASS","FAIL")</x:f>
        <x:v>PASS</x:v>
      </x:c>
    </x:row>
    <x:row r="603">
      <x:c r="B603" t="str">
        <x:v>A-00571</x:v>
      </x:c>
      <x:c r="C603" t="str">
        <x:v>GATE</x:v>
      </x:c>
      <x:c r="D603" t="str">
        <x:v>release state mirrors governing ledger</x:v>
      </x:c>
      <x:c r="E603" t="str">
        <x:f>'Release Gates'!I577</x:f>
        <x:v>OPEN</x:v>
      </x:c>
      <x:c r="F603" t="str">
        <x:f>IF('Release Gates'!C577="PLANNING","PASS",IF('Release Gates'!C577="PHYSICAL","OPEN","BLOCKED"))</x:f>
        <x:v>OPEN</x:v>
      </x:c>
      <x:c r="G603" t="str">
        <x:v>equals</x:v>
      </x:c>
      <x:c r="H603" t="str">
        <x:f>IF(E603=F603,"PASS","FAIL")</x:f>
        <x:v>PASS</x:v>
      </x:c>
    </x:row>
    <x:row r="604">
      <x:c r="B604" t="str">
        <x:v>A-00572</x:v>
      </x:c>
      <x:c r="C604" t="str">
        <x:v>GATE</x:v>
      </x:c>
      <x:c r="D604" t="str">
        <x:v>release state mirrors governing ledger</x:v>
      </x:c>
      <x:c r="E604" t="str">
        <x:f>'Release Gates'!I578</x:f>
        <x:v>OPEN</x:v>
      </x:c>
      <x:c r="F604" t="str">
        <x:f>IF('Release Gates'!C578="PLANNING","PASS",IF('Release Gates'!C578="PHYSICAL","OPEN","BLOCKED"))</x:f>
        <x:v>OPEN</x:v>
      </x:c>
      <x:c r="G604" t="str">
        <x:v>equals</x:v>
      </x:c>
      <x:c r="H604" t="str">
        <x:f>IF(E604=F604,"PASS","FAIL")</x:f>
        <x:v>PASS</x:v>
      </x:c>
    </x:row>
    <x:row r="605">
      <x:c r="B605" t="str">
        <x:v>A-00573</x:v>
      </x:c>
      <x:c r="C605" t="str">
        <x:v>GATE</x:v>
      </x:c>
      <x:c r="D605" t="str">
        <x:v>release state mirrors governing ledger</x:v>
      </x:c>
      <x:c r="E605" t="str">
        <x:f>'Release Gates'!I579</x:f>
        <x:v>OPEN</x:v>
      </x:c>
      <x:c r="F605" t="str">
        <x:f>IF('Release Gates'!C579="PLANNING","PASS",IF('Release Gates'!C579="PHYSICAL","OPEN","BLOCKED"))</x:f>
        <x:v>OPEN</x:v>
      </x:c>
      <x:c r="G605" t="str">
        <x:v>equals</x:v>
      </x:c>
      <x:c r="H605" t="str">
        <x:f>IF(E605=F605,"PASS","FAIL")</x:f>
        <x:v>PASS</x:v>
      </x:c>
    </x:row>
    <x:row r="606">
      <x:c r="B606" t="str">
        <x:v>A-00574</x:v>
      </x:c>
      <x:c r="C606" t="str">
        <x:v>GATE</x:v>
      </x:c>
      <x:c r="D606" t="str">
        <x:v>release state mirrors governing ledger</x:v>
      </x:c>
      <x:c r="E606" t="str">
        <x:f>'Release Gates'!I580</x:f>
        <x:v>OPEN</x:v>
      </x:c>
      <x:c r="F606" t="str">
        <x:f>IF('Release Gates'!C580="PLANNING","PASS",IF('Release Gates'!C580="PHYSICAL","OPEN","BLOCKED"))</x:f>
        <x:v>OPEN</x:v>
      </x:c>
      <x:c r="G606" t="str">
        <x:v>equals</x:v>
      </x:c>
      <x:c r="H606" t="str">
        <x:f>IF(E606=F606,"PASS","FAIL")</x:f>
        <x:v>PASS</x:v>
      </x:c>
    </x:row>
    <x:row r="607">
      <x:c r="B607" t="str">
        <x:v>A-00575</x:v>
      </x:c>
      <x:c r="C607" t="str">
        <x:v>GATE</x:v>
      </x:c>
      <x:c r="D607" t="str">
        <x:v>release state mirrors governing ledger</x:v>
      </x:c>
      <x:c r="E607" t="str">
        <x:f>'Release Gates'!I581</x:f>
        <x:v>OPEN</x:v>
      </x:c>
      <x:c r="F607" t="str">
        <x:f>IF('Release Gates'!C581="PLANNING","PASS",IF('Release Gates'!C581="PHYSICAL","OPEN","BLOCKED"))</x:f>
        <x:v>OPEN</x:v>
      </x:c>
      <x:c r="G607" t="str">
        <x:v>equals</x:v>
      </x:c>
      <x:c r="H607" t="str">
        <x:f>IF(E607=F607,"PASS","FAIL")</x:f>
        <x:v>PASS</x:v>
      </x:c>
    </x:row>
    <x:row r="608">
      <x:c r="B608" t="str">
        <x:v>A-00576</x:v>
      </x:c>
      <x:c r="C608" t="str">
        <x:v>GATE</x:v>
      </x:c>
      <x:c r="D608" t="str">
        <x:v>release state mirrors governing ledger</x:v>
      </x:c>
      <x:c r="E608" t="str">
        <x:f>'Release Gates'!I582</x:f>
        <x:v>OPEN</x:v>
      </x:c>
      <x:c r="F608" t="str">
        <x:f>IF('Release Gates'!C582="PLANNING","PASS",IF('Release Gates'!C582="PHYSICAL","OPEN","BLOCKED"))</x:f>
        <x:v>OPEN</x:v>
      </x:c>
      <x:c r="G608" t="str">
        <x:v>equals</x:v>
      </x:c>
      <x:c r="H608" t="str">
        <x:f>IF(E608=F608,"PASS","FAIL")</x:f>
        <x:v>PASS</x:v>
      </x:c>
    </x:row>
    <x:row r="609">
      <x:c r="B609" t="str">
        <x:v>A-00577</x:v>
      </x:c>
      <x:c r="C609" t="str">
        <x:v>GATE</x:v>
      </x:c>
      <x:c r="D609" t="str">
        <x:v>release state mirrors governing ledger</x:v>
      </x:c>
      <x:c r="E609" t="str">
        <x:f>'Release Gates'!I583</x:f>
        <x:v>OPEN</x:v>
      </x:c>
      <x:c r="F609" t="str">
        <x:f>IF('Release Gates'!C583="PLANNING","PASS",IF('Release Gates'!C583="PHYSICAL","OPEN","BLOCKED"))</x:f>
        <x:v>OPEN</x:v>
      </x:c>
      <x:c r="G609" t="str">
        <x:v>equals</x:v>
      </x:c>
      <x:c r="H609" t="str">
        <x:f>IF(E609=F609,"PASS","FAIL")</x:f>
        <x:v>PASS</x:v>
      </x:c>
    </x:row>
    <x:row r="610">
      <x:c r="B610" t="str">
        <x:v>A-00578</x:v>
      </x:c>
      <x:c r="C610" t="str">
        <x:v>GATE</x:v>
      </x:c>
      <x:c r="D610" t="str">
        <x:v>release state mirrors governing ledger</x:v>
      </x:c>
      <x:c r="E610" t="str">
        <x:f>'Release Gates'!I584</x:f>
        <x:v>OPEN</x:v>
      </x:c>
      <x:c r="F610" t="str">
        <x:f>IF('Release Gates'!C584="PLANNING","PASS",IF('Release Gates'!C584="PHYSICAL","OPEN","BLOCKED"))</x:f>
        <x:v>OPEN</x:v>
      </x:c>
      <x:c r="G610" t="str">
        <x:v>equals</x:v>
      </x:c>
      <x:c r="H610" t="str">
        <x:f>IF(E610=F610,"PASS","FAIL")</x:f>
        <x:v>PASS</x:v>
      </x:c>
    </x:row>
    <x:row r="611">
      <x:c r="B611" t="str">
        <x:v>A-00579</x:v>
      </x:c>
      <x:c r="C611" t="str">
        <x:v>GATE</x:v>
      </x:c>
      <x:c r="D611" t="str">
        <x:v>release state mirrors governing ledger</x:v>
      </x:c>
      <x:c r="E611" t="str">
        <x:f>'Release Gates'!I585</x:f>
        <x:v>OPEN</x:v>
      </x:c>
      <x:c r="F611" t="str">
        <x:f>IF('Release Gates'!C585="PLANNING","PASS",IF('Release Gates'!C585="PHYSICAL","OPEN","BLOCKED"))</x:f>
        <x:v>OPEN</x:v>
      </x:c>
      <x:c r="G611" t="str">
        <x:v>equals</x:v>
      </x:c>
      <x:c r="H611" t="str">
        <x:f>IF(E611=F611,"PASS","FAIL")</x:f>
        <x:v>PASS</x:v>
      </x:c>
    </x:row>
    <x:row r="612">
      <x:c r="B612" t="str">
        <x:v>A-00580</x:v>
      </x:c>
      <x:c r="C612" t="str">
        <x:v>GATE</x:v>
      </x:c>
      <x:c r="D612" t="str">
        <x:v>release state mirrors governing ledger</x:v>
      </x:c>
      <x:c r="E612" t="str">
        <x:f>'Release Gates'!I586</x:f>
        <x:v>OPEN</x:v>
      </x:c>
      <x:c r="F612" t="str">
        <x:f>IF('Release Gates'!C586="PLANNING","PASS",IF('Release Gates'!C586="PHYSICAL","OPEN","BLOCKED"))</x:f>
        <x:v>OPEN</x:v>
      </x:c>
      <x:c r="G612" t="str">
        <x:v>equals</x:v>
      </x:c>
      <x:c r="H612" t="str">
        <x:f>IF(E612=F612,"PASS","FAIL")</x:f>
        <x:v>PASS</x:v>
      </x:c>
    </x:row>
    <x:row r="613">
      <x:c r="B613" t="str">
        <x:v>A-00581</x:v>
      </x:c>
      <x:c r="C613" t="str">
        <x:v>GATE</x:v>
      </x:c>
      <x:c r="D613" t="str">
        <x:v>release state mirrors governing ledger</x:v>
      </x:c>
      <x:c r="E613" t="str">
        <x:f>'Release Gates'!I587</x:f>
        <x:v>OPEN</x:v>
      </x:c>
      <x:c r="F613" t="str">
        <x:f>IF('Release Gates'!C587="PLANNING","PASS",IF('Release Gates'!C587="PHYSICAL","OPEN","BLOCKED"))</x:f>
        <x:v>OPEN</x:v>
      </x:c>
      <x:c r="G613" t="str">
        <x:v>equals</x:v>
      </x:c>
      <x:c r="H613" t="str">
        <x:f>IF(E613=F613,"PASS","FAIL")</x:f>
        <x:v>PASS</x:v>
      </x:c>
    </x:row>
    <x:row r="614">
      <x:c r="B614" t="str">
        <x:v>A-00582</x:v>
      </x:c>
      <x:c r="C614" t="str">
        <x:v>GATE</x:v>
      </x:c>
      <x:c r="D614" t="str">
        <x:v>release state mirrors governing ledger</x:v>
      </x:c>
      <x:c r="E614" t="str">
        <x:f>'Release Gates'!I588</x:f>
        <x:v>OPEN</x:v>
      </x:c>
      <x:c r="F614" t="str">
        <x:f>IF('Release Gates'!C588="PLANNING","PASS",IF('Release Gates'!C588="PHYSICAL","OPEN","BLOCKED"))</x:f>
        <x:v>OPEN</x:v>
      </x:c>
      <x:c r="G614" t="str">
        <x:v>equals</x:v>
      </x:c>
      <x:c r="H614" t="str">
        <x:f>IF(E614=F614,"PASS","FAIL")</x:f>
        <x:v>PASS</x:v>
      </x:c>
    </x:row>
    <x:row r="615">
      <x:c r="B615" t="str">
        <x:v>A-00583</x:v>
      </x:c>
      <x:c r="C615" t="str">
        <x:v>GATE</x:v>
      </x:c>
      <x:c r="D615" t="str">
        <x:v>release state mirrors governing ledger</x:v>
      </x:c>
      <x:c r="E615" t="str">
        <x:f>'Release Gates'!I589</x:f>
        <x:v>OPEN</x:v>
      </x:c>
      <x:c r="F615" t="str">
        <x:f>IF('Release Gates'!C589="PLANNING","PASS",IF('Release Gates'!C589="PHYSICAL","OPEN","BLOCKED"))</x:f>
        <x:v>OPEN</x:v>
      </x:c>
      <x:c r="G615" t="str">
        <x:v>equals</x:v>
      </x:c>
      <x:c r="H615" t="str">
        <x:f>IF(E615=F615,"PASS","FAIL")</x:f>
        <x:v>PASS</x:v>
      </x:c>
    </x:row>
    <x:row r="616">
      <x:c r="B616" t="str">
        <x:v>A-00584</x:v>
      </x:c>
      <x:c r="C616" t="str">
        <x:v>GATE</x:v>
      </x:c>
      <x:c r="D616" t="str">
        <x:v>release state mirrors governing ledger</x:v>
      </x:c>
      <x:c r="E616" t="str">
        <x:f>'Release Gates'!I590</x:f>
        <x:v>OPEN</x:v>
      </x:c>
      <x:c r="F616" t="str">
        <x:f>IF('Release Gates'!C590="PLANNING","PASS",IF('Release Gates'!C590="PHYSICAL","OPEN","BLOCKED"))</x:f>
        <x:v>OPEN</x:v>
      </x:c>
      <x:c r="G616" t="str">
        <x:v>equals</x:v>
      </x:c>
      <x:c r="H616" t="str">
        <x:f>IF(E616=F616,"PASS","FAIL")</x:f>
        <x:v>PASS</x:v>
      </x:c>
    </x:row>
    <x:row r="617">
      <x:c r="B617" t="str">
        <x:v>A-00585</x:v>
      </x:c>
      <x:c r="C617" t="str">
        <x:v>GATE</x:v>
      </x:c>
      <x:c r="D617" t="str">
        <x:v>release state mirrors governing ledger</x:v>
      </x:c>
      <x:c r="E617" t="str">
        <x:f>'Release Gates'!I591</x:f>
        <x:v>OPEN</x:v>
      </x:c>
      <x:c r="F617" t="str">
        <x:f>IF('Release Gates'!C591="PLANNING","PASS",IF('Release Gates'!C591="PHYSICAL","OPEN","BLOCKED"))</x:f>
        <x:v>OPEN</x:v>
      </x:c>
      <x:c r="G617" t="str">
        <x:v>equals</x:v>
      </x:c>
      <x:c r="H617" t="str">
        <x:f>IF(E617=F617,"PASS","FAIL")</x:f>
        <x:v>PASS</x:v>
      </x:c>
    </x:row>
    <x:row r="618">
      <x:c r="B618" t="str">
        <x:v>A-00586</x:v>
      </x:c>
      <x:c r="C618" t="str">
        <x:v>GATE</x:v>
      </x:c>
      <x:c r="D618" t="str">
        <x:v>release state mirrors governing ledger</x:v>
      </x:c>
      <x:c r="E618" t="str">
        <x:f>'Release Gates'!I592</x:f>
        <x:v>OPEN</x:v>
      </x:c>
      <x:c r="F618" t="str">
        <x:f>IF('Release Gates'!C592="PLANNING","PASS",IF('Release Gates'!C592="PHYSICAL","OPEN","BLOCKED"))</x:f>
        <x:v>OPEN</x:v>
      </x:c>
      <x:c r="G618" t="str">
        <x:v>equals</x:v>
      </x:c>
      <x:c r="H618" t="str">
        <x:f>IF(E618=F618,"PASS","FAIL")</x:f>
        <x:v>PASS</x:v>
      </x:c>
    </x:row>
    <x:row r="619">
      <x:c r="B619" t="str">
        <x:v>A-00587</x:v>
      </x:c>
      <x:c r="C619" t="str">
        <x:v>GATE</x:v>
      </x:c>
      <x:c r="D619" t="str">
        <x:v>release state mirrors governing ledger</x:v>
      </x:c>
      <x:c r="E619" t="str">
        <x:f>'Release Gates'!I593</x:f>
        <x:v>OPEN</x:v>
      </x:c>
      <x:c r="F619" t="str">
        <x:f>IF('Release Gates'!C593="PLANNING","PASS",IF('Release Gates'!C593="PHYSICAL","OPEN","BLOCKED"))</x:f>
        <x:v>OPEN</x:v>
      </x:c>
      <x:c r="G619" t="str">
        <x:v>equals</x:v>
      </x:c>
      <x:c r="H619" t="str">
        <x:f>IF(E619=F619,"PASS","FAIL")</x:f>
        <x:v>PASS</x:v>
      </x:c>
    </x:row>
    <x:row r="620">
      <x:c r="B620" t="str">
        <x:v>A-00588</x:v>
      </x:c>
      <x:c r="C620" t="str">
        <x:v>GATE</x:v>
      </x:c>
      <x:c r="D620" t="str">
        <x:v>release state mirrors governing ledger</x:v>
      </x:c>
      <x:c r="E620" t="str">
        <x:f>'Release Gates'!I594</x:f>
        <x:v>OPEN</x:v>
      </x:c>
      <x:c r="F620" t="str">
        <x:f>IF('Release Gates'!C594="PLANNING","PASS",IF('Release Gates'!C594="PHYSICAL","OPEN","BLOCKED"))</x:f>
        <x:v>OPEN</x:v>
      </x:c>
      <x:c r="G620" t="str">
        <x:v>equals</x:v>
      </x:c>
      <x:c r="H620" t="str">
        <x:f>IF(E620=F620,"PASS","FAIL")</x:f>
        <x:v>PASS</x:v>
      </x:c>
    </x:row>
    <x:row r="621">
      <x:c r="B621" t="str">
        <x:v>A-00589</x:v>
      </x:c>
      <x:c r="C621" t="str">
        <x:v>GATE</x:v>
      </x:c>
      <x:c r="D621" t="str">
        <x:v>release state mirrors governing ledger</x:v>
      </x:c>
      <x:c r="E621" t="str">
        <x:f>'Release Gates'!I595</x:f>
        <x:v>OPEN</x:v>
      </x:c>
      <x:c r="F621" t="str">
        <x:f>IF('Release Gates'!C595="PLANNING","PASS",IF('Release Gates'!C595="PHYSICAL","OPEN","BLOCKED"))</x:f>
        <x:v>OPEN</x:v>
      </x:c>
      <x:c r="G621" t="str">
        <x:v>equals</x:v>
      </x:c>
      <x:c r="H621" t="str">
        <x:f>IF(E621=F621,"PASS","FAIL")</x:f>
        <x:v>PASS</x:v>
      </x:c>
    </x:row>
    <x:row r="622">
      <x:c r="B622" t="str">
        <x:v>A-00590</x:v>
      </x:c>
      <x:c r="C622" t="str">
        <x:v>GATE</x:v>
      </x:c>
      <x:c r="D622" t="str">
        <x:v>release state mirrors governing ledger</x:v>
      </x:c>
      <x:c r="E622" t="str">
        <x:f>'Release Gates'!I596</x:f>
        <x:v>OPEN</x:v>
      </x:c>
      <x:c r="F622" t="str">
        <x:f>IF('Release Gates'!C596="PLANNING","PASS",IF('Release Gates'!C596="PHYSICAL","OPEN","BLOCKED"))</x:f>
        <x:v>OPEN</x:v>
      </x:c>
      <x:c r="G622" t="str">
        <x:v>equals</x:v>
      </x:c>
      <x:c r="H622" t="str">
        <x:f>IF(E622=F622,"PASS","FAIL")</x:f>
        <x:v>PASS</x:v>
      </x:c>
    </x:row>
    <x:row r="623">
      <x:c r="B623" t="str">
        <x:v>A-00591</x:v>
      </x:c>
      <x:c r="C623" t="str">
        <x:v>GATE</x:v>
      </x:c>
      <x:c r="D623" t="str">
        <x:v>release state mirrors governing ledger</x:v>
      </x:c>
      <x:c r="E623" t="str">
        <x:f>'Release Gates'!I597</x:f>
        <x:v>OPEN</x:v>
      </x:c>
      <x:c r="F623" t="str">
        <x:f>IF('Release Gates'!C597="PLANNING","PASS",IF('Release Gates'!C597="PHYSICAL","OPEN","BLOCKED"))</x:f>
        <x:v>OPEN</x:v>
      </x:c>
      <x:c r="G623" t="str">
        <x:v>equals</x:v>
      </x:c>
      <x:c r="H623" t="str">
        <x:f>IF(E623=F623,"PASS","FAIL")</x:f>
        <x:v>PASS</x:v>
      </x:c>
    </x:row>
    <x:row r="624">
      <x:c r="B624" t="str">
        <x:v>A-00592</x:v>
      </x:c>
      <x:c r="C624" t="str">
        <x:v>GATE</x:v>
      </x:c>
      <x:c r="D624" t="str">
        <x:v>release state mirrors governing ledger</x:v>
      </x:c>
      <x:c r="E624" t="str">
        <x:f>'Release Gates'!I598</x:f>
        <x:v>OPEN</x:v>
      </x:c>
      <x:c r="F624" t="str">
        <x:f>IF('Release Gates'!C598="PLANNING","PASS",IF('Release Gates'!C598="PHYSICAL","OPEN","BLOCKED"))</x:f>
        <x:v>OPEN</x:v>
      </x:c>
      <x:c r="G624" t="str">
        <x:v>equals</x:v>
      </x:c>
      <x:c r="H624" t="str">
        <x:f>IF(E624=F624,"PASS","FAIL")</x:f>
        <x:v>PASS</x:v>
      </x:c>
    </x:row>
    <x:row r="625">
      <x:c r="B625" t="str">
        <x:v>A-00593</x:v>
      </x:c>
      <x:c r="C625" t="str">
        <x:v>GATE</x:v>
      </x:c>
      <x:c r="D625" t="str">
        <x:v>release state mirrors governing ledger</x:v>
      </x:c>
      <x:c r="E625" t="str">
        <x:f>'Release Gates'!I599</x:f>
        <x:v>OPEN</x:v>
      </x:c>
      <x:c r="F625" t="str">
        <x:f>IF('Release Gates'!C599="PLANNING","PASS",IF('Release Gates'!C599="PHYSICAL","OPEN","BLOCKED"))</x:f>
        <x:v>OPEN</x:v>
      </x:c>
      <x:c r="G625" t="str">
        <x:v>equals</x:v>
      </x:c>
      <x:c r="H625" t="str">
        <x:f>IF(E625=F625,"PASS","FAIL")</x:f>
        <x:v>PASS</x:v>
      </x:c>
    </x:row>
    <x:row r="626">
      <x:c r="B626" t="str">
        <x:v>A-00594</x:v>
      </x:c>
      <x:c r="C626" t="str">
        <x:v>GATE</x:v>
      </x:c>
      <x:c r="D626" t="str">
        <x:v>release state mirrors governing ledger</x:v>
      </x:c>
      <x:c r="E626" t="str">
        <x:f>'Release Gates'!I600</x:f>
        <x:v>OPEN</x:v>
      </x:c>
      <x:c r="F626" t="str">
        <x:f>IF('Release Gates'!C600="PLANNING","PASS",IF('Release Gates'!C600="PHYSICAL","OPEN","BLOCKED"))</x:f>
        <x:v>OPEN</x:v>
      </x:c>
      <x:c r="G626" t="str">
        <x:v>equals</x:v>
      </x:c>
      <x:c r="H626" t="str">
        <x:f>IF(E626=F626,"PASS","FAIL")</x:f>
        <x:v>PASS</x:v>
      </x:c>
    </x:row>
    <x:row r="627">
      <x:c r="B627" t="str">
        <x:v>A-00595</x:v>
      </x:c>
      <x:c r="C627" t="str">
        <x:v>GATE</x:v>
      </x:c>
      <x:c r="D627" t="str">
        <x:v>release state mirrors governing ledger</x:v>
      </x:c>
      <x:c r="E627" t="str">
        <x:f>'Release Gates'!I601</x:f>
        <x:v>OPEN</x:v>
      </x:c>
      <x:c r="F627" t="str">
        <x:f>IF('Release Gates'!C601="PLANNING","PASS",IF('Release Gates'!C601="PHYSICAL","OPEN","BLOCKED"))</x:f>
        <x:v>OPEN</x:v>
      </x:c>
      <x:c r="G627" t="str">
        <x:v>equals</x:v>
      </x:c>
      <x:c r="H627" t="str">
        <x:f>IF(E627=F627,"PASS","FAIL")</x:f>
        <x:v>PASS</x:v>
      </x:c>
    </x:row>
    <x:row r="628">
      <x:c r="B628" t="str">
        <x:v>A-00596</x:v>
      </x:c>
      <x:c r="C628" t="str">
        <x:v>GATE</x:v>
      </x:c>
      <x:c r="D628" t="str">
        <x:v>release state mirrors governing ledger</x:v>
      </x:c>
      <x:c r="E628" t="str">
        <x:f>'Release Gates'!I602</x:f>
        <x:v>OPEN</x:v>
      </x:c>
      <x:c r="F628" t="str">
        <x:f>IF('Release Gates'!C602="PLANNING","PASS",IF('Release Gates'!C602="PHYSICAL","OPEN","BLOCKED"))</x:f>
        <x:v>OPEN</x:v>
      </x:c>
      <x:c r="G628" t="str">
        <x:v>equals</x:v>
      </x:c>
      <x:c r="H628" t="str">
        <x:f>IF(E628=F628,"PASS","FAIL")</x:f>
        <x:v>PASS</x:v>
      </x:c>
    </x:row>
    <x:row r="629">
      <x:c r="B629" t="str">
        <x:v>A-00597</x:v>
      </x:c>
      <x:c r="C629" t="str">
        <x:v>GATE</x:v>
      </x:c>
      <x:c r="D629" t="str">
        <x:v>release state mirrors governing ledger</x:v>
      </x:c>
      <x:c r="E629" t="str">
        <x:f>'Release Gates'!I603</x:f>
        <x:v>OPEN</x:v>
      </x:c>
      <x:c r="F629" t="str">
        <x:f>IF('Release Gates'!C603="PLANNING","PASS",IF('Release Gates'!C603="PHYSICAL","OPEN","BLOCKED"))</x:f>
        <x:v>OPEN</x:v>
      </x:c>
      <x:c r="G629" t="str">
        <x:v>equals</x:v>
      </x:c>
      <x:c r="H629" t="str">
        <x:f>IF(E629=F629,"PASS","FAIL")</x:f>
        <x:v>PASS</x:v>
      </x:c>
    </x:row>
    <x:row r="630">
      <x:c r="B630" t="str">
        <x:v>A-00598</x:v>
      </x:c>
      <x:c r="C630" t="str">
        <x:v>GATE</x:v>
      </x:c>
      <x:c r="D630" t="str">
        <x:v>release state mirrors governing ledger</x:v>
      </x:c>
      <x:c r="E630" t="str">
        <x:f>'Release Gates'!I604</x:f>
        <x:v>OPEN</x:v>
      </x:c>
      <x:c r="F630" t="str">
        <x:f>IF('Release Gates'!C604="PLANNING","PASS",IF('Release Gates'!C604="PHYSICAL","OPEN","BLOCKED"))</x:f>
        <x:v>OPEN</x:v>
      </x:c>
      <x:c r="G630" t="str">
        <x:v>equals</x:v>
      </x:c>
      <x:c r="H630" t="str">
        <x:f>IF(E630=F630,"PASS","FAIL")</x:f>
        <x:v>PASS</x:v>
      </x:c>
    </x:row>
    <x:row r="631">
      <x:c r="B631" t="str">
        <x:v>A-00599</x:v>
      </x:c>
      <x:c r="C631" t="str">
        <x:v>GATE</x:v>
      </x:c>
      <x:c r="D631" t="str">
        <x:v>release state mirrors governing ledger</x:v>
      </x:c>
      <x:c r="E631" t="str">
        <x:f>'Release Gates'!I605</x:f>
        <x:v>OPEN</x:v>
      </x:c>
      <x:c r="F631" t="str">
        <x:f>IF('Release Gates'!C605="PLANNING","PASS",IF('Release Gates'!C605="PHYSICAL","OPEN","BLOCKED"))</x:f>
        <x:v>OPEN</x:v>
      </x:c>
      <x:c r="G631" t="str">
        <x:v>equals</x:v>
      </x:c>
      <x:c r="H631" t="str">
        <x:f>IF(E631=F631,"PASS","FAIL")</x:f>
        <x:v>PASS</x:v>
      </x:c>
    </x:row>
    <x:row r="632">
      <x:c r="B632" t="str">
        <x:v>A-00600</x:v>
      </x:c>
      <x:c r="C632" t="str">
        <x:v>GATE</x:v>
      </x:c>
      <x:c r="D632" t="str">
        <x:v>release state mirrors governing ledger</x:v>
      </x:c>
      <x:c r="E632" t="str">
        <x:f>'Release Gates'!I606</x:f>
        <x:v>OPEN</x:v>
      </x:c>
      <x:c r="F632" t="str">
        <x:f>IF('Release Gates'!C606="PLANNING","PASS",IF('Release Gates'!C606="PHYSICAL","OPEN","BLOCKED"))</x:f>
        <x:v>OPEN</x:v>
      </x:c>
      <x:c r="G632" t="str">
        <x:v>equals</x:v>
      </x:c>
      <x:c r="H632" t="str">
        <x:f>IF(E632=F632,"PASS","FAIL")</x:f>
        <x:v>PASS</x:v>
      </x:c>
    </x:row>
    <x:row r="633">
      <x:c r="B633" t="str">
        <x:v>A-00601</x:v>
      </x:c>
      <x:c r="C633" t="str">
        <x:v>GATE</x:v>
      </x:c>
      <x:c r="D633" t="str">
        <x:v>release state mirrors governing ledger</x:v>
      </x:c>
      <x:c r="E633" t="str">
        <x:f>'Release Gates'!I607</x:f>
        <x:v>OPEN</x:v>
      </x:c>
      <x:c r="F633" t="str">
        <x:f>IF('Release Gates'!C607="PLANNING","PASS",IF('Release Gates'!C607="PHYSICAL","OPEN","BLOCKED"))</x:f>
        <x:v>OPEN</x:v>
      </x:c>
      <x:c r="G633" t="str">
        <x:v>equals</x:v>
      </x:c>
      <x:c r="H633" t="str">
        <x:f>IF(E633=F633,"PASS","FAIL")</x:f>
        <x:v>PASS</x:v>
      </x:c>
    </x:row>
    <x:row r="634">
      <x:c r="B634" t="str">
        <x:v>A-00602</x:v>
      </x:c>
      <x:c r="C634" t="str">
        <x:v>GATE</x:v>
      </x:c>
      <x:c r="D634" t="str">
        <x:v>release state mirrors governing ledger</x:v>
      </x:c>
      <x:c r="E634" t="str">
        <x:f>'Release Gates'!I608</x:f>
        <x:v>OPEN</x:v>
      </x:c>
      <x:c r="F634" t="str">
        <x:f>IF('Release Gates'!C608="PLANNING","PASS",IF('Release Gates'!C608="PHYSICAL","OPEN","BLOCKED"))</x:f>
        <x:v>OPEN</x:v>
      </x:c>
      <x:c r="G634" t="str">
        <x:v>equals</x:v>
      </x:c>
      <x:c r="H634" t="str">
        <x:f>IF(E634=F634,"PASS","FAIL")</x:f>
        <x:v>PASS</x:v>
      </x:c>
    </x:row>
    <x:row r="635">
      <x:c r="B635" t="str">
        <x:v>A-00603</x:v>
      </x:c>
      <x:c r="C635" t="str">
        <x:v>GATE</x:v>
      </x:c>
      <x:c r="D635" t="str">
        <x:v>release state mirrors governing ledger</x:v>
      </x:c>
      <x:c r="E635" t="str">
        <x:f>'Release Gates'!I609</x:f>
        <x:v>OPEN</x:v>
      </x:c>
      <x:c r="F635" t="str">
        <x:f>IF('Release Gates'!C609="PLANNING","PASS",IF('Release Gates'!C609="PHYSICAL","OPEN","BLOCKED"))</x:f>
        <x:v>OPEN</x:v>
      </x:c>
      <x:c r="G635" t="str">
        <x:v>equals</x:v>
      </x:c>
      <x:c r="H635" t="str">
        <x:f>IF(E635=F635,"PASS","FAIL")</x:f>
        <x:v>PASS</x:v>
      </x:c>
    </x:row>
    <x:row r="636">
      <x:c r="B636" t="str">
        <x:v>A-00604</x:v>
      </x:c>
      <x:c r="C636" t="str">
        <x:v>GATE</x:v>
      </x:c>
      <x:c r="D636" t="str">
        <x:v>release state mirrors governing ledger</x:v>
      </x:c>
      <x:c r="E636" t="str">
        <x:f>'Release Gates'!I610</x:f>
        <x:v>OPEN</x:v>
      </x:c>
      <x:c r="F636" t="str">
        <x:f>IF('Release Gates'!C610="PLANNING","PASS",IF('Release Gates'!C610="PHYSICAL","OPEN","BLOCKED"))</x:f>
        <x:v>OPEN</x:v>
      </x:c>
      <x:c r="G636" t="str">
        <x:v>equals</x:v>
      </x:c>
      <x:c r="H636" t="str">
        <x:f>IF(E636=F636,"PASS","FAIL")</x:f>
        <x:v>PASS</x:v>
      </x:c>
    </x:row>
    <x:row r="637">
      <x:c r="B637" t="str">
        <x:v>A-00605</x:v>
      </x:c>
      <x:c r="C637" t="str">
        <x:v>GATE</x:v>
      </x:c>
      <x:c r="D637" t="str">
        <x:v>release state mirrors governing ledger</x:v>
      </x:c>
      <x:c r="E637" t="str">
        <x:f>'Release Gates'!I611</x:f>
        <x:v>OPEN</x:v>
      </x:c>
      <x:c r="F637" t="str">
        <x:f>IF('Release Gates'!C611="PLANNING","PASS",IF('Release Gates'!C611="PHYSICAL","OPEN","BLOCKED"))</x:f>
        <x:v>OPEN</x:v>
      </x:c>
      <x:c r="G637" t="str">
        <x:v>equals</x:v>
      </x:c>
      <x:c r="H637" t="str">
        <x:f>IF(E637=F637,"PASS","FAIL")</x:f>
        <x:v>PASS</x:v>
      </x:c>
    </x:row>
    <x:row r="638">
      <x:c r="B638" t="str">
        <x:v>A-00606</x:v>
      </x:c>
      <x:c r="C638" t="str">
        <x:v>GATE</x:v>
      </x:c>
      <x:c r="D638" t="str">
        <x:v>release state mirrors governing ledger</x:v>
      </x:c>
      <x:c r="E638" t="str">
        <x:f>'Release Gates'!I612</x:f>
        <x:v>OPEN</x:v>
      </x:c>
      <x:c r="F638" t="str">
        <x:f>IF('Release Gates'!C612="PLANNING","PASS",IF('Release Gates'!C612="PHYSICAL","OPEN","BLOCKED"))</x:f>
        <x:v>OPEN</x:v>
      </x:c>
      <x:c r="G638" t="str">
        <x:v>equals</x:v>
      </x:c>
      <x:c r="H638" t="str">
        <x:f>IF(E638=F638,"PASS","FAIL")</x:f>
        <x:v>PASS</x:v>
      </x:c>
    </x:row>
    <x:row r="639">
      <x:c r="B639" t="str">
        <x:v>A-00607</x:v>
      </x:c>
      <x:c r="C639" t="str">
        <x:v>GATE</x:v>
      </x:c>
      <x:c r="D639" t="str">
        <x:v>release state mirrors governing ledger</x:v>
      </x:c>
      <x:c r="E639" t="str">
        <x:f>'Release Gates'!I613</x:f>
        <x:v>OPEN</x:v>
      </x:c>
      <x:c r="F639" t="str">
        <x:f>IF('Release Gates'!C613="PLANNING","PASS",IF('Release Gates'!C613="PHYSICAL","OPEN","BLOCKED"))</x:f>
        <x:v>OPEN</x:v>
      </x:c>
      <x:c r="G639" t="str">
        <x:v>equals</x:v>
      </x:c>
      <x:c r="H639" t="str">
        <x:f>IF(E639=F639,"PASS","FAIL")</x:f>
        <x:v>PASS</x:v>
      </x:c>
    </x:row>
    <x:row r="640">
      <x:c r="B640" t="str">
        <x:v>A-00608</x:v>
      </x:c>
      <x:c r="C640" t="str">
        <x:v>GATE</x:v>
      </x:c>
      <x:c r="D640" t="str">
        <x:v>release state mirrors governing ledger</x:v>
      </x:c>
      <x:c r="E640" t="str">
        <x:f>'Release Gates'!I614</x:f>
        <x:v>OPEN</x:v>
      </x:c>
      <x:c r="F640" t="str">
        <x:f>IF('Release Gates'!C614="PLANNING","PASS",IF('Release Gates'!C614="PHYSICAL","OPEN","BLOCKED"))</x:f>
        <x:v>OPEN</x:v>
      </x:c>
      <x:c r="G640" t="str">
        <x:v>equals</x:v>
      </x:c>
      <x:c r="H640" t="str">
        <x:f>IF(E640=F640,"PASS","FAIL")</x:f>
        <x:v>PASS</x:v>
      </x:c>
    </x:row>
    <x:row r="641">
      <x:c r="B641" t="str">
        <x:v>A-00609</x:v>
      </x:c>
      <x:c r="C641" t="str">
        <x:v>GATE</x:v>
      </x:c>
      <x:c r="D641" t="str">
        <x:v>release state mirrors governing ledger</x:v>
      </x:c>
      <x:c r="E641" t="str">
        <x:f>'Release Gates'!I615</x:f>
        <x:v>OPEN</x:v>
      </x:c>
      <x:c r="F641" t="str">
        <x:f>IF('Release Gates'!C615="PLANNING","PASS",IF('Release Gates'!C615="PHYSICAL","OPEN","BLOCKED"))</x:f>
        <x:v>OPEN</x:v>
      </x:c>
      <x:c r="G641" t="str">
        <x:v>equals</x:v>
      </x:c>
      <x:c r="H641" t="str">
        <x:f>IF(E641=F641,"PASS","FAIL")</x:f>
        <x:v>PASS</x:v>
      </x:c>
    </x:row>
    <x:row r="642">
      <x:c r="B642" t="str">
        <x:v>A-00610</x:v>
      </x:c>
      <x:c r="C642" t="str">
        <x:v>GATE</x:v>
      </x:c>
      <x:c r="D642" t="str">
        <x:v>release state mirrors governing ledger</x:v>
      </x:c>
      <x:c r="E642" t="str">
        <x:f>'Release Gates'!I616</x:f>
        <x:v>OPEN</x:v>
      </x:c>
      <x:c r="F642" t="str">
        <x:f>IF('Release Gates'!C616="PLANNING","PASS",IF('Release Gates'!C616="PHYSICAL","OPEN","BLOCKED"))</x:f>
        <x:v>OPEN</x:v>
      </x:c>
      <x:c r="G642" t="str">
        <x:v>equals</x:v>
      </x:c>
      <x:c r="H642" t="str">
        <x:f>IF(E642=F642,"PASS","FAIL")</x:f>
        <x:v>PASS</x:v>
      </x:c>
    </x:row>
    <x:row r="643">
      <x:c r="B643" t="str">
        <x:v>A-00611</x:v>
      </x:c>
      <x:c r="C643" t="str">
        <x:v>GATE</x:v>
      </x:c>
      <x:c r="D643" t="str">
        <x:v>release state mirrors governing ledger</x:v>
      </x:c>
      <x:c r="E643" t="str">
        <x:f>'Release Gates'!I617</x:f>
        <x:v>OPEN</x:v>
      </x:c>
      <x:c r="F643" t="str">
        <x:f>IF('Release Gates'!C617="PLANNING","PASS",IF('Release Gates'!C617="PHYSICAL","OPEN","BLOCKED"))</x:f>
        <x:v>OPEN</x:v>
      </x:c>
      <x:c r="G643" t="str">
        <x:v>equals</x:v>
      </x:c>
      <x:c r="H643" t="str">
        <x:f>IF(E643=F643,"PASS","FAIL")</x:f>
        <x:v>PASS</x:v>
      </x:c>
    </x:row>
    <x:row r="644">
      <x:c r="B644" t="str">
        <x:v>A-00612</x:v>
      </x:c>
      <x:c r="C644" t="str">
        <x:v>GATE</x:v>
      </x:c>
      <x:c r="D644" t="str">
        <x:v>release state mirrors governing ledger</x:v>
      </x:c>
      <x:c r="E644" t="str">
        <x:f>'Release Gates'!I618</x:f>
        <x:v>OPEN</x:v>
      </x:c>
      <x:c r="F644" t="str">
        <x:f>IF('Release Gates'!C618="PLANNING","PASS",IF('Release Gates'!C618="PHYSICAL","OPEN","BLOCKED"))</x:f>
        <x:v>OPEN</x:v>
      </x:c>
      <x:c r="G644" t="str">
        <x:v>equals</x:v>
      </x:c>
      <x:c r="H644" t="str">
        <x:f>IF(E644=F644,"PASS","FAIL")</x:f>
        <x:v>PASS</x:v>
      </x:c>
    </x:row>
    <x:row r="645">
      <x:c r="B645" t="str">
        <x:v>A-00613</x:v>
      </x:c>
      <x:c r="C645" t="str">
        <x:v>GATE</x:v>
      </x:c>
      <x:c r="D645" t="str">
        <x:v>release state mirrors governing ledger</x:v>
      </x:c>
      <x:c r="E645" t="str">
        <x:f>'Release Gates'!I619</x:f>
        <x:v>OPEN</x:v>
      </x:c>
      <x:c r="F645" t="str">
        <x:f>IF('Release Gates'!C619="PLANNING","PASS",IF('Release Gates'!C619="PHYSICAL","OPEN","BLOCKED"))</x:f>
        <x:v>OPEN</x:v>
      </x:c>
      <x:c r="G645" t="str">
        <x:v>equals</x:v>
      </x:c>
      <x:c r="H645" t="str">
        <x:f>IF(E645=F645,"PASS","FAIL")</x:f>
        <x:v>PASS</x:v>
      </x:c>
    </x:row>
    <x:row r="646">
      <x:c r="B646" t="str">
        <x:v>A-00614</x:v>
      </x:c>
      <x:c r="C646" t="str">
        <x:v>GATE</x:v>
      </x:c>
      <x:c r="D646" t="str">
        <x:v>release state mirrors governing ledger</x:v>
      </x:c>
      <x:c r="E646" t="str">
        <x:f>'Release Gates'!I620</x:f>
        <x:v>OPEN</x:v>
      </x:c>
      <x:c r="F646" t="str">
        <x:f>IF('Release Gates'!C620="PLANNING","PASS",IF('Release Gates'!C620="PHYSICAL","OPEN","BLOCKED"))</x:f>
        <x:v>OPEN</x:v>
      </x:c>
      <x:c r="G646" t="str">
        <x:v>equals</x:v>
      </x:c>
      <x:c r="H646" t="str">
        <x:f>IF(E646=F646,"PASS","FAIL")</x:f>
        <x:v>PASS</x:v>
      </x:c>
    </x:row>
    <x:row r="647">
      <x:c r="B647" t="str">
        <x:v>A-00615</x:v>
      </x:c>
      <x:c r="C647" t="str">
        <x:v>GATE</x:v>
      </x:c>
      <x:c r="D647" t="str">
        <x:v>release state mirrors governing ledger</x:v>
      </x:c>
      <x:c r="E647" t="str">
        <x:f>'Release Gates'!I621</x:f>
        <x:v>OPEN</x:v>
      </x:c>
      <x:c r="F647" t="str">
        <x:f>IF('Release Gates'!C621="PLANNING","PASS",IF('Release Gates'!C621="PHYSICAL","OPEN","BLOCKED"))</x:f>
        <x:v>OPEN</x:v>
      </x:c>
      <x:c r="G647" t="str">
        <x:v>equals</x:v>
      </x:c>
      <x:c r="H647" t="str">
        <x:f>IF(E647=F647,"PASS","FAIL")</x:f>
        <x:v>PASS</x:v>
      </x:c>
    </x:row>
    <x:row r="648">
      <x:c r="B648" t="str">
        <x:v>A-00616</x:v>
      </x:c>
      <x:c r="C648" t="str">
        <x:v>GATE</x:v>
      </x:c>
      <x:c r="D648" t="str">
        <x:v>release state mirrors governing ledger</x:v>
      </x:c>
      <x:c r="E648" t="str">
        <x:f>'Release Gates'!I622</x:f>
        <x:v>OPEN</x:v>
      </x:c>
      <x:c r="F648" t="str">
        <x:f>IF('Release Gates'!C622="PLANNING","PASS",IF('Release Gates'!C622="PHYSICAL","OPEN","BLOCKED"))</x:f>
        <x:v>OPEN</x:v>
      </x:c>
      <x:c r="G648" t="str">
        <x:v>equals</x:v>
      </x:c>
      <x:c r="H648" t="str">
        <x:f>IF(E648=F648,"PASS","FAIL")</x:f>
        <x:v>PASS</x:v>
      </x:c>
    </x:row>
    <x:row r="649">
      <x:c r="B649" t="str">
        <x:v>A-00617</x:v>
      </x:c>
      <x:c r="C649" t="str">
        <x:v>GATE</x:v>
      </x:c>
      <x:c r="D649" t="str">
        <x:v>release state mirrors governing ledger</x:v>
      </x:c>
      <x:c r="E649" t="str">
        <x:f>'Release Gates'!I623</x:f>
        <x:v>OPEN</x:v>
      </x:c>
      <x:c r="F649" t="str">
        <x:f>IF('Release Gates'!C623="PLANNING","PASS",IF('Release Gates'!C623="PHYSICAL","OPEN","BLOCKED"))</x:f>
        <x:v>OPEN</x:v>
      </x:c>
      <x:c r="G649" t="str">
        <x:v>equals</x:v>
      </x:c>
      <x:c r="H649" t="str">
        <x:f>IF(E649=F649,"PASS","FAIL")</x:f>
        <x:v>PASS</x:v>
      </x:c>
    </x:row>
    <x:row r="650">
      <x:c r="B650" t="str">
        <x:v>A-00618</x:v>
      </x:c>
      <x:c r="C650" t="str">
        <x:v>GATE</x:v>
      </x:c>
      <x:c r="D650" t="str">
        <x:v>release state mirrors governing ledger</x:v>
      </x:c>
      <x:c r="E650" t="str">
        <x:f>'Release Gates'!I624</x:f>
        <x:v>OPEN</x:v>
      </x:c>
      <x:c r="F650" t="str">
        <x:f>IF('Release Gates'!C624="PLANNING","PASS",IF('Release Gates'!C624="PHYSICAL","OPEN","BLOCKED"))</x:f>
        <x:v>OPEN</x:v>
      </x:c>
      <x:c r="G650" t="str">
        <x:v>equals</x:v>
      </x:c>
      <x:c r="H650" t="str">
        <x:f>IF(E650=F650,"PASS","FAIL")</x:f>
        <x:v>PASS</x:v>
      </x:c>
    </x:row>
    <x:row r="651">
      <x:c r="B651" t="str">
        <x:v>A-00619</x:v>
      </x:c>
      <x:c r="C651" t="str">
        <x:v>GATE</x:v>
      </x:c>
      <x:c r="D651" t="str">
        <x:v>release state mirrors governing ledger</x:v>
      </x:c>
      <x:c r="E651" t="str">
        <x:f>'Release Gates'!I625</x:f>
        <x:v>OPEN</x:v>
      </x:c>
      <x:c r="F651" t="str">
        <x:f>IF('Release Gates'!C625="PLANNING","PASS",IF('Release Gates'!C625="PHYSICAL","OPEN","BLOCKED"))</x:f>
        <x:v>OPEN</x:v>
      </x:c>
      <x:c r="G651" t="str">
        <x:v>equals</x:v>
      </x:c>
      <x:c r="H651" t="str">
        <x:f>IF(E651=F651,"PASS","FAIL")</x:f>
        <x:v>PASS</x:v>
      </x:c>
    </x:row>
    <x:row r="652">
      <x:c r="B652" t="str">
        <x:v>A-00620</x:v>
      </x:c>
      <x:c r="C652" t="str">
        <x:v>GATE</x:v>
      </x:c>
      <x:c r="D652" t="str">
        <x:v>release state mirrors governing ledger</x:v>
      </x:c>
      <x:c r="E652" t="str">
        <x:f>'Release Gates'!I626</x:f>
        <x:v>OPEN</x:v>
      </x:c>
      <x:c r="F652" t="str">
        <x:f>IF('Release Gates'!C626="PLANNING","PASS",IF('Release Gates'!C626="PHYSICAL","OPEN","BLOCKED"))</x:f>
        <x:v>OPEN</x:v>
      </x:c>
      <x:c r="G652" t="str">
        <x:v>equals</x:v>
      </x:c>
      <x:c r="H652" t="str">
        <x:f>IF(E652=F652,"PASS","FAIL")</x:f>
        <x:v>PASS</x:v>
      </x:c>
    </x:row>
    <x:row r="653">
      <x:c r="B653" t="str">
        <x:v>A-00621</x:v>
      </x:c>
      <x:c r="C653" t="str">
        <x:v>GATE</x:v>
      </x:c>
      <x:c r="D653" t="str">
        <x:v>release state mirrors governing ledger</x:v>
      </x:c>
      <x:c r="E653" t="str">
        <x:f>'Release Gates'!I627</x:f>
        <x:v>OPEN</x:v>
      </x:c>
      <x:c r="F653" t="str">
        <x:f>IF('Release Gates'!C627="PLANNING","PASS",IF('Release Gates'!C627="PHYSICAL","OPEN","BLOCKED"))</x:f>
        <x:v>OPEN</x:v>
      </x:c>
      <x:c r="G653" t="str">
        <x:v>equals</x:v>
      </x:c>
      <x:c r="H653" t="str">
        <x:f>IF(E653=F653,"PASS","FAIL")</x:f>
        <x:v>PASS</x:v>
      </x:c>
    </x:row>
    <x:row r="654">
      <x:c r="B654" t="str">
        <x:v>A-00622</x:v>
      </x:c>
      <x:c r="C654" t="str">
        <x:v>GATE</x:v>
      </x:c>
      <x:c r="D654" t="str">
        <x:v>release state mirrors governing ledger</x:v>
      </x:c>
      <x:c r="E654" t="str">
        <x:f>'Release Gates'!I628</x:f>
        <x:v>OPEN</x:v>
      </x:c>
      <x:c r="F654" t="str">
        <x:f>IF('Release Gates'!C628="PLANNING","PASS",IF('Release Gates'!C628="PHYSICAL","OPEN","BLOCKED"))</x:f>
        <x:v>OPEN</x:v>
      </x:c>
      <x:c r="G654" t="str">
        <x:v>equals</x:v>
      </x:c>
      <x:c r="H654" t="str">
        <x:f>IF(E654=F654,"PASS","FAIL")</x:f>
        <x:v>PASS</x:v>
      </x:c>
    </x:row>
    <x:row r="655">
      <x:c r="B655" t="str">
        <x:v>A-00623</x:v>
      </x:c>
      <x:c r="C655" t="str">
        <x:v>GATE</x:v>
      </x:c>
      <x:c r="D655" t="str">
        <x:v>release state mirrors governing ledger</x:v>
      </x:c>
      <x:c r="E655" t="str">
        <x:f>'Release Gates'!I629</x:f>
        <x:v>OPEN</x:v>
      </x:c>
      <x:c r="F655" t="str">
        <x:f>IF('Release Gates'!C629="PLANNING","PASS",IF('Release Gates'!C629="PHYSICAL","OPEN","BLOCKED"))</x:f>
        <x:v>OPEN</x:v>
      </x:c>
      <x:c r="G655" t="str">
        <x:v>equals</x:v>
      </x:c>
      <x:c r="H655" t="str">
        <x:f>IF(E655=F655,"PASS","FAIL")</x:f>
        <x:v>PASS</x:v>
      </x:c>
    </x:row>
    <x:row r="656">
      <x:c r="B656" t="str">
        <x:v>A-00624</x:v>
      </x:c>
      <x:c r="C656" t="str">
        <x:v>GATE</x:v>
      </x:c>
      <x:c r="D656" t="str">
        <x:v>release state mirrors governing ledger</x:v>
      </x:c>
      <x:c r="E656" t="str">
        <x:f>'Release Gates'!I630</x:f>
        <x:v>OPEN</x:v>
      </x:c>
      <x:c r="F656" t="str">
        <x:f>IF('Release Gates'!C630="PLANNING","PASS",IF('Release Gates'!C630="PHYSICAL","OPEN","BLOCKED"))</x:f>
        <x:v>OPEN</x:v>
      </x:c>
      <x:c r="G656" t="str">
        <x:v>equals</x:v>
      </x:c>
      <x:c r="H656" t="str">
        <x:f>IF(E656=F656,"PASS","FAIL")</x:f>
        <x:v>PASS</x:v>
      </x:c>
    </x:row>
    <x:row r="657">
      <x:c r="B657" t="str">
        <x:v>A-00625</x:v>
      </x:c>
      <x:c r="C657" t="str">
        <x:v>GATE</x:v>
      </x:c>
      <x:c r="D657" t="str">
        <x:v>release state mirrors governing ledger</x:v>
      </x:c>
      <x:c r="E657" t="str">
        <x:f>'Release Gates'!I631</x:f>
        <x:v>OPEN</x:v>
      </x:c>
      <x:c r="F657" t="str">
        <x:f>IF('Release Gates'!C631="PLANNING","PASS",IF('Release Gates'!C631="PHYSICAL","OPEN","BLOCKED"))</x:f>
        <x:v>OPEN</x:v>
      </x:c>
      <x:c r="G657" t="str">
        <x:v>equals</x:v>
      </x:c>
      <x:c r="H657" t="str">
        <x:f>IF(E657=F657,"PASS","FAIL")</x:f>
        <x:v>PASS</x:v>
      </x:c>
    </x:row>
    <x:row r="658">
      <x:c r="B658" t="str">
        <x:v>A-00626</x:v>
      </x:c>
      <x:c r="C658" t="str">
        <x:v>GATE</x:v>
      </x:c>
      <x:c r="D658" t="str">
        <x:v>release state mirrors governing ledger</x:v>
      </x:c>
      <x:c r="E658" t="str">
        <x:f>'Release Gates'!I632</x:f>
        <x:v>OPEN</x:v>
      </x:c>
      <x:c r="F658" t="str">
        <x:f>IF('Release Gates'!C632="PLANNING","PASS",IF('Release Gates'!C632="PHYSICAL","OPEN","BLOCKED"))</x:f>
        <x:v>OPEN</x:v>
      </x:c>
      <x:c r="G658" t="str">
        <x:v>equals</x:v>
      </x:c>
      <x:c r="H658" t="str">
        <x:f>IF(E658=F658,"PASS","FAIL")</x:f>
        <x:v>PASS</x:v>
      </x:c>
    </x:row>
    <x:row r="659">
      <x:c r="B659" t="str">
        <x:v>A-00627</x:v>
      </x:c>
      <x:c r="C659" t="str">
        <x:v>GATE</x:v>
      </x:c>
      <x:c r="D659" t="str">
        <x:v>release state mirrors governing ledger</x:v>
      </x:c>
      <x:c r="E659" t="str">
        <x:f>'Release Gates'!I633</x:f>
        <x:v>OPEN</x:v>
      </x:c>
      <x:c r="F659" t="str">
        <x:f>IF('Release Gates'!C633="PLANNING","PASS",IF('Release Gates'!C633="PHYSICAL","OPEN","BLOCKED"))</x:f>
        <x:v>OPEN</x:v>
      </x:c>
      <x:c r="G659" t="str">
        <x:v>equals</x:v>
      </x:c>
      <x:c r="H659" t="str">
        <x:f>IF(E659=F659,"PASS","FAIL")</x:f>
        <x:v>PASS</x:v>
      </x:c>
    </x:row>
    <x:row r="660">
      <x:c r="B660" t="str">
        <x:v>A-00628</x:v>
      </x:c>
      <x:c r="C660" t="str">
        <x:v>GATE</x:v>
      </x:c>
      <x:c r="D660" t="str">
        <x:v>release state mirrors governing ledger</x:v>
      </x:c>
      <x:c r="E660" t="str">
        <x:f>'Release Gates'!I634</x:f>
        <x:v>OPEN</x:v>
      </x:c>
      <x:c r="F660" t="str">
        <x:f>IF('Release Gates'!C634="PLANNING","PASS",IF('Release Gates'!C634="PHYSICAL","OPEN","BLOCKED"))</x:f>
        <x:v>OPEN</x:v>
      </x:c>
      <x:c r="G660" t="str">
        <x:v>equals</x:v>
      </x:c>
      <x:c r="H660" t="str">
        <x:f>IF(E660=F660,"PASS","FAIL")</x:f>
        <x:v>PASS</x:v>
      </x:c>
    </x:row>
    <x:row r="661">
      <x:c r="B661" t="str">
        <x:v>A-00629</x:v>
      </x:c>
      <x:c r="C661" t="str">
        <x:v>GATE</x:v>
      </x:c>
      <x:c r="D661" t="str">
        <x:v>release state mirrors governing ledger</x:v>
      </x:c>
      <x:c r="E661" t="str">
        <x:f>'Release Gates'!I635</x:f>
        <x:v>OPEN</x:v>
      </x:c>
      <x:c r="F661" t="str">
        <x:f>IF('Release Gates'!C635="PLANNING","PASS",IF('Release Gates'!C635="PHYSICAL","OPEN","BLOCKED"))</x:f>
        <x:v>OPEN</x:v>
      </x:c>
      <x:c r="G661" t="str">
        <x:v>equals</x:v>
      </x:c>
      <x:c r="H661" t="str">
        <x:f>IF(E661=F661,"PASS","FAIL")</x:f>
        <x:v>PASS</x:v>
      </x:c>
    </x:row>
    <x:row r="662">
      <x:c r="B662" t="str">
        <x:v>A-00630</x:v>
      </x:c>
      <x:c r="C662" t="str">
        <x:v>GATE</x:v>
      </x:c>
      <x:c r="D662" t="str">
        <x:v>release state mirrors governing ledger</x:v>
      </x:c>
      <x:c r="E662" t="str">
        <x:f>'Release Gates'!I636</x:f>
        <x:v>OPEN</x:v>
      </x:c>
      <x:c r="F662" t="str">
        <x:f>IF('Release Gates'!C636="PLANNING","PASS",IF('Release Gates'!C636="PHYSICAL","OPEN","BLOCKED"))</x:f>
        <x:v>OPEN</x:v>
      </x:c>
      <x:c r="G662" t="str">
        <x:v>equals</x:v>
      </x:c>
      <x:c r="H662" t="str">
        <x:f>IF(E662=F662,"PASS","FAIL")</x:f>
        <x:v>PASS</x:v>
      </x:c>
    </x:row>
    <x:row r="663">
      <x:c r="B663" t="str">
        <x:v>A-00631</x:v>
      </x:c>
      <x:c r="C663" t="str">
        <x:v>GATE</x:v>
      </x:c>
      <x:c r="D663" t="str">
        <x:v>release state mirrors governing ledger</x:v>
      </x:c>
      <x:c r="E663" t="str">
        <x:f>'Release Gates'!I637</x:f>
        <x:v>OPEN</x:v>
      </x:c>
      <x:c r="F663" t="str">
        <x:f>IF('Release Gates'!C637="PLANNING","PASS",IF('Release Gates'!C637="PHYSICAL","OPEN","BLOCKED"))</x:f>
        <x:v>OPEN</x:v>
      </x:c>
      <x:c r="G663" t="str">
        <x:v>equals</x:v>
      </x:c>
      <x:c r="H663" t="str">
        <x:f>IF(E663=F663,"PASS","FAIL")</x:f>
        <x:v>PASS</x:v>
      </x:c>
    </x:row>
    <x:row r="664">
      <x:c r="B664" t="str">
        <x:v>A-00632</x:v>
      </x:c>
      <x:c r="C664" t="str">
        <x:v>GATE</x:v>
      </x:c>
      <x:c r="D664" t="str">
        <x:v>release state mirrors governing ledger</x:v>
      </x:c>
      <x:c r="E664" t="str">
        <x:f>'Release Gates'!I638</x:f>
        <x:v>OPEN</x:v>
      </x:c>
      <x:c r="F664" t="str">
        <x:f>IF('Release Gates'!C638="PLANNING","PASS",IF('Release Gates'!C638="PHYSICAL","OPEN","BLOCKED"))</x:f>
        <x:v>OPEN</x:v>
      </x:c>
      <x:c r="G664" t="str">
        <x:v>equals</x:v>
      </x:c>
      <x:c r="H664" t="str">
        <x:f>IF(E664=F664,"PASS","FAIL")</x:f>
        <x:v>PASS</x:v>
      </x:c>
    </x:row>
    <x:row r="665">
      <x:c r="B665" t="str">
        <x:v>A-00633</x:v>
      </x:c>
      <x:c r="C665" t="str">
        <x:v>GATE</x:v>
      </x:c>
      <x:c r="D665" t="str">
        <x:v>release state mirrors governing ledger</x:v>
      </x:c>
      <x:c r="E665" t="str">
        <x:f>'Release Gates'!I639</x:f>
        <x:v>OPEN</x:v>
      </x:c>
      <x:c r="F665" t="str">
        <x:f>IF('Release Gates'!C639="PLANNING","PASS",IF('Release Gates'!C639="PHYSICAL","OPEN","BLOCKED"))</x:f>
        <x:v>OPEN</x:v>
      </x:c>
      <x:c r="G665" t="str">
        <x:v>equals</x:v>
      </x:c>
      <x:c r="H665" t="str">
        <x:f>IF(E665=F665,"PASS","FAIL")</x:f>
        <x:v>PASS</x:v>
      </x:c>
    </x:row>
    <x:row r="666">
      <x:c r="B666" t="str">
        <x:v>A-00634</x:v>
      </x:c>
      <x:c r="C666" t="str">
        <x:v>GATE</x:v>
      </x:c>
      <x:c r="D666" t="str">
        <x:v>release state mirrors governing ledger</x:v>
      </x:c>
      <x:c r="E666" t="str">
        <x:f>'Release Gates'!I640</x:f>
        <x:v>OPEN</x:v>
      </x:c>
      <x:c r="F666" t="str">
        <x:f>IF('Release Gates'!C640="PLANNING","PASS",IF('Release Gates'!C640="PHYSICAL","OPEN","BLOCKED"))</x:f>
        <x:v>OPEN</x:v>
      </x:c>
      <x:c r="G666" t="str">
        <x:v>equals</x:v>
      </x:c>
      <x:c r="H666" t="str">
        <x:f>IF(E666=F666,"PASS","FAIL")</x:f>
        <x:v>PASS</x:v>
      </x:c>
    </x:row>
    <x:row r="667">
      <x:c r="B667" t="str">
        <x:v>A-00635</x:v>
      </x:c>
      <x:c r="C667" t="str">
        <x:v>GATE</x:v>
      </x:c>
      <x:c r="D667" t="str">
        <x:v>release state mirrors governing ledger</x:v>
      </x:c>
      <x:c r="E667" t="str">
        <x:f>'Release Gates'!I641</x:f>
        <x:v>OPEN</x:v>
      </x:c>
      <x:c r="F667" t="str">
        <x:f>IF('Release Gates'!C641="PLANNING","PASS",IF('Release Gates'!C641="PHYSICAL","OPEN","BLOCKED"))</x:f>
        <x:v>OPEN</x:v>
      </x:c>
      <x:c r="G667" t="str">
        <x:v>equals</x:v>
      </x:c>
      <x:c r="H667" t="str">
        <x:f>IF(E667=F667,"PASS","FAIL")</x:f>
        <x:v>PASS</x:v>
      </x:c>
    </x:row>
    <x:row r="668">
      <x:c r="B668" t="str">
        <x:v>A-00636</x:v>
      </x:c>
      <x:c r="C668" t="str">
        <x:v>GATE</x:v>
      </x:c>
      <x:c r="D668" t="str">
        <x:v>release state mirrors governing ledger</x:v>
      </x:c>
      <x:c r="E668" t="str">
        <x:f>'Release Gates'!I642</x:f>
        <x:v>OPEN</x:v>
      </x:c>
      <x:c r="F668" t="str">
        <x:f>IF('Release Gates'!C642="PLANNING","PASS",IF('Release Gates'!C642="PHYSICAL","OPEN","BLOCKED"))</x:f>
        <x:v>OPEN</x:v>
      </x:c>
      <x:c r="G668" t="str">
        <x:v>equals</x:v>
      </x:c>
      <x:c r="H668" t="str">
        <x:f>IF(E668=F668,"PASS","FAIL")</x:f>
        <x:v>PASS</x:v>
      </x:c>
    </x:row>
    <x:row r="669">
      <x:c r="B669" t="str">
        <x:v>A-00637</x:v>
      </x:c>
      <x:c r="C669" t="str">
        <x:v>GATE</x:v>
      </x:c>
      <x:c r="D669" t="str">
        <x:v>release state mirrors governing ledger</x:v>
      </x:c>
      <x:c r="E669" t="str">
        <x:f>'Release Gates'!I643</x:f>
        <x:v>OPEN</x:v>
      </x:c>
      <x:c r="F669" t="str">
        <x:f>IF('Release Gates'!C643="PLANNING","PASS",IF('Release Gates'!C643="PHYSICAL","OPEN","BLOCKED"))</x:f>
        <x:v>OPEN</x:v>
      </x:c>
      <x:c r="G669" t="str">
        <x:v>equals</x:v>
      </x:c>
      <x:c r="H669" t="str">
        <x:f>IF(E669=F669,"PASS","FAIL")</x:f>
        <x:v>PASS</x:v>
      </x:c>
    </x:row>
    <x:row r="670">
      <x:c r="B670" t="str">
        <x:v>A-00638</x:v>
      </x:c>
      <x:c r="C670" t="str">
        <x:v>GATE</x:v>
      </x:c>
      <x:c r="D670" t="str">
        <x:v>release state mirrors governing ledger</x:v>
      </x:c>
      <x:c r="E670" t="str">
        <x:f>'Release Gates'!I644</x:f>
        <x:v>OPEN</x:v>
      </x:c>
      <x:c r="F670" t="str">
        <x:f>IF('Release Gates'!C644="PLANNING","PASS",IF('Release Gates'!C644="PHYSICAL","OPEN","BLOCKED"))</x:f>
        <x:v>OPEN</x:v>
      </x:c>
      <x:c r="G670" t="str">
        <x:v>equals</x:v>
      </x:c>
      <x:c r="H670" t="str">
        <x:f>IF(E670=F670,"PASS","FAIL")</x:f>
        <x:v>PASS</x:v>
      </x:c>
    </x:row>
    <x:row r="671">
      <x:c r="B671" t="str">
        <x:v>A-00639</x:v>
      </x:c>
      <x:c r="C671" t="str">
        <x:v>GATE</x:v>
      </x:c>
      <x:c r="D671" t="str">
        <x:v>release state mirrors governing ledger</x:v>
      </x:c>
      <x:c r="E671" t="str">
        <x:f>'Release Gates'!I645</x:f>
        <x:v>OPEN</x:v>
      </x:c>
      <x:c r="F671" t="str">
        <x:f>IF('Release Gates'!C645="PLANNING","PASS",IF('Release Gates'!C645="PHYSICAL","OPEN","BLOCKED"))</x:f>
        <x:v>OPEN</x:v>
      </x:c>
      <x:c r="G671" t="str">
        <x:v>equals</x:v>
      </x:c>
      <x:c r="H671" t="str">
        <x:f>IF(E671=F671,"PASS","FAIL")</x:f>
        <x:v>PASS</x:v>
      </x:c>
    </x:row>
    <x:row r="672">
      <x:c r="B672" t="str">
        <x:v>A-00640</x:v>
      </x:c>
      <x:c r="C672" t="str">
        <x:v>GATE</x:v>
      </x:c>
      <x:c r="D672" t="str">
        <x:v>release state mirrors governing ledger</x:v>
      </x:c>
      <x:c r="E672" t="str">
        <x:f>'Release Gates'!I646</x:f>
        <x:v>OPEN</x:v>
      </x:c>
      <x:c r="F672" t="str">
        <x:f>IF('Release Gates'!C646="PLANNING","PASS",IF('Release Gates'!C646="PHYSICAL","OPEN","BLOCKED"))</x:f>
        <x:v>OPEN</x:v>
      </x:c>
      <x:c r="G672" t="str">
        <x:v>equals</x:v>
      </x:c>
      <x:c r="H672" t="str">
        <x:f>IF(E672=F672,"PASS","FAIL")</x:f>
        <x:v>PASS</x:v>
      </x:c>
    </x:row>
    <x:row r="673">
      <x:c r="B673" t="str">
        <x:v>A-00641</x:v>
      </x:c>
      <x:c r="C673" t="str">
        <x:v>GATE</x:v>
      </x:c>
      <x:c r="D673" t="str">
        <x:v>release state mirrors governing ledger</x:v>
      </x:c>
      <x:c r="E673" t="str">
        <x:f>'Release Gates'!I647</x:f>
        <x:v>OPEN</x:v>
      </x:c>
      <x:c r="F673" t="str">
        <x:f>IF('Release Gates'!C647="PLANNING","PASS",IF('Release Gates'!C647="PHYSICAL","OPEN","BLOCKED"))</x:f>
        <x:v>OPEN</x:v>
      </x:c>
      <x:c r="G673" t="str">
        <x:v>equals</x:v>
      </x:c>
      <x:c r="H673" t="str">
        <x:f>IF(E673=F673,"PASS","FAIL")</x:f>
        <x:v>PASS</x:v>
      </x:c>
    </x:row>
    <x:row r="674">
      <x:c r="B674" t="str">
        <x:v>A-00642</x:v>
      </x:c>
      <x:c r="C674" t="str">
        <x:v>GATE</x:v>
      </x:c>
      <x:c r="D674" t="str">
        <x:v>release state mirrors governing ledger</x:v>
      </x:c>
      <x:c r="E674" t="str">
        <x:f>'Release Gates'!I648</x:f>
        <x:v>OPEN</x:v>
      </x:c>
      <x:c r="F674" t="str">
        <x:f>IF('Release Gates'!C648="PLANNING","PASS",IF('Release Gates'!C648="PHYSICAL","OPEN","BLOCKED"))</x:f>
        <x:v>OPEN</x:v>
      </x:c>
      <x:c r="G674" t="str">
        <x:v>equals</x:v>
      </x:c>
      <x:c r="H674" t="str">
        <x:f>IF(E674=F674,"PASS","FAIL")</x:f>
        <x:v>PASS</x:v>
      </x:c>
    </x:row>
    <x:row r="675">
      <x:c r="B675" t="str">
        <x:v>A-00643</x:v>
      </x:c>
      <x:c r="C675" t="str">
        <x:v>GATE</x:v>
      </x:c>
      <x:c r="D675" t="str">
        <x:v>release state mirrors governing ledger</x:v>
      </x:c>
      <x:c r="E675" t="str">
        <x:f>'Release Gates'!I649</x:f>
        <x:v>OPEN</x:v>
      </x:c>
      <x:c r="F675" t="str">
        <x:f>IF('Release Gates'!C649="PLANNING","PASS",IF('Release Gates'!C649="PHYSICAL","OPEN","BLOCKED"))</x:f>
        <x:v>OPEN</x:v>
      </x:c>
      <x:c r="G675" t="str">
        <x:v>equals</x:v>
      </x:c>
      <x:c r="H675" t="str">
        <x:f>IF(E675=F675,"PASS","FAIL")</x:f>
        <x:v>PASS</x:v>
      </x:c>
    </x:row>
    <x:row r="676">
      <x:c r="B676" t="str">
        <x:v>A-00644</x:v>
      </x:c>
      <x:c r="C676" t="str">
        <x:v>GATE</x:v>
      </x:c>
      <x:c r="D676" t="str">
        <x:v>release state mirrors governing ledger</x:v>
      </x:c>
      <x:c r="E676" t="str">
        <x:f>'Release Gates'!I650</x:f>
        <x:v>OPEN</x:v>
      </x:c>
      <x:c r="F676" t="str">
        <x:f>IF('Release Gates'!C650="PLANNING","PASS",IF('Release Gates'!C650="PHYSICAL","OPEN","BLOCKED"))</x:f>
        <x:v>OPEN</x:v>
      </x:c>
      <x:c r="G676" t="str">
        <x:v>equals</x:v>
      </x:c>
      <x:c r="H676" t="str">
        <x:f>IF(E676=F676,"PASS","FAIL")</x:f>
        <x:v>PASS</x:v>
      </x:c>
    </x:row>
    <x:row r="677">
      <x:c r="B677" t="str">
        <x:v>A-00645</x:v>
      </x:c>
      <x:c r="C677" t="str">
        <x:v>GATE</x:v>
      </x:c>
      <x:c r="D677" t="str">
        <x:v>release state mirrors governing ledger</x:v>
      </x:c>
      <x:c r="E677" t="str">
        <x:f>'Release Gates'!I651</x:f>
        <x:v>OPEN</x:v>
      </x:c>
      <x:c r="F677" t="str">
        <x:f>IF('Release Gates'!C651="PLANNING","PASS",IF('Release Gates'!C651="PHYSICAL","OPEN","BLOCKED"))</x:f>
        <x:v>OPEN</x:v>
      </x:c>
      <x:c r="G677" t="str">
        <x:v>equals</x:v>
      </x:c>
      <x:c r="H677" t="str">
        <x:f>IF(E677=F677,"PASS","FAIL")</x:f>
        <x:v>PASS</x:v>
      </x:c>
    </x:row>
    <x:row r="678">
      <x:c r="B678" t="str">
        <x:v>A-00646</x:v>
      </x:c>
      <x:c r="C678" t="str">
        <x:v>GATE</x:v>
      </x:c>
      <x:c r="D678" t="str">
        <x:v>release state mirrors governing ledger</x:v>
      </x:c>
      <x:c r="E678" t="str">
        <x:f>'Release Gates'!I652</x:f>
        <x:v>OPEN</x:v>
      </x:c>
      <x:c r="F678" t="str">
        <x:f>IF('Release Gates'!C652="PLANNING","PASS",IF('Release Gates'!C652="PHYSICAL","OPEN","BLOCKED"))</x:f>
        <x:v>OPEN</x:v>
      </x:c>
      <x:c r="G678" t="str">
        <x:v>equals</x:v>
      </x:c>
      <x:c r="H678" t="str">
        <x:f>IF(E678=F678,"PASS","FAIL")</x:f>
        <x:v>PASS</x:v>
      </x:c>
    </x:row>
    <x:row r="679">
      <x:c r="B679" t="str">
        <x:v>A-00647</x:v>
      </x:c>
      <x:c r="C679" t="str">
        <x:v>GATE</x:v>
      </x:c>
      <x:c r="D679" t="str">
        <x:v>release state mirrors governing ledger</x:v>
      </x:c>
      <x:c r="E679" t="str">
        <x:f>'Release Gates'!I653</x:f>
        <x:v>OPEN</x:v>
      </x:c>
      <x:c r="F679" t="str">
        <x:f>IF('Release Gates'!C653="PLANNING","PASS",IF('Release Gates'!C653="PHYSICAL","OPEN","BLOCKED"))</x:f>
        <x:v>OPEN</x:v>
      </x:c>
      <x:c r="G679" t="str">
        <x:v>equals</x:v>
      </x:c>
      <x:c r="H679" t="str">
        <x:f>IF(E679=F679,"PASS","FAIL")</x:f>
        <x:v>PASS</x:v>
      </x:c>
    </x:row>
    <x:row r="680">
      <x:c r="B680" t="str">
        <x:v>A-00648</x:v>
      </x:c>
      <x:c r="C680" t="str">
        <x:v>GATE</x:v>
      </x:c>
      <x:c r="D680" t="str">
        <x:v>release state mirrors governing ledger</x:v>
      </x:c>
      <x:c r="E680" t="str">
        <x:f>'Release Gates'!I654</x:f>
        <x:v>OPEN</x:v>
      </x:c>
      <x:c r="F680" t="str">
        <x:f>IF('Release Gates'!C654="PLANNING","PASS",IF('Release Gates'!C654="PHYSICAL","OPEN","BLOCKED"))</x:f>
        <x:v>OPEN</x:v>
      </x:c>
      <x:c r="G680" t="str">
        <x:v>equals</x:v>
      </x:c>
      <x:c r="H680" t="str">
        <x:f>IF(E680=F680,"PASS","FAIL")</x:f>
        <x:v>PASS</x:v>
      </x:c>
    </x:row>
    <x:row r="681">
      <x:c r="B681" t="str">
        <x:v>A-00649</x:v>
      </x:c>
      <x:c r="C681" t="str">
        <x:v>GATE</x:v>
      </x:c>
      <x:c r="D681" t="str">
        <x:v>release state mirrors governing ledger</x:v>
      </x:c>
      <x:c r="E681" t="str">
        <x:f>'Release Gates'!I655</x:f>
        <x:v>OPEN</x:v>
      </x:c>
      <x:c r="F681" t="str">
        <x:f>IF('Release Gates'!C655="PLANNING","PASS",IF('Release Gates'!C655="PHYSICAL","OPEN","BLOCKED"))</x:f>
        <x:v>OPEN</x:v>
      </x:c>
      <x:c r="G681" t="str">
        <x:v>equals</x:v>
      </x:c>
      <x:c r="H681" t="str">
        <x:f>IF(E681=F681,"PASS","FAIL")</x:f>
        <x:v>PASS</x:v>
      </x:c>
    </x:row>
    <x:row r="682">
      <x:c r="B682" t="str">
        <x:v>A-00650</x:v>
      </x:c>
      <x:c r="C682" t="str">
        <x:v>GATE</x:v>
      </x:c>
      <x:c r="D682" t="str">
        <x:v>release state mirrors governing ledger</x:v>
      </x:c>
      <x:c r="E682" t="str">
        <x:f>'Release Gates'!I656</x:f>
        <x:v>OPEN</x:v>
      </x:c>
      <x:c r="F682" t="str">
        <x:f>IF('Release Gates'!C656="PLANNING","PASS",IF('Release Gates'!C656="PHYSICAL","OPEN","BLOCKED"))</x:f>
        <x:v>OPEN</x:v>
      </x:c>
      <x:c r="G682" t="str">
        <x:v>equals</x:v>
      </x:c>
      <x:c r="H682" t="str">
        <x:f>IF(E682=F682,"PASS","FAIL")</x:f>
        <x:v>PASS</x:v>
      </x:c>
    </x:row>
    <x:row r="683">
      <x:c r="B683" t="str">
        <x:v>A-00651</x:v>
      </x:c>
      <x:c r="C683" t="str">
        <x:v>GATE</x:v>
      </x:c>
      <x:c r="D683" t="str">
        <x:v>release state mirrors governing ledger</x:v>
      </x:c>
      <x:c r="E683" t="str">
        <x:f>'Release Gates'!I657</x:f>
        <x:v>OPEN</x:v>
      </x:c>
      <x:c r="F683" t="str">
        <x:f>IF('Release Gates'!C657="PLANNING","PASS",IF('Release Gates'!C657="PHYSICAL","OPEN","BLOCKED"))</x:f>
        <x:v>OPEN</x:v>
      </x:c>
      <x:c r="G683" t="str">
        <x:v>equals</x:v>
      </x:c>
      <x:c r="H683" t="str">
        <x:f>IF(E683=F683,"PASS","FAIL")</x:f>
        <x:v>PASS</x:v>
      </x:c>
    </x:row>
    <x:row r="684">
      <x:c r="B684" t="str">
        <x:v>A-00652</x:v>
      </x:c>
      <x:c r="C684" t="str">
        <x:v>GATE</x:v>
      </x:c>
      <x:c r="D684" t="str">
        <x:v>release state mirrors governing ledger</x:v>
      </x:c>
      <x:c r="E684" t="str">
        <x:f>'Release Gates'!I658</x:f>
        <x:v>OPEN</x:v>
      </x:c>
      <x:c r="F684" t="str">
        <x:f>IF('Release Gates'!C658="PLANNING","PASS",IF('Release Gates'!C658="PHYSICAL","OPEN","BLOCKED"))</x:f>
        <x:v>OPEN</x:v>
      </x:c>
      <x:c r="G684" t="str">
        <x:v>equals</x:v>
      </x:c>
      <x:c r="H684" t="str">
        <x:f>IF(E684=F684,"PASS","FAIL")</x:f>
        <x:v>PASS</x:v>
      </x:c>
    </x:row>
    <x:row r="685">
      <x:c r="B685" t="str">
        <x:v>A-00653</x:v>
      </x:c>
      <x:c r="C685" t="str">
        <x:v>GATE</x:v>
      </x:c>
      <x:c r="D685" t="str">
        <x:v>release state mirrors governing ledger</x:v>
      </x:c>
      <x:c r="E685" t="str">
        <x:f>'Release Gates'!I659</x:f>
        <x:v>OPEN</x:v>
      </x:c>
      <x:c r="F685" t="str">
        <x:f>IF('Release Gates'!C659="PLANNING","PASS",IF('Release Gates'!C659="PHYSICAL","OPEN","BLOCKED"))</x:f>
        <x:v>OPEN</x:v>
      </x:c>
      <x:c r="G685" t="str">
        <x:v>equals</x:v>
      </x:c>
      <x:c r="H685" t="str">
        <x:f>IF(E685=F685,"PASS","FAIL")</x:f>
        <x:v>PASS</x:v>
      </x:c>
    </x:row>
    <x:row r="686">
      <x:c r="B686" t="str">
        <x:v>A-00654</x:v>
      </x:c>
      <x:c r="C686" t="str">
        <x:v>GATE</x:v>
      </x:c>
      <x:c r="D686" t="str">
        <x:v>release state mirrors governing ledger</x:v>
      </x:c>
      <x:c r="E686" t="str">
        <x:f>'Release Gates'!I660</x:f>
        <x:v>OPEN</x:v>
      </x:c>
      <x:c r="F686" t="str">
        <x:f>IF('Release Gates'!C660="PLANNING","PASS",IF('Release Gates'!C660="PHYSICAL","OPEN","BLOCKED"))</x:f>
        <x:v>OPEN</x:v>
      </x:c>
      <x:c r="G686" t="str">
        <x:v>equals</x:v>
      </x:c>
      <x:c r="H686" t="str">
        <x:f>IF(E686=F686,"PASS","FAIL")</x:f>
        <x:v>PASS</x:v>
      </x:c>
    </x:row>
    <x:row r="687">
      <x:c r="B687" t="str">
        <x:v>A-00655</x:v>
      </x:c>
      <x:c r="C687" t="str">
        <x:v>GATE</x:v>
      </x:c>
      <x:c r="D687" t="str">
        <x:v>release state mirrors governing ledger</x:v>
      </x:c>
      <x:c r="E687" t="str">
        <x:f>'Release Gates'!I661</x:f>
        <x:v>OPEN</x:v>
      </x:c>
      <x:c r="F687" t="str">
        <x:f>IF('Release Gates'!C661="PLANNING","PASS",IF('Release Gates'!C661="PHYSICAL","OPEN","BLOCKED"))</x:f>
        <x:v>OPEN</x:v>
      </x:c>
      <x:c r="G687" t="str">
        <x:v>equals</x:v>
      </x:c>
      <x:c r="H687" t="str">
        <x:f>IF(E687=F687,"PASS","FAIL")</x:f>
        <x:v>PASS</x:v>
      </x:c>
    </x:row>
    <x:row r="688">
      <x:c r="B688" t="str">
        <x:v>A-00656</x:v>
      </x:c>
      <x:c r="C688" t="str">
        <x:v>GATE</x:v>
      </x:c>
      <x:c r="D688" t="str">
        <x:v>release state mirrors governing ledger</x:v>
      </x:c>
      <x:c r="E688" t="str">
        <x:f>'Release Gates'!I662</x:f>
        <x:v>OPEN</x:v>
      </x:c>
      <x:c r="F688" t="str">
        <x:f>IF('Release Gates'!C662="PLANNING","PASS",IF('Release Gates'!C662="PHYSICAL","OPEN","BLOCKED"))</x:f>
        <x:v>OPEN</x:v>
      </x:c>
      <x:c r="G688" t="str">
        <x:v>equals</x:v>
      </x:c>
      <x:c r="H688" t="str">
        <x:f>IF(E688=F688,"PASS","FAIL")</x:f>
        <x:v>PASS</x:v>
      </x:c>
    </x:row>
    <x:row r="689">
      <x:c r="B689" t="str">
        <x:v>A-00657</x:v>
      </x:c>
      <x:c r="C689" t="str">
        <x:v>GATE</x:v>
      </x:c>
      <x:c r="D689" t="str">
        <x:v>release state mirrors governing ledger</x:v>
      </x:c>
      <x:c r="E689" t="str">
        <x:f>'Release Gates'!I663</x:f>
        <x:v>OPEN</x:v>
      </x:c>
      <x:c r="F689" t="str">
        <x:f>IF('Release Gates'!C663="PLANNING","PASS",IF('Release Gates'!C663="PHYSICAL","OPEN","BLOCKED"))</x:f>
        <x:v>OPEN</x:v>
      </x:c>
      <x:c r="G689" t="str">
        <x:v>equals</x:v>
      </x:c>
      <x:c r="H689" t="str">
        <x:f>IF(E689=F689,"PASS","FAIL")</x:f>
        <x:v>PASS</x:v>
      </x:c>
    </x:row>
    <x:row r="690">
      <x:c r="B690" t="str">
        <x:v>A-00658</x:v>
      </x:c>
      <x:c r="C690" t="str">
        <x:v>GATE</x:v>
      </x:c>
      <x:c r="D690" t="str">
        <x:v>release state mirrors governing ledger</x:v>
      </x:c>
      <x:c r="E690" t="str">
        <x:f>'Release Gates'!I664</x:f>
        <x:v>OPEN</x:v>
      </x:c>
      <x:c r="F690" t="str">
        <x:f>IF('Release Gates'!C664="PLANNING","PASS",IF('Release Gates'!C664="PHYSICAL","OPEN","BLOCKED"))</x:f>
        <x:v>OPEN</x:v>
      </x:c>
      <x:c r="G690" t="str">
        <x:v>equals</x:v>
      </x:c>
      <x:c r="H690" t="str">
        <x:f>IF(E690=F690,"PASS","FAIL")</x:f>
        <x:v>PASS</x:v>
      </x:c>
    </x:row>
    <x:row r="691">
      <x:c r="B691" t="str">
        <x:v>A-00659</x:v>
      </x:c>
      <x:c r="C691" t="str">
        <x:v>GATE</x:v>
      </x:c>
      <x:c r="D691" t="str">
        <x:v>release state mirrors governing ledger</x:v>
      </x:c>
      <x:c r="E691" t="str">
        <x:f>'Release Gates'!I665</x:f>
        <x:v>OPEN</x:v>
      </x:c>
      <x:c r="F691" t="str">
        <x:f>IF('Release Gates'!C665="PLANNING","PASS",IF('Release Gates'!C665="PHYSICAL","OPEN","BLOCKED"))</x:f>
        <x:v>OPEN</x:v>
      </x:c>
      <x:c r="G691" t="str">
        <x:v>equals</x:v>
      </x:c>
      <x:c r="H691" t="str">
        <x:f>IF(E691=F691,"PASS","FAIL")</x:f>
        <x:v>PASS</x:v>
      </x:c>
    </x:row>
    <x:row r="692">
      <x:c r="B692" t="str">
        <x:v>A-00660</x:v>
      </x:c>
      <x:c r="C692" t="str">
        <x:v>GATE</x:v>
      </x:c>
      <x:c r="D692" t="str">
        <x:v>release state mirrors governing ledger</x:v>
      </x:c>
      <x:c r="E692" t="str">
        <x:f>'Release Gates'!I666</x:f>
        <x:v>OPEN</x:v>
      </x:c>
      <x:c r="F692" t="str">
        <x:f>IF('Release Gates'!C666="PLANNING","PASS",IF('Release Gates'!C666="PHYSICAL","OPEN","BLOCKED"))</x:f>
        <x:v>OPEN</x:v>
      </x:c>
      <x:c r="G692" t="str">
        <x:v>equals</x:v>
      </x:c>
      <x:c r="H692" t="str">
        <x:f>IF(E692=F692,"PASS","FAIL")</x:f>
        <x:v>PASS</x:v>
      </x:c>
    </x:row>
    <x:row r="693">
      <x:c r="B693" t="str">
        <x:v>A-00661</x:v>
      </x:c>
      <x:c r="C693" t="str">
        <x:v>GATE</x:v>
      </x:c>
      <x:c r="D693" t="str">
        <x:v>release state mirrors governing ledger</x:v>
      </x:c>
      <x:c r="E693" t="str">
        <x:f>'Release Gates'!I667</x:f>
        <x:v>OPEN</x:v>
      </x:c>
      <x:c r="F693" t="str">
        <x:f>IF('Release Gates'!C667="PLANNING","PASS",IF('Release Gates'!C667="PHYSICAL","OPEN","BLOCKED"))</x:f>
        <x:v>OPEN</x:v>
      </x:c>
      <x:c r="G693" t="str">
        <x:v>equals</x:v>
      </x:c>
      <x:c r="H693" t="str">
        <x:f>IF(E693=F693,"PASS","FAIL")</x:f>
        <x:v>PASS</x:v>
      </x:c>
    </x:row>
    <x:row r="694">
      <x:c r="B694" t="str">
        <x:v>A-00662</x:v>
      </x:c>
      <x:c r="C694" t="str">
        <x:v>GATE</x:v>
      </x:c>
      <x:c r="D694" t="str">
        <x:v>release state mirrors governing ledger</x:v>
      </x:c>
      <x:c r="E694" t="str">
        <x:f>'Release Gates'!I668</x:f>
        <x:v>OPEN</x:v>
      </x:c>
      <x:c r="F694" t="str">
        <x:f>IF('Release Gates'!C668="PLANNING","PASS",IF('Release Gates'!C668="PHYSICAL","OPEN","BLOCKED"))</x:f>
        <x:v>OPEN</x:v>
      </x:c>
      <x:c r="G694" t="str">
        <x:v>equals</x:v>
      </x:c>
      <x:c r="H694" t="str">
        <x:f>IF(E694=F694,"PASS","FAIL")</x:f>
        <x:v>PASS</x:v>
      </x:c>
    </x:row>
    <x:row r="695">
      <x:c r="B695" t="str">
        <x:v>A-00663</x:v>
      </x:c>
      <x:c r="C695" t="str">
        <x:v>GATE</x:v>
      </x:c>
      <x:c r="D695" t="str">
        <x:v>release state mirrors governing ledger</x:v>
      </x:c>
      <x:c r="E695" t="str">
        <x:f>'Release Gates'!I669</x:f>
        <x:v>OPEN</x:v>
      </x:c>
      <x:c r="F695" t="str">
        <x:f>IF('Release Gates'!C669="PLANNING","PASS",IF('Release Gates'!C669="PHYSICAL","OPEN","BLOCKED"))</x:f>
        <x:v>OPEN</x:v>
      </x:c>
      <x:c r="G695" t="str">
        <x:v>equals</x:v>
      </x:c>
      <x:c r="H695" t="str">
        <x:f>IF(E695=F695,"PASS","FAIL")</x:f>
        <x:v>PASS</x:v>
      </x:c>
    </x:row>
    <x:row r="696">
      <x:c r="B696" t="str">
        <x:v>A-00664</x:v>
      </x:c>
      <x:c r="C696" t="str">
        <x:v>GATE</x:v>
      </x:c>
      <x:c r="D696" t="str">
        <x:v>release state mirrors governing ledger</x:v>
      </x:c>
      <x:c r="E696" t="str">
        <x:f>'Release Gates'!I670</x:f>
        <x:v>OPEN</x:v>
      </x:c>
      <x:c r="F696" t="str">
        <x:f>IF('Release Gates'!C670="PLANNING","PASS",IF('Release Gates'!C670="PHYSICAL","OPEN","BLOCKED"))</x:f>
        <x:v>OPEN</x:v>
      </x:c>
      <x:c r="G696" t="str">
        <x:v>equals</x:v>
      </x:c>
      <x:c r="H696" t="str">
        <x:f>IF(E696=F696,"PASS","FAIL")</x:f>
        <x:v>PASS</x:v>
      </x:c>
    </x:row>
    <x:row r="697">
      <x:c r="B697" t="str">
        <x:v>A-00665</x:v>
      </x:c>
      <x:c r="C697" t="str">
        <x:v>GATE</x:v>
      </x:c>
      <x:c r="D697" t="str">
        <x:v>release state mirrors governing ledger</x:v>
      </x:c>
      <x:c r="E697" t="str">
        <x:f>'Release Gates'!I671</x:f>
        <x:v>OPEN</x:v>
      </x:c>
      <x:c r="F697" t="str">
        <x:f>IF('Release Gates'!C671="PLANNING","PASS",IF('Release Gates'!C671="PHYSICAL","OPEN","BLOCKED"))</x:f>
        <x:v>OPEN</x:v>
      </x:c>
      <x:c r="G697" t="str">
        <x:v>equals</x:v>
      </x:c>
      <x:c r="H697" t="str">
        <x:f>IF(E697=F697,"PASS","FAIL")</x:f>
        <x:v>PASS</x:v>
      </x:c>
    </x:row>
    <x:row r="698">
      <x:c r="B698" t="str">
        <x:v>A-00666</x:v>
      </x:c>
      <x:c r="C698" t="str">
        <x:v>GATE</x:v>
      </x:c>
      <x:c r="D698" t="str">
        <x:v>release state mirrors governing ledger</x:v>
      </x:c>
      <x:c r="E698" t="str">
        <x:f>'Release Gates'!I672</x:f>
        <x:v>OPEN</x:v>
      </x:c>
      <x:c r="F698" t="str">
        <x:f>IF('Release Gates'!C672="PLANNING","PASS",IF('Release Gates'!C672="PHYSICAL","OPEN","BLOCKED"))</x:f>
        <x:v>OPEN</x:v>
      </x:c>
      <x:c r="G698" t="str">
        <x:v>equals</x:v>
      </x:c>
      <x:c r="H698" t="str">
        <x:f>IF(E698=F698,"PASS","FAIL")</x:f>
        <x:v>PASS</x:v>
      </x:c>
    </x:row>
    <x:row r="699">
      <x:c r="B699" t="str">
        <x:v>A-00667</x:v>
      </x:c>
      <x:c r="C699" t="str">
        <x:v>GATE</x:v>
      </x:c>
      <x:c r="D699" t="str">
        <x:v>release state mirrors governing ledger</x:v>
      </x:c>
      <x:c r="E699" t="str">
        <x:f>'Release Gates'!I673</x:f>
        <x:v>OPEN</x:v>
      </x:c>
      <x:c r="F699" t="str">
        <x:f>IF('Release Gates'!C673="PLANNING","PASS",IF('Release Gates'!C673="PHYSICAL","OPEN","BLOCKED"))</x:f>
        <x:v>OPEN</x:v>
      </x:c>
      <x:c r="G699" t="str">
        <x:v>equals</x:v>
      </x:c>
      <x:c r="H699" t="str">
        <x:f>IF(E699=F699,"PASS","FAIL")</x:f>
        <x:v>PASS</x:v>
      </x:c>
    </x:row>
    <x:row r="700">
      <x:c r="B700" t="str">
        <x:v>A-00668</x:v>
      </x:c>
      <x:c r="C700" t="str">
        <x:v>GATE</x:v>
      </x:c>
      <x:c r="D700" t="str">
        <x:v>release state mirrors governing ledger</x:v>
      </x:c>
      <x:c r="E700" t="str">
        <x:f>'Release Gates'!I674</x:f>
        <x:v>OPEN</x:v>
      </x:c>
      <x:c r="F700" t="str">
        <x:f>IF('Release Gates'!C674="PLANNING","PASS",IF('Release Gates'!C674="PHYSICAL","OPEN","BLOCKED"))</x:f>
        <x:v>OPEN</x:v>
      </x:c>
      <x:c r="G700" t="str">
        <x:v>equals</x:v>
      </x:c>
      <x:c r="H700" t="str">
        <x:f>IF(E700=F700,"PASS","FAIL")</x:f>
        <x:v>PASS</x:v>
      </x:c>
    </x:row>
    <x:row r="701">
      <x:c r="B701" t="str">
        <x:v>A-00669</x:v>
      </x:c>
      <x:c r="C701" t="str">
        <x:v>GATE</x:v>
      </x:c>
      <x:c r="D701" t="str">
        <x:v>release state mirrors governing ledger</x:v>
      </x:c>
      <x:c r="E701" t="str">
        <x:f>'Release Gates'!I675</x:f>
        <x:v>OPEN</x:v>
      </x:c>
      <x:c r="F701" t="str">
        <x:f>IF('Release Gates'!C675="PLANNING","PASS",IF('Release Gates'!C675="PHYSICAL","OPEN","BLOCKED"))</x:f>
        <x:v>OPEN</x:v>
      </x:c>
      <x:c r="G701" t="str">
        <x:v>equals</x:v>
      </x:c>
      <x:c r="H701" t="str">
        <x:f>IF(E701=F701,"PASS","FAIL")</x:f>
        <x:v>PASS</x:v>
      </x:c>
    </x:row>
    <x:row r="702">
      <x:c r="B702" t="str">
        <x:v>A-00670</x:v>
      </x:c>
      <x:c r="C702" t="str">
        <x:v>GATE</x:v>
      </x:c>
      <x:c r="D702" t="str">
        <x:v>release state mirrors governing ledger</x:v>
      </x:c>
      <x:c r="E702" t="str">
        <x:f>'Release Gates'!I676</x:f>
        <x:v>OPEN</x:v>
      </x:c>
      <x:c r="F702" t="str">
        <x:f>IF('Release Gates'!C676="PLANNING","PASS",IF('Release Gates'!C676="PHYSICAL","OPEN","BLOCKED"))</x:f>
        <x:v>OPEN</x:v>
      </x:c>
      <x:c r="G702" t="str">
        <x:v>equals</x:v>
      </x:c>
      <x:c r="H702" t="str">
        <x:f>IF(E702=F702,"PASS","FAIL")</x:f>
        <x:v>PASS</x:v>
      </x:c>
    </x:row>
    <x:row r="703">
      <x:c r="B703" t="str">
        <x:v>A-00671</x:v>
      </x:c>
      <x:c r="C703" t="str">
        <x:v>GATE</x:v>
      </x:c>
      <x:c r="D703" t="str">
        <x:v>release state mirrors governing ledger</x:v>
      </x:c>
      <x:c r="E703" t="str">
        <x:f>'Release Gates'!I677</x:f>
        <x:v>OPEN</x:v>
      </x:c>
      <x:c r="F703" t="str">
        <x:f>IF('Release Gates'!C677="PLANNING","PASS",IF('Release Gates'!C677="PHYSICAL","OPEN","BLOCKED"))</x:f>
        <x:v>OPEN</x:v>
      </x:c>
      <x:c r="G703" t="str">
        <x:v>equals</x:v>
      </x:c>
      <x:c r="H703" t="str">
        <x:f>IF(E703=F703,"PASS","FAIL")</x:f>
        <x:v>PASS</x:v>
      </x:c>
    </x:row>
    <x:row r="704">
      <x:c r="B704" t="str">
        <x:v>A-00672</x:v>
      </x:c>
      <x:c r="C704" t="str">
        <x:v>GATE</x:v>
      </x:c>
      <x:c r="D704" t="str">
        <x:v>release state mirrors governing ledger</x:v>
      </x:c>
      <x:c r="E704" t="str">
        <x:f>'Release Gates'!I678</x:f>
        <x:v>OPEN</x:v>
      </x:c>
      <x:c r="F704" t="str">
        <x:f>IF('Release Gates'!C678="PLANNING","PASS",IF('Release Gates'!C678="PHYSICAL","OPEN","BLOCKED"))</x:f>
        <x:v>OPEN</x:v>
      </x:c>
      <x:c r="G704" t="str">
        <x:v>equals</x:v>
      </x:c>
      <x:c r="H704" t="str">
        <x:f>IF(E704=F704,"PASS","FAIL")</x:f>
        <x:v>PASS</x:v>
      </x:c>
    </x:row>
    <x:row r="705">
      <x:c r="B705" t="str">
        <x:v>A-00673</x:v>
      </x:c>
      <x:c r="C705" t="str">
        <x:v>GATE</x:v>
      </x:c>
      <x:c r="D705" t="str">
        <x:v>release state mirrors governing ledger</x:v>
      </x:c>
      <x:c r="E705" t="str">
        <x:f>'Release Gates'!I679</x:f>
        <x:v>OPEN</x:v>
      </x:c>
      <x:c r="F705" t="str">
        <x:f>IF('Release Gates'!C679="PLANNING","PASS",IF('Release Gates'!C679="PHYSICAL","OPEN","BLOCKED"))</x:f>
        <x:v>OPEN</x:v>
      </x:c>
      <x:c r="G705" t="str">
        <x:v>equals</x:v>
      </x:c>
      <x:c r="H705" t="str">
        <x:f>IF(E705=F705,"PASS","FAIL")</x:f>
        <x:v>PASS</x:v>
      </x:c>
    </x:row>
    <x:row r="706">
      <x:c r="B706" t="str">
        <x:v>A-00674</x:v>
      </x:c>
      <x:c r="C706" t="str">
        <x:v>GATE</x:v>
      </x:c>
      <x:c r="D706" t="str">
        <x:v>release state mirrors governing ledger</x:v>
      </x:c>
      <x:c r="E706" t="str">
        <x:f>'Release Gates'!I680</x:f>
        <x:v>OPEN</x:v>
      </x:c>
      <x:c r="F706" t="str">
        <x:f>IF('Release Gates'!C680="PLANNING","PASS",IF('Release Gates'!C680="PHYSICAL","OPEN","BLOCKED"))</x:f>
        <x:v>OPEN</x:v>
      </x:c>
      <x:c r="G706" t="str">
        <x:v>equals</x:v>
      </x:c>
      <x:c r="H706" t="str">
        <x:f>IF(E706=F706,"PASS","FAIL")</x:f>
        <x:v>PASS</x:v>
      </x:c>
    </x:row>
    <x:row r="707">
      <x:c r="B707" t="str">
        <x:v>A-00675</x:v>
      </x:c>
      <x:c r="C707" t="str">
        <x:v>GATE</x:v>
      </x:c>
      <x:c r="D707" t="str">
        <x:v>release state mirrors governing ledger</x:v>
      </x:c>
      <x:c r="E707" t="str">
        <x:f>'Release Gates'!I681</x:f>
        <x:v>OPEN</x:v>
      </x:c>
      <x:c r="F707" t="str">
        <x:f>IF('Release Gates'!C681="PLANNING","PASS",IF('Release Gates'!C681="PHYSICAL","OPEN","BLOCKED"))</x:f>
        <x:v>OPEN</x:v>
      </x:c>
      <x:c r="G707" t="str">
        <x:v>equals</x:v>
      </x:c>
      <x:c r="H707" t="str">
        <x:f>IF(E707=F707,"PASS","FAIL")</x:f>
        <x:v>PASS</x:v>
      </x:c>
    </x:row>
    <x:row r="708">
      <x:c r="B708" t="str">
        <x:v>A-00676</x:v>
      </x:c>
      <x:c r="C708" t="str">
        <x:v>GATE</x:v>
      </x:c>
      <x:c r="D708" t="str">
        <x:v>release state mirrors governing ledger</x:v>
      </x:c>
      <x:c r="E708" t="str">
        <x:f>'Release Gates'!I682</x:f>
        <x:v>OPEN</x:v>
      </x:c>
      <x:c r="F708" t="str">
        <x:f>IF('Release Gates'!C682="PLANNING","PASS",IF('Release Gates'!C682="PHYSICAL","OPEN","BLOCKED"))</x:f>
        <x:v>OPEN</x:v>
      </x:c>
      <x:c r="G708" t="str">
        <x:v>equals</x:v>
      </x:c>
      <x:c r="H708" t="str">
        <x:f>IF(E708=F708,"PASS","FAIL")</x:f>
        <x:v>PASS</x:v>
      </x:c>
    </x:row>
    <x:row r="709">
      <x:c r="B709" t="str">
        <x:v>A-00677</x:v>
      </x:c>
      <x:c r="C709" t="str">
        <x:v>GATE</x:v>
      </x:c>
      <x:c r="D709" t="str">
        <x:v>release state mirrors governing ledger</x:v>
      </x:c>
      <x:c r="E709" t="str">
        <x:f>'Release Gates'!I683</x:f>
        <x:v>OPEN</x:v>
      </x:c>
      <x:c r="F709" t="str">
        <x:f>IF('Release Gates'!C683="PLANNING","PASS",IF('Release Gates'!C683="PHYSICAL","OPEN","BLOCKED"))</x:f>
        <x:v>OPEN</x:v>
      </x:c>
      <x:c r="G709" t="str">
        <x:v>equals</x:v>
      </x:c>
      <x:c r="H709" t="str">
        <x:f>IF(E709=F709,"PASS","FAIL")</x:f>
        <x:v>PASS</x:v>
      </x:c>
    </x:row>
    <x:row r="710">
      <x:c r="B710" t="str">
        <x:v>A-00678</x:v>
      </x:c>
      <x:c r="C710" t="str">
        <x:v>GATE</x:v>
      </x:c>
      <x:c r="D710" t="str">
        <x:v>release state mirrors governing ledger</x:v>
      </x:c>
      <x:c r="E710" t="str">
        <x:f>'Release Gates'!I684</x:f>
        <x:v>OPEN</x:v>
      </x:c>
      <x:c r="F710" t="str">
        <x:f>IF('Release Gates'!C684="PLANNING","PASS",IF('Release Gates'!C684="PHYSICAL","OPEN","BLOCKED"))</x:f>
        <x:v>OPEN</x:v>
      </x:c>
      <x:c r="G710" t="str">
        <x:v>equals</x:v>
      </x:c>
      <x:c r="H710" t="str">
        <x:f>IF(E710=F710,"PASS","FAIL")</x:f>
        <x:v>PASS</x:v>
      </x:c>
    </x:row>
    <x:row r="711">
      <x:c r="B711" t="str">
        <x:v>A-00679</x:v>
      </x:c>
      <x:c r="C711" t="str">
        <x:v>GATE</x:v>
      </x:c>
      <x:c r="D711" t="str">
        <x:v>release state mirrors governing ledger</x:v>
      </x:c>
      <x:c r="E711" t="str">
        <x:f>'Release Gates'!I685</x:f>
        <x:v>OPEN</x:v>
      </x:c>
      <x:c r="F711" t="str">
        <x:f>IF('Release Gates'!C685="PLANNING","PASS",IF('Release Gates'!C685="PHYSICAL","OPEN","BLOCKED"))</x:f>
        <x:v>OPEN</x:v>
      </x:c>
      <x:c r="G711" t="str">
        <x:v>equals</x:v>
      </x:c>
      <x:c r="H711" t="str">
        <x:f>IF(E711=F711,"PASS","FAIL")</x:f>
        <x:v>PASS</x:v>
      </x:c>
    </x:row>
    <x:row r="712">
      <x:c r="B712" t="str">
        <x:v>A-00680</x:v>
      </x:c>
      <x:c r="C712" t="str">
        <x:v>GATE</x:v>
      </x:c>
      <x:c r="D712" t="str">
        <x:v>release state mirrors governing ledger</x:v>
      </x:c>
      <x:c r="E712" t="str">
        <x:f>'Release Gates'!I686</x:f>
        <x:v>OPEN</x:v>
      </x:c>
      <x:c r="F712" t="str">
        <x:f>IF('Release Gates'!C686="PLANNING","PASS",IF('Release Gates'!C686="PHYSICAL","OPEN","BLOCKED"))</x:f>
        <x:v>OPEN</x:v>
      </x:c>
      <x:c r="G712" t="str">
        <x:v>equals</x:v>
      </x:c>
      <x:c r="H712" t="str">
        <x:f>IF(E712=F712,"PASS","FAIL")</x:f>
        <x:v>PASS</x:v>
      </x:c>
    </x:row>
    <x:row r="713">
      <x:c r="B713" t="str">
        <x:v>A-00681</x:v>
      </x:c>
      <x:c r="C713" t="str">
        <x:v>GATE</x:v>
      </x:c>
      <x:c r="D713" t="str">
        <x:v>release state mirrors governing ledger</x:v>
      </x:c>
      <x:c r="E713" t="str">
        <x:f>'Release Gates'!I687</x:f>
        <x:v>OPEN</x:v>
      </x:c>
      <x:c r="F713" t="str">
        <x:f>IF('Release Gates'!C687="PLANNING","PASS",IF('Release Gates'!C687="PHYSICAL","OPEN","BLOCKED"))</x:f>
        <x:v>OPEN</x:v>
      </x:c>
      <x:c r="G713" t="str">
        <x:v>equals</x:v>
      </x:c>
      <x:c r="H713" t="str">
        <x:f>IF(E713=F713,"PASS","FAIL")</x:f>
        <x:v>PASS</x:v>
      </x:c>
    </x:row>
    <x:row r="714">
      <x:c r="B714" t="str">
        <x:v>A-00682</x:v>
      </x:c>
      <x:c r="C714" t="str">
        <x:v>GATE</x:v>
      </x:c>
      <x:c r="D714" t="str">
        <x:v>release state mirrors governing ledger</x:v>
      </x:c>
      <x:c r="E714" t="str">
        <x:f>'Release Gates'!I688</x:f>
        <x:v>OPEN</x:v>
      </x:c>
      <x:c r="F714" t="str">
        <x:f>IF('Release Gates'!C688="PLANNING","PASS",IF('Release Gates'!C688="PHYSICAL","OPEN","BLOCKED"))</x:f>
        <x:v>OPEN</x:v>
      </x:c>
      <x:c r="G714" t="str">
        <x:v>equals</x:v>
      </x:c>
      <x:c r="H714" t="str">
        <x:f>IF(E714=F714,"PASS","FAIL")</x:f>
        <x:v>PASS</x:v>
      </x:c>
    </x:row>
    <x:row r="715">
      <x:c r="B715" t="str">
        <x:v>A-00683</x:v>
      </x:c>
      <x:c r="C715" t="str">
        <x:v>GATE</x:v>
      </x:c>
      <x:c r="D715" t="str">
        <x:v>release state mirrors governing ledger</x:v>
      </x:c>
      <x:c r="E715" t="str">
        <x:f>'Release Gates'!I689</x:f>
        <x:v>OPEN</x:v>
      </x:c>
      <x:c r="F715" t="str">
        <x:f>IF('Release Gates'!C689="PLANNING","PASS",IF('Release Gates'!C689="PHYSICAL","OPEN","BLOCKED"))</x:f>
        <x:v>OPEN</x:v>
      </x:c>
      <x:c r="G715" t="str">
        <x:v>equals</x:v>
      </x:c>
      <x:c r="H715" t="str">
        <x:f>IF(E715=F715,"PASS","FAIL")</x:f>
        <x:v>PASS</x:v>
      </x:c>
    </x:row>
    <x:row r="716">
      <x:c r="B716" t="str">
        <x:v>A-00684</x:v>
      </x:c>
      <x:c r="C716" t="str">
        <x:v>GATE</x:v>
      </x:c>
      <x:c r="D716" t="str">
        <x:v>release state mirrors governing ledger</x:v>
      </x:c>
      <x:c r="E716" t="str">
        <x:f>'Release Gates'!I690</x:f>
        <x:v>OPEN</x:v>
      </x:c>
      <x:c r="F716" t="str">
        <x:f>IF('Release Gates'!C690="PLANNING","PASS",IF('Release Gates'!C690="PHYSICAL","OPEN","BLOCKED"))</x:f>
        <x:v>OPEN</x:v>
      </x:c>
      <x:c r="G716" t="str">
        <x:v>equals</x:v>
      </x:c>
      <x:c r="H716" t="str">
        <x:f>IF(E716=F716,"PASS","FAIL")</x:f>
        <x:v>PASS</x:v>
      </x:c>
    </x:row>
    <x:row r="717">
      <x:c r="B717" t="str">
        <x:v>A-00685</x:v>
      </x:c>
      <x:c r="C717" t="str">
        <x:v>GATE</x:v>
      </x:c>
      <x:c r="D717" t="str">
        <x:v>release state mirrors governing ledger</x:v>
      </x:c>
      <x:c r="E717" t="str">
        <x:f>'Release Gates'!I691</x:f>
        <x:v>OPEN</x:v>
      </x:c>
      <x:c r="F717" t="str">
        <x:f>IF('Release Gates'!C691="PLANNING","PASS",IF('Release Gates'!C691="PHYSICAL","OPEN","BLOCKED"))</x:f>
        <x:v>OPEN</x:v>
      </x:c>
      <x:c r="G717" t="str">
        <x:v>equals</x:v>
      </x:c>
      <x:c r="H717" t="str">
        <x:f>IF(E717=F717,"PASS","FAIL")</x:f>
        <x:v>PASS</x:v>
      </x:c>
    </x:row>
    <x:row r="718">
      <x:c r="B718" t="str">
        <x:v>A-00686</x:v>
      </x:c>
      <x:c r="C718" t="str">
        <x:v>GATE</x:v>
      </x:c>
      <x:c r="D718" t="str">
        <x:v>release state mirrors governing ledger</x:v>
      </x:c>
      <x:c r="E718" t="str">
        <x:f>'Release Gates'!I692</x:f>
        <x:v>OPEN</x:v>
      </x:c>
      <x:c r="F718" t="str">
        <x:f>IF('Release Gates'!C692="PLANNING","PASS",IF('Release Gates'!C692="PHYSICAL","OPEN","BLOCKED"))</x:f>
        <x:v>OPEN</x:v>
      </x:c>
      <x:c r="G718" t="str">
        <x:v>equals</x:v>
      </x:c>
      <x:c r="H718" t="str">
        <x:f>IF(E718=F718,"PASS","FAIL")</x:f>
        <x:v>PASS</x:v>
      </x:c>
    </x:row>
    <x:row r="719">
      <x:c r="B719" t="str">
        <x:v>A-00687</x:v>
      </x:c>
      <x:c r="C719" t="str">
        <x:v>GATE</x:v>
      </x:c>
      <x:c r="D719" t="str">
        <x:v>release state mirrors governing ledger</x:v>
      </x:c>
      <x:c r="E719" t="str">
        <x:f>'Release Gates'!I693</x:f>
        <x:v>OPEN</x:v>
      </x:c>
      <x:c r="F719" t="str">
        <x:f>IF('Release Gates'!C693="PLANNING","PASS",IF('Release Gates'!C693="PHYSICAL","OPEN","BLOCKED"))</x:f>
        <x:v>OPEN</x:v>
      </x:c>
      <x:c r="G719" t="str">
        <x:v>equals</x:v>
      </x:c>
      <x:c r="H719" t="str">
        <x:f>IF(E719=F719,"PASS","FAIL")</x:f>
        <x:v>PASS</x:v>
      </x:c>
    </x:row>
    <x:row r="720">
      <x:c r="B720" t="str">
        <x:v>A-00688</x:v>
      </x:c>
      <x:c r="C720" t="str">
        <x:v>GATE</x:v>
      </x:c>
      <x:c r="D720" t="str">
        <x:v>release state mirrors governing ledger</x:v>
      </x:c>
      <x:c r="E720" t="str">
        <x:f>'Release Gates'!I694</x:f>
        <x:v>OPEN</x:v>
      </x:c>
      <x:c r="F720" t="str">
        <x:f>IF('Release Gates'!C694="PLANNING","PASS",IF('Release Gates'!C694="PHYSICAL","OPEN","BLOCKED"))</x:f>
        <x:v>OPEN</x:v>
      </x:c>
      <x:c r="G720" t="str">
        <x:v>equals</x:v>
      </x:c>
      <x:c r="H720" t="str">
        <x:f>IF(E720=F720,"PASS","FAIL")</x:f>
        <x:v>PASS</x:v>
      </x:c>
    </x:row>
    <x:row r="721">
      <x:c r="B721" t="str">
        <x:v>A-00689</x:v>
      </x:c>
      <x:c r="C721" t="str">
        <x:v>GATE</x:v>
      </x:c>
      <x:c r="D721" t="str">
        <x:v>release state mirrors governing ledger</x:v>
      </x:c>
      <x:c r="E721" t="str">
        <x:f>'Release Gates'!I695</x:f>
        <x:v>OPEN</x:v>
      </x:c>
      <x:c r="F721" t="str">
        <x:f>IF('Release Gates'!C695="PLANNING","PASS",IF('Release Gates'!C695="PHYSICAL","OPEN","BLOCKED"))</x:f>
        <x:v>OPEN</x:v>
      </x:c>
      <x:c r="G721" t="str">
        <x:v>equals</x:v>
      </x:c>
      <x:c r="H721" t="str">
        <x:f>IF(E721=F721,"PASS","FAIL")</x:f>
        <x:v>PASS</x:v>
      </x:c>
    </x:row>
    <x:row r="722">
      <x:c r="B722" t="str">
        <x:v>A-00690</x:v>
      </x:c>
      <x:c r="C722" t="str">
        <x:v>GATE</x:v>
      </x:c>
      <x:c r="D722" t="str">
        <x:v>release state mirrors governing ledger</x:v>
      </x:c>
      <x:c r="E722" t="str">
        <x:f>'Release Gates'!I696</x:f>
        <x:v>OPEN</x:v>
      </x:c>
      <x:c r="F722" t="str">
        <x:f>IF('Release Gates'!C696="PLANNING","PASS",IF('Release Gates'!C696="PHYSICAL","OPEN","BLOCKED"))</x:f>
        <x:v>OPEN</x:v>
      </x:c>
      <x:c r="G722" t="str">
        <x:v>equals</x:v>
      </x:c>
      <x:c r="H722" t="str">
        <x:f>IF(E722=F722,"PASS","FAIL")</x:f>
        <x:v>PASS</x:v>
      </x:c>
    </x:row>
    <x:row r="723">
      <x:c r="B723" t="str">
        <x:v>A-00691</x:v>
      </x:c>
      <x:c r="C723" t="str">
        <x:v>GATE</x:v>
      </x:c>
      <x:c r="D723" t="str">
        <x:v>release state mirrors governing ledger</x:v>
      </x:c>
      <x:c r="E723" t="str">
        <x:f>'Release Gates'!I697</x:f>
        <x:v>OPEN</x:v>
      </x:c>
      <x:c r="F723" t="str">
        <x:f>IF('Release Gates'!C697="PLANNING","PASS",IF('Release Gates'!C697="PHYSICAL","OPEN","BLOCKED"))</x:f>
        <x:v>OPEN</x:v>
      </x:c>
      <x:c r="G723" t="str">
        <x:v>equals</x:v>
      </x:c>
      <x:c r="H723" t="str">
        <x:f>IF(E723=F723,"PASS","FAIL")</x:f>
        <x:v>PASS</x:v>
      </x:c>
    </x:row>
    <x:row r="724">
      <x:c r="B724" t="str">
        <x:v>A-00692</x:v>
      </x:c>
      <x:c r="C724" t="str">
        <x:v>GATE</x:v>
      </x:c>
      <x:c r="D724" t="str">
        <x:v>release state mirrors governing ledger</x:v>
      </x:c>
      <x:c r="E724" t="str">
        <x:f>'Release Gates'!I698</x:f>
        <x:v>OPEN</x:v>
      </x:c>
      <x:c r="F724" t="str">
        <x:f>IF('Release Gates'!C698="PLANNING","PASS",IF('Release Gates'!C698="PHYSICAL","OPEN","BLOCKED"))</x:f>
        <x:v>OPEN</x:v>
      </x:c>
      <x:c r="G724" t="str">
        <x:v>equals</x:v>
      </x:c>
      <x:c r="H724" t="str">
        <x:f>IF(E724=F724,"PASS","FAIL")</x:f>
        <x:v>PASS</x:v>
      </x:c>
    </x:row>
    <x:row r="725">
      <x:c r="B725" t="str">
        <x:v>A-00693</x:v>
      </x:c>
      <x:c r="C725" t="str">
        <x:v>GATE</x:v>
      </x:c>
      <x:c r="D725" t="str">
        <x:v>release state mirrors governing ledger</x:v>
      </x:c>
      <x:c r="E725" t="str">
        <x:f>'Release Gates'!I699</x:f>
        <x:v>OPEN</x:v>
      </x:c>
      <x:c r="F725" t="str">
        <x:f>IF('Release Gates'!C699="PLANNING","PASS",IF('Release Gates'!C699="PHYSICAL","OPEN","BLOCKED"))</x:f>
        <x:v>OPEN</x:v>
      </x:c>
      <x:c r="G725" t="str">
        <x:v>equals</x:v>
      </x:c>
      <x:c r="H725" t="str">
        <x:f>IF(E725=F725,"PASS","FAIL")</x:f>
        <x:v>PASS</x:v>
      </x:c>
    </x:row>
    <x:row r="726">
      <x:c r="B726" t="str">
        <x:v>A-00694</x:v>
      </x:c>
      <x:c r="C726" t="str">
        <x:v>GATE</x:v>
      </x:c>
      <x:c r="D726" t="str">
        <x:v>release state mirrors governing ledger</x:v>
      </x:c>
      <x:c r="E726" t="str">
        <x:f>'Release Gates'!I700</x:f>
        <x:v>OPEN</x:v>
      </x:c>
      <x:c r="F726" t="str">
        <x:f>IF('Release Gates'!C700="PLANNING","PASS",IF('Release Gates'!C700="PHYSICAL","OPEN","BLOCKED"))</x:f>
        <x:v>OPEN</x:v>
      </x:c>
      <x:c r="G726" t="str">
        <x:v>equals</x:v>
      </x:c>
      <x:c r="H726" t="str">
        <x:f>IF(E726=F726,"PASS","FAIL")</x:f>
        <x:v>PASS</x:v>
      </x:c>
    </x:row>
    <x:row r="727">
      <x:c r="B727" t="str">
        <x:v>A-00695</x:v>
      </x:c>
      <x:c r="C727" t="str">
        <x:v>GATE</x:v>
      </x:c>
      <x:c r="D727" t="str">
        <x:v>release state mirrors governing ledger</x:v>
      </x:c>
      <x:c r="E727" t="str">
        <x:f>'Release Gates'!I701</x:f>
        <x:v>OPEN</x:v>
      </x:c>
      <x:c r="F727" t="str">
        <x:f>IF('Release Gates'!C701="PLANNING","PASS",IF('Release Gates'!C701="PHYSICAL","OPEN","BLOCKED"))</x:f>
        <x:v>OPEN</x:v>
      </x:c>
      <x:c r="G727" t="str">
        <x:v>equals</x:v>
      </x:c>
      <x:c r="H727" t="str">
        <x:f>IF(E727=F727,"PASS","FAIL")</x:f>
        <x:v>PASS</x:v>
      </x:c>
    </x:row>
    <x:row r="728">
      <x:c r="B728" t="str">
        <x:v>A-00696</x:v>
      </x:c>
      <x:c r="C728" t="str">
        <x:v>GATE</x:v>
      </x:c>
      <x:c r="D728" t="str">
        <x:v>release state mirrors governing ledger</x:v>
      </x:c>
      <x:c r="E728" t="str">
        <x:f>'Release Gates'!I702</x:f>
        <x:v>OPEN</x:v>
      </x:c>
      <x:c r="F728" t="str">
        <x:f>IF('Release Gates'!C702="PLANNING","PASS",IF('Release Gates'!C702="PHYSICAL","OPEN","BLOCKED"))</x:f>
        <x:v>OPEN</x:v>
      </x:c>
      <x:c r="G728" t="str">
        <x:v>equals</x:v>
      </x:c>
      <x:c r="H728" t="str">
        <x:f>IF(E728=F728,"PASS","FAIL")</x:f>
        <x:v>PASS</x:v>
      </x:c>
    </x:row>
    <x:row r="729">
      <x:c r="B729" t="str">
        <x:v>A-00697</x:v>
      </x:c>
      <x:c r="C729" t="str">
        <x:v>GATE</x:v>
      </x:c>
      <x:c r="D729" t="str">
        <x:v>release state mirrors governing ledger</x:v>
      </x:c>
      <x:c r="E729" t="str">
        <x:f>'Release Gates'!I703</x:f>
        <x:v>OPEN</x:v>
      </x:c>
      <x:c r="F729" t="str">
        <x:f>IF('Release Gates'!C703="PLANNING","PASS",IF('Release Gates'!C703="PHYSICAL","OPEN","BLOCKED"))</x:f>
        <x:v>OPEN</x:v>
      </x:c>
      <x:c r="G729" t="str">
        <x:v>equals</x:v>
      </x:c>
      <x:c r="H729" t="str">
        <x:f>IF(E729=F729,"PASS","FAIL")</x:f>
        <x:v>PASS</x:v>
      </x:c>
    </x:row>
    <x:row r="730">
      <x:c r="B730" t="str">
        <x:v>A-00698</x:v>
      </x:c>
      <x:c r="C730" t="str">
        <x:v>GATE</x:v>
      </x:c>
      <x:c r="D730" t="str">
        <x:v>release state mirrors governing ledger</x:v>
      </x:c>
      <x:c r="E730" t="str">
        <x:f>'Release Gates'!I704</x:f>
        <x:v>OPEN</x:v>
      </x:c>
      <x:c r="F730" t="str">
        <x:f>IF('Release Gates'!C704="PLANNING","PASS",IF('Release Gates'!C704="PHYSICAL","OPEN","BLOCKED"))</x:f>
        <x:v>OPEN</x:v>
      </x:c>
      <x:c r="G730" t="str">
        <x:v>equals</x:v>
      </x:c>
      <x:c r="H730" t="str">
        <x:f>IF(E730=F730,"PASS","FAIL")</x:f>
        <x:v>PASS</x:v>
      </x:c>
    </x:row>
    <x:row r="731">
      <x:c r="B731" t="str">
        <x:v>A-00699</x:v>
      </x:c>
      <x:c r="C731" t="str">
        <x:v>GATE</x:v>
      </x:c>
      <x:c r="D731" t="str">
        <x:v>release state mirrors governing ledger</x:v>
      </x:c>
      <x:c r="E731" t="str">
        <x:f>'Release Gates'!I705</x:f>
        <x:v>OPEN</x:v>
      </x:c>
      <x:c r="F731" t="str">
        <x:f>IF('Release Gates'!C705="PLANNING","PASS",IF('Release Gates'!C705="PHYSICAL","OPEN","BLOCKED"))</x:f>
        <x:v>OPEN</x:v>
      </x:c>
      <x:c r="G731" t="str">
        <x:v>equals</x:v>
      </x:c>
      <x:c r="H731" t="str">
        <x:f>IF(E731=F731,"PASS","FAIL")</x:f>
        <x:v>PASS</x:v>
      </x:c>
    </x:row>
    <x:row r="732">
      <x:c r="B732" t="str">
        <x:v>A-00700</x:v>
      </x:c>
      <x:c r="C732" t="str">
        <x:v>GATE</x:v>
      </x:c>
      <x:c r="D732" t="str">
        <x:v>release state mirrors governing ledger</x:v>
      </x:c>
      <x:c r="E732" t="str">
        <x:f>'Release Gates'!I706</x:f>
        <x:v>OPEN</x:v>
      </x:c>
      <x:c r="F732" t="str">
        <x:f>IF('Release Gates'!C706="PLANNING","PASS",IF('Release Gates'!C706="PHYSICAL","OPEN","BLOCKED"))</x:f>
        <x:v>OPEN</x:v>
      </x:c>
      <x:c r="G732" t="str">
        <x:v>equals</x:v>
      </x:c>
      <x:c r="H732" t="str">
        <x:f>IF(E732=F732,"PASS","FAIL")</x:f>
        <x:v>PASS</x:v>
      </x:c>
    </x:row>
    <x:row r="733">
      <x:c r="B733" t="str">
        <x:v>A-00701</x:v>
      </x:c>
      <x:c r="C733" t="str">
        <x:v>GATE</x:v>
      </x:c>
      <x:c r="D733" t="str">
        <x:v>release state mirrors governing ledger</x:v>
      </x:c>
      <x:c r="E733" t="str">
        <x:f>'Release Gates'!I707</x:f>
        <x:v>OPEN</x:v>
      </x:c>
      <x:c r="F733" t="str">
        <x:f>IF('Release Gates'!C707="PLANNING","PASS",IF('Release Gates'!C707="PHYSICAL","OPEN","BLOCKED"))</x:f>
        <x:v>OPEN</x:v>
      </x:c>
      <x:c r="G733" t="str">
        <x:v>equals</x:v>
      </x:c>
      <x:c r="H733" t="str">
        <x:f>IF(E733=F733,"PASS","FAIL")</x:f>
        <x:v>PASS</x:v>
      </x:c>
    </x:row>
    <x:row r="734">
      <x:c r="B734" t="str">
        <x:v>A-00702</x:v>
      </x:c>
      <x:c r="C734" t="str">
        <x:v>GATE</x:v>
      </x:c>
      <x:c r="D734" t="str">
        <x:v>release state mirrors governing ledger</x:v>
      </x:c>
      <x:c r="E734" t="str">
        <x:f>'Release Gates'!I708</x:f>
        <x:v>OPEN</x:v>
      </x:c>
      <x:c r="F734" t="str">
        <x:f>IF('Release Gates'!C708="PLANNING","PASS",IF('Release Gates'!C708="PHYSICAL","OPEN","BLOCKED"))</x:f>
        <x:v>OPEN</x:v>
      </x:c>
      <x:c r="G734" t="str">
        <x:v>equals</x:v>
      </x:c>
      <x:c r="H734" t="str">
        <x:f>IF(E734=F734,"PASS","FAIL")</x:f>
        <x:v>PASS</x:v>
      </x:c>
    </x:row>
    <x:row r="735">
      <x:c r="B735" t="str">
        <x:v>A-00703</x:v>
      </x:c>
      <x:c r="C735" t="str">
        <x:v>GATE</x:v>
      </x:c>
      <x:c r="D735" t="str">
        <x:v>release state mirrors governing ledger</x:v>
      </x:c>
      <x:c r="E735" t="str">
        <x:f>'Release Gates'!I709</x:f>
        <x:v>OPEN</x:v>
      </x:c>
      <x:c r="F735" t="str">
        <x:f>IF('Release Gates'!C709="PLANNING","PASS",IF('Release Gates'!C709="PHYSICAL","OPEN","BLOCKED"))</x:f>
        <x:v>OPEN</x:v>
      </x:c>
      <x:c r="G735" t="str">
        <x:v>equals</x:v>
      </x:c>
      <x:c r="H735" t="str">
        <x:f>IF(E735=F735,"PASS","FAIL")</x:f>
        <x:v>PASS</x:v>
      </x:c>
    </x:row>
    <x:row r="736">
      <x:c r="B736" t="str">
        <x:v>A-00704</x:v>
      </x:c>
      <x:c r="C736" t="str">
        <x:v>GATE</x:v>
      </x:c>
      <x:c r="D736" t="str">
        <x:v>release state mirrors governing ledger</x:v>
      </x:c>
      <x:c r="E736" t="str">
        <x:f>'Release Gates'!I710</x:f>
        <x:v>OPEN</x:v>
      </x:c>
      <x:c r="F736" t="str">
        <x:f>IF('Release Gates'!C710="PLANNING","PASS",IF('Release Gates'!C710="PHYSICAL","OPEN","BLOCKED"))</x:f>
        <x:v>OPEN</x:v>
      </x:c>
      <x:c r="G736" t="str">
        <x:v>equals</x:v>
      </x:c>
      <x:c r="H736" t="str">
        <x:f>IF(E736=F736,"PASS","FAIL")</x:f>
        <x:v>PASS</x:v>
      </x:c>
    </x:row>
    <x:row r="737">
      <x:c r="B737" t="str">
        <x:v>A-00705</x:v>
      </x:c>
      <x:c r="C737" t="str">
        <x:v>GATE</x:v>
      </x:c>
      <x:c r="D737" t="str">
        <x:v>release state mirrors governing ledger</x:v>
      </x:c>
      <x:c r="E737" t="str">
        <x:f>'Release Gates'!I711</x:f>
        <x:v>OPEN</x:v>
      </x:c>
      <x:c r="F737" t="str">
        <x:f>IF('Release Gates'!C711="PLANNING","PASS",IF('Release Gates'!C711="PHYSICAL","OPEN","BLOCKED"))</x:f>
        <x:v>OPEN</x:v>
      </x:c>
      <x:c r="G737" t="str">
        <x:v>equals</x:v>
      </x:c>
      <x:c r="H737" t="str">
        <x:f>IF(E737=F737,"PASS","FAIL")</x:f>
        <x:v>PASS</x:v>
      </x:c>
    </x:row>
    <x:row r="738">
      <x:c r="B738" t="str">
        <x:v>A-00706</x:v>
      </x:c>
      <x:c r="C738" t="str">
        <x:v>GATE</x:v>
      </x:c>
      <x:c r="D738" t="str">
        <x:v>release state mirrors governing ledger</x:v>
      </x:c>
      <x:c r="E738" t="str">
        <x:f>'Release Gates'!I712</x:f>
        <x:v>OPEN</x:v>
      </x:c>
      <x:c r="F738" t="str">
        <x:f>IF('Release Gates'!C712="PLANNING","PASS",IF('Release Gates'!C712="PHYSICAL","OPEN","BLOCKED"))</x:f>
        <x:v>OPEN</x:v>
      </x:c>
      <x:c r="G738" t="str">
        <x:v>equals</x:v>
      </x:c>
      <x:c r="H738" t="str">
        <x:f>IF(E738=F738,"PASS","FAIL")</x:f>
        <x:v>PASS</x:v>
      </x:c>
    </x:row>
    <x:row r="739">
      <x:c r="B739" t="str">
        <x:v>A-00707</x:v>
      </x:c>
      <x:c r="C739" t="str">
        <x:v>GATE</x:v>
      </x:c>
      <x:c r="D739" t="str">
        <x:v>release state mirrors governing ledger</x:v>
      </x:c>
      <x:c r="E739" t="str">
        <x:f>'Release Gates'!I713</x:f>
        <x:v>OPEN</x:v>
      </x:c>
      <x:c r="F739" t="str">
        <x:f>IF('Release Gates'!C713="PLANNING","PASS",IF('Release Gates'!C713="PHYSICAL","OPEN","BLOCKED"))</x:f>
        <x:v>OPEN</x:v>
      </x:c>
      <x:c r="G739" t="str">
        <x:v>equals</x:v>
      </x:c>
      <x:c r="H739" t="str">
        <x:f>IF(E739=F739,"PASS","FAIL")</x:f>
        <x:v>PASS</x:v>
      </x:c>
    </x:row>
    <x:row r="740">
      <x:c r="B740" t="str">
        <x:v>A-00708</x:v>
      </x:c>
      <x:c r="C740" t="str">
        <x:v>GATE</x:v>
      </x:c>
      <x:c r="D740" t="str">
        <x:v>release state mirrors governing ledger</x:v>
      </x:c>
      <x:c r="E740" t="str">
        <x:f>'Release Gates'!I714</x:f>
        <x:v>OPEN</x:v>
      </x:c>
      <x:c r="F740" t="str">
        <x:f>IF('Release Gates'!C714="PLANNING","PASS",IF('Release Gates'!C714="PHYSICAL","OPEN","BLOCKED"))</x:f>
        <x:v>OPEN</x:v>
      </x:c>
      <x:c r="G740" t="str">
        <x:v>equals</x:v>
      </x:c>
      <x:c r="H740" t="str">
        <x:f>IF(E740=F740,"PASS","FAIL")</x:f>
        <x:v>PASS</x:v>
      </x:c>
    </x:row>
    <x:row r="741">
      <x:c r="B741" t="str">
        <x:v>A-00709</x:v>
      </x:c>
      <x:c r="C741" t="str">
        <x:v>GATE</x:v>
      </x:c>
      <x:c r="D741" t="str">
        <x:v>release state mirrors governing ledger</x:v>
      </x:c>
      <x:c r="E741" t="str">
        <x:f>'Release Gates'!I715</x:f>
        <x:v>OPEN</x:v>
      </x:c>
      <x:c r="F741" t="str">
        <x:f>IF('Release Gates'!C715="PLANNING","PASS",IF('Release Gates'!C715="PHYSICAL","OPEN","BLOCKED"))</x:f>
        <x:v>OPEN</x:v>
      </x:c>
      <x:c r="G741" t="str">
        <x:v>equals</x:v>
      </x:c>
      <x:c r="H741" t="str">
        <x:f>IF(E741=F741,"PASS","FAIL")</x:f>
        <x:v>PASS</x:v>
      </x:c>
    </x:row>
    <x:row r="742">
      <x:c r="B742" t="str">
        <x:v>A-00710</x:v>
      </x:c>
      <x:c r="C742" t="str">
        <x:v>GATE</x:v>
      </x:c>
      <x:c r="D742" t="str">
        <x:v>release state mirrors governing ledger</x:v>
      </x:c>
      <x:c r="E742" t="str">
        <x:f>'Release Gates'!I716</x:f>
        <x:v>OPEN</x:v>
      </x:c>
      <x:c r="F742" t="str">
        <x:f>IF('Release Gates'!C716="PLANNING","PASS",IF('Release Gates'!C716="PHYSICAL","OPEN","BLOCKED"))</x:f>
        <x:v>OPEN</x:v>
      </x:c>
      <x:c r="G742" t="str">
        <x:v>equals</x:v>
      </x:c>
      <x:c r="H742" t="str">
        <x:f>IF(E742=F742,"PASS","FAIL")</x:f>
        <x:v>PASS</x:v>
      </x:c>
    </x:row>
    <x:row r="743">
      <x:c r="B743" t="str">
        <x:v>A-00711</x:v>
      </x:c>
      <x:c r="C743" t="str">
        <x:v>GATE</x:v>
      </x:c>
      <x:c r="D743" t="str">
        <x:v>release state mirrors governing ledger</x:v>
      </x:c>
      <x:c r="E743" t="str">
        <x:f>'Release Gates'!I717</x:f>
        <x:v>OPEN</x:v>
      </x:c>
      <x:c r="F743" t="str">
        <x:f>IF('Release Gates'!C717="PLANNING","PASS",IF('Release Gates'!C717="PHYSICAL","OPEN","BLOCKED"))</x:f>
        <x:v>OPEN</x:v>
      </x:c>
      <x:c r="G743" t="str">
        <x:v>equals</x:v>
      </x:c>
      <x:c r="H743" t="str">
        <x:f>IF(E743=F743,"PASS","FAIL")</x:f>
        <x:v>PASS</x:v>
      </x:c>
    </x:row>
    <x:row r="744">
      <x:c r="B744" t="str">
        <x:v>A-00712</x:v>
      </x:c>
      <x:c r="C744" t="str">
        <x:v>GATE</x:v>
      </x:c>
      <x:c r="D744" t="str">
        <x:v>release state mirrors governing ledger</x:v>
      </x:c>
      <x:c r="E744" t="str">
        <x:f>'Release Gates'!I718</x:f>
        <x:v>OPEN</x:v>
      </x:c>
      <x:c r="F744" t="str">
        <x:f>IF('Release Gates'!C718="PLANNING","PASS",IF('Release Gates'!C718="PHYSICAL","OPEN","BLOCKED"))</x:f>
        <x:v>OPEN</x:v>
      </x:c>
      <x:c r="G744" t="str">
        <x:v>equals</x:v>
      </x:c>
      <x:c r="H744" t="str">
        <x:f>IF(E744=F744,"PASS","FAIL")</x:f>
        <x:v>PASS</x:v>
      </x:c>
    </x:row>
    <x:row r="745">
      <x:c r="B745" t="str">
        <x:v>A-00713</x:v>
      </x:c>
      <x:c r="C745" t="str">
        <x:v>GATE</x:v>
      </x:c>
      <x:c r="D745" t="str">
        <x:v>release state mirrors governing ledger</x:v>
      </x:c>
      <x:c r="E745" t="str">
        <x:f>'Release Gates'!I719</x:f>
        <x:v>OPEN</x:v>
      </x:c>
      <x:c r="F745" t="str">
        <x:f>IF('Release Gates'!C719="PLANNING","PASS",IF('Release Gates'!C719="PHYSICAL","OPEN","BLOCKED"))</x:f>
        <x:v>OPEN</x:v>
      </x:c>
      <x:c r="G745" t="str">
        <x:v>equals</x:v>
      </x:c>
      <x:c r="H745" t="str">
        <x:f>IF(E745=F745,"PASS","FAIL")</x:f>
        <x:v>PASS</x:v>
      </x:c>
    </x:row>
    <x:row r="746">
      <x:c r="B746" t="str">
        <x:v>A-00714</x:v>
      </x:c>
      <x:c r="C746" t="str">
        <x:v>GATE</x:v>
      </x:c>
      <x:c r="D746" t="str">
        <x:v>release state mirrors governing ledger</x:v>
      </x:c>
      <x:c r="E746" t="str">
        <x:f>'Release Gates'!I720</x:f>
        <x:v>OPEN</x:v>
      </x:c>
      <x:c r="F746" t="str">
        <x:f>IF('Release Gates'!C720="PLANNING","PASS",IF('Release Gates'!C720="PHYSICAL","OPEN","BLOCKED"))</x:f>
        <x:v>OPEN</x:v>
      </x:c>
      <x:c r="G746" t="str">
        <x:v>equals</x:v>
      </x:c>
      <x:c r="H746" t="str">
        <x:f>IF(E746=F746,"PASS","FAIL")</x:f>
        <x:v>PASS</x:v>
      </x:c>
    </x:row>
    <x:row r="747">
      <x:c r="B747" t="str">
        <x:v>A-00715</x:v>
      </x:c>
      <x:c r="C747" t="str">
        <x:v>GATE</x:v>
      </x:c>
      <x:c r="D747" t="str">
        <x:v>release state mirrors governing ledger</x:v>
      </x:c>
      <x:c r="E747" t="str">
        <x:f>'Release Gates'!I721</x:f>
        <x:v>OPEN</x:v>
      </x:c>
      <x:c r="F747" t="str">
        <x:f>IF('Release Gates'!C721="PLANNING","PASS",IF('Release Gates'!C721="PHYSICAL","OPEN","BLOCKED"))</x:f>
        <x:v>OPEN</x:v>
      </x:c>
      <x:c r="G747" t="str">
        <x:v>equals</x:v>
      </x:c>
      <x:c r="H747" t="str">
        <x:f>IF(E747=F747,"PASS","FAIL")</x:f>
        <x:v>PASS</x:v>
      </x:c>
    </x:row>
    <x:row r="748">
      <x:c r="B748" t="str">
        <x:v>A-00716</x:v>
      </x:c>
      <x:c r="C748" t="str">
        <x:v>GATE</x:v>
      </x:c>
      <x:c r="D748" t="str">
        <x:v>release state mirrors governing ledger</x:v>
      </x:c>
      <x:c r="E748" t="str">
        <x:f>'Release Gates'!I722</x:f>
        <x:v>OPEN</x:v>
      </x:c>
      <x:c r="F748" t="str">
        <x:f>IF('Release Gates'!C722="PLANNING","PASS",IF('Release Gates'!C722="PHYSICAL","OPEN","BLOCKED"))</x:f>
        <x:v>OPEN</x:v>
      </x:c>
      <x:c r="G748" t="str">
        <x:v>equals</x:v>
      </x:c>
      <x:c r="H748" t="str">
        <x:f>IF(E748=F748,"PASS","FAIL")</x:f>
        <x:v>PASS</x:v>
      </x:c>
    </x:row>
    <x:row r="749">
      <x:c r="B749" t="str">
        <x:v>A-00717</x:v>
      </x:c>
      <x:c r="C749" t="str">
        <x:v>GATE</x:v>
      </x:c>
      <x:c r="D749" t="str">
        <x:v>release state mirrors governing ledger</x:v>
      </x:c>
      <x:c r="E749" t="str">
        <x:f>'Release Gates'!I723</x:f>
        <x:v>OPEN</x:v>
      </x:c>
      <x:c r="F749" t="str">
        <x:f>IF('Release Gates'!C723="PLANNING","PASS",IF('Release Gates'!C723="PHYSICAL","OPEN","BLOCKED"))</x:f>
        <x:v>OPEN</x:v>
      </x:c>
      <x:c r="G749" t="str">
        <x:v>equals</x:v>
      </x:c>
      <x:c r="H749" t="str">
        <x:f>IF(E749=F749,"PASS","FAIL")</x:f>
        <x:v>PASS</x:v>
      </x:c>
    </x:row>
    <x:row r="750">
      <x:c r="B750" t="str">
        <x:v>A-00718</x:v>
      </x:c>
      <x:c r="C750" t="str">
        <x:v>GATE</x:v>
      </x:c>
      <x:c r="D750" t="str">
        <x:v>release state mirrors governing ledger</x:v>
      </x:c>
      <x:c r="E750" t="str">
        <x:f>'Release Gates'!I724</x:f>
        <x:v>OPEN</x:v>
      </x:c>
      <x:c r="F750" t="str">
        <x:f>IF('Release Gates'!C724="PLANNING","PASS",IF('Release Gates'!C724="PHYSICAL","OPEN","BLOCKED"))</x:f>
        <x:v>OPEN</x:v>
      </x:c>
      <x:c r="G750" t="str">
        <x:v>equals</x:v>
      </x:c>
      <x:c r="H750" t="str">
        <x:f>IF(E750=F750,"PASS","FAIL")</x:f>
        <x:v>PASS</x:v>
      </x:c>
    </x:row>
    <x:row r="751">
      <x:c r="B751" t="str">
        <x:v>A-00719</x:v>
      </x:c>
      <x:c r="C751" t="str">
        <x:v>GATE</x:v>
      </x:c>
      <x:c r="D751" t="str">
        <x:v>release state mirrors governing ledger</x:v>
      </x:c>
      <x:c r="E751" t="str">
        <x:f>'Release Gates'!I725</x:f>
        <x:v>OPEN</x:v>
      </x:c>
      <x:c r="F751" t="str">
        <x:f>IF('Release Gates'!C725="PLANNING","PASS",IF('Release Gates'!C725="PHYSICAL","OPEN","BLOCKED"))</x:f>
        <x:v>OPEN</x:v>
      </x:c>
      <x:c r="G751" t="str">
        <x:v>equals</x:v>
      </x:c>
      <x:c r="H751" t="str">
        <x:f>IF(E751=F751,"PASS","FAIL")</x:f>
        <x:v>PASS</x:v>
      </x:c>
    </x:row>
    <x:row r="752">
      <x:c r="B752" t="str">
        <x:v>A-00720</x:v>
      </x:c>
      <x:c r="C752" t="str">
        <x:v>GATE</x:v>
      </x:c>
      <x:c r="D752" t="str">
        <x:v>release state mirrors governing ledger</x:v>
      </x:c>
      <x:c r="E752" t="str">
        <x:f>'Release Gates'!I726</x:f>
        <x:v>OPEN</x:v>
      </x:c>
      <x:c r="F752" t="str">
        <x:f>IF('Release Gates'!C726="PLANNING","PASS",IF('Release Gates'!C726="PHYSICAL","OPEN","BLOCKED"))</x:f>
        <x:v>OPEN</x:v>
      </x:c>
      <x:c r="G752" t="str">
        <x:v>equals</x:v>
      </x:c>
      <x:c r="H752" t="str">
        <x:f>IF(E752=F752,"PASS","FAIL")</x:f>
        <x:v>PASS</x:v>
      </x:c>
    </x:row>
    <x:row r="753">
      <x:c r="B753" t="str">
        <x:v>A-00721</x:v>
      </x:c>
      <x:c r="C753" t="str">
        <x:v>GATE</x:v>
      </x:c>
      <x:c r="D753" t="str">
        <x:v>release state mirrors governing ledger</x:v>
      </x:c>
      <x:c r="E753" t="str">
        <x:f>'Release Gates'!I727</x:f>
        <x:v>OPEN</x:v>
      </x:c>
      <x:c r="F753" t="str">
        <x:f>IF('Release Gates'!C727="PLANNING","PASS",IF('Release Gates'!C727="PHYSICAL","OPEN","BLOCKED"))</x:f>
        <x:v>OPEN</x:v>
      </x:c>
      <x:c r="G753" t="str">
        <x:v>equals</x:v>
      </x:c>
      <x:c r="H753" t="str">
        <x:f>IF(E753=F753,"PASS","FAIL")</x:f>
        <x:v>PASS</x:v>
      </x:c>
    </x:row>
    <x:row r="754">
      <x:c r="B754" t="str">
        <x:v>A-00722</x:v>
      </x:c>
      <x:c r="C754" t="str">
        <x:v>GATE</x:v>
      </x:c>
      <x:c r="D754" t="str">
        <x:v>release state mirrors governing ledger</x:v>
      </x:c>
      <x:c r="E754" t="str">
        <x:f>'Release Gates'!I728</x:f>
        <x:v>OPEN</x:v>
      </x:c>
      <x:c r="F754" t="str">
        <x:f>IF('Release Gates'!C728="PLANNING","PASS",IF('Release Gates'!C728="PHYSICAL","OPEN","BLOCKED"))</x:f>
        <x:v>OPEN</x:v>
      </x:c>
      <x:c r="G754" t="str">
        <x:v>equals</x:v>
      </x:c>
      <x:c r="H754" t="str">
        <x:f>IF(E754=F754,"PASS","FAIL")</x:f>
        <x:v>PASS</x:v>
      </x:c>
    </x:row>
    <x:row r="755">
      <x:c r="B755" t="str">
        <x:v>A-00723</x:v>
      </x:c>
      <x:c r="C755" t="str">
        <x:v>GATE</x:v>
      </x:c>
      <x:c r="D755" t="str">
        <x:v>release state mirrors governing ledger</x:v>
      </x:c>
      <x:c r="E755" t="str">
        <x:f>'Release Gates'!I729</x:f>
        <x:v>OPEN</x:v>
      </x:c>
      <x:c r="F755" t="str">
        <x:f>IF('Release Gates'!C729="PLANNING","PASS",IF('Release Gates'!C729="PHYSICAL","OPEN","BLOCKED"))</x:f>
        <x:v>OPEN</x:v>
      </x:c>
      <x:c r="G755" t="str">
        <x:v>equals</x:v>
      </x:c>
      <x:c r="H755" t="str">
        <x:f>IF(E755=F755,"PASS","FAIL")</x:f>
        <x:v>PASS</x:v>
      </x:c>
    </x:row>
    <x:row r="756">
      <x:c r="B756" t="str">
        <x:v>A-00724</x:v>
      </x:c>
      <x:c r="C756" t="str">
        <x:v>GATE</x:v>
      </x:c>
      <x:c r="D756" t="str">
        <x:v>release state mirrors governing ledger</x:v>
      </x:c>
      <x:c r="E756" t="str">
        <x:f>'Release Gates'!I730</x:f>
        <x:v>OPEN</x:v>
      </x:c>
      <x:c r="F756" t="str">
        <x:f>IF('Release Gates'!C730="PLANNING","PASS",IF('Release Gates'!C730="PHYSICAL","OPEN","BLOCKED"))</x:f>
        <x:v>OPEN</x:v>
      </x:c>
      <x:c r="G756" t="str">
        <x:v>equals</x:v>
      </x:c>
      <x:c r="H756" t="str">
        <x:f>IF(E756=F756,"PASS","FAIL")</x:f>
        <x:v>PASS</x:v>
      </x:c>
    </x:row>
    <x:row r="757">
      <x:c r="B757" t="str">
        <x:v>A-00725</x:v>
      </x:c>
      <x:c r="C757" t="str">
        <x:v>GATE</x:v>
      </x:c>
      <x:c r="D757" t="str">
        <x:v>release state mirrors governing ledger</x:v>
      </x:c>
      <x:c r="E757" t="str">
        <x:f>'Release Gates'!I731</x:f>
        <x:v>OPEN</x:v>
      </x:c>
      <x:c r="F757" t="str">
        <x:f>IF('Release Gates'!C731="PLANNING","PASS",IF('Release Gates'!C731="PHYSICAL","OPEN","BLOCKED"))</x:f>
        <x:v>OPEN</x:v>
      </x:c>
      <x:c r="G757" t="str">
        <x:v>equals</x:v>
      </x:c>
      <x:c r="H757" t="str">
        <x:f>IF(E757=F757,"PASS","FAIL")</x:f>
        <x:v>PASS</x:v>
      </x:c>
    </x:row>
    <x:row r="758">
      <x:c r="B758" t="str">
        <x:v>A-00726</x:v>
      </x:c>
      <x:c r="C758" t="str">
        <x:v>GATE</x:v>
      </x:c>
      <x:c r="D758" t="str">
        <x:v>release state mirrors governing ledger</x:v>
      </x:c>
      <x:c r="E758" t="str">
        <x:f>'Release Gates'!I732</x:f>
        <x:v>OPEN</x:v>
      </x:c>
      <x:c r="F758" t="str">
        <x:f>IF('Release Gates'!C732="PLANNING","PASS",IF('Release Gates'!C732="PHYSICAL","OPEN","BLOCKED"))</x:f>
        <x:v>OPEN</x:v>
      </x:c>
      <x:c r="G758" t="str">
        <x:v>equals</x:v>
      </x:c>
      <x:c r="H758" t="str">
        <x:f>IF(E758=F758,"PASS","FAIL")</x:f>
        <x:v>PASS</x:v>
      </x:c>
    </x:row>
    <x:row r="759">
      <x:c r="B759" t="str">
        <x:v>A-00727</x:v>
      </x:c>
      <x:c r="C759" t="str">
        <x:v>GATE</x:v>
      </x:c>
      <x:c r="D759" t="str">
        <x:v>release state mirrors governing ledger</x:v>
      </x:c>
      <x:c r="E759" t="str">
        <x:f>'Release Gates'!I733</x:f>
        <x:v>OPEN</x:v>
      </x:c>
      <x:c r="F759" t="str">
        <x:f>IF('Release Gates'!C733="PLANNING","PASS",IF('Release Gates'!C733="PHYSICAL","OPEN","BLOCKED"))</x:f>
        <x:v>OPEN</x:v>
      </x:c>
      <x:c r="G759" t="str">
        <x:v>equals</x:v>
      </x:c>
      <x:c r="H759" t="str">
        <x:f>IF(E759=F759,"PASS","FAIL")</x:f>
        <x:v>PASS</x:v>
      </x:c>
    </x:row>
    <x:row r="760">
      <x:c r="B760" t="str">
        <x:v>A-00728</x:v>
      </x:c>
      <x:c r="C760" t="str">
        <x:v>GATE</x:v>
      </x:c>
      <x:c r="D760" t="str">
        <x:v>release state mirrors governing ledger</x:v>
      </x:c>
      <x:c r="E760" t="str">
        <x:f>'Release Gates'!I734</x:f>
        <x:v>OPEN</x:v>
      </x:c>
      <x:c r="F760" t="str">
        <x:f>IF('Release Gates'!C734="PLANNING","PASS",IF('Release Gates'!C734="PHYSICAL","OPEN","BLOCKED"))</x:f>
        <x:v>OPEN</x:v>
      </x:c>
      <x:c r="G760" t="str">
        <x:v>equals</x:v>
      </x:c>
      <x:c r="H760" t="str">
        <x:f>IF(E760=F760,"PASS","FAIL")</x:f>
        <x:v>PASS</x:v>
      </x:c>
    </x:row>
    <x:row r="761">
      <x:c r="B761" t="str">
        <x:v>A-00729</x:v>
      </x:c>
      <x:c r="C761" t="str">
        <x:v>GATE</x:v>
      </x:c>
      <x:c r="D761" t="str">
        <x:v>release state mirrors governing ledger</x:v>
      </x:c>
      <x:c r="E761" t="str">
        <x:f>'Release Gates'!I735</x:f>
        <x:v>OPEN</x:v>
      </x:c>
      <x:c r="F761" t="str">
        <x:f>IF('Release Gates'!C735="PLANNING","PASS",IF('Release Gates'!C735="PHYSICAL","OPEN","BLOCKED"))</x:f>
        <x:v>OPEN</x:v>
      </x:c>
      <x:c r="G761" t="str">
        <x:v>equals</x:v>
      </x:c>
      <x:c r="H761" t="str">
        <x:f>IF(E761=F761,"PASS","FAIL")</x:f>
        <x:v>PASS</x:v>
      </x:c>
    </x:row>
    <x:row r="762">
      <x:c r="B762" t="str">
        <x:v>A-00730</x:v>
      </x:c>
      <x:c r="C762" t="str">
        <x:v>GATE</x:v>
      </x:c>
      <x:c r="D762" t="str">
        <x:v>release state mirrors governing ledger</x:v>
      </x:c>
      <x:c r="E762" t="str">
        <x:f>'Release Gates'!I736</x:f>
        <x:v>OPEN</x:v>
      </x:c>
      <x:c r="F762" t="str">
        <x:f>IF('Release Gates'!C736="PLANNING","PASS",IF('Release Gates'!C736="PHYSICAL","OPEN","BLOCKED"))</x:f>
        <x:v>OPEN</x:v>
      </x:c>
      <x:c r="G762" t="str">
        <x:v>equals</x:v>
      </x:c>
      <x:c r="H762" t="str">
        <x:f>IF(E762=F762,"PASS","FAIL")</x:f>
        <x:v>PASS</x:v>
      </x:c>
    </x:row>
    <x:row r="763">
      <x:c r="B763" t="str">
        <x:v>A-00731</x:v>
      </x:c>
      <x:c r="C763" t="str">
        <x:v>GATE</x:v>
      </x:c>
      <x:c r="D763" t="str">
        <x:v>release state mirrors governing ledger</x:v>
      </x:c>
      <x:c r="E763" t="str">
        <x:f>'Release Gates'!I737</x:f>
        <x:v>OPEN</x:v>
      </x:c>
      <x:c r="F763" t="str">
        <x:f>IF('Release Gates'!C737="PLANNING","PASS",IF('Release Gates'!C737="PHYSICAL","OPEN","BLOCKED"))</x:f>
        <x:v>OPEN</x:v>
      </x:c>
      <x:c r="G763" t="str">
        <x:v>equals</x:v>
      </x:c>
      <x:c r="H763" t="str">
        <x:f>IF(E763=F763,"PASS","FAIL")</x:f>
        <x:v>PASS</x:v>
      </x:c>
    </x:row>
    <x:row r="764">
      <x:c r="B764" t="str">
        <x:v>A-00732</x:v>
      </x:c>
      <x:c r="C764" t="str">
        <x:v>GATE</x:v>
      </x:c>
      <x:c r="D764" t="str">
        <x:v>release state mirrors governing ledger</x:v>
      </x:c>
      <x:c r="E764" t="str">
        <x:f>'Release Gates'!I738</x:f>
        <x:v>OPEN</x:v>
      </x:c>
      <x:c r="F764" t="str">
        <x:f>IF('Release Gates'!C738="PLANNING","PASS",IF('Release Gates'!C738="PHYSICAL","OPEN","BLOCKED"))</x:f>
        <x:v>OPEN</x:v>
      </x:c>
      <x:c r="G764" t="str">
        <x:v>equals</x:v>
      </x:c>
      <x:c r="H764" t="str">
        <x:f>IF(E764=F764,"PASS","FAIL")</x:f>
        <x:v>PASS</x:v>
      </x:c>
    </x:row>
    <x:row r="765">
      <x:c r="B765" t="str">
        <x:v>A-00733</x:v>
      </x:c>
      <x:c r="C765" t="str">
        <x:v>GATE</x:v>
      </x:c>
      <x:c r="D765" t="str">
        <x:v>release state mirrors governing ledger</x:v>
      </x:c>
      <x:c r="E765" t="str">
        <x:f>'Release Gates'!I739</x:f>
        <x:v>OPEN</x:v>
      </x:c>
      <x:c r="F765" t="str">
        <x:f>IF('Release Gates'!C739="PLANNING","PASS",IF('Release Gates'!C739="PHYSICAL","OPEN","BLOCKED"))</x:f>
        <x:v>OPEN</x:v>
      </x:c>
      <x:c r="G765" t="str">
        <x:v>equals</x:v>
      </x:c>
      <x:c r="H765" t="str">
        <x:f>IF(E765=F765,"PASS","FAIL")</x:f>
        <x:v>PASS</x:v>
      </x:c>
    </x:row>
    <x:row r="766">
      <x:c r="B766" t="str">
        <x:v>A-00734</x:v>
      </x:c>
      <x:c r="C766" t="str">
        <x:v>GATE</x:v>
      </x:c>
      <x:c r="D766" t="str">
        <x:v>release state mirrors governing ledger</x:v>
      </x:c>
      <x:c r="E766" t="str">
        <x:f>'Release Gates'!I740</x:f>
        <x:v>OPEN</x:v>
      </x:c>
      <x:c r="F766" t="str">
        <x:f>IF('Release Gates'!C740="PLANNING","PASS",IF('Release Gates'!C740="PHYSICAL","OPEN","BLOCKED"))</x:f>
        <x:v>OPEN</x:v>
      </x:c>
      <x:c r="G766" t="str">
        <x:v>equals</x:v>
      </x:c>
      <x:c r="H766" t="str">
        <x:f>IF(E766=F766,"PASS","FAIL")</x:f>
        <x:v>PASS</x:v>
      </x:c>
    </x:row>
    <x:row r="767">
      <x:c r="B767" t="str">
        <x:v>A-00735</x:v>
      </x:c>
      <x:c r="C767" t="str">
        <x:v>GATE</x:v>
      </x:c>
      <x:c r="D767" t="str">
        <x:v>release state mirrors governing ledger</x:v>
      </x:c>
      <x:c r="E767" t="str">
        <x:f>'Release Gates'!I741</x:f>
        <x:v>OPEN</x:v>
      </x:c>
      <x:c r="F767" t="str">
        <x:f>IF('Release Gates'!C741="PLANNING","PASS",IF('Release Gates'!C741="PHYSICAL","OPEN","BLOCKED"))</x:f>
        <x:v>OPEN</x:v>
      </x:c>
      <x:c r="G767" t="str">
        <x:v>equals</x:v>
      </x:c>
      <x:c r="H767" t="str">
        <x:f>IF(E767=F767,"PASS","FAIL")</x:f>
        <x:v>PASS</x:v>
      </x:c>
    </x:row>
    <x:row r="768">
      <x:c r="B768" t="str">
        <x:v>A-00736</x:v>
      </x:c>
      <x:c r="C768" t="str">
        <x:v>GATE</x:v>
      </x:c>
      <x:c r="D768" t="str">
        <x:v>release state mirrors governing ledger</x:v>
      </x:c>
      <x:c r="E768" t="str">
        <x:f>'Release Gates'!I742</x:f>
        <x:v>OPEN</x:v>
      </x:c>
      <x:c r="F768" t="str">
        <x:f>IF('Release Gates'!C742="PLANNING","PASS",IF('Release Gates'!C742="PHYSICAL","OPEN","BLOCKED"))</x:f>
        <x:v>OPEN</x:v>
      </x:c>
      <x:c r="G768" t="str">
        <x:v>equals</x:v>
      </x:c>
      <x:c r="H768" t="str">
        <x:f>IF(E768=F768,"PASS","FAIL")</x:f>
        <x:v>PASS</x:v>
      </x:c>
    </x:row>
    <x:row r="769">
      <x:c r="B769" t="str">
        <x:v>A-00737</x:v>
      </x:c>
      <x:c r="C769" t="str">
        <x:v>GATE</x:v>
      </x:c>
      <x:c r="D769" t="str">
        <x:v>release state mirrors governing ledger</x:v>
      </x:c>
      <x:c r="E769" t="str">
        <x:f>'Release Gates'!I743</x:f>
        <x:v>OPEN</x:v>
      </x:c>
      <x:c r="F769" t="str">
        <x:f>IF('Release Gates'!C743="PLANNING","PASS",IF('Release Gates'!C743="PHYSICAL","OPEN","BLOCKED"))</x:f>
        <x:v>OPEN</x:v>
      </x:c>
      <x:c r="G769" t="str">
        <x:v>equals</x:v>
      </x:c>
      <x:c r="H769" t="str">
        <x:f>IF(E769=F769,"PASS","FAIL")</x:f>
        <x:v>PASS</x:v>
      </x:c>
    </x:row>
    <x:row r="770">
      <x:c r="B770" t="str">
        <x:v>A-00738</x:v>
      </x:c>
      <x:c r="C770" t="str">
        <x:v>GATE</x:v>
      </x:c>
      <x:c r="D770" t="str">
        <x:v>release state mirrors governing ledger</x:v>
      </x:c>
      <x:c r="E770" t="str">
        <x:f>'Release Gates'!I744</x:f>
        <x:v>OPEN</x:v>
      </x:c>
      <x:c r="F770" t="str">
        <x:f>IF('Release Gates'!C744="PLANNING","PASS",IF('Release Gates'!C744="PHYSICAL","OPEN","BLOCKED"))</x:f>
        <x:v>OPEN</x:v>
      </x:c>
      <x:c r="G770" t="str">
        <x:v>equals</x:v>
      </x:c>
      <x:c r="H770" t="str">
        <x:f>IF(E770=F770,"PASS","FAIL")</x:f>
        <x:v>PASS</x:v>
      </x:c>
    </x:row>
    <x:row r="771">
      <x:c r="B771" t="str">
        <x:v>A-00739</x:v>
      </x:c>
      <x:c r="C771" t="str">
        <x:v>GATE</x:v>
      </x:c>
      <x:c r="D771" t="str">
        <x:v>release state mirrors governing ledger</x:v>
      </x:c>
      <x:c r="E771" t="str">
        <x:f>'Release Gates'!I745</x:f>
        <x:v>OPEN</x:v>
      </x:c>
      <x:c r="F771" t="str">
        <x:f>IF('Release Gates'!C745="PLANNING","PASS",IF('Release Gates'!C745="PHYSICAL","OPEN","BLOCKED"))</x:f>
        <x:v>OPEN</x:v>
      </x:c>
      <x:c r="G771" t="str">
        <x:v>equals</x:v>
      </x:c>
      <x:c r="H771" t="str">
        <x:f>IF(E771=F771,"PASS","FAIL")</x:f>
        <x:v>PASS</x:v>
      </x:c>
    </x:row>
    <x:row r="772">
      <x:c r="B772" t="str">
        <x:v>A-00740</x:v>
      </x:c>
      <x:c r="C772" t="str">
        <x:v>GATE</x:v>
      </x:c>
      <x:c r="D772" t="str">
        <x:v>release state mirrors governing ledger</x:v>
      </x:c>
      <x:c r="E772" t="str">
        <x:f>'Release Gates'!I746</x:f>
        <x:v>OPEN</x:v>
      </x:c>
      <x:c r="F772" t="str">
        <x:f>IF('Release Gates'!C746="PLANNING","PASS",IF('Release Gates'!C746="PHYSICAL","OPEN","BLOCKED"))</x:f>
        <x:v>OPEN</x:v>
      </x:c>
      <x:c r="G772" t="str">
        <x:v>equals</x:v>
      </x:c>
      <x:c r="H772" t="str">
        <x:f>IF(E772=F772,"PASS","FAIL")</x:f>
        <x:v>PASS</x:v>
      </x:c>
    </x:row>
    <x:row r="773">
      <x:c r="B773" t="str">
        <x:v>A-00741</x:v>
      </x:c>
      <x:c r="C773" t="str">
        <x:v>GATE</x:v>
      </x:c>
      <x:c r="D773" t="str">
        <x:v>release state mirrors governing ledger</x:v>
      </x:c>
      <x:c r="E773" t="str">
        <x:f>'Release Gates'!I747</x:f>
        <x:v>OPEN</x:v>
      </x:c>
      <x:c r="F773" t="str">
        <x:f>IF('Release Gates'!C747="PLANNING","PASS",IF('Release Gates'!C747="PHYSICAL","OPEN","BLOCKED"))</x:f>
        <x:v>OPEN</x:v>
      </x:c>
      <x:c r="G773" t="str">
        <x:v>equals</x:v>
      </x:c>
      <x:c r="H773" t="str">
        <x:f>IF(E773=F773,"PASS","FAIL")</x:f>
        <x:v>PASS</x:v>
      </x:c>
    </x:row>
    <x:row r="774">
      <x:c r="B774" t="str">
        <x:v>A-00742</x:v>
      </x:c>
      <x:c r="C774" t="str">
        <x:v>GATE</x:v>
      </x:c>
      <x:c r="D774" t="str">
        <x:v>release state mirrors governing ledger</x:v>
      </x:c>
      <x:c r="E774" t="str">
        <x:f>'Release Gates'!I748</x:f>
        <x:v>OPEN</x:v>
      </x:c>
      <x:c r="F774" t="str">
        <x:f>IF('Release Gates'!C748="PLANNING","PASS",IF('Release Gates'!C748="PHYSICAL","OPEN","BLOCKED"))</x:f>
        <x:v>OPEN</x:v>
      </x:c>
      <x:c r="G774" t="str">
        <x:v>equals</x:v>
      </x:c>
      <x:c r="H774" t="str">
        <x:f>IF(E774=F774,"PASS","FAIL")</x:f>
        <x:v>PASS</x:v>
      </x:c>
    </x:row>
    <x:row r="775">
      <x:c r="B775" t="str">
        <x:v>A-00743</x:v>
      </x:c>
      <x:c r="C775" t="str">
        <x:v>GATE</x:v>
      </x:c>
      <x:c r="D775" t="str">
        <x:v>release state mirrors governing ledger</x:v>
      </x:c>
      <x:c r="E775" t="str">
        <x:f>'Release Gates'!I749</x:f>
        <x:v>OPEN</x:v>
      </x:c>
      <x:c r="F775" t="str">
        <x:f>IF('Release Gates'!C749="PLANNING","PASS",IF('Release Gates'!C749="PHYSICAL","OPEN","BLOCKED"))</x:f>
        <x:v>OPEN</x:v>
      </x:c>
      <x:c r="G775" t="str">
        <x:v>equals</x:v>
      </x:c>
      <x:c r="H775" t="str">
        <x:f>IF(E775=F775,"PASS","FAIL")</x:f>
        <x:v>PASS</x:v>
      </x:c>
    </x:row>
    <x:row r="776">
      <x:c r="B776" t="str">
        <x:v>A-00744</x:v>
      </x:c>
      <x:c r="C776" t="str">
        <x:v>GATE</x:v>
      </x:c>
      <x:c r="D776" t="str">
        <x:v>release state mirrors governing ledger</x:v>
      </x:c>
      <x:c r="E776" t="str">
        <x:f>'Release Gates'!I750</x:f>
        <x:v>OPEN</x:v>
      </x:c>
      <x:c r="F776" t="str">
        <x:f>IF('Release Gates'!C750="PLANNING","PASS",IF('Release Gates'!C750="PHYSICAL","OPEN","BLOCKED"))</x:f>
        <x:v>OPEN</x:v>
      </x:c>
      <x:c r="G776" t="str">
        <x:v>equals</x:v>
      </x:c>
      <x:c r="H776" t="str">
        <x:f>IF(E776=F776,"PASS","FAIL")</x:f>
        <x:v>PASS</x:v>
      </x:c>
    </x:row>
    <x:row r="777">
      <x:c r="B777" t="str">
        <x:v>A-00745</x:v>
      </x:c>
      <x:c r="C777" t="str">
        <x:v>GATE</x:v>
      </x:c>
      <x:c r="D777" t="str">
        <x:v>release state mirrors governing ledger</x:v>
      </x:c>
      <x:c r="E777" t="str">
        <x:f>'Release Gates'!I751</x:f>
        <x:v>OPEN</x:v>
      </x:c>
      <x:c r="F777" t="str">
        <x:f>IF('Release Gates'!C751="PLANNING","PASS",IF('Release Gates'!C751="PHYSICAL","OPEN","BLOCKED"))</x:f>
        <x:v>OPEN</x:v>
      </x:c>
      <x:c r="G777" t="str">
        <x:v>equals</x:v>
      </x:c>
      <x:c r="H777" t="str">
        <x:f>IF(E777=F777,"PASS","FAIL")</x:f>
        <x:v>PASS</x:v>
      </x:c>
    </x:row>
    <x:row r="778">
      <x:c r="B778" t="str">
        <x:v>A-00746</x:v>
      </x:c>
      <x:c r="C778" t="str">
        <x:v>GATE</x:v>
      </x:c>
      <x:c r="D778" t="str">
        <x:v>release state mirrors governing ledger</x:v>
      </x:c>
      <x:c r="E778" t="str">
        <x:f>'Release Gates'!I752</x:f>
        <x:v>OPEN</x:v>
      </x:c>
      <x:c r="F778" t="str">
        <x:f>IF('Release Gates'!C752="PLANNING","PASS",IF('Release Gates'!C752="PHYSICAL","OPEN","BLOCKED"))</x:f>
        <x:v>OPEN</x:v>
      </x:c>
      <x:c r="G778" t="str">
        <x:v>equals</x:v>
      </x:c>
      <x:c r="H778" t="str">
        <x:f>IF(E778=F778,"PASS","FAIL")</x:f>
        <x:v>PASS</x:v>
      </x:c>
    </x:row>
    <x:row r="779">
      <x:c r="B779" t="str">
        <x:v>A-00747</x:v>
      </x:c>
      <x:c r="C779" t="str">
        <x:v>GATE</x:v>
      </x:c>
      <x:c r="D779" t="str">
        <x:v>release state mirrors governing ledger</x:v>
      </x:c>
      <x:c r="E779" t="str">
        <x:f>'Release Gates'!I753</x:f>
        <x:v>OPEN</x:v>
      </x:c>
      <x:c r="F779" t="str">
        <x:f>IF('Release Gates'!C753="PLANNING","PASS",IF('Release Gates'!C753="PHYSICAL","OPEN","BLOCKED"))</x:f>
        <x:v>OPEN</x:v>
      </x:c>
      <x:c r="G779" t="str">
        <x:v>equals</x:v>
      </x:c>
      <x:c r="H779" t="str">
        <x:f>IF(E779=F779,"PASS","FAIL")</x:f>
        <x:v>PASS</x:v>
      </x:c>
    </x:row>
    <x:row r="780">
      <x:c r="B780" t="str">
        <x:v>A-00748</x:v>
      </x:c>
      <x:c r="C780" t="str">
        <x:v>GATE</x:v>
      </x:c>
      <x:c r="D780" t="str">
        <x:v>release state mirrors governing ledger</x:v>
      </x:c>
      <x:c r="E780" t="str">
        <x:f>'Release Gates'!I754</x:f>
        <x:v>OPEN</x:v>
      </x:c>
      <x:c r="F780" t="str">
        <x:f>IF('Release Gates'!C754="PLANNING","PASS",IF('Release Gates'!C754="PHYSICAL","OPEN","BLOCKED"))</x:f>
        <x:v>OPEN</x:v>
      </x:c>
      <x:c r="G780" t="str">
        <x:v>equals</x:v>
      </x:c>
      <x:c r="H780" t="str">
        <x:f>IF(E780=F780,"PASS","FAIL")</x:f>
        <x:v>PASS</x:v>
      </x:c>
    </x:row>
    <x:row r="781">
      <x:c r="B781" t="str">
        <x:v>A-00749</x:v>
      </x:c>
      <x:c r="C781" t="str">
        <x:v>GATE</x:v>
      </x:c>
      <x:c r="D781" t="str">
        <x:v>release state mirrors governing ledger</x:v>
      </x:c>
      <x:c r="E781" t="str">
        <x:f>'Release Gates'!I755</x:f>
        <x:v>OPEN</x:v>
      </x:c>
      <x:c r="F781" t="str">
        <x:f>IF('Release Gates'!C755="PLANNING","PASS",IF('Release Gates'!C755="PHYSICAL","OPEN","BLOCKED"))</x:f>
        <x:v>OPEN</x:v>
      </x:c>
      <x:c r="G781" t="str">
        <x:v>equals</x:v>
      </x:c>
      <x:c r="H781" t="str">
        <x:f>IF(E781=F781,"PASS","FAIL")</x:f>
        <x:v>PASS</x:v>
      </x:c>
    </x:row>
    <x:row r="782">
      <x:c r="B782" t="str">
        <x:v>A-00750</x:v>
      </x:c>
      <x:c r="C782" t="str">
        <x:v>GATE</x:v>
      </x:c>
      <x:c r="D782" t="str">
        <x:v>release state mirrors governing ledger</x:v>
      </x:c>
      <x:c r="E782" t="str">
        <x:f>'Release Gates'!I756</x:f>
        <x:v>OPEN</x:v>
      </x:c>
      <x:c r="F782" t="str">
        <x:f>IF('Release Gates'!C756="PLANNING","PASS",IF('Release Gates'!C756="PHYSICAL","OPEN","BLOCKED"))</x:f>
        <x:v>OPEN</x:v>
      </x:c>
      <x:c r="G782" t="str">
        <x:v>equals</x:v>
      </x:c>
      <x:c r="H782" t="str">
        <x:f>IF(E782=F782,"PASS","FAIL")</x:f>
        <x:v>PASS</x:v>
      </x:c>
    </x:row>
    <x:row r="783">
      <x:c r="B783" t="str">
        <x:v>A-00751</x:v>
      </x:c>
      <x:c r="C783" t="str">
        <x:v>GATE</x:v>
      </x:c>
      <x:c r="D783" t="str">
        <x:v>release state mirrors governing ledger</x:v>
      </x:c>
      <x:c r="E783" t="str">
        <x:f>'Release Gates'!I757</x:f>
        <x:v>OPEN</x:v>
      </x:c>
      <x:c r="F783" t="str">
        <x:f>IF('Release Gates'!C757="PLANNING","PASS",IF('Release Gates'!C757="PHYSICAL","OPEN","BLOCKED"))</x:f>
        <x:v>OPEN</x:v>
      </x:c>
      <x:c r="G783" t="str">
        <x:v>equals</x:v>
      </x:c>
      <x:c r="H783" t="str">
        <x:f>IF(E783=F783,"PASS","FAIL")</x:f>
        <x:v>PASS</x:v>
      </x:c>
    </x:row>
    <x:row r="784">
      <x:c r="B784" t="str">
        <x:v>A-00752</x:v>
      </x:c>
      <x:c r="C784" t="str">
        <x:v>GATE</x:v>
      </x:c>
      <x:c r="D784" t="str">
        <x:v>release state mirrors governing ledger</x:v>
      </x:c>
      <x:c r="E784" t="str">
        <x:f>'Release Gates'!I758</x:f>
        <x:v>OPEN</x:v>
      </x:c>
      <x:c r="F784" t="str">
        <x:f>IF('Release Gates'!C758="PLANNING","PASS",IF('Release Gates'!C758="PHYSICAL","OPEN","BLOCKED"))</x:f>
        <x:v>OPEN</x:v>
      </x:c>
      <x:c r="G784" t="str">
        <x:v>equals</x:v>
      </x:c>
      <x:c r="H784" t="str">
        <x:f>IF(E784=F784,"PASS","FAIL")</x:f>
        <x:v>PASS</x:v>
      </x:c>
    </x:row>
    <x:row r="785">
      <x:c r="B785" t="str">
        <x:v>A-00753</x:v>
      </x:c>
      <x:c r="C785" t="str">
        <x:v>GATE</x:v>
      </x:c>
      <x:c r="D785" t="str">
        <x:v>release state mirrors governing ledger</x:v>
      </x:c>
      <x:c r="E785" t="str">
        <x:f>'Release Gates'!I759</x:f>
        <x:v>OPEN</x:v>
      </x:c>
      <x:c r="F785" t="str">
        <x:f>IF('Release Gates'!C759="PLANNING","PASS",IF('Release Gates'!C759="PHYSICAL","OPEN","BLOCKED"))</x:f>
        <x:v>OPEN</x:v>
      </x:c>
      <x:c r="G785" t="str">
        <x:v>equals</x:v>
      </x:c>
      <x:c r="H785" t="str">
        <x:f>IF(E785=F785,"PASS","FAIL")</x:f>
        <x:v>PASS</x:v>
      </x:c>
    </x:row>
    <x:row r="786">
      <x:c r="B786" t="str">
        <x:v>A-00754</x:v>
      </x:c>
      <x:c r="C786" t="str">
        <x:v>GATE</x:v>
      </x:c>
      <x:c r="D786" t="str">
        <x:v>release state mirrors governing ledger</x:v>
      </x:c>
      <x:c r="E786" t="str">
        <x:f>'Release Gates'!I760</x:f>
        <x:v>OPEN</x:v>
      </x:c>
      <x:c r="F786" t="str">
        <x:f>IF('Release Gates'!C760="PLANNING","PASS",IF('Release Gates'!C760="PHYSICAL","OPEN","BLOCKED"))</x:f>
        <x:v>OPEN</x:v>
      </x:c>
      <x:c r="G786" t="str">
        <x:v>equals</x:v>
      </x:c>
      <x:c r="H786" t="str">
        <x:f>IF(E786=F786,"PASS","FAIL")</x:f>
        <x:v>PASS</x:v>
      </x:c>
    </x:row>
    <x:row r="787">
      <x:c r="B787" t="str">
        <x:v>A-00755</x:v>
      </x:c>
      <x:c r="C787" t="str">
        <x:v>GATE</x:v>
      </x:c>
      <x:c r="D787" t="str">
        <x:v>release state mirrors governing ledger</x:v>
      </x:c>
      <x:c r="E787" t="str">
        <x:f>'Release Gates'!I761</x:f>
        <x:v>OPEN</x:v>
      </x:c>
      <x:c r="F787" t="str">
        <x:f>IF('Release Gates'!C761="PLANNING","PASS",IF('Release Gates'!C761="PHYSICAL","OPEN","BLOCKED"))</x:f>
        <x:v>OPEN</x:v>
      </x:c>
      <x:c r="G787" t="str">
        <x:v>equals</x:v>
      </x:c>
      <x:c r="H787" t="str">
        <x:f>IF(E787=F787,"PASS","FAIL")</x:f>
        <x:v>PASS</x:v>
      </x:c>
    </x:row>
    <x:row r="788">
      <x:c r="B788" t="str">
        <x:v>A-00756</x:v>
      </x:c>
      <x:c r="C788" t="str">
        <x:v>GATE</x:v>
      </x:c>
      <x:c r="D788" t="str">
        <x:v>release state mirrors governing ledger</x:v>
      </x:c>
      <x:c r="E788" t="str">
        <x:f>'Release Gates'!I762</x:f>
        <x:v>OPEN</x:v>
      </x:c>
      <x:c r="F788" t="str">
        <x:f>IF('Release Gates'!C762="PLANNING","PASS",IF('Release Gates'!C762="PHYSICAL","OPEN","BLOCKED"))</x:f>
        <x:v>OPEN</x:v>
      </x:c>
      <x:c r="G788" t="str">
        <x:v>equals</x:v>
      </x:c>
      <x:c r="H788" t="str">
        <x:f>IF(E788=F788,"PASS","FAIL")</x:f>
        <x:v>PASS</x:v>
      </x:c>
    </x:row>
    <x:row r="789">
      <x:c r="B789" t="str">
        <x:v>A-00757</x:v>
      </x:c>
      <x:c r="C789" t="str">
        <x:v>GATE</x:v>
      </x:c>
      <x:c r="D789" t="str">
        <x:v>release state mirrors governing ledger</x:v>
      </x:c>
      <x:c r="E789" t="str">
        <x:f>'Release Gates'!I763</x:f>
        <x:v>OPEN</x:v>
      </x:c>
      <x:c r="F789" t="str">
        <x:f>IF('Release Gates'!C763="PLANNING","PASS",IF('Release Gates'!C763="PHYSICAL","OPEN","BLOCKED"))</x:f>
        <x:v>OPEN</x:v>
      </x:c>
      <x:c r="G789" t="str">
        <x:v>equals</x:v>
      </x:c>
      <x:c r="H789" t="str">
        <x:f>IF(E789=F789,"PASS","FAIL")</x:f>
        <x:v>PASS</x:v>
      </x:c>
    </x:row>
    <x:row r="790">
      <x:c r="B790" t="str">
        <x:v>A-00758</x:v>
      </x:c>
      <x:c r="C790" t="str">
        <x:v>GATE</x:v>
      </x:c>
      <x:c r="D790" t="str">
        <x:v>release state mirrors governing ledger</x:v>
      </x:c>
      <x:c r="E790" t="str">
        <x:f>'Release Gates'!I764</x:f>
        <x:v>OPEN</x:v>
      </x:c>
      <x:c r="F790" t="str">
        <x:f>IF('Release Gates'!C764="PLANNING","PASS",IF('Release Gates'!C764="PHYSICAL","OPEN","BLOCKED"))</x:f>
        <x:v>OPEN</x:v>
      </x:c>
      <x:c r="G790" t="str">
        <x:v>equals</x:v>
      </x:c>
      <x:c r="H790" t="str">
        <x:f>IF(E790=F790,"PASS","FAIL")</x:f>
        <x:v>PASS</x:v>
      </x:c>
    </x:row>
    <x:row r="791">
      <x:c r="B791" t="str">
        <x:v>A-00759</x:v>
      </x:c>
      <x:c r="C791" t="str">
        <x:v>GATE</x:v>
      </x:c>
      <x:c r="D791" t="str">
        <x:v>release state mirrors governing ledger</x:v>
      </x:c>
      <x:c r="E791" t="str">
        <x:f>'Release Gates'!I765</x:f>
        <x:v>OPEN</x:v>
      </x:c>
      <x:c r="F791" t="str">
        <x:f>IF('Release Gates'!C765="PLANNING","PASS",IF('Release Gates'!C765="PHYSICAL","OPEN","BLOCKED"))</x:f>
        <x:v>OPEN</x:v>
      </x:c>
      <x:c r="G791" t="str">
        <x:v>equals</x:v>
      </x:c>
      <x:c r="H791" t="str">
        <x:f>IF(E791=F791,"PASS","FAIL")</x:f>
        <x:v>PASS</x:v>
      </x:c>
    </x:row>
    <x:row r="792">
      <x:c r="B792" t="str">
        <x:v>A-00760</x:v>
      </x:c>
      <x:c r="C792" t="str">
        <x:v>GATE</x:v>
      </x:c>
      <x:c r="D792" t="str">
        <x:v>release state mirrors governing ledger</x:v>
      </x:c>
      <x:c r="E792" t="str">
        <x:f>'Release Gates'!I766</x:f>
        <x:v>OPEN</x:v>
      </x:c>
      <x:c r="F792" t="str">
        <x:f>IF('Release Gates'!C766="PLANNING","PASS",IF('Release Gates'!C766="PHYSICAL","OPEN","BLOCKED"))</x:f>
        <x:v>OPEN</x:v>
      </x:c>
      <x:c r="G792" t="str">
        <x:v>equals</x:v>
      </x:c>
      <x:c r="H792" t="str">
        <x:f>IF(E792=F792,"PASS","FAIL")</x:f>
        <x:v>PASS</x:v>
      </x:c>
    </x:row>
    <x:row r="793">
      <x:c r="B793" t="str">
        <x:v>A-00761</x:v>
      </x:c>
      <x:c r="C793" t="str">
        <x:v>GATE</x:v>
      </x:c>
      <x:c r="D793" t="str">
        <x:v>release state mirrors governing ledger</x:v>
      </x:c>
      <x:c r="E793" t="str">
        <x:f>'Release Gates'!I767</x:f>
        <x:v>OPEN</x:v>
      </x:c>
      <x:c r="F793" t="str">
        <x:f>IF('Release Gates'!C767="PLANNING","PASS",IF('Release Gates'!C767="PHYSICAL","OPEN","BLOCKED"))</x:f>
        <x:v>OPEN</x:v>
      </x:c>
      <x:c r="G793" t="str">
        <x:v>equals</x:v>
      </x:c>
      <x:c r="H793" t="str">
        <x:f>IF(E793=F793,"PASS","FAIL")</x:f>
        <x:v>PASS</x:v>
      </x:c>
    </x:row>
    <x:row r="794">
      <x:c r="B794" t="str">
        <x:v>A-00762</x:v>
      </x:c>
      <x:c r="C794" t="str">
        <x:v>GATE</x:v>
      </x:c>
      <x:c r="D794" t="str">
        <x:v>release state mirrors governing ledger</x:v>
      </x:c>
      <x:c r="E794" t="str">
        <x:f>'Release Gates'!I768</x:f>
        <x:v>OPEN</x:v>
      </x:c>
      <x:c r="F794" t="str">
        <x:f>IF('Release Gates'!C768="PLANNING","PASS",IF('Release Gates'!C768="PHYSICAL","OPEN","BLOCKED"))</x:f>
        <x:v>OPEN</x:v>
      </x:c>
      <x:c r="G794" t="str">
        <x:v>equals</x:v>
      </x:c>
      <x:c r="H794" t="str">
        <x:f>IF(E794=F794,"PASS","FAIL")</x:f>
        <x:v>PASS</x:v>
      </x:c>
    </x:row>
    <x:row r="795">
      <x:c r="B795" t="str">
        <x:v>A-00763</x:v>
      </x:c>
      <x:c r="C795" t="str">
        <x:v>GATE</x:v>
      </x:c>
      <x:c r="D795" t="str">
        <x:v>release state mirrors governing ledger</x:v>
      </x:c>
      <x:c r="E795" t="str">
        <x:f>'Release Gates'!I769</x:f>
        <x:v>OPEN</x:v>
      </x:c>
      <x:c r="F795" t="str">
        <x:f>IF('Release Gates'!C769="PLANNING","PASS",IF('Release Gates'!C769="PHYSICAL","OPEN","BLOCKED"))</x:f>
        <x:v>OPEN</x:v>
      </x:c>
      <x:c r="G795" t="str">
        <x:v>equals</x:v>
      </x:c>
      <x:c r="H795" t="str">
        <x:f>IF(E795=F795,"PASS","FAIL")</x:f>
        <x:v>PASS</x:v>
      </x:c>
    </x:row>
    <x:row r="796">
      <x:c r="B796" t="str">
        <x:v>A-00764</x:v>
      </x:c>
      <x:c r="C796" t="str">
        <x:v>GATE</x:v>
      </x:c>
      <x:c r="D796" t="str">
        <x:v>release state mirrors governing ledger</x:v>
      </x:c>
      <x:c r="E796" t="str">
        <x:f>'Release Gates'!I770</x:f>
        <x:v>OPEN</x:v>
      </x:c>
      <x:c r="F796" t="str">
        <x:f>IF('Release Gates'!C770="PLANNING","PASS",IF('Release Gates'!C770="PHYSICAL","OPEN","BLOCKED"))</x:f>
        <x:v>OPEN</x:v>
      </x:c>
      <x:c r="G796" t="str">
        <x:v>equals</x:v>
      </x:c>
      <x:c r="H796" t="str">
        <x:f>IF(E796=F796,"PASS","FAIL")</x:f>
        <x:v>PASS</x:v>
      </x:c>
    </x:row>
    <x:row r="797">
      <x:c r="B797" t="str">
        <x:v>A-00765</x:v>
      </x:c>
      <x:c r="C797" t="str">
        <x:v>GATE</x:v>
      </x:c>
      <x:c r="D797" t="str">
        <x:v>release state mirrors governing ledger</x:v>
      </x:c>
      <x:c r="E797" t="str">
        <x:f>'Release Gates'!I771</x:f>
        <x:v>OPEN</x:v>
      </x:c>
      <x:c r="F797" t="str">
        <x:f>IF('Release Gates'!C771="PLANNING","PASS",IF('Release Gates'!C771="PHYSICAL","OPEN","BLOCKED"))</x:f>
        <x:v>OPEN</x:v>
      </x:c>
      <x:c r="G797" t="str">
        <x:v>equals</x:v>
      </x:c>
      <x:c r="H797" t="str">
        <x:f>IF(E797=F797,"PASS","FAIL")</x:f>
        <x:v>PASS</x:v>
      </x:c>
    </x:row>
    <x:row r="798">
      <x:c r="B798" t="str">
        <x:v>A-00766</x:v>
      </x:c>
      <x:c r="C798" t="str">
        <x:v>GATE</x:v>
      </x:c>
      <x:c r="D798" t="str">
        <x:v>release state mirrors governing ledger</x:v>
      </x:c>
      <x:c r="E798" t="str">
        <x:f>'Release Gates'!I772</x:f>
        <x:v>OPEN</x:v>
      </x:c>
      <x:c r="F798" t="str">
        <x:f>IF('Release Gates'!C772="PLANNING","PASS",IF('Release Gates'!C772="PHYSICAL","OPEN","BLOCKED"))</x:f>
        <x:v>OPEN</x:v>
      </x:c>
      <x:c r="G798" t="str">
        <x:v>equals</x:v>
      </x:c>
      <x:c r="H798" t="str">
        <x:f>IF(E798=F798,"PASS","FAIL")</x:f>
        <x:v>PASS</x:v>
      </x:c>
    </x:row>
    <x:row r="799">
      <x:c r="B799" t="str">
        <x:v>A-00767</x:v>
      </x:c>
      <x:c r="C799" t="str">
        <x:v>GATE</x:v>
      </x:c>
      <x:c r="D799" t="str">
        <x:v>release state mirrors governing ledger</x:v>
      </x:c>
      <x:c r="E799" t="str">
        <x:f>'Release Gates'!I773</x:f>
        <x:v>OPEN</x:v>
      </x:c>
      <x:c r="F799" t="str">
        <x:f>IF('Release Gates'!C773="PLANNING","PASS",IF('Release Gates'!C773="PHYSICAL","OPEN","BLOCKED"))</x:f>
        <x:v>OPEN</x:v>
      </x:c>
      <x:c r="G799" t="str">
        <x:v>equals</x:v>
      </x:c>
      <x:c r="H799" t="str">
        <x:f>IF(E799=F799,"PASS","FAIL")</x:f>
        <x:v>PASS</x:v>
      </x:c>
    </x:row>
    <x:row r="800">
      <x:c r="B800" t="str">
        <x:v>A-00768</x:v>
      </x:c>
      <x:c r="C800" t="str">
        <x:v>GATE</x:v>
      </x:c>
      <x:c r="D800" t="str">
        <x:v>release state mirrors governing ledger</x:v>
      </x:c>
      <x:c r="E800" t="str">
        <x:f>'Release Gates'!I774</x:f>
        <x:v>OPEN</x:v>
      </x:c>
      <x:c r="F800" t="str">
        <x:f>IF('Release Gates'!C774="PLANNING","PASS",IF('Release Gates'!C774="PHYSICAL","OPEN","BLOCKED"))</x:f>
        <x:v>OPEN</x:v>
      </x:c>
      <x:c r="G800" t="str">
        <x:v>equals</x:v>
      </x:c>
      <x:c r="H800" t="str">
        <x:f>IF(E800=F800,"PASS","FAIL")</x:f>
        <x:v>PASS</x:v>
      </x:c>
    </x:row>
    <x:row r="801">
      <x:c r="B801" t="str">
        <x:v>A-00769</x:v>
      </x:c>
      <x:c r="C801" t="str">
        <x:v>GATE</x:v>
      </x:c>
      <x:c r="D801" t="str">
        <x:v>release state mirrors governing ledger</x:v>
      </x:c>
      <x:c r="E801" t="str">
        <x:f>'Release Gates'!I775</x:f>
        <x:v>OPEN</x:v>
      </x:c>
      <x:c r="F801" t="str">
        <x:f>IF('Release Gates'!C775="PLANNING","PASS",IF('Release Gates'!C775="PHYSICAL","OPEN","BLOCKED"))</x:f>
        <x:v>OPEN</x:v>
      </x:c>
      <x:c r="G801" t="str">
        <x:v>equals</x:v>
      </x:c>
      <x:c r="H801" t="str">
        <x:f>IF(E801=F801,"PASS","FAIL")</x:f>
        <x:v>PASS</x:v>
      </x:c>
    </x:row>
    <x:row r="802">
      <x:c r="B802" t="str">
        <x:v>A-00770</x:v>
      </x:c>
      <x:c r="C802" t="str">
        <x:v>GATE</x:v>
      </x:c>
      <x:c r="D802" t="str">
        <x:v>release state mirrors governing ledger</x:v>
      </x:c>
      <x:c r="E802" t="str">
        <x:f>'Release Gates'!I776</x:f>
        <x:v>OPEN</x:v>
      </x:c>
      <x:c r="F802" t="str">
        <x:f>IF('Release Gates'!C776="PLANNING","PASS",IF('Release Gates'!C776="PHYSICAL","OPEN","BLOCKED"))</x:f>
        <x:v>OPEN</x:v>
      </x:c>
      <x:c r="G802" t="str">
        <x:v>equals</x:v>
      </x:c>
      <x:c r="H802" t="str">
        <x:f>IF(E802=F802,"PASS","FAIL")</x:f>
        <x:v>PASS</x:v>
      </x:c>
    </x:row>
    <x:row r="803">
      <x:c r="B803" t="str">
        <x:v>A-00771</x:v>
      </x:c>
      <x:c r="C803" t="str">
        <x:v>GATE</x:v>
      </x:c>
      <x:c r="D803" t="str">
        <x:v>release state mirrors governing ledger</x:v>
      </x:c>
      <x:c r="E803" t="str">
        <x:f>'Release Gates'!I777</x:f>
        <x:v>OPEN</x:v>
      </x:c>
      <x:c r="F803" t="str">
        <x:f>IF('Release Gates'!C777="PLANNING","PASS",IF('Release Gates'!C777="PHYSICAL","OPEN","BLOCKED"))</x:f>
        <x:v>OPEN</x:v>
      </x:c>
      <x:c r="G803" t="str">
        <x:v>equals</x:v>
      </x:c>
      <x:c r="H803" t="str">
        <x:f>IF(E803=F803,"PASS","FAIL")</x:f>
        <x:v>PASS</x:v>
      </x:c>
    </x:row>
    <x:row r="804">
      <x:c r="B804" t="str">
        <x:v>A-00772</x:v>
      </x:c>
      <x:c r="C804" t="str">
        <x:v>GATE</x:v>
      </x:c>
      <x:c r="D804" t="str">
        <x:v>release state mirrors governing ledger</x:v>
      </x:c>
      <x:c r="E804" t="str">
        <x:f>'Release Gates'!I778</x:f>
        <x:v>OPEN</x:v>
      </x:c>
      <x:c r="F804" t="str">
        <x:f>IF('Release Gates'!C778="PLANNING","PASS",IF('Release Gates'!C778="PHYSICAL","OPEN","BLOCKED"))</x:f>
        <x:v>OPEN</x:v>
      </x:c>
      <x:c r="G804" t="str">
        <x:v>equals</x:v>
      </x:c>
      <x:c r="H804" t="str">
        <x:f>IF(E804=F804,"PASS","FAIL")</x:f>
        <x:v>PASS</x:v>
      </x:c>
    </x:row>
    <x:row r="805">
      <x:c r="B805" t="str">
        <x:v>A-00773</x:v>
      </x:c>
      <x:c r="C805" t="str">
        <x:v>GATE</x:v>
      </x:c>
      <x:c r="D805" t="str">
        <x:v>release state mirrors governing ledger</x:v>
      </x:c>
      <x:c r="E805" t="str">
        <x:f>'Release Gates'!I779</x:f>
        <x:v>OPEN</x:v>
      </x:c>
      <x:c r="F805" t="str">
        <x:f>IF('Release Gates'!C779="PLANNING","PASS",IF('Release Gates'!C779="PHYSICAL","OPEN","BLOCKED"))</x:f>
        <x:v>OPEN</x:v>
      </x:c>
      <x:c r="G805" t="str">
        <x:v>equals</x:v>
      </x:c>
      <x:c r="H805" t="str">
        <x:f>IF(E805=F805,"PASS","FAIL")</x:f>
        <x:v>PASS</x:v>
      </x:c>
    </x:row>
    <x:row r="806">
      <x:c r="B806" t="str">
        <x:v>A-00774</x:v>
      </x:c>
      <x:c r="C806" t="str">
        <x:v>GATE</x:v>
      </x:c>
      <x:c r="D806" t="str">
        <x:v>release state mirrors governing ledger</x:v>
      </x:c>
      <x:c r="E806" t="str">
        <x:f>'Release Gates'!I780</x:f>
        <x:v>OPEN</x:v>
      </x:c>
      <x:c r="F806" t="str">
        <x:f>IF('Release Gates'!C780="PLANNING","PASS",IF('Release Gates'!C780="PHYSICAL","OPEN","BLOCKED"))</x:f>
        <x:v>OPEN</x:v>
      </x:c>
      <x:c r="G806" t="str">
        <x:v>equals</x:v>
      </x:c>
      <x:c r="H806" t="str">
        <x:f>IF(E806=F806,"PASS","FAIL")</x:f>
        <x:v>PASS</x:v>
      </x:c>
    </x:row>
    <x:row r="807">
      <x:c r="B807" t="str">
        <x:v>A-00775</x:v>
      </x:c>
      <x:c r="C807" t="str">
        <x:v>GATE</x:v>
      </x:c>
      <x:c r="D807" t="str">
        <x:v>release state mirrors governing ledger</x:v>
      </x:c>
      <x:c r="E807" t="str">
        <x:f>'Release Gates'!I781</x:f>
        <x:v>OPEN</x:v>
      </x:c>
      <x:c r="F807" t="str">
        <x:f>IF('Release Gates'!C781="PLANNING","PASS",IF('Release Gates'!C781="PHYSICAL","OPEN","BLOCKED"))</x:f>
        <x:v>OPEN</x:v>
      </x:c>
      <x:c r="G807" t="str">
        <x:v>equals</x:v>
      </x:c>
      <x:c r="H807" t="str">
        <x:f>IF(E807=F807,"PASS","FAIL")</x:f>
        <x:v>PASS</x:v>
      </x:c>
    </x:row>
    <x:row r="808">
      <x:c r="B808" t="str">
        <x:v>A-00776</x:v>
      </x:c>
      <x:c r="C808" t="str">
        <x:v>GATE</x:v>
      </x:c>
      <x:c r="D808" t="str">
        <x:v>release state mirrors governing ledger</x:v>
      </x:c>
      <x:c r="E808" t="str">
        <x:f>'Release Gates'!I782</x:f>
        <x:v>OPEN</x:v>
      </x:c>
      <x:c r="F808" t="str">
        <x:f>IF('Release Gates'!C782="PLANNING","PASS",IF('Release Gates'!C782="PHYSICAL","OPEN","BLOCKED"))</x:f>
        <x:v>OPEN</x:v>
      </x:c>
      <x:c r="G808" t="str">
        <x:v>equals</x:v>
      </x:c>
      <x:c r="H808" t="str">
        <x:f>IF(E808=F808,"PASS","FAIL")</x:f>
        <x:v>PASS</x:v>
      </x:c>
    </x:row>
    <x:row r="809">
      <x:c r="B809" t="str">
        <x:v>A-00777</x:v>
      </x:c>
      <x:c r="C809" t="str">
        <x:v>GATE</x:v>
      </x:c>
      <x:c r="D809" t="str">
        <x:v>release state mirrors governing ledger</x:v>
      </x:c>
      <x:c r="E809" t="str">
        <x:f>'Release Gates'!I783</x:f>
        <x:v>OPEN</x:v>
      </x:c>
      <x:c r="F809" t="str">
        <x:f>IF('Release Gates'!C783="PLANNING","PASS",IF('Release Gates'!C783="PHYSICAL","OPEN","BLOCKED"))</x:f>
        <x:v>OPEN</x:v>
      </x:c>
      <x:c r="G809" t="str">
        <x:v>equals</x:v>
      </x:c>
      <x:c r="H809" t="str">
        <x:f>IF(E809=F809,"PASS","FAIL")</x:f>
        <x:v>PASS</x:v>
      </x:c>
    </x:row>
    <x:row r="810">
      <x:c r="B810" t="str">
        <x:v>A-00778</x:v>
      </x:c>
      <x:c r="C810" t="str">
        <x:v>GATE</x:v>
      </x:c>
      <x:c r="D810" t="str">
        <x:v>release state mirrors governing ledger</x:v>
      </x:c>
      <x:c r="E810" t="str">
        <x:f>'Release Gates'!I784</x:f>
        <x:v>OPEN</x:v>
      </x:c>
      <x:c r="F810" t="str">
        <x:f>IF('Release Gates'!C784="PLANNING","PASS",IF('Release Gates'!C784="PHYSICAL","OPEN","BLOCKED"))</x:f>
        <x:v>OPEN</x:v>
      </x:c>
      <x:c r="G810" t="str">
        <x:v>equals</x:v>
      </x:c>
      <x:c r="H810" t="str">
        <x:f>IF(E810=F810,"PASS","FAIL")</x:f>
        <x:v>PASS</x:v>
      </x:c>
    </x:row>
    <x:row r="811">
      <x:c r="B811" t="str">
        <x:v>A-00779</x:v>
      </x:c>
      <x:c r="C811" t="str">
        <x:v>GATE</x:v>
      </x:c>
      <x:c r="D811" t="str">
        <x:v>release state mirrors governing ledger</x:v>
      </x:c>
      <x:c r="E811" t="str">
        <x:f>'Release Gates'!I785</x:f>
        <x:v>OPEN</x:v>
      </x:c>
      <x:c r="F811" t="str">
        <x:f>IF('Release Gates'!C785="PLANNING","PASS",IF('Release Gates'!C785="PHYSICAL","OPEN","BLOCKED"))</x:f>
        <x:v>OPEN</x:v>
      </x:c>
      <x:c r="G811" t="str">
        <x:v>equals</x:v>
      </x:c>
      <x:c r="H811" t="str">
        <x:f>IF(E811=F811,"PASS","FAIL")</x:f>
        <x:v>PASS</x:v>
      </x:c>
    </x:row>
    <x:row r="812">
      <x:c r="B812" t="str">
        <x:v>A-00780</x:v>
      </x:c>
      <x:c r="C812" t="str">
        <x:v>GATE</x:v>
      </x:c>
      <x:c r="D812" t="str">
        <x:v>release state mirrors governing ledger</x:v>
      </x:c>
      <x:c r="E812" t="str">
        <x:f>'Release Gates'!I786</x:f>
        <x:v>OPEN</x:v>
      </x:c>
      <x:c r="F812" t="str">
        <x:f>IF('Release Gates'!C786="PLANNING","PASS",IF('Release Gates'!C786="PHYSICAL","OPEN","BLOCKED"))</x:f>
        <x:v>OPEN</x:v>
      </x:c>
      <x:c r="G812" t="str">
        <x:v>equals</x:v>
      </x:c>
      <x:c r="H812" t="str">
        <x:f>IF(E812=F812,"PASS","FAIL")</x:f>
        <x:v>PASS</x:v>
      </x:c>
    </x:row>
    <x:row r="813">
      <x:c r="B813" t="str">
        <x:v>A-00781</x:v>
      </x:c>
      <x:c r="C813" t="str">
        <x:v>GATE</x:v>
      </x:c>
      <x:c r="D813" t="str">
        <x:v>release state mirrors governing ledger</x:v>
      </x:c>
      <x:c r="E813" t="str">
        <x:f>'Release Gates'!I787</x:f>
        <x:v>OPEN</x:v>
      </x:c>
      <x:c r="F813" t="str">
        <x:f>IF('Release Gates'!C787="PLANNING","PASS",IF('Release Gates'!C787="PHYSICAL","OPEN","BLOCKED"))</x:f>
        <x:v>OPEN</x:v>
      </x:c>
      <x:c r="G813" t="str">
        <x:v>equals</x:v>
      </x:c>
      <x:c r="H813" t="str">
        <x:f>IF(E813=F813,"PASS","FAIL")</x:f>
        <x:v>PASS</x:v>
      </x:c>
    </x:row>
    <x:row r="814">
      <x:c r="B814" t="str">
        <x:v>A-00782</x:v>
      </x:c>
      <x:c r="C814" t="str">
        <x:v>GATE</x:v>
      </x:c>
      <x:c r="D814" t="str">
        <x:v>release state mirrors governing ledger</x:v>
      </x:c>
      <x:c r="E814" t="str">
        <x:f>'Release Gates'!I788</x:f>
        <x:v>OPEN</x:v>
      </x:c>
      <x:c r="F814" t="str">
        <x:f>IF('Release Gates'!C788="PLANNING","PASS",IF('Release Gates'!C788="PHYSICAL","OPEN","BLOCKED"))</x:f>
        <x:v>OPEN</x:v>
      </x:c>
      <x:c r="G814" t="str">
        <x:v>equals</x:v>
      </x:c>
      <x:c r="H814" t="str">
        <x:f>IF(E814=F814,"PASS","FAIL")</x:f>
        <x:v>PASS</x:v>
      </x:c>
    </x:row>
    <x:row r="815">
      <x:c r="B815" t="str">
        <x:v>A-00783</x:v>
      </x:c>
      <x:c r="C815" t="str">
        <x:v>GATE</x:v>
      </x:c>
      <x:c r="D815" t="str">
        <x:v>release state mirrors governing ledger</x:v>
      </x:c>
      <x:c r="E815" t="str">
        <x:f>'Release Gates'!I789</x:f>
        <x:v>OPEN</x:v>
      </x:c>
      <x:c r="F815" t="str">
        <x:f>IF('Release Gates'!C789="PLANNING","PASS",IF('Release Gates'!C789="PHYSICAL","OPEN","BLOCKED"))</x:f>
        <x:v>OPEN</x:v>
      </x:c>
      <x:c r="G815" t="str">
        <x:v>equals</x:v>
      </x:c>
      <x:c r="H815" t="str">
        <x:f>IF(E815=F815,"PASS","FAIL")</x:f>
        <x:v>PASS</x:v>
      </x:c>
    </x:row>
    <x:row r="816">
      <x:c r="B816" t="str">
        <x:v>A-00784</x:v>
      </x:c>
      <x:c r="C816" t="str">
        <x:v>GATE</x:v>
      </x:c>
      <x:c r="D816" t="str">
        <x:v>release state mirrors governing ledger</x:v>
      </x:c>
      <x:c r="E816" t="str">
        <x:f>'Release Gates'!I790</x:f>
        <x:v>OPEN</x:v>
      </x:c>
      <x:c r="F816" t="str">
        <x:f>IF('Release Gates'!C790="PLANNING","PASS",IF('Release Gates'!C790="PHYSICAL","OPEN","BLOCKED"))</x:f>
        <x:v>OPEN</x:v>
      </x:c>
      <x:c r="G816" t="str">
        <x:v>equals</x:v>
      </x:c>
      <x:c r="H816" t="str">
        <x:f>IF(E816=F816,"PASS","FAIL")</x:f>
        <x:v>PASS</x:v>
      </x:c>
    </x:row>
    <x:row r="817">
      <x:c r="B817" t="str">
        <x:v>A-00785</x:v>
      </x:c>
      <x:c r="C817" t="str">
        <x:v>GATE</x:v>
      </x:c>
      <x:c r="D817" t="str">
        <x:v>release state mirrors governing ledger</x:v>
      </x:c>
      <x:c r="E817" t="str">
        <x:f>'Release Gates'!I791</x:f>
        <x:v>OPEN</x:v>
      </x:c>
      <x:c r="F817" t="str">
        <x:f>IF('Release Gates'!C791="PLANNING","PASS",IF('Release Gates'!C791="PHYSICAL","OPEN","BLOCKED"))</x:f>
        <x:v>OPEN</x:v>
      </x:c>
      <x:c r="G817" t="str">
        <x:v>equals</x:v>
      </x:c>
      <x:c r="H817" t="str">
        <x:f>IF(E817=F817,"PASS","FAIL")</x:f>
        <x:v>PASS</x:v>
      </x:c>
    </x:row>
    <x:row r="818">
      <x:c r="B818" t="str">
        <x:v>A-00786</x:v>
      </x:c>
      <x:c r="C818" t="str">
        <x:v>GATE</x:v>
      </x:c>
      <x:c r="D818" t="str">
        <x:v>release state mirrors governing ledger</x:v>
      </x:c>
      <x:c r="E818" t="str">
        <x:f>'Release Gates'!I792</x:f>
        <x:v>OPEN</x:v>
      </x:c>
      <x:c r="F818" t="str">
        <x:f>IF('Release Gates'!C792="PLANNING","PASS",IF('Release Gates'!C792="PHYSICAL","OPEN","BLOCKED"))</x:f>
        <x:v>OPEN</x:v>
      </x:c>
      <x:c r="G818" t="str">
        <x:v>equals</x:v>
      </x:c>
      <x:c r="H818" t="str">
        <x:f>IF(E818=F818,"PASS","FAIL")</x:f>
        <x:v>PASS</x:v>
      </x:c>
    </x:row>
    <x:row r="819">
      <x:c r="B819" t="str">
        <x:v>A-00787</x:v>
      </x:c>
      <x:c r="C819" t="str">
        <x:v>GATE</x:v>
      </x:c>
      <x:c r="D819" t="str">
        <x:v>release state mirrors governing ledger</x:v>
      </x:c>
      <x:c r="E819" t="str">
        <x:f>'Release Gates'!I793</x:f>
        <x:v>OPEN</x:v>
      </x:c>
      <x:c r="F819" t="str">
        <x:f>IF('Release Gates'!C793="PLANNING","PASS",IF('Release Gates'!C793="PHYSICAL","OPEN","BLOCKED"))</x:f>
        <x:v>OPEN</x:v>
      </x:c>
      <x:c r="G819" t="str">
        <x:v>equals</x:v>
      </x:c>
      <x:c r="H819" t="str">
        <x:f>IF(E819=F819,"PASS","FAIL")</x:f>
        <x:v>PASS</x:v>
      </x:c>
    </x:row>
    <x:row r="820">
      <x:c r="B820" t="str">
        <x:v>A-00788</x:v>
      </x:c>
      <x:c r="C820" t="str">
        <x:v>GATE</x:v>
      </x:c>
      <x:c r="D820" t="str">
        <x:v>release state mirrors governing ledger</x:v>
      </x:c>
      <x:c r="E820" t="str">
        <x:f>'Release Gates'!I794</x:f>
        <x:v>OPEN</x:v>
      </x:c>
      <x:c r="F820" t="str">
        <x:f>IF('Release Gates'!C794="PLANNING","PASS",IF('Release Gates'!C794="PHYSICAL","OPEN","BLOCKED"))</x:f>
        <x:v>OPEN</x:v>
      </x:c>
      <x:c r="G820" t="str">
        <x:v>equals</x:v>
      </x:c>
      <x:c r="H820" t="str">
        <x:f>IF(E820=F820,"PASS","FAIL")</x:f>
        <x:v>PASS</x:v>
      </x:c>
    </x:row>
    <x:row r="821">
      <x:c r="B821" t="str">
        <x:v>A-00789</x:v>
      </x:c>
      <x:c r="C821" t="str">
        <x:v>GATE</x:v>
      </x:c>
      <x:c r="D821" t="str">
        <x:v>release state mirrors governing ledger</x:v>
      </x:c>
      <x:c r="E821" t="str">
        <x:f>'Release Gates'!I795</x:f>
        <x:v>OPEN</x:v>
      </x:c>
      <x:c r="F821" t="str">
        <x:f>IF('Release Gates'!C795="PLANNING","PASS",IF('Release Gates'!C795="PHYSICAL","OPEN","BLOCKED"))</x:f>
        <x:v>OPEN</x:v>
      </x:c>
      <x:c r="G821" t="str">
        <x:v>equals</x:v>
      </x:c>
      <x:c r="H821" t="str">
        <x:f>IF(E821=F821,"PASS","FAIL")</x:f>
        <x:v>PASS</x:v>
      </x:c>
    </x:row>
    <x:row r="822">
      <x:c r="B822" t="str">
        <x:v>A-00790</x:v>
      </x:c>
      <x:c r="C822" t="str">
        <x:v>GATE</x:v>
      </x:c>
      <x:c r="D822" t="str">
        <x:v>release state mirrors governing ledger</x:v>
      </x:c>
      <x:c r="E822" t="str">
        <x:f>'Release Gates'!I796</x:f>
        <x:v>OPEN</x:v>
      </x:c>
      <x:c r="F822" t="str">
        <x:f>IF('Release Gates'!C796="PLANNING","PASS",IF('Release Gates'!C796="PHYSICAL","OPEN","BLOCKED"))</x:f>
        <x:v>OPEN</x:v>
      </x:c>
      <x:c r="G822" t="str">
        <x:v>equals</x:v>
      </x:c>
      <x:c r="H822" t="str">
        <x:f>IF(E822=F822,"PASS","FAIL")</x:f>
        <x:v>PASS</x:v>
      </x:c>
    </x:row>
    <x:row r="823">
      <x:c r="B823" t="str">
        <x:v>A-00791</x:v>
      </x:c>
      <x:c r="C823" t="str">
        <x:v>GATE</x:v>
      </x:c>
      <x:c r="D823" t="str">
        <x:v>release state mirrors governing ledger</x:v>
      </x:c>
      <x:c r="E823" t="str">
        <x:f>'Release Gates'!I797</x:f>
        <x:v>OPEN</x:v>
      </x:c>
      <x:c r="F823" t="str">
        <x:f>IF('Release Gates'!C797="PLANNING","PASS",IF('Release Gates'!C797="PHYSICAL","OPEN","BLOCKED"))</x:f>
        <x:v>OPEN</x:v>
      </x:c>
      <x:c r="G823" t="str">
        <x:v>equals</x:v>
      </x:c>
      <x:c r="H823" t="str">
        <x:f>IF(E823=F823,"PASS","FAIL")</x:f>
        <x:v>PASS</x:v>
      </x:c>
    </x:row>
    <x:row r="824">
      <x:c r="B824" t="str">
        <x:v>A-00792</x:v>
      </x:c>
      <x:c r="C824" t="str">
        <x:v>GATE</x:v>
      </x:c>
      <x:c r="D824" t="str">
        <x:v>release state mirrors governing ledger</x:v>
      </x:c>
      <x:c r="E824" t="str">
        <x:f>'Release Gates'!I798</x:f>
        <x:v>OPEN</x:v>
      </x:c>
      <x:c r="F824" t="str">
        <x:f>IF('Release Gates'!C798="PLANNING","PASS",IF('Release Gates'!C798="PHYSICAL","OPEN","BLOCKED"))</x:f>
        <x:v>OPEN</x:v>
      </x:c>
      <x:c r="G824" t="str">
        <x:v>equals</x:v>
      </x:c>
      <x:c r="H824" t="str">
        <x:f>IF(E824=F824,"PASS","FAIL")</x:f>
        <x:v>PASS</x:v>
      </x:c>
    </x:row>
    <x:row r="825">
      <x:c r="B825" t="str">
        <x:v>A-00793</x:v>
      </x:c>
      <x:c r="C825" t="str">
        <x:v>GATE</x:v>
      </x:c>
      <x:c r="D825" t="str">
        <x:v>release state mirrors governing ledger</x:v>
      </x:c>
      <x:c r="E825" t="str">
        <x:f>'Release Gates'!I799</x:f>
        <x:v>OPEN</x:v>
      </x:c>
      <x:c r="F825" t="str">
        <x:f>IF('Release Gates'!C799="PLANNING","PASS",IF('Release Gates'!C799="PHYSICAL","OPEN","BLOCKED"))</x:f>
        <x:v>OPEN</x:v>
      </x:c>
      <x:c r="G825" t="str">
        <x:v>equals</x:v>
      </x:c>
      <x:c r="H825" t="str">
        <x:f>IF(E825=F825,"PASS","FAIL")</x:f>
        <x:v>PASS</x:v>
      </x:c>
    </x:row>
    <x:row r="826">
      <x:c r="B826" t="str">
        <x:v>A-00794</x:v>
      </x:c>
      <x:c r="C826" t="str">
        <x:v>GATE</x:v>
      </x:c>
      <x:c r="D826" t="str">
        <x:v>release state mirrors governing ledger</x:v>
      </x:c>
      <x:c r="E826" t="str">
        <x:f>'Release Gates'!I800</x:f>
        <x:v>OPEN</x:v>
      </x:c>
      <x:c r="F826" t="str">
        <x:f>IF('Release Gates'!C800="PLANNING","PASS",IF('Release Gates'!C800="PHYSICAL","OPEN","BLOCKED"))</x:f>
        <x:v>OPEN</x:v>
      </x:c>
      <x:c r="G826" t="str">
        <x:v>equals</x:v>
      </x:c>
      <x:c r="H826" t="str">
        <x:f>IF(E826=F826,"PASS","FAIL")</x:f>
        <x:v>PASS</x:v>
      </x:c>
    </x:row>
    <x:row r="827">
      <x:c r="B827" t="str">
        <x:v>A-00795</x:v>
      </x:c>
      <x:c r="C827" t="str">
        <x:v>GATE</x:v>
      </x:c>
      <x:c r="D827" t="str">
        <x:v>release state mirrors governing ledger</x:v>
      </x:c>
      <x:c r="E827" t="str">
        <x:f>'Release Gates'!I801</x:f>
        <x:v>OPEN</x:v>
      </x:c>
      <x:c r="F827" t="str">
        <x:f>IF('Release Gates'!C801="PLANNING","PASS",IF('Release Gates'!C801="PHYSICAL","OPEN","BLOCKED"))</x:f>
        <x:v>OPEN</x:v>
      </x:c>
      <x:c r="G827" t="str">
        <x:v>equals</x:v>
      </x:c>
      <x:c r="H827" t="str">
        <x:f>IF(E827=F827,"PASS","FAIL")</x:f>
        <x:v>PASS</x:v>
      </x:c>
    </x:row>
    <x:row r="828">
      <x:c r="B828" t="str">
        <x:v>A-00796</x:v>
      </x:c>
      <x:c r="C828" t="str">
        <x:v>GATE</x:v>
      </x:c>
      <x:c r="D828" t="str">
        <x:v>release state mirrors governing ledger</x:v>
      </x:c>
      <x:c r="E828" t="str">
        <x:f>'Release Gates'!I802</x:f>
        <x:v>OPEN</x:v>
      </x:c>
      <x:c r="F828" t="str">
        <x:f>IF('Release Gates'!C802="PLANNING","PASS",IF('Release Gates'!C802="PHYSICAL","OPEN","BLOCKED"))</x:f>
        <x:v>OPEN</x:v>
      </x:c>
      <x:c r="G828" t="str">
        <x:v>equals</x:v>
      </x:c>
      <x:c r="H828" t="str">
        <x:f>IF(E828=F828,"PASS","FAIL")</x:f>
        <x:v>PASS</x:v>
      </x:c>
    </x:row>
    <x:row r="829">
      <x:c r="B829" t="str">
        <x:v>A-00797</x:v>
      </x:c>
      <x:c r="C829" t="str">
        <x:v>GATE</x:v>
      </x:c>
      <x:c r="D829" t="str">
        <x:v>release state mirrors governing ledger</x:v>
      </x:c>
      <x:c r="E829" t="str">
        <x:f>'Release Gates'!I803</x:f>
        <x:v>OPEN</x:v>
      </x:c>
      <x:c r="F829" t="str">
        <x:f>IF('Release Gates'!C803="PLANNING","PASS",IF('Release Gates'!C803="PHYSICAL","OPEN","BLOCKED"))</x:f>
        <x:v>OPEN</x:v>
      </x:c>
      <x:c r="G829" t="str">
        <x:v>equals</x:v>
      </x:c>
      <x:c r="H829" t="str">
        <x:f>IF(E829=F829,"PASS","FAIL")</x:f>
        <x:v>PASS</x:v>
      </x:c>
    </x:row>
    <x:row r="830">
      <x:c r="B830" t="str">
        <x:v>A-00798</x:v>
      </x:c>
      <x:c r="C830" t="str">
        <x:v>GATE</x:v>
      </x:c>
      <x:c r="D830" t="str">
        <x:v>release state mirrors governing ledger</x:v>
      </x:c>
      <x:c r="E830" t="str">
        <x:f>'Release Gates'!I804</x:f>
        <x:v>OPEN</x:v>
      </x:c>
      <x:c r="F830" t="str">
        <x:f>IF('Release Gates'!C804="PLANNING","PASS",IF('Release Gates'!C804="PHYSICAL","OPEN","BLOCKED"))</x:f>
        <x:v>OPEN</x:v>
      </x:c>
      <x:c r="G830" t="str">
        <x:v>equals</x:v>
      </x:c>
      <x:c r="H830" t="str">
        <x:f>IF(E830=F830,"PASS","FAIL")</x:f>
        <x:v>PASS</x:v>
      </x:c>
    </x:row>
    <x:row r="831">
      <x:c r="B831" t="str">
        <x:v>A-00799</x:v>
      </x:c>
      <x:c r="C831" t="str">
        <x:v>GATE</x:v>
      </x:c>
      <x:c r="D831" t="str">
        <x:v>release state mirrors governing ledger</x:v>
      </x:c>
      <x:c r="E831" t="str">
        <x:f>'Release Gates'!I805</x:f>
        <x:v>OPEN</x:v>
      </x:c>
      <x:c r="F831" t="str">
        <x:f>IF('Release Gates'!C805="PLANNING","PASS",IF('Release Gates'!C805="PHYSICAL","OPEN","BLOCKED"))</x:f>
        <x:v>OPEN</x:v>
      </x:c>
      <x:c r="G831" t="str">
        <x:v>equals</x:v>
      </x:c>
      <x:c r="H831" t="str">
        <x:f>IF(E831=F831,"PASS","FAIL")</x:f>
        <x:v>PASS</x:v>
      </x:c>
    </x:row>
    <x:row r="832">
      <x:c r="B832" t="str">
        <x:v>A-00800</x:v>
      </x:c>
      <x:c r="C832" t="str">
        <x:v>GATE</x:v>
      </x:c>
      <x:c r="D832" t="str">
        <x:v>release state mirrors governing ledger</x:v>
      </x:c>
      <x:c r="E832" t="str">
        <x:f>'Release Gates'!I806</x:f>
        <x:v>OPEN</x:v>
      </x:c>
      <x:c r="F832" t="str">
        <x:f>IF('Release Gates'!C806="PLANNING","PASS",IF('Release Gates'!C806="PHYSICAL","OPEN","BLOCKED"))</x:f>
        <x:v>OPEN</x:v>
      </x:c>
      <x:c r="G832" t="str">
        <x:v>equals</x:v>
      </x:c>
      <x:c r="H832" t="str">
        <x:f>IF(E832=F832,"PASS","FAIL")</x:f>
        <x:v>PASS</x:v>
      </x:c>
    </x:row>
    <x:row r="833">
      <x:c r="B833" t="str">
        <x:v>A-00801</x:v>
      </x:c>
      <x:c r="C833" t="str">
        <x:v>GATE</x:v>
      </x:c>
      <x:c r="D833" t="str">
        <x:v>release state mirrors governing ledger</x:v>
      </x:c>
      <x:c r="E833" t="str">
        <x:f>'Release Gates'!I807</x:f>
        <x:v>OPEN</x:v>
      </x:c>
      <x:c r="F833" t="str">
        <x:f>IF('Release Gates'!C807="PLANNING","PASS",IF('Release Gates'!C807="PHYSICAL","OPEN","BLOCKED"))</x:f>
        <x:v>OPEN</x:v>
      </x:c>
      <x:c r="G833" t="str">
        <x:v>equals</x:v>
      </x:c>
      <x:c r="H833" t="str">
        <x:f>IF(E833=F833,"PASS","FAIL")</x:f>
        <x:v>PASS</x:v>
      </x:c>
    </x:row>
    <x:row r="834">
      <x:c r="B834" t="str">
        <x:v>A-00802</x:v>
      </x:c>
      <x:c r="C834" t="str">
        <x:v>GATE</x:v>
      </x:c>
      <x:c r="D834" t="str">
        <x:v>release state mirrors governing ledger</x:v>
      </x:c>
      <x:c r="E834" t="str">
        <x:f>'Release Gates'!I808</x:f>
        <x:v>OPEN</x:v>
      </x:c>
      <x:c r="F834" t="str">
        <x:f>IF('Release Gates'!C808="PLANNING","PASS",IF('Release Gates'!C808="PHYSICAL","OPEN","BLOCKED"))</x:f>
        <x:v>OPEN</x:v>
      </x:c>
      <x:c r="G834" t="str">
        <x:v>equals</x:v>
      </x:c>
      <x:c r="H834" t="str">
        <x:f>IF(E834=F834,"PASS","FAIL")</x:f>
        <x:v>PASS</x:v>
      </x:c>
    </x:row>
    <x:row r="835">
      <x:c r="B835" t="str">
        <x:v>A-00803</x:v>
      </x:c>
      <x:c r="C835" t="str">
        <x:v>GATE</x:v>
      </x:c>
      <x:c r="D835" t="str">
        <x:v>release state mirrors governing ledger</x:v>
      </x:c>
      <x:c r="E835" t="str">
        <x:f>'Release Gates'!I809</x:f>
        <x:v>OPEN</x:v>
      </x:c>
      <x:c r="F835" t="str">
        <x:f>IF('Release Gates'!C809="PLANNING","PASS",IF('Release Gates'!C809="PHYSICAL","OPEN","BLOCKED"))</x:f>
        <x:v>OPEN</x:v>
      </x:c>
      <x:c r="G835" t="str">
        <x:v>equals</x:v>
      </x:c>
      <x:c r="H835" t="str">
        <x:f>IF(E835=F835,"PASS","FAIL")</x:f>
        <x:v>PASS</x:v>
      </x:c>
    </x:row>
    <x:row r="836">
      <x:c r="B836" t="str">
        <x:v>A-00804</x:v>
      </x:c>
      <x:c r="C836" t="str">
        <x:v>GATE</x:v>
      </x:c>
      <x:c r="D836" t="str">
        <x:v>release state mirrors governing ledger</x:v>
      </x:c>
      <x:c r="E836" t="str">
        <x:f>'Release Gates'!I810</x:f>
        <x:v>OPEN</x:v>
      </x:c>
      <x:c r="F836" t="str">
        <x:f>IF('Release Gates'!C810="PLANNING","PASS",IF('Release Gates'!C810="PHYSICAL","OPEN","BLOCKED"))</x:f>
        <x:v>OPEN</x:v>
      </x:c>
      <x:c r="G836" t="str">
        <x:v>equals</x:v>
      </x:c>
      <x:c r="H836" t="str">
        <x:f>IF(E836=F836,"PASS","FAIL")</x:f>
        <x:v>PASS</x:v>
      </x:c>
    </x:row>
    <x:row r="837">
      <x:c r="B837" t="str">
        <x:v>A-00805</x:v>
      </x:c>
      <x:c r="C837" t="str">
        <x:v>GATE</x:v>
      </x:c>
      <x:c r="D837" t="str">
        <x:v>release state mirrors governing ledger</x:v>
      </x:c>
      <x:c r="E837" t="str">
        <x:f>'Release Gates'!I811</x:f>
        <x:v>OPEN</x:v>
      </x:c>
      <x:c r="F837" t="str">
        <x:f>IF('Release Gates'!C811="PLANNING","PASS",IF('Release Gates'!C811="PHYSICAL","OPEN","BLOCKED"))</x:f>
        <x:v>OPEN</x:v>
      </x:c>
      <x:c r="G837" t="str">
        <x:v>equals</x:v>
      </x:c>
      <x:c r="H837" t="str">
        <x:f>IF(E837=F837,"PASS","FAIL")</x:f>
        <x:v>PASS</x:v>
      </x:c>
    </x:row>
    <x:row r="838">
      <x:c r="B838" t="str">
        <x:v>A-00806</x:v>
      </x:c>
      <x:c r="C838" t="str">
        <x:v>GATE</x:v>
      </x:c>
      <x:c r="D838" t="str">
        <x:v>release state mirrors governing ledger</x:v>
      </x:c>
      <x:c r="E838" t="str">
        <x:f>'Release Gates'!I812</x:f>
        <x:v>OPEN</x:v>
      </x:c>
      <x:c r="F838" t="str">
        <x:f>IF('Release Gates'!C812="PLANNING","PASS",IF('Release Gates'!C812="PHYSICAL","OPEN","BLOCKED"))</x:f>
        <x:v>OPEN</x:v>
      </x:c>
      <x:c r="G838" t="str">
        <x:v>equals</x:v>
      </x:c>
      <x:c r="H838" t="str">
        <x:f>IF(E838=F838,"PASS","FAIL")</x:f>
        <x:v>PASS</x:v>
      </x:c>
    </x:row>
    <x:row r="839">
      <x:c r="B839" t="str">
        <x:v>A-00807</x:v>
      </x:c>
      <x:c r="C839" t="str">
        <x:v>GATE</x:v>
      </x:c>
      <x:c r="D839" t="str">
        <x:v>release state mirrors governing ledger</x:v>
      </x:c>
      <x:c r="E839" t="str">
        <x:f>'Release Gates'!I813</x:f>
        <x:v>OPEN</x:v>
      </x:c>
      <x:c r="F839" t="str">
        <x:f>IF('Release Gates'!C813="PLANNING","PASS",IF('Release Gates'!C813="PHYSICAL","OPEN","BLOCKED"))</x:f>
        <x:v>OPEN</x:v>
      </x:c>
      <x:c r="G839" t="str">
        <x:v>equals</x:v>
      </x:c>
      <x:c r="H839" t="str">
        <x:f>IF(E839=F839,"PASS","FAIL")</x:f>
        <x:v>PASS</x:v>
      </x:c>
    </x:row>
    <x:row r="840">
      <x:c r="B840" t="str">
        <x:v>A-00808</x:v>
      </x:c>
      <x:c r="C840" t="str">
        <x:v>GATE</x:v>
      </x:c>
      <x:c r="D840" t="str">
        <x:v>release state mirrors governing ledger</x:v>
      </x:c>
      <x:c r="E840" t="str">
        <x:f>'Release Gates'!I814</x:f>
        <x:v>OPEN</x:v>
      </x:c>
      <x:c r="F840" t="str">
        <x:f>IF('Release Gates'!C814="PLANNING","PASS",IF('Release Gates'!C814="PHYSICAL","OPEN","BLOCKED"))</x:f>
        <x:v>OPEN</x:v>
      </x:c>
      <x:c r="G840" t="str">
        <x:v>equals</x:v>
      </x:c>
      <x:c r="H840" t="str">
        <x:f>IF(E840=F840,"PASS","FAIL")</x:f>
        <x:v>PASS</x:v>
      </x:c>
    </x:row>
    <x:row r="841">
      <x:c r="B841" t="str">
        <x:v>A-00809</x:v>
      </x:c>
      <x:c r="C841" t="str">
        <x:v>GATE</x:v>
      </x:c>
      <x:c r="D841" t="str">
        <x:v>release state mirrors governing ledger</x:v>
      </x:c>
      <x:c r="E841" t="str">
        <x:f>'Release Gates'!I815</x:f>
        <x:v>OPEN</x:v>
      </x:c>
      <x:c r="F841" t="str">
        <x:f>IF('Release Gates'!C815="PLANNING","PASS",IF('Release Gates'!C815="PHYSICAL","OPEN","BLOCKED"))</x:f>
        <x:v>OPEN</x:v>
      </x:c>
      <x:c r="G841" t="str">
        <x:v>equals</x:v>
      </x:c>
      <x:c r="H841" t="str">
        <x:f>IF(E841=F841,"PASS","FAIL")</x:f>
        <x:v>PASS</x:v>
      </x:c>
    </x:row>
    <x:row r="842">
      <x:c r="B842" t="str">
        <x:v>A-00810</x:v>
      </x:c>
      <x:c r="C842" t="str">
        <x:v>GATE</x:v>
      </x:c>
      <x:c r="D842" t="str">
        <x:v>release state mirrors governing ledger</x:v>
      </x:c>
      <x:c r="E842" t="str">
        <x:f>'Release Gates'!I816</x:f>
        <x:v>OPEN</x:v>
      </x:c>
      <x:c r="F842" t="str">
        <x:f>IF('Release Gates'!C816="PLANNING","PASS",IF('Release Gates'!C816="PHYSICAL","OPEN","BLOCKED"))</x:f>
        <x:v>OPEN</x:v>
      </x:c>
      <x:c r="G842" t="str">
        <x:v>equals</x:v>
      </x:c>
      <x:c r="H842" t="str">
        <x:f>IF(E842=F842,"PASS","FAIL")</x:f>
        <x:v>PASS</x:v>
      </x:c>
    </x:row>
    <x:row r="843">
      <x:c r="B843" t="str">
        <x:v>A-00811</x:v>
      </x:c>
      <x:c r="C843" t="str">
        <x:v>GATE</x:v>
      </x:c>
      <x:c r="D843" t="str">
        <x:v>release state mirrors governing ledger</x:v>
      </x:c>
      <x:c r="E843" t="str">
        <x:f>'Release Gates'!I817</x:f>
        <x:v>OPEN</x:v>
      </x:c>
      <x:c r="F843" t="str">
        <x:f>IF('Release Gates'!C817="PLANNING","PASS",IF('Release Gates'!C817="PHYSICAL","OPEN","BLOCKED"))</x:f>
        <x:v>OPEN</x:v>
      </x:c>
      <x:c r="G843" t="str">
        <x:v>equals</x:v>
      </x:c>
      <x:c r="H843" t="str">
        <x:f>IF(E843=F843,"PASS","FAIL")</x:f>
        <x:v>PASS</x:v>
      </x:c>
    </x:row>
    <x:row r="844">
      <x:c r="B844" t="str">
        <x:v>A-00812</x:v>
      </x:c>
      <x:c r="C844" t="str">
        <x:v>GATE</x:v>
      </x:c>
      <x:c r="D844" t="str">
        <x:v>release state mirrors governing ledger</x:v>
      </x:c>
      <x:c r="E844" t="str">
        <x:f>'Release Gates'!I818</x:f>
        <x:v>OPEN</x:v>
      </x:c>
      <x:c r="F844" t="str">
        <x:f>IF('Release Gates'!C818="PLANNING","PASS",IF('Release Gates'!C818="PHYSICAL","OPEN","BLOCKED"))</x:f>
        <x:v>OPEN</x:v>
      </x:c>
      <x:c r="G844" t="str">
        <x:v>equals</x:v>
      </x:c>
      <x:c r="H844" t="str">
        <x:f>IF(E844=F844,"PASS","FAIL")</x:f>
        <x:v>PASS</x:v>
      </x:c>
    </x:row>
    <x:row r="845">
      <x:c r="B845" t="str">
        <x:v>A-00813</x:v>
      </x:c>
      <x:c r="C845" t="str">
        <x:v>GATE</x:v>
      </x:c>
      <x:c r="D845" t="str">
        <x:v>release state mirrors governing ledger</x:v>
      </x:c>
      <x:c r="E845" t="str">
        <x:f>'Release Gates'!I819</x:f>
        <x:v>OPEN</x:v>
      </x:c>
      <x:c r="F845" t="str">
        <x:f>IF('Release Gates'!C819="PLANNING","PASS",IF('Release Gates'!C819="PHYSICAL","OPEN","BLOCKED"))</x:f>
        <x:v>OPEN</x:v>
      </x:c>
      <x:c r="G845" t="str">
        <x:v>equals</x:v>
      </x:c>
      <x:c r="H845" t="str">
        <x:f>IF(E845=F845,"PASS","FAIL")</x:f>
        <x:v>PASS</x:v>
      </x:c>
    </x:row>
    <x:row r="846">
      <x:c r="B846" t="str">
        <x:v>A-00814</x:v>
      </x:c>
      <x:c r="C846" t="str">
        <x:v>GATE</x:v>
      </x:c>
      <x:c r="D846" t="str">
        <x:v>release state mirrors governing ledger</x:v>
      </x:c>
      <x:c r="E846" t="str">
        <x:f>'Release Gates'!I820</x:f>
        <x:v>OPEN</x:v>
      </x:c>
      <x:c r="F846" t="str">
        <x:f>IF('Release Gates'!C820="PLANNING","PASS",IF('Release Gates'!C820="PHYSICAL","OPEN","BLOCKED"))</x:f>
        <x:v>OPEN</x:v>
      </x:c>
      <x:c r="G846" t="str">
        <x:v>equals</x:v>
      </x:c>
      <x:c r="H846" t="str">
        <x:f>IF(E846=F846,"PASS","FAIL")</x:f>
        <x:v>PASS</x:v>
      </x:c>
    </x:row>
    <x:row r="847">
      <x:c r="B847" t="str">
        <x:v>A-00815</x:v>
      </x:c>
      <x:c r="C847" t="str">
        <x:v>GATE</x:v>
      </x:c>
      <x:c r="D847" t="str">
        <x:v>release state mirrors governing ledger</x:v>
      </x:c>
      <x:c r="E847" t="str">
        <x:f>'Release Gates'!I821</x:f>
        <x:v>OPEN</x:v>
      </x:c>
      <x:c r="F847" t="str">
        <x:f>IF('Release Gates'!C821="PLANNING","PASS",IF('Release Gates'!C821="PHYSICAL","OPEN","BLOCKED"))</x:f>
        <x:v>OPEN</x:v>
      </x:c>
      <x:c r="G847" t="str">
        <x:v>equals</x:v>
      </x:c>
      <x:c r="H847" t="str">
        <x:f>IF(E847=F847,"PASS","FAIL")</x:f>
        <x:v>PASS</x:v>
      </x:c>
    </x:row>
    <x:row r="848">
      <x:c r="B848" t="str">
        <x:v>A-00816</x:v>
      </x:c>
      <x:c r="C848" t="str">
        <x:v>GATE</x:v>
      </x:c>
      <x:c r="D848" t="str">
        <x:v>release state mirrors governing ledger</x:v>
      </x:c>
      <x:c r="E848" t="str">
        <x:f>'Release Gates'!I822</x:f>
        <x:v>OPEN</x:v>
      </x:c>
      <x:c r="F848" t="str">
        <x:f>IF('Release Gates'!C822="PLANNING","PASS",IF('Release Gates'!C822="PHYSICAL","OPEN","BLOCKED"))</x:f>
        <x:v>OPEN</x:v>
      </x:c>
      <x:c r="G848" t="str">
        <x:v>equals</x:v>
      </x:c>
      <x:c r="H848" t="str">
        <x:f>IF(E848=F848,"PASS","FAIL")</x:f>
        <x:v>PASS</x:v>
      </x:c>
    </x:row>
    <x:row r="849">
      <x:c r="B849" t="str">
        <x:v>A-00817</x:v>
      </x:c>
      <x:c r="C849" t="str">
        <x:v>GATE</x:v>
      </x:c>
      <x:c r="D849" t="str">
        <x:v>release state mirrors governing ledger</x:v>
      </x:c>
      <x:c r="E849" t="str">
        <x:f>'Release Gates'!I823</x:f>
        <x:v>OPEN</x:v>
      </x:c>
      <x:c r="F849" t="str">
        <x:f>IF('Release Gates'!C823="PLANNING","PASS",IF('Release Gates'!C823="PHYSICAL","OPEN","BLOCKED"))</x:f>
        <x:v>OPEN</x:v>
      </x:c>
      <x:c r="G849" t="str">
        <x:v>equals</x:v>
      </x:c>
      <x:c r="H849" t="str">
        <x:f>IF(E849=F849,"PASS","FAIL")</x:f>
        <x:v>PASS</x:v>
      </x:c>
    </x:row>
    <x:row r="850">
      <x:c r="B850" t="str">
        <x:v>A-00818</x:v>
      </x:c>
      <x:c r="C850" t="str">
        <x:v>GATE</x:v>
      </x:c>
      <x:c r="D850" t="str">
        <x:v>release state mirrors governing ledger</x:v>
      </x:c>
      <x:c r="E850" t="str">
        <x:f>'Release Gates'!I824</x:f>
        <x:v>OPEN</x:v>
      </x:c>
      <x:c r="F850" t="str">
        <x:f>IF('Release Gates'!C824="PLANNING","PASS",IF('Release Gates'!C824="PHYSICAL","OPEN","BLOCKED"))</x:f>
        <x:v>OPEN</x:v>
      </x:c>
      <x:c r="G850" t="str">
        <x:v>equals</x:v>
      </x:c>
      <x:c r="H850" t="str">
        <x:f>IF(E850=F850,"PASS","FAIL")</x:f>
        <x:v>PASS</x:v>
      </x:c>
    </x:row>
    <x:row r="851">
      <x:c r="B851" t="str">
        <x:v>A-00819</x:v>
      </x:c>
      <x:c r="C851" t="str">
        <x:v>GATE</x:v>
      </x:c>
      <x:c r="D851" t="str">
        <x:v>release state mirrors governing ledger</x:v>
      </x:c>
      <x:c r="E851" t="str">
        <x:f>'Release Gates'!I825</x:f>
        <x:v>OPEN</x:v>
      </x:c>
      <x:c r="F851" t="str">
        <x:f>IF('Release Gates'!C825="PLANNING","PASS",IF('Release Gates'!C825="PHYSICAL","OPEN","BLOCKED"))</x:f>
        <x:v>OPEN</x:v>
      </x:c>
      <x:c r="G851" t="str">
        <x:v>equals</x:v>
      </x:c>
      <x:c r="H851" t="str">
        <x:f>IF(E851=F851,"PASS","FAIL")</x:f>
        <x:v>PASS</x:v>
      </x:c>
    </x:row>
    <x:row r="852">
      <x:c r="B852" t="str">
        <x:v>A-00820</x:v>
      </x:c>
      <x:c r="C852" t="str">
        <x:v>GATE</x:v>
      </x:c>
      <x:c r="D852" t="str">
        <x:v>release state mirrors governing ledger</x:v>
      </x:c>
      <x:c r="E852" t="str">
        <x:f>'Release Gates'!I826</x:f>
        <x:v>OPEN</x:v>
      </x:c>
      <x:c r="F852" t="str">
        <x:f>IF('Release Gates'!C826="PLANNING","PASS",IF('Release Gates'!C826="PHYSICAL","OPEN","BLOCKED"))</x:f>
        <x:v>OPEN</x:v>
      </x:c>
      <x:c r="G852" t="str">
        <x:v>equals</x:v>
      </x:c>
      <x:c r="H852" t="str">
        <x:f>IF(E852=F852,"PASS","FAIL")</x:f>
        <x:v>PASS</x:v>
      </x:c>
    </x:row>
    <x:row r="853">
      <x:c r="B853" t="str">
        <x:v>A-00821</x:v>
      </x:c>
      <x:c r="C853" t="str">
        <x:v>GATE</x:v>
      </x:c>
      <x:c r="D853" t="str">
        <x:v>release state mirrors governing ledger</x:v>
      </x:c>
      <x:c r="E853" t="str">
        <x:f>'Release Gates'!I827</x:f>
        <x:v>OPEN</x:v>
      </x:c>
      <x:c r="F853" t="str">
        <x:f>IF('Release Gates'!C827="PLANNING","PASS",IF('Release Gates'!C827="PHYSICAL","OPEN","BLOCKED"))</x:f>
        <x:v>OPEN</x:v>
      </x:c>
      <x:c r="G853" t="str">
        <x:v>equals</x:v>
      </x:c>
      <x:c r="H853" t="str">
        <x:f>IF(E853=F853,"PASS","FAIL")</x:f>
        <x:v>PASS</x:v>
      </x:c>
    </x:row>
    <x:row r="854">
      <x:c r="B854" t="str">
        <x:v>A-00822</x:v>
      </x:c>
      <x:c r="C854" t="str">
        <x:v>GATE</x:v>
      </x:c>
      <x:c r="D854" t="str">
        <x:v>release state mirrors governing ledger</x:v>
      </x:c>
      <x:c r="E854" t="str">
        <x:f>'Release Gates'!I828</x:f>
        <x:v>OPEN</x:v>
      </x:c>
      <x:c r="F854" t="str">
        <x:f>IF('Release Gates'!C828="PLANNING","PASS",IF('Release Gates'!C828="PHYSICAL","OPEN","BLOCKED"))</x:f>
        <x:v>OPEN</x:v>
      </x:c>
      <x:c r="G854" t="str">
        <x:v>equals</x:v>
      </x:c>
      <x:c r="H854" t="str">
        <x:f>IF(E854=F854,"PASS","FAIL")</x:f>
        <x:v>PASS</x:v>
      </x:c>
    </x:row>
    <x:row r="855">
      <x:c r="B855" t="str">
        <x:v>A-00823</x:v>
      </x:c>
      <x:c r="C855" t="str">
        <x:v>GATE</x:v>
      </x:c>
      <x:c r="D855" t="str">
        <x:v>release state mirrors governing ledger</x:v>
      </x:c>
      <x:c r="E855" t="str">
        <x:f>'Release Gates'!I829</x:f>
        <x:v>OPEN</x:v>
      </x:c>
      <x:c r="F855" t="str">
        <x:f>IF('Release Gates'!C829="PLANNING","PASS",IF('Release Gates'!C829="PHYSICAL","OPEN","BLOCKED"))</x:f>
        <x:v>OPEN</x:v>
      </x:c>
      <x:c r="G855" t="str">
        <x:v>equals</x:v>
      </x:c>
      <x:c r="H855" t="str">
        <x:f>IF(E855=F855,"PASS","FAIL")</x:f>
        <x:v>PASS</x:v>
      </x:c>
    </x:row>
    <x:row r="856">
      <x:c r="B856" t="str">
        <x:v>A-00824</x:v>
      </x:c>
      <x:c r="C856" t="str">
        <x:v>GATE</x:v>
      </x:c>
      <x:c r="D856" t="str">
        <x:v>release state mirrors governing ledger</x:v>
      </x:c>
      <x:c r="E856" t="str">
        <x:f>'Release Gates'!I830</x:f>
        <x:v>OPEN</x:v>
      </x:c>
      <x:c r="F856" t="str">
        <x:f>IF('Release Gates'!C830="PLANNING","PASS",IF('Release Gates'!C830="PHYSICAL","OPEN","BLOCKED"))</x:f>
        <x:v>OPEN</x:v>
      </x:c>
      <x:c r="G856" t="str">
        <x:v>equals</x:v>
      </x:c>
      <x:c r="H856" t="str">
        <x:f>IF(E856=F856,"PASS","FAIL")</x:f>
        <x:v>PASS</x:v>
      </x:c>
    </x:row>
    <x:row r="857">
      <x:c r="B857" t="str">
        <x:v>A-00825</x:v>
      </x:c>
      <x:c r="C857" t="str">
        <x:v>GATE</x:v>
      </x:c>
      <x:c r="D857" t="str">
        <x:v>release state mirrors governing ledger</x:v>
      </x:c>
      <x:c r="E857" t="str">
        <x:f>'Release Gates'!I831</x:f>
        <x:v>OPEN</x:v>
      </x:c>
      <x:c r="F857" t="str">
        <x:f>IF('Release Gates'!C831="PLANNING","PASS",IF('Release Gates'!C831="PHYSICAL","OPEN","BLOCKED"))</x:f>
        <x:v>OPEN</x:v>
      </x:c>
      <x:c r="G857" t="str">
        <x:v>equals</x:v>
      </x:c>
      <x:c r="H857" t="str">
        <x:f>IF(E857=F857,"PASS","FAIL")</x:f>
        <x:v>PASS</x:v>
      </x:c>
    </x:row>
    <x:row r="858">
      <x:c r="B858" t="str">
        <x:v>A-00826</x:v>
      </x:c>
      <x:c r="C858" t="str">
        <x:v>GATE</x:v>
      </x:c>
      <x:c r="D858" t="str">
        <x:v>release state mirrors governing ledger</x:v>
      </x:c>
      <x:c r="E858" t="str">
        <x:f>'Release Gates'!I832</x:f>
        <x:v>OPEN</x:v>
      </x:c>
      <x:c r="F858" t="str">
        <x:f>IF('Release Gates'!C832="PLANNING","PASS",IF('Release Gates'!C832="PHYSICAL","OPEN","BLOCKED"))</x:f>
        <x:v>OPEN</x:v>
      </x:c>
      <x:c r="G858" t="str">
        <x:v>equals</x:v>
      </x:c>
      <x:c r="H858" t="str">
        <x:f>IF(E858=F858,"PASS","FAIL")</x:f>
        <x:v>PASS</x:v>
      </x:c>
    </x:row>
    <x:row r="859">
      <x:c r="B859" t="str">
        <x:v>A-00827</x:v>
      </x:c>
      <x:c r="C859" t="str">
        <x:v>GATE</x:v>
      </x:c>
      <x:c r="D859" t="str">
        <x:v>release state mirrors governing ledger</x:v>
      </x:c>
      <x:c r="E859" t="str">
        <x:f>'Release Gates'!I833</x:f>
        <x:v>OPEN</x:v>
      </x:c>
      <x:c r="F859" t="str">
        <x:f>IF('Release Gates'!C833="PLANNING","PASS",IF('Release Gates'!C833="PHYSICAL","OPEN","BLOCKED"))</x:f>
        <x:v>OPEN</x:v>
      </x:c>
      <x:c r="G859" t="str">
        <x:v>equals</x:v>
      </x:c>
      <x:c r="H859" t="str">
        <x:f>IF(E859=F859,"PASS","FAIL")</x:f>
        <x:v>PASS</x:v>
      </x:c>
    </x:row>
    <x:row r="860">
      <x:c r="B860" t="str">
        <x:v>A-00828</x:v>
      </x:c>
      <x:c r="C860" t="str">
        <x:v>GATE</x:v>
      </x:c>
      <x:c r="D860" t="str">
        <x:v>release state mirrors governing ledger</x:v>
      </x:c>
      <x:c r="E860" t="str">
        <x:f>'Release Gates'!I834</x:f>
        <x:v>OPEN</x:v>
      </x:c>
      <x:c r="F860" t="str">
        <x:f>IF('Release Gates'!C834="PLANNING","PASS",IF('Release Gates'!C834="PHYSICAL","OPEN","BLOCKED"))</x:f>
        <x:v>OPEN</x:v>
      </x:c>
      <x:c r="G860" t="str">
        <x:v>equals</x:v>
      </x:c>
      <x:c r="H860" t="str">
        <x:f>IF(E860=F860,"PASS","FAIL")</x:f>
        <x:v>PASS</x:v>
      </x:c>
    </x:row>
    <x:row r="861">
      <x:c r="B861" t="str">
        <x:v>A-00829</x:v>
      </x:c>
      <x:c r="C861" t="str">
        <x:v>GATE</x:v>
      </x:c>
      <x:c r="D861" t="str">
        <x:v>release state mirrors governing ledger</x:v>
      </x:c>
      <x:c r="E861" t="str">
        <x:f>'Release Gates'!I835</x:f>
        <x:v>OPEN</x:v>
      </x:c>
      <x:c r="F861" t="str">
        <x:f>IF('Release Gates'!C835="PLANNING","PASS",IF('Release Gates'!C835="PHYSICAL","OPEN","BLOCKED"))</x:f>
        <x:v>OPEN</x:v>
      </x:c>
      <x:c r="G861" t="str">
        <x:v>equals</x:v>
      </x:c>
      <x:c r="H861" t="str">
        <x:f>IF(E861=F861,"PASS","FAIL")</x:f>
        <x:v>PASS</x:v>
      </x:c>
    </x:row>
    <x:row r="862">
      <x:c r="B862" t="str">
        <x:v>A-00830</x:v>
      </x:c>
      <x:c r="C862" t="str">
        <x:v>GATE</x:v>
      </x:c>
      <x:c r="D862" t="str">
        <x:v>release state mirrors governing ledger</x:v>
      </x:c>
      <x:c r="E862" t="str">
        <x:f>'Release Gates'!I836</x:f>
        <x:v>OPEN</x:v>
      </x:c>
      <x:c r="F862" t="str">
        <x:f>IF('Release Gates'!C836="PLANNING","PASS",IF('Release Gates'!C836="PHYSICAL","OPEN","BLOCKED"))</x:f>
        <x:v>OPEN</x:v>
      </x:c>
      <x:c r="G862" t="str">
        <x:v>equals</x:v>
      </x:c>
      <x:c r="H862" t="str">
        <x:f>IF(E862=F862,"PASS","FAIL")</x:f>
        <x:v>PASS</x:v>
      </x:c>
    </x:row>
    <x:row r="863">
      <x:c r="B863" t="str">
        <x:v>A-00831</x:v>
      </x:c>
      <x:c r="C863" t="str">
        <x:v>GATE</x:v>
      </x:c>
      <x:c r="D863" t="str">
        <x:v>release state mirrors governing ledger</x:v>
      </x:c>
      <x:c r="E863" t="str">
        <x:f>'Release Gates'!I837</x:f>
        <x:v>OPEN</x:v>
      </x:c>
      <x:c r="F863" t="str">
        <x:f>IF('Release Gates'!C837="PLANNING","PASS",IF('Release Gates'!C837="PHYSICAL","OPEN","BLOCKED"))</x:f>
        <x:v>OPEN</x:v>
      </x:c>
      <x:c r="G863" t="str">
        <x:v>equals</x:v>
      </x:c>
      <x:c r="H863" t="str">
        <x:f>IF(E863=F863,"PASS","FAIL")</x:f>
        <x:v>PASS</x:v>
      </x:c>
    </x:row>
    <x:row r="864">
      <x:c r="B864" t="str">
        <x:v>A-00832</x:v>
      </x:c>
      <x:c r="C864" t="str">
        <x:v>GATE</x:v>
      </x:c>
      <x:c r="D864" t="str">
        <x:v>release state mirrors governing ledger</x:v>
      </x:c>
      <x:c r="E864" t="str">
        <x:f>'Release Gates'!I838</x:f>
        <x:v>OPEN</x:v>
      </x:c>
      <x:c r="F864" t="str">
        <x:f>IF('Release Gates'!C838="PLANNING","PASS",IF('Release Gates'!C838="PHYSICAL","OPEN","BLOCKED"))</x:f>
        <x:v>OPEN</x:v>
      </x:c>
      <x:c r="G864" t="str">
        <x:v>equals</x:v>
      </x:c>
      <x:c r="H864" t="str">
        <x:f>IF(E864=F864,"PASS","FAIL")</x:f>
        <x:v>PASS</x:v>
      </x:c>
    </x:row>
    <x:row r="865">
      <x:c r="B865" t="str">
        <x:v>A-00833</x:v>
      </x:c>
      <x:c r="C865" t="str">
        <x:v>GATE</x:v>
      </x:c>
      <x:c r="D865" t="str">
        <x:v>release state mirrors governing ledger</x:v>
      </x:c>
      <x:c r="E865" t="str">
        <x:f>'Release Gates'!I839</x:f>
        <x:v>OPEN</x:v>
      </x:c>
      <x:c r="F865" t="str">
        <x:f>IF('Release Gates'!C839="PLANNING","PASS",IF('Release Gates'!C839="PHYSICAL","OPEN","BLOCKED"))</x:f>
        <x:v>OPEN</x:v>
      </x:c>
      <x:c r="G865" t="str">
        <x:v>equals</x:v>
      </x:c>
      <x:c r="H865" t="str">
        <x:f>IF(E865=F865,"PASS","FAIL")</x:f>
        <x:v>PASS</x:v>
      </x:c>
    </x:row>
    <x:row r="866">
      <x:c r="B866" t="str">
        <x:v>A-00834</x:v>
      </x:c>
      <x:c r="C866" t="str">
        <x:v>GATE</x:v>
      </x:c>
      <x:c r="D866" t="str">
        <x:v>release state mirrors governing ledger</x:v>
      </x:c>
      <x:c r="E866" t="str">
        <x:f>'Release Gates'!I840</x:f>
        <x:v>OPEN</x:v>
      </x:c>
      <x:c r="F866" t="str">
        <x:f>IF('Release Gates'!C840="PLANNING","PASS",IF('Release Gates'!C840="PHYSICAL","OPEN","BLOCKED"))</x:f>
        <x:v>OPEN</x:v>
      </x:c>
      <x:c r="G866" t="str">
        <x:v>equals</x:v>
      </x:c>
      <x:c r="H866" t="str">
        <x:f>IF(E866=F866,"PASS","FAIL")</x:f>
        <x:v>PASS</x:v>
      </x:c>
    </x:row>
    <x:row r="867">
      <x:c r="B867" t="str">
        <x:v>A-00835</x:v>
      </x:c>
      <x:c r="C867" t="str">
        <x:v>GATE</x:v>
      </x:c>
      <x:c r="D867" t="str">
        <x:v>release state mirrors governing ledger</x:v>
      </x:c>
      <x:c r="E867" t="str">
        <x:f>'Release Gates'!I841</x:f>
        <x:v>OPEN</x:v>
      </x:c>
      <x:c r="F867" t="str">
        <x:f>IF('Release Gates'!C841="PLANNING","PASS",IF('Release Gates'!C841="PHYSICAL","OPEN","BLOCKED"))</x:f>
        <x:v>OPEN</x:v>
      </x:c>
      <x:c r="G867" t="str">
        <x:v>equals</x:v>
      </x:c>
      <x:c r="H867" t="str">
        <x:f>IF(E867=F867,"PASS","FAIL")</x:f>
        <x:v>PASS</x:v>
      </x:c>
    </x:row>
    <x:row r="868">
      <x:c r="B868" t="str">
        <x:v>A-00836</x:v>
      </x:c>
      <x:c r="C868" t="str">
        <x:v>GATE</x:v>
      </x:c>
      <x:c r="D868" t="str">
        <x:v>release state mirrors governing ledger</x:v>
      </x:c>
      <x:c r="E868" t="str">
        <x:f>'Release Gates'!I842</x:f>
        <x:v>OPEN</x:v>
      </x:c>
      <x:c r="F868" t="str">
        <x:f>IF('Release Gates'!C842="PLANNING","PASS",IF('Release Gates'!C842="PHYSICAL","OPEN","BLOCKED"))</x:f>
        <x:v>OPEN</x:v>
      </x:c>
      <x:c r="G868" t="str">
        <x:v>equals</x:v>
      </x:c>
      <x:c r="H868" t="str">
        <x:f>IF(E868=F868,"PASS","FAIL")</x:f>
        <x:v>PASS</x:v>
      </x:c>
    </x:row>
    <x:row r="869">
      <x:c r="B869" t="str">
        <x:v>A-00837</x:v>
      </x:c>
      <x:c r="C869" t="str">
        <x:v>GATE</x:v>
      </x:c>
      <x:c r="D869" t="str">
        <x:v>release state mirrors governing ledger</x:v>
      </x:c>
      <x:c r="E869" t="str">
        <x:f>'Release Gates'!I843</x:f>
        <x:v>OPEN</x:v>
      </x:c>
      <x:c r="F869" t="str">
        <x:f>IF('Release Gates'!C843="PLANNING","PASS",IF('Release Gates'!C843="PHYSICAL","OPEN","BLOCKED"))</x:f>
        <x:v>OPEN</x:v>
      </x:c>
      <x:c r="G869" t="str">
        <x:v>equals</x:v>
      </x:c>
      <x:c r="H869" t="str">
        <x:f>IF(E869=F869,"PASS","FAIL")</x:f>
        <x:v>PASS</x:v>
      </x:c>
    </x:row>
    <x:row r="870">
      <x:c r="B870" t="str">
        <x:v>A-00838</x:v>
      </x:c>
      <x:c r="C870" t="str">
        <x:v>GATE</x:v>
      </x:c>
      <x:c r="D870" t="str">
        <x:v>release state mirrors governing ledger</x:v>
      </x:c>
      <x:c r="E870" t="str">
        <x:f>'Release Gates'!I844</x:f>
        <x:v>OPEN</x:v>
      </x:c>
      <x:c r="F870" t="str">
        <x:f>IF('Release Gates'!C844="PLANNING","PASS",IF('Release Gates'!C844="PHYSICAL","OPEN","BLOCKED"))</x:f>
        <x:v>OPEN</x:v>
      </x:c>
      <x:c r="G870" t="str">
        <x:v>equals</x:v>
      </x:c>
      <x:c r="H870" t="str">
        <x:f>IF(E870=F870,"PASS","FAIL")</x:f>
        <x:v>PASS</x:v>
      </x:c>
    </x:row>
    <x:row r="871">
      <x:c r="B871" t="str">
        <x:v>A-00839</x:v>
      </x:c>
      <x:c r="C871" t="str">
        <x:v>GATE</x:v>
      </x:c>
      <x:c r="D871" t="str">
        <x:v>release state mirrors governing ledger</x:v>
      </x:c>
      <x:c r="E871" t="str">
        <x:f>'Release Gates'!I845</x:f>
        <x:v>OPEN</x:v>
      </x:c>
      <x:c r="F871" t="str">
        <x:f>IF('Release Gates'!C845="PLANNING","PASS",IF('Release Gates'!C845="PHYSICAL","OPEN","BLOCKED"))</x:f>
        <x:v>OPEN</x:v>
      </x:c>
      <x:c r="G871" t="str">
        <x:v>equals</x:v>
      </x:c>
      <x:c r="H871" t="str">
        <x:f>IF(E871=F871,"PASS","FAIL")</x:f>
        <x:v>PASS</x:v>
      </x:c>
    </x:row>
    <x:row r="872">
      <x:c r="B872" t="str">
        <x:v>A-00840</x:v>
      </x:c>
      <x:c r="C872" t="str">
        <x:v>GATE</x:v>
      </x:c>
      <x:c r="D872" t="str">
        <x:v>release state mirrors governing ledger</x:v>
      </x:c>
      <x:c r="E872" t="str">
        <x:f>'Release Gates'!I846</x:f>
        <x:v>OPEN</x:v>
      </x:c>
      <x:c r="F872" t="str">
        <x:f>IF('Release Gates'!C846="PLANNING","PASS",IF('Release Gates'!C846="PHYSICAL","OPEN","BLOCKED"))</x:f>
        <x:v>OPEN</x:v>
      </x:c>
      <x:c r="G872" t="str">
        <x:v>equals</x:v>
      </x:c>
      <x:c r="H872" t="str">
        <x:f>IF(E872=F872,"PASS","FAIL")</x:f>
        <x:v>PASS</x:v>
      </x:c>
    </x:row>
    <x:row r="873">
      <x:c r="B873" t="str">
        <x:v>A-00841</x:v>
      </x:c>
      <x:c r="C873" t="str">
        <x:v>GATE</x:v>
      </x:c>
      <x:c r="D873" t="str">
        <x:v>release state mirrors governing ledger</x:v>
      </x:c>
      <x:c r="E873" t="str">
        <x:f>'Release Gates'!I847</x:f>
        <x:v>OPEN</x:v>
      </x:c>
      <x:c r="F873" t="str">
        <x:f>IF('Release Gates'!C847="PLANNING","PASS",IF('Release Gates'!C847="PHYSICAL","OPEN","BLOCKED"))</x:f>
        <x:v>OPEN</x:v>
      </x:c>
      <x:c r="G873" t="str">
        <x:v>equals</x:v>
      </x:c>
      <x:c r="H873" t="str">
        <x:f>IF(E873=F873,"PASS","FAIL")</x:f>
        <x:v>PASS</x:v>
      </x:c>
    </x:row>
    <x:row r="874">
      <x:c r="B874" t="str">
        <x:v>A-00842</x:v>
      </x:c>
      <x:c r="C874" t="str">
        <x:v>GATE</x:v>
      </x:c>
      <x:c r="D874" t="str">
        <x:v>release state mirrors governing ledger</x:v>
      </x:c>
      <x:c r="E874" t="str">
        <x:f>'Release Gates'!I848</x:f>
        <x:v>OPEN</x:v>
      </x:c>
      <x:c r="F874" t="str">
        <x:f>IF('Release Gates'!C848="PLANNING","PASS",IF('Release Gates'!C848="PHYSICAL","OPEN","BLOCKED"))</x:f>
        <x:v>OPEN</x:v>
      </x:c>
      <x:c r="G874" t="str">
        <x:v>equals</x:v>
      </x:c>
      <x:c r="H874" t="str">
        <x:f>IF(E874=F874,"PASS","FAIL")</x:f>
        <x:v>PASS</x:v>
      </x:c>
    </x:row>
    <x:row r="875">
      <x:c r="B875" t="str">
        <x:v>A-00843</x:v>
      </x:c>
      <x:c r="C875" t="str">
        <x:v>GATE</x:v>
      </x:c>
      <x:c r="D875" t="str">
        <x:v>release state mirrors governing ledger</x:v>
      </x:c>
      <x:c r="E875" t="str">
        <x:f>'Release Gates'!I849</x:f>
        <x:v>OPEN</x:v>
      </x:c>
      <x:c r="F875" t="str">
        <x:f>IF('Release Gates'!C849="PLANNING","PASS",IF('Release Gates'!C849="PHYSICAL","OPEN","BLOCKED"))</x:f>
        <x:v>OPEN</x:v>
      </x:c>
      <x:c r="G875" t="str">
        <x:v>equals</x:v>
      </x:c>
      <x:c r="H875" t="str">
        <x:f>IF(E875=F875,"PASS","FAIL")</x:f>
        <x:v>PASS</x:v>
      </x:c>
    </x:row>
    <x:row r="876">
      <x:c r="B876" t="str">
        <x:v>A-00844</x:v>
      </x:c>
      <x:c r="C876" t="str">
        <x:v>GATE</x:v>
      </x:c>
      <x:c r="D876" t="str">
        <x:v>release state mirrors governing ledger</x:v>
      </x:c>
      <x:c r="E876" t="str">
        <x:f>'Release Gates'!I850</x:f>
        <x:v>OPEN</x:v>
      </x:c>
      <x:c r="F876" t="str">
        <x:f>IF('Release Gates'!C850="PLANNING","PASS",IF('Release Gates'!C850="PHYSICAL","OPEN","BLOCKED"))</x:f>
        <x:v>OPEN</x:v>
      </x:c>
      <x:c r="G876" t="str">
        <x:v>equals</x:v>
      </x:c>
      <x:c r="H876" t="str">
        <x:f>IF(E876=F876,"PASS","FAIL")</x:f>
        <x:v>PASS</x:v>
      </x:c>
    </x:row>
    <x:row r="877">
      <x:c r="B877" t="str">
        <x:v>A-00845</x:v>
      </x:c>
      <x:c r="C877" t="str">
        <x:v>GATE</x:v>
      </x:c>
      <x:c r="D877" t="str">
        <x:v>release state mirrors governing ledger</x:v>
      </x:c>
      <x:c r="E877" t="str">
        <x:f>'Release Gates'!I851</x:f>
        <x:v>OPEN</x:v>
      </x:c>
      <x:c r="F877" t="str">
        <x:f>IF('Release Gates'!C851="PLANNING","PASS",IF('Release Gates'!C851="PHYSICAL","OPEN","BLOCKED"))</x:f>
        <x:v>OPEN</x:v>
      </x:c>
      <x:c r="G877" t="str">
        <x:v>equals</x:v>
      </x:c>
      <x:c r="H877" t="str">
        <x:f>IF(E877=F877,"PASS","FAIL")</x:f>
        <x:v>PASS</x:v>
      </x:c>
    </x:row>
    <x:row r="878">
      <x:c r="B878" t="str">
        <x:v>A-00846</x:v>
      </x:c>
      <x:c r="C878" t="str">
        <x:v>GATE</x:v>
      </x:c>
      <x:c r="D878" t="str">
        <x:v>release state mirrors governing ledger</x:v>
      </x:c>
      <x:c r="E878" t="str">
        <x:f>'Release Gates'!I852</x:f>
        <x:v>OPEN</x:v>
      </x:c>
      <x:c r="F878" t="str">
        <x:f>IF('Release Gates'!C852="PLANNING","PASS",IF('Release Gates'!C852="PHYSICAL","OPEN","BLOCKED"))</x:f>
        <x:v>OPEN</x:v>
      </x:c>
      <x:c r="G878" t="str">
        <x:v>equals</x:v>
      </x:c>
      <x:c r="H878" t="str">
        <x:f>IF(E878=F878,"PASS","FAIL")</x:f>
        <x:v>PASS</x:v>
      </x:c>
    </x:row>
    <x:row r="879">
      <x:c r="B879" t="str">
        <x:v>A-00847</x:v>
      </x:c>
      <x:c r="C879" t="str">
        <x:v>GATE</x:v>
      </x:c>
      <x:c r="D879" t="str">
        <x:v>release state mirrors governing ledger</x:v>
      </x:c>
      <x:c r="E879" t="str">
        <x:f>'Release Gates'!I853</x:f>
        <x:v>OPEN</x:v>
      </x:c>
      <x:c r="F879" t="str">
        <x:f>IF('Release Gates'!C853="PLANNING","PASS",IF('Release Gates'!C853="PHYSICAL","OPEN","BLOCKED"))</x:f>
        <x:v>OPEN</x:v>
      </x:c>
      <x:c r="G879" t="str">
        <x:v>equals</x:v>
      </x:c>
      <x:c r="H879" t="str">
        <x:f>IF(E879=F879,"PASS","FAIL")</x:f>
        <x:v>PASS</x:v>
      </x:c>
    </x:row>
    <x:row r="880">
      <x:c r="B880" t="str">
        <x:v>A-00848</x:v>
      </x:c>
      <x:c r="C880" t="str">
        <x:v>GATE</x:v>
      </x:c>
      <x:c r="D880" t="str">
        <x:v>release state mirrors governing ledger</x:v>
      </x:c>
      <x:c r="E880" t="str">
        <x:f>'Release Gates'!I854</x:f>
        <x:v>OPEN</x:v>
      </x:c>
      <x:c r="F880" t="str">
        <x:f>IF('Release Gates'!C854="PLANNING","PASS",IF('Release Gates'!C854="PHYSICAL","OPEN","BLOCKED"))</x:f>
        <x:v>OPEN</x:v>
      </x:c>
      <x:c r="G880" t="str">
        <x:v>equals</x:v>
      </x:c>
      <x:c r="H880" t="str">
        <x:f>IF(E880=F880,"PASS","FAIL")</x:f>
        <x:v>PASS</x:v>
      </x:c>
    </x:row>
    <x:row r="881">
      <x:c r="B881" t="str">
        <x:v>A-00849</x:v>
      </x:c>
      <x:c r="C881" t="str">
        <x:v>GATE</x:v>
      </x:c>
      <x:c r="D881" t="str">
        <x:v>release state mirrors governing ledger</x:v>
      </x:c>
      <x:c r="E881" t="str">
        <x:f>'Release Gates'!I855</x:f>
        <x:v>OPEN</x:v>
      </x:c>
      <x:c r="F881" t="str">
        <x:f>IF('Release Gates'!C855="PLANNING","PASS",IF('Release Gates'!C855="PHYSICAL","OPEN","BLOCKED"))</x:f>
        <x:v>OPEN</x:v>
      </x:c>
      <x:c r="G881" t="str">
        <x:v>equals</x:v>
      </x:c>
      <x:c r="H881" t="str">
        <x:f>IF(E881=F881,"PASS","FAIL")</x:f>
        <x:v>PASS</x:v>
      </x:c>
    </x:row>
    <x:row r="882">
      <x:c r="B882" t="str">
        <x:v>A-00850</x:v>
      </x:c>
      <x:c r="C882" t="str">
        <x:v>GATE</x:v>
      </x:c>
      <x:c r="D882" t="str">
        <x:v>release state mirrors governing ledger</x:v>
      </x:c>
      <x:c r="E882" t="str">
        <x:f>'Release Gates'!I856</x:f>
        <x:v>OPEN</x:v>
      </x:c>
      <x:c r="F882" t="str">
        <x:f>IF('Release Gates'!C856="PLANNING","PASS",IF('Release Gates'!C856="PHYSICAL","OPEN","BLOCKED"))</x:f>
        <x:v>OPEN</x:v>
      </x:c>
      <x:c r="G882" t="str">
        <x:v>equals</x:v>
      </x:c>
      <x:c r="H882" t="str">
        <x:f>IF(E882=F882,"PASS","FAIL")</x:f>
        <x:v>PASS</x:v>
      </x:c>
    </x:row>
    <x:row r="883">
      <x:c r="B883" t="str">
        <x:v>A-00851</x:v>
      </x:c>
      <x:c r="C883" t="str">
        <x:v>GATE</x:v>
      </x:c>
      <x:c r="D883" t="str">
        <x:v>release state mirrors governing ledger</x:v>
      </x:c>
      <x:c r="E883" t="str">
        <x:f>'Release Gates'!I857</x:f>
        <x:v>OPEN</x:v>
      </x:c>
      <x:c r="F883" t="str">
        <x:f>IF('Release Gates'!C857="PLANNING","PASS",IF('Release Gates'!C857="PHYSICAL","OPEN","BLOCKED"))</x:f>
        <x:v>OPEN</x:v>
      </x:c>
      <x:c r="G883" t="str">
        <x:v>equals</x:v>
      </x:c>
      <x:c r="H883" t="str">
        <x:f>IF(E883=F883,"PASS","FAIL")</x:f>
        <x:v>PASS</x:v>
      </x:c>
    </x:row>
    <x:row r="884">
      <x:c r="B884" t="str">
        <x:v>A-00852</x:v>
      </x:c>
      <x:c r="C884" t="str">
        <x:v>GATE</x:v>
      </x:c>
      <x:c r="D884" t="str">
        <x:v>release state mirrors governing ledger</x:v>
      </x:c>
      <x:c r="E884" t="str">
        <x:f>'Release Gates'!I858</x:f>
        <x:v>OPEN</x:v>
      </x:c>
      <x:c r="F884" t="str">
        <x:f>IF('Release Gates'!C858="PLANNING","PASS",IF('Release Gates'!C858="PHYSICAL","OPEN","BLOCKED"))</x:f>
        <x:v>OPEN</x:v>
      </x:c>
      <x:c r="G884" t="str">
        <x:v>equals</x:v>
      </x:c>
      <x:c r="H884" t="str">
        <x:f>IF(E884=F884,"PASS","FAIL")</x:f>
        <x:v>PASS</x:v>
      </x:c>
    </x:row>
    <x:row r="885">
      <x:c r="B885" t="str">
        <x:v>A-00853</x:v>
      </x:c>
      <x:c r="C885" t="str">
        <x:v>GATE</x:v>
      </x:c>
      <x:c r="D885" t="str">
        <x:v>release state mirrors governing ledger</x:v>
      </x:c>
      <x:c r="E885" t="str">
        <x:f>'Release Gates'!I859</x:f>
        <x:v>OPEN</x:v>
      </x:c>
      <x:c r="F885" t="str">
        <x:f>IF('Release Gates'!C859="PLANNING","PASS",IF('Release Gates'!C859="PHYSICAL","OPEN","BLOCKED"))</x:f>
        <x:v>OPEN</x:v>
      </x:c>
      <x:c r="G885" t="str">
        <x:v>equals</x:v>
      </x:c>
      <x:c r="H885" t="str">
        <x:f>IF(E885=F885,"PASS","FAIL")</x:f>
        <x:v>PASS</x:v>
      </x:c>
    </x:row>
    <x:row r="886">
      <x:c r="B886" t="str">
        <x:v>A-00854</x:v>
      </x:c>
      <x:c r="C886" t="str">
        <x:v>GATE</x:v>
      </x:c>
      <x:c r="D886" t="str">
        <x:v>release state mirrors governing ledger</x:v>
      </x:c>
      <x:c r="E886" t="str">
        <x:f>'Release Gates'!I860</x:f>
        <x:v>OPEN</x:v>
      </x:c>
      <x:c r="F886" t="str">
        <x:f>IF('Release Gates'!C860="PLANNING","PASS",IF('Release Gates'!C860="PHYSICAL","OPEN","BLOCKED"))</x:f>
        <x:v>OPEN</x:v>
      </x:c>
      <x:c r="G886" t="str">
        <x:v>equals</x:v>
      </x:c>
      <x:c r="H886" t="str">
        <x:f>IF(E886=F886,"PASS","FAIL")</x:f>
        <x:v>PASS</x:v>
      </x:c>
    </x:row>
    <x:row r="887">
      <x:c r="B887" t="str">
        <x:v>A-00855</x:v>
      </x:c>
      <x:c r="C887" t="str">
        <x:v>GATE</x:v>
      </x:c>
      <x:c r="D887" t="str">
        <x:v>release state mirrors governing ledger</x:v>
      </x:c>
      <x:c r="E887" t="str">
        <x:f>'Release Gates'!I861</x:f>
        <x:v>OPEN</x:v>
      </x:c>
      <x:c r="F887" t="str">
        <x:f>IF('Release Gates'!C861="PLANNING","PASS",IF('Release Gates'!C861="PHYSICAL","OPEN","BLOCKED"))</x:f>
        <x:v>OPEN</x:v>
      </x:c>
      <x:c r="G887" t="str">
        <x:v>equals</x:v>
      </x:c>
      <x:c r="H887" t="str">
        <x:f>IF(E887=F887,"PASS","FAIL")</x:f>
        <x:v>PASS</x:v>
      </x:c>
    </x:row>
    <x:row r="888">
      <x:c r="B888" t="str">
        <x:v>A-00856</x:v>
      </x:c>
      <x:c r="C888" t="str">
        <x:v>GATE</x:v>
      </x:c>
      <x:c r="D888" t="str">
        <x:v>release state mirrors governing ledger</x:v>
      </x:c>
      <x:c r="E888" t="str">
        <x:f>'Release Gates'!I862</x:f>
        <x:v>OPEN</x:v>
      </x:c>
      <x:c r="F888" t="str">
        <x:f>IF('Release Gates'!C862="PLANNING","PASS",IF('Release Gates'!C862="PHYSICAL","OPEN","BLOCKED"))</x:f>
        <x:v>OPEN</x:v>
      </x:c>
      <x:c r="G888" t="str">
        <x:v>equals</x:v>
      </x:c>
      <x:c r="H888" t="str">
        <x:f>IF(E888=F888,"PASS","FAIL")</x:f>
        <x:v>PASS</x:v>
      </x:c>
    </x:row>
    <x:row r="889">
      <x:c r="B889" t="str">
        <x:v>A-00857</x:v>
      </x:c>
      <x:c r="C889" t="str">
        <x:v>GATE</x:v>
      </x:c>
      <x:c r="D889" t="str">
        <x:v>release state mirrors governing ledger</x:v>
      </x:c>
      <x:c r="E889" t="str">
        <x:f>'Release Gates'!I863</x:f>
        <x:v>OPEN</x:v>
      </x:c>
      <x:c r="F889" t="str">
        <x:f>IF('Release Gates'!C863="PLANNING","PASS",IF('Release Gates'!C863="PHYSICAL","OPEN","BLOCKED"))</x:f>
        <x:v>OPEN</x:v>
      </x:c>
      <x:c r="G889" t="str">
        <x:v>equals</x:v>
      </x:c>
      <x:c r="H889" t="str">
        <x:f>IF(E889=F889,"PASS","FAIL")</x:f>
        <x:v>PASS</x:v>
      </x:c>
    </x:row>
    <x:row r="890">
      <x:c r="B890" t="str">
        <x:v>A-00858</x:v>
      </x:c>
      <x:c r="C890" t="str">
        <x:v>GATE</x:v>
      </x:c>
      <x:c r="D890" t="str">
        <x:v>release state mirrors governing ledger</x:v>
      </x:c>
      <x:c r="E890" t="str">
        <x:f>'Release Gates'!I864</x:f>
        <x:v>OPEN</x:v>
      </x:c>
      <x:c r="F890" t="str">
        <x:f>IF('Release Gates'!C864="PLANNING","PASS",IF('Release Gates'!C864="PHYSICAL","OPEN","BLOCKED"))</x:f>
        <x:v>OPEN</x:v>
      </x:c>
      <x:c r="G890" t="str">
        <x:v>equals</x:v>
      </x:c>
      <x:c r="H890" t="str">
        <x:f>IF(E890=F890,"PASS","FAIL")</x:f>
        <x:v>PASS</x:v>
      </x:c>
    </x:row>
    <x:row r="891">
      <x:c r="B891" t="str">
        <x:v>A-00859</x:v>
      </x:c>
      <x:c r="C891" t="str">
        <x:v>GATE</x:v>
      </x:c>
      <x:c r="D891" t="str">
        <x:v>release state mirrors governing ledger</x:v>
      </x:c>
      <x:c r="E891" t="str">
        <x:f>'Release Gates'!I865</x:f>
        <x:v>OPEN</x:v>
      </x:c>
      <x:c r="F891" t="str">
        <x:f>IF('Release Gates'!C865="PLANNING","PASS",IF('Release Gates'!C865="PHYSICAL","OPEN","BLOCKED"))</x:f>
        <x:v>OPEN</x:v>
      </x:c>
      <x:c r="G891" t="str">
        <x:v>equals</x:v>
      </x:c>
      <x:c r="H891" t="str">
        <x:f>IF(E891=F891,"PASS","FAIL")</x:f>
        <x:v>PASS</x:v>
      </x:c>
    </x:row>
    <x:row r="892">
      <x:c r="B892" t="str">
        <x:v>A-00860</x:v>
      </x:c>
      <x:c r="C892" t="str">
        <x:v>GATE</x:v>
      </x:c>
      <x:c r="D892" t="str">
        <x:v>release state mirrors governing ledger</x:v>
      </x:c>
      <x:c r="E892" t="str">
        <x:f>'Release Gates'!I866</x:f>
        <x:v>OPEN</x:v>
      </x:c>
      <x:c r="F892" t="str">
        <x:f>IF('Release Gates'!C866="PLANNING","PASS",IF('Release Gates'!C866="PHYSICAL","OPEN","BLOCKED"))</x:f>
        <x:v>OPEN</x:v>
      </x:c>
      <x:c r="G892" t="str">
        <x:v>equals</x:v>
      </x:c>
      <x:c r="H892" t="str">
        <x:f>IF(E892=F892,"PASS","FAIL")</x:f>
        <x:v>PASS</x:v>
      </x:c>
    </x:row>
    <x:row r="893">
      <x:c r="B893" t="str">
        <x:v>A-00861</x:v>
      </x:c>
      <x:c r="C893" t="str">
        <x:v>GATE</x:v>
      </x:c>
      <x:c r="D893" t="str">
        <x:v>release state mirrors governing ledger</x:v>
      </x:c>
      <x:c r="E893" t="str">
        <x:f>'Release Gates'!I867</x:f>
        <x:v>OPEN</x:v>
      </x:c>
      <x:c r="F893" t="str">
        <x:f>IF('Release Gates'!C867="PLANNING","PASS",IF('Release Gates'!C867="PHYSICAL","OPEN","BLOCKED"))</x:f>
        <x:v>OPEN</x:v>
      </x:c>
      <x:c r="G893" t="str">
        <x:v>equals</x:v>
      </x:c>
      <x:c r="H893" t="str">
        <x:f>IF(E893=F893,"PASS","FAIL")</x:f>
        <x:v>PASS</x:v>
      </x:c>
    </x:row>
    <x:row r="894">
      <x:c r="B894" t="str">
        <x:v>A-00862</x:v>
      </x:c>
      <x:c r="C894" t="str">
        <x:v>GATE</x:v>
      </x:c>
      <x:c r="D894" t="str">
        <x:v>release state mirrors governing ledger</x:v>
      </x:c>
      <x:c r="E894" t="str">
        <x:f>'Release Gates'!I868</x:f>
        <x:v>OPEN</x:v>
      </x:c>
      <x:c r="F894" t="str">
        <x:f>IF('Release Gates'!C868="PLANNING","PASS",IF('Release Gates'!C868="PHYSICAL","OPEN","BLOCKED"))</x:f>
        <x:v>OPEN</x:v>
      </x:c>
      <x:c r="G894" t="str">
        <x:v>equals</x:v>
      </x:c>
      <x:c r="H894" t="str">
        <x:f>IF(E894=F894,"PASS","FAIL")</x:f>
        <x:v>PASS</x:v>
      </x:c>
    </x:row>
    <x:row r="895">
      <x:c r="B895" t="str">
        <x:v>A-00863</x:v>
      </x:c>
      <x:c r="C895" t="str">
        <x:v>GATE</x:v>
      </x:c>
      <x:c r="D895" t="str">
        <x:v>release state mirrors governing ledger</x:v>
      </x:c>
      <x:c r="E895" t="str">
        <x:f>'Release Gates'!I869</x:f>
        <x:v>OPEN</x:v>
      </x:c>
      <x:c r="F895" t="str">
        <x:f>IF('Release Gates'!C869="PLANNING","PASS",IF('Release Gates'!C869="PHYSICAL","OPEN","BLOCKED"))</x:f>
        <x:v>OPEN</x:v>
      </x:c>
      <x:c r="G895" t="str">
        <x:v>equals</x:v>
      </x:c>
      <x:c r="H895" t="str">
        <x:f>IF(E895=F895,"PASS","FAIL")</x:f>
        <x:v>PASS</x:v>
      </x:c>
    </x:row>
    <x:row r="896">
      <x:c r="B896" t="str">
        <x:v>A-00864</x:v>
      </x:c>
      <x:c r="C896" t="str">
        <x:v>GATE</x:v>
      </x:c>
      <x:c r="D896" t="str">
        <x:v>release state mirrors governing ledger</x:v>
      </x:c>
      <x:c r="E896" t="str">
        <x:f>'Release Gates'!I870</x:f>
        <x:v>OPEN</x:v>
      </x:c>
      <x:c r="F896" t="str">
        <x:f>IF('Release Gates'!C870="PLANNING","PASS",IF('Release Gates'!C870="PHYSICAL","OPEN","BLOCKED"))</x:f>
        <x:v>OPEN</x:v>
      </x:c>
      <x:c r="G896" t="str">
        <x:v>equals</x:v>
      </x:c>
      <x:c r="H896" t="str">
        <x:f>IF(E896=F896,"PASS","FAIL")</x:f>
        <x:v>PASS</x:v>
      </x:c>
    </x:row>
    <x:row r="897">
      <x:c r="B897" t="str">
        <x:v>A-00865</x:v>
      </x:c>
      <x:c r="C897" t="str">
        <x:v>GATE</x:v>
      </x:c>
      <x:c r="D897" t="str">
        <x:v>release state mirrors governing ledger</x:v>
      </x:c>
      <x:c r="E897" t="str">
        <x:f>'Release Gates'!I871</x:f>
        <x:v>OPEN</x:v>
      </x:c>
      <x:c r="F897" t="str">
        <x:f>IF('Release Gates'!C871="PLANNING","PASS",IF('Release Gates'!C871="PHYSICAL","OPEN","BLOCKED"))</x:f>
        <x:v>OPEN</x:v>
      </x:c>
      <x:c r="G897" t="str">
        <x:v>equals</x:v>
      </x:c>
      <x:c r="H897" t="str">
        <x:f>IF(E897=F897,"PASS","FAIL")</x:f>
        <x:v>PASS</x:v>
      </x:c>
    </x:row>
    <x:row r="898">
      <x:c r="B898" t="str">
        <x:v>A-00866</x:v>
      </x:c>
      <x:c r="C898" t="str">
        <x:v>GATE</x:v>
      </x:c>
      <x:c r="D898" t="str">
        <x:v>release state mirrors governing ledger</x:v>
      </x:c>
      <x:c r="E898" t="str">
        <x:f>'Release Gates'!I872</x:f>
        <x:v>OPEN</x:v>
      </x:c>
      <x:c r="F898" t="str">
        <x:f>IF('Release Gates'!C872="PLANNING","PASS",IF('Release Gates'!C872="PHYSICAL","OPEN","BLOCKED"))</x:f>
        <x:v>OPEN</x:v>
      </x:c>
      <x:c r="G898" t="str">
        <x:v>equals</x:v>
      </x:c>
      <x:c r="H898" t="str">
        <x:f>IF(E898=F898,"PASS","FAIL")</x:f>
        <x:v>PASS</x:v>
      </x:c>
    </x:row>
    <x:row r="899">
      <x:c r="B899" t="str">
        <x:v>A-00867</x:v>
      </x:c>
      <x:c r="C899" t="str">
        <x:v>GATE</x:v>
      </x:c>
      <x:c r="D899" t="str">
        <x:v>release state mirrors governing ledger</x:v>
      </x:c>
      <x:c r="E899" t="str">
        <x:f>'Release Gates'!I873</x:f>
        <x:v>OPEN</x:v>
      </x:c>
      <x:c r="F899" t="str">
        <x:f>IF('Release Gates'!C873="PLANNING","PASS",IF('Release Gates'!C873="PHYSICAL","OPEN","BLOCKED"))</x:f>
        <x:v>OPEN</x:v>
      </x:c>
      <x:c r="G899" t="str">
        <x:v>equals</x:v>
      </x:c>
      <x:c r="H899" t="str">
        <x:f>IF(E899=F899,"PASS","FAIL")</x:f>
        <x:v>PASS</x:v>
      </x:c>
    </x:row>
    <x:row r="900">
      <x:c r="B900" t="str">
        <x:v>A-00868</x:v>
      </x:c>
      <x:c r="C900" t="str">
        <x:v>GATE</x:v>
      </x:c>
      <x:c r="D900" t="str">
        <x:v>release state mirrors governing ledger</x:v>
      </x:c>
      <x:c r="E900" t="str">
        <x:f>'Release Gates'!I874</x:f>
        <x:v>OPEN</x:v>
      </x:c>
      <x:c r="F900" t="str">
        <x:f>IF('Release Gates'!C874="PLANNING","PASS",IF('Release Gates'!C874="PHYSICAL","OPEN","BLOCKED"))</x:f>
        <x:v>OPEN</x:v>
      </x:c>
      <x:c r="G900" t="str">
        <x:v>equals</x:v>
      </x:c>
      <x:c r="H900" t="str">
        <x:f>IF(E900=F900,"PASS","FAIL")</x:f>
        <x:v>PASS</x:v>
      </x:c>
    </x:row>
    <x:row r="901">
      <x:c r="B901" t="str">
        <x:v>A-00869</x:v>
      </x:c>
      <x:c r="C901" t="str">
        <x:v>GATE</x:v>
      </x:c>
      <x:c r="D901" t="str">
        <x:v>release state mirrors governing ledger</x:v>
      </x:c>
      <x:c r="E901" t="str">
        <x:f>'Release Gates'!I875</x:f>
        <x:v>OPEN</x:v>
      </x:c>
      <x:c r="F901" t="str">
        <x:f>IF('Release Gates'!C875="PLANNING","PASS",IF('Release Gates'!C875="PHYSICAL","OPEN","BLOCKED"))</x:f>
        <x:v>OPEN</x:v>
      </x:c>
      <x:c r="G901" t="str">
        <x:v>equals</x:v>
      </x:c>
      <x:c r="H901" t="str">
        <x:f>IF(E901=F901,"PASS","FAIL")</x:f>
        <x:v>PASS</x:v>
      </x:c>
    </x:row>
    <x:row r="902">
      <x:c r="B902" t="str">
        <x:v>A-00870</x:v>
      </x:c>
      <x:c r="C902" t="str">
        <x:v>GATE</x:v>
      </x:c>
      <x:c r="D902" t="str">
        <x:v>release state mirrors governing ledger</x:v>
      </x:c>
      <x:c r="E902" t="str">
        <x:f>'Release Gates'!I876</x:f>
        <x:v>OPEN</x:v>
      </x:c>
      <x:c r="F902" t="str">
        <x:f>IF('Release Gates'!C876="PLANNING","PASS",IF('Release Gates'!C876="PHYSICAL","OPEN","BLOCKED"))</x:f>
        <x:v>OPEN</x:v>
      </x:c>
      <x:c r="G902" t="str">
        <x:v>equals</x:v>
      </x:c>
      <x:c r="H902" t="str">
        <x:f>IF(E902=F902,"PASS","FAIL")</x:f>
        <x:v>PASS</x:v>
      </x:c>
    </x:row>
    <x:row r="903">
      <x:c r="B903" t="str">
        <x:v>A-00871</x:v>
      </x:c>
      <x:c r="C903" t="str">
        <x:v>GATE</x:v>
      </x:c>
      <x:c r="D903" t="str">
        <x:v>release state mirrors governing ledger</x:v>
      </x:c>
      <x:c r="E903" t="str">
        <x:f>'Release Gates'!I877</x:f>
        <x:v>OPEN</x:v>
      </x:c>
      <x:c r="F903" t="str">
        <x:f>IF('Release Gates'!C877="PLANNING","PASS",IF('Release Gates'!C877="PHYSICAL","OPEN","BLOCKED"))</x:f>
        <x:v>OPEN</x:v>
      </x:c>
      <x:c r="G903" t="str">
        <x:v>equals</x:v>
      </x:c>
      <x:c r="H903" t="str">
        <x:f>IF(E903=F903,"PASS","FAIL")</x:f>
        <x:v>PASS</x:v>
      </x:c>
    </x:row>
    <x:row r="904">
      <x:c r="B904" t="str">
        <x:v>A-00872</x:v>
      </x:c>
      <x:c r="C904" t="str">
        <x:v>GATE</x:v>
      </x:c>
      <x:c r="D904" t="str">
        <x:v>release state mirrors governing ledger</x:v>
      </x:c>
      <x:c r="E904" t="str">
        <x:f>'Release Gates'!I878</x:f>
        <x:v>OPEN</x:v>
      </x:c>
      <x:c r="F904" t="str">
        <x:f>IF('Release Gates'!C878="PLANNING","PASS",IF('Release Gates'!C878="PHYSICAL","OPEN","BLOCKED"))</x:f>
        <x:v>OPEN</x:v>
      </x:c>
      <x:c r="G904" t="str">
        <x:v>equals</x:v>
      </x:c>
      <x:c r="H904" t="str">
        <x:f>IF(E904=F904,"PASS","FAIL")</x:f>
        <x:v>PASS</x:v>
      </x:c>
    </x:row>
    <x:row r="905">
      <x:c r="B905" t="str">
        <x:v>A-00873</x:v>
      </x:c>
      <x:c r="C905" t="str">
        <x:v>GATE</x:v>
      </x:c>
      <x:c r="D905" t="str">
        <x:v>release state mirrors governing ledger</x:v>
      </x:c>
      <x:c r="E905" t="str">
        <x:f>'Release Gates'!I879</x:f>
        <x:v>OPEN</x:v>
      </x:c>
      <x:c r="F905" t="str">
        <x:f>IF('Release Gates'!C879="PLANNING","PASS",IF('Release Gates'!C879="PHYSICAL","OPEN","BLOCKED"))</x:f>
        <x:v>OPEN</x:v>
      </x:c>
      <x:c r="G905" t="str">
        <x:v>equals</x:v>
      </x:c>
      <x:c r="H905" t="str">
        <x:f>IF(E905=F905,"PASS","FAIL")</x:f>
        <x:v>PASS</x:v>
      </x:c>
    </x:row>
    <x:row r="906">
      <x:c r="B906" t="str">
        <x:v>A-00874</x:v>
      </x:c>
      <x:c r="C906" t="str">
        <x:v>GATE</x:v>
      </x:c>
      <x:c r="D906" t="str">
        <x:v>release state mirrors governing ledger</x:v>
      </x:c>
      <x:c r="E906" t="str">
        <x:f>'Release Gates'!I880</x:f>
        <x:v>OPEN</x:v>
      </x:c>
      <x:c r="F906" t="str">
        <x:f>IF('Release Gates'!C880="PLANNING","PASS",IF('Release Gates'!C880="PHYSICAL","OPEN","BLOCKED"))</x:f>
        <x:v>OPEN</x:v>
      </x:c>
      <x:c r="G906" t="str">
        <x:v>equals</x:v>
      </x:c>
      <x:c r="H906" t="str">
        <x:f>IF(E906=F906,"PASS","FAIL")</x:f>
        <x:v>PASS</x:v>
      </x:c>
    </x:row>
    <x:row r="907">
      <x:c r="B907" t="str">
        <x:v>A-00875</x:v>
      </x:c>
      <x:c r="C907" t="str">
        <x:v>GATE</x:v>
      </x:c>
      <x:c r="D907" t="str">
        <x:v>release state mirrors governing ledger</x:v>
      </x:c>
      <x:c r="E907" t="str">
        <x:f>'Release Gates'!I881</x:f>
        <x:v>OPEN</x:v>
      </x:c>
      <x:c r="F907" t="str">
        <x:f>IF('Release Gates'!C881="PLANNING","PASS",IF('Release Gates'!C881="PHYSICAL","OPEN","BLOCKED"))</x:f>
        <x:v>OPEN</x:v>
      </x:c>
      <x:c r="G907" t="str">
        <x:v>equals</x:v>
      </x:c>
      <x:c r="H907" t="str">
        <x:f>IF(E907=F907,"PASS","FAIL")</x:f>
        <x:v>PASS</x:v>
      </x:c>
    </x:row>
    <x:row r="908">
      <x:c r="B908" t="str">
        <x:v>A-00876</x:v>
      </x:c>
      <x:c r="C908" t="str">
        <x:v>GATE</x:v>
      </x:c>
      <x:c r="D908" t="str">
        <x:v>release state mirrors governing ledger</x:v>
      </x:c>
      <x:c r="E908" t="str">
        <x:f>'Release Gates'!I882</x:f>
        <x:v>OPEN</x:v>
      </x:c>
      <x:c r="F908" t="str">
        <x:f>IF('Release Gates'!C882="PLANNING","PASS",IF('Release Gates'!C882="PHYSICAL","OPEN","BLOCKED"))</x:f>
        <x:v>OPEN</x:v>
      </x:c>
      <x:c r="G908" t="str">
        <x:v>equals</x:v>
      </x:c>
      <x:c r="H908" t="str">
        <x:f>IF(E908=F908,"PASS","FAIL")</x:f>
        <x:v>PASS</x:v>
      </x:c>
    </x:row>
    <x:row r="909">
      <x:c r="B909" t="str">
        <x:v>A-00877</x:v>
      </x:c>
      <x:c r="C909" t="str">
        <x:v>GATE</x:v>
      </x:c>
      <x:c r="D909" t="str">
        <x:v>release state mirrors governing ledger</x:v>
      </x:c>
      <x:c r="E909" t="str">
        <x:f>'Release Gates'!I883</x:f>
        <x:v>OPEN</x:v>
      </x:c>
      <x:c r="F909" t="str">
        <x:f>IF('Release Gates'!C883="PLANNING","PASS",IF('Release Gates'!C883="PHYSICAL","OPEN","BLOCKED"))</x:f>
        <x:v>OPEN</x:v>
      </x:c>
      <x:c r="G909" t="str">
        <x:v>equals</x:v>
      </x:c>
      <x:c r="H909" t="str">
        <x:f>IF(E909=F909,"PASS","FAIL")</x:f>
        <x:v>PASS</x:v>
      </x:c>
    </x:row>
    <x:row r="910">
      <x:c r="B910" t="str">
        <x:v>A-00878</x:v>
      </x:c>
      <x:c r="C910" t="str">
        <x:v>GATE</x:v>
      </x:c>
      <x:c r="D910" t="str">
        <x:v>release state mirrors governing ledger</x:v>
      </x:c>
      <x:c r="E910" t="str">
        <x:f>'Release Gates'!I884</x:f>
        <x:v>OPEN</x:v>
      </x:c>
      <x:c r="F910" t="str">
        <x:f>IF('Release Gates'!C884="PLANNING","PASS",IF('Release Gates'!C884="PHYSICAL","OPEN","BLOCKED"))</x:f>
        <x:v>OPEN</x:v>
      </x:c>
      <x:c r="G910" t="str">
        <x:v>equals</x:v>
      </x:c>
      <x:c r="H910" t="str">
        <x:f>IF(E910=F910,"PASS","FAIL")</x:f>
        <x:v>PASS</x:v>
      </x:c>
    </x:row>
    <x:row r="911">
      <x:c r="B911" t="str">
        <x:v>A-00879</x:v>
      </x:c>
      <x:c r="C911" t="str">
        <x:v>GATE</x:v>
      </x:c>
      <x:c r="D911" t="str">
        <x:v>release state mirrors governing ledger</x:v>
      </x:c>
      <x:c r="E911" t="str">
        <x:f>'Release Gates'!I885</x:f>
        <x:v>OPEN</x:v>
      </x:c>
      <x:c r="F911" t="str">
        <x:f>IF('Release Gates'!C885="PLANNING","PASS",IF('Release Gates'!C885="PHYSICAL","OPEN","BLOCKED"))</x:f>
        <x:v>OPEN</x:v>
      </x:c>
      <x:c r="G911" t="str">
        <x:v>equals</x:v>
      </x:c>
      <x:c r="H911" t="str">
        <x:f>IF(E911=F911,"PASS","FAIL")</x:f>
        <x:v>PASS</x:v>
      </x:c>
    </x:row>
    <x:row r="912">
      <x:c r="B912" t="str">
        <x:v>A-00880</x:v>
      </x:c>
      <x:c r="C912" t="str">
        <x:v>GATE</x:v>
      </x:c>
      <x:c r="D912" t="str">
        <x:v>release state mirrors governing ledger</x:v>
      </x:c>
      <x:c r="E912" t="str">
        <x:f>'Release Gates'!I886</x:f>
        <x:v>OPEN</x:v>
      </x:c>
      <x:c r="F912" t="str">
        <x:f>IF('Release Gates'!C886="PLANNING","PASS",IF('Release Gates'!C886="PHYSICAL","OPEN","BLOCKED"))</x:f>
        <x:v>OPEN</x:v>
      </x:c>
      <x:c r="G912" t="str">
        <x:v>equals</x:v>
      </x:c>
      <x:c r="H912" t="str">
        <x:f>IF(E912=F912,"PASS","FAIL")</x:f>
        <x:v>PASS</x:v>
      </x:c>
    </x:row>
    <x:row r="913">
      <x:c r="B913" t="str">
        <x:v>A-00881</x:v>
      </x:c>
      <x:c r="C913" t="str">
        <x:v>GATE</x:v>
      </x:c>
      <x:c r="D913" t="str">
        <x:v>release state mirrors governing ledger</x:v>
      </x:c>
      <x:c r="E913" t="str">
        <x:f>'Release Gates'!I887</x:f>
        <x:v>OPEN</x:v>
      </x:c>
      <x:c r="F913" t="str">
        <x:f>IF('Release Gates'!C887="PLANNING","PASS",IF('Release Gates'!C887="PHYSICAL","OPEN","BLOCKED"))</x:f>
        <x:v>OPEN</x:v>
      </x:c>
      <x:c r="G913" t="str">
        <x:v>equals</x:v>
      </x:c>
      <x:c r="H913" t="str">
        <x:f>IF(E913=F913,"PASS","FAIL")</x:f>
        <x:v>PASS</x:v>
      </x:c>
    </x:row>
    <x:row r="914">
      <x:c r="B914" t="str">
        <x:v>A-00882</x:v>
      </x:c>
      <x:c r="C914" t="str">
        <x:v>GATE</x:v>
      </x:c>
      <x:c r="D914" t="str">
        <x:v>release state mirrors governing ledger</x:v>
      </x:c>
      <x:c r="E914" t="str">
        <x:f>'Release Gates'!I888</x:f>
        <x:v>OPEN</x:v>
      </x:c>
      <x:c r="F914" t="str">
        <x:f>IF('Release Gates'!C888="PLANNING","PASS",IF('Release Gates'!C888="PHYSICAL","OPEN","BLOCKED"))</x:f>
        <x:v>OPEN</x:v>
      </x:c>
      <x:c r="G914" t="str">
        <x:v>equals</x:v>
      </x:c>
      <x:c r="H914" t="str">
        <x:f>IF(E914=F914,"PASS","FAIL")</x:f>
        <x:v>PASS</x:v>
      </x:c>
    </x:row>
    <x:row r="915">
      <x:c r="B915" t="str">
        <x:v>A-00883</x:v>
      </x:c>
      <x:c r="C915" t="str">
        <x:v>GATE</x:v>
      </x:c>
      <x:c r="D915" t="str">
        <x:v>release state mirrors governing ledger</x:v>
      </x:c>
      <x:c r="E915" t="str">
        <x:f>'Release Gates'!I889</x:f>
        <x:v>OPEN</x:v>
      </x:c>
      <x:c r="F915" t="str">
        <x:f>IF('Release Gates'!C889="PLANNING","PASS",IF('Release Gates'!C889="PHYSICAL","OPEN","BLOCKED"))</x:f>
        <x:v>OPEN</x:v>
      </x:c>
      <x:c r="G915" t="str">
        <x:v>equals</x:v>
      </x:c>
      <x:c r="H915" t="str">
        <x:f>IF(E915=F915,"PASS","FAIL")</x:f>
        <x:v>PASS</x:v>
      </x:c>
    </x:row>
    <x:row r="916">
      <x:c r="B916" t="str">
        <x:v>A-00884</x:v>
      </x:c>
      <x:c r="C916" t="str">
        <x:v>GATE</x:v>
      </x:c>
      <x:c r="D916" t="str">
        <x:v>release state mirrors governing ledger</x:v>
      </x:c>
      <x:c r="E916" t="str">
        <x:f>'Release Gates'!I890</x:f>
        <x:v>OPEN</x:v>
      </x:c>
      <x:c r="F916" t="str">
        <x:f>IF('Release Gates'!C890="PLANNING","PASS",IF('Release Gates'!C890="PHYSICAL","OPEN","BLOCKED"))</x:f>
        <x:v>OPEN</x:v>
      </x:c>
      <x:c r="G916" t="str">
        <x:v>equals</x:v>
      </x:c>
      <x:c r="H916" t="str">
        <x:f>IF(E916=F916,"PASS","FAIL")</x:f>
        <x:v>PASS</x:v>
      </x:c>
    </x:row>
    <x:row r="917">
      <x:c r="B917" t="str">
        <x:v>A-00885</x:v>
      </x:c>
      <x:c r="C917" t="str">
        <x:v>GATE</x:v>
      </x:c>
      <x:c r="D917" t="str">
        <x:v>release state mirrors governing ledger</x:v>
      </x:c>
      <x:c r="E917" t="str">
        <x:f>'Release Gates'!I891</x:f>
        <x:v>OPEN</x:v>
      </x:c>
      <x:c r="F917" t="str">
        <x:f>IF('Release Gates'!C891="PLANNING","PASS",IF('Release Gates'!C891="PHYSICAL","OPEN","BLOCKED"))</x:f>
        <x:v>OPEN</x:v>
      </x:c>
      <x:c r="G917" t="str">
        <x:v>equals</x:v>
      </x:c>
      <x:c r="H917" t="str">
        <x:f>IF(E917=F917,"PASS","FAIL")</x:f>
        <x:v>PASS</x:v>
      </x:c>
    </x:row>
    <x:row r="918">
      <x:c r="B918" t="str">
        <x:v>A-00886</x:v>
      </x:c>
      <x:c r="C918" t="str">
        <x:v>GATE</x:v>
      </x:c>
      <x:c r="D918" t="str">
        <x:v>release state mirrors governing ledger</x:v>
      </x:c>
      <x:c r="E918" t="str">
        <x:f>'Release Gates'!I892</x:f>
        <x:v>OPEN</x:v>
      </x:c>
      <x:c r="F918" t="str">
        <x:f>IF('Release Gates'!C892="PLANNING","PASS",IF('Release Gates'!C892="PHYSICAL","OPEN","BLOCKED"))</x:f>
        <x:v>OPEN</x:v>
      </x:c>
      <x:c r="G918" t="str">
        <x:v>equals</x:v>
      </x:c>
      <x:c r="H918" t="str">
        <x:f>IF(E918=F918,"PASS","FAIL")</x:f>
        <x:v>PASS</x:v>
      </x:c>
    </x:row>
    <x:row r="919">
      <x:c r="B919" t="str">
        <x:v>A-00887</x:v>
      </x:c>
      <x:c r="C919" t="str">
        <x:v>GATE</x:v>
      </x:c>
      <x:c r="D919" t="str">
        <x:v>release state mirrors governing ledger</x:v>
      </x:c>
      <x:c r="E919" t="str">
        <x:f>'Release Gates'!I893</x:f>
        <x:v>OPEN</x:v>
      </x:c>
      <x:c r="F919" t="str">
        <x:f>IF('Release Gates'!C893="PLANNING","PASS",IF('Release Gates'!C893="PHYSICAL","OPEN","BLOCKED"))</x:f>
        <x:v>OPEN</x:v>
      </x:c>
      <x:c r="G919" t="str">
        <x:v>equals</x:v>
      </x:c>
      <x:c r="H919" t="str">
        <x:f>IF(E919=F919,"PASS","FAIL")</x:f>
        <x:v>PASS</x:v>
      </x:c>
    </x:row>
    <x:row r="920">
      <x:c r="B920" t="str">
        <x:v>A-00888</x:v>
      </x:c>
      <x:c r="C920" t="str">
        <x:v>GATE</x:v>
      </x:c>
      <x:c r="D920" t="str">
        <x:v>release state mirrors governing ledger</x:v>
      </x:c>
      <x:c r="E920" t="str">
        <x:f>'Release Gates'!I894</x:f>
        <x:v>OPEN</x:v>
      </x:c>
      <x:c r="F920" t="str">
        <x:f>IF('Release Gates'!C894="PLANNING","PASS",IF('Release Gates'!C894="PHYSICAL","OPEN","BLOCKED"))</x:f>
        <x:v>OPEN</x:v>
      </x:c>
      <x:c r="G920" t="str">
        <x:v>equals</x:v>
      </x:c>
      <x:c r="H920" t="str">
        <x:f>IF(E920=F920,"PASS","FAIL")</x:f>
        <x:v>PASS</x:v>
      </x:c>
    </x:row>
    <x:row r="921">
      <x:c r="B921" t="str">
        <x:v>A-00889</x:v>
      </x:c>
      <x:c r="C921" t="str">
        <x:v>GATE</x:v>
      </x:c>
      <x:c r="D921" t="str">
        <x:v>release state mirrors governing ledger</x:v>
      </x:c>
      <x:c r="E921" t="str">
        <x:f>'Release Gates'!I895</x:f>
        <x:v>OPEN</x:v>
      </x:c>
      <x:c r="F921" t="str">
        <x:f>IF('Release Gates'!C895="PLANNING","PASS",IF('Release Gates'!C895="PHYSICAL","OPEN","BLOCKED"))</x:f>
        <x:v>OPEN</x:v>
      </x:c>
      <x:c r="G921" t="str">
        <x:v>equals</x:v>
      </x:c>
      <x:c r="H921" t="str">
        <x:f>IF(E921=F921,"PASS","FAIL")</x:f>
        <x:v>PASS</x:v>
      </x:c>
    </x:row>
    <x:row r="922">
      <x:c r="B922" t="str">
        <x:v>A-00890</x:v>
      </x:c>
      <x:c r="C922" t="str">
        <x:v>GATE</x:v>
      </x:c>
      <x:c r="D922" t="str">
        <x:v>release state mirrors governing ledger</x:v>
      </x:c>
      <x:c r="E922" t="str">
        <x:f>'Release Gates'!I896</x:f>
        <x:v>OPEN</x:v>
      </x:c>
      <x:c r="F922" t="str">
        <x:f>IF('Release Gates'!C896="PLANNING","PASS",IF('Release Gates'!C896="PHYSICAL","OPEN","BLOCKED"))</x:f>
        <x:v>OPEN</x:v>
      </x:c>
      <x:c r="G922" t="str">
        <x:v>equals</x:v>
      </x:c>
      <x:c r="H922" t="str">
        <x:f>IF(E922=F922,"PASS","FAIL")</x:f>
        <x:v>PASS</x:v>
      </x:c>
    </x:row>
    <x:row r="923">
      <x:c r="B923" t="str">
        <x:v>A-00891</x:v>
      </x:c>
      <x:c r="C923" t="str">
        <x:v>GATE</x:v>
      </x:c>
      <x:c r="D923" t="str">
        <x:v>release state mirrors governing ledger</x:v>
      </x:c>
      <x:c r="E923" t="str">
        <x:f>'Release Gates'!I897</x:f>
        <x:v>OPEN</x:v>
      </x:c>
      <x:c r="F923" t="str">
        <x:f>IF('Release Gates'!C897="PLANNING","PASS",IF('Release Gates'!C897="PHYSICAL","OPEN","BLOCKED"))</x:f>
        <x:v>OPEN</x:v>
      </x:c>
      <x:c r="G923" t="str">
        <x:v>equals</x:v>
      </x:c>
      <x:c r="H923" t="str">
        <x:f>IF(E923=F923,"PASS","FAIL")</x:f>
        <x:v>PASS</x:v>
      </x:c>
    </x:row>
    <x:row r="924">
      <x:c r="B924" t="str">
        <x:v>A-00892</x:v>
      </x:c>
      <x:c r="C924" t="str">
        <x:v>GATE</x:v>
      </x:c>
      <x:c r="D924" t="str">
        <x:v>release state mirrors governing ledger</x:v>
      </x:c>
      <x:c r="E924" t="str">
        <x:f>'Release Gates'!I898</x:f>
        <x:v>OPEN</x:v>
      </x:c>
      <x:c r="F924" t="str">
        <x:f>IF('Release Gates'!C898="PLANNING","PASS",IF('Release Gates'!C898="PHYSICAL","OPEN","BLOCKED"))</x:f>
        <x:v>OPEN</x:v>
      </x:c>
      <x:c r="G924" t="str">
        <x:v>equals</x:v>
      </x:c>
      <x:c r="H924" t="str">
        <x:f>IF(E924=F924,"PASS","FAIL")</x:f>
        <x:v>PASS</x:v>
      </x:c>
    </x:row>
    <x:row r="925">
      <x:c r="B925" t="str">
        <x:v>A-00893</x:v>
      </x:c>
      <x:c r="C925" t="str">
        <x:v>GATE</x:v>
      </x:c>
      <x:c r="D925" t="str">
        <x:v>release state mirrors governing ledger</x:v>
      </x:c>
      <x:c r="E925" t="str">
        <x:f>'Release Gates'!I899</x:f>
        <x:v>OPEN</x:v>
      </x:c>
      <x:c r="F925" t="str">
        <x:f>IF('Release Gates'!C899="PLANNING","PASS",IF('Release Gates'!C899="PHYSICAL","OPEN","BLOCKED"))</x:f>
        <x:v>OPEN</x:v>
      </x:c>
      <x:c r="G925" t="str">
        <x:v>equals</x:v>
      </x:c>
      <x:c r="H925" t="str">
        <x:f>IF(E925=F925,"PASS","FAIL")</x:f>
        <x:v>PASS</x:v>
      </x:c>
    </x:row>
    <x:row r="926">
      <x:c r="B926" t="str">
        <x:v>A-00894</x:v>
      </x:c>
      <x:c r="C926" t="str">
        <x:v>GATE</x:v>
      </x:c>
      <x:c r="D926" t="str">
        <x:v>release state mirrors governing ledger</x:v>
      </x:c>
      <x:c r="E926" t="str">
        <x:f>'Release Gates'!I900</x:f>
        <x:v>OPEN</x:v>
      </x:c>
      <x:c r="F926" t="str">
        <x:f>IF('Release Gates'!C900="PLANNING","PASS",IF('Release Gates'!C900="PHYSICAL","OPEN","BLOCKED"))</x:f>
        <x:v>OPEN</x:v>
      </x:c>
      <x:c r="G926" t="str">
        <x:v>equals</x:v>
      </x:c>
      <x:c r="H926" t="str">
        <x:f>IF(E926=F926,"PASS","FAIL")</x:f>
        <x:v>PASS</x:v>
      </x:c>
    </x:row>
    <x:row r="927">
      <x:c r="B927" t="str">
        <x:v>A-00895</x:v>
      </x:c>
      <x:c r="C927" t="str">
        <x:v>GATE</x:v>
      </x:c>
      <x:c r="D927" t="str">
        <x:v>release state mirrors governing ledger</x:v>
      </x:c>
      <x:c r="E927" t="str">
        <x:f>'Release Gates'!I901</x:f>
        <x:v>OPEN</x:v>
      </x:c>
      <x:c r="F927" t="str">
        <x:f>IF('Release Gates'!C901="PLANNING","PASS",IF('Release Gates'!C901="PHYSICAL","OPEN","BLOCKED"))</x:f>
        <x:v>OPEN</x:v>
      </x:c>
      <x:c r="G927" t="str">
        <x:v>equals</x:v>
      </x:c>
      <x:c r="H927" t="str">
        <x:f>IF(E927=F927,"PASS","FAIL")</x:f>
        <x:v>PASS</x:v>
      </x:c>
    </x:row>
    <x:row r="928">
      <x:c r="B928" t="str">
        <x:v>A-00896</x:v>
      </x:c>
      <x:c r="C928" t="str">
        <x:v>GATE</x:v>
      </x:c>
      <x:c r="D928" t="str">
        <x:v>release state mirrors governing ledger</x:v>
      </x:c>
      <x:c r="E928" t="str">
        <x:f>'Release Gates'!I902</x:f>
        <x:v>OPEN</x:v>
      </x:c>
      <x:c r="F928" t="str">
        <x:f>IF('Release Gates'!C902="PLANNING","PASS",IF('Release Gates'!C902="PHYSICAL","OPEN","BLOCKED"))</x:f>
        <x:v>OPEN</x:v>
      </x:c>
      <x:c r="G928" t="str">
        <x:v>equals</x:v>
      </x:c>
      <x:c r="H928" t="str">
        <x:f>IF(E928=F928,"PASS","FAIL")</x:f>
        <x:v>PASS</x:v>
      </x:c>
    </x:row>
    <x:row r="929">
      <x:c r="B929" t="str">
        <x:v>A-00897</x:v>
      </x:c>
      <x:c r="C929" t="str">
        <x:v>GATE</x:v>
      </x:c>
      <x:c r="D929" t="str">
        <x:v>release state mirrors governing ledger</x:v>
      </x:c>
      <x:c r="E929" t="str">
        <x:f>'Release Gates'!I903</x:f>
        <x:v>OPEN</x:v>
      </x:c>
      <x:c r="F929" t="str">
        <x:f>IF('Release Gates'!C903="PLANNING","PASS",IF('Release Gates'!C903="PHYSICAL","OPEN","BLOCKED"))</x:f>
        <x:v>OPEN</x:v>
      </x:c>
      <x:c r="G929" t="str">
        <x:v>equals</x:v>
      </x:c>
      <x:c r="H929" t="str">
        <x:f>IF(E929=F929,"PASS","FAIL")</x:f>
        <x:v>PASS</x:v>
      </x:c>
    </x:row>
    <x:row r="930">
      <x:c r="B930" t="str">
        <x:v>A-00898</x:v>
      </x:c>
      <x:c r="C930" t="str">
        <x:v>GATE</x:v>
      </x:c>
      <x:c r="D930" t="str">
        <x:v>release state mirrors governing ledger</x:v>
      </x:c>
      <x:c r="E930" t="str">
        <x:f>'Release Gates'!I904</x:f>
        <x:v>OPEN</x:v>
      </x:c>
      <x:c r="F930" t="str">
        <x:f>IF('Release Gates'!C904="PLANNING","PASS",IF('Release Gates'!C904="PHYSICAL","OPEN","BLOCKED"))</x:f>
        <x:v>OPEN</x:v>
      </x:c>
      <x:c r="G930" t="str">
        <x:v>equals</x:v>
      </x:c>
      <x:c r="H930" t="str">
        <x:f>IF(E930=F930,"PASS","FAIL")</x:f>
        <x:v>PASS</x:v>
      </x:c>
    </x:row>
    <x:row r="931">
      <x:c r="B931" t="str">
        <x:v>A-00899</x:v>
      </x:c>
      <x:c r="C931" t="str">
        <x:v>GATE</x:v>
      </x:c>
      <x:c r="D931" t="str">
        <x:v>release state mirrors governing ledger</x:v>
      </x:c>
      <x:c r="E931" t="str">
        <x:f>'Release Gates'!I905</x:f>
        <x:v>OPEN</x:v>
      </x:c>
      <x:c r="F931" t="str">
        <x:f>IF('Release Gates'!C905="PLANNING","PASS",IF('Release Gates'!C905="PHYSICAL","OPEN","BLOCKED"))</x:f>
        <x:v>OPEN</x:v>
      </x:c>
      <x:c r="G931" t="str">
        <x:v>equals</x:v>
      </x:c>
      <x:c r="H931" t="str">
        <x:f>IF(E931=F931,"PASS","FAIL")</x:f>
        <x:v>PASS</x:v>
      </x:c>
    </x:row>
    <x:row r="932">
      <x:c r="B932" t="str">
        <x:v>A-00900</x:v>
      </x:c>
      <x:c r="C932" t="str">
        <x:v>GATE</x:v>
      </x:c>
      <x:c r="D932" t="str">
        <x:v>release state mirrors governing ledger</x:v>
      </x:c>
      <x:c r="E932" t="str">
        <x:f>'Release Gates'!I906</x:f>
        <x:v>OPEN</x:v>
      </x:c>
      <x:c r="F932" t="str">
        <x:f>IF('Release Gates'!C906="PLANNING","PASS",IF('Release Gates'!C906="PHYSICAL","OPEN","BLOCKED"))</x:f>
        <x:v>OPEN</x:v>
      </x:c>
      <x:c r="G932" t="str">
        <x:v>equals</x:v>
      </x:c>
      <x:c r="H932" t="str">
        <x:f>IF(E932=F932,"PASS","FAIL")</x:f>
        <x:v>PASS</x:v>
      </x:c>
    </x:row>
    <x:row r="933">
      <x:c r="B933" t="str">
        <x:v>A-00901</x:v>
      </x:c>
      <x:c r="C933" t="str">
        <x:v>GATE</x:v>
      </x:c>
      <x:c r="D933" t="str">
        <x:v>release state mirrors governing ledger</x:v>
      </x:c>
      <x:c r="E933" t="str">
        <x:f>'Release Gates'!I907</x:f>
        <x:v>OPEN</x:v>
      </x:c>
      <x:c r="F933" t="str">
        <x:f>IF('Release Gates'!C907="PLANNING","PASS",IF('Release Gates'!C907="PHYSICAL","OPEN","BLOCKED"))</x:f>
        <x:v>OPEN</x:v>
      </x:c>
      <x:c r="G933" t="str">
        <x:v>equals</x:v>
      </x:c>
      <x:c r="H933" t="str">
        <x:f>IF(E933=F933,"PASS","FAIL")</x:f>
        <x:v>PASS</x:v>
      </x:c>
    </x:row>
    <x:row r="934">
      <x:c r="B934" t="str">
        <x:v>A-00902</x:v>
      </x:c>
      <x:c r="C934" t="str">
        <x:v>GATE</x:v>
      </x:c>
      <x:c r="D934" t="str">
        <x:v>release state mirrors governing ledger</x:v>
      </x:c>
      <x:c r="E934" t="str">
        <x:f>'Release Gates'!I908</x:f>
        <x:v>OPEN</x:v>
      </x:c>
      <x:c r="F934" t="str">
        <x:f>IF('Release Gates'!C908="PLANNING","PASS",IF('Release Gates'!C908="PHYSICAL","OPEN","BLOCKED"))</x:f>
        <x:v>OPEN</x:v>
      </x:c>
      <x:c r="G934" t="str">
        <x:v>equals</x:v>
      </x:c>
      <x:c r="H934" t="str">
        <x:f>IF(E934=F934,"PASS","FAIL")</x:f>
        <x:v>PASS</x:v>
      </x:c>
    </x:row>
    <x:row r="935">
      <x:c r="B935" t="str">
        <x:v>A-00903</x:v>
      </x:c>
      <x:c r="C935" t="str">
        <x:v>GATE</x:v>
      </x:c>
      <x:c r="D935" t="str">
        <x:v>release state mirrors governing ledger</x:v>
      </x:c>
      <x:c r="E935" t="str">
        <x:f>'Release Gates'!I909</x:f>
        <x:v>OPEN</x:v>
      </x:c>
      <x:c r="F935" t="str">
        <x:f>IF('Release Gates'!C909="PLANNING","PASS",IF('Release Gates'!C909="PHYSICAL","OPEN","BLOCKED"))</x:f>
        <x:v>OPEN</x:v>
      </x:c>
      <x:c r="G935" t="str">
        <x:v>equals</x:v>
      </x:c>
      <x:c r="H935" t="str">
        <x:f>IF(E935=F935,"PASS","FAIL")</x:f>
        <x:v>PASS</x:v>
      </x:c>
    </x:row>
    <x:row r="936">
      <x:c r="B936" t="str">
        <x:v>A-00904</x:v>
      </x:c>
      <x:c r="C936" t="str">
        <x:v>GATE</x:v>
      </x:c>
      <x:c r="D936" t="str">
        <x:v>release state mirrors governing ledger</x:v>
      </x:c>
      <x:c r="E936" t="str">
        <x:f>'Release Gates'!I910</x:f>
        <x:v>OPEN</x:v>
      </x:c>
      <x:c r="F936" t="str">
        <x:f>IF('Release Gates'!C910="PLANNING","PASS",IF('Release Gates'!C910="PHYSICAL","OPEN","BLOCKED"))</x:f>
        <x:v>OPEN</x:v>
      </x:c>
      <x:c r="G936" t="str">
        <x:v>equals</x:v>
      </x:c>
      <x:c r="H936" t="str">
        <x:f>IF(E936=F936,"PASS","FAIL")</x:f>
        <x:v>PASS</x:v>
      </x:c>
    </x:row>
    <x:row r="937">
      <x:c r="B937" t="str">
        <x:v>A-00905</x:v>
      </x:c>
      <x:c r="C937" t="str">
        <x:v>GATE</x:v>
      </x:c>
      <x:c r="D937" t="str">
        <x:v>release state mirrors governing ledger</x:v>
      </x:c>
      <x:c r="E937" t="str">
        <x:f>'Release Gates'!I911</x:f>
        <x:v>OPEN</x:v>
      </x:c>
      <x:c r="F937" t="str">
        <x:f>IF('Release Gates'!C911="PLANNING","PASS",IF('Release Gates'!C911="PHYSICAL","OPEN","BLOCKED"))</x:f>
        <x:v>OPEN</x:v>
      </x:c>
      <x:c r="G937" t="str">
        <x:v>equals</x:v>
      </x:c>
      <x:c r="H937" t="str">
        <x:f>IF(E937=F937,"PASS","FAIL")</x:f>
        <x:v>PASS</x:v>
      </x:c>
    </x:row>
    <x:row r="938">
      <x:c r="B938" t="str">
        <x:v>A-00906</x:v>
      </x:c>
      <x:c r="C938" t="str">
        <x:v>GATE</x:v>
      </x:c>
      <x:c r="D938" t="str">
        <x:v>release state mirrors governing ledger</x:v>
      </x:c>
      <x:c r="E938" t="str">
        <x:f>'Release Gates'!I912</x:f>
        <x:v>OPEN</x:v>
      </x:c>
      <x:c r="F938" t="str">
        <x:f>IF('Release Gates'!C912="PLANNING","PASS",IF('Release Gates'!C912="PHYSICAL","OPEN","BLOCKED"))</x:f>
        <x:v>OPEN</x:v>
      </x:c>
      <x:c r="G938" t="str">
        <x:v>equals</x:v>
      </x:c>
      <x:c r="H938" t="str">
        <x:f>IF(E938=F938,"PASS","FAIL")</x:f>
        <x:v>PASS</x:v>
      </x:c>
    </x:row>
    <x:row r="939">
      <x:c r="B939" t="str">
        <x:v>A-00907</x:v>
      </x:c>
      <x:c r="C939" t="str">
        <x:v>GATE</x:v>
      </x:c>
      <x:c r="D939" t="str">
        <x:v>release state mirrors governing ledger</x:v>
      </x:c>
      <x:c r="E939" t="str">
        <x:f>'Release Gates'!I913</x:f>
        <x:v>OPEN</x:v>
      </x:c>
      <x:c r="F939" t="str">
        <x:f>IF('Release Gates'!C913="PLANNING","PASS",IF('Release Gates'!C913="PHYSICAL","OPEN","BLOCKED"))</x:f>
        <x:v>OPEN</x:v>
      </x:c>
      <x:c r="G939" t="str">
        <x:v>equals</x:v>
      </x:c>
      <x:c r="H939" t="str">
        <x:f>IF(E939=F939,"PASS","FAIL")</x:f>
        <x:v>PASS</x:v>
      </x:c>
    </x:row>
    <x:row r="940">
      <x:c r="B940" t="str">
        <x:v>A-00908</x:v>
      </x:c>
      <x:c r="C940" t="str">
        <x:v>GATE</x:v>
      </x:c>
      <x:c r="D940" t="str">
        <x:v>release state mirrors governing ledger</x:v>
      </x:c>
      <x:c r="E940" t="str">
        <x:f>'Release Gates'!I914</x:f>
        <x:v>OPEN</x:v>
      </x:c>
      <x:c r="F940" t="str">
        <x:f>IF('Release Gates'!C914="PLANNING","PASS",IF('Release Gates'!C914="PHYSICAL","OPEN","BLOCKED"))</x:f>
        <x:v>OPEN</x:v>
      </x:c>
      <x:c r="G940" t="str">
        <x:v>equals</x:v>
      </x:c>
      <x:c r="H940" t="str">
        <x:f>IF(E940=F940,"PASS","FAIL")</x:f>
        <x:v>PASS</x:v>
      </x:c>
    </x:row>
    <x:row r="941">
      <x:c r="B941" t="str">
        <x:v>A-00909</x:v>
      </x:c>
      <x:c r="C941" t="str">
        <x:v>GATE</x:v>
      </x:c>
      <x:c r="D941" t="str">
        <x:v>release state mirrors governing ledger</x:v>
      </x:c>
      <x:c r="E941" t="str">
        <x:f>'Release Gates'!I915</x:f>
        <x:v>OPEN</x:v>
      </x:c>
      <x:c r="F941" t="str">
        <x:f>IF('Release Gates'!C915="PLANNING","PASS",IF('Release Gates'!C915="PHYSICAL","OPEN","BLOCKED"))</x:f>
        <x:v>OPEN</x:v>
      </x:c>
      <x:c r="G941" t="str">
        <x:v>equals</x:v>
      </x:c>
      <x:c r="H941" t="str">
        <x:f>IF(E941=F941,"PASS","FAIL")</x:f>
        <x:v>PASS</x:v>
      </x:c>
    </x:row>
    <x:row r="942">
      <x:c r="B942" t="str">
        <x:v>A-00910</x:v>
      </x:c>
      <x:c r="C942" t="str">
        <x:v>GATE</x:v>
      </x:c>
      <x:c r="D942" t="str">
        <x:v>release state mirrors governing ledger</x:v>
      </x:c>
      <x:c r="E942" t="str">
        <x:f>'Release Gates'!I916</x:f>
        <x:v>OPEN</x:v>
      </x:c>
      <x:c r="F942" t="str">
        <x:f>IF('Release Gates'!C916="PLANNING","PASS",IF('Release Gates'!C916="PHYSICAL","OPEN","BLOCKED"))</x:f>
        <x:v>OPEN</x:v>
      </x:c>
      <x:c r="G942" t="str">
        <x:v>equals</x:v>
      </x:c>
      <x:c r="H942" t="str">
        <x:f>IF(E942=F942,"PASS","FAIL")</x:f>
        <x:v>PASS</x:v>
      </x:c>
    </x:row>
    <x:row r="943">
      <x:c r="B943" t="str">
        <x:v>A-00911</x:v>
      </x:c>
      <x:c r="C943" t="str">
        <x:v>GATE</x:v>
      </x:c>
      <x:c r="D943" t="str">
        <x:v>release state mirrors governing ledger</x:v>
      </x:c>
      <x:c r="E943" t="str">
        <x:f>'Release Gates'!I917</x:f>
        <x:v>OPEN</x:v>
      </x:c>
      <x:c r="F943" t="str">
        <x:f>IF('Release Gates'!C917="PLANNING","PASS",IF('Release Gates'!C917="PHYSICAL","OPEN","BLOCKED"))</x:f>
        <x:v>OPEN</x:v>
      </x:c>
      <x:c r="G943" t="str">
        <x:v>equals</x:v>
      </x:c>
      <x:c r="H943" t="str">
        <x:f>IF(E943=F943,"PASS","FAIL")</x:f>
        <x:v>PASS</x:v>
      </x:c>
    </x:row>
    <x:row r="944">
      <x:c r="B944" t="str">
        <x:v>A-00912</x:v>
      </x:c>
      <x:c r="C944" t="str">
        <x:v>GATE</x:v>
      </x:c>
      <x:c r="D944" t="str">
        <x:v>release state mirrors governing ledger</x:v>
      </x:c>
      <x:c r="E944" t="str">
        <x:f>'Release Gates'!I918</x:f>
        <x:v>OPEN</x:v>
      </x:c>
      <x:c r="F944" t="str">
        <x:f>IF('Release Gates'!C918="PLANNING","PASS",IF('Release Gates'!C918="PHYSICAL","OPEN","BLOCKED"))</x:f>
        <x:v>OPEN</x:v>
      </x:c>
      <x:c r="G944" t="str">
        <x:v>equals</x:v>
      </x:c>
      <x:c r="H944" t="str">
        <x:f>IF(E944=F944,"PASS","FAIL")</x:f>
        <x:v>PASS</x:v>
      </x:c>
    </x:row>
    <x:row r="945">
      <x:c r="B945" t="str">
        <x:v>A-00913</x:v>
      </x:c>
      <x:c r="C945" t="str">
        <x:v>GATE</x:v>
      </x:c>
      <x:c r="D945" t="str">
        <x:v>release state mirrors governing ledger</x:v>
      </x:c>
      <x:c r="E945" t="str">
        <x:f>'Release Gates'!I919</x:f>
        <x:v>OPEN</x:v>
      </x:c>
      <x:c r="F945" t="str">
        <x:f>IF('Release Gates'!C919="PLANNING","PASS",IF('Release Gates'!C919="PHYSICAL","OPEN","BLOCKED"))</x:f>
        <x:v>OPEN</x:v>
      </x:c>
      <x:c r="G945" t="str">
        <x:v>equals</x:v>
      </x:c>
      <x:c r="H945" t="str">
        <x:f>IF(E945=F945,"PASS","FAIL")</x:f>
        <x:v>PASS</x:v>
      </x:c>
    </x:row>
    <x:row r="946">
      <x:c r="B946" t="str">
        <x:v>A-00914</x:v>
      </x:c>
      <x:c r="C946" t="str">
        <x:v>GATE</x:v>
      </x:c>
      <x:c r="D946" t="str">
        <x:v>release state mirrors governing ledger</x:v>
      </x:c>
      <x:c r="E946" t="str">
        <x:f>'Release Gates'!I920</x:f>
        <x:v>OPEN</x:v>
      </x:c>
      <x:c r="F946" t="str">
        <x:f>IF('Release Gates'!C920="PLANNING","PASS",IF('Release Gates'!C920="PHYSICAL","OPEN","BLOCKED"))</x:f>
        <x:v>OPEN</x:v>
      </x:c>
      <x:c r="G946" t="str">
        <x:v>equals</x:v>
      </x:c>
      <x:c r="H946" t="str">
        <x:f>IF(E946=F946,"PASS","FAIL")</x:f>
        <x:v>PASS</x:v>
      </x:c>
    </x:row>
    <x:row r="947">
      <x:c r="B947" t="str">
        <x:v>A-00915</x:v>
      </x:c>
      <x:c r="C947" t="str">
        <x:v>GATE</x:v>
      </x:c>
      <x:c r="D947" t="str">
        <x:v>release state mirrors governing ledger</x:v>
      </x:c>
      <x:c r="E947" t="str">
        <x:f>'Release Gates'!I921</x:f>
        <x:v>OPEN</x:v>
      </x:c>
      <x:c r="F947" t="str">
        <x:f>IF('Release Gates'!C921="PLANNING","PASS",IF('Release Gates'!C921="PHYSICAL","OPEN","BLOCKED"))</x:f>
        <x:v>OPEN</x:v>
      </x:c>
      <x:c r="G947" t="str">
        <x:v>equals</x:v>
      </x:c>
      <x:c r="H947" t="str">
        <x:f>IF(E947=F947,"PASS","FAIL")</x:f>
        <x:v>PASS</x:v>
      </x:c>
    </x:row>
    <x:row r="948">
      <x:c r="B948" t="str">
        <x:v>A-00916</x:v>
      </x:c>
      <x:c r="C948" t="str">
        <x:v>GATE</x:v>
      </x:c>
      <x:c r="D948" t="str">
        <x:v>release state mirrors governing ledger</x:v>
      </x:c>
      <x:c r="E948" t="str">
        <x:f>'Release Gates'!I922</x:f>
        <x:v>OPEN</x:v>
      </x:c>
      <x:c r="F948" t="str">
        <x:f>IF('Release Gates'!C922="PLANNING","PASS",IF('Release Gates'!C922="PHYSICAL","OPEN","BLOCKED"))</x:f>
        <x:v>OPEN</x:v>
      </x:c>
      <x:c r="G948" t="str">
        <x:v>equals</x:v>
      </x:c>
      <x:c r="H948" t="str">
        <x:f>IF(E948=F948,"PASS","FAIL")</x:f>
        <x:v>PASS</x:v>
      </x:c>
    </x:row>
    <x:row r="949">
      <x:c r="B949" t="str">
        <x:v>A-00917</x:v>
      </x:c>
      <x:c r="C949" t="str">
        <x:v>GATE</x:v>
      </x:c>
      <x:c r="D949" t="str">
        <x:v>release state mirrors governing ledger</x:v>
      </x:c>
      <x:c r="E949" t="str">
        <x:f>'Release Gates'!I923</x:f>
        <x:v>OPEN</x:v>
      </x:c>
      <x:c r="F949" t="str">
        <x:f>IF('Release Gates'!C923="PLANNING","PASS",IF('Release Gates'!C923="PHYSICAL","OPEN","BLOCKED"))</x:f>
        <x:v>OPEN</x:v>
      </x:c>
      <x:c r="G949" t="str">
        <x:v>equals</x:v>
      </x:c>
      <x:c r="H949" t="str">
        <x:f>IF(E949=F949,"PASS","FAIL")</x:f>
        <x:v>PASS</x:v>
      </x:c>
    </x:row>
    <x:row r="950">
      <x:c r="B950" t="str">
        <x:v>A-00918</x:v>
      </x:c>
      <x:c r="C950" t="str">
        <x:v>GATE</x:v>
      </x:c>
      <x:c r="D950" t="str">
        <x:v>release state mirrors governing ledger</x:v>
      </x:c>
      <x:c r="E950" t="str">
        <x:f>'Release Gates'!I924</x:f>
        <x:v>OPEN</x:v>
      </x:c>
      <x:c r="F950" t="str">
        <x:f>IF('Release Gates'!C924="PLANNING","PASS",IF('Release Gates'!C924="PHYSICAL","OPEN","BLOCKED"))</x:f>
        <x:v>OPEN</x:v>
      </x:c>
      <x:c r="G950" t="str">
        <x:v>equals</x:v>
      </x:c>
      <x:c r="H950" t="str">
        <x:f>IF(E950=F950,"PASS","FAIL")</x:f>
        <x:v>PASS</x:v>
      </x:c>
    </x:row>
    <x:row r="951">
      <x:c r="B951" t="str">
        <x:v>A-00919</x:v>
      </x:c>
      <x:c r="C951" t="str">
        <x:v>GATE</x:v>
      </x:c>
      <x:c r="D951" t="str">
        <x:v>release state mirrors governing ledger</x:v>
      </x:c>
      <x:c r="E951" t="str">
        <x:f>'Release Gates'!I925</x:f>
        <x:v>OPEN</x:v>
      </x:c>
      <x:c r="F951" t="str">
        <x:f>IF('Release Gates'!C925="PLANNING","PASS",IF('Release Gates'!C925="PHYSICAL","OPEN","BLOCKED"))</x:f>
        <x:v>OPEN</x:v>
      </x:c>
      <x:c r="G951" t="str">
        <x:v>equals</x:v>
      </x:c>
      <x:c r="H951" t="str">
        <x:f>IF(E951=F951,"PASS","FAIL")</x:f>
        <x:v>PASS</x:v>
      </x:c>
    </x:row>
    <x:row r="952">
      <x:c r="B952" t="str">
        <x:v>A-00920</x:v>
      </x:c>
      <x:c r="C952" t="str">
        <x:v>GATE</x:v>
      </x:c>
      <x:c r="D952" t="str">
        <x:v>release state mirrors governing ledger</x:v>
      </x:c>
      <x:c r="E952" t="str">
        <x:f>'Release Gates'!I926</x:f>
        <x:v>OPEN</x:v>
      </x:c>
      <x:c r="F952" t="str">
        <x:f>IF('Release Gates'!C926="PLANNING","PASS",IF('Release Gates'!C926="PHYSICAL","OPEN","BLOCKED"))</x:f>
        <x:v>OPEN</x:v>
      </x:c>
      <x:c r="G952" t="str">
        <x:v>equals</x:v>
      </x:c>
      <x:c r="H952" t="str">
        <x:f>IF(E952=F952,"PASS","FAIL")</x:f>
        <x:v>PASS</x:v>
      </x:c>
    </x:row>
    <x:row r="953">
      <x:c r="B953" t="str">
        <x:v>A-00921</x:v>
      </x:c>
      <x:c r="C953" t="str">
        <x:v>GATE</x:v>
      </x:c>
      <x:c r="D953" t="str">
        <x:v>release state mirrors governing ledger</x:v>
      </x:c>
      <x:c r="E953" t="str">
        <x:f>'Release Gates'!I927</x:f>
        <x:v>OPEN</x:v>
      </x:c>
      <x:c r="F953" t="str">
        <x:f>IF('Release Gates'!C927="PLANNING","PASS",IF('Release Gates'!C927="PHYSICAL","OPEN","BLOCKED"))</x:f>
        <x:v>OPEN</x:v>
      </x:c>
      <x:c r="G953" t="str">
        <x:v>equals</x:v>
      </x:c>
      <x:c r="H953" t="str">
        <x:f>IF(E953=F953,"PASS","FAIL")</x:f>
        <x:v>PASS</x:v>
      </x:c>
    </x:row>
    <x:row r="954">
      <x:c r="B954" t="str">
        <x:v>A-00922</x:v>
      </x:c>
      <x:c r="C954" t="str">
        <x:v>GATE</x:v>
      </x:c>
      <x:c r="D954" t="str">
        <x:v>release state mirrors governing ledger</x:v>
      </x:c>
      <x:c r="E954" t="str">
        <x:f>'Release Gates'!I928</x:f>
        <x:v>OPEN</x:v>
      </x:c>
      <x:c r="F954" t="str">
        <x:f>IF('Release Gates'!C928="PLANNING","PASS",IF('Release Gates'!C928="PHYSICAL","OPEN","BLOCKED"))</x:f>
        <x:v>OPEN</x:v>
      </x:c>
      <x:c r="G954" t="str">
        <x:v>equals</x:v>
      </x:c>
      <x:c r="H954" t="str">
        <x:f>IF(E954=F954,"PASS","FAIL")</x:f>
        <x:v>PASS</x:v>
      </x:c>
    </x:row>
    <x:row r="955">
      <x:c r="B955" t="str">
        <x:v>A-00923</x:v>
      </x:c>
      <x:c r="C955" t="str">
        <x:v>GATE</x:v>
      </x:c>
      <x:c r="D955" t="str">
        <x:v>release state mirrors governing ledger</x:v>
      </x:c>
      <x:c r="E955" t="str">
        <x:f>'Release Gates'!I929</x:f>
        <x:v>OPEN</x:v>
      </x:c>
      <x:c r="F955" t="str">
        <x:f>IF('Release Gates'!C929="PLANNING","PASS",IF('Release Gates'!C929="PHYSICAL","OPEN","BLOCKED"))</x:f>
        <x:v>OPEN</x:v>
      </x:c>
      <x:c r="G955" t="str">
        <x:v>equals</x:v>
      </x:c>
      <x:c r="H955" t="str">
        <x:f>IF(E955=F955,"PASS","FAIL")</x:f>
        <x:v>PASS</x:v>
      </x:c>
    </x:row>
    <x:row r="956">
      <x:c r="B956" t="str">
        <x:v>A-00924</x:v>
      </x:c>
      <x:c r="C956" t="str">
        <x:v>GATE</x:v>
      </x:c>
      <x:c r="D956" t="str">
        <x:v>release state mirrors governing ledger</x:v>
      </x:c>
      <x:c r="E956" t="str">
        <x:f>'Release Gates'!I930</x:f>
        <x:v>OPEN</x:v>
      </x:c>
      <x:c r="F956" t="str">
        <x:f>IF('Release Gates'!C930="PLANNING","PASS",IF('Release Gates'!C930="PHYSICAL","OPEN","BLOCKED"))</x:f>
        <x:v>OPEN</x:v>
      </x:c>
      <x:c r="G956" t="str">
        <x:v>equals</x:v>
      </x:c>
      <x:c r="H956" t="str">
        <x:f>IF(E956=F956,"PASS","FAIL")</x:f>
        <x:v>PASS</x:v>
      </x:c>
    </x:row>
    <x:row r="957">
      <x:c r="B957" t="str">
        <x:v>A-00925</x:v>
      </x:c>
      <x:c r="C957" t="str">
        <x:v>GATE</x:v>
      </x:c>
      <x:c r="D957" t="str">
        <x:v>release state mirrors governing ledger</x:v>
      </x:c>
      <x:c r="E957" t="str">
        <x:f>'Release Gates'!I931</x:f>
        <x:v>OPEN</x:v>
      </x:c>
      <x:c r="F957" t="str">
        <x:f>IF('Release Gates'!C931="PLANNING","PASS",IF('Release Gates'!C931="PHYSICAL","OPEN","BLOCKED"))</x:f>
        <x:v>OPEN</x:v>
      </x:c>
      <x:c r="G957" t="str">
        <x:v>equals</x:v>
      </x:c>
      <x:c r="H957" t="str">
        <x:f>IF(E957=F957,"PASS","FAIL")</x:f>
        <x:v>PASS</x:v>
      </x:c>
    </x:row>
    <x:row r="958">
      <x:c r="B958" t="str">
        <x:v>A-00926</x:v>
      </x:c>
      <x:c r="C958" t="str">
        <x:v>GATE</x:v>
      </x:c>
      <x:c r="D958" t="str">
        <x:v>release state mirrors governing ledger</x:v>
      </x:c>
      <x:c r="E958" t="str">
        <x:f>'Release Gates'!I932</x:f>
        <x:v>OPEN</x:v>
      </x:c>
      <x:c r="F958" t="str">
        <x:f>IF('Release Gates'!C932="PLANNING","PASS",IF('Release Gates'!C932="PHYSICAL","OPEN","BLOCKED"))</x:f>
        <x:v>OPEN</x:v>
      </x:c>
      <x:c r="G958" t="str">
        <x:v>equals</x:v>
      </x:c>
      <x:c r="H958" t="str">
        <x:f>IF(E958=F958,"PASS","FAIL")</x:f>
        <x:v>PASS</x:v>
      </x:c>
    </x:row>
    <x:row r="959">
      <x:c r="B959" t="str">
        <x:v>A-00927</x:v>
      </x:c>
      <x:c r="C959" t="str">
        <x:v>GATE</x:v>
      </x:c>
      <x:c r="D959" t="str">
        <x:v>release state mirrors governing ledger</x:v>
      </x:c>
      <x:c r="E959" t="str">
        <x:f>'Release Gates'!I933</x:f>
        <x:v>OPEN</x:v>
      </x:c>
      <x:c r="F959" t="str">
        <x:f>IF('Release Gates'!C933="PLANNING","PASS",IF('Release Gates'!C933="PHYSICAL","OPEN","BLOCKED"))</x:f>
        <x:v>OPEN</x:v>
      </x:c>
      <x:c r="G959" t="str">
        <x:v>equals</x:v>
      </x:c>
      <x:c r="H959" t="str">
        <x:f>IF(E959=F959,"PASS","FAIL")</x:f>
        <x:v>PASS</x:v>
      </x:c>
    </x:row>
    <x:row r="960">
      <x:c r="B960" t="str">
        <x:v>A-00928</x:v>
      </x:c>
      <x:c r="C960" t="str">
        <x:v>GATE</x:v>
      </x:c>
      <x:c r="D960" t="str">
        <x:v>release state mirrors governing ledger</x:v>
      </x:c>
      <x:c r="E960" t="str">
        <x:f>'Release Gates'!I934</x:f>
        <x:v>OPEN</x:v>
      </x:c>
      <x:c r="F960" t="str">
        <x:f>IF('Release Gates'!C934="PLANNING","PASS",IF('Release Gates'!C934="PHYSICAL","OPEN","BLOCKED"))</x:f>
        <x:v>OPEN</x:v>
      </x:c>
      <x:c r="G960" t="str">
        <x:v>equals</x:v>
      </x:c>
      <x:c r="H960" t="str">
        <x:f>IF(E960=F960,"PASS","FAIL")</x:f>
        <x:v>PASS</x:v>
      </x:c>
    </x:row>
    <x:row r="961">
      <x:c r="B961" t="str">
        <x:v>A-00929</x:v>
      </x:c>
      <x:c r="C961" t="str">
        <x:v>GATE</x:v>
      </x:c>
      <x:c r="D961" t="str">
        <x:v>release state mirrors governing ledger</x:v>
      </x:c>
      <x:c r="E961" t="str">
        <x:f>'Release Gates'!I935</x:f>
        <x:v>OPEN</x:v>
      </x:c>
      <x:c r="F961" t="str">
        <x:f>IF('Release Gates'!C935="PLANNING","PASS",IF('Release Gates'!C935="PHYSICAL","OPEN","BLOCKED"))</x:f>
        <x:v>OPEN</x:v>
      </x:c>
      <x:c r="G961" t="str">
        <x:v>equals</x:v>
      </x:c>
      <x:c r="H961" t="str">
        <x:f>IF(E961=F961,"PASS","FAIL")</x:f>
        <x:v>PASS</x:v>
      </x:c>
    </x:row>
    <x:row r="962">
      <x:c r="B962" t="str">
        <x:v>A-00930</x:v>
      </x:c>
      <x:c r="C962" t="str">
        <x:v>GATE</x:v>
      </x:c>
      <x:c r="D962" t="str">
        <x:v>release state mirrors governing ledger</x:v>
      </x:c>
      <x:c r="E962" t="str">
        <x:f>'Release Gates'!I936</x:f>
        <x:v>OPEN</x:v>
      </x:c>
      <x:c r="F962" t="str">
        <x:f>IF('Release Gates'!C936="PLANNING","PASS",IF('Release Gates'!C936="PHYSICAL","OPEN","BLOCKED"))</x:f>
        <x:v>OPEN</x:v>
      </x:c>
      <x:c r="G962" t="str">
        <x:v>equals</x:v>
      </x:c>
      <x:c r="H962" t="str">
        <x:f>IF(E962=F962,"PASS","FAIL")</x:f>
        <x:v>PASS</x:v>
      </x:c>
    </x:row>
    <x:row r="963">
      <x:c r="B963" t="str">
        <x:v>A-00931</x:v>
      </x:c>
      <x:c r="C963" t="str">
        <x:v>GATE</x:v>
      </x:c>
      <x:c r="D963" t="str">
        <x:v>release state mirrors governing ledger</x:v>
      </x:c>
      <x:c r="E963" t="str">
        <x:f>'Release Gates'!I937</x:f>
        <x:v>OPEN</x:v>
      </x:c>
      <x:c r="F963" t="str">
        <x:f>IF('Release Gates'!C937="PLANNING","PASS",IF('Release Gates'!C937="PHYSICAL","OPEN","BLOCKED"))</x:f>
        <x:v>OPEN</x:v>
      </x:c>
      <x:c r="G963" t="str">
        <x:v>equals</x:v>
      </x:c>
      <x:c r="H963" t="str">
        <x:f>IF(E963=F963,"PASS","FAIL")</x:f>
        <x:v>PASS</x:v>
      </x:c>
    </x:row>
    <x:row r="964">
      <x:c r="B964" t="str">
        <x:v>A-00932</x:v>
      </x:c>
      <x:c r="C964" t="str">
        <x:v>GATE</x:v>
      </x:c>
      <x:c r="D964" t="str">
        <x:v>release state mirrors governing ledger</x:v>
      </x:c>
      <x:c r="E964" t="str">
        <x:f>'Release Gates'!I938</x:f>
        <x:v>OPEN</x:v>
      </x:c>
      <x:c r="F964" t="str">
        <x:f>IF('Release Gates'!C938="PLANNING","PASS",IF('Release Gates'!C938="PHYSICAL","OPEN","BLOCKED"))</x:f>
        <x:v>OPEN</x:v>
      </x:c>
      <x:c r="G964" t="str">
        <x:v>equals</x:v>
      </x:c>
      <x:c r="H964" t="str">
        <x:f>IF(E964=F964,"PASS","FAIL")</x:f>
        <x:v>PASS</x:v>
      </x:c>
    </x:row>
    <x:row r="965">
      <x:c r="B965" t="str">
        <x:v>A-00933</x:v>
      </x:c>
      <x:c r="C965" t="str">
        <x:v>GATE</x:v>
      </x:c>
      <x:c r="D965" t="str">
        <x:v>release state mirrors governing ledger</x:v>
      </x:c>
      <x:c r="E965" t="str">
        <x:f>'Release Gates'!I939</x:f>
        <x:v>OPEN</x:v>
      </x:c>
      <x:c r="F965" t="str">
        <x:f>IF('Release Gates'!C939="PLANNING","PASS",IF('Release Gates'!C939="PHYSICAL","OPEN","BLOCKED"))</x:f>
        <x:v>OPEN</x:v>
      </x:c>
      <x:c r="G965" t="str">
        <x:v>equals</x:v>
      </x:c>
      <x:c r="H965" t="str">
        <x:f>IF(E965=F965,"PASS","FAIL")</x:f>
        <x:v>PASS</x:v>
      </x:c>
    </x:row>
    <x:row r="966">
      <x:c r="B966" t="str">
        <x:v>A-00934</x:v>
      </x:c>
      <x:c r="C966" t="str">
        <x:v>GATE</x:v>
      </x:c>
      <x:c r="D966" t="str">
        <x:v>release state mirrors governing ledger</x:v>
      </x:c>
      <x:c r="E966" t="str">
        <x:f>'Release Gates'!I940</x:f>
        <x:v>OPEN</x:v>
      </x:c>
      <x:c r="F966" t="str">
        <x:f>IF('Release Gates'!C940="PLANNING","PASS",IF('Release Gates'!C940="PHYSICAL","OPEN","BLOCKED"))</x:f>
        <x:v>OPEN</x:v>
      </x:c>
      <x:c r="G966" t="str">
        <x:v>equals</x:v>
      </x:c>
      <x:c r="H966" t="str">
        <x:f>IF(E966=F966,"PASS","FAIL")</x:f>
        <x:v>PASS</x:v>
      </x:c>
    </x:row>
    <x:row r="967">
      <x:c r="B967" t="str">
        <x:v>A-00935</x:v>
      </x:c>
      <x:c r="C967" t="str">
        <x:v>GATE</x:v>
      </x:c>
      <x:c r="D967" t="str">
        <x:v>release state mirrors governing ledger</x:v>
      </x:c>
      <x:c r="E967" t="str">
        <x:f>'Release Gates'!I941</x:f>
        <x:v>OPEN</x:v>
      </x:c>
      <x:c r="F967" t="str">
        <x:f>IF('Release Gates'!C941="PLANNING","PASS",IF('Release Gates'!C941="PHYSICAL","OPEN","BLOCKED"))</x:f>
        <x:v>OPEN</x:v>
      </x:c>
      <x:c r="G967" t="str">
        <x:v>equals</x:v>
      </x:c>
      <x:c r="H967" t="str">
        <x:f>IF(E967=F967,"PASS","FAIL")</x:f>
        <x:v>PASS</x:v>
      </x:c>
    </x:row>
    <x:row r="968">
      <x:c r="B968" t="str">
        <x:v>A-00936</x:v>
      </x:c>
      <x:c r="C968" t="str">
        <x:v>GATE</x:v>
      </x:c>
      <x:c r="D968" t="str">
        <x:v>release state mirrors governing ledger</x:v>
      </x:c>
      <x:c r="E968" t="str">
        <x:f>'Release Gates'!I942</x:f>
        <x:v>OPEN</x:v>
      </x:c>
      <x:c r="F968" t="str">
        <x:f>IF('Release Gates'!C942="PLANNING","PASS",IF('Release Gates'!C942="PHYSICAL","OPEN","BLOCKED"))</x:f>
        <x:v>OPEN</x:v>
      </x:c>
      <x:c r="G968" t="str">
        <x:v>equals</x:v>
      </x:c>
      <x:c r="H968" t="str">
        <x:f>IF(E968=F968,"PASS","FAIL")</x:f>
        <x:v>PASS</x:v>
      </x:c>
    </x:row>
    <x:row r="969">
      <x:c r="B969" t="str">
        <x:v>A-00937</x:v>
      </x:c>
      <x:c r="C969" t="str">
        <x:v>GATE</x:v>
      </x:c>
      <x:c r="D969" t="str">
        <x:v>release state mirrors governing ledger</x:v>
      </x:c>
      <x:c r="E969" t="str">
        <x:f>'Release Gates'!I943</x:f>
        <x:v>OPEN</x:v>
      </x:c>
      <x:c r="F969" t="str">
        <x:f>IF('Release Gates'!C943="PLANNING","PASS",IF('Release Gates'!C943="PHYSICAL","OPEN","BLOCKED"))</x:f>
        <x:v>OPEN</x:v>
      </x:c>
      <x:c r="G969" t="str">
        <x:v>equals</x:v>
      </x:c>
      <x:c r="H969" t="str">
        <x:f>IF(E969=F969,"PASS","FAIL")</x:f>
        <x:v>PASS</x:v>
      </x:c>
    </x:row>
    <x:row r="970">
      <x:c r="B970" t="str">
        <x:v>A-00938</x:v>
      </x:c>
      <x:c r="C970" t="str">
        <x:v>GATE</x:v>
      </x:c>
      <x:c r="D970" t="str">
        <x:v>release state mirrors governing ledger</x:v>
      </x:c>
      <x:c r="E970" t="str">
        <x:f>'Release Gates'!I944</x:f>
        <x:v>OPEN</x:v>
      </x:c>
      <x:c r="F970" t="str">
        <x:f>IF('Release Gates'!C944="PLANNING","PASS",IF('Release Gates'!C944="PHYSICAL","OPEN","BLOCKED"))</x:f>
        <x:v>OPEN</x:v>
      </x:c>
      <x:c r="G970" t="str">
        <x:v>equals</x:v>
      </x:c>
      <x:c r="H970" t="str">
        <x:f>IF(E970=F970,"PASS","FAIL")</x:f>
        <x:v>PASS</x:v>
      </x:c>
    </x:row>
    <x:row r="971">
      <x:c r="B971" t="str">
        <x:v>A-00939</x:v>
      </x:c>
      <x:c r="C971" t="str">
        <x:v>GATE</x:v>
      </x:c>
      <x:c r="D971" t="str">
        <x:v>release state mirrors governing ledger</x:v>
      </x:c>
      <x:c r="E971" t="str">
        <x:f>'Release Gates'!I945</x:f>
        <x:v>OPEN</x:v>
      </x:c>
      <x:c r="F971" t="str">
        <x:f>IF('Release Gates'!C945="PLANNING","PASS",IF('Release Gates'!C945="PHYSICAL","OPEN","BLOCKED"))</x:f>
        <x:v>OPEN</x:v>
      </x:c>
      <x:c r="G971" t="str">
        <x:v>equals</x:v>
      </x:c>
      <x:c r="H971" t="str">
        <x:f>IF(E971=F971,"PASS","FAIL")</x:f>
        <x:v>PASS</x:v>
      </x:c>
    </x:row>
    <x:row r="972">
      <x:c r="B972" t="str">
        <x:v>A-00940</x:v>
      </x:c>
      <x:c r="C972" t="str">
        <x:v>GATE</x:v>
      </x:c>
      <x:c r="D972" t="str">
        <x:v>release state mirrors governing ledger</x:v>
      </x:c>
      <x:c r="E972" t="str">
        <x:f>'Release Gates'!I946</x:f>
        <x:v>OPEN</x:v>
      </x:c>
      <x:c r="F972" t="str">
        <x:f>IF('Release Gates'!C946="PLANNING","PASS",IF('Release Gates'!C946="PHYSICAL","OPEN","BLOCKED"))</x:f>
        <x:v>OPEN</x:v>
      </x:c>
      <x:c r="G972" t="str">
        <x:v>equals</x:v>
      </x:c>
      <x:c r="H972" t="str">
        <x:f>IF(E972=F972,"PASS","FAIL")</x:f>
        <x:v>PASS</x:v>
      </x:c>
    </x:row>
    <x:row r="973">
      <x:c r="B973" t="str">
        <x:v>A-00941</x:v>
      </x:c>
      <x:c r="C973" t="str">
        <x:v>GATE</x:v>
      </x:c>
      <x:c r="D973" t="str">
        <x:v>release state mirrors governing ledger</x:v>
      </x:c>
      <x:c r="E973" t="str">
        <x:f>'Release Gates'!I947</x:f>
        <x:v>OPEN</x:v>
      </x:c>
      <x:c r="F973" t="str">
        <x:f>IF('Release Gates'!C947="PLANNING","PASS",IF('Release Gates'!C947="PHYSICAL","OPEN","BLOCKED"))</x:f>
        <x:v>OPEN</x:v>
      </x:c>
      <x:c r="G973" t="str">
        <x:v>equals</x:v>
      </x:c>
      <x:c r="H973" t="str">
        <x:f>IF(E973=F973,"PASS","FAIL")</x:f>
        <x:v>PASS</x:v>
      </x:c>
    </x:row>
    <x:row r="974">
      <x:c r="B974" t="str">
        <x:v>A-00942</x:v>
      </x:c>
      <x:c r="C974" t="str">
        <x:v>GATE</x:v>
      </x:c>
      <x:c r="D974" t="str">
        <x:v>release state mirrors governing ledger</x:v>
      </x:c>
      <x:c r="E974" t="str">
        <x:f>'Release Gates'!I948</x:f>
        <x:v>OPEN</x:v>
      </x:c>
      <x:c r="F974" t="str">
        <x:f>IF('Release Gates'!C948="PLANNING","PASS",IF('Release Gates'!C948="PHYSICAL","OPEN","BLOCKED"))</x:f>
        <x:v>OPEN</x:v>
      </x:c>
      <x:c r="G974" t="str">
        <x:v>equals</x:v>
      </x:c>
      <x:c r="H974" t="str">
        <x:f>IF(E974=F974,"PASS","FAIL")</x:f>
        <x:v>PASS</x:v>
      </x:c>
    </x:row>
    <x:row r="975">
      <x:c r="B975" t="str">
        <x:v>A-00943</x:v>
      </x:c>
      <x:c r="C975" t="str">
        <x:v>GATE</x:v>
      </x:c>
      <x:c r="D975" t="str">
        <x:v>release state mirrors governing ledger</x:v>
      </x:c>
      <x:c r="E975" t="str">
        <x:f>'Release Gates'!I949</x:f>
        <x:v>OPEN</x:v>
      </x:c>
      <x:c r="F975" t="str">
        <x:f>IF('Release Gates'!C949="PLANNING","PASS",IF('Release Gates'!C949="PHYSICAL","OPEN","BLOCKED"))</x:f>
        <x:v>OPEN</x:v>
      </x:c>
      <x:c r="G975" t="str">
        <x:v>equals</x:v>
      </x:c>
      <x:c r="H975" t="str">
        <x:f>IF(E975=F975,"PASS","FAIL")</x:f>
        <x:v>PASS</x:v>
      </x:c>
    </x:row>
    <x:row r="976">
      <x:c r="B976" t="str">
        <x:v>A-00944</x:v>
      </x:c>
      <x:c r="C976" t="str">
        <x:v>GATE</x:v>
      </x:c>
      <x:c r="D976" t="str">
        <x:v>release state mirrors governing ledger</x:v>
      </x:c>
      <x:c r="E976" t="str">
        <x:f>'Release Gates'!I950</x:f>
        <x:v>OPEN</x:v>
      </x:c>
      <x:c r="F976" t="str">
        <x:f>IF('Release Gates'!C950="PLANNING","PASS",IF('Release Gates'!C950="PHYSICAL","OPEN","BLOCKED"))</x:f>
        <x:v>OPEN</x:v>
      </x:c>
      <x:c r="G976" t="str">
        <x:v>equals</x:v>
      </x:c>
      <x:c r="H976" t="str">
        <x:f>IF(E976=F976,"PASS","FAIL")</x:f>
        <x:v>PASS</x:v>
      </x:c>
    </x:row>
    <x:row r="977">
      <x:c r="B977" t="str">
        <x:v>A-00945</x:v>
      </x:c>
      <x:c r="C977" t="str">
        <x:v>GATE</x:v>
      </x:c>
      <x:c r="D977" t="str">
        <x:v>release state mirrors governing ledger</x:v>
      </x:c>
      <x:c r="E977" t="str">
        <x:f>'Release Gates'!I951</x:f>
        <x:v>OPEN</x:v>
      </x:c>
      <x:c r="F977" t="str">
        <x:f>IF('Release Gates'!C951="PLANNING","PASS",IF('Release Gates'!C951="PHYSICAL","OPEN","BLOCKED"))</x:f>
        <x:v>OPEN</x:v>
      </x:c>
      <x:c r="G977" t="str">
        <x:v>equals</x:v>
      </x:c>
      <x:c r="H977" t="str">
        <x:f>IF(E977=F977,"PASS","FAIL")</x:f>
        <x:v>PASS</x:v>
      </x:c>
    </x:row>
    <x:row r="978">
      <x:c r="B978" t="str">
        <x:v>A-00946</x:v>
      </x:c>
      <x:c r="C978" t="str">
        <x:v>GATE</x:v>
      </x:c>
      <x:c r="D978" t="str">
        <x:v>release state mirrors governing ledger</x:v>
      </x:c>
      <x:c r="E978" t="str">
        <x:f>'Release Gates'!I952</x:f>
        <x:v>OPEN</x:v>
      </x:c>
      <x:c r="F978" t="str">
        <x:f>IF('Release Gates'!C952="PLANNING","PASS",IF('Release Gates'!C952="PHYSICAL","OPEN","BLOCKED"))</x:f>
        <x:v>OPEN</x:v>
      </x:c>
      <x:c r="G978" t="str">
        <x:v>equals</x:v>
      </x:c>
      <x:c r="H978" t="str">
        <x:f>IF(E978=F978,"PASS","FAIL")</x:f>
        <x:v>PASS</x:v>
      </x:c>
    </x:row>
    <x:row r="979">
      <x:c r="B979" t="str">
        <x:v>A-00947</x:v>
      </x:c>
      <x:c r="C979" t="str">
        <x:v>GATE</x:v>
      </x:c>
      <x:c r="D979" t="str">
        <x:v>release state mirrors governing ledger</x:v>
      </x:c>
      <x:c r="E979" t="str">
        <x:f>'Release Gates'!I953</x:f>
        <x:v>OPEN</x:v>
      </x:c>
      <x:c r="F979" t="str">
        <x:f>IF('Release Gates'!C953="PLANNING","PASS",IF('Release Gates'!C953="PHYSICAL","OPEN","BLOCKED"))</x:f>
        <x:v>OPEN</x:v>
      </x:c>
      <x:c r="G979" t="str">
        <x:v>equals</x:v>
      </x:c>
      <x:c r="H979" t="str">
        <x:f>IF(E979=F979,"PASS","FAIL")</x:f>
        <x:v>PASS</x:v>
      </x:c>
    </x:row>
    <x:row r="980">
      <x:c r="B980" t="str">
        <x:v>A-00948</x:v>
      </x:c>
      <x:c r="C980" t="str">
        <x:v>GATE</x:v>
      </x:c>
      <x:c r="D980" t="str">
        <x:v>release state mirrors governing ledger</x:v>
      </x:c>
      <x:c r="E980" t="str">
        <x:f>'Release Gates'!I954</x:f>
        <x:v>OPEN</x:v>
      </x:c>
      <x:c r="F980" t="str">
        <x:f>IF('Release Gates'!C954="PLANNING","PASS",IF('Release Gates'!C954="PHYSICAL","OPEN","BLOCKED"))</x:f>
        <x:v>OPEN</x:v>
      </x:c>
      <x:c r="G980" t="str">
        <x:v>equals</x:v>
      </x:c>
      <x:c r="H980" t="str">
        <x:f>IF(E980=F980,"PASS","FAIL")</x:f>
        <x:v>PASS</x:v>
      </x:c>
    </x:row>
    <x:row r="981">
      <x:c r="B981" t="str">
        <x:v>A-00949</x:v>
      </x:c>
      <x:c r="C981" t="str">
        <x:v>GATE</x:v>
      </x:c>
      <x:c r="D981" t="str">
        <x:v>release state mirrors governing ledger</x:v>
      </x:c>
      <x:c r="E981" t="str">
        <x:f>'Release Gates'!I955</x:f>
        <x:v>OPEN</x:v>
      </x:c>
      <x:c r="F981" t="str">
        <x:f>IF('Release Gates'!C955="PLANNING","PASS",IF('Release Gates'!C955="PHYSICAL","OPEN","BLOCKED"))</x:f>
        <x:v>OPEN</x:v>
      </x:c>
      <x:c r="G981" t="str">
        <x:v>equals</x:v>
      </x:c>
      <x:c r="H981" t="str">
        <x:f>IF(E981=F981,"PASS","FAIL")</x:f>
        <x:v>PASS</x:v>
      </x:c>
    </x:row>
    <x:row r="982">
      <x:c r="B982" t="str">
        <x:v>A-00950</x:v>
      </x:c>
      <x:c r="C982" t="str">
        <x:v>GATE</x:v>
      </x:c>
      <x:c r="D982" t="str">
        <x:v>release state mirrors governing ledger</x:v>
      </x:c>
      <x:c r="E982" t="str">
        <x:f>'Release Gates'!I956</x:f>
        <x:v>OPEN</x:v>
      </x:c>
      <x:c r="F982" t="str">
        <x:f>IF('Release Gates'!C956="PLANNING","PASS",IF('Release Gates'!C956="PHYSICAL","OPEN","BLOCKED"))</x:f>
        <x:v>OPEN</x:v>
      </x:c>
      <x:c r="G982" t="str">
        <x:v>equals</x:v>
      </x:c>
      <x:c r="H982" t="str">
        <x:f>IF(E982=F982,"PASS","FAIL")</x:f>
        <x:v>PASS</x:v>
      </x:c>
    </x:row>
    <x:row r="983">
      <x:c r="B983" t="str">
        <x:v>A-00951</x:v>
      </x:c>
      <x:c r="C983" t="str">
        <x:v>GATE</x:v>
      </x:c>
      <x:c r="D983" t="str">
        <x:v>release state mirrors governing ledger</x:v>
      </x:c>
      <x:c r="E983" t="str">
        <x:f>'Release Gates'!I957</x:f>
        <x:v>OPEN</x:v>
      </x:c>
      <x:c r="F983" t="str">
        <x:f>IF('Release Gates'!C957="PLANNING","PASS",IF('Release Gates'!C957="PHYSICAL","OPEN","BLOCKED"))</x:f>
        <x:v>OPEN</x:v>
      </x:c>
      <x:c r="G983" t="str">
        <x:v>equals</x:v>
      </x:c>
      <x:c r="H983" t="str">
        <x:f>IF(E983=F983,"PASS","FAIL")</x:f>
        <x:v>PASS</x:v>
      </x:c>
    </x:row>
    <x:row r="984">
      <x:c r="B984" t="str">
        <x:v>A-00952</x:v>
      </x:c>
      <x:c r="C984" t="str">
        <x:v>GATE</x:v>
      </x:c>
      <x:c r="D984" t="str">
        <x:v>release state mirrors governing ledger</x:v>
      </x:c>
      <x:c r="E984" t="str">
        <x:f>'Release Gates'!I958</x:f>
        <x:v>OPEN</x:v>
      </x:c>
      <x:c r="F984" t="str">
        <x:f>IF('Release Gates'!C958="PLANNING","PASS",IF('Release Gates'!C958="PHYSICAL","OPEN","BLOCKED"))</x:f>
        <x:v>OPEN</x:v>
      </x:c>
      <x:c r="G984" t="str">
        <x:v>equals</x:v>
      </x:c>
      <x:c r="H984" t="str">
        <x:f>IF(E984=F984,"PASS","FAIL")</x:f>
        <x:v>PASS</x:v>
      </x:c>
    </x:row>
    <x:row r="985">
      <x:c r="B985" t="str">
        <x:v>A-00953</x:v>
      </x:c>
      <x:c r="C985" t="str">
        <x:v>GATE</x:v>
      </x:c>
      <x:c r="D985" t="str">
        <x:v>release state mirrors governing ledger</x:v>
      </x:c>
      <x:c r="E985" t="str">
        <x:f>'Release Gates'!I959</x:f>
        <x:v>OPEN</x:v>
      </x:c>
      <x:c r="F985" t="str">
        <x:f>IF('Release Gates'!C959="PLANNING","PASS",IF('Release Gates'!C959="PHYSICAL","OPEN","BLOCKED"))</x:f>
        <x:v>OPEN</x:v>
      </x:c>
      <x:c r="G985" t="str">
        <x:v>equals</x:v>
      </x:c>
      <x:c r="H985" t="str">
        <x:f>IF(E985=F985,"PASS","FAIL")</x:f>
        <x:v>PASS</x:v>
      </x:c>
    </x:row>
    <x:row r="986">
      <x:c r="B986" t="str">
        <x:v>A-00954</x:v>
      </x:c>
      <x:c r="C986" t="str">
        <x:v>GATE</x:v>
      </x:c>
      <x:c r="D986" t="str">
        <x:v>release state mirrors governing ledger</x:v>
      </x:c>
      <x:c r="E986" t="str">
        <x:f>'Release Gates'!I960</x:f>
        <x:v>OPEN</x:v>
      </x:c>
      <x:c r="F986" t="str">
        <x:f>IF('Release Gates'!C960="PLANNING","PASS",IF('Release Gates'!C960="PHYSICAL","OPEN","BLOCKED"))</x:f>
        <x:v>OPEN</x:v>
      </x:c>
      <x:c r="G986" t="str">
        <x:v>equals</x:v>
      </x:c>
      <x:c r="H986" t="str">
        <x:f>IF(E986=F986,"PASS","FAIL")</x:f>
        <x:v>PASS</x:v>
      </x:c>
    </x:row>
    <x:row r="987">
      <x:c r="B987" t="str">
        <x:v>A-00955</x:v>
      </x:c>
      <x:c r="C987" t="str">
        <x:v>GATE</x:v>
      </x:c>
      <x:c r="D987" t="str">
        <x:v>release state mirrors governing ledger</x:v>
      </x:c>
      <x:c r="E987" t="str">
        <x:f>'Release Gates'!I961</x:f>
        <x:v>OPEN</x:v>
      </x:c>
      <x:c r="F987" t="str">
        <x:f>IF('Release Gates'!C961="PLANNING","PASS",IF('Release Gates'!C961="PHYSICAL","OPEN","BLOCKED"))</x:f>
        <x:v>OPEN</x:v>
      </x:c>
      <x:c r="G987" t="str">
        <x:v>equals</x:v>
      </x:c>
      <x:c r="H987" t="str">
        <x:f>IF(E987=F987,"PASS","FAIL")</x:f>
        <x:v>PASS</x:v>
      </x:c>
    </x:row>
    <x:row r="988">
      <x:c r="B988" t="str">
        <x:v>A-00956</x:v>
      </x:c>
      <x:c r="C988" t="str">
        <x:v>GATE</x:v>
      </x:c>
      <x:c r="D988" t="str">
        <x:v>release state mirrors governing ledger</x:v>
      </x:c>
      <x:c r="E988" t="str">
        <x:f>'Release Gates'!I962</x:f>
        <x:v>OPEN</x:v>
      </x:c>
      <x:c r="F988" t="str">
        <x:f>IF('Release Gates'!C962="PLANNING","PASS",IF('Release Gates'!C962="PHYSICAL","OPEN","BLOCKED"))</x:f>
        <x:v>OPEN</x:v>
      </x:c>
      <x:c r="G988" t="str">
        <x:v>equals</x:v>
      </x:c>
      <x:c r="H988" t="str">
        <x:f>IF(E988=F988,"PASS","FAIL")</x:f>
        <x:v>PASS</x:v>
      </x:c>
    </x:row>
    <x:row r="989">
      <x:c r="B989" t="str">
        <x:v>A-00957</x:v>
      </x:c>
      <x:c r="C989" t="str">
        <x:v>GATE</x:v>
      </x:c>
      <x:c r="D989" t="str">
        <x:v>release state mirrors governing ledger</x:v>
      </x:c>
      <x:c r="E989" t="str">
        <x:f>'Release Gates'!I963</x:f>
        <x:v>OPEN</x:v>
      </x:c>
      <x:c r="F989" t="str">
        <x:f>IF('Release Gates'!C963="PLANNING","PASS",IF('Release Gates'!C963="PHYSICAL","OPEN","BLOCKED"))</x:f>
        <x:v>OPEN</x:v>
      </x:c>
      <x:c r="G989" t="str">
        <x:v>equals</x:v>
      </x:c>
      <x:c r="H989" t="str">
        <x:f>IF(E989=F989,"PASS","FAIL")</x:f>
        <x:v>PASS</x:v>
      </x:c>
    </x:row>
    <x:row r="990">
      <x:c r="B990" t="str">
        <x:v>A-00958</x:v>
      </x:c>
      <x:c r="C990" t="str">
        <x:v>GATE</x:v>
      </x:c>
      <x:c r="D990" t="str">
        <x:v>release state mirrors governing ledger</x:v>
      </x:c>
      <x:c r="E990" t="str">
        <x:f>'Release Gates'!I964</x:f>
        <x:v>OPEN</x:v>
      </x:c>
      <x:c r="F990" t="str">
        <x:f>IF('Release Gates'!C964="PLANNING","PASS",IF('Release Gates'!C964="PHYSICAL","OPEN","BLOCKED"))</x:f>
        <x:v>OPEN</x:v>
      </x:c>
      <x:c r="G990" t="str">
        <x:v>equals</x:v>
      </x:c>
      <x:c r="H990" t="str">
        <x:f>IF(E990=F990,"PASS","FAIL")</x:f>
        <x:v>PASS</x:v>
      </x:c>
    </x:row>
    <x:row r="991">
      <x:c r="B991" t="str">
        <x:v>A-00959</x:v>
      </x:c>
      <x:c r="C991" t="str">
        <x:v>GATE</x:v>
      </x:c>
      <x:c r="D991" t="str">
        <x:v>release state mirrors governing ledger</x:v>
      </x:c>
      <x:c r="E991" t="str">
        <x:f>'Release Gates'!I965</x:f>
        <x:v>OPEN</x:v>
      </x:c>
      <x:c r="F991" t="str">
        <x:f>IF('Release Gates'!C965="PLANNING","PASS",IF('Release Gates'!C965="PHYSICAL","OPEN","BLOCKED"))</x:f>
        <x:v>OPEN</x:v>
      </x:c>
      <x:c r="G991" t="str">
        <x:v>equals</x:v>
      </x:c>
      <x:c r="H991" t="str">
        <x:f>IF(E991=F991,"PASS","FAIL")</x:f>
        <x:v>PASS</x:v>
      </x:c>
    </x:row>
    <x:row r="992">
      <x:c r="B992" t="str">
        <x:v>A-00960</x:v>
      </x:c>
      <x:c r="C992" t="str">
        <x:v>GATE</x:v>
      </x:c>
      <x:c r="D992" t="str">
        <x:v>release state mirrors governing ledger</x:v>
      </x:c>
      <x:c r="E992" t="str">
        <x:f>'Release Gates'!I966</x:f>
        <x:v>OPEN</x:v>
      </x:c>
      <x:c r="F992" t="str">
        <x:f>IF('Release Gates'!C966="PLANNING","PASS",IF('Release Gates'!C966="PHYSICAL","OPEN","BLOCKED"))</x:f>
        <x:v>OPEN</x:v>
      </x:c>
      <x:c r="G992" t="str">
        <x:v>equals</x:v>
      </x:c>
      <x:c r="H992" t="str">
        <x:f>IF(E992=F992,"PASS","FAIL")</x:f>
        <x:v>PASS</x:v>
      </x:c>
    </x:row>
    <x:row r="993">
      <x:c r="B993" t="str">
        <x:v>A-00961</x:v>
      </x:c>
      <x:c r="C993" t="str">
        <x:v>GATE</x:v>
      </x:c>
      <x:c r="D993" t="str">
        <x:v>release state mirrors governing ledger</x:v>
      </x:c>
      <x:c r="E993" t="str">
        <x:f>'Release Gates'!I967</x:f>
        <x:v>OPEN</x:v>
      </x:c>
      <x:c r="F993" t="str">
        <x:f>IF('Release Gates'!C967="PLANNING","PASS",IF('Release Gates'!C967="PHYSICAL","OPEN","BLOCKED"))</x:f>
        <x:v>OPEN</x:v>
      </x:c>
      <x:c r="G993" t="str">
        <x:v>equals</x:v>
      </x:c>
      <x:c r="H993" t="str">
        <x:f>IF(E993=F993,"PASS","FAIL")</x:f>
        <x:v>PASS</x:v>
      </x:c>
    </x:row>
    <x:row r="994">
      <x:c r="B994" t="str">
        <x:v>A-00962</x:v>
      </x:c>
      <x:c r="C994" t="str">
        <x:v>GATE</x:v>
      </x:c>
      <x:c r="D994" t="str">
        <x:v>release state mirrors governing ledger</x:v>
      </x:c>
      <x:c r="E994" t="str">
        <x:f>'Release Gates'!I968</x:f>
        <x:v>OPEN</x:v>
      </x:c>
      <x:c r="F994" t="str">
        <x:f>IF('Release Gates'!C968="PLANNING","PASS",IF('Release Gates'!C968="PHYSICAL","OPEN","BLOCKED"))</x:f>
        <x:v>OPEN</x:v>
      </x:c>
      <x:c r="G994" t="str">
        <x:v>equals</x:v>
      </x:c>
      <x:c r="H994" t="str">
        <x:f>IF(E994=F994,"PASS","FAIL")</x:f>
        <x:v>PASS</x:v>
      </x:c>
    </x:row>
    <x:row r="995">
      <x:c r="B995" t="str">
        <x:v>A-00963</x:v>
      </x:c>
      <x:c r="C995" t="str">
        <x:v>GATE</x:v>
      </x:c>
      <x:c r="D995" t="str">
        <x:v>release state mirrors governing ledger</x:v>
      </x:c>
      <x:c r="E995" t="str">
        <x:f>'Release Gates'!I969</x:f>
        <x:v>OPEN</x:v>
      </x:c>
      <x:c r="F995" t="str">
        <x:f>IF('Release Gates'!C969="PLANNING","PASS",IF('Release Gates'!C969="PHYSICAL","OPEN","BLOCKED"))</x:f>
        <x:v>OPEN</x:v>
      </x:c>
      <x:c r="G995" t="str">
        <x:v>equals</x:v>
      </x:c>
      <x:c r="H995" t="str">
        <x:f>IF(E995=F995,"PASS","FAIL")</x:f>
        <x:v>PASS</x:v>
      </x:c>
    </x:row>
    <x:row r="996">
      <x:c r="B996" t="str">
        <x:v>A-00964</x:v>
      </x:c>
      <x:c r="C996" t="str">
        <x:v>GATE</x:v>
      </x:c>
      <x:c r="D996" t="str">
        <x:v>release state mirrors governing ledger</x:v>
      </x:c>
      <x:c r="E996" t="str">
        <x:f>'Release Gates'!I970</x:f>
        <x:v>OPEN</x:v>
      </x:c>
      <x:c r="F996" t="str">
        <x:f>IF('Release Gates'!C970="PLANNING","PASS",IF('Release Gates'!C970="PHYSICAL","OPEN","BLOCKED"))</x:f>
        <x:v>OPEN</x:v>
      </x:c>
      <x:c r="G996" t="str">
        <x:v>equals</x:v>
      </x:c>
      <x:c r="H996" t="str">
        <x:f>IF(E996=F996,"PASS","FAIL")</x:f>
        <x:v>PASS</x:v>
      </x:c>
    </x:row>
    <x:row r="997">
      <x:c r="B997" t="str">
        <x:v>A-00965</x:v>
      </x:c>
      <x:c r="C997" t="str">
        <x:v>GATE</x:v>
      </x:c>
      <x:c r="D997" t="str">
        <x:v>release state mirrors governing ledger</x:v>
      </x:c>
      <x:c r="E997" t="str">
        <x:f>'Release Gates'!I971</x:f>
        <x:v>OPEN</x:v>
      </x:c>
      <x:c r="F997" t="str">
        <x:f>IF('Release Gates'!C971="PLANNING","PASS",IF('Release Gates'!C971="PHYSICAL","OPEN","BLOCKED"))</x:f>
        <x:v>OPEN</x:v>
      </x:c>
      <x:c r="G997" t="str">
        <x:v>equals</x:v>
      </x:c>
      <x:c r="H997" t="str">
        <x:f>IF(E997=F997,"PASS","FAIL")</x:f>
        <x:v>PASS</x:v>
      </x:c>
    </x:row>
    <x:row r="998">
      <x:c r="B998" t="str">
        <x:v>A-00966</x:v>
      </x:c>
      <x:c r="C998" t="str">
        <x:v>GATE</x:v>
      </x:c>
      <x:c r="D998" t="str">
        <x:v>release state mirrors governing ledger</x:v>
      </x:c>
      <x:c r="E998" t="str">
        <x:f>'Release Gates'!I972</x:f>
        <x:v>OPEN</x:v>
      </x:c>
      <x:c r="F998" t="str">
        <x:f>IF('Release Gates'!C972="PLANNING","PASS",IF('Release Gates'!C972="PHYSICAL","OPEN","BLOCKED"))</x:f>
        <x:v>OPEN</x:v>
      </x:c>
      <x:c r="G998" t="str">
        <x:v>equals</x:v>
      </x:c>
      <x:c r="H998" t="str">
        <x:f>IF(E998=F998,"PASS","FAIL")</x:f>
        <x:v>PASS</x:v>
      </x:c>
    </x:row>
    <x:row r="999">
      <x:c r="B999" t="str">
        <x:v>A-00967</x:v>
      </x:c>
      <x:c r="C999" t="str">
        <x:v>GATE</x:v>
      </x:c>
      <x:c r="D999" t="str">
        <x:v>release state mirrors governing ledger</x:v>
      </x:c>
      <x:c r="E999" t="str">
        <x:f>'Release Gates'!I973</x:f>
        <x:v>OPEN</x:v>
      </x:c>
      <x:c r="F999" t="str">
        <x:f>IF('Release Gates'!C973="PLANNING","PASS",IF('Release Gates'!C973="PHYSICAL","OPEN","BLOCKED"))</x:f>
        <x:v>OPEN</x:v>
      </x:c>
      <x:c r="G999" t="str">
        <x:v>equals</x:v>
      </x:c>
      <x:c r="H999" t="str">
        <x:f>IF(E999=F999,"PASS","FAIL")</x:f>
        <x:v>PASS</x:v>
      </x:c>
    </x:row>
    <x:row r="1000">
      <x:c r="B1000" t="str">
        <x:v>A-00968</x:v>
      </x:c>
      <x:c r="C1000" t="str">
        <x:v>GATE</x:v>
      </x:c>
      <x:c r="D1000" t="str">
        <x:v>release state mirrors governing ledger</x:v>
      </x:c>
      <x:c r="E1000" t="str">
        <x:f>'Release Gates'!I974</x:f>
        <x:v>OPEN</x:v>
      </x:c>
      <x:c r="F1000" t="str">
        <x:f>IF('Release Gates'!C974="PLANNING","PASS",IF('Release Gates'!C974="PHYSICAL","OPEN","BLOCKED"))</x:f>
        <x:v>OPEN</x:v>
      </x:c>
      <x:c r="G1000" t="str">
        <x:v>equals</x:v>
      </x:c>
      <x:c r="H1000" t="str">
        <x:f>IF(E1000=F1000,"PASS","FAIL")</x:f>
        <x:v>PASS</x:v>
      </x:c>
    </x:row>
    <x:row r="1001">
      <x:c r="B1001" t="str">
        <x:v>A-00969</x:v>
      </x:c>
      <x:c r="C1001" t="str">
        <x:v>GATE</x:v>
      </x:c>
      <x:c r="D1001" t="str">
        <x:v>release state mirrors governing ledger</x:v>
      </x:c>
      <x:c r="E1001" t="str">
        <x:f>'Release Gates'!I975</x:f>
        <x:v>OPEN</x:v>
      </x:c>
      <x:c r="F1001" t="str">
        <x:f>IF('Release Gates'!C975="PLANNING","PASS",IF('Release Gates'!C975="PHYSICAL","OPEN","BLOCKED"))</x:f>
        <x:v>OPEN</x:v>
      </x:c>
      <x:c r="G1001" t="str">
        <x:v>equals</x:v>
      </x:c>
      <x:c r="H1001" t="str">
        <x:f>IF(E1001=F1001,"PASS","FAIL")</x:f>
        <x:v>PASS</x:v>
      </x:c>
    </x:row>
    <x:row r="1002">
      <x:c r="B1002" t="str">
        <x:v>A-00970</x:v>
      </x:c>
      <x:c r="C1002" t="str">
        <x:v>GATE</x:v>
      </x:c>
      <x:c r="D1002" t="str">
        <x:v>release state mirrors governing ledger</x:v>
      </x:c>
      <x:c r="E1002" t="str">
        <x:f>'Release Gates'!I976</x:f>
        <x:v>OPEN</x:v>
      </x:c>
      <x:c r="F1002" t="str">
        <x:f>IF('Release Gates'!C976="PLANNING","PASS",IF('Release Gates'!C976="PHYSICAL","OPEN","BLOCKED"))</x:f>
        <x:v>OPEN</x:v>
      </x:c>
      <x:c r="G1002" t="str">
        <x:v>equals</x:v>
      </x:c>
      <x:c r="H1002" t="str">
        <x:f>IF(E1002=F1002,"PASS","FAIL")</x:f>
        <x:v>PASS</x:v>
      </x:c>
    </x:row>
    <x:row r="1003">
      <x:c r="B1003" t="str">
        <x:v>A-00971</x:v>
      </x:c>
      <x:c r="C1003" t="str">
        <x:v>GATE</x:v>
      </x:c>
      <x:c r="D1003" t="str">
        <x:v>release state mirrors governing ledger</x:v>
      </x:c>
      <x:c r="E1003" t="str">
        <x:f>'Release Gates'!I977</x:f>
        <x:v>OPEN</x:v>
      </x:c>
      <x:c r="F1003" t="str">
        <x:f>IF('Release Gates'!C977="PLANNING","PASS",IF('Release Gates'!C977="PHYSICAL","OPEN","BLOCKED"))</x:f>
        <x:v>OPEN</x:v>
      </x:c>
      <x:c r="G1003" t="str">
        <x:v>equals</x:v>
      </x:c>
      <x:c r="H1003" t="str">
        <x:f>IF(E1003=F1003,"PASS","FAIL")</x:f>
        <x:v>PASS</x:v>
      </x:c>
    </x:row>
    <x:row r="1004">
      <x:c r="B1004" t="str">
        <x:v>A-00972</x:v>
      </x:c>
      <x:c r="C1004" t="str">
        <x:v>GATE</x:v>
      </x:c>
      <x:c r="D1004" t="str">
        <x:v>release state mirrors governing ledger</x:v>
      </x:c>
      <x:c r="E1004" t="str">
        <x:f>'Release Gates'!I978</x:f>
        <x:v>OPEN</x:v>
      </x:c>
      <x:c r="F1004" t="str">
        <x:f>IF('Release Gates'!C978="PLANNING","PASS",IF('Release Gates'!C978="PHYSICAL","OPEN","BLOCKED"))</x:f>
        <x:v>OPEN</x:v>
      </x:c>
      <x:c r="G1004" t="str">
        <x:v>equals</x:v>
      </x:c>
      <x:c r="H1004" t="str">
        <x:f>IF(E1004=F1004,"PASS","FAIL")</x:f>
        <x:v>PASS</x:v>
      </x:c>
    </x:row>
    <x:row r="1005">
      <x:c r="B1005" t="str">
        <x:v>A-00973</x:v>
      </x:c>
      <x:c r="C1005" t="str">
        <x:v>GATE</x:v>
      </x:c>
      <x:c r="D1005" t="str">
        <x:v>release state mirrors governing ledger</x:v>
      </x:c>
      <x:c r="E1005" t="str">
        <x:f>'Release Gates'!I979</x:f>
        <x:v>OPEN</x:v>
      </x:c>
      <x:c r="F1005" t="str">
        <x:f>IF('Release Gates'!C979="PLANNING","PASS",IF('Release Gates'!C979="PHYSICAL","OPEN","BLOCKED"))</x:f>
        <x:v>OPEN</x:v>
      </x:c>
      <x:c r="G1005" t="str">
        <x:v>equals</x:v>
      </x:c>
      <x:c r="H1005" t="str">
        <x:f>IF(E1005=F1005,"PASS","FAIL")</x:f>
        <x:v>PASS</x:v>
      </x:c>
    </x:row>
    <x:row r="1006">
      <x:c r="B1006" t="str">
        <x:v>A-00974</x:v>
      </x:c>
      <x:c r="C1006" t="str">
        <x:v>GATE</x:v>
      </x:c>
      <x:c r="D1006" t="str">
        <x:v>release state mirrors governing ledger</x:v>
      </x:c>
      <x:c r="E1006" t="str">
        <x:f>'Release Gates'!I980</x:f>
        <x:v>OPEN</x:v>
      </x:c>
      <x:c r="F1006" t="str">
        <x:f>IF('Release Gates'!C980="PLANNING","PASS",IF('Release Gates'!C980="PHYSICAL","OPEN","BLOCKED"))</x:f>
        <x:v>OPEN</x:v>
      </x:c>
      <x:c r="G1006" t="str">
        <x:v>equals</x:v>
      </x:c>
      <x:c r="H1006" t="str">
        <x:f>IF(E1006=F1006,"PASS","FAIL")</x:f>
        <x:v>PASS</x:v>
      </x:c>
    </x:row>
    <x:row r="1007">
      <x:c r="B1007" t="str">
        <x:v>A-00975</x:v>
      </x:c>
      <x:c r="C1007" t="str">
        <x:v>GATE</x:v>
      </x:c>
      <x:c r="D1007" t="str">
        <x:v>release state mirrors governing ledger</x:v>
      </x:c>
      <x:c r="E1007" t="str">
        <x:f>'Release Gates'!I981</x:f>
        <x:v>OPEN</x:v>
      </x:c>
      <x:c r="F1007" t="str">
        <x:f>IF('Release Gates'!C981="PLANNING","PASS",IF('Release Gates'!C981="PHYSICAL","OPEN","BLOCKED"))</x:f>
        <x:v>OPEN</x:v>
      </x:c>
      <x:c r="G1007" t="str">
        <x:v>equals</x:v>
      </x:c>
      <x:c r="H1007" t="str">
        <x:f>IF(E1007=F1007,"PASS","FAIL")</x:f>
        <x:v>PASS</x:v>
      </x:c>
    </x:row>
    <x:row r="1008">
      <x:c r="B1008" t="str">
        <x:v>A-00976</x:v>
      </x:c>
      <x:c r="C1008" t="str">
        <x:v>GATE</x:v>
      </x:c>
      <x:c r="D1008" t="str">
        <x:v>release state mirrors governing ledger</x:v>
      </x:c>
      <x:c r="E1008" t="str">
        <x:f>'Release Gates'!I982</x:f>
        <x:v>OPEN</x:v>
      </x:c>
      <x:c r="F1008" t="str">
        <x:f>IF('Release Gates'!C982="PLANNING","PASS",IF('Release Gates'!C982="PHYSICAL","OPEN","BLOCKED"))</x:f>
        <x:v>OPEN</x:v>
      </x:c>
      <x:c r="G1008" t="str">
        <x:v>equals</x:v>
      </x:c>
      <x:c r="H1008" t="str">
        <x:f>IF(E1008=F1008,"PASS","FAIL")</x:f>
        <x:v>PASS</x:v>
      </x:c>
    </x:row>
    <x:row r="1009">
      <x:c r="B1009" t="str">
        <x:v>A-00977</x:v>
      </x:c>
      <x:c r="C1009" t="str">
        <x:v>GATE</x:v>
      </x:c>
      <x:c r="D1009" t="str">
        <x:v>release state mirrors governing ledger</x:v>
      </x:c>
      <x:c r="E1009" t="str">
        <x:f>'Release Gates'!I983</x:f>
        <x:v>OPEN</x:v>
      </x:c>
      <x:c r="F1009" t="str">
        <x:f>IF('Release Gates'!C983="PLANNING","PASS",IF('Release Gates'!C983="PHYSICAL","OPEN","BLOCKED"))</x:f>
        <x:v>OPEN</x:v>
      </x:c>
      <x:c r="G1009" t="str">
        <x:v>equals</x:v>
      </x:c>
      <x:c r="H1009" t="str">
        <x:f>IF(E1009=F1009,"PASS","FAIL")</x:f>
        <x:v>PASS</x:v>
      </x:c>
    </x:row>
    <x:row r="1010">
      <x:c r="B1010" t="str">
        <x:v>A-00978</x:v>
      </x:c>
      <x:c r="C1010" t="str">
        <x:v>GATE</x:v>
      </x:c>
      <x:c r="D1010" t="str">
        <x:v>release state mirrors governing ledger</x:v>
      </x:c>
      <x:c r="E1010" t="str">
        <x:f>'Release Gates'!I984</x:f>
        <x:v>OPEN</x:v>
      </x:c>
      <x:c r="F1010" t="str">
        <x:f>IF('Release Gates'!C984="PLANNING","PASS",IF('Release Gates'!C984="PHYSICAL","OPEN","BLOCKED"))</x:f>
        <x:v>OPEN</x:v>
      </x:c>
      <x:c r="G1010" t="str">
        <x:v>equals</x:v>
      </x:c>
      <x:c r="H1010" t="str">
        <x:f>IF(E1010=F1010,"PASS","FAIL")</x:f>
        <x:v>PASS</x:v>
      </x:c>
    </x:row>
    <x:row r="1011">
      <x:c r="B1011" t="str">
        <x:v>A-00979</x:v>
      </x:c>
      <x:c r="C1011" t="str">
        <x:v>GATE</x:v>
      </x:c>
      <x:c r="D1011" t="str">
        <x:v>release state mirrors governing ledger</x:v>
      </x:c>
      <x:c r="E1011" t="str">
        <x:f>'Release Gates'!I985</x:f>
        <x:v>OPEN</x:v>
      </x:c>
      <x:c r="F1011" t="str">
        <x:f>IF('Release Gates'!C985="PLANNING","PASS",IF('Release Gates'!C985="PHYSICAL","OPEN","BLOCKED"))</x:f>
        <x:v>OPEN</x:v>
      </x:c>
      <x:c r="G1011" t="str">
        <x:v>equals</x:v>
      </x:c>
      <x:c r="H1011" t="str">
        <x:f>IF(E1011=F1011,"PASS","FAIL")</x:f>
        <x:v>PASS</x:v>
      </x:c>
    </x:row>
    <x:row r="1012">
      <x:c r="B1012" t="str">
        <x:v>A-00980</x:v>
      </x:c>
      <x:c r="C1012" t="str">
        <x:v>GATE</x:v>
      </x:c>
      <x:c r="D1012" t="str">
        <x:v>release state mirrors governing ledger</x:v>
      </x:c>
      <x:c r="E1012" t="str">
        <x:f>'Release Gates'!I986</x:f>
        <x:v>OPEN</x:v>
      </x:c>
      <x:c r="F1012" t="str">
        <x:f>IF('Release Gates'!C986="PLANNING","PASS",IF('Release Gates'!C986="PHYSICAL","OPEN","BLOCKED"))</x:f>
        <x:v>OPEN</x:v>
      </x:c>
      <x:c r="G1012" t="str">
        <x:v>equals</x:v>
      </x:c>
      <x:c r="H1012" t="str">
        <x:f>IF(E1012=F1012,"PASS","FAIL")</x:f>
        <x:v>PASS</x:v>
      </x:c>
    </x:row>
    <x:row r="1013">
      <x:c r="B1013" t="str">
        <x:v>A-00981</x:v>
      </x:c>
      <x:c r="C1013" t="str">
        <x:v>GATE</x:v>
      </x:c>
      <x:c r="D1013" t="str">
        <x:v>release state mirrors governing ledger</x:v>
      </x:c>
      <x:c r="E1013" t="str">
        <x:f>'Release Gates'!I987</x:f>
        <x:v>OPEN</x:v>
      </x:c>
      <x:c r="F1013" t="str">
        <x:f>IF('Release Gates'!C987="PLANNING","PASS",IF('Release Gates'!C987="PHYSICAL","OPEN","BLOCKED"))</x:f>
        <x:v>OPEN</x:v>
      </x:c>
      <x:c r="G1013" t="str">
        <x:v>equals</x:v>
      </x:c>
      <x:c r="H1013" t="str">
        <x:f>IF(E1013=F1013,"PASS","FAIL")</x:f>
        <x:v>PASS</x:v>
      </x:c>
    </x:row>
    <x:row r="1014">
      <x:c r="B1014" t="str">
        <x:v>A-00982</x:v>
      </x:c>
      <x:c r="C1014" t="str">
        <x:v>GATE</x:v>
      </x:c>
      <x:c r="D1014" t="str">
        <x:v>release state mirrors governing ledger</x:v>
      </x:c>
      <x:c r="E1014" t="str">
        <x:f>'Release Gates'!I988</x:f>
        <x:v>OPEN</x:v>
      </x:c>
      <x:c r="F1014" t="str">
        <x:f>IF('Release Gates'!C988="PLANNING","PASS",IF('Release Gates'!C988="PHYSICAL","OPEN","BLOCKED"))</x:f>
        <x:v>OPEN</x:v>
      </x:c>
      <x:c r="G1014" t="str">
        <x:v>equals</x:v>
      </x:c>
      <x:c r="H1014" t="str">
        <x:f>IF(E1014=F1014,"PASS","FAIL")</x:f>
        <x:v>PASS</x:v>
      </x:c>
    </x:row>
    <x:row r="1015">
      <x:c r="B1015" t="str">
        <x:v>A-00983</x:v>
      </x:c>
      <x:c r="C1015" t="str">
        <x:v>GATE</x:v>
      </x:c>
      <x:c r="D1015" t="str">
        <x:v>release state mirrors governing ledger</x:v>
      </x:c>
      <x:c r="E1015" t="str">
        <x:f>'Release Gates'!I989</x:f>
        <x:v>OPEN</x:v>
      </x:c>
      <x:c r="F1015" t="str">
        <x:f>IF('Release Gates'!C989="PLANNING","PASS",IF('Release Gates'!C989="PHYSICAL","OPEN","BLOCKED"))</x:f>
        <x:v>OPEN</x:v>
      </x:c>
      <x:c r="G1015" t="str">
        <x:v>equals</x:v>
      </x:c>
      <x:c r="H1015" t="str">
        <x:f>IF(E1015=F1015,"PASS","FAIL")</x:f>
        <x:v>PASS</x:v>
      </x:c>
    </x:row>
    <x:row r="1016">
      <x:c r="B1016" t="str">
        <x:v>A-00984</x:v>
      </x:c>
      <x:c r="C1016" t="str">
        <x:v>GATE</x:v>
      </x:c>
      <x:c r="D1016" t="str">
        <x:v>release state mirrors governing ledger</x:v>
      </x:c>
      <x:c r="E1016" t="str">
        <x:f>'Release Gates'!I990</x:f>
        <x:v>OPEN</x:v>
      </x:c>
      <x:c r="F1016" t="str">
        <x:f>IF('Release Gates'!C990="PLANNING","PASS",IF('Release Gates'!C990="PHYSICAL","OPEN","BLOCKED"))</x:f>
        <x:v>OPEN</x:v>
      </x:c>
      <x:c r="G1016" t="str">
        <x:v>equals</x:v>
      </x:c>
      <x:c r="H1016" t="str">
        <x:f>IF(E1016=F1016,"PASS","FAIL")</x:f>
        <x:v>PASS</x:v>
      </x:c>
    </x:row>
    <x:row r="1017">
      <x:c r="B1017" t="str">
        <x:v>A-00985</x:v>
      </x:c>
      <x:c r="C1017" t="str">
        <x:v>GATE</x:v>
      </x:c>
      <x:c r="D1017" t="str">
        <x:v>release state mirrors governing ledger</x:v>
      </x:c>
      <x:c r="E1017" t="str">
        <x:f>'Release Gates'!I991</x:f>
        <x:v>OPEN</x:v>
      </x:c>
      <x:c r="F1017" t="str">
        <x:f>IF('Release Gates'!C991="PLANNING","PASS",IF('Release Gates'!C991="PHYSICAL","OPEN","BLOCKED"))</x:f>
        <x:v>OPEN</x:v>
      </x:c>
      <x:c r="G1017" t="str">
        <x:v>equals</x:v>
      </x:c>
      <x:c r="H1017" t="str">
        <x:f>IF(E1017=F1017,"PASS","FAIL")</x:f>
        <x:v>PASS</x:v>
      </x:c>
    </x:row>
    <x:row r="1018">
      <x:c r="B1018" t="str">
        <x:v>A-00986</x:v>
      </x:c>
      <x:c r="C1018" t="str">
        <x:v>GATE</x:v>
      </x:c>
      <x:c r="D1018" t="str">
        <x:v>release state mirrors governing ledger</x:v>
      </x:c>
      <x:c r="E1018" t="str">
        <x:f>'Release Gates'!I992</x:f>
        <x:v>OPEN</x:v>
      </x:c>
      <x:c r="F1018" t="str">
        <x:f>IF('Release Gates'!C992="PLANNING","PASS",IF('Release Gates'!C992="PHYSICAL","OPEN","BLOCKED"))</x:f>
        <x:v>OPEN</x:v>
      </x:c>
      <x:c r="G1018" t="str">
        <x:v>equals</x:v>
      </x:c>
      <x:c r="H1018" t="str">
        <x:f>IF(E1018=F1018,"PASS","FAIL")</x:f>
        <x:v>PASS</x:v>
      </x:c>
    </x:row>
    <x:row r="1019">
      <x:c r="B1019" t="str">
        <x:v>A-00987</x:v>
      </x:c>
      <x:c r="C1019" t="str">
        <x:v>GATE</x:v>
      </x:c>
      <x:c r="D1019" t="str">
        <x:v>release state mirrors governing ledger</x:v>
      </x:c>
      <x:c r="E1019" t="str">
        <x:f>'Release Gates'!I993</x:f>
        <x:v>OPEN</x:v>
      </x:c>
      <x:c r="F1019" t="str">
        <x:f>IF('Release Gates'!C993="PLANNING","PASS",IF('Release Gates'!C993="PHYSICAL","OPEN","BLOCKED"))</x:f>
        <x:v>OPEN</x:v>
      </x:c>
      <x:c r="G1019" t="str">
        <x:v>equals</x:v>
      </x:c>
      <x:c r="H1019" t="str">
        <x:f>IF(E1019=F1019,"PASS","FAIL")</x:f>
        <x:v>PASS</x:v>
      </x:c>
    </x:row>
    <x:row r="1020">
      <x:c r="B1020" t="str">
        <x:v>A-00988</x:v>
      </x:c>
      <x:c r="C1020" t="str">
        <x:v>GATE</x:v>
      </x:c>
      <x:c r="D1020" t="str">
        <x:v>release state mirrors governing ledger</x:v>
      </x:c>
      <x:c r="E1020" t="str">
        <x:f>'Release Gates'!I994</x:f>
        <x:v>OPEN</x:v>
      </x:c>
      <x:c r="F1020" t="str">
        <x:f>IF('Release Gates'!C994="PLANNING","PASS",IF('Release Gates'!C994="PHYSICAL","OPEN","BLOCKED"))</x:f>
        <x:v>OPEN</x:v>
      </x:c>
      <x:c r="G1020" t="str">
        <x:v>equals</x:v>
      </x:c>
      <x:c r="H1020" t="str">
        <x:f>IF(E1020=F1020,"PASS","FAIL")</x:f>
        <x:v>PASS</x:v>
      </x:c>
    </x:row>
    <x:row r="1021">
      <x:c r="B1021" t="str">
        <x:v>A-00989</x:v>
      </x:c>
      <x:c r="C1021" t="str">
        <x:v>GATE</x:v>
      </x:c>
      <x:c r="D1021" t="str">
        <x:v>release state mirrors governing ledger</x:v>
      </x:c>
      <x:c r="E1021" t="str">
        <x:f>'Release Gates'!I995</x:f>
        <x:v>OPEN</x:v>
      </x:c>
      <x:c r="F1021" t="str">
        <x:f>IF('Release Gates'!C995="PLANNING","PASS",IF('Release Gates'!C995="PHYSICAL","OPEN","BLOCKED"))</x:f>
        <x:v>OPEN</x:v>
      </x:c>
      <x:c r="G1021" t="str">
        <x:v>equals</x:v>
      </x:c>
      <x:c r="H1021" t="str">
        <x:f>IF(E1021=F1021,"PASS","FAIL")</x:f>
        <x:v>PASS</x:v>
      </x:c>
    </x:row>
    <x:row r="1022">
      <x:c r="B1022" t="str">
        <x:v>A-00990</x:v>
      </x:c>
      <x:c r="C1022" t="str">
        <x:v>GATE</x:v>
      </x:c>
      <x:c r="D1022" t="str">
        <x:v>release state mirrors governing ledger</x:v>
      </x:c>
      <x:c r="E1022" t="str">
        <x:f>'Release Gates'!I996</x:f>
        <x:v>OPEN</x:v>
      </x:c>
      <x:c r="F1022" t="str">
        <x:f>IF('Release Gates'!C996="PLANNING","PASS",IF('Release Gates'!C996="PHYSICAL","OPEN","BLOCKED"))</x:f>
        <x:v>OPEN</x:v>
      </x:c>
      <x:c r="G1022" t="str">
        <x:v>equals</x:v>
      </x:c>
      <x:c r="H1022" t="str">
        <x:f>IF(E1022=F1022,"PASS","FAIL")</x:f>
        <x:v>PASS</x:v>
      </x:c>
    </x:row>
    <x:row r="1023">
      <x:c r="B1023" t="str">
        <x:v>A-00991</x:v>
      </x:c>
      <x:c r="C1023" t="str">
        <x:v>GATE</x:v>
      </x:c>
      <x:c r="D1023" t="str">
        <x:v>release state mirrors governing ledger</x:v>
      </x:c>
      <x:c r="E1023" t="str">
        <x:f>'Release Gates'!I997</x:f>
        <x:v>OPEN</x:v>
      </x:c>
      <x:c r="F1023" t="str">
        <x:f>IF('Release Gates'!C997="PLANNING","PASS",IF('Release Gates'!C997="PHYSICAL","OPEN","BLOCKED"))</x:f>
        <x:v>OPEN</x:v>
      </x:c>
      <x:c r="G1023" t="str">
        <x:v>equals</x:v>
      </x:c>
      <x:c r="H1023" t="str">
        <x:f>IF(E1023=F1023,"PASS","FAIL")</x:f>
        <x:v>PASS</x:v>
      </x:c>
    </x:row>
    <x:row r="1024">
      <x:c r="B1024" t="str">
        <x:v>A-00992</x:v>
      </x:c>
      <x:c r="C1024" t="str">
        <x:v>GATE</x:v>
      </x:c>
      <x:c r="D1024" t="str">
        <x:v>release state mirrors governing ledger</x:v>
      </x:c>
      <x:c r="E1024" t="str">
        <x:f>'Release Gates'!I998</x:f>
        <x:v>OPEN</x:v>
      </x:c>
      <x:c r="F1024" t="str">
        <x:f>IF('Release Gates'!C998="PLANNING","PASS",IF('Release Gates'!C998="PHYSICAL","OPEN","BLOCKED"))</x:f>
        <x:v>OPEN</x:v>
      </x:c>
      <x:c r="G1024" t="str">
        <x:v>equals</x:v>
      </x:c>
      <x:c r="H1024" t="str">
        <x:f>IF(E1024=F1024,"PASS","FAIL")</x:f>
        <x:v>PASS</x:v>
      </x:c>
    </x:row>
    <x:row r="1025">
      <x:c r="B1025" t="str">
        <x:v>A-00993</x:v>
      </x:c>
      <x:c r="C1025" t="str">
        <x:v>GATE</x:v>
      </x:c>
      <x:c r="D1025" t="str">
        <x:v>release state mirrors governing ledger</x:v>
      </x:c>
      <x:c r="E1025" t="str">
        <x:f>'Release Gates'!I999</x:f>
        <x:v>OPEN</x:v>
      </x:c>
      <x:c r="F1025" t="str">
        <x:f>IF('Release Gates'!C999="PLANNING","PASS",IF('Release Gates'!C999="PHYSICAL","OPEN","BLOCKED"))</x:f>
        <x:v>OPEN</x:v>
      </x:c>
      <x:c r="G1025" t="str">
        <x:v>equals</x:v>
      </x:c>
      <x:c r="H1025" t="str">
        <x:f>IF(E1025=F1025,"PASS","FAIL")</x:f>
        <x:v>PASS</x:v>
      </x:c>
    </x:row>
    <x:row r="1026">
      <x:c r="B1026" t="str">
        <x:v>A-00994</x:v>
      </x:c>
      <x:c r="C1026" t="str">
        <x:v>GATE</x:v>
      </x:c>
      <x:c r="D1026" t="str">
        <x:v>release state mirrors governing ledger</x:v>
      </x:c>
      <x:c r="E1026" t="str">
        <x:f>'Release Gates'!I1000</x:f>
        <x:v>OPEN</x:v>
      </x:c>
      <x:c r="F1026" t="str">
        <x:f>IF('Release Gates'!C1000="PLANNING","PASS",IF('Release Gates'!C1000="PHYSICAL","OPEN","BLOCKED"))</x:f>
        <x:v>OPEN</x:v>
      </x:c>
      <x:c r="G1026" t="str">
        <x:v>equals</x:v>
      </x:c>
      <x:c r="H1026" t="str">
        <x:f>IF(E1026=F1026,"PASS","FAIL")</x:f>
        <x:v>PASS</x:v>
      </x:c>
    </x:row>
    <x:row r="1027">
      <x:c r="B1027" t="str">
        <x:v>A-00995</x:v>
      </x:c>
      <x:c r="C1027" t="str">
        <x:v>GATE</x:v>
      </x:c>
      <x:c r="D1027" t="str">
        <x:v>release state mirrors governing ledger</x:v>
      </x:c>
      <x:c r="E1027" t="str">
        <x:f>'Release Gates'!I1001</x:f>
        <x:v>OPEN</x:v>
      </x:c>
      <x:c r="F1027" t="str">
        <x:f>IF('Release Gates'!C1001="PLANNING","PASS",IF('Release Gates'!C1001="PHYSICAL","OPEN","BLOCKED"))</x:f>
        <x:v>OPEN</x:v>
      </x:c>
      <x:c r="G1027" t="str">
        <x:v>equals</x:v>
      </x:c>
      <x:c r="H1027" t="str">
        <x:f>IF(E1027=F1027,"PASS","FAIL")</x:f>
        <x:v>PASS</x:v>
      </x:c>
    </x:row>
    <x:row r="1028">
      <x:c r="B1028" t="str">
        <x:v>A-00996</x:v>
      </x:c>
      <x:c r="C1028" t="str">
        <x:v>GATE</x:v>
      </x:c>
      <x:c r="D1028" t="str">
        <x:v>release state mirrors governing ledger</x:v>
      </x:c>
      <x:c r="E1028" t="str">
        <x:f>'Release Gates'!I1002</x:f>
        <x:v>OPEN</x:v>
      </x:c>
      <x:c r="F1028" t="str">
        <x:f>IF('Release Gates'!C1002="PLANNING","PASS",IF('Release Gates'!C1002="PHYSICAL","OPEN","BLOCKED"))</x:f>
        <x:v>OPEN</x:v>
      </x:c>
      <x:c r="G1028" t="str">
        <x:v>equals</x:v>
      </x:c>
      <x:c r="H1028" t="str">
        <x:f>IF(E1028=F1028,"PASS","FAIL")</x:f>
        <x:v>PASS</x:v>
      </x:c>
    </x:row>
    <x:row r="1029">
      <x:c r="B1029" t="str">
        <x:v>A-00997</x:v>
      </x:c>
      <x:c r="C1029" t="str">
        <x:v>GATE</x:v>
      </x:c>
      <x:c r="D1029" t="str">
        <x:v>release state mirrors governing ledger</x:v>
      </x:c>
      <x:c r="E1029" t="str">
        <x:f>'Release Gates'!I1003</x:f>
        <x:v>OPEN</x:v>
      </x:c>
      <x:c r="F1029" t="str">
        <x:f>IF('Release Gates'!C1003="PLANNING","PASS",IF('Release Gates'!C1003="PHYSICAL","OPEN","BLOCKED"))</x:f>
        <x:v>OPEN</x:v>
      </x:c>
      <x:c r="G1029" t="str">
        <x:v>equals</x:v>
      </x:c>
      <x:c r="H1029" t="str">
        <x:f>IF(E1029=F1029,"PASS","FAIL")</x:f>
        <x:v>PASS</x:v>
      </x:c>
    </x:row>
    <x:row r="1030">
      <x:c r="B1030" t="str">
        <x:v>A-00998</x:v>
      </x:c>
      <x:c r="C1030" t="str">
        <x:v>GATE</x:v>
      </x:c>
      <x:c r="D1030" t="str">
        <x:v>release state mirrors governing ledger</x:v>
      </x:c>
      <x:c r="E1030" t="str">
        <x:f>'Release Gates'!I1004</x:f>
        <x:v>OPEN</x:v>
      </x:c>
      <x:c r="F1030" t="str">
        <x:f>IF('Release Gates'!C1004="PLANNING","PASS",IF('Release Gates'!C1004="PHYSICAL","OPEN","BLOCKED"))</x:f>
        <x:v>OPEN</x:v>
      </x:c>
      <x:c r="G1030" t="str">
        <x:v>equals</x:v>
      </x:c>
      <x:c r="H1030" t="str">
        <x:f>IF(E1030=F1030,"PASS","FAIL")</x:f>
        <x:v>PASS</x:v>
      </x:c>
    </x:row>
    <x:row r="1031">
      <x:c r="B1031" t="str">
        <x:v>A-00999</x:v>
      </x:c>
      <x:c r="C1031" t="str">
        <x:v>GATE</x:v>
      </x:c>
      <x:c r="D1031" t="str">
        <x:v>release state mirrors governing ledger</x:v>
      </x:c>
      <x:c r="E1031" t="str">
        <x:f>'Release Gates'!I1005</x:f>
        <x:v>OPEN</x:v>
      </x:c>
      <x:c r="F1031" t="str">
        <x:f>IF('Release Gates'!C1005="PLANNING","PASS",IF('Release Gates'!C1005="PHYSICAL","OPEN","BLOCKED"))</x:f>
        <x:v>OPEN</x:v>
      </x:c>
      <x:c r="G1031" t="str">
        <x:v>equals</x:v>
      </x:c>
      <x:c r="H1031" t="str">
        <x:f>IF(E1031=F1031,"PASS","FAIL")</x:f>
        <x:v>PASS</x:v>
      </x:c>
    </x:row>
    <x:row r="1032">
      <x:c r="B1032" t="str">
        <x:v>A-01000</x:v>
      </x:c>
      <x:c r="C1032" t="str">
        <x:v>GATE</x:v>
      </x:c>
      <x:c r="D1032" t="str">
        <x:v>release state mirrors governing ledger</x:v>
      </x:c>
      <x:c r="E1032" t="str">
        <x:f>'Release Gates'!I1006</x:f>
        <x:v>OPEN</x:v>
      </x:c>
      <x:c r="F1032" t="str">
        <x:f>IF('Release Gates'!C1006="PLANNING","PASS",IF('Release Gates'!C1006="PHYSICAL","OPEN","BLOCKED"))</x:f>
        <x:v>OPEN</x:v>
      </x:c>
      <x:c r="G1032" t="str">
        <x:v>equals</x:v>
      </x:c>
      <x:c r="H1032" t="str">
        <x:f>IF(E1032=F1032,"PASS","FAIL")</x:f>
        <x:v>PASS</x:v>
      </x:c>
    </x:row>
    <x:row r="1033">
      <x:c r="B1033" t="str">
        <x:v>A-01001</x:v>
      </x:c>
      <x:c r="C1033" t="str">
        <x:v>GATE</x:v>
      </x:c>
      <x:c r="D1033" t="str">
        <x:v>release state mirrors governing ledger</x:v>
      </x:c>
      <x:c r="E1033" t="str">
        <x:f>'Release Gates'!I1007</x:f>
        <x:v>OPEN</x:v>
      </x:c>
      <x:c r="F1033" t="str">
        <x:f>IF('Release Gates'!C1007="PLANNING","PASS",IF('Release Gates'!C1007="PHYSICAL","OPEN","BLOCKED"))</x:f>
        <x:v>OPEN</x:v>
      </x:c>
      <x:c r="G1033" t="str">
        <x:v>equals</x:v>
      </x:c>
      <x:c r="H1033" t="str">
        <x:f>IF(E1033=F1033,"PASS","FAIL")</x:f>
        <x:v>PASS</x:v>
      </x:c>
    </x:row>
    <x:row r="1034">
      <x:c r="B1034" t="str">
        <x:v>A-01002</x:v>
      </x:c>
      <x:c r="C1034" t="str">
        <x:v>GATE</x:v>
      </x:c>
      <x:c r="D1034" t="str">
        <x:v>release state mirrors governing ledger</x:v>
      </x:c>
      <x:c r="E1034" t="str">
        <x:f>'Release Gates'!I1008</x:f>
        <x:v>OPEN</x:v>
      </x:c>
      <x:c r="F1034" t="str">
        <x:f>IF('Release Gates'!C1008="PLANNING","PASS",IF('Release Gates'!C1008="PHYSICAL","OPEN","BLOCKED"))</x:f>
        <x:v>OPEN</x:v>
      </x:c>
      <x:c r="G1034" t="str">
        <x:v>equals</x:v>
      </x:c>
      <x:c r="H1034" t="str">
        <x:f>IF(E1034=F1034,"PASS","FAIL")</x:f>
        <x:v>PASS</x:v>
      </x:c>
    </x:row>
    <x:row r="1035">
      <x:c r="B1035" t="str">
        <x:v>A-01003</x:v>
      </x:c>
      <x:c r="C1035" t="str">
        <x:v>GATE</x:v>
      </x:c>
      <x:c r="D1035" t="str">
        <x:v>release state mirrors governing ledger</x:v>
      </x:c>
      <x:c r="E1035" t="str">
        <x:f>'Release Gates'!I1009</x:f>
        <x:v>OPEN</x:v>
      </x:c>
      <x:c r="F1035" t="str">
        <x:f>IF('Release Gates'!C1009="PLANNING","PASS",IF('Release Gates'!C1009="PHYSICAL","OPEN","BLOCKED"))</x:f>
        <x:v>OPEN</x:v>
      </x:c>
      <x:c r="G1035" t="str">
        <x:v>equals</x:v>
      </x:c>
      <x:c r="H1035" t="str">
        <x:f>IF(E1035=F1035,"PASS","FAIL")</x:f>
        <x:v>PASS</x:v>
      </x:c>
    </x:row>
    <x:row r="1036">
      <x:c r="B1036" t="str">
        <x:v>A-01004</x:v>
      </x:c>
      <x:c r="C1036" t="str">
        <x:v>GATE</x:v>
      </x:c>
      <x:c r="D1036" t="str">
        <x:v>release state mirrors governing ledger</x:v>
      </x:c>
      <x:c r="E1036" t="str">
        <x:f>'Release Gates'!I1010</x:f>
        <x:v>OPEN</x:v>
      </x:c>
      <x:c r="F1036" t="str">
        <x:f>IF('Release Gates'!C1010="PLANNING","PASS",IF('Release Gates'!C1010="PHYSICAL","OPEN","BLOCKED"))</x:f>
        <x:v>OPEN</x:v>
      </x:c>
      <x:c r="G1036" t="str">
        <x:v>equals</x:v>
      </x:c>
      <x:c r="H1036" t="str">
        <x:f>IF(E1036=F1036,"PASS","FAIL")</x:f>
        <x:v>PASS</x:v>
      </x:c>
    </x:row>
    <x:row r="1037">
      <x:c r="B1037" t="str">
        <x:v>A-01005</x:v>
      </x:c>
      <x:c r="C1037" t="str">
        <x:v>GATE</x:v>
      </x:c>
      <x:c r="D1037" t="str">
        <x:v>release state mirrors governing ledger</x:v>
      </x:c>
      <x:c r="E1037" t="str">
        <x:f>'Release Gates'!I1011</x:f>
        <x:v>OPEN</x:v>
      </x:c>
      <x:c r="F1037" t="str">
        <x:f>IF('Release Gates'!C1011="PLANNING","PASS",IF('Release Gates'!C1011="PHYSICAL","OPEN","BLOCKED"))</x:f>
        <x:v>OPEN</x:v>
      </x:c>
      <x:c r="G1037" t="str">
        <x:v>equals</x:v>
      </x:c>
      <x:c r="H1037" t="str">
        <x:f>IF(E1037=F1037,"PASS","FAIL")</x:f>
        <x:v>PASS</x:v>
      </x:c>
    </x:row>
    <x:row r="1038">
      <x:c r="B1038" t="str">
        <x:v>A-01006</x:v>
      </x:c>
      <x:c r="C1038" t="str">
        <x:v>GATE</x:v>
      </x:c>
      <x:c r="D1038" t="str">
        <x:v>release state mirrors governing ledger</x:v>
      </x:c>
      <x:c r="E1038" t="str">
        <x:f>'Release Gates'!I1012</x:f>
        <x:v>OPEN</x:v>
      </x:c>
      <x:c r="F1038" t="str">
        <x:f>IF('Release Gates'!C1012="PLANNING","PASS",IF('Release Gates'!C1012="PHYSICAL","OPEN","BLOCKED"))</x:f>
        <x:v>OPEN</x:v>
      </x:c>
      <x:c r="G1038" t="str">
        <x:v>equals</x:v>
      </x:c>
      <x:c r="H1038" t="str">
        <x:f>IF(E1038=F1038,"PASS","FAIL")</x:f>
        <x:v>PASS</x:v>
      </x:c>
    </x:row>
    <x:row r="1039">
      <x:c r="B1039" t="str">
        <x:v>A-01007</x:v>
      </x:c>
      <x:c r="C1039" t="str">
        <x:v>GATE</x:v>
      </x:c>
      <x:c r="D1039" t="str">
        <x:v>release state mirrors governing ledger</x:v>
      </x:c>
      <x:c r="E1039" t="str">
        <x:f>'Release Gates'!I1013</x:f>
        <x:v>OPEN</x:v>
      </x:c>
      <x:c r="F1039" t="str">
        <x:f>IF('Release Gates'!C1013="PLANNING","PASS",IF('Release Gates'!C1013="PHYSICAL","OPEN","BLOCKED"))</x:f>
        <x:v>OPEN</x:v>
      </x:c>
      <x:c r="G1039" t="str">
        <x:v>equals</x:v>
      </x:c>
      <x:c r="H1039" t="str">
        <x:f>IF(E1039=F1039,"PASS","FAIL")</x:f>
        <x:v>PASS</x:v>
      </x:c>
    </x:row>
    <x:row r="1040">
      <x:c r="B1040" t="str">
        <x:v>A-01008</x:v>
      </x:c>
      <x:c r="C1040" t="str">
        <x:v>GATE</x:v>
      </x:c>
      <x:c r="D1040" t="str">
        <x:v>release state mirrors governing ledger</x:v>
      </x:c>
      <x:c r="E1040" t="str">
        <x:f>'Release Gates'!I1014</x:f>
        <x:v>OPEN</x:v>
      </x:c>
      <x:c r="F1040" t="str">
        <x:f>IF('Release Gates'!C1014="PLANNING","PASS",IF('Release Gates'!C1014="PHYSICAL","OPEN","BLOCKED"))</x:f>
        <x:v>OPEN</x:v>
      </x:c>
      <x:c r="G1040" t="str">
        <x:v>equals</x:v>
      </x:c>
      <x:c r="H1040" t="str">
        <x:f>IF(E1040=F1040,"PASS","FAIL")</x:f>
        <x:v>PASS</x:v>
      </x:c>
    </x:row>
    <x:row r="1041">
      <x:c r="B1041" t="str">
        <x:v>A-01009</x:v>
      </x:c>
      <x:c r="C1041" t="str">
        <x:v>GATE</x:v>
      </x:c>
      <x:c r="D1041" t="str">
        <x:v>release state mirrors governing ledger</x:v>
      </x:c>
      <x:c r="E1041" t="str">
        <x:f>'Release Gates'!I1015</x:f>
        <x:v>OPEN</x:v>
      </x:c>
      <x:c r="F1041" t="str">
        <x:f>IF('Release Gates'!C1015="PLANNING","PASS",IF('Release Gates'!C1015="PHYSICAL","OPEN","BLOCKED"))</x:f>
        <x:v>OPEN</x:v>
      </x:c>
      <x:c r="G1041" t="str">
        <x:v>equals</x:v>
      </x:c>
      <x:c r="H1041" t="str">
        <x:f>IF(E1041=F1041,"PASS","FAIL")</x:f>
        <x:v>PASS</x:v>
      </x:c>
    </x:row>
    <x:row r="1042">
      <x:c r="B1042" t="str">
        <x:v>A-01010</x:v>
      </x:c>
      <x:c r="C1042" t="str">
        <x:v>GATE</x:v>
      </x:c>
      <x:c r="D1042" t="str">
        <x:v>release state mirrors governing ledger</x:v>
      </x:c>
      <x:c r="E1042" t="str">
        <x:f>'Release Gates'!I1016</x:f>
        <x:v>OPEN</x:v>
      </x:c>
      <x:c r="F1042" t="str">
        <x:f>IF('Release Gates'!C1016="PLANNING","PASS",IF('Release Gates'!C1016="PHYSICAL","OPEN","BLOCKED"))</x:f>
        <x:v>OPEN</x:v>
      </x:c>
      <x:c r="G1042" t="str">
        <x:v>equals</x:v>
      </x:c>
      <x:c r="H1042" t="str">
        <x:f>IF(E1042=F1042,"PASS","FAIL")</x:f>
        <x:v>PASS</x:v>
      </x:c>
    </x:row>
    <x:row r="1043">
      <x:c r="B1043" t="str">
        <x:v>A-01011</x:v>
      </x:c>
      <x:c r="C1043" t="str">
        <x:v>GATE</x:v>
      </x:c>
      <x:c r="D1043" t="str">
        <x:v>release state mirrors governing ledger</x:v>
      </x:c>
      <x:c r="E1043" t="str">
        <x:f>'Release Gates'!I1017</x:f>
        <x:v>OPEN</x:v>
      </x:c>
      <x:c r="F1043" t="str">
        <x:f>IF('Release Gates'!C1017="PLANNING","PASS",IF('Release Gates'!C1017="PHYSICAL","OPEN","BLOCKED"))</x:f>
        <x:v>OPEN</x:v>
      </x:c>
      <x:c r="G1043" t="str">
        <x:v>equals</x:v>
      </x:c>
      <x:c r="H1043" t="str">
        <x:f>IF(E1043=F1043,"PASS","FAIL")</x:f>
        <x:v>PASS</x:v>
      </x:c>
    </x:row>
    <x:row r="1044">
      <x:c r="B1044" t="str">
        <x:v>A-01012</x:v>
      </x:c>
      <x:c r="C1044" t="str">
        <x:v>GATE</x:v>
      </x:c>
      <x:c r="D1044" t="str">
        <x:v>release state mirrors governing ledger</x:v>
      </x:c>
      <x:c r="E1044" t="str">
        <x:f>'Release Gates'!I1018</x:f>
        <x:v>OPEN</x:v>
      </x:c>
      <x:c r="F1044" t="str">
        <x:f>IF('Release Gates'!C1018="PLANNING","PASS",IF('Release Gates'!C1018="PHYSICAL","OPEN","BLOCKED"))</x:f>
        <x:v>OPEN</x:v>
      </x:c>
      <x:c r="G1044" t="str">
        <x:v>equals</x:v>
      </x:c>
      <x:c r="H1044" t="str">
        <x:f>IF(E1044=F1044,"PASS","FAIL")</x:f>
        <x:v>PASS</x:v>
      </x:c>
    </x:row>
    <x:row r="1045">
      <x:c r="B1045" t="str">
        <x:v>A-01013</x:v>
      </x:c>
      <x:c r="C1045" t="str">
        <x:v>GATE</x:v>
      </x:c>
      <x:c r="D1045" t="str">
        <x:v>release state mirrors governing ledger</x:v>
      </x:c>
      <x:c r="E1045" t="str">
        <x:f>'Release Gates'!I1019</x:f>
        <x:v>OPEN</x:v>
      </x:c>
      <x:c r="F1045" t="str">
        <x:f>IF('Release Gates'!C1019="PLANNING","PASS",IF('Release Gates'!C1019="PHYSICAL","OPEN","BLOCKED"))</x:f>
        <x:v>OPEN</x:v>
      </x:c>
      <x:c r="G1045" t="str">
        <x:v>equals</x:v>
      </x:c>
      <x:c r="H1045" t="str">
        <x:f>IF(E1045=F1045,"PASS","FAIL")</x:f>
        <x:v>PASS</x:v>
      </x:c>
    </x:row>
    <x:row r="1046">
      <x:c r="B1046" t="str">
        <x:v>A-01014</x:v>
      </x:c>
      <x:c r="C1046" t="str">
        <x:v>GATE</x:v>
      </x:c>
      <x:c r="D1046" t="str">
        <x:v>release state mirrors governing ledger</x:v>
      </x:c>
      <x:c r="E1046" t="str">
        <x:f>'Release Gates'!I1020</x:f>
        <x:v>OPEN</x:v>
      </x:c>
      <x:c r="F1046" t="str">
        <x:f>IF('Release Gates'!C1020="PLANNING","PASS",IF('Release Gates'!C1020="PHYSICAL","OPEN","BLOCKED"))</x:f>
        <x:v>OPEN</x:v>
      </x:c>
      <x:c r="G1046" t="str">
        <x:v>equals</x:v>
      </x:c>
      <x:c r="H1046" t="str">
        <x:f>IF(E1046=F1046,"PASS","FAIL")</x:f>
        <x:v>PASS</x:v>
      </x:c>
    </x:row>
    <x:row r="1047">
      <x:c r="B1047" t="str">
        <x:v>A-01015</x:v>
      </x:c>
      <x:c r="C1047" t="str">
        <x:v>GATE</x:v>
      </x:c>
      <x:c r="D1047" t="str">
        <x:v>release state mirrors governing ledger</x:v>
      </x:c>
      <x:c r="E1047" t="str">
        <x:f>'Release Gates'!I1021</x:f>
        <x:v>OPEN</x:v>
      </x:c>
      <x:c r="F1047" t="str">
        <x:f>IF('Release Gates'!C1021="PLANNING","PASS",IF('Release Gates'!C1021="PHYSICAL","OPEN","BLOCKED"))</x:f>
        <x:v>OPEN</x:v>
      </x:c>
      <x:c r="G1047" t="str">
        <x:v>equals</x:v>
      </x:c>
      <x:c r="H1047" t="str">
        <x:f>IF(E1047=F1047,"PASS","FAIL")</x:f>
        <x:v>PASS</x:v>
      </x:c>
    </x:row>
    <x:row r="1048">
      <x:c r="B1048" t="str">
        <x:v>A-01016</x:v>
      </x:c>
      <x:c r="C1048" t="str">
        <x:v>GATE</x:v>
      </x:c>
      <x:c r="D1048" t="str">
        <x:v>release state mirrors governing ledger</x:v>
      </x:c>
      <x:c r="E1048" t="str">
        <x:f>'Release Gates'!I1022</x:f>
        <x:v>OPEN</x:v>
      </x:c>
      <x:c r="F1048" t="str">
        <x:f>IF('Release Gates'!C1022="PLANNING","PASS",IF('Release Gates'!C1022="PHYSICAL","OPEN","BLOCKED"))</x:f>
        <x:v>OPEN</x:v>
      </x:c>
      <x:c r="G1048" t="str">
        <x:v>equals</x:v>
      </x:c>
      <x:c r="H1048" t="str">
        <x:f>IF(E1048=F1048,"PASS","FAIL")</x:f>
        <x:v>PASS</x:v>
      </x:c>
    </x:row>
    <x:row r="1049">
      <x:c r="B1049" t="str">
        <x:v>A-01017</x:v>
      </x:c>
      <x:c r="C1049" t="str">
        <x:v>GATE</x:v>
      </x:c>
      <x:c r="D1049" t="str">
        <x:v>release state mirrors governing ledger</x:v>
      </x:c>
      <x:c r="E1049" t="str">
        <x:f>'Release Gates'!I1023</x:f>
        <x:v>OPEN</x:v>
      </x:c>
      <x:c r="F1049" t="str">
        <x:f>IF('Release Gates'!C1023="PLANNING","PASS",IF('Release Gates'!C1023="PHYSICAL","OPEN","BLOCKED"))</x:f>
        <x:v>OPEN</x:v>
      </x:c>
      <x:c r="G1049" t="str">
        <x:v>equals</x:v>
      </x:c>
      <x:c r="H1049" t="str">
        <x:f>IF(E1049=F1049,"PASS","FAIL")</x:f>
        <x:v>PASS</x:v>
      </x:c>
    </x:row>
    <x:row r="1050">
      <x:c r="B1050" t="str">
        <x:v>A-01018</x:v>
      </x:c>
      <x:c r="C1050" t="str">
        <x:v>GATE</x:v>
      </x:c>
      <x:c r="D1050" t="str">
        <x:v>release state mirrors governing ledger</x:v>
      </x:c>
      <x:c r="E1050" t="str">
        <x:f>'Release Gates'!I1024</x:f>
        <x:v>OPEN</x:v>
      </x:c>
      <x:c r="F1050" t="str">
        <x:f>IF('Release Gates'!C1024="PLANNING","PASS",IF('Release Gates'!C1024="PHYSICAL","OPEN","BLOCKED"))</x:f>
        <x:v>OPEN</x:v>
      </x:c>
      <x:c r="G1050" t="str">
        <x:v>equals</x:v>
      </x:c>
      <x:c r="H1050" t="str">
        <x:f>IF(E1050=F1050,"PASS","FAIL")</x:f>
        <x:v>PASS</x:v>
      </x:c>
    </x:row>
    <x:row r="1051">
      <x:c r="B1051" t="str">
        <x:v>A-01019</x:v>
      </x:c>
      <x:c r="C1051" t="str">
        <x:v>GATE</x:v>
      </x:c>
      <x:c r="D1051" t="str">
        <x:v>release state mirrors governing ledger</x:v>
      </x:c>
      <x:c r="E1051" t="str">
        <x:f>'Release Gates'!I1025</x:f>
        <x:v>OPEN</x:v>
      </x:c>
      <x:c r="F1051" t="str">
        <x:f>IF('Release Gates'!C1025="PLANNING","PASS",IF('Release Gates'!C1025="PHYSICAL","OPEN","BLOCKED"))</x:f>
        <x:v>OPEN</x:v>
      </x:c>
      <x:c r="G1051" t="str">
        <x:v>equals</x:v>
      </x:c>
      <x:c r="H1051" t="str">
        <x:f>IF(E1051=F1051,"PASS","FAIL")</x:f>
        <x:v>PASS</x:v>
      </x:c>
    </x:row>
    <x:row r="1052">
      <x:c r="B1052" t="str">
        <x:v>A-01020</x:v>
      </x:c>
      <x:c r="C1052" t="str">
        <x:v>GATE</x:v>
      </x:c>
      <x:c r="D1052" t="str">
        <x:v>release state mirrors governing ledger</x:v>
      </x:c>
      <x:c r="E1052" t="str">
        <x:f>'Release Gates'!I1026</x:f>
        <x:v>OPEN</x:v>
      </x:c>
      <x:c r="F1052" t="str">
        <x:f>IF('Release Gates'!C1026="PLANNING","PASS",IF('Release Gates'!C1026="PHYSICAL","OPEN","BLOCKED"))</x:f>
        <x:v>OPEN</x:v>
      </x:c>
      <x:c r="G1052" t="str">
        <x:v>equals</x:v>
      </x:c>
      <x:c r="H1052" t="str">
        <x:f>IF(E1052=F1052,"PASS","FAIL")</x:f>
        <x:v>PASS</x:v>
      </x:c>
    </x:row>
    <x:row r="1053">
      <x:c r="B1053" t="str">
        <x:v>A-01021</x:v>
      </x:c>
      <x:c r="C1053" t="str">
        <x:v>GATE</x:v>
      </x:c>
      <x:c r="D1053" t="str">
        <x:v>release state mirrors governing ledger</x:v>
      </x:c>
      <x:c r="E1053" t="str">
        <x:f>'Release Gates'!I1027</x:f>
        <x:v>OPEN</x:v>
      </x:c>
      <x:c r="F1053" t="str">
        <x:f>IF('Release Gates'!C1027="PLANNING","PASS",IF('Release Gates'!C1027="PHYSICAL","OPEN","BLOCKED"))</x:f>
        <x:v>OPEN</x:v>
      </x:c>
      <x:c r="G1053" t="str">
        <x:v>equals</x:v>
      </x:c>
      <x:c r="H1053" t="str">
        <x:f>IF(E1053=F1053,"PASS","FAIL")</x:f>
        <x:v>PASS</x:v>
      </x:c>
    </x:row>
    <x:row r="1054">
      <x:c r="B1054" t="str">
        <x:v>A-01022</x:v>
      </x:c>
      <x:c r="C1054" t="str">
        <x:v>GATE</x:v>
      </x:c>
      <x:c r="D1054" t="str">
        <x:v>release state mirrors governing ledger</x:v>
      </x:c>
      <x:c r="E1054" t="str">
        <x:f>'Release Gates'!I1028</x:f>
        <x:v>OPEN</x:v>
      </x:c>
      <x:c r="F1054" t="str">
        <x:f>IF('Release Gates'!C1028="PLANNING","PASS",IF('Release Gates'!C1028="PHYSICAL","OPEN","BLOCKED"))</x:f>
        <x:v>OPEN</x:v>
      </x:c>
      <x:c r="G1054" t="str">
        <x:v>equals</x:v>
      </x:c>
      <x:c r="H1054" t="str">
        <x:f>IF(E1054=F1054,"PASS","FAIL")</x:f>
        <x:v>PASS</x:v>
      </x:c>
    </x:row>
    <x:row r="1055">
      <x:c r="B1055" t="str">
        <x:v>A-01023</x:v>
      </x:c>
      <x:c r="C1055" t="str">
        <x:v>GATE</x:v>
      </x:c>
      <x:c r="D1055" t="str">
        <x:v>release state mirrors governing ledger</x:v>
      </x:c>
      <x:c r="E1055" t="str">
        <x:f>'Release Gates'!I1029</x:f>
        <x:v>OPEN</x:v>
      </x:c>
      <x:c r="F1055" t="str">
        <x:f>IF('Release Gates'!C1029="PLANNING","PASS",IF('Release Gates'!C1029="PHYSICAL","OPEN","BLOCKED"))</x:f>
        <x:v>OPEN</x:v>
      </x:c>
      <x:c r="G1055" t="str">
        <x:v>equals</x:v>
      </x:c>
      <x:c r="H1055" t="str">
        <x:f>IF(E1055=F1055,"PASS","FAIL")</x:f>
        <x:v>PASS</x:v>
      </x:c>
    </x:row>
    <x:row r="1056">
      <x:c r="B1056" t="str">
        <x:v>A-01024</x:v>
      </x:c>
      <x:c r="C1056" t="str">
        <x:v>GATE</x:v>
      </x:c>
      <x:c r="D1056" t="str">
        <x:v>release state mirrors governing ledger</x:v>
      </x:c>
      <x:c r="E1056" t="str">
        <x:f>'Release Gates'!I1030</x:f>
        <x:v>OPEN</x:v>
      </x:c>
      <x:c r="F1056" t="str">
        <x:f>IF('Release Gates'!C1030="PLANNING","PASS",IF('Release Gates'!C1030="PHYSICAL","OPEN","BLOCKED"))</x:f>
        <x:v>OPEN</x:v>
      </x:c>
      <x:c r="G1056" t="str">
        <x:v>equals</x:v>
      </x:c>
      <x:c r="H1056" t="str">
        <x:f>IF(E1056=F1056,"PASS","FAIL")</x:f>
        <x:v>PASS</x:v>
      </x:c>
    </x:row>
    <x:row r="1057">
      <x:c r="B1057" t="str">
        <x:v>A-01025</x:v>
      </x:c>
      <x:c r="C1057" t="str">
        <x:v>GATE</x:v>
      </x:c>
      <x:c r="D1057" t="str">
        <x:v>release state mirrors governing ledger</x:v>
      </x:c>
      <x:c r="E1057" t="str">
        <x:f>'Release Gates'!I1031</x:f>
        <x:v>OPEN</x:v>
      </x:c>
      <x:c r="F1057" t="str">
        <x:f>IF('Release Gates'!C1031="PLANNING","PASS",IF('Release Gates'!C1031="PHYSICAL","OPEN","BLOCKED"))</x:f>
        <x:v>OPEN</x:v>
      </x:c>
      <x:c r="G1057" t="str">
        <x:v>equals</x:v>
      </x:c>
      <x:c r="H1057" t="str">
        <x:f>IF(E1057=F1057,"PASS","FAIL")</x:f>
        <x:v>PASS</x:v>
      </x:c>
    </x:row>
    <x:row r="1058">
      <x:c r="B1058" t="str">
        <x:v>A-01026</x:v>
      </x:c>
      <x:c r="C1058" t="str">
        <x:v>GATE</x:v>
      </x:c>
      <x:c r="D1058" t="str">
        <x:v>release state mirrors governing ledger</x:v>
      </x:c>
      <x:c r="E1058" t="str">
        <x:f>'Release Gates'!I1032</x:f>
        <x:v>OPEN</x:v>
      </x:c>
      <x:c r="F1058" t="str">
        <x:f>IF('Release Gates'!C1032="PLANNING","PASS",IF('Release Gates'!C1032="PHYSICAL","OPEN","BLOCKED"))</x:f>
        <x:v>OPEN</x:v>
      </x:c>
      <x:c r="G1058" t="str">
        <x:v>equals</x:v>
      </x:c>
      <x:c r="H1058" t="str">
        <x:f>IF(E1058=F1058,"PASS","FAIL")</x:f>
        <x:v>PASS</x:v>
      </x:c>
    </x:row>
    <x:row r="1059">
      <x:c r="B1059" t="str">
        <x:v>A-01027</x:v>
      </x:c>
      <x:c r="C1059" t="str">
        <x:v>GATE</x:v>
      </x:c>
      <x:c r="D1059" t="str">
        <x:v>release state mirrors governing ledger</x:v>
      </x:c>
      <x:c r="E1059" t="str">
        <x:f>'Release Gates'!I1033</x:f>
        <x:v>OPEN</x:v>
      </x:c>
      <x:c r="F1059" t="str">
        <x:f>IF('Release Gates'!C1033="PLANNING","PASS",IF('Release Gates'!C1033="PHYSICAL","OPEN","BLOCKED"))</x:f>
        <x:v>OPEN</x:v>
      </x:c>
      <x:c r="G1059" t="str">
        <x:v>equals</x:v>
      </x:c>
      <x:c r="H1059" t="str">
        <x:f>IF(E1059=F1059,"PASS","FAIL")</x:f>
        <x:v>PASS</x:v>
      </x:c>
    </x:row>
    <x:row r="1060">
      <x:c r="B1060" t="str">
        <x:v>A-01028</x:v>
      </x:c>
      <x:c r="C1060" t="str">
        <x:v>GATE</x:v>
      </x:c>
      <x:c r="D1060" t="str">
        <x:v>release state mirrors governing ledger</x:v>
      </x:c>
      <x:c r="E1060" t="str">
        <x:f>'Release Gates'!I1034</x:f>
        <x:v>OPEN</x:v>
      </x:c>
      <x:c r="F1060" t="str">
        <x:f>IF('Release Gates'!C1034="PLANNING","PASS",IF('Release Gates'!C1034="PHYSICAL","OPEN","BLOCKED"))</x:f>
        <x:v>OPEN</x:v>
      </x:c>
      <x:c r="G1060" t="str">
        <x:v>equals</x:v>
      </x:c>
      <x:c r="H1060" t="str">
        <x:f>IF(E1060=F1060,"PASS","FAIL")</x:f>
        <x:v>PASS</x:v>
      </x:c>
    </x:row>
    <x:row r="1061">
      <x:c r="B1061" t="str">
        <x:v>A-01029</x:v>
      </x:c>
      <x:c r="C1061" t="str">
        <x:v>GATE</x:v>
      </x:c>
      <x:c r="D1061" t="str">
        <x:v>release state mirrors governing ledger</x:v>
      </x:c>
      <x:c r="E1061" t="str">
        <x:f>'Release Gates'!I1035</x:f>
        <x:v>OPEN</x:v>
      </x:c>
      <x:c r="F1061" t="str">
        <x:f>IF('Release Gates'!C1035="PLANNING","PASS",IF('Release Gates'!C1035="PHYSICAL","OPEN","BLOCKED"))</x:f>
        <x:v>OPEN</x:v>
      </x:c>
      <x:c r="G1061" t="str">
        <x:v>equals</x:v>
      </x:c>
      <x:c r="H1061" t="str">
        <x:f>IF(E1061=F1061,"PASS","FAIL")</x:f>
        <x:v>PASS</x:v>
      </x:c>
    </x:row>
    <x:row r="1062">
      <x:c r="B1062" t="str">
        <x:v>A-01030</x:v>
      </x:c>
      <x:c r="C1062" t="str">
        <x:v>GATE</x:v>
      </x:c>
      <x:c r="D1062" t="str">
        <x:v>release state mirrors governing ledger</x:v>
      </x:c>
      <x:c r="E1062" t="str">
        <x:f>'Release Gates'!I1036</x:f>
        <x:v>OPEN</x:v>
      </x:c>
      <x:c r="F1062" t="str">
        <x:f>IF('Release Gates'!C1036="PLANNING","PASS",IF('Release Gates'!C1036="PHYSICAL","OPEN","BLOCKED"))</x:f>
        <x:v>OPEN</x:v>
      </x:c>
      <x:c r="G1062" t="str">
        <x:v>equals</x:v>
      </x:c>
      <x:c r="H1062" t="str">
        <x:f>IF(E1062=F1062,"PASS","FAIL")</x:f>
        <x:v>PASS</x:v>
      </x:c>
    </x:row>
    <x:row r="1063">
      <x:c r="B1063" t="str">
        <x:v>A-01031</x:v>
      </x:c>
      <x:c r="C1063" t="str">
        <x:v>GATE</x:v>
      </x:c>
      <x:c r="D1063" t="str">
        <x:v>release state mirrors governing ledger</x:v>
      </x:c>
      <x:c r="E1063" t="str">
        <x:f>'Release Gates'!I1037</x:f>
        <x:v>OPEN</x:v>
      </x:c>
      <x:c r="F1063" t="str">
        <x:f>IF('Release Gates'!C1037="PLANNING","PASS",IF('Release Gates'!C1037="PHYSICAL","OPEN","BLOCKED"))</x:f>
        <x:v>OPEN</x:v>
      </x:c>
      <x:c r="G1063" t="str">
        <x:v>equals</x:v>
      </x:c>
      <x:c r="H1063" t="str">
        <x:f>IF(E1063=F1063,"PASS","FAIL")</x:f>
        <x:v>PASS</x:v>
      </x:c>
    </x:row>
    <x:row r="1064">
      <x:c r="B1064" t="str">
        <x:v>A-01032</x:v>
      </x:c>
      <x:c r="C1064" t="str">
        <x:v>GATE</x:v>
      </x:c>
      <x:c r="D1064" t="str">
        <x:v>release state mirrors governing ledger</x:v>
      </x:c>
      <x:c r="E1064" t="str">
        <x:f>'Release Gates'!I1038</x:f>
        <x:v>OPEN</x:v>
      </x:c>
      <x:c r="F1064" t="str">
        <x:f>IF('Release Gates'!C1038="PLANNING","PASS",IF('Release Gates'!C1038="PHYSICAL","OPEN","BLOCKED"))</x:f>
        <x:v>OPEN</x:v>
      </x:c>
      <x:c r="G1064" t="str">
        <x:v>equals</x:v>
      </x:c>
      <x:c r="H1064" t="str">
        <x:f>IF(E1064=F1064,"PASS","FAIL")</x:f>
        <x:v>PASS</x:v>
      </x:c>
    </x:row>
    <x:row r="1065">
      <x:c r="B1065" t="str">
        <x:v>A-01033</x:v>
      </x:c>
      <x:c r="C1065" t="str">
        <x:v>GATE</x:v>
      </x:c>
      <x:c r="D1065" t="str">
        <x:v>release state mirrors governing ledger</x:v>
      </x:c>
      <x:c r="E1065" t="str">
        <x:f>'Release Gates'!I1039</x:f>
        <x:v>OPEN</x:v>
      </x:c>
      <x:c r="F1065" t="str">
        <x:f>IF('Release Gates'!C1039="PLANNING","PASS",IF('Release Gates'!C1039="PHYSICAL","OPEN","BLOCKED"))</x:f>
        <x:v>OPEN</x:v>
      </x:c>
      <x:c r="G1065" t="str">
        <x:v>equals</x:v>
      </x:c>
      <x:c r="H1065" t="str">
        <x:f>IF(E1065=F1065,"PASS","FAIL")</x:f>
        <x:v>PASS</x:v>
      </x:c>
    </x:row>
    <x:row r="1066">
      <x:c r="B1066" t="str">
        <x:v>A-01034</x:v>
      </x:c>
      <x:c r="C1066" t="str">
        <x:v>GATE</x:v>
      </x:c>
      <x:c r="D1066" t="str">
        <x:v>release state mirrors governing ledger</x:v>
      </x:c>
      <x:c r="E1066" t="str">
        <x:f>'Release Gates'!I1040</x:f>
        <x:v>OPEN</x:v>
      </x:c>
      <x:c r="F1066" t="str">
        <x:f>IF('Release Gates'!C1040="PLANNING","PASS",IF('Release Gates'!C1040="PHYSICAL","OPEN","BLOCKED"))</x:f>
        <x:v>OPEN</x:v>
      </x:c>
      <x:c r="G1066" t="str">
        <x:v>equals</x:v>
      </x:c>
      <x:c r="H1066" t="str">
        <x:f>IF(E1066=F1066,"PASS","FAIL")</x:f>
        <x:v>PASS</x:v>
      </x:c>
    </x:row>
    <x:row r="1067">
      <x:c r="B1067" t="str">
        <x:v>A-01035</x:v>
      </x:c>
      <x:c r="C1067" t="str">
        <x:v>GATE</x:v>
      </x:c>
      <x:c r="D1067" t="str">
        <x:v>release state mirrors governing ledger</x:v>
      </x:c>
      <x:c r="E1067" t="str">
        <x:f>'Release Gates'!I1041</x:f>
        <x:v>OPEN</x:v>
      </x:c>
      <x:c r="F1067" t="str">
        <x:f>IF('Release Gates'!C1041="PLANNING","PASS",IF('Release Gates'!C1041="PHYSICAL","OPEN","BLOCKED"))</x:f>
        <x:v>OPEN</x:v>
      </x:c>
      <x:c r="G1067" t="str">
        <x:v>equals</x:v>
      </x:c>
      <x:c r="H1067" t="str">
        <x:f>IF(E1067=F1067,"PASS","FAIL")</x:f>
        <x:v>PASS</x:v>
      </x:c>
    </x:row>
    <x:row r="1068">
      <x:c r="B1068" t="str">
        <x:v>A-01036</x:v>
      </x:c>
      <x:c r="C1068" t="str">
        <x:v>GATE</x:v>
      </x:c>
      <x:c r="D1068" t="str">
        <x:v>release state mirrors governing ledger</x:v>
      </x:c>
      <x:c r="E1068" t="str">
        <x:f>'Release Gates'!I1042</x:f>
        <x:v>OPEN</x:v>
      </x:c>
      <x:c r="F1068" t="str">
        <x:f>IF('Release Gates'!C1042="PLANNING","PASS",IF('Release Gates'!C1042="PHYSICAL","OPEN","BLOCKED"))</x:f>
        <x:v>OPEN</x:v>
      </x:c>
      <x:c r="G1068" t="str">
        <x:v>equals</x:v>
      </x:c>
      <x:c r="H1068" t="str">
        <x:f>IF(E1068=F1068,"PASS","FAIL")</x:f>
        <x:v>PASS</x:v>
      </x:c>
    </x:row>
    <x:row r="1069">
      <x:c r="B1069" t="str">
        <x:v>A-01037</x:v>
      </x:c>
      <x:c r="C1069" t="str">
        <x:v>GATE</x:v>
      </x:c>
      <x:c r="D1069" t="str">
        <x:v>release state mirrors governing ledger</x:v>
      </x:c>
      <x:c r="E1069" t="str">
        <x:f>'Release Gates'!I1043</x:f>
        <x:v>OPEN</x:v>
      </x:c>
      <x:c r="F1069" t="str">
        <x:f>IF('Release Gates'!C1043="PLANNING","PASS",IF('Release Gates'!C1043="PHYSICAL","OPEN","BLOCKED"))</x:f>
        <x:v>OPEN</x:v>
      </x:c>
      <x:c r="G1069" t="str">
        <x:v>equals</x:v>
      </x:c>
      <x:c r="H1069" t="str">
        <x:f>IF(E1069=F1069,"PASS","FAIL")</x:f>
        <x:v>PASS</x:v>
      </x:c>
    </x:row>
    <x:row r="1070">
      <x:c r="B1070" t="str">
        <x:v>A-01038</x:v>
      </x:c>
      <x:c r="C1070" t="str">
        <x:v>GATE</x:v>
      </x:c>
      <x:c r="D1070" t="str">
        <x:v>release state mirrors governing ledger</x:v>
      </x:c>
      <x:c r="E1070" t="str">
        <x:f>'Release Gates'!I1044</x:f>
        <x:v>OPEN</x:v>
      </x:c>
      <x:c r="F1070" t="str">
        <x:f>IF('Release Gates'!C1044="PLANNING","PASS",IF('Release Gates'!C1044="PHYSICAL","OPEN","BLOCKED"))</x:f>
        <x:v>OPEN</x:v>
      </x:c>
      <x:c r="G1070" t="str">
        <x:v>equals</x:v>
      </x:c>
      <x:c r="H1070" t="str">
        <x:f>IF(E1070=F1070,"PASS","FAIL")</x:f>
        <x:v>PASS</x:v>
      </x:c>
    </x:row>
    <x:row r="1071">
      <x:c r="B1071" t="str">
        <x:v>A-01039</x:v>
      </x:c>
      <x:c r="C1071" t="str">
        <x:v>GATE</x:v>
      </x:c>
      <x:c r="D1071" t="str">
        <x:v>release state mirrors governing ledger</x:v>
      </x:c>
      <x:c r="E1071" t="str">
        <x:f>'Release Gates'!I1045</x:f>
        <x:v>OPEN</x:v>
      </x:c>
      <x:c r="F1071" t="str">
        <x:f>IF('Release Gates'!C1045="PLANNING","PASS",IF('Release Gates'!C1045="PHYSICAL","OPEN","BLOCKED"))</x:f>
        <x:v>OPEN</x:v>
      </x:c>
      <x:c r="G1071" t="str">
        <x:v>equals</x:v>
      </x:c>
      <x:c r="H1071" t="str">
        <x:f>IF(E1071=F1071,"PASS","FAIL")</x:f>
        <x:v>PASS</x:v>
      </x:c>
    </x:row>
    <x:row r="1072">
      <x:c r="B1072" t="str">
        <x:v>A-01040</x:v>
      </x:c>
      <x:c r="C1072" t="str">
        <x:v>GATE</x:v>
      </x:c>
      <x:c r="D1072" t="str">
        <x:v>release state mirrors governing ledger</x:v>
      </x:c>
      <x:c r="E1072" t="str">
        <x:f>'Release Gates'!I1046</x:f>
        <x:v>OPEN</x:v>
      </x:c>
      <x:c r="F1072" t="str">
        <x:f>IF('Release Gates'!C1046="PLANNING","PASS",IF('Release Gates'!C1046="PHYSICAL","OPEN","BLOCKED"))</x:f>
        <x:v>OPEN</x:v>
      </x:c>
      <x:c r="G1072" t="str">
        <x:v>equals</x:v>
      </x:c>
      <x:c r="H1072" t="str">
        <x:f>IF(E1072=F1072,"PASS","FAIL")</x:f>
        <x:v>PASS</x:v>
      </x:c>
    </x:row>
    <x:row r="1073">
      <x:c r="B1073" t="str">
        <x:v>A-01041</x:v>
      </x:c>
      <x:c r="C1073" t="str">
        <x:v>GATE</x:v>
      </x:c>
      <x:c r="D1073" t="str">
        <x:v>release state mirrors governing ledger</x:v>
      </x:c>
      <x:c r="E1073" t="str">
        <x:f>'Release Gates'!I1047</x:f>
        <x:v>OPEN</x:v>
      </x:c>
      <x:c r="F1073" t="str">
        <x:f>IF('Release Gates'!C1047="PLANNING","PASS",IF('Release Gates'!C1047="PHYSICAL","OPEN","BLOCKED"))</x:f>
        <x:v>OPEN</x:v>
      </x:c>
      <x:c r="G1073" t="str">
        <x:v>equals</x:v>
      </x:c>
      <x:c r="H1073" t="str">
        <x:f>IF(E1073=F1073,"PASS","FAIL")</x:f>
        <x:v>PASS</x:v>
      </x:c>
    </x:row>
    <x:row r="1074">
      <x:c r="B1074" t="str">
        <x:v>A-01042</x:v>
      </x:c>
      <x:c r="C1074" t="str">
        <x:v>GATE</x:v>
      </x:c>
      <x:c r="D1074" t="str">
        <x:v>release state mirrors governing ledger</x:v>
      </x:c>
      <x:c r="E1074" t="str">
        <x:f>'Release Gates'!I1048</x:f>
        <x:v>OPEN</x:v>
      </x:c>
      <x:c r="F1074" t="str">
        <x:f>IF('Release Gates'!C1048="PLANNING","PASS",IF('Release Gates'!C1048="PHYSICAL","OPEN","BLOCKED"))</x:f>
        <x:v>OPEN</x:v>
      </x:c>
      <x:c r="G1074" t="str">
        <x:v>equals</x:v>
      </x:c>
      <x:c r="H1074" t="str">
        <x:f>IF(E1074=F1074,"PASS","FAIL")</x:f>
        <x:v>PASS</x:v>
      </x:c>
    </x:row>
    <x:row r="1075">
      <x:c r="B1075" t="str">
        <x:v>A-01043</x:v>
      </x:c>
      <x:c r="C1075" t="str">
        <x:v>GATE</x:v>
      </x:c>
      <x:c r="D1075" t="str">
        <x:v>release state mirrors governing ledger</x:v>
      </x:c>
      <x:c r="E1075" t="str">
        <x:f>'Release Gates'!I1049</x:f>
        <x:v>OPEN</x:v>
      </x:c>
      <x:c r="F1075" t="str">
        <x:f>IF('Release Gates'!C1049="PLANNING","PASS",IF('Release Gates'!C1049="PHYSICAL","OPEN","BLOCKED"))</x:f>
        <x:v>OPEN</x:v>
      </x:c>
      <x:c r="G1075" t="str">
        <x:v>equals</x:v>
      </x:c>
      <x:c r="H1075" t="str">
        <x:f>IF(E1075=F1075,"PASS","FAIL")</x:f>
        <x:v>PASS</x:v>
      </x:c>
    </x:row>
    <x:row r="1076">
      <x:c r="B1076" t="str">
        <x:v>A-01044</x:v>
      </x:c>
      <x:c r="C1076" t="str">
        <x:v>GATE</x:v>
      </x:c>
      <x:c r="D1076" t="str">
        <x:v>release state mirrors governing ledger</x:v>
      </x:c>
      <x:c r="E1076" t="str">
        <x:f>'Release Gates'!I1050</x:f>
        <x:v>OPEN</x:v>
      </x:c>
      <x:c r="F1076" t="str">
        <x:f>IF('Release Gates'!C1050="PLANNING","PASS",IF('Release Gates'!C1050="PHYSICAL","OPEN","BLOCKED"))</x:f>
        <x:v>OPEN</x:v>
      </x:c>
      <x:c r="G1076" t="str">
        <x:v>equals</x:v>
      </x:c>
      <x:c r="H1076" t="str">
        <x:f>IF(E1076=F1076,"PASS","FAIL")</x:f>
        <x:v>PASS</x:v>
      </x:c>
    </x:row>
    <x:row r="1077">
      <x:c r="B1077" t="str">
        <x:v>A-01045</x:v>
      </x:c>
      <x:c r="C1077" t="str">
        <x:v>GATE</x:v>
      </x:c>
      <x:c r="D1077" t="str">
        <x:v>release state mirrors governing ledger</x:v>
      </x:c>
      <x:c r="E1077" t="str">
        <x:f>'Release Gates'!I1051</x:f>
        <x:v>OPEN</x:v>
      </x:c>
      <x:c r="F1077" t="str">
        <x:f>IF('Release Gates'!C1051="PLANNING","PASS",IF('Release Gates'!C1051="PHYSICAL","OPEN","BLOCKED"))</x:f>
        <x:v>OPEN</x:v>
      </x:c>
      <x:c r="G1077" t="str">
        <x:v>equals</x:v>
      </x:c>
      <x:c r="H1077" t="str">
        <x:f>IF(E1077=F1077,"PASS","FAIL")</x:f>
        <x:v>PASS</x:v>
      </x:c>
    </x:row>
    <x:row r="1078">
      <x:c r="B1078" t="str">
        <x:v>A-01046</x:v>
      </x:c>
      <x:c r="C1078" t="str">
        <x:v>GATE</x:v>
      </x:c>
      <x:c r="D1078" t="str">
        <x:v>release state mirrors governing ledger</x:v>
      </x:c>
      <x:c r="E1078" t="str">
        <x:f>'Release Gates'!I1052</x:f>
        <x:v>OPEN</x:v>
      </x:c>
      <x:c r="F1078" t="str">
        <x:f>IF('Release Gates'!C1052="PLANNING","PASS",IF('Release Gates'!C1052="PHYSICAL","OPEN","BLOCKED"))</x:f>
        <x:v>OPEN</x:v>
      </x:c>
      <x:c r="G1078" t="str">
        <x:v>equals</x:v>
      </x:c>
      <x:c r="H1078" t="str">
        <x:f>IF(E1078=F1078,"PASS","FAIL")</x:f>
        <x:v>PASS</x:v>
      </x:c>
    </x:row>
    <x:row r="1079">
      <x:c r="B1079" t="str">
        <x:v>A-01047</x:v>
      </x:c>
      <x:c r="C1079" t="str">
        <x:v>GATE</x:v>
      </x:c>
      <x:c r="D1079" t="str">
        <x:v>release state mirrors governing ledger</x:v>
      </x:c>
      <x:c r="E1079" t="str">
        <x:f>'Release Gates'!I1053</x:f>
        <x:v>OPEN</x:v>
      </x:c>
      <x:c r="F1079" t="str">
        <x:f>IF('Release Gates'!C1053="PLANNING","PASS",IF('Release Gates'!C1053="PHYSICAL","OPEN","BLOCKED"))</x:f>
        <x:v>OPEN</x:v>
      </x:c>
      <x:c r="G1079" t="str">
        <x:v>equals</x:v>
      </x:c>
      <x:c r="H1079" t="str">
        <x:f>IF(E1079=F1079,"PASS","FAIL")</x:f>
        <x:v>PASS</x:v>
      </x:c>
    </x:row>
    <x:row r="1080">
      <x:c r="B1080" t="str">
        <x:v>A-01048</x:v>
      </x:c>
      <x:c r="C1080" t="str">
        <x:v>GATE</x:v>
      </x:c>
      <x:c r="D1080" t="str">
        <x:v>release state mirrors governing ledger</x:v>
      </x:c>
      <x:c r="E1080" t="str">
        <x:f>'Release Gates'!I1054</x:f>
        <x:v>OPEN</x:v>
      </x:c>
      <x:c r="F1080" t="str">
        <x:f>IF('Release Gates'!C1054="PLANNING","PASS",IF('Release Gates'!C1054="PHYSICAL","OPEN","BLOCKED"))</x:f>
        <x:v>OPEN</x:v>
      </x:c>
      <x:c r="G1080" t="str">
        <x:v>equals</x:v>
      </x:c>
      <x:c r="H1080" t="str">
        <x:f>IF(E1080=F1080,"PASS","FAIL")</x:f>
        <x:v>PASS</x:v>
      </x:c>
    </x:row>
    <x:row r="1081">
      <x:c r="B1081" t="str">
        <x:v>A-01049</x:v>
      </x:c>
      <x:c r="C1081" t="str">
        <x:v>GATE</x:v>
      </x:c>
      <x:c r="D1081" t="str">
        <x:v>release state mirrors governing ledger</x:v>
      </x:c>
      <x:c r="E1081" t="str">
        <x:f>'Release Gates'!I1055</x:f>
        <x:v>OPEN</x:v>
      </x:c>
      <x:c r="F1081" t="str">
        <x:f>IF('Release Gates'!C1055="PLANNING","PASS",IF('Release Gates'!C1055="PHYSICAL","OPEN","BLOCKED"))</x:f>
        <x:v>OPEN</x:v>
      </x:c>
      <x:c r="G1081" t="str">
        <x:v>equals</x:v>
      </x:c>
      <x:c r="H1081" t="str">
        <x:f>IF(E1081=F1081,"PASS","FAIL")</x:f>
        <x:v>PASS</x:v>
      </x:c>
    </x:row>
    <x:row r="1082">
      <x:c r="B1082" t="str">
        <x:v>A-01050</x:v>
      </x:c>
      <x:c r="C1082" t="str">
        <x:v>GATE</x:v>
      </x:c>
      <x:c r="D1082" t="str">
        <x:v>release state mirrors governing ledger</x:v>
      </x:c>
      <x:c r="E1082" t="str">
        <x:f>'Release Gates'!I1056</x:f>
        <x:v>OPEN</x:v>
      </x:c>
      <x:c r="F1082" t="str">
        <x:f>IF('Release Gates'!C1056="PLANNING","PASS",IF('Release Gates'!C1056="PHYSICAL","OPEN","BLOCKED"))</x:f>
        <x:v>OPEN</x:v>
      </x:c>
      <x:c r="G1082" t="str">
        <x:v>equals</x:v>
      </x:c>
      <x:c r="H1082" t="str">
        <x:f>IF(E1082=F1082,"PASS","FAIL")</x:f>
        <x:v>PASS</x:v>
      </x:c>
    </x:row>
    <x:row r="1083">
      <x:c r="B1083" t="str">
        <x:v>A-01051</x:v>
      </x:c>
      <x:c r="C1083" t="str">
        <x:v>GATE</x:v>
      </x:c>
      <x:c r="D1083" t="str">
        <x:v>release state mirrors governing ledger</x:v>
      </x:c>
      <x:c r="E1083" t="str">
        <x:f>'Release Gates'!I1057</x:f>
        <x:v>OPEN</x:v>
      </x:c>
      <x:c r="F1083" t="str">
        <x:f>IF('Release Gates'!C1057="PLANNING","PASS",IF('Release Gates'!C1057="PHYSICAL","OPEN","BLOCKED"))</x:f>
        <x:v>OPEN</x:v>
      </x:c>
      <x:c r="G1083" t="str">
        <x:v>equals</x:v>
      </x:c>
      <x:c r="H1083" t="str">
        <x:f>IF(E1083=F1083,"PASS","FAIL")</x:f>
        <x:v>PASS</x:v>
      </x:c>
    </x:row>
    <x:row r="1084">
      <x:c r="B1084" t="str">
        <x:v>A-01052</x:v>
      </x:c>
      <x:c r="C1084" t="str">
        <x:v>GATE</x:v>
      </x:c>
      <x:c r="D1084" t="str">
        <x:v>release state mirrors governing ledger</x:v>
      </x:c>
      <x:c r="E1084" t="str">
        <x:f>'Release Gates'!I1058</x:f>
        <x:v>OPEN</x:v>
      </x:c>
      <x:c r="F1084" t="str">
        <x:f>IF('Release Gates'!C1058="PLANNING","PASS",IF('Release Gates'!C1058="PHYSICAL","OPEN","BLOCKED"))</x:f>
        <x:v>OPEN</x:v>
      </x:c>
      <x:c r="G1084" t="str">
        <x:v>equals</x:v>
      </x:c>
      <x:c r="H1084" t="str">
        <x:f>IF(E1084=F1084,"PASS","FAIL")</x:f>
        <x:v>PASS</x:v>
      </x:c>
    </x:row>
    <x:row r="1085">
      <x:c r="B1085" t="str">
        <x:v>A-01053</x:v>
      </x:c>
      <x:c r="C1085" t="str">
        <x:v>GATE</x:v>
      </x:c>
      <x:c r="D1085" t="str">
        <x:v>release state mirrors governing ledger</x:v>
      </x:c>
      <x:c r="E1085" t="str">
        <x:f>'Release Gates'!I1059</x:f>
        <x:v>OPEN</x:v>
      </x:c>
      <x:c r="F1085" t="str">
        <x:f>IF('Release Gates'!C1059="PLANNING","PASS",IF('Release Gates'!C1059="PHYSICAL","OPEN","BLOCKED"))</x:f>
        <x:v>OPEN</x:v>
      </x:c>
      <x:c r="G1085" t="str">
        <x:v>equals</x:v>
      </x:c>
      <x:c r="H1085" t="str">
        <x:f>IF(E1085=F1085,"PASS","FAIL")</x:f>
        <x:v>PASS</x:v>
      </x:c>
    </x:row>
    <x:row r="1086">
      <x:c r="B1086" t="str">
        <x:v>A-01054</x:v>
      </x:c>
      <x:c r="C1086" t="str">
        <x:v>GATE</x:v>
      </x:c>
      <x:c r="D1086" t="str">
        <x:v>release state mirrors governing ledger</x:v>
      </x:c>
      <x:c r="E1086" t="str">
        <x:f>'Release Gates'!I1060</x:f>
        <x:v>OPEN</x:v>
      </x:c>
      <x:c r="F1086" t="str">
        <x:f>IF('Release Gates'!C1060="PLANNING","PASS",IF('Release Gates'!C1060="PHYSICAL","OPEN","BLOCKED"))</x:f>
        <x:v>OPEN</x:v>
      </x:c>
      <x:c r="G1086" t="str">
        <x:v>equals</x:v>
      </x:c>
      <x:c r="H1086" t="str">
        <x:f>IF(E1086=F1086,"PASS","FAIL")</x:f>
        <x:v>PASS</x:v>
      </x:c>
    </x:row>
    <x:row r="1087">
      <x:c r="B1087" t="str">
        <x:v>A-01055</x:v>
      </x:c>
      <x:c r="C1087" t="str">
        <x:v>GATE</x:v>
      </x:c>
      <x:c r="D1087" t="str">
        <x:v>release state mirrors governing ledger</x:v>
      </x:c>
      <x:c r="E1087" t="str">
        <x:f>'Release Gates'!I1061</x:f>
        <x:v>OPEN</x:v>
      </x:c>
      <x:c r="F1087" t="str">
        <x:f>IF('Release Gates'!C1061="PLANNING","PASS",IF('Release Gates'!C1061="PHYSICAL","OPEN","BLOCKED"))</x:f>
        <x:v>OPEN</x:v>
      </x:c>
      <x:c r="G1087" t="str">
        <x:v>equals</x:v>
      </x:c>
      <x:c r="H1087" t="str">
        <x:f>IF(E1087=F1087,"PASS","FAIL")</x:f>
        <x:v>PASS</x:v>
      </x:c>
    </x:row>
    <x:row r="1088">
      <x:c r="B1088" t="str">
        <x:v>A-01056</x:v>
      </x:c>
      <x:c r="C1088" t="str">
        <x:v>GATE</x:v>
      </x:c>
      <x:c r="D1088" t="str">
        <x:v>release state mirrors governing ledger</x:v>
      </x:c>
      <x:c r="E1088" t="str">
        <x:f>'Release Gates'!I1062</x:f>
        <x:v>OPEN</x:v>
      </x:c>
      <x:c r="F1088" t="str">
        <x:f>IF('Release Gates'!C1062="PLANNING","PASS",IF('Release Gates'!C1062="PHYSICAL","OPEN","BLOCKED"))</x:f>
        <x:v>OPEN</x:v>
      </x:c>
      <x:c r="G1088" t="str">
        <x:v>equals</x:v>
      </x:c>
      <x:c r="H1088" t="str">
        <x:f>IF(E1088=F1088,"PASS","FAIL")</x:f>
        <x:v>PASS</x:v>
      </x:c>
    </x:row>
    <x:row r="1089">
      <x:c r="B1089" t="str">
        <x:v>A-01057</x:v>
      </x:c>
      <x:c r="C1089" t="str">
        <x:v>GATE</x:v>
      </x:c>
      <x:c r="D1089" t="str">
        <x:v>release state mirrors governing ledger</x:v>
      </x:c>
      <x:c r="E1089" t="str">
        <x:f>'Release Gates'!I1063</x:f>
        <x:v>OPEN</x:v>
      </x:c>
      <x:c r="F1089" t="str">
        <x:f>IF('Release Gates'!C1063="PLANNING","PASS",IF('Release Gates'!C1063="PHYSICAL","OPEN","BLOCKED"))</x:f>
        <x:v>OPEN</x:v>
      </x:c>
      <x:c r="G1089" t="str">
        <x:v>equals</x:v>
      </x:c>
      <x:c r="H1089" t="str">
        <x:f>IF(E1089=F1089,"PASS","FAIL")</x:f>
        <x:v>PASS</x:v>
      </x:c>
    </x:row>
    <x:row r="1090">
      <x:c r="B1090" t="str">
        <x:v>A-01058</x:v>
      </x:c>
      <x:c r="C1090" t="str">
        <x:v>GATE</x:v>
      </x:c>
      <x:c r="D1090" t="str">
        <x:v>release state mirrors governing ledger</x:v>
      </x:c>
      <x:c r="E1090" t="str">
        <x:f>'Release Gates'!I1064</x:f>
        <x:v>OPEN</x:v>
      </x:c>
      <x:c r="F1090" t="str">
        <x:f>IF('Release Gates'!C1064="PLANNING","PASS",IF('Release Gates'!C1064="PHYSICAL","OPEN","BLOCKED"))</x:f>
        <x:v>OPEN</x:v>
      </x:c>
      <x:c r="G1090" t="str">
        <x:v>equals</x:v>
      </x:c>
      <x:c r="H1090" t="str">
        <x:f>IF(E1090=F1090,"PASS","FAIL")</x:f>
        <x:v>PASS</x:v>
      </x:c>
    </x:row>
    <x:row r="1091">
      <x:c r="B1091" t="str">
        <x:v>A-01059</x:v>
      </x:c>
      <x:c r="C1091" t="str">
        <x:v>GATE</x:v>
      </x:c>
      <x:c r="D1091" t="str">
        <x:v>release state mirrors governing ledger</x:v>
      </x:c>
      <x:c r="E1091" t="str">
        <x:f>'Release Gates'!I1065</x:f>
        <x:v>OPEN</x:v>
      </x:c>
      <x:c r="F1091" t="str">
        <x:f>IF('Release Gates'!C1065="PLANNING","PASS",IF('Release Gates'!C1065="PHYSICAL","OPEN","BLOCKED"))</x:f>
        <x:v>OPEN</x:v>
      </x:c>
      <x:c r="G1091" t="str">
        <x:v>equals</x:v>
      </x:c>
      <x:c r="H1091" t="str">
        <x:f>IF(E1091=F1091,"PASS","FAIL")</x:f>
        <x:v>PASS</x:v>
      </x:c>
    </x:row>
    <x:row r="1092">
      <x:c r="B1092" t="str">
        <x:v>A-01060</x:v>
      </x:c>
      <x:c r="C1092" t="str">
        <x:v>GATE</x:v>
      </x:c>
      <x:c r="D1092" t="str">
        <x:v>release state mirrors governing ledger</x:v>
      </x:c>
      <x:c r="E1092" t="str">
        <x:f>'Release Gates'!I1066</x:f>
        <x:v>OPEN</x:v>
      </x:c>
      <x:c r="F1092" t="str">
        <x:f>IF('Release Gates'!C1066="PLANNING","PASS",IF('Release Gates'!C1066="PHYSICAL","OPEN","BLOCKED"))</x:f>
        <x:v>OPEN</x:v>
      </x:c>
      <x:c r="G1092" t="str">
        <x:v>equals</x:v>
      </x:c>
      <x:c r="H1092" t="str">
        <x:f>IF(E1092=F1092,"PASS","FAIL")</x:f>
        <x:v>PASS</x:v>
      </x:c>
    </x:row>
    <x:row r="1093">
      <x:c r="B1093" t="str">
        <x:v>A-01061</x:v>
      </x:c>
      <x:c r="C1093" t="str">
        <x:v>GATE</x:v>
      </x:c>
      <x:c r="D1093" t="str">
        <x:v>release state mirrors governing ledger</x:v>
      </x:c>
      <x:c r="E1093" t="str">
        <x:f>'Release Gates'!I1067</x:f>
        <x:v>OPEN</x:v>
      </x:c>
      <x:c r="F1093" t="str">
        <x:f>IF('Release Gates'!C1067="PLANNING","PASS",IF('Release Gates'!C1067="PHYSICAL","OPEN","BLOCKED"))</x:f>
        <x:v>OPEN</x:v>
      </x:c>
      <x:c r="G1093" t="str">
        <x:v>equals</x:v>
      </x:c>
      <x:c r="H1093" t="str">
        <x:f>IF(E1093=F1093,"PASS","FAIL")</x:f>
        <x:v>PASS</x:v>
      </x:c>
    </x:row>
    <x:row r="1094">
      <x:c r="B1094" t="str">
        <x:v>A-01062</x:v>
      </x:c>
      <x:c r="C1094" t="str">
        <x:v>GATE</x:v>
      </x:c>
      <x:c r="D1094" t="str">
        <x:v>release state mirrors governing ledger</x:v>
      </x:c>
      <x:c r="E1094" t="str">
        <x:f>'Release Gates'!I1068</x:f>
        <x:v>OPEN</x:v>
      </x:c>
      <x:c r="F1094" t="str">
        <x:f>IF('Release Gates'!C1068="PLANNING","PASS",IF('Release Gates'!C1068="PHYSICAL","OPEN","BLOCKED"))</x:f>
        <x:v>OPEN</x:v>
      </x:c>
      <x:c r="G1094" t="str">
        <x:v>equals</x:v>
      </x:c>
      <x:c r="H1094" t="str">
        <x:f>IF(E1094=F1094,"PASS","FAIL")</x:f>
        <x:v>PASS</x:v>
      </x:c>
    </x:row>
    <x:row r="1095">
      <x:c r="B1095" t="str">
        <x:v>A-01063</x:v>
      </x:c>
      <x:c r="C1095" t="str">
        <x:v>GATE</x:v>
      </x:c>
      <x:c r="D1095" t="str">
        <x:v>release state mirrors governing ledger</x:v>
      </x:c>
      <x:c r="E1095" t="str">
        <x:f>'Release Gates'!I1069</x:f>
        <x:v>OPEN</x:v>
      </x:c>
      <x:c r="F1095" t="str">
        <x:f>IF('Release Gates'!C1069="PLANNING","PASS",IF('Release Gates'!C1069="PHYSICAL","OPEN","BLOCKED"))</x:f>
        <x:v>OPEN</x:v>
      </x:c>
      <x:c r="G1095" t="str">
        <x:v>equals</x:v>
      </x:c>
      <x:c r="H1095" t="str">
        <x:f>IF(E1095=F1095,"PASS","FAIL")</x:f>
        <x:v>PASS</x:v>
      </x:c>
    </x:row>
    <x:row r="1096">
      <x:c r="B1096" t="str">
        <x:v>A-01064</x:v>
      </x:c>
      <x:c r="C1096" t="str">
        <x:v>GATE</x:v>
      </x:c>
      <x:c r="D1096" t="str">
        <x:v>release state mirrors governing ledger</x:v>
      </x:c>
      <x:c r="E1096" t="str">
        <x:f>'Release Gates'!I1070</x:f>
        <x:v>OPEN</x:v>
      </x:c>
      <x:c r="F1096" t="str">
        <x:f>IF('Release Gates'!C1070="PLANNING","PASS",IF('Release Gates'!C1070="PHYSICAL","OPEN","BLOCKED"))</x:f>
        <x:v>OPEN</x:v>
      </x:c>
      <x:c r="G1096" t="str">
        <x:v>equals</x:v>
      </x:c>
      <x:c r="H1096" t="str">
        <x:f>IF(E1096=F1096,"PASS","FAIL")</x:f>
        <x:v>PASS</x:v>
      </x:c>
    </x:row>
    <x:row r="1097">
      <x:c r="B1097" t="str">
        <x:v>A-01065</x:v>
      </x:c>
      <x:c r="C1097" t="str">
        <x:v>GATE</x:v>
      </x:c>
      <x:c r="D1097" t="str">
        <x:v>release state mirrors governing ledger</x:v>
      </x:c>
      <x:c r="E1097" t="str">
        <x:f>'Release Gates'!I1071</x:f>
        <x:v>OPEN</x:v>
      </x:c>
      <x:c r="F1097" t="str">
        <x:f>IF('Release Gates'!C1071="PLANNING","PASS",IF('Release Gates'!C1071="PHYSICAL","OPEN","BLOCKED"))</x:f>
        <x:v>OPEN</x:v>
      </x:c>
      <x:c r="G1097" t="str">
        <x:v>equals</x:v>
      </x:c>
      <x:c r="H1097" t="str">
        <x:f>IF(E1097=F1097,"PASS","FAIL")</x:f>
        <x:v>PASS</x:v>
      </x:c>
    </x:row>
    <x:row r="1098">
      <x:c r="B1098" t="str">
        <x:v>A-01066</x:v>
      </x:c>
      <x:c r="C1098" t="str">
        <x:v>GATE</x:v>
      </x:c>
      <x:c r="D1098" t="str">
        <x:v>release state mirrors governing ledger</x:v>
      </x:c>
      <x:c r="E1098" t="str">
        <x:f>'Release Gates'!I1072</x:f>
        <x:v>OPEN</x:v>
      </x:c>
      <x:c r="F1098" t="str">
        <x:f>IF('Release Gates'!C1072="PLANNING","PASS",IF('Release Gates'!C1072="PHYSICAL","OPEN","BLOCKED"))</x:f>
        <x:v>OPEN</x:v>
      </x:c>
      <x:c r="G1098" t="str">
        <x:v>equals</x:v>
      </x:c>
      <x:c r="H1098" t="str">
        <x:f>IF(E1098=F1098,"PASS","FAIL")</x:f>
        <x:v>PASS</x:v>
      </x:c>
    </x:row>
    <x:row r="1099">
      <x:c r="B1099" t="str">
        <x:v>A-01067</x:v>
      </x:c>
      <x:c r="C1099" t="str">
        <x:v>GATE</x:v>
      </x:c>
      <x:c r="D1099" t="str">
        <x:v>release state mirrors governing ledger</x:v>
      </x:c>
      <x:c r="E1099" t="str">
        <x:f>'Release Gates'!I1073</x:f>
        <x:v>OPEN</x:v>
      </x:c>
      <x:c r="F1099" t="str">
        <x:f>IF('Release Gates'!C1073="PLANNING","PASS",IF('Release Gates'!C1073="PHYSICAL","OPEN","BLOCKED"))</x:f>
        <x:v>OPEN</x:v>
      </x:c>
      <x:c r="G1099" t="str">
        <x:v>equals</x:v>
      </x:c>
      <x:c r="H1099" t="str">
        <x:f>IF(E1099=F1099,"PASS","FAIL")</x:f>
        <x:v>PASS</x:v>
      </x:c>
    </x:row>
    <x:row r="1100">
      <x:c r="B1100" t="str">
        <x:v>A-01068</x:v>
      </x:c>
      <x:c r="C1100" t="str">
        <x:v>GATE</x:v>
      </x:c>
      <x:c r="D1100" t="str">
        <x:v>release state mirrors governing ledger</x:v>
      </x:c>
      <x:c r="E1100" t="str">
        <x:f>'Release Gates'!I1074</x:f>
        <x:v>OPEN</x:v>
      </x:c>
      <x:c r="F1100" t="str">
        <x:f>IF('Release Gates'!C1074="PLANNING","PASS",IF('Release Gates'!C1074="PHYSICAL","OPEN","BLOCKED"))</x:f>
        <x:v>OPEN</x:v>
      </x:c>
      <x:c r="G1100" t="str">
        <x:v>equals</x:v>
      </x:c>
      <x:c r="H1100" t="str">
        <x:f>IF(E1100=F1100,"PASS","FAIL")</x:f>
        <x:v>PASS</x:v>
      </x:c>
    </x:row>
    <x:row r="1101">
      <x:c r="B1101" t="str">
        <x:v>A-01069</x:v>
      </x:c>
      <x:c r="C1101" t="str">
        <x:v>GATE</x:v>
      </x:c>
      <x:c r="D1101" t="str">
        <x:v>release state mirrors governing ledger</x:v>
      </x:c>
      <x:c r="E1101" t="str">
        <x:f>'Release Gates'!I1075</x:f>
        <x:v>OPEN</x:v>
      </x:c>
      <x:c r="F1101" t="str">
        <x:f>IF('Release Gates'!C1075="PLANNING","PASS",IF('Release Gates'!C1075="PHYSICAL","OPEN","BLOCKED"))</x:f>
        <x:v>OPEN</x:v>
      </x:c>
      <x:c r="G1101" t="str">
        <x:v>equals</x:v>
      </x:c>
      <x:c r="H1101" t="str">
        <x:f>IF(E1101=F1101,"PASS","FAIL")</x:f>
        <x:v>PASS</x:v>
      </x:c>
    </x:row>
    <x:row r="1102">
      <x:c r="B1102" t="str">
        <x:v>A-01070</x:v>
      </x:c>
      <x:c r="C1102" t="str">
        <x:v>GATE</x:v>
      </x:c>
      <x:c r="D1102" t="str">
        <x:v>release state mirrors governing ledger</x:v>
      </x:c>
      <x:c r="E1102" t="str">
        <x:f>'Release Gates'!I1076</x:f>
        <x:v>OPEN</x:v>
      </x:c>
      <x:c r="F1102" t="str">
        <x:f>IF('Release Gates'!C1076="PLANNING","PASS",IF('Release Gates'!C1076="PHYSICAL","OPEN","BLOCKED"))</x:f>
        <x:v>OPEN</x:v>
      </x:c>
      <x:c r="G1102" t="str">
        <x:v>equals</x:v>
      </x:c>
      <x:c r="H1102" t="str">
        <x:f>IF(E1102=F1102,"PASS","FAIL")</x:f>
        <x:v>PASS</x:v>
      </x:c>
    </x:row>
    <x:row r="1103">
      <x:c r="B1103" t="str">
        <x:v>A-01071</x:v>
      </x:c>
      <x:c r="C1103" t="str">
        <x:v>GATE</x:v>
      </x:c>
      <x:c r="D1103" t="str">
        <x:v>release state mirrors governing ledger</x:v>
      </x:c>
      <x:c r="E1103" t="str">
        <x:f>'Release Gates'!I1077</x:f>
        <x:v>OPEN</x:v>
      </x:c>
      <x:c r="F1103" t="str">
        <x:f>IF('Release Gates'!C1077="PLANNING","PASS",IF('Release Gates'!C1077="PHYSICAL","OPEN","BLOCKED"))</x:f>
        <x:v>OPEN</x:v>
      </x:c>
      <x:c r="G1103" t="str">
        <x:v>equals</x:v>
      </x:c>
      <x:c r="H1103" t="str">
        <x:f>IF(E1103=F1103,"PASS","FAIL")</x:f>
        <x:v>PASS</x:v>
      </x:c>
    </x:row>
    <x:row r="1104">
      <x:c r="B1104" t="str">
        <x:v>A-01072</x:v>
      </x:c>
      <x:c r="C1104" t="str">
        <x:v>GATE</x:v>
      </x:c>
      <x:c r="D1104" t="str">
        <x:v>release state mirrors governing ledger</x:v>
      </x:c>
      <x:c r="E1104" t="str">
        <x:f>'Release Gates'!I1078</x:f>
        <x:v>OPEN</x:v>
      </x:c>
      <x:c r="F1104" t="str">
        <x:f>IF('Release Gates'!C1078="PLANNING","PASS",IF('Release Gates'!C1078="PHYSICAL","OPEN","BLOCKED"))</x:f>
        <x:v>OPEN</x:v>
      </x:c>
      <x:c r="G1104" t="str">
        <x:v>equals</x:v>
      </x:c>
      <x:c r="H1104" t="str">
        <x:f>IF(E1104=F1104,"PASS","FAIL")</x:f>
        <x:v>PASS</x:v>
      </x:c>
    </x:row>
    <x:row r="1105">
      <x:c r="B1105" t="str">
        <x:v>A-01073</x:v>
      </x:c>
      <x:c r="C1105" t="str">
        <x:v>GATE</x:v>
      </x:c>
      <x:c r="D1105" t="str">
        <x:v>release state mirrors governing ledger</x:v>
      </x:c>
      <x:c r="E1105" t="str">
        <x:f>'Release Gates'!I1079</x:f>
        <x:v>OPEN</x:v>
      </x:c>
      <x:c r="F1105" t="str">
        <x:f>IF('Release Gates'!C1079="PLANNING","PASS",IF('Release Gates'!C1079="PHYSICAL","OPEN","BLOCKED"))</x:f>
        <x:v>OPEN</x:v>
      </x:c>
      <x:c r="G1105" t="str">
        <x:v>equals</x:v>
      </x:c>
      <x:c r="H1105" t="str">
        <x:f>IF(E1105=F1105,"PASS","FAIL")</x:f>
        <x:v>PASS</x:v>
      </x:c>
    </x:row>
    <x:row r="1106">
      <x:c r="B1106" t="str">
        <x:v>A-01074</x:v>
      </x:c>
      <x:c r="C1106" t="str">
        <x:v>GATE</x:v>
      </x:c>
      <x:c r="D1106" t="str">
        <x:v>release state mirrors governing ledger</x:v>
      </x:c>
      <x:c r="E1106" t="str">
        <x:f>'Release Gates'!I1080</x:f>
        <x:v>OPEN</x:v>
      </x:c>
      <x:c r="F1106" t="str">
        <x:f>IF('Release Gates'!C1080="PLANNING","PASS",IF('Release Gates'!C1080="PHYSICAL","OPEN","BLOCKED"))</x:f>
        <x:v>OPEN</x:v>
      </x:c>
      <x:c r="G1106" t="str">
        <x:v>equals</x:v>
      </x:c>
      <x:c r="H1106" t="str">
        <x:f>IF(E1106=F1106,"PASS","FAIL")</x:f>
        <x:v>PASS</x:v>
      </x:c>
    </x:row>
    <x:row r="1107">
      <x:c r="B1107" t="str">
        <x:v>A-01075</x:v>
      </x:c>
      <x:c r="C1107" t="str">
        <x:v>GATE</x:v>
      </x:c>
      <x:c r="D1107" t="str">
        <x:v>release state mirrors governing ledger</x:v>
      </x:c>
      <x:c r="E1107" t="str">
        <x:f>'Release Gates'!I1081</x:f>
        <x:v>OPEN</x:v>
      </x:c>
      <x:c r="F1107" t="str">
        <x:f>IF('Release Gates'!C1081="PLANNING","PASS",IF('Release Gates'!C1081="PHYSICAL","OPEN","BLOCKED"))</x:f>
        <x:v>OPEN</x:v>
      </x:c>
      <x:c r="G1107" t="str">
        <x:v>equals</x:v>
      </x:c>
      <x:c r="H1107" t="str">
        <x:f>IF(E1107=F1107,"PASS","FAIL")</x:f>
        <x:v>PASS</x:v>
      </x:c>
    </x:row>
    <x:row r="1108">
      <x:c r="B1108" t="str">
        <x:v>A-01076</x:v>
      </x:c>
      <x:c r="C1108" t="str">
        <x:v>GATE</x:v>
      </x:c>
      <x:c r="D1108" t="str">
        <x:v>release state mirrors governing ledger</x:v>
      </x:c>
      <x:c r="E1108" t="str">
        <x:f>'Release Gates'!I1082</x:f>
        <x:v>OPEN</x:v>
      </x:c>
      <x:c r="F1108" t="str">
        <x:f>IF('Release Gates'!C1082="PLANNING","PASS",IF('Release Gates'!C1082="PHYSICAL","OPEN","BLOCKED"))</x:f>
        <x:v>OPEN</x:v>
      </x:c>
      <x:c r="G1108" t="str">
        <x:v>equals</x:v>
      </x:c>
      <x:c r="H1108" t="str">
        <x:f>IF(E1108=F1108,"PASS","FAIL")</x:f>
        <x:v>PASS</x:v>
      </x:c>
    </x:row>
    <x:row r="1109">
      <x:c r="B1109" t="str">
        <x:v>A-01077</x:v>
      </x:c>
      <x:c r="C1109" t="str">
        <x:v>GATE</x:v>
      </x:c>
      <x:c r="D1109" t="str">
        <x:v>release state mirrors governing ledger</x:v>
      </x:c>
      <x:c r="E1109" t="str">
        <x:f>'Release Gates'!I1083</x:f>
        <x:v>OPEN</x:v>
      </x:c>
      <x:c r="F1109" t="str">
        <x:f>IF('Release Gates'!C1083="PLANNING","PASS",IF('Release Gates'!C1083="PHYSICAL","OPEN","BLOCKED"))</x:f>
        <x:v>OPEN</x:v>
      </x:c>
      <x:c r="G1109" t="str">
        <x:v>equals</x:v>
      </x:c>
      <x:c r="H1109" t="str">
        <x:f>IF(E1109=F1109,"PASS","FAIL")</x:f>
        <x:v>PASS</x:v>
      </x:c>
    </x:row>
    <x:row r="1110">
      <x:c r="B1110" t="str">
        <x:v>A-01078</x:v>
      </x:c>
      <x:c r="C1110" t="str">
        <x:v>GATE</x:v>
      </x:c>
      <x:c r="D1110" t="str">
        <x:v>release state mirrors governing ledger</x:v>
      </x:c>
      <x:c r="E1110" t="str">
        <x:f>'Release Gates'!I1084</x:f>
        <x:v>OPEN</x:v>
      </x:c>
      <x:c r="F1110" t="str">
        <x:f>IF('Release Gates'!C1084="PLANNING","PASS",IF('Release Gates'!C1084="PHYSICAL","OPEN","BLOCKED"))</x:f>
        <x:v>OPEN</x:v>
      </x:c>
      <x:c r="G1110" t="str">
        <x:v>equals</x:v>
      </x:c>
      <x:c r="H1110" t="str">
        <x:f>IF(E1110=F1110,"PASS","FAIL")</x:f>
        <x:v>PASS</x:v>
      </x:c>
    </x:row>
    <x:row r="1111">
      <x:c r="B1111" t="str">
        <x:v>A-01079</x:v>
      </x:c>
      <x:c r="C1111" t="str">
        <x:v>GATE</x:v>
      </x:c>
      <x:c r="D1111" t="str">
        <x:v>release state mirrors governing ledger</x:v>
      </x:c>
      <x:c r="E1111" t="str">
        <x:f>'Release Gates'!I1085</x:f>
        <x:v>OPEN</x:v>
      </x:c>
      <x:c r="F1111" t="str">
        <x:f>IF('Release Gates'!C1085="PLANNING","PASS",IF('Release Gates'!C1085="PHYSICAL","OPEN","BLOCKED"))</x:f>
        <x:v>OPEN</x:v>
      </x:c>
      <x:c r="G1111" t="str">
        <x:v>equals</x:v>
      </x:c>
      <x:c r="H1111" t="str">
        <x:f>IF(E1111=F1111,"PASS","FAIL")</x:f>
        <x:v>PASS</x:v>
      </x:c>
    </x:row>
    <x:row r="1112">
      <x:c r="B1112" t="str">
        <x:v>A-01080</x:v>
      </x:c>
      <x:c r="C1112" t="str">
        <x:v>GATE</x:v>
      </x:c>
      <x:c r="D1112" t="str">
        <x:v>release state mirrors governing ledger</x:v>
      </x:c>
      <x:c r="E1112" t="str">
        <x:f>'Release Gates'!I1086</x:f>
        <x:v>OPEN</x:v>
      </x:c>
      <x:c r="F1112" t="str">
        <x:f>IF('Release Gates'!C1086="PLANNING","PASS",IF('Release Gates'!C1086="PHYSICAL","OPEN","BLOCKED"))</x:f>
        <x:v>OPEN</x:v>
      </x:c>
      <x:c r="G1112" t="str">
        <x:v>equals</x:v>
      </x:c>
      <x:c r="H1112" t="str">
        <x:f>IF(E1112=F1112,"PASS","FAIL")</x:f>
        <x:v>PASS</x:v>
      </x:c>
    </x:row>
    <x:row r="1113">
      <x:c r="B1113" t="str">
        <x:v>A-01081</x:v>
      </x:c>
      <x:c r="C1113" t="str">
        <x:v>GATE</x:v>
      </x:c>
      <x:c r="D1113" t="str">
        <x:v>release state mirrors governing ledger</x:v>
      </x:c>
      <x:c r="E1113" t="str">
        <x:f>'Release Gates'!I1087</x:f>
        <x:v>OPEN</x:v>
      </x:c>
      <x:c r="F1113" t="str">
        <x:f>IF('Release Gates'!C1087="PLANNING","PASS",IF('Release Gates'!C1087="PHYSICAL","OPEN","BLOCKED"))</x:f>
        <x:v>OPEN</x:v>
      </x:c>
      <x:c r="G1113" t="str">
        <x:v>equals</x:v>
      </x:c>
      <x:c r="H1113" t="str">
        <x:f>IF(E1113=F1113,"PASS","FAIL")</x:f>
        <x:v>PASS</x:v>
      </x:c>
    </x:row>
    <x:row r="1114">
      <x:c r="B1114" t="str">
        <x:v>A-01082</x:v>
      </x:c>
      <x:c r="C1114" t="str">
        <x:v>GATE</x:v>
      </x:c>
      <x:c r="D1114" t="str">
        <x:v>release state mirrors governing ledger</x:v>
      </x:c>
      <x:c r="E1114" t="str">
        <x:f>'Release Gates'!I1088</x:f>
        <x:v>OPEN</x:v>
      </x:c>
      <x:c r="F1114" t="str">
        <x:f>IF('Release Gates'!C1088="PLANNING","PASS",IF('Release Gates'!C1088="PHYSICAL","OPEN","BLOCKED"))</x:f>
        <x:v>OPEN</x:v>
      </x:c>
      <x:c r="G1114" t="str">
        <x:v>equals</x:v>
      </x:c>
      <x:c r="H1114" t="str">
        <x:f>IF(E1114=F1114,"PASS","FAIL")</x:f>
        <x:v>PASS</x:v>
      </x:c>
    </x:row>
    <x:row r="1115">
      <x:c r="B1115" t="str">
        <x:v>A-01083</x:v>
      </x:c>
      <x:c r="C1115" t="str">
        <x:v>GATE</x:v>
      </x:c>
      <x:c r="D1115" t="str">
        <x:v>release state mirrors governing ledger</x:v>
      </x:c>
      <x:c r="E1115" t="str">
        <x:f>'Release Gates'!I1089</x:f>
        <x:v>OPEN</x:v>
      </x:c>
      <x:c r="F1115" t="str">
        <x:f>IF('Release Gates'!C1089="PLANNING","PASS",IF('Release Gates'!C1089="PHYSICAL","OPEN","BLOCKED"))</x:f>
        <x:v>OPEN</x:v>
      </x:c>
      <x:c r="G1115" t="str">
        <x:v>equals</x:v>
      </x:c>
      <x:c r="H1115" t="str">
        <x:f>IF(E1115=F1115,"PASS","FAIL")</x:f>
        <x:v>PASS</x:v>
      </x:c>
    </x:row>
    <x:row r="1116">
      <x:c r="B1116" t="str">
        <x:v>A-01084</x:v>
      </x:c>
      <x:c r="C1116" t="str">
        <x:v>GATE</x:v>
      </x:c>
      <x:c r="D1116" t="str">
        <x:v>release state mirrors governing ledger</x:v>
      </x:c>
      <x:c r="E1116" t="str">
        <x:f>'Release Gates'!I1090</x:f>
        <x:v>OPEN</x:v>
      </x:c>
      <x:c r="F1116" t="str">
        <x:f>IF('Release Gates'!C1090="PLANNING","PASS",IF('Release Gates'!C1090="PHYSICAL","OPEN","BLOCKED"))</x:f>
        <x:v>OPEN</x:v>
      </x:c>
      <x:c r="G1116" t="str">
        <x:v>equals</x:v>
      </x:c>
      <x:c r="H1116" t="str">
        <x:f>IF(E1116=F1116,"PASS","FAIL")</x:f>
        <x:v>PASS</x:v>
      </x:c>
    </x:row>
    <x:row r="1117">
      <x:c r="B1117" t="str">
        <x:v>A-01085</x:v>
      </x:c>
      <x:c r="C1117" t="str">
        <x:v>GATE</x:v>
      </x:c>
      <x:c r="D1117" t="str">
        <x:v>release state mirrors governing ledger</x:v>
      </x:c>
      <x:c r="E1117" t="str">
        <x:f>'Release Gates'!I1091</x:f>
        <x:v>OPEN</x:v>
      </x:c>
      <x:c r="F1117" t="str">
        <x:f>IF('Release Gates'!C1091="PLANNING","PASS",IF('Release Gates'!C1091="PHYSICAL","OPEN","BLOCKED"))</x:f>
        <x:v>OPEN</x:v>
      </x:c>
      <x:c r="G1117" t="str">
        <x:v>equals</x:v>
      </x:c>
      <x:c r="H1117" t="str">
        <x:f>IF(E1117=F1117,"PASS","FAIL")</x:f>
        <x:v>PASS</x:v>
      </x:c>
    </x:row>
    <x:row r="1118">
      <x:c r="B1118" t="str">
        <x:v>A-01086</x:v>
      </x:c>
      <x:c r="C1118" t="str">
        <x:v>GATE</x:v>
      </x:c>
      <x:c r="D1118" t="str">
        <x:v>release state mirrors governing ledger</x:v>
      </x:c>
      <x:c r="E1118" t="str">
        <x:f>'Release Gates'!I1092</x:f>
        <x:v>OPEN</x:v>
      </x:c>
      <x:c r="F1118" t="str">
        <x:f>IF('Release Gates'!C1092="PLANNING","PASS",IF('Release Gates'!C1092="PHYSICAL","OPEN","BLOCKED"))</x:f>
        <x:v>OPEN</x:v>
      </x:c>
      <x:c r="G1118" t="str">
        <x:v>equals</x:v>
      </x:c>
      <x:c r="H1118" t="str">
        <x:f>IF(E1118=F1118,"PASS","FAIL")</x:f>
        <x:v>PASS</x:v>
      </x:c>
    </x:row>
    <x:row r="1119">
      <x:c r="B1119" t="str">
        <x:v>A-01087</x:v>
      </x:c>
      <x:c r="C1119" t="str">
        <x:v>GATE</x:v>
      </x:c>
      <x:c r="D1119" t="str">
        <x:v>release state mirrors governing ledger</x:v>
      </x:c>
      <x:c r="E1119" t="str">
        <x:f>'Release Gates'!I1093</x:f>
        <x:v>OPEN</x:v>
      </x:c>
      <x:c r="F1119" t="str">
        <x:f>IF('Release Gates'!C1093="PLANNING","PASS",IF('Release Gates'!C1093="PHYSICAL","OPEN","BLOCKED"))</x:f>
        <x:v>OPEN</x:v>
      </x:c>
      <x:c r="G1119" t="str">
        <x:v>equals</x:v>
      </x:c>
      <x:c r="H1119" t="str">
        <x:f>IF(E1119=F1119,"PASS","FAIL")</x:f>
        <x:v>PASS</x:v>
      </x:c>
    </x:row>
    <x:row r="1120">
      <x:c r="B1120" t="str">
        <x:v>A-01088</x:v>
      </x:c>
      <x:c r="C1120" t="str">
        <x:v>GATE</x:v>
      </x:c>
      <x:c r="D1120" t="str">
        <x:v>release state mirrors governing ledger</x:v>
      </x:c>
      <x:c r="E1120" t="str">
        <x:f>'Release Gates'!I1094</x:f>
        <x:v>OPEN</x:v>
      </x:c>
      <x:c r="F1120" t="str">
        <x:f>IF('Release Gates'!C1094="PLANNING","PASS",IF('Release Gates'!C1094="PHYSICAL","OPEN","BLOCKED"))</x:f>
        <x:v>OPEN</x:v>
      </x:c>
      <x:c r="G1120" t="str">
        <x:v>equals</x:v>
      </x:c>
      <x:c r="H1120" t="str">
        <x:f>IF(E1120=F1120,"PASS","FAIL")</x:f>
        <x:v>PASS</x:v>
      </x:c>
    </x:row>
    <x:row r="1121">
      <x:c r="B1121" t="str">
        <x:v>A-01089</x:v>
      </x:c>
      <x:c r="C1121" t="str">
        <x:v>GATE</x:v>
      </x:c>
      <x:c r="D1121" t="str">
        <x:v>release state mirrors governing ledger</x:v>
      </x:c>
      <x:c r="E1121" t="str">
        <x:f>'Release Gates'!I1095</x:f>
        <x:v>OPEN</x:v>
      </x:c>
      <x:c r="F1121" t="str">
        <x:f>IF('Release Gates'!C1095="PLANNING","PASS",IF('Release Gates'!C1095="PHYSICAL","OPEN","BLOCKED"))</x:f>
        <x:v>OPEN</x:v>
      </x:c>
      <x:c r="G1121" t="str">
        <x:v>equals</x:v>
      </x:c>
      <x:c r="H1121" t="str">
        <x:f>IF(E1121=F1121,"PASS","FAIL")</x:f>
        <x:v>PASS</x:v>
      </x:c>
    </x:row>
    <x:row r="1122">
      <x:c r="B1122" t="str">
        <x:v>A-01090</x:v>
      </x:c>
      <x:c r="C1122" t="str">
        <x:v>GATE</x:v>
      </x:c>
      <x:c r="D1122" t="str">
        <x:v>release state mirrors governing ledger</x:v>
      </x:c>
      <x:c r="E1122" t="str">
        <x:f>'Release Gates'!I1096</x:f>
        <x:v>OPEN</x:v>
      </x:c>
      <x:c r="F1122" t="str">
        <x:f>IF('Release Gates'!C1096="PLANNING","PASS",IF('Release Gates'!C1096="PHYSICAL","OPEN","BLOCKED"))</x:f>
        <x:v>OPEN</x:v>
      </x:c>
      <x:c r="G1122" t="str">
        <x:v>equals</x:v>
      </x:c>
      <x:c r="H1122" t="str">
        <x:f>IF(E1122=F1122,"PASS","FAIL")</x:f>
        <x:v>PASS</x:v>
      </x:c>
    </x:row>
    <x:row r="1123">
      <x:c r="B1123" t="str">
        <x:v>A-01091</x:v>
      </x:c>
      <x:c r="C1123" t="str">
        <x:v>GATE</x:v>
      </x:c>
      <x:c r="D1123" t="str">
        <x:v>release state mirrors governing ledger</x:v>
      </x:c>
      <x:c r="E1123" t="str">
        <x:f>'Release Gates'!I1097</x:f>
        <x:v>OPEN</x:v>
      </x:c>
      <x:c r="F1123" t="str">
        <x:f>IF('Release Gates'!C1097="PLANNING","PASS",IF('Release Gates'!C1097="PHYSICAL","OPEN","BLOCKED"))</x:f>
        <x:v>OPEN</x:v>
      </x:c>
      <x:c r="G1123" t="str">
        <x:v>equals</x:v>
      </x:c>
      <x:c r="H1123" t="str">
        <x:f>IF(E1123=F1123,"PASS","FAIL")</x:f>
        <x:v>PASS</x:v>
      </x:c>
    </x:row>
    <x:row r="1124">
      <x:c r="B1124" t="str">
        <x:v>A-01092</x:v>
      </x:c>
      <x:c r="C1124" t="str">
        <x:v>GATE</x:v>
      </x:c>
      <x:c r="D1124" t="str">
        <x:v>release state mirrors governing ledger</x:v>
      </x:c>
      <x:c r="E1124" t="str">
        <x:f>'Release Gates'!I1098</x:f>
        <x:v>OPEN</x:v>
      </x:c>
      <x:c r="F1124" t="str">
        <x:f>IF('Release Gates'!C1098="PLANNING","PASS",IF('Release Gates'!C1098="PHYSICAL","OPEN","BLOCKED"))</x:f>
        <x:v>OPEN</x:v>
      </x:c>
      <x:c r="G1124" t="str">
        <x:v>equals</x:v>
      </x:c>
      <x:c r="H1124" t="str">
        <x:f>IF(E1124=F1124,"PASS","FAIL")</x:f>
        <x:v>PASS</x:v>
      </x:c>
    </x:row>
    <x:row r="1125">
      <x:c r="B1125" t="str">
        <x:v>A-01093</x:v>
      </x:c>
      <x:c r="C1125" t="str">
        <x:v>GATE</x:v>
      </x:c>
      <x:c r="D1125" t="str">
        <x:v>release state mirrors governing ledger</x:v>
      </x:c>
      <x:c r="E1125" t="str">
        <x:f>'Release Gates'!I1099</x:f>
        <x:v>OPEN</x:v>
      </x:c>
      <x:c r="F1125" t="str">
        <x:f>IF('Release Gates'!C1099="PLANNING","PASS",IF('Release Gates'!C1099="PHYSICAL","OPEN","BLOCKED"))</x:f>
        <x:v>OPEN</x:v>
      </x:c>
      <x:c r="G1125" t="str">
        <x:v>equals</x:v>
      </x:c>
      <x:c r="H1125" t="str">
        <x:f>IF(E1125=F1125,"PASS","FAIL")</x:f>
        <x:v>PASS</x:v>
      </x:c>
    </x:row>
    <x:row r="1126">
      <x:c r="B1126" t="str">
        <x:v>A-01094</x:v>
      </x:c>
      <x:c r="C1126" t="str">
        <x:v>GATE</x:v>
      </x:c>
      <x:c r="D1126" t="str">
        <x:v>release state mirrors governing ledger</x:v>
      </x:c>
      <x:c r="E1126" t="str">
        <x:f>'Release Gates'!I1100</x:f>
        <x:v>OPEN</x:v>
      </x:c>
      <x:c r="F1126" t="str">
        <x:f>IF('Release Gates'!C1100="PLANNING","PASS",IF('Release Gates'!C1100="PHYSICAL","OPEN","BLOCKED"))</x:f>
        <x:v>OPEN</x:v>
      </x:c>
      <x:c r="G1126" t="str">
        <x:v>equals</x:v>
      </x:c>
      <x:c r="H1126" t="str">
        <x:f>IF(E1126=F1126,"PASS","FAIL")</x:f>
        <x:v>PASS</x:v>
      </x:c>
    </x:row>
    <x:row r="1127">
      <x:c r="B1127" t="str">
        <x:v>A-01095</x:v>
      </x:c>
      <x:c r="C1127" t="str">
        <x:v>GATE</x:v>
      </x:c>
      <x:c r="D1127" t="str">
        <x:v>release state mirrors governing ledger</x:v>
      </x:c>
      <x:c r="E1127" t="str">
        <x:f>'Release Gates'!I1101</x:f>
        <x:v>OPEN</x:v>
      </x:c>
      <x:c r="F1127" t="str">
        <x:f>IF('Release Gates'!C1101="PLANNING","PASS",IF('Release Gates'!C1101="PHYSICAL","OPEN","BLOCKED"))</x:f>
        <x:v>OPEN</x:v>
      </x:c>
      <x:c r="G1127" t="str">
        <x:v>equals</x:v>
      </x:c>
      <x:c r="H1127" t="str">
        <x:f>IF(E1127=F1127,"PASS","FAIL")</x:f>
        <x:v>PASS</x:v>
      </x:c>
    </x:row>
    <x:row r="1128">
      <x:c r="B1128" t="str">
        <x:v>A-01096</x:v>
      </x:c>
      <x:c r="C1128" t="str">
        <x:v>GATE</x:v>
      </x:c>
      <x:c r="D1128" t="str">
        <x:v>release state mirrors governing ledger</x:v>
      </x:c>
      <x:c r="E1128" t="str">
        <x:f>'Release Gates'!I1102</x:f>
        <x:v>OPEN</x:v>
      </x:c>
      <x:c r="F1128" t="str">
        <x:f>IF('Release Gates'!C1102="PLANNING","PASS",IF('Release Gates'!C1102="PHYSICAL","OPEN","BLOCKED"))</x:f>
        <x:v>OPEN</x:v>
      </x:c>
      <x:c r="G1128" t="str">
        <x:v>equals</x:v>
      </x:c>
      <x:c r="H1128" t="str">
        <x:f>IF(E1128=F1128,"PASS","FAIL")</x:f>
        <x:v>PASS</x:v>
      </x:c>
    </x:row>
    <x:row r="1129">
      <x:c r="B1129" t="str">
        <x:v>A-01097</x:v>
      </x:c>
      <x:c r="C1129" t="str">
        <x:v>GATE</x:v>
      </x:c>
      <x:c r="D1129" t="str">
        <x:v>release state mirrors governing ledger</x:v>
      </x:c>
      <x:c r="E1129" t="str">
        <x:f>'Release Gates'!I1103</x:f>
        <x:v>OPEN</x:v>
      </x:c>
      <x:c r="F1129" t="str">
        <x:f>IF('Release Gates'!C1103="PLANNING","PASS",IF('Release Gates'!C1103="PHYSICAL","OPEN","BLOCKED"))</x:f>
        <x:v>OPEN</x:v>
      </x:c>
      <x:c r="G1129" t="str">
        <x:v>equals</x:v>
      </x:c>
      <x:c r="H1129" t="str">
        <x:f>IF(E1129=F1129,"PASS","FAIL")</x:f>
        <x:v>PASS</x:v>
      </x:c>
    </x:row>
    <x:row r="1130">
      <x:c r="B1130" t="str">
        <x:v>A-01098</x:v>
      </x:c>
      <x:c r="C1130" t="str">
        <x:v>GATE</x:v>
      </x:c>
      <x:c r="D1130" t="str">
        <x:v>release state mirrors governing ledger</x:v>
      </x:c>
      <x:c r="E1130" t="str">
        <x:f>'Release Gates'!I1104</x:f>
        <x:v>OPEN</x:v>
      </x:c>
      <x:c r="F1130" t="str">
        <x:f>IF('Release Gates'!C1104="PLANNING","PASS",IF('Release Gates'!C1104="PHYSICAL","OPEN","BLOCKED"))</x:f>
        <x:v>OPEN</x:v>
      </x:c>
      <x:c r="G1130" t="str">
        <x:v>equals</x:v>
      </x:c>
      <x:c r="H1130" t="str">
        <x:f>IF(E1130=F1130,"PASS","FAIL")</x:f>
        <x:v>PASS</x:v>
      </x:c>
    </x:row>
    <x:row r="1131">
      <x:c r="B1131" t="str">
        <x:v>A-01099</x:v>
      </x:c>
      <x:c r="C1131" t="str">
        <x:v>GATE</x:v>
      </x:c>
      <x:c r="D1131" t="str">
        <x:v>release state mirrors governing ledger</x:v>
      </x:c>
      <x:c r="E1131" t="str">
        <x:f>'Release Gates'!I1105</x:f>
        <x:v>OPEN</x:v>
      </x:c>
      <x:c r="F1131" t="str">
        <x:f>IF('Release Gates'!C1105="PLANNING","PASS",IF('Release Gates'!C1105="PHYSICAL","OPEN","BLOCKED"))</x:f>
        <x:v>OPEN</x:v>
      </x:c>
      <x:c r="G1131" t="str">
        <x:v>equals</x:v>
      </x:c>
      <x:c r="H1131" t="str">
        <x:f>IF(E1131=F1131,"PASS","FAIL")</x:f>
        <x:v>PASS</x:v>
      </x:c>
    </x:row>
    <x:row r="1132">
      <x:c r="B1132" t="str">
        <x:v>A-01100</x:v>
      </x:c>
      <x:c r="C1132" t="str">
        <x:v>GATE</x:v>
      </x:c>
      <x:c r="D1132" t="str">
        <x:v>release state mirrors governing ledger</x:v>
      </x:c>
      <x:c r="E1132" t="str">
        <x:f>'Release Gates'!I1106</x:f>
        <x:v>OPEN</x:v>
      </x:c>
      <x:c r="F1132" t="str">
        <x:f>IF('Release Gates'!C1106="PLANNING","PASS",IF('Release Gates'!C1106="PHYSICAL","OPEN","BLOCKED"))</x:f>
        <x:v>OPEN</x:v>
      </x:c>
      <x:c r="G1132" t="str">
        <x:v>equals</x:v>
      </x:c>
      <x:c r="H1132" t="str">
        <x:f>IF(E1132=F1132,"PASS","FAIL")</x:f>
        <x:v>PASS</x:v>
      </x:c>
    </x:row>
    <x:row r="1133">
      <x:c r="B1133" t="str">
        <x:v>A-01101</x:v>
      </x:c>
      <x:c r="C1133" t="str">
        <x:v>GATE</x:v>
      </x:c>
      <x:c r="D1133" t="str">
        <x:v>release state mirrors governing ledger</x:v>
      </x:c>
      <x:c r="E1133" t="str">
        <x:f>'Release Gates'!I1107</x:f>
        <x:v>OPEN</x:v>
      </x:c>
      <x:c r="F1133" t="str">
        <x:f>IF('Release Gates'!C1107="PLANNING","PASS",IF('Release Gates'!C1107="PHYSICAL","OPEN","BLOCKED"))</x:f>
        <x:v>OPEN</x:v>
      </x:c>
      <x:c r="G1133" t="str">
        <x:v>equals</x:v>
      </x:c>
      <x:c r="H1133" t="str">
        <x:f>IF(E1133=F1133,"PASS","FAIL")</x:f>
        <x:v>PASS</x:v>
      </x:c>
    </x:row>
    <x:row r="1134">
      <x:c r="B1134" t="str">
        <x:v>A-01102</x:v>
      </x:c>
      <x:c r="C1134" t="str">
        <x:v>GATE</x:v>
      </x:c>
      <x:c r="D1134" t="str">
        <x:v>release state mirrors governing ledger</x:v>
      </x:c>
      <x:c r="E1134" t="str">
        <x:f>'Release Gates'!I1108</x:f>
        <x:v>OPEN</x:v>
      </x:c>
      <x:c r="F1134" t="str">
        <x:f>IF('Release Gates'!C1108="PLANNING","PASS",IF('Release Gates'!C1108="PHYSICAL","OPEN","BLOCKED"))</x:f>
        <x:v>OPEN</x:v>
      </x:c>
      <x:c r="G1134" t="str">
        <x:v>equals</x:v>
      </x:c>
      <x:c r="H1134" t="str">
        <x:f>IF(E1134=F1134,"PASS","FAIL")</x:f>
        <x:v>PASS</x:v>
      </x:c>
    </x:row>
    <x:row r="1135">
      <x:c r="B1135" t="str">
        <x:v>A-01103</x:v>
      </x:c>
      <x:c r="C1135" t="str">
        <x:v>GATE</x:v>
      </x:c>
      <x:c r="D1135" t="str">
        <x:v>release state mirrors governing ledger</x:v>
      </x:c>
      <x:c r="E1135" t="str">
        <x:f>'Release Gates'!I1109</x:f>
        <x:v>OPEN</x:v>
      </x:c>
      <x:c r="F1135" t="str">
        <x:f>IF('Release Gates'!C1109="PLANNING","PASS",IF('Release Gates'!C1109="PHYSICAL","OPEN","BLOCKED"))</x:f>
        <x:v>OPEN</x:v>
      </x:c>
      <x:c r="G1135" t="str">
        <x:v>equals</x:v>
      </x:c>
      <x:c r="H1135" t="str">
        <x:f>IF(E1135=F1135,"PASS","FAIL")</x:f>
        <x:v>PASS</x:v>
      </x:c>
    </x:row>
    <x:row r="1136">
      <x:c r="B1136" t="str">
        <x:v>A-01104</x:v>
      </x:c>
      <x:c r="C1136" t="str">
        <x:v>GATE</x:v>
      </x:c>
      <x:c r="D1136" t="str">
        <x:v>release state mirrors governing ledger</x:v>
      </x:c>
      <x:c r="E1136" t="str">
        <x:f>'Release Gates'!I1110</x:f>
        <x:v>OPEN</x:v>
      </x:c>
      <x:c r="F1136" t="str">
        <x:f>IF('Release Gates'!C1110="PLANNING","PASS",IF('Release Gates'!C1110="PHYSICAL","OPEN","BLOCKED"))</x:f>
        <x:v>OPEN</x:v>
      </x:c>
      <x:c r="G1136" t="str">
        <x:v>equals</x:v>
      </x:c>
      <x:c r="H1136" t="str">
        <x:f>IF(E1136=F1136,"PASS","FAIL")</x:f>
        <x:v>PASS</x:v>
      </x:c>
    </x:row>
    <x:row r="1137">
      <x:c r="B1137" t="str">
        <x:v>A-01105</x:v>
      </x:c>
      <x:c r="C1137" t="str">
        <x:v>GATE</x:v>
      </x:c>
      <x:c r="D1137" t="str">
        <x:v>release state mirrors governing ledger</x:v>
      </x:c>
      <x:c r="E1137" t="str">
        <x:f>'Release Gates'!I1111</x:f>
        <x:v>OPEN</x:v>
      </x:c>
      <x:c r="F1137" t="str">
        <x:f>IF('Release Gates'!C1111="PLANNING","PASS",IF('Release Gates'!C1111="PHYSICAL","OPEN","BLOCKED"))</x:f>
        <x:v>OPEN</x:v>
      </x:c>
      <x:c r="G1137" t="str">
        <x:v>equals</x:v>
      </x:c>
      <x:c r="H1137" t="str">
        <x:f>IF(E1137=F1137,"PASS","FAIL")</x:f>
        <x:v>PASS</x:v>
      </x:c>
    </x:row>
    <x:row r="1138">
      <x:c r="B1138" t="str">
        <x:v>A-01106</x:v>
      </x:c>
      <x:c r="C1138" t="str">
        <x:v>GATE</x:v>
      </x:c>
      <x:c r="D1138" t="str">
        <x:v>release state mirrors governing ledger</x:v>
      </x:c>
      <x:c r="E1138" t="str">
        <x:f>'Release Gates'!I1112</x:f>
        <x:v>OPEN</x:v>
      </x:c>
      <x:c r="F1138" t="str">
        <x:f>IF('Release Gates'!C1112="PLANNING","PASS",IF('Release Gates'!C1112="PHYSICAL","OPEN","BLOCKED"))</x:f>
        <x:v>OPEN</x:v>
      </x:c>
      <x:c r="G1138" t="str">
        <x:v>equals</x:v>
      </x:c>
      <x:c r="H1138" t="str">
        <x:f>IF(E1138=F1138,"PASS","FAIL")</x:f>
        <x:v>PASS</x:v>
      </x:c>
    </x:row>
    <x:row r="1139">
      <x:c r="B1139" t="str">
        <x:v>A-01107</x:v>
      </x:c>
      <x:c r="C1139" t="str">
        <x:v>GATE</x:v>
      </x:c>
      <x:c r="D1139" t="str">
        <x:v>release state mirrors governing ledger</x:v>
      </x:c>
      <x:c r="E1139" t="str">
        <x:f>'Release Gates'!I1113</x:f>
        <x:v>OPEN</x:v>
      </x:c>
      <x:c r="F1139" t="str">
        <x:f>IF('Release Gates'!C1113="PLANNING","PASS",IF('Release Gates'!C1113="PHYSICAL","OPEN","BLOCKED"))</x:f>
        <x:v>OPEN</x:v>
      </x:c>
      <x:c r="G1139" t="str">
        <x:v>equals</x:v>
      </x:c>
      <x:c r="H1139" t="str">
        <x:f>IF(E1139=F1139,"PASS","FAIL")</x:f>
        <x:v>PASS</x:v>
      </x:c>
    </x:row>
    <x:row r="1140">
      <x:c r="B1140" t="str">
        <x:v>A-01108</x:v>
      </x:c>
      <x:c r="C1140" t="str">
        <x:v>GATE</x:v>
      </x:c>
      <x:c r="D1140" t="str">
        <x:v>release state mirrors governing ledger</x:v>
      </x:c>
      <x:c r="E1140" t="str">
        <x:f>'Release Gates'!I1114</x:f>
        <x:v>OPEN</x:v>
      </x:c>
      <x:c r="F1140" t="str">
        <x:f>IF('Release Gates'!C1114="PLANNING","PASS",IF('Release Gates'!C1114="PHYSICAL","OPEN","BLOCKED"))</x:f>
        <x:v>OPEN</x:v>
      </x:c>
      <x:c r="G1140" t="str">
        <x:v>equals</x:v>
      </x:c>
      <x:c r="H1140" t="str">
        <x:f>IF(E1140=F1140,"PASS","FAIL")</x:f>
        <x:v>PASS</x:v>
      </x:c>
    </x:row>
    <x:row r="1141">
      <x:c r="B1141" t="str">
        <x:v>A-01109</x:v>
      </x:c>
      <x:c r="C1141" t="str">
        <x:v>GATE</x:v>
      </x:c>
      <x:c r="D1141" t="str">
        <x:v>release state mirrors governing ledger</x:v>
      </x:c>
      <x:c r="E1141" t="str">
        <x:f>'Release Gates'!I1115</x:f>
        <x:v>OPEN</x:v>
      </x:c>
      <x:c r="F1141" t="str">
        <x:f>IF('Release Gates'!C1115="PLANNING","PASS",IF('Release Gates'!C1115="PHYSICAL","OPEN","BLOCKED"))</x:f>
        <x:v>OPEN</x:v>
      </x:c>
      <x:c r="G1141" t="str">
        <x:v>equals</x:v>
      </x:c>
      <x:c r="H1141" t="str">
        <x:f>IF(E1141=F1141,"PASS","FAIL")</x:f>
        <x:v>PASS</x:v>
      </x:c>
    </x:row>
    <x:row r="1142">
      <x:c r="B1142" t="str">
        <x:v>A-01110</x:v>
      </x:c>
      <x:c r="C1142" t="str">
        <x:v>GATE</x:v>
      </x:c>
      <x:c r="D1142" t="str">
        <x:v>release state mirrors governing ledger</x:v>
      </x:c>
      <x:c r="E1142" t="str">
        <x:f>'Release Gates'!I1116</x:f>
        <x:v>OPEN</x:v>
      </x:c>
      <x:c r="F1142" t="str">
        <x:f>IF('Release Gates'!C1116="PLANNING","PASS",IF('Release Gates'!C1116="PHYSICAL","OPEN","BLOCKED"))</x:f>
        <x:v>OPEN</x:v>
      </x:c>
      <x:c r="G1142" t="str">
        <x:v>equals</x:v>
      </x:c>
      <x:c r="H1142" t="str">
        <x:f>IF(E1142=F1142,"PASS","FAIL")</x:f>
        <x:v>PASS</x:v>
      </x:c>
    </x:row>
    <x:row r="1143">
      <x:c r="B1143" t="str">
        <x:v>A-01111</x:v>
      </x:c>
      <x:c r="C1143" t="str">
        <x:v>GATE</x:v>
      </x:c>
      <x:c r="D1143" t="str">
        <x:v>release state mirrors governing ledger</x:v>
      </x:c>
      <x:c r="E1143" t="str">
        <x:f>'Release Gates'!I1117</x:f>
        <x:v>OPEN</x:v>
      </x:c>
      <x:c r="F1143" t="str">
        <x:f>IF('Release Gates'!C1117="PLANNING","PASS",IF('Release Gates'!C1117="PHYSICAL","OPEN","BLOCKED"))</x:f>
        <x:v>OPEN</x:v>
      </x:c>
      <x:c r="G1143" t="str">
        <x:v>equals</x:v>
      </x:c>
      <x:c r="H1143" t="str">
        <x:f>IF(E1143=F1143,"PASS","FAIL")</x:f>
        <x:v>PASS</x:v>
      </x:c>
    </x:row>
    <x:row r="1144">
      <x:c r="B1144" t="str">
        <x:v>A-01112</x:v>
      </x:c>
      <x:c r="C1144" t="str">
        <x:v>GATE</x:v>
      </x:c>
      <x:c r="D1144" t="str">
        <x:v>release state mirrors governing ledger</x:v>
      </x:c>
      <x:c r="E1144" t="str">
        <x:f>'Release Gates'!I1118</x:f>
        <x:v>OPEN</x:v>
      </x:c>
      <x:c r="F1144" t="str">
        <x:f>IF('Release Gates'!C1118="PLANNING","PASS",IF('Release Gates'!C1118="PHYSICAL","OPEN","BLOCKED"))</x:f>
        <x:v>OPEN</x:v>
      </x:c>
      <x:c r="G1144" t="str">
        <x:v>equals</x:v>
      </x:c>
      <x:c r="H1144" t="str">
        <x:f>IF(E1144=F1144,"PASS","FAIL")</x:f>
        <x:v>PASS</x:v>
      </x:c>
    </x:row>
    <x:row r="1145">
      <x:c r="B1145" t="str">
        <x:v>A-01113</x:v>
      </x:c>
      <x:c r="C1145" t="str">
        <x:v>GATE</x:v>
      </x:c>
      <x:c r="D1145" t="str">
        <x:v>release state mirrors governing ledger</x:v>
      </x:c>
      <x:c r="E1145" t="str">
        <x:f>'Release Gates'!I1119</x:f>
        <x:v>OPEN</x:v>
      </x:c>
      <x:c r="F1145" t="str">
        <x:f>IF('Release Gates'!C1119="PLANNING","PASS",IF('Release Gates'!C1119="PHYSICAL","OPEN","BLOCKED"))</x:f>
        <x:v>OPEN</x:v>
      </x:c>
      <x:c r="G1145" t="str">
        <x:v>equals</x:v>
      </x:c>
      <x:c r="H1145" t="str">
        <x:f>IF(E1145=F1145,"PASS","FAIL")</x:f>
        <x:v>PASS</x:v>
      </x:c>
    </x:row>
    <x:row r="1146">
      <x:c r="B1146" t="str">
        <x:v>A-01114</x:v>
      </x:c>
      <x:c r="C1146" t="str">
        <x:v>GATE</x:v>
      </x:c>
      <x:c r="D1146" t="str">
        <x:v>release state mirrors governing ledger</x:v>
      </x:c>
      <x:c r="E1146" t="str">
        <x:f>'Release Gates'!I1120</x:f>
        <x:v>OPEN</x:v>
      </x:c>
      <x:c r="F1146" t="str">
        <x:f>IF('Release Gates'!C1120="PLANNING","PASS",IF('Release Gates'!C1120="PHYSICAL","OPEN","BLOCKED"))</x:f>
        <x:v>OPEN</x:v>
      </x:c>
      <x:c r="G1146" t="str">
        <x:v>equals</x:v>
      </x:c>
      <x:c r="H1146" t="str">
        <x:f>IF(E1146=F1146,"PASS","FAIL")</x:f>
        <x:v>PASS</x:v>
      </x:c>
    </x:row>
    <x:row r="1147">
      <x:c r="B1147" t="str">
        <x:v>A-01115</x:v>
      </x:c>
      <x:c r="C1147" t="str">
        <x:v>GATE</x:v>
      </x:c>
      <x:c r="D1147" t="str">
        <x:v>release state mirrors governing ledger</x:v>
      </x:c>
      <x:c r="E1147" t="str">
        <x:f>'Release Gates'!I1121</x:f>
        <x:v>OPEN</x:v>
      </x:c>
      <x:c r="F1147" t="str">
        <x:f>IF('Release Gates'!C1121="PLANNING","PASS",IF('Release Gates'!C1121="PHYSICAL","OPEN","BLOCKED"))</x:f>
        <x:v>OPEN</x:v>
      </x:c>
      <x:c r="G1147" t="str">
        <x:v>equals</x:v>
      </x:c>
      <x:c r="H1147" t="str">
        <x:f>IF(E1147=F1147,"PASS","FAIL")</x:f>
        <x:v>PASS</x:v>
      </x:c>
    </x:row>
    <x:row r="1148">
      <x:c r="B1148" t="str">
        <x:v>A-01116</x:v>
      </x:c>
      <x:c r="C1148" t="str">
        <x:v>GATE</x:v>
      </x:c>
      <x:c r="D1148" t="str">
        <x:v>release state mirrors governing ledger</x:v>
      </x:c>
      <x:c r="E1148" t="str">
        <x:f>'Release Gates'!I1122</x:f>
        <x:v>OPEN</x:v>
      </x:c>
      <x:c r="F1148" t="str">
        <x:f>IF('Release Gates'!C1122="PLANNING","PASS",IF('Release Gates'!C1122="PHYSICAL","OPEN","BLOCKED"))</x:f>
        <x:v>OPEN</x:v>
      </x:c>
      <x:c r="G1148" t="str">
        <x:v>equals</x:v>
      </x:c>
      <x:c r="H1148" t="str">
        <x:f>IF(E1148=F1148,"PASS","FAIL")</x:f>
        <x:v>PASS</x:v>
      </x:c>
    </x:row>
    <x:row r="1149">
      <x:c r="B1149" t="str">
        <x:v>A-01117</x:v>
      </x:c>
      <x:c r="C1149" t="str">
        <x:v>GATE</x:v>
      </x:c>
      <x:c r="D1149" t="str">
        <x:v>release state mirrors governing ledger</x:v>
      </x:c>
      <x:c r="E1149" t="str">
        <x:f>'Release Gates'!I1123</x:f>
        <x:v>OPEN</x:v>
      </x:c>
      <x:c r="F1149" t="str">
        <x:f>IF('Release Gates'!C1123="PLANNING","PASS",IF('Release Gates'!C1123="PHYSICAL","OPEN","BLOCKED"))</x:f>
        <x:v>OPEN</x:v>
      </x:c>
      <x:c r="G1149" t="str">
        <x:v>equals</x:v>
      </x:c>
      <x:c r="H1149" t="str">
        <x:f>IF(E1149=F1149,"PASS","FAIL")</x:f>
        <x:v>PASS</x:v>
      </x:c>
    </x:row>
    <x:row r="1150">
      <x:c r="B1150" t="str">
        <x:v>A-01118</x:v>
      </x:c>
      <x:c r="C1150" t="str">
        <x:v>GATE</x:v>
      </x:c>
      <x:c r="D1150" t="str">
        <x:v>release state mirrors governing ledger</x:v>
      </x:c>
      <x:c r="E1150" t="str">
        <x:f>'Release Gates'!I1124</x:f>
        <x:v>OPEN</x:v>
      </x:c>
      <x:c r="F1150" t="str">
        <x:f>IF('Release Gates'!C1124="PLANNING","PASS",IF('Release Gates'!C1124="PHYSICAL","OPEN","BLOCKED"))</x:f>
        <x:v>OPEN</x:v>
      </x:c>
      <x:c r="G1150" t="str">
        <x:v>equals</x:v>
      </x:c>
      <x:c r="H1150" t="str">
        <x:f>IF(E1150=F1150,"PASS","FAIL")</x:f>
        <x:v>PASS</x:v>
      </x:c>
    </x:row>
    <x:row r="1151">
      <x:c r="B1151" t="str">
        <x:v>A-01119</x:v>
      </x:c>
      <x:c r="C1151" t="str">
        <x:v>GATE</x:v>
      </x:c>
      <x:c r="D1151" t="str">
        <x:v>release state mirrors governing ledger</x:v>
      </x:c>
      <x:c r="E1151" t="str">
        <x:f>'Release Gates'!I1125</x:f>
        <x:v>OPEN</x:v>
      </x:c>
      <x:c r="F1151" t="str">
        <x:f>IF('Release Gates'!C1125="PLANNING","PASS",IF('Release Gates'!C1125="PHYSICAL","OPEN","BLOCKED"))</x:f>
        <x:v>OPEN</x:v>
      </x:c>
      <x:c r="G1151" t="str">
        <x:v>equals</x:v>
      </x:c>
      <x:c r="H1151" t="str">
        <x:f>IF(E1151=F1151,"PASS","FAIL")</x:f>
        <x:v>PASS</x:v>
      </x:c>
    </x:row>
    <x:row r="1152">
      <x:c r="B1152" t="str">
        <x:v>A-01120</x:v>
      </x:c>
      <x:c r="C1152" t="str">
        <x:v>GATE</x:v>
      </x:c>
      <x:c r="D1152" t="str">
        <x:v>release state mirrors governing ledger</x:v>
      </x:c>
      <x:c r="E1152" t="str">
        <x:f>'Release Gates'!I1126</x:f>
        <x:v>OPEN</x:v>
      </x:c>
      <x:c r="F1152" t="str">
        <x:f>IF('Release Gates'!C1126="PLANNING","PASS",IF('Release Gates'!C1126="PHYSICAL","OPEN","BLOCKED"))</x:f>
        <x:v>OPEN</x:v>
      </x:c>
      <x:c r="G1152" t="str">
        <x:v>equals</x:v>
      </x:c>
      <x:c r="H1152" t="str">
        <x:f>IF(E1152=F1152,"PASS","FAIL")</x:f>
        <x:v>PASS</x:v>
      </x:c>
    </x:row>
    <x:row r="1153">
      <x:c r="B1153" t="str">
        <x:v>A-01121</x:v>
      </x:c>
      <x:c r="C1153" t="str">
        <x:v>GATE</x:v>
      </x:c>
      <x:c r="D1153" t="str">
        <x:v>release state mirrors governing ledger</x:v>
      </x:c>
      <x:c r="E1153" t="str">
        <x:f>'Release Gates'!I1127</x:f>
        <x:v>OPEN</x:v>
      </x:c>
      <x:c r="F1153" t="str">
        <x:f>IF('Release Gates'!C1127="PLANNING","PASS",IF('Release Gates'!C1127="PHYSICAL","OPEN","BLOCKED"))</x:f>
        <x:v>OPEN</x:v>
      </x:c>
      <x:c r="G1153" t="str">
        <x:v>equals</x:v>
      </x:c>
      <x:c r="H1153" t="str">
        <x:f>IF(E1153=F1153,"PASS","FAIL")</x:f>
        <x:v>PASS</x:v>
      </x:c>
    </x:row>
    <x:row r="1154">
      <x:c r="B1154" t="str">
        <x:v>A-01122</x:v>
      </x:c>
      <x:c r="C1154" t="str">
        <x:v>GATE</x:v>
      </x:c>
      <x:c r="D1154" t="str">
        <x:v>release state mirrors governing ledger</x:v>
      </x:c>
      <x:c r="E1154" t="str">
        <x:f>'Release Gates'!I1128</x:f>
        <x:v>OPEN</x:v>
      </x:c>
      <x:c r="F1154" t="str">
        <x:f>IF('Release Gates'!C1128="PLANNING","PASS",IF('Release Gates'!C1128="PHYSICAL","OPEN","BLOCKED"))</x:f>
        <x:v>OPEN</x:v>
      </x:c>
      <x:c r="G1154" t="str">
        <x:v>equals</x:v>
      </x:c>
      <x:c r="H1154" t="str">
        <x:f>IF(E1154=F1154,"PASS","FAIL")</x:f>
        <x:v>PASS</x:v>
      </x:c>
    </x:row>
    <x:row r="1155">
      <x:c r="B1155" t="str">
        <x:v>A-01123</x:v>
      </x:c>
      <x:c r="C1155" t="str">
        <x:v>GATE</x:v>
      </x:c>
      <x:c r="D1155" t="str">
        <x:v>release state mirrors governing ledger</x:v>
      </x:c>
      <x:c r="E1155" t="str">
        <x:f>'Release Gates'!I1129</x:f>
        <x:v>OPEN</x:v>
      </x:c>
      <x:c r="F1155" t="str">
        <x:f>IF('Release Gates'!C1129="PLANNING","PASS",IF('Release Gates'!C1129="PHYSICAL","OPEN","BLOCKED"))</x:f>
        <x:v>OPEN</x:v>
      </x:c>
      <x:c r="G1155" t="str">
        <x:v>equals</x:v>
      </x:c>
      <x:c r="H1155" t="str">
        <x:f>IF(E1155=F1155,"PASS","FAIL")</x:f>
        <x:v>PASS</x:v>
      </x:c>
    </x:row>
    <x:row r="1156">
      <x:c r="B1156" t="str">
        <x:v>A-01124</x:v>
      </x:c>
      <x:c r="C1156" t="str">
        <x:v>GATE</x:v>
      </x:c>
      <x:c r="D1156" t="str">
        <x:v>release state mirrors governing ledger</x:v>
      </x:c>
      <x:c r="E1156" t="str">
        <x:f>'Release Gates'!I1130</x:f>
        <x:v>OPEN</x:v>
      </x:c>
      <x:c r="F1156" t="str">
        <x:f>IF('Release Gates'!C1130="PLANNING","PASS",IF('Release Gates'!C1130="PHYSICAL","OPEN","BLOCKED"))</x:f>
        <x:v>OPEN</x:v>
      </x:c>
      <x:c r="G1156" t="str">
        <x:v>equals</x:v>
      </x:c>
      <x:c r="H1156" t="str">
        <x:f>IF(E1156=F1156,"PASS","FAIL")</x:f>
        <x:v>PASS</x:v>
      </x:c>
    </x:row>
    <x:row r="1157">
      <x:c r="B1157" t="str">
        <x:v>A-01125</x:v>
      </x:c>
      <x:c r="C1157" t="str">
        <x:v>GATE</x:v>
      </x:c>
      <x:c r="D1157" t="str">
        <x:v>release state mirrors governing ledger</x:v>
      </x:c>
      <x:c r="E1157" t="str">
        <x:f>'Release Gates'!I1131</x:f>
        <x:v>OPEN</x:v>
      </x:c>
      <x:c r="F1157" t="str">
        <x:f>IF('Release Gates'!C1131="PLANNING","PASS",IF('Release Gates'!C1131="PHYSICAL","OPEN","BLOCKED"))</x:f>
        <x:v>OPEN</x:v>
      </x:c>
      <x:c r="G1157" t="str">
        <x:v>equals</x:v>
      </x:c>
      <x:c r="H1157" t="str">
        <x:f>IF(E1157=F1157,"PASS","FAIL")</x:f>
        <x:v>PASS</x:v>
      </x:c>
    </x:row>
    <x:row r="1158">
      <x:c r="B1158" t="str">
        <x:v>A-01126</x:v>
      </x:c>
      <x:c r="C1158" t="str">
        <x:v>GATE</x:v>
      </x:c>
      <x:c r="D1158" t="str">
        <x:v>release state mirrors governing ledger</x:v>
      </x:c>
      <x:c r="E1158" t="str">
        <x:f>'Release Gates'!I1132</x:f>
        <x:v>OPEN</x:v>
      </x:c>
      <x:c r="F1158" t="str">
        <x:f>IF('Release Gates'!C1132="PLANNING","PASS",IF('Release Gates'!C1132="PHYSICAL","OPEN","BLOCKED"))</x:f>
        <x:v>OPEN</x:v>
      </x:c>
      <x:c r="G1158" t="str">
        <x:v>equals</x:v>
      </x:c>
      <x:c r="H1158" t="str">
        <x:f>IF(E1158=F1158,"PASS","FAIL")</x:f>
        <x:v>PASS</x:v>
      </x:c>
    </x:row>
    <x:row r="1159">
      <x:c r="B1159" t="str">
        <x:v>A-01127</x:v>
      </x:c>
      <x:c r="C1159" t="str">
        <x:v>GATE</x:v>
      </x:c>
      <x:c r="D1159" t="str">
        <x:v>release state mirrors governing ledger</x:v>
      </x:c>
      <x:c r="E1159" t="str">
        <x:f>'Release Gates'!I1133</x:f>
        <x:v>OPEN</x:v>
      </x:c>
      <x:c r="F1159" t="str">
        <x:f>IF('Release Gates'!C1133="PLANNING","PASS",IF('Release Gates'!C1133="PHYSICAL","OPEN","BLOCKED"))</x:f>
        <x:v>OPEN</x:v>
      </x:c>
      <x:c r="G1159" t="str">
        <x:v>equals</x:v>
      </x:c>
      <x:c r="H1159" t="str">
        <x:f>IF(E1159=F1159,"PASS","FAIL")</x:f>
        <x:v>PASS</x:v>
      </x:c>
    </x:row>
    <x:row r="1160">
      <x:c r="B1160" t="str">
        <x:v>A-01128</x:v>
      </x:c>
      <x:c r="C1160" t="str">
        <x:v>GATE</x:v>
      </x:c>
      <x:c r="D1160" t="str">
        <x:v>release state mirrors governing ledger</x:v>
      </x:c>
      <x:c r="E1160" t="str">
        <x:f>'Release Gates'!I1134</x:f>
        <x:v>OPEN</x:v>
      </x:c>
      <x:c r="F1160" t="str">
        <x:f>IF('Release Gates'!C1134="PLANNING","PASS",IF('Release Gates'!C1134="PHYSICAL","OPEN","BLOCKED"))</x:f>
        <x:v>OPEN</x:v>
      </x:c>
      <x:c r="G1160" t="str">
        <x:v>equals</x:v>
      </x:c>
      <x:c r="H1160" t="str">
        <x:f>IF(E1160=F1160,"PASS","FAIL")</x:f>
        <x:v>PASS</x:v>
      </x:c>
    </x:row>
    <x:row r="1161">
      <x:c r="B1161" t="str">
        <x:v>A-01129</x:v>
      </x:c>
      <x:c r="C1161" t="str">
        <x:v>GATE</x:v>
      </x:c>
      <x:c r="D1161" t="str">
        <x:v>release state mirrors governing ledger</x:v>
      </x:c>
      <x:c r="E1161" t="str">
        <x:f>'Release Gates'!I1135</x:f>
        <x:v>OPEN</x:v>
      </x:c>
      <x:c r="F1161" t="str">
        <x:f>IF('Release Gates'!C1135="PLANNING","PASS",IF('Release Gates'!C1135="PHYSICAL","OPEN","BLOCKED"))</x:f>
        <x:v>OPEN</x:v>
      </x:c>
      <x:c r="G1161" t="str">
        <x:v>equals</x:v>
      </x:c>
      <x:c r="H1161" t="str">
        <x:f>IF(E1161=F1161,"PASS","FAIL")</x:f>
        <x:v>PASS</x:v>
      </x:c>
    </x:row>
    <x:row r="1162">
      <x:c r="B1162" t="str">
        <x:v>A-01130</x:v>
      </x:c>
      <x:c r="C1162" t="str">
        <x:v>GATE</x:v>
      </x:c>
      <x:c r="D1162" t="str">
        <x:v>release state mirrors governing ledger</x:v>
      </x:c>
      <x:c r="E1162" t="str">
        <x:f>'Release Gates'!I1136</x:f>
        <x:v>OPEN</x:v>
      </x:c>
      <x:c r="F1162" t="str">
        <x:f>IF('Release Gates'!C1136="PLANNING","PASS",IF('Release Gates'!C1136="PHYSICAL","OPEN","BLOCKED"))</x:f>
        <x:v>OPEN</x:v>
      </x:c>
      <x:c r="G1162" t="str">
        <x:v>equals</x:v>
      </x:c>
      <x:c r="H1162" t="str">
        <x:f>IF(E1162=F1162,"PASS","FAIL")</x:f>
        <x:v>PASS</x:v>
      </x:c>
    </x:row>
    <x:row r="1163">
      <x:c r="B1163" t="str">
        <x:v>A-01131</x:v>
      </x:c>
      <x:c r="C1163" t="str">
        <x:v>GATE</x:v>
      </x:c>
      <x:c r="D1163" t="str">
        <x:v>release state mirrors governing ledger</x:v>
      </x:c>
      <x:c r="E1163" t="str">
        <x:f>'Release Gates'!I1137</x:f>
        <x:v>OPEN</x:v>
      </x:c>
      <x:c r="F1163" t="str">
        <x:f>IF('Release Gates'!C1137="PLANNING","PASS",IF('Release Gates'!C1137="PHYSICAL","OPEN","BLOCKED"))</x:f>
        <x:v>OPEN</x:v>
      </x:c>
      <x:c r="G1163" t="str">
        <x:v>equals</x:v>
      </x:c>
      <x:c r="H1163" t="str">
        <x:f>IF(E1163=F1163,"PASS","FAIL")</x:f>
        <x:v>PASS</x:v>
      </x:c>
    </x:row>
    <x:row r="1164">
      <x:c r="B1164" t="str">
        <x:v>A-01132</x:v>
      </x:c>
      <x:c r="C1164" t="str">
        <x:v>GATE</x:v>
      </x:c>
      <x:c r="D1164" t="str">
        <x:v>release state mirrors governing ledger</x:v>
      </x:c>
      <x:c r="E1164" t="str">
        <x:f>'Release Gates'!I1138</x:f>
        <x:v>OPEN</x:v>
      </x:c>
      <x:c r="F1164" t="str">
        <x:f>IF('Release Gates'!C1138="PLANNING","PASS",IF('Release Gates'!C1138="PHYSICAL","OPEN","BLOCKED"))</x:f>
        <x:v>OPEN</x:v>
      </x:c>
      <x:c r="G1164" t="str">
        <x:v>equals</x:v>
      </x:c>
      <x:c r="H1164" t="str">
        <x:f>IF(E1164=F1164,"PASS","FAIL")</x:f>
        <x:v>PASS</x:v>
      </x:c>
    </x:row>
    <x:row r="1165">
      <x:c r="B1165" t="str">
        <x:v>A-01133</x:v>
      </x:c>
      <x:c r="C1165" t="str">
        <x:v>GATE</x:v>
      </x:c>
      <x:c r="D1165" t="str">
        <x:v>release state mirrors governing ledger</x:v>
      </x:c>
      <x:c r="E1165" t="str">
        <x:f>'Release Gates'!I1139</x:f>
        <x:v>OPEN</x:v>
      </x:c>
      <x:c r="F1165" t="str">
        <x:f>IF('Release Gates'!C1139="PLANNING","PASS",IF('Release Gates'!C1139="PHYSICAL","OPEN","BLOCKED"))</x:f>
        <x:v>OPEN</x:v>
      </x:c>
      <x:c r="G1165" t="str">
        <x:v>equals</x:v>
      </x:c>
      <x:c r="H1165" t="str">
        <x:f>IF(E1165=F1165,"PASS","FAIL")</x:f>
        <x:v>PASS</x:v>
      </x:c>
    </x:row>
    <x:row r="1166">
      <x:c r="B1166" t="str">
        <x:v>A-01134</x:v>
      </x:c>
      <x:c r="C1166" t="str">
        <x:v>GATE</x:v>
      </x:c>
      <x:c r="D1166" t="str">
        <x:v>release state mirrors governing ledger</x:v>
      </x:c>
      <x:c r="E1166" t="str">
        <x:f>'Release Gates'!I1140</x:f>
        <x:v>OPEN</x:v>
      </x:c>
      <x:c r="F1166" t="str">
        <x:f>IF('Release Gates'!C1140="PLANNING","PASS",IF('Release Gates'!C1140="PHYSICAL","OPEN","BLOCKED"))</x:f>
        <x:v>OPEN</x:v>
      </x:c>
      <x:c r="G1166" t="str">
        <x:v>equals</x:v>
      </x:c>
      <x:c r="H1166" t="str">
        <x:f>IF(E1166=F1166,"PASS","FAIL")</x:f>
        <x:v>PASS</x:v>
      </x:c>
    </x:row>
    <x:row r="1167">
      <x:c r="B1167" t="str">
        <x:v>A-01135</x:v>
      </x:c>
      <x:c r="C1167" t="str">
        <x:v>GATE</x:v>
      </x:c>
      <x:c r="D1167" t="str">
        <x:v>release state mirrors governing ledger</x:v>
      </x:c>
      <x:c r="E1167" t="str">
        <x:f>'Release Gates'!I1141</x:f>
        <x:v>OPEN</x:v>
      </x:c>
      <x:c r="F1167" t="str">
        <x:f>IF('Release Gates'!C1141="PLANNING","PASS",IF('Release Gates'!C1141="PHYSICAL","OPEN","BLOCKED"))</x:f>
        <x:v>OPEN</x:v>
      </x:c>
      <x:c r="G1167" t="str">
        <x:v>equals</x:v>
      </x:c>
      <x:c r="H1167" t="str">
        <x:f>IF(E1167=F1167,"PASS","FAIL")</x:f>
        <x:v>PASS</x:v>
      </x:c>
    </x:row>
    <x:row r="1168">
      <x:c r="B1168" t="str">
        <x:v>A-01136</x:v>
      </x:c>
      <x:c r="C1168" t="str">
        <x:v>GATE</x:v>
      </x:c>
      <x:c r="D1168" t="str">
        <x:v>release state mirrors governing ledger</x:v>
      </x:c>
      <x:c r="E1168" t="str">
        <x:f>'Release Gates'!I1142</x:f>
        <x:v>OPEN</x:v>
      </x:c>
      <x:c r="F1168" t="str">
        <x:f>IF('Release Gates'!C1142="PLANNING","PASS",IF('Release Gates'!C1142="PHYSICAL","OPEN","BLOCKED"))</x:f>
        <x:v>OPEN</x:v>
      </x:c>
      <x:c r="G1168" t="str">
        <x:v>equals</x:v>
      </x:c>
      <x:c r="H1168" t="str">
        <x:f>IF(E1168=F1168,"PASS","FAIL")</x:f>
        <x:v>PASS</x:v>
      </x:c>
    </x:row>
    <x:row r="1169">
      <x:c r="B1169" t="str">
        <x:v>A-01137</x:v>
      </x:c>
      <x:c r="C1169" t="str">
        <x:v>GATE</x:v>
      </x:c>
      <x:c r="D1169" t="str">
        <x:v>release state mirrors governing ledger</x:v>
      </x:c>
      <x:c r="E1169" t="str">
        <x:f>'Release Gates'!I1143</x:f>
        <x:v>OPEN</x:v>
      </x:c>
      <x:c r="F1169" t="str">
        <x:f>IF('Release Gates'!C1143="PLANNING","PASS",IF('Release Gates'!C1143="PHYSICAL","OPEN","BLOCKED"))</x:f>
        <x:v>OPEN</x:v>
      </x:c>
      <x:c r="G1169" t="str">
        <x:v>equals</x:v>
      </x:c>
      <x:c r="H1169" t="str">
        <x:f>IF(E1169=F1169,"PASS","FAIL")</x:f>
        <x:v>PASS</x:v>
      </x:c>
    </x:row>
    <x:row r="1170">
      <x:c r="B1170" t="str">
        <x:v>A-01138</x:v>
      </x:c>
      <x:c r="C1170" t="str">
        <x:v>GATE</x:v>
      </x:c>
      <x:c r="D1170" t="str">
        <x:v>release state mirrors governing ledger</x:v>
      </x:c>
      <x:c r="E1170" t="str">
        <x:f>'Release Gates'!I1144</x:f>
        <x:v>OPEN</x:v>
      </x:c>
      <x:c r="F1170" t="str">
        <x:f>IF('Release Gates'!C1144="PLANNING","PASS",IF('Release Gates'!C1144="PHYSICAL","OPEN","BLOCKED"))</x:f>
        <x:v>OPEN</x:v>
      </x:c>
      <x:c r="G1170" t="str">
        <x:v>equals</x:v>
      </x:c>
      <x:c r="H1170" t="str">
        <x:f>IF(E1170=F1170,"PASS","FAIL")</x:f>
        <x:v>PASS</x:v>
      </x:c>
    </x:row>
    <x:row r="1171">
      <x:c r="B1171" t="str">
        <x:v>A-01139</x:v>
      </x:c>
      <x:c r="C1171" t="str">
        <x:v>GATE</x:v>
      </x:c>
      <x:c r="D1171" t="str">
        <x:v>release state mirrors governing ledger</x:v>
      </x:c>
      <x:c r="E1171" t="str">
        <x:f>'Release Gates'!I1145</x:f>
        <x:v>OPEN</x:v>
      </x:c>
      <x:c r="F1171" t="str">
        <x:f>IF('Release Gates'!C1145="PLANNING","PASS",IF('Release Gates'!C1145="PHYSICAL","OPEN","BLOCKED"))</x:f>
        <x:v>OPEN</x:v>
      </x:c>
      <x:c r="G1171" t="str">
        <x:v>equals</x:v>
      </x:c>
      <x:c r="H1171" t="str">
        <x:f>IF(E1171=F1171,"PASS","FAIL")</x:f>
        <x:v>PASS</x:v>
      </x:c>
    </x:row>
    <x:row r="1172">
      <x:c r="B1172" t="str">
        <x:v>A-01140</x:v>
      </x:c>
      <x:c r="C1172" t="str">
        <x:v>GATE</x:v>
      </x:c>
      <x:c r="D1172" t="str">
        <x:v>release state mirrors governing ledger</x:v>
      </x:c>
      <x:c r="E1172" t="str">
        <x:f>'Release Gates'!I1146</x:f>
        <x:v>OPEN</x:v>
      </x:c>
      <x:c r="F1172" t="str">
        <x:f>IF('Release Gates'!C1146="PLANNING","PASS",IF('Release Gates'!C1146="PHYSICAL","OPEN","BLOCKED"))</x:f>
        <x:v>OPEN</x:v>
      </x:c>
      <x:c r="G1172" t="str">
        <x:v>equals</x:v>
      </x:c>
      <x:c r="H1172" t="str">
        <x:f>IF(E1172=F1172,"PASS","FAIL")</x:f>
        <x:v>PASS</x:v>
      </x:c>
    </x:row>
    <x:row r="1173">
      <x:c r="B1173" t="str">
        <x:v>A-01141</x:v>
      </x:c>
      <x:c r="C1173" t="str">
        <x:v>GATE</x:v>
      </x:c>
      <x:c r="D1173" t="str">
        <x:v>release state mirrors governing ledger</x:v>
      </x:c>
      <x:c r="E1173" t="str">
        <x:f>'Release Gates'!I1147</x:f>
        <x:v>OPEN</x:v>
      </x:c>
      <x:c r="F1173" t="str">
        <x:f>IF('Release Gates'!C1147="PLANNING","PASS",IF('Release Gates'!C1147="PHYSICAL","OPEN","BLOCKED"))</x:f>
        <x:v>OPEN</x:v>
      </x:c>
      <x:c r="G1173" t="str">
        <x:v>equals</x:v>
      </x:c>
      <x:c r="H1173" t="str">
        <x:f>IF(E1173=F1173,"PASS","FAIL")</x:f>
        <x:v>PASS</x:v>
      </x:c>
    </x:row>
    <x:row r="1174">
      <x:c r="B1174" t="str">
        <x:v>A-01142</x:v>
      </x:c>
      <x:c r="C1174" t="str">
        <x:v>GATE</x:v>
      </x:c>
      <x:c r="D1174" t="str">
        <x:v>release state mirrors governing ledger</x:v>
      </x:c>
      <x:c r="E1174" t="str">
        <x:f>'Release Gates'!I1148</x:f>
        <x:v>OPEN</x:v>
      </x:c>
      <x:c r="F1174" t="str">
        <x:f>IF('Release Gates'!C1148="PLANNING","PASS",IF('Release Gates'!C1148="PHYSICAL","OPEN","BLOCKED"))</x:f>
        <x:v>OPEN</x:v>
      </x:c>
      <x:c r="G1174" t="str">
        <x:v>equals</x:v>
      </x:c>
      <x:c r="H1174" t="str">
        <x:f>IF(E1174=F1174,"PASS","FAIL")</x:f>
        <x:v>PASS</x:v>
      </x:c>
    </x:row>
    <x:row r="1175">
      <x:c r="B1175" t="str">
        <x:v>A-01143</x:v>
      </x:c>
      <x:c r="C1175" t="str">
        <x:v>GATE</x:v>
      </x:c>
      <x:c r="D1175" t="str">
        <x:v>release state mirrors governing ledger</x:v>
      </x:c>
      <x:c r="E1175" t="str">
        <x:f>'Release Gates'!I1149</x:f>
        <x:v>OPEN</x:v>
      </x:c>
      <x:c r="F1175" t="str">
        <x:f>IF('Release Gates'!C1149="PLANNING","PASS",IF('Release Gates'!C1149="PHYSICAL","OPEN","BLOCKED"))</x:f>
        <x:v>OPEN</x:v>
      </x:c>
      <x:c r="G1175" t="str">
        <x:v>equals</x:v>
      </x:c>
      <x:c r="H1175" t="str">
        <x:f>IF(E1175=F1175,"PASS","FAIL")</x:f>
        <x:v>PASS</x:v>
      </x:c>
    </x:row>
    <x:row r="1176">
      <x:c r="B1176" t="str">
        <x:v>A-01144</x:v>
      </x:c>
      <x:c r="C1176" t="str">
        <x:v>GATE</x:v>
      </x:c>
      <x:c r="D1176" t="str">
        <x:v>release state mirrors governing ledger</x:v>
      </x:c>
      <x:c r="E1176" t="str">
        <x:f>'Release Gates'!I1150</x:f>
        <x:v>OPEN</x:v>
      </x:c>
      <x:c r="F1176" t="str">
        <x:f>IF('Release Gates'!C1150="PLANNING","PASS",IF('Release Gates'!C1150="PHYSICAL","OPEN","BLOCKED"))</x:f>
        <x:v>OPEN</x:v>
      </x:c>
      <x:c r="G1176" t="str">
        <x:v>equals</x:v>
      </x:c>
      <x:c r="H1176" t="str">
        <x:f>IF(E1176=F1176,"PASS","FAIL")</x:f>
        <x:v>PASS</x:v>
      </x:c>
    </x:row>
    <x:row r="1177">
      <x:c r="B1177" t="str">
        <x:v>A-01145</x:v>
      </x:c>
      <x:c r="C1177" t="str">
        <x:v>GATE</x:v>
      </x:c>
      <x:c r="D1177" t="str">
        <x:v>release state mirrors governing ledger</x:v>
      </x:c>
      <x:c r="E1177" t="str">
        <x:f>'Release Gates'!I1151</x:f>
        <x:v>OPEN</x:v>
      </x:c>
      <x:c r="F1177" t="str">
        <x:f>IF('Release Gates'!C1151="PLANNING","PASS",IF('Release Gates'!C1151="PHYSICAL","OPEN","BLOCKED"))</x:f>
        <x:v>OPEN</x:v>
      </x:c>
      <x:c r="G1177" t="str">
        <x:v>equals</x:v>
      </x:c>
      <x:c r="H1177" t="str">
        <x:f>IF(E1177=F1177,"PASS","FAIL")</x:f>
        <x:v>PASS</x:v>
      </x:c>
    </x:row>
    <x:row r="1178">
      <x:c r="B1178" t="str">
        <x:v>A-01146</x:v>
      </x:c>
      <x:c r="C1178" t="str">
        <x:v>GATE</x:v>
      </x:c>
      <x:c r="D1178" t="str">
        <x:v>release state mirrors governing ledger</x:v>
      </x:c>
      <x:c r="E1178" t="str">
        <x:f>'Release Gates'!I1152</x:f>
        <x:v>OPEN</x:v>
      </x:c>
      <x:c r="F1178" t="str">
        <x:f>IF('Release Gates'!C1152="PLANNING","PASS",IF('Release Gates'!C1152="PHYSICAL","OPEN","BLOCKED"))</x:f>
        <x:v>OPEN</x:v>
      </x:c>
      <x:c r="G1178" t="str">
        <x:v>equals</x:v>
      </x:c>
      <x:c r="H1178" t="str">
        <x:f>IF(E1178=F1178,"PASS","FAIL")</x:f>
        <x:v>PASS</x:v>
      </x:c>
    </x:row>
    <x:row r="1179">
      <x:c r="B1179" t="str">
        <x:v>A-01147</x:v>
      </x:c>
      <x:c r="C1179" t="str">
        <x:v>GATE</x:v>
      </x:c>
      <x:c r="D1179" t="str">
        <x:v>release state mirrors governing ledger</x:v>
      </x:c>
      <x:c r="E1179" t="str">
        <x:f>'Release Gates'!I1153</x:f>
        <x:v>OPEN</x:v>
      </x:c>
      <x:c r="F1179" t="str">
        <x:f>IF('Release Gates'!C1153="PLANNING","PASS",IF('Release Gates'!C1153="PHYSICAL","OPEN","BLOCKED"))</x:f>
        <x:v>OPEN</x:v>
      </x:c>
      <x:c r="G1179" t="str">
        <x:v>equals</x:v>
      </x:c>
      <x:c r="H1179" t="str">
        <x:f>IF(E1179=F1179,"PASS","FAIL")</x:f>
        <x:v>PASS</x:v>
      </x:c>
    </x:row>
    <x:row r="1180">
      <x:c r="B1180" t="str">
        <x:v>A-01148</x:v>
      </x:c>
      <x:c r="C1180" t="str">
        <x:v>GATE</x:v>
      </x:c>
      <x:c r="D1180" t="str">
        <x:v>release state mirrors governing ledger</x:v>
      </x:c>
      <x:c r="E1180" t="str">
        <x:f>'Release Gates'!I1154</x:f>
        <x:v>OPEN</x:v>
      </x:c>
      <x:c r="F1180" t="str">
        <x:f>IF('Release Gates'!C1154="PLANNING","PASS",IF('Release Gates'!C1154="PHYSICAL","OPEN","BLOCKED"))</x:f>
        <x:v>OPEN</x:v>
      </x:c>
      <x:c r="G1180" t="str">
        <x:v>equals</x:v>
      </x:c>
      <x:c r="H1180" t="str">
        <x:f>IF(E1180=F1180,"PASS","FAIL")</x:f>
        <x:v>PASS</x:v>
      </x:c>
    </x:row>
    <x:row r="1181">
      <x:c r="B1181" t="str">
        <x:v>A-01149</x:v>
      </x:c>
      <x:c r="C1181" t="str">
        <x:v>GATE</x:v>
      </x:c>
      <x:c r="D1181" t="str">
        <x:v>release state mirrors governing ledger</x:v>
      </x:c>
      <x:c r="E1181" t="str">
        <x:f>'Release Gates'!I1155</x:f>
        <x:v>OPEN</x:v>
      </x:c>
      <x:c r="F1181" t="str">
        <x:f>IF('Release Gates'!C1155="PLANNING","PASS",IF('Release Gates'!C1155="PHYSICAL","OPEN","BLOCKED"))</x:f>
        <x:v>OPEN</x:v>
      </x:c>
      <x:c r="G1181" t="str">
        <x:v>equals</x:v>
      </x:c>
      <x:c r="H1181" t="str">
        <x:f>IF(E1181=F1181,"PASS","FAIL")</x:f>
        <x:v>PASS</x:v>
      </x:c>
    </x:row>
    <x:row r="1182">
      <x:c r="B1182" t="str">
        <x:v>A-01150</x:v>
      </x:c>
      <x:c r="C1182" t="str">
        <x:v>GATE</x:v>
      </x:c>
      <x:c r="D1182" t="str">
        <x:v>release state mirrors governing ledger</x:v>
      </x:c>
      <x:c r="E1182" t="str">
        <x:f>'Release Gates'!I1156</x:f>
        <x:v>OPEN</x:v>
      </x:c>
      <x:c r="F1182" t="str">
        <x:f>IF('Release Gates'!C1156="PLANNING","PASS",IF('Release Gates'!C1156="PHYSICAL","OPEN","BLOCKED"))</x:f>
        <x:v>OPEN</x:v>
      </x:c>
      <x:c r="G1182" t="str">
        <x:v>equals</x:v>
      </x:c>
      <x:c r="H1182" t="str">
        <x:f>IF(E1182=F1182,"PASS","FAIL")</x:f>
        <x:v>PASS</x:v>
      </x:c>
    </x:row>
    <x:row r="1183">
      <x:c r="B1183" t="str">
        <x:v>A-01151</x:v>
      </x:c>
      <x:c r="C1183" t="str">
        <x:v>GATE</x:v>
      </x:c>
      <x:c r="D1183" t="str">
        <x:v>release state mirrors governing ledger</x:v>
      </x:c>
      <x:c r="E1183" t="str">
        <x:f>'Release Gates'!I1157</x:f>
        <x:v>OPEN</x:v>
      </x:c>
      <x:c r="F1183" t="str">
        <x:f>IF('Release Gates'!C1157="PLANNING","PASS",IF('Release Gates'!C1157="PHYSICAL","OPEN","BLOCKED"))</x:f>
        <x:v>OPEN</x:v>
      </x:c>
      <x:c r="G1183" t="str">
        <x:v>equals</x:v>
      </x:c>
      <x:c r="H1183" t="str">
        <x:f>IF(E1183=F1183,"PASS","FAIL")</x:f>
        <x:v>PASS</x:v>
      </x:c>
    </x:row>
    <x:row r="1184">
      <x:c r="B1184" t="str">
        <x:v>A-01152</x:v>
      </x:c>
      <x:c r="C1184" t="str">
        <x:v>GATE</x:v>
      </x:c>
      <x:c r="D1184" t="str">
        <x:v>release state mirrors governing ledger</x:v>
      </x:c>
      <x:c r="E1184" t="str">
        <x:f>'Release Gates'!I1158</x:f>
        <x:v>OPEN</x:v>
      </x:c>
      <x:c r="F1184" t="str">
        <x:f>IF('Release Gates'!C1158="PLANNING","PASS",IF('Release Gates'!C1158="PHYSICAL","OPEN","BLOCKED"))</x:f>
        <x:v>OPEN</x:v>
      </x:c>
      <x:c r="G1184" t="str">
        <x:v>equals</x:v>
      </x:c>
      <x:c r="H1184" t="str">
        <x:f>IF(E1184=F1184,"PASS","FAIL")</x:f>
        <x:v>PASS</x:v>
      </x:c>
    </x:row>
    <x:row r="1185">
      <x:c r="B1185" t="str">
        <x:v>A-01153</x:v>
      </x:c>
      <x:c r="C1185" t="str">
        <x:v>GATE</x:v>
      </x:c>
      <x:c r="D1185" t="str">
        <x:v>release state mirrors governing ledger</x:v>
      </x:c>
      <x:c r="E1185" t="str">
        <x:f>'Release Gates'!I1159</x:f>
        <x:v>OPEN</x:v>
      </x:c>
      <x:c r="F1185" t="str">
        <x:f>IF('Release Gates'!C1159="PLANNING","PASS",IF('Release Gates'!C1159="PHYSICAL","OPEN","BLOCKED"))</x:f>
        <x:v>OPEN</x:v>
      </x:c>
      <x:c r="G1185" t="str">
        <x:v>equals</x:v>
      </x:c>
      <x:c r="H1185" t="str">
        <x:f>IF(E1185=F1185,"PASS","FAIL")</x:f>
        <x:v>PASS</x:v>
      </x:c>
    </x:row>
    <x:row r="1186">
      <x:c r="B1186" t="str">
        <x:v>A-01154</x:v>
      </x:c>
      <x:c r="C1186" t="str">
        <x:v>GATE</x:v>
      </x:c>
      <x:c r="D1186" t="str">
        <x:v>release state mirrors governing ledger</x:v>
      </x:c>
      <x:c r="E1186" t="str">
        <x:f>'Release Gates'!I1160</x:f>
        <x:v>OPEN</x:v>
      </x:c>
      <x:c r="F1186" t="str">
        <x:f>IF('Release Gates'!C1160="PLANNING","PASS",IF('Release Gates'!C1160="PHYSICAL","OPEN","BLOCKED"))</x:f>
        <x:v>OPEN</x:v>
      </x:c>
      <x:c r="G1186" t="str">
        <x:v>equals</x:v>
      </x:c>
      <x:c r="H1186" t="str">
        <x:f>IF(E1186=F1186,"PASS","FAIL")</x:f>
        <x:v>PASS</x:v>
      </x:c>
    </x:row>
    <x:row r="1187">
      <x:c r="B1187" t="str">
        <x:v>A-01155</x:v>
      </x:c>
      <x:c r="C1187" t="str">
        <x:v>GATE</x:v>
      </x:c>
      <x:c r="D1187" t="str">
        <x:v>release state mirrors governing ledger</x:v>
      </x:c>
      <x:c r="E1187" t="str">
        <x:f>'Release Gates'!I1161</x:f>
        <x:v>OPEN</x:v>
      </x:c>
      <x:c r="F1187" t="str">
        <x:f>IF('Release Gates'!C1161="PLANNING","PASS",IF('Release Gates'!C1161="PHYSICAL","OPEN","BLOCKED"))</x:f>
        <x:v>OPEN</x:v>
      </x:c>
      <x:c r="G1187" t="str">
        <x:v>equals</x:v>
      </x:c>
      <x:c r="H1187" t="str">
        <x:f>IF(E1187=F1187,"PASS","FAIL")</x:f>
        <x:v>PASS</x:v>
      </x:c>
    </x:row>
    <x:row r="1188">
      <x:c r="B1188" t="str">
        <x:v>A-01156</x:v>
      </x:c>
      <x:c r="C1188" t="str">
        <x:v>GATE</x:v>
      </x:c>
      <x:c r="D1188" t="str">
        <x:v>release state mirrors governing ledger</x:v>
      </x:c>
      <x:c r="E1188" t="str">
        <x:f>'Release Gates'!I1162</x:f>
        <x:v>OPEN</x:v>
      </x:c>
      <x:c r="F1188" t="str">
        <x:f>IF('Release Gates'!C1162="PLANNING","PASS",IF('Release Gates'!C1162="PHYSICAL","OPEN","BLOCKED"))</x:f>
        <x:v>OPEN</x:v>
      </x:c>
      <x:c r="G1188" t="str">
        <x:v>equals</x:v>
      </x:c>
      <x:c r="H1188" t="str">
        <x:f>IF(E1188=F1188,"PASS","FAIL")</x:f>
        <x:v>PASS</x:v>
      </x:c>
    </x:row>
    <x:row r="1189">
      <x:c r="B1189" t="str">
        <x:v>A-01157</x:v>
      </x:c>
      <x:c r="C1189" t="str">
        <x:v>GATE</x:v>
      </x:c>
      <x:c r="D1189" t="str">
        <x:v>release state mirrors governing ledger</x:v>
      </x:c>
      <x:c r="E1189" t="str">
        <x:f>'Release Gates'!I1163</x:f>
        <x:v>OPEN</x:v>
      </x:c>
      <x:c r="F1189" t="str">
        <x:f>IF('Release Gates'!C1163="PLANNING","PASS",IF('Release Gates'!C1163="PHYSICAL","OPEN","BLOCKED"))</x:f>
        <x:v>OPEN</x:v>
      </x:c>
      <x:c r="G1189" t="str">
        <x:v>equals</x:v>
      </x:c>
      <x:c r="H1189" t="str">
        <x:f>IF(E1189=F1189,"PASS","FAIL")</x:f>
        <x:v>PASS</x:v>
      </x:c>
    </x:row>
    <x:row r="1190">
      <x:c r="B1190" t="str">
        <x:v>A-01158</x:v>
      </x:c>
      <x:c r="C1190" t="str">
        <x:v>GATE</x:v>
      </x:c>
      <x:c r="D1190" t="str">
        <x:v>release state mirrors governing ledger</x:v>
      </x:c>
      <x:c r="E1190" t="str">
        <x:f>'Release Gates'!I1164</x:f>
        <x:v>OPEN</x:v>
      </x:c>
      <x:c r="F1190" t="str">
        <x:f>IF('Release Gates'!C1164="PLANNING","PASS",IF('Release Gates'!C1164="PHYSICAL","OPEN","BLOCKED"))</x:f>
        <x:v>OPEN</x:v>
      </x:c>
      <x:c r="G1190" t="str">
        <x:v>equals</x:v>
      </x:c>
      <x:c r="H1190" t="str">
        <x:f>IF(E1190=F1190,"PASS","FAIL")</x:f>
        <x:v>PASS</x:v>
      </x:c>
    </x:row>
    <x:row r="1191">
      <x:c r="B1191" t="str">
        <x:v>A-01159</x:v>
      </x:c>
      <x:c r="C1191" t="str">
        <x:v>GATE</x:v>
      </x:c>
      <x:c r="D1191" t="str">
        <x:v>release state mirrors governing ledger</x:v>
      </x:c>
      <x:c r="E1191" t="str">
        <x:f>'Release Gates'!I1165</x:f>
        <x:v>OPEN</x:v>
      </x:c>
      <x:c r="F1191" t="str">
        <x:f>IF('Release Gates'!C1165="PLANNING","PASS",IF('Release Gates'!C1165="PHYSICAL","OPEN","BLOCKED"))</x:f>
        <x:v>OPEN</x:v>
      </x:c>
      <x:c r="G1191" t="str">
        <x:v>equals</x:v>
      </x:c>
      <x:c r="H1191" t="str">
        <x:f>IF(E1191=F1191,"PASS","FAIL")</x:f>
        <x:v>PASS</x:v>
      </x:c>
    </x:row>
    <x:row r="1192">
      <x:c r="B1192" t="str">
        <x:v>A-01160</x:v>
      </x:c>
      <x:c r="C1192" t="str">
        <x:v>GATE</x:v>
      </x:c>
      <x:c r="D1192" t="str">
        <x:v>release state mirrors governing ledger</x:v>
      </x:c>
      <x:c r="E1192" t="str">
        <x:f>'Release Gates'!I1166</x:f>
        <x:v>OPEN</x:v>
      </x:c>
      <x:c r="F1192" t="str">
        <x:f>IF('Release Gates'!C1166="PLANNING","PASS",IF('Release Gates'!C1166="PHYSICAL","OPEN","BLOCKED"))</x:f>
        <x:v>OPEN</x:v>
      </x:c>
      <x:c r="G1192" t="str">
        <x:v>equals</x:v>
      </x:c>
      <x:c r="H1192" t="str">
        <x:f>IF(E1192=F1192,"PASS","FAIL")</x:f>
        <x:v>PASS</x:v>
      </x:c>
    </x:row>
    <x:row r="1193">
      <x:c r="B1193" t="str">
        <x:v>A-01161</x:v>
      </x:c>
      <x:c r="C1193" t="str">
        <x:v>GATE</x:v>
      </x:c>
      <x:c r="D1193" t="str">
        <x:v>release state mirrors governing ledger</x:v>
      </x:c>
      <x:c r="E1193" t="str">
        <x:f>'Release Gates'!I1167</x:f>
        <x:v>OPEN</x:v>
      </x:c>
      <x:c r="F1193" t="str">
        <x:f>IF('Release Gates'!C1167="PLANNING","PASS",IF('Release Gates'!C1167="PHYSICAL","OPEN","BLOCKED"))</x:f>
        <x:v>OPEN</x:v>
      </x:c>
      <x:c r="G1193" t="str">
        <x:v>equals</x:v>
      </x:c>
      <x:c r="H1193" t="str">
        <x:f>IF(E1193=F1193,"PASS","FAIL")</x:f>
        <x:v>PASS</x:v>
      </x:c>
    </x:row>
    <x:row r="1194">
      <x:c r="B1194" t="str">
        <x:v>A-01162</x:v>
      </x:c>
      <x:c r="C1194" t="str">
        <x:v>GATE</x:v>
      </x:c>
      <x:c r="D1194" t="str">
        <x:v>release state mirrors governing ledger</x:v>
      </x:c>
      <x:c r="E1194" t="str">
        <x:f>'Release Gates'!I1168</x:f>
        <x:v>OPEN</x:v>
      </x:c>
      <x:c r="F1194" t="str">
        <x:f>IF('Release Gates'!C1168="PLANNING","PASS",IF('Release Gates'!C1168="PHYSICAL","OPEN","BLOCKED"))</x:f>
        <x:v>OPEN</x:v>
      </x:c>
      <x:c r="G1194" t="str">
        <x:v>equals</x:v>
      </x:c>
      <x:c r="H1194" t="str">
        <x:f>IF(E1194=F1194,"PASS","FAIL")</x:f>
        <x:v>PASS</x:v>
      </x:c>
    </x:row>
    <x:row r="1195">
      <x:c r="B1195" t="str">
        <x:v>A-01163</x:v>
      </x:c>
      <x:c r="C1195" t="str">
        <x:v>GATE</x:v>
      </x:c>
      <x:c r="D1195" t="str">
        <x:v>release state mirrors governing ledger</x:v>
      </x:c>
      <x:c r="E1195" t="str">
        <x:f>'Release Gates'!I1169</x:f>
        <x:v>OPEN</x:v>
      </x:c>
      <x:c r="F1195" t="str">
        <x:f>IF('Release Gates'!C1169="PLANNING","PASS",IF('Release Gates'!C1169="PHYSICAL","OPEN","BLOCKED"))</x:f>
        <x:v>OPEN</x:v>
      </x:c>
      <x:c r="G1195" t="str">
        <x:v>equals</x:v>
      </x:c>
      <x:c r="H1195" t="str">
        <x:f>IF(E1195=F1195,"PASS","FAIL")</x:f>
        <x:v>PASS</x:v>
      </x:c>
    </x:row>
    <x:row r="1196">
      <x:c r="B1196" t="str">
        <x:v>A-01164</x:v>
      </x:c>
      <x:c r="C1196" t="str">
        <x:v>GATE</x:v>
      </x:c>
      <x:c r="D1196" t="str">
        <x:v>release state mirrors governing ledger</x:v>
      </x:c>
      <x:c r="E1196" t="str">
        <x:f>'Release Gates'!I1170</x:f>
        <x:v>OPEN</x:v>
      </x:c>
      <x:c r="F1196" t="str">
        <x:f>IF('Release Gates'!C1170="PLANNING","PASS",IF('Release Gates'!C1170="PHYSICAL","OPEN","BLOCKED"))</x:f>
        <x:v>OPEN</x:v>
      </x:c>
      <x:c r="G1196" t="str">
        <x:v>equals</x:v>
      </x:c>
      <x:c r="H1196" t="str">
        <x:f>IF(E1196=F1196,"PASS","FAIL")</x:f>
        <x:v>PASS</x:v>
      </x:c>
    </x:row>
    <x:row r="1197">
      <x:c r="B1197" t="str">
        <x:v>A-01165</x:v>
      </x:c>
      <x:c r="C1197" t="str">
        <x:v>GATE</x:v>
      </x:c>
      <x:c r="D1197" t="str">
        <x:v>release state mirrors governing ledger</x:v>
      </x:c>
      <x:c r="E1197" t="str">
        <x:f>'Release Gates'!I1171</x:f>
        <x:v>OPEN</x:v>
      </x:c>
      <x:c r="F1197" t="str">
        <x:f>IF('Release Gates'!C1171="PLANNING","PASS",IF('Release Gates'!C1171="PHYSICAL","OPEN","BLOCKED"))</x:f>
        <x:v>OPEN</x:v>
      </x:c>
      <x:c r="G1197" t="str">
        <x:v>equals</x:v>
      </x:c>
      <x:c r="H1197" t="str">
        <x:f>IF(E1197=F1197,"PASS","FAIL")</x:f>
        <x:v>PASS</x:v>
      </x:c>
    </x:row>
    <x:row r="1198">
      <x:c r="B1198" t="str">
        <x:v>A-01166</x:v>
      </x:c>
      <x:c r="C1198" t="str">
        <x:v>GATE</x:v>
      </x:c>
      <x:c r="D1198" t="str">
        <x:v>release state mirrors governing ledger</x:v>
      </x:c>
      <x:c r="E1198" t="str">
        <x:f>'Release Gates'!I1172</x:f>
        <x:v>OPEN</x:v>
      </x:c>
      <x:c r="F1198" t="str">
        <x:f>IF('Release Gates'!C1172="PLANNING","PASS",IF('Release Gates'!C1172="PHYSICAL","OPEN","BLOCKED"))</x:f>
        <x:v>OPEN</x:v>
      </x:c>
      <x:c r="G1198" t="str">
        <x:v>equals</x:v>
      </x:c>
      <x:c r="H1198" t="str">
        <x:f>IF(E1198=F1198,"PASS","FAIL")</x:f>
        <x:v>PASS</x:v>
      </x:c>
    </x:row>
    <x:row r="1199">
      <x:c r="B1199" t="str">
        <x:v>A-01167</x:v>
      </x:c>
      <x:c r="C1199" t="str">
        <x:v>GATE</x:v>
      </x:c>
      <x:c r="D1199" t="str">
        <x:v>release state mirrors governing ledger</x:v>
      </x:c>
      <x:c r="E1199" t="str">
        <x:f>'Release Gates'!I1173</x:f>
        <x:v>OPEN</x:v>
      </x:c>
      <x:c r="F1199" t="str">
        <x:f>IF('Release Gates'!C1173="PLANNING","PASS",IF('Release Gates'!C1173="PHYSICAL","OPEN","BLOCKED"))</x:f>
        <x:v>OPEN</x:v>
      </x:c>
      <x:c r="G1199" t="str">
        <x:v>equals</x:v>
      </x:c>
      <x:c r="H1199" t="str">
        <x:f>IF(E1199=F1199,"PASS","FAIL")</x:f>
        <x:v>PASS</x:v>
      </x:c>
    </x:row>
    <x:row r="1200">
      <x:c r="B1200" t="str">
        <x:v>A-01168</x:v>
      </x:c>
      <x:c r="C1200" t="str">
        <x:v>GATE</x:v>
      </x:c>
      <x:c r="D1200" t="str">
        <x:v>release state mirrors governing ledger</x:v>
      </x:c>
      <x:c r="E1200" t="str">
        <x:f>'Release Gates'!I1174</x:f>
        <x:v>OPEN</x:v>
      </x:c>
      <x:c r="F1200" t="str">
        <x:f>IF('Release Gates'!C1174="PLANNING","PASS",IF('Release Gates'!C1174="PHYSICAL","OPEN","BLOCKED"))</x:f>
        <x:v>OPEN</x:v>
      </x:c>
      <x:c r="G1200" t="str">
        <x:v>equals</x:v>
      </x:c>
      <x:c r="H1200" t="str">
        <x:f>IF(E1200=F1200,"PASS","FAIL")</x:f>
        <x:v>PASS</x:v>
      </x:c>
    </x:row>
    <x:row r="1201">
      <x:c r="B1201" t="str">
        <x:v>A-01169</x:v>
      </x:c>
      <x:c r="C1201" t="str">
        <x:v>GATE</x:v>
      </x:c>
      <x:c r="D1201" t="str">
        <x:v>release state mirrors governing ledger</x:v>
      </x:c>
      <x:c r="E1201" t="str">
        <x:f>'Release Gates'!I1175</x:f>
        <x:v>OPEN</x:v>
      </x:c>
      <x:c r="F1201" t="str">
        <x:f>IF('Release Gates'!C1175="PLANNING","PASS",IF('Release Gates'!C1175="PHYSICAL","OPEN","BLOCKED"))</x:f>
        <x:v>OPEN</x:v>
      </x:c>
      <x:c r="G1201" t="str">
        <x:v>equals</x:v>
      </x:c>
      <x:c r="H1201" t="str">
        <x:f>IF(E1201=F1201,"PASS","FAIL")</x:f>
        <x:v>PASS</x:v>
      </x:c>
    </x:row>
    <x:row r="1202">
      <x:c r="B1202" t="str">
        <x:v>A-01170</x:v>
      </x:c>
      <x:c r="C1202" t="str">
        <x:v>GATE</x:v>
      </x:c>
      <x:c r="D1202" t="str">
        <x:v>release state mirrors governing ledger</x:v>
      </x:c>
      <x:c r="E1202" t="str">
        <x:f>'Release Gates'!I1176</x:f>
        <x:v>OPEN</x:v>
      </x:c>
      <x:c r="F1202" t="str">
        <x:f>IF('Release Gates'!C1176="PLANNING","PASS",IF('Release Gates'!C1176="PHYSICAL","OPEN","BLOCKED"))</x:f>
        <x:v>OPEN</x:v>
      </x:c>
      <x:c r="G1202" t="str">
        <x:v>equals</x:v>
      </x:c>
      <x:c r="H1202" t="str">
        <x:f>IF(E1202=F1202,"PASS","FAIL")</x:f>
        <x:v>PASS</x:v>
      </x:c>
    </x:row>
    <x:row r="1203">
      <x:c r="B1203" t="str">
        <x:v>A-01171</x:v>
      </x:c>
      <x:c r="C1203" t="str">
        <x:v>GATE</x:v>
      </x:c>
      <x:c r="D1203" t="str">
        <x:v>release state mirrors governing ledger</x:v>
      </x:c>
      <x:c r="E1203" t="str">
        <x:f>'Release Gates'!I1177</x:f>
        <x:v>OPEN</x:v>
      </x:c>
      <x:c r="F1203" t="str">
        <x:f>IF('Release Gates'!C1177="PLANNING","PASS",IF('Release Gates'!C1177="PHYSICAL","OPEN","BLOCKED"))</x:f>
        <x:v>OPEN</x:v>
      </x:c>
      <x:c r="G1203" t="str">
        <x:v>equals</x:v>
      </x:c>
      <x:c r="H1203" t="str">
        <x:f>IF(E1203=F1203,"PASS","FAIL")</x:f>
        <x:v>PASS</x:v>
      </x:c>
    </x:row>
    <x:row r="1204">
      <x:c r="B1204" t="str">
        <x:v>A-01172</x:v>
      </x:c>
      <x:c r="C1204" t="str">
        <x:v>GATE</x:v>
      </x:c>
      <x:c r="D1204" t="str">
        <x:v>release state mirrors governing ledger</x:v>
      </x:c>
      <x:c r="E1204" t="str">
        <x:f>'Release Gates'!I1178</x:f>
        <x:v>OPEN</x:v>
      </x:c>
      <x:c r="F1204" t="str">
        <x:f>IF('Release Gates'!C1178="PLANNING","PASS",IF('Release Gates'!C1178="PHYSICAL","OPEN","BLOCKED"))</x:f>
        <x:v>OPEN</x:v>
      </x:c>
      <x:c r="G1204" t="str">
        <x:v>equals</x:v>
      </x:c>
      <x:c r="H1204" t="str">
        <x:f>IF(E1204=F1204,"PASS","FAIL")</x:f>
        <x:v>PASS</x:v>
      </x:c>
    </x:row>
    <x:row r="1205">
      <x:c r="B1205" t="str">
        <x:v>A-01173</x:v>
      </x:c>
      <x:c r="C1205" t="str">
        <x:v>GATE</x:v>
      </x:c>
      <x:c r="D1205" t="str">
        <x:v>release state mirrors governing ledger</x:v>
      </x:c>
      <x:c r="E1205" t="str">
        <x:f>'Release Gates'!I1179</x:f>
        <x:v>OPEN</x:v>
      </x:c>
      <x:c r="F1205" t="str">
        <x:f>IF('Release Gates'!C1179="PLANNING","PASS",IF('Release Gates'!C1179="PHYSICAL","OPEN","BLOCKED"))</x:f>
        <x:v>OPEN</x:v>
      </x:c>
      <x:c r="G1205" t="str">
        <x:v>equals</x:v>
      </x:c>
      <x:c r="H1205" t="str">
        <x:f>IF(E1205=F1205,"PASS","FAIL")</x:f>
        <x:v>PASS</x:v>
      </x:c>
    </x:row>
    <x:row r="1206">
      <x:c r="B1206" t="str">
        <x:v>A-01174</x:v>
      </x:c>
      <x:c r="C1206" t="str">
        <x:v>GATE</x:v>
      </x:c>
      <x:c r="D1206" t="str">
        <x:v>release state mirrors governing ledger</x:v>
      </x:c>
      <x:c r="E1206" t="str">
        <x:f>'Release Gates'!I1180</x:f>
        <x:v>OPEN</x:v>
      </x:c>
      <x:c r="F1206" t="str">
        <x:f>IF('Release Gates'!C1180="PLANNING","PASS",IF('Release Gates'!C1180="PHYSICAL","OPEN","BLOCKED"))</x:f>
        <x:v>OPEN</x:v>
      </x:c>
      <x:c r="G1206" t="str">
        <x:v>equals</x:v>
      </x:c>
      <x:c r="H1206" t="str">
        <x:f>IF(E1206=F1206,"PASS","FAIL")</x:f>
        <x:v>PASS</x:v>
      </x:c>
    </x:row>
    <x:row r="1207">
      <x:c r="B1207" t="str">
        <x:v>A-01175</x:v>
      </x:c>
      <x:c r="C1207" t="str">
        <x:v>GATE</x:v>
      </x:c>
      <x:c r="D1207" t="str">
        <x:v>release state mirrors governing ledger</x:v>
      </x:c>
      <x:c r="E1207" t="str">
        <x:f>'Release Gates'!I1181</x:f>
        <x:v>OPEN</x:v>
      </x:c>
      <x:c r="F1207" t="str">
        <x:f>IF('Release Gates'!C1181="PLANNING","PASS",IF('Release Gates'!C1181="PHYSICAL","OPEN","BLOCKED"))</x:f>
        <x:v>OPEN</x:v>
      </x:c>
      <x:c r="G1207" t="str">
        <x:v>equals</x:v>
      </x:c>
      <x:c r="H1207" t="str">
        <x:f>IF(E1207=F1207,"PASS","FAIL")</x:f>
        <x:v>PASS</x:v>
      </x:c>
    </x:row>
    <x:row r="1208">
      <x:c r="B1208" t="str">
        <x:v>A-01176</x:v>
      </x:c>
      <x:c r="C1208" t="str">
        <x:v>GATE</x:v>
      </x:c>
      <x:c r="D1208" t="str">
        <x:v>release state mirrors governing ledger</x:v>
      </x:c>
      <x:c r="E1208" t="str">
        <x:f>'Release Gates'!I1182</x:f>
        <x:v>OPEN</x:v>
      </x:c>
      <x:c r="F1208" t="str">
        <x:f>IF('Release Gates'!C1182="PLANNING","PASS",IF('Release Gates'!C1182="PHYSICAL","OPEN","BLOCKED"))</x:f>
        <x:v>OPEN</x:v>
      </x:c>
      <x:c r="G1208" t="str">
        <x:v>equals</x:v>
      </x:c>
      <x:c r="H1208" t="str">
        <x:f>IF(E1208=F1208,"PASS","FAIL")</x:f>
        <x:v>PASS</x:v>
      </x:c>
    </x:row>
    <x:row r="1209">
      <x:c r="B1209" t="str">
        <x:v>A-01177</x:v>
      </x:c>
      <x:c r="C1209" t="str">
        <x:v>GATE</x:v>
      </x:c>
      <x:c r="D1209" t="str">
        <x:v>release state mirrors governing ledger</x:v>
      </x:c>
      <x:c r="E1209" t="str">
        <x:f>'Release Gates'!I1183</x:f>
        <x:v>OPEN</x:v>
      </x:c>
      <x:c r="F1209" t="str">
        <x:f>IF('Release Gates'!C1183="PLANNING","PASS",IF('Release Gates'!C1183="PHYSICAL","OPEN","BLOCKED"))</x:f>
        <x:v>OPEN</x:v>
      </x:c>
      <x:c r="G1209" t="str">
        <x:v>equals</x:v>
      </x:c>
      <x:c r="H1209" t="str">
        <x:f>IF(E1209=F1209,"PASS","FAIL")</x:f>
        <x:v>PASS</x:v>
      </x:c>
    </x:row>
    <x:row r="1210">
      <x:c r="B1210" t="str">
        <x:v>A-01178</x:v>
      </x:c>
      <x:c r="C1210" t="str">
        <x:v>GATE</x:v>
      </x:c>
      <x:c r="D1210" t="str">
        <x:v>release state mirrors governing ledger</x:v>
      </x:c>
      <x:c r="E1210" t="str">
        <x:f>'Release Gates'!I1184</x:f>
        <x:v>OPEN</x:v>
      </x:c>
      <x:c r="F1210" t="str">
        <x:f>IF('Release Gates'!C1184="PLANNING","PASS",IF('Release Gates'!C1184="PHYSICAL","OPEN","BLOCKED"))</x:f>
        <x:v>OPEN</x:v>
      </x:c>
      <x:c r="G1210" t="str">
        <x:v>equals</x:v>
      </x:c>
      <x:c r="H1210" t="str">
        <x:f>IF(E1210=F1210,"PASS","FAIL")</x:f>
        <x:v>PASS</x:v>
      </x:c>
    </x:row>
    <x:row r="1211">
      <x:c r="B1211" t="str">
        <x:v>A-01179</x:v>
      </x:c>
      <x:c r="C1211" t="str">
        <x:v>GATE</x:v>
      </x:c>
      <x:c r="D1211" t="str">
        <x:v>release state mirrors governing ledger</x:v>
      </x:c>
      <x:c r="E1211" t="str">
        <x:f>'Release Gates'!I1185</x:f>
        <x:v>OPEN</x:v>
      </x:c>
      <x:c r="F1211" t="str">
        <x:f>IF('Release Gates'!C1185="PLANNING","PASS",IF('Release Gates'!C1185="PHYSICAL","OPEN","BLOCKED"))</x:f>
        <x:v>OPEN</x:v>
      </x:c>
      <x:c r="G1211" t="str">
        <x:v>equals</x:v>
      </x:c>
      <x:c r="H1211" t="str">
        <x:f>IF(E1211=F1211,"PASS","FAIL")</x:f>
        <x:v>PASS</x:v>
      </x:c>
    </x:row>
    <x:row r="1212">
      <x:c r="B1212" t="str">
        <x:v>A-01180</x:v>
      </x:c>
      <x:c r="C1212" t="str">
        <x:v>GATE</x:v>
      </x:c>
      <x:c r="D1212" t="str">
        <x:v>release state mirrors governing ledger</x:v>
      </x:c>
      <x:c r="E1212" t="str">
        <x:f>'Release Gates'!I1186</x:f>
        <x:v>OPEN</x:v>
      </x:c>
      <x:c r="F1212" t="str">
        <x:f>IF('Release Gates'!C1186="PLANNING","PASS",IF('Release Gates'!C1186="PHYSICAL","OPEN","BLOCKED"))</x:f>
        <x:v>OPEN</x:v>
      </x:c>
      <x:c r="G1212" t="str">
        <x:v>equals</x:v>
      </x:c>
      <x:c r="H1212" t="str">
        <x:f>IF(E1212=F1212,"PASS","FAIL")</x:f>
        <x:v>PASS</x:v>
      </x:c>
    </x:row>
    <x:row r="1213">
      <x:c r="B1213" t="str">
        <x:v>A-01181</x:v>
      </x:c>
      <x:c r="C1213" t="str">
        <x:v>GATE</x:v>
      </x:c>
      <x:c r="D1213" t="str">
        <x:v>release state mirrors governing ledger</x:v>
      </x:c>
      <x:c r="E1213" t="str">
        <x:f>'Release Gates'!I1187</x:f>
        <x:v>OPEN</x:v>
      </x:c>
      <x:c r="F1213" t="str">
        <x:f>IF('Release Gates'!C1187="PLANNING","PASS",IF('Release Gates'!C1187="PHYSICAL","OPEN","BLOCKED"))</x:f>
        <x:v>OPEN</x:v>
      </x:c>
      <x:c r="G1213" t="str">
        <x:v>equals</x:v>
      </x:c>
      <x:c r="H1213" t="str">
        <x:f>IF(E1213=F1213,"PASS","FAIL")</x:f>
        <x:v>PASS</x:v>
      </x:c>
    </x:row>
    <x:row r="1214">
      <x:c r="B1214" t="str">
        <x:v>A-01182</x:v>
      </x:c>
      <x:c r="C1214" t="str">
        <x:v>GATE</x:v>
      </x:c>
      <x:c r="D1214" t="str">
        <x:v>release state mirrors governing ledger</x:v>
      </x:c>
      <x:c r="E1214" t="str">
        <x:f>'Release Gates'!I1188</x:f>
        <x:v>OPEN</x:v>
      </x:c>
      <x:c r="F1214" t="str">
        <x:f>IF('Release Gates'!C1188="PLANNING","PASS",IF('Release Gates'!C1188="PHYSICAL","OPEN","BLOCKED"))</x:f>
        <x:v>OPEN</x:v>
      </x:c>
      <x:c r="G1214" t="str">
        <x:v>equals</x:v>
      </x:c>
      <x:c r="H1214" t="str">
        <x:f>IF(E1214=F1214,"PASS","FAIL")</x:f>
        <x:v>PASS</x:v>
      </x:c>
    </x:row>
    <x:row r="1215">
      <x:c r="B1215" t="str">
        <x:v>A-01183</x:v>
      </x:c>
      <x:c r="C1215" t="str">
        <x:v>GATE</x:v>
      </x:c>
      <x:c r="D1215" t="str">
        <x:v>release state mirrors governing ledger</x:v>
      </x:c>
      <x:c r="E1215" t="str">
        <x:f>'Release Gates'!I1189</x:f>
        <x:v>OPEN</x:v>
      </x:c>
      <x:c r="F1215" t="str">
        <x:f>IF('Release Gates'!C1189="PLANNING","PASS",IF('Release Gates'!C1189="PHYSICAL","OPEN","BLOCKED"))</x:f>
        <x:v>OPEN</x:v>
      </x:c>
      <x:c r="G1215" t="str">
        <x:v>equals</x:v>
      </x:c>
      <x:c r="H1215" t="str">
        <x:f>IF(E1215=F1215,"PASS","FAIL")</x:f>
        <x:v>PASS</x:v>
      </x:c>
    </x:row>
    <x:row r="1216">
      <x:c r="B1216" t="str">
        <x:v>A-01184</x:v>
      </x:c>
      <x:c r="C1216" t="str">
        <x:v>GATE</x:v>
      </x:c>
      <x:c r="D1216" t="str">
        <x:v>release state mirrors governing ledger</x:v>
      </x:c>
      <x:c r="E1216" t="str">
        <x:f>'Release Gates'!I1190</x:f>
        <x:v>OPEN</x:v>
      </x:c>
      <x:c r="F1216" t="str">
        <x:f>IF('Release Gates'!C1190="PLANNING","PASS",IF('Release Gates'!C1190="PHYSICAL","OPEN","BLOCKED"))</x:f>
        <x:v>OPEN</x:v>
      </x:c>
      <x:c r="G1216" t="str">
        <x:v>equals</x:v>
      </x:c>
      <x:c r="H1216" t="str">
        <x:f>IF(E1216=F1216,"PASS","FAIL")</x:f>
        <x:v>PASS</x:v>
      </x:c>
    </x:row>
    <x:row r="1217">
      <x:c r="B1217" t="str">
        <x:v>A-01185</x:v>
      </x:c>
      <x:c r="C1217" t="str">
        <x:v>GATE</x:v>
      </x:c>
      <x:c r="D1217" t="str">
        <x:v>release state mirrors governing ledger</x:v>
      </x:c>
      <x:c r="E1217" t="str">
        <x:f>'Release Gates'!I1191</x:f>
        <x:v>OPEN</x:v>
      </x:c>
      <x:c r="F1217" t="str">
        <x:f>IF('Release Gates'!C1191="PLANNING","PASS",IF('Release Gates'!C1191="PHYSICAL","OPEN","BLOCKED"))</x:f>
        <x:v>OPEN</x:v>
      </x:c>
      <x:c r="G1217" t="str">
        <x:v>equals</x:v>
      </x:c>
      <x:c r="H1217" t="str">
        <x:f>IF(E1217=F1217,"PASS","FAIL")</x:f>
        <x:v>PASS</x:v>
      </x:c>
    </x:row>
    <x:row r="1218">
      <x:c r="B1218" t="str">
        <x:v>A-01186</x:v>
      </x:c>
      <x:c r="C1218" t="str">
        <x:v>GATE</x:v>
      </x:c>
      <x:c r="D1218" t="str">
        <x:v>release state mirrors governing ledger</x:v>
      </x:c>
      <x:c r="E1218" t="str">
        <x:f>'Release Gates'!I1192</x:f>
        <x:v>OPEN</x:v>
      </x:c>
      <x:c r="F1218" t="str">
        <x:f>IF('Release Gates'!C1192="PLANNING","PASS",IF('Release Gates'!C1192="PHYSICAL","OPEN","BLOCKED"))</x:f>
        <x:v>OPEN</x:v>
      </x:c>
      <x:c r="G1218" t="str">
        <x:v>equals</x:v>
      </x:c>
      <x:c r="H1218" t="str">
        <x:f>IF(E1218=F1218,"PASS","FAIL")</x:f>
        <x:v>PASS</x:v>
      </x:c>
    </x:row>
    <x:row r="1219">
      <x:c r="B1219" t="str">
        <x:v>A-01187</x:v>
      </x:c>
      <x:c r="C1219" t="str">
        <x:v>GATE</x:v>
      </x:c>
      <x:c r="D1219" t="str">
        <x:v>release state mirrors governing ledger</x:v>
      </x:c>
      <x:c r="E1219" t="str">
        <x:f>'Release Gates'!I1193</x:f>
        <x:v>OPEN</x:v>
      </x:c>
      <x:c r="F1219" t="str">
        <x:f>IF('Release Gates'!C1193="PLANNING","PASS",IF('Release Gates'!C1193="PHYSICAL","OPEN","BLOCKED"))</x:f>
        <x:v>OPEN</x:v>
      </x:c>
      <x:c r="G1219" t="str">
        <x:v>equals</x:v>
      </x:c>
      <x:c r="H1219" t="str">
        <x:f>IF(E1219=F1219,"PASS","FAIL")</x:f>
        <x:v>PASS</x:v>
      </x:c>
    </x:row>
    <x:row r="1220">
      <x:c r="B1220" t="str">
        <x:v>A-01188</x:v>
      </x:c>
      <x:c r="C1220" t="str">
        <x:v>GATE</x:v>
      </x:c>
      <x:c r="D1220" t="str">
        <x:v>release state mirrors governing ledger</x:v>
      </x:c>
      <x:c r="E1220" t="str">
        <x:f>'Release Gates'!I1194</x:f>
        <x:v>OPEN</x:v>
      </x:c>
      <x:c r="F1220" t="str">
        <x:f>IF('Release Gates'!C1194="PLANNING","PASS",IF('Release Gates'!C1194="PHYSICAL","OPEN","BLOCKED"))</x:f>
        <x:v>OPEN</x:v>
      </x:c>
      <x:c r="G1220" t="str">
        <x:v>equals</x:v>
      </x:c>
      <x:c r="H1220" t="str">
        <x:f>IF(E1220=F1220,"PASS","FAIL")</x:f>
        <x:v>PASS</x:v>
      </x:c>
    </x:row>
    <x:row r="1221">
      <x:c r="B1221" t="str">
        <x:v>A-01189</x:v>
      </x:c>
      <x:c r="C1221" t="str">
        <x:v>GATE</x:v>
      </x:c>
      <x:c r="D1221" t="str">
        <x:v>release state mirrors governing ledger</x:v>
      </x:c>
      <x:c r="E1221" t="str">
        <x:f>'Release Gates'!I1195</x:f>
        <x:v>OPEN</x:v>
      </x:c>
      <x:c r="F1221" t="str">
        <x:f>IF('Release Gates'!C1195="PLANNING","PASS",IF('Release Gates'!C1195="PHYSICAL","OPEN","BLOCKED"))</x:f>
        <x:v>OPEN</x:v>
      </x:c>
      <x:c r="G1221" t="str">
        <x:v>equals</x:v>
      </x:c>
      <x:c r="H1221" t="str">
        <x:f>IF(E1221=F1221,"PASS","FAIL")</x:f>
        <x:v>PASS</x:v>
      </x:c>
    </x:row>
    <x:row r="1222">
      <x:c r="B1222" t="str">
        <x:v>A-01190</x:v>
      </x:c>
      <x:c r="C1222" t="str">
        <x:v>GATE</x:v>
      </x:c>
      <x:c r="D1222" t="str">
        <x:v>release state mirrors governing ledger</x:v>
      </x:c>
      <x:c r="E1222" t="str">
        <x:f>'Release Gates'!I1196</x:f>
        <x:v>OPEN</x:v>
      </x:c>
      <x:c r="F1222" t="str">
        <x:f>IF('Release Gates'!C1196="PLANNING","PASS",IF('Release Gates'!C1196="PHYSICAL","OPEN","BLOCKED"))</x:f>
        <x:v>OPEN</x:v>
      </x:c>
      <x:c r="G1222" t="str">
        <x:v>equals</x:v>
      </x:c>
      <x:c r="H1222" t="str">
        <x:f>IF(E1222=F1222,"PASS","FAIL")</x:f>
        <x:v>PASS</x:v>
      </x:c>
    </x:row>
    <x:row r="1223">
      <x:c r="B1223" t="str">
        <x:v>A-01191</x:v>
      </x:c>
      <x:c r="C1223" t="str">
        <x:v>GATE</x:v>
      </x:c>
      <x:c r="D1223" t="str">
        <x:v>release state mirrors governing ledger</x:v>
      </x:c>
      <x:c r="E1223" t="str">
        <x:f>'Release Gates'!I1197</x:f>
        <x:v>OPEN</x:v>
      </x:c>
      <x:c r="F1223" t="str">
        <x:f>IF('Release Gates'!C1197="PLANNING","PASS",IF('Release Gates'!C1197="PHYSICAL","OPEN","BLOCKED"))</x:f>
        <x:v>OPEN</x:v>
      </x:c>
      <x:c r="G1223" t="str">
        <x:v>equals</x:v>
      </x:c>
      <x:c r="H1223" t="str">
        <x:f>IF(E1223=F1223,"PASS","FAIL")</x:f>
        <x:v>PASS</x:v>
      </x:c>
    </x:row>
    <x:row r="1224">
      <x:c r="B1224" t="str">
        <x:v>A-01192</x:v>
      </x:c>
      <x:c r="C1224" t="str">
        <x:v>GATE</x:v>
      </x:c>
      <x:c r="D1224" t="str">
        <x:v>release state mirrors governing ledger</x:v>
      </x:c>
      <x:c r="E1224" t="str">
        <x:f>'Release Gates'!I1198</x:f>
        <x:v>OPEN</x:v>
      </x:c>
      <x:c r="F1224" t="str">
        <x:f>IF('Release Gates'!C1198="PLANNING","PASS",IF('Release Gates'!C1198="PHYSICAL","OPEN","BLOCKED"))</x:f>
        <x:v>OPEN</x:v>
      </x:c>
      <x:c r="G1224" t="str">
        <x:v>equals</x:v>
      </x:c>
      <x:c r="H1224" t="str">
        <x:f>IF(E1224=F1224,"PASS","FAIL")</x:f>
        <x:v>PASS</x:v>
      </x:c>
    </x:row>
    <x:row r="1225">
      <x:c r="B1225" t="str">
        <x:v>A-01193</x:v>
      </x:c>
      <x:c r="C1225" t="str">
        <x:v>GATE</x:v>
      </x:c>
      <x:c r="D1225" t="str">
        <x:v>release state mirrors governing ledger</x:v>
      </x:c>
      <x:c r="E1225" t="str">
        <x:f>'Release Gates'!I1199</x:f>
        <x:v>OPEN</x:v>
      </x:c>
      <x:c r="F1225" t="str">
        <x:f>IF('Release Gates'!C1199="PLANNING","PASS",IF('Release Gates'!C1199="PHYSICAL","OPEN","BLOCKED"))</x:f>
        <x:v>OPEN</x:v>
      </x:c>
      <x:c r="G1225" t="str">
        <x:v>equals</x:v>
      </x:c>
      <x:c r="H1225" t="str">
        <x:f>IF(E1225=F1225,"PASS","FAIL")</x:f>
        <x:v>PASS</x:v>
      </x:c>
    </x:row>
    <x:row r="1226">
      <x:c r="B1226" t="str">
        <x:v>A-01194</x:v>
      </x:c>
      <x:c r="C1226" t="str">
        <x:v>GATE</x:v>
      </x:c>
      <x:c r="D1226" t="str">
        <x:v>release state mirrors governing ledger</x:v>
      </x:c>
      <x:c r="E1226" t="str">
        <x:f>'Release Gates'!I1200</x:f>
        <x:v>OPEN</x:v>
      </x:c>
      <x:c r="F1226" t="str">
        <x:f>IF('Release Gates'!C1200="PLANNING","PASS",IF('Release Gates'!C1200="PHYSICAL","OPEN","BLOCKED"))</x:f>
        <x:v>OPEN</x:v>
      </x:c>
      <x:c r="G1226" t="str">
        <x:v>equals</x:v>
      </x:c>
      <x:c r="H1226" t="str">
        <x:f>IF(E1226=F1226,"PASS","FAIL")</x:f>
        <x:v>PASS</x:v>
      </x:c>
    </x:row>
    <x:row r="1227">
      <x:c r="B1227" t="str">
        <x:v>A-01195</x:v>
      </x:c>
      <x:c r="C1227" t="str">
        <x:v>GATE</x:v>
      </x:c>
      <x:c r="D1227" t="str">
        <x:v>release state mirrors governing ledger</x:v>
      </x:c>
      <x:c r="E1227" t="str">
        <x:f>'Release Gates'!I1201</x:f>
        <x:v>OPEN</x:v>
      </x:c>
      <x:c r="F1227" t="str">
        <x:f>IF('Release Gates'!C1201="PLANNING","PASS",IF('Release Gates'!C1201="PHYSICAL","OPEN","BLOCKED"))</x:f>
        <x:v>OPEN</x:v>
      </x:c>
      <x:c r="G1227" t="str">
        <x:v>equals</x:v>
      </x:c>
      <x:c r="H1227" t="str">
        <x:f>IF(E1227=F1227,"PASS","FAIL")</x:f>
        <x:v>PASS</x:v>
      </x:c>
    </x:row>
    <x:row r="1228">
      <x:c r="B1228" t="str">
        <x:v>A-01196</x:v>
      </x:c>
      <x:c r="C1228" t="str">
        <x:v>GATE</x:v>
      </x:c>
      <x:c r="D1228" t="str">
        <x:v>release state mirrors governing ledger</x:v>
      </x:c>
      <x:c r="E1228" t="str">
        <x:f>'Release Gates'!I1202</x:f>
        <x:v>OPEN</x:v>
      </x:c>
      <x:c r="F1228" t="str">
        <x:f>IF('Release Gates'!C1202="PLANNING","PASS",IF('Release Gates'!C1202="PHYSICAL","OPEN","BLOCKED"))</x:f>
        <x:v>OPEN</x:v>
      </x:c>
      <x:c r="G1228" t="str">
        <x:v>equals</x:v>
      </x:c>
      <x:c r="H1228" t="str">
        <x:f>IF(E1228=F1228,"PASS","FAIL")</x:f>
        <x:v>PASS</x:v>
      </x:c>
    </x:row>
    <x:row r="1229">
      <x:c r="B1229" t="str">
        <x:v>A-01197</x:v>
      </x:c>
      <x:c r="C1229" t="str">
        <x:v>GATE</x:v>
      </x:c>
      <x:c r="D1229" t="str">
        <x:v>release state mirrors governing ledger</x:v>
      </x:c>
      <x:c r="E1229" t="str">
        <x:f>'Release Gates'!I1203</x:f>
        <x:v>OPEN</x:v>
      </x:c>
      <x:c r="F1229" t="str">
        <x:f>IF('Release Gates'!C1203="PLANNING","PASS",IF('Release Gates'!C1203="PHYSICAL","OPEN","BLOCKED"))</x:f>
        <x:v>OPEN</x:v>
      </x:c>
      <x:c r="G1229" t="str">
        <x:v>equals</x:v>
      </x:c>
      <x:c r="H1229" t="str">
        <x:f>IF(E1229=F1229,"PASS","FAIL")</x:f>
        <x:v>PASS</x:v>
      </x:c>
    </x:row>
    <x:row r="1230">
      <x:c r="B1230" t="str">
        <x:v>A-01198</x:v>
      </x:c>
      <x:c r="C1230" t="str">
        <x:v>GATE</x:v>
      </x:c>
      <x:c r="D1230" t="str">
        <x:v>release state mirrors governing ledger</x:v>
      </x:c>
      <x:c r="E1230" t="str">
        <x:f>'Release Gates'!I1204</x:f>
        <x:v>OPEN</x:v>
      </x:c>
      <x:c r="F1230" t="str">
        <x:f>IF('Release Gates'!C1204="PLANNING","PASS",IF('Release Gates'!C1204="PHYSICAL","OPEN","BLOCKED"))</x:f>
        <x:v>OPEN</x:v>
      </x:c>
      <x:c r="G1230" t="str">
        <x:v>equals</x:v>
      </x:c>
      <x:c r="H1230" t="str">
        <x:f>IF(E1230=F1230,"PASS","FAIL")</x:f>
        <x:v>PASS</x:v>
      </x:c>
    </x:row>
    <x:row r="1231">
      <x:c r="B1231" t="str">
        <x:v>A-01199</x:v>
      </x:c>
      <x:c r="C1231" t="str">
        <x:v>GATE</x:v>
      </x:c>
      <x:c r="D1231" t="str">
        <x:v>release state mirrors governing ledger</x:v>
      </x:c>
      <x:c r="E1231" t="str">
        <x:f>'Release Gates'!I1205</x:f>
        <x:v>OPEN</x:v>
      </x:c>
      <x:c r="F1231" t="str">
        <x:f>IF('Release Gates'!C1205="PLANNING","PASS",IF('Release Gates'!C1205="PHYSICAL","OPEN","BLOCKED"))</x:f>
        <x:v>OPEN</x:v>
      </x:c>
      <x:c r="G1231" t="str">
        <x:v>equals</x:v>
      </x:c>
      <x:c r="H1231" t="str">
        <x:f>IF(E1231=F1231,"PASS","FAIL")</x:f>
        <x:v>PASS</x:v>
      </x:c>
    </x:row>
    <x:row r="1232">
      <x:c r="B1232" t="str">
        <x:v>A-01200</x:v>
      </x:c>
      <x:c r="C1232" t="str">
        <x:v>GATE</x:v>
      </x:c>
      <x:c r="D1232" t="str">
        <x:v>release state mirrors governing ledger</x:v>
      </x:c>
      <x:c r="E1232" t="str">
        <x:f>'Release Gates'!I1206</x:f>
        <x:v>OPEN</x:v>
      </x:c>
      <x:c r="F1232" t="str">
        <x:f>IF('Release Gates'!C1206="PLANNING","PASS",IF('Release Gates'!C1206="PHYSICAL","OPEN","BLOCKED"))</x:f>
        <x:v>OPEN</x:v>
      </x:c>
      <x:c r="G1232" t="str">
        <x:v>equals</x:v>
      </x:c>
      <x:c r="H1232" t="str">
        <x:f>IF(E1232=F1232,"PASS","FAIL")</x:f>
        <x:v>PASS</x:v>
      </x:c>
    </x:row>
    <x:row r="1233">
      <x:c r="B1233" t="str">
        <x:v>A-01201</x:v>
      </x:c>
      <x:c r="C1233" t="str">
        <x:v>GATE</x:v>
      </x:c>
      <x:c r="D1233" t="str">
        <x:v>release state mirrors governing ledger</x:v>
      </x:c>
      <x:c r="E1233" t="str">
        <x:f>'Release Gates'!I1207</x:f>
        <x:v>OPEN</x:v>
      </x:c>
      <x:c r="F1233" t="str">
        <x:f>IF('Release Gates'!C1207="PLANNING","PASS",IF('Release Gates'!C1207="PHYSICAL","OPEN","BLOCKED"))</x:f>
        <x:v>OPEN</x:v>
      </x:c>
      <x:c r="G1233" t="str">
        <x:v>equals</x:v>
      </x:c>
      <x:c r="H1233" t="str">
        <x:f>IF(E1233=F1233,"PASS","FAIL")</x:f>
        <x:v>PASS</x:v>
      </x:c>
    </x:row>
    <x:row r="1234">
      <x:c r="B1234" t="str">
        <x:v>A-01202</x:v>
      </x:c>
      <x:c r="C1234" t="str">
        <x:v>GATE</x:v>
      </x:c>
      <x:c r="D1234" t="str">
        <x:v>release state mirrors governing ledger</x:v>
      </x:c>
      <x:c r="E1234" t="str">
        <x:f>'Release Gates'!I1208</x:f>
        <x:v>OPEN</x:v>
      </x:c>
      <x:c r="F1234" t="str">
        <x:f>IF('Release Gates'!C1208="PLANNING","PASS",IF('Release Gates'!C1208="PHYSICAL","OPEN","BLOCKED"))</x:f>
        <x:v>OPEN</x:v>
      </x:c>
      <x:c r="G1234" t="str">
        <x:v>equals</x:v>
      </x:c>
      <x:c r="H1234" t="str">
        <x:f>IF(E1234=F1234,"PASS","FAIL")</x:f>
        <x:v>PASS</x:v>
      </x:c>
    </x:row>
    <x:row r="1235">
      <x:c r="B1235" t="str">
        <x:v>A-01203</x:v>
      </x:c>
      <x:c r="C1235" t="str">
        <x:v>GATE</x:v>
      </x:c>
      <x:c r="D1235" t="str">
        <x:v>release state mirrors governing ledger</x:v>
      </x:c>
      <x:c r="E1235" t="str">
        <x:f>'Release Gates'!I1209</x:f>
        <x:v>OPEN</x:v>
      </x:c>
      <x:c r="F1235" t="str">
        <x:f>IF('Release Gates'!C1209="PLANNING","PASS",IF('Release Gates'!C1209="PHYSICAL","OPEN","BLOCKED"))</x:f>
        <x:v>OPEN</x:v>
      </x:c>
      <x:c r="G1235" t="str">
        <x:v>equals</x:v>
      </x:c>
      <x:c r="H1235" t="str">
        <x:f>IF(E1235=F1235,"PASS","FAIL")</x:f>
        <x:v>PASS</x:v>
      </x:c>
    </x:row>
    <x:row r="1236">
      <x:c r="B1236" t="str">
        <x:v>A-01204</x:v>
      </x:c>
      <x:c r="C1236" t="str">
        <x:v>GATE</x:v>
      </x:c>
      <x:c r="D1236" t="str">
        <x:v>release state mirrors governing ledger</x:v>
      </x:c>
      <x:c r="E1236" t="str">
        <x:f>'Release Gates'!I1210</x:f>
        <x:v>OPEN</x:v>
      </x:c>
      <x:c r="F1236" t="str">
        <x:f>IF('Release Gates'!C1210="PLANNING","PASS",IF('Release Gates'!C1210="PHYSICAL","OPEN","BLOCKED"))</x:f>
        <x:v>OPEN</x:v>
      </x:c>
      <x:c r="G1236" t="str">
        <x:v>equals</x:v>
      </x:c>
      <x:c r="H1236" t="str">
        <x:f>IF(E1236=F1236,"PASS","FAIL")</x:f>
        <x:v>PASS</x:v>
      </x:c>
    </x:row>
    <x:row r="1237">
      <x:c r="B1237" t="str">
        <x:v>A-01205</x:v>
      </x:c>
      <x:c r="C1237" t="str">
        <x:v>GATE</x:v>
      </x:c>
      <x:c r="D1237" t="str">
        <x:v>release state mirrors governing ledger</x:v>
      </x:c>
      <x:c r="E1237" t="str">
        <x:f>'Release Gates'!I1211</x:f>
        <x:v>OPEN</x:v>
      </x:c>
      <x:c r="F1237" t="str">
        <x:f>IF('Release Gates'!C1211="PLANNING","PASS",IF('Release Gates'!C1211="PHYSICAL","OPEN","BLOCKED"))</x:f>
        <x:v>OPEN</x:v>
      </x:c>
      <x:c r="G1237" t="str">
        <x:v>equals</x:v>
      </x:c>
      <x:c r="H1237" t="str">
        <x:f>IF(E1237=F1237,"PASS","FAIL")</x:f>
        <x:v>PASS</x:v>
      </x:c>
    </x:row>
    <x:row r="1238">
      <x:c r="B1238" t="str">
        <x:v>A-01206</x:v>
      </x:c>
      <x:c r="C1238" t="str">
        <x:v>GATE</x:v>
      </x:c>
      <x:c r="D1238" t="str">
        <x:v>release state mirrors governing ledger</x:v>
      </x:c>
      <x:c r="E1238" t="str">
        <x:f>'Release Gates'!I1212</x:f>
        <x:v>OPEN</x:v>
      </x:c>
      <x:c r="F1238" t="str">
        <x:f>IF('Release Gates'!C1212="PLANNING","PASS",IF('Release Gates'!C1212="PHYSICAL","OPEN","BLOCKED"))</x:f>
        <x:v>OPEN</x:v>
      </x:c>
      <x:c r="G1238" t="str">
        <x:v>equals</x:v>
      </x:c>
      <x:c r="H1238" t="str">
        <x:f>IF(E1238=F1238,"PASS","FAIL")</x:f>
        <x:v>PASS</x:v>
      </x:c>
    </x:row>
    <x:row r="1239">
      <x:c r="B1239" t="str">
        <x:v>A-01207</x:v>
      </x:c>
      <x:c r="C1239" t="str">
        <x:v>GATE</x:v>
      </x:c>
      <x:c r="D1239" t="str">
        <x:v>release state mirrors governing ledger</x:v>
      </x:c>
      <x:c r="E1239" t="str">
        <x:f>'Release Gates'!I1213</x:f>
        <x:v>OPEN</x:v>
      </x:c>
      <x:c r="F1239" t="str">
        <x:f>IF('Release Gates'!C1213="PLANNING","PASS",IF('Release Gates'!C1213="PHYSICAL","OPEN","BLOCKED"))</x:f>
        <x:v>OPEN</x:v>
      </x:c>
      <x:c r="G1239" t="str">
        <x:v>equals</x:v>
      </x:c>
      <x:c r="H1239" t="str">
        <x:f>IF(E1239=F1239,"PASS","FAIL")</x:f>
        <x:v>PASS</x:v>
      </x:c>
    </x:row>
    <x:row r="1240">
      <x:c r="B1240" t="str">
        <x:v>A-01208</x:v>
      </x:c>
      <x:c r="C1240" t="str">
        <x:v>GATE</x:v>
      </x:c>
      <x:c r="D1240" t="str">
        <x:v>release state mirrors governing ledger</x:v>
      </x:c>
      <x:c r="E1240" t="str">
        <x:f>'Release Gates'!I1214</x:f>
        <x:v>OPEN</x:v>
      </x:c>
      <x:c r="F1240" t="str">
        <x:f>IF('Release Gates'!C1214="PLANNING","PASS",IF('Release Gates'!C1214="PHYSICAL","OPEN","BLOCKED"))</x:f>
        <x:v>OPEN</x:v>
      </x:c>
      <x:c r="G1240" t="str">
        <x:v>equals</x:v>
      </x:c>
      <x:c r="H1240" t="str">
        <x:f>IF(E1240=F1240,"PASS","FAIL")</x:f>
        <x:v>PASS</x:v>
      </x:c>
    </x:row>
    <x:row r="1241">
      <x:c r="B1241" t="str">
        <x:v>A-01209</x:v>
      </x:c>
      <x:c r="C1241" t="str">
        <x:v>GATE</x:v>
      </x:c>
      <x:c r="D1241" t="str">
        <x:v>release state mirrors governing ledger</x:v>
      </x:c>
      <x:c r="E1241" t="str">
        <x:f>'Release Gates'!I1215</x:f>
        <x:v>OPEN</x:v>
      </x:c>
      <x:c r="F1241" t="str">
        <x:f>IF('Release Gates'!C1215="PLANNING","PASS",IF('Release Gates'!C1215="PHYSICAL","OPEN","BLOCKED"))</x:f>
        <x:v>OPEN</x:v>
      </x:c>
      <x:c r="G1241" t="str">
        <x:v>equals</x:v>
      </x:c>
      <x:c r="H1241" t="str">
        <x:f>IF(E1241=F1241,"PASS","FAIL")</x:f>
        <x:v>PASS</x:v>
      </x:c>
    </x:row>
    <x:row r="1242">
      <x:c r="B1242" t="str">
        <x:v>A-01210</x:v>
      </x:c>
      <x:c r="C1242" t="str">
        <x:v>GATE</x:v>
      </x:c>
      <x:c r="D1242" t="str">
        <x:v>release state mirrors governing ledger</x:v>
      </x:c>
      <x:c r="E1242" t="str">
        <x:f>'Release Gates'!I1216</x:f>
        <x:v>OPEN</x:v>
      </x:c>
      <x:c r="F1242" t="str">
        <x:f>IF('Release Gates'!C1216="PLANNING","PASS",IF('Release Gates'!C1216="PHYSICAL","OPEN","BLOCKED"))</x:f>
        <x:v>OPEN</x:v>
      </x:c>
      <x:c r="G1242" t="str">
        <x:v>equals</x:v>
      </x:c>
      <x:c r="H1242" t="str">
        <x:f>IF(E1242=F1242,"PASS","FAIL")</x:f>
        <x:v>PASS</x:v>
      </x:c>
    </x:row>
    <x:row r="1243">
      <x:c r="B1243" t="str">
        <x:v>A-01211</x:v>
      </x:c>
      <x:c r="C1243" t="str">
        <x:v>GATE</x:v>
      </x:c>
      <x:c r="D1243" t="str">
        <x:v>release state mirrors governing ledger</x:v>
      </x:c>
      <x:c r="E1243" t="str">
        <x:f>'Release Gates'!I1217</x:f>
        <x:v>OPEN</x:v>
      </x:c>
      <x:c r="F1243" t="str">
        <x:f>IF('Release Gates'!C1217="PLANNING","PASS",IF('Release Gates'!C1217="PHYSICAL","OPEN","BLOCKED"))</x:f>
        <x:v>OPEN</x:v>
      </x:c>
      <x:c r="G1243" t="str">
        <x:v>equals</x:v>
      </x:c>
      <x:c r="H1243" t="str">
        <x:f>IF(E1243=F1243,"PASS","FAIL")</x:f>
        <x:v>PASS</x:v>
      </x:c>
    </x:row>
    <x:row r="1244">
      <x:c r="B1244" t="str">
        <x:v>A-01212</x:v>
      </x:c>
      <x:c r="C1244" t="str">
        <x:v>GATE</x:v>
      </x:c>
      <x:c r="D1244" t="str">
        <x:v>release state mirrors governing ledger</x:v>
      </x:c>
      <x:c r="E1244" t="str">
        <x:f>'Release Gates'!I1218</x:f>
        <x:v>OPEN</x:v>
      </x:c>
      <x:c r="F1244" t="str">
        <x:f>IF('Release Gates'!C1218="PLANNING","PASS",IF('Release Gates'!C1218="PHYSICAL","OPEN","BLOCKED"))</x:f>
        <x:v>OPEN</x:v>
      </x:c>
      <x:c r="G1244" t="str">
        <x:v>equals</x:v>
      </x:c>
      <x:c r="H1244" t="str">
        <x:f>IF(E1244=F1244,"PASS","FAIL")</x:f>
        <x:v>PASS</x:v>
      </x:c>
    </x:row>
    <x:row r="1245">
      <x:c r="B1245" t="str">
        <x:v>A-01213</x:v>
      </x:c>
      <x:c r="C1245" t="str">
        <x:v>GATE</x:v>
      </x:c>
      <x:c r="D1245" t="str">
        <x:v>release state mirrors governing ledger</x:v>
      </x:c>
      <x:c r="E1245" t="str">
        <x:f>'Release Gates'!I1219</x:f>
        <x:v>OPEN</x:v>
      </x:c>
      <x:c r="F1245" t="str">
        <x:f>IF('Release Gates'!C1219="PLANNING","PASS",IF('Release Gates'!C1219="PHYSICAL","OPEN","BLOCKED"))</x:f>
        <x:v>OPEN</x:v>
      </x:c>
      <x:c r="G1245" t="str">
        <x:v>equals</x:v>
      </x:c>
      <x:c r="H1245" t="str">
        <x:f>IF(E1245=F1245,"PASS","FAIL")</x:f>
        <x:v>PASS</x:v>
      </x:c>
    </x:row>
    <x:row r="1246">
      <x:c r="B1246" t="str">
        <x:v>A-01214</x:v>
      </x:c>
      <x:c r="C1246" t="str">
        <x:v>GATE</x:v>
      </x:c>
      <x:c r="D1246" t="str">
        <x:v>release state mirrors governing ledger</x:v>
      </x:c>
      <x:c r="E1246" t="str">
        <x:f>'Release Gates'!I1220</x:f>
        <x:v>OPEN</x:v>
      </x:c>
      <x:c r="F1246" t="str">
        <x:f>IF('Release Gates'!C1220="PLANNING","PASS",IF('Release Gates'!C1220="PHYSICAL","OPEN","BLOCKED"))</x:f>
        <x:v>OPEN</x:v>
      </x:c>
      <x:c r="G1246" t="str">
        <x:v>equals</x:v>
      </x:c>
      <x:c r="H1246" t="str">
        <x:f>IF(E1246=F1246,"PASS","FAIL")</x:f>
        <x:v>PASS</x:v>
      </x:c>
    </x:row>
    <x:row r="1247">
      <x:c r="B1247" t="str">
        <x:v>A-01215</x:v>
      </x:c>
      <x:c r="C1247" t="str">
        <x:v>GATE</x:v>
      </x:c>
      <x:c r="D1247" t="str">
        <x:v>release state mirrors governing ledger</x:v>
      </x:c>
      <x:c r="E1247" t="str">
        <x:f>'Release Gates'!I1221</x:f>
        <x:v>OPEN</x:v>
      </x:c>
      <x:c r="F1247" t="str">
        <x:f>IF('Release Gates'!C1221="PLANNING","PASS",IF('Release Gates'!C1221="PHYSICAL","OPEN","BLOCKED"))</x:f>
        <x:v>OPEN</x:v>
      </x:c>
      <x:c r="G1247" t="str">
        <x:v>equals</x:v>
      </x:c>
      <x:c r="H1247" t="str">
        <x:f>IF(E1247=F1247,"PASS","FAIL")</x:f>
        <x:v>PASS</x:v>
      </x:c>
    </x:row>
    <x:row r="1248">
      <x:c r="B1248" t="str">
        <x:v>A-01216</x:v>
      </x:c>
      <x:c r="C1248" t="str">
        <x:v>GATE</x:v>
      </x:c>
      <x:c r="D1248" t="str">
        <x:v>release state mirrors governing ledger</x:v>
      </x:c>
      <x:c r="E1248" t="str">
        <x:f>'Release Gates'!I1222</x:f>
        <x:v>OPEN</x:v>
      </x:c>
      <x:c r="F1248" t="str">
        <x:f>IF('Release Gates'!C1222="PLANNING","PASS",IF('Release Gates'!C1222="PHYSICAL","OPEN","BLOCKED"))</x:f>
        <x:v>OPEN</x:v>
      </x:c>
      <x:c r="G1248" t="str">
        <x:v>equals</x:v>
      </x:c>
      <x:c r="H1248" t="str">
        <x:f>IF(E1248=F1248,"PASS","FAIL")</x:f>
        <x:v>PASS</x:v>
      </x:c>
    </x:row>
    <x:row r="1249">
      <x:c r="B1249" t="str">
        <x:v>A-01217</x:v>
      </x:c>
      <x:c r="C1249" t="str">
        <x:v>GATE</x:v>
      </x:c>
      <x:c r="D1249" t="str">
        <x:v>release state mirrors governing ledger</x:v>
      </x:c>
      <x:c r="E1249" t="str">
        <x:f>'Release Gates'!I1223</x:f>
        <x:v>OPEN</x:v>
      </x:c>
      <x:c r="F1249" t="str">
        <x:f>IF('Release Gates'!C1223="PLANNING","PASS",IF('Release Gates'!C1223="PHYSICAL","OPEN","BLOCKED"))</x:f>
        <x:v>OPEN</x:v>
      </x:c>
      <x:c r="G1249" t="str">
        <x:v>equals</x:v>
      </x:c>
      <x:c r="H1249" t="str">
        <x:f>IF(E1249=F1249,"PASS","FAIL")</x:f>
        <x:v>PASS</x:v>
      </x:c>
    </x:row>
    <x:row r="1250">
      <x:c r="B1250" t="str">
        <x:v>A-01218</x:v>
      </x:c>
      <x:c r="C1250" t="str">
        <x:v>GATE</x:v>
      </x:c>
      <x:c r="D1250" t="str">
        <x:v>release state mirrors governing ledger</x:v>
      </x:c>
      <x:c r="E1250" t="str">
        <x:f>'Release Gates'!I1224</x:f>
        <x:v>OPEN</x:v>
      </x:c>
      <x:c r="F1250" t="str">
        <x:f>IF('Release Gates'!C1224="PLANNING","PASS",IF('Release Gates'!C1224="PHYSICAL","OPEN","BLOCKED"))</x:f>
        <x:v>OPEN</x:v>
      </x:c>
      <x:c r="G1250" t="str">
        <x:v>equals</x:v>
      </x:c>
      <x:c r="H1250" t="str">
        <x:f>IF(E1250=F1250,"PASS","FAIL")</x:f>
        <x:v>PASS</x:v>
      </x:c>
    </x:row>
    <x:row r="1251">
      <x:c r="B1251" t="str">
        <x:v>A-01219</x:v>
      </x:c>
      <x:c r="C1251" t="str">
        <x:v>GATE</x:v>
      </x:c>
      <x:c r="D1251" t="str">
        <x:v>release state mirrors governing ledger</x:v>
      </x:c>
      <x:c r="E1251" t="str">
        <x:f>'Release Gates'!I1225</x:f>
        <x:v>OPEN</x:v>
      </x:c>
      <x:c r="F1251" t="str">
        <x:f>IF('Release Gates'!C1225="PLANNING","PASS",IF('Release Gates'!C1225="PHYSICAL","OPEN","BLOCKED"))</x:f>
        <x:v>OPEN</x:v>
      </x:c>
      <x:c r="G1251" t="str">
        <x:v>equals</x:v>
      </x:c>
      <x:c r="H1251" t="str">
        <x:f>IF(E1251=F1251,"PASS","FAIL")</x:f>
        <x:v>PASS</x:v>
      </x:c>
    </x:row>
    <x:row r="1252">
      <x:c r="B1252" t="str">
        <x:v>A-01220</x:v>
      </x:c>
      <x:c r="C1252" t="str">
        <x:v>GATE</x:v>
      </x:c>
      <x:c r="D1252" t="str">
        <x:v>release state mirrors governing ledger</x:v>
      </x:c>
      <x:c r="E1252" t="str">
        <x:f>'Release Gates'!I1226</x:f>
        <x:v>OPEN</x:v>
      </x:c>
      <x:c r="F1252" t="str">
        <x:f>IF('Release Gates'!C1226="PLANNING","PASS",IF('Release Gates'!C1226="PHYSICAL","OPEN","BLOCKED"))</x:f>
        <x:v>OPEN</x:v>
      </x:c>
      <x:c r="G1252" t="str">
        <x:v>equals</x:v>
      </x:c>
      <x:c r="H1252" t="str">
        <x:f>IF(E1252=F1252,"PASS","FAIL")</x:f>
        <x:v>PASS</x:v>
      </x:c>
    </x:row>
    <x:row r="1253">
      <x:c r="B1253" t="str">
        <x:v>A-01221</x:v>
      </x:c>
      <x:c r="C1253" t="str">
        <x:v>GATE</x:v>
      </x:c>
      <x:c r="D1253" t="str">
        <x:v>release state mirrors governing ledger</x:v>
      </x:c>
      <x:c r="E1253" t="str">
        <x:f>'Release Gates'!I1227</x:f>
        <x:v>OPEN</x:v>
      </x:c>
      <x:c r="F1253" t="str">
        <x:f>IF('Release Gates'!C1227="PLANNING","PASS",IF('Release Gates'!C1227="PHYSICAL","OPEN","BLOCKED"))</x:f>
        <x:v>OPEN</x:v>
      </x:c>
      <x:c r="G1253" t="str">
        <x:v>equals</x:v>
      </x:c>
      <x:c r="H1253" t="str">
        <x:f>IF(E1253=F1253,"PASS","FAIL")</x:f>
        <x:v>PASS</x:v>
      </x:c>
    </x:row>
    <x:row r="1254">
      <x:c r="B1254" t="str">
        <x:v>A-01222</x:v>
      </x:c>
      <x:c r="C1254" t="str">
        <x:v>GATE</x:v>
      </x:c>
      <x:c r="D1254" t="str">
        <x:v>release state mirrors governing ledger</x:v>
      </x:c>
      <x:c r="E1254" t="str">
        <x:f>'Release Gates'!I1228</x:f>
        <x:v>OPEN</x:v>
      </x:c>
      <x:c r="F1254" t="str">
        <x:f>IF('Release Gates'!C1228="PLANNING","PASS",IF('Release Gates'!C1228="PHYSICAL","OPEN","BLOCKED"))</x:f>
        <x:v>OPEN</x:v>
      </x:c>
      <x:c r="G1254" t="str">
        <x:v>equals</x:v>
      </x:c>
      <x:c r="H1254" t="str">
        <x:f>IF(E1254=F1254,"PASS","FAIL")</x:f>
        <x:v>PASS</x:v>
      </x:c>
    </x:row>
    <x:row r="1255">
      <x:c r="B1255" t="str">
        <x:v>A-01223</x:v>
      </x:c>
      <x:c r="C1255" t="str">
        <x:v>GATE</x:v>
      </x:c>
      <x:c r="D1255" t="str">
        <x:v>release state mirrors governing ledger</x:v>
      </x:c>
      <x:c r="E1255" t="str">
        <x:f>'Release Gates'!I1229</x:f>
        <x:v>OPEN</x:v>
      </x:c>
      <x:c r="F1255" t="str">
        <x:f>IF('Release Gates'!C1229="PLANNING","PASS",IF('Release Gates'!C1229="PHYSICAL","OPEN","BLOCKED"))</x:f>
        <x:v>OPEN</x:v>
      </x:c>
      <x:c r="G1255" t="str">
        <x:v>equals</x:v>
      </x:c>
      <x:c r="H1255" t="str">
        <x:f>IF(E1255=F1255,"PASS","FAIL")</x:f>
        <x:v>PASS</x:v>
      </x:c>
    </x:row>
    <x:row r="1256">
      <x:c r="B1256" t="str">
        <x:v>A-01224</x:v>
      </x:c>
      <x:c r="C1256" t="str">
        <x:v>GATE</x:v>
      </x:c>
      <x:c r="D1256" t="str">
        <x:v>release state mirrors governing ledger</x:v>
      </x:c>
      <x:c r="E1256" t="str">
        <x:f>'Release Gates'!I1230</x:f>
        <x:v>OPEN</x:v>
      </x:c>
      <x:c r="F1256" t="str">
        <x:f>IF('Release Gates'!C1230="PLANNING","PASS",IF('Release Gates'!C1230="PHYSICAL","OPEN","BLOCKED"))</x:f>
        <x:v>OPEN</x:v>
      </x:c>
      <x:c r="G1256" t="str">
        <x:v>equals</x:v>
      </x:c>
      <x:c r="H1256" t="str">
        <x:f>IF(E1256=F1256,"PASS","FAIL")</x:f>
        <x:v>PASS</x:v>
      </x:c>
    </x:row>
    <x:row r="1257">
      <x:c r="B1257" t="str">
        <x:v>A-01225</x:v>
      </x:c>
      <x:c r="C1257" t="str">
        <x:v>GATE</x:v>
      </x:c>
      <x:c r="D1257" t="str">
        <x:v>release state mirrors governing ledger</x:v>
      </x:c>
      <x:c r="E1257" t="str">
        <x:f>'Release Gates'!I1231</x:f>
        <x:v>OPEN</x:v>
      </x:c>
      <x:c r="F1257" t="str">
        <x:f>IF('Release Gates'!C1231="PLANNING","PASS",IF('Release Gates'!C1231="PHYSICAL","OPEN","BLOCKED"))</x:f>
        <x:v>OPEN</x:v>
      </x:c>
      <x:c r="G1257" t="str">
        <x:v>equals</x:v>
      </x:c>
      <x:c r="H1257" t="str">
        <x:f>IF(E1257=F1257,"PASS","FAIL")</x:f>
        <x:v>PASS</x:v>
      </x:c>
    </x:row>
    <x:row r="1258">
      <x:c r="B1258" t="str">
        <x:v>A-01226</x:v>
      </x:c>
      <x:c r="C1258" t="str">
        <x:v>GATE</x:v>
      </x:c>
      <x:c r="D1258" t="str">
        <x:v>release state mirrors governing ledger</x:v>
      </x:c>
      <x:c r="E1258" t="str">
        <x:f>'Release Gates'!I1232</x:f>
        <x:v>OPEN</x:v>
      </x:c>
      <x:c r="F1258" t="str">
        <x:f>IF('Release Gates'!C1232="PLANNING","PASS",IF('Release Gates'!C1232="PHYSICAL","OPEN","BLOCKED"))</x:f>
        <x:v>OPEN</x:v>
      </x:c>
      <x:c r="G1258" t="str">
        <x:v>equals</x:v>
      </x:c>
      <x:c r="H1258" t="str">
        <x:f>IF(E1258=F1258,"PASS","FAIL")</x:f>
        <x:v>PASS</x:v>
      </x:c>
    </x:row>
    <x:row r="1259">
      <x:c r="B1259" t="str">
        <x:v>A-01227</x:v>
      </x:c>
      <x:c r="C1259" t="str">
        <x:v>GATE</x:v>
      </x:c>
      <x:c r="D1259" t="str">
        <x:v>release state mirrors governing ledger</x:v>
      </x:c>
      <x:c r="E1259" t="str">
        <x:f>'Release Gates'!I1233</x:f>
        <x:v>OPEN</x:v>
      </x:c>
      <x:c r="F1259" t="str">
        <x:f>IF('Release Gates'!C1233="PLANNING","PASS",IF('Release Gates'!C1233="PHYSICAL","OPEN","BLOCKED"))</x:f>
        <x:v>OPEN</x:v>
      </x:c>
      <x:c r="G1259" t="str">
        <x:v>equals</x:v>
      </x:c>
      <x:c r="H1259" t="str">
        <x:f>IF(E1259=F1259,"PASS","FAIL")</x:f>
        <x:v>PASS</x:v>
      </x:c>
    </x:row>
    <x:row r="1260">
      <x:c r="B1260" t="str">
        <x:v>A-01228</x:v>
      </x:c>
      <x:c r="C1260" t="str">
        <x:v>GATE</x:v>
      </x:c>
      <x:c r="D1260" t="str">
        <x:v>release state mirrors governing ledger</x:v>
      </x:c>
      <x:c r="E1260" t="str">
        <x:f>'Release Gates'!I1234</x:f>
        <x:v>OPEN</x:v>
      </x:c>
      <x:c r="F1260" t="str">
        <x:f>IF('Release Gates'!C1234="PLANNING","PASS",IF('Release Gates'!C1234="PHYSICAL","OPEN","BLOCKED"))</x:f>
        <x:v>OPEN</x:v>
      </x:c>
      <x:c r="G1260" t="str">
        <x:v>equals</x:v>
      </x:c>
      <x:c r="H1260" t="str">
        <x:f>IF(E1260=F1260,"PASS","FAIL")</x:f>
        <x:v>PASS</x:v>
      </x:c>
    </x:row>
    <x:row r="1261">
      <x:c r="B1261" t="str">
        <x:v>A-01229</x:v>
      </x:c>
      <x:c r="C1261" t="str">
        <x:v>GATE</x:v>
      </x:c>
      <x:c r="D1261" t="str">
        <x:v>release state mirrors governing ledger</x:v>
      </x:c>
      <x:c r="E1261" t="str">
        <x:f>'Release Gates'!I1235</x:f>
        <x:v>OPEN</x:v>
      </x:c>
      <x:c r="F1261" t="str">
        <x:f>IF('Release Gates'!C1235="PLANNING","PASS",IF('Release Gates'!C1235="PHYSICAL","OPEN","BLOCKED"))</x:f>
        <x:v>OPEN</x:v>
      </x:c>
      <x:c r="G1261" t="str">
        <x:v>equals</x:v>
      </x:c>
      <x:c r="H1261" t="str">
        <x:f>IF(E1261=F1261,"PASS","FAIL")</x:f>
        <x:v>PASS</x:v>
      </x:c>
    </x:row>
    <x:row r="1262">
      <x:c r="B1262" t="str">
        <x:v>A-01230</x:v>
      </x:c>
      <x:c r="C1262" t="str">
        <x:v>GATE</x:v>
      </x:c>
      <x:c r="D1262" t="str">
        <x:v>release state mirrors governing ledger</x:v>
      </x:c>
      <x:c r="E1262" t="str">
        <x:f>'Release Gates'!I1236</x:f>
        <x:v>OPEN</x:v>
      </x:c>
      <x:c r="F1262" t="str">
        <x:f>IF('Release Gates'!C1236="PLANNING","PASS",IF('Release Gates'!C1236="PHYSICAL","OPEN","BLOCKED"))</x:f>
        <x:v>OPEN</x:v>
      </x:c>
      <x:c r="G1262" t="str">
        <x:v>equals</x:v>
      </x:c>
      <x:c r="H1262" t="str">
        <x:f>IF(E1262=F1262,"PASS","FAIL")</x:f>
        <x:v>PASS</x:v>
      </x:c>
    </x:row>
    <x:row r="1263">
      <x:c r="B1263" t="str">
        <x:v>A-01231</x:v>
      </x:c>
      <x:c r="C1263" t="str">
        <x:v>GATE</x:v>
      </x:c>
      <x:c r="D1263" t="str">
        <x:v>release state mirrors governing ledger</x:v>
      </x:c>
      <x:c r="E1263" t="str">
        <x:f>'Release Gates'!I1237</x:f>
        <x:v>OPEN</x:v>
      </x:c>
      <x:c r="F1263" t="str">
        <x:f>IF('Release Gates'!C1237="PLANNING","PASS",IF('Release Gates'!C1237="PHYSICAL","OPEN","BLOCKED"))</x:f>
        <x:v>OPEN</x:v>
      </x:c>
      <x:c r="G1263" t="str">
        <x:v>equals</x:v>
      </x:c>
      <x:c r="H1263" t="str">
        <x:f>IF(E1263=F1263,"PASS","FAIL")</x:f>
        <x:v>PASS</x:v>
      </x:c>
    </x:row>
    <x:row r="1264">
      <x:c r="B1264" t="str">
        <x:v>A-01232</x:v>
      </x:c>
      <x:c r="C1264" t="str">
        <x:v>GATE</x:v>
      </x:c>
      <x:c r="D1264" t="str">
        <x:v>release state mirrors governing ledger</x:v>
      </x:c>
      <x:c r="E1264" t="str">
        <x:f>'Release Gates'!I1238</x:f>
        <x:v>OPEN</x:v>
      </x:c>
      <x:c r="F1264" t="str">
        <x:f>IF('Release Gates'!C1238="PLANNING","PASS",IF('Release Gates'!C1238="PHYSICAL","OPEN","BLOCKED"))</x:f>
        <x:v>OPEN</x:v>
      </x:c>
      <x:c r="G1264" t="str">
        <x:v>equals</x:v>
      </x:c>
      <x:c r="H1264" t="str">
        <x:f>IF(E1264=F1264,"PASS","FAIL")</x:f>
        <x:v>PASS</x:v>
      </x:c>
    </x:row>
    <x:row r="1265">
      <x:c r="B1265" t="str">
        <x:v>A-01233</x:v>
      </x:c>
      <x:c r="C1265" t="str">
        <x:v>GATE</x:v>
      </x:c>
      <x:c r="D1265" t="str">
        <x:v>release state mirrors governing ledger</x:v>
      </x:c>
      <x:c r="E1265" t="str">
        <x:f>'Release Gates'!I1239</x:f>
        <x:v>OPEN</x:v>
      </x:c>
      <x:c r="F1265" t="str">
        <x:f>IF('Release Gates'!C1239="PLANNING","PASS",IF('Release Gates'!C1239="PHYSICAL","OPEN","BLOCKED"))</x:f>
        <x:v>OPEN</x:v>
      </x:c>
      <x:c r="G1265" t="str">
        <x:v>equals</x:v>
      </x:c>
      <x:c r="H1265" t="str">
        <x:f>IF(E1265=F1265,"PASS","FAIL")</x:f>
        <x:v>PASS</x:v>
      </x:c>
    </x:row>
    <x:row r="1266">
      <x:c r="B1266" t="str">
        <x:v>A-01234</x:v>
      </x:c>
      <x:c r="C1266" t="str">
        <x:v>GATE</x:v>
      </x:c>
      <x:c r="D1266" t="str">
        <x:v>release state mirrors governing ledger</x:v>
      </x:c>
      <x:c r="E1266" t="str">
        <x:f>'Release Gates'!I1240</x:f>
        <x:v>OPEN</x:v>
      </x:c>
      <x:c r="F1266" t="str">
        <x:f>IF('Release Gates'!C1240="PLANNING","PASS",IF('Release Gates'!C1240="PHYSICAL","OPEN","BLOCKED"))</x:f>
        <x:v>OPEN</x:v>
      </x:c>
      <x:c r="G1266" t="str">
        <x:v>equals</x:v>
      </x:c>
      <x:c r="H1266" t="str">
        <x:f>IF(E1266=F1266,"PASS","FAIL")</x:f>
        <x:v>PASS</x:v>
      </x:c>
    </x:row>
    <x:row r="1267">
      <x:c r="B1267" t="str">
        <x:v>A-01235</x:v>
      </x:c>
      <x:c r="C1267" t="str">
        <x:v>GATE</x:v>
      </x:c>
      <x:c r="D1267" t="str">
        <x:v>release state mirrors governing ledger</x:v>
      </x:c>
      <x:c r="E1267" t="str">
        <x:f>'Release Gates'!I1241</x:f>
        <x:v>OPEN</x:v>
      </x:c>
      <x:c r="F1267" t="str">
        <x:f>IF('Release Gates'!C1241="PLANNING","PASS",IF('Release Gates'!C1241="PHYSICAL","OPEN","BLOCKED"))</x:f>
        <x:v>OPEN</x:v>
      </x:c>
      <x:c r="G1267" t="str">
        <x:v>equals</x:v>
      </x:c>
      <x:c r="H1267" t="str">
        <x:f>IF(E1267=F1267,"PASS","FAIL")</x:f>
        <x:v>PASS</x:v>
      </x:c>
    </x:row>
    <x:row r="1268">
      <x:c r="B1268" t="str">
        <x:v>A-01236</x:v>
      </x:c>
      <x:c r="C1268" t="str">
        <x:v>GATE</x:v>
      </x:c>
      <x:c r="D1268" t="str">
        <x:v>release state mirrors governing ledger</x:v>
      </x:c>
      <x:c r="E1268" t="str">
        <x:f>'Release Gates'!I1242</x:f>
        <x:v>OPEN</x:v>
      </x:c>
      <x:c r="F1268" t="str">
        <x:f>IF('Release Gates'!C1242="PLANNING","PASS",IF('Release Gates'!C1242="PHYSICAL","OPEN","BLOCKED"))</x:f>
        <x:v>OPEN</x:v>
      </x:c>
      <x:c r="G1268" t="str">
        <x:v>equals</x:v>
      </x:c>
      <x:c r="H1268" t="str">
        <x:f>IF(E1268=F1268,"PASS","FAIL")</x:f>
        <x:v>PASS</x:v>
      </x:c>
    </x:row>
    <x:row r="1269">
      <x:c r="B1269" t="str">
        <x:v>A-01237</x:v>
      </x:c>
      <x:c r="C1269" t="str">
        <x:v>GATE</x:v>
      </x:c>
      <x:c r="D1269" t="str">
        <x:v>release state mirrors governing ledger</x:v>
      </x:c>
      <x:c r="E1269" t="str">
        <x:f>'Release Gates'!I1243</x:f>
        <x:v>OPEN</x:v>
      </x:c>
      <x:c r="F1269" t="str">
        <x:f>IF('Release Gates'!C1243="PLANNING","PASS",IF('Release Gates'!C1243="PHYSICAL","OPEN","BLOCKED"))</x:f>
        <x:v>OPEN</x:v>
      </x:c>
      <x:c r="G1269" t="str">
        <x:v>equals</x:v>
      </x:c>
      <x:c r="H1269" t="str">
        <x:f>IF(E1269=F1269,"PASS","FAIL")</x:f>
        <x:v>PASS</x:v>
      </x:c>
    </x:row>
    <x:row r="1270">
      <x:c r="B1270" t="str">
        <x:v>A-01238</x:v>
      </x:c>
      <x:c r="C1270" t="str">
        <x:v>GATE</x:v>
      </x:c>
      <x:c r="D1270" t="str">
        <x:v>release state mirrors governing ledger</x:v>
      </x:c>
      <x:c r="E1270" t="str">
        <x:f>'Release Gates'!I1244</x:f>
        <x:v>OPEN</x:v>
      </x:c>
      <x:c r="F1270" t="str">
        <x:f>IF('Release Gates'!C1244="PLANNING","PASS",IF('Release Gates'!C1244="PHYSICAL","OPEN","BLOCKED"))</x:f>
        <x:v>OPEN</x:v>
      </x:c>
      <x:c r="G1270" t="str">
        <x:v>equals</x:v>
      </x:c>
      <x:c r="H1270" t="str">
        <x:f>IF(E1270=F1270,"PASS","FAIL")</x:f>
        <x:v>PASS</x:v>
      </x:c>
    </x:row>
    <x:row r="1271">
      <x:c r="B1271" t="str">
        <x:v>A-01239</x:v>
      </x:c>
      <x:c r="C1271" t="str">
        <x:v>GATE</x:v>
      </x:c>
      <x:c r="D1271" t="str">
        <x:v>release state mirrors governing ledger</x:v>
      </x:c>
      <x:c r="E1271" t="str">
        <x:f>'Release Gates'!I1245</x:f>
        <x:v>OPEN</x:v>
      </x:c>
      <x:c r="F1271" t="str">
        <x:f>IF('Release Gates'!C1245="PLANNING","PASS",IF('Release Gates'!C1245="PHYSICAL","OPEN","BLOCKED"))</x:f>
        <x:v>OPEN</x:v>
      </x:c>
      <x:c r="G1271" t="str">
        <x:v>equals</x:v>
      </x:c>
      <x:c r="H1271" t="str">
        <x:f>IF(E1271=F1271,"PASS","FAIL")</x:f>
        <x:v>PASS</x:v>
      </x:c>
    </x:row>
    <x:row r="1272">
      <x:c r="B1272" t="str">
        <x:v>A-01240</x:v>
      </x:c>
      <x:c r="C1272" t="str">
        <x:v>GATE</x:v>
      </x:c>
      <x:c r="D1272" t="str">
        <x:v>release state mirrors governing ledger</x:v>
      </x:c>
      <x:c r="E1272" t="str">
        <x:f>'Release Gates'!I1246</x:f>
        <x:v>OPEN</x:v>
      </x:c>
      <x:c r="F1272" t="str">
        <x:f>IF('Release Gates'!C1246="PLANNING","PASS",IF('Release Gates'!C1246="PHYSICAL","OPEN","BLOCKED"))</x:f>
        <x:v>OPEN</x:v>
      </x:c>
      <x:c r="G1272" t="str">
        <x:v>equals</x:v>
      </x:c>
      <x:c r="H1272" t="str">
        <x:f>IF(E1272=F1272,"PASS","FAIL")</x:f>
        <x:v>PASS</x:v>
      </x:c>
    </x:row>
    <x:row r="1273">
      <x:c r="B1273" t="str">
        <x:v>A-01241</x:v>
      </x:c>
      <x:c r="C1273" t="str">
        <x:v>GATE</x:v>
      </x:c>
      <x:c r="D1273" t="str">
        <x:v>release state mirrors governing ledger</x:v>
      </x:c>
      <x:c r="E1273" t="str">
        <x:f>'Release Gates'!I1247</x:f>
        <x:v>OPEN</x:v>
      </x:c>
      <x:c r="F1273" t="str">
        <x:f>IF('Release Gates'!C1247="PLANNING","PASS",IF('Release Gates'!C1247="PHYSICAL","OPEN","BLOCKED"))</x:f>
        <x:v>OPEN</x:v>
      </x:c>
      <x:c r="G1273" t="str">
        <x:v>equals</x:v>
      </x:c>
      <x:c r="H1273" t="str">
        <x:f>IF(E1273=F1273,"PASS","FAIL")</x:f>
        <x:v>PASS</x:v>
      </x:c>
    </x:row>
    <x:row r="1274">
      <x:c r="B1274" t="str">
        <x:v>A-01242</x:v>
      </x:c>
      <x:c r="C1274" t="str">
        <x:v>GATE</x:v>
      </x:c>
      <x:c r="D1274" t="str">
        <x:v>release state mirrors governing ledger</x:v>
      </x:c>
      <x:c r="E1274" t="str">
        <x:f>'Release Gates'!I1248</x:f>
        <x:v>OPEN</x:v>
      </x:c>
      <x:c r="F1274" t="str">
        <x:f>IF('Release Gates'!C1248="PLANNING","PASS",IF('Release Gates'!C1248="PHYSICAL","OPEN","BLOCKED"))</x:f>
        <x:v>OPEN</x:v>
      </x:c>
      <x:c r="G1274" t="str">
        <x:v>equals</x:v>
      </x:c>
      <x:c r="H1274" t="str">
        <x:f>IF(E1274=F1274,"PASS","FAIL")</x:f>
        <x:v>PASS</x:v>
      </x:c>
    </x:row>
    <x:row r="1275">
      <x:c r="B1275" t="str">
        <x:v>A-01243</x:v>
      </x:c>
      <x:c r="C1275" t="str">
        <x:v>GATE</x:v>
      </x:c>
      <x:c r="D1275" t="str">
        <x:v>release state mirrors governing ledger</x:v>
      </x:c>
      <x:c r="E1275" t="str">
        <x:f>'Release Gates'!I1249</x:f>
        <x:v>OPEN</x:v>
      </x:c>
      <x:c r="F1275" t="str">
        <x:f>IF('Release Gates'!C1249="PLANNING","PASS",IF('Release Gates'!C1249="PHYSICAL","OPEN","BLOCKED"))</x:f>
        <x:v>OPEN</x:v>
      </x:c>
      <x:c r="G1275" t="str">
        <x:v>equals</x:v>
      </x:c>
      <x:c r="H1275" t="str">
        <x:f>IF(E1275=F1275,"PASS","FAIL")</x:f>
        <x:v>PASS</x:v>
      </x:c>
    </x:row>
    <x:row r="1276">
      <x:c r="B1276" t="str">
        <x:v>A-01244</x:v>
      </x:c>
      <x:c r="C1276" t="str">
        <x:v>GATE</x:v>
      </x:c>
      <x:c r="D1276" t="str">
        <x:v>release state mirrors governing ledger</x:v>
      </x:c>
      <x:c r="E1276" t="str">
        <x:f>'Release Gates'!I1250</x:f>
        <x:v>OPEN</x:v>
      </x:c>
      <x:c r="F1276" t="str">
        <x:f>IF('Release Gates'!C1250="PLANNING","PASS",IF('Release Gates'!C1250="PHYSICAL","OPEN","BLOCKED"))</x:f>
        <x:v>OPEN</x:v>
      </x:c>
      <x:c r="G1276" t="str">
        <x:v>equals</x:v>
      </x:c>
      <x:c r="H1276" t="str">
        <x:f>IF(E1276=F1276,"PASS","FAIL")</x:f>
        <x:v>PASS</x:v>
      </x:c>
    </x:row>
    <x:row r="1277">
      <x:c r="B1277" t="str">
        <x:v>A-01245</x:v>
      </x:c>
      <x:c r="C1277" t="str">
        <x:v>GATE</x:v>
      </x:c>
      <x:c r="D1277" t="str">
        <x:v>release state mirrors governing ledger</x:v>
      </x:c>
      <x:c r="E1277" t="str">
        <x:f>'Release Gates'!I1251</x:f>
        <x:v>OPEN</x:v>
      </x:c>
      <x:c r="F1277" t="str">
        <x:f>IF('Release Gates'!C1251="PLANNING","PASS",IF('Release Gates'!C1251="PHYSICAL","OPEN","BLOCKED"))</x:f>
        <x:v>OPEN</x:v>
      </x:c>
      <x:c r="G1277" t="str">
        <x:v>equals</x:v>
      </x:c>
      <x:c r="H1277" t="str">
        <x:f>IF(E1277=F1277,"PASS","FAIL")</x:f>
        <x:v>PASS</x:v>
      </x:c>
    </x:row>
    <x:row r="1278">
      <x:c r="B1278" t="str">
        <x:v>A-01246</x:v>
      </x:c>
      <x:c r="C1278" t="str">
        <x:v>GATE</x:v>
      </x:c>
      <x:c r="D1278" t="str">
        <x:v>release state mirrors governing ledger</x:v>
      </x:c>
      <x:c r="E1278" t="str">
        <x:f>'Release Gates'!I1252</x:f>
        <x:v>OPEN</x:v>
      </x:c>
      <x:c r="F1278" t="str">
        <x:f>IF('Release Gates'!C1252="PLANNING","PASS",IF('Release Gates'!C1252="PHYSICAL","OPEN","BLOCKED"))</x:f>
        <x:v>OPEN</x:v>
      </x:c>
      <x:c r="G1278" t="str">
        <x:v>equals</x:v>
      </x:c>
      <x:c r="H1278" t="str">
        <x:f>IF(E1278=F1278,"PASS","FAIL")</x:f>
        <x:v>PASS</x:v>
      </x:c>
    </x:row>
    <x:row r="1279">
      <x:c r="B1279" t="str">
        <x:v>A-01247</x:v>
      </x:c>
      <x:c r="C1279" t="str">
        <x:v>GATE</x:v>
      </x:c>
      <x:c r="D1279" t="str">
        <x:v>release state mirrors governing ledger</x:v>
      </x:c>
      <x:c r="E1279" t="str">
        <x:f>'Release Gates'!I1253</x:f>
        <x:v>OPEN</x:v>
      </x:c>
      <x:c r="F1279" t="str">
        <x:f>IF('Release Gates'!C1253="PLANNING","PASS",IF('Release Gates'!C1253="PHYSICAL","OPEN","BLOCKED"))</x:f>
        <x:v>OPEN</x:v>
      </x:c>
      <x:c r="G1279" t="str">
        <x:v>equals</x:v>
      </x:c>
      <x:c r="H1279" t="str">
        <x:f>IF(E1279=F1279,"PASS","FAIL")</x:f>
        <x:v>PASS</x:v>
      </x:c>
    </x:row>
    <x:row r="1280">
      <x:c r="B1280" t="str">
        <x:v>A-01248</x:v>
      </x:c>
      <x:c r="C1280" t="str">
        <x:v>GATE</x:v>
      </x:c>
      <x:c r="D1280" t="str">
        <x:v>release state mirrors governing ledger</x:v>
      </x:c>
      <x:c r="E1280" t="str">
        <x:f>'Release Gates'!I1254</x:f>
        <x:v>OPEN</x:v>
      </x:c>
      <x:c r="F1280" t="str">
        <x:f>IF('Release Gates'!C1254="PLANNING","PASS",IF('Release Gates'!C1254="PHYSICAL","OPEN","BLOCKED"))</x:f>
        <x:v>OPEN</x:v>
      </x:c>
      <x:c r="G1280" t="str">
        <x:v>equals</x:v>
      </x:c>
      <x:c r="H1280" t="str">
        <x:f>IF(E1280=F1280,"PASS","FAIL")</x:f>
        <x:v>PASS</x:v>
      </x:c>
    </x:row>
    <x:row r="1281">
      <x:c r="B1281" t="str">
        <x:v>A-01249</x:v>
      </x:c>
      <x:c r="C1281" t="str">
        <x:v>GATE</x:v>
      </x:c>
      <x:c r="D1281" t="str">
        <x:v>release state mirrors governing ledger</x:v>
      </x:c>
      <x:c r="E1281" t="str">
        <x:f>'Release Gates'!I1255</x:f>
        <x:v>OPEN</x:v>
      </x:c>
      <x:c r="F1281" t="str">
        <x:f>IF('Release Gates'!C1255="PLANNING","PASS",IF('Release Gates'!C1255="PHYSICAL","OPEN","BLOCKED"))</x:f>
        <x:v>OPEN</x:v>
      </x:c>
      <x:c r="G1281" t="str">
        <x:v>equals</x:v>
      </x:c>
      <x:c r="H1281" t="str">
        <x:f>IF(E1281=F1281,"PASS","FAIL")</x:f>
        <x:v>PASS</x:v>
      </x:c>
    </x:row>
    <x:row r="1282">
      <x:c r="B1282" t="str">
        <x:v>A-01250</x:v>
      </x:c>
      <x:c r="C1282" t="str">
        <x:v>GATE</x:v>
      </x:c>
      <x:c r="D1282" t="str">
        <x:v>release state mirrors governing ledger</x:v>
      </x:c>
      <x:c r="E1282" t="str">
        <x:f>'Release Gates'!I1256</x:f>
        <x:v>OPEN</x:v>
      </x:c>
      <x:c r="F1282" t="str">
        <x:f>IF('Release Gates'!C1256="PLANNING","PASS",IF('Release Gates'!C1256="PHYSICAL","OPEN","BLOCKED"))</x:f>
        <x:v>OPEN</x:v>
      </x:c>
      <x:c r="G1282" t="str">
        <x:v>equals</x:v>
      </x:c>
      <x:c r="H1282" t="str">
        <x:f>IF(E1282=F1282,"PASS","FAIL")</x:f>
        <x:v>PASS</x:v>
      </x:c>
    </x:row>
    <x:row r="1283">
      <x:c r="B1283" t="str">
        <x:v>A-01251</x:v>
      </x:c>
      <x:c r="C1283" t="str">
        <x:v>GATE</x:v>
      </x:c>
      <x:c r="D1283" t="str">
        <x:v>release state mirrors governing ledger</x:v>
      </x:c>
      <x:c r="E1283" t="str">
        <x:f>'Release Gates'!I1257</x:f>
        <x:v>OPEN</x:v>
      </x:c>
      <x:c r="F1283" t="str">
        <x:f>IF('Release Gates'!C1257="PLANNING","PASS",IF('Release Gates'!C1257="PHYSICAL","OPEN","BLOCKED"))</x:f>
        <x:v>OPEN</x:v>
      </x:c>
      <x:c r="G1283" t="str">
        <x:v>equals</x:v>
      </x:c>
      <x:c r="H1283" t="str">
        <x:f>IF(E1283=F1283,"PASS","FAIL")</x:f>
        <x:v>PASS</x:v>
      </x:c>
    </x:row>
    <x:row r="1284">
      <x:c r="B1284" t="str">
        <x:v>A-01252</x:v>
      </x:c>
      <x:c r="C1284" t="str">
        <x:v>GATE</x:v>
      </x:c>
      <x:c r="D1284" t="str">
        <x:v>release state mirrors governing ledger</x:v>
      </x:c>
      <x:c r="E1284" t="str">
        <x:f>'Release Gates'!I1258</x:f>
        <x:v>OPEN</x:v>
      </x:c>
      <x:c r="F1284" t="str">
        <x:f>IF('Release Gates'!C1258="PLANNING","PASS",IF('Release Gates'!C1258="PHYSICAL","OPEN","BLOCKED"))</x:f>
        <x:v>OPEN</x:v>
      </x:c>
      <x:c r="G1284" t="str">
        <x:v>equals</x:v>
      </x:c>
      <x:c r="H1284" t="str">
        <x:f>IF(E1284=F1284,"PASS","FAIL")</x:f>
        <x:v>PASS</x:v>
      </x:c>
    </x:row>
    <x:row r="1285">
      <x:c r="B1285" t="str">
        <x:v>A-01253</x:v>
      </x:c>
      <x:c r="C1285" t="str">
        <x:v>GATE</x:v>
      </x:c>
      <x:c r="D1285" t="str">
        <x:v>release state mirrors governing ledger</x:v>
      </x:c>
      <x:c r="E1285" t="str">
        <x:f>'Release Gates'!I1259</x:f>
        <x:v>OPEN</x:v>
      </x:c>
      <x:c r="F1285" t="str">
        <x:f>IF('Release Gates'!C1259="PLANNING","PASS",IF('Release Gates'!C1259="PHYSICAL","OPEN","BLOCKED"))</x:f>
        <x:v>OPEN</x:v>
      </x:c>
      <x:c r="G1285" t="str">
        <x:v>equals</x:v>
      </x:c>
      <x:c r="H1285" t="str">
        <x:f>IF(E1285=F1285,"PASS","FAIL")</x:f>
        <x:v>PASS</x:v>
      </x:c>
    </x:row>
    <x:row r="1286">
      <x:c r="B1286" t="str">
        <x:v>A-01254</x:v>
      </x:c>
      <x:c r="C1286" t="str">
        <x:v>GATE</x:v>
      </x:c>
      <x:c r="D1286" t="str">
        <x:v>release state mirrors governing ledger</x:v>
      </x:c>
      <x:c r="E1286" t="str">
        <x:f>'Release Gates'!I1260</x:f>
        <x:v>OPEN</x:v>
      </x:c>
      <x:c r="F1286" t="str">
        <x:f>IF('Release Gates'!C1260="PLANNING","PASS",IF('Release Gates'!C1260="PHYSICAL","OPEN","BLOCKED"))</x:f>
        <x:v>OPEN</x:v>
      </x:c>
      <x:c r="G1286" t="str">
        <x:v>equals</x:v>
      </x:c>
      <x:c r="H1286" t="str">
        <x:f>IF(E1286=F1286,"PASS","FAIL")</x:f>
        <x:v>PASS</x:v>
      </x:c>
    </x:row>
    <x:row r="1287">
      <x:c r="B1287" t="str">
        <x:v>A-01255</x:v>
      </x:c>
      <x:c r="C1287" t="str">
        <x:v>GATE</x:v>
      </x:c>
      <x:c r="D1287" t="str">
        <x:v>release state mirrors governing ledger</x:v>
      </x:c>
      <x:c r="E1287" t="str">
        <x:f>'Release Gates'!I1261</x:f>
        <x:v>OPEN</x:v>
      </x:c>
      <x:c r="F1287" t="str">
        <x:f>IF('Release Gates'!C1261="PLANNING","PASS",IF('Release Gates'!C1261="PHYSICAL","OPEN","BLOCKED"))</x:f>
        <x:v>OPEN</x:v>
      </x:c>
      <x:c r="G1287" t="str">
        <x:v>equals</x:v>
      </x:c>
      <x:c r="H1287" t="str">
        <x:f>IF(E1287=F1287,"PASS","FAIL")</x:f>
        <x:v>PASS</x:v>
      </x:c>
    </x:row>
    <x:row r="1288">
      <x:c r="B1288" t="str">
        <x:v>A-01256</x:v>
      </x:c>
      <x:c r="C1288" t="str">
        <x:v>GATE</x:v>
      </x:c>
      <x:c r="D1288" t="str">
        <x:v>release state mirrors governing ledger</x:v>
      </x:c>
      <x:c r="E1288" t="str">
        <x:f>'Release Gates'!I1262</x:f>
        <x:v>OPEN</x:v>
      </x:c>
      <x:c r="F1288" t="str">
        <x:f>IF('Release Gates'!C1262="PLANNING","PASS",IF('Release Gates'!C1262="PHYSICAL","OPEN","BLOCKED"))</x:f>
        <x:v>OPEN</x:v>
      </x:c>
      <x:c r="G1288" t="str">
        <x:v>equals</x:v>
      </x:c>
      <x:c r="H1288" t="str">
        <x:f>IF(E1288=F1288,"PASS","FAIL")</x:f>
        <x:v>PASS</x:v>
      </x:c>
    </x:row>
    <x:row r="1289">
      <x:c r="B1289" t="str">
        <x:v>A-01257</x:v>
      </x:c>
      <x:c r="C1289" t="str">
        <x:v>GATE</x:v>
      </x:c>
      <x:c r="D1289" t="str">
        <x:v>release state mirrors governing ledger</x:v>
      </x:c>
      <x:c r="E1289" t="str">
        <x:f>'Release Gates'!I1263</x:f>
        <x:v>OPEN</x:v>
      </x:c>
      <x:c r="F1289" t="str">
        <x:f>IF('Release Gates'!C1263="PLANNING","PASS",IF('Release Gates'!C1263="PHYSICAL","OPEN","BLOCKED"))</x:f>
        <x:v>OPEN</x:v>
      </x:c>
      <x:c r="G1289" t="str">
        <x:v>equals</x:v>
      </x:c>
      <x:c r="H1289" t="str">
        <x:f>IF(E1289=F1289,"PASS","FAIL")</x:f>
        <x:v>PASS</x:v>
      </x:c>
    </x:row>
    <x:row r="1290">
      <x:c r="B1290" t="str">
        <x:v>A-01258</x:v>
      </x:c>
      <x:c r="C1290" t="str">
        <x:v>GATE</x:v>
      </x:c>
      <x:c r="D1290" t="str">
        <x:v>release state mirrors governing ledger</x:v>
      </x:c>
      <x:c r="E1290" t="str">
        <x:f>'Release Gates'!I1264</x:f>
        <x:v>OPEN</x:v>
      </x:c>
      <x:c r="F1290" t="str">
        <x:f>IF('Release Gates'!C1264="PLANNING","PASS",IF('Release Gates'!C1264="PHYSICAL","OPEN","BLOCKED"))</x:f>
        <x:v>OPEN</x:v>
      </x:c>
      <x:c r="G1290" t="str">
        <x:v>equals</x:v>
      </x:c>
      <x:c r="H1290" t="str">
        <x:f>IF(E1290=F1290,"PASS","FAIL")</x:f>
        <x:v>PASS</x:v>
      </x:c>
    </x:row>
    <x:row r="1291">
      <x:c r="B1291" t="str">
        <x:v>A-01259</x:v>
      </x:c>
      <x:c r="C1291" t="str">
        <x:v>GATE</x:v>
      </x:c>
      <x:c r="D1291" t="str">
        <x:v>release state mirrors governing ledger</x:v>
      </x:c>
      <x:c r="E1291" t="str">
        <x:f>'Release Gates'!I1265</x:f>
        <x:v>OPEN</x:v>
      </x:c>
      <x:c r="F1291" t="str">
        <x:f>IF('Release Gates'!C1265="PLANNING","PASS",IF('Release Gates'!C1265="PHYSICAL","OPEN","BLOCKED"))</x:f>
        <x:v>OPEN</x:v>
      </x:c>
      <x:c r="G1291" t="str">
        <x:v>equals</x:v>
      </x:c>
      <x:c r="H1291" t="str">
        <x:f>IF(E1291=F1291,"PASS","FAIL")</x:f>
        <x:v>PASS</x:v>
      </x:c>
    </x:row>
    <x:row r="1292">
      <x:c r="B1292" t="str">
        <x:v>A-01260</x:v>
      </x:c>
      <x:c r="C1292" t="str">
        <x:v>GATE</x:v>
      </x:c>
      <x:c r="D1292" t="str">
        <x:v>release state mirrors governing ledger</x:v>
      </x:c>
      <x:c r="E1292" t="str">
        <x:f>'Release Gates'!I1266</x:f>
        <x:v>OPEN</x:v>
      </x:c>
      <x:c r="F1292" t="str">
        <x:f>IF('Release Gates'!C1266="PLANNING","PASS",IF('Release Gates'!C1266="PHYSICAL","OPEN","BLOCKED"))</x:f>
        <x:v>OPEN</x:v>
      </x:c>
      <x:c r="G1292" t="str">
        <x:v>equals</x:v>
      </x:c>
      <x:c r="H1292" t="str">
        <x:f>IF(E1292=F1292,"PASS","FAIL")</x:f>
        <x:v>PASS</x:v>
      </x:c>
    </x:row>
    <x:row r="1293">
      <x:c r="B1293" t="str">
        <x:v>A-01261</x:v>
      </x:c>
      <x:c r="C1293" t="str">
        <x:v>GATE</x:v>
      </x:c>
      <x:c r="D1293" t="str">
        <x:v>release state mirrors governing ledger</x:v>
      </x:c>
      <x:c r="E1293" t="str">
        <x:f>'Release Gates'!I1267</x:f>
        <x:v>OPEN</x:v>
      </x:c>
      <x:c r="F1293" t="str">
        <x:f>IF('Release Gates'!C1267="PLANNING","PASS",IF('Release Gates'!C1267="PHYSICAL","OPEN","BLOCKED"))</x:f>
        <x:v>OPEN</x:v>
      </x:c>
      <x:c r="G1293" t="str">
        <x:v>equals</x:v>
      </x:c>
      <x:c r="H1293" t="str">
        <x:f>IF(E1293=F1293,"PASS","FAIL")</x:f>
        <x:v>PASS</x:v>
      </x:c>
    </x:row>
    <x:row r="1294">
      <x:c r="B1294" t="str">
        <x:v>A-01262</x:v>
      </x:c>
      <x:c r="C1294" t="str">
        <x:v>GATE</x:v>
      </x:c>
      <x:c r="D1294" t="str">
        <x:v>release state mirrors governing ledger</x:v>
      </x:c>
      <x:c r="E1294" t="str">
        <x:f>'Release Gates'!I1268</x:f>
        <x:v>OPEN</x:v>
      </x:c>
      <x:c r="F1294" t="str">
        <x:f>IF('Release Gates'!C1268="PLANNING","PASS",IF('Release Gates'!C1268="PHYSICAL","OPEN","BLOCKED"))</x:f>
        <x:v>OPEN</x:v>
      </x:c>
      <x:c r="G1294" t="str">
        <x:v>equals</x:v>
      </x:c>
      <x:c r="H1294" t="str">
        <x:f>IF(E1294=F1294,"PASS","FAIL")</x:f>
        <x:v>PASS</x:v>
      </x:c>
    </x:row>
    <x:row r="1295">
      <x:c r="B1295" t="str">
        <x:v>A-01263</x:v>
      </x:c>
      <x:c r="C1295" t="str">
        <x:v>GATE</x:v>
      </x:c>
      <x:c r="D1295" t="str">
        <x:v>release state mirrors governing ledger</x:v>
      </x:c>
      <x:c r="E1295" t="str">
        <x:f>'Release Gates'!I1269</x:f>
        <x:v>OPEN</x:v>
      </x:c>
      <x:c r="F1295" t="str">
        <x:f>IF('Release Gates'!C1269="PLANNING","PASS",IF('Release Gates'!C1269="PHYSICAL","OPEN","BLOCKED"))</x:f>
        <x:v>OPEN</x:v>
      </x:c>
      <x:c r="G1295" t="str">
        <x:v>equals</x:v>
      </x:c>
      <x:c r="H1295" t="str">
        <x:f>IF(E1295=F1295,"PASS","FAIL")</x:f>
        <x:v>PASS</x:v>
      </x:c>
    </x:row>
    <x:row r="1296">
      <x:c r="B1296" t="str">
        <x:v>A-01264</x:v>
      </x:c>
      <x:c r="C1296" t="str">
        <x:v>GATE</x:v>
      </x:c>
      <x:c r="D1296" t="str">
        <x:v>release state mirrors governing ledger</x:v>
      </x:c>
      <x:c r="E1296" t="str">
        <x:f>'Release Gates'!I1270</x:f>
        <x:v>OPEN</x:v>
      </x:c>
      <x:c r="F1296" t="str">
        <x:f>IF('Release Gates'!C1270="PLANNING","PASS",IF('Release Gates'!C1270="PHYSICAL","OPEN","BLOCKED"))</x:f>
        <x:v>OPEN</x:v>
      </x:c>
      <x:c r="G1296" t="str">
        <x:v>equals</x:v>
      </x:c>
      <x:c r="H1296" t="str">
        <x:f>IF(E1296=F1296,"PASS","FAIL")</x:f>
        <x:v>PASS</x:v>
      </x:c>
    </x:row>
    <x:row r="1297">
      <x:c r="B1297" t="str">
        <x:v>A-01265</x:v>
      </x:c>
      <x:c r="C1297" t="str">
        <x:v>GATE</x:v>
      </x:c>
      <x:c r="D1297" t="str">
        <x:v>release state mirrors governing ledger</x:v>
      </x:c>
      <x:c r="E1297" t="str">
        <x:f>'Release Gates'!I1271</x:f>
        <x:v>OPEN</x:v>
      </x:c>
      <x:c r="F1297" t="str">
        <x:f>IF('Release Gates'!C1271="PLANNING","PASS",IF('Release Gates'!C1271="PHYSICAL","OPEN","BLOCKED"))</x:f>
        <x:v>OPEN</x:v>
      </x:c>
      <x:c r="G1297" t="str">
        <x:v>equals</x:v>
      </x:c>
      <x:c r="H1297" t="str">
        <x:f>IF(E1297=F1297,"PASS","FAIL")</x:f>
        <x:v>PASS</x:v>
      </x:c>
    </x:row>
    <x:row r="1298">
      <x:c r="B1298" t="str">
        <x:v>A-01266</x:v>
      </x:c>
      <x:c r="C1298" t="str">
        <x:v>GATE</x:v>
      </x:c>
      <x:c r="D1298" t="str">
        <x:v>release state mirrors governing ledger</x:v>
      </x:c>
      <x:c r="E1298" t="str">
        <x:f>'Release Gates'!I1272</x:f>
        <x:v>OPEN</x:v>
      </x:c>
      <x:c r="F1298" t="str">
        <x:f>IF('Release Gates'!C1272="PLANNING","PASS",IF('Release Gates'!C1272="PHYSICAL","OPEN","BLOCKED"))</x:f>
        <x:v>OPEN</x:v>
      </x:c>
      <x:c r="G1298" t="str">
        <x:v>equals</x:v>
      </x:c>
      <x:c r="H1298" t="str">
        <x:f>IF(E1298=F1298,"PASS","FAIL")</x:f>
        <x:v>PASS</x:v>
      </x:c>
    </x:row>
    <x:row r="1299">
      <x:c r="B1299" t="str">
        <x:v>A-01267</x:v>
      </x:c>
      <x:c r="C1299" t="str">
        <x:v>GATE</x:v>
      </x:c>
      <x:c r="D1299" t="str">
        <x:v>release state mirrors governing ledger</x:v>
      </x:c>
      <x:c r="E1299" t="str">
        <x:f>'Release Gates'!I1273</x:f>
        <x:v>OPEN</x:v>
      </x:c>
      <x:c r="F1299" t="str">
        <x:f>IF('Release Gates'!C1273="PLANNING","PASS",IF('Release Gates'!C1273="PHYSICAL","OPEN","BLOCKED"))</x:f>
        <x:v>OPEN</x:v>
      </x:c>
      <x:c r="G1299" t="str">
        <x:v>equals</x:v>
      </x:c>
      <x:c r="H1299" t="str">
        <x:f>IF(E1299=F1299,"PASS","FAIL")</x:f>
        <x:v>PASS</x:v>
      </x:c>
    </x:row>
    <x:row r="1300">
      <x:c r="B1300" t="str">
        <x:v>A-01268</x:v>
      </x:c>
      <x:c r="C1300" t="str">
        <x:v>GATE</x:v>
      </x:c>
      <x:c r="D1300" t="str">
        <x:v>release state mirrors governing ledger</x:v>
      </x:c>
      <x:c r="E1300" t="str">
        <x:f>'Release Gates'!I1274</x:f>
        <x:v>OPEN</x:v>
      </x:c>
      <x:c r="F1300" t="str">
        <x:f>IF('Release Gates'!C1274="PLANNING","PASS",IF('Release Gates'!C1274="PHYSICAL","OPEN","BLOCKED"))</x:f>
        <x:v>OPEN</x:v>
      </x:c>
      <x:c r="G1300" t="str">
        <x:v>equals</x:v>
      </x:c>
      <x:c r="H1300" t="str">
        <x:f>IF(E1300=F1300,"PASS","FAIL")</x:f>
        <x:v>PASS</x:v>
      </x:c>
    </x:row>
    <x:row r="1301">
      <x:c r="B1301" t="str">
        <x:v>A-01269</x:v>
      </x:c>
      <x:c r="C1301" t="str">
        <x:v>GATE</x:v>
      </x:c>
      <x:c r="D1301" t="str">
        <x:v>release state mirrors governing ledger</x:v>
      </x:c>
      <x:c r="E1301" t="str">
        <x:f>'Release Gates'!I1275</x:f>
        <x:v>OPEN</x:v>
      </x:c>
      <x:c r="F1301" t="str">
        <x:f>IF('Release Gates'!C1275="PLANNING","PASS",IF('Release Gates'!C1275="PHYSICAL","OPEN","BLOCKED"))</x:f>
        <x:v>OPEN</x:v>
      </x:c>
      <x:c r="G1301" t="str">
        <x:v>equals</x:v>
      </x:c>
      <x:c r="H1301" t="str">
        <x:f>IF(E1301=F1301,"PASS","FAIL")</x:f>
        <x:v>PASS</x:v>
      </x:c>
    </x:row>
    <x:row r="1302">
      <x:c r="B1302" t="str">
        <x:v>A-01270</x:v>
      </x:c>
      <x:c r="C1302" t="str">
        <x:v>GATE</x:v>
      </x:c>
      <x:c r="D1302" t="str">
        <x:v>release state mirrors governing ledger</x:v>
      </x:c>
      <x:c r="E1302" t="str">
        <x:f>'Release Gates'!I1276</x:f>
        <x:v>OPEN</x:v>
      </x:c>
      <x:c r="F1302" t="str">
        <x:f>IF('Release Gates'!C1276="PLANNING","PASS",IF('Release Gates'!C1276="PHYSICAL","OPEN","BLOCKED"))</x:f>
        <x:v>OPEN</x:v>
      </x:c>
      <x:c r="G1302" t="str">
        <x:v>equals</x:v>
      </x:c>
      <x:c r="H1302" t="str">
        <x:f>IF(E1302=F1302,"PASS","FAIL")</x:f>
        <x:v>PASS</x:v>
      </x:c>
    </x:row>
    <x:row r="1303">
      <x:c r="B1303" t="str">
        <x:v>A-01271</x:v>
      </x:c>
      <x:c r="C1303" t="str">
        <x:v>GATE</x:v>
      </x:c>
      <x:c r="D1303" t="str">
        <x:v>release state mirrors governing ledger</x:v>
      </x:c>
      <x:c r="E1303" t="str">
        <x:f>'Release Gates'!I1277</x:f>
        <x:v>OPEN</x:v>
      </x:c>
      <x:c r="F1303" t="str">
        <x:f>IF('Release Gates'!C1277="PLANNING","PASS",IF('Release Gates'!C1277="PHYSICAL","OPEN","BLOCKED"))</x:f>
        <x:v>OPEN</x:v>
      </x:c>
      <x:c r="G1303" t="str">
        <x:v>equals</x:v>
      </x:c>
      <x:c r="H1303" t="str">
        <x:f>IF(E1303=F1303,"PASS","FAIL")</x:f>
        <x:v>PASS</x:v>
      </x:c>
    </x:row>
    <x:row r="1304">
      <x:c r="B1304" t="str">
        <x:v>A-01272</x:v>
      </x:c>
      <x:c r="C1304" t="str">
        <x:v>GATE</x:v>
      </x:c>
      <x:c r="D1304" t="str">
        <x:v>release state mirrors governing ledger</x:v>
      </x:c>
      <x:c r="E1304" t="str">
        <x:f>'Release Gates'!I1278</x:f>
        <x:v>OPEN</x:v>
      </x:c>
      <x:c r="F1304" t="str">
        <x:f>IF('Release Gates'!C1278="PLANNING","PASS",IF('Release Gates'!C1278="PHYSICAL","OPEN","BLOCKED"))</x:f>
        <x:v>OPEN</x:v>
      </x:c>
      <x:c r="G1304" t="str">
        <x:v>equals</x:v>
      </x:c>
      <x:c r="H1304" t="str">
        <x:f>IF(E1304=F1304,"PASS","FAIL")</x:f>
        <x:v>PASS</x:v>
      </x:c>
    </x:row>
    <x:row r="1305">
      <x:c r="B1305" t="str">
        <x:v>A-01273</x:v>
      </x:c>
      <x:c r="C1305" t="str">
        <x:v>GATE</x:v>
      </x:c>
      <x:c r="D1305" t="str">
        <x:v>release state mirrors governing ledger</x:v>
      </x:c>
      <x:c r="E1305" t="str">
        <x:f>'Release Gates'!I1279</x:f>
        <x:v>OPEN</x:v>
      </x:c>
      <x:c r="F1305" t="str">
        <x:f>IF('Release Gates'!C1279="PLANNING","PASS",IF('Release Gates'!C1279="PHYSICAL","OPEN","BLOCKED"))</x:f>
        <x:v>OPEN</x:v>
      </x:c>
      <x:c r="G1305" t="str">
        <x:v>equals</x:v>
      </x:c>
      <x:c r="H1305" t="str">
        <x:f>IF(E1305=F1305,"PASS","FAIL")</x:f>
        <x:v>PASS</x:v>
      </x:c>
    </x:row>
    <x:row r="1306">
      <x:c r="B1306" t="str">
        <x:v>A-01274</x:v>
      </x:c>
      <x:c r="C1306" t="str">
        <x:v>GATE</x:v>
      </x:c>
      <x:c r="D1306" t="str">
        <x:v>release state mirrors governing ledger</x:v>
      </x:c>
      <x:c r="E1306" t="str">
        <x:f>'Release Gates'!I1280</x:f>
        <x:v>OPEN</x:v>
      </x:c>
      <x:c r="F1306" t="str">
        <x:f>IF('Release Gates'!C1280="PLANNING","PASS",IF('Release Gates'!C1280="PHYSICAL","OPEN","BLOCKED"))</x:f>
        <x:v>OPEN</x:v>
      </x:c>
      <x:c r="G1306" t="str">
        <x:v>equals</x:v>
      </x:c>
      <x:c r="H1306" t="str">
        <x:f>IF(E1306=F1306,"PASS","FAIL")</x:f>
        <x:v>PASS</x:v>
      </x:c>
    </x:row>
    <x:row r="1307">
      <x:c r="B1307" t="str">
        <x:v>A-01275</x:v>
      </x:c>
      <x:c r="C1307" t="str">
        <x:v>GATE</x:v>
      </x:c>
      <x:c r="D1307" t="str">
        <x:v>release state mirrors governing ledger</x:v>
      </x:c>
      <x:c r="E1307" t="str">
        <x:f>'Release Gates'!I1281</x:f>
        <x:v>OPEN</x:v>
      </x:c>
      <x:c r="F1307" t="str">
        <x:f>IF('Release Gates'!C1281="PLANNING","PASS",IF('Release Gates'!C1281="PHYSICAL","OPEN","BLOCKED"))</x:f>
        <x:v>OPEN</x:v>
      </x:c>
      <x:c r="G1307" t="str">
        <x:v>equals</x:v>
      </x:c>
      <x:c r="H1307" t="str">
        <x:f>IF(E1307=F1307,"PASS","FAIL")</x:f>
        <x:v>PASS</x:v>
      </x:c>
    </x:row>
    <x:row r="1308">
      <x:c r="B1308" t="str">
        <x:v>A-01276</x:v>
      </x:c>
      <x:c r="C1308" t="str">
        <x:v>GATE</x:v>
      </x:c>
      <x:c r="D1308" t="str">
        <x:v>release state mirrors governing ledger</x:v>
      </x:c>
      <x:c r="E1308" t="str">
        <x:f>'Release Gates'!I1282</x:f>
        <x:v>OPEN</x:v>
      </x:c>
      <x:c r="F1308" t="str">
        <x:f>IF('Release Gates'!C1282="PLANNING","PASS",IF('Release Gates'!C1282="PHYSICAL","OPEN","BLOCKED"))</x:f>
        <x:v>OPEN</x:v>
      </x:c>
      <x:c r="G1308" t="str">
        <x:v>equals</x:v>
      </x:c>
      <x:c r="H1308" t="str">
        <x:f>IF(E1308=F1308,"PASS","FAIL")</x:f>
        <x:v>PASS</x:v>
      </x:c>
    </x:row>
    <x:row r="1309">
      <x:c r="B1309" t="str">
        <x:v>A-01277</x:v>
      </x:c>
      <x:c r="C1309" t="str">
        <x:v>GATE</x:v>
      </x:c>
      <x:c r="D1309" t="str">
        <x:v>release state mirrors governing ledger</x:v>
      </x:c>
      <x:c r="E1309" t="str">
        <x:f>'Release Gates'!I1283</x:f>
        <x:v>OPEN</x:v>
      </x:c>
      <x:c r="F1309" t="str">
        <x:f>IF('Release Gates'!C1283="PLANNING","PASS",IF('Release Gates'!C1283="PHYSICAL","OPEN","BLOCKED"))</x:f>
        <x:v>OPEN</x:v>
      </x:c>
      <x:c r="G1309" t="str">
        <x:v>equals</x:v>
      </x:c>
      <x:c r="H1309" t="str">
        <x:f>IF(E1309=F1309,"PASS","FAIL")</x:f>
        <x:v>PASS</x:v>
      </x:c>
    </x:row>
    <x:row r="1310">
      <x:c r="B1310" t="str">
        <x:v>A-01278</x:v>
      </x:c>
      <x:c r="C1310" t="str">
        <x:v>GATE</x:v>
      </x:c>
      <x:c r="D1310" t="str">
        <x:v>release state mirrors governing ledger</x:v>
      </x:c>
      <x:c r="E1310" t="str">
        <x:f>'Release Gates'!I1284</x:f>
        <x:v>OPEN</x:v>
      </x:c>
      <x:c r="F1310" t="str">
        <x:f>IF('Release Gates'!C1284="PLANNING","PASS",IF('Release Gates'!C1284="PHYSICAL","OPEN","BLOCKED"))</x:f>
        <x:v>OPEN</x:v>
      </x:c>
      <x:c r="G1310" t="str">
        <x:v>equals</x:v>
      </x:c>
      <x:c r="H1310" t="str">
        <x:f>IF(E1310=F1310,"PASS","FAIL")</x:f>
        <x:v>PASS</x:v>
      </x:c>
    </x:row>
    <x:row r="1311">
      <x:c r="B1311" t="str">
        <x:v>A-01279</x:v>
      </x:c>
      <x:c r="C1311" t="str">
        <x:v>GATE</x:v>
      </x:c>
      <x:c r="D1311" t="str">
        <x:v>release state mirrors governing ledger</x:v>
      </x:c>
      <x:c r="E1311" t="str">
        <x:f>'Release Gates'!I1285</x:f>
        <x:v>OPEN</x:v>
      </x:c>
      <x:c r="F1311" t="str">
        <x:f>IF('Release Gates'!C1285="PLANNING","PASS",IF('Release Gates'!C1285="PHYSICAL","OPEN","BLOCKED"))</x:f>
        <x:v>OPEN</x:v>
      </x:c>
      <x:c r="G1311" t="str">
        <x:v>equals</x:v>
      </x:c>
      <x:c r="H1311" t="str">
        <x:f>IF(E1311=F1311,"PASS","FAIL")</x:f>
        <x:v>PASS</x:v>
      </x:c>
    </x:row>
    <x:row r="1312">
      <x:c r="B1312" t="str">
        <x:v>A-01280</x:v>
      </x:c>
      <x:c r="C1312" t="str">
        <x:v>GATE</x:v>
      </x:c>
      <x:c r="D1312" t="str">
        <x:v>release state mirrors governing ledger</x:v>
      </x:c>
      <x:c r="E1312" t="str">
        <x:f>'Release Gates'!I1286</x:f>
        <x:v>OPEN</x:v>
      </x:c>
      <x:c r="F1312" t="str">
        <x:f>IF('Release Gates'!C1286="PLANNING","PASS",IF('Release Gates'!C1286="PHYSICAL","OPEN","BLOCKED"))</x:f>
        <x:v>OPEN</x:v>
      </x:c>
      <x:c r="G1312" t="str">
        <x:v>equals</x:v>
      </x:c>
      <x:c r="H1312" t="str">
        <x:f>IF(E1312=F1312,"PASS","FAIL")</x:f>
        <x:v>PASS</x:v>
      </x:c>
    </x:row>
    <x:row r="1313">
      <x:c r="B1313" t="str">
        <x:v>A-01281</x:v>
      </x:c>
      <x:c r="C1313" t="str">
        <x:v>GATE</x:v>
      </x:c>
      <x:c r="D1313" t="str">
        <x:v>release state mirrors governing ledger</x:v>
      </x:c>
      <x:c r="E1313" t="str">
        <x:f>'Release Gates'!I1287</x:f>
        <x:v>OPEN</x:v>
      </x:c>
      <x:c r="F1313" t="str">
        <x:f>IF('Release Gates'!C1287="PLANNING","PASS",IF('Release Gates'!C1287="PHYSICAL","OPEN","BLOCKED"))</x:f>
        <x:v>OPEN</x:v>
      </x:c>
      <x:c r="G1313" t="str">
        <x:v>equals</x:v>
      </x:c>
      <x:c r="H1313" t="str">
        <x:f>IF(E1313=F1313,"PASS","FAIL")</x:f>
        <x:v>PASS</x:v>
      </x:c>
    </x:row>
    <x:row r="1314">
      <x:c r="B1314" t="str">
        <x:v>A-01282</x:v>
      </x:c>
      <x:c r="C1314" t="str">
        <x:v>GATE</x:v>
      </x:c>
      <x:c r="D1314" t="str">
        <x:v>release state mirrors governing ledger</x:v>
      </x:c>
      <x:c r="E1314" t="str">
        <x:f>'Release Gates'!I1288</x:f>
        <x:v>OPEN</x:v>
      </x:c>
      <x:c r="F1314" t="str">
        <x:f>IF('Release Gates'!C1288="PLANNING","PASS",IF('Release Gates'!C1288="PHYSICAL","OPEN","BLOCKED"))</x:f>
        <x:v>OPEN</x:v>
      </x:c>
      <x:c r="G1314" t="str">
        <x:v>equals</x:v>
      </x:c>
      <x:c r="H1314" t="str">
        <x:f>IF(E1314=F1314,"PASS","FAIL")</x:f>
        <x:v>PASS</x:v>
      </x:c>
    </x:row>
    <x:row r="1315">
      <x:c r="B1315" t="str">
        <x:v>A-01283</x:v>
      </x:c>
      <x:c r="C1315" t="str">
        <x:v>GATE</x:v>
      </x:c>
      <x:c r="D1315" t="str">
        <x:v>release state mirrors governing ledger</x:v>
      </x:c>
      <x:c r="E1315" t="str">
        <x:f>'Release Gates'!I1289</x:f>
        <x:v>OPEN</x:v>
      </x:c>
      <x:c r="F1315" t="str">
        <x:f>IF('Release Gates'!C1289="PLANNING","PASS",IF('Release Gates'!C1289="PHYSICAL","OPEN","BLOCKED"))</x:f>
        <x:v>OPEN</x:v>
      </x:c>
      <x:c r="G1315" t="str">
        <x:v>equals</x:v>
      </x:c>
      <x:c r="H1315" t="str">
        <x:f>IF(E1315=F1315,"PASS","FAIL")</x:f>
        <x:v>PASS</x:v>
      </x:c>
    </x:row>
    <x:row r="1316">
      <x:c r="B1316" t="str">
        <x:v>A-01284</x:v>
      </x:c>
      <x:c r="C1316" t="str">
        <x:v>GATE</x:v>
      </x:c>
      <x:c r="D1316" t="str">
        <x:v>release state mirrors governing ledger</x:v>
      </x:c>
      <x:c r="E1316" t="str">
        <x:f>'Release Gates'!I1290</x:f>
        <x:v>OPEN</x:v>
      </x:c>
      <x:c r="F1316" t="str">
        <x:f>IF('Release Gates'!C1290="PLANNING","PASS",IF('Release Gates'!C1290="PHYSICAL","OPEN","BLOCKED"))</x:f>
        <x:v>OPEN</x:v>
      </x:c>
      <x:c r="G1316" t="str">
        <x:v>equals</x:v>
      </x:c>
      <x:c r="H1316" t="str">
        <x:f>IF(E1316=F1316,"PASS","FAIL")</x:f>
        <x:v>PASS</x:v>
      </x:c>
    </x:row>
    <x:row r="1317">
      <x:c r="B1317" t="str">
        <x:v>A-01285</x:v>
      </x:c>
      <x:c r="C1317" t="str">
        <x:v>GATE</x:v>
      </x:c>
      <x:c r="D1317" t="str">
        <x:v>release state mirrors governing ledger</x:v>
      </x:c>
      <x:c r="E1317" t="str">
        <x:f>'Release Gates'!I1291</x:f>
        <x:v>OPEN</x:v>
      </x:c>
      <x:c r="F1317" t="str">
        <x:f>IF('Release Gates'!C1291="PLANNING","PASS",IF('Release Gates'!C1291="PHYSICAL","OPEN","BLOCKED"))</x:f>
        <x:v>OPEN</x:v>
      </x:c>
      <x:c r="G1317" t="str">
        <x:v>equals</x:v>
      </x:c>
      <x:c r="H1317" t="str">
        <x:f>IF(E1317=F1317,"PASS","FAIL")</x:f>
        <x:v>PASS</x:v>
      </x:c>
    </x:row>
    <x:row r="1318">
      <x:c r="B1318" t="str">
        <x:v>A-01286</x:v>
      </x:c>
      <x:c r="C1318" t="str">
        <x:v>GATE</x:v>
      </x:c>
      <x:c r="D1318" t="str">
        <x:v>release state mirrors governing ledger</x:v>
      </x:c>
      <x:c r="E1318" t="str">
        <x:f>'Release Gates'!I1292</x:f>
        <x:v>OPEN</x:v>
      </x:c>
      <x:c r="F1318" t="str">
        <x:f>IF('Release Gates'!C1292="PLANNING","PASS",IF('Release Gates'!C1292="PHYSICAL","OPEN","BLOCKED"))</x:f>
        <x:v>OPEN</x:v>
      </x:c>
      <x:c r="G1318" t="str">
        <x:v>equals</x:v>
      </x:c>
      <x:c r="H1318" t="str">
        <x:f>IF(E1318=F1318,"PASS","FAIL")</x:f>
        <x:v>PASS</x:v>
      </x:c>
    </x:row>
    <x:row r="1319">
      <x:c r="B1319" t="str">
        <x:v>A-01287</x:v>
      </x:c>
      <x:c r="C1319" t="str">
        <x:v>GATE</x:v>
      </x:c>
      <x:c r="D1319" t="str">
        <x:v>release state mirrors governing ledger</x:v>
      </x:c>
      <x:c r="E1319" t="str">
        <x:f>'Release Gates'!I1293</x:f>
        <x:v>OPEN</x:v>
      </x:c>
      <x:c r="F1319" t="str">
        <x:f>IF('Release Gates'!C1293="PLANNING","PASS",IF('Release Gates'!C1293="PHYSICAL","OPEN","BLOCKED"))</x:f>
        <x:v>OPEN</x:v>
      </x:c>
      <x:c r="G1319" t="str">
        <x:v>equals</x:v>
      </x:c>
      <x:c r="H1319" t="str">
        <x:f>IF(E1319=F1319,"PASS","FAIL")</x:f>
        <x:v>PASS</x:v>
      </x:c>
    </x:row>
    <x:row r="1320">
      <x:c r="B1320" t="str">
        <x:v>A-01288</x:v>
      </x:c>
      <x:c r="C1320" t="str">
        <x:v>GATE</x:v>
      </x:c>
      <x:c r="D1320" t="str">
        <x:v>release state mirrors governing ledger</x:v>
      </x:c>
      <x:c r="E1320" t="str">
        <x:f>'Release Gates'!I1294</x:f>
        <x:v>OPEN</x:v>
      </x:c>
      <x:c r="F1320" t="str">
        <x:f>IF('Release Gates'!C1294="PLANNING","PASS",IF('Release Gates'!C1294="PHYSICAL","OPEN","BLOCKED"))</x:f>
        <x:v>OPEN</x:v>
      </x:c>
      <x:c r="G1320" t="str">
        <x:v>equals</x:v>
      </x:c>
      <x:c r="H1320" t="str">
        <x:f>IF(E1320=F1320,"PASS","FAIL")</x:f>
        <x:v>PASS</x:v>
      </x:c>
    </x:row>
    <x:row r="1321">
      <x:c r="B1321" t="str">
        <x:v>A-01289</x:v>
      </x:c>
      <x:c r="C1321" t="str">
        <x:v>GATE</x:v>
      </x:c>
      <x:c r="D1321" t="str">
        <x:v>release state mirrors governing ledger</x:v>
      </x:c>
      <x:c r="E1321" t="str">
        <x:f>'Release Gates'!I1295</x:f>
        <x:v>OPEN</x:v>
      </x:c>
      <x:c r="F1321" t="str">
        <x:f>IF('Release Gates'!C1295="PLANNING","PASS",IF('Release Gates'!C1295="PHYSICAL","OPEN","BLOCKED"))</x:f>
        <x:v>OPEN</x:v>
      </x:c>
      <x:c r="G1321" t="str">
        <x:v>equals</x:v>
      </x:c>
      <x:c r="H1321" t="str">
        <x:f>IF(E1321=F1321,"PASS","FAIL")</x:f>
        <x:v>PASS</x:v>
      </x:c>
    </x:row>
    <x:row r="1322">
      <x:c r="B1322" t="str">
        <x:v>A-01290</x:v>
      </x:c>
      <x:c r="C1322" t="str">
        <x:v>GATE</x:v>
      </x:c>
      <x:c r="D1322" t="str">
        <x:v>release state mirrors governing ledger</x:v>
      </x:c>
      <x:c r="E1322" t="str">
        <x:f>'Release Gates'!I1296</x:f>
        <x:v>OPEN</x:v>
      </x:c>
      <x:c r="F1322" t="str">
        <x:f>IF('Release Gates'!C1296="PLANNING","PASS",IF('Release Gates'!C1296="PHYSICAL","OPEN","BLOCKED"))</x:f>
        <x:v>OPEN</x:v>
      </x:c>
      <x:c r="G1322" t="str">
        <x:v>equals</x:v>
      </x:c>
      <x:c r="H1322" t="str">
        <x:f>IF(E1322=F1322,"PASS","FAIL")</x:f>
        <x:v>PASS</x:v>
      </x:c>
    </x:row>
    <x:row r="1323">
      <x:c r="B1323" t="str">
        <x:v>A-01291</x:v>
      </x:c>
      <x:c r="C1323" t="str">
        <x:v>GATE</x:v>
      </x:c>
      <x:c r="D1323" t="str">
        <x:v>release state mirrors governing ledger</x:v>
      </x:c>
      <x:c r="E1323" t="str">
        <x:f>'Release Gates'!I1297</x:f>
        <x:v>OPEN</x:v>
      </x:c>
      <x:c r="F1323" t="str">
        <x:f>IF('Release Gates'!C1297="PLANNING","PASS",IF('Release Gates'!C1297="PHYSICAL","OPEN","BLOCKED"))</x:f>
        <x:v>OPEN</x:v>
      </x:c>
      <x:c r="G1323" t="str">
        <x:v>equals</x:v>
      </x:c>
      <x:c r="H1323" t="str">
        <x:f>IF(E1323=F1323,"PASS","FAIL")</x:f>
        <x:v>PASS</x:v>
      </x:c>
    </x:row>
    <x:row r="1324">
      <x:c r="B1324" t="str">
        <x:v>A-01292</x:v>
      </x:c>
      <x:c r="C1324" t="str">
        <x:v>GATE</x:v>
      </x:c>
      <x:c r="D1324" t="str">
        <x:v>release state mirrors governing ledger</x:v>
      </x:c>
      <x:c r="E1324" t="str">
        <x:f>'Release Gates'!I1298</x:f>
        <x:v>OPEN</x:v>
      </x:c>
      <x:c r="F1324" t="str">
        <x:f>IF('Release Gates'!C1298="PLANNING","PASS",IF('Release Gates'!C1298="PHYSICAL","OPEN","BLOCKED"))</x:f>
        <x:v>OPEN</x:v>
      </x:c>
      <x:c r="G1324" t="str">
        <x:v>equals</x:v>
      </x:c>
      <x:c r="H1324" t="str">
        <x:f>IF(E1324=F1324,"PASS","FAIL")</x:f>
        <x:v>PASS</x:v>
      </x:c>
    </x:row>
    <x:row r="1325">
      <x:c r="B1325" t="str">
        <x:v>A-01293</x:v>
      </x:c>
      <x:c r="C1325" t="str">
        <x:v>GATE</x:v>
      </x:c>
      <x:c r="D1325" t="str">
        <x:v>release state mirrors governing ledger</x:v>
      </x:c>
      <x:c r="E1325" t="str">
        <x:f>'Release Gates'!I1299</x:f>
        <x:v>OPEN</x:v>
      </x:c>
      <x:c r="F1325" t="str">
        <x:f>IF('Release Gates'!C1299="PLANNING","PASS",IF('Release Gates'!C1299="PHYSICAL","OPEN","BLOCKED"))</x:f>
        <x:v>OPEN</x:v>
      </x:c>
      <x:c r="G1325" t="str">
        <x:v>equals</x:v>
      </x:c>
      <x:c r="H1325" t="str">
        <x:f>IF(E1325=F1325,"PASS","FAIL")</x:f>
        <x:v>PASS</x:v>
      </x:c>
    </x:row>
    <x:row r="1326">
      <x:c r="B1326" t="str">
        <x:v>A-01294</x:v>
      </x:c>
      <x:c r="C1326" t="str">
        <x:v>GATE</x:v>
      </x:c>
      <x:c r="D1326" t="str">
        <x:v>release state mirrors governing ledger</x:v>
      </x:c>
      <x:c r="E1326" t="str">
        <x:f>'Release Gates'!I1300</x:f>
        <x:v>OPEN</x:v>
      </x:c>
      <x:c r="F1326" t="str">
        <x:f>IF('Release Gates'!C1300="PLANNING","PASS",IF('Release Gates'!C1300="PHYSICAL","OPEN","BLOCKED"))</x:f>
        <x:v>OPEN</x:v>
      </x:c>
      <x:c r="G1326" t="str">
        <x:v>equals</x:v>
      </x:c>
      <x:c r="H1326" t="str">
        <x:f>IF(E1326=F1326,"PASS","FAIL")</x:f>
        <x:v>PASS</x:v>
      </x:c>
    </x:row>
    <x:row r="1327">
      <x:c r="B1327" t="str">
        <x:v>A-01295</x:v>
      </x:c>
      <x:c r="C1327" t="str">
        <x:v>GATE</x:v>
      </x:c>
      <x:c r="D1327" t="str">
        <x:v>release state mirrors governing ledger</x:v>
      </x:c>
      <x:c r="E1327" t="str">
        <x:f>'Release Gates'!I1301</x:f>
        <x:v>OPEN</x:v>
      </x:c>
      <x:c r="F1327" t="str">
        <x:f>IF('Release Gates'!C1301="PLANNING","PASS",IF('Release Gates'!C1301="PHYSICAL","OPEN","BLOCKED"))</x:f>
        <x:v>OPEN</x:v>
      </x:c>
      <x:c r="G1327" t="str">
        <x:v>equals</x:v>
      </x:c>
      <x:c r="H1327" t="str">
        <x:f>IF(E1327=F1327,"PASS","FAIL")</x:f>
        <x:v>PASS</x:v>
      </x:c>
    </x:row>
    <x:row r="1328">
      <x:c r="B1328" t="str">
        <x:v>A-01296</x:v>
      </x:c>
      <x:c r="C1328" t="str">
        <x:v>GATE</x:v>
      </x:c>
      <x:c r="D1328" t="str">
        <x:v>release state mirrors governing ledger</x:v>
      </x:c>
      <x:c r="E1328" t="str">
        <x:f>'Release Gates'!I1302</x:f>
        <x:v>OPEN</x:v>
      </x:c>
      <x:c r="F1328" t="str">
        <x:f>IF('Release Gates'!C1302="PLANNING","PASS",IF('Release Gates'!C1302="PHYSICAL","OPEN","BLOCKED"))</x:f>
        <x:v>OPEN</x:v>
      </x:c>
      <x:c r="G1328" t="str">
        <x:v>equals</x:v>
      </x:c>
      <x:c r="H1328" t="str">
        <x:f>IF(E1328=F1328,"PASS","FAIL")</x:f>
        <x:v>PASS</x:v>
      </x:c>
    </x:row>
    <x:row r="1329">
      <x:c r="B1329" t="str">
        <x:v>A-01297</x:v>
      </x:c>
      <x:c r="C1329" t="str">
        <x:v>GATE</x:v>
      </x:c>
      <x:c r="D1329" t="str">
        <x:v>release state mirrors governing ledger</x:v>
      </x:c>
      <x:c r="E1329" t="str">
        <x:f>'Release Gates'!I1303</x:f>
        <x:v>OPEN</x:v>
      </x:c>
      <x:c r="F1329" t="str">
        <x:f>IF('Release Gates'!C1303="PLANNING","PASS",IF('Release Gates'!C1303="PHYSICAL","OPEN","BLOCKED"))</x:f>
        <x:v>OPEN</x:v>
      </x:c>
      <x:c r="G1329" t="str">
        <x:v>equals</x:v>
      </x:c>
      <x:c r="H1329" t="str">
        <x:f>IF(E1329=F1329,"PASS","FAIL")</x:f>
        <x:v>PASS</x:v>
      </x:c>
    </x:row>
    <x:row r="1330">
      <x:c r="B1330" t="str">
        <x:v>A-01298</x:v>
      </x:c>
      <x:c r="C1330" t="str">
        <x:v>GATE</x:v>
      </x:c>
      <x:c r="D1330" t="str">
        <x:v>release state mirrors governing ledger</x:v>
      </x:c>
      <x:c r="E1330" t="str">
        <x:f>'Release Gates'!I1304</x:f>
        <x:v>OPEN</x:v>
      </x:c>
      <x:c r="F1330" t="str">
        <x:f>IF('Release Gates'!C1304="PLANNING","PASS",IF('Release Gates'!C1304="PHYSICAL","OPEN","BLOCKED"))</x:f>
        <x:v>OPEN</x:v>
      </x:c>
      <x:c r="G1330" t="str">
        <x:v>equals</x:v>
      </x:c>
      <x:c r="H1330" t="str">
        <x:f>IF(E1330=F1330,"PASS","FAIL")</x:f>
        <x:v>PASS</x:v>
      </x:c>
    </x:row>
    <x:row r="1331">
      <x:c r="B1331" t="str">
        <x:v>A-01299</x:v>
      </x:c>
      <x:c r="C1331" t="str">
        <x:v>GATE</x:v>
      </x:c>
      <x:c r="D1331" t="str">
        <x:v>release state mirrors governing ledger</x:v>
      </x:c>
      <x:c r="E1331" t="str">
        <x:f>'Release Gates'!I1305</x:f>
        <x:v>OPEN</x:v>
      </x:c>
      <x:c r="F1331" t="str">
        <x:f>IF('Release Gates'!C1305="PLANNING","PASS",IF('Release Gates'!C1305="PHYSICAL","OPEN","BLOCKED"))</x:f>
        <x:v>OPEN</x:v>
      </x:c>
      <x:c r="G1331" t="str">
        <x:v>equals</x:v>
      </x:c>
      <x:c r="H1331" t="str">
        <x:f>IF(E1331=F1331,"PASS","FAIL")</x:f>
        <x:v>PASS</x:v>
      </x:c>
    </x:row>
    <x:row r="1332">
      <x:c r="B1332" t="str">
        <x:v>A-01300</x:v>
      </x:c>
      <x:c r="C1332" t="str">
        <x:v>GATE</x:v>
      </x:c>
      <x:c r="D1332" t="str">
        <x:v>release state mirrors governing ledger</x:v>
      </x:c>
      <x:c r="E1332" t="str">
        <x:f>'Release Gates'!I1306</x:f>
        <x:v>OPEN</x:v>
      </x:c>
      <x:c r="F1332" t="str">
        <x:f>IF('Release Gates'!C1306="PLANNING","PASS",IF('Release Gates'!C1306="PHYSICAL","OPEN","BLOCKED"))</x:f>
        <x:v>OPEN</x:v>
      </x:c>
      <x:c r="G1332" t="str">
        <x:v>equals</x:v>
      </x:c>
      <x:c r="H1332" t="str">
        <x:f>IF(E1332=F1332,"PASS","FAIL")</x:f>
        <x:v>PASS</x:v>
      </x:c>
    </x:row>
    <x:row r="1333">
      <x:c r="B1333" t="str">
        <x:v>A-01301</x:v>
      </x:c>
      <x:c r="C1333" t="str">
        <x:v>GATE</x:v>
      </x:c>
      <x:c r="D1333" t="str">
        <x:v>release state mirrors governing ledger</x:v>
      </x:c>
      <x:c r="E1333" t="str">
        <x:f>'Release Gates'!I1307</x:f>
        <x:v>OPEN</x:v>
      </x:c>
      <x:c r="F1333" t="str">
        <x:f>IF('Release Gates'!C1307="PLANNING","PASS",IF('Release Gates'!C1307="PHYSICAL","OPEN","BLOCKED"))</x:f>
        <x:v>OPEN</x:v>
      </x:c>
      <x:c r="G1333" t="str">
        <x:v>equals</x:v>
      </x:c>
      <x:c r="H1333" t="str">
        <x:f>IF(E1333=F1333,"PASS","FAIL")</x:f>
        <x:v>PASS</x:v>
      </x:c>
    </x:row>
    <x:row r="1334">
      <x:c r="B1334" t="str">
        <x:v>A-01302</x:v>
      </x:c>
      <x:c r="C1334" t="str">
        <x:v>GATE</x:v>
      </x:c>
      <x:c r="D1334" t="str">
        <x:v>release state mirrors governing ledger</x:v>
      </x:c>
      <x:c r="E1334" t="str">
        <x:f>'Release Gates'!I1308</x:f>
        <x:v>OPEN</x:v>
      </x:c>
      <x:c r="F1334" t="str">
        <x:f>IF('Release Gates'!C1308="PLANNING","PASS",IF('Release Gates'!C1308="PHYSICAL","OPEN","BLOCKED"))</x:f>
        <x:v>OPEN</x:v>
      </x:c>
      <x:c r="G1334" t="str">
        <x:v>equals</x:v>
      </x:c>
      <x:c r="H1334" t="str">
        <x:f>IF(E1334=F1334,"PASS","FAIL")</x:f>
        <x:v>PASS</x:v>
      </x:c>
    </x:row>
    <x:row r="1335">
      <x:c r="B1335" t="str">
        <x:v>A-01303</x:v>
      </x:c>
      <x:c r="C1335" t="str">
        <x:v>GATE</x:v>
      </x:c>
      <x:c r="D1335" t="str">
        <x:v>release state mirrors governing ledger</x:v>
      </x:c>
      <x:c r="E1335" t="str">
        <x:f>'Release Gates'!I1309</x:f>
        <x:v>OPEN</x:v>
      </x:c>
      <x:c r="F1335" t="str">
        <x:f>IF('Release Gates'!C1309="PLANNING","PASS",IF('Release Gates'!C1309="PHYSICAL","OPEN","BLOCKED"))</x:f>
        <x:v>OPEN</x:v>
      </x:c>
      <x:c r="G1335" t="str">
        <x:v>equals</x:v>
      </x:c>
      <x:c r="H1335" t="str">
        <x:f>IF(E1335=F1335,"PASS","FAIL")</x:f>
        <x:v>PASS</x:v>
      </x:c>
    </x:row>
    <x:row r="1336">
      <x:c r="B1336" t="str">
        <x:v>A-01304</x:v>
      </x:c>
      <x:c r="C1336" t="str">
        <x:v>GATE</x:v>
      </x:c>
      <x:c r="D1336" t="str">
        <x:v>release state mirrors governing ledger</x:v>
      </x:c>
      <x:c r="E1336" t="str">
        <x:f>'Release Gates'!I1310</x:f>
        <x:v>OPEN</x:v>
      </x:c>
      <x:c r="F1336" t="str">
        <x:f>IF('Release Gates'!C1310="PLANNING","PASS",IF('Release Gates'!C1310="PHYSICAL","OPEN","BLOCKED"))</x:f>
        <x:v>OPEN</x:v>
      </x:c>
      <x:c r="G1336" t="str">
        <x:v>equals</x:v>
      </x:c>
      <x:c r="H1336" t="str">
        <x:f>IF(E1336=F1336,"PASS","FAIL")</x:f>
        <x:v>PASS</x:v>
      </x:c>
    </x:row>
    <x:row r="1337">
      <x:c r="B1337" t="str">
        <x:v>A-01305</x:v>
      </x:c>
      <x:c r="C1337" t="str">
        <x:v>GATE</x:v>
      </x:c>
      <x:c r="D1337" t="str">
        <x:v>release state mirrors governing ledger</x:v>
      </x:c>
      <x:c r="E1337" t="str">
        <x:f>'Release Gates'!I1311</x:f>
        <x:v>OPEN</x:v>
      </x:c>
      <x:c r="F1337" t="str">
        <x:f>IF('Release Gates'!C1311="PLANNING","PASS",IF('Release Gates'!C1311="PHYSICAL","OPEN","BLOCKED"))</x:f>
        <x:v>OPEN</x:v>
      </x:c>
      <x:c r="G1337" t="str">
        <x:v>equals</x:v>
      </x:c>
      <x:c r="H1337" t="str">
        <x:f>IF(E1337=F1337,"PASS","FAIL")</x:f>
        <x:v>PASS</x:v>
      </x:c>
    </x:row>
    <x:row r="1338">
      <x:c r="B1338" t="str">
        <x:v>A-01306</x:v>
      </x:c>
      <x:c r="C1338" t="str">
        <x:v>GATE</x:v>
      </x:c>
      <x:c r="D1338" t="str">
        <x:v>release state mirrors governing ledger</x:v>
      </x:c>
      <x:c r="E1338" t="str">
        <x:f>'Release Gates'!I1312</x:f>
        <x:v>OPEN</x:v>
      </x:c>
      <x:c r="F1338" t="str">
        <x:f>IF('Release Gates'!C1312="PLANNING","PASS",IF('Release Gates'!C1312="PHYSICAL","OPEN","BLOCKED"))</x:f>
        <x:v>OPEN</x:v>
      </x:c>
      <x:c r="G1338" t="str">
        <x:v>equals</x:v>
      </x:c>
      <x:c r="H1338" t="str">
        <x:f>IF(E1338=F1338,"PASS","FAIL")</x:f>
        <x:v>PASS</x:v>
      </x:c>
    </x:row>
    <x:row r="1339">
      <x:c r="B1339" t="str">
        <x:v>A-01307</x:v>
      </x:c>
      <x:c r="C1339" t="str">
        <x:v>GATE</x:v>
      </x:c>
      <x:c r="D1339" t="str">
        <x:v>release state mirrors governing ledger</x:v>
      </x:c>
      <x:c r="E1339" t="str">
        <x:f>'Release Gates'!I1313</x:f>
        <x:v>OPEN</x:v>
      </x:c>
      <x:c r="F1339" t="str">
        <x:f>IF('Release Gates'!C1313="PLANNING","PASS",IF('Release Gates'!C1313="PHYSICAL","OPEN","BLOCKED"))</x:f>
        <x:v>OPEN</x:v>
      </x:c>
      <x:c r="G1339" t="str">
        <x:v>equals</x:v>
      </x:c>
      <x:c r="H1339" t="str">
        <x:f>IF(E1339=F1339,"PASS","FAIL")</x:f>
        <x:v>PASS</x:v>
      </x:c>
    </x:row>
    <x:row r="1340">
      <x:c r="B1340" t="str">
        <x:v>A-01308</x:v>
      </x:c>
      <x:c r="C1340" t="str">
        <x:v>GATE</x:v>
      </x:c>
      <x:c r="D1340" t="str">
        <x:v>release state mirrors governing ledger</x:v>
      </x:c>
      <x:c r="E1340" t="str">
        <x:f>'Release Gates'!I1314</x:f>
        <x:v>OPEN</x:v>
      </x:c>
      <x:c r="F1340" t="str">
        <x:f>IF('Release Gates'!C1314="PLANNING","PASS",IF('Release Gates'!C1314="PHYSICAL","OPEN","BLOCKED"))</x:f>
        <x:v>OPEN</x:v>
      </x:c>
      <x:c r="G1340" t="str">
        <x:v>equals</x:v>
      </x:c>
      <x:c r="H1340" t="str">
        <x:f>IF(E1340=F1340,"PASS","FAIL")</x:f>
        <x:v>PASS</x:v>
      </x:c>
    </x:row>
    <x:row r="1341">
      <x:c r="B1341" t="str">
        <x:v>A-01309</x:v>
      </x:c>
      <x:c r="C1341" t="str">
        <x:v>GATE</x:v>
      </x:c>
      <x:c r="D1341" t="str">
        <x:v>release state mirrors governing ledger</x:v>
      </x:c>
      <x:c r="E1341" t="str">
        <x:f>'Release Gates'!I1315</x:f>
        <x:v>OPEN</x:v>
      </x:c>
      <x:c r="F1341" t="str">
        <x:f>IF('Release Gates'!C1315="PLANNING","PASS",IF('Release Gates'!C1315="PHYSICAL","OPEN","BLOCKED"))</x:f>
        <x:v>OPEN</x:v>
      </x:c>
      <x:c r="G1341" t="str">
        <x:v>equals</x:v>
      </x:c>
      <x:c r="H1341" t="str">
        <x:f>IF(E1341=F1341,"PASS","FAIL")</x:f>
        <x:v>PASS</x:v>
      </x:c>
    </x:row>
    <x:row r="1342">
      <x:c r="B1342" t="str">
        <x:v>A-01310</x:v>
      </x:c>
      <x:c r="C1342" t="str">
        <x:v>GATE</x:v>
      </x:c>
      <x:c r="D1342" t="str">
        <x:v>release state mirrors governing ledger</x:v>
      </x:c>
      <x:c r="E1342" t="str">
        <x:f>'Release Gates'!I1316</x:f>
        <x:v>OPEN</x:v>
      </x:c>
      <x:c r="F1342" t="str">
        <x:f>IF('Release Gates'!C1316="PLANNING","PASS",IF('Release Gates'!C1316="PHYSICAL","OPEN","BLOCKED"))</x:f>
        <x:v>OPEN</x:v>
      </x:c>
      <x:c r="G1342" t="str">
        <x:v>equals</x:v>
      </x:c>
      <x:c r="H1342" t="str">
        <x:f>IF(E1342=F1342,"PASS","FAIL")</x:f>
        <x:v>PASS</x:v>
      </x:c>
    </x:row>
    <x:row r="1343">
      <x:c r="B1343" t="str">
        <x:v>A-01311</x:v>
      </x:c>
      <x:c r="C1343" t="str">
        <x:v>GATE</x:v>
      </x:c>
      <x:c r="D1343" t="str">
        <x:v>release state mirrors governing ledger</x:v>
      </x:c>
      <x:c r="E1343" t="str">
        <x:f>'Release Gates'!I1317</x:f>
        <x:v>OPEN</x:v>
      </x:c>
      <x:c r="F1343" t="str">
        <x:f>IF('Release Gates'!C1317="PLANNING","PASS",IF('Release Gates'!C1317="PHYSICAL","OPEN","BLOCKED"))</x:f>
        <x:v>OPEN</x:v>
      </x:c>
      <x:c r="G1343" t="str">
        <x:v>equals</x:v>
      </x:c>
      <x:c r="H1343" t="str">
        <x:f>IF(E1343=F1343,"PASS","FAIL")</x:f>
        <x:v>PASS</x:v>
      </x:c>
    </x:row>
    <x:row r="1344">
      <x:c r="B1344" t="str">
        <x:v>A-01312</x:v>
      </x:c>
      <x:c r="C1344" t="str">
        <x:v>GATE</x:v>
      </x:c>
      <x:c r="D1344" t="str">
        <x:v>release state mirrors governing ledger</x:v>
      </x:c>
      <x:c r="E1344" t="str">
        <x:f>'Release Gates'!I1318</x:f>
        <x:v>OPEN</x:v>
      </x:c>
      <x:c r="F1344" t="str">
        <x:f>IF('Release Gates'!C1318="PLANNING","PASS",IF('Release Gates'!C1318="PHYSICAL","OPEN","BLOCKED"))</x:f>
        <x:v>OPEN</x:v>
      </x:c>
      <x:c r="G1344" t="str">
        <x:v>equals</x:v>
      </x:c>
      <x:c r="H1344" t="str">
        <x:f>IF(E1344=F1344,"PASS","FAIL")</x:f>
        <x:v>PASS</x:v>
      </x:c>
    </x:row>
    <x:row r="1345">
      <x:c r="B1345" t="str">
        <x:v>A-01313</x:v>
      </x:c>
      <x:c r="C1345" t="str">
        <x:v>GATE</x:v>
      </x:c>
      <x:c r="D1345" t="str">
        <x:v>release state mirrors governing ledger</x:v>
      </x:c>
      <x:c r="E1345" t="str">
        <x:f>'Release Gates'!I1319</x:f>
        <x:v>OPEN</x:v>
      </x:c>
      <x:c r="F1345" t="str">
        <x:f>IF('Release Gates'!C1319="PLANNING","PASS",IF('Release Gates'!C1319="PHYSICAL","OPEN","BLOCKED"))</x:f>
        <x:v>OPEN</x:v>
      </x:c>
      <x:c r="G1345" t="str">
        <x:v>equals</x:v>
      </x:c>
      <x:c r="H1345" t="str">
        <x:f>IF(E1345=F1345,"PASS","FAIL")</x:f>
        <x:v>PASS</x:v>
      </x:c>
    </x:row>
    <x:row r="1346">
      <x:c r="B1346" t="str">
        <x:v>A-01314</x:v>
      </x:c>
      <x:c r="C1346" t="str">
        <x:v>GATE</x:v>
      </x:c>
      <x:c r="D1346" t="str">
        <x:v>release state mirrors governing ledger</x:v>
      </x:c>
      <x:c r="E1346" t="str">
        <x:f>'Release Gates'!I1320</x:f>
        <x:v>OPEN</x:v>
      </x:c>
      <x:c r="F1346" t="str">
        <x:f>IF('Release Gates'!C1320="PLANNING","PASS",IF('Release Gates'!C1320="PHYSICAL","OPEN","BLOCKED"))</x:f>
        <x:v>OPEN</x:v>
      </x:c>
      <x:c r="G1346" t="str">
        <x:v>equals</x:v>
      </x:c>
      <x:c r="H1346" t="str">
        <x:f>IF(E1346=F1346,"PASS","FAIL")</x:f>
        <x:v>PASS</x:v>
      </x:c>
    </x:row>
    <x:row r="1347">
      <x:c r="B1347" t="str">
        <x:v>A-01315</x:v>
      </x:c>
      <x:c r="C1347" t="str">
        <x:v>GATE</x:v>
      </x:c>
      <x:c r="D1347" t="str">
        <x:v>release state mirrors governing ledger</x:v>
      </x:c>
      <x:c r="E1347" t="str">
        <x:f>'Release Gates'!I1321</x:f>
        <x:v>OPEN</x:v>
      </x:c>
      <x:c r="F1347" t="str">
        <x:f>IF('Release Gates'!C1321="PLANNING","PASS",IF('Release Gates'!C1321="PHYSICAL","OPEN","BLOCKED"))</x:f>
        <x:v>OPEN</x:v>
      </x:c>
      <x:c r="G1347" t="str">
        <x:v>equals</x:v>
      </x:c>
      <x:c r="H1347" t="str">
        <x:f>IF(E1347=F1347,"PASS","FAIL")</x:f>
        <x:v>PASS</x:v>
      </x:c>
    </x:row>
    <x:row r="1348">
      <x:c r="B1348" t="str">
        <x:v>A-01316</x:v>
      </x:c>
      <x:c r="C1348" t="str">
        <x:v>GATE</x:v>
      </x:c>
      <x:c r="D1348" t="str">
        <x:v>release state mirrors governing ledger</x:v>
      </x:c>
      <x:c r="E1348" t="str">
        <x:f>'Release Gates'!I1322</x:f>
        <x:v>OPEN</x:v>
      </x:c>
      <x:c r="F1348" t="str">
        <x:f>IF('Release Gates'!C1322="PLANNING","PASS",IF('Release Gates'!C1322="PHYSICAL","OPEN","BLOCKED"))</x:f>
        <x:v>OPEN</x:v>
      </x:c>
      <x:c r="G1348" t="str">
        <x:v>equals</x:v>
      </x:c>
      <x:c r="H1348" t="str">
        <x:f>IF(E1348=F1348,"PASS","FAIL")</x:f>
        <x:v>PASS</x:v>
      </x:c>
    </x:row>
    <x:row r="1349">
      <x:c r="B1349" t="str">
        <x:v>A-01317</x:v>
      </x:c>
      <x:c r="C1349" t="str">
        <x:v>GATE</x:v>
      </x:c>
      <x:c r="D1349" t="str">
        <x:v>release state mirrors governing ledger</x:v>
      </x:c>
      <x:c r="E1349" t="str">
        <x:f>'Release Gates'!I1323</x:f>
        <x:v>OPEN</x:v>
      </x:c>
      <x:c r="F1349" t="str">
        <x:f>IF('Release Gates'!C1323="PLANNING","PASS",IF('Release Gates'!C1323="PHYSICAL","OPEN","BLOCKED"))</x:f>
        <x:v>OPEN</x:v>
      </x:c>
      <x:c r="G1349" t="str">
        <x:v>equals</x:v>
      </x:c>
      <x:c r="H1349" t="str">
        <x:f>IF(E1349=F1349,"PASS","FAIL")</x:f>
        <x:v>PASS</x:v>
      </x:c>
    </x:row>
    <x:row r="1350">
      <x:c r="B1350" t="str">
        <x:v>A-01318</x:v>
      </x:c>
      <x:c r="C1350" t="str">
        <x:v>GATE</x:v>
      </x:c>
      <x:c r="D1350" t="str">
        <x:v>release state mirrors governing ledger</x:v>
      </x:c>
      <x:c r="E1350" t="str">
        <x:f>'Release Gates'!I1324</x:f>
        <x:v>OPEN</x:v>
      </x:c>
      <x:c r="F1350" t="str">
        <x:f>IF('Release Gates'!C1324="PLANNING","PASS",IF('Release Gates'!C1324="PHYSICAL","OPEN","BLOCKED"))</x:f>
        <x:v>OPEN</x:v>
      </x:c>
      <x:c r="G1350" t="str">
        <x:v>equals</x:v>
      </x:c>
      <x:c r="H1350" t="str">
        <x:f>IF(E1350=F1350,"PASS","FAIL")</x:f>
        <x:v>PASS</x:v>
      </x:c>
    </x:row>
    <x:row r="1351">
      <x:c r="B1351" t="str">
        <x:v>A-01319</x:v>
      </x:c>
      <x:c r="C1351" t="str">
        <x:v>GATE</x:v>
      </x:c>
      <x:c r="D1351" t="str">
        <x:v>release state mirrors governing ledger</x:v>
      </x:c>
      <x:c r="E1351" t="str">
        <x:f>'Release Gates'!I1325</x:f>
        <x:v>OPEN</x:v>
      </x:c>
      <x:c r="F1351" t="str">
        <x:f>IF('Release Gates'!C1325="PLANNING","PASS",IF('Release Gates'!C1325="PHYSICAL","OPEN","BLOCKED"))</x:f>
        <x:v>OPEN</x:v>
      </x:c>
      <x:c r="G1351" t="str">
        <x:v>equals</x:v>
      </x:c>
      <x:c r="H1351" t="str">
        <x:f>IF(E1351=F1351,"PASS","FAIL")</x:f>
        <x:v>PASS</x:v>
      </x:c>
    </x:row>
    <x:row r="1352">
      <x:c r="B1352" t="str">
        <x:v>A-01320</x:v>
      </x:c>
      <x:c r="C1352" t="str">
        <x:v>GATE</x:v>
      </x:c>
      <x:c r="D1352" t="str">
        <x:v>release state mirrors governing ledger</x:v>
      </x:c>
      <x:c r="E1352" t="str">
        <x:f>'Release Gates'!I1326</x:f>
        <x:v>OPEN</x:v>
      </x:c>
      <x:c r="F1352" t="str">
        <x:f>IF('Release Gates'!C1326="PLANNING","PASS",IF('Release Gates'!C1326="PHYSICAL","OPEN","BLOCKED"))</x:f>
        <x:v>OPEN</x:v>
      </x:c>
      <x:c r="G1352" t="str">
        <x:v>equals</x:v>
      </x:c>
      <x:c r="H1352" t="str">
        <x:f>IF(E1352=F1352,"PASS","FAIL")</x:f>
        <x:v>PASS</x:v>
      </x:c>
    </x:row>
    <x:row r="1353">
      <x:c r="B1353" t="str">
        <x:v>A-01321</x:v>
      </x:c>
      <x:c r="C1353" t="str">
        <x:v>GATE</x:v>
      </x:c>
      <x:c r="D1353" t="str">
        <x:v>release state mirrors governing ledger</x:v>
      </x:c>
      <x:c r="E1353" t="str">
        <x:f>'Release Gates'!I1327</x:f>
        <x:v>OPEN</x:v>
      </x:c>
      <x:c r="F1353" t="str">
        <x:f>IF('Release Gates'!C1327="PLANNING","PASS",IF('Release Gates'!C1327="PHYSICAL","OPEN","BLOCKED"))</x:f>
        <x:v>OPEN</x:v>
      </x:c>
      <x:c r="G1353" t="str">
        <x:v>equals</x:v>
      </x:c>
      <x:c r="H1353" t="str">
        <x:f>IF(E1353=F1353,"PASS","FAIL")</x:f>
        <x:v>PASS</x:v>
      </x:c>
    </x:row>
    <x:row r="1354">
      <x:c r="B1354" t="str">
        <x:v>A-01322</x:v>
      </x:c>
      <x:c r="C1354" t="str">
        <x:v>GATE</x:v>
      </x:c>
      <x:c r="D1354" t="str">
        <x:v>release state mirrors governing ledger</x:v>
      </x:c>
      <x:c r="E1354" t="str">
        <x:f>'Release Gates'!I1328</x:f>
        <x:v>OPEN</x:v>
      </x:c>
      <x:c r="F1354" t="str">
        <x:f>IF('Release Gates'!C1328="PLANNING","PASS",IF('Release Gates'!C1328="PHYSICAL","OPEN","BLOCKED"))</x:f>
        <x:v>OPEN</x:v>
      </x:c>
      <x:c r="G1354" t="str">
        <x:v>equals</x:v>
      </x:c>
      <x:c r="H1354" t="str">
        <x:f>IF(E1354=F1354,"PASS","FAIL")</x:f>
        <x:v>PASS</x:v>
      </x:c>
    </x:row>
    <x:row r="1355">
      <x:c r="B1355" t="str">
        <x:v>A-01323</x:v>
      </x:c>
      <x:c r="C1355" t="str">
        <x:v>GATE</x:v>
      </x:c>
      <x:c r="D1355" t="str">
        <x:v>release state mirrors governing ledger</x:v>
      </x:c>
      <x:c r="E1355" t="str">
        <x:f>'Release Gates'!I1329</x:f>
        <x:v>OPEN</x:v>
      </x:c>
      <x:c r="F1355" t="str">
        <x:f>IF('Release Gates'!C1329="PLANNING","PASS",IF('Release Gates'!C1329="PHYSICAL","OPEN","BLOCKED"))</x:f>
        <x:v>OPEN</x:v>
      </x:c>
      <x:c r="G1355" t="str">
        <x:v>equals</x:v>
      </x:c>
      <x:c r="H1355" t="str">
        <x:f>IF(E1355=F1355,"PASS","FAIL")</x:f>
        <x:v>PASS</x:v>
      </x:c>
    </x:row>
    <x:row r="1356">
      <x:c r="B1356" t="str">
        <x:v>A-01324</x:v>
      </x:c>
      <x:c r="C1356" t="str">
        <x:v>GATE</x:v>
      </x:c>
      <x:c r="D1356" t="str">
        <x:v>release state mirrors governing ledger</x:v>
      </x:c>
      <x:c r="E1356" t="str">
        <x:f>'Release Gates'!I1330</x:f>
        <x:v>OPEN</x:v>
      </x:c>
      <x:c r="F1356" t="str">
        <x:f>IF('Release Gates'!C1330="PLANNING","PASS",IF('Release Gates'!C1330="PHYSICAL","OPEN","BLOCKED"))</x:f>
        <x:v>OPEN</x:v>
      </x:c>
      <x:c r="G1356" t="str">
        <x:v>equals</x:v>
      </x:c>
      <x:c r="H1356" t="str">
        <x:f>IF(E1356=F1356,"PASS","FAIL")</x:f>
        <x:v>PASS</x:v>
      </x:c>
    </x:row>
    <x:row r="1357">
      <x:c r="B1357" t="str">
        <x:v>A-01325</x:v>
      </x:c>
      <x:c r="C1357" t="str">
        <x:v>GATE</x:v>
      </x:c>
      <x:c r="D1357" t="str">
        <x:v>release state mirrors governing ledger</x:v>
      </x:c>
      <x:c r="E1357" t="str">
        <x:f>'Release Gates'!I1331</x:f>
        <x:v>OPEN</x:v>
      </x:c>
      <x:c r="F1357" t="str">
        <x:f>IF('Release Gates'!C1331="PLANNING","PASS",IF('Release Gates'!C1331="PHYSICAL","OPEN","BLOCKED"))</x:f>
        <x:v>OPEN</x:v>
      </x:c>
      <x:c r="G1357" t="str">
        <x:v>equals</x:v>
      </x:c>
      <x:c r="H1357" t="str">
        <x:f>IF(E1357=F1357,"PASS","FAIL")</x:f>
        <x:v>PASS</x:v>
      </x:c>
    </x:row>
    <x:row r="1358">
      <x:c r="B1358" t="str">
        <x:v>A-01326</x:v>
      </x:c>
      <x:c r="C1358" t="str">
        <x:v>GATE</x:v>
      </x:c>
      <x:c r="D1358" t="str">
        <x:v>release state mirrors governing ledger</x:v>
      </x:c>
      <x:c r="E1358" t="str">
        <x:f>'Release Gates'!I1332</x:f>
        <x:v>OPEN</x:v>
      </x:c>
      <x:c r="F1358" t="str">
        <x:f>IF('Release Gates'!C1332="PLANNING","PASS",IF('Release Gates'!C1332="PHYSICAL","OPEN","BLOCKED"))</x:f>
        <x:v>OPEN</x:v>
      </x:c>
      <x:c r="G1358" t="str">
        <x:v>equals</x:v>
      </x:c>
      <x:c r="H1358" t="str">
        <x:f>IF(E1358=F1358,"PASS","FAIL")</x:f>
        <x:v>PASS</x:v>
      </x:c>
    </x:row>
    <x:row r="1359">
      <x:c r="B1359" t="str">
        <x:v>A-01327</x:v>
      </x:c>
      <x:c r="C1359" t="str">
        <x:v>GATE</x:v>
      </x:c>
      <x:c r="D1359" t="str">
        <x:v>release state mirrors governing ledger</x:v>
      </x:c>
      <x:c r="E1359" t="str">
        <x:f>'Release Gates'!I1333</x:f>
        <x:v>OPEN</x:v>
      </x:c>
      <x:c r="F1359" t="str">
        <x:f>IF('Release Gates'!C1333="PLANNING","PASS",IF('Release Gates'!C1333="PHYSICAL","OPEN","BLOCKED"))</x:f>
        <x:v>OPEN</x:v>
      </x:c>
      <x:c r="G1359" t="str">
        <x:v>equals</x:v>
      </x:c>
      <x:c r="H1359" t="str">
        <x:f>IF(E1359=F1359,"PASS","FAIL")</x:f>
        <x:v>PASS</x:v>
      </x:c>
    </x:row>
    <x:row r="1360">
      <x:c r="B1360" t="str">
        <x:v>A-01328</x:v>
      </x:c>
      <x:c r="C1360" t="str">
        <x:v>GATE</x:v>
      </x:c>
      <x:c r="D1360" t="str">
        <x:v>release state mirrors governing ledger</x:v>
      </x:c>
      <x:c r="E1360" t="str">
        <x:f>'Release Gates'!I1334</x:f>
        <x:v>OPEN</x:v>
      </x:c>
      <x:c r="F1360" t="str">
        <x:f>IF('Release Gates'!C1334="PLANNING","PASS",IF('Release Gates'!C1334="PHYSICAL","OPEN","BLOCKED"))</x:f>
        <x:v>OPEN</x:v>
      </x:c>
      <x:c r="G1360" t="str">
        <x:v>equals</x:v>
      </x:c>
      <x:c r="H1360" t="str">
        <x:f>IF(E1360=F1360,"PASS","FAIL")</x:f>
        <x:v>PASS</x:v>
      </x:c>
    </x:row>
    <x:row r="1361">
      <x:c r="B1361" t="str">
        <x:v>A-01329</x:v>
      </x:c>
      <x:c r="C1361" t="str">
        <x:v>GATE</x:v>
      </x:c>
      <x:c r="D1361" t="str">
        <x:v>release state mirrors governing ledger</x:v>
      </x:c>
      <x:c r="E1361" t="str">
        <x:f>'Release Gates'!I1335</x:f>
        <x:v>OPEN</x:v>
      </x:c>
      <x:c r="F1361" t="str">
        <x:f>IF('Release Gates'!C1335="PLANNING","PASS",IF('Release Gates'!C1335="PHYSICAL","OPEN","BLOCKED"))</x:f>
        <x:v>OPEN</x:v>
      </x:c>
      <x:c r="G1361" t="str">
        <x:v>equals</x:v>
      </x:c>
      <x:c r="H1361" t="str">
        <x:f>IF(E1361=F1361,"PASS","FAIL")</x:f>
        <x:v>PASS</x:v>
      </x:c>
    </x:row>
    <x:row r="1362">
      <x:c r="B1362" t="str">
        <x:v>A-01330</x:v>
      </x:c>
      <x:c r="C1362" t="str">
        <x:v>GATE</x:v>
      </x:c>
      <x:c r="D1362" t="str">
        <x:v>release state mirrors governing ledger</x:v>
      </x:c>
      <x:c r="E1362" t="str">
        <x:f>'Release Gates'!I1336</x:f>
        <x:v>OPEN</x:v>
      </x:c>
      <x:c r="F1362" t="str">
        <x:f>IF('Release Gates'!C1336="PLANNING","PASS",IF('Release Gates'!C1336="PHYSICAL","OPEN","BLOCKED"))</x:f>
        <x:v>OPEN</x:v>
      </x:c>
      <x:c r="G1362" t="str">
        <x:v>equals</x:v>
      </x:c>
      <x:c r="H1362" t="str">
        <x:f>IF(E1362=F1362,"PASS","FAIL")</x:f>
        <x:v>PASS</x:v>
      </x:c>
    </x:row>
    <x:row r="1363">
      <x:c r="B1363" t="str">
        <x:v>A-01331</x:v>
      </x:c>
      <x:c r="C1363" t="str">
        <x:v>GATE</x:v>
      </x:c>
      <x:c r="D1363" t="str">
        <x:v>release state mirrors governing ledger</x:v>
      </x:c>
      <x:c r="E1363" t="str">
        <x:f>'Release Gates'!I1337</x:f>
        <x:v>OPEN</x:v>
      </x:c>
      <x:c r="F1363" t="str">
        <x:f>IF('Release Gates'!C1337="PLANNING","PASS",IF('Release Gates'!C1337="PHYSICAL","OPEN","BLOCKED"))</x:f>
        <x:v>OPEN</x:v>
      </x:c>
      <x:c r="G1363" t="str">
        <x:v>equals</x:v>
      </x:c>
      <x:c r="H1363" t="str">
        <x:f>IF(E1363=F1363,"PASS","FAIL")</x:f>
        <x:v>PASS</x:v>
      </x:c>
    </x:row>
    <x:row r="1364">
      <x:c r="B1364" t="str">
        <x:v>A-01332</x:v>
      </x:c>
      <x:c r="C1364" t="str">
        <x:v>GATE</x:v>
      </x:c>
      <x:c r="D1364" t="str">
        <x:v>release state mirrors governing ledger</x:v>
      </x:c>
      <x:c r="E1364" t="str">
        <x:f>'Release Gates'!I1338</x:f>
        <x:v>OPEN</x:v>
      </x:c>
      <x:c r="F1364" t="str">
        <x:f>IF('Release Gates'!C1338="PLANNING","PASS",IF('Release Gates'!C1338="PHYSICAL","OPEN","BLOCKED"))</x:f>
        <x:v>OPEN</x:v>
      </x:c>
      <x:c r="G1364" t="str">
        <x:v>equals</x:v>
      </x:c>
      <x:c r="H1364" t="str">
        <x:f>IF(E1364=F1364,"PASS","FAIL")</x:f>
        <x:v>PASS</x:v>
      </x:c>
    </x:row>
    <x:row r="1365">
      <x:c r="B1365" t="str">
        <x:v>A-01333</x:v>
      </x:c>
      <x:c r="C1365" t="str">
        <x:v>GATE</x:v>
      </x:c>
      <x:c r="D1365" t="str">
        <x:v>release state mirrors governing ledger</x:v>
      </x:c>
      <x:c r="E1365" t="str">
        <x:f>'Release Gates'!I1339</x:f>
        <x:v>OPEN</x:v>
      </x:c>
      <x:c r="F1365" t="str">
        <x:f>IF('Release Gates'!C1339="PLANNING","PASS",IF('Release Gates'!C1339="PHYSICAL","OPEN","BLOCKED"))</x:f>
        <x:v>OPEN</x:v>
      </x:c>
      <x:c r="G1365" t="str">
        <x:v>equals</x:v>
      </x:c>
      <x:c r="H1365" t="str">
        <x:f>IF(E1365=F1365,"PASS","FAIL")</x:f>
        <x:v>PASS</x:v>
      </x:c>
    </x:row>
    <x:row r="1366">
      <x:c r="B1366" t="str">
        <x:v>A-01334</x:v>
      </x:c>
      <x:c r="C1366" t="str">
        <x:v>GATE</x:v>
      </x:c>
      <x:c r="D1366" t="str">
        <x:v>release state mirrors governing ledger</x:v>
      </x:c>
      <x:c r="E1366" t="str">
        <x:f>'Release Gates'!I1340</x:f>
        <x:v>OPEN</x:v>
      </x:c>
      <x:c r="F1366" t="str">
        <x:f>IF('Release Gates'!C1340="PLANNING","PASS",IF('Release Gates'!C1340="PHYSICAL","OPEN","BLOCKED"))</x:f>
        <x:v>OPEN</x:v>
      </x:c>
      <x:c r="G1366" t="str">
        <x:v>equals</x:v>
      </x:c>
      <x:c r="H1366" t="str">
        <x:f>IF(E1366=F1366,"PASS","FAIL")</x:f>
        <x:v>PASS</x:v>
      </x:c>
    </x:row>
    <x:row r="1367">
      <x:c r="B1367" t="str">
        <x:v>A-01335</x:v>
      </x:c>
      <x:c r="C1367" t="str">
        <x:v>GATE</x:v>
      </x:c>
      <x:c r="D1367" t="str">
        <x:v>release state mirrors governing ledger</x:v>
      </x:c>
      <x:c r="E1367" t="str">
        <x:f>'Release Gates'!I1341</x:f>
        <x:v>OPEN</x:v>
      </x:c>
      <x:c r="F1367" t="str">
        <x:f>IF('Release Gates'!C1341="PLANNING","PASS",IF('Release Gates'!C1341="PHYSICAL","OPEN","BLOCKED"))</x:f>
        <x:v>OPEN</x:v>
      </x:c>
      <x:c r="G1367" t="str">
        <x:v>equals</x:v>
      </x:c>
      <x:c r="H1367" t="str">
        <x:f>IF(E1367=F1367,"PASS","FAIL")</x:f>
        <x:v>PASS</x:v>
      </x:c>
    </x:row>
    <x:row r="1368">
      <x:c r="B1368" t="str">
        <x:v>A-01336</x:v>
      </x:c>
      <x:c r="C1368" t="str">
        <x:v>GATE</x:v>
      </x:c>
      <x:c r="D1368" t="str">
        <x:v>release state mirrors governing ledger</x:v>
      </x:c>
      <x:c r="E1368" t="str">
        <x:f>'Release Gates'!I1342</x:f>
        <x:v>OPEN</x:v>
      </x:c>
      <x:c r="F1368" t="str">
        <x:f>IF('Release Gates'!C1342="PLANNING","PASS",IF('Release Gates'!C1342="PHYSICAL","OPEN","BLOCKED"))</x:f>
        <x:v>OPEN</x:v>
      </x:c>
      <x:c r="G1368" t="str">
        <x:v>equals</x:v>
      </x:c>
      <x:c r="H1368" t="str">
        <x:f>IF(E1368=F1368,"PASS","FAIL")</x:f>
        <x:v>PASS</x:v>
      </x:c>
    </x:row>
    <x:row r="1369">
      <x:c r="B1369" t="str">
        <x:v>A-01337</x:v>
      </x:c>
      <x:c r="C1369" t="str">
        <x:v>GATE</x:v>
      </x:c>
      <x:c r="D1369" t="str">
        <x:v>release state mirrors governing ledger</x:v>
      </x:c>
      <x:c r="E1369" t="str">
        <x:f>'Release Gates'!I1343</x:f>
        <x:v>OPEN</x:v>
      </x:c>
      <x:c r="F1369" t="str">
        <x:f>IF('Release Gates'!C1343="PLANNING","PASS",IF('Release Gates'!C1343="PHYSICAL","OPEN","BLOCKED"))</x:f>
        <x:v>OPEN</x:v>
      </x:c>
      <x:c r="G1369" t="str">
        <x:v>equals</x:v>
      </x:c>
      <x:c r="H1369" t="str">
        <x:f>IF(E1369=F1369,"PASS","FAIL")</x:f>
        <x:v>PASS</x:v>
      </x:c>
    </x:row>
    <x:row r="1370">
      <x:c r="B1370" t="str">
        <x:v>A-01338</x:v>
      </x:c>
      <x:c r="C1370" t="str">
        <x:v>GATE</x:v>
      </x:c>
      <x:c r="D1370" t="str">
        <x:v>release state mirrors governing ledger</x:v>
      </x:c>
      <x:c r="E1370" t="str">
        <x:f>'Release Gates'!I1344</x:f>
        <x:v>OPEN</x:v>
      </x:c>
      <x:c r="F1370" t="str">
        <x:f>IF('Release Gates'!C1344="PLANNING","PASS",IF('Release Gates'!C1344="PHYSICAL","OPEN","BLOCKED"))</x:f>
        <x:v>OPEN</x:v>
      </x:c>
      <x:c r="G1370" t="str">
        <x:v>equals</x:v>
      </x:c>
      <x:c r="H1370" t="str">
        <x:f>IF(E1370=F1370,"PASS","FAIL")</x:f>
        <x:v>PASS</x:v>
      </x:c>
    </x:row>
    <x:row r="1371">
      <x:c r="B1371" t="str">
        <x:v>A-01339</x:v>
      </x:c>
      <x:c r="C1371" t="str">
        <x:v>GATE</x:v>
      </x:c>
      <x:c r="D1371" t="str">
        <x:v>release state mirrors governing ledger</x:v>
      </x:c>
      <x:c r="E1371" t="str">
        <x:f>'Release Gates'!I1345</x:f>
        <x:v>OPEN</x:v>
      </x:c>
      <x:c r="F1371" t="str">
        <x:f>IF('Release Gates'!C1345="PLANNING","PASS",IF('Release Gates'!C1345="PHYSICAL","OPEN","BLOCKED"))</x:f>
        <x:v>OPEN</x:v>
      </x:c>
      <x:c r="G1371" t="str">
        <x:v>equals</x:v>
      </x:c>
      <x:c r="H1371" t="str">
        <x:f>IF(E1371=F1371,"PASS","FAIL")</x:f>
        <x:v>PASS</x:v>
      </x:c>
    </x:row>
    <x:row r="1372">
      <x:c r="B1372" t="str">
        <x:v>A-01340</x:v>
      </x:c>
      <x:c r="C1372" t="str">
        <x:v>GATE</x:v>
      </x:c>
      <x:c r="D1372" t="str">
        <x:v>release state mirrors governing ledger</x:v>
      </x:c>
      <x:c r="E1372" t="str">
        <x:f>'Release Gates'!I1346</x:f>
        <x:v>OPEN</x:v>
      </x:c>
      <x:c r="F1372" t="str">
        <x:f>IF('Release Gates'!C1346="PLANNING","PASS",IF('Release Gates'!C1346="PHYSICAL","OPEN","BLOCKED"))</x:f>
        <x:v>OPEN</x:v>
      </x:c>
      <x:c r="G1372" t="str">
        <x:v>equals</x:v>
      </x:c>
      <x:c r="H1372" t="str">
        <x:f>IF(E1372=F1372,"PASS","FAIL")</x:f>
        <x:v>PASS</x:v>
      </x:c>
    </x:row>
    <x:row r="1373">
      <x:c r="B1373" t="str">
        <x:v>A-01341</x:v>
      </x:c>
      <x:c r="C1373" t="str">
        <x:v>GATE</x:v>
      </x:c>
      <x:c r="D1373" t="str">
        <x:v>release state mirrors governing ledger</x:v>
      </x:c>
      <x:c r="E1373" t="str">
        <x:f>'Release Gates'!I1347</x:f>
        <x:v>OPEN</x:v>
      </x:c>
      <x:c r="F1373" t="str">
        <x:f>IF('Release Gates'!C1347="PLANNING","PASS",IF('Release Gates'!C1347="PHYSICAL","OPEN","BLOCKED"))</x:f>
        <x:v>OPEN</x:v>
      </x:c>
      <x:c r="G1373" t="str">
        <x:v>equals</x:v>
      </x:c>
      <x:c r="H1373" t="str">
        <x:f>IF(E1373=F1373,"PASS","FAIL")</x:f>
        <x:v>PASS</x:v>
      </x:c>
    </x:row>
    <x:row r="1374">
      <x:c r="B1374" t="str">
        <x:v>A-01342</x:v>
      </x:c>
      <x:c r="C1374" t="str">
        <x:v>GATE</x:v>
      </x:c>
      <x:c r="D1374" t="str">
        <x:v>release state mirrors governing ledger</x:v>
      </x:c>
      <x:c r="E1374" t="str">
        <x:f>'Release Gates'!I1348</x:f>
        <x:v>OPEN</x:v>
      </x:c>
      <x:c r="F1374" t="str">
        <x:f>IF('Release Gates'!C1348="PLANNING","PASS",IF('Release Gates'!C1348="PHYSICAL","OPEN","BLOCKED"))</x:f>
        <x:v>OPEN</x:v>
      </x:c>
      <x:c r="G1374" t="str">
        <x:v>equals</x:v>
      </x:c>
      <x:c r="H1374" t="str">
        <x:f>IF(E1374=F1374,"PASS","FAIL")</x:f>
        <x:v>PASS</x:v>
      </x:c>
    </x:row>
    <x:row r="1375">
      <x:c r="B1375" t="str">
        <x:v>A-01343</x:v>
      </x:c>
      <x:c r="C1375" t="str">
        <x:v>GATE</x:v>
      </x:c>
      <x:c r="D1375" t="str">
        <x:v>release state mirrors governing ledger</x:v>
      </x:c>
      <x:c r="E1375" t="str">
        <x:f>'Release Gates'!I1349</x:f>
        <x:v>OPEN</x:v>
      </x:c>
      <x:c r="F1375" t="str">
        <x:f>IF('Release Gates'!C1349="PLANNING","PASS",IF('Release Gates'!C1349="PHYSICAL","OPEN","BLOCKED"))</x:f>
        <x:v>OPEN</x:v>
      </x:c>
      <x:c r="G1375" t="str">
        <x:v>equals</x:v>
      </x:c>
      <x:c r="H1375" t="str">
        <x:f>IF(E1375=F1375,"PASS","FAIL")</x:f>
        <x:v>PASS</x:v>
      </x:c>
    </x:row>
    <x:row r="1376">
      <x:c r="B1376" t="str">
        <x:v>A-01344</x:v>
      </x:c>
      <x:c r="C1376" t="str">
        <x:v>GATE</x:v>
      </x:c>
      <x:c r="D1376" t="str">
        <x:v>release state mirrors governing ledger</x:v>
      </x:c>
      <x:c r="E1376" t="str">
        <x:f>'Release Gates'!I1350</x:f>
        <x:v>OPEN</x:v>
      </x:c>
      <x:c r="F1376" t="str">
        <x:f>IF('Release Gates'!C1350="PLANNING","PASS",IF('Release Gates'!C1350="PHYSICAL","OPEN","BLOCKED"))</x:f>
        <x:v>OPEN</x:v>
      </x:c>
      <x:c r="G1376" t="str">
        <x:v>equals</x:v>
      </x:c>
      <x:c r="H1376" t="str">
        <x:f>IF(E1376=F1376,"PASS","FAIL")</x:f>
        <x:v>PASS</x:v>
      </x:c>
    </x:row>
    <x:row r="1377">
      <x:c r="B1377" t="str">
        <x:v>A-01345</x:v>
      </x:c>
      <x:c r="C1377" t="str">
        <x:v>GATE</x:v>
      </x:c>
      <x:c r="D1377" t="str">
        <x:v>release state mirrors governing ledger</x:v>
      </x:c>
      <x:c r="E1377" t="str">
        <x:f>'Release Gates'!I1351</x:f>
        <x:v>OPEN</x:v>
      </x:c>
      <x:c r="F1377" t="str">
        <x:f>IF('Release Gates'!C1351="PLANNING","PASS",IF('Release Gates'!C1351="PHYSICAL","OPEN","BLOCKED"))</x:f>
        <x:v>OPEN</x:v>
      </x:c>
      <x:c r="G1377" t="str">
        <x:v>equals</x:v>
      </x:c>
      <x:c r="H1377" t="str">
        <x:f>IF(E1377=F1377,"PASS","FAIL")</x:f>
        <x:v>PASS</x:v>
      </x:c>
    </x:row>
    <x:row r="1378">
      <x:c r="B1378" t="str">
        <x:v>A-01346</x:v>
      </x:c>
      <x:c r="C1378" t="str">
        <x:v>GATE</x:v>
      </x:c>
      <x:c r="D1378" t="str">
        <x:v>release state mirrors governing ledger</x:v>
      </x:c>
      <x:c r="E1378" t="str">
        <x:f>'Release Gates'!I1352</x:f>
        <x:v>OPEN</x:v>
      </x:c>
      <x:c r="F1378" t="str">
        <x:f>IF('Release Gates'!C1352="PLANNING","PASS",IF('Release Gates'!C1352="PHYSICAL","OPEN","BLOCKED"))</x:f>
        <x:v>OPEN</x:v>
      </x:c>
      <x:c r="G1378" t="str">
        <x:v>equals</x:v>
      </x:c>
      <x:c r="H1378" t="str">
        <x:f>IF(E1378=F1378,"PASS","FAIL")</x:f>
        <x:v>PASS</x:v>
      </x:c>
    </x:row>
    <x:row r="1379">
      <x:c r="B1379" t="str">
        <x:v>A-01347</x:v>
      </x:c>
      <x:c r="C1379" t="str">
        <x:v>GATE</x:v>
      </x:c>
      <x:c r="D1379" t="str">
        <x:v>release state mirrors governing ledger</x:v>
      </x:c>
      <x:c r="E1379" t="str">
        <x:f>'Release Gates'!I1353</x:f>
        <x:v>OPEN</x:v>
      </x:c>
      <x:c r="F1379" t="str">
        <x:f>IF('Release Gates'!C1353="PLANNING","PASS",IF('Release Gates'!C1353="PHYSICAL","OPEN","BLOCKED"))</x:f>
        <x:v>OPEN</x:v>
      </x:c>
      <x:c r="G1379" t="str">
        <x:v>equals</x:v>
      </x:c>
      <x:c r="H1379" t="str">
        <x:f>IF(E1379=F1379,"PASS","FAIL")</x:f>
        <x:v>PASS</x:v>
      </x:c>
    </x:row>
    <x:row r="1380">
      <x:c r="B1380" t="str">
        <x:v>A-01348</x:v>
      </x:c>
      <x:c r="C1380" t="str">
        <x:v>GATE</x:v>
      </x:c>
      <x:c r="D1380" t="str">
        <x:v>release state mirrors governing ledger</x:v>
      </x:c>
      <x:c r="E1380" t="str">
        <x:f>'Release Gates'!I1354</x:f>
        <x:v>OPEN</x:v>
      </x:c>
      <x:c r="F1380" t="str">
        <x:f>IF('Release Gates'!C1354="PLANNING","PASS",IF('Release Gates'!C1354="PHYSICAL","OPEN","BLOCKED"))</x:f>
        <x:v>OPEN</x:v>
      </x:c>
      <x:c r="G1380" t="str">
        <x:v>equals</x:v>
      </x:c>
      <x:c r="H1380" t="str">
        <x:f>IF(E1380=F1380,"PASS","FAIL")</x:f>
        <x:v>PASS</x:v>
      </x:c>
    </x:row>
    <x:row r="1381">
      <x:c r="B1381" t="str">
        <x:v>A-01349</x:v>
      </x:c>
      <x:c r="C1381" t="str">
        <x:v>GATE</x:v>
      </x:c>
      <x:c r="D1381" t="str">
        <x:v>release state mirrors governing ledger</x:v>
      </x:c>
      <x:c r="E1381" t="str">
        <x:f>'Release Gates'!I1355</x:f>
        <x:v>OPEN</x:v>
      </x:c>
      <x:c r="F1381" t="str">
        <x:f>IF('Release Gates'!C1355="PLANNING","PASS",IF('Release Gates'!C1355="PHYSICAL","OPEN","BLOCKED"))</x:f>
        <x:v>OPEN</x:v>
      </x:c>
      <x:c r="G1381" t="str">
        <x:v>equals</x:v>
      </x:c>
      <x:c r="H1381" t="str">
        <x:f>IF(E1381=F1381,"PASS","FAIL")</x:f>
        <x:v>PASS</x:v>
      </x:c>
    </x:row>
    <x:row r="1382">
      <x:c r="B1382" t="str">
        <x:v>A-01350</x:v>
      </x:c>
      <x:c r="C1382" t="str">
        <x:v>GATE</x:v>
      </x:c>
      <x:c r="D1382" t="str">
        <x:v>release state mirrors governing ledger</x:v>
      </x:c>
      <x:c r="E1382" t="str">
        <x:f>'Release Gates'!I1356</x:f>
        <x:v>OPEN</x:v>
      </x:c>
      <x:c r="F1382" t="str">
        <x:f>IF('Release Gates'!C1356="PLANNING","PASS",IF('Release Gates'!C1356="PHYSICAL","OPEN","BLOCKED"))</x:f>
        <x:v>OPEN</x:v>
      </x:c>
      <x:c r="G1382" t="str">
        <x:v>equals</x:v>
      </x:c>
      <x:c r="H1382" t="str">
        <x:f>IF(E1382=F1382,"PASS","FAIL")</x:f>
        <x:v>PASS</x:v>
      </x:c>
    </x:row>
    <x:row r="1383">
      <x:c r="B1383" t="str">
        <x:v>A-01351</x:v>
      </x:c>
      <x:c r="C1383" t="str">
        <x:v>GATE</x:v>
      </x:c>
      <x:c r="D1383" t="str">
        <x:v>release state mirrors governing ledger</x:v>
      </x:c>
      <x:c r="E1383" t="str">
        <x:f>'Release Gates'!I1357</x:f>
        <x:v>OPEN</x:v>
      </x:c>
      <x:c r="F1383" t="str">
        <x:f>IF('Release Gates'!C1357="PLANNING","PASS",IF('Release Gates'!C1357="PHYSICAL","OPEN","BLOCKED"))</x:f>
        <x:v>OPEN</x:v>
      </x:c>
      <x:c r="G1383" t="str">
        <x:v>equals</x:v>
      </x:c>
      <x:c r="H1383" t="str">
        <x:f>IF(E1383=F1383,"PASS","FAIL")</x:f>
        <x:v>PASS</x:v>
      </x:c>
    </x:row>
    <x:row r="1384">
      <x:c r="B1384" t="str">
        <x:v>A-01352</x:v>
      </x:c>
      <x:c r="C1384" t="str">
        <x:v>GATE</x:v>
      </x:c>
      <x:c r="D1384" t="str">
        <x:v>release state mirrors governing ledger</x:v>
      </x:c>
      <x:c r="E1384" t="str">
        <x:f>'Release Gates'!I1358</x:f>
        <x:v>OPEN</x:v>
      </x:c>
      <x:c r="F1384" t="str">
        <x:f>IF('Release Gates'!C1358="PLANNING","PASS",IF('Release Gates'!C1358="PHYSICAL","OPEN","BLOCKED"))</x:f>
        <x:v>OPEN</x:v>
      </x:c>
      <x:c r="G1384" t="str">
        <x:v>equals</x:v>
      </x:c>
      <x:c r="H1384" t="str">
        <x:f>IF(E1384=F1384,"PASS","FAIL")</x:f>
        <x:v>PASS</x:v>
      </x:c>
    </x:row>
    <x:row r="1385">
      <x:c r="B1385" t="str">
        <x:v>A-01353</x:v>
      </x:c>
      <x:c r="C1385" t="str">
        <x:v>GATE</x:v>
      </x:c>
      <x:c r="D1385" t="str">
        <x:v>release state mirrors governing ledger</x:v>
      </x:c>
      <x:c r="E1385" t="str">
        <x:f>'Release Gates'!I1359</x:f>
        <x:v>OPEN</x:v>
      </x:c>
      <x:c r="F1385" t="str">
        <x:f>IF('Release Gates'!C1359="PLANNING","PASS",IF('Release Gates'!C1359="PHYSICAL","OPEN","BLOCKED"))</x:f>
        <x:v>OPEN</x:v>
      </x:c>
      <x:c r="G1385" t="str">
        <x:v>equals</x:v>
      </x:c>
      <x:c r="H1385" t="str">
        <x:f>IF(E1385=F1385,"PASS","FAIL")</x:f>
        <x:v>PASS</x:v>
      </x:c>
    </x:row>
    <x:row r="1386">
      <x:c r="B1386" t="str">
        <x:v>A-01354</x:v>
      </x:c>
      <x:c r="C1386" t="str">
        <x:v>GATE</x:v>
      </x:c>
      <x:c r="D1386" t="str">
        <x:v>release state mirrors governing ledger</x:v>
      </x:c>
      <x:c r="E1386" t="str">
        <x:f>'Release Gates'!I1360</x:f>
        <x:v>OPEN</x:v>
      </x:c>
      <x:c r="F1386" t="str">
        <x:f>IF('Release Gates'!C1360="PLANNING","PASS",IF('Release Gates'!C1360="PHYSICAL","OPEN","BLOCKED"))</x:f>
        <x:v>OPEN</x:v>
      </x:c>
      <x:c r="G1386" t="str">
        <x:v>equals</x:v>
      </x:c>
      <x:c r="H1386" t="str">
        <x:f>IF(E1386=F1386,"PASS","FAIL")</x:f>
        <x:v>PASS</x:v>
      </x:c>
    </x:row>
    <x:row r="1387">
      <x:c r="B1387" t="str">
        <x:v>A-01355</x:v>
      </x:c>
      <x:c r="C1387" t="str">
        <x:v>GATE</x:v>
      </x:c>
      <x:c r="D1387" t="str">
        <x:v>release state mirrors governing ledger</x:v>
      </x:c>
      <x:c r="E1387" t="str">
        <x:f>'Release Gates'!I1361</x:f>
        <x:v>OPEN</x:v>
      </x:c>
      <x:c r="F1387" t="str">
        <x:f>IF('Release Gates'!C1361="PLANNING","PASS",IF('Release Gates'!C1361="PHYSICAL","OPEN","BLOCKED"))</x:f>
        <x:v>OPEN</x:v>
      </x:c>
      <x:c r="G1387" t="str">
        <x:v>equals</x:v>
      </x:c>
      <x:c r="H1387" t="str">
        <x:f>IF(E1387=F1387,"PASS","FAIL")</x:f>
        <x:v>PASS</x:v>
      </x:c>
    </x:row>
    <x:row r="1388">
      <x:c r="B1388" t="str">
        <x:v>A-01356</x:v>
      </x:c>
      <x:c r="C1388" t="str">
        <x:v>GATE</x:v>
      </x:c>
      <x:c r="D1388" t="str">
        <x:v>release state mirrors governing ledger</x:v>
      </x:c>
      <x:c r="E1388" t="str">
        <x:f>'Release Gates'!I1362</x:f>
        <x:v>OPEN</x:v>
      </x:c>
      <x:c r="F1388" t="str">
        <x:f>IF('Release Gates'!C1362="PLANNING","PASS",IF('Release Gates'!C1362="PHYSICAL","OPEN","BLOCKED"))</x:f>
        <x:v>OPEN</x:v>
      </x:c>
      <x:c r="G1388" t="str">
        <x:v>equals</x:v>
      </x:c>
      <x:c r="H1388" t="str">
        <x:f>IF(E1388=F1388,"PASS","FAIL")</x:f>
        <x:v>PASS</x:v>
      </x:c>
    </x:row>
    <x:row r="1389">
      <x:c r="B1389" t="str">
        <x:v>A-01357</x:v>
      </x:c>
      <x:c r="C1389" t="str">
        <x:v>GATE</x:v>
      </x:c>
      <x:c r="D1389" t="str">
        <x:v>release state mirrors governing ledger</x:v>
      </x:c>
      <x:c r="E1389" t="str">
        <x:f>'Release Gates'!I1363</x:f>
        <x:v>OPEN</x:v>
      </x:c>
      <x:c r="F1389" t="str">
        <x:f>IF('Release Gates'!C1363="PLANNING","PASS",IF('Release Gates'!C1363="PHYSICAL","OPEN","BLOCKED"))</x:f>
        <x:v>OPEN</x:v>
      </x:c>
      <x:c r="G1389" t="str">
        <x:v>equals</x:v>
      </x:c>
      <x:c r="H1389" t="str">
        <x:f>IF(E1389=F1389,"PASS","FAIL")</x:f>
        <x:v>PASS</x:v>
      </x:c>
    </x:row>
    <x:row r="1390">
      <x:c r="B1390" t="str">
        <x:v>A-01358</x:v>
      </x:c>
      <x:c r="C1390" t="str">
        <x:v>GATE</x:v>
      </x:c>
      <x:c r="D1390" t="str">
        <x:v>release state mirrors governing ledger</x:v>
      </x:c>
      <x:c r="E1390" t="str">
        <x:f>'Release Gates'!I1364</x:f>
        <x:v>OPEN</x:v>
      </x:c>
      <x:c r="F1390" t="str">
        <x:f>IF('Release Gates'!C1364="PLANNING","PASS",IF('Release Gates'!C1364="PHYSICAL","OPEN","BLOCKED"))</x:f>
        <x:v>OPEN</x:v>
      </x:c>
      <x:c r="G1390" t="str">
        <x:v>equals</x:v>
      </x:c>
      <x:c r="H1390" t="str">
        <x:f>IF(E1390=F1390,"PASS","FAIL")</x:f>
        <x:v>PASS</x:v>
      </x:c>
    </x:row>
    <x:row r="1391">
      <x:c r="B1391" t="str">
        <x:v>A-01359</x:v>
      </x:c>
      <x:c r="C1391" t="str">
        <x:v>GATE</x:v>
      </x:c>
      <x:c r="D1391" t="str">
        <x:v>release state mirrors governing ledger</x:v>
      </x:c>
      <x:c r="E1391" t="str">
        <x:f>'Release Gates'!I1365</x:f>
        <x:v>OPEN</x:v>
      </x:c>
      <x:c r="F1391" t="str">
        <x:f>IF('Release Gates'!C1365="PLANNING","PASS",IF('Release Gates'!C1365="PHYSICAL","OPEN","BLOCKED"))</x:f>
        <x:v>OPEN</x:v>
      </x:c>
      <x:c r="G1391" t="str">
        <x:v>equals</x:v>
      </x:c>
      <x:c r="H1391" t="str">
        <x:f>IF(E1391=F1391,"PASS","FAIL")</x:f>
        <x:v>PASS</x:v>
      </x:c>
    </x:row>
    <x:row r="1392">
      <x:c r="B1392" t="str">
        <x:v>A-01360</x:v>
      </x:c>
      <x:c r="C1392" t="str">
        <x:v>GATE</x:v>
      </x:c>
      <x:c r="D1392" t="str">
        <x:v>release state mirrors governing ledger</x:v>
      </x:c>
      <x:c r="E1392" t="str">
        <x:f>'Release Gates'!I1366</x:f>
        <x:v>OPEN</x:v>
      </x:c>
      <x:c r="F1392" t="str">
        <x:f>IF('Release Gates'!C1366="PLANNING","PASS",IF('Release Gates'!C1366="PHYSICAL","OPEN","BLOCKED"))</x:f>
        <x:v>OPEN</x:v>
      </x:c>
      <x:c r="G1392" t="str">
        <x:v>equals</x:v>
      </x:c>
      <x:c r="H1392" t="str">
        <x:f>IF(E1392=F1392,"PASS","FAIL")</x:f>
        <x:v>PASS</x:v>
      </x:c>
    </x:row>
    <x:row r="1393">
      <x:c r="B1393" t="str">
        <x:v>A-01361</x:v>
      </x:c>
      <x:c r="C1393" t="str">
        <x:v>GATE</x:v>
      </x:c>
      <x:c r="D1393" t="str">
        <x:v>release state mirrors governing ledger</x:v>
      </x:c>
      <x:c r="E1393" t="str">
        <x:f>'Release Gates'!I1367</x:f>
        <x:v>OPEN</x:v>
      </x:c>
      <x:c r="F1393" t="str">
        <x:f>IF('Release Gates'!C1367="PLANNING","PASS",IF('Release Gates'!C1367="PHYSICAL","OPEN","BLOCKED"))</x:f>
        <x:v>OPEN</x:v>
      </x:c>
      <x:c r="G1393" t="str">
        <x:v>equals</x:v>
      </x:c>
      <x:c r="H1393" t="str">
        <x:f>IF(E1393=F1393,"PASS","FAIL")</x:f>
        <x:v>PASS</x:v>
      </x:c>
    </x:row>
    <x:row r="1394">
      <x:c r="B1394" t="str">
        <x:v>A-01362</x:v>
      </x:c>
      <x:c r="C1394" t="str">
        <x:v>GATE</x:v>
      </x:c>
      <x:c r="D1394" t="str">
        <x:v>release state mirrors governing ledger</x:v>
      </x:c>
      <x:c r="E1394" t="str">
        <x:f>'Release Gates'!I1368</x:f>
        <x:v>OPEN</x:v>
      </x:c>
      <x:c r="F1394" t="str">
        <x:f>IF('Release Gates'!C1368="PLANNING","PASS",IF('Release Gates'!C1368="PHYSICAL","OPEN","BLOCKED"))</x:f>
        <x:v>OPEN</x:v>
      </x:c>
      <x:c r="G1394" t="str">
        <x:v>equals</x:v>
      </x:c>
      <x:c r="H1394" t="str">
        <x:f>IF(E1394=F1394,"PASS","FAIL")</x:f>
        <x:v>PASS</x:v>
      </x:c>
    </x:row>
    <x:row r="1395">
      <x:c r="B1395" t="str">
        <x:v>A-01363</x:v>
      </x:c>
      <x:c r="C1395" t="str">
        <x:v>GATE</x:v>
      </x:c>
      <x:c r="D1395" t="str">
        <x:v>release state mirrors governing ledger</x:v>
      </x:c>
      <x:c r="E1395" t="str">
        <x:f>'Release Gates'!I1369</x:f>
        <x:v>OPEN</x:v>
      </x:c>
      <x:c r="F1395" t="str">
        <x:f>IF('Release Gates'!C1369="PLANNING","PASS",IF('Release Gates'!C1369="PHYSICAL","OPEN","BLOCKED"))</x:f>
        <x:v>OPEN</x:v>
      </x:c>
      <x:c r="G1395" t="str">
        <x:v>equals</x:v>
      </x:c>
      <x:c r="H1395" t="str">
        <x:f>IF(E1395=F1395,"PASS","FAIL")</x:f>
        <x:v>PASS</x:v>
      </x:c>
    </x:row>
    <x:row r="1396">
      <x:c r="B1396" t="str">
        <x:v>A-01364</x:v>
      </x:c>
      <x:c r="C1396" t="str">
        <x:v>GATE</x:v>
      </x:c>
      <x:c r="D1396" t="str">
        <x:v>release state mirrors governing ledger</x:v>
      </x:c>
      <x:c r="E1396" t="str">
        <x:f>'Release Gates'!I1370</x:f>
        <x:v>OPEN</x:v>
      </x:c>
      <x:c r="F1396" t="str">
        <x:f>IF('Release Gates'!C1370="PLANNING","PASS",IF('Release Gates'!C1370="PHYSICAL","OPEN","BLOCKED"))</x:f>
        <x:v>OPEN</x:v>
      </x:c>
      <x:c r="G1396" t="str">
        <x:v>equals</x:v>
      </x:c>
      <x:c r="H1396" t="str">
        <x:f>IF(E1396=F1396,"PASS","FAIL")</x:f>
        <x:v>PASS</x:v>
      </x:c>
    </x:row>
    <x:row r="1397">
      <x:c r="B1397" t="str">
        <x:v>A-01365</x:v>
      </x:c>
      <x:c r="C1397" t="str">
        <x:v>GATE</x:v>
      </x:c>
      <x:c r="D1397" t="str">
        <x:v>release state mirrors governing ledger</x:v>
      </x:c>
      <x:c r="E1397" t="str">
        <x:f>'Release Gates'!I1371</x:f>
        <x:v>OPEN</x:v>
      </x:c>
      <x:c r="F1397" t="str">
        <x:f>IF('Release Gates'!C1371="PLANNING","PASS",IF('Release Gates'!C1371="PHYSICAL","OPEN","BLOCKED"))</x:f>
        <x:v>OPEN</x:v>
      </x:c>
      <x:c r="G1397" t="str">
        <x:v>equals</x:v>
      </x:c>
      <x:c r="H1397" t="str">
        <x:f>IF(E1397=F1397,"PASS","FAIL")</x:f>
        <x:v>PASS</x:v>
      </x:c>
    </x:row>
    <x:row r="1398">
      <x:c r="B1398" t="str">
        <x:v>A-01366</x:v>
      </x:c>
      <x:c r="C1398" t="str">
        <x:v>GATE</x:v>
      </x:c>
      <x:c r="D1398" t="str">
        <x:v>release state mirrors governing ledger</x:v>
      </x:c>
      <x:c r="E1398" t="str">
        <x:f>'Release Gates'!I1372</x:f>
        <x:v>OPEN</x:v>
      </x:c>
      <x:c r="F1398" t="str">
        <x:f>IF('Release Gates'!C1372="PLANNING","PASS",IF('Release Gates'!C1372="PHYSICAL","OPEN","BLOCKED"))</x:f>
        <x:v>OPEN</x:v>
      </x:c>
      <x:c r="G1398" t="str">
        <x:v>equals</x:v>
      </x:c>
      <x:c r="H1398" t="str">
        <x:f>IF(E1398=F1398,"PASS","FAIL")</x:f>
        <x:v>PASS</x:v>
      </x:c>
    </x:row>
    <x:row r="1399">
      <x:c r="B1399" t="str">
        <x:v>A-01367</x:v>
      </x:c>
      <x:c r="C1399" t="str">
        <x:v>GATE</x:v>
      </x:c>
      <x:c r="D1399" t="str">
        <x:v>release state mirrors governing ledger</x:v>
      </x:c>
      <x:c r="E1399" t="str">
        <x:f>'Release Gates'!I1373</x:f>
        <x:v>OPEN</x:v>
      </x:c>
      <x:c r="F1399" t="str">
        <x:f>IF('Release Gates'!C1373="PLANNING","PASS",IF('Release Gates'!C1373="PHYSICAL","OPEN","BLOCKED"))</x:f>
        <x:v>OPEN</x:v>
      </x:c>
      <x:c r="G1399" t="str">
        <x:v>equals</x:v>
      </x:c>
      <x:c r="H1399" t="str">
        <x:f>IF(E1399=F1399,"PASS","FAIL")</x:f>
        <x:v>PASS</x:v>
      </x:c>
    </x:row>
    <x:row r="1400">
      <x:c r="B1400" t="str">
        <x:v>A-01368</x:v>
      </x:c>
      <x:c r="C1400" t="str">
        <x:v>GATE</x:v>
      </x:c>
      <x:c r="D1400" t="str">
        <x:v>release state mirrors governing ledger</x:v>
      </x:c>
      <x:c r="E1400" t="str">
        <x:f>'Release Gates'!I1374</x:f>
        <x:v>OPEN</x:v>
      </x:c>
      <x:c r="F1400" t="str">
        <x:f>IF('Release Gates'!C1374="PLANNING","PASS",IF('Release Gates'!C1374="PHYSICAL","OPEN","BLOCKED"))</x:f>
        <x:v>OPEN</x:v>
      </x:c>
      <x:c r="G1400" t="str">
        <x:v>equals</x:v>
      </x:c>
      <x:c r="H1400" t="str">
        <x:f>IF(E1400=F1400,"PASS","FAIL")</x:f>
        <x:v>PASS</x:v>
      </x:c>
    </x:row>
    <x:row r="1401">
      <x:c r="B1401" t="str">
        <x:v>A-01369</x:v>
      </x:c>
      <x:c r="C1401" t="str">
        <x:v>GATE</x:v>
      </x:c>
      <x:c r="D1401" t="str">
        <x:v>release state mirrors governing ledger</x:v>
      </x:c>
      <x:c r="E1401" t="str">
        <x:f>'Release Gates'!I1375</x:f>
        <x:v>OPEN</x:v>
      </x:c>
      <x:c r="F1401" t="str">
        <x:f>IF('Release Gates'!C1375="PLANNING","PASS",IF('Release Gates'!C1375="PHYSICAL","OPEN","BLOCKED"))</x:f>
        <x:v>OPEN</x:v>
      </x:c>
      <x:c r="G1401" t="str">
        <x:v>equals</x:v>
      </x:c>
      <x:c r="H1401" t="str">
        <x:f>IF(E1401=F1401,"PASS","FAIL")</x:f>
        <x:v>PASS</x:v>
      </x:c>
    </x:row>
    <x:row r="1402">
      <x:c r="B1402" t="str">
        <x:v>A-01370</x:v>
      </x:c>
      <x:c r="C1402" t="str">
        <x:v>GATE</x:v>
      </x:c>
      <x:c r="D1402" t="str">
        <x:v>release state mirrors governing ledger</x:v>
      </x:c>
      <x:c r="E1402" t="str">
        <x:f>'Release Gates'!I1376</x:f>
        <x:v>OPEN</x:v>
      </x:c>
      <x:c r="F1402" t="str">
        <x:f>IF('Release Gates'!C1376="PLANNING","PASS",IF('Release Gates'!C1376="PHYSICAL","OPEN","BLOCKED"))</x:f>
        <x:v>OPEN</x:v>
      </x:c>
      <x:c r="G1402" t="str">
        <x:v>equals</x:v>
      </x:c>
      <x:c r="H1402" t="str">
        <x:f>IF(E1402=F1402,"PASS","FAIL")</x:f>
        <x:v>PASS</x:v>
      </x:c>
    </x:row>
    <x:row r="1403">
      <x:c r="B1403" t="str">
        <x:v>A-01371</x:v>
      </x:c>
      <x:c r="C1403" t="str">
        <x:v>GATE</x:v>
      </x:c>
      <x:c r="D1403" t="str">
        <x:v>release state mirrors governing ledger</x:v>
      </x:c>
      <x:c r="E1403" t="str">
        <x:f>'Release Gates'!I1377</x:f>
        <x:v>OPEN</x:v>
      </x:c>
      <x:c r="F1403" t="str">
        <x:f>IF('Release Gates'!C1377="PLANNING","PASS",IF('Release Gates'!C1377="PHYSICAL","OPEN","BLOCKED"))</x:f>
        <x:v>OPEN</x:v>
      </x:c>
      <x:c r="G1403" t="str">
        <x:v>equals</x:v>
      </x:c>
      <x:c r="H1403" t="str">
        <x:f>IF(E1403=F1403,"PASS","FAIL")</x:f>
        <x:v>PASS</x:v>
      </x:c>
    </x:row>
    <x:row r="1404">
      <x:c r="B1404" t="str">
        <x:v>A-01372</x:v>
      </x:c>
      <x:c r="C1404" t="str">
        <x:v>GATE</x:v>
      </x:c>
      <x:c r="D1404" t="str">
        <x:v>release state mirrors governing ledger</x:v>
      </x:c>
      <x:c r="E1404" t="str">
        <x:f>'Release Gates'!I1378</x:f>
        <x:v>OPEN</x:v>
      </x:c>
      <x:c r="F1404" t="str">
        <x:f>IF('Release Gates'!C1378="PLANNING","PASS",IF('Release Gates'!C1378="PHYSICAL","OPEN","BLOCKED"))</x:f>
        <x:v>OPEN</x:v>
      </x:c>
      <x:c r="G1404" t="str">
        <x:v>equals</x:v>
      </x:c>
      <x:c r="H1404" t="str">
        <x:f>IF(E1404=F1404,"PASS","FAIL")</x:f>
        <x:v>PASS</x:v>
      </x:c>
    </x:row>
    <x:row r="1405">
      <x:c r="B1405" t="str">
        <x:v>A-01373</x:v>
      </x:c>
      <x:c r="C1405" t="str">
        <x:v>GATE</x:v>
      </x:c>
      <x:c r="D1405" t="str">
        <x:v>release state mirrors governing ledger</x:v>
      </x:c>
      <x:c r="E1405" t="str">
        <x:f>'Release Gates'!I1379</x:f>
        <x:v>OPEN</x:v>
      </x:c>
      <x:c r="F1405" t="str">
        <x:f>IF('Release Gates'!C1379="PLANNING","PASS",IF('Release Gates'!C1379="PHYSICAL","OPEN","BLOCKED"))</x:f>
        <x:v>OPEN</x:v>
      </x:c>
      <x:c r="G1405" t="str">
        <x:v>equals</x:v>
      </x:c>
      <x:c r="H1405" t="str">
        <x:f>IF(E1405=F1405,"PASS","FAIL")</x:f>
        <x:v>PASS</x:v>
      </x:c>
    </x:row>
    <x:row r="1406">
      <x:c r="B1406" t="str">
        <x:v>A-01374</x:v>
      </x:c>
      <x:c r="C1406" t="str">
        <x:v>GATE</x:v>
      </x:c>
      <x:c r="D1406" t="str">
        <x:v>release state mirrors governing ledger</x:v>
      </x:c>
      <x:c r="E1406" t="str">
        <x:f>'Release Gates'!I1380</x:f>
        <x:v>OPEN</x:v>
      </x:c>
      <x:c r="F1406" t="str">
        <x:f>IF('Release Gates'!C1380="PLANNING","PASS",IF('Release Gates'!C1380="PHYSICAL","OPEN","BLOCKED"))</x:f>
        <x:v>OPEN</x:v>
      </x:c>
      <x:c r="G1406" t="str">
        <x:v>equals</x:v>
      </x:c>
      <x:c r="H1406" t="str">
        <x:f>IF(E1406=F1406,"PASS","FAIL")</x:f>
        <x:v>PASS</x:v>
      </x:c>
    </x:row>
    <x:row r="1407">
      <x:c r="B1407" t="str">
        <x:v>A-01375</x:v>
      </x:c>
      <x:c r="C1407" t="str">
        <x:v>GATE</x:v>
      </x:c>
      <x:c r="D1407" t="str">
        <x:v>release state mirrors governing ledger</x:v>
      </x:c>
      <x:c r="E1407" t="str">
        <x:f>'Release Gates'!I1381</x:f>
        <x:v>OPEN</x:v>
      </x:c>
      <x:c r="F1407" t="str">
        <x:f>IF('Release Gates'!C1381="PLANNING","PASS",IF('Release Gates'!C1381="PHYSICAL","OPEN","BLOCKED"))</x:f>
        <x:v>OPEN</x:v>
      </x:c>
      <x:c r="G1407" t="str">
        <x:v>equals</x:v>
      </x:c>
      <x:c r="H1407" t="str">
        <x:f>IF(E1407=F1407,"PASS","FAIL")</x:f>
        <x:v>PASS</x:v>
      </x:c>
    </x:row>
    <x:row r="1408">
      <x:c r="B1408" t="str">
        <x:v>A-01376</x:v>
      </x:c>
      <x:c r="C1408" t="str">
        <x:v>GATE</x:v>
      </x:c>
      <x:c r="D1408" t="str">
        <x:v>release state mirrors governing ledger</x:v>
      </x:c>
      <x:c r="E1408" t="str">
        <x:f>'Release Gates'!I1382</x:f>
        <x:v>OPEN</x:v>
      </x:c>
      <x:c r="F1408" t="str">
        <x:f>IF('Release Gates'!C1382="PLANNING","PASS",IF('Release Gates'!C1382="PHYSICAL","OPEN","BLOCKED"))</x:f>
        <x:v>OPEN</x:v>
      </x:c>
      <x:c r="G1408" t="str">
        <x:v>equals</x:v>
      </x:c>
      <x:c r="H1408" t="str">
        <x:f>IF(E1408=F1408,"PASS","FAIL")</x:f>
        <x:v>PASS</x:v>
      </x:c>
    </x:row>
    <x:row r="1409">
      <x:c r="B1409" t="str">
        <x:v>A-01377</x:v>
      </x:c>
      <x:c r="C1409" t="str">
        <x:v>GATE</x:v>
      </x:c>
      <x:c r="D1409" t="str">
        <x:v>release state mirrors governing ledger</x:v>
      </x:c>
      <x:c r="E1409" t="str">
        <x:f>'Release Gates'!I1383</x:f>
        <x:v>OPEN</x:v>
      </x:c>
      <x:c r="F1409" t="str">
        <x:f>IF('Release Gates'!C1383="PLANNING","PASS",IF('Release Gates'!C1383="PHYSICAL","OPEN","BLOCKED"))</x:f>
        <x:v>OPEN</x:v>
      </x:c>
      <x:c r="G1409" t="str">
        <x:v>equals</x:v>
      </x:c>
      <x:c r="H1409" t="str">
        <x:f>IF(E1409=F1409,"PASS","FAIL")</x:f>
        <x:v>PASS</x:v>
      </x:c>
    </x:row>
    <x:row r="1410">
      <x:c r="B1410" t="str">
        <x:v>A-01378</x:v>
      </x:c>
      <x:c r="C1410" t="str">
        <x:v>GATE</x:v>
      </x:c>
      <x:c r="D1410" t="str">
        <x:v>release state mirrors governing ledger</x:v>
      </x:c>
      <x:c r="E1410" t="str">
        <x:f>'Release Gates'!I1384</x:f>
        <x:v>OPEN</x:v>
      </x:c>
      <x:c r="F1410" t="str">
        <x:f>IF('Release Gates'!C1384="PLANNING","PASS",IF('Release Gates'!C1384="PHYSICAL","OPEN","BLOCKED"))</x:f>
        <x:v>OPEN</x:v>
      </x:c>
      <x:c r="G1410" t="str">
        <x:v>equals</x:v>
      </x:c>
      <x:c r="H1410" t="str">
        <x:f>IF(E1410=F1410,"PASS","FAIL")</x:f>
        <x:v>PASS</x:v>
      </x:c>
    </x:row>
    <x:row r="1411">
      <x:c r="B1411" t="str">
        <x:v>A-01379</x:v>
      </x:c>
      <x:c r="C1411" t="str">
        <x:v>GATE</x:v>
      </x:c>
      <x:c r="D1411" t="str">
        <x:v>release state mirrors governing ledger</x:v>
      </x:c>
      <x:c r="E1411" t="str">
        <x:f>'Release Gates'!I1385</x:f>
        <x:v>OPEN</x:v>
      </x:c>
      <x:c r="F1411" t="str">
        <x:f>IF('Release Gates'!C1385="PLANNING","PASS",IF('Release Gates'!C1385="PHYSICAL","OPEN","BLOCKED"))</x:f>
        <x:v>OPEN</x:v>
      </x:c>
      <x:c r="G1411" t="str">
        <x:v>equals</x:v>
      </x:c>
      <x:c r="H1411" t="str">
        <x:f>IF(E1411=F1411,"PASS","FAIL")</x:f>
        <x:v>PASS</x:v>
      </x:c>
    </x:row>
    <x:row r="1412">
      <x:c r="B1412" t="str">
        <x:v>A-01380</x:v>
      </x:c>
      <x:c r="C1412" t="str">
        <x:v>GATE</x:v>
      </x:c>
      <x:c r="D1412" t="str">
        <x:v>release state mirrors governing ledger</x:v>
      </x:c>
      <x:c r="E1412" t="str">
        <x:f>'Release Gates'!I1386</x:f>
        <x:v>OPEN</x:v>
      </x:c>
      <x:c r="F1412" t="str">
        <x:f>IF('Release Gates'!C1386="PLANNING","PASS",IF('Release Gates'!C1386="PHYSICAL","OPEN","BLOCKED"))</x:f>
        <x:v>OPEN</x:v>
      </x:c>
      <x:c r="G1412" t="str">
        <x:v>equals</x:v>
      </x:c>
      <x:c r="H1412" t="str">
        <x:f>IF(E1412=F1412,"PASS","FAIL")</x:f>
        <x:v>PASS</x:v>
      </x:c>
    </x:row>
    <x:row r="1413">
      <x:c r="B1413" t="str">
        <x:v>A-01381</x:v>
      </x:c>
      <x:c r="C1413" t="str">
        <x:v>GATE</x:v>
      </x:c>
      <x:c r="D1413" t="str">
        <x:v>release state mirrors governing ledger</x:v>
      </x:c>
      <x:c r="E1413" t="str">
        <x:f>'Release Gates'!I1387</x:f>
        <x:v>OPEN</x:v>
      </x:c>
      <x:c r="F1413" t="str">
        <x:f>IF('Release Gates'!C1387="PLANNING","PASS",IF('Release Gates'!C1387="PHYSICAL","OPEN","BLOCKED"))</x:f>
        <x:v>OPEN</x:v>
      </x:c>
      <x:c r="G1413" t="str">
        <x:v>equals</x:v>
      </x:c>
      <x:c r="H1413" t="str">
        <x:f>IF(E1413=F1413,"PASS","FAIL")</x:f>
        <x:v>PASS</x:v>
      </x:c>
    </x:row>
    <x:row r="1414">
      <x:c r="B1414" t="str">
        <x:v>A-01382</x:v>
      </x:c>
      <x:c r="C1414" t="str">
        <x:v>GATE</x:v>
      </x:c>
      <x:c r="D1414" t="str">
        <x:v>release state mirrors governing ledger</x:v>
      </x:c>
      <x:c r="E1414" t="str">
        <x:f>'Release Gates'!I1388</x:f>
        <x:v>OPEN</x:v>
      </x:c>
      <x:c r="F1414" t="str">
        <x:f>IF('Release Gates'!C1388="PLANNING","PASS",IF('Release Gates'!C1388="PHYSICAL","OPEN","BLOCKED"))</x:f>
        <x:v>OPEN</x:v>
      </x:c>
      <x:c r="G1414" t="str">
        <x:v>equals</x:v>
      </x:c>
      <x:c r="H1414" t="str">
        <x:f>IF(E1414=F1414,"PASS","FAIL")</x:f>
        <x:v>PASS</x:v>
      </x:c>
    </x:row>
    <x:row r="1415">
      <x:c r="B1415" t="str">
        <x:v>A-01383</x:v>
      </x:c>
      <x:c r="C1415" t="str">
        <x:v>GATE</x:v>
      </x:c>
      <x:c r="D1415" t="str">
        <x:v>release state mirrors governing ledger</x:v>
      </x:c>
      <x:c r="E1415" t="str">
        <x:f>'Release Gates'!I1389</x:f>
        <x:v>OPEN</x:v>
      </x:c>
      <x:c r="F1415" t="str">
        <x:f>IF('Release Gates'!C1389="PLANNING","PASS",IF('Release Gates'!C1389="PHYSICAL","OPEN","BLOCKED"))</x:f>
        <x:v>OPEN</x:v>
      </x:c>
      <x:c r="G1415" t="str">
        <x:v>equals</x:v>
      </x:c>
      <x:c r="H1415" t="str">
        <x:f>IF(E1415=F1415,"PASS","FAIL")</x:f>
        <x:v>PASS</x:v>
      </x:c>
    </x:row>
    <x:row r="1416">
      <x:c r="B1416" t="str">
        <x:v>A-01384</x:v>
      </x:c>
      <x:c r="C1416" t="str">
        <x:v>GATE</x:v>
      </x:c>
      <x:c r="D1416" t="str">
        <x:v>release state mirrors governing ledger</x:v>
      </x:c>
      <x:c r="E1416" t="str">
        <x:f>'Release Gates'!I1390</x:f>
        <x:v>OPEN</x:v>
      </x:c>
      <x:c r="F1416" t="str">
        <x:f>IF('Release Gates'!C1390="PLANNING","PASS",IF('Release Gates'!C1390="PHYSICAL","OPEN","BLOCKED"))</x:f>
        <x:v>OPEN</x:v>
      </x:c>
      <x:c r="G1416" t="str">
        <x:v>equals</x:v>
      </x:c>
      <x:c r="H1416" t="str">
        <x:f>IF(E1416=F1416,"PASS","FAIL")</x:f>
        <x:v>PASS</x:v>
      </x:c>
    </x:row>
    <x:row r="1417">
      <x:c r="B1417" t="str">
        <x:v>A-01385</x:v>
      </x:c>
      <x:c r="C1417" t="str">
        <x:v>GATE</x:v>
      </x:c>
      <x:c r="D1417" t="str">
        <x:v>release state mirrors governing ledger</x:v>
      </x:c>
      <x:c r="E1417" t="str">
        <x:f>'Release Gates'!I1391</x:f>
        <x:v>OPEN</x:v>
      </x:c>
      <x:c r="F1417" t="str">
        <x:f>IF('Release Gates'!C1391="PLANNING","PASS",IF('Release Gates'!C1391="PHYSICAL","OPEN","BLOCKED"))</x:f>
        <x:v>OPEN</x:v>
      </x:c>
      <x:c r="G1417" t="str">
        <x:v>equals</x:v>
      </x:c>
      <x:c r="H1417" t="str">
        <x:f>IF(E1417=F1417,"PASS","FAIL")</x:f>
        <x:v>PASS</x:v>
      </x:c>
    </x:row>
    <x:row r="1418">
      <x:c r="B1418" t="str">
        <x:v>A-01386</x:v>
      </x:c>
      <x:c r="C1418" t="str">
        <x:v>GATE</x:v>
      </x:c>
      <x:c r="D1418" t="str">
        <x:v>release state mirrors governing ledger</x:v>
      </x:c>
      <x:c r="E1418" t="str">
        <x:f>'Release Gates'!I1392</x:f>
        <x:v>OPEN</x:v>
      </x:c>
      <x:c r="F1418" t="str">
        <x:f>IF('Release Gates'!C1392="PLANNING","PASS",IF('Release Gates'!C1392="PHYSICAL","OPEN","BLOCKED"))</x:f>
        <x:v>OPEN</x:v>
      </x:c>
      <x:c r="G1418" t="str">
        <x:v>equals</x:v>
      </x:c>
      <x:c r="H1418" t="str">
        <x:f>IF(E1418=F1418,"PASS","FAIL")</x:f>
        <x:v>PASS</x:v>
      </x:c>
    </x:row>
    <x:row r="1419">
      <x:c r="B1419" t="str">
        <x:v>A-01387</x:v>
      </x:c>
      <x:c r="C1419" t="str">
        <x:v>GATE</x:v>
      </x:c>
      <x:c r="D1419" t="str">
        <x:v>release state mirrors governing ledger</x:v>
      </x:c>
      <x:c r="E1419" t="str">
        <x:f>'Release Gates'!I1393</x:f>
        <x:v>OPEN</x:v>
      </x:c>
      <x:c r="F1419" t="str">
        <x:f>IF('Release Gates'!C1393="PLANNING","PASS",IF('Release Gates'!C1393="PHYSICAL","OPEN","BLOCKED"))</x:f>
        <x:v>OPEN</x:v>
      </x:c>
      <x:c r="G1419" t="str">
        <x:v>equals</x:v>
      </x:c>
      <x:c r="H1419" t="str">
        <x:f>IF(E1419=F1419,"PASS","FAIL")</x:f>
        <x:v>PASS</x:v>
      </x:c>
    </x:row>
    <x:row r="1420">
      <x:c r="B1420" t="str">
        <x:v>A-01388</x:v>
      </x:c>
      <x:c r="C1420" t="str">
        <x:v>GATE</x:v>
      </x:c>
      <x:c r="D1420" t="str">
        <x:v>release state mirrors governing ledger</x:v>
      </x:c>
      <x:c r="E1420" t="str">
        <x:f>'Release Gates'!I1394</x:f>
        <x:v>OPEN</x:v>
      </x:c>
      <x:c r="F1420" t="str">
        <x:f>IF('Release Gates'!C1394="PLANNING","PASS",IF('Release Gates'!C1394="PHYSICAL","OPEN","BLOCKED"))</x:f>
        <x:v>OPEN</x:v>
      </x:c>
      <x:c r="G1420" t="str">
        <x:v>equals</x:v>
      </x:c>
      <x:c r="H1420" t="str">
        <x:f>IF(E1420=F1420,"PASS","FAIL")</x:f>
        <x:v>PASS</x:v>
      </x:c>
    </x:row>
    <x:row r="1421">
      <x:c r="B1421" t="str">
        <x:v>A-01389</x:v>
      </x:c>
      <x:c r="C1421" t="str">
        <x:v>GATE</x:v>
      </x:c>
      <x:c r="D1421" t="str">
        <x:v>release state mirrors governing ledger</x:v>
      </x:c>
      <x:c r="E1421" t="str">
        <x:f>'Release Gates'!I1395</x:f>
        <x:v>OPEN</x:v>
      </x:c>
      <x:c r="F1421" t="str">
        <x:f>IF('Release Gates'!C1395="PLANNING","PASS",IF('Release Gates'!C1395="PHYSICAL","OPEN","BLOCKED"))</x:f>
        <x:v>OPEN</x:v>
      </x:c>
      <x:c r="G1421" t="str">
        <x:v>equals</x:v>
      </x:c>
      <x:c r="H1421" t="str">
        <x:f>IF(E1421=F1421,"PASS","FAIL")</x:f>
        <x:v>PASS</x:v>
      </x:c>
    </x:row>
    <x:row r="1422">
      <x:c r="B1422" t="str">
        <x:v>A-01390</x:v>
      </x:c>
      <x:c r="C1422" t="str">
        <x:v>GATE</x:v>
      </x:c>
      <x:c r="D1422" t="str">
        <x:v>release state mirrors governing ledger</x:v>
      </x:c>
      <x:c r="E1422" t="str">
        <x:f>'Release Gates'!I1396</x:f>
        <x:v>OPEN</x:v>
      </x:c>
      <x:c r="F1422" t="str">
        <x:f>IF('Release Gates'!C1396="PLANNING","PASS",IF('Release Gates'!C1396="PHYSICAL","OPEN","BLOCKED"))</x:f>
        <x:v>OPEN</x:v>
      </x:c>
      <x:c r="G1422" t="str">
        <x:v>equals</x:v>
      </x:c>
      <x:c r="H1422" t="str">
        <x:f>IF(E1422=F1422,"PASS","FAIL")</x:f>
        <x:v>PASS</x:v>
      </x:c>
    </x:row>
    <x:row r="1423">
      <x:c r="B1423" t="str">
        <x:v>A-01391</x:v>
      </x:c>
      <x:c r="C1423" t="str">
        <x:v>GATE</x:v>
      </x:c>
      <x:c r="D1423" t="str">
        <x:v>release state mirrors governing ledger</x:v>
      </x:c>
      <x:c r="E1423" t="str">
        <x:f>'Release Gates'!I1397</x:f>
        <x:v>OPEN</x:v>
      </x:c>
      <x:c r="F1423" t="str">
        <x:f>IF('Release Gates'!C1397="PLANNING","PASS",IF('Release Gates'!C1397="PHYSICAL","OPEN","BLOCKED"))</x:f>
        <x:v>OPEN</x:v>
      </x:c>
      <x:c r="G1423" t="str">
        <x:v>equals</x:v>
      </x:c>
      <x:c r="H1423" t="str">
        <x:f>IF(E1423=F1423,"PASS","FAIL")</x:f>
        <x:v>PASS</x:v>
      </x:c>
    </x:row>
    <x:row r="1424">
      <x:c r="B1424" t="str">
        <x:v>A-01392</x:v>
      </x:c>
      <x:c r="C1424" t="str">
        <x:v>GATE</x:v>
      </x:c>
      <x:c r="D1424" t="str">
        <x:v>release state mirrors governing ledger</x:v>
      </x:c>
      <x:c r="E1424" t="str">
        <x:f>'Release Gates'!I1398</x:f>
        <x:v>OPEN</x:v>
      </x:c>
      <x:c r="F1424" t="str">
        <x:f>IF('Release Gates'!C1398="PLANNING","PASS",IF('Release Gates'!C1398="PHYSICAL","OPEN","BLOCKED"))</x:f>
        <x:v>OPEN</x:v>
      </x:c>
      <x:c r="G1424" t="str">
        <x:v>equals</x:v>
      </x:c>
      <x:c r="H1424" t="str">
        <x:f>IF(E1424=F1424,"PASS","FAIL")</x:f>
        <x:v>PASS</x:v>
      </x:c>
    </x:row>
    <x:row r="1425">
      <x:c r="B1425" t="str">
        <x:v>A-01393</x:v>
      </x:c>
      <x:c r="C1425" t="str">
        <x:v>GATE</x:v>
      </x:c>
      <x:c r="D1425" t="str">
        <x:v>release state mirrors governing ledger</x:v>
      </x:c>
      <x:c r="E1425" t="str">
        <x:f>'Release Gates'!I1399</x:f>
        <x:v>OPEN</x:v>
      </x:c>
      <x:c r="F1425" t="str">
        <x:f>IF('Release Gates'!C1399="PLANNING","PASS",IF('Release Gates'!C1399="PHYSICAL","OPEN","BLOCKED"))</x:f>
        <x:v>OPEN</x:v>
      </x:c>
      <x:c r="G1425" t="str">
        <x:v>equals</x:v>
      </x:c>
      <x:c r="H1425" t="str">
        <x:f>IF(E1425=F1425,"PASS","FAIL")</x:f>
        <x:v>PASS</x:v>
      </x:c>
    </x:row>
    <x:row r="1426">
      <x:c r="B1426" t="str">
        <x:v>A-01394</x:v>
      </x:c>
      <x:c r="C1426" t="str">
        <x:v>GATE</x:v>
      </x:c>
      <x:c r="D1426" t="str">
        <x:v>release state mirrors governing ledger</x:v>
      </x:c>
      <x:c r="E1426" t="str">
        <x:f>'Release Gates'!I1400</x:f>
        <x:v>OPEN</x:v>
      </x:c>
      <x:c r="F1426" t="str">
        <x:f>IF('Release Gates'!C1400="PLANNING","PASS",IF('Release Gates'!C1400="PHYSICAL","OPEN","BLOCKED"))</x:f>
        <x:v>OPEN</x:v>
      </x:c>
      <x:c r="G1426" t="str">
        <x:v>equals</x:v>
      </x:c>
      <x:c r="H1426" t="str">
        <x:f>IF(E1426=F1426,"PASS","FAIL")</x:f>
        <x:v>PASS</x:v>
      </x:c>
    </x:row>
    <x:row r="1427">
      <x:c r="B1427" t="str">
        <x:v>A-01395</x:v>
      </x:c>
      <x:c r="C1427" t="str">
        <x:v>GATE</x:v>
      </x:c>
      <x:c r="D1427" t="str">
        <x:v>release state mirrors governing ledger</x:v>
      </x:c>
      <x:c r="E1427" t="str">
        <x:f>'Release Gates'!I1401</x:f>
        <x:v>OPEN</x:v>
      </x:c>
      <x:c r="F1427" t="str">
        <x:f>IF('Release Gates'!C1401="PLANNING","PASS",IF('Release Gates'!C1401="PHYSICAL","OPEN","BLOCKED"))</x:f>
        <x:v>OPEN</x:v>
      </x:c>
      <x:c r="G1427" t="str">
        <x:v>equals</x:v>
      </x:c>
      <x:c r="H1427" t="str">
        <x:f>IF(E1427=F1427,"PASS","FAIL")</x:f>
        <x:v>PASS</x:v>
      </x:c>
    </x:row>
    <x:row r="1428">
      <x:c r="B1428" t="str">
        <x:v>A-01396</x:v>
      </x:c>
      <x:c r="C1428" t="str">
        <x:v>GATE</x:v>
      </x:c>
      <x:c r="D1428" t="str">
        <x:v>release state mirrors governing ledger</x:v>
      </x:c>
      <x:c r="E1428" t="str">
        <x:f>'Release Gates'!I1402</x:f>
        <x:v>OPEN</x:v>
      </x:c>
      <x:c r="F1428" t="str">
        <x:f>IF('Release Gates'!C1402="PLANNING","PASS",IF('Release Gates'!C1402="PHYSICAL","OPEN","BLOCKED"))</x:f>
        <x:v>OPEN</x:v>
      </x:c>
      <x:c r="G1428" t="str">
        <x:v>equals</x:v>
      </x:c>
      <x:c r="H1428" t="str">
        <x:f>IF(E1428=F1428,"PASS","FAIL")</x:f>
        <x:v>PASS</x:v>
      </x:c>
    </x:row>
    <x:row r="1429">
      <x:c r="B1429" t="str">
        <x:v>A-01397</x:v>
      </x:c>
      <x:c r="C1429" t="str">
        <x:v>GATE</x:v>
      </x:c>
      <x:c r="D1429" t="str">
        <x:v>release state mirrors governing ledger</x:v>
      </x:c>
      <x:c r="E1429" t="str">
        <x:f>'Release Gates'!I1403</x:f>
        <x:v>OPEN</x:v>
      </x:c>
      <x:c r="F1429" t="str">
        <x:f>IF('Release Gates'!C1403="PLANNING","PASS",IF('Release Gates'!C1403="PHYSICAL","OPEN","BLOCKED"))</x:f>
        <x:v>OPEN</x:v>
      </x:c>
      <x:c r="G1429" t="str">
        <x:v>equals</x:v>
      </x:c>
      <x:c r="H1429" t="str">
        <x:f>IF(E1429=F1429,"PASS","FAIL")</x:f>
        <x:v>PASS</x:v>
      </x:c>
    </x:row>
    <x:row r="1430">
      <x:c r="B1430" t="str">
        <x:v>A-01398</x:v>
      </x:c>
      <x:c r="C1430" t="str">
        <x:v>GATE</x:v>
      </x:c>
      <x:c r="D1430" t="str">
        <x:v>release state mirrors governing ledger</x:v>
      </x:c>
      <x:c r="E1430" t="str">
        <x:f>'Release Gates'!I1404</x:f>
        <x:v>OPEN</x:v>
      </x:c>
      <x:c r="F1430" t="str">
        <x:f>IF('Release Gates'!C1404="PLANNING","PASS",IF('Release Gates'!C1404="PHYSICAL","OPEN","BLOCKED"))</x:f>
        <x:v>OPEN</x:v>
      </x:c>
      <x:c r="G1430" t="str">
        <x:v>equals</x:v>
      </x:c>
      <x:c r="H1430" t="str">
        <x:f>IF(E1430=F1430,"PASS","FAIL")</x:f>
        <x:v>PASS</x:v>
      </x:c>
    </x:row>
    <x:row r="1431">
      <x:c r="B1431" t="str">
        <x:v>A-01399</x:v>
      </x:c>
      <x:c r="C1431" t="str">
        <x:v>GATE</x:v>
      </x:c>
      <x:c r="D1431" t="str">
        <x:v>release state mirrors governing ledger</x:v>
      </x:c>
      <x:c r="E1431" t="str">
        <x:f>'Release Gates'!I1405</x:f>
        <x:v>OPEN</x:v>
      </x:c>
      <x:c r="F1431" t="str">
        <x:f>IF('Release Gates'!C1405="PLANNING","PASS",IF('Release Gates'!C1405="PHYSICAL","OPEN","BLOCKED"))</x:f>
        <x:v>OPEN</x:v>
      </x:c>
      <x:c r="G1431" t="str">
        <x:v>equals</x:v>
      </x:c>
      <x:c r="H1431" t="str">
        <x:f>IF(E1431=F1431,"PASS","FAIL")</x:f>
        <x:v>PASS</x:v>
      </x:c>
    </x:row>
    <x:row r="1432">
      <x:c r="B1432" t="str">
        <x:v>A-01400</x:v>
      </x:c>
      <x:c r="C1432" t="str">
        <x:v>GATE</x:v>
      </x:c>
      <x:c r="D1432" t="str">
        <x:v>release state mirrors governing ledger</x:v>
      </x:c>
      <x:c r="E1432" t="str">
        <x:f>'Release Gates'!I1406</x:f>
        <x:v>OPEN</x:v>
      </x:c>
      <x:c r="F1432" t="str">
        <x:f>IF('Release Gates'!C1406="PLANNING","PASS",IF('Release Gates'!C1406="PHYSICAL","OPEN","BLOCKED"))</x:f>
        <x:v>OPEN</x:v>
      </x:c>
      <x:c r="G1432" t="str">
        <x:v>equals</x:v>
      </x:c>
      <x:c r="H1432" t="str">
        <x:f>IF(E1432=F1432,"PASS","FAIL")</x:f>
        <x:v>PASS</x:v>
      </x:c>
    </x:row>
    <x:row r="1433">
      <x:c r="B1433" t="str">
        <x:v>A-01401</x:v>
      </x:c>
      <x:c r="C1433" t="str">
        <x:v>GATE</x:v>
      </x:c>
      <x:c r="D1433" t="str">
        <x:v>release state mirrors governing ledger</x:v>
      </x:c>
      <x:c r="E1433" t="str">
        <x:f>'Release Gates'!I1407</x:f>
        <x:v>OPEN</x:v>
      </x:c>
      <x:c r="F1433" t="str">
        <x:f>IF('Release Gates'!C1407="PLANNING","PASS",IF('Release Gates'!C1407="PHYSICAL","OPEN","BLOCKED"))</x:f>
        <x:v>OPEN</x:v>
      </x:c>
      <x:c r="G1433" t="str">
        <x:v>equals</x:v>
      </x:c>
      <x:c r="H1433" t="str">
        <x:f>IF(E1433=F1433,"PASS","FAIL")</x:f>
        <x:v>PASS</x:v>
      </x:c>
    </x:row>
    <x:row r="1434">
      <x:c r="B1434" t="str">
        <x:v>A-01402</x:v>
      </x:c>
      <x:c r="C1434" t="str">
        <x:v>GATE</x:v>
      </x:c>
      <x:c r="D1434" t="str">
        <x:v>release state mirrors governing ledger</x:v>
      </x:c>
      <x:c r="E1434" t="str">
        <x:f>'Release Gates'!I1408</x:f>
        <x:v>OPEN</x:v>
      </x:c>
      <x:c r="F1434" t="str">
        <x:f>IF('Release Gates'!C1408="PLANNING","PASS",IF('Release Gates'!C1408="PHYSICAL","OPEN","BLOCKED"))</x:f>
        <x:v>OPEN</x:v>
      </x:c>
      <x:c r="G1434" t="str">
        <x:v>equals</x:v>
      </x:c>
      <x:c r="H1434" t="str">
        <x:f>IF(E1434=F1434,"PASS","FAIL")</x:f>
        <x:v>PASS</x:v>
      </x:c>
    </x:row>
    <x:row r="1435">
      <x:c r="B1435" t="str">
        <x:v>A-01403</x:v>
      </x:c>
      <x:c r="C1435" t="str">
        <x:v>GATE</x:v>
      </x:c>
      <x:c r="D1435" t="str">
        <x:v>release state mirrors governing ledger</x:v>
      </x:c>
      <x:c r="E1435" t="str">
        <x:f>'Release Gates'!I1409</x:f>
        <x:v>OPEN</x:v>
      </x:c>
      <x:c r="F1435" t="str">
        <x:f>IF('Release Gates'!C1409="PLANNING","PASS",IF('Release Gates'!C1409="PHYSICAL","OPEN","BLOCKED"))</x:f>
        <x:v>OPEN</x:v>
      </x:c>
      <x:c r="G1435" t="str">
        <x:v>equals</x:v>
      </x:c>
      <x:c r="H1435" t="str">
        <x:f>IF(E1435=F1435,"PASS","FAIL")</x:f>
        <x:v>PASS</x:v>
      </x:c>
    </x:row>
    <x:row r="1436">
      <x:c r="B1436" t="str">
        <x:v>A-01404</x:v>
      </x:c>
      <x:c r="C1436" t="str">
        <x:v>GATE</x:v>
      </x:c>
      <x:c r="D1436" t="str">
        <x:v>release state mirrors governing ledger</x:v>
      </x:c>
      <x:c r="E1436" t="str">
        <x:f>'Release Gates'!I1410</x:f>
        <x:v>OPEN</x:v>
      </x:c>
      <x:c r="F1436" t="str">
        <x:f>IF('Release Gates'!C1410="PLANNING","PASS",IF('Release Gates'!C1410="PHYSICAL","OPEN","BLOCKED"))</x:f>
        <x:v>OPEN</x:v>
      </x:c>
      <x:c r="G1436" t="str">
        <x:v>equals</x:v>
      </x:c>
      <x:c r="H1436" t="str">
        <x:f>IF(E1436=F1436,"PASS","FAIL")</x:f>
        <x:v>PASS</x:v>
      </x:c>
    </x:row>
    <x:row r="1437">
      <x:c r="B1437" t="str">
        <x:v>A-01405</x:v>
      </x:c>
      <x:c r="C1437" t="str">
        <x:v>GATE</x:v>
      </x:c>
      <x:c r="D1437" t="str">
        <x:v>release state mirrors governing ledger</x:v>
      </x:c>
      <x:c r="E1437" t="str">
        <x:f>'Release Gates'!I1411</x:f>
        <x:v>OPEN</x:v>
      </x:c>
      <x:c r="F1437" t="str">
        <x:f>IF('Release Gates'!C1411="PLANNING","PASS",IF('Release Gates'!C1411="PHYSICAL","OPEN","BLOCKED"))</x:f>
        <x:v>OPEN</x:v>
      </x:c>
      <x:c r="G1437" t="str">
        <x:v>equals</x:v>
      </x:c>
      <x:c r="H1437" t="str">
        <x:f>IF(E1437=F1437,"PASS","FAIL")</x:f>
        <x:v>PASS</x:v>
      </x:c>
    </x:row>
    <x:row r="1438">
      <x:c r="B1438" t="str">
        <x:v>A-01406</x:v>
      </x:c>
      <x:c r="C1438" t="str">
        <x:v>GATE</x:v>
      </x:c>
      <x:c r="D1438" t="str">
        <x:v>release state mirrors governing ledger</x:v>
      </x:c>
      <x:c r="E1438" t="str">
        <x:f>'Release Gates'!I1412</x:f>
        <x:v>OPEN</x:v>
      </x:c>
      <x:c r="F1438" t="str">
        <x:f>IF('Release Gates'!C1412="PLANNING","PASS",IF('Release Gates'!C1412="PHYSICAL","OPEN","BLOCKED"))</x:f>
        <x:v>OPEN</x:v>
      </x:c>
      <x:c r="G1438" t="str">
        <x:v>equals</x:v>
      </x:c>
      <x:c r="H1438" t="str">
        <x:f>IF(E1438=F1438,"PASS","FAIL")</x:f>
        <x:v>PASS</x:v>
      </x:c>
    </x:row>
    <x:row r="1439">
      <x:c r="B1439" t="str">
        <x:v>A-01407</x:v>
      </x:c>
      <x:c r="C1439" t="str">
        <x:v>GATE</x:v>
      </x:c>
      <x:c r="D1439" t="str">
        <x:v>release state mirrors governing ledger</x:v>
      </x:c>
      <x:c r="E1439" t="str">
        <x:f>'Release Gates'!I1413</x:f>
        <x:v>OPEN</x:v>
      </x:c>
      <x:c r="F1439" t="str">
        <x:f>IF('Release Gates'!C1413="PLANNING","PASS",IF('Release Gates'!C1413="PHYSICAL","OPEN","BLOCKED"))</x:f>
        <x:v>OPEN</x:v>
      </x:c>
      <x:c r="G1439" t="str">
        <x:v>equals</x:v>
      </x:c>
      <x:c r="H1439" t="str">
        <x:f>IF(E1439=F1439,"PASS","FAIL")</x:f>
        <x:v>PASS</x:v>
      </x:c>
    </x:row>
    <x:row r="1440">
      <x:c r="B1440" t="str">
        <x:v>A-01408</x:v>
      </x:c>
      <x:c r="C1440" t="str">
        <x:v>GATE</x:v>
      </x:c>
      <x:c r="D1440" t="str">
        <x:v>release state mirrors governing ledger</x:v>
      </x:c>
      <x:c r="E1440" t="str">
        <x:f>'Release Gates'!I1414</x:f>
        <x:v>OPEN</x:v>
      </x:c>
      <x:c r="F1440" t="str">
        <x:f>IF('Release Gates'!C1414="PLANNING","PASS",IF('Release Gates'!C1414="PHYSICAL","OPEN","BLOCKED"))</x:f>
        <x:v>OPEN</x:v>
      </x:c>
      <x:c r="G1440" t="str">
        <x:v>equals</x:v>
      </x:c>
      <x:c r="H1440" t="str">
        <x:f>IF(E1440=F1440,"PASS","FAIL")</x:f>
        <x:v>PASS</x:v>
      </x:c>
    </x:row>
    <x:row r="1441">
      <x:c r="B1441" t="str">
        <x:v>A-01409</x:v>
      </x:c>
      <x:c r="C1441" t="str">
        <x:v>GATE</x:v>
      </x:c>
      <x:c r="D1441" t="str">
        <x:v>release state mirrors governing ledger</x:v>
      </x:c>
      <x:c r="E1441" t="str">
        <x:f>'Release Gates'!I1415</x:f>
        <x:v>OPEN</x:v>
      </x:c>
      <x:c r="F1441" t="str">
        <x:f>IF('Release Gates'!C1415="PLANNING","PASS",IF('Release Gates'!C1415="PHYSICAL","OPEN","BLOCKED"))</x:f>
        <x:v>OPEN</x:v>
      </x:c>
      <x:c r="G1441" t="str">
        <x:v>equals</x:v>
      </x:c>
      <x:c r="H1441" t="str">
        <x:f>IF(E1441=F1441,"PASS","FAIL")</x:f>
        <x:v>PASS</x:v>
      </x:c>
    </x:row>
    <x:row r="1442">
      <x:c r="B1442" t="str">
        <x:v>A-01410</x:v>
      </x:c>
      <x:c r="C1442" t="str">
        <x:v>GATE</x:v>
      </x:c>
      <x:c r="D1442" t="str">
        <x:v>release state mirrors governing ledger</x:v>
      </x:c>
      <x:c r="E1442" t="str">
        <x:f>'Release Gates'!I1416</x:f>
        <x:v>OPEN</x:v>
      </x:c>
      <x:c r="F1442" t="str">
        <x:f>IF('Release Gates'!C1416="PLANNING","PASS",IF('Release Gates'!C1416="PHYSICAL","OPEN","BLOCKED"))</x:f>
        <x:v>OPEN</x:v>
      </x:c>
      <x:c r="G1442" t="str">
        <x:v>equals</x:v>
      </x:c>
      <x:c r="H1442" t="str">
        <x:f>IF(E1442=F1442,"PASS","FAIL")</x:f>
        <x:v>PASS</x:v>
      </x:c>
    </x:row>
    <x:row r="1443">
      <x:c r="B1443" t="str">
        <x:v>A-01411</x:v>
      </x:c>
      <x:c r="C1443" t="str">
        <x:v>GATE</x:v>
      </x:c>
      <x:c r="D1443" t="str">
        <x:v>release state mirrors governing ledger</x:v>
      </x:c>
      <x:c r="E1443" t="str">
        <x:f>'Release Gates'!I1417</x:f>
        <x:v>OPEN</x:v>
      </x:c>
      <x:c r="F1443" t="str">
        <x:f>IF('Release Gates'!C1417="PLANNING","PASS",IF('Release Gates'!C1417="PHYSICAL","OPEN","BLOCKED"))</x:f>
        <x:v>OPEN</x:v>
      </x:c>
      <x:c r="G1443" t="str">
        <x:v>equals</x:v>
      </x:c>
      <x:c r="H1443" t="str">
        <x:f>IF(E1443=F1443,"PASS","FAIL")</x:f>
        <x:v>PASS</x:v>
      </x:c>
    </x:row>
    <x:row r="1444">
      <x:c r="B1444" t="str">
        <x:v>A-01412</x:v>
      </x:c>
      <x:c r="C1444" t="str">
        <x:v>GATE</x:v>
      </x:c>
      <x:c r="D1444" t="str">
        <x:v>release state mirrors governing ledger</x:v>
      </x:c>
      <x:c r="E1444" t="str">
        <x:f>'Release Gates'!I1418</x:f>
        <x:v>OPEN</x:v>
      </x:c>
      <x:c r="F1444" t="str">
        <x:f>IF('Release Gates'!C1418="PLANNING","PASS",IF('Release Gates'!C1418="PHYSICAL","OPEN","BLOCKED"))</x:f>
        <x:v>OPEN</x:v>
      </x:c>
      <x:c r="G1444" t="str">
        <x:v>equals</x:v>
      </x:c>
      <x:c r="H1444" t="str">
        <x:f>IF(E1444=F1444,"PASS","FAIL")</x:f>
        <x:v>PASS</x:v>
      </x:c>
    </x:row>
    <x:row r="1445">
      <x:c r="B1445" t="str">
        <x:v>A-01413</x:v>
      </x:c>
      <x:c r="C1445" t="str">
        <x:v>GATE</x:v>
      </x:c>
      <x:c r="D1445" t="str">
        <x:v>release state mirrors governing ledger</x:v>
      </x:c>
      <x:c r="E1445" t="str">
        <x:f>'Release Gates'!I1419</x:f>
        <x:v>OPEN</x:v>
      </x:c>
      <x:c r="F1445" t="str">
        <x:f>IF('Release Gates'!C1419="PLANNING","PASS",IF('Release Gates'!C1419="PHYSICAL","OPEN","BLOCKED"))</x:f>
        <x:v>OPEN</x:v>
      </x:c>
      <x:c r="G1445" t="str">
        <x:v>equals</x:v>
      </x:c>
      <x:c r="H1445" t="str">
        <x:f>IF(E1445=F1445,"PASS","FAIL")</x:f>
        <x:v>PASS</x:v>
      </x:c>
    </x:row>
    <x:row r="1446">
      <x:c r="B1446" t="str">
        <x:v>A-01414</x:v>
      </x:c>
      <x:c r="C1446" t="str">
        <x:v>GATE</x:v>
      </x:c>
      <x:c r="D1446" t="str">
        <x:v>release state mirrors governing ledger</x:v>
      </x:c>
      <x:c r="E1446" t="str">
        <x:f>'Release Gates'!I1420</x:f>
        <x:v>OPEN</x:v>
      </x:c>
      <x:c r="F1446" t="str">
        <x:f>IF('Release Gates'!C1420="PLANNING","PASS",IF('Release Gates'!C1420="PHYSICAL","OPEN","BLOCKED"))</x:f>
        <x:v>OPEN</x:v>
      </x:c>
      <x:c r="G1446" t="str">
        <x:v>equals</x:v>
      </x:c>
      <x:c r="H1446" t="str">
        <x:f>IF(E1446=F1446,"PASS","FAIL")</x:f>
        <x:v>PASS</x:v>
      </x:c>
    </x:row>
    <x:row r="1447">
      <x:c r="B1447" t="str">
        <x:v>A-01415</x:v>
      </x:c>
      <x:c r="C1447" t="str">
        <x:v>GATE</x:v>
      </x:c>
      <x:c r="D1447" t="str">
        <x:v>release state mirrors governing ledger</x:v>
      </x:c>
      <x:c r="E1447" t="str">
        <x:f>'Release Gates'!I1421</x:f>
        <x:v>OPEN</x:v>
      </x:c>
      <x:c r="F1447" t="str">
        <x:f>IF('Release Gates'!C1421="PLANNING","PASS",IF('Release Gates'!C1421="PHYSICAL","OPEN","BLOCKED"))</x:f>
        <x:v>OPEN</x:v>
      </x:c>
      <x:c r="G1447" t="str">
        <x:v>equals</x:v>
      </x:c>
      <x:c r="H1447" t="str">
        <x:f>IF(E1447=F1447,"PASS","FAIL")</x:f>
        <x:v>PASS</x:v>
      </x:c>
    </x:row>
    <x:row r="1448">
      <x:c r="B1448" t="str">
        <x:v>A-01416</x:v>
      </x:c>
      <x:c r="C1448" t="str">
        <x:v>GATE</x:v>
      </x:c>
      <x:c r="D1448" t="str">
        <x:v>release state mirrors governing ledger</x:v>
      </x:c>
      <x:c r="E1448" t="str">
        <x:f>'Release Gates'!I1422</x:f>
        <x:v>OPEN</x:v>
      </x:c>
      <x:c r="F1448" t="str">
        <x:f>IF('Release Gates'!C1422="PLANNING","PASS",IF('Release Gates'!C1422="PHYSICAL","OPEN","BLOCKED"))</x:f>
        <x:v>OPEN</x:v>
      </x:c>
      <x:c r="G1448" t="str">
        <x:v>equals</x:v>
      </x:c>
      <x:c r="H1448" t="str">
        <x:f>IF(E1448=F1448,"PASS","FAIL")</x:f>
        <x:v>PASS</x:v>
      </x:c>
    </x:row>
    <x:row r="1449">
      <x:c r="B1449" t="str">
        <x:v>A-01417</x:v>
      </x:c>
      <x:c r="C1449" t="str">
        <x:v>GATE</x:v>
      </x:c>
      <x:c r="D1449" t="str">
        <x:v>release state mirrors governing ledger</x:v>
      </x:c>
      <x:c r="E1449" t="str">
        <x:f>'Release Gates'!I1423</x:f>
        <x:v>OPEN</x:v>
      </x:c>
      <x:c r="F1449" t="str">
        <x:f>IF('Release Gates'!C1423="PLANNING","PASS",IF('Release Gates'!C1423="PHYSICAL","OPEN","BLOCKED"))</x:f>
        <x:v>OPEN</x:v>
      </x:c>
      <x:c r="G1449" t="str">
        <x:v>equals</x:v>
      </x:c>
      <x:c r="H1449" t="str">
        <x:f>IF(E1449=F1449,"PASS","FAIL")</x:f>
        <x:v>PASS</x:v>
      </x:c>
    </x:row>
    <x:row r="1450">
      <x:c r="B1450" t="str">
        <x:v>A-01418</x:v>
      </x:c>
      <x:c r="C1450" t="str">
        <x:v>GATE</x:v>
      </x:c>
      <x:c r="D1450" t="str">
        <x:v>release state mirrors governing ledger</x:v>
      </x:c>
      <x:c r="E1450" t="str">
        <x:f>'Release Gates'!I1424</x:f>
        <x:v>OPEN</x:v>
      </x:c>
      <x:c r="F1450" t="str">
        <x:f>IF('Release Gates'!C1424="PLANNING","PASS",IF('Release Gates'!C1424="PHYSICAL","OPEN","BLOCKED"))</x:f>
        <x:v>OPEN</x:v>
      </x:c>
      <x:c r="G1450" t="str">
        <x:v>equals</x:v>
      </x:c>
      <x:c r="H1450" t="str">
        <x:f>IF(E1450=F1450,"PASS","FAIL")</x:f>
        <x:v>PASS</x:v>
      </x:c>
    </x:row>
    <x:row r="1451">
      <x:c r="B1451" t="str">
        <x:v>A-01419</x:v>
      </x:c>
      <x:c r="C1451" t="str">
        <x:v>GATE</x:v>
      </x:c>
      <x:c r="D1451" t="str">
        <x:v>release state mirrors governing ledger</x:v>
      </x:c>
      <x:c r="E1451" t="str">
        <x:f>'Release Gates'!I1425</x:f>
        <x:v>OPEN</x:v>
      </x:c>
      <x:c r="F1451" t="str">
        <x:f>IF('Release Gates'!C1425="PLANNING","PASS",IF('Release Gates'!C1425="PHYSICAL","OPEN","BLOCKED"))</x:f>
        <x:v>OPEN</x:v>
      </x:c>
      <x:c r="G1451" t="str">
        <x:v>equals</x:v>
      </x:c>
      <x:c r="H1451" t="str">
        <x:f>IF(E1451=F1451,"PASS","FAIL")</x:f>
        <x:v>PASS</x:v>
      </x:c>
    </x:row>
    <x:row r="1452">
      <x:c r="B1452" t="str">
        <x:v>A-01420</x:v>
      </x:c>
      <x:c r="C1452" t="str">
        <x:v>GATE</x:v>
      </x:c>
      <x:c r="D1452" t="str">
        <x:v>release state mirrors governing ledger</x:v>
      </x:c>
      <x:c r="E1452" t="str">
        <x:f>'Release Gates'!I1426</x:f>
        <x:v>OPEN</x:v>
      </x:c>
      <x:c r="F1452" t="str">
        <x:f>IF('Release Gates'!C1426="PLANNING","PASS",IF('Release Gates'!C1426="PHYSICAL","OPEN","BLOCKED"))</x:f>
        <x:v>OPEN</x:v>
      </x:c>
      <x:c r="G1452" t="str">
        <x:v>equals</x:v>
      </x:c>
      <x:c r="H1452" t="str">
        <x:f>IF(E1452=F1452,"PASS","FAIL")</x:f>
        <x:v>PASS</x:v>
      </x:c>
    </x:row>
    <x:row r="1453">
      <x:c r="B1453" t="str">
        <x:v>A-01421</x:v>
      </x:c>
      <x:c r="C1453" t="str">
        <x:v>GATE</x:v>
      </x:c>
      <x:c r="D1453" t="str">
        <x:v>release state mirrors governing ledger</x:v>
      </x:c>
      <x:c r="E1453" t="str">
        <x:f>'Release Gates'!I1427</x:f>
        <x:v>OPEN</x:v>
      </x:c>
      <x:c r="F1453" t="str">
        <x:f>IF('Release Gates'!C1427="PLANNING","PASS",IF('Release Gates'!C1427="PHYSICAL","OPEN","BLOCKED"))</x:f>
        <x:v>OPEN</x:v>
      </x:c>
      <x:c r="G1453" t="str">
        <x:v>equals</x:v>
      </x:c>
      <x:c r="H1453" t="str">
        <x:f>IF(E1453=F1453,"PASS","FAIL")</x:f>
        <x:v>PASS</x:v>
      </x:c>
    </x:row>
    <x:row r="1454">
      <x:c r="B1454" t="str">
        <x:v>A-01422</x:v>
      </x:c>
      <x:c r="C1454" t="str">
        <x:v>GATE</x:v>
      </x:c>
      <x:c r="D1454" t="str">
        <x:v>release state mirrors governing ledger</x:v>
      </x:c>
      <x:c r="E1454" t="str">
        <x:f>'Release Gates'!I1428</x:f>
        <x:v>OPEN</x:v>
      </x:c>
      <x:c r="F1454" t="str">
        <x:f>IF('Release Gates'!C1428="PLANNING","PASS",IF('Release Gates'!C1428="PHYSICAL","OPEN","BLOCKED"))</x:f>
        <x:v>OPEN</x:v>
      </x:c>
      <x:c r="G1454" t="str">
        <x:v>equals</x:v>
      </x:c>
      <x:c r="H1454" t="str">
        <x:f>IF(E1454=F1454,"PASS","FAIL")</x:f>
        <x:v>PASS</x:v>
      </x:c>
    </x:row>
    <x:row r="1455">
      <x:c r="B1455" t="str">
        <x:v>A-01423</x:v>
      </x:c>
      <x:c r="C1455" t="str">
        <x:v>GATE</x:v>
      </x:c>
      <x:c r="D1455" t="str">
        <x:v>release state mirrors governing ledger</x:v>
      </x:c>
      <x:c r="E1455" t="str">
        <x:f>'Release Gates'!I1429</x:f>
        <x:v>OPEN</x:v>
      </x:c>
      <x:c r="F1455" t="str">
        <x:f>IF('Release Gates'!C1429="PLANNING","PASS",IF('Release Gates'!C1429="PHYSICAL","OPEN","BLOCKED"))</x:f>
        <x:v>OPEN</x:v>
      </x:c>
      <x:c r="G1455" t="str">
        <x:v>equals</x:v>
      </x:c>
      <x:c r="H1455" t="str">
        <x:f>IF(E1455=F1455,"PASS","FAIL")</x:f>
        <x:v>PASS</x:v>
      </x:c>
    </x:row>
    <x:row r="1456">
      <x:c r="B1456" t="str">
        <x:v>A-01424</x:v>
      </x:c>
      <x:c r="C1456" t="str">
        <x:v>GATE</x:v>
      </x:c>
      <x:c r="D1456" t="str">
        <x:v>release state mirrors governing ledger</x:v>
      </x:c>
      <x:c r="E1456" t="str">
        <x:f>'Release Gates'!I1430</x:f>
        <x:v>OPEN</x:v>
      </x:c>
      <x:c r="F1456" t="str">
        <x:f>IF('Release Gates'!C1430="PLANNING","PASS",IF('Release Gates'!C1430="PHYSICAL","OPEN","BLOCKED"))</x:f>
        <x:v>OPEN</x:v>
      </x:c>
      <x:c r="G1456" t="str">
        <x:v>equals</x:v>
      </x:c>
      <x:c r="H1456" t="str">
        <x:f>IF(E1456=F1456,"PASS","FAIL")</x:f>
        <x:v>PASS</x:v>
      </x:c>
    </x:row>
    <x:row r="1457">
      <x:c r="B1457" t="str">
        <x:v>A-01425</x:v>
      </x:c>
      <x:c r="C1457" t="str">
        <x:v>GATE</x:v>
      </x:c>
      <x:c r="D1457" t="str">
        <x:v>release state mirrors governing ledger</x:v>
      </x:c>
      <x:c r="E1457" t="str">
        <x:f>'Release Gates'!I1431</x:f>
        <x:v>OPEN</x:v>
      </x:c>
      <x:c r="F1457" t="str">
        <x:f>IF('Release Gates'!C1431="PLANNING","PASS",IF('Release Gates'!C1431="PHYSICAL","OPEN","BLOCKED"))</x:f>
        <x:v>OPEN</x:v>
      </x:c>
      <x:c r="G1457" t="str">
        <x:v>equals</x:v>
      </x:c>
      <x:c r="H1457" t="str">
        <x:f>IF(E1457=F1457,"PASS","FAIL")</x:f>
        <x:v>PASS</x:v>
      </x:c>
    </x:row>
    <x:row r="1458">
      <x:c r="B1458" t="str">
        <x:v>A-01426</x:v>
      </x:c>
      <x:c r="C1458" t="str">
        <x:v>GATE</x:v>
      </x:c>
      <x:c r="D1458" t="str">
        <x:v>release state mirrors governing ledger</x:v>
      </x:c>
      <x:c r="E1458" t="str">
        <x:f>'Release Gates'!I1432</x:f>
        <x:v>OPEN</x:v>
      </x:c>
      <x:c r="F1458" t="str">
        <x:f>IF('Release Gates'!C1432="PLANNING","PASS",IF('Release Gates'!C1432="PHYSICAL","OPEN","BLOCKED"))</x:f>
        <x:v>OPEN</x:v>
      </x:c>
      <x:c r="G1458" t="str">
        <x:v>equals</x:v>
      </x:c>
      <x:c r="H1458" t="str">
        <x:f>IF(E1458=F1458,"PASS","FAIL")</x:f>
        <x:v>PASS</x:v>
      </x:c>
    </x:row>
    <x:row r="1459">
      <x:c r="B1459" t="str">
        <x:v>A-01427</x:v>
      </x:c>
      <x:c r="C1459" t="str">
        <x:v>GATE</x:v>
      </x:c>
      <x:c r="D1459" t="str">
        <x:v>release state mirrors governing ledger</x:v>
      </x:c>
      <x:c r="E1459" t="str">
        <x:f>'Release Gates'!I1433</x:f>
        <x:v>OPEN</x:v>
      </x:c>
      <x:c r="F1459" t="str">
        <x:f>IF('Release Gates'!C1433="PLANNING","PASS",IF('Release Gates'!C1433="PHYSICAL","OPEN","BLOCKED"))</x:f>
        <x:v>OPEN</x:v>
      </x:c>
      <x:c r="G1459" t="str">
        <x:v>equals</x:v>
      </x:c>
      <x:c r="H1459" t="str">
        <x:f>IF(E1459=F1459,"PASS","FAIL")</x:f>
        <x:v>PASS</x:v>
      </x:c>
    </x:row>
    <x:row r="1460">
      <x:c r="B1460" t="str">
        <x:v>A-01428</x:v>
      </x:c>
      <x:c r="C1460" t="str">
        <x:v>GATE</x:v>
      </x:c>
      <x:c r="D1460" t="str">
        <x:v>release state mirrors governing ledger</x:v>
      </x:c>
      <x:c r="E1460" t="str">
        <x:f>'Release Gates'!I1434</x:f>
        <x:v>OPEN</x:v>
      </x:c>
      <x:c r="F1460" t="str">
        <x:f>IF('Release Gates'!C1434="PLANNING","PASS",IF('Release Gates'!C1434="PHYSICAL","OPEN","BLOCKED"))</x:f>
        <x:v>OPEN</x:v>
      </x:c>
      <x:c r="G1460" t="str">
        <x:v>equals</x:v>
      </x:c>
      <x:c r="H1460" t="str">
        <x:f>IF(E1460=F1460,"PASS","FAIL")</x:f>
        <x:v>PASS</x:v>
      </x:c>
    </x:row>
    <x:row r="1461">
      <x:c r="B1461" t="str">
        <x:v>A-01429</x:v>
      </x:c>
      <x:c r="C1461" t="str">
        <x:v>GATE</x:v>
      </x:c>
      <x:c r="D1461" t="str">
        <x:v>release state mirrors governing ledger</x:v>
      </x:c>
      <x:c r="E1461" t="str">
        <x:f>'Release Gates'!I1435</x:f>
        <x:v>OPEN</x:v>
      </x:c>
      <x:c r="F1461" t="str">
        <x:f>IF('Release Gates'!C1435="PLANNING","PASS",IF('Release Gates'!C1435="PHYSICAL","OPEN","BLOCKED"))</x:f>
        <x:v>OPEN</x:v>
      </x:c>
      <x:c r="G1461" t="str">
        <x:v>equals</x:v>
      </x:c>
      <x:c r="H1461" t="str">
        <x:f>IF(E1461=F1461,"PASS","FAIL")</x:f>
        <x:v>PASS</x:v>
      </x:c>
    </x:row>
    <x:row r="1462">
      <x:c r="B1462" t="str">
        <x:v>A-01430</x:v>
      </x:c>
      <x:c r="C1462" t="str">
        <x:v>GATE</x:v>
      </x:c>
      <x:c r="D1462" t="str">
        <x:v>release state mirrors governing ledger</x:v>
      </x:c>
      <x:c r="E1462" t="str">
        <x:f>'Release Gates'!I1436</x:f>
        <x:v>OPEN</x:v>
      </x:c>
      <x:c r="F1462" t="str">
        <x:f>IF('Release Gates'!C1436="PLANNING","PASS",IF('Release Gates'!C1436="PHYSICAL","OPEN","BLOCKED"))</x:f>
        <x:v>OPEN</x:v>
      </x:c>
      <x:c r="G1462" t="str">
        <x:v>equals</x:v>
      </x:c>
      <x:c r="H1462" t="str">
        <x:f>IF(E1462=F1462,"PASS","FAIL")</x:f>
        <x:v>PASS</x:v>
      </x:c>
    </x:row>
    <x:row r="1463">
      <x:c r="B1463" t="str">
        <x:v>A-01431</x:v>
      </x:c>
      <x:c r="C1463" t="str">
        <x:v>GATE</x:v>
      </x:c>
      <x:c r="D1463" t="str">
        <x:v>release state mirrors governing ledger</x:v>
      </x:c>
      <x:c r="E1463" t="str">
        <x:f>'Release Gates'!I1437</x:f>
        <x:v>OPEN</x:v>
      </x:c>
      <x:c r="F1463" t="str">
        <x:f>IF('Release Gates'!C1437="PLANNING","PASS",IF('Release Gates'!C1437="PHYSICAL","OPEN","BLOCKED"))</x:f>
        <x:v>OPEN</x:v>
      </x:c>
      <x:c r="G1463" t="str">
        <x:v>equals</x:v>
      </x:c>
      <x:c r="H1463" t="str">
        <x:f>IF(E1463=F1463,"PASS","FAIL")</x:f>
        <x:v>PASS</x:v>
      </x:c>
    </x:row>
    <x:row r="1464">
      <x:c r="B1464" t="str">
        <x:v>A-01432</x:v>
      </x:c>
      <x:c r="C1464" t="str">
        <x:v>GATE</x:v>
      </x:c>
      <x:c r="D1464" t="str">
        <x:v>release state mirrors governing ledger</x:v>
      </x:c>
      <x:c r="E1464" t="str">
        <x:f>'Release Gates'!I1438</x:f>
        <x:v>OPEN</x:v>
      </x:c>
      <x:c r="F1464" t="str">
        <x:f>IF('Release Gates'!C1438="PLANNING","PASS",IF('Release Gates'!C1438="PHYSICAL","OPEN","BLOCKED"))</x:f>
        <x:v>OPEN</x:v>
      </x:c>
      <x:c r="G1464" t="str">
        <x:v>equals</x:v>
      </x:c>
      <x:c r="H1464" t="str">
        <x:f>IF(E1464=F1464,"PASS","FAIL")</x:f>
        <x:v>PASS</x:v>
      </x:c>
    </x:row>
    <x:row r="1465">
      <x:c r="B1465" t="str">
        <x:v>A-01433</x:v>
      </x:c>
      <x:c r="C1465" t="str">
        <x:v>GATE</x:v>
      </x:c>
      <x:c r="D1465" t="str">
        <x:v>release state mirrors governing ledger</x:v>
      </x:c>
      <x:c r="E1465" t="str">
        <x:f>'Release Gates'!I1439</x:f>
        <x:v>OPEN</x:v>
      </x:c>
      <x:c r="F1465" t="str">
        <x:f>IF('Release Gates'!C1439="PLANNING","PASS",IF('Release Gates'!C1439="PHYSICAL","OPEN","BLOCKED"))</x:f>
        <x:v>OPEN</x:v>
      </x:c>
      <x:c r="G1465" t="str">
        <x:v>equals</x:v>
      </x:c>
      <x:c r="H1465" t="str">
        <x:f>IF(E1465=F1465,"PASS","FAIL")</x:f>
        <x:v>PASS</x:v>
      </x:c>
    </x:row>
    <x:row r="1466">
      <x:c r="B1466" t="str">
        <x:v>A-01434</x:v>
      </x:c>
      <x:c r="C1466" t="str">
        <x:v>GATE</x:v>
      </x:c>
      <x:c r="D1466" t="str">
        <x:v>release state mirrors governing ledger</x:v>
      </x:c>
      <x:c r="E1466" t="str">
        <x:f>'Release Gates'!I1440</x:f>
        <x:v>OPEN</x:v>
      </x:c>
      <x:c r="F1466" t="str">
        <x:f>IF('Release Gates'!C1440="PLANNING","PASS",IF('Release Gates'!C1440="PHYSICAL","OPEN","BLOCKED"))</x:f>
        <x:v>OPEN</x:v>
      </x:c>
      <x:c r="G1466" t="str">
        <x:v>equals</x:v>
      </x:c>
      <x:c r="H1466" t="str">
        <x:f>IF(E1466=F1466,"PASS","FAIL")</x:f>
        <x:v>PASS</x:v>
      </x:c>
    </x:row>
    <x:row r="1467">
      <x:c r="B1467" t="str">
        <x:v>A-01435</x:v>
      </x:c>
      <x:c r="C1467" t="str">
        <x:v>GATE</x:v>
      </x:c>
      <x:c r="D1467" t="str">
        <x:v>release state mirrors governing ledger</x:v>
      </x:c>
      <x:c r="E1467" t="str">
        <x:f>'Release Gates'!I1441</x:f>
        <x:v>OPEN</x:v>
      </x:c>
      <x:c r="F1467" t="str">
        <x:f>IF('Release Gates'!C1441="PLANNING","PASS",IF('Release Gates'!C1441="PHYSICAL","OPEN","BLOCKED"))</x:f>
        <x:v>OPEN</x:v>
      </x:c>
      <x:c r="G1467" t="str">
        <x:v>equals</x:v>
      </x:c>
      <x:c r="H1467" t="str">
        <x:f>IF(E1467=F1467,"PASS","FAIL")</x:f>
        <x:v>PASS</x:v>
      </x:c>
    </x:row>
    <x:row r="1468">
      <x:c r="B1468" t="str">
        <x:v>A-01436</x:v>
      </x:c>
      <x:c r="C1468" t="str">
        <x:v>GATE</x:v>
      </x:c>
      <x:c r="D1468" t="str">
        <x:v>release state mirrors governing ledger</x:v>
      </x:c>
      <x:c r="E1468" t="str">
        <x:f>'Release Gates'!I1442</x:f>
        <x:v>OPEN</x:v>
      </x:c>
      <x:c r="F1468" t="str">
        <x:f>IF('Release Gates'!C1442="PLANNING","PASS",IF('Release Gates'!C1442="PHYSICAL","OPEN","BLOCKED"))</x:f>
        <x:v>OPEN</x:v>
      </x:c>
      <x:c r="G1468" t="str">
        <x:v>equals</x:v>
      </x:c>
      <x:c r="H1468" t="str">
        <x:f>IF(E1468=F1468,"PASS","FAIL")</x:f>
        <x:v>PASS</x:v>
      </x:c>
    </x:row>
    <x:row r="1469">
      <x:c r="B1469" t="str">
        <x:v>A-01437</x:v>
      </x:c>
      <x:c r="C1469" t="str">
        <x:v>GATE</x:v>
      </x:c>
      <x:c r="D1469" t="str">
        <x:v>release state mirrors governing ledger</x:v>
      </x:c>
      <x:c r="E1469" t="str">
        <x:f>'Release Gates'!I1443</x:f>
        <x:v>OPEN</x:v>
      </x:c>
      <x:c r="F1469" t="str">
        <x:f>IF('Release Gates'!C1443="PLANNING","PASS",IF('Release Gates'!C1443="PHYSICAL","OPEN","BLOCKED"))</x:f>
        <x:v>OPEN</x:v>
      </x:c>
      <x:c r="G1469" t="str">
        <x:v>equals</x:v>
      </x:c>
      <x:c r="H1469" t="str">
        <x:f>IF(E1469=F1469,"PASS","FAIL")</x:f>
        <x:v>PASS</x:v>
      </x:c>
    </x:row>
    <x:row r="1470">
      <x:c r="B1470" t="str">
        <x:v>A-01438</x:v>
      </x:c>
      <x:c r="C1470" t="str">
        <x:v>GATE</x:v>
      </x:c>
      <x:c r="D1470" t="str">
        <x:v>release state mirrors governing ledger</x:v>
      </x:c>
      <x:c r="E1470" t="str">
        <x:f>'Release Gates'!I1444</x:f>
        <x:v>OPEN</x:v>
      </x:c>
      <x:c r="F1470" t="str">
        <x:f>IF('Release Gates'!C1444="PLANNING","PASS",IF('Release Gates'!C1444="PHYSICAL","OPEN","BLOCKED"))</x:f>
        <x:v>OPEN</x:v>
      </x:c>
      <x:c r="G1470" t="str">
        <x:v>equals</x:v>
      </x:c>
      <x:c r="H1470" t="str">
        <x:f>IF(E1470=F1470,"PASS","FAIL")</x:f>
        <x:v>PASS</x:v>
      </x:c>
    </x:row>
    <x:row r="1471">
      <x:c r="B1471" t="str">
        <x:v>A-01439</x:v>
      </x:c>
      <x:c r="C1471" t="str">
        <x:v>GATE</x:v>
      </x:c>
      <x:c r="D1471" t="str">
        <x:v>release state mirrors governing ledger</x:v>
      </x:c>
      <x:c r="E1471" t="str">
        <x:f>'Release Gates'!I1445</x:f>
        <x:v>OPEN</x:v>
      </x:c>
      <x:c r="F1471" t="str">
        <x:f>IF('Release Gates'!C1445="PLANNING","PASS",IF('Release Gates'!C1445="PHYSICAL","OPEN","BLOCKED"))</x:f>
        <x:v>OPEN</x:v>
      </x:c>
      <x:c r="G1471" t="str">
        <x:v>equals</x:v>
      </x:c>
      <x:c r="H1471" t="str">
        <x:f>IF(E1471=F1471,"PASS","FAIL")</x:f>
        <x:v>PASS</x:v>
      </x:c>
    </x:row>
    <x:row r="1472">
      <x:c r="B1472" t="str">
        <x:v>A-01440</x:v>
      </x:c>
      <x:c r="C1472" t="str">
        <x:v>GATE</x:v>
      </x:c>
      <x:c r="D1472" t="str">
        <x:v>release state mirrors governing ledger</x:v>
      </x:c>
      <x:c r="E1472" t="str">
        <x:f>'Release Gates'!I1446</x:f>
        <x:v>OPEN</x:v>
      </x:c>
      <x:c r="F1472" t="str">
        <x:f>IF('Release Gates'!C1446="PLANNING","PASS",IF('Release Gates'!C1446="PHYSICAL","OPEN","BLOCKED"))</x:f>
        <x:v>OPEN</x:v>
      </x:c>
      <x:c r="G1472" t="str">
        <x:v>equals</x:v>
      </x:c>
      <x:c r="H1472" t="str">
        <x:f>IF(E1472=F1472,"PASS","FAIL")</x:f>
        <x:v>PASS</x:v>
      </x:c>
    </x:row>
    <x:row r="1473">
      <x:c r="B1473" t="str">
        <x:v>A-01441</x:v>
      </x:c>
      <x:c r="C1473" t="str">
        <x:v>GATE</x:v>
      </x:c>
      <x:c r="D1473" t="str">
        <x:v>release state mirrors governing ledger</x:v>
      </x:c>
      <x:c r="E1473" t="str">
        <x:f>'Release Gates'!I1447</x:f>
        <x:v>OPEN</x:v>
      </x:c>
      <x:c r="F1473" t="str">
        <x:f>IF('Release Gates'!C1447="PLANNING","PASS",IF('Release Gates'!C1447="PHYSICAL","OPEN","BLOCKED"))</x:f>
        <x:v>OPEN</x:v>
      </x:c>
      <x:c r="G1473" t="str">
        <x:v>equals</x:v>
      </x:c>
      <x:c r="H1473" t="str">
        <x:f>IF(E1473=F1473,"PASS","FAIL")</x:f>
        <x:v>PASS</x:v>
      </x:c>
    </x:row>
    <x:row r="1474">
      <x:c r="B1474" t="str">
        <x:v>A-01442</x:v>
      </x:c>
      <x:c r="C1474" t="str">
        <x:v>GATE</x:v>
      </x:c>
      <x:c r="D1474" t="str">
        <x:v>release state mirrors governing ledger</x:v>
      </x:c>
      <x:c r="E1474" t="str">
        <x:f>'Release Gates'!I1448</x:f>
        <x:v>OPEN</x:v>
      </x:c>
      <x:c r="F1474" t="str">
        <x:f>IF('Release Gates'!C1448="PLANNING","PASS",IF('Release Gates'!C1448="PHYSICAL","OPEN","BLOCKED"))</x:f>
        <x:v>OPEN</x:v>
      </x:c>
      <x:c r="G1474" t="str">
        <x:v>equals</x:v>
      </x:c>
      <x:c r="H1474" t="str">
        <x:f>IF(E1474=F1474,"PASS","FAIL")</x:f>
        <x:v>PASS</x:v>
      </x:c>
    </x:row>
    <x:row r="1475">
      <x:c r="B1475" t="str">
        <x:v>A-01443</x:v>
      </x:c>
      <x:c r="C1475" t="str">
        <x:v>GATE</x:v>
      </x:c>
      <x:c r="D1475" t="str">
        <x:v>release state mirrors governing ledger</x:v>
      </x:c>
      <x:c r="E1475" t="str">
        <x:f>'Release Gates'!I1449</x:f>
        <x:v>OPEN</x:v>
      </x:c>
      <x:c r="F1475" t="str">
        <x:f>IF('Release Gates'!C1449="PLANNING","PASS",IF('Release Gates'!C1449="PHYSICAL","OPEN","BLOCKED"))</x:f>
        <x:v>OPEN</x:v>
      </x:c>
      <x:c r="G1475" t="str">
        <x:v>equals</x:v>
      </x:c>
      <x:c r="H1475" t="str">
        <x:f>IF(E1475=F1475,"PASS","FAIL")</x:f>
        <x:v>PASS</x:v>
      </x:c>
    </x:row>
    <x:row r="1476">
      <x:c r="B1476" t="str">
        <x:v>A-01444</x:v>
      </x:c>
      <x:c r="C1476" t="str">
        <x:v>GATE</x:v>
      </x:c>
      <x:c r="D1476" t="str">
        <x:v>release state mirrors governing ledger</x:v>
      </x:c>
      <x:c r="E1476" t="str">
        <x:f>'Release Gates'!I1450</x:f>
        <x:v>OPEN</x:v>
      </x:c>
      <x:c r="F1476" t="str">
        <x:f>IF('Release Gates'!C1450="PLANNING","PASS",IF('Release Gates'!C1450="PHYSICAL","OPEN","BLOCKED"))</x:f>
        <x:v>OPEN</x:v>
      </x:c>
      <x:c r="G1476" t="str">
        <x:v>equals</x:v>
      </x:c>
      <x:c r="H1476" t="str">
        <x:f>IF(E1476=F1476,"PASS","FAIL")</x:f>
        <x:v>PASS</x:v>
      </x:c>
    </x:row>
    <x:row r="1477">
      <x:c r="B1477" t="str">
        <x:v>A-01445</x:v>
      </x:c>
      <x:c r="C1477" t="str">
        <x:v>GATE</x:v>
      </x:c>
      <x:c r="D1477" t="str">
        <x:v>release state mirrors governing ledger</x:v>
      </x:c>
      <x:c r="E1477" t="str">
        <x:f>'Release Gates'!I1451</x:f>
        <x:v>OPEN</x:v>
      </x:c>
      <x:c r="F1477" t="str">
        <x:f>IF('Release Gates'!C1451="PLANNING","PASS",IF('Release Gates'!C1451="PHYSICAL","OPEN","BLOCKED"))</x:f>
        <x:v>OPEN</x:v>
      </x:c>
      <x:c r="G1477" t="str">
        <x:v>equals</x:v>
      </x:c>
      <x:c r="H1477" t="str">
        <x:f>IF(E1477=F1477,"PASS","FAIL")</x:f>
        <x:v>PASS</x:v>
      </x:c>
    </x:row>
    <x:row r="1478">
      <x:c r="B1478" t="str">
        <x:v>A-01446</x:v>
      </x:c>
      <x:c r="C1478" t="str">
        <x:v>GATE</x:v>
      </x:c>
      <x:c r="D1478" t="str">
        <x:v>release state mirrors governing ledger</x:v>
      </x:c>
      <x:c r="E1478" t="str">
        <x:f>'Release Gates'!I1452</x:f>
        <x:v>OPEN</x:v>
      </x:c>
      <x:c r="F1478" t="str">
        <x:f>IF('Release Gates'!C1452="PLANNING","PASS",IF('Release Gates'!C1452="PHYSICAL","OPEN","BLOCKED"))</x:f>
        <x:v>OPEN</x:v>
      </x:c>
      <x:c r="G1478" t="str">
        <x:v>equals</x:v>
      </x:c>
      <x:c r="H1478" t="str">
        <x:f>IF(E1478=F1478,"PASS","FAIL")</x:f>
        <x:v>PASS</x:v>
      </x:c>
    </x:row>
    <x:row r="1479">
      <x:c r="B1479" t="str">
        <x:v>A-01447</x:v>
      </x:c>
      <x:c r="C1479" t="str">
        <x:v>GATE</x:v>
      </x:c>
      <x:c r="D1479" t="str">
        <x:v>release state mirrors governing ledger</x:v>
      </x:c>
      <x:c r="E1479" t="str">
        <x:f>'Release Gates'!I1453</x:f>
        <x:v>OPEN</x:v>
      </x:c>
      <x:c r="F1479" t="str">
        <x:f>IF('Release Gates'!C1453="PLANNING","PASS",IF('Release Gates'!C1453="PHYSICAL","OPEN","BLOCKED"))</x:f>
        <x:v>OPEN</x:v>
      </x:c>
      <x:c r="G1479" t="str">
        <x:v>equals</x:v>
      </x:c>
      <x:c r="H1479" t="str">
        <x:f>IF(E1479=F1479,"PASS","FAIL")</x:f>
        <x:v>PASS</x:v>
      </x:c>
    </x:row>
    <x:row r="1480">
      <x:c r="B1480" t="str">
        <x:v>A-01448</x:v>
      </x:c>
      <x:c r="C1480" t="str">
        <x:v>GATE</x:v>
      </x:c>
      <x:c r="D1480" t="str">
        <x:v>release state mirrors governing ledger</x:v>
      </x:c>
      <x:c r="E1480" t="str">
        <x:f>'Release Gates'!I1454</x:f>
        <x:v>OPEN</x:v>
      </x:c>
      <x:c r="F1480" t="str">
        <x:f>IF('Release Gates'!C1454="PLANNING","PASS",IF('Release Gates'!C1454="PHYSICAL","OPEN","BLOCKED"))</x:f>
        <x:v>OPEN</x:v>
      </x:c>
      <x:c r="G1480" t="str">
        <x:v>equals</x:v>
      </x:c>
      <x:c r="H1480" t="str">
        <x:f>IF(E1480=F1480,"PASS","FAIL")</x:f>
        <x:v>PASS</x:v>
      </x:c>
    </x:row>
    <x:row r="1481">
      <x:c r="B1481" t="str">
        <x:v>A-01449</x:v>
      </x:c>
      <x:c r="C1481" t="str">
        <x:v>GATE</x:v>
      </x:c>
      <x:c r="D1481" t="str">
        <x:v>release state mirrors governing ledger</x:v>
      </x:c>
      <x:c r="E1481" t="str">
        <x:f>'Release Gates'!I1455</x:f>
        <x:v>OPEN</x:v>
      </x:c>
      <x:c r="F1481" t="str">
        <x:f>IF('Release Gates'!C1455="PLANNING","PASS",IF('Release Gates'!C1455="PHYSICAL","OPEN","BLOCKED"))</x:f>
        <x:v>OPEN</x:v>
      </x:c>
      <x:c r="G1481" t="str">
        <x:v>equals</x:v>
      </x:c>
      <x:c r="H1481" t="str">
        <x:f>IF(E1481=F1481,"PASS","FAIL")</x:f>
        <x:v>PASS</x:v>
      </x:c>
    </x:row>
    <x:row r="1482">
      <x:c r="B1482" t="str">
        <x:v>A-01450</x:v>
      </x:c>
      <x:c r="C1482" t="str">
        <x:v>GATE</x:v>
      </x:c>
      <x:c r="D1482" t="str">
        <x:v>release state mirrors governing ledger</x:v>
      </x:c>
      <x:c r="E1482" t="str">
        <x:f>'Release Gates'!I1456</x:f>
        <x:v>OPEN</x:v>
      </x:c>
      <x:c r="F1482" t="str">
        <x:f>IF('Release Gates'!C1456="PLANNING","PASS",IF('Release Gates'!C1456="PHYSICAL","OPEN","BLOCKED"))</x:f>
        <x:v>OPEN</x:v>
      </x:c>
      <x:c r="G1482" t="str">
        <x:v>equals</x:v>
      </x:c>
      <x:c r="H1482" t="str">
        <x:f>IF(E1482=F1482,"PASS","FAIL")</x:f>
        <x:v>PASS</x:v>
      </x:c>
    </x:row>
    <x:row r="1483">
      <x:c r="B1483" t="str">
        <x:v>A-01451</x:v>
      </x:c>
      <x:c r="C1483" t="str">
        <x:v>GATE</x:v>
      </x:c>
      <x:c r="D1483" t="str">
        <x:v>release state mirrors governing ledger</x:v>
      </x:c>
      <x:c r="E1483" t="str">
        <x:f>'Release Gates'!I1457</x:f>
        <x:v>OPEN</x:v>
      </x:c>
      <x:c r="F1483" t="str">
        <x:f>IF('Release Gates'!C1457="PLANNING","PASS",IF('Release Gates'!C1457="PHYSICAL","OPEN","BLOCKED"))</x:f>
        <x:v>OPEN</x:v>
      </x:c>
      <x:c r="G1483" t="str">
        <x:v>equals</x:v>
      </x:c>
      <x:c r="H1483" t="str">
        <x:f>IF(E1483=F1483,"PASS","FAIL")</x:f>
        <x:v>PASS</x:v>
      </x:c>
    </x:row>
    <x:row r="1484">
      <x:c r="B1484" t="str">
        <x:v>A-01452</x:v>
      </x:c>
      <x:c r="C1484" t="str">
        <x:v>GATE</x:v>
      </x:c>
      <x:c r="D1484" t="str">
        <x:v>release state mirrors governing ledger</x:v>
      </x:c>
      <x:c r="E1484" t="str">
        <x:f>'Release Gates'!I1458</x:f>
        <x:v>OPEN</x:v>
      </x:c>
      <x:c r="F1484" t="str">
        <x:f>IF('Release Gates'!C1458="PLANNING","PASS",IF('Release Gates'!C1458="PHYSICAL","OPEN","BLOCKED"))</x:f>
        <x:v>OPEN</x:v>
      </x:c>
      <x:c r="G1484" t="str">
        <x:v>equals</x:v>
      </x:c>
      <x:c r="H1484" t="str">
        <x:f>IF(E1484=F1484,"PASS","FAIL")</x:f>
        <x:v>PASS</x:v>
      </x:c>
    </x:row>
    <x:row r="1485">
      <x:c r="B1485" t="str">
        <x:v>A-01453</x:v>
      </x:c>
      <x:c r="C1485" t="str">
        <x:v>GATE</x:v>
      </x:c>
      <x:c r="D1485" t="str">
        <x:v>release state mirrors governing ledger</x:v>
      </x:c>
      <x:c r="E1485" t="str">
        <x:f>'Release Gates'!I1459</x:f>
        <x:v>OPEN</x:v>
      </x:c>
      <x:c r="F1485" t="str">
        <x:f>IF('Release Gates'!C1459="PLANNING","PASS",IF('Release Gates'!C1459="PHYSICAL","OPEN","BLOCKED"))</x:f>
        <x:v>OPEN</x:v>
      </x:c>
      <x:c r="G1485" t="str">
        <x:v>equals</x:v>
      </x:c>
      <x:c r="H1485" t="str">
        <x:f>IF(E1485=F1485,"PASS","FAIL")</x:f>
        <x:v>PASS</x:v>
      </x:c>
    </x:row>
    <x:row r="1486">
      <x:c r="B1486" t="str">
        <x:v>A-01454</x:v>
      </x:c>
      <x:c r="C1486" t="str">
        <x:v>GATE</x:v>
      </x:c>
      <x:c r="D1486" t="str">
        <x:v>release state mirrors governing ledger</x:v>
      </x:c>
      <x:c r="E1486" t="str">
        <x:f>'Release Gates'!I1460</x:f>
        <x:v>OPEN</x:v>
      </x:c>
      <x:c r="F1486" t="str">
        <x:f>IF('Release Gates'!C1460="PLANNING","PASS",IF('Release Gates'!C1460="PHYSICAL","OPEN","BLOCKED"))</x:f>
        <x:v>OPEN</x:v>
      </x:c>
      <x:c r="G1486" t="str">
        <x:v>equals</x:v>
      </x:c>
      <x:c r="H1486" t="str">
        <x:f>IF(E1486=F1486,"PASS","FAIL")</x:f>
        <x:v>PASS</x:v>
      </x:c>
    </x:row>
    <x:row r="1487">
      <x:c r="B1487" t="str">
        <x:v>A-01455</x:v>
      </x:c>
      <x:c r="C1487" t="str">
        <x:v>GATE</x:v>
      </x:c>
      <x:c r="D1487" t="str">
        <x:v>release state mirrors governing ledger</x:v>
      </x:c>
      <x:c r="E1487" t="str">
        <x:f>'Release Gates'!I1461</x:f>
        <x:v>OPEN</x:v>
      </x:c>
      <x:c r="F1487" t="str">
        <x:f>IF('Release Gates'!C1461="PLANNING","PASS",IF('Release Gates'!C1461="PHYSICAL","OPEN","BLOCKED"))</x:f>
        <x:v>OPEN</x:v>
      </x:c>
      <x:c r="G1487" t="str">
        <x:v>equals</x:v>
      </x:c>
      <x:c r="H1487" t="str">
        <x:f>IF(E1487=F1487,"PASS","FAIL")</x:f>
        <x:v>PASS</x:v>
      </x:c>
    </x:row>
    <x:row r="1488">
      <x:c r="B1488" t="str">
        <x:v>A-01456</x:v>
      </x:c>
      <x:c r="C1488" t="str">
        <x:v>GATE</x:v>
      </x:c>
      <x:c r="D1488" t="str">
        <x:v>release state mirrors governing ledger</x:v>
      </x:c>
      <x:c r="E1488" t="str">
        <x:f>'Release Gates'!I1462</x:f>
        <x:v>OPEN</x:v>
      </x:c>
      <x:c r="F1488" t="str">
        <x:f>IF('Release Gates'!C1462="PLANNING","PASS",IF('Release Gates'!C1462="PHYSICAL","OPEN","BLOCKED"))</x:f>
        <x:v>OPEN</x:v>
      </x:c>
      <x:c r="G1488" t="str">
        <x:v>equals</x:v>
      </x:c>
      <x:c r="H1488" t="str">
        <x:f>IF(E1488=F1488,"PASS","FAIL")</x:f>
        <x:v>PASS</x:v>
      </x:c>
    </x:row>
    <x:row r="1489">
      <x:c r="B1489" t="str">
        <x:v>A-01457</x:v>
      </x:c>
      <x:c r="C1489" t="str">
        <x:v>GATE</x:v>
      </x:c>
      <x:c r="D1489" t="str">
        <x:v>release state mirrors governing ledger</x:v>
      </x:c>
      <x:c r="E1489" t="str">
        <x:f>'Release Gates'!I1463</x:f>
        <x:v>OPEN</x:v>
      </x:c>
      <x:c r="F1489" t="str">
        <x:f>IF('Release Gates'!C1463="PLANNING","PASS",IF('Release Gates'!C1463="PHYSICAL","OPEN","BLOCKED"))</x:f>
        <x:v>OPEN</x:v>
      </x:c>
      <x:c r="G1489" t="str">
        <x:v>equals</x:v>
      </x:c>
      <x:c r="H1489" t="str">
        <x:f>IF(E1489=F1489,"PASS","FAIL")</x:f>
        <x:v>PASS</x:v>
      </x:c>
    </x:row>
    <x:row r="1490">
      <x:c r="B1490" t="str">
        <x:v>A-01458</x:v>
      </x:c>
      <x:c r="C1490" t="str">
        <x:v>GATE</x:v>
      </x:c>
      <x:c r="D1490" t="str">
        <x:v>release state mirrors governing ledger</x:v>
      </x:c>
      <x:c r="E1490" t="str">
        <x:f>'Release Gates'!I1464</x:f>
        <x:v>OPEN</x:v>
      </x:c>
      <x:c r="F1490" t="str">
        <x:f>IF('Release Gates'!C1464="PLANNING","PASS",IF('Release Gates'!C1464="PHYSICAL","OPEN","BLOCKED"))</x:f>
        <x:v>OPEN</x:v>
      </x:c>
      <x:c r="G1490" t="str">
        <x:v>equals</x:v>
      </x:c>
      <x:c r="H1490" t="str">
        <x:f>IF(E1490=F1490,"PASS","FAIL")</x:f>
        <x:v>PASS</x:v>
      </x:c>
    </x:row>
    <x:row r="1491">
      <x:c r="B1491" t="str">
        <x:v>A-01459</x:v>
      </x:c>
      <x:c r="C1491" t="str">
        <x:v>GATE</x:v>
      </x:c>
      <x:c r="D1491" t="str">
        <x:v>release state mirrors governing ledger</x:v>
      </x:c>
      <x:c r="E1491" t="str">
        <x:f>'Release Gates'!I1465</x:f>
        <x:v>OPEN</x:v>
      </x:c>
      <x:c r="F1491" t="str">
        <x:f>IF('Release Gates'!C1465="PLANNING","PASS",IF('Release Gates'!C1465="PHYSICAL","OPEN","BLOCKED"))</x:f>
        <x:v>OPEN</x:v>
      </x:c>
      <x:c r="G1491" t="str">
        <x:v>equals</x:v>
      </x:c>
      <x:c r="H1491" t="str">
        <x:f>IF(E1491=F1491,"PASS","FAIL")</x:f>
        <x:v>PASS</x:v>
      </x:c>
    </x:row>
    <x:row r="1492">
      <x:c r="B1492" t="str">
        <x:v>A-01460</x:v>
      </x:c>
      <x:c r="C1492" t="str">
        <x:v>GATE</x:v>
      </x:c>
      <x:c r="D1492" t="str">
        <x:v>release state mirrors governing ledger</x:v>
      </x:c>
      <x:c r="E1492" t="str">
        <x:f>'Release Gates'!I1466</x:f>
        <x:v>OPEN</x:v>
      </x:c>
      <x:c r="F1492" t="str">
        <x:f>IF('Release Gates'!C1466="PLANNING","PASS",IF('Release Gates'!C1466="PHYSICAL","OPEN","BLOCKED"))</x:f>
        <x:v>OPEN</x:v>
      </x:c>
      <x:c r="G1492" t="str">
        <x:v>equals</x:v>
      </x:c>
      <x:c r="H1492" t="str">
        <x:f>IF(E1492=F1492,"PASS","FAIL")</x:f>
        <x:v>PASS</x:v>
      </x:c>
    </x:row>
    <x:row r="1493">
      <x:c r="B1493" t="str">
        <x:v>A-01461</x:v>
      </x:c>
      <x:c r="C1493" t="str">
        <x:v>GATE</x:v>
      </x:c>
      <x:c r="D1493" t="str">
        <x:v>release state mirrors governing ledger</x:v>
      </x:c>
      <x:c r="E1493" t="str">
        <x:f>'Release Gates'!I1467</x:f>
        <x:v>OPEN</x:v>
      </x:c>
      <x:c r="F1493" t="str">
        <x:f>IF('Release Gates'!C1467="PLANNING","PASS",IF('Release Gates'!C1467="PHYSICAL","OPEN","BLOCKED"))</x:f>
        <x:v>OPEN</x:v>
      </x:c>
      <x:c r="G1493" t="str">
        <x:v>equals</x:v>
      </x:c>
      <x:c r="H1493" t="str">
        <x:f>IF(E1493=F1493,"PASS","FAIL")</x:f>
        <x:v>PASS</x:v>
      </x:c>
    </x:row>
    <x:row r="1494">
      <x:c r="B1494" t="str">
        <x:v>A-01462</x:v>
      </x:c>
      <x:c r="C1494" t="str">
        <x:v>GATE</x:v>
      </x:c>
      <x:c r="D1494" t="str">
        <x:v>release state mirrors governing ledger</x:v>
      </x:c>
      <x:c r="E1494" t="str">
        <x:f>'Release Gates'!I1468</x:f>
        <x:v>OPEN</x:v>
      </x:c>
      <x:c r="F1494" t="str">
        <x:f>IF('Release Gates'!C1468="PLANNING","PASS",IF('Release Gates'!C1468="PHYSICAL","OPEN","BLOCKED"))</x:f>
        <x:v>OPEN</x:v>
      </x:c>
      <x:c r="G1494" t="str">
        <x:v>equals</x:v>
      </x:c>
      <x:c r="H1494" t="str">
        <x:f>IF(E1494=F1494,"PASS","FAIL")</x:f>
        <x:v>PASS</x:v>
      </x:c>
    </x:row>
    <x:row r="1495">
      <x:c r="B1495" t="str">
        <x:v>A-01463</x:v>
      </x:c>
      <x:c r="C1495" t="str">
        <x:v>GATE</x:v>
      </x:c>
      <x:c r="D1495" t="str">
        <x:v>release state mirrors governing ledger</x:v>
      </x:c>
      <x:c r="E1495" t="str">
        <x:f>'Release Gates'!I1469</x:f>
        <x:v>OPEN</x:v>
      </x:c>
      <x:c r="F1495" t="str">
        <x:f>IF('Release Gates'!C1469="PLANNING","PASS",IF('Release Gates'!C1469="PHYSICAL","OPEN","BLOCKED"))</x:f>
        <x:v>OPEN</x:v>
      </x:c>
      <x:c r="G1495" t="str">
        <x:v>equals</x:v>
      </x:c>
      <x:c r="H1495" t="str">
        <x:f>IF(E1495=F1495,"PASS","FAIL")</x:f>
        <x:v>PASS</x:v>
      </x:c>
    </x:row>
    <x:row r="1496">
      <x:c r="B1496" t="str">
        <x:v>A-01464</x:v>
      </x:c>
      <x:c r="C1496" t="str">
        <x:v>GATE</x:v>
      </x:c>
      <x:c r="D1496" t="str">
        <x:v>release state mirrors governing ledger</x:v>
      </x:c>
      <x:c r="E1496" t="str">
        <x:f>'Release Gates'!I1470</x:f>
        <x:v>OPEN</x:v>
      </x:c>
      <x:c r="F1496" t="str">
        <x:f>IF('Release Gates'!C1470="PLANNING","PASS",IF('Release Gates'!C1470="PHYSICAL","OPEN","BLOCKED"))</x:f>
        <x:v>OPEN</x:v>
      </x:c>
      <x:c r="G1496" t="str">
        <x:v>equals</x:v>
      </x:c>
      <x:c r="H1496" t="str">
        <x:f>IF(E1496=F1496,"PASS","FAIL")</x:f>
        <x:v>PASS</x:v>
      </x:c>
    </x:row>
    <x:row r="1497">
      <x:c r="B1497" t="str">
        <x:v>A-01465</x:v>
      </x:c>
      <x:c r="C1497" t="str">
        <x:v>GATE</x:v>
      </x:c>
      <x:c r="D1497" t="str">
        <x:v>release state mirrors governing ledger</x:v>
      </x:c>
      <x:c r="E1497" t="str">
        <x:f>'Release Gates'!I1471</x:f>
        <x:v>OPEN</x:v>
      </x:c>
      <x:c r="F1497" t="str">
        <x:f>IF('Release Gates'!C1471="PLANNING","PASS",IF('Release Gates'!C1471="PHYSICAL","OPEN","BLOCKED"))</x:f>
        <x:v>OPEN</x:v>
      </x:c>
      <x:c r="G1497" t="str">
        <x:v>equals</x:v>
      </x:c>
      <x:c r="H1497" t="str">
        <x:f>IF(E1497=F1497,"PASS","FAIL")</x:f>
        <x:v>PASS</x:v>
      </x:c>
    </x:row>
    <x:row r="1498">
      <x:c r="B1498" t="str">
        <x:v>A-01466</x:v>
      </x:c>
      <x:c r="C1498" t="str">
        <x:v>GATE</x:v>
      </x:c>
      <x:c r="D1498" t="str">
        <x:v>release state mirrors governing ledger</x:v>
      </x:c>
      <x:c r="E1498" t="str">
        <x:f>'Release Gates'!I1472</x:f>
        <x:v>OPEN</x:v>
      </x:c>
      <x:c r="F1498" t="str">
        <x:f>IF('Release Gates'!C1472="PLANNING","PASS",IF('Release Gates'!C1472="PHYSICAL","OPEN","BLOCKED"))</x:f>
        <x:v>OPEN</x:v>
      </x:c>
      <x:c r="G1498" t="str">
        <x:v>equals</x:v>
      </x:c>
      <x:c r="H1498" t="str">
        <x:f>IF(E1498=F1498,"PASS","FAIL")</x:f>
        <x:v>PASS</x:v>
      </x:c>
    </x:row>
    <x:row r="1499">
      <x:c r="B1499" t="str">
        <x:v>A-01467</x:v>
      </x:c>
      <x:c r="C1499" t="str">
        <x:v>GATE</x:v>
      </x:c>
      <x:c r="D1499" t="str">
        <x:v>release state mirrors governing ledger</x:v>
      </x:c>
      <x:c r="E1499" t="str">
        <x:f>'Release Gates'!I1473</x:f>
        <x:v>OPEN</x:v>
      </x:c>
      <x:c r="F1499" t="str">
        <x:f>IF('Release Gates'!C1473="PLANNING","PASS",IF('Release Gates'!C1473="PHYSICAL","OPEN","BLOCKED"))</x:f>
        <x:v>OPEN</x:v>
      </x:c>
      <x:c r="G1499" t="str">
        <x:v>equals</x:v>
      </x:c>
      <x:c r="H1499" t="str">
        <x:f>IF(E1499=F1499,"PASS","FAIL")</x:f>
        <x:v>PASS</x:v>
      </x:c>
    </x:row>
    <x:row r="1500">
      <x:c r="B1500" t="str">
        <x:v>A-01468</x:v>
      </x:c>
      <x:c r="C1500" t="str">
        <x:v>GATE</x:v>
      </x:c>
      <x:c r="D1500" t="str">
        <x:v>release state mirrors governing ledger</x:v>
      </x:c>
      <x:c r="E1500" t="str">
        <x:f>'Release Gates'!I1474</x:f>
        <x:v>OPEN</x:v>
      </x:c>
      <x:c r="F1500" t="str">
        <x:f>IF('Release Gates'!C1474="PLANNING","PASS",IF('Release Gates'!C1474="PHYSICAL","OPEN","BLOCKED"))</x:f>
        <x:v>OPEN</x:v>
      </x:c>
      <x:c r="G1500" t="str">
        <x:v>equals</x:v>
      </x:c>
      <x:c r="H1500" t="str">
        <x:f>IF(E1500=F1500,"PASS","FAIL")</x:f>
        <x:v>PASS</x:v>
      </x:c>
    </x:row>
    <x:row r="1501">
      <x:c r="B1501" t="str">
        <x:v>A-01469</x:v>
      </x:c>
      <x:c r="C1501" t="str">
        <x:v>GATE</x:v>
      </x:c>
      <x:c r="D1501" t="str">
        <x:v>release state mirrors governing ledger</x:v>
      </x:c>
      <x:c r="E1501" t="str">
        <x:f>'Release Gates'!I1475</x:f>
        <x:v>OPEN</x:v>
      </x:c>
      <x:c r="F1501" t="str">
        <x:f>IF('Release Gates'!C1475="PLANNING","PASS",IF('Release Gates'!C1475="PHYSICAL","OPEN","BLOCKED"))</x:f>
        <x:v>OPEN</x:v>
      </x:c>
      <x:c r="G1501" t="str">
        <x:v>equals</x:v>
      </x:c>
      <x:c r="H1501" t="str">
        <x:f>IF(E1501=F1501,"PASS","FAIL")</x:f>
        <x:v>PASS</x:v>
      </x:c>
    </x:row>
    <x:row r="1502">
      <x:c r="B1502" t="str">
        <x:v>A-01470</x:v>
      </x:c>
      <x:c r="C1502" t="str">
        <x:v>GATE</x:v>
      </x:c>
      <x:c r="D1502" t="str">
        <x:v>release state mirrors governing ledger</x:v>
      </x:c>
      <x:c r="E1502" t="str">
        <x:f>'Release Gates'!I1476</x:f>
        <x:v>OPEN</x:v>
      </x:c>
      <x:c r="F1502" t="str">
        <x:f>IF('Release Gates'!C1476="PLANNING","PASS",IF('Release Gates'!C1476="PHYSICAL","OPEN","BLOCKED"))</x:f>
        <x:v>OPEN</x:v>
      </x:c>
      <x:c r="G1502" t="str">
        <x:v>equals</x:v>
      </x:c>
      <x:c r="H1502" t="str">
        <x:f>IF(E1502=F1502,"PASS","FAIL")</x:f>
        <x:v>PASS</x:v>
      </x:c>
    </x:row>
    <x:row r="1503">
      <x:c r="B1503" t="str">
        <x:v>A-01471</x:v>
      </x:c>
      <x:c r="C1503" t="str">
        <x:v>GATE</x:v>
      </x:c>
      <x:c r="D1503" t="str">
        <x:v>release state mirrors governing ledger</x:v>
      </x:c>
      <x:c r="E1503" t="str">
        <x:f>'Release Gates'!I1477</x:f>
        <x:v>OPEN</x:v>
      </x:c>
      <x:c r="F1503" t="str">
        <x:f>IF('Release Gates'!C1477="PLANNING","PASS",IF('Release Gates'!C1477="PHYSICAL","OPEN","BLOCKED"))</x:f>
        <x:v>OPEN</x:v>
      </x:c>
      <x:c r="G1503" t="str">
        <x:v>equals</x:v>
      </x:c>
      <x:c r="H1503" t="str">
        <x:f>IF(E1503=F1503,"PASS","FAIL")</x:f>
        <x:v>PASS</x:v>
      </x:c>
    </x:row>
    <x:row r="1504">
      <x:c r="B1504" t="str">
        <x:v>A-01472</x:v>
      </x:c>
      <x:c r="C1504" t="str">
        <x:v>GATE</x:v>
      </x:c>
      <x:c r="D1504" t="str">
        <x:v>release state mirrors governing ledger</x:v>
      </x:c>
      <x:c r="E1504" t="str">
        <x:f>'Release Gates'!I1478</x:f>
        <x:v>OPEN</x:v>
      </x:c>
      <x:c r="F1504" t="str">
        <x:f>IF('Release Gates'!C1478="PLANNING","PASS",IF('Release Gates'!C1478="PHYSICAL","OPEN","BLOCKED"))</x:f>
        <x:v>OPEN</x:v>
      </x:c>
      <x:c r="G1504" t="str">
        <x:v>equals</x:v>
      </x:c>
      <x:c r="H1504" t="str">
        <x:f>IF(E1504=F1504,"PASS","FAIL")</x:f>
        <x:v>PASS</x:v>
      </x:c>
    </x:row>
    <x:row r="1505">
      <x:c r="B1505" t="str">
        <x:v>A-01473</x:v>
      </x:c>
      <x:c r="C1505" t="str">
        <x:v>GATE</x:v>
      </x:c>
      <x:c r="D1505" t="str">
        <x:v>release state mirrors governing ledger</x:v>
      </x:c>
      <x:c r="E1505" t="str">
        <x:f>'Release Gates'!I1479</x:f>
        <x:v>OPEN</x:v>
      </x:c>
      <x:c r="F1505" t="str">
        <x:f>IF('Release Gates'!C1479="PLANNING","PASS",IF('Release Gates'!C1479="PHYSICAL","OPEN","BLOCKED"))</x:f>
        <x:v>OPEN</x:v>
      </x:c>
      <x:c r="G1505" t="str">
        <x:v>equals</x:v>
      </x:c>
      <x:c r="H1505" t="str">
        <x:f>IF(E1505=F1505,"PASS","FAIL")</x:f>
        <x:v>PASS</x:v>
      </x:c>
    </x:row>
    <x:row r="1506">
      <x:c r="B1506" t="str">
        <x:v>A-01474</x:v>
      </x:c>
      <x:c r="C1506" t="str">
        <x:v>GATE</x:v>
      </x:c>
      <x:c r="D1506" t="str">
        <x:v>release state mirrors governing ledger</x:v>
      </x:c>
      <x:c r="E1506" t="str">
        <x:f>'Release Gates'!I1480</x:f>
        <x:v>OPEN</x:v>
      </x:c>
      <x:c r="F1506" t="str">
        <x:f>IF('Release Gates'!C1480="PLANNING","PASS",IF('Release Gates'!C1480="PHYSICAL","OPEN","BLOCKED"))</x:f>
        <x:v>OPEN</x:v>
      </x:c>
      <x:c r="G1506" t="str">
        <x:v>equals</x:v>
      </x:c>
      <x:c r="H1506" t="str">
        <x:f>IF(E1506=F1506,"PASS","FAIL")</x:f>
        <x:v>PASS</x:v>
      </x:c>
    </x:row>
    <x:row r="1507">
      <x:c r="B1507" t="str">
        <x:v>A-01475</x:v>
      </x:c>
      <x:c r="C1507" t="str">
        <x:v>GATE</x:v>
      </x:c>
      <x:c r="D1507" t="str">
        <x:v>release state mirrors governing ledger</x:v>
      </x:c>
      <x:c r="E1507" t="str">
        <x:f>'Release Gates'!I1481</x:f>
        <x:v>OPEN</x:v>
      </x:c>
      <x:c r="F1507" t="str">
        <x:f>IF('Release Gates'!C1481="PLANNING","PASS",IF('Release Gates'!C1481="PHYSICAL","OPEN","BLOCKED"))</x:f>
        <x:v>OPEN</x:v>
      </x:c>
      <x:c r="G1507" t="str">
        <x:v>equals</x:v>
      </x:c>
      <x:c r="H1507" t="str">
        <x:f>IF(E1507=F1507,"PASS","FAIL")</x:f>
        <x:v>PASS</x:v>
      </x:c>
    </x:row>
    <x:row r="1508">
      <x:c r="B1508" t="str">
        <x:v>A-01476</x:v>
      </x:c>
      <x:c r="C1508" t="str">
        <x:v>GATE</x:v>
      </x:c>
      <x:c r="D1508" t="str">
        <x:v>release state mirrors governing ledger</x:v>
      </x:c>
      <x:c r="E1508" t="str">
        <x:f>'Release Gates'!I1482</x:f>
        <x:v>OPEN</x:v>
      </x:c>
      <x:c r="F1508" t="str">
        <x:f>IF('Release Gates'!C1482="PLANNING","PASS",IF('Release Gates'!C1482="PHYSICAL","OPEN","BLOCKED"))</x:f>
        <x:v>OPEN</x:v>
      </x:c>
      <x:c r="G1508" t="str">
        <x:v>equals</x:v>
      </x:c>
      <x:c r="H1508" t="str">
        <x:f>IF(E1508=F1508,"PASS","FAIL")</x:f>
        <x:v>PASS</x:v>
      </x:c>
    </x:row>
    <x:row r="1509">
      <x:c r="B1509" t="str">
        <x:v>A-01477</x:v>
      </x:c>
      <x:c r="C1509" t="str">
        <x:v>GATE</x:v>
      </x:c>
      <x:c r="D1509" t="str">
        <x:v>release state mirrors governing ledger</x:v>
      </x:c>
      <x:c r="E1509" t="str">
        <x:f>'Release Gates'!I1483</x:f>
        <x:v>OPEN</x:v>
      </x:c>
      <x:c r="F1509" t="str">
        <x:f>IF('Release Gates'!C1483="PLANNING","PASS",IF('Release Gates'!C1483="PHYSICAL","OPEN","BLOCKED"))</x:f>
        <x:v>OPEN</x:v>
      </x:c>
      <x:c r="G1509" t="str">
        <x:v>equals</x:v>
      </x:c>
      <x:c r="H1509" t="str">
        <x:f>IF(E1509=F1509,"PASS","FAIL")</x:f>
        <x:v>PASS</x:v>
      </x:c>
    </x:row>
    <x:row r="1510">
      <x:c r="B1510" t="str">
        <x:v>A-01478</x:v>
      </x:c>
      <x:c r="C1510" t="str">
        <x:v>GATE</x:v>
      </x:c>
      <x:c r="D1510" t="str">
        <x:v>release state mirrors governing ledger</x:v>
      </x:c>
      <x:c r="E1510" t="str">
        <x:f>'Release Gates'!I1484</x:f>
        <x:v>OPEN</x:v>
      </x:c>
      <x:c r="F1510" t="str">
        <x:f>IF('Release Gates'!C1484="PLANNING","PASS",IF('Release Gates'!C1484="PHYSICAL","OPEN","BLOCKED"))</x:f>
        <x:v>OPEN</x:v>
      </x:c>
      <x:c r="G1510" t="str">
        <x:v>equals</x:v>
      </x:c>
      <x:c r="H1510" t="str">
        <x:f>IF(E1510=F1510,"PASS","FAIL")</x:f>
        <x:v>PASS</x:v>
      </x:c>
    </x:row>
    <x:row r="1511">
      <x:c r="B1511" t="str">
        <x:v>A-01479</x:v>
      </x:c>
      <x:c r="C1511" t="str">
        <x:v>GATE</x:v>
      </x:c>
      <x:c r="D1511" t="str">
        <x:v>release state mirrors governing ledger</x:v>
      </x:c>
      <x:c r="E1511" t="str">
        <x:f>'Release Gates'!I1485</x:f>
        <x:v>OPEN</x:v>
      </x:c>
      <x:c r="F1511" t="str">
        <x:f>IF('Release Gates'!C1485="PLANNING","PASS",IF('Release Gates'!C1485="PHYSICAL","OPEN","BLOCKED"))</x:f>
        <x:v>OPEN</x:v>
      </x:c>
      <x:c r="G1511" t="str">
        <x:v>equals</x:v>
      </x:c>
      <x:c r="H1511" t="str">
        <x:f>IF(E1511=F1511,"PASS","FAIL")</x:f>
        <x:v>PASS</x:v>
      </x:c>
    </x:row>
    <x:row r="1512">
      <x:c r="B1512" t="str">
        <x:v>A-01480</x:v>
      </x:c>
      <x:c r="C1512" t="str">
        <x:v>GATE</x:v>
      </x:c>
      <x:c r="D1512" t="str">
        <x:v>release state mirrors governing ledger</x:v>
      </x:c>
      <x:c r="E1512" t="str">
        <x:f>'Release Gates'!I1486</x:f>
        <x:v>OPEN</x:v>
      </x:c>
      <x:c r="F1512" t="str">
        <x:f>IF('Release Gates'!C1486="PLANNING","PASS",IF('Release Gates'!C1486="PHYSICAL","OPEN","BLOCKED"))</x:f>
        <x:v>OPEN</x:v>
      </x:c>
      <x:c r="G1512" t="str">
        <x:v>equals</x:v>
      </x:c>
      <x:c r="H1512" t="str">
        <x:f>IF(E1512=F1512,"PASS","FAIL")</x:f>
        <x:v>PASS</x:v>
      </x:c>
    </x:row>
    <x:row r="1513">
      <x:c r="B1513" t="str">
        <x:v>A-01481</x:v>
      </x:c>
      <x:c r="C1513" t="str">
        <x:v>GATE</x:v>
      </x:c>
      <x:c r="D1513" t="str">
        <x:v>release state mirrors governing ledger</x:v>
      </x:c>
      <x:c r="E1513" t="str">
        <x:f>'Release Gates'!I1487</x:f>
        <x:v>OPEN</x:v>
      </x:c>
      <x:c r="F1513" t="str">
        <x:f>IF('Release Gates'!C1487="PLANNING","PASS",IF('Release Gates'!C1487="PHYSICAL","OPEN","BLOCKED"))</x:f>
        <x:v>OPEN</x:v>
      </x:c>
      <x:c r="G1513" t="str">
        <x:v>equals</x:v>
      </x:c>
      <x:c r="H1513" t="str">
        <x:f>IF(E1513=F1513,"PASS","FAIL")</x:f>
        <x:v>PASS</x:v>
      </x:c>
    </x:row>
    <x:row r="1514">
      <x:c r="B1514" t="str">
        <x:v>A-01482</x:v>
      </x:c>
      <x:c r="C1514" t="str">
        <x:v>GATE</x:v>
      </x:c>
      <x:c r="D1514" t="str">
        <x:v>release state mirrors governing ledger</x:v>
      </x:c>
      <x:c r="E1514" t="str">
        <x:f>'Release Gates'!I1488</x:f>
        <x:v>OPEN</x:v>
      </x:c>
      <x:c r="F1514" t="str">
        <x:f>IF('Release Gates'!C1488="PLANNING","PASS",IF('Release Gates'!C1488="PHYSICAL","OPEN","BLOCKED"))</x:f>
        <x:v>OPEN</x:v>
      </x:c>
      <x:c r="G1514" t="str">
        <x:v>equals</x:v>
      </x:c>
      <x:c r="H1514" t="str">
        <x:f>IF(E1514=F1514,"PASS","FAIL")</x:f>
        <x:v>PASS</x:v>
      </x:c>
    </x:row>
    <x:row r="1515">
      <x:c r="B1515" t="str">
        <x:v>A-01483</x:v>
      </x:c>
      <x:c r="C1515" t="str">
        <x:v>GATE</x:v>
      </x:c>
      <x:c r="D1515" t="str">
        <x:v>release state mirrors governing ledger</x:v>
      </x:c>
      <x:c r="E1515" t="str">
        <x:f>'Release Gates'!I1489</x:f>
        <x:v>OPEN</x:v>
      </x:c>
      <x:c r="F1515" t="str">
        <x:f>IF('Release Gates'!C1489="PLANNING","PASS",IF('Release Gates'!C1489="PHYSICAL","OPEN","BLOCKED"))</x:f>
        <x:v>OPEN</x:v>
      </x:c>
      <x:c r="G1515" t="str">
        <x:v>equals</x:v>
      </x:c>
      <x:c r="H1515" t="str">
        <x:f>IF(E1515=F1515,"PASS","FAIL")</x:f>
        <x:v>PASS</x:v>
      </x:c>
    </x:row>
    <x:row r="1516">
      <x:c r="B1516" t="str">
        <x:v>A-01484</x:v>
      </x:c>
      <x:c r="C1516" t="str">
        <x:v>GATE</x:v>
      </x:c>
      <x:c r="D1516" t="str">
        <x:v>release state mirrors governing ledger</x:v>
      </x:c>
      <x:c r="E1516" t="str">
        <x:f>'Release Gates'!I1490</x:f>
        <x:v>OPEN</x:v>
      </x:c>
      <x:c r="F1516" t="str">
        <x:f>IF('Release Gates'!C1490="PLANNING","PASS",IF('Release Gates'!C1490="PHYSICAL","OPEN","BLOCKED"))</x:f>
        <x:v>OPEN</x:v>
      </x:c>
      <x:c r="G1516" t="str">
        <x:v>equals</x:v>
      </x:c>
      <x:c r="H1516" t="str">
        <x:f>IF(E1516=F1516,"PASS","FAIL")</x:f>
        <x:v>PASS</x:v>
      </x:c>
    </x:row>
    <x:row r="1517">
      <x:c r="B1517" t="str">
        <x:v>A-01485</x:v>
      </x:c>
      <x:c r="C1517" t="str">
        <x:v>GATE</x:v>
      </x:c>
      <x:c r="D1517" t="str">
        <x:v>release state mirrors governing ledger</x:v>
      </x:c>
      <x:c r="E1517" t="str">
        <x:f>'Release Gates'!I1491</x:f>
        <x:v>OPEN</x:v>
      </x:c>
      <x:c r="F1517" t="str">
        <x:f>IF('Release Gates'!C1491="PLANNING","PASS",IF('Release Gates'!C1491="PHYSICAL","OPEN","BLOCKED"))</x:f>
        <x:v>OPEN</x:v>
      </x:c>
      <x:c r="G1517" t="str">
        <x:v>equals</x:v>
      </x:c>
      <x:c r="H1517" t="str">
        <x:f>IF(E1517=F1517,"PASS","FAIL")</x:f>
        <x:v>PASS</x:v>
      </x:c>
    </x:row>
    <x:row r="1518">
      <x:c r="B1518" t="str">
        <x:v>A-01486</x:v>
      </x:c>
      <x:c r="C1518" t="str">
        <x:v>GATE</x:v>
      </x:c>
      <x:c r="D1518" t="str">
        <x:v>release state mirrors governing ledger</x:v>
      </x:c>
      <x:c r="E1518" t="str">
        <x:f>'Release Gates'!I1492</x:f>
        <x:v>OPEN</x:v>
      </x:c>
      <x:c r="F1518" t="str">
        <x:f>IF('Release Gates'!C1492="PLANNING","PASS",IF('Release Gates'!C1492="PHYSICAL","OPEN","BLOCKED"))</x:f>
        <x:v>OPEN</x:v>
      </x:c>
      <x:c r="G1518" t="str">
        <x:v>equals</x:v>
      </x:c>
      <x:c r="H1518" t="str">
        <x:f>IF(E1518=F1518,"PASS","FAIL")</x:f>
        <x:v>PASS</x:v>
      </x:c>
    </x:row>
    <x:row r="1519">
      <x:c r="B1519" t="str">
        <x:v>A-01487</x:v>
      </x:c>
      <x:c r="C1519" t="str">
        <x:v>GATE</x:v>
      </x:c>
      <x:c r="D1519" t="str">
        <x:v>release state mirrors governing ledger</x:v>
      </x:c>
      <x:c r="E1519" t="str">
        <x:f>'Release Gates'!I1493</x:f>
        <x:v>OPEN</x:v>
      </x:c>
      <x:c r="F1519" t="str">
        <x:f>IF('Release Gates'!C1493="PLANNING","PASS",IF('Release Gates'!C1493="PHYSICAL","OPEN","BLOCKED"))</x:f>
        <x:v>OPEN</x:v>
      </x:c>
      <x:c r="G1519" t="str">
        <x:v>equals</x:v>
      </x:c>
      <x:c r="H1519" t="str">
        <x:f>IF(E1519=F1519,"PASS","FAIL")</x:f>
        <x:v>PASS</x:v>
      </x:c>
    </x:row>
    <x:row r="1520">
      <x:c r="B1520" t="str">
        <x:v>A-01488</x:v>
      </x:c>
      <x:c r="C1520" t="str">
        <x:v>GATE</x:v>
      </x:c>
      <x:c r="D1520" t="str">
        <x:v>release state mirrors governing ledger</x:v>
      </x:c>
      <x:c r="E1520" t="str">
        <x:f>'Release Gates'!I1494</x:f>
        <x:v>OPEN</x:v>
      </x:c>
      <x:c r="F1520" t="str">
        <x:f>IF('Release Gates'!C1494="PLANNING","PASS",IF('Release Gates'!C1494="PHYSICAL","OPEN","BLOCKED"))</x:f>
        <x:v>OPEN</x:v>
      </x:c>
      <x:c r="G1520" t="str">
        <x:v>equals</x:v>
      </x:c>
      <x:c r="H1520" t="str">
        <x:f>IF(E1520=F1520,"PASS","FAIL")</x:f>
        <x:v>PASS</x:v>
      </x:c>
    </x:row>
    <x:row r="1521">
      <x:c r="B1521" t="str">
        <x:v>A-01489</x:v>
      </x:c>
      <x:c r="C1521" t="str">
        <x:v>GATE</x:v>
      </x:c>
      <x:c r="D1521" t="str">
        <x:v>release state mirrors governing ledger</x:v>
      </x:c>
      <x:c r="E1521" t="str">
        <x:f>'Release Gates'!I1495</x:f>
        <x:v>OPEN</x:v>
      </x:c>
      <x:c r="F1521" t="str">
        <x:f>IF('Release Gates'!C1495="PLANNING","PASS",IF('Release Gates'!C1495="PHYSICAL","OPEN","BLOCKED"))</x:f>
        <x:v>OPEN</x:v>
      </x:c>
      <x:c r="G1521" t="str">
        <x:v>equals</x:v>
      </x:c>
      <x:c r="H1521" t="str">
        <x:f>IF(E1521=F1521,"PASS","FAIL")</x:f>
        <x:v>PASS</x:v>
      </x:c>
    </x:row>
    <x:row r="1522">
      <x:c r="B1522" t="str">
        <x:v>A-01490</x:v>
      </x:c>
      <x:c r="C1522" t="str">
        <x:v>GATE</x:v>
      </x:c>
      <x:c r="D1522" t="str">
        <x:v>release state mirrors governing ledger</x:v>
      </x:c>
      <x:c r="E1522" t="str">
        <x:f>'Release Gates'!I1496</x:f>
        <x:v>OPEN</x:v>
      </x:c>
      <x:c r="F1522" t="str">
        <x:f>IF('Release Gates'!C1496="PLANNING","PASS",IF('Release Gates'!C1496="PHYSICAL","OPEN","BLOCKED"))</x:f>
        <x:v>OPEN</x:v>
      </x:c>
      <x:c r="G1522" t="str">
        <x:v>equals</x:v>
      </x:c>
      <x:c r="H1522" t="str">
        <x:f>IF(E1522=F1522,"PASS","FAIL")</x:f>
        <x:v>PASS</x:v>
      </x:c>
    </x:row>
    <x:row r="1523">
      <x:c r="B1523" t="str">
        <x:v>A-01491</x:v>
      </x:c>
      <x:c r="C1523" t="str">
        <x:v>GATE</x:v>
      </x:c>
      <x:c r="D1523" t="str">
        <x:v>release state mirrors governing ledger</x:v>
      </x:c>
      <x:c r="E1523" t="str">
        <x:f>'Release Gates'!I1497</x:f>
        <x:v>OPEN</x:v>
      </x:c>
      <x:c r="F1523" t="str">
        <x:f>IF('Release Gates'!C1497="PLANNING","PASS",IF('Release Gates'!C1497="PHYSICAL","OPEN","BLOCKED"))</x:f>
        <x:v>OPEN</x:v>
      </x:c>
      <x:c r="G1523" t="str">
        <x:v>equals</x:v>
      </x:c>
      <x:c r="H1523" t="str">
        <x:f>IF(E1523=F1523,"PASS","FAIL")</x:f>
        <x:v>PASS</x:v>
      </x:c>
    </x:row>
    <x:row r="1524">
      <x:c r="B1524" t="str">
        <x:v>A-01492</x:v>
      </x:c>
      <x:c r="C1524" t="str">
        <x:v>GATE</x:v>
      </x:c>
      <x:c r="D1524" t="str">
        <x:v>release state mirrors governing ledger</x:v>
      </x:c>
      <x:c r="E1524" t="str">
        <x:f>'Release Gates'!I1498</x:f>
        <x:v>OPEN</x:v>
      </x:c>
      <x:c r="F1524" t="str">
        <x:f>IF('Release Gates'!C1498="PLANNING","PASS",IF('Release Gates'!C1498="PHYSICAL","OPEN","BLOCKED"))</x:f>
        <x:v>OPEN</x:v>
      </x:c>
      <x:c r="G1524" t="str">
        <x:v>equals</x:v>
      </x:c>
      <x:c r="H1524" t="str">
        <x:f>IF(E1524=F1524,"PASS","FAIL")</x:f>
        <x:v>PASS</x:v>
      </x:c>
    </x:row>
    <x:row r="1525">
      <x:c r="B1525" t="str">
        <x:v>A-01493</x:v>
      </x:c>
      <x:c r="C1525" t="str">
        <x:v>GATE</x:v>
      </x:c>
      <x:c r="D1525" t="str">
        <x:v>release state mirrors governing ledger</x:v>
      </x:c>
      <x:c r="E1525" t="str">
        <x:f>'Release Gates'!I1499</x:f>
        <x:v>OPEN</x:v>
      </x:c>
      <x:c r="F1525" t="str">
        <x:f>IF('Release Gates'!C1499="PLANNING","PASS",IF('Release Gates'!C1499="PHYSICAL","OPEN","BLOCKED"))</x:f>
        <x:v>OPEN</x:v>
      </x:c>
      <x:c r="G1525" t="str">
        <x:v>equals</x:v>
      </x:c>
      <x:c r="H1525" t="str">
        <x:f>IF(E1525=F1525,"PASS","FAIL")</x:f>
        <x:v>PASS</x:v>
      </x:c>
    </x:row>
    <x:row r="1526">
      <x:c r="B1526" t="str">
        <x:v>A-01494</x:v>
      </x:c>
      <x:c r="C1526" t="str">
        <x:v>GATE</x:v>
      </x:c>
      <x:c r="D1526" t="str">
        <x:v>release state mirrors governing ledger</x:v>
      </x:c>
      <x:c r="E1526" t="str">
        <x:f>'Release Gates'!I1500</x:f>
        <x:v>OPEN</x:v>
      </x:c>
      <x:c r="F1526" t="str">
        <x:f>IF('Release Gates'!C1500="PLANNING","PASS",IF('Release Gates'!C1500="PHYSICAL","OPEN","BLOCKED"))</x:f>
        <x:v>OPEN</x:v>
      </x:c>
      <x:c r="G1526" t="str">
        <x:v>equals</x:v>
      </x:c>
      <x:c r="H1526" t="str">
        <x:f>IF(E1526=F1526,"PASS","FAIL")</x:f>
        <x:v>PASS</x:v>
      </x:c>
    </x:row>
    <x:row r="1527">
      <x:c r="B1527" t="str">
        <x:v>A-01495</x:v>
      </x:c>
      <x:c r="C1527" t="str">
        <x:v>GATE</x:v>
      </x:c>
      <x:c r="D1527" t="str">
        <x:v>release state mirrors governing ledger</x:v>
      </x:c>
      <x:c r="E1527" t="str">
        <x:f>'Release Gates'!I1501</x:f>
        <x:v>OPEN</x:v>
      </x:c>
      <x:c r="F1527" t="str">
        <x:f>IF('Release Gates'!C1501="PLANNING","PASS",IF('Release Gates'!C1501="PHYSICAL","OPEN","BLOCKED"))</x:f>
        <x:v>OPEN</x:v>
      </x:c>
      <x:c r="G1527" t="str">
        <x:v>equals</x:v>
      </x:c>
      <x:c r="H1527" t="str">
        <x:f>IF(E1527=F1527,"PASS","FAIL")</x:f>
        <x:v>PASS</x:v>
      </x:c>
    </x:row>
    <x:row r="1528">
      <x:c r="B1528" t="str">
        <x:v>A-01496</x:v>
      </x:c>
      <x:c r="C1528" t="str">
        <x:v>GATE</x:v>
      </x:c>
      <x:c r="D1528" t="str">
        <x:v>release state mirrors governing ledger</x:v>
      </x:c>
      <x:c r="E1528" t="str">
        <x:f>'Release Gates'!I1502</x:f>
        <x:v>OPEN</x:v>
      </x:c>
      <x:c r="F1528" t="str">
        <x:f>IF('Release Gates'!C1502="PLANNING","PASS",IF('Release Gates'!C1502="PHYSICAL","OPEN","BLOCKED"))</x:f>
        <x:v>OPEN</x:v>
      </x:c>
      <x:c r="G1528" t="str">
        <x:v>equals</x:v>
      </x:c>
      <x:c r="H1528" t="str">
        <x:f>IF(E1528=F1528,"PASS","FAIL")</x:f>
        <x:v>PASS</x:v>
      </x:c>
    </x:row>
    <x:row r="1529">
      <x:c r="B1529" t="str">
        <x:v>A-01497</x:v>
      </x:c>
      <x:c r="C1529" t="str">
        <x:v>GATE</x:v>
      </x:c>
      <x:c r="D1529" t="str">
        <x:v>release state mirrors governing ledger</x:v>
      </x:c>
      <x:c r="E1529" t="str">
        <x:f>'Release Gates'!I1503</x:f>
        <x:v>OPEN</x:v>
      </x:c>
      <x:c r="F1529" t="str">
        <x:f>IF('Release Gates'!C1503="PLANNING","PASS",IF('Release Gates'!C1503="PHYSICAL","OPEN","BLOCKED"))</x:f>
        <x:v>OPEN</x:v>
      </x:c>
      <x:c r="G1529" t="str">
        <x:v>equals</x:v>
      </x:c>
      <x:c r="H1529" t="str">
        <x:f>IF(E1529=F1529,"PASS","FAIL")</x:f>
        <x:v>PASS</x:v>
      </x:c>
    </x:row>
    <x:row r="1530">
      <x:c r="B1530" t="str">
        <x:v>A-01498</x:v>
      </x:c>
      <x:c r="C1530" t="str">
        <x:v>GATE</x:v>
      </x:c>
      <x:c r="D1530" t="str">
        <x:v>release state mirrors governing ledger</x:v>
      </x:c>
      <x:c r="E1530" t="str">
        <x:f>'Release Gates'!I1504</x:f>
        <x:v>OPEN</x:v>
      </x:c>
      <x:c r="F1530" t="str">
        <x:f>IF('Release Gates'!C1504="PLANNING","PASS",IF('Release Gates'!C1504="PHYSICAL","OPEN","BLOCKED"))</x:f>
        <x:v>OPEN</x:v>
      </x:c>
      <x:c r="G1530" t="str">
        <x:v>equals</x:v>
      </x:c>
      <x:c r="H1530" t="str">
        <x:f>IF(E1530=F1530,"PASS","FAIL")</x:f>
        <x:v>PASS</x:v>
      </x:c>
    </x:row>
    <x:row r="1531">
      <x:c r="B1531" t="str">
        <x:v>A-01499</x:v>
      </x:c>
      <x:c r="C1531" t="str">
        <x:v>GATE</x:v>
      </x:c>
      <x:c r="D1531" t="str">
        <x:v>release state mirrors governing ledger</x:v>
      </x:c>
      <x:c r="E1531" t="str">
        <x:f>'Release Gates'!I1505</x:f>
        <x:v>OPEN</x:v>
      </x:c>
      <x:c r="F1531" t="str">
        <x:f>IF('Release Gates'!C1505="PLANNING","PASS",IF('Release Gates'!C1505="PHYSICAL","OPEN","BLOCKED"))</x:f>
        <x:v>OPEN</x:v>
      </x:c>
      <x:c r="G1531" t="str">
        <x:v>equals</x:v>
      </x:c>
      <x:c r="H1531" t="str">
        <x:f>IF(E1531=F1531,"PASS","FAIL")</x:f>
        <x:v>PASS</x:v>
      </x:c>
    </x:row>
    <x:row r="1532">
      <x:c r="B1532" t="str">
        <x:v>A-01500</x:v>
      </x:c>
      <x:c r="C1532" t="str">
        <x:v>GATE</x:v>
      </x:c>
      <x:c r="D1532" t="str">
        <x:v>release state mirrors governing ledger</x:v>
      </x:c>
      <x:c r="E1532" t="str">
        <x:f>'Release Gates'!I1506</x:f>
        <x:v>OPEN</x:v>
      </x:c>
      <x:c r="F1532" t="str">
        <x:f>IF('Release Gates'!C1506="PLANNING","PASS",IF('Release Gates'!C1506="PHYSICAL","OPEN","BLOCKED"))</x:f>
        <x:v>OPEN</x:v>
      </x:c>
      <x:c r="G1532" t="str">
        <x:v>equals</x:v>
      </x:c>
      <x:c r="H1532" t="str">
        <x:f>IF(E1532=F1532,"PASS","FAIL")</x:f>
        <x:v>PASS</x:v>
      </x:c>
    </x:row>
    <x:row r="1533">
      <x:c r="B1533" t="str">
        <x:v>A-01501</x:v>
      </x:c>
      <x:c r="C1533" t="str">
        <x:v>GATE</x:v>
      </x:c>
      <x:c r="D1533" t="str">
        <x:v>release state mirrors governing ledger</x:v>
      </x:c>
      <x:c r="E1533" t="str">
        <x:f>'Release Gates'!I1507</x:f>
        <x:v>OPEN</x:v>
      </x:c>
      <x:c r="F1533" t="str">
        <x:f>IF('Release Gates'!C1507="PLANNING","PASS",IF('Release Gates'!C1507="PHYSICAL","OPEN","BLOCKED"))</x:f>
        <x:v>OPEN</x:v>
      </x:c>
      <x:c r="G1533" t="str">
        <x:v>equals</x:v>
      </x:c>
      <x:c r="H1533" t="str">
        <x:f>IF(E1533=F1533,"PASS","FAIL")</x:f>
        <x:v>PASS</x:v>
      </x:c>
    </x:row>
    <x:row r="1534">
      <x:c r="B1534" t="str">
        <x:v>A-01502</x:v>
      </x:c>
      <x:c r="C1534" t="str">
        <x:v>GATE</x:v>
      </x:c>
      <x:c r="D1534" t="str">
        <x:v>release state mirrors governing ledger</x:v>
      </x:c>
      <x:c r="E1534" t="str">
        <x:f>'Release Gates'!I1508</x:f>
        <x:v>OPEN</x:v>
      </x:c>
      <x:c r="F1534" t="str">
        <x:f>IF('Release Gates'!C1508="PLANNING","PASS",IF('Release Gates'!C1508="PHYSICAL","OPEN","BLOCKED"))</x:f>
        <x:v>OPEN</x:v>
      </x:c>
      <x:c r="G1534" t="str">
        <x:v>equals</x:v>
      </x:c>
      <x:c r="H1534" t="str">
        <x:f>IF(E1534=F1534,"PASS","FAIL")</x:f>
        <x:v>PASS</x:v>
      </x:c>
    </x:row>
    <x:row r="1535">
      <x:c r="B1535" t="str">
        <x:v>A-01503</x:v>
      </x:c>
      <x:c r="C1535" t="str">
        <x:v>GATE</x:v>
      </x:c>
      <x:c r="D1535" t="str">
        <x:v>release state mirrors governing ledger</x:v>
      </x:c>
      <x:c r="E1535" t="str">
        <x:f>'Release Gates'!I1509</x:f>
        <x:v>OPEN</x:v>
      </x:c>
      <x:c r="F1535" t="str">
        <x:f>IF('Release Gates'!C1509="PLANNING","PASS",IF('Release Gates'!C1509="PHYSICAL","OPEN","BLOCKED"))</x:f>
        <x:v>OPEN</x:v>
      </x:c>
      <x:c r="G1535" t="str">
        <x:v>equals</x:v>
      </x:c>
      <x:c r="H1535" t="str">
        <x:f>IF(E1535=F1535,"PASS","FAIL")</x:f>
        <x:v>PASS</x:v>
      </x:c>
    </x:row>
    <x:row r="1536">
      <x:c r="B1536" t="str">
        <x:v>A-01504</x:v>
      </x:c>
      <x:c r="C1536" t="str">
        <x:v>GATE</x:v>
      </x:c>
      <x:c r="D1536" t="str">
        <x:v>release state mirrors governing ledger</x:v>
      </x:c>
      <x:c r="E1536" t="str">
        <x:f>'Release Gates'!I1510</x:f>
        <x:v>OPEN</x:v>
      </x:c>
      <x:c r="F1536" t="str">
        <x:f>IF('Release Gates'!C1510="PLANNING","PASS",IF('Release Gates'!C1510="PHYSICAL","OPEN","BLOCKED"))</x:f>
        <x:v>OPEN</x:v>
      </x:c>
      <x:c r="G1536" t="str">
        <x:v>equals</x:v>
      </x:c>
      <x:c r="H1536" t="str">
        <x:f>IF(E1536=F1536,"PASS","FAIL")</x:f>
        <x:v>PASS</x:v>
      </x:c>
    </x:row>
    <x:row r="1537">
      <x:c r="B1537" t="str">
        <x:v>A-01505</x:v>
      </x:c>
      <x:c r="C1537" t="str">
        <x:v>GATE</x:v>
      </x:c>
      <x:c r="D1537" t="str">
        <x:v>release state mirrors governing ledger</x:v>
      </x:c>
      <x:c r="E1537" t="str">
        <x:f>'Release Gates'!I1511</x:f>
        <x:v>OPEN</x:v>
      </x:c>
      <x:c r="F1537" t="str">
        <x:f>IF('Release Gates'!C1511="PLANNING","PASS",IF('Release Gates'!C1511="PHYSICAL","OPEN","BLOCKED"))</x:f>
        <x:v>OPEN</x:v>
      </x:c>
      <x:c r="G1537" t="str">
        <x:v>equals</x:v>
      </x:c>
      <x:c r="H1537" t="str">
        <x:f>IF(E1537=F1537,"PASS","FAIL")</x:f>
        <x:v>PASS</x:v>
      </x:c>
    </x:row>
    <x:row r="1538">
      <x:c r="B1538" t="str">
        <x:v>A-01506</x:v>
      </x:c>
      <x:c r="C1538" t="str">
        <x:v>GATE</x:v>
      </x:c>
      <x:c r="D1538" t="str">
        <x:v>release state mirrors governing ledger</x:v>
      </x:c>
      <x:c r="E1538" t="str">
        <x:f>'Release Gates'!I1512</x:f>
        <x:v>OPEN</x:v>
      </x:c>
      <x:c r="F1538" t="str">
        <x:f>IF('Release Gates'!C1512="PLANNING","PASS",IF('Release Gates'!C1512="PHYSICAL","OPEN","BLOCKED"))</x:f>
        <x:v>OPEN</x:v>
      </x:c>
      <x:c r="G1538" t="str">
        <x:v>equals</x:v>
      </x:c>
      <x:c r="H1538" t="str">
        <x:f>IF(E1538=F1538,"PASS","FAIL")</x:f>
        <x:v>PASS</x:v>
      </x:c>
    </x:row>
    <x:row r="1539">
      <x:c r="B1539" t="str">
        <x:v>A-01507</x:v>
      </x:c>
      <x:c r="C1539" t="str">
        <x:v>GATE</x:v>
      </x:c>
      <x:c r="D1539" t="str">
        <x:v>release state mirrors governing ledger</x:v>
      </x:c>
      <x:c r="E1539" t="str">
        <x:f>'Release Gates'!I1513</x:f>
        <x:v>OPEN</x:v>
      </x:c>
      <x:c r="F1539" t="str">
        <x:f>IF('Release Gates'!C1513="PLANNING","PASS",IF('Release Gates'!C1513="PHYSICAL","OPEN","BLOCKED"))</x:f>
        <x:v>OPEN</x:v>
      </x:c>
      <x:c r="G1539" t="str">
        <x:v>equals</x:v>
      </x:c>
      <x:c r="H1539" t="str">
        <x:f>IF(E1539=F1539,"PASS","FAIL")</x:f>
        <x:v>PASS</x:v>
      </x:c>
    </x:row>
    <x:row r="1540">
      <x:c r="B1540" t="str">
        <x:v>A-01508</x:v>
      </x:c>
      <x:c r="C1540" t="str">
        <x:v>GATE</x:v>
      </x:c>
      <x:c r="D1540" t="str">
        <x:v>release state mirrors governing ledger</x:v>
      </x:c>
      <x:c r="E1540" t="str">
        <x:f>'Release Gates'!I1514</x:f>
        <x:v>OPEN</x:v>
      </x:c>
      <x:c r="F1540" t="str">
        <x:f>IF('Release Gates'!C1514="PLANNING","PASS",IF('Release Gates'!C1514="PHYSICAL","OPEN","BLOCKED"))</x:f>
        <x:v>OPEN</x:v>
      </x:c>
      <x:c r="G1540" t="str">
        <x:v>equals</x:v>
      </x:c>
      <x:c r="H1540" t="str">
        <x:f>IF(E1540=F1540,"PASS","FAIL")</x:f>
        <x:v>PASS</x:v>
      </x:c>
    </x:row>
    <x:row r="1541">
      <x:c r="B1541" t="str">
        <x:v>A-01509</x:v>
      </x:c>
      <x:c r="C1541" t="str">
        <x:v>GATE</x:v>
      </x:c>
      <x:c r="D1541" t="str">
        <x:v>release state mirrors governing ledger</x:v>
      </x:c>
      <x:c r="E1541" t="str">
        <x:f>'Release Gates'!I1515</x:f>
        <x:v>OPEN</x:v>
      </x:c>
      <x:c r="F1541" t="str">
        <x:f>IF('Release Gates'!C1515="PLANNING","PASS",IF('Release Gates'!C1515="PHYSICAL","OPEN","BLOCKED"))</x:f>
        <x:v>OPEN</x:v>
      </x:c>
      <x:c r="G1541" t="str">
        <x:v>equals</x:v>
      </x:c>
      <x:c r="H1541" t="str">
        <x:f>IF(E1541=F1541,"PASS","FAIL")</x:f>
        <x:v>PASS</x:v>
      </x:c>
    </x:row>
    <x:row r="1542">
      <x:c r="B1542" t="str">
        <x:v>A-01510</x:v>
      </x:c>
      <x:c r="C1542" t="str">
        <x:v>GATE</x:v>
      </x:c>
      <x:c r="D1542" t="str">
        <x:v>release state mirrors governing ledger</x:v>
      </x:c>
      <x:c r="E1542" t="str">
        <x:f>'Release Gates'!I1516</x:f>
        <x:v>OPEN</x:v>
      </x:c>
      <x:c r="F1542" t="str">
        <x:f>IF('Release Gates'!C1516="PLANNING","PASS",IF('Release Gates'!C1516="PHYSICAL","OPEN","BLOCKED"))</x:f>
        <x:v>OPEN</x:v>
      </x:c>
      <x:c r="G1542" t="str">
        <x:v>equals</x:v>
      </x:c>
      <x:c r="H1542" t="str">
        <x:f>IF(E1542=F1542,"PASS","FAIL")</x:f>
        <x:v>PASS</x:v>
      </x:c>
    </x:row>
    <x:row r="1543">
      <x:c r="B1543" t="str">
        <x:v>A-01511</x:v>
      </x:c>
      <x:c r="C1543" t="str">
        <x:v>GATE</x:v>
      </x:c>
      <x:c r="D1543" t="str">
        <x:v>release state mirrors governing ledger</x:v>
      </x:c>
      <x:c r="E1543" t="str">
        <x:f>'Release Gates'!I1517</x:f>
        <x:v>OPEN</x:v>
      </x:c>
      <x:c r="F1543" t="str">
        <x:f>IF('Release Gates'!C1517="PLANNING","PASS",IF('Release Gates'!C1517="PHYSICAL","OPEN","BLOCKED"))</x:f>
        <x:v>OPEN</x:v>
      </x:c>
      <x:c r="G1543" t="str">
        <x:v>equals</x:v>
      </x:c>
      <x:c r="H1543" t="str">
        <x:f>IF(E1543=F1543,"PASS","FAIL")</x:f>
        <x:v>PASS</x:v>
      </x:c>
    </x:row>
    <x:row r="1544">
      <x:c r="B1544" t="str">
        <x:v>A-01512</x:v>
      </x:c>
      <x:c r="C1544" t="str">
        <x:v>GATE</x:v>
      </x:c>
      <x:c r="D1544" t="str">
        <x:v>release state mirrors governing ledger</x:v>
      </x:c>
      <x:c r="E1544" t="str">
        <x:f>'Release Gates'!I1518</x:f>
        <x:v>OPEN</x:v>
      </x:c>
      <x:c r="F1544" t="str">
        <x:f>IF('Release Gates'!C1518="PLANNING","PASS",IF('Release Gates'!C1518="PHYSICAL","OPEN","BLOCKED"))</x:f>
        <x:v>OPEN</x:v>
      </x:c>
      <x:c r="G1544" t="str">
        <x:v>equals</x:v>
      </x:c>
      <x:c r="H1544" t="str">
        <x:f>IF(E1544=F1544,"PASS","FAIL")</x:f>
        <x:v>PASS</x:v>
      </x:c>
    </x:row>
    <x:row r="1545">
      <x:c r="B1545" t="str">
        <x:v>A-01513</x:v>
      </x:c>
      <x:c r="C1545" t="str">
        <x:v>GATE</x:v>
      </x:c>
      <x:c r="D1545" t="str">
        <x:v>release state mirrors governing ledger</x:v>
      </x:c>
      <x:c r="E1545" t="str">
        <x:f>'Release Gates'!I1519</x:f>
        <x:v>OPEN</x:v>
      </x:c>
      <x:c r="F1545" t="str">
        <x:f>IF('Release Gates'!C1519="PLANNING","PASS",IF('Release Gates'!C1519="PHYSICAL","OPEN","BLOCKED"))</x:f>
        <x:v>OPEN</x:v>
      </x:c>
      <x:c r="G1545" t="str">
        <x:v>equals</x:v>
      </x:c>
      <x:c r="H1545" t="str">
        <x:f>IF(E1545=F1545,"PASS","FAIL")</x:f>
        <x:v>PASS</x:v>
      </x:c>
    </x:row>
    <x:row r="1546">
      <x:c r="B1546" t="str">
        <x:v>A-01514</x:v>
      </x:c>
      <x:c r="C1546" t="str">
        <x:v>GATE</x:v>
      </x:c>
      <x:c r="D1546" t="str">
        <x:v>release state mirrors governing ledger</x:v>
      </x:c>
      <x:c r="E1546" t="str">
        <x:f>'Release Gates'!I1520</x:f>
        <x:v>OPEN</x:v>
      </x:c>
      <x:c r="F1546" t="str">
        <x:f>IF('Release Gates'!C1520="PLANNING","PASS",IF('Release Gates'!C1520="PHYSICAL","OPEN","BLOCKED"))</x:f>
        <x:v>OPEN</x:v>
      </x:c>
      <x:c r="G1546" t="str">
        <x:v>equals</x:v>
      </x:c>
      <x:c r="H1546" t="str">
        <x:f>IF(E1546=F1546,"PASS","FAIL")</x:f>
        <x:v>PASS</x:v>
      </x:c>
    </x:row>
    <x:row r="1547">
      <x:c r="B1547" t="str">
        <x:v>A-01515</x:v>
      </x:c>
      <x:c r="C1547" t="str">
        <x:v>GATE</x:v>
      </x:c>
      <x:c r="D1547" t="str">
        <x:v>release state mirrors governing ledger</x:v>
      </x:c>
      <x:c r="E1547" t="str">
        <x:f>'Release Gates'!I1521</x:f>
        <x:v>OPEN</x:v>
      </x:c>
      <x:c r="F1547" t="str">
        <x:f>IF('Release Gates'!C1521="PLANNING","PASS",IF('Release Gates'!C1521="PHYSICAL","OPEN","BLOCKED"))</x:f>
        <x:v>OPEN</x:v>
      </x:c>
      <x:c r="G1547" t="str">
        <x:v>equals</x:v>
      </x:c>
      <x:c r="H1547" t="str">
        <x:f>IF(E1547=F1547,"PASS","FAIL")</x:f>
        <x:v>PASS</x:v>
      </x:c>
    </x:row>
    <x:row r="1548">
      <x:c r="B1548" t="str">
        <x:v>A-01516</x:v>
      </x:c>
      <x:c r="C1548" t="str">
        <x:v>GATE</x:v>
      </x:c>
      <x:c r="D1548" t="str">
        <x:v>release state mirrors governing ledger</x:v>
      </x:c>
      <x:c r="E1548" t="str">
        <x:f>'Release Gates'!I1522</x:f>
        <x:v>OPEN</x:v>
      </x:c>
      <x:c r="F1548" t="str">
        <x:f>IF('Release Gates'!C1522="PLANNING","PASS",IF('Release Gates'!C1522="PHYSICAL","OPEN","BLOCKED"))</x:f>
        <x:v>OPEN</x:v>
      </x:c>
      <x:c r="G1548" t="str">
        <x:v>equals</x:v>
      </x:c>
      <x:c r="H1548" t="str">
        <x:f>IF(E1548=F1548,"PASS","FAIL")</x:f>
        <x:v>PASS</x:v>
      </x:c>
    </x:row>
    <x:row r="1549">
      <x:c r="B1549" t="str">
        <x:v>A-01517</x:v>
      </x:c>
      <x:c r="C1549" t="str">
        <x:v>GATE</x:v>
      </x:c>
      <x:c r="D1549" t="str">
        <x:v>release state mirrors governing ledger</x:v>
      </x:c>
      <x:c r="E1549" t="str">
        <x:f>'Release Gates'!I1523</x:f>
        <x:v>OPEN</x:v>
      </x:c>
      <x:c r="F1549" t="str">
        <x:f>IF('Release Gates'!C1523="PLANNING","PASS",IF('Release Gates'!C1523="PHYSICAL","OPEN","BLOCKED"))</x:f>
        <x:v>OPEN</x:v>
      </x:c>
      <x:c r="G1549" t="str">
        <x:v>equals</x:v>
      </x:c>
      <x:c r="H1549" t="str">
        <x:f>IF(E1549=F1549,"PASS","FAIL")</x:f>
        <x:v>PASS</x:v>
      </x:c>
    </x:row>
    <x:row r="1550">
      <x:c r="B1550" t="str">
        <x:v>A-01518</x:v>
      </x:c>
      <x:c r="C1550" t="str">
        <x:v>GATE</x:v>
      </x:c>
      <x:c r="D1550" t="str">
        <x:v>release state mirrors governing ledger</x:v>
      </x:c>
      <x:c r="E1550" t="str">
        <x:f>'Release Gates'!I1524</x:f>
        <x:v>OPEN</x:v>
      </x:c>
      <x:c r="F1550" t="str">
        <x:f>IF('Release Gates'!C1524="PLANNING","PASS",IF('Release Gates'!C1524="PHYSICAL","OPEN","BLOCKED"))</x:f>
        <x:v>OPEN</x:v>
      </x:c>
      <x:c r="G1550" t="str">
        <x:v>equals</x:v>
      </x:c>
      <x:c r="H1550" t="str">
        <x:f>IF(E1550=F1550,"PASS","FAIL")</x:f>
        <x:v>PASS</x:v>
      </x:c>
    </x:row>
    <x:row r="1551">
      <x:c r="B1551" t="str">
        <x:v>A-01519</x:v>
      </x:c>
      <x:c r="C1551" t="str">
        <x:v>GATE</x:v>
      </x:c>
      <x:c r="D1551" t="str">
        <x:v>release state mirrors governing ledger</x:v>
      </x:c>
      <x:c r="E1551" t="str">
        <x:f>'Release Gates'!I1525</x:f>
        <x:v>OPEN</x:v>
      </x:c>
      <x:c r="F1551" t="str">
        <x:f>IF('Release Gates'!C1525="PLANNING","PASS",IF('Release Gates'!C1525="PHYSICAL","OPEN","BLOCKED"))</x:f>
        <x:v>OPEN</x:v>
      </x:c>
      <x:c r="G1551" t="str">
        <x:v>equals</x:v>
      </x:c>
      <x:c r="H1551" t="str">
        <x:f>IF(E1551=F1551,"PASS","FAIL")</x:f>
        <x:v>PASS</x:v>
      </x:c>
    </x:row>
    <x:row r="1552">
      <x:c r="B1552" t="str">
        <x:v>A-01520</x:v>
      </x:c>
      <x:c r="C1552" t="str">
        <x:v>GATE</x:v>
      </x:c>
      <x:c r="D1552" t="str">
        <x:v>release state mirrors governing ledger</x:v>
      </x:c>
      <x:c r="E1552" t="str">
        <x:f>'Release Gates'!I1526</x:f>
        <x:v>OPEN</x:v>
      </x:c>
      <x:c r="F1552" t="str">
        <x:f>IF('Release Gates'!C1526="PLANNING","PASS",IF('Release Gates'!C1526="PHYSICAL","OPEN","BLOCKED"))</x:f>
        <x:v>OPEN</x:v>
      </x:c>
      <x:c r="G1552" t="str">
        <x:v>equals</x:v>
      </x:c>
      <x:c r="H1552" t="str">
        <x:f>IF(E1552=F1552,"PASS","FAIL")</x:f>
        <x:v>PASS</x:v>
      </x:c>
    </x:row>
    <x:row r="1553">
      <x:c r="B1553" t="str">
        <x:v>A-01521</x:v>
      </x:c>
      <x:c r="C1553" t="str">
        <x:v>GATE</x:v>
      </x:c>
      <x:c r="D1553" t="str">
        <x:v>release state mirrors governing ledger</x:v>
      </x:c>
      <x:c r="E1553" t="str">
        <x:f>'Release Gates'!I1527</x:f>
        <x:v>OPEN</x:v>
      </x:c>
      <x:c r="F1553" t="str">
        <x:f>IF('Release Gates'!C1527="PLANNING","PASS",IF('Release Gates'!C1527="PHYSICAL","OPEN","BLOCKED"))</x:f>
        <x:v>OPEN</x:v>
      </x:c>
      <x:c r="G1553" t="str">
        <x:v>equals</x:v>
      </x:c>
      <x:c r="H1553" t="str">
        <x:f>IF(E1553=F1553,"PASS","FAIL")</x:f>
        <x:v>PASS</x:v>
      </x:c>
    </x:row>
    <x:row r="1554">
      <x:c r="B1554" t="str">
        <x:v>A-01522</x:v>
      </x:c>
      <x:c r="C1554" t="str">
        <x:v>GATE</x:v>
      </x:c>
      <x:c r="D1554" t="str">
        <x:v>release state mirrors governing ledger</x:v>
      </x:c>
      <x:c r="E1554" t="str">
        <x:f>'Release Gates'!I1528</x:f>
        <x:v>OPEN</x:v>
      </x:c>
      <x:c r="F1554" t="str">
        <x:f>IF('Release Gates'!C1528="PLANNING","PASS",IF('Release Gates'!C1528="PHYSICAL","OPEN","BLOCKED"))</x:f>
        <x:v>OPEN</x:v>
      </x:c>
      <x:c r="G1554" t="str">
        <x:v>equals</x:v>
      </x:c>
      <x:c r="H1554" t="str">
        <x:f>IF(E1554=F1554,"PASS","FAIL")</x:f>
        <x:v>PASS</x:v>
      </x:c>
    </x:row>
    <x:row r="1555">
      <x:c r="B1555" t="str">
        <x:v>A-01523</x:v>
      </x:c>
      <x:c r="C1555" t="str">
        <x:v>GATE</x:v>
      </x:c>
      <x:c r="D1555" t="str">
        <x:v>release state mirrors governing ledger</x:v>
      </x:c>
      <x:c r="E1555" t="str">
        <x:f>'Release Gates'!I1529</x:f>
        <x:v>OPEN</x:v>
      </x:c>
      <x:c r="F1555" t="str">
        <x:f>IF('Release Gates'!C1529="PLANNING","PASS",IF('Release Gates'!C1529="PHYSICAL","OPEN","BLOCKED"))</x:f>
        <x:v>OPEN</x:v>
      </x:c>
      <x:c r="G1555" t="str">
        <x:v>equals</x:v>
      </x:c>
      <x:c r="H1555" t="str">
        <x:f>IF(E1555=F1555,"PASS","FAIL")</x:f>
        <x:v>PASS</x:v>
      </x:c>
    </x:row>
    <x:row r="1556">
      <x:c r="B1556" t="str">
        <x:v>A-01524</x:v>
      </x:c>
      <x:c r="C1556" t="str">
        <x:v>GATE</x:v>
      </x:c>
      <x:c r="D1556" t="str">
        <x:v>release state mirrors governing ledger</x:v>
      </x:c>
      <x:c r="E1556" t="str">
        <x:f>'Release Gates'!I1530</x:f>
        <x:v>OPEN</x:v>
      </x:c>
      <x:c r="F1556" t="str">
        <x:f>IF('Release Gates'!C1530="PLANNING","PASS",IF('Release Gates'!C1530="PHYSICAL","OPEN","BLOCKED"))</x:f>
        <x:v>OPEN</x:v>
      </x:c>
      <x:c r="G1556" t="str">
        <x:v>equals</x:v>
      </x:c>
      <x:c r="H1556" t="str">
        <x:f>IF(E1556=F1556,"PASS","FAIL")</x:f>
        <x:v>PASS</x:v>
      </x:c>
    </x:row>
    <x:row r="1557">
      <x:c r="B1557" t="str">
        <x:v>A-01525</x:v>
      </x:c>
      <x:c r="C1557" t="str">
        <x:v>GATE</x:v>
      </x:c>
      <x:c r="D1557" t="str">
        <x:v>release state mirrors governing ledger</x:v>
      </x:c>
      <x:c r="E1557" t="str">
        <x:f>'Release Gates'!I1531</x:f>
        <x:v>OPEN</x:v>
      </x:c>
      <x:c r="F1557" t="str">
        <x:f>IF('Release Gates'!C1531="PLANNING","PASS",IF('Release Gates'!C1531="PHYSICAL","OPEN","BLOCKED"))</x:f>
        <x:v>OPEN</x:v>
      </x:c>
      <x:c r="G1557" t="str">
        <x:v>equals</x:v>
      </x:c>
      <x:c r="H1557" t="str">
        <x:f>IF(E1557=F1557,"PASS","FAIL")</x:f>
        <x:v>PASS</x:v>
      </x:c>
    </x:row>
    <x:row r="1558">
      <x:c r="B1558" t="str">
        <x:v>A-01526</x:v>
      </x:c>
      <x:c r="C1558" t="str">
        <x:v>GATE</x:v>
      </x:c>
      <x:c r="D1558" t="str">
        <x:v>release state mirrors governing ledger</x:v>
      </x:c>
      <x:c r="E1558" t="str">
        <x:f>'Release Gates'!I1532</x:f>
        <x:v>OPEN</x:v>
      </x:c>
      <x:c r="F1558" t="str">
        <x:f>IF('Release Gates'!C1532="PLANNING","PASS",IF('Release Gates'!C1532="PHYSICAL","OPEN","BLOCKED"))</x:f>
        <x:v>OPEN</x:v>
      </x:c>
      <x:c r="G1558" t="str">
        <x:v>equals</x:v>
      </x:c>
      <x:c r="H1558" t="str">
        <x:f>IF(E1558=F1558,"PASS","FAIL")</x:f>
        <x:v>PASS</x:v>
      </x:c>
    </x:row>
    <x:row r="1559">
      <x:c r="B1559" t="str">
        <x:v>A-01527</x:v>
      </x:c>
      <x:c r="C1559" t="str">
        <x:v>GATE</x:v>
      </x:c>
      <x:c r="D1559" t="str">
        <x:v>release state mirrors governing ledger</x:v>
      </x:c>
      <x:c r="E1559" t="str">
        <x:f>'Release Gates'!I1533</x:f>
        <x:v>OPEN</x:v>
      </x:c>
      <x:c r="F1559" t="str">
        <x:f>IF('Release Gates'!C1533="PLANNING","PASS",IF('Release Gates'!C1533="PHYSICAL","OPEN","BLOCKED"))</x:f>
        <x:v>OPEN</x:v>
      </x:c>
      <x:c r="G1559" t="str">
        <x:v>equals</x:v>
      </x:c>
      <x:c r="H1559" t="str">
        <x:f>IF(E1559=F1559,"PASS","FAIL")</x:f>
        <x:v>PASS</x:v>
      </x:c>
    </x:row>
    <x:row r="1560">
      <x:c r="B1560" t="str">
        <x:v>A-01528</x:v>
      </x:c>
      <x:c r="C1560" t="str">
        <x:v>GATE</x:v>
      </x:c>
      <x:c r="D1560" t="str">
        <x:v>release state mirrors governing ledger</x:v>
      </x:c>
      <x:c r="E1560" t="str">
        <x:f>'Release Gates'!I1534</x:f>
        <x:v>OPEN</x:v>
      </x:c>
      <x:c r="F1560" t="str">
        <x:f>IF('Release Gates'!C1534="PLANNING","PASS",IF('Release Gates'!C1534="PHYSICAL","OPEN","BLOCKED"))</x:f>
        <x:v>OPEN</x:v>
      </x:c>
      <x:c r="G1560" t="str">
        <x:v>equals</x:v>
      </x:c>
      <x:c r="H1560" t="str">
        <x:f>IF(E1560=F1560,"PASS","FAIL")</x:f>
        <x:v>PASS</x:v>
      </x:c>
    </x:row>
    <x:row r="1561">
      <x:c r="B1561" t="str">
        <x:v>A-01529</x:v>
      </x:c>
      <x:c r="C1561" t="str">
        <x:v>GATE</x:v>
      </x:c>
      <x:c r="D1561" t="str">
        <x:v>release state mirrors governing ledger</x:v>
      </x:c>
      <x:c r="E1561" t="str">
        <x:f>'Release Gates'!I1535</x:f>
        <x:v>OPEN</x:v>
      </x:c>
      <x:c r="F1561" t="str">
        <x:f>IF('Release Gates'!C1535="PLANNING","PASS",IF('Release Gates'!C1535="PHYSICAL","OPEN","BLOCKED"))</x:f>
        <x:v>OPEN</x:v>
      </x:c>
      <x:c r="G1561" t="str">
        <x:v>equals</x:v>
      </x:c>
      <x:c r="H1561" t="str">
        <x:f>IF(E1561=F1561,"PASS","FAIL")</x:f>
        <x:v>PASS</x:v>
      </x:c>
    </x:row>
    <x:row r="1562">
      <x:c r="B1562" t="str">
        <x:v>A-01530</x:v>
      </x:c>
      <x:c r="C1562" t="str">
        <x:v>GATE</x:v>
      </x:c>
      <x:c r="D1562" t="str">
        <x:v>release state mirrors governing ledger</x:v>
      </x:c>
      <x:c r="E1562" t="str">
        <x:f>'Release Gates'!I1536</x:f>
        <x:v>OPEN</x:v>
      </x:c>
      <x:c r="F1562" t="str">
        <x:f>IF('Release Gates'!C1536="PLANNING","PASS",IF('Release Gates'!C1536="PHYSICAL","OPEN","BLOCKED"))</x:f>
        <x:v>OPEN</x:v>
      </x:c>
      <x:c r="G1562" t="str">
        <x:v>equals</x:v>
      </x:c>
      <x:c r="H1562" t="str">
        <x:f>IF(E1562=F1562,"PASS","FAIL")</x:f>
        <x:v>PASS</x:v>
      </x:c>
    </x:row>
    <x:row r="1563">
      <x:c r="B1563" t="str">
        <x:v>A-01531</x:v>
      </x:c>
      <x:c r="C1563" t="str">
        <x:v>GATE</x:v>
      </x:c>
      <x:c r="D1563" t="str">
        <x:v>release state mirrors governing ledger</x:v>
      </x:c>
      <x:c r="E1563" t="str">
        <x:f>'Release Gates'!I1537</x:f>
        <x:v>OPEN</x:v>
      </x:c>
      <x:c r="F1563" t="str">
        <x:f>IF('Release Gates'!C1537="PLANNING","PASS",IF('Release Gates'!C1537="PHYSICAL","OPEN","BLOCKED"))</x:f>
        <x:v>OPEN</x:v>
      </x:c>
      <x:c r="G1563" t="str">
        <x:v>equals</x:v>
      </x:c>
      <x:c r="H1563" t="str">
        <x:f>IF(E1563=F1563,"PASS","FAIL")</x:f>
        <x:v>PASS</x:v>
      </x:c>
    </x:row>
    <x:row r="1564">
      <x:c r="B1564" t="str">
        <x:v>A-01532</x:v>
      </x:c>
      <x:c r="C1564" t="str">
        <x:v>GATE</x:v>
      </x:c>
      <x:c r="D1564" t="str">
        <x:v>release state mirrors governing ledger</x:v>
      </x:c>
      <x:c r="E1564" t="str">
        <x:f>'Release Gates'!I1538</x:f>
        <x:v>OPEN</x:v>
      </x:c>
      <x:c r="F1564" t="str">
        <x:f>IF('Release Gates'!C1538="PLANNING","PASS",IF('Release Gates'!C1538="PHYSICAL","OPEN","BLOCKED"))</x:f>
        <x:v>OPEN</x:v>
      </x:c>
      <x:c r="G1564" t="str">
        <x:v>equals</x:v>
      </x:c>
      <x:c r="H1564" t="str">
        <x:f>IF(E1564=F1564,"PASS","FAIL")</x:f>
        <x:v>PASS</x:v>
      </x:c>
    </x:row>
    <x:row r="1565">
      <x:c r="B1565" t="str">
        <x:v>A-01533</x:v>
      </x:c>
      <x:c r="C1565" t="str">
        <x:v>GATE</x:v>
      </x:c>
      <x:c r="D1565" t="str">
        <x:v>release state mirrors governing ledger</x:v>
      </x:c>
      <x:c r="E1565" t="str">
        <x:f>'Release Gates'!I1539</x:f>
        <x:v>OPEN</x:v>
      </x:c>
      <x:c r="F1565" t="str">
        <x:f>IF('Release Gates'!C1539="PLANNING","PASS",IF('Release Gates'!C1539="PHYSICAL","OPEN","BLOCKED"))</x:f>
        <x:v>OPEN</x:v>
      </x:c>
      <x:c r="G1565" t="str">
        <x:v>equals</x:v>
      </x:c>
      <x:c r="H1565" t="str">
        <x:f>IF(E1565=F1565,"PASS","FAIL")</x:f>
        <x:v>PASS</x:v>
      </x:c>
    </x:row>
    <x:row r="1566">
      <x:c r="B1566" t="str">
        <x:v>A-01534</x:v>
      </x:c>
      <x:c r="C1566" t="str">
        <x:v>GATE</x:v>
      </x:c>
      <x:c r="D1566" t="str">
        <x:v>release state mirrors governing ledger</x:v>
      </x:c>
      <x:c r="E1566" t="str">
        <x:f>'Release Gates'!I1540</x:f>
        <x:v>OPEN</x:v>
      </x:c>
      <x:c r="F1566" t="str">
        <x:f>IF('Release Gates'!C1540="PLANNING","PASS",IF('Release Gates'!C1540="PHYSICAL","OPEN","BLOCKED"))</x:f>
        <x:v>OPEN</x:v>
      </x:c>
      <x:c r="G1566" t="str">
        <x:v>equals</x:v>
      </x:c>
      <x:c r="H1566" t="str">
        <x:f>IF(E1566=F1566,"PASS","FAIL")</x:f>
        <x:v>PASS</x:v>
      </x:c>
    </x:row>
    <x:row r="1567">
      <x:c r="B1567" t="str">
        <x:v>A-01535</x:v>
      </x:c>
      <x:c r="C1567" t="str">
        <x:v>GATE</x:v>
      </x:c>
      <x:c r="D1567" t="str">
        <x:v>release state mirrors governing ledger</x:v>
      </x:c>
      <x:c r="E1567" t="str">
        <x:f>'Release Gates'!I1541</x:f>
        <x:v>OPEN</x:v>
      </x:c>
      <x:c r="F1567" t="str">
        <x:f>IF('Release Gates'!C1541="PLANNING","PASS",IF('Release Gates'!C1541="PHYSICAL","OPEN","BLOCKED"))</x:f>
        <x:v>OPEN</x:v>
      </x:c>
      <x:c r="G1567" t="str">
        <x:v>equals</x:v>
      </x:c>
      <x:c r="H1567" t="str">
        <x:f>IF(E1567=F1567,"PASS","FAIL")</x:f>
        <x:v>PASS</x:v>
      </x:c>
    </x:row>
    <x:row r="1568">
      <x:c r="B1568" t="str">
        <x:v>A-01536</x:v>
      </x:c>
      <x:c r="C1568" t="str">
        <x:v>GATE</x:v>
      </x:c>
      <x:c r="D1568" t="str">
        <x:v>release state mirrors governing ledger</x:v>
      </x:c>
      <x:c r="E1568" t="str">
        <x:f>'Release Gates'!I1542</x:f>
        <x:v>OPEN</x:v>
      </x:c>
      <x:c r="F1568" t="str">
        <x:f>IF('Release Gates'!C1542="PLANNING","PASS",IF('Release Gates'!C1542="PHYSICAL","OPEN","BLOCKED"))</x:f>
        <x:v>OPEN</x:v>
      </x:c>
      <x:c r="G1568" t="str">
        <x:v>equals</x:v>
      </x:c>
      <x:c r="H1568" t="str">
        <x:f>IF(E1568=F1568,"PASS","FAIL")</x:f>
        <x:v>PASS</x:v>
      </x:c>
    </x:row>
    <x:row r="1569">
      <x:c r="B1569" t="str">
        <x:v>A-01537</x:v>
      </x:c>
      <x:c r="C1569" t="str">
        <x:v>GATE</x:v>
      </x:c>
      <x:c r="D1569" t="str">
        <x:v>release state mirrors governing ledger</x:v>
      </x:c>
      <x:c r="E1569" t="str">
        <x:f>'Release Gates'!I1543</x:f>
        <x:v>OPEN</x:v>
      </x:c>
      <x:c r="F1569" t="str">
        <x:f>IF('Release Gates'!C1543="PLANNING","PASS",IF('Release Gates'!C1543="PHYSICAL","OPEN","BLOCKED"))</x:f>
        <x:v>OPEN</x:v>
      </x:c>
      <x:c r="G1569" t="str">
        <x:v>equals</x:v>
      </x:c>
      <x:c r="H1569" t="str">
        <x:f>IF(E1569=F1569,"PASS","FAIL")</x:f>
        <x:v>PASS</x:v>
      </x:c>
    </x:row>
    <x:row r="1570">
      <x:c r="B1570" t="str">
        <x:v>A-01538</x:v>
      </x:c>
      <x:c r="C1570" t="str">
        <x:v>GATE</x:v>
      </x:c>
      <x:c r="D1570" t="str">
        <x:v>release state mirrors governing ledger</x:v>
      </x:c>
      <x:c r="E1570" t="str">
        <x:f>'Release Gates'!I1544</x:f>
        <x:v>OPEN</x:v>
      </x:c>
      <x:c r="F1570" t="str">
        <x:f>IF('Release Gates'!C1544="PLANNING","PASS",IF('Release Gates'!C1544="PHYSICAL","OPEN","BLOCKED"))</x:f>
        <x:v>OPEN</x:v>
      </x:c>
      <x:c r="G1570" t="str">
        <x:v>equals</x:v>
      </x:c>
      <x:c r="H1570" t="str">
        <x:f>IF(E1570=F1570,"PASS","FAIL")</x:f>
        <x:v>PASS</x:v>
      </x:c>
    </x:row>
    <x:row r="1571">
      <x:c r="B1571" t="str">
        <x:v>A-01539</x:v>
      </x:c>
      <x:c r="C1571" t="str">
        <x:v>GATE</x:v>
      </x:c>
      <x:c r="D1571" t="str">
        <x:v>release state mirrors governing ledger</x:v>
      </x:c>
      <x:c r="E1571" t="str">
        <x:f>'Release Gates'!I1545</x:f>
        <x:v>OPEN</x:v>
      </x:c>
      <x:c r="F1571" t="str">
        <x:f>IF('Release Gates'!C1545="PLANNING","PASS",IF('Release Gates'!C1545="PHYSICAL","OPEN","BLOCKED"))</x:f>
        <x:v>OPEN</x:v>
      </x:c>
      <x:c r="G1571" t="str">
        <x:v>equals</x:v>
      </x:c>
      <x:c r="H1571" t="str">
        <x:f>IF(E1571=F1571,"PASS","FAIL")</x:f>
        <x:v>PASS</x:v>
      </x:c>
    </x:row>
    <x:row r="1572">
      <x:c r="B1572" t="str">
        <x:v>A-01540</x:v>
      </x:c>
      <x:c r="C1572" t="str">
        <x:v>GATE</x:v>
      </x:c>
      <x:c r="D1572" t="str">
        <x:v>release state mirrors governing ledger</x:v>
      </x:c>
      <x:c r="E1572" t="str">
        <x:f>'Release Gates'!I1546</x:f>
        <x:v>OPEN</x:v>
      </x:c>
      <x:c r="F1572" t="str">
        <x:f>IF('Release Gates'!C1546="PLANNING","PASS",IF('Release Gates'!C1546="PHYSICAL","OPEN","BLOCKED"))</x:f>
        <x:v>OPEN</x:v>
      </x:c>
      <x:c r="G1572" t="str">
        <x:v>equals</x:v>
      </x:c>
      <x:c r="H1572" t="str">
        <x:f>IF(E1572=F1572,"PASS","FAIL")</x:f>
        <x:v>PASS</x:v>
      </x:c>
    </x:row>
    <x:row r="1573">
      <x:c r="B1573" t="str">
        <x:v>A-01541</x:v>
      </x:c>
      <x:c r="C1573" t="str">
        <x:v>GATE</x:v>
      </x:c>
      <x:c r="D1573" t="str">
        <x:v>release state mirrors governing ledger</x:v>
      </x:c>
      <x:c r="E1573" t="str">
        <x:f>'Release Gates'!I1547</x:f>
        <x:v>OPEN</x:v>
      </x:c>
      <x:c r="F1573" t="str">
        <x:f>IF('Release Gates'!C1547="PLANNING","PASS",IF('Release Gates'!C1547="PHYSICAL","OPEN","BLOCKED"))</x:f>
        <x:v>OPEN</x:v>
      </x:c>
      <x:c r="G1573" t="str">
        <x:v>equals</x:v>
      </x:c>
      <x:c r="H1573" t="str">
        <x:f>IF(E1573=F1573,"PASS","FAIL")</x:f>
        <x:v>PASS</x:v>
      </x:c>
    </x:row>
    <x:row r="1574">
      <x:c r="B1574" t="str">
        <x:v>A-01542</x:v>
      </x:c>
      <x:c r="C1574" t="str">
        <x:v>GATE</x:v>
      </x:c>
      <x:c r="D1574" t="str">
        <x:v>release state mirrors governing ledger</x:v>
      </x:c>
      <x:c r="E1574" t="str">
        <x:f>'Release Gates'!I1548</x:f>
        <x:v>OPEN</x:v>
      </x:c>
      <x:c r="F1574" t="str">
        <x:f>IF('Release Gates'!C1548="PLANNING","PASS",IF('Release Gates'!C1548="PHYSICAL","OPEN","BLOCKED"))</x:f>
        <x:v>OPEN</x:v>
      </x:c>
      <x:c r="G1574" t="str">
        <x:v>equals</x:v>
      </x:c>
      <x:c r="H1574" t="str">
        <x:f>IF(E1574=F1574,"PASS","FAIL")</x:f>
        <x:v>PASS</x:v>
      </x:c>
    </x:row>
    <x:row r="1575">
      <x:c r="B1575" t="str">
        <x:v>A-01543</x:v>
      </x:c>
      <x:c r="C1575" t="str">
        <x:v>GATE</x:v>
      </x:c>
      <x:c r="D1575" t="str">
        <x:v>release state mirrors governing ledger</x:v>
      </x:c>
      <x:c r="E1575" t="str">
        <x:f>'Release Gates'!I1549</x:f>
        <x:v>OPEN</x:v>
      </x:c>
      <x:c r="F1575" t="str">
        <x:f>IF('Release Gates'!C1549="PLANNING","PASS",IF('Release Gates'!C1549="PHYSICAL","OPEN","BLOCKED"))</x:f>
        <x:v>OPEN</x:v>
      </x:c>
      <x:c r="G1575" t="str">
        <x:v>equals</x:v>
      </x:c>
      <x:c r="H1575" t="str">
        <x:f>IF(E1575=F1575,"PASS","FAIL")</x:f>
        <x:v>PASS</x:v>
      </x:c>
    </x:row>
    <x:row r="1576">
      <x:c r="B1576" t="str">
        <x:v>A-01544</x:v>
      </x:c>
      <x:c r="C1576" t="str">
        <x:v>GATE</x:v>
      </x:c>
      <x:c r="D1576" t="str">
        <x:v>release state mirrors governing ledger</x:v>
      </x:c>
      <x:c r="E1576" t="str">
        <x:f>'Release Gates'!I1550</x:f>
        <x:v>OPEN</x:v>
      </x:c>
      <x:c r="F1576" t="str">
        <x:f>IF('Release Gates'!C1550="PLANNING","PASS",IF('Release Gates'!C1550="PHYSICAL","OPEN","BLOCKED"))</x:f>
        <x:v>OPEN</x:v>
      </x:c>
      <x:c r="G1576" t="str">
        <x:v>equals</x:v>
      </x:c>
      <x:c r="H1576" t="str">
        <x:f>IF(E1576=F1576,"PASS","FAIL")</x:f>
        <x:v>PASS</x:v>
      </x:c>
    </x:row>
    <x:row r="1577">
      <x:c r="B1577" t="str">
        <x:v>A-01545</x:v>
      </x:c>
      <x:c r="C1577" t="str">
        <x:v>GATE</x:v>
      </x:c>
      <x:c r="D1577" t="str">
        <x:v>release state mirrors governing ledger</x:v>
      </x:c>
      <x:c r="E1577" t="str">
        <x:f>'Release Gates'!I1551</x:f>
        <x:v>OPEN</x:v>
      </x:c>
      <x:c r="F1577" t="str">
        <x:f>IF('Release Gates'!C1551="PLANNING","PASS",IF('Release Gates'!C1551="PHYSICAL","OPEN","BLOCKED"))</x:f>
        <x:v>OPEN</x:v>
      </x:c>
      <x:c r="G1577" t="str">
        <x:v>equals</x:v>
      </x:c>
      <x:c r="H1577" t="str">
        <x:f>IF(E1577=F1577,"PASS","FAIL")</x:f>
        <x:v>PASS</x:v>
      </x:c>
    </x:row>
    <x:row r="1578">
      <x:c r="B1578" t="str">
        <x:v>A-01546</x:v>
      </x:c>
      <x:c r="C1578" t="str">
        <x:v>GATE</x:v>
      </x:c>
      <x:c r="D1578" t="str">
        <x:v>release state mirrors governing ledger</x:v>
      </x:c>
      <x:c r="E1578" t="str">
        <x:f>'Release Gates'!I1552</x:f>
        <x:v>OPEN</x:v>
      </x:c>
      <x:c r="F1578" t="str">
        <x:f>IF('Release Gates'!C1552="PLANNING","PASS",IF('Release Gates'!C1552="PHYSICAL","OPEN","BLOCKED"))</x:f>
        <x:v>OPEN</x:v>
      </x:c>
      <x:c r="G1578" t="str">
        <x:v>equals</x:v>
      </x:c>
      <x:c r="H1578" t="str">
        <x:f>IF(E1578=F1578,"PASS","FAIL")</x:f>
        <x:v>PASS</x:v>
      </x:c>
    </x:row>
    <x:row r="1579">
      <x:c r="B1579" t="str">
        <x:v>A-01547</x:v>
      </x:c>
      <x:c r="C1579" t="str">
        <x:v>GATE</x:v>
      </x:c>
      <x:c r="D1579" t="str">
        <x:v>release state mirrors governing ledger</x:v>
      </x:c>
      <x:c r="E1579" t="str">
        <x:f>'Release Gates'!I1553</x:f>
        <x:v>OPEN</x:v>
      </x:c>
      <x:c r="F1579" t="str">
        <x:f>IF('Release Gates'!C1553="PLANNING","PASS",IF('Release Gates'!C1553="PHYSICAL","OPEN","BLOCKED"))</x:f>
        <x:v>OPEN</x:v>
      </x:c>
      <x:c r="G1579" t="str">
        <x:v>equals</x:v>
      </x:c>
      <x:c r="H1579" t="str">
        <x:f>IF(E1579=F1579,"PASS","FAIL")</x:f>
        <x:v>PASS</x:v>
      </x:c>
    </x:row>
    <x:row r="1580">
      <x:c r="B1580" t="str">
        <x:v>A-01548</x:v>
      </x:c>
      <x:c r="C1580" t="str">
        <x:v>GATE</x:v>
      </x:c>
      <x:c r="D1580" t="str">
        <x:v>release state mirrors governing ledger</x:v>
      </x:c>
      <x:c r="E1580" t="str">
        <x:f>'Release Gates'!I1554</x:f>
        <x:v>OPEN</x:v>
      </x:c>
      <x:c r="F1580" t="str">
        <x:f>IF('Release Gates'!C1554="PLANNING","PASS",IF('Release Gates'!C1554="PHYSICAL","OPEN","BLOCKED"))</x:f>
        <x:v>OPEN</x:v>
      </x:c>
      <x:c r="G1580" t="str">
        <x:v>equals</x:v>
      </x:c>
      <x:c r="H1580" t="str">
        <x:f>IF(E1580=F1580,"PASS","FAIL")</x:f>
        <x:v>PASS</x:v>
      </x:c>
    </x:row>
    <x:row r="1581">
      <x:c r="B1581" t="str">
        <x:v>A-01549</x:v>
      </x:c>
      <x:c r="C1581" t="str">
        <x:v>GATE</x:v>
      </x:c>
      <x:c r="D1581" t="str">
        <x:v>release state mirrors governing ledger</x:v>
      </x:c>
      <x:c r="E1581" t="str">
        <x:f>'Release Gates'!I1555</x:f>
        <x:v>OPEN</x:v>
      </x:c>
      <x:c r="F1581" t="str">
        <x:f>IF('Release Gates'!C1555="PLANNING","PASS",IF('Release Gates'!C1555="PHYSICAL","OPEN","BLOCKED"))</x:f>
        <x:v>OPEN</x:v>
      </x:c>
      <x:c r="G1581" t="str">
        <x:v>equals</x:v>
      </x:c>
      <x:c r="H1581" t="str">
        <x:f>IF(E1581=F1581,"PASS","FAIL")</x:f>
        <x:v>PASS</x:v>
      </x:c>
    </x:row>
    <x:row r="1582">
      <x:c r="B1582" t="str">
        <x:v>A-01550</x:v>
      </x:c>
      <x:c r="C1582" t="str">
        <x:v>GATE</x:v>
      </x:c>
      <x:c r="D1582" t="str">
        <x:v>release state mirrors governing ledger</x:v>
      </x:c>
      <x:c r="E1582" t="str">
        <x:f>'Release Gates'!I1556</x:f>
        <x:v>OPEN</x:v>
      </x:c>
      <x:c r="F1582" t="str">
        <x:f>IF('Release Gates'!C1556="PLANNING","PASS",IF('Release Gates'!C1556="PHYSICAL","OPEN","BLOCKED"))</x:f>
        <x:v>OPEN</x:v>
      </x:c>
      <x:c r="G1582" t="str">
        <x:v>equals</x:v>
      </x:c>
      <x:c r="H1582" t="str">
        <x:f>IF(E1582=F1582,"PASS","FAIL")</x:f>
        <x:v>PASS</x:v>
      </x:c>
    </x:row>
    <x:row r="1583">
      <x:c r="B1583" t="str">
        <x:v>A-01551</x:v>
      </x:c>
      <x:c r="C1583" t="str">
        <x:v>GATE</x:v>
      </x:c>
      <x:c r="D1583" t="str">
        <x:v>release state mirrors governing ledger</x:v>
      </x:c>
      <x:c r="E1583" t="str">
        <x:f>'Release Gates'!I1557</x:f>
        <x:v>OPEN</x:v>
      </x:c>
      <x:c r="F1583" t="str">
        <x:f>IF('Release Gates'!C1557="PLANNING","PASS",IF('Release Gates'!C1557="PHYSICAL","OPEN","BLOCKED"))</x:f>
        <x:v>OPEN</x:v>
      </x:c>
      <x:c r="G1583" t="str">
        <x:v>equals</x:v>
      </x:c>
      <x:c r="H1583" t="str">
        <x:f>IF(E1583=F1583,"PASS","FAIL")</x:f>
        <x:v>PASS</x:v>
      </x:c>
    </x:row>
    <x:row r="1584">
      <x:c r="B1584" t="str">
        <x:v>A-01552</x:v>
      </x:c>
      <x:c r="C1584" t="str">
        <x:v>GATE</x:v>
      </x:c>
      <x:c r="D1584" t="str">
        <x:v>release state mirrors governing ledger</x:v>
      </x:c>
      <x:c r="E1584" t="str">
        <x:f>'Release Gates'!I1558</x:f>
        <x:v>OPEN</x:v>
      </x:c>
      <x:c r="F1584" t="str">
        <x:f>IF('Release Gates'!C1558="PLANNING","PASS",IF('Release Gates'!C1558="PHYSICAL","OPEN","BLOCKED"))</x:f>
        <x:v>OPEN</x:v>
      </x:c>
      <x:c r="G1584" t="str">
        <x:v>equals</x:v>
      </x:c>
      <x:c r="H1584" t="str">
        <x:f>IF(E1584=F1584,"PASS","FAIL")</x:f>
        <x:v>PASS</x:v>
      </x:c>
    </x:row>
    <x:row r="1585">
      <x:c r="B1585" t="str">
        <x:v>A-01553</x:v>
      </x:c>
      <x:c r="C1585" t="str">
        <x:v>GATE</x:v>
      </x:c>
      <x:c r="D1585" t="str">
        <x:v>release state mirrors governing ledger</x:v>
      </x:c>
      <x:c r="E1585" t="str">
        <x:f>'Release Gates'!I1559</x:f>
        <x:v>OPEN</x:v>
      </x:c>
      <x:c r="F1585" t="str">
        <x:f>IF('Release Gates'!C1559="PLANNING","PASS",IF('Release Gates'!C1559="PHYSICAL","OPEN","BLOCKED"))</x:f>
        <x:v>OPEN</x:v>
      </x:c>
      <x:c r="G1585" t="str">
        <x:v>equals</x:v>
      </x:c>
      <x:c r="H1585" t="str">
        <x:f>IF(E1585=F1585,"PASS","FAIL")</x:f>
        <x:v>PASS</x:v>
      </x:c>
    </x:row>
    <x:row r="1586">
      <x:c r="B1586" t="str">
        <x:v>A-01554</x:v>
      </x:c>
      <x:c r="C1586" t="str">
        <x:v>GATE</x:v>
      </x:c>
      <x:c r="D1586" t="str">
        <x:v>release state mirrors governing ledger</x:v>
      </x:c>
      <x:c r="E1586" t="str">
        <x:f>'Release Gates'!I1560</x:f>
        <x:v>OPEN</x:v>
      </x:c>
      <x:c r="F1586" t="str">
        <x:f>IF('Release Gates'!C1560="PLANNING","PASS",IF('Release Gates'!C1560="PHYSICAL","OPEN","BLOCKED"))</x:f>
        <x:v>OPEN</x:v>
      </x:c>
      <x:c r="G1586" t="str">
        <x:v>equals</x:v>
      </x:c>
      <x:c r="H1586" t="str">
        <x:f>IF(E1586=F1586,"PASS","FAIL")</x:f>
        <x:v>PASS</x:v>
      </x:c>
    </x:row>
    <x:row r="1587">
      <x:c r="B1587" t="str">
        <x:v>A-01555</x:v>
      </x:c>
      <x:c r="C1587" t="str">
        <x:v>GATE</x:v>
      </x:c>
      <x:c r="D1587" t="str">
        <x:v>release state mirrors governing ledger</x:v>
      </x:c>
      <x:c r="E1587" t="str">
        <x:f>'Release Gates'!I1561</x:f>
        <x:v>OPEN</x:v>
      </x:c>
      <x:c r="F1587" t="str">
        <x:f>IF('Release Gates'!C1561="PLANNING","PASS",IF('Release Gates'!C1561="PHYSICAL","OPEN","BLOCKED"))</x:f>
        <x:v>OPEN</x:v>
      </x:c>
      <x:c r="G1587" t="str">
        <x:v>equals</x:v>
      </x:c>
      <x:c r="H1587" t="str">
        <x:f>IF(E1587=F1587,"PASS","FAIL")</x:f>
        <x:v>PASS</x:v>
      </x:c>
    </x:row>
    <x:row r="1588">
      <x:c r="B1588" t="str">
        <x:v>A-01556</x:v>
      </x:c>
      <x:c r="C1588" t="str">
        <x:v>GATE</x:v>
      </x:c>
      <x:c r="D1588" t="str">
        <x:v>release state mirrors governing ledger</x:v>
      </x:c>
      <x:c r="E1588" t="str">
        <x:f>'Release Gates'!I1562</x:f>
        <x:v>OPEN</x:v>
      </x:c>
      <x:c r="F1588" t="str">
        <x:f>IF('Release Gates'!C1562="PLANNING","PASS",IF('Release Gates'!C1562="PHYSICAL","OPEN","BLOCKED"))</x:f>
        <x:v>OPEN</x:v>
      </x:c>
      <x:c r="G1588" t="str">
        <x:v>equals</x:v>
      </x:c>
      <x:c r="H1588" t="str">
        <x:f>IF(E1588=F1588,"PASS","FAIL")</x:f>
        <x:v>PASS</x:v>
      </x:c>
    </x:row>
    <x:row r="1589">
      <x:c r="B1589" t="str">
        <x:v>A-01557</x:v>
      </x:c>
      <x:c r="C1589" t="str">
        <x:v>GATE</x:v>
      </x:c>
      <x:c r="D1589" t="str">
        <x:v>release state mirrors governing ledger</x:v>
      </x:c>
      <x:c r="E1589" t="str">
        <x:f>'Release Gates'!I1563</x:f>
        <x:v>OPEN</x:v>
      </x:c>
      <x:c r="F1589" t="str">
        <x:f>IF('Release Gates'!C1563="PLANNING","PASS",IF('Release Gates'!C1563="PHYSICAL","OPEN","BLOCKED"))</x:f>
        <x:v>OPEN</x:v>
      </x:c>
      <x:c r="G1589" t="str">
        <x:v>equals</x:v>
      </x:c>
      <x:c r="H1589" t="str">
        <x:f>IF(E1589=F1589,"PASS","FAIL")</x:f>
        <x:v>PASS</x:v>
      </x:c>
    </x:row>
    <x:row r="1590">
      <x:c r="B1590" t="str">
        <x:v>A-01558</x:v>
      </x:c>
      <x:c r="C1590" t="str">
        <x:v>GATE</x:v>
      </x:c>
      <x:c r="D1590" t="str">
        <x:v>release state mirrors governing ledger</x:v>
      </x:c>
      <x:c r="E1590" t="str">
        <x:f>'Release Gates'!I1564</x:f>
        <x:v>OPEN</x:v>
      </x:c>
      <x:c r="F1590" t="str">
        <x:f>IF('Release Gates'!C1564="PLANNING","PASS",IF('Release Gates'!C1564="PHYSICAL","OPEN","BLOCKED"))</x:f>
        <x:v>OPEN</x:v>
      </x:c>
      <x:c r="G1590" t="str">
        <x:v>equals</x:v>
      </x:c>
      <x:c r="H1590" t="str">
        <x:f>IF(E1590=F1590,"PASS","FAIL")</x:f>
        <x:v>PASS</x:v>
      </x:c>
    </x:row>
    <x:row r="1591">
      <x:c r="B1591" t="str">
        <x:v>A-01559</x:v>
      </x:c>
      <x:c r="C1591" t="str">
        <x:v>GATE</x:v>
      </x:c>
      <x:c r="D1591" t="str">
        <x:v>release state mirrors governing ledger</x:v>
      </x:c>
      <x:c r="E1591" t="str">
        <x:f>'Release Gates'!I1565</x:f>
        <x:v>OPEN</x:v>
      </x:c>
      <x:c r="F1591" t="str">
        <x:f>IF('Release Gates'!C1565="PLANNING","PASS",IF('Release Gates'!C1565="PHYSICAL","OPEN","BLOCKED"))</x:f>
        <x:v>OPEN</x:v>
      </x:c>
      <x:c r="G1591" t="str">
        <x:v>equals</x:v>
      </x:c>
      <x:c r="H1591" t="str">
        <x:f>IF(E1591=F1591,"PASS","FAIL")</x:f>
        <x:v>PASS</x:v>
      </x:c>
    </x:row>
    <x:row r="1592">
      <x:c r="B1592" t="str">
        <x:v>A-01560</x:v>
      </x:c>
      <x:c r="C1592" t="str">
        <x:v>GATE</x:v>
      </x:c>
      <x:c r="D1592" t="str">
        <x:v>release state mirrors governing ledger</x:v>
      </x:c>
      <x:c r="E1592" t="str">
        <x:f>'Release Gates'!I1566</x:f>
        <x:v>OPEN</x:v>
      </x:c>
      <x:c r="F1592" t="str">
        <x:f>IF('Release Gates'!C1566="PLANNING","PASS",IF('Release Gates'!C1566="PHYSICAL","OPEN","BLOCKED"))</x:f>
        <x:v>OPEN</x:v>
      </x:c>
      <x:c r="G1592" t="str">
        <x:v>equals</x:v>
      </x:c>
      <x:c r="H1592" t="str">
        <x:f>IF(E1592=F1592,"PASS","FAIL")</x:f>
        <x:v>PASS</x:v>
      </x:c>
    </x:row>
    <x:row r="1593">
      <x:c r="B1593" t="str">
        <x:v>A-01561</x:v>
      </x:c>
      <x:c r="C1593" t="str">
        <x:v>GATE</x:v>
      </x:c>
      <x:c r="D1593" t="str">
        <x:v>release state mirrors governing ledger</x:v>
      </x:c>
      <x:c r="E1593" t="str">
        <x:f>'Release Gates'!I1567</x:f>
        <x:v>OPEN</x:v>
      </x:c>
      <x:c r="F1593" t="str">
        <x:f>IF('Release Gates'!C1567="PLANNING","PASS",IF('Release Gates'!C1567="PHYSICAL","OPEN","BLOCKED"))</x:f>
        <x:v>OPEN</x:v>
      </x:c>
      <x:c r="G1593" t="str">
        <x:v>equals</x:v>
      </x:c>
      <x:c r="H1593" t="str">
        <x:f>IF(E1593=F1593,"PASS","FAIL")</x:f>
        <x:v>PASS</x:v>
      </x:c>
    </x:row>
    <x:row r="1594">
      <x:c r="B1594" t="str">
        <x:v>A-01562</x:v>
      </x:c>
      <x:c r="C1594" t="str">
        <x:v>GATE</x:v>
      </x:c>
      <x:c r="D1594" t="str">
        <x:v>release state mirrors governing ledger</x:v>
      </x:c>
      <x:c r="E1594" t="str">
        <x:f>'Release Gates'!I1568</x:f>
        <x:v>OPEN</x:v>
      </x:c>
      <x:c r="F1594" t="str">
        <x:f>IF('Release Gates'!C1568="PLANNING","PASS",IF('Release Gates'!C1568="PHYSICAL","OPEN","BLOCKED"))</x:f>
        <x:v>OPEN</x:v>
      </x:c>
      <x:c r="G1594" t="str">
        <x:v>equals</x:v>
      </x:c>
      <x:c r="H1594" t="str">
        <x:f>IF(E1594=F1594,"PASS","FAIL")</x:f>
        <x:v>PASS</x:v>
      </x:c>
    </x:row>
    <x:row r="1595">
      <x:c r="B1595" t="str">
        <x:v>A-01563</x:v>
      </x:c>
      <x:c r="C1595" t="str">
        <x:v>GATE</x:v>
      </x:c>
      <x:c r="D1595" t="str">
        <x:v>release state mirrors governing ledger</x:v>
      </x:c>
      <x:c r="E1595" t="str">
        <x:f>'Release Gates'!I1569</x:f>
        <x:v>OPEN</x:v>
      </x:c>
      <x:c r="F1595" t="str">
        <x:f>IF('Release Gates'!C1569="PLANNING","PASS",IF('Release Gates'!C1569="PHYSICAL","OPEN","BLOCKED"))</x:f>
        <x:v>OPEN</x:v>
      </x:c>
      <x:c r="G1595" t="str">
        <x:v>equals</x:v>
      </x:c>
      <x:c r="H1595" t="str">
        <x:f>IF(E1595=F1595,"PASS","FAIL")</x:f>
        <x:v>PASS</x:v>
      </x:c>
    </x:row>
    <x:row r="1596">
      <x:c r="B1596" t="str">
        <x:v>A-01564</x:v>
      </x:c>
      <x:c r="C1596" t="str">
        <x:v>GATE</x:v>
      </x:c>
      <x:c r="D1596" t="str">
        <x:v>release state mirrors governing ledger</x:v>
      </x:c>
      <x:c r="E1596" t="str">
        <x:f>'Release Gates'!I1570</x:f>
        <x:v>OPEN</x:v>
      </x:c>
      <x:c r="F1596" t="str">
        <x:f>IF('Release Gates'!C1570="PLANNING","PASS",IF('Release Gates'!C1570="PHYSICAL","OPEN","BLOCKED"))</x:f>
        <x:v>OPEN</x:v>
      </x:c>
      <x:c r="G1596" t="str">
        <x:v>equals</x:v>
      </x:c>
      <x:c r="H1596" t="str">
        <x:f>IF(E1596=F1596,"PASS","FAIL")</x:f>
        <x:v>PASS</x:v>
      </x:c>
    </x:row>
    <x:row r="1597">
      <x:c r="B1597" t="str">
        <x:v>A-01565</x:v>
      </x:c>
      <x:c r="C1597" t="str">
        <x:v>GATE</x:v>
      </x:c>
      <x:c r="D1597" t="str">
        <x:v>release state mirrors governing ledger</x:v>
      </x:c>
      <x:c r="E1597" t="str">
        <x:f>'Release Gates'!I1571</x:f>
        <x:v>OPEN</x:v>
      </x:c>
      <x:c r="F1597" t="str">
        <x:f>IF('Release Gates'!C1571="PLANNING","PASS",IF('Release Gates'!C1571="PHYSICAL","OPEN","BLOCKED"))</x:f>
        <x:v>OPEN</x:v>
      </x:c>
      <x:c r="G1597" t="str">
        <x:v>equals</x:v>
      </x:c>
      <x:c r="H1597" t="str">
        <x:f>IF(E1597=F1597,"PASS","FAIL")</x:f>
        <x:v>PASS</x:v>
      </x:c>
    </x:row>
    <x:row r="1598">
      <x:c r="B1598" t="str">
        <x:v>A-01566</x:v>
      </x:c>
      <x:c r="C1598" t="str">
        <x:v>GATE</x:v>
      </x:c>
      <x:c r="D1598" t="str">
        <x:v>release state mirrors governing ledger</x:v>
      </x:c>
      <x:c r="E1598" t="str">
        <x:f>'Release Gates'!I1572</x:f>
        <x:v>OPEN</x:v>
      </x:c>
      <x:c r="F1598" t="str">
        <x:f>IF('Release Gates'!C1572="PLANNING","PASS",IF('Release Gates'!C1572="PHYSICAL","OPEN","BLOCKED"))</x:f>
        <x:v>OPEN</x:v>
      </x:c>
      <x:c r="G1598" t="str">
        <x:v>equals</x:v>
      </x:c>
      <x:c r="H1598" t="str">
        <x:f>IF(E1598=F1598,"PASS","FAIL")</x:f>
        <x:v>PASS</x:v>
      </x:c>
    </x:row>
    <x:row r="1599">
      <x:c r="B1599" t="str">
        <x:v>A-01567</x:v>
      </x:c>
      <x:c r="C1599" t="str">
        <x:v>GATE</x:v>
      </x:c>
      <x:c r="D1599" t="str">
        <x:v>release state mirrors governing ledger</x:v>
      </x:c>
      <x:c r="E1599" t="str">
        <x:f>'Release Gates'!I1573</x:f>
        <x:v>OPEN</x:v>
      </x:c>
      <x:c r="F1599" t="str">
        <x:f>IF('Release Gates'!C1573="PLANNING","PASS",IF('Release Gates'!C1573="PHYSICAL","OPEN","BLOCKED"))</x:f>
        <x:v>OPEN</x:v>
      </x:c>
      <x:c r="G1599" t="str">
        <x:v>equals</x:v>
      </x:c>
      <x:c r="H1599" t="str">
        <x:f>IF(E1599=F1599,"PASS","FAIL")</x:f>
        <x:v>PASS</x:v>
      </x:c>
    </x:row>
    <x:row r="1600">
      <x:c r="B1600" t="str">
        <x:v>A-01568</x:v>
      </x:c>
      <x:c r="C1600" t="str">
        <x:v>GATE</x:v>
      </x:c>
      <x:c r="D1600" t="str">
        <x:v>release state mirrors governing ledger</x:v>
      </x:c>
      <x:c r="E1600" t="str">
        <x:f>'Release Gates'!I1574</x:f>
        <x:v>OPEN</x:v>
      </x:c>
      <x:c r="F1600" t="str">
        <x:f>IF('Release Gates'!C1574="PLANNING","PASS",IF('Release Gates'!C1574="PHYSICAL","OPEN","BLOCKED"))</x:f>
        <x:v>OPEN</x:v>
      </x:c>
      <x:c r="G1600" t="str">
        <x:v>equals</x:v>
      </x:c>
      <x:c r="H1600" t="str">
        <x:f>IF(E1600=F1600,"PASS","FAIL")</x:f>
        <x:v>PASS</x:v>
      </x:c>
    </x:row>
    <x:row r="1601">
      <x:c r="B1601" t="str">
        <x:v>A-01569</x:v>
      </x:c>
      <x:c r="C1601" t="str">
        <x:v>GATE</x:v>
      </x:c>
      <x:c r="D1601" t="str">
        <x:v>release state mirrors governing ledger</x:v>
      </x:c>
      <x:c r="E1601" t="str">
        <x:f>'Release Gates'!I1575</x:f>
        <x:v>OPEN</x:v>
      </x:c>
      <x:c r="F1601" t="str">
        <x:f>IF('Release Gates'!C1575="PLANNING","PASS",IF('Release Gates'!C1575="PHYSICAL","OPEN","BLOCKED"))</x:f>
        <x:v>OPEN</x:v>
      </x:c>
      <x:c r="G1601" t="str">
        <x:v>equals</x:v>
      </x:c>
      <x:c r="H1601" t="str">
        <x:f>IF(E1601=F1601,"PASS","FAIL")</x:f>
        <x:v>PASS</x:v>
      </x:c>
    </x:row>
    <x:row r="1602">
      <x:c r="B1602" t="str">
        <x:v>A-01570</x:v>
      </x:c>
      <x:c r="C1602" t="str">
        <x:v>GATE</x:v>
      </x:c>
      <x:c r="D1602" t="str">
        <x:v>release state mirrors governing ledger</x:v>
      </x:c>
      <x:c r="E1602" t="str">
        <x:f>'Release Gates'!I1576</x:f>
        <x:v>OPEN</x:v>
      </x:c>
      <x:c r="F1602" t="str">
        <x:f>IF('Release Gates'!C1576="PLANNING","PASS",IF('Release Gates'!C1576="PHYSICAL","OPEN","BLOCKED"))</x:f>
        <x:v>OPEN</x:v>
      </x:c>
      <x:c r="G1602" t="str">
        <x:v>equals</x:v>
      </x:c>
      <x:c r="H1602" t="str">
        <x:f>IF(E1602=F1602,"PASS","FAIL")</x:f>
        <x:v>PASS</x:v>
      </x:c>
    </x:row>
    <x:row r="1603">
      <x:c r="B1603" t="str">
        <x:v>A-01571</x:v>
      </x:c>
      <x:c r="C1603" t="str">
        <x:v>GATE</x:v>
      </x:c>
      <x:c r="D1603" t="str">
        <x:v>release state mirrors governing ledger</x:v>
      </x:c>
      <x:c r="E1603" t="str">
        <x:f>'Release Gates'!I1577</x:f>
        <x:v>OPEN</x:v>
      </x:c>
      <x:c r="F1603" t="str">
        <x:f>IF('Release Gates'!C1577="PLANNING","PASS",IF('Release Gates'!C1577="PHYSICAL","OPEN","BLOCKED"))</x:f>
        <x:v>OPEN</x:v>
      </x:c>
      <x:c r="G1603" t="str">
        <x:v>equals</x:v>
      </x:c>
      <x:c r="H1603" t="str">
        <x:f>IF(E1603=F1603,"PASS","FAIL")</x:f>
        <x:v>PASS</x:v>
      </x:c>
    </x:row>
    <x:row r="1604">
      <x:c r="B1604" t="str">
        <x:v>A-01572</x:v>
      </x:c>
      <x:c r="C1604" t="str">
        <x:v>GATE</x:v>
      </x:c>
      <x:c r="D1604" t="str">
        <x:v>release state mirrors governing ledger</x:v>
      </x:c>
      <x:c r="E1604" t="str">
        <x:f>'Release Gates'!I1578</x:f>
        <x:v>OPEN</x:v>
      </x:c>
      <x:c r="F1604" t="str">
        <x:f>IF('Release Gates'!C1578="PLANNING","PASS",IF('Release Gates'!C1578="PHYSICAL","OPEN","BLOCKED"))</x:f>
        <x:v>OPEN</x:v>
      </x:c>
      <x:c r="G1604" t="str">
        <x:v>equals</x:v>
      </x:c>
      <x:c r="H1604" t="str">
        <x:f>IF(E1604=F1604,"PASS","FAIL")</x:f>
        <x:v>PASS</x:v>
      </x:c>
    </x:row>
    <x:row r="1605">
      <x:c r="B1605" t="str">
        <x:v>A-01573</x:v>
      </x:c>
      <x:c r="C1605" t="str">
        <x:v>GATE</x:v>
      </x:c>
      <x:c r="D1605" t="str">
        <x:v>release state mirrors governing ledger</x:v>
      </x:c>
      <x:c r="E1605" t="str">
        <x:f>'Release Gates'!I1579</x:f>
        <x:v>OPEN</x:v>
      </x:c>
      <x:c r="F1605" t="str">
        <x:f>IF('Release Gates'!C1579="PLANNING","PASS",IF('Release Gates'!C1579="PHYSICAL","OPEN","BLOCKED"))</x:f>
        <x:v>OPEN</x:v>
      </x:c>
      <x:c r="G1605" t="str">
        <x:v>equals</x:v>
      </x:c>
      <x:c r="H1605" t="str">
        <x:f>IF(E1605=F1605,"PASS","FAIL")</x:f>
        <x:v>PASS</x:v>
      </x:c>
    </x:row>
    <x:row r="1606">
      <x:c r="B1606" t="str">
        <x:v>A-01574</x:v>
      </x:c>
      <x:c r="C1606" t="str">
        <x:v>GATE</x:v>
      </x:c>
      <x:c r="D1606" t="str">
        <x:v>release state mirrors governing ledger</x:v>
      </x:c>
      <x:c r="E1606" t="str">
        <x:f>'Release Gates'!I1580</x:f>
        <x:v>OPEN</x:v>
      </x:c>
      <x:c r="F1606" t="str">
        <x:f>IF('Release Gates'!C1580="PLANNING","PASS",IF('Release Gates'!C1580="PHYSICAL","OPEN","BLOCKED"))</x:f>
        <x:v>OPEN</x:v>
      </x:c>
      <x:c r="G1606" t="str">
        <x:v>equals</x:v>
      </x:c>
      <x:c r="H1606" t="str">
        <x:f>IF(E1606=F1606,"PASS","FAIL")</x:f>
        <x:v>PASS</x:v>
      </x:c>
    </x:row>
    <x:row r="1607">
      <x:c r="B1607" t="str">
        <x:v>A-01575</x:v>
      </x:c>
      <x:c r="C1607" t="str">
        <x:v>GATE</x:v>
      </x:c>
      <x:c r="D1607" t="str">
        <x:v>release state mirrors governing ledger</x:v>
      </x:c>
      <x:c r="E1607" t="str">
        <x:f>'Release Gates'!I1581</x:f>
        <x:v>OPEN</x:v>
      </x:c>
      <x:c r="F1607" t="str">
        <x:f>IF('Release Gates'!C1581="PLANNING","PASS",IF('Release Gates'!C1581="PHYSICAL","OPEN","BLOCKED"))</x:f>
        <x:v>OPEN</x:v>
      </x:c>
      <x:c r="G1607" t="str">
        <x:v>equals</x:v>
      </x:c>
      <x:c r="H1607" t="str">
        <x:f>IF(E1607=F1607,"PASS","FAIL")</x:f>
        <x:v>PASS</x:v>
      </x:c>
    </x:row>
    <x:row r="1608">
      <x:c r="B1608" t="str">
        <x:v>A-01576</x:v>
      </x:c>
      <x:c r="C1608" t="str">
        <x:v>GATE</x:v>
      </x:c>
      <x:c r="D1608" t="str">
        <x:v>release state mirrors governing ledger</x:v>
      </x:c>
      <x:c r="E1608" t="str">
        <x:f>'Release Gates'!I1582</x:f>
        <x:v>OPEN</x:v>
      </x:c>
      <x:c r="F1608" t="str">
        <x:f>IF('Release Gates'!C1582="PLANNING","PASS",IF('Release Gates'!C1582="PHYSICAL","OPEN","BLOCKED"))</x:f>
        <x:v>OPEN</x:v>
      </x:c>
      <x:c r="G1608" t="str">
        <x:v>equals</x:v>
      </x:c>
      <x:c r="H1608" t="str">
        <x:f>IF(E1608=F1608,"PASS","FAIL")</x:f>
        <x:v>PASS</x:v>
      </x:c>
    </x:row>
    <x:row r="1609">
      <x:c r="B1609" t="str">
        <x:v>A-01577</x:v>
      </x:c>
      <x:c r="C1609" t="str">
        <x:v>GATE</x:v>
      </x:c>
      <x:c r="D1609" t="str">
        <x:v>release state mirrors governing ledger</x:v>
      </x:c>
      <x:c r="E1609" t="str">
        <x:f>'Release Gates'!I1583</x:f>
        <x:v>OPEN</x:v>
      </x:c>
      <x:c r="F1609" t="str">
        <x:f>IF('Release Gates'!C1583="PLANNING","PASS",IF('Release Gates'!C1583="PHYSICAL","OPEN","BLOCKED"))</x:f>
        <x:v>OPEN</x:v>
      </x:c>
      <x:c r="G1609" t="str">
        <x:v>equals</x:v>
      </x:c>
      <x:c r="H1609" t="str">
        <x:f>IF(E1609=F1609,"PASS","FAIL")</x:f>
        <x:v>PASS</x:v>
      </x:c>
    </x:row>
    <x:row r="1610">
      <x:c r="B1610" t="str">
        <x:v>A-01578</x:v>
      </x:c>
      <x:c r="C1610" t="str">
        <x:v>GATE</x:v>
      </x:c>
      <x:c r="D1610" t="str">
        <x:v>release state mirrors governing ledger</x:v>
      </x:c>
      <x:c r="E1610" t="str">
        <x:f>'Release Gates'!I1584</x:f>
        <x:v>OPEN</x:v>
      </x:c>
      <x:c r="F1610" t="str">
        <x:f>IF('Release Gates'!C1584="PLANNING","PASS",IF('Release Gates'!C1584="PHYSICAL","OPEN","BLOCKED"))</x:f>
        <x:v>OPEN</x:v>
      </x:c>
      <x:c r="G1610" t="str">
        <x:v>equals</x:v>
      </x:c>
      <x:c r="H1610" t="str">
        <x:f>IF(E1610=F1610,"PASS","FAIL")</x:f>
        <x:v>PASS</x:v>
      </x:c>
    </x:row>
    <x:row r="1611">
      <x:c r="B1611" t="str">
        <x:v>A-01579</x:v>
      </x:c>
      <x:c r="C1611" t="str">
        <x:v>GATE</x:v>
      </x:c>
      <x:c r="D1611" t="str">
        <x:v>release state mirrors governing ledger</x:v>
      </x:c>
      <x:c r="E1611" t="str">
        <x:f>'Release Gates'!I1585</x:f>
        <x:v>OPEN</x:v>
      </x:c>
      <x:c r="F1611" t="str">
        <x:f>IF('Release Gates'!C1585="PLANNING","PASS",IF('Release Gates'!C1585="PHYSICAL","OPEN","BLOCKED"))</x:f>
        <x:v>OPEN</x:v>
      </x:c>
      <x:c r="G1611" t="str">
        <x:v>equals</x:v>
      </x:c>
      <x:c r="H1611" t="str">
        <x:f>IF(E1611=F1611,"PASS","FAIL")</x:f>
        <x:v>PASS</x:v>
      </x:c>
    </x:row>
    <x:row r="1612">
      <x:c r="B1612" t="str">
        <x:v>A-01580</x:v>
      </x:c>
      <x:c r="C1612" t="str">
        <x:v>GATE</x:v>
      </x:c>
      <x:c r="D1612" t="str">
        <x:v>release state mirrors governing ledger</x:v>
      </x:c>
      <x:c r="E1612" t="str">
        <x:f>'Release Gates'!I1586</x:f>
        <x:v>OPEN</x:v>
      </x:c>
      <x:c r="F1612" t="str">
        <x:f>IF('Release Gates'!C1586="PLANNING","PASS",IF('Release Gates'!C1586="PHYSICAL","OPEN","BLOCKED"))</x:f>
        <x:v>OPEN</x:v>
      </x:c>
      <x:c r="G1612" t="str">
        <x:v>equals</x:v>
      </x:c>
      <x:c r="H1612" t="str">
        <x:f>IF(E1612=F1612,"PASS","FAIL")</x:f>
        <x:v>PASS</x:v>
      </x:c>
    </x:row>
    <x:row r="1613">
      <x:c r="B1613" t="str">
        <x:v>A-01581</x:v>
      </x:c>
      <x:c r="C1613" t="str">
        <x:v>GATE</x:v>
      </x:c>
      <x:c r="D1613" t="str">
        <x:v>release state mirrors governing ledger</x:v>
      </x:c>
      <x:c r="E1613" t="str">
        <x:f>'Release Gates'!I1587</x:f>
        <x:v>OPEN</x:v>
      </x:c>
      <x:c r="F1613" t="str">
        <x:f>IF('Release Gates'!C1587="PLANNING","PASS",IF('Release Gates'!C1587="PHYSICAL","OPEN","BLOCKED"))</x:f>
        <x:v>OPEN</x:v>
      </x:c>
      <x:c r="G1613" t="str">
        <x:v>equals</x:v>
      </x:c>
      <x:c r="H1613" t="str">
        <x:f>IF(E1613=F1613,"PASS","FAIL")</x:f>
        <x:v>PASS</x:v>
      </x:c>
    </x:row>
    <x:row r="1614">
      <x:c r="B1614" t="str">
        <x:v>A-01582</x:v>
      </x:c>
      <x:c r="C1614" t="str">
        <x:v>GATE</x:v>
      </x:c>
      <x:c r="D1614" t="str">
        <x:v>release state mirrors governing ledger</x:v>
      </x:c>
      <x:c r="E1614" t="str">
        <x:f>'Release Gates'!I1588</x:f>
        <x:v>OPEN</x:v>
      </x:c>
      <x:c r="F1614" t="str">
        <x:f>IF('Release Gates'!C1588="PLANNING","PASS",IF('Release Gates'!C1588="PHYSICAL","OPEN","BLOCKED"))</x:f>
        <x:v>OPEN</x:v>
      </x:c>
      <x:c r="G1614" t="str">
        <x:v>equals</x:v>
      </x:c>
      <x:c r="H1614" t="str">
        <x:f>IF(E1614=F1614,"PASS","FAIL")</x:f>
        <x:v>PASS</x:v>
      </x:c>
    </x:row>
    <x:row r="1615">
      <x:c r="B1615" t="str">
        <x:v>A-01583</x:v>
      </x:c>
      <x:c r="C1615" t="str">
        <x:v>GATE</x:v>
      </x:c>
      <x:c r="D1615" t="str">
        <x:v>release state mirrors governing ledger</x:v>
      </x:c>
      <x:c r="E1615" t="str">
        <x:f>'Release Gates'!I1589</x:f>
        <x:v>OPEN</x:v>
      </x:c>
      <x:c r="F1615" t="str">
        <x:f>IF('Release Gates'!C1589="PLANNING","PASS",IF('Release Gates'!C1589="PHYSICAL","OPEN","BLOCKED"))</x:f>
        <x:v>OPEN</x:v>
      </x:c>
      <x:c r="G1615" t="str">
        <x:v>equals</x:v>
      </x:c>
      <x:c r="H1615" t="str">
        <x:f>IF(E1615=F1615,"PASS","FAIL")</x:f>
        <x:v>PASS</x:v>
      </x:c>
    </x:row>
    <x:row r="1616">
      <x:c r="B1616" t="str">
        <x:v>A-01584</x:v>
      </x:c>
      <x:c r="C1616" t="str">
        <x:v>GATE</x:v>
      </x:c>
      <x:c r="D1616" t="str">
        <x:v>release state mirrors governing ledger</x:v>
      </x:c>
      <x:c r="E1616" t="str">
        <x:f>'Release Gates'!I1590</x:f>
        <x:v>OPEN</x:v>
      </x:c>
      <x:c r="F1616" t="str">
        <x:f>IF('Release Gates'!C1590="PLANNING","PASS",IF('Release Gates'!C1590="PHYSICAL","OPEN","BLOCKED"))</x:f>
        <x:v>OPEN</x:v>
      </x:c>
      <x:c r="G1616" t="str">
        <x:v>equals</x:v>
      </x:c>
      <x:c r="H1616" t="str">
        <x:f>IF(E1616=F1616,"PASS","FAIL")</x:f>
        <x:v>PASS</x:v>
      </x:c>
    </x:row>
    <x:row r="1617">
      <x:c r="B1617" t="str">
        <x:v>A-01585</x:v>
      </x:c>
      <x:c r="C1617" t="str">
        <x:v>GATE</x:v>
      </x:c>
      <x:c r="D1617" t="str">
        <x:v>release state mirrors governing ledger</x:v>
      </x:c>
      <x:c r="E1617" t="str">
        <x:f>'Release Gates'!I1591</x:f>
        <x:v>OPEN</x:v>
      </x:c>
      <x:c r="F1617" t="str">
        <x:f>IF('Release Gates'!C1591="PLANNING","PASS",IF('Release Gates'!C1591="PHYSICAL","OPEN","BLOCKED"))</x:f>
        <x:v>OPEN</x:v>
      </x:c>
      <x:c r="G1617" t="str">
        <x:v>equals</x:v>
      </x:c>
      <x:c r="H1617" t="str">
        <x:f>IF(E1617=F1617,"PASS","FAIL")</x:f>
        <x:v>PASS</x:v>
      </x:c>
    </x:row>
    <x:row r="1618">
      <x:c r="B1618" t="str">
        <x:v>A-01586</x:v>
      </x:c>
      <x:c r="C1618" t="str">
        <x:v>GATE</x:v>
      </x:c>
      <x:c r="D1618" t="str">
        <x:v>release state mirrors governing ledger</x:v>
      </x:c>
      <x:c r="E1618" t="str">
        <x:f>'Release Gates'!I1592</x:f>
        <x:v>OPEN</x:v>
      </x:c>
      <x:c r="F1618" t="str">
        <x:f>IF('Release Gates'!C1592="PLANNING","PASS",IF('Release Gates'!C1592="PHYSICAL","OPEN","BLOCKED"))</x:f>
        <x:v>OPEN</x:v>
      </x:c>
      <x:c r="G1618" t="str">
        <x:v>equals</x:v>
      </x:c>
      <x:c r="H1618" t="str">
        <x:f>IF(E1618=F1618,"PASS","FAIL")</x:f>
        <x:v>PASS</x:v>
      </x:c>
    </x:row>
    <x:row r="1619">
      <x:c r="B1619" t="str">
        <x:v>A-01587</x:v>
      </x:c>
      <x:c r="C1619" t="str">
        <x:v>GATE</x:v>
      </x:c>
      <x:c r="D1619" t="str">
        <x:v>release state mirrors governing ledger</x:v>
      </x:c>
      <x:c r="E1619" t="str">
        <x:f>'Release Gates'!I1593</x:f>
        <x:v>OPEN</x:v>
      </x:c>
      <x:c r="F1619" t="str">
        <x:f>IF('Release Gates'!C1593="PLANNING","PASS",IF('Release Gates'!C1593="PHYSICAL","OPEN","BLOCKED"))</x:f>
        <x:v>OPEN</x:v>
      </x:c>
      <x:c r="G1619" t="str">
        <x:v>equals</x:v>
      </x:c>
      <x:c r="H1619" t="str">
        <x:f>IF(E1619=F1619,"PASS","FAIL")</x:f>
        <x:v>PASS</x:v>
      </x:c>
    </x:row>
    <x:row r="1620">
      <x:c r="B1620" t="str">
        <x:v>A-01588</x:v>
      </x:c>
      <x:c r="C1620" t="str">
        <x:v>GATE</x:v>
      </x:c>
      <x:c r="D1620" t="str">
        <x:v>release state mirrors governing ledger</x:v>
      </x:c>
      <x:c r="E1620" t="str">
        <x:f>'Release Gates'!I1594</x:f>
        <x:v>OPEN</x:v>
      </x:c>
      <x:c r="F1620" t="str">
        <x:f>IF('Release Gates'!C1594="PLANNING","PASS",IF('Release Gates'!C1594="PHYSICAL","OPEN","BLOCKED"))</x:f>
        <x:v>OPEN</x:v>
      </x:c>
      <x:c r="G1620" t="str">
        <x:v>equals</x:v>
      </x:c>
      <x:c r="H1620" t="str">
        <x:f>IF(E1620=F1620,"PASS","FAIL")</x:f>
        <x:v>PASS</x:v>
      </x:c>
    </x:row>
    <x:row r="1621">
      <x:c r="B1621" t="str">
        <x:v>A-01589</x:v>
      </x:c>
      <x:c r="C1621" t="str">
        <x:v>GATE</x:v>
      </x:c>
      <x:c r="D1621" t="str">
        <x:v>release state mirrors governing ledger</x:v>
      </x:c>
      <x:c r="E1621" t="str">
        <x:f>'Release Gates'!I1595</x:f>
        <x:v>OPEN</x:v>
      </x:c>
      <x:c r="F1621" t="str">
        <x:f>IF('Release Gates'!C1595="PLANNING","PASS",IF('Release Gates'!C1595="PHYSICAL","OPEN","BLOCKED"))</x:f>
        <x:v>OPEN</x:v>
      </x:c>
      <x:c r="G1621" t="str">
        <x:v>equals</x:v>
      </x:c>
      <x:c r="H1621" t="str">
        <x:f>IF(E1621=F1621,"PASS","FAIL")</x:f>
        <x:v>PASS</x:v>
      </x:c>
    </x:row>
    <x:row r="1622">
      <x:c r="B1622" t="str">
        <x:v>A-01590</x:v>
      </x:c>
      <x:c r="C1622" t="str">
        <x:v>GATE</x:v>
      </x:c>
      <x:c r="D1622" t="str">
        <x:v>release state mirrors governing ledger</x:v>
      </x:c>
      <x:c r="E1622" t="str">
        <x:f>'Release Gates'!I1596</x:f>
        <x:v>OPEN</x:v>
      </x:c>
      <x:c r="F1622" t="str">
        <x:f>IF('Release Gates'!C1596="PLANNING","PASS",IF('Release Gates'!C1596="PHYSICAL","OPEN","BLOCKED"))</x:f>
        <x:v>OPEN</x:v>
      </x:c>
      <x:c r="G1622" t="str">
        <x:v>equals</x:v>
      </x:c>
      <x:c r="H1622" t="str">
        <x:f>IF(E1622=F1622,"PASS","FAIL")</x:f>
        <x:v>PASS</x:v>
      </x:c>
    </x:row>
    <x:row r="1623">
      <x:c r="B1623" t="str">
        <x:v>A-01591</x:v>
      </x:c>
      <x:c r="C1623" t="str">
        <x:v>GATE</x:v>
      </x:c>
      <x:c r="D1623" t="str">
        <x:v>release state mirrors governing ledger</x:v>
      </x:c>
      <x:c r="E1623" t="str">
        <x:f>'Release Gates'!I1597</x:f>
        <x:v>OPEN</x:v>
      </x:c>
      <x:c r="F1623" t="str">
        <x:f>IF('Release Gates'!C1597="PLANNING","PASS",IF('Release Gates'!C1597="PHYSICAL","OPEN","BLOCKED"))</x:f>
        <x:v>OPEN</x:v>
      </x:c>
      <x:c r="G1623" t="str">
        <x:v>equals</x:v>
      </x:c>
      <x:c r="H1623" t="str">
        <x:f>IF(E1623=F1623,"PASS","FAIL")</x:f>
        <x:v>PASS</x:v>
      </x:c>
    </x:row>
    <x:row r="1624">
      <x:c r="B1624" t="str">
        <x:v>A-01592</x:v>
      </x:c>
      <x:c r="C1624" t="str">
        <x:v>GATE</x:v>
      </x:c>
      <x:c r="D1624" t="str">
        <x:v>release state mirrors governing ledger</x:v>
      </x:c>
      <x:c r="E1624" t="str">
        <x:f>'Release Gates'!I1598</x:f>
        <x:v>OPEN</x:v>
      </x:c>
      <x:c r="F1624" t="str">
        <x:f>IF('Release Gates'!C1598="PLANNING","PASS",IF('Release Gates'!C1598="PHYSICAL","OPEN","BLOCKED"))</x:f>
        <x:v>OPEN</x:v>
      </x:c>
      <x:c r="G1624" t="str">
        <x:v>equals</x:v>
      </x:c>
      <x:c r="H1624" t="str">
        <x:f>IF(E1624=F1624,"PASS","FAIL")</x:f>
        <x:v>PASS</x:v>
      </x:c>
    </x:row>
    <x:row r="1625">
      <x:c r="B1625" t="str">
        <x:v>A-01593</x:v>
      </x:c>
      <x:c r="C1625" t="str">
        <x:v>GATE</x:v>
      </x:c>
      <x:c r="D1625" t="str">
        <x:v>release state mirrors governing ledger</x:v>
      </x:c>
      <x:c r="E1625" t="str">
        <x:f>'Release Gates'!I1599</x:f>
        <x:v>OPEN</x:v>
      </x:c>
      <x:c r="F1625" t="str">
        <x:f>IF('Release Gates'!C1599="PLANNING","PASS",IF('Release Gates'!C1599="PHYSICAL","OPEN","BLOCKED"))</x:f>
        <x:v>OPEN</x:v>
      </x:c>
      <x:c r="G1625" t="str">
        <x:v>equals</x:v>
      </x:c>
      <x:c r="H1625" t="str">
        <x:f>IF(E1625=F1625,"PASS","FAIL")</x:f>
        <x:v>PASS</x:v>
      </x:c>
    </x:row>
    <x:row r="1626">
      <x:c r="B1626" t="str">
        <x:v>A-01594</x:v>
      </x:c>
      <x:c r="C1626" t="str">
        <x:v>GATE</x:v>
      </x:c>
      <x:c r="D1626" t="str">
        <x:v>release state mirrors governing ledger</x:v>
      </x:c>
      <x:c r="E1626" t="str">
        <x:f>'Release Gates'!I1600</x:f>
        <x:v>OPEN</x:v>
      </x:c>
      <x:c r="F1626" t="str">
        <x:f>IF('Release Gates'!C1600="PLANNING","PASS",IF('Release Gates'!C1600="PHYSICAL","OPEN","BLOCKED"))</x:f>
        <x:v>OPEN</x:v>
      </x:c>
      <x:c r="G1626" t="str">
        <x:v>equals</x:v>
      </x:c>
      <x:c r="H1626" t="str">
        <x:f>IF(E1626=F1626,"PASS","FAIL")</x:f>
        <x:v>PASS</x:v>
      </x:c>
    </x:row>
    <x:row r="1627">
      <x:c r="B1627" t="str">
        <x:v>A-01595</x:v>
      </x:c>
      <x:c r="C1627" t="str">
        <x:v>GATE</x:v>
      </x:c>
      <x:c r="D1627" t="str">
        <x:v>release state mirrors governing ledger</x:v>
      </x:c>
      <x:c r="E1627" t="str">
        <x:f>'Release Gates'!I1601</x:f>
        <x:v>OPEN</x:v>
      </x:c>
      <x:c r="F1627" t="str">
        <x:f>IF('Release Gates'!C1601="PLANNING","PASS",IF('Release Gates'!C1601="PHYSICAL","OPEN","BLOCKED"))</x:f>
        <x:v>OPEN</x:v>
      </x:c>
      <x:c r="G1627" t="str">
        <x:v>equals</x:v>
      </x:c>
      <x:c r="H1627" t="str">
        <x:f>IF(E1627=F1627,"PASS","FAIL")</x:f>
        <x:v>PASS</x:v>
      </x:c>
    </x:row>
    <x:row r="1628">
      <x:c r="B1628" t="str">
        <x:v>A-01596</x:v>
      </x:c>
      <x:c r="C1628" t="str">
        <x:v>GATE</x:v>
      </x:c>
      <x:c r="D1628" t="str">
        <x:v>release state mirrors governing ledger</x:v>
      </x:c>
      <x:c r="E1628" t="str">
        <x:f>'Release Gates'!I1602</x:f>
        <x:v>OPEN</x:v>
      </x:c>
      <x:c r="F1628" t="str">
        <x:f>IF('Release Gates'!C1602="PLANNING","PASS",IF('Release Gates'!C1602="PHYSICAL","OPEN","BLOCKED"))</x:f>
        <x:v>OPEN</x:v>
      </x:c>
      <x:c r="G1628" t="str">
        <x:v>equals</x:v>
      </x:c>
      <x:c r="H1628" t="str">
        <x:f>IF(E1628=F1628,"PASS","FAIL")</x:f>
        <x:v>PASS</x:v>
      </x:c>
    </x:row>
    <x:row r="1629">
      <x:c r="B1629" t="str">
        <x:v>A-01597</x:v>
      </x:c>
      <x:c r="C1629" t="str">
        <x:v>GATE</x:v>
      </x:c>
      <x:c r="D1629" t="str">
        <x:v>release state mirrors governing ledger</x:v>
      </x:c>
      <x:c r="E1629" t="str">
        <x:f>'Release Gates'!I1603</x:f>
        <x:v>OPEN</x:v>
      </x:c>
      <x:c r="F1629" t="str">
        <x:f>IF('Release Gates'!C1603="PLANNING","PASS",IF('Release Gates'!C1603="PHYSICAL","OPEN","BLOCKED"))</x:f>
        <x:v>OPEN</x:v>
      </x:c>
      <x:c r="G1629" t="str">
        <x:v>equals</x:v>
      </x:c>
      <x:c r="H1629" t="str">
        <x:f>IF(E1629=F1629,"PASS","FAIL")</x:f>
        <x:v>PASS</x:v>
      </x:c>
    </x:row>
    <x:row r="1630">
      <x:c r="B1630" t="str">
        <x:v>A-01598</x:v>
      </x:c>
      <x:c r="C1630" t="str">
        <x:v>GATE</x:v>
      </x:c>
      <x:c r="D1630" t="str">
        <x:v>release state mirrors governing ledger</x:v>
      </x:c>
      <x:c r="E1630" t="str">
        <x:f>'Release Gates'!I1604</x:f>
        <x:v>OPEN</x:v>
      </x:c>
      <x:c r="F1630" t="str">
        <x:f>IF('Release Gates'!C1604="PLANNING","PASS",IF('Release Gates'!C1604="PHYSICAL","OPEN","BLOCKED"))</x:f>
        <x:v>OPEN</x:v>
      </x:c>
      <x:c r="G1630" t="str">
        <x:v>equals</x:v>
      </x:c>
      <x:c r="H1630" t="str">
        <x:f>IF(E1630=F1630,"PASS","FAIL")</x:f>
        <x:v>PASS</x:v>
      </x:c>
    </x:row>
    <x:row r="1631">
      <x:c r="B1631" t="str">
        <x:v>A-01599</x:v>
      </x:c>
      <x:c r="C1631" t="str">
        <x:v>GATE</x:v>
      </x:c>
      <x:c r="D1631" t="str">
        <x:v>release state mirrors governing ledger</x:v>
      </x:c>
      <x:c r="E1631" t="str">
        <x:f>'Release Gates'!I1605</x:f>
        <x:v>OPEN</x:v>
      </x:c>
      <x:c r="F1631" t="str">
        <x:f>IF('Release Gates'!C1605="PLANNING","PASS",IF('Release Gates'!C1605="PHYSICAL","OPEN","BLOCKED"))</x:f>
        <x:v>OPEN</x:v>
      </x:c>
      <x:c r="G1631" t="str">
        <x:v>equals</x:v>
      </x:c>
      <x:c r="H1631" t="str">
        <x:f>IF(E1631=F1631,"PASS","FAIL")</x:f>
        <x:v>PASS</x:v>
      </x:c>
    </x:row>
    <x:row r="1632">
      <x:c r="B1632" t="str">
        <x:v>A-01600</x:v>
      </x:c>
      <x:c r="C1632" t="str">
        <x:v>GATE</x:v>
      </x:c>
      <x:c r="D1632" t="str">
        <x:v>release state mirrors governing ledger</x:v>
      </x:c>
      <x:c r="E1632" t="str">
        <x:f>'Release Gates'!I1606</x:f>
        <x:v>OPEN</x:v>
      </x:c>
      <x:c r="F1632" t="str">
        <x:f>IF('Release Gates'!C1606="PLANNING","PASS",IF('Release Gates'!C1606="PHYSICAL","OPEN","BLOCKED"))</x:f>
        <x:v>OPEN</x:v>
      </x:c>
      <x:c r="G1632" t="str">
        <x:v>equals</x:v>
      </x:c>
      <x:c r="H1632" t="str">
        <x:f>IF(E1632=F1632,"PASS","FAIL")</x:f>
        <x:v>PASS</x:v>
      </x:c>
    </x:row>
    <x:row r="1633">
      <x:c r="B1633" t="str">
        <x:v>A-01601</x:v>
      </x:c>
      <x:c r="C1633" t="str">
        <x:v>GATE</x:v>
      </x:c>
      <x:c r="D1633" t="str">
        <x:v>release state mirrors governing ledger</x:v>
      </x:c>
      <x:c r="E1633" t="str">
        <x:f>'Release Gates'!I1607</x:f>
        <x:v>OPEN</x:v>
      </x:c>
      <x:c r="F1633" t="str">
        <x:f>IF('Release Gates'!C1607="PLANNING","PASS",IF('Release Gates'!C1607="PHYSICAL","OPEN","BLOCKED"))</x:f>
        <x:v>OPEN</x:v>
      </x:c>
      <x:c r="G1633" t="str">
        <x:v>equals</x:v>
      </x:c>
      <x:c r="H1633" t="str">
        <x:f>IF(E1633=F1633,"PASS","FAIL")</x:f>
        <x:v>PASS</x:v>
      </x:c>
    </x:row>
    <x:row r="1634">
      <x:c r="B1634" t="str">
        <x:v>A-01602</x:v>
      </x:c>
      <x:c r="C1634" t="str">
        <x:v>GATE</x:v>
      </x:c>
      <x:c r="D1634" t="str">
        <x:v>release state mirrors governing ledger</x:v>
      </x:c>
      <x:c r="E1634" t="str">
        <x:f>'Release Gates'!I1608</x:f>
        <x:v>OPEN</x:v>
      </x:c>
      <x:c r="F1634" t="str">
        <x:f>IF('Release Gates'!C1608="PLANNING","PASS",IF('Release Gates'!C1608="PHYSICAL","OPEN","BLOCKED"))</x:f>
        <x:v>OPEN</x:v>
      </x:c>
      <x:c r="G1634" t="str">
        <x:v>equals</x:v>
      </x:c>
      <x:c r="H1634" t="str">
        <x:f>IF(E1634=F1634,"PASS","FAIL")</x:f>
        <x:v>PASS</x:v>
      </x:c>
    </x:row>
    <x:row r="1635">
      <x:c r="B1635" t="str">
        <x:v>A-01603</x:v>
      </x:c>
      <x:c r="C1635" t="str">
        <x:v>GATE</x:v>
      </x:c>
      <x:c r="D1635" t="str">
        <x:v>release state mirrors governing ledger</x:v>
      </x:c>
      <x:c r="E1635" t="str">
        <x:f>'Release Gates'!I1609</x:f>
        <x:v>OPEN</x:v>
      </x:c>
      <x:c r="F1635" t="str">
        <x:f>IF('Release Gates'!C1609="PLANNING","PASS",IF('Release Gates'!C1609="PHYSICAL","OPEN","BLOCKED"))</x:f>
        <x:v>OPEN</x:v>
      </x:c>
      <x:c r="G1635" t="str">
        <x:v>equals</x:v>
      </x:c>
      <x:c r="H1635" t="str">
        <x:f>IF(E1635=F1635,"PASS","FAIL")</x:f>
        <x:v>PASS</x:v>
      </x:c>
    </x:row>
    <x:row r="1636">
      <x:c r="B1636" t="str">
        <x:v>A-01604</x:v>
      </x:c>
      <x:c r="C1636" t="str">
        <x:v>GATE</x:v>
      </x:c>
      <x:c r="D1636" t="str">
        <x:v>release state mirrors governing ledger</x:v>
      </x:c>
      <x:c r="E1636" t="str">
        <x:f>'Release Gates'!I1610</x:f>
        <x:v>OPEN</x:v>
      </x:c>
      <x:c r="F1636" t="str">
        <x:f>IF('Release Gates'!C1610="PLANNING","PASS",IF('Release Gates'!C1610="PHYSICAL","OPEN","BLOCKED"))</x:f>
        <x:v>OPEN</x:v>
      </x:c>
      <x:c r="G1636" t="str">
        <x:v>equals</x:v>
      </x:c>
      <x:c r="H1636" t="str">
        <x:f>IF(E1636=F1636,"PASS","FAIL")</x:f>
        <x:v>PASS</x:v>
      </x:c>
    </x:row>
    <x:row r="1637">
      <x:c r="B1637" t="str">
        <x:v>A-01605</x:v>
      </x:c>
      <x:c r="C1637" t="str">
        <x:v>GATE</x:v>
      </x:c>
      <x:c r="D1637" t="str">
        <x:v>release state mirrors governing ledger</x:v>
      </x:c>
      <x:c r="E1637" t="str">
        <x:f>'Release Gates'!I1611</x:f>
        <x:v>OPEN</x:v>
      </x:c>
      <x:c r="F1637" t="str">
        <x:f>IF('Release Gates'!C1611="PLANNING","PASS",IF('Release Gates'!C1611="PHYSICAL","OPEN","BLOCKED"))</x:f>
        <x:v>OPEN</x:v>
      </x:c>
      <x:c r="G1637" t="str">
        <x:v>equals</x:v>
      </x:c>
      <x:c r="H1637" t="str">
        <x:f>IF(E1637=F1637,"PASS","FAIL")</x:f>
        <x:v>PASS</x:v>
      </x:c>
    </x:row>
    <x:row r="1638">
      <x:c r="B1638" t="str">
        <x:v>A-01606</x:v>
      </x:c>
      <x:c r="C1638" t="str">
        <x:v>GATE</x:v>
      </x:c>
      <x:c r="D1638" t="str">
        <x:v>release state mirrors governing ledger</x:v>
      </x:c>
      <x:c r="E1638" t="str">
        <x:f>'Release Gates'!I1612</x:f>
        <x:v>OPEN</x:v>
      </x:c>
      <x:c r="F1638" t="str">
        <x:f>IF('Release Gates'!C1612="PLANNING","PASS",IF('Release Gates'!C1612="PHYSICAL","OPEN","BLOCKED"))</x:f>
        <x:v>OPEN</x:v>
      </x:c>
      <x:c r="G1638" t="str">
        <x:v>equals</x:v>
      </x:c>
      <x:c r="H1638" t="str">
        <x:f>IF(E1638=F1638,"PASS","FAIL")</x:f>
        <x:v>PASS</x:v>
      </x:c>
    </x:row>
    <x:row r="1639">
      <x:c r="B1639" t="str">
        <x:v>A-01607</x:v>
      </x:c>
      <x:c r="C1639" t="str">
        <x:v>GATE</x:v>
      </x:c>
      <x:c r="D1639" t="str">
        <x:v>release state mirrors governing ledger</x:v>
      </x:c>
      <x:c r="E1639" t="str">
        <x:f>'Release Gates'!I1613</x:f>
        <x:v>OPEN</x:v>
      </x:c>
      <x:c r="F1639" t="str">
        <x:f>IF('Release Gates'!C1613="PLANNING","PASS",IF('Release Gates'!C1613="PHYSICAL","OPEN","BLOCKED"))</x:f>
        <x:v>OPEN</x:v>
      </x:c>
      <x:c r="G1639" t="str">
        <x:v>equals</x:v>
      </x:c>
      <x:c r="H1639" t="str">
        <x:f>IF(E1639=F1639,"PASS","FAIL")</x:f>
        <x:v>PASS</x:v>
      </x:c>
    </x:row>
    <x:row r="1640">
      <x:c r="B1640" t="str">
        <x:v>A-01608</x:v>
      </x:c>
      <x:c r="C1640" t="str">
        <x:v>GATE</x:v>
      </x:c>
      <x:c r="D1640" t="str">
        <x:v>release state mirrors governing ledger</x:v>
      </x:c>
      <x:c r="E1640" t="str">
        <x:f>'Release Gates'!I1614</x:f>
        <x:v>OPEN</x:v>
      </x:c>
      <x:c r="F1640" t="str">
        <x:f>IF('Release Gates'!C1614="PLANNING","PASS",IF('Release Gates'!C1614="PHYSICAL","OPEN","BLOCKED"))</x:f>
        <x:v>OPEN</x:v>
      </x:c>
      <x:c r="G1640" t="str">
        <x:v>equals</x:v>
      </x:c>
      <x:c r="H1640" t="str">
        <x:f>IF(E1640=F1640,"PASS","FAIL")</x:f>
        <x:v>PASS</x:v>
      </x:c>
    </x:row>
    <x:row r="1641">
      <x:c r="B1641" t="str">
        <x:v>A-01609</x:v>
      </x:c>
      <x:c r="C1641" t="str">
        <x:v>GATE</x:v>
      </x:c>
      <x:c r="D1641" t="str">
        <x:v>release state mirrors governing ledger</x:v>
      </x:c>
      <x:c r="E1641" t="str">
        <x:f>'Release Gates'!I1615</x:f>
        <x:v>OPEN</x:v>
      </x:c>
      <x:c r="F1641" t="str">
        <x:f>IF('Release Gates'!C1615="PLANNING","PASS",IF('Release Gates'!C1615="PHYSICAL","OPEN","BLOCKED"))</x:f>
        <x:v>OPEN</x:v>
      </x:c>
      <x:c r="G1641" t="str">
        <x:v>equals</x:v>
      </x:c>
      <x:c r="H1641" t="str">
        <x:f>IF(E1641=F1641,"PASS","FAIL")</x:f>
        <x:v>PASS</x:v>
      </x:c>
    </x:row>
    <x:row r="1642">
      <x:c r="B1642" t="str">
        <x:v>A-01610</x:v>
      </x:c>
      <x:c r="C1642" t="str">
        <x:v>GATE</x:v>
      </x:c>
      <x:c r="D1642" t="str">
        <x:v>release state mirrors governing ledger</x:v>
      </x:c>
      <x:c r="E1642" t="str">
        <x:f>'Release Gates'!I1616</x:f>
        <x:v>OPEN</x:v>
      </x:c>
      <x:c r="F1642" t="str">
        <x:f>IF('Release Gates'!C1616="PLANNING","PASS",IF('Release Gates'!C1616="PHYSICAL","OPEN","BLOCKED"))</x:f>
        <x:v>OPEN</x:v>
      </x:c>
      <x:c r="G1642" t="str">
        <x:v>equals</x:v>
      </x:c>
      <x:c r="H1642" t="str">
        <x:f>IF(E1642=F1642,"PASS","FAIL")</x:f>
        <x:v>PASS</x:v>
      </x:c>
    </x:row>
    <x:row r="1643">
      <x:c r="B1643" t="str">
        <x:v>A-01611</x:v>
      </x:c>
      <x:c r="C1643" t="str">
        <x:v>GATE</x:v>
      </x:c>
      <x:c r="D1643" t="str">
        <x:v>release state mirrors governing ledger</x:v>
      </x:c>
      <x:c r="E1643" t="str">
        <x:f>'Release Gates'!I1617</x:f>
        <x:v>OPEN</x:v>
      </x:c>
      <x:c r="F1643" t="str">
        <x:f>IF('Release Gates'!C1617="PLANNING","PASS",IF('Release Gates'!C1617="PHYSICAL","OPEN","BLOCKED"))</x:f>
        <x:v>OPEN</x:v>
      </x:c>
      <x:c r="G1643" t="str">
        <x:v>equals</x:v>
      </x:c>
      <x:c r="H1643" t="str">
        <x:f>IF(E1643=F1643,"PASS","FAIL")</x:f>
        <x:v>PASS</x:v>
      </x:c>
    </x:row>
    <x:row r="1644">
      <x:c r="B1644" t="str">
        <x:v>A-01612</x:v>
      </x:c>
      <x:c r="C1644" t="str">
        <x:v>GATE</x:v>
      </x:c>
      <x:c r="D1644" t="str">
        <x:v>release state mirrors governing ledger</x:v>
      </x:c>
      <x:c r="E1644" t="str">
        <x:f>'Release Gates'!I1618</x:f>
        <x:v>OPEN</x:v>
      </x:c>
      <x:c r="F1644" t="str">
        <x:f>IF('Release Gates'!C1618="PLANNING","PASS",IF('Release Gates'!C1618="PHYSICAL","OPEN","BLOCKED"))</x:f>
        <x:v>OPEN</x:v>
      </x:c>
      <x:c r="G1644" t="str">
        <x:v>equals</x:v>
      </x:c>
      <x:c r="H1644" t="str">
        <x:f>IF(E1644=F1644,"PASS","FAIL")</x:f>
        <x:v>PASS</x:v>
      </x:c>
    </x:row>
    <x:row r="1645">
      <x:c r="B1645" t="str">
        <x:v>A-01613</x:v>
      </x:c>
      <x:c r="C1645" t="str">
        <x:v>GATE</x:v>
      </x:c>
      <x:c r="D1645" t="str">
        <x:v>release state mirrors governing ledger</x:v>
      </x:c>
      <x:c r="E1645" t="str">
        <x:f>'Release Gates'!I1619</x:f>
        <x:v>OPEN</x:v>
      </x:c>
      <x:c r="F1645" t="str">
        <x:f>IF('Release Gates'!C1619="PLANNING","PASS",IF('Release Gates'!C1619="PHYSICAL","OPEN","BLOCKED"))</x:f>
        <x:v>OPEN</x:v>
      </x:c>
      <x:c r="G1645" t="str">
        <x:v>equals</x:v>
      </x:c>
      <x:c r="H1645" t="str">
        <x:f>IF(E1645=F1645,"PASS","FAIL")</x:f>
        <x:v>PASS</x:v>
      </x:c>
    </x:row>
    <x:row r="1646">
      <x:c r="B1646" t="str">
        <x:v>A-01614</x:v>
      </x:c>
      <x:c r="C1646" t="str">
        <x:v>GATE</x:v>
      </x:c>
      <x:c r="D1646" t="str">
        <x:v>release state mirrors governing ledger</x:v>
      </x:c>
      <x:c r="E1646" t="str">
        <x:f>'Release Gates'!I1620</x:f>
        <x:v>OPEN</x:v>
      </x:c>
      <x:c r="F1646" t="str">
        <x:f>IF('Release Gates'!C1620="PLANNING","PASS",IF('Release Gates'!C1620="PHYSICAL","OPEN","BLOCKED"))</x:f>
        <x:v>OPEN</x:v>
      </x:c>
      <x:c r="G1646" t="str">
        <x:v>equals</x:v>
      </x:c>
      <x:c r="H1646" t="str">
        <x:f>IF(E1646=F1646,"PASS","FAIL")</x:f>
        <x:v>PASS</x:v>
      </x:c>
    </x:row>
    <x:row r="1647">
      <x:c r="B1647" t="str">
        <x:v>A-01615</x:v>
      </x:c>
      <x:c r="C1647" t="str">
        <x:v>GATE</x:v>
      </x:c>
      <x:c r="D1647" t="str">
        <x:v>release state mirrors governing ledger</x:v>
      </x:c>
      <x:c r="E1647" t="str">
        <x:f>'Release Gates'!I1621</x:f>
        <x:v>OPEN</x:v>
      </x:c>
      <x:c r="F1647" t="str">
        <x:f>IF('Release Gates'!C1621="PLANNING","PASS",IF('Release Gates'!C1621="PHYSICAL","OPEN","BLOCKED"))</x:f>
        <x:v>OPEN</x:v>
      </x:c>
      <x:c r="G1647" t="str">
        <x:v>equals</x:v>
      </x:c>
      <x:c r="H1647" t="str">
        <x:f>IF(E1647=F1647,"PASS","FAIL")</x:f>
        <x:v>PASS</x:v>
      </x:c>
    </x:row>
    <x:row r="1648">
      <x:c r="B1648" t="str">
        <x:v>A-01616</x:v>
      </x:c>
      <x:c r="C1648" t="str">
        <x:v>GATE</x:v>
      </x:c>
      <x:c r="D1648" t="str">
        <x:v>release state mirrors governing ledger</x:v>
      </x:c>
      <x:c r="E1648" t="str">
        <x:f>'Release Gates'!I1622</x:f>
        <x:v>OPEN</x:v>
      </x:c>
      <x:c r="F1648" t="str">
        <x:f>IF('Release Gates'!C1622="PLANNING","PASS",IF('Release Gates'!C1622="PHYSICAL","OPEN","BLOCKED"))</x:f>
        <x:v>OPEN</x:v>
      </x:c>
      <x:c r="G1648" t="str">
        <x:v>equals</x:v>
      </x:c>
      <x:c r="H1648" t="str">
        <x:f>IF(E1648=F1648,"PASS","FAIL")</x:f>
        <x:v>PASS</x:v>
      </x:c>
    </x:row>
    <x:row r="1649">
      <x:c r="B1649" t="str">
        <x:v>A-01617</x:v>
      </x:c>
      <x:c r="C1649" t="str">
        <x:v>GATE</x:v>
      </x:c>
      <x:c r="D1649" t="str">
        <x:v>release state mirrors governing ledger</x:v>
      </x:c>
      <x:c r="E1649" t="str">
        <x:f>'Release Gates'!I1623</x:f>
        <x:v>OPEN</x:v>
      </x:c>
      <x:c r="F1649" t="str">
        <x:f>IF('Release Gates'!C1623="PLANNING","PASS",IF('Release Gates'!C1623="PHYSICAL","OPEN","BLOCKED"))</x:f>
        <x:v>OPEN</x:v>
      </x:c>
      <x:c r="G1649" t="str">
        <x:v>equals</x:v>
      </x:c>
      <x:c r="H1649" t="str">
        <x:f>IF(E1649=F1649,"PASS","FAIL")</x:f>
        <x:v>PASS</x:v>
      </x:c>
    </x:row>
    <x:row r="1650">
      <x:c r="B1650" t="str">
        <x:v>A-01618</x:v>
      </x:c>
      <x:c r="C1650" t="str">
        <x:v>GATE</x:v>
      </x:c>
      <x:c r="D1650" t="str">
        <x:v>release state mirrors governing ledger</x:v>
      </x:c>
      <x:c r="E1650" t="str">
        <x:f>'Release Gates'!I1624</x:f>
        <x:v>OPEN</x:v>
      </x:c>
      <x:c r="F1650" t="str">
        <x:f>IF('Release Gates'!C1624="PLANNING","PASS",IF('Release Gates'!C1624="PHYSICAL","OPEN","BLOCKED"))</x:f>
        <x:v>OPEN</x:v>
      </x:c>
      <x:c r="G1650" t="str">
        <x:v>equals</x:v>
      </x:c>
      <x:c r="H1650" t="str">
        <x:f>IF(E1650=F1650,"PASS","FAIL")</x:f>
        <x:v>PASS</x:v>
      </x:c>
    </x:row>
    <x:row r="1651">
      <x:c r="B1651" t="str">
        <x:v>A-01619</x:v>
      </x:c>
      <x:c r="C1651" t="str">
        <x:v>GATE</x:v>
      </x:c>
      <x:c r="D1651" t="str">
        <x:v>release state mirrors governing ledger</x:v>
      </x:c>
      <x:c r="E1651" t="str">
        <x:f>'Release Gates'!I1625</x:f>
        <x:v>OPEN</x:v>
      </x:c>
      <x:c r="F1651" t="str">
        <x:f>IF('Release Gates'!C1625="PLANNING","PASS",IF('Release Gates'!C1625="PHYSICAL","OPEN","BLOCKED"))</x:f>
        <x:v>OPEN</x:v>
      </x:c>
      <x:c r="G1651" t="str">
        <x:v>equals</x:v>
      </x:c>
      <x:c r="H1651" t="str">
        <x:f>IF(E1651=F1651,"PASS","FAIL")</x:f>
        <x:v>PASS</x:v>
      </x:c>
    </x:row>
    <x:row r="1652">
      <x:c r="B1652" t="str">
        <x:v>A-01620</x:v>
      </x:c>
      <x:c r="C1652" t="str">
        <x:v>GATE</x:v>
      </x:c>
      <x:c r="D1652" t="str">
        <x:v>release state mirrors governing ledger</x:v>
      </x:c>
      <x:c r="E1652" t="str">
        <x:f>'Release Gates'!I1626</x:f>
        <x:v>OPEN</x:v>
      </x:c>
      <x:c r="F1652" t="str">
        <x:f>IF('Release Gates'!C1626="PLANNING","PASS",IF('Release Gates'!C1626="PHYSICAL","OPEN","BLOCKED"))</x:f>
        <x:v>OPEN</x:v>
      </x:c>
      <x:c r="G1652" t="str">
        <x:v>equals</x:v>
      </x:c>
      <x:c r="H1652" t="str">
        <x:f>IF(E1652=F1652,"PASS","FAIL")</x:f>
        <x:v>PASS</x:v>
      </x:c>
    </x:row>
    <x:row r="1653">
      <x:c r="B1653" t="str">
        <x:v>A-01621</x:v>
      </x:c>
      <x:c r="C1653" t="str">
        <x:v>GATE</x:v>
      </x:c>
      <x:c r="D1653" t="str">
        <x:v>release state mirrors governing ledger</x:v>
      </x:c>
      <x:c r="E1653" t="str">
        <x:f>'Release Gates'!I1627</x:f>
        <x:v>OPEN</x:v>
      </x:c>
      <x:c r="F1653" t="str">
        <x:f>IF('Release Gates'!C1627="PLANNING","PASS",IF('Release Gates'!C1627="PHYSICAL","OPEN","BLOCKED"))</x:f>
        <x:v>OPEN</x:v>
      </x:c>
      <x:c r="G1653" t="str">
        <x:v>equals</x:v>
      </x:c>
      <x:c r="H1653" t="str">
        <x:f>IF(E1653=F1653,"PASS","FAIL")</x:f>
        <x:v>PASS</x:v>
      </x:c>
    </x:row>
    <x:row r="1654">
      <x:c r="B1654" t="str">
        <x:v>A-01622</x:v>
      </x:c>
      <x:c r="C1654" t="str">
        <x:v>GATE</x:v>
      </x:c>
      <x:c r="D1654" t="str">
        <x:v>release state mirrors governing ledger</x:v>
      </x:c>
      <x:c r="E1654" t="str">
        <x:f>'Release Gates'!I1628</x:f>
        <x:v>OPEN</x:v>
      </x:c>
      <x:c r="F1654" t="str">
        <x:f>IF('Release Gates'!C1628="PLANNING","PASS",IF('Release Gates'!C1628="PHYSICAL","OPEN","BLOCKED"))</x:f>
        <x:v>OPEN</x:v>
      </x:c>
      <x:c r="G1654" t="str">
        <x:v>equals</x:v>
      </x:c>
      <x:c r="H1654" t="str">
        <x:f>IF(E1654=F1654,"PASS","FAIL")</x:f>
        <x:v>PASS</x:v>
      </x:c>
    </x:row>
    <x:row r="1655">
      <x:c r="B1655" t="str">
        <x:v>A-01623</x:v>
      </x:c>
      <x:c r="C1655" t="str">
        <x:v>GATE</x:v>
      </x:c>
      <x:c r="D1655" t="str">
        <x:v>release state mirrors governing ledger</x:v>
      </x:c>
      <x:c r="E1655" t="str">
        <x:f>'Release Gates'!I1629</x:f>
        <x:v>OPEN</x:v>
      </x:c>
      <x:c r="F1655" t="str">
        <x:f>IF('Release Gates'!C1629="PLANNING","PASS",IF('Release Gates'!C1629="PHYSICAL","OPEN","BLOCKED"))</x:f>
        <x:v>OPEN</x:v>
      </x:c>
      <x:c r="G1655" t="str">
        <x:v>equals</x:v>
      </x:c>
      <x:c r="H1655" t="str">
        <x:f>IF(E1655=F1655,"PASS","FAIL")</x:f>
        <x:v>PASS</x:v>
      </x:c>
    </x:row>
    <x:row r="1656">
      <x:c r="B1656" t="str">
        <x:v>A-01624</x:v>
      </x:c>
      <x:c r="C1656" t="str">
        <x:v>GATE</x:v>
      </x:c>
      <x:c r="D1656" t="str">
        <x:v>release state mirrors governing ledger</x:v>
      </x:c>
      <x:c r="E1656" t="str">
        <x:f>'Release Gates'!I1630</x:f>
        <x:v>OPEN</x:v>
      </x:c>
      <x:c r="F1656" t="str">
        <x:f>IF('Release Gates'!C1630="PLANNING","PASS",IF('Release Gates'!C1630="PHYSICAL","OPEN","BLOCKED"))</x:f>
        <x:v>OPEN</x:v>
      </x:c>
      <x:c r="G1656" t="str">
        <x:v>equals</x:v>
      </x:c>
      <x:c r="H1656" t="str">
        <x:f>IF(E1656=F1656,"PASS","FAIL")</x:f>
        <x:v>PASS</x:v>
      </x:c>
    </x:row>
    <x:row r="1657">
      <x:c r="B1657" t="str">
        <x:v>A-01625</x:v>
      </x:c>
      <x:c r="C1657" t="str">
        <x:v>GATE</x:v>
      </x:c>
      <x:c r="D1657" t="str">
        <x:v>release state mirrors governing ledger</x:v>
      </x:c>
      <x:c r="E1657" t="str">
        <x:f>'Release Gates'!I1631</x:f>
        <x:v>OPEN</x:v>
      </x:c>
      <x:c r="F1657" t="str">
        <x:f>IF('Release Gates'!C1631="PLANNING","PASS",IF('Release Gates'!C1631="PHYSICAL","OPEN","BLOCKED"))</x:f>
        <x:v>OPEN</x:v>
      </x:c>
      <x:c r="G1657" t="str">
        <x:v>equals</x:v>
      </x:c>
      <x:c r="H1657" t="str">
        <x:f>IF(E1657=F1657,"PASS","FAIL")</x:f>
        <x:v>PASS</x:v>
      </x:c>
    </x:row>
    <x:row r="1658">
      <x:c r="B1658" t="str">
        <x:v>A-01626</x:v>
      </x:c>
      <x:c r="C1658" t="str">
        <x:v>GATE</x:v>
      </x:c>
      <x:c r="D1658" t="str">
        <x:v>release state mirrors governing ledger</x:v>
      </x:c>
      <x:c r="E1658" t="str">
        <x:f>'Release Gates'!I1632</x:f>
        <x:v>OPEN</x:v>
      </x:c>
      <x:c r="F1658" t="str">
        <x:f>IF('Release Gates'!C1632="PLANNING","PASS",IF('Release Gates'!C1632="PHYSICAL","OPEN","BLOCKED"))</x:f>
        <x:v>OPEN</x:v>
      </x:c>
      <x:c r="G1658" t="str">
        <x:v>equals</x:v>
      </x:c>
      <x:c r="H1658" t="str">
        <x:f>IF(E1658=F1658,"PASS","FAIL")</x:f>
        <x:v>PASS</x:v>
      </x:c>
    </x:row>
    <x:row r="1659">
      <x:c r="B1659" t="str">
        <x:v>A-01627</x:v>
      </x:c>
      <x:c r="C1659" t="str">
        <x:v>GATE</x:v>
      </x:c>
      <x:c r="D1659" t="str">
        <x:v>release state mirrors governing ledger</x:v>
      </x:c>
      <x:c r="E1659" t="str">
        <x:f>'Release Gates'!I1633</x:f>
        <x:v>OPEN</x:v>
      </x:c>
      <x:c r="F1659" t="str">
        <x:f>IF('Release Gates'!C1633="PLANNING","PASS",IF('Release Gates'!C1633="PHYSICAL","OPEN","BLOCKED"))</x:f>
        <x:v>OPEN</x:v>
      </x:c>
      <x:c r="G1659" t="str">
        <x:v>equals</x:v>
      </x:c>
      <x:c r="H1659" t="str">
        <x:f>IF(E1659=F1659,"PASS","FAIL")</x:f>
        <x:v>PASS</x:v>
      </x:c>
    </x:row>
    <x:row r="1660">
      <x:c r="B1660" t="str">
        <x:v>A-01628</x:v>
      </x:c>
      <x:c r="C1660" t="str">
        <x:v>GATE</x:v>
      </x:c>
      <x:c r="D1660" t="str">
        <x:v>release state mirrors governing ledger</x:v>
      </x:c>
      <x:c r="E1660" t="str">
        <x:f>'Release Gates'!I1634</x:f>
        <x:v>OPEN</x:v>
      </x:c>
      <x:c r="F1660" t="str">
        <x:f>IF('Release Gates'!C1634="PLANNING","PASS",IF('Release Gates'!C1634="PHYSICAL","OPEN","BLOCKED"))</x:f>
        <x:v>OPEN</x:v>
      </x:c>
      <x:c r="G1660" t="str">
        <x:v>equals</x:v>
      </x:c>
      <x:c r="H1660" t="str">
        <x:f>IF(E1660=F1660,"PASS","FAIL")</x:f>
        <x:v>PASS</x:v>
      </x:c>
    </x:row>
    <x:row r="1661">
      <x:c r="B1661" t="str">
        <x:v>A-01629</x:v>
      </x:c>
      <x:c r="C1661" t="str">
        <x:v>GATE</x:v>
      </x:c>
      <x:c r="D1661" t="str">
        <x:v>release state mirrors governing ledger</x:v>
      </x:c>
      <x:c r="E1661" t="str">
        <x:f>'Release Gates'!I1635</x:f>
        <x:v>OPEN</x:v>
      </x:c>
      <x:c r="F1661" t="str">
        <x:f>IF('Release Gates'!C1635="PLANNING","PASS",IF('Release Gates'!C1635="PHYSICAL","OPEN","BLOCKED"))</x:f>
        <x:v>OPEN</x:v>
      </x:c>
      <x:c r="G1661" t="str">
        <x:v>equals</x:v>
      </x:c>
      <x:c r="H1661" t="str">
        <x:f>IF(E1661=F1661,"PASS","FAIL")</x:f>
        <x:v>PASS</x:v>
      </x:c>
    </x:row>
    <x:row r="1662">
      <x:c r="B1662" t="str">
        <x:v>A-01630</x:v>
      </x:c>
      <x:c r="C1662" t="str">
        <x:v>GATE</x:v>
      </x:c>
      <x:c r="D1662" t="str">
        <x:v>release state mirrors governing ledger</x:v>
      </x:c>
      <x:c r="E1662" t="str">
        <x:f>'Release Gates'!I1636</x:f>
        <x:v>OPEN</x:v>
      </x:c>
      <x:c r="F1662" t="str">
        <x:f>IF('Release Gates'!C1636="PLANNING","PASS",IF('Release Gates'!C1636="PHYSICAL","OPEN","BLOCKED"))</x:f>
        <x:v>OPEN</x:v>
      </x:c>
      <x:c r="G1662" t="str">
        <x:v>equals</x:v>
      </x:c>
      <x:c r="H1662" t="str">
        <x:f>IF(E1662=F1662,"PASS","FAIL")</x:f>
        <x:v>PASS</x:v>
      </x:c>
    </x:row>
    <x:row r="1663">
      <x:c r="B1663" t="str">
        <x:v>A-01631</x:v>
      </x:c>
      <x:c r="C1663" t="str">
        <x:v>GATE</x:v>
      </x:c>
      <x:c r="D1663" t="str">
        <x:v>release state mirrors governing ledger</x:v>
      </x:c>
      <x:c r="E1663" t="str">
        <x:f>'Release Gates'!I1637</x:f>
        <x:v>OPEN</x:v>
      </x:c>
      <x:c r="F1663" t="str">
        <x:f>IF('Release Gates'!C1637="PLANNING","PASS",IF('Release Gates'!C1637="PHYSICAL","OPEN","BLOCKED"))</x:f>
        <x:v>OPEN</x:v>
      </x:c>
      <x:c r="G1663" t="str">
        <x:v>equals</x:v>
      </x:c>
      <x:c r="H1663" t="str">
        <x:f>IF(E1663=F1663,"PASS","FAIL")</x:f>
        <x:v>PASS</x:v>
      </x:c>
    </x:row>
    <x:row r="1664">
      <x:c r="B1664" t="str">
        <x:v>A-01632</x:v>
      </x:c>
      <x:c r="C1664" t="str">
        <x:v>GATE</x:v>
      </x:c>
      <x:c r="D1664" t="str">
        <x:v>release state mirrors governing ledger</x:v>
      </x:c>
      <x:c r="E1664" t="str">
        <x:f>'Release Gates'!I1638</x:f>
        <x:v>OPEN</x:v>
      </x:c>
      <x:c r="F1664" t="str">
        <x:f>IF('Release Gates'!C1638="PLANNING","PASS",IF('Release Gates'!C1638="PHYSICAL","OPEN","BLOCKED"))</x:f>
        <x:v>OPEN</x:v>
      </x:c>
      <x:c r="G1664" t="str">
        <x:v>equals</x:v>
      </x:c>
      <x:c r="H1664" t="str">
        <x:f>IF(E1664=F1664,"PASS","FAIL")</x:f>
        <x:v>PASS</x:v>
      </x:c>
    </x:row>
    <x:row r="1665">
      <x:c r="B1665" t="str">
        <x:v>A-01633</x:v>
      </x:c>
      <x:c r="C1665" t="str">
        <x:v>GATE</x:v>
      </x:c>
      <x:c r="D1665" t="str">
        <x:v>release state mirrors governing ledger</x:v>
      </x:c>
      <x:c r="E1665" t="str">
        <x:f>'Release Gates'!I1639</x:f>
        <x:v>OPEN</x:v>
      </x:c>
      <x:c r="F1665" t="str">
        <x:f>IF('Release Gates'!C1639="PLANNING","PASS",IF('Release Gates'!C1639="PHYSICAL","OPEN","BLOCKED"))</x:f>
        <x:v>OPEN</x:v>
      </x:c>
      <x:c r="G1665" t="str">
        <x:v>equals</x:v>
      </x:c>
      <x:c r="H1665" t="str">
        <x:f>IF(E1665=F1665,"PASS","FAIL")</x:f>
        <x:v>PASS</x:v>
      </x:c>
    </x:row>
    <x:row r="1666">
      <x:c r="B1666" t="str">
        <x:v>A-01634</x:v>
      </x:c>
      <x:c r="C1666" t="str">
        <x:v>GATE</x:v>
      </x:c>
      <x:c r="D1666" t="str">
        <x:v>release state mirrors governing ledger</x:v>
      </x:c>
      <x:c r="E1666" t="str">
        <x:f>'Release Gates'!I1640</x:f>
        <x:v>OPEN</x:v>
      </x:c>
      <x:c r="F1666" t="str">
        <x:f>IF('Release Gates'!C1640="PLANNING","PASS",IF('Release Gates'!C1640="PHYSICAL","OPEN","BLOCKED"))</x:f>
        <x:v>OPEN</x:v>
      </x:c>
      <x:c r="G1666" t="str">
        <x:v>equals</x:v>
      </x:c>
      <x:c r="H1666" t="str">
        <x:f>IF(E1666=F1666,"PASS","FAIL")</x:f>
        <x:v>PASS</x:v>
      </x:c>
    </x:row>
    <x:row r="1667">
      <x:c r="B1667" t="str">
        <x:v>A-01635</x:v>
      </x:c>
      <x:c r="C1667" t="str">
        <x:v>GATE</x:v>
      </x:c>
      <x:c r="D1667" t="str">
        <x:v>release state mirrors governing ledger</x:v>
      </x:c>
      <x:c r="E1667" t="str">
        <x:f>'Release Gates'!I1641</x:f>
        <x:v>OPEN</x:v>
      </x:c>
      <x:c r="F1667" t="str">
        <x:f>IF('Release Gates'!C1641="PLANNING","PASS",IF('Release Gates'!C1641="PHYSICAL","OPEN","BLOCKED"))</x:f>
        <x:v>OPEN</x:v>
      </x:c>
      <x:c r="G1667" t="str">
        <x:v>equals</x:v>
      </x:c>
      <x:c r="H1667" t="str">
        <x:f>IF(E1667=F1667,"PASS","FAIL")</x:f>
        <x:v>PASS</x:v>
      </x:c>
    </x:row>
    <x:row r="1668">
      <x:c r="B1668" t="str">
        <x:v>A-01636</x:v>
      </x:c>
      <x:c r="C1668" t="str">
        <x:v>GATE</x:v>
      </x:c>
      <x:c r="D1668" t="str">
        <x:v>release state mirrors governing ledger</x:v>
      </x:c>
      <x:c r="E1668" t="str">
        <x:f>'Release Gates'!I1642</x:f>
        <x:v>OPEN</x:v>
      </x:c>
      <x:c r="F1668" t="str">
        <x:f>IF('Release Gates'!C1642="PLANNING","PASS",IF('Release Gates'!C1642="PHYSICAL","OPEN","BLOCKED"))</x:f>
        <x:v>OPEN</x:v>
      </x:c>
      <x:c r="G1668" t="str">
        <x:v>equals</x:v>
      </x:c>
      <x:c r="H1668" t="str">
        <x:f>IF(E1668=F1668,"PASS","FAIL")</x:f>
        <x:v>PASS</x:v>
      </x:c>
    </x:row>
    <x:row r="1669">
      <x:c r="B1669" t="str">
        <x:v>A-01637</x:v>
      </x:c>
      <x:c r="C1669" t="str">
        <x:v>GATE</x:v>
      </x:c>
      <x:c r="D1669" t="str">
        <x:v>release state mirrors governing ledger</x:v>
      </x:c>
      <x:c r="E1669" t="str">
        <x:f>'Release Gates'!I1643</x:f>
        <x:v>OPEN</x:v>
      </x:c>
      <x:c r="F1669" t="str">
        <x:f>IF('Release Gates'!C1643="PLANNING","PASS",IF('Release Gates'!C1643="PHYSICAL","OPEN","BLOCKED"))</x:f>
        <x:v>OPEN</x:v>
      </x:c>
      <x:c r="G1669" t="str">
        <x:v>equals</x:v>
      </x:c>
      <x:c r="H1669" t="str">
        <x:f>IF(E1669=F1669,"PASS","FAIL")</x:f>
        <x:v>PASS</x:v>
      </x:c>
    </x:row>
    <x:row r="1670">
      <x:c r="B1670" t="str">
        <x:v>A-01638</x:v>
      </x:c>
      <x:c r="C1670" t="str">
        <x:v>GATE</x:v>
      </x:c>
      <x:c r="D1670" t="str">
        <x:v>release state mirrors governing ledger</x:v>
      </x:c>
      <x:c r="E1670" t="str">
        <x:f>'Release Gates'!I1644</x:f>
        <x:v>OPEN</x:v>
      </x:c>
      <x:c r="F1670" t="str">
        <x:f>IF('Release Gates'!C1644="PLANNING","PASS",IF('Release Gates'!C1644="PHYSICAL","OPEN","BLOCKED"))</x:f>
        <x:v>OPEN</x:v>
      </x:c>
      <x:c r="G1670" t="str">
        <x:v>equals</x:v>
      </x:c>
      <x:c r="H1670" t="str">
        <x:f>IF(E1670=F1670,"PASS","FAIL")</x:f>
        <x:v>PASS</x:v>
      </x:c>
    </x:row>
    <x:row r="1671">
      <x:c r="B1671" t="str">
        <x:v>A-01639</x:v>
      </x:c>
      <x:c r="C1671" t="str">
        <x:v>GATE</x:v>
      </x:c>
      <x:c r="D1671" t="str">
        <x:v>release state mirrors governing ledger</x:v>
      </x:c>
      <x:c r="E1671" t="str">
        <x:f>'Release Gates'!I1645</x:f>
        <x:v>OPEN</x:v>
      </x:c>
      <x:c r="F1671" t="str">
        <x:f>IF('Release Gates'!C1645="PLANNING","PASS",IF('Release Gates'!C1645="PHYSICAL","OPEN","BLOCKED"))</x:f>
        <x:v>OPEN</x:v>
      </x:c>
      <x:c r="G1671" t="str">
        <x:v>equals</x:v>
      </x:c>
      <x:c r="H1671" t="str">
        <x:f>IF(E1671=F1671,"PASS","FAIL")</x:f>
        <x:v>PASS</x:v>
      </x:c>
    </x:row>
    <x:row r="1672">
      <x:c r="B1672" t="str">
        <x:v>A-01640</x:v>
      </x:c>
      <x:c r="C1672" t="str">
        <x:v>GATE</x:v>
      </x:c>
      <x:c r="D1672" t="str">
        <x:v>release state mirrors governing ledger</x:v>
      </x:c>
      <x:c r="E1672" t="str">
        <x:f>'Release Gates'!I1646</x:f>
        <x:v>OPEN</x:v>
      </x:c>
      <x:c r="F1672" t="str">
        <x:f>IF('Release Gates'!C1646="PLANNING","PASS",IF('Release Gates'!C1646="PHYSICAL","OPEN","BLOCKED"))</x:f>
        <x:v>OPEN</x:v>
      </x:c>
      <x:c r="G1672" t="str">
        <x:v>equals</x:v>
      </x:c>
      <x:c r="H1672" t="str">
        <x:f>IF(E1672=F1672,"PASS","FAIL")</x:f>
        <x:v>PASS</x:v>
      </x:c>
    </x:row>
    <x:row r="1673">
      <x:c r="B1673" t="str">
        <x:v>A-01641</x:v>
      </x:c>
      <x:c r="C1673" t="str">
        <x:v>GATE</x:v>
      </x:c>
      <x:c r="D1673" t="str">
        <x:v>release state mirrors governing ledger</x:v>
      </x:c>
      <x:c r="E1673" t="str">
        <x:f>'Release Gates'!I1647</x:f>
        <x:v>OPEN</x:v>
      </x:c>
      <x:c r="F1673" t="str">
        <x:f>IF('Release Gates'!C1647="PLANNING","PASS",IF('Release Gates'!C1647="PHYSICAL","OPEN","BLOCKED"))</x:f>
        <x:v>OPEN</x:v>
      </x:c>
      <x:c r="G1673" t="str">
        <x:v>equals</x:v>
      </x:c>
      <x:c r="H1673" t="str">
        <x:f>IF(E1673=F1673,"PASS","FAIL")</x:f>
        <x:v>PASS</x:v>
      </x:c>
    </x:row>
    <x:row r="1674">
      <x:c r="B1674" t="str">
        <x:v>A-01642</x:v>
      </x:c>
      <x:c r="C1674" t="str">
        <x:v>GATE</x:v>
      </x:c>
      <x:c r="D1674" t="str">
        <x:v>release state mirrors governing ledger</x:v>
      </x:c>
      <x:c r="E1674" t="str">
        <x:f>'Release Gates'!I1648</x:f>
        <x:v>OPEN</x:v>
      </x:c>
      <x:c r="F1674" t="str">
        <x:f>IF('Release Gates'!C1648="PLANNING","PASS",IF('Release Gates'!C1648="PHYSICAL","OPEN","BLOCKED"))</x:f>
        <x:v>OPEN</x:v>
      </x:c>
      <x:c r="G1674" t="str">
        <x:v>equals</x:v>
      </x:c>
      <x:c r="H1674" t="str">
        <x:f>IF(E1674=F1674,"PASS","FAIL")</x:f>
        <x:v>PASS</x:v>
      </x:c>
    </x:row>
    <x:row r="1675">
      <x:c r="B1675" t="str">
        <x:v>A-01643</x:v>
      </x:c>
      <x:c r="C1675" t="str">
        <x:v>GATE</x:v>
      </x:c>
      <x:c r="D1675" t="str">
        <x:v>release state mirrors governing ledger</x:v>
      </x:c>
      <x:c r="E1675" t="str">
        <x:f>'Release Gates'!I1649</x:f>
        <x:v>OPEN</x:v>
      </x:c>
      <x:c r="F1675" t="str">
        <x:f>IF('Release Gates'!C1649="PLANNING","PASS",IF('Release Gates'!C1649="PHYSICAL","OPEN","BLOCKED"))</x:f>
        <x:v>OPEN</x:v>
      </x:c>
      <x:c r="G1675" t="str">
        <x:v>equals</x:v>
      </x:c>
      <x:c r="H1675" t="str">
        <x:f>IF(E1675=F1675,"PASS","FAIL")</x:f>
        <x:v>PASS</x:v>
      </x:c>
    </x:row>
    <x:row r="1676">
      <x:c r="B1676" t="str">
        <x:v>A-01644</x:v>
      </x:c>
      <x:c r="C1676" t="str">
        <x:v>GATE</x:v>
      </x:c>
      <x:c r="D1676" t="str">
        <x:v>release state mirrors governing ledger</x:v>
      </x:c>
      <x:c r="E1676" t="str">
        <x:f>'Release Gates'!I1650</x:f>
        <x:v>OPEN</x:v>
      </x:c>
      <x:c r="F1676" t="str">
        <x:f>IF('Release Gates'!C1650="PLANNING","PASS",IF('Release Gates'!C1650="PHYSICAL","OPEN","BLOCKED"))</x:f>
        <x:v>OPEN</x:v>
      </x:c>
      <x:c r="G1676" t="str">
        <x:v>equals</x:v>
      </x:c>
      <x:c r="H1676" t="str">
        <x:f>IF(E1676=F1676,"PASS","FAIL")</x:f>
        <x:v>PASS</x:v>
      </x:c>
    </x:row>
    <x:row r="1677">
      <x:c r="B1677" t="str">
        <x:v>A-01645</x:v>
      </x:c>
      <x:c r="C1677" t="str">
        <x:v>GATE</x:v>
      </x:c>
      <x:c r="D1677" t="str">
        <x:v>release state mirrors governing ledger</x:v>
      </x:c>
      <x:c r="E1677" t="str">
        <x:f>'Release Gates'!I1651</x:f>
        <x:v>OPEN</x:v>
      </x:c>
      <x:c r="F1677" t="str">
        <x:f>IF('Release Gates'!C1651="PLANNING","PASS",IF('Release Gates'!C1651="PHYSICAL","OPEN","BLOCKED"))</x:f>
        <x:v>OPEN</x:v>
      </x:c>
      <x:c r="G1677" t="str">
        <x:v>equals</x:v>
      </x:c>
      <x:c r="H1677" t="str">
        <x:f>IF(E1677=F1677,"PASS","FAIL")</x:f>
        <x:v>PASS</x:v>
      </x:c>
    </x:row>
    <x:row r="1678">
      <x:c r="B1678" t="str">
        <x:v>A-01646</x:v>
      </x:c>
      <x:c r="C1678" t="str">
        <x:v>GATE</x:v>
      </x:c>
      <x:c r="D1678" t="str">
        <x:v>release state mirrors governing ledger</x:v>
      </x:c>
      <x:c r="E1678" t="str">
        <x:f>'Release Gates'!I1652</x:f>
        <x:v>OPEN</x:v>
      </x:c>
      <x:c r="F1678" t="str">
        <x:f>IF('Release Gates'!C1652="PLANNING","PASS",IF('Release Gates'!C1652="PHYSICAL","OPEN","BLOCKED"))</x:f>
        <x:v>OPEN</x:v>
      </x:c>
      <x:c r="G1678" t="str">
        <x:v>equals</x:v>
      </x:c>
      <x:c r="H1678" t="str">
        <x:f>IF(E1678=F1678,"PASS","FAIL")</x:f>
        <x:v>PASS</x:v>
      </x:c>
    </x:row>
    <x:row r="1679">
      <x:c r="B1679" t="str">
        <x:v>A-01647</x:v>
      </x:c>
      <x:c r="C1679" t="str">
        <x:v>GATE</x:v>
      </x:c>
      <x:c r="D1679" t="str">
        <x:v>release state mirrors governing ledger</x:v>
      </x:c>
      <x:c r="E1679" t="str">
        <x:f>'Release Gates'!I1653</x:f>
        <x:v>OPEN</x:v>
      </x:c>
      <x:c r="F1679" t="str">
        <x:f>IF('Release Gates'!C1653="PLANNING","PASS",IF('Release Gates'!C1653="PHYSICAL","OPEN","BLOCKED"))</x:f>
        <x:v>OPEN</x:v>
      </x:c>
      <x:c r="G1679" t="str">
        <x:v>equals</x:v>
      </x:c>
      <x:c r="H1679" t="str">
        <x:f>IF(E1679=F1679,"PASS","FAIL")</x:f>
        <x:v>PASS</x:v>
      </x:c>
    </x:row>
    <x:row r="1680">
      <x:c r="B1680" t="str">
        <x:v>A-01648</x:v>
      </x:c>
      <x:c r="C1680" t="str">
        <x:v>GATE</x:v>
      </x:c>
      <x:c r="D1680" t="str">
        <x:v>release state mirrors governing ledger</x:v>
      </x:c>
      <x:c r="E1680" t="str">
        <x:f>'Release Gates'!I1654</x:f>
        <x:v>OPEN</x:v>
      </x:c>
      <x:c r="F1680" t="str">
        <x:f>IF('Release Gates'!C1654="PLANNING","PASS",IF('Release Gates'!C1654="PHYSICAL","OPEN","BLOCKED"))</x:f>
        <x:v>OPEN</x:v>
      </x:c>
      <x:c r="G1680" t="str">
        <x:v>equals</x:v>
      </x:c>
      <x:c r="H1680" t="str">
        <x:f>IF(E1680=F1680,"PASS","FAIL")</x:f>
        <x:v>PASS</x:v>
      </x:c>
    </x:row>
    <x:row r="1681">
      <x:c r="B1681" t="str">
        <x:v>A-01649</x:v>
      </x:c>
      <x:c r="C1681" t="str">
        <x:v>GATE</x:v>
      </x:c>
      <x:c r="D1681" t="str">
        <x:v>release state mirrors governing ledger</x:v>
      </x:c>
      <x:c r="E1681" t="str">
        <x:f>'Release Gates'!I1655</x:f>
        <x:v>OPEN</x:v>
      </x:c>
      <x:c r="F1681" t="str">
        <x:f>IF('Release Gates'!C1655="PLANNING","PASS",IF('Release Gates'!C1655="PHYSICAL","OPEN","BLOCKED"))</x:f>
        <x:v>OPEN</x:v>
      </x:c>
      <x:c r="G1681" t="str">
        <x:v>equals</x:v>
      </x:c>
      <x:c r="H1681" t="str">
        <x:f>IF(E1681=F1681,"PASS","FAIL")</x:f>
        <x:v>PASS</x:v>
      </x:c>
    </x:row>
    <x:row r="1682">
      <x:c r="B1682" t="str">
        <x:v>A-01650</x:v>
      </x:c>
      <x:c r="C1682" t="str">
        <x:v>GATE</x:v>
      </x:c>
      <x:c r="D1682" t="str">
        <x:v>release state mirrors governing ledger</x:v>
      </x:c>
      <x:c r="E1682" t="str">
        <x:f>'Release Gates'!I1656</x:f>
        <x:v>OPEN</x:v>
      </x:c>
      <x:c r="F1682" t="str">
        <x:f>IF('Release Gates'!C1656="PLANNING","PASS",IF('Release Gates'!C1656="PHYSICAL","OPEN","BLOCKED"))</x:f>
        <x:v>OPEN</x:v>
      </x:c>
      <x:c r="G1682" t="str">
        <x:v>equals</x:v>
      </x:c>
      <x:c r="H1682" t="str">
        <x:f>IF(E1682=F1682,"PASS","FAIL")</x:f>
        <x:v>PASS</x:v>
      </x:c>
    </x:row>
    <x:row r="1683">
      <x:c r="B1683" t="str">
        <x:v>A-01651</x:v>
      </x:c>
      <x:c r="C1683" t="str">
        <x:v>GATE</x:v>
      </x:c>
      <x:c r="D1683" t="str">
        <x:v>release state mirrors governing ledger</x:v>
      </x:c>
      <x:c r="E1683" t="str">
        <x:f>'Release Gates'!I1657</x:f>
        <x:v>OPEN</x:v>
      </x:c>
      <x:c r="F1683" t="str">
        <x:f>IF('Release Gates'!C1657="PLANNING","PASS",IF('Release Gates'!C1657="PHYSICAL","OPEN","BLOCKED"))</x:f>
        <x:v>OPEN</x:v>
      </x:c>
      <x:c r="G1683" t="str">
        <x:v>equals</x:v>
      </x:c>
      <x:c r="H1683" t="str">
        <x:f>IF(E1683=F1683,"PASS","FAIL")</x:f>
        <x:v>PASS</x:v>
      </x:c>
    </x:row>
    <x:row r="1684">
      <x:c r="B1684" t="str">
        <x:v>A-01652</x:v>
      </x:c>
      <x:c r="C1684" t="str">
        <x:v>GATE</x:v>
      </x:c>
      <x:c r="D1684" t="str">
        <x:v>release state mirrors governing ledger</x:v>
      </x:c>
      <x:c r="E1684" t="str">
        <x:f>'Release Gates'!I1658</x:f>
        <x:v>OPEN</x:v>
      </x:c>
      <x:c r="F1684" t="str">
        <x:f>IF('Release Gates'!C1658="PLANNING","PASS",IF('Release Gates'!C1658="PHYSICAL","OPEN","BLOCKED"))</x:f>
        <x:v>OPEN</x:v>
      </x:c>
      <x:c r="G1684" t="str">
        <x:v>equals</x:v>
      </x:c>
      <x:c r="H1684" t="str">
        <x:f>IF(E1684=F1684,"PASS","FAIL")</x:f>
        <x:v>PASS</x:v>
      </x:c>
    </x:row>
    <x:row r="1685">
      <x:c r="B1685" t="str">
        <x:v>A-01653</x:v>
      </x:c>
      <x:c r="C1685" t="str">
        <x:v>GATE</x:v>
      </x:c>
      <x:c r="D1685" t="str">
        <x:v>release state mirrors governing ledger</x:v>
      </x:c>
      <x:c r="E1685" t="str">
        <x:f>'Release Gates'!I1659</x:f>
        <x:v>OPEN</x:v>
      </x:c>
      <x:c r="F1685" t="str">
        <x:f>IF('Release Gates'!C1659="PLANNING","PASS",IF('Release Gates'!C1659="PHYSICAL","OPEN","BLOCKED"))</x:f>
        <x:v>OPEN</x:v>
      </x:c>
      <x:c r="G1685" t="str">
        <x:v>equals</x:v>
      </x:c>
      <x:c r="H1685" t="str">
        <x:f>IF(E1685=F1685,"PASS","FAIL")</x:f>
        <x:v>PASS</x:v>
      </x:c>
    </x:row>
    <x:row r="1686">
      <x:c r="B1686" t="str">
        <x:v>A-01654</x:v>
      </x:c>
      <x:c r="C1686" t="str">
        <x:v>GATE</x:v>
      </x:c>
      <x:c r="D1686" t="str">
        <x:v>release state mirrors governing ledger</x:v>
      </x:c>
      <x:c r="E1686" t="str">
        <x:f>'Release Gates'!I1660</x:f>
        <x:v>OPEN</x:v>
      </x:c>
      <x:c r="F1686" t="str">
        <x:f>IF('Release Gates'!C1660="PLANNING","PASS",IF('Release Gates'!C1660="PHYSICAL","OPEN","BLOCKED"))</x:f>
        <x:v>OPEN</x:v>
      </x:c>
      <x:c r="G1686" t="str">
        <x:v>equals</x:v>
      </x:c>
      <x:c r="H1686" t="str">
        <x:f>IF(E1686=F1686,"PASS","FAIL")</x:f>
        <x:v>PASS</x:v>
      </x:c>
    </x:row>
    <x:row r="1687">
      <x:c r="B1687" t="str">
        <x:v>A-01655</x:v>
      </x:c>
      <x:c r="C1687" t="str">
        <x:v>GATE</x:v>
      </x:c>
      <x:c r="D1687" t="str">
        <x:v>release state mirrors governing ledger</x:v>
      </x:c>
      <x:c r="E1687" t="str">
        <x:f>'Release Gates'!I1661</x:f>
        <x:v>OPEN</x:v>
      </x:c>
      <x:c r="F1687" t="str">
        <x:f>IF('Release Gates'!C1661="PLANNING","PASS",IF('Release Gates'!C1661="PHYSICAL","OPEN","BLOCKED"))</x:f>
        <x:v>OPEN</x:v>
      </x:c>
      <x:c r="G1687" t="str">
        <x:v>equals</x:v>
      </x:c>
      <x:c r="H1687" t="str">
        <x:f>IF(E1687=F1687,"PASS","FAIL")</x:f>
        <x:v>PASS</x:v>
      </x:c>
    </x:row>
    <x:row r="1688">
      <x:c r="B1688" t="str">
        <x:v>A-01656</x:v>
      </x:c>
      <x:c r="C1688" t="str">
        <x:v>GATE</x:v>
      </x:c>
      <x:c r="D1688" t="str">
        <x:v>release state mirrors governing ledger</x:v>
      </x:c>
      <x:c r="E1688" t="str">
        <x:f>'Release Gates'!I1662</x:f>
        <x:v>OPEN</x:v>
      </x:c>
      <x:c r="F1688" t="str">
        <x:f>IF('Release Gates'!C1662="PLANNING","PASS",IF('Release Gates'!C1662="PHYSICAL","OPEN","BLOCKED"))</x:f>
        <x:v>OPEN</x:v>
      </x:c>
      <x:c r="G1688" t="str">
        <x:v>equals</x:v>
      </x:c>
      <x:c r="H1688" t="str">
        <x:f>IF(E1688=F1688,"PASS","FAIL")</x:f>
        <x:v>PASS</x:v>
      </x:c>
    </x:row>
    <x:row r="1689">
      <x:c r="B1689" t="str">
        <x:v>A-01657</x:v>
      </x:c>
      <x:c r="C1689" t="str">
        <x:v>GATE</x:v>
      </x:c>
      <x:c r="D1689" t="str">
        <x:v>release state mirrors governing ledger</x:v>
      </x:c>
      <x:c r="E1689" t="str">
        <x:f>'Release Gates'!I1663</x:f>
        <x:v>OPEN</x:v>
      </x:c>
      <x:c r="F1689" t="str">
        <x:f>IF('Release Gates'!C1663="PLANNING","PASS",IF('Release Gates'!C1663="PHYSICAL","OPEN","BLOCKED"))</x:f>
        <x:v>OPEN</x:v>
      </x:c>
      <x:c r="G1689" t="str">
        <x:v>equals</x:v>
      </x:c>
      <x:c r="H1689" t="str">
        <x:f>IF(E1689=F1689,"PASS","FAIL")</x:f>
        <x:v>PASS</x:v>
      </x:c>
    </x:row>
    <x:row r="1690">
      <x:c r="B1690" t="str">
        <x:v>A-01658</x:v>
      </x:c>
      <x:c r="C1690" t="str">
        <x:v>GATE</x:v>
      </x:c>
      <x:c r="D1690" t="str">
        <x:v>release state mirrors governing ledger</x:v>
      </x:c>
      <x:c r="E1690" t="str">
        <x:f>'Release Gates'!I1664</x:f>
        <x:v>OPEN</x:v>
      </x:c>
      <x:c r="F1690" t="str">
        <x:f>IF('Release Gates'!C1664="PLANNING","PASS",IF('Release Gates'!C1664="PHYSICAL","OPEN","BLOCKED"))</x:f>
        <x:v>OPEN</x:v>
      </x:c>
      <x:c r="G1690" t="str">
        <x:v>equals</x:v>
      </x:c>
      <x:c r="H1690" t="str">
        <x:f>IF(E1690=F1690,"PASS","FAIL")</x:f>
        <x:v>PASS</x:v>
      </x:c>
    </x:row>
    <x:row r="1691">
      <x:c r="B1691" t="str">
        <x:v>A-01659</x:v>
      </x:c>
      <x:c r="C1691" t="str">
        <x:v>GATE</x:v>
      </x:c>
      <x:c r="D1691" t="str">
        <x:v>release state mirrors governing ledger</x:v>
      </x:c>
      <x:c r="E1691" t="str">
        <x:f>'Release Gates'!I1665</x:f>
        <x:v>OPEN</x:v>
      </x:c>
      <x:c r="F1691" t="str">
        <x:f>IF('Release Gates'!C1665="PLANNING","PASS",IF('Release Gates'!C1665="PHYSICAL","OPEN","BLOCKED"))</x:f>
        <x:v>OPEN</x:v>
      </x:c>
      <x:c r="G1691" t="str">
        <x:v>equals</x:v>
      </x:c>
      <x:c r="H1691" t="str">
        <x:f>IF(E1691=F1691,"PASS","FAIL")</x:f>
        <x:v>PASS</x:v>
      </x:c>
    </x:row>
    <x:row r="1692">
      <x:c r="B1692" t="str">
        <x:v>A-01660</x:v>
      </x:c>
      <x:c r="C1692" t="str">
        <x:v>GATE</x:v>
      </x:c>
      <x:c r="D1692" t="str">
        <x:v>release state mirrors governing ledger</x:v>
      </x:c>
      <x:c r="E1692" t="str">
        <x:f>'Release Gates'!I1666</x:f>
        <x:v>OPEN</x:v>
      </x:c>
      <x:c r="F1692" t="str">
        <x:f>IF('Release Gates'!C1666="PLANNING","PASS",IF('Release Gates'!C1666="PHYSICAL","OPEN","BLOCKED"))</x:f>
        <x:v>OPEN</x:v>
      </x:c>
      <x:c r="G1692" t="str">
        <x:v>equals</x:v>
      </x:c>
      <x:c r="H1692" t="str">
        <x:f>IF(E1692=F1692,"PASS","FAIL")</x:f>
        <x:v>PASS</x:v>
      </x:c>
    </x:row>
    <x:row r="1693">
      <x:c r="B1693" t="str">
        <x:v>A-01661</x:v>
      </x:c>
      <x:c r="C1693" t="str">
        <x:v>GATE</x:v>
      </x:c>
      <x:c r="D1693" t="str">
        <x:v>release state mirrors governing ledger</x:v>
      </x:c>
      <x:c r="E1693" t="str">
        <x:f>'Release Gates'!I1667</x:f>
        <x:v>OPEN</x:v>
      </x:c>
      <x:c r="F1693" t="str">
        <x:f>IF('Release Gates'!C1667="PLANNING","PASS",IF('Release Gates'!C1667="PHYSICAL","OPEN","BLOCKED"))</x:f>
        <x:v>OPEN</x:v>
      </x:c>
      <x:c r="G1693" t="str">
        <x:v>equals</x:v>
      </x:c>
      <x:c r="H1693" t="str">
        <x:f>IF(E1693=F1693,"PASS","FAIL")</x:f>
        <x:v>PASS</x:v>
      </x:c>
    </x:row>
    <x:row r="1694">
      <x:c r="B1694" t="str">
        <x:v>A-01662</x:v>
      </x:c>
      <x:c r="C1694" t="str">
        <x:v>GATE</x:v>
      </x:c>
      <x:c r="D1694" t="str">
        <x:v>release state mirrors governing ledger</x:v>
      </x:c>
      <x:c r="E1694" t="str">
        <x:f>'Release Gates'!I1668</x:f>
        <x:v>OPEN</x:v>
      </x:c>
      <x:c r="F1694" t="str">
        <x:f>IF('Release Gates'!C1668="PLANNING","PASS",IF('Release Gates'!C1668="PHYSICAL","OPEN","BLOCKED"))</x:f>
        <x:v>OPEN</x:v>
      </x:c>
      <x:c r="G1694" t="str">
        <x:v>equals</x:v>
      </x:c>
      <x:c r="H1694" t="str">
        <x:f>IF(E1694=F1694,"PASS","FAIL")</x:f>
        <x:v>PASS</x:v>
      </x:c>
    </x:row>
    <x:row r="1695">
      <x:c r="B1695" t="str">
        <x:v>A-01663</x:v>
      </x:c>
      <x:c r="C1695" t="str">
        <x:v>GATE</x:v>
      </x:c>
      <x:c r="D1695" t="str">
        <x:v>release state mirrors governing ledger</x:v>
      </x:c>
      <x:c r="E1695" t="str">
        <x:f>'Release Gates'!I1669</x:f>
        <x:v>OPEN</x:v>
      </x:c>
      <x:c r="F1695" t="str">
        <x:f>IF('Release Gates'!C1669="PLANNING","PASS",IF('Release Gates'!C1669="PHYSICAL","OPEN","BLOCKED"))</x:f>
        <x:v>OPEN</x:v>
      </x:c>
      <x:c r="G1695" t="str">
        <x:v>equals</x:v>
      </x:c>
      <x:c r="H1695" t="str">
        <x:f>IF(E1695=F1695,"PASS","FAIL")</x:f>
        <x:v>PASS</x:v>
      </x:c>
    </x:row>
    <x:row r="1696">
      <x:c r="B1696" t="str">
        <x:v>A-01664</x:v>
      </x:c>
      <x:c r="C1696" t="str">
        <x:v>GATE</x:v>
      </x:c>
      <x:c r="D1696" t="str">
        <x:v>release state mirrors governing ledger</x:v>
      </x:c>
      <x:c r="E1696" t="str">
        <x:f>'Release Gates'!I1670</x:f>
        <x:v>OPEN</x:v>
      </x:c>
      <x:c r="F1696" t="str">
        <x:f>IF('Release Gates'!C1670="PLANNING","PASS",IF('Release Gates'!C1670="PHYSICAL","OPEN","BLOCKED"))</x:f>
        <x:v>OPEN</x:v>
      </x:c>
      <x:c r="G1696" t="str">
        <x:v>equals</x:v>
      </x:c>
      <x:c r="H1696" t="str">
        <x:f>IF(E1696=F1696,"PASS","FAIL")</x:f>
        <x:v>PASS</x:v>
      </x:c>
    </x:row>
    <x:row r="1697">
      <x:c r="B1697" t="str">
        <x:v>A-01665</x:v>
      </x:c>
      <x:c r="C1697" t="str">
        <x:v>GATE</x:v>
      </x:c>
      <x:c r="D1697" t="str">
        <x:v>release state mirrors governing ledger</x:v>
      </x:c>
      <x:c r="E1697" t="str">
        <x:f>'Release Gates'!I1671</x:f>
        <x:v>OPEN</x:v>
      </x:c>
      <x:c r="F1697" t="str">
        <x:f>IF('Release Gates'!C1671="PLANNING","PASS",IF('Release Gates'!C1671="PHYSICAL","OPEN","BLOCKED"))</x:f>
        <x:v>OPEN</x:v>
      </x:c>
      <x:c r="G1697" t="str">
        <x:v>equals</x:v>
      </x:c>
      <x:c r="H1697" t="str">
        <x:f>IF(E1697=F1697,"PASS","FAIL")</x:f>
        <x:v>PASS</x:v>
      </x:c>
    </x:row>
    <x:row r="1698">
      <x:c r="B1698" t="str">
        <x:v>A-01666</x:v>
      </x:c>
      <x:c r="C1698" t="str">
        <x:v>GATE</x:v>
      </x:c>
      <x:c r="D1698" t="str">
        <x:v>release state mirrors governing ledger</x:v>
      </x:c>
      <x:c r="E1698" t="str">
        <x:f>'Release Gates'!I1672</x:f>
        <x:v>OPEN</x:v>
      </x:c>
      <x:c r="F1698" t="str">
        <x:f>IF('Release Gates'!C1672="PLANNING","PASS",IF('Release Gates'!C1672="PHYSICAL","OPEN","BLOCKED"))</x:f>
        <x:v>OPEN</x:v>
      </x:c>
      <x:c r="G1698" t="str">
        <x:v>equals</x:v>
      </x:c>
      <x:c r="H1698" t="str">
        <x:f>IF(E1698=F1698,"PASS","FAIL")</x:f>
        <x:v>PASS</x:v>
      </x:c>
    </x:row>
    <x:row r="1699">
      <x:c r="B1699" t="str">
        <x:v>A-01667</x:v>
      </x:c>
      <x:c r="C1699" t="str">
        <x:v>GATE</x:v>
      </x:c>
      <x:c r="D1699" t="str">
        <x:v>release state mirrors governing ledger</x:v>
      </x:c>
      <x:c r="E1699" t="str">
        <x:f>'Release Gates'!I1673</x:f>
        <x:v>OPEN</x:v>
      </x:c>
      <x:c r="F1699" t="str">
        <x:f>IF('Release Gates'!C1673="PLANNING","PASS",IF('Release Gates'!C1673="PHYSICAL","OPEN","BLOCKED"))</x:f>
        <x:v>OPEN</x:v>
      </x:c>
      <x:c r="G1699" t="str">
        <x:v>equals</x:v>
      </x:c>
      <x:c r="H1699" t="str">
        <x:f>IF(E1699=F1699,"PASS","FAIL")</x:f>
        <x:v>PASS</x:v>
      </x:c>
    </x:row>
    <x:row r="1700">
      <x:c r="B1700" t="str">
        <x:v>A-01668</x:v>
      </x:c>
      <x:c r="C1700" t="str">
        <x:v>GATE</x:v>
      </x:c>
      <x:c r="D1700" t="str">
        <x:v>release state mirrors governing ledger</x:v>
      </x:c>
      <x:c r="E1700" t="str">
        <x:f>'Release Gates'!I1674</x:f>
        <x:v>OPEN</x:v>
      </x:c>
      <x:c r="F1700" t="str">
        <x:f>IF('Release Gates'!C1674="PLANNING","PASS",IF('Release Gates'!C1674="PHYSICAL","OPEN","BLOCKED"))</x:f>
        <x:v>OPEN</x:v>
      </x:c>
      <x:c r="G1700" t="str">
        <x:v>equals</x:v>
      </x:c>
      <x:c r="H1700" t="str">
        <x:f>IF(E1700=F1700,"PASS","FAIL")</x:f>
        <x:v>PASS</x:v>
      </x:c>
    </x:row>
    <x:row r="1701">
      <x:c r="B1701" t="str">
        <x:v>A-01669</x:v>
      </x:c>
      <x:c r="C1701" t="str">
        <x:v>GATE</x:v>
      </x:c>
      <x:c r="D1701" t="str">
        <x:v>release state mirrors governing ledger</x:v>
      </x:c>
      <x:c r="E1701" t="str">
        <x:f>'Release Gates'!I1675</x:f>
        <x:v>OPEN</x:v>
      </x:c>
      <x:c r="F1701" t="str">
        <x:f>IF('Release Gates'!C1675="PLANNING","PASS",IF('Release Gates'!C1675="PHYSICAL","OPEN","BLOCKED"))</x:f>
        <x:v>OPEN</x:v>
      </x:c>
      <x:c r="G1701" t="str">
        <x:v>equals</x:v>
      </x:c>
      <x:c r="H1701" t="str">
        <x:f>IF(E1701=F1701,"PASS","FAIL")</x:f>
        <x:v>PASS</x:v>
      </x:c>
    </x:row>
    <x:row r="1702">
      <x:c r="B1702" t="str">
        <x:v>A-01670</x:v>
      </x:c>
      <x:c r="C1702" t="str">
        <x:v>GATE</x:v>
      </x:c>
      <x:c r="D1702" t="str">
        <x:v>release state mirrors governing ledger</x:v>
      </x:c>
      <x:c r="E1702" t="str">
        <x:f>'Release Gates'!I1676</x:f>
        <x:v>OPEN</x:v>
      </x:c>
      <x:c r="F1702" t="str">
        <x:f>IF('Release Gates'!C1676="PLANNING","PASS",IF('Release Gates'!C1676="PHYSICAL","OPEN","BLOCKED"))</x:f>
        <x:v>OPEN</x:v>
      </x:c>
      <x:c r="G1702" t="str">
        <x:v>equals</x:v>
      </x:c>
      <x:c r="H1702" t="str">
        <x:f>IF(E1702=F1702,"PASS","FAIL")</x:f>
        <x:v>PASS</x:v>
      </x:c>
    </x:row>
    <x:row r="1703">
      <x:c r="B1703" t="str">
        <x:v>A-01671</x:v>
      </x:c>
      <x:c r="C1703" t="str">
        <x:v>GATE</x:v>
      </x:c>
      <x:c r="D1703" t="str">
        <x:v>release state mirrors governing ledger</x:v>
      </x:c>
      <x:c r="E1703" t="str">
        <x:f>'Release Gates'!I1677</x:f>
        <x:v>OPEN</x:v>
      </x:c>
      <x:c r="F1703" t="str">
        <x:f>IF('Release Gates'!C1677="PLANNING","PASS",IF('Release Gates'!C1677="PHYSICAL","OPEN","BLOCKED"))</x:f>
        <x:v>OPEN</x:v>
      </x:c>
      <x:c r="G1703" t="str">
        <x:v>equals</x:v>
      </x:c>
      <x:c r="H1703" t="str">
        <x:f>IF(E1703=F1703,"PASS","FAIL")</x:f>
        <x:v>PASS</x:v>
      </x:c>
    </x:row>
    <x:row r="1704">
      <x:c r="B1704" t="str">
        <x:v>A-01672</x:v>
      </x:c>
      <x:c r="C1704" t="str">
        <x:v>GATE</x:v>
      </x:c>
      <x:c r="D1704" t="str">
        <x:v>release state mirrors governing ledger</x:v>
      </x:c>
      <x:c r="E1704" t="str">
        <x:f>'Release Gates'!I1678</x:f>
        <x:v>OPEN</x:v>
      </x:c>
      <x:c r="F1704" t="str">
        <x:f>IF('Release Gates'!C1678="PLANNING","PASS",IF('Release Gates'!C1678="PHYSICAL","OPEN","BLOCKED"))</x:f>
        <x:v>OPEN</x:v>
      </x:c>
      <x:c r="G1704" t="str">
        <x:v>equals</x:v>
      </x:c>
      <x:c r="H1704" t="str">
        <x:f>IF(E1704=F1704,"PASS","FAIL")</x:f>
        <x:v>PASS</x:v>
      </x:c>
    </x:row>
    <x:row r="1705">
      <x:c r="B1705" t="str">
        <x:v>A-01673</x:v>
      </x:c>
      <x:c r="C1705" t="str">
        <x:v>GATE</x:v>
      </x:c>
      <x:c r="D1705" t="str">
        <x:v>release state mirrors governing ledger</x:v>
      </x:c>
      <x:c r="E1705" t="str">
        <x:f>'Release Gates'!I1679</x:f>
        <x:v>OPEN</x:v>
      </x:c>
      <x:c r="F1705" t="str">
        <x:f>IF('Release Gates'!C1679="PLANNING","PASS",IF('Release Gates'!C1679="PHYSICAL","OPEN","BLOCKED"))</x:f>
        <x:v>OPEN</x:v>
      </x:c>
      <x:c r="G1705" t="str">
        <x:v>equals</x:v>
      </x:c>
      <x:c r="H1705" t="str">
        <x:f>IF(E1705=F1705,"PASS","FAIL")</x:f>
        <x:v>PASS</x:v>
      </x:c>
    </x:row>
    <x:row r="1706">
      <x:c r="B1706" t="str">
        <x:v>A-01674</x:v>
      </x:c>
      <x:c r="C1706" t="str">
        <x:v>GATE</x:v>
      </x:c>
      <x:c r="D1706" t="str">
        <x:v>release state mirrors governing ledger</x:v>
      </x:c>
      <x:c r="E1706" t="str">
        <x:f>'Release Gates'!I1680</x:f>
        <x:v>OPEN</x:v>
      </x:c>
      <x:c r="F1706" t="str">
        <x:f>IF('Release Gates'!C1680="PLANNING","PASS",IF('Release Gates'!C1680="PHYSICAL","OPEN","BLOCKED"))</x:f>
        <x:v>OPEN</x:v>
      </x:c>
      <x:c r="G1706" t="str">
        <x:v>equals</x:v>
      </x:c>
      <x:c r="H1706" t="str">
        <x:f>IF(E1706=F1706,"PASS","FAIL")</x:f>
        <x:v>PASS</x:v>
      </x:c>
    </x:row>
    <x:row r="1707">
      <x:c r="B1707" t="str">
        <x:v>A-01675</x:v>
      </x:c>
      <x:c r="C1707" t="str">
        <x:v>GATE</x:v>
      </x:c>
      <x:c r="D1707" t="str">
        <x:v>release state mirrors governing ledger</x:v>
      </x:c>
      <x:c r="E1707" t="str">
        <x:f>'Release Gates'!I1681</x:f>
        <x:v>OPEN</x:v>
      </x:c>
      <x:c r="F1707" t="str">
        <x:f>IF('Release Gates'!C1681="PLANNING","PASS",IF('Release Gates'!C1681="PHYSICAL","OPEN","BLOCKED"))</x:f>
        <x:v>OPEN</x:v>
      </x:c>
      <x:c r="G1707" t="str">
        <x:v>equals</x:v>
      </x:c>
      <x:c r="H1707" t="str">
        <x:f>IF(E1707=F1707,"PASS","FAIL")</x:f>
        <x:v>PASS</x:v>
      </x:c>
    </x:row>
    <x:row r="1708">
      <x:c r="B1708" t="str">
        <x:v>A-01676</x:v>
      </x:c>
      <x:c r="C1708" t="str">
        <x:v>GATE</x:v>
      </x:c>
      <x:c r="D1708" t="str">
        <x:v>release state mirrors governing ledger</x:v>
      </x:c>
      <x:c r="E1708" t="str">
        <x:f>'Release Gates'!I1682</x:f>
        <x:v>OPEN</x:v>
      </x:c>
      <x:c r="F1708" t="str">
        <x:f>IF('Release Gates'!C1682="PLANNING","PASS",IF('Release Gates'!C1682="PHYSICAL","OPEN","BLOCKED"))</x:f>
        <x:v>OPEN</x:v>
      </x:c>
      <x:c r="G1708" t="str">
        <x:v>equals</x:v>
      </x:c>
      <x:c r="H1708" t="str">
        <x:f>IF(E1708=F1708,"PASS","FAIL")</x:f>
        <x:v>PASS</x:v>
      </x:c>
    </x:row>
    <x:row r="1709">
      <x:c r="B1709" t="str">
        <x:v>A-01677</x:v>
      </x:c>
      <x:c r="C1709" t="str">
        <x:v>GATE</x:v>
      </x:c>
      <x:c r="D1709" t="str">
        <x:v>release state mirrors governing ledger</x:v>
      </x:c>
      <x:c r="E1709" t="str">
        <x:f>'Release Gates'!I1683</x:f>
        <x:v>OPEN</x:v>
      </x:c>
      <x:c r="F1709" t="str">
        <x:f>IF('Release Gates'!C1683="PLANNING","PASS",IF('Release Gates'!C1683="PHYSICAL","OPEN","BLOCKED"))</x:f>
        <x:v>OPEN</x:v>
      </x:c>
      <x:c r="G1709" t="str">
        <x:v>equals</x:v>
      </x:c>
      <x:c r="H1709" t="str">
        <x:f>IF(E1709=F1709,"PASS","FAIL")</x:f>
        <x:v>PASS</x:v>
      </x:c>
    </x:row>
    <x:row r="1710">
      <x:c r="B1710" t="str">
        <x:v>A-01678</x:v>
      </x:c>
      <x:c r="C1710" t="str">
        <x:v>GATE</x:v>
      </x:c>
      <x:c r="D1710" t="str">
        <x:v>release state mirrors governing ledger</x:v>
      </x:c>
      <x:c r="E1710" t="str">
        <x:f>'Release Gates'!I1684</x:f>
        <x:v>OPEN</x:v>
      </x:c>
      <x:c r="F1710" t="str">
        <x:f>IF('Release Gates'!C1684="PLANNING","PASS",IF('Release Gates'!C1684="PHYSICAL","OPEN","BLOCKED"))</x:f>
        <x:v>OPEN</x:v>
      </x:c>
      <x:c r="G1710" t="str">
        <x:v>equals</x:v>
      </x:c>
      <x:c r="H1710" t="str">
        <x:f>IF(E1710=F1710,"PASS","FAIL")</x:f>
        <x:v>PASS</x:v>
      </x:c>
    </x:row>
    <x:row r="1711">
      <x:c r="B1711" t="str">
        <x:v>A-01679</x:v>
      </x:c>
      <x:c r="C1711" t="str">
        <x:v>GATE</x:v>
      </x:c>
      <x:c r="D1711" t="str">
        <x:v>release state mirrors governing ledger</x:v>
      </x:c>
      <x:c r="E1711" t="str">
        <x:f>'Release Gates'!I1685</x:f>
        <x:v>OPEN</x:v>
      </x:c>
      <x:c r="F1711" t="str">
        <x:f>IF('Release Gates'!C1685="PLANNING","PASS",IF('Release Gates'!C1685="PHYSICAL","OPEN","BLOCKED"))</x:f>
        <x:v>OPEN</x:v>
      </x:c>
      <x:c r="G1711" t="str">
        <x:v>equals</x:v>
      </x:c>
      <x:c r="H1711" t="str">
        <x:f>IF(E1711=F1711,"PASS","FAIL")</x:f>
        <x:v>PASS</x:v>
      </x:c>
    </x:row>
    <x:row r="1712">
      <x:c r="B1712" t="str">
        <x:v>A-01680</x:v>
      </x:c>
      <x:c r="C1712" t="str">
        <x:v>GATE</x:v>
      </x:c>
      <x:c r="D1712" t="str">
        <x:v>release state mirrors governing ledger</x:v>
      </x:c>
      <x:c r="E1712" t="str">
        <x:f>'Release Gates'!I1686</x:f>
        <x:v>OPEN</x:v>
      </x:c>
      <x:c r="F1712" t="str">
        <x:f>IF('Release Gates'!C1686="PLANNING","PASS",IF('Release Gates'!C1686="PHYSICAL","OPEN","BLOCKED"))</x:f>
        <x:v>OPEN</x:v>
      </x:c>
      <x:c r="G1712" t="str">
        <x:v>equals</x:v>
      </x:c>
      <x:c r="H1712" t="str">
        <x:f>IF(E1712=F1712,"PASS","FAIL")</x:f>
        <x:v>PASS</x:v>
      </x:c>
    </x:row>
    <x:row r="1713">
      <x:c r="B1713" t="str">
        <x:v>A-01681</x:v>
      </x:c>
      <x:c r="C1713" t="str">
        <x:v>GATE</x:v>
      </x:c>
      <x:c r="D1713" t="str">
        <x:v>release state mirrors governing ledger</x:v>
      </x:c>
      <x:c r="E1713" t="str">
        <x:f>'Release Gates'!I1687</x:f>
        <x:v>OPEN</x:v>
      </x:c>
      <x:c r="F1713" t="str">
        <x:f>IF('Release Gates'!C1687="PLANNING","PASS",IF('Release Gates'!C1687="PHYSICAL","OPEN","BLOCKED"))</x:f>
        <x:v>OPEN</x:v>
      </x:c>
      <x:c r="G1713" t="str">
        <x:v>equals</x:v>
      </x:c>
      <x:c r="H1713" t="str">
        <x:f>IF(E1713=F1713,"PASS","FAIL")</x:f>
        <x:v>PASS</x:v>
      </x:c>
    </x:row>
    <x:row r="1714">
      <x:c r="B1714" t="str">
        <x:v>A-01682</x:v>
      </x:c>
      <x:c r="C1714" t="str">
        <x:v>GATE</x:v>
      </x:c>
      <x:c r="D1714" t="str">
        <x:v>release state mirrors governing ledger</x:v>
      </x:c>
      <x:c r="E1714" t="str">
        <x:f>'Release Gates'!I1688</x:f>
        <x:v>OPEN</x:v>
      </x:c>
      <x:c r="F1714" t="str">
        <x:f>IF('Release Gates'!C1688="PLANNING","PASS",IF('Release Gates'!C1688="PHYSICAL","OPEN","BLOCKED"))</x:f>
        <x:v>OPEN</x:v>
      </x:c>
      <x:c r="G1714" t="str">
        <x:v>equals</x:v>
      </x:c>
      <x:c r="H1714" t="str">
        <x:f>IF(E1714=F1714,"PASS","FAIL")</x:f>
        <x:v>PASS</x:v>
      </x:c>
    </x:row>
    <x:row r="1715">
      <x:c r="B1715" t="str">
        <x:v>A-01683</x:v>
      </x:c>
      <x:c r="C1715" t="str">
        <x:v>GATE</x:v>
      </x:c>
      <x:c r="D1715" t="str">
        <x:v>release state mirrors governing ledger</x:v>
      </x:c>
      <x:c r="E1715" t="str">
        <x:f>'Release Gates'!I1689</x:f>
        <x:v>OPEN</x:v>
      </x:c>
      <x:c r="F1715" t="str">
        <x:f>IF('Release Gates'!C1689="PLANNING","PASS",IF('Release Gates'!C1689="PHYSICAL","OPEN","BLOCKED"))</x:f>
        <x:v>OPEN</x:v>
      </x:c>
      <x:c r="G1715" t="str">
        <x:v>equals</x:v>
      </x:c>
      <x:c r="H1715" t="str">
        <x:f>IF(E1715=F1715,"PASS","FAIL")</x:f>
        <x:v>PASS</x:v>
      </x:c>
    </x:row>
    <x:row r="1716">
      <x:c r="B1716" t="str">
        <x:v>A-01684</x:v>
      </x:c>
      <x:c r="C1716" t="str">
        <x:v>GATE</x:v>
      </x:c>
      <x:c r="D1716" t="str">
        <x:v>release state mirrors governing ledger</x:v>
      </x:c>
      <x:c r="E1716" t="str">
        <x:f>'Release Gates'!I1690</x:f>
        <x:v>OPEN</x:v>
      </x:c>
      <x:c r="F1716" t="str">
        <x:f>IF('Release Gates'!C1690="PLANNING","PASS",IF('Release Gates'!C1690="PHYSICAL","OPEN","BLOCKED"))</x:f>
        <x:v>OPEN</x:v>
      </x:c>
      <x:c r="G1716" t="str">
        <x:v>equals</x:v>
      </x:c>
      <x:c r="H1716" t="str">
        <x:f>IF(E1716=F1716,"PASS","FAIL")</x:f>
        <x:v>PASS</x:v>
      </x:c>
    </x:row>
    <x:row r="1717">
      <x:c r="B1717" t="str">
        <x:v>A-01685</x:v>
      </x:c>
      <x:c r="C1717" t="str">
        <x:v>GATE</x:v>
      </x:c>
      <x:c r="D1717" t="str">
        <x:v>release state mirrors governing ledger</x:v>
      </x:c>
      <x:c r="E1717" t="str">
        <x:f>'Release Gates'!I1691</x:f>
        <x:v>OPEN</x:v>
      </x:c>
      <x:c r="F1717" t="str">
        <x:f>IF('Release Gates'!C1691="PLANNING","PASS",IF('Release Gates'!C1691="PHYSICAL","OPEN","BLOCKED"))</x:f>
        <x:v>OPEN</x:v>
      </x:c>
      <x:c r="G1717" t="str">
        <x:v>equals</x:v>
      </x:c>
      <x:c r="H1717" t="str">
        <x:f>IF(E1717=F1717,"PASS","FAIL")</x:f>
        <x:v>PASS</x:v>
      </x:c>
    </x:row>
    <x:row r="1718">
      <x:c r="B1718" t="str">
        <x:v>A-01686</x:v>
      </x:c>
      <x:c r="C1718" t="str">
        <x:v>GATE</x:v>
      </x:c>
      <x:c r="D1718" t="str">
        <x:v>release state mirrors governing ledger</x:v>
      </x:c>
      <x:c r="E1718" t="str">
        <x:f>'Release Gates'!I1692</x:f>
        <x:v>OPEN</x:v>
      </x:c>
      <x:c r="F1718" t="str">
        <x:f>IF('Release Gates'!C1692="PLANNING","PASS",IF('Release Gates'!C1692="PHYSICAL","OPEN","BLOCKED"))</x:f>
        <x:v>OPEN</x:v>
      </x:c>
      <x:c r="G1718" t="str">
        <x:v>equals</x:v>
      </x:c>
      <x:c r="H1718" t="str">
        <x:f>IF(E1718=F1718,"PASS","FAIL")</x:f>
        <x:v>PASS</x:v>
      </x:c>
    </x:row>
    <x:row r="1719">
      <x:c r="B1719" t="str">
        <x:v>A-01687</x:v>
      </x:c>
      <x:c r="C1719" t="str">
        <x:v>GATE</x:v>
      </x:c>
      <x:c r="D1719" t="str">
        <x:v>release state mirrors governing ledger</x:v>
      </x:c>
      <x:c r="E1719" t="str">
        <x:f>'Release Gates'!I1693</x:f>
        <x:v>OPEN</x:v>
      </x:c>
      <x:c r="F1719" t="str">
        <x:f>IF('Release Gates'!C1693="PLANNING","PASS",IF('Release Gates'!C1693="PHYSICAL","OPEN","BLOCKED"))</x:f>
        <x:v>OPEN</x:v>
      </x:c>
      <x:c r="G1719" t="str">
        <x:v>equals</x:v>
      </x:c>
      <x:c r="H1719" t="str">
        <x:f>IF(E1719=F1719,"PASS","FAIL")</x:f>
        <x:v>PASS</x:v>
      </x:c>
    </x:row>
    <x:row r="1720">
      <x:c r="B1720" t="str">
        <x:v>A-01688</x:v>
      </x:c>
      <x:c r="C1720" t="str">
        <x:v>GATE</x:v>
      </x:c>
      <x:c r="D1720" t="str">
        <x:v>release state mirrors governing ledger</x:v>
      </x:c>
      <x:c r="E1720" t="str">
        <x:f>'Release Gates'!I1694</x:f>
        <x:v>OPEN</x:v>
      </x:c>
      <x:c r="F1720" t="str">
        <x:f>IF('Release Gates'!C1694="PLANNING","PASS",IF('Release Gates'!C1694="PHYSICAL","OPEN","BLOCKED"))</x:f>
        <x:v>OPEN</x:v>
      </x:c>
      <x:c r="G1720" t="str">
        <x:v>equals</x:v>
      </x:c>
      <x:c r="H1720" t="str">
        <x:f>IF(E1720=F1720,"PASS","FAIL")</x:f>
        <x:v>PASS</x:v>
      </x:c>
    </x:row>
    <x:row r="1721">
      <x:c r="B1721" t="str">
        <x:v>A-01689</x:v>
      </x:c>
      <x:c r="C1721" t="str">
        <x:v>GATE</x:v>
      </x:c>
      <x:c r="D1721" t="str">
        <x:v>release state mirrors governing ledger</x:v>
      </x:c>
      <x:c r="E1721" t="str">
        <x:f>'Release Gates'!I1695</x:f>
        <x:v>OPEN</x:v>
      </x:c>
      <x:c r="F1721" t="str">
        <x:f>IF('Release Gates'!C1695="PLANNING","PASS",IF('Release Gates'!C1695="PHYSICAL","OPEN","BLOCKED"))</x:f>
        <x:v>OPEN</x:v>
      </x:c>
      <x:c r="G1721" t="str">
        <x:v>equals</x:v>
      </x:c>
      <x:c r="H1721" t="str">
        <x:f>IF(E1721=F1721,"PASS","FAIL")</x:f>
        <x:v>PASS</x:v>
      </x:c>
    </x:row>
    <x:row r="1722">
      <x:c r="B1722" t="str">
        <x:v>A-01690</x:v>
      </x:c>
      <x:c r="C1722" t="str">
        <x:v>GATE</x:v>
      </x:c>
      <x:c r="D1722" t="str">
        <x:v>release state mirrors governing ledger</x:v>
      </x:c>
      <x:c r="E1722" t="str">
        <x:f>'Release Gates'!I1696</x:f>
        <x:v>OPEN</x:v>
      </x:c>
      <x:c r="F1722" t="str">
        <x:f>IF('Release Gates'!C1696="PLANNING","PASS",IF('Release Gates'!C1696="PHYSICAL","OPEN","BLOCKED"))</x:f>
        <x:v>OPEN</x:v>
      </x:c>
      <x:c r="G1722" t="str">
        <x:v>equals</x:v>
      </x:c>
      <x:c r="H1722" t="str">
        <x:f>IF(E1722=F1722,"PASS","FAIL")</x:f>
        <x:v>PASS</x:v>
      </x:c>
    </x:row>
    <x:row r="1723">
      <x:c r="B1723" t="str">
        <x:v>A-01691</x:v>
      </x:c>
      <x:c r="C1723" t="str">
        <x:v>GATE</x:v>
      </x:c>
      <x:c r="D1723" t="str">
        <x:v>release state mirrors governing ledger</x:v>
      </x:c>
      <x:c r="E1723" t="str">
        <x:f>'Release Gates'!I1697</x:f>
        <x:v>OPEN</x:v>
      </x:c>
      <x:c r="F1723" t="str">
        <x:f>IF('Release Gates'!C1697="PLANNING","PASS",IF('Release Gates'!C1697="PHYSICAL","OPEN","BLOCKED"))</x:f>
        <x:v>OPEN</x:v>
      </x:c>
      <x:c r="G1723" t="str">
        <x:v>equals</x:v>
      </x:c>
      <x:c r="H1723" t="str">
        <x:f>IF(E1723=F1723,"PASS","FAIL")</x:f>
        <x:v>PASS</x:v>
      </x:c>
    </x:row>
    <x:row r="1724">
      <x:c r="B1724" t="str">
        <x:v>A-01692</x:v>
      </x:c>
      <x:c r="C1724" t="str">
        <x:v>GATE</x:v>
      </x:c>
      <x:c r="D1724" t="str">
        <x:v>release state mirrors governing ledger</x:v>
      </x:c>
      <x:c r="E1724" t="str">
        <x:f>'Release Gates'!I1698</x:f>
        <x:v>OPEN</x:v>
      </x:c>
      <x:c r="F1724" t="str">
        <x:f>IF('Release Gates'!C1698="PLANNING","PASS",IF('Release Gates'!C1698="PHYSICAL","OPEN","BLOCKED"))</x:f>
        <x:v>OPEN</x:v>
      </x:c>
      <x:c r="G1724" t="str">
        <x:v>equals</x:v>
      </x:c>
      <x:c r="H1724" t="str">
        <x:f>IF(E1724=F1724,"PASS","FAIL")</x:f>
        <x:v>PASS</x:v>
      </x:c>
    </x:row>
    <x:row r="1725">
      <x:c r="B1725" t="str">
        <x:v>A-01693</x:v>
      </x:c>
      <x:c r="C1725" t="str">
        <x:v>GATE</x:v>
      </x:c>
      <x:c r="D1725" t="str">
        <x:v>release state mirrors governing ledger</x:v>
      </x:c>
      <x:c r="E1725" t="str">
        <x:f>'Release Gates'!I1699</x:f>
        <x:v>OPEN</x:v>
      </x:c>
      <x:c r="F1725" t="str">
        <x:f>IF('Release Gates'!C1699="PLANNING","PASS",IF('Release Gates'!C1699="PHYSICAL","OPEN","BLOCKED"))</x:f>
        <x:v>OPEN</x:v>
      </x:c>
      <x:c r="G1725" t="str">
        <x:v>equals</x:v>
      </x:c>
      <x:c r="H1725" t="str">
        <x:f>IF(E1725=F1725,"PASS","FAIL")</x:f>
        <x:v>PASS</x:v>
      </x:c>
    </x:row>
    <x:row r="1726">
      <x:c r="B1726" t="str">
        <x:v>A-01694</x:v>
      </x:c>
      <x:c r="C1726" t="str">
        <x:v>GATE</x:v>
      </x:c>
      <x:c r="D1726" t="str">
        <x:v>release state mirrors governing ledger</x:v>
      </x:c>
      <x:c r="E1726" t="str">
        <x:f>'Release Gates'!I1700</x:f>
        <x:v>OPEN</x:v>
      </x:c>
      <x:c r="F1726" t="str">
        <x:f>IF('Release Gates'!C1700="PLANNING","PASS",IF('Release Gates'!C1700="PHYSICAL","OPEN","BLOCKED"))</x:f>
        <x:v>OPEN</x:v>
      </x:c>
      <x:c r="G1726" t="str">
        <x:v>equals</x:v>
      </x:c>
      <x:c r="H1726" t="str">
        <x:f>IF(E1726=F1726,"PASS","FAIL")</x:f>
        <x:v>PASS</x:v>
      </x:c>
    </x:row>
    <x:row r="1727">
      <x:c r="B1727" t="str">
        <x:v>A-01695</x:v>
      </x:c>
      <x:c r="C1727" t="str">
        <x:v>GATE</x:v>
      </x:c>
      <x:c r="D1727" t="str">
        <x:v>release state mirrors governing ledger</x:v>
      </x:c>
      <x:c r="E1727" t="str">
        <x:f>'Release Gates'!I1701</x:f>
        <x:v>OPEN</x:v>
      </x:c>
      <x:c r="F1727" t="str">
        <x:f>IF('Release Gates'!C1701="PLANNING","PASS",IF('Release Gates'!C1701="PHYSICAL","OPEN","BLOCKED"))</x:f>
        <x:v>OPEN</x:v>
      </x:c>
      <x:c r="G1727" t="str">
        <x:v>equals</x:v>
      </x:c>
      <x:c r="H1727" t="str">
        <x:f>IF(E1727=F1727,"PASS","FAIL")</x:f>
        <x:v>PASS</x:v>
      </x:c>
    </x:row>
    <x:row r="1728">
      <x:c r="B1728" t="str">
        <x:v>A-01696</x:v>
      </x:c>
      <x:c r="C1728" t="str">
        <x:v>GATE</x:v>
      </x:c>
      <x:c r="D1728" t="str">
        <x:v>release state mirrors governing ledger</x:v>
      </x:c>
      <x:c r="E1728" t="str">
        <x:f>'Release Gates'!I1702</x:f>
        <x:v>OPEN</x:v>
      </x:c>
      <x:c r="F1728" t="str">
        <x:f>IF('Release Gates'!C1702="PLANNING","PASS",IF('Release Gates'!C1702="PHYSICAL","OPEN","BLOCKED"))</x:f>
        <x:v>OPEN</x:v>
      </x:c>
      <x:c r="G1728" t="str">
        <x:v>equals</x:v>
      </x:c>
      <x:c r="H1728" t="str">
        <x:f>IF(E1728=F1728,"PASS","FAIL")</x:f>
        <x:v>PASS</x:v>
      </x:c>
    </x:row>
    <x:row r="1729">
      <x:c r="B1729" t="str">
        <x:v>A-01697</x:v>
      </x:c>
      <x:c r="C1729" t="str">
        <x:v>GATE</x:v>
      </x:c>
      <x:c r="D1729" t="str">
        <x:v>release state mirrors governing ledger</x:v>
      </x:c>
      <x:c r="E1729" t="str">
        <x:f>'Release Gates'!I1703</x:f>
        <x:v>OPEN</x:v>
      </x:c>
      <x:c r="F1729" t="str">
        <x:f>IF('Release Gates'!C1703="PLANNING","PASS",IF('Release Gates'!C1703="PHYSICAL","OPEN","BLOCKED"))</x:f>
        <x:v>OPEN</x:v>
      </x:c>
      <x:c r="G1729" t="str">
        <x:v>equals</x:v>
      </x:c>
      <x:c r="H1729" t="str">
        <x:f>IF(E1729=F1729,"PASS","FAIL")</x:f>
        <x:v>PASS</x:v>
      </x:c>
    </x:row>
    <x:row r="1730">
      <x:c r="B1730" t="str">
        <x:v>A-01698</x:v>
      </x:c>
      <x:c r="C1730" t="str">
        <x:v>GATE</x:v>
      </x:c>
      <x:c r="D1730" t="str">
        <x:v>release state mirrors governing ledger</x:v>
      </x:c>
      <x:c r="E1730" t="str">
        <x:f>'Release Gates'!I1704</x:f>
        <x:v>OPEN</x:v>
      </x:c>
      <x:c r="F1730" t="str">
        <x:f>IF('Release Gates'!C1704="PLANNING","PASS",IF('Release Gates'!C1704="PHYSICAL","OPEN","BLOCKED"))</x:f>
        <x:v>OPEN</x:v>
      </x:c>
      <x:c r="G1730" t="str">
        <x:v>equals</x:v>
      </x:c>
      <x:c r="H1730" t="str">
        <x:f>IF(E1730=F1730,"PASS","FAIL")</x:f>
        <x:v>PASS</x:v>
      </x:c>
    </x:row>
    <x:row r="1731">
      <x:c r="B1731" t="str">
        <x:v>A-01699</x:v>
      </x:c>
      <x:c r="C1731" t="str">
        <x:v>GATE</x:v>
      </x:c>
      <x:c r="D1731" t="str">
        <x:v>release state mirrors governing ledger</x:v>
      </x:c>
      <x:c r="E1731" t="str">
        <x:f>'Release Gates'!I1705</x:f>
        <x:v>OPEN</x:v>
      </x:c>
      <x:c r="F1731" t="str">
        <x:f>IF('Release Gates'!C1705="PLANNING","PASS",IF('Release Gates'!C1705="PHYSICAL","OPEN","BLOCKED"))</x:f>
        <x:v>OPEN</x:v>
      </x:c>
      <x:c r="G1731" t="str">
        <x:v>equals</x:v>
      </x:c>
      <x:c r="H1731" t="str">
        <x:f>IF(E1731=F1731,"PASS","FAIL")</x:f>
        <x:v>PASS</x:v>
      </x:c>
    </x:row>
    <x:row r="1732">
      <x:c r="B1732" t="str">
        <x:v>A-01700</x:v>
      </x:c>
      <x:c r="C1732" t="str">
        <x:v>GATE</x:v>
      </x:c>
      <x:c r="D1732" t="str">
        <x:v>release state mirrors governing ledger</x:v>
      </x:c>
      <x:c r="E1732" t="str">
        <x:f>'Release Gates'!I1706</x:f>
        <x:v>OPEN</x:v>
      </x:c>
      <x:c r="F1732" t="str">
        <x:f>IF('Release Gates'!C1706="PLANNING","PASS",IF('Release Gates'!C1706="PHYSICAL","OPEN","BLOCKED"))</x:f>
        <x:v>OPEN</x:v>
      </x:c>
      <x:c r="G1732" t="str">
        <x:v>equals</x:v>
      </x:c>
      <x:c r="H1732" t="str">
        <x:f>IF(E1732=F1732,"PASS","FAIL")</x:f>
        <x:v>PASS</x:v>
      </x:c>
    </x:row>
    <x:row r="1733">
      <x:c r="B1733" t="str">
        <x:v>A-01701</x:v>
      </x:c>
      <x:c r="C1733" t="str">
        <x:v>GATE</x:v>
      </x:c>
      <x:c r="D1733" t="str">
        <x:v>release state mirrors governing ledger</x:v>
      </x:c>
      <x:c r="E1733" t="str">
        <x:f>'Release Gates'!I1707</x:f>
        <x:v>OPEN</x:v>
      </x:c>
      <x:c r="F1733" t="str">
        <x:f>IF('Release Gates'!C1707="PLANNING","PASS",IF('Release Gates'!C1707="PHYSICAL","OPEN","BLOCKED"))</x:f>
        <x:v>OPEN</x:v>
      </x:c>
      <x:c r="G1733" t="str">
        <x:v>equals</x:v>
      </x:c>
      <x:c r="H1733" t="str">
        <x:f>IF(E1733=F1733,"PASS","FAIL")</x:f>
        <x:v>PASS</x:v>
      </x:c>
    </x:row>
    <x:row r="1734">
      <x:c r="B1734" t="str">
        <x:v>A-01702</x:v>
      </x:c>
      <x:c r="C1734" t="str">
        <x:v>GATE</x:v>
      </x:c>
      <x:c r="D1734" t="str">
        <x:v>release state mirrors governing ledger</x:v>
      </x:c>
      <x:c r="E1734" t="str">
        <x:f>'Release Gates'!I1708</x:f>
        <x:v>OPEN</x:v>
      </x:c>
      <x:c r="F1734" t="str">
        <x:f>IF('Release Gates'!C1708="PLANNING","PASS",IF('Release Gates'!C1708="PHYSICAL","OPEN","BLOCKED"))</x:f>
        <x:v>OPEN</x:v>
      </x:c>
      <x:c r="G1734" t="str">
        <x:v>equals</x:v>
      </x:c>
      <x:c r="H1734" t="str">
        <x:f>IF(E1734=F1734,"PASS","FAIL")</x:f>
        <x:v>PASS</x:v>
      </x:c>
    </x:row>
    <x:row r="1735">
      <x:c r="B1735" t="str">
        <x:v>A-01703</x:v>
      </x:c>
      <x:c r="C1735" t="str">
        <x:v>GATE</x:v>
      </x:c>
      <x:c r="D1735" t="str">
        <x:v>release state mirrors governing ledger</x:v>
      </x:c>
      <x:c r="E1735" t="str">
        <x:f>'Release Gates'!I1709</x:f>
        <x:v>OPEN</x:v>
      </x:c>
      <x:c r="F1735" t="str">
        <x:f>IF('Release Gates'!C1709="PLANNING","PASS",IF('Release Gates'!C1709="PHYSICAL","OPEN","BLOCKED"))</x:f>
        <x:v>OPEN</x:v>
      </x:c>
      <x:c r="G1735" t="str">
        <x:v>equals</x:v>
      </x:c>
      <x:c r="H1735" t="str">
        <x:f>IF(E1735=F1735,"PASS","FAIL")</x:f>
        <x:v>PASS</x:v>
      </x:c>
    </x:row>
    <x:row r="1736">
      <x:c r="B1736" t="str">
        <x:v>A-01704</x:v>
      </x:c>
      <x:c r="C1736" t="str">
        <x:v>GATE</x:v>
      </x:c>
      <x:c r="D1736" t="str">
        <x:v>release state mirrors governing ledger</x:v>
      </x:c>
      <x:c r="E1736" t="str">
        <x:f>'Release Gates'!I1710</x:f>
        <x:v>OPEN</x:v>
      </x:c>
      <x:c r="F1736" t="str">
        <x:f>IF('Release Gates'!C1710="PLANNING","PASS",IF('Release Gates'!C1710="PHYSICAL","OPEN","BLOCKED"))</x:f>
        <x:v>OPEN</x:v>
      </x:c>
      <x:c r="G1736" t="str">
        <x:v>equals</x:v>
      </x:c>
      <x:c r="H1736" t="str">
        <x:f>IF(E1736=F1736,"PASS","FAIL")</x:f>
        <x:v>PASS</x:v>
      </x:c>
    </x:row>
    <x:row r="1737">
      <x:c r="B1737" t="str">
        <x:v>A-01705</x:v>
      </x:c>
      <x:c r="C1737" t="str">
        <x:v>GATE</x:v>
      </x:c>
      <x:c r="D1737" t="str">
        <x:v>release state mirrors governing ledger</x:v>
      </x:c>
      <x:c r="E1737" t="str">
        <x:f>'Release Gates'!I1711</x:f>
        <x:v>OPEN</x:v>
      </x:c>
      <x:c r="F1737" t="str">
        <x:f>IF('Release Gates'!C1711="PLANNING","PASS",IF('Release Gates'!C1711="PHYSICAL","OPEN","BLOCKED"))</x:f>
        <x:v>OPEN</x:v>
      </x:c>
      <x:c r="G1737" t="str">
        <x:v>equals</x:v>
      </x:c>
      <x:c r="H1737" t="str">
        <x:f>IF(E1737=F1737,"PASS","FAIL")</x:f>
        <x:v>PASS</x:v>
      </x:c>
    </x:row>
    <x:row r="1738">
      <x:c r="B1738" t="str">
        <x:v>A-01706</x:v>
      </x:c>
      <x:c r="C1738" t="str">
        <x:v>GATE</x:v>
      </x:c>
      <x:c r="D1738" t="str">
        <x:v>release state mirrors governing ledger</x:v>
      </x:c>
      <x:c r="E1738" t="str">
        <x:f>'Release Gates'!I1712</x:f>
        <x:v>OPEN</x:v>
      </x:c>
      <x:c r="F1738" t="str">
        <x:f>IF('Release Gates'!C1712="PLANNING","PASS",IF('Release Gates'!C1712="PHYSICAL","OPEN","BLOCKED"))</x:f>
        <x:v>OPEN</x:v>
      </x:c>
      <x:c r="G1738" t="str">
        <x:v>equals</x:v>
      </x:c>
      <x:c r="H1738" t="str">
        <x:f>IF(E1738=F1738,"PASS","FAIL")</x:f>
        <x:v>PASS</x:v>
      </x:c>
    </x:row>
    <x:row r="1739">
      <x:c r="B1739" t="str">
        <x:v>A-01707</x:v>
      </x:c>
      <x:c r="C1739" t="str">
        <x:v>GATE</x:v>
      </x:c>
      <x:c r="D1739" t="str">
        <x:v>release state mirrors governing ledger</x:v>
      </x:c>
      <x:c r="E1739" t="str">
        <x:f>'Release Gates'!I1713</x:f>
        <x:v>OPEN</x:v>
      </x:c>
      <x:c r="F1739" t="str">
        <x:f>IF('Release Gates'!C1713="PLANNING","PASS",IF('Release Gates'!C1713="PHYSICAL","OPEN","BLOCKED"))</x:f>
        <x:v>OPEN</x:v>
      </x:c>
      <x:c r="G1739" t="str">
        <x:v>equals</x:v>
      </x:c>
      <x:c r="H1739" t="str">
        <x:f>IF(E1739=F1739,"PASS","FAIL")</x:f>
        <x:v>PASS</x:v>
      </x:c>
    </x:row>
    <x:row r="1740">
      <x:c r="B1740" t="str">
        <x:v>A-01708</x:v>
      </x:c>
      <x:c r="C1740" t="str">
        <x:v>GATE</x:v>
      </x:c>
      <x:c r="D1740" t="str">
        <x:v>release state mirrors governing ledger</x:v>
      </x:c>
      <x:c r="E1740" t="str">
        <x:f>'Release Gates'!I1714</x:f>
        <x:v>OPEN</x:v>
      </x:c>
      <x:c r="F1740" t="str">
        <x:f>IF('Release Gates'!C1714="PLANNING","PASS",IF('Release Gates'!C1714="PHYSICAL","OPEN","BLOCKED"))</x:f>
        <x:v>OPEN</x:v>
      </x:c>
      <x:c r="G1740" t="str">
        <x:v>equals</x:v>
      </x:c>
      <x:c r="H1740" t="str">
        <x:f>IF(E1740=F1740,"PASS","FAIL")</x:f>
        <x:v>PASS</x:v>
      </x:c>
    </x:row>
    <x:row r="1741">
      <x:c r="B1741" t="str">
        <x:v>A-01709</x:v>
      </x:c>
      <x:c r="C1741" t="str">
        <x:v>GATE</x:v>
      </x:c>
      <x:c r="D1741" t="str">
        <x:v>release state mirrors governing ledger</x:v>
      </x:c>
      <x:c r="E1741" t="str">
        <x:f>'Release Gates'!I1715</x:f>
        <x:v>OPEN</x:v>
      </x:c>
      <x:c r="F1741" t="str">
        <x:f>IF('Release Gates'!C1715="PLANNING","PASS",IF('Release Gates'!C1715="PHYSICAL","OPEN","BLOCKED"))</x:f>
        <x:v>OPEN</x:v>
      </x:c>
      <x:c r="G1741" t="str">
        <x:v>equals</x:v>
      </x:c>
      <x:c r="H1741" t="str">
        <x:f>IF(E1741=F1741,"PASS","FAIL")</x:f>
        <x:v>PASS</x:v>
      </x:c>
    </x:row>
    <x:row r="1742">
      <x:c r="B1742" t="str">
        <x:v>A-01710</x:v>
      </x:c>
      <x:c r="C1742" t="str">
        <x:v>GATE</x:v>
      </x:c>
      <x:c r="D1742" t="str">
        <x:v>release state mirrors governing ledger</x:v>
      </x:c>
      <x:c r="E1742" t="str">
        <x:f>'Release Gates'!I1716</x:f>
        <x:v>OPEN</x:v>
      </x:c>
      <x:c r="F1742" t="str">
        <x:f>IF('Release Gates'!C1716="PLANNING","PASS",IF('Release Gates'!C1716="PHYSICAL","OPEN","BLOCKED"))</x:f>
        <x:v>OPEN</x:v>
      </x:c>
      <x:c r="G1742" t="str">
        <x:v>equals</x:v>
      </x:c>
      <x:c r="H1742" t="str">
        <x:f>IF(E1742=F1742,"PASS","FAIL")</x:f>
        <x:v>PASS</x:v>
      </x:c>
    </x:row>
    <x:row r="1743">
      <x:c r="B1743" t="str">
        <x:v>A-01711</x:v>
      </x:c>
      <x:c r="C1743" t="str">
        <x:v>GATE</x:v>
      </x:c>
      <x:c r="D1743" t="str">
        <x:v>release state mirrors governing ledger</x:v>
      </x:c>
      <x:c r="E1743" t="str">
        <x:f>'Release Gates'!I1717</x:f>
        <x:v>OPEN</x:v>
      </x:c>
      <x:c r="F1743" t="str">
        <x:f>IF('Release Gates'!C1717="PLANNING","PASS",IF('Release Gates'!C1717="PHYSICAL","OPEN","BLOCKED"))</x:f>
        <x:v>OPEN</x:v>
      </x:c>
      <x:c r="G1743" t="str">
        <x:v>equals</x:v>
      </x:c>
      <x:c r="H1743" t="str">
        <x:f>IF(E1743=F1743,"PASS","FAIL")</x:f>
        <x:v>PASS</x:v>
      </x:c>
    </x:row>
    <x:row r="1744">
      <x:c r="B1744" t="str">
        <x:v>A-01712</x:v>
      </x:c>
      <x:c r="C1744" t="str">
        <x:v>GATE</x:v>
      </x:c>
      <x:c r="D1744" t="str">
        <x:v>release state mirrors governing ledger</x:v>
      </x:c>
      <x:c r="E1744" t="str">
        <x:f>'Release Gates'!I1718</x:f>
        <x:v>OPEN</x:v>
      </x:c>
      <x:c r="F1744" t="str">
        <x:f>IF('Release Gates'!C1718="PLANNING","PASS",IF('Release Gates'!C1718="PHYSICAL","OPEN","BLOCKED"))</x:f>
        <x:v>OPEN</x:v>
      </x:c>
      <x:c r="G1744" t="str">
        <x:v>equals</x:v>
      </x:c>
      <x:c r="H1744" t="str">
        <x:f>IF(E1744=F1744,"PASS","FAIL")</x:f>
        <x:v>PASS</x:v>
      </x:c>
    </x:row>
    <x:row r="1745">
      <x:c r="B1745" t="str">
        <x:v>A-01713</x:v>
      </x:c>
      <x:c r="C1745" t="str">
        <x:v>GATE</x:v>
      </x:c>
      <x:c r="D1745" t="str">
        <x:v>release state mirrors governing ledger</x:v>
      </x:c>
      <x:c r="E1745" t="str">
        <x:f>'Release Gates'!I1719</x:f>
        <x:v>OPEN</x:v>
      </x:c>
      <x:c r="F1745" t="str">
        <x:f>IF('Release Gates'!C1719="PLANNING","PASS",IF('Release Gates'!C1719="PHYSICAL","OPEN","BLOCKED"))</x:f>
        <x:v>OPEN</x:v>
      </x:c>
      <x:c r="G1745" t="str">
        <x:v>equals</x:v>
      </x:c>
      <x:c r="H1745" t="str">
        <x:f>IF(E1745=F1745,"PASS","FAIL")</x:f>
        <x:v>PASS</x:v>
      </x:c>
    </x:row>
    <x:row r="1746">
      <x:c r="B1746" t="str">
        <x:v>A-01714</x:v>
      </x:c>
      <x:c r="C1746" t="str">
        <x:v>GATE</x:v>
      </x:c>
      <x:c r="D1746" t="str">
        <x:v>release state mirrors governing ledger</x:v>
      </x:c>
      <x:c r="E1746" t="str">
        <x:f>'Release Gates'!I1720</x:f>
        <x:v>OPEN</x:v>
      </x:c>
      <x:c r="F1746" t="str">
        <x:f>IF('Release Gates'!C1720="PLANNING","PASS",IF('Release Gates'!C1720="PHYSICAL","OPEN","BLOCKED"))</x:f>
        <x:v>OPEN</x:v>
      </x:c>
      <x:c r="G1746" t="str">
        <x:v>equals</x:v>
      </x:c>
      <x:c r="H1746" t="str">
        <x:f>IF(E1746=F1746,"PASS","FAIL")</x:f>
        <x:v>PASS</x:v>
      </x:c>
    </x:row>
    <x:row r="1747">
      <x:c r="B1747" t="str">
        <x:v>A-01715</x:v>
      </x:c>
      <x:c r="C1747" t="str">
        <x:v>GATE</x:v>
      </x:c>
      <x:c r="D1747" t="str">
        <x:v>release state mirrors governing ledger</x:v>
      </x:c>
      <x:c r="E1747" t="str">
        <x:f>'Release Gates'!I1721</x:f>
        <x:v>OPEN</x:v>
      </x:c>
      <x:c r="F1747" t="str">
        <x:f>IF('Release Gates'!C1721="PLANNING","PASS",IF('Release Gates'!C1721="PHYSICAL","OPEN","BLOCKED"))</x:f>
        <x:v>OPEN</x:v>
      </x:c>
      <x:c r="G1747" t="str">
        <x:v>equals</x:v>
      </x:c>
      <x:c r="H1747" t="str">
        <x:f>IF(E1747=F1747,"PASS","FAIL")</x:f>
        <x:v>PASS</x:v>
      </x:c>
    </x:row>
    <x:row r="1748">
      <x:c r="B1748" t="str">
        <x:v>A-01716</x:v>
      </x:c>
      <x:c r="C1748" t="str">
        <x:v>GATE</x:v>
      </x:c>
      <x:c r="D1748" t="str">
        <x:v>release state mirrors governing ledger</x:v>
      </x:c>
      <x:c r="E1748" t="str">
        <x:f>'Release Gates'!I1722</x:f>
        <x:v>OPEN</x:v>
      </x:c>
      <x:c r="F1748" t="str">
        <x:f>IF('Release Gates'!C1722="PLANNING","PASS",IF('Release Gates'!C1722="PHYSICAL","OPEN","BLOCKED"))</x:f>
        <x:v>OPEN</x:v>
      </x:c>
      <x:c r="G1748" t="str">
        <x:v>equals</x:v>
      </x:c>
      <x:c r="H1748" t="str">
        <x:f>IF(E1748=F1748,"PASS","FAIL")</x:f>
        <x:v>PASS</x:v>
      </x:c>
    </x:row>
    <x:row r="1749">
      <x:c r="B1749" t="str">
        <x:v>A-01717</x:v>
      </x:c>
      <x:c r="C1749" t="str">
        <x:v>GATE</x:v>
      </x:c>
      <x:c r="D1749" t="str">
        <x:v>release state mirrors governing ledger</x:v>
      </x:c>
      <x:c r="E1749" t="str">
        <x:f>'Release Gates'!I1723</x:f>
        <x:v>OPEN</x:v>
      </x:c>
      <x:c r="F1749" t="str">
        <x:f>IF('Release Gates'!C1723="PLANNING","PASS",IF('Release Gates'!C1723="PHYSICAL","OPEN","BLOCKED"))</x:f>
        <x:v>OPEN</x:v>
      </x:c>
      <x:c r="G1749" t="str">
        <x:v>equals</x:v>
      </x:c>
      <x:c r="H1749" t="str">
        <x:f>IF(E1749=F1749,"PASS","FAIL")</x:f>
        <x:v>PASS</x:v>
      </x:c>
    </x:row>
    <x:row r="1750">
      <x:c r="B1750" t="str">
        <x:v>A-01718</x:v>
      </x:c>
      <x:c r="C1750" t="str">
        <x:v>GATE</x:v>
      </x:c>
      <x:c r="D1750" t="str">
        <x:v>release state mirrors governing ledger</x:v>
      </x:c>
      <x:c r="E1750" t="str">
        <x:f>'Release Gates'!I1724</x:f>
        <x:v>OPEN</x:v>
      </x:c>
      <x:c r="F1750" t="str">
        <x:f>IF('Release Gates'!C1724="PLANNING","PASS",IF('Release Gates'!C1724="PHYSICAL","OPEN","BLOCKED"))</x:f>
        <x:v>OPEN</x:v>
      </x:c>
      <x:c r="G1750" t="str">
        <x:v>equals</x:v>
      </x:c>
      <x:c r="H1750" t="str">
        <x:f>IF(E1750=F1750,"PASS","FAIL")</x:f>
        <x:v>PASS</x:v>
      </x:c>
    </x:row>
    <x:row r="1751">
      <x:c r="B1751" t="str">
        <x:v>A-01719</x:v>
      </x:c>
      <x:c r="C1751" t="str">
        <x:v>GATE</x:v>
      </x:c>
      <x:c r="D1751" t="str">
        <x:v>release state mirrors governing ledger</x:v>
      </x:c>
      <x:c r="E1751" t="str">
        <x:f>'Release Gates'!I1725</x:f>
        <x:v>OPEN</x:v>
      </x:c>
      <x:c r="F1751" t="str">
        <x:f>IF('Release Gates'!C1725="PLANNING","PASS",IF('Release Gates'!C1725="PHYSICAL","OPEN","BLOCKED"))</x:f>
        <x:v>OPEN</x:v>
      </x:c>
      <x:c r="G1751" t="str">
        <x:v>equals</x:v>
      </x:c>
      <x:c r="H1751" t="str">
        <x:f>IF(E1751=F1751,"PASS","FAIL")</x:f>
        <x:v>PASS</x:v>
      </x:c>
    </x:row>
    <x:row r="1752">
      <x:c r="B1752" t="str">
        <x:v>A-01720</x:v>
      </x:c>
      <x:c r="C1752" t="str">
        <x:v>GATE</x:v>
      </x:c>
      <x:c r="D1752" t="str">
        <x:v>release state mirrors governing ledger</x:v>
      </x:c>
      <x:c r="E1752" t="str">
        <x:f>'Release Gates'!I1726</x:f>
        <x:v>OPEN</x:v>
      </x:c>
      <x:c r="F1752" t="str">
        <x:f>IF('Release Gates'!C1726="PLANNING","PASS",IF('Release Gates'!C1726="PHYSICAL","OPEN","BLOCKED"))</x:f>
        <x:v>OPEN</x:v>
      </x:c>
      <x:c r="G1752" t="str">
        <x:v>equals</x:v>
      </x:c>
      <x:c r="H1752" t="str">
        <x:f>IF(E1752=F1752,"PASS","FAIL")</x:f>
        <x:v>PASS</x:v>
      </x:c>
    </x:row>
    <x:row r="1753">
      <x:c r="B1753" t="str">
        <x:v>A-01721</x:v>
      </x:c>
      <x:c r="C1753" t="str">
        <x:v>GATE</x:v>
      </x:c>
      <x:c r="D1753" t="str">
        <x:v>release state mirrors governing ledger</x:v>
      </x:c>
      <x:c r="E1753" t="str">
        <x:f>'Release Gates'!I1727</x:f>
        <x:v>OPEN</x:v>
      </x:c>
      <x:c r="F1753" t="str">
        <x:f>IF('Release Gates'!C1727="PLANNING","PASS",IF('Release Gates'!C1727="PHYSICAL","OPEN","BLOCKED"))</x:f>
        <x:v>OPEN</x:v>
      </x:c>
      <x:c r="G1753" t="str">
        <x:v>equals</x:v>
      </x:c>
      <x:c r="H1753" t="str">
        <x:f>IF(E1753=F1753,"PASS","FAIL")</x:f>
        <x:v>PASS</x:v>
      </x:c>
    </x:row>
    <x:row r="1754">
      <x:c r="B1754" t="str">
        <x:v>A-01722</x:v>
      </x:c>
      <x:c r="C1754" t="str">
        <x:v>GATE</x:v>
      </x:c>
      <x:c r="D1754" t="str">
        <x:v>release state mirrors governing ledger</x:v>
      </x:c>
      <x:c r="E1754" t="str">
        <x:f>'Release Gates'!I1728</x:f>
        <x:v>OPEN</x:v>
      </x:c>
      <x:c r="F1754" t="str">
        <x:f>IF('Release Gates'!C1728="PLANNING","PASS",IF('Release Gates'!C1728="PHYSICAL","OPEN","BLOCKED"))</x:f>
        <x:v>OPEN</x:v>
      </x:c>
      <x:c r="G1754" t="str">
        <x:v>equals</x:v>
      </x:c>
      <x:c r="H1754" t="str">
        <x:f>IF(E1754=F1754,"PASS","FAIL")</x:f>
        <x:v>PASS</x:v>
      </x:c>
    </x:row>
    <x:row r="1755">
      <x:c r="B1755" t="str">
        <x:v>A-01723</x:v>
      </x:c>
      <x:c r="C1755" t="str">
        <x:v>GATE</x:v>
      </x:c>
      <x:c r="D1755" t="str">
        <x:v>release state mirrors governing ledger</x:v>
      </x:c>
      <x:c r="E1755" t="str">
        <x:f>'Release Gates'!I1729</x:f>
        <x:v>OPEN</x:v>
      </x:c>
      <x:c r="F1755" t="str">
        <x:f>IF('Release Gates'!C1729="PLANNING","PASS",IF('Release Gates'!C1729="PHYSICAL","OPEN","BLOCKED"))</x:f>
        <x:v>OPEN</x:v>
      </x:c>
      <x:c r="G1755" t="str">
        <x:v>equals</x:v>
      </x:c>
      <x:c r="H1755" t="str">
        <x:f>IF(E1755=F1755,"PASS","FAIL")</x:f>
        <x:v>PASS</x:v>
      </x:c>
    </x:row>
    <x:row r="1756">
      <x:c r="B1756" t="str">
        <x:v>A-01724</x:v>
      </x:c>
      <x:c r="C1756" t="str">
        <x:v>GATE</x:v>
      </x:c>
      <x:c r="D1756" t="str">
        <x:v>release state mirrors governing ledger</x:v>
      </x:c>
      <x:c r="E1756" t="str">
        <x:f>'Release Gates'!I1730</x:f>
        <x:v>OPEN</x:v>
      </x:c>
      <x:c r="F1756" t="str">
        <x:f>IF('Release Gates'!C1730="PLANNING","PASS",IF('Release Gates'!C1730="PHYSICAL","OPEN","BLOCKED"))</x:f>
        <x:v>OPEN</x:v>
      </x:c>
      <x:c r="G1756" t="str">
        <x:v>equals</x:v>
      </x:c>
      <x:c r="H1756" t="str">
        <x:f>IF(E1756=F1756,"PASS","FAIL")</x:f>
        <x:v>PASS</x:v>
      </x:c>
    </x:row>
    <x:row r="1757">
      <x:c r="B1757" t="str">
        <x:v>A-01725</x:v>
      </x:c>
      <x:c r="C1757" t="str">
        <x:v>GATE</x:v>
      </x:c>
      <x:c r="D1757" t="str">
        <x:v>release state mirrors governing ledger</x:v>
      </x:c>
      <x:c r="E1757" t="str">
        <x:f>'Release Gates'!I1731</x:f>
        <x:v>OPEN</x:v>
      </x:c>
      <x:c r="F1757" t="str">
        <x:f>IF('Release Gates'!C1731="PLANNING","PASS",IF('Release Gates'!C1731="PHYSICAL","OPEN","BLOCKED"))</x:f>
        <x:v>OPEN</x:v>
      </x:c>
      <x:c r="G1757" t="str">
        <x:v>equals</x:v>
      </x:c>
      <x:c r="H1757" t="str">
        <x:f>IF(E1757=F1757,"PASS","FAIL")</x:f>
        <x:v>PASS</x:v>
      </x:c>
    </x:row>
    <x:row r="1758">
      <x:c r="B1758" t="str">
        <x:v>A-01726</x:v>
      </x:c>
      <x:c r="C1758" t="str">
        <x:v>GATE</x:v>
      </x:c>
      <x:c r="D1758" t="str">
        <x:v>release state mirrors governing ledger</x:v>
      </x:c>
      <x:c r="E1758" t="str">
        <x:f>'Release Gates'!I1732</x:f>
        <x:v>OPEN</x:v>
      </x:c>
      <x:c r="F1758" t="str">
        <x:f>IF('Release Gates'!C1732="PLANNING","PASS",IF('Release Gates'!C1732="PHYSICAL","OPEN","BLOCKED"))</x:f>
        <x:v>OPEN</x:v>
      </x:c>
      <x:c r="G1758" t="str">
        <x:v>equals</x:v>
      </x:c>
      <x:c r="H1758" t="str">
        <x:f>IF(E1758=F1758,"PASS","FAIL")</x:f>
        <x:v>PASS</x:v>
      </x:c>
    </x:row>
    <x:row r="1759">
      <x:c r="B1759" t="str">
        <x:v>A-01727</x:v>
      </x:c>
      <x:c r="C1759" t="str">
        <x:v>GATE</x:v>
      </x:c>
      <x:c r="D1759" t="str">
        <x:v>release state mirrors governing ledger</x:v>
      </x:c>
      <x:c r="E1759" t="str">
        <x:f>'Release Gates'!I1733</x:f>
        <x:v>OPEN</x:v>
      </x:c>
      <x:c r="F1759" t="str">
        <x:f>IF('Release Gates'!C1733="PLANNING","PASS",IF('Release Gates'!C1733="PHYSICAL","OPEN","BLOCKED"))</x:f>
        <x:v>OPEN</x:v>
      </x:c>
      <x:c r="G1759" t="str">
        <x:v>equals</x:v>
      </x:c>
      <x:c r="H1759" t="str">
        <x:f>IF(E1759=F1759,"PASS","FAIL")</x:f>
        <x:v>PASS</x:v>
      </x:c>
    </x:row>
    <x:row r="1760">
      <x:c r="B1760" t="str">
        <x:v>A-01728</x:v>
      </x:c>
      <x:c r="C1760" t="str">
        <x:v>GATE</x:v>
      </x:c>
      <x:c r="D1760" t="str">
        <x:v>release state mirrors governing ledger</x:v>
      </x:c>
      <x:c r="E1760" t="str">
        <x:f>'Release Gates'!I1734</x:f>
        <x:v>OPEN</x:v>
      </x:c>
      <x:c r="F1760" t="str">
        <x:f>IF('Release Gates'!C1734="PLANNING","PASS",IF('Release Gates'!C1734="PHYSICAL","OPEN","BLOCKED"))</x:f>
        <x:v>OPEN</x:v>
      </x:c>
      <x:c r="G1760" t="str">
        <x:v>equals</x:v>
      </x:c>
      <x:c r="H1760" t="str">
        <x:f>IF(E1760=F1760,"PASS","FAIL")</x:f>
        <x:v>PASS</x:v>
      </x:c>
    </x:row>
    <x:row r="1761">
      <x:c r="B1761" t="str">
        <x:v>A-01729</x:v>
      </x:c>
      <x:c r="C1761" t="str">
        <x:v>GATE</x:v>
      </x:c>
      <x:c r="D1761" t="str">
        <x:v>release state mirrors governing ledger</x:v>
      </x:c>
      <x:c r="E1761" t="str">
        <x:f>'Release Gates'!I1735</x:f>
        <x:v>OPEN</x:v>
      </x:c>
      <x:c r="F1761" t="str">
        <x:f>IF('Release Gates'!C1735="PLANNING","PASS",IF('Release Gates'!C1735="PHYSICAL","OPEN","BLOCKED"))</x:f>
        <x:v>OPEN</x:v>
      </x:c>
      <x:c r="G1761" t="str">
        <x:v>equals</x:v>
      </x:c>
      <x:c r="H1761" t="str">
        <x:f>IF(E1761=F1761,"PASS","FAIL")</x:f>
        <x:v>PASS</x:v>
      </x:c>
    </x:row>
    <x:row r="1762">
      <x:c r="B1762" t="str">
        <x:v>A-01730</x:v>
      </x:c>
      <x:c r="C1762" t="str">
        <x:v>GATE</x:v>
      </x:c>
      <x:c r="D1762" t="str">
        <x:v>release state mirrors governing ledger</x:v>
      </x:c>
      <x:c r="E1762" t="str">
        <x:f>'Release Gates'!I1736</x:f>
        <x:v>OPEN</x:v>
      </x:c>
      <x:c r="F1762" t="str">
        <x:f>IF('Release Gates'!C1736="PLANNING","PASS",IF('Release Gates'!C1736="PHYSICAL","OPEN","BLOCKED"))</x:f>
        <x:v>OPEN</x:v>
      </x:c>
      <x:c r="G1762" t="str">
        <x:v>equals</x:v>
      </x:c>
      <x:c r="H1762" t="str">
        <x:f>IF(E1762=F1762,"PASS","FAIL")</x:f>
        <x:v>PASS</x:v>
      </x:c>
    </x:row>
    <x:row r="1763">
      <x:c r="B1763" t="str">
        <x:v>A-01731</x:v>
      </x:c>
      <x:c r="C1763" t="str">
        <x:v>GATE</x:v>
      </x:c>
      <x:c r="D1763" t="str">
        <x:v>release state mirrors governing ledger</x:v>
      </x:c>
      <x:c r="E1763" t="str">
        <x:f>'Release Gates'!I1737</x:f>
        <x:v>OPEN</x:v>
      </x:c>
      <x:c r="F1763" t="str">
        <x:f>IF('Release Gates'!C1737="PLANNING","PASS",IF('Release Gates'!C1737="PHYSICAL","OPEN","BLOCKED"))</x:f>
        <x:v>OPEN</x:v>
      </x:c>
      <x:c r="G1763" t="str">
        <x:v>equals</x:v>
      </x:c>
      <x:c r="H1763" t="str">
        <x:f>IF(E1763=F1763,"PASS","FAIL")</x:f>
        <x:v>PASS</x:v>
      </x:c>
    </x:row>
    <x:row r="1764">
      <x:c r="B1764" t="str">
        <x:v>A-01732</x:v>
      </x:c>
      <x:c r="C1764" t="str">
        <x:v>GATE</x:v>
      </x:c>
      <x:c r="D1764" t="str">
        <x:v>release state mirrors governing ledger</x:v>
      </x:c>
      <x:c r="E1764" t="str">
        <x:f>'Release Gates'!I1738</x:f>
        <x:v>OPEN</x:v>
      </x:c>
      <x:c r="F1764" t="str">
        <x:f>IF('Release Gates'!C1738="PLANNING","PASS",IF('Release Gates'!C1738="PHYSICAL","OPEN","BLOCKED"))</x:f>
        <x:v>OPEN</x:v>
      </x:c>
      <x:c r="G1764" t="str">
        <x:v>equals</x:v>
      </x:c>
      <x:c r="H1764" t="str">
        <x:f>IF(E1764=F1764,"PASS","FAIL")</x:f>
        <x:v>PASS</x:v>
      </x:c>
    </x:row>
    <x:row r="1765">
      <x:c r="B1765" t="str">
        <x:v>A-01733</x:v>
      </x:c>
      <x:c r="C1765" t="str">
        <x:v>GATE</x:v>
      </x:c>
      <x:c r="D1765" t="str">
        <x:v>release state mirrors governing ledger</x:v>
      </x:c>
      <x:c r="E1765" t="str">
        <x:f>'Release Gates'!I1739</x:f>
        <x:v>OPEN</x:v>
      </x:c>
      <x:c r="F1765" t="str">
        <x:f>IF('Release Gates'!C1739="PLANNING","PASS",IF('Release Gates'!C1739="PHYSICAL","OPEN","BLOCKED"))</x:f>
        <x:v>OPEN</x:v>
      </x:c>
      <x:c r="G1765" t="str">
        <x:v>equals</x:v>
      </x:c>
      <x:c r="H1765" t="str">
        <x:f>IF(E1765=F1765,"PASS","FAIL")</x:f>
        <x:v>PASS</x:v>
      </x:c>
    </x:row>
    <x:row r="1766">
      <x:c r="B1766" t="str">
        <x:v>A-01734</x:v>
      </x:c>
      <x:c r="C1766" t="str">
        <x:v>GATE</x:v>
      </x:c>
      <x:c r="D1766" t="str">
        <x:v>release state mirrors governing ledger</x:v>
      </x:c>
      <x:c r="E1766" t="str">
        <x:f>'Release Gates'!I1740</x:f>
        <x:v>OPEN</x:v>
      </x:c>
      <x:c r="F1766" t="str">
        <x:f>IF('Release Gates'!C1740="PLANNING","PASS",IF('Release Gates'!C1740="PHYSICAL","OPEN","BLOCKED"))</x:f>
        <x:v>OPEN</x:v>
      </x:c>
      <x:c r="G1766" t="str">
        <x:v>equals</x:v>
      </x:c>
      <x:c r="H1766" t="str">
        <x:f>IF(E1766=F1766,"PASS","FAIL")</x:f>
        <x:v>PASS</x:v>
      </x:c>
    </x:row>
    <x:row r="1767">
      <x:c r="B1767" t="str">
        <x:v>A-01735</x:v>
      </x:c>
      <x:c r="C1767" t="str">
        <x:v>GATE</x:v>
      </x:c>
      <x:c r="D1767" t="str">
        <x:v>release state mirrors governing ledger</x:v>
      </x:c>
      <x:c r="E1767" t="str">
        <x:f>'Release Gates'!I1741</x:f>
        <x:v>OPEN</x:v>
      </x:c>
      <x:c r="F1767" t="str">
        <x:f>IF('Release Gates'!C1741="PLANNING","PASS",IF('Release Gates'!C1741="PHYSICAL","OPEN","BLOCKED"))</x:f>
        <x:v>OPEN</x:v>
      </x:c>
      <x:c r="G1767" t="str">
        <x:v>equals</x:v>
      </x:c>
      <x:c r="H1767" t="str">
        <x:f>IF(E1767=F1767,"PASS","FAIL")</x:f>
        <x:v>PASS</x:v>
      </x:c>
    </x:row>
    <x:row r="1768">
      <x:c r="B1768" t="str">
        <x:v>A-01736</x:v>
      </x:c>
      <x:c r="C1768" t="str">
        <x:v>GATE</x:v>
      </x:c>
      <x:c r="D1768" t="str">
        <x:v>release state mirrors governing ledger</x:v>
      </x:c>
      <x:c r="E1768" t="str">
        <x:f>'Release Gates'!I1742</x:f>
        <x:v>OPEN</x:v>
      </x:c>
      <x:c r="F1768" t="str">
        <x:f>IF('Release Gates'!C1742="PLANNING","PASS",IF('Release Gates'!C1742="PHYSICAL","OPEN","BLOCKED"))</x:f>
        <x:v>OPEN</x:v>
      </x:c>
      <x:c r="G1768" t="str">
        <x:v>equals</x:v>
      </x:c>
      <x:c r="H1768" t="str">
        <x:f>IF(E1768=F1768,"PASS","FAIL")</x:f>
        <x:v>PASS</x:v>
      </x:c>
    </x:row>
    <x:row r="1769">
      <x:c r="B1769" t="str">
        <x:v>A-01737</x:v>
      </x:c>
      <x:c r="C1769" t="str">
        <x:v>GATE</x:v>
      </x:c>
      <x:c r="D1769" t="str">
        <x:v>release state mirrors governing ledger</x:v>
      </x:c>
      <x:c r="E1769" t="str">
        <x:f>'Release Gates'!I1743</x:f>
        <x:v>OPEN</x:v>
      </x:c>
      <x:c r="F1769" t="str">
        <x:f>IF('Release Gates'!C1743="PLANNING","PASS",IF('Release Gates'!C1743="PHYSICAL","OPEN","BLOCKED"))</x:f>
        <x:v>OPEN</x:v>
      </x:c>
      <x:c r="G1769" t="str">
        <x:v>equals</x:v>
      </x:c>
      <x:c r="H1769" t="str">
        <x:f>IF(E1769=F1769,"PASS","FAIL")</x:f>
        <x:v>PASS</x:v>
      </x:c>
    </x:row>
    <x:row r="1770">
      <x:c r="B1770" t="str">
        <x:v>A-01738</x:v>
      </x:c>
      <x:c r="C1770" t="str">
        <x:v>GATE</x:v>
      </x:c>
      <x:c r="D1770" t="str">
        <x:v>release state mirrors governing ledger</x:v>
      </x:c>
      <x:c r="E1770" t="str">
        <x:f>'Release Gates'!I1744</x:f>
        <x:v>OPEN</x:v>
      </x:c>
      <x:c r="F1770" t="str">
        <x:f>IF('Release Gates'!C1744="PLANNING","PASS",IF('Release Gates'!C1744="PHYSICAL","OPEN","BLOCKED"))</x:f>
        <x:v>OPEN</x:v>
      </x:c>
      <x:c r="G1770" t="str">
        <x:v>equals</x:v>
      </x:c>
      <x:c r="H1770" t="str">
        <x:f>IF(E1770=F1770,"PASS","FAIL")</x:f>
        <x:v>PASS</x:v>
      </x:c>
    </x:row>
    <x:row r="1771">
      <x:c r="B1771" t="str">
        <x:v>A-01739</x:v>
      </x:c>
      <x:c r="C1771" t="str">
        <x:v>GATE</x:v>
      </x:c>
      <x:c r="D1771" t="str">
        <x:v>release state mirrors governing ledger</x:v>
      </x:c>
      <x:c r="E1771" t="str">
        <x:f>'Release Gates'!I1745</x:f>
        <x:v>OPEN</x:v>
      </x:c>
      <x:c r="F1771" t="str">
        <x:f>IF('Release Gates'!C1745="PLANNING","PASS",IF('Release Gates'!C1745="PHYSICAL","OPEN","BLOCKED"))</x:f>
        <x:v>OPEN</x:v>
      </x:c>
      <x:c r="G1771" t="str">
        <x:v>equals</x:v>
      </x:c>
      <x:c r="H1771" t="str">
        <x:f>IF(E1771=F1771,"PASS","FAIL")</x:f>
        <x:v>PASS</x:v>
      </x:c>
    </x:row>
    <x:row r="1772">
      <x:c r="B1772" t="str">
        <x:v>A-01740</x:v>
      </x:c>
      <x:c r="C1772" t="str">
        <x:v>GATE</x:v>
      </x:c>
      <x:c r="D1772" t="str">
        <x:v>release state mirrors governing ledger</x:v>
      </x:c>
      <x:c r="E1772" t="str">
        <x:f>'Release Gates'!I1746</x:f>
        <x:v>OPEN</x:v>
      </x:c>
      <x:c r="F1772" t="str">
        <x:f>IF('Release Gates'!C1746="PLANNING","PASS",IF('Release Gates'!C1746="PHYSICAL","OPEN","BLOCKED"))</x:f>
        <x:v>OPEN</x:v>
      </x:c>
      <x:c r="G1772" t="str">
        <x:v>equals</x:v>
      </x:c>
      <x:c r="H1772" t="str">
        <x:f>IF(E1772=F1772,"PASS","FAIL")</x:f>
        <x:v>PASS</x:v>
      </x:c>
    </x:row>
    <x:row r="1773">
      <x:c r="B1773" t="str">
        <x:v>A-01741</x:v>
      </x:c>
      <x:c r="C1773" t="str">
        <x:v>GATE</x:v>
      </x:c>
      <x:c r="D1773" t="str">
        <x:v>release state mirrors governing ledger</x:v>
      </x:c>
      <x:c r="E1773" t="str">
        <x:f>'Release Gates'!I1747</x:f>
        <x:v>OPEN</x:v>
      </x:c>
      <x:c r="F1773" t="str">
        <x:f>IF('Release Gates'!C1747="PLANNING","PASS",IF('Release Gates'!C1747="PHYSICAL","OPEN","BLOCKED"))</x:f>
        <x:v>OPEN</x:v>
      </x:c>
      <x:c r="G1773" t="str">
        <x:v>equals</x:v>
      </x:c>
      <x:c r="H1773" t="str">
        <x:f>IF(E1773=F1773,"PASS","FAIL")</x:f>
        <x:v>PASS</x:v>
      </x:c>
    </x:row>
    <x:row r="1774">
      <x:c r="B1774" t="str">
        <x:v>A-01742</x:v>
      </x:c>
      <x:c r="C1774" t="str">
        <x:v>GATE</x:v>
      </x:c>
      <x:c r="D1774" t="str">
        <x:v>release state mirrors governing ledger</x:v>
      </x:c>
      <x:c r="E1774" t="str">
        <x:f>'Release Gates'!I1748</x:f>
        <x:v>OPEN</x:v>
      </x:c>
      <x:c r="F1774" t="str">
        <x:f>IF('Release Gates'!C1748="PLANNING","PASS",IF('Release Gates'!C1748="PHYSICAL","OPEN","BLOCKED"))</x:f>
        <x:v>OPEN</x:v>
      </x:c>
      <x:c r="G1774" t="str">
        <x:v>equals</x:v>
      </x:c>
      <x:c r="H1774" t="str">
        <x:f>IF(E1774=F1774,"PASS","FAIL")</x:f>
        <x:v>PASS</x:v>
      </x:c>
    </x:row>
    <x:row r="1775">
      <x:c r="B1775" t="str">
        <x:v>A-01743</x:v>
      </x:c>
      <x:c r="C1775" t="str">
        <x:v>GATE</x:v>
      </x:c>
      <x:c r="D1775" t="str">
        <x:v>release state mirrors governing ledger</x:v>
      </x:c>
      <x:c r="E1775" t="str">
        <x:f>'Release Gates'!I1749</x:f>
        <x:v>OPEN</x:v>
      </x:c>
      <x:c r="F1775" t="str">
        <x:f>IF('Release Gates'!C1749="PLANNING","PASS",IF('Release Gates'!C1749="PHYSICAL","OPEN","BLOCKED"))</x:f>
        <x:v>OPEN</x:v>
      </x:c>
      <x:c r="G1775" t="str">
        <x:v>equals</x:v>
      </x:c>
      <x:c r="H1775" t="str">
        <x:f>IF(E1775=F1775,"PASS","FAIL")</x:f>
        <x:v>PASS</x:v>
      </x:c>
    </x:row>
    <x:row r="1776">
      <x:c r="B1776" t="str">
        <x:v>A-01744</x:v>
      </x:c>
      <x:c r="C1776" t="str">
        <x:v>GATE</x:v>
      </x:c>
      <x:c r="D1776" t="str">
        <x:v>release state mirrors governing ledger</x:v>
      </x:c>
      <x:c r="E1776" t="str">
        <x:f>'Release Gates'!I1750</x:f>
        <x:v>OPEN</x:v>
      </x:c>
      <x:c r="F1776" t="str">
        <x:f>IF('Release Gates'!C1750="PLANNING","PASS",IF('Release Gates'!C1750="PHYSICAL","OPEN","BLOCKED"))</x:f>
        <x:v>OPEN</x:v>
      </x:c>
      <x:c r="G1776" t="str">
        <x:v>equals</x:v>
      </x:c>
      <x:c r="H1776" t="str">
        <x:f>IF(E1776=F1776,"PASS","FAIL")</x:f>
        <x:v>PASS</x:v>
      </x:c>
    </x:row>
    <x:row r="1777">
      <x:c r="B1777" t="str">
        <x:v>A-01745</x:v>
      </x:c>
      <x:c r="C1777" t="str">
        <x:v>GATE</x:v>
      </x:c>
      <x:c r="D1777" t="str">
        <x:v>release state mirrors governing ledger</x:v>
      </x:c>
      <x:c r="E1777" t="str">
        <x:f>'Release Gates'!I1751</x:f>
        <x:v>OPEN</x:v>
      </x:c>
      <x:c r="F1777" t="str">
        <x:f>IF('Release Gates'!C1751="PLANNING","PASS",IF('Release Gates'!C1751="PHYSICAL","OPEN","BLOCKED"))</x:f>
        <x:v>OPEN</x:v>
      </x:c>
      <x:c r="G1777" t="str">
        <x:v>equals</x:v>
      </x:c>
      <x:c r="H1777" t="str">
        <x:f>IF(E1777=F1777,"PASS","FAIL")</x:f>
        <x:v>PASS</x:v>
      </x:c>
    </x:row>
    <x:row r="1778">
      <x:c r="B1778" t="str">
        <x:v>A-01746</x:v>
      </x:c>
      <x:c r="C1778" t="str">
        <x:v>GATE</x:v>
      </x:c>
      <x:c r="D1778" t="str">
        <x:v>release state mirrors governing ledger</x:v>
      </x:c>
      <x:c r="E1778" t="str">
        <x:f>'Release Gates'!I1752</x:f>
        <x:v>OPEN</x:v>
      </x:c>
      <x:c r="F1778" t="str">
        <x:f>IF('Release Gates'!C1752="PLANNING","PASS",IF('Release Gates'!C1752="PHYSICAL","OPEN","BLOCKED"))</x:f>
        <x:v>OPEN</x:v>
      </x:c>
      <x:c r="G1778" t="str">
        <x:v>equals</x:v>
      </x:c>
      <x:c r="H1778" t="str">
        <x:f>IF(E1778=F1778,"PASS","FAIL")</x:f>
        <x:v>PASS</x:v>
      </x:c>
    </x:row>
    <x:row r="1779">
      <x:c r="B1779" t="str">
        <x:v>A-01747</x:v>
      </x:c>
      <x:c r="C1779" t="str">
        <x:v>GATE</x:v>
      </x:c>
      <x:c r="D1779" t="str">
        <x:v>release state mirrors governing ledger</x:v>
      </x:c>
      <x:c r="E1779" t="str">
        <x:f>'Release Gates'!I1753</x:f>
        <x:v>OPEN</x:v>
      </x:c>
      <x:c r="F1779" t="str">
        <x:f>IF('Release Gates'!C1753="PLANNING","PASS",IF('Release Gates'!C1753="PHYSICAL","OPEN","BLOCKED"))</x:f>
        <x:v>OPEN</x:v>
      </x:c>
      <x:c r="G1779" t="str">
        <x:v>equals</x:v>
      </x:c>
      <x:c r="H1779" t="str">
        <x:f>IF(E1779=F1779,"PASS","FAIL")</x:f>
        <x:v>PASS</x:v>
      </x:c>
    </x:row>
    <x:row r="1780">
      <x:c r="B1780" t="str">
        <x:v>A-01748</x:v>
      </x:c>
      <x:c r="C1780" t="str">
        <x:v>GATE</x:v>
      </x:c>
      <x:c r="D1780" t="str">
        <x:v>release state mirrors governing ledger</x:v>
      </x:c>
      <x:c r="E1780" t="str">
        <x:f>'Release Gates'!I1754</x:f>
        <x:v>OPEN</x:v>
      </x:c>
      <x:c r="F1780" t="str">
        <x:f>IF('Release Gates'!C1754="PLANNING","PASS",IF('Release Gates'!C1754="PHYSICAL","OPEN","BLOCKED"))</x:f>
        <x:v>OPEN</x:v>
      </x:c>
      <x:c r="G1780" t="str">
        <x:v>equals</x:v>
      </x:c>
      <x:c r="H1780" t="str">
        <x:f>IF(E1780=F1780,"PASS","FAIL")</x:f>
        <x:v>PASS</x:v>
      </x:c>
    </x:row>
    <x:row r="1781">
      <x:c r="B1781" t="str">
        <x:v>A-01749</x:v>
      </x:c>
      <x:c r="C1781" t="str">
        <x:v>GATE</x:v>
      </x:c>
      <x:c r="D1781" t="str">
        <x:v>release state mirrors governing ledger</x:v>
      </x:c>
      <x:c r="E1781" t="str">
        <x:f>'Release Gates'!I1755</x:f>
        <x:v>OPEN</x:v>
      </x:c>
      <x:c r="F1781" t="str">
        <x:f>IF('Release Gates'!C1755="PLANNING","PASS",IF('Release Gates'!C1755="PHYSICAL","OPEN","BLOCKED"))</x:f>
        <x:v>OPEN</x:v>
      </x:c>
      <x:c r="G1781" t="str">
        <x:v>equals</x:v>
      </x:c>
      <x:c r="H1781" t="str">
        <x:f>IF(E1781=F1781,"PASS","FAIL")</x:f>
        <x:v>PASS</x:v>
      </x:c>
    </x:row>
    <x:row r="1782">
      <x:c r="B1782" t="str">
        <x:v>A-01750</x:v>
      </x:c>
      <x:c r="C1782" t="str">
        <x:v>GATE</x:v>
      </x:c>
      <x:c r="D1782" t="str">
        <x:v>release state mirrors governing ledger</x:v>
      </x:c>
      <x:c r="E1782" t="str">
        <x:f>'Release Gates'!I1756</x:f>
        <x:v>OPEN</x:v>
      </x:c>
      <x:c r="F1782" t="str">
        <x:f>IF('Release Gates'!C1756="PLANNING","PASS",IF('Release Gates'!C1756="PHYSICAL","OPEN","BLOCKED"))</x:f>
        <x:v>OPEN</x:v>
      </x:c>
      <x:c r="G1782" t="str">
        <x:v>equals</x:v>
      </x:c>
      <x:c r="H1782" t="str">
        <x:f>IF(E1782=F1782,"PASS","FAIL")</x:f>
        <x:v>PASS</x:v>
      </x:c>
    </x:row>
    <x:row r="1783">
      <x:c r="B1783" t="str">
        <x:v>A-01751</x:v>
      </x:c>
      <x:c r="C1783" t="str">
        <x:v>GATE</x:v>
      </x:c>
      <x:c r="D1783" t="str">
        <x:v>release state mirrors governing ledger</x:v>
      </x:c>
      <x:c r="E1783" t="str">
        <x:f>'Release Gates'!I1757</x:f>
        <x:v>OPEN</x:v>
      </x:c>
      <x:c r="F1783" t="str">
        <x:f>IF('Release Gates'!C1757="PLANNING","PASS",IF('Release Gates'!C1757="PHYSICAL","OPEN","BLOCKED"))</x:f>
        <x:v>OPEN</x:v>
      </x:c>
      <x:c r="G1783" t="str">
        <x:v>equals</x:v>
      </x:c>
      <x:c r="H1783" t="str">
        <x:f>IF(E1783=F1783,"PASS","FAIL")</x:f>
        <x:v>PASS</x:v>
      </x:c>
    </x:row>
    <x:row r="1784">
      <x:c r="B1784" t="str">
        <x:v>A-01752</x:v>
      </x:c>
      <x:c r="C1784" t="str">
        <x:v>GATE</x:v>
      </x:c>
      <x:c r="D1784" t="str">
        <x:v>release state mirrors governing ledger</x:v>
      </x:c>
      <x:c r="E1784" t="str">
        <x:f>'Release Gates'!I1758</x:f>
        <x:v>OPEN</x:v>
      </x:c>
      <x:c r="F1784" t="str">
        <x:f>IF('Release Gates'!C1758="PLANNING","PASS",IF('Release Gates'!C1758="PHYSICAL","OPEN","BLOCKED"))</x:f>
        <x:v>OPEN</x:v>
      </x:c>
      <x:c r="G1784" t="str">
        <x:v>equals</x:v>
      </x:c>
      <x:c r="H1784" t="str">
        <x:f>IF(E1784=F1784,"PASS","FAIL")</x:f>
        <x:v>PASS</x:v>
      </x:c>
    </x:row>
    <x:row r="1785">
      <x:c r="B1785" t="str">
        <x:v>A-01753</x:v>
      </x:c>
      <x:c r="C1785" t="str">
        <x:v>GATE</x:v>
      </x:c>
      <x:c r="D1785" t="str">
        <x:v>release state mirrors governing ledger</x:v>
      </x:c>
      <x:c r="E1785" t="str">
        <x:f>'Release Gates'!I1759</x:f>
        <x:v>OPEN</x:v>
      </x:c>
      <x:c r="F1785" t="str">
        <x:f>IF('Release Gates'!C1759="PLANNING","PASS",IF('Release Gates'!C1759="PHYSICAL","OPEN","BLOCKED"))</x:f>
        <x:v>OPEN</x:v>
      </x:c>
      <x:c r="G1785" t="str">
        <x:v>equals</x:v>
      </x:c>
      <x:c r="H1785" t="str">
        <x:f>IF(E1785=F1785,"PASS","FAIL")</x:f>
        <x:v>PASS</x:v>
      </x:c>
    </x:row>
    <x:row r="1786">
      <x:c r="B1786" t="str">
        <x:v>A-01754</x:v>
      </x:c>
      <x:c r="C1786" t="str">
        <x:v>GATE</x:v>
      </x:c>
      <x:c r="D1786" t="str">
        <x:v>release state mirrors governing ledger</x:v>
      </x:c>
      <x:c r="E1786" t="str">
        <x:f>'Release Gates'!I1760</x:f>
        <x:v>OPEN</x:v>
      </x:c>
      <x:c r="F1786" t="str">
        <x:f>IF('Release Gates'!C1760="PLANNING","PASS",IF('Release Gates'!C1760="PHYSICAL","OPEN","BLOCKED"))</x:f>
        <x:v>OPEN</x:v>
      </x:c>
      <x:c r="G1786" t="str">
        <x:v>equals</x:v>
      </x:c>
      <x:c r="H1786" t="str">
        <x:f>IF(E1786=F1786,"PASS","FAIL")</x:f>
        <x:v>PASS</x:v>
      </x:c>
    </x:row>
    <x:row r="1787">
      <x:c r="B1787" t="str">
        <x:v>A-01755</x:v>
      </x:c>
      <x:c r="C1787" t="str">
        <x:v>GATE</x:v>
      </x:c>
      <x:c r="D1787" t="str">
        <x:v>release state mirrors governing ledger</x:v>
      </x:c>
      <x:c r="E1787" t="str">
        <x:f>'Release Gates'!I1761</x:f>
        <x:v>OPEN</x:v>
      </x:c>
      <x:c r="F1787" t="str">
        <x:f>IF('Release Gates'!C1761="PLANNING","PASS",IF('Release Gates'!C1761="PHYSICAL","OPEN","BLOCKED"))</x:f>
        <x:v>OPEN</x:v>
      </x:c>
      <x:c r="G1787" t="str">
        <x:v>equals</x:v>
      </x:c>
      <x:c r="H1787" t="str">
        <x:f>IF(E1787=F1787,"PASS","FAIL")</x:f>
        <x:v>PASS</x:v>
      </x:c>
    </x:row>
    <x:row r="1788">
      <x:c r="B1788" t="str">
        <x:v>A-01756</x:v>
      </x:c>
      <x:c r="C1788" t="str">
        <x:v>GATE</x:v>
      </x:c>
      <x:c r="D1788" t="str">
        <x:v>release state mirrors governing ledger</x:v>
      </x:c>
      <x:c r="E1788" t="str">
        <x:f>'Release Gates'!I1762</x:f>
        <x:v>OPEN</x:v>
      </x:c>
      <x:c r="F1788" t="str">
        <x:f>IF('Release Gates'!C1762="PLANNING","PASS",IF('Release Gates'!C1762="PHYSICAL","OPEN","BLOCKED"))</x:f>
        <x:v>OPEN</x:v>
      </x:c>
      <x:c r="G1788" t="str">
        <x:v>equals</x:v>
      </x:c>
      <x:c r="H1788" t="str">
        <x:f>IF(E1788=F1788,"PASS","FAIL")</x:f>
        <x:v>PASS</x:v>
      </x:c>
    </x:row>
    <x:row r="1789">
      <x:c r="B1789" t="str">
        <x:v>A-01757</x:v>
      </x:c>
      <x:c r="C1789" t="str">
        <x:v>GATE</x:v>
      </x:c>
      <x:c r="D1789" t="str">
        <x:v>release state mirrors governing ledger</x:v>
      </x:c>
      <x:c r="E1789" t="str">
        <x:f>'Release Gates'!I1763</x:f>
        <x:v>OPEN</x:v>
      </x:c>
      <x:c r="F1789" t="str">
        <x:f>IF('Release Gates'!C1763="PLANNING","PASS",IF('Release Gates'!C1763="PHYSICAL","OPEN","BLOCKED"))</x:f>
        <x:v>OPEN</x:v>
      </x:c>
      <x:c r="G1789" t="str">
        <x:v>equals</x:v>
      </x:c>
      <x:c r="H1789" t="str">
        <x:f>IF(E1789=F1789,"PASS","FAIL")</x:f>
        <x:v>PASS</x:v>
      </x:c>
    </x:row>
    <x:row r="1790">
      <x:c r="B1790" t="str">
        <x:v>A-01758</x:v>
      </x:c>
      <x:c r="C1790" t="str">
        <x:v>GATE</x:v>
      </x:c>
      <x:c r="D1790" t="str">
        <x:v>release state mirrors governing ledger</x:v>
      </x:c>
      <x:c r="E1790" t="str">
        <x:f>'Release Gates'!I1764</x:f>
        <x:v>OPEN</x:v>
      </x:c>
      <x:c r="F1790" t="str">
        <x:f>IF('Release Gates'!C1764="PLANNING","PASS",IF('Release Gates'!C1764="PHYSICAL","OPEN","BLOCKED"))</x:f>
        <x:v>OPEN</x:v>
      </x:c>
      <x:c r="G1790" t="str">
        <x:v>equals</x:v>
      </x:c>
      <x:c r="H1790" t="str">
        <x:f>IF(E1790=F1790,"PASS","FAIL")</x:f>
        <x:v>PASS</x:v>
      </x:c>
    </x:row>
    <x:row r="1791">
      <x:c r="B1791" t="str">
        <x:v>A-01759</x:v>
      </x:c>
      <x:c r="C1791" t="str">
        <x:v>GATE</x:v>
      </x:c>
      <x:c r="D1791" t="str">
        <x:v>release state mirrors governing ledger</x:v>
      </x:c>
      <x:c r="E1791" t="str">
        <x:f>'Release Gates'!I1765</x:f>
        <x:v>OPEN</x:v>
      </x:c>
      <x:c r="F1791" t="str">
        <x:f>IF('Release Gates'!C1765="PLANNING","PASS",IF('Release Gates'!C1765="PHYSICAL","OPEN","BLOCKED"))</x:f>
        <x:v>OPEN</x:v>
      </x:c>
      <x:c r="G1791" t="str">
        <x:v>equals</x:v>
      </x:c>
      <x:c r="H1791" t="str">
        <x:f>IF(E1791=F1791,"PASS","FAIL")</x:f>
        <x:v>PASS</x:v>
      </x:c>
    </x:row>
    <x:row r="1792">
      <x:c r="B1792" t="str">
        <x:v>A-01760</x:v>
      </x:c>
      <x:c r="C1792" t="str">
        <x:v>GATE</x:v>
      </x:c>
      <x:c r="D1792" t="str">
        <x:v>release state mirrors governing ledger</x:v>
      </x:c>
      <x:c r="E1792" t="str">
        <x:f>'Release Gates'!I1766</x:f>
        <x:v>OPEN</x:v>
      </x:c>
      <x:c r="F1792" t="str">
        <x:f>IF('Release Gates'!C1766="PLANNING","PASS",IF('Release Gates'!C1766="PHYSICAL","OPEN","BLOCKED"))</x:f>
        <x:v>OPEN</x:v>
      </x:c>
      <x:c r="G1792" t="str">
        <x:v>equals</x:v>
      </x:c>
      <x:c r="H1792" t="str">
        <x:f>IF(E1792=F1792,"PASS","FAIL")</x:f>
        <x:v>PASS</x:v>
      </x:c>
    </x:row>
    <x:row r="1793">
      <x:c r="B1793" t="str">
        <x:v>A-01761</x:v>
      </x:c>
      <x:c r="C1793" t="str">
        <x:v>GATE</x:v>
      </x:c>
      <x:c r="D1793" t="str">
        <x:v>release state mirrors governing ledger</x:v>
      </x:c>
      <x:c r="E1793" t="str">
        <x:f>'Release Gates'!I1767</x:f>
        <x:v>OPEN</x:v>
      </x:c>
      <x:c r="F1793" t="str">
        <x:f>IF('Release Gates'!C1767="PLANNING","PASS",IF('Release Gates'!C1767="PHYSICAL","OPEN","BLOCKED"))</x:f>
        <x:v>OPEN</x:v>
      </x:c>
      <x:c r="G1793" t="str">
        <x:v>equals</x:v>
      </x:c>
      <x:c r="H1793" t="str">
        <x:f>IF(E1793=F1793,"PASS","FAIL")</x:f>
        <x:v>PASS</x:v>
      </x:c>
    </x:row>
    <x:row r="1794">
      <x:c r="B1794" t="str">
        <x:v>A-01762</x:v>
      </x:c>
      <x:c r="C1794" t="str">
        <x:v>GATE</x:v>
      </x:c>
      <x:c r="D1794" t="str">
        <x:v>release state mirrors governing ledger</x:v>
      </x:c>
      <x:c r="E1794" t="str">
        <x:f>'Release Gates'!I1768</x:f>
        <x:v>OPEN</x:v>
      </x:c>
      <x:c r="F1794" t="str">
        <x:f>IF('Release Gates'!C1768="PLANNING","PASS",IF('Release Gates'!C1768="PHYSICAL","OPEN","BLOCKED"))</x:f>
        <x:v>OPEN</x:v>
      </x:c>
      <x:c r="G1794" t="str">
        <x:v>equals</x:v>
      </x:c>
      <x:c r="H1794" t="str">
        <x:f>IF(E1794=F1794,"PASS","FAIL")</x:f>
        <x:v>PASS</x:v>
      </x:c>
    </x:row>
    <x:row r="1795">
      <x:c r="B1795" t="str">
        <x:v>A-01763</x:v>
      </x:c>
      <x:c r="C1795" t="str">
        <x:v>GATE</x:v>
      </x:c>
      <x:c r="D1795" t="str">
        <x:v>release state mirrors governing ledger</x:v>
      </x:c>
      <x:c r="E1795" t="str">
        <x:f>'Release Gates'!I1769</x:f>
        <x:v>OPEN</x:v>
      </x:c>
      <x:c r="F1795" t="str">
        <x:f>IF('Release Gates'!C1769="PLANNING","PASS",IF('Release Gates'!C1769="PHYSICAL","OPEN","BLOCKED"))</x:f>
        <x:v>OPEN</x:v>
      </x:c>
      <x:c r="G1795" t="str">
        <x:v>equals</x:v>
      </x:c>
      <x:c r="H1795" t="str">
        <x:f>IF(E1795=F1795,"PASS","FAIL")</x:f>
        <x:v>PASS</x:v>
      </x:c>
    </x:row>
    <x:row r="1796">
      <x:c r="B1796" t="str">
        <x:v>A-01764</x:v>
      </x:c>
      <x:c r="C1796" t="str">
        <x:v>GATE</x:v>
      </x:c>
      <x:c r="D1796" t="str">
        <x:v>release state mirrors governing ledger</x:v>
      </x:c>
      <x:c r="E1796" t="str">
        <x:f>'Release Gates'!I1770</x:f>
        <x:v>OPEN</x:v>
      </x:c>
      <x:c r="F1796" t="str">
        <x:f>IF('Release Gates'!C1770="PLANNING","PASS",IF('Release Gates'!C1770="PHYSICAL","OPEN","BLOCKED"))</x:f>
        <x:v>OPEN</x:v>
      </x:c>
      <x:c r="G1796" t="str">
        <x:v>equals</x:v>
      </x:c>
      <x:c r="H1796" t="str">
        <x:f>IF(E1796=F1796,"PASS","FAIL")</x:f>
        <x:v>PASS</x:v>
      </x:c>
    </x:row>
    <x:row r="1797">
      <x:c r="B1797" t="str">
        <x:v>A-01765</x:v>
      </x:c>
      <x:c r="C1797" t="str">
        <x:v>GATE</x:v>
      </x:c>
      <x:c r="D1797" t="str">
        <x:v>release state mirrors governing ledger</x:v>
      </x:c>
      <x:c r="E1797" t="str">
        <x:f>'Release Gates'!I1771</x:f>
        <x:v>OPEN</x:v>
      </x:c>
      <x:c r="F1797" t="str">
        <x:f>IF('Release Gates'!C1771="PLANNING","PASS",IF('Release Gates'!C1771="PHYSICAL","OPEN","BLOCKED"))</x:f>
        <x:v>OPEN</x:v>
      </x:c>
      <x:c r="G1797" t="str">
        <x:v>equals</x:v>
      </x:c>
      <x:c r="H1797" t="str">
        <x:f>IF(E1797=F1797,"PASS","FAIL")</x:f>
        <x:v>PASS</x:v>
      </x:c>
    </x:row>
    <x:row r="1798">
      <x:c r="B1798" t="str">
        <x:v>A-01766</x:v>
      </x:c>
      <x:c r="C1798" t="str">
        <x:v>GATE</x:v>
      </x:c>
      <x:c r="D1798" t="str">
        <x:v>release state mirrors governing ledger</x:v>
      </x:c>
      <x:c r="E1798" t="str">
        <x:f>'Release Gates'!I1772</x:f>
        <x:v>OPEN</x:v>
      </x:c>
      <x:c r="F1798" t="str">
        <x:f>IF('Release Gates'!C1772="PLANNING","PASS",IF('Release Gates'!C1772="PHYSICAL","OPEN","BLOCKED"))</x:f>
        <x:v>OPEN</x:v>
      </x:c>
      <x:c r="G1798" t="str">
        <x:v>equals</x:v>
      </x:c>
      <x:c r="H1798" t="str">
        <x:f>IF(E1798=F1798,"PASS","FAIL")</x:f>
        <x:v>PASS</x:v>
      </x:c>
    </x:row>
    <x:row r="1799">
      <x:c r="B1799" t="str">
        <x:v>A-01767</x:v>
      </x:c>
      <x:c r="C1799" t="str">
        <x:v>GATE</x:v>
      </x:c>
      <x:c r="D1799" t="str">
        <x:v>release state mirrors governing ledger</x:v>
      </x:c>
      <x:c r="E1799" t="str">
        <x:f>'Release Gates'!I1773</x:f>
        <x:v>OPEN</x:v>
      </x:c>
      <x:c r="F1799" t="str">
        <x:f>IF('Release Gates'!C1773="PLANNING","PASS",IF('Release Gates'!C1773="PHYSICAL","OPEN","BLOCKED"))</x:f>
        <x:v>OPEN</x:v>
      </x:c>
      <x:c r="G1799" t="str">
        <x:v>equals</x:v>
      </x:c>
      <x:c r="H1799" t="str">
        <x:f>IF(E1799=F1799,"PASS","FAIL")</x:f>
        <x:v>PASS</x:v>
      </x:c>
    </x:row>
    <x:row r="1800">
      <x:c r="B1800" t="str">
        <x:v>A-01768</x:v>
      </x:c>
      <x:c r="C1800" t="str">
        <x:v>GATE</x:v>
      </x:c>
      <x:c r="D1800" t="str">
        <x:v>release state mirrors governing ledger</x:v>
      </x:c>
      <x:c r="E1800" t="str">
        <x:f>'Release Gates'!I1774</x:f>
        <x:v>OPEN</x:v>
      </x:c>
      <x:c r="F1800" t="str">
        <x:f>IF('Release Gates'!C1774="PLANNING","PASS",IF('Release Gates'!C1774="PHYSICAL","OPEN","BLOCKED"))</x:f>
        <x:v>OPEN</x:v>
      </x:c>
      <x:c r="G1800" t="str">
        <x:v>equals</x:v>
      </x:c>
      <x:c r="H1800" t="str">
        <x:f>IF(E1800=F1800,"PASS","FAIL")</x:f>
        <x:v>PASS</x:v>
      </x:c>
    </x:row>
    <x:row r="1801">
      <x:c r="B1801" t="str">
        <x:v>A-01769</x:v>
      </x:c>
      <x:c r="C1801" t="str">
        <x:v>GATE</x:v>
      </x:c>
      <x:c r="D1801" t="str">
        <x:v>release state mirrors governing ledger</x:v>
      </x:c>
      <x:c r="E1801" t="str">
        <x:f>'Release Gates'!I1775</x:f>
        <x:v>OPEN</x:v>
      </x:c>
      <x:c r="F1801" t="str">
        <x:f>IF('Release Gates'!C1775="PLANNING","PASS",IF('Release Gates'!C1775="PHYSICAL","OPEN","BLOCKED"))</x:f>
        <x:v>OPEN</x:v>
      </x:c>
      <x:c r="G1801" t="str">
        <x:v>equals</x:v>
      </x:c>
      <x:c r="H1801" t="str">
        <x:f>IF(E1801=F1801,"PASS","FAIL")</x:f>
        <x:v>PASS</x:v>
      </x:c>
    </x:row>
    <x:row r="1802">
      <x:c r="B1802" t="str">
        <x:v>A-01770</x:v>
      </x:c>
      <x:c r="C1802" t="str">
        <x:v>GATE</x:v>
      </x:c>
      <x:c r="D1802" t="str">
        <x:v>release state mirrors governing ledger</x:v>
      </x:c>
      <x:c r="E1802" t="str">
        <x:f>'Release Gates'!I1776</x:f>
        <x:v>OPEN</x:v>
      </x:c>
      <x:c r="F1802" t="str">
        <x:f>IF('Release Gates'!C1776="PLANNING","PASS",IF('Release Gates'!C1776="PHYSICAL","OPEN","BLOCKED"))</x:f>
        <x:v>OPEN</x:v>
      </x:c>
      <x:c r="G1802" t="str">
        <x:v>equals</x:v>
      </x:c>
      <x:c r="H1802" t="str">
        <x:f>IF(E1802=F1802,"PASS","FAIL")</x:f>
        <x:v>PASS</x:v>
      </x:c>
    </x:row>
    <x:row r="1803">
      <x:c r="B1803" t="str">
        <x:v>A-01771</x:v>
      </x:c>
      <x:c r="C1803" t="str">
        <x:v>GATE</x:v>
      </x:c>
      <x:c r="D1803" t="str">
        <x:v>release state mirrors governing ledger</x:v>
      </x:c>
      <x:c r="E1803" t="str">
        <x:f>'Release Gates'!I1777</x:f>
        <x:v>OPEN</x:v>
      </x:c>
      <x:c r="F1803" t="str">
        <x:f>IF('Release Gates'!C1777="PLANNING","PASS",IF('Release Gates'!C1777="PHYSICAL","OPEN","BLOCKED"))</x:f>
        <x:v>OPEN</x:v>
      </x:c>
      <x:c r="G1803" t="str">
        <x:v>equals</x:v>
      </x:c>
      <x:c r="H1803" t="str">
        <x:f>IF(E1803=F1803,"PASS","FAIL")</x:f>
        <x:v>PASS</x:v>
      </x:c>
    </x:row>
    <x:row r="1804">
      <x:c r="B1804" t="str">
        <x:v>A-01772</x:v>
      </x:c>
      <x:c r="C1804" t="str">
        <x:v>GATE</x:v>
      </x:c>
      <x:c r="D1804" t="str">
        <x:v>release state mirrors governing ledger</x:v>
      </x:c>
      <x:c r="E1804" t="str">
        <x:f>'Release Gates'!I1778</x:f>
        <x:v>OPEN</x:v>
      </x:c>
      <x:c r="F1804" t="str">
        <x:f>IF('Release Gates'!C1778="PLANNING","PASS",IF('Release Gates'!C1778="PHYSICAL","OPEN","BLOCKED"))</x:f>
        <x:v>OPEN</x:v>
      </x:c>
      <x:c r="G1804" t="str">
        <x:v>equals</x:v>
      </x:c>
      <x:c r="H1804" t="str">
        <x:f>IF(E1804=F1804,"PASS","FAIL")</x:f>
        <x:v>PASS</x:v>
      </x:c>
    </x:row>
    <x:row r="1805">
      <x:c r="B1805" t="str">
        <x:v>A-01773</x:v>
      </x:c>
      <x:c r="C1805" t="str">
        <x:v>GATE</x:v>
      </x:c>
      <x:c r="D1805" t="str">
        <x:v>release state mirrors governing ledger</x:v>
      </x:c>
      <x:c r="E1805" t="str">
        <x:f>'Release Gates'!I1779</x:f>
        <x:v>OPEN</x:v>
      </x:c>
      <x:c r="F1805" t="str">
        <x:f>IF('Release Gates'!C1779="PLANNING","PASS",IF('Release Gates'!C1779="PHYSICAL","OPEN","BLOCKED"))</x:f>
        <x:v>OPEN</x:v>
      </x:c>
      <x:c r="G1805" t="str">
        <x:v>equals</x:v>
      </x:c>
      <x:c r="H1805" t="str">
        <x:f>IF(E1805=F1805,"PASS","FAIL")</x:f>
        <x:v>PASS</x:v>
      </x:c>
    </x:row>
    <x:row r="1806">
      <x:c r="B1806" t="str">
        <x:v>A-01774</x:v>
      </x:c>
      <x:c r="C1806" t="str">
        <x:v>GATE</x:v>
      </x:c>
      <x:c r="D1806" t="str">
        <x:v>release state mirrors governing ledger</x:v>
      </x:c>
      <x:c r="E1806" t="str">
        <x:f>'Release Gates'!I1780</x:f>
        <x:v>OPEN</x:v>
      </x:c>
      <x:c r="F1806" t="str">
        <x:f>IF('Release Gates'!C1780="PLANNING","PASS",IF('Release Gates'!C1780="PHYSICAL","OPEN","BLOCKED"))</x:f>
        <x:v>OPEN</x:v>
      </x:c>
      <x:c r="G1806" t="str">
        <x:v>equals</x:v>
      </x:c>
      <x:c r="H1806" t="str">
        <x:f>IF(E1806=F1806,"PASS","FAIL")</x:f>
        <x:v>PASS</x:v>
      </x:c>
    </x:row>
    <x:row r="1807">
      <x:c r="B1807" t="str">
        <x:v>A-01775</x:v>
      </x:c>
      <x:c r="C1807" t="str">
        <x:v>GATE</x:v>
      </x:c>
      <x:c r="D1807" t="str">
        <x:v>release state mirrors governing ledger</x:v>
      </x:c>
      <x:c r="E1807" t="str">
        <x:f>'Release Gates'!I1781</x:f>
        <x:v>OPEN</x:v>
      </x:c>
      <x:c r="F1807" t="str">
        <x:f>IF('Release Gates'!C1781="PLANNING","PASS",IF('Release Gates'!C1781="PHYSICAL","OPEN","BLOCKED"))</x:f>
        <x:v>OPEN</x:v>
      </x:c>
      <x:c r="G1807" t="str">
        <x:v>equals</x:v>
      </x:c>
      <x:c r="H1807" t="str">
        <x:f>IF(E1807=F1807,"PASS","FAIL")</x:f>
        <x:v>PASS</x:v>
      </x:c>
    </x:row>
    <x:row r="1808">
      <x:c r="B1808" t="str">
        <x:v>A-01776</x:v>
      </x:c>
      <x:c r="C1808" t="str">
        <x:v>GATE</x:v>
      </x:c>
      <x:c r="D1808" t="str">
        <x:v>release state mirrors governing ledger</x:v>
      </x:c>
      <x:c r="E1808" t="str">
        <x:f>'Release Gates'!I1782</x:f>
        <x:v>OPEN</x:v>
      </x:c>
      <x:c r="F1808" t="str">
        <x:f>IF('Release Gates'!C1782="PLANNING","PASS",IF('Release Gates'!C1782="PHYSICAL","OPEN","BLOCKED"))</x:f>
        <x:v>OPEN</x:v>
      </x:c>
      <x:c r="G1808" t="str">
        <x:v>equals</x:v>
      </x:c>
      <x:c r="H1808" t="str">
        <x:f>IF(E1808=F1808,"PASS","FAIL")</x:f>
        <x:v>PASS</x:v>
      </x:c>
    </x:row>
    <x:row r="1809">
      <x:c r="B1809" t="str">
        <x:v>A-01777</x:v>
      </x:c>
      <x:c r="C1809" t="str">
        <x:v>GATE</x:v>
      </x:c>
      <x:c r="D1809" t="str">
        <x:v>release state mirrors governing ledger</x:v>
      </x:c>
      <x:c r="E1809" t="str">
        <x:f>'Release Gates'!I1783</x:f>
        <x:v>OPEN</x:v>
      </x:c>
      <x:c r="F1809" t="str">
        <x:f>IF('Release Gates'!C1783="PLANNING","PASS",IF('Release Gates'!C1783="PHYSICAL","OPEN","BLOCKED"))</x:f>
        <x:v>OPEN</x:v>
      </x:c>
      <x:c r="G1809" t="str">
        <x:v>equals</x:v>
      </x:c>
      <x:c r="H1809" t="str">
        <x:f>IF(E1809=F1809,"PASS","FAIL")</x:f>
        <x:v>PASS</x:v>
      </x:c>
    </x:row>
    <x:row r="1810">
      <x:c r="B1810" t="str">
        <x:v>A-01778</x:v>
      </x:c>
      <x:c r="C1810" t="str">
        <x:v>GATE</x:v>
      </x:c>
      <x:c r="D1810" t="str">
        <x:v>release state mirrors governing ledger</x:v>
      </x:c>
      <x:c r="E1810" t="str">
        <x:f>'Release Gates'!I1784</x:f>
        <x:v>OPEN</x:v>
      </x:c>
      <x:c r="F1810" t="str">
        <x:f>IF('Release Gates'!C1784="PLANNING","PASS",IF('Release Gates'!C1784="PHYSICAL","OPEN","BLOCKED"))</x:f>
        <x:v>OPEN</x:v>
      </x:c>
      <x:c r="G1810" t="str">
        <x:v>equals</x:v>
      </x:c>
      <x:c r="H1810" t="str">
        <x:f>IF(E1810=F1810,"PASS","FAIL")</x:f>
        <x:v>PASS</x:v>
      </x:c>
    </x:row>
    <x:row r="1811">
      <x:c r="B1811" t="str">
        <x:v>A-01779</x:v>
      </x:c>
      <x:c r="C1811" t="str">
        <x:v>GATE</x:v>
      </x:c>
      <x:c r="D1811" t="str">
        <x:v>release state mirrors governing ledger</x:v>
      </x:c>
      <x:c r="E1811" t="str">
        <x:f>'Release Gates'!I1785</x:f>
        <x:v>OPEN</x:v>
      </x:c>
      <x:c r="F1811" t="str">
        <x:f>IF('Release Gates'!C1785="PLANNING","PASS",IF('Release Gates'!C1785="PHYSICAL","OPEN","BLOCKED"))</x:f>
        <x:v>OPEN</x:v>
      </x:c>
      <x:c r="G1811" t="str">
        <x:v>equals</x:v>
      </x:c>
      <x:c r="H1811" t="str">
        <x:f>IF(E1811=F1811,"PASS","FAIL")</x:f>
        <x:v>PASS</x:v>
      </x:c>
    </x:row>
    <x:row r="1812">
      <x:c r="B1812" t="str">
        <x:v>A-01780</x:v>
      </x:c>
      <x:c r="C1812" t="str">
        <x:v>GATE</x:v>
      </x:c>
      <x:c r="D1812" t="str">
        <x:v>release state mirrors governing ledger</x:v>
      </x:c>
      <x:c r="E1812" t="str">
        <x:f>'Release Gates'!I1786</x:f>
        <x:v>OPEN</x:v>
      </x:c>
      <x:c r="F1812" t="str">
        <x:f>IF('Release Gates'!C1786="PLANNING","PASS",IF('Release Gates'!C1786="PHYSICAL","OPEN","BLOCKED"))</x:f>
        <x:v>OPEN</x:v>
      </x:c>
      <x:c r="G1812" t="str">
        <x:v>equals</x:v>
      </x:c>
      <x:c r="H1812" t="str">
        <x:f>IF(E1812=F1812,"PASS","FAIL")</x:f>
        <x:v>PASS</x:v>
      </x:c>
    </x:row>
    <x:row r="1813">
      <x:c r="B1813" t="str">
        <x:v>A-01781</x:v>
      </x:c>
      <x:c r="C1813" t="str">
        <x:v>GATE</x:v>
      </x:c>
      <x:c r="D1813" t="str">
        <x:v>release state mirrors governing ledger</x:v>
      </x:c>
      <x:c r="E1813" t="str">
        <x:f>'Release Gates'!I1787</x:f>
        <x:v>OPEN</x:v>
      </x:c>
      <x:c r="F1813" t="str">
        <x:f>IF('Release Gates'!C1787="PLANNING","PASS",IF('Release Gates'!C1787="PHYSICAL","OPEN","BLOCKED"))</x:f>
        <x:v>OPEN</x:v>
      </x:c>
      <x:c r="G1813" t="str">
        <x:v>equals</x:v>
      </x:c>
      <x:c r="H1813" t="str">
        <x:f>IF(E1813=F1813,"PASS","FAIL")</x:f>
        <x:v>PASS</x:v>
      </x:c>
    </x:row>
    <x:row r="1814">
      <x:c r="B1814" t="str">
        <x:v>A-01782</x:v>
      </x:c>
      <x:c r="C1814" t="str">
        <x:v>GATE</x:v>
      </x:c>
      <x:c r="D1814" t="str">
        <x:v>release state mirrors governing ledger</x:v>
      </x:c>
      <x:c r="E1814" t="str">
        <x:f>'Release Gates'!I1788</x:f>
        <x:v>OPEN</x:v>
      </x:c>
      <x:c r="F1814" t="str">
        <x:f>IF('Release Gates'!C1788="PLANNING","PASS",IF('Release Gates'!C1788="PHYSICAL","OPEN","BLOCKED"))</x:f>
        <x:v>OPEN</x:v>
      </x:c>
      <x:c r="G1814" t="str">
        <x:v>equals</x:v>
      </x:c>
      <x:c r="H1814" t="str">
        <x:f>IF(E1814=F1814,"PASS","FAIL")</x:f>
        <x:v>PASS</x:v>
      </x:c>
    </x:row>
    <x:row r="1815">
      <x:c r="B1815" t="str">
        <x:v>A-01783</x:v>
      </x:c>
      <x:c r="C1815" t="str">
        <x:v>GATE</x:v>
      </x:c>
      <x:c r="D1815" t="str">
        <x:v>release state mirrors governing ledger</x:v>
      </x:c>
      <x:c r="E1815" t="str">
        <x:f>'Release Gates'!I1789</x:f>
        <x:v>OPEN</x:v>
      </x:c>
      <x:c r="F1815" t="str">
        <x:f>IF('Release Gates'!C1789="PLANNING","PASS",IF('Release Gates'!C1789="PHYSICAL","OPEN","BLOCKED"))</x:f>
        <x:v>OPEN</x:v>
      </x:c>
      <x:c r="G1815" t="str">
        <x:v>equals</x:v>
      </x:c>
      <x:c r="H1815" t="str">
        <x:f>IF(E1815=F1815,"PASS","FAIL")</x:f>
        <x:v>PASS</x:v>
      </x:c>
    </x:row>
    <x:row r="1816">
      <x:c r="B1816" t="str">
        <x:v>A-01784</x:v>
      </x:c>
      <x:c r="C1816" t="str">
        <x:v>GATE</x:v>
      </x:c>
      <x:c r="D1816" t="str">
        <x:v>release state mirrors governing ledger</x:v>
      </x:c>
      <x:c r="E1816" t="str">
        <x:f>'Release Gates'!I1790</x:f>
        <x:v>OPEN</x:v>
      </x:c>
      <x:c r="F1816" t="str">
        <x:f>IF('Release Gates'!C1790="PLANNING","PASS",IF('Release Gates'!C1790="PHYSICAL","OPEN","BLOCKED"))</x:f>
        <x:v>OPEN</x:v>
      </x:c>
      <x:c r="G1816" t="str">
        <x:v>equals</x:v>
      </x:c>
      <x:c r="H1816" t="str">
        <x:f>IF(E1816=F1816,"PASS","FAIL")</x:f>
        <x:v>PASS</x:v>
      </x:c>
    </x:row>
    <x:row r="1817">
      <x:c r="B1817" t="str">
        <x:v>A-01785</x:v>
      </x:c>
      <x:c r="C1817" t="str">
        <x:v>GATE</x:v>
      </x:c>
      <x:c r="D1817" t="str">
        <x:v>release state mirrors governing ledger</x:v>
      </x:c>
      <x:c r="E1817" t="str">
        <x:f>'Release Gates'!I1791</x:f>
        <x:v>OPEN</x:v>
      </x:c>
      <x:c r="F1817" t="str">
        <x:f>IF('Release Gates'!C1791="PLANNING","PASS",IF('Release Gates'!C1791="PHYSICAL","OPEN","BLOCKED"))</x:f>
        <x:v>OPEN</x:v>
      </x:c>
      <x:c r="G1817" t="str">
        <x:v>equals</x:v>
      </x:c>
      <x:c r="H1817" t="str">
        <x:f>IF(E1817=F1817,"PASS","FAIL")</x:f>
        <x:v>PASS</x:v>
      </x:c>
    </x:row>
    <x:row r="1818">
      <x:c r="B1818" t="str">
        <x:v>A-01786</x:v>
      </x:c>
      <x:c r="C1818" t="str">
        <x:v>GATE</x:v>
      </x:c>
      <x:c r="D1818" t="str">
        <x:v>release state mirrors governing ledger</x:v>
      </x:c>
      <x:c r="E1818" t="str">
        <x:f>'Release Gates'!I1792</x:f>
        <x:v>OPEN</x:v>
      </x:c>
      <x:c r="F1818" t="str">
        <x:f>IF('Release Gates'!C1792="PLANNING","PASS",IF('Release Gates'!C1792="PHYSICAL","OPEN","BLOCKED"))</x:f>
        <x:v>OPEN</x:v>
      </x:c>
      <x:c r="G1818" t="str">
        <x:v>equals</x:v>
      </x:c>
      <x:c r="H1818" t="str">
        <x:f>IF(E1818=F1818,"PASS","FAIL")</x:f>
        <x:v>PASS</x:v>
      </x:c>
    </x:row>
    <x:row r="1819">
      <x:c r="B1819" t="str">
        <x:v>A-01787</x:v>
      </x:c>
      <x:c r="C1819" t="str">
        <x:v>GATE</x:v>
      </x:c>
      <x:c r="D1819" t="str">
        <x:v>release state mirrors governing ledger</x:v>
      </x:c>
      <x:c r="E1819" t="str">
        <x:f>'Release Gates'!I1793</x:f>
        <x:v>OPEN</x:v>
      </x:c>
      <x:c r="F1819" t="str">
        <x:f>IF('Release Gates'!C1793="PLANNING","PASS",IF('Release Gates'!C1793="PHYSICAL","OPEN","BLOCKED"))</x:f>
        <x:v>OPEN</x:v>
      </x:c>
      <x:c r="G1819" t="str">
        <x:v>equals</x:v>
      </x:c>
      <x:c r="H1819" t="str">
        <x:f>IF(E1819=F1819,"PASS","FAIL")</x:f>
        <x:v>PASS</x:v>
      </x:c>
    </x:row>
    <x:row r="1820">
      <x:c r="B1820" t="str">
        <x:v>A-01788</x:v>
      </x:c>
      <x:c r="C1820" t="str">
        <x:v>GATE</x:v>
      </x:c>
      <x:c r="D1820" t="str">
        <x:v>release state mirrors governing ledger</x:v>
      </x:c>
      <x:c r="E1820" t="str">
        <x:f>'Release Gates'!I1794</x:f>
        <x:v>OPEN</x:v>
      </x:c>
      <x:c r="F1820" t="str">
        <x:f>IF('Release Gates'!C1794="PLANNING","PASS",IF('Release Gates'!C1794="PHYSICAL","OPEN","BLOCKED"))</x:f>
        <x:v>OPEN</x:v>
      </x:c>
      <x:c r="G1820" t="str">
        <x:v>equals</x:v>
      </x:c>
      <x:c r="H1820" t="str">
        <x:f>IF(E1820=F1820,"PASS","FAIL")</x:f>
        <x:v>PASS</x:v>
      </x:c>
    </x:row>
    <x:row r="1821">
      <x:c r="B1821" t="str">
        <x:v>A-01789</x:v>
      </x:c>
      <x:c r="C1821" t="str">
        <x:v>GATE</x:v>
      </x:c>
      <x:c r="D1821" t="str">
        <x:v>release state mirrors governing ledger</x:v>
      </x:c>
      <x:c r="E1821" t="str">
        <x:f>'Release Gates'!I1795</x:f>
        <x:v>OPEN</x:v>
      </x:c>
      <x:c r="F1821" t="str">
        <x:f>IF('Release Gates'!C1795="PLANNING","PASS",IF('Release Gates'!C1795="PHYSICAL","OPEN","BLOCKED"))</x:f>
        <x:v>OPEN</x:v>
      </x:c>
      <x:c r="G1821" t="str">
        <x:v>equals</x:v>
      </x:c>
      <x:c r="H1821" t="str">
        <x:f>IF(E1821=F1821,"PASS","FAIL")</x:f>
        <x:v>PASS</x:v>
      </x:c>
    </x:row>
    <x:row r="1822">
      <x:c r="B1822" t="str">
        <x:v>A-01790</x:v>
      </x:c>
      <x:c r="C1822" t="str">
        <x:v>GATE</x:v>
      </x:c>
      <x:c r="D1822" t="str">
        <x:v>release state mirrors governing ledger</x:v>
      </x:c>
      <x:c r="E1822" t="str">
        <x:f>'Release Gates'!I1796</x:f>
        <x:v>OPEN</x:v>
      </x:c>
      <x:c r="F1822" t="str">
        <x:f>IF('Release Gates'!C1796="PLANNING","PASS",IF('Release Gates'!C1796="PHYSICAL","OPEN","BLOCKED"))</x:f>
        <x:v>OPEN</x:v>
      </x:c>
      <x:c r="G1822" t="str">
        <x:v>equals</x:v>
      </x:c>
      <x:c r="H1822" t="str">
        <x:f>IF(E1822=F1822,"PASS","FAIL")</x:f>
        <x:v>PASS</x:v>
      </x:c>
    </x:row>
    <x:row r="1823">
      <x:c r="B1823" t="str">
        <x:v>A-01791</x:v>
      </x:c>
      <x:c r="C1823" t="str">
        <x:v>GATE</x:v>
      </x:c>
      <x:c r="D1823" t="str">
        <x:v>release state mirrors governing ledger</x:v>
      </x:c>
      <x:c r="E1823" t="str">
        <x:f>'Release Gates'!I1797</x:f>
        <x:v>OPEN</x:v>
      </x:c>
      <x:c r="F1823" t="str">
        <x:f>IF('Release Gates'!C1797="PLANNING","PASS",IF('Release Gates'!C1797="PHYSICAL","OPEN","BLOCKED"))</x:f>
        <x:v>OPEN</x:v>
      </x:c>
      <x:c r="G1823" t="str">
        <x:v>equals</x:v>
      </x:c>
      <x:c r="H1823" t="str">
        <x:f>IF(E1823=F1823,"PASS","FAIL")</x:f>
        <x:v>PASS</x:v>
      </x:c>
    </x:row>
    <x:row r="1824">
      <x:c r="B1824" t="str">
        <x:v>A-01792</x:v>
      </x:c>
      <x:c r="C1824" t="str">
        <x:v>GATE</x:v>
      </x:c>
      <x:c r="D1824" t="str">
        <x:v>release state mirrors governing ledger</x:v>
      </x:c>
      <x:c r="E1824" t="str">
        <x:f>'Release Gates'!I1798</x:f>
        <x:v>OPEN</x:v>
      </x:c>
      <x:c r="F1824" t="str">
        <x:f>IF('Release Gates'!C1798="PLANNING","PASS",IF('Release Gates'!C1798="PHYSICAL","OPEN","BLOCKED"))</x:f>
        <x:v>OPEN</x:v>
      </x:c>
      <x:c r="G1824" t="str">
        <x:v>equals</x:v>
      </x:c>
      <x:c r="H1824" t="str">
        <x:f>IF(E1824=F1824,"PASS","FAIL")</x:f>
        <x:v>PASS</x:v>
      </x:c>
    </x:row>
    <x:row r="1825">
      <x:c r="B1825" t="str">
        <x:v>A-01793</x:v>
      </x:c>
      <x:c r="C1825" t="str">
        <x:v>GATE</x:v>
      </x:c>
      <x:c r="D1825" t="str">
        <x:v>release state mirrors governing ledger</x:v>
      </x:c>
      <x:c r="E1825" t="str">
        <x:f>'Release Gates'!I1799</x:f>
        <x:v>OPEN</x:v>
      </x:c>
      <x:c r="F1825" t="str">
        <x:f>IF('Release Gates'!C1799="PLANNING","PASS",IF('Release Gates'!C1799="PHYSICAL","OPEN","BLOCKED"))</x:f>
        <x:v>OPEN</x:v>
      </x:c>
      <x:c r="G1825" t="str">
        <x:v>equals</x:v>
      </x:c>
      <x:c r="H1825" t="str">
        <x:f>IF(E1825=F1825,"PASS","FAIL")</x:f>
        <x:v>PASS</x:v>
      </x:c>
    </x:row>
    <x:row r="1826">
      <x:c r="B1826" t="str">
        <x:v>A-01794</x:v>
      </x:c>
      <x:c r="C1826" t="str">
        <x:v>GATE</x:v>
      </x:c>
      <x:c r="D1826" t="str">
        <x:v>release state mirrors governing ledger</x:v>
      </x:c>
      <x:c r="E1826" t="str">
        <x:f>'Release Gates'!I1800</x:f>
        <x:v>OPEN</x:v>
      </x:c>
      <x:c r="F1826" t="str">
        <x:f>IF('Release Gates'!C1800="PLANNING","PASS",IF('Release Gates'!C1800="PHYSICAL","OPEN","BLOCKED"))</x:f>
        <x:v>OPEN</x:v>
      </x:c>
      <x:c r="G1826" t="str">
        <x:v>equals</x:v>
      </x:c>
      <x:c r="H1826" t="str">
        <x:f>IF(E1826=F1826,"PASS","FAIL")</x:f>
        <x:v>PASS</x:v>
      </x:c>
    </x:row>
    <x:row r="1827">
      <x:c r="B1827" t="str">
        <x:v>A-01795</x:v>
      </x:c>
      <x:c r="C1827" t="str">
        <x:v>GATE</x:v>
      </x:c>
      <x:c r="D1827" t="str">
        <x:v>release state mirrors governing ledger</x:v>
      </x:c>
      <x:c r="E1827" t="str">
        <x:f>'Release Gates'!I1801</x:f>
        <x:v>OPEN</x:v>
      </x:c>
      <x:c r="F1827" t="str">
        <x:f>IF('Release Gates'!C1801="PLANNING","PASS",IF('Release Gates'!C1801="PHYSICAL","OPEN","BLOCKED"))</x:f>
        <x:v>OPEN</x:v>
      </x:c>
      <x:c r="G1827" t="str">
        <x:v>equals</x:v>
      </x:c>
      <x:c r="H1827" t="str">
        <x:f>IF(E1827=F1827,"PASS","FAIL")</x:f>
        <x:v>PASS</x:v>
      </x:c>
    </x:row>
    <x:row r="1828">
      <x:c r="B1828" t="str">
        <x:v>A-01796</x:v>
      </x:c>
      <x:c r="C1828" t="str">
        <x:v>GATE</x:v>
      </x:c>
      <x:c r="D1828" t="str">
        <x:v>release state mirrors governing ledger</x:v>
      </x:c>
      <x:c r="E1828" t="str">
        <x:f>'Release Gates'!I1802</x:f>
        <x:v>OPEN</x:v>
      </x:c>
      <x:c r="F1828" t="str">
        <x:f>IF('Release Gates'!C1802="PLANNING","PASS",IF('Release Gates'!C1802="PHYSICAL","OPEN","BLOCKED"))</x:f>
        <x:v>OPEN</x:v>
      </x:c>
      <x:c r="G1828" t="str">
        <x:v>equals</x:v>
      </x:c>
      <x:c r="H1828" t="str">
        <x:f>IF(E1828=F1828,"PASS","FAIL")</x:f>
        <x:v>PASS</x:v>
      </x:c>
    </x:row>
    <x:row r="1829">
      <x:c r="B1829" t="str">
        <x:v>A-01797</x:v>
      </x:c>
      <x:c r="C1829" t="str">
        <x:v>GATE</x:v>
      </x:c>
      <x:c r="D1829" t="str">
        <x:v>release state mirrors governing ledger</x:v>
      </x:c>
      <x:c r="E1829" t="str">
        <x:f>'Release Gates'!I1803</x:f>
        <x:v>OPEN</x:v>
      </x:c>
      <x:c r="F1829" t="str">
        <x:f>IF('Release Gates'!C1803="PLANNING","PASS",IF('Release Gates'!C1803="PHYSICAL","OPEN","BLOCKED"))</x:f>
        <x:v>OPEN</x:v>
      </x:c>
      <x:c r="G1829" t="str">
        <x:v>equals</x:v>
      </x:c>
      <x:c r="H1829" t="str">
        <x:f>IF(E1829=F1829,"PASS","FAIL")</x:f>
        <x:v>PASS</x:v>
      </x:c>
    </x:row>
    <x:row r="1830">
      <x:c r="B1830" t="str">
        <x:v>A-01798</x:v>
      </x:c>
      <x:c r="C1830" t="str">
        <x:v>GATE</x:v>
      </x:c>
      <x:c r="D1830" t="str">
        <x:v>release state mirrors governing ledger</x:v>
      </x:c>
      <x:c r="E1830" t="str">
        <x:f>'Release Gates'!I1804</x:f>
        <x:v>OPEN</x:v>
      </x:c>
      <x:c r="F1830" t="str">
        <x:f>IF('Release Gates'!C1804="PLANNING","PASS",IF('Release Gates'!C1804="PHYSICAL","OPEN","BLOCKED"))</x:f>
        <x:v>OPEN</x:v>
      </x:c>
      <x:c r="G1830" t="str">
        <x:v>equals</x:v>
      </x:c>
      <x:c r="H1830" t="str">
        <x:f>IF(E1830=F1830,"PASS","FAIL")</x:f>
        <x:v>PASS</x:v>
      </x:c>
    </x:row>
    <x:row r="1831">
      <x:c r="B1831" t="str">
        <x:v>A-01799</x:v>
      </x:c>
      <x:c r="C1831" t="str">
        <x:v>GATE</x:v>
      </x:c>
      <x:c r="D1831" t="str">
        <x:v>release state mirrors governing ledger</x:v>
      </x:c>
      <x:c r="E1831" t="str">
        <x:f>'Release Gates'!I1805</x:f>
        <x:v>OPEN</x:v>
      </x:c>
      <x:c r="F1831" t="str">
        <x:f>IF('Release Gates'!C1805="PLANNING","PASS",IF('Release Gates'!C1805="PHYSICAL","OPEN","BLOCKED"))</x:f>
        <x:v>OPEN</x:v>
      </x:c>
      <x:c r="G1831" t="str">
        <x:v>equals</x:v>
      </x:c>
      <x:c r="H1831" t="str">
        <x:f>IF(E1831=F1831,"PASS","FAIL")</x:f>
        <x:v>PASS</x:v>
      </x:c>
    </x:row>
    <x:row r="1832">
      <x:c r="B1832" t="str">
        <x:v>A-01800</x:v>
      </x:c>
      <x:c r="C1832" t="str">
        <x:v>GATE</x:v>
      </x:c>
      <x:c r="D1832" t="str">
        <x:v>release state mirrors governing ledger</x:v>
      </x:c>
      <x:c r="E1832" t="str">
        <x:f>'Release Gates'!I1806</x:f>
        <x:v>OPEN</x:v>
      </x:c>
      <x:c r="F1832" t="str">
        <x:f>IF('Release Gates'!C1806="PLANNING","PASS",IF('Release Gates'!C1806="PHYSICAL","OPEN","BLOCKED"))</x:f>
        <x:v>OPEN</x:v>
      </x:c>
      <x:c r="G1832" t="str">
        <x:v>equals</x:v>
      </x:c>
      <x:c r="H1832" t="str">
        <x:f>IF(E1832=F1832,"PASS","FAIL")</x:f>
        <x:v>PASS</x:v>
      </x:c>
    </x:row>
    <x:row r="1833">
      <x:c r="B1833" t="str">
        <x:v>A-01801</x:v>
      </x:c>
      <x:c r="C1833" t="str">
        <x:v>GATE</x:v>
      </x:c>
      <x:c r="D1833" t="str">
        <x:v>release state mirrors governing ledger</x:v>
      </x:c>
      <x:c r="E1833" t="str">
        <x:f>'Release Gates'!I1807</x:f>
        <x:v>OPEN</x:v>
      </x:c>
      <x:c r="F1833" t="str">
        <x:f>IF('Release Gates'!C1807="PLANNING","PASS",IF('Release Gates'!C1807="PHYSICAL","OPEN","BLOCKED"))</x:f>
        <x:v>OPEN</x:v>
      </x:c>
      <x:c r="G1833" t="str">
        <x:v>equals</x:v>
      </x:c>
      <x:c r="H1833" t="str">
        <x:f>IF(E1833=F1833,"PASS","FAIL")</x:f>
        <x:v>PASS</x:v>
      </x:c>
    </x:row>
    <x:row r="1834">
      <x:c r="B1834" t="str">
        <x:v>A-01802</x:v>
      </x:c>
      <x:c r="C1834" t="str">
        <x:v>GATE</x:v>
      </x:c>
      <x:c r="D1834" t="str">
        <x:v>release state mirrors governing ledger</x:v>
      </x:c>
      <x:c r="E1834" t="str">
        <x:f>'Release Gates'!I1808</x:f>
        <x:v>OPEN</x:v>
      </x:c>
      <x:c r="F1834" t="str">
        <x:f>IF('Release Gates'!C1808="PLANNING","PASS",IF('Release Gates'!C1808="PHYSICAL","OPEN","BLOCKED"))</x:f>
        <x:v>OPEN</x:v>
      </x:c>
      <x:c r="G1834" t="str">
        <x:v>equals</x:v>
      </x:c>
      <x:c r="H1834" t="str">
        <x:f>IF(E1834=F1834,"PASS","FAIL")</x:f>
        <x:v>PASS</x:v>
      </x:c>
    </x:row>
    <x:row r="1835">
      <x:c r="B1835" t="str">
        <x:v>A-01803</x:v>
      </x:c>
      <x:c r="C1835" t="str">
        <x:v>GATE</x:v>
      </x:c>
      <x:c r="D1835" t="str">
        <x:v>release state mirrors governing ledger</x:v>
      </x:c>
      <x:c r="E1835" t="str">
        <x:f>'Release Gates'!I1809</x:f>
        <x:v>OPEN</x:v>
      </x:c>
      <x:c r="F1835" t="str">
        <x:f>IF('Release Gates'!C1809="PLANNING","PASS",IF('Release Gates'!C1809="PHYSICAL","OPEN","BLOCKED"))</x:f>
        <x:v>OPEN</x:v>
      </x:c>
      <x:c r="G1835" t="str">
        <x:v>equals</x:v>
      </x:c>
      <x:c r="H1835" t="str">
        <x:f>IF(E1835=F1835,"PASS","FAIL")</x:f>
        <x:v>PASS</x:v>
      </x:c>
    </x:row>
    <x:row r="1836">
      <x:c r="B1836" t="str">
        <x:v>A-01804</x:v>
      </x:c>
      <x:c r="C1836" t="str">
        <x:v>GATE</x:v>
      </x:c>
      <x:c r="D1836" t="str">
        <x:v>release state mirrors governing ledger</x:v>
      </x:c>
      <x:c r="E1836" t="str">
        <x:f>'Release Gates'!I1810</x:f>
        <x:v>OPEN</x:v>
      </x:c>
      <x:c r="F1836" t="str">
        <x:f>IF('Release Gates'!C1810="PLANNING","PASS",IF('Release Gates'!C1810="PHYSICAL","OPEN","BLOCKED"))</x:f>
        <x:v>OPEN</x:v>
      </x:c>
      <x:c r="G1836" t="str">
        <x:v>equals</x:v>
      </x:c>
      <x:c r="H1836" t="str">
        <x:f>IF(E1836=F1836,"PASS","FAIL")</x:f>
        <x:v>PASS</x:v>
      </x:c>
    </x:row>
    <x:row r="1837">
      <x:c r="B1837" t="str">
        <x:v>A-01805</x:v>
      </x:c>
      <x:c r="C1837" t="str">
        <x:v>GATE</x:v>
      </x:c>
      <x:c r="D1837" t="str">
        <x:v>release state mirrors governing ledger</x:v>
      </x:c>
      <x:c r="E1837" t="str">
        <x:f>'Release Gates'!I1811</x:f>
        <x:v>OPEN</x:v>
      </x:c>
      <x:c r="F1837" t="str">
        <x:f>IF('Release Gates'!C1811="PLANNING","PASS",IF('Release Gates'!C1811="PHYSICAL","OPEN","BLOCKED"))</x:f>
        <x:v>OPEN</x:v>
      </x:c>
      <x:c r="G1837" t="str">
        <x:v>equals</x:v>
      </x:c>
      <x:c r="H1837" t="str">
        <x:f>IF(E1837=F1837,"PASS","FAIL")</x:f>
        <x:v>PASS</x:v>
      </x:c>
    </x:row>
    <x:row r="1838">
      <x:c r="B1838" t="str">
        <x:v>A-01806</x:v>
      </x:c>
      <x:c r="C1838" t="str">
        <x:v>GATE</x:v>
      </x:c>
      <x:c r="D1838" t="str">
        <x:v>release state mirrors governing ledger</x:v>
      </x:c>
      <x:c r="E1838" t="str">
        <x:f>'Release Gates'!I1812</x:f>
        <x:v>OPEN</x:v>
      </x:c>
      <x:c r="F1838" t="str">
        <x:f>IF('Release Gates'!C1812="PLANNING","PASS",IF('Release Gates'!C1812="PHYSICAL","OPEN","BLOCKED"))</x:f>
        <x:v>OPEN</x:v>
      </x:c>
      <x:c r="G1838" t="str">
        <x:v>equals</x:v>
      </x:c>
      <x:c r="H1838" t="str">
        <x:f>IF(E1838=F1838,"PASS","FAIL")</x:f>
        <x:v>PASS</x:v>
      </x:c>
    </x:row>
    <x:row r="1839">
      <x:c r="B1839" t="str">
        <x:v>A-01807</x:v>
      </x:c>
      <x:c r="C1839" t="str">
        <x:v>GATE</x:v>
      </x:c>
      <x:c r="D1839" t="str">
        <x:v>release state mirrors governing ledger</x:v>
      </x:c>
      <x:c r="E1839" t="str">
        <x:f>'Release Gates'!I1813</x:f>
        <x:v>OPEN</x:v>
      </x:c>
      <x:c r="F1839" t="str">
        <x:f>IF('Release Gates'!C1813="PLANNING","PASS",IF('Release Gates'!C1813="PHYSICAL","OPEN","BLOCKED"))</x:f>
        <x:v>OPEN</x:v>
      </x:c>
      <x:c r="G1839" t="str">
        <x:v>equals</x:v>
      </x:c>
      <x:c r="H1839" t="str">
        <x:f>IF(E1839=F1839,"PASS","FAIL")</x:f>
        <x:v>PASS</x:v>
      </x:c>
    </x:row>
    <x:row r="1840">
      <x:c r="B1840" t="str">
        <x:v>A-01808</x:v>
      </x:c>
      <x:c r="C1840" t="str">
        <x:v>GATE</x:v>
      </x:c>
      <x:c r="D1840" t="str">
        <x:v>release state mirrors governing ledger</x:v>
      </x:c>
      <x:c r="E1840" t="str">
        <x:f>'Release Gates'!I1814</x:f>
        <x:v>OPEN</x:v>
      </x:c>
      <x:c r="F1840" t="str">
        <x:f>IF('Release Gates'!C1814="PLANNING","PASS",IF('Release Gates'!C1814="PHYSICAL","OPEN","BLOCKED"))</x:f>
        <x:v>OPEN</x:v>
      </x:c>
      <x:c r="G1840" t="str">
        <x:v>equals</x:v>
      </x:c>
      <x:c r="H1840" t="str">
        <x:f>IF(E1840=F1840,"PASS","FAIL")</x:f>
        <x:v>PASS</x:v>
      </x:c>
    </x:row>
    <x:row r="1841">
      <x:c r="B1841" t="str">
        <x:v>A-01809</x:v>
      </x:c>
      <x:c r="C1841" t="str">
        <x:v>GATE</x:v>
      </x:c>
      <x:c r="D1841" t="str">
        <x:v>release state mirrors governing ledger</x:v>
      </x:c>
      <x:c r="E1841" t="str">
        <x:f>'Release Gates'!I1815</x:f>
        <x:v>OPEN</x:v>
      </x:c>
      <x:c r="F1841" t="str">
        <x:f>IF('Release Gates'!C1815="PLANNING","PASS",IF('Release Gates'!C1815="PHYSICAL","OPEN","BLOCKED"))</x:f>
        <x:v>OPEN</x:v>
      </x:c>
      <x:c r="G1841" t="str">
        <x:v>equals</x:v>
      </x:c>
      <x:c r="H1841" t="str">
        <x:f>IF(E1841=F1841,"PASS","FAIL")</x:f>
        <x:v>PASS</x:v>
      </x:c>
    </x:row>
    <x:row r="1842">
      <x:c r="B1842" t="str">
        <x:v>A-01810</x:v>
      </x:c>
      <x:c r="C1842" t="str">
        <x:v>GATE</x:v>
      </x:c>
      <x:c r="D1842" t="str">
        <x:v>release state mirrors governing ledger</x:v>
      </x:c>
      <x:c r="E1842" t="str">
        <x:f>'Release Gates'!I1816</x:f>
        <x:v>OPEN</x:v>
      </x:c>
      <x:c r="F1842" t="str">
        <x:f>IF('Release Gates'!C1816="PLANNING","PASS",IF('Release Gates'!C1816="PHYSICAL","OPEN","BLOCKED"))</x:f>
        <x:v>OPEN</x:v>
      </x:c>
      <x:c r="G1842" t="str">
        <x:v>equals</x:v>
      </x:c>
      <x:c r="H1842" t="str">
        <x:f>IF(E1842=F1842,"PASS","FAIL")</x:f>
        <x:v>PASS</x:v>
      </x:c>
    </x:row>
    <x:row r="1843">
      <x:c r="B1843" t="str">
        <x:v>A-01811</x:v>
      </x:c>
      <x:c r="C1843" t="str">
        <x:v>GATE</x:v>
      </x:c>
      <x:c r="D1843" t="str">
        <x:v>release state mirrors governing ledger</x:v>
      </x:c>
      <x:c r="E1843" t="str">
        <x:f>'Release Gates'!I1817</x:f>
        <x:v>OPEN</x:v>
      </x:c>
      <x:c r="F1843" t="str">
        <x:f>IF('Release Gates'!C1817="PLANNING","PASS",IF('Release Gates'!C1817="PHYSICAL","OPEN","BLOCKED"))</x:f>
        <x:v>OPEN</x:v>
      </x:c>
      <x:c r="G1843" t="str">
        <x:v>equals</x:v>
      </x:c>
      <x:c r="H1843" t="str">
        <x:f>IF(E1843=F1843,"PASS","FAIL")</x:f>
        <x:v>PASS</x:v>
      </x:c>
    </x:row>
    <x:row r="1844">
      <x:c r="B1844" t="str">
        <x:v>A-01812</x:v>
      </x:c>
      <x:c r="C1844" t="str">
        <x:v>GATE</x:v>
      </x:c>
      <x:c r="D1844" t="str">
        <x:v>release state mirrors governing ledger</x:v>
      </x:c>
      <x:c r="E1844" t="str">
        <x:f>'Release Gates'!I1818</x:f>
        <x:v>OPEN</x:v>
      </x:c>
      <x:c r="F1844" t="str">
        <x:f>IF('Release Gates'!C1818="PLANNING","PASS",IF('Release Gates'!C1818="PHYSICAL","OPEN","BLOCKED"))</x:f>
        <x:v>OPEN</x:v>
      </x:c>
      <x:c r="G1844" t="str">
        <x:v>equals</x:v>
      </x:c>
      <x:c r="H1844" t="str">
        <x:f>IF(E1844=F1844,"PASS","FAIL")</x:f>
        <x:v>PASS</x:v>
      </x:c>
    </x:row>
    <x:row r="1845">
      <x:c r="B1845" t="str">
        <x:v>A-01813</x:v>
      </x:c>
      <x:c r="C1845" t="str">
        <x:v>GATE</x:v>
      </x:c>
      <x:c r="D1845" t="str">
        <x:v>release state mirrors governing ledger</x:v>
      </x:c>
      <x:c r="E1845" t="str">
        <x:f>'Release Gates'!I1819</x:f>
        <x:v>OPEN</x:v>
      </x:c>
      <x:c r="F1845" t="str">
        <x:f>IF('Release Gates'!C1819="PLANNING","PASS",IF('Release Gates'!C1819="PHYSICAL","OPEN","BLOCKED"))</x:f>
        <x:v>OPEN</x:v>
      </x:c>
      <x:c r="G1845" t="str">
        <x:v>equals</x:v>
      </x:c>
      <x:c r="H1845" t="str">
        <x:f>IF(E1845=F1845,"PASS","FAIL")</x:f>
        <x:v>PASS</x:v>
      </x:c>
    </x:row>
    <x:row r="1846">
      <x:c r="B1846" t="str">
        <x:v>A-01814</x:v>
      </x:c>
      <x:c r="C1846" t="str">
        <x:v>GATE</x:v>
      </x:c>
      <x:c r="D1846" t="str">
        <x:v>release state mirrors governing ledger</x:v>
      </x:c>
      <x:c r="E1846" t="str">
        <x:f>'Release Gates'!I1820</x:f>
        <x:v>OPEN</x:v>
      </x:c>
      <x:c r="F1846" t="str">
        <x:f>IF('Release Gates'!C1820="PLANNING","PASS",IF('Release Gates'!C1820="PHYSICAL","OPEN","BLOCKED"))</x:f>
        <x:v>OPEN</x:v>
      </x:c>
      <x:c r="G1846" t="str">
        <x:v>equals</x:v>
      </x:c>
      <x:c r="H1846" t="str">
        <x:f>IF(E1846=F1846,"PASS","FAIL")</x:f>
        <x:v>PASS</x:v>
      </x:c>
    </x:row>
    <x:row r="1847">
      <x:c r="B1847" t="str">
        <x:v>A-01815</x:v>
      </x:c>
      <x:c r="C1847" t="str">
        <x:v>GATE</x:v>
      </x:c>
      <x:c r="D1847" t="str">
        <x:v>release state mirrors governing ledger</x:v>
      </x:c>
      <x:c r="E1847" t="str">
        <x:f>'Release Gates'!I1821</x:f>
        <x:v>OPEN</x:v>
      </x:c>
      <x:c r="F1847" t="str">
        <x:f>IF('Release Gates'!C1821="PLANNING","PASS",IF('Release Gates'!C1821="PHYSICAL","OPEN","BLOCKED"))</x:f>
        <x:v>OPEN</x:v>
      </x:c>
      <x:c r="G1847" t="str">
        <x:v>equals</x:v>
      </x:c>
      <x:c r="H1847" t="str">
        <x:f>IF(E1847=F1847,"PASS","FAIL")</x:f>
        <x:v>PASS</x:v>
      </x:c>
    </x:row>
    <x:row r="1848">
      <x:c r="B1848" t="str">
        <x:v>A-01816</x:v>
      </x:c>
      <x:c r="C1848" t="str">
        <x:v>GATE</x:v>
      </x:c>
      <x:c r="D1848" t="str">
        <x:v>release state mirrors governing ledger</x:v>
      </x:c>
      <x:c r="E1848" t="str">
        <x:f>'Release Gates'!I1822</x:f>
        <x:v>OPEN</x:v>
      </x:c>
      <x:c r="F1848" t="str">
        <x:f>IF('Release Gates'!C1822="PLANNING","PASS",IF('Release Gates'!C1822="PHYSICAL","OPEN","BLOCKED"))</x:f>
        <x:v>OPEN</x:v>
      </x:c>
      <x:c r="G1848" t="str">
        <x:v>equals</x:v>
      </x:c>
      <x:c r="H1848" t="str">
        <x:f>IF(E1848=F1848,"PASS","FAIL")</x:f>
        <x:v>PASS</x:v>
      </x:c>
    </x:row>
    <x:row r="1849">
      <x:c r="B1849" t="str">
        <x:v>A-01817</x:v>
      </x:c>
      <x:c r="C1849" t="str">
        <x:v>GATE</x:v>
      </x:c>
      <x:c r="D1849" t="str">
        <x:v>release state mirrors governing ledger</x:v>
      </x:c>
      <x:c r="E1849" t="str">
        <x:f>'Release Gates'!I1823</x:f>
        <x:v>OPEN</x:v>
      </x:c>
      <x:c r="F1849" t="str">
        <x:f>IF('Release Gates'!C1823="PLANNING","PASS",IF('Release Gates'!C1823="PHYSICAL","OPEN","BLOCKED"))</x:f>
        <x:v>OPEN</x:v>
      </x:c>
      <x:c r="G1849" t="str">
        <x:v>equals</x:v>
      </x:c>
      <x:c r="H1849" t="str">
        <x:f>IF(E1849=F1849,"PASS","FAIL")</x:f>
        <x:v>PASS</x:v>
      </x:c>
    </x:row>
    <x:row r="1850">
      <x:c r="B1850" t="str">
        <x:v>A-01818</x:v>
      </x:c>
      <x:c r="C1850" t="str">
        <x:v>GATE</x:v>
      </x:c>
      <x:c r="D1850" t="str">
        <x:v>release state mirrors governing ledger</x:v>
      </x:c>
      <x:c r="E1850" t="str">
        <x:f>'Release Gates'!I1824</x:f>
        <x:v>OPEN</x:v>
      </x:c>
      <x:c r="F1850" t="str">
        <x:f>IF('Release Gates'!C1824="PLANNING","PASS",IF('Release Gates'!C1824="PHYSICAL","OPEN","BLOCKED"))</x:f>
        <x:v>OPEN</x:v>
      </x:c>
      <x:c r="G1850" t="str">
        <x:v>equals</x:v>
      </x:c>
      <x:c r="H1850" t="str">
        <x:f>IF(E1850=F1850,"PASS","FAIL")</x:f>
        <x:v>PASS</x:v>
      </x:c>
    </x:row>
    <x:row r="1851">
      <x:c r="B1851" t="str">
        <x:v>A-01819</x:v>
      </x:c>
      <x:c r="C1851" t="str">
        <x:v>GATE</x:v>
      </x:c>
      <x:c r="D1851" t="str">
        <x:v>release state mirrors governing ledger</x:v>
      </x:c>
      <x:c r="E1851" t="str">
        <x:f>'Release Gates'!I1825</x:f>
        <x:v>OPEN</x:v>
      </x:c>
      <x:c r="F1851" t="str">
        <x:f>IF('Release Gates'!C1825="PLANNING","PASS",IF('Release Gates'!C1825="PHYSICAL","OPEN","BLOCKED"))</x:f>
        <x:v>OPEN</x:v>
      </x:c>
      <x:c r="G1851" t="str">
        <x:v>equals</x:v>
      </x:c>
      <x:c r="H1851" t="str">
        <x:f>IF(E1851=F1851,"PASS","FAIL")</x:f>
        <x:v>PASS</x:v>
      </x:c>
    </x:row>
    <x:row r="1852">
      <x:c r="B1852" t="str">
        <x:v>A-01820</x:v>
      </x:c>
      <x:c r="C1852" t="str">
        <x:v>GATE</x:v>
      </x:c>
      <x:c r="D1852" t="str">
        <x:v>release state mirrors governing ledger</x:v>
      </x:c>
      <x:c r="E1852" t="str">
        <x:f>'Release Gates'!I1826</x:f>
        <x:v>OPEN</x:v>
      </x:c>
      <x:c r="F1852" t="str">
        <x:f>IF('Release Gates'!C1826="PLANNING","PASS",IF('Release Gates'!C1826="PHYSICAL","OPEN","BLOCKED"))</x:f>
        <x:v>OPEN</x:v>
      </x:c>
      <x:c r="G1852" t="str">
        <x:v>equals</x:v>
      </x:c>
      <x:c r="H1852" t="str">
        <x:f>IF(E1852=F1852,"PASS","FAIL")</x:f>
        <x:v>PASS</x:v>
      </x:c>
    </x:row>
    <x:row r="1853">
      <x:c r="B1853" t="str">
        <x:v>A-01821</x:v>
      </x:c>
      <x:c r="C1853" t="str">
        <x:v>GATE</x:v>
      </x:c>
      <x:c r="D1853" t="str">
        <x:v>release state mirrors governing ledger</x:v>
      </x:c>
      <x:c r="E1853" t="str">
        <x:f>'Release Gates'!I1827</x:f>
        <x:v>OPEN</x:v>
      </x:c>
      <x:c r="F1853" t="str">
        <x:f>IF('Release Gates'!C1827="PLANNING","PASS",IF('Release Gates'!C1827="PHYSICAL","OPEN","BLOCKED"))</x:f>
        <x:v>OPEN</x:v>
      </x:c>
      <x:c r="G1853" t="str">
        <x:v>equals</x:v>
      </x:c>
      <x:c r="H1853" t="str">
        <x:f>IF(E1853=F1853,"PASS","FAIL")</x:f>
        <x:v>PASS</x:v>
      </x:c>
    </x:row>
    <x:row r="1854">
      <x:c r="B1854" t="str">
        <x:v>A-01822</x:v>
      </x:c>
      <x:c r="C1854" t="str">
        <x:v>GATE</x:v>
      </x:c>
      <x:c r="D1854" t="str">
        <x:v>release state mirrors governing ledger</x:v>
      </x:c>
      <x:c r="E1854" t="str">
        <x:f>'Release Gates'!I1828</x:f>
        <x:v>OPEN</x:v>
      </x:c>
      <x:c r="F1854" t="str">
        <x:f>IF('Release Gates'!C1828="PLANNING","PASS",IF('Release Gates'!C1828="PHYSICAL","OPEN","BLOCKED"))</x:f>
        <x:v>OPEN</x:v>
      </x:c>
      <x:c r="G1854" t="str">
        <x:v>equals</x:v>
      </x:c>
      <x:c r="H1854" t="str">
        <x:f>IF(E1854=F1854,"PASS","FAIL")</x:f>
        <x:v>PASS</x:v>
      </x:c>
    </x:row>
    <x:row r="1855">
      <x:c r="B1855" t="str">
        <x:v>A-01823</x:v>
      </x:c>
      <x:c r="C1855" t="str">
        <x:v>GATE</x:v>
      </x:c>
      <x:c r="D1855" t="str">
        <x:v>release state mirrors governing ledger</x:v>
      </x:c>
      <x:c r="E1855" t="str">
        <x:f>'Release Gates'!I1829</x:f>
        <x:v>OPEN</x:v>
      </x:c>
      <x:c r="F1855" t="str">
        <x:f>IF('Release Gates'!C1829="PLANNING","PASS",IF('Release Gates'!C1829="PHYSICAL","OPEN","BLOCKED"))</x:f>
        <x:v>OPEN</x:v>
      </x:c>
      <x:c r="G1855" t="str">
        <x:v>equals</x:v>
      </x:c>
      <x:c r="H1855" t="str">
        <x:f>IF(E1855=F1855,"PASS","FAIL")</x:f>
        <x:v>PASS</x:v>
      </x:c>
    </x:row>
    <x:row r="1856">
      <x:c r="B1856" t="str">
        <x:v>A-01824</x:v>
      </x:c>
      <x:c r="C1856" t="str">
        <x:v>GATE</x:v>
      </x:c>
      <x:c r="D1856" t="str">
        <x:v>release state mirrors governing ledger</x:v>
      </x:c>
      <x:c r="E1856" t="str">
        <x:f>'Release Gates'!I1830</x:f>
        <x:v>OPEN</x:v>
      </x:c>
      <x:c r="F1856" t="str">
        <x:f>IF('Release Gates'!C1830="PLANNING","PASS",IF('Release Gates'!C1830="PHYSICAL","OPEN","BLOCKED"))</x:f>
        <x:v>OPEN</x:v>
      </x:c>
      <x:c r="G1856" t="str">
        <x:v>equals</x:v>
      </x:c>
      <x:c r="H1856" t="str">
        <x:f>IF(E1856=F1856,"PASS","FAIL")</x:f>
        <x:v>PASS</x:v>
      </x:c>
    </x:row>
    <x:row r="1857">
      <x:c r="B1857" t="str">
        <x:v>A-01825</x:v>
      </x:c>
      <x:c r="C1857" t="str">
        <x:v>GATE</x:v>
      </x:c>
      <x:c r="D1857" t="str">
        <x:v>release state mirrors governing ledger</x:v>
      </x:c>
      <x:c r="E1857" t="str">
        <x:f>'Release Gates'!I1831</x:f>
        <x:v>OPEN</x:v>
      </x:c>
      <x:c r="F1857" t="str">
        <x:f>IF('Release Gates'!C1831="PLANNING","PASS",IF('Release Gates'!C1831="PHYSICAL","OPEN","BLOCKED"))</x:f>
        <x:v>OPEN</x:v>
      </x:c>
      <x:c r="G1857" t="str">
        <x:v>equals</x:v>
      </x:c>
      <x:c r="H1857" t="str">
        <x:f>IF(E1857=F1857,"PASS","FAIL")</x:f>
        <x:v>PASS</x:v>
      </x:c>
    </x:row>
    <x:row r="1858">
      <x:c r="B1858" t="str">
        <x:v>A-01826</x:v>
      </x:c>
      <x:c r="C1858" t="str">
        <x:v>GATE</x:v>
      </x:c>
      <x:c r="D1858" t="str">
        <x:v>release state mirrors governing ledger</x:v>
      </x:c>
      <x:c r="E1858" t="str">
        <x:f>'Release Gates'!I1832</x:f>
        <x:v>OPEN</x:v>
      </x:c>
      <x:c r="F1858" t="str">
        <x:f>IF('Release Gates'!C1832="PLANNING","PASS",IF('Release Gates'!C1832="PHYSICAL","OPEN","BLOCKED"))</x:f>
        <x:v>OPEN</x:v>
      </x:c>
      <x:c r="G1858" t="str">
        <x:v>equals</x:v>
      </x:c>
      <x:c r="H1858" t="str">
        <x:f>IF(E1858=F1858,"PASS","FAIL")</x:f>
        <x:v>PASS</x:v>
      </x:c>
    </x:row>
    <x:row r="1859">
      <x:c r="B1859" t="str">
        <x:v>A-01827</x:v>
      </x:c>
      <x:c r="C1859" t="str">
        <x:v>GATE</x:v>
      </x:c>
      <x:c r="D1859" t="str">
        <x:v>release state mirrors governing ledger</x:v>
      </x:c>
      <x:c r="E1859" t="str">
        <x:f>'Release Gates'!I1833</x:f>
        <x:v>OPEN</x:v>
      </x:c>
      <x:c r="F1859" t="str">
        <x:f>IF('Release Gates'!C1833="PLANNING","PASS",IF('Release Gates'!C1833="PHYSICAL","OPEN","BLOCKED"))</x:f>
        <x:v>OPEN</x:v>
      </x:c>
      <x:c r="G1859" t="str">
        <x:v>equals</x:v>
      </x:c>
      <x:c r="H1859" t="str">
        <x:f>IF(E1859=F1859,"PASS","FAIL")</x:f>
        <x:v>PASS</x:v>
      </x:c>
    </x:row>
    <x:row r="1860">
      <x:c r="B1860" t="str">
        <x:v>A-01828</x:v>
      </x:c>
      <x:c r="C1860" t="str">
        <x:v>GATE</x:v>
      </x:c>
      <x:c r="D1860" t="str">
        <x:v>release state mirrors governing ledger</x:v>
      </x:c>
      <x:c r="E1860" t="str">
        <x:f>'Release Gates'!I1834</x:f>
        <x:v>OPEN</x:v>
      </x:c>
      <x:c r="F1860" t="str">
        <x:f>IF('Release Gates'!C1834="PLANNING","PASS",IF('Release Gates'!C1834="PHYSICAL","OPEN","BLOCKED"))</x:f>
        <x:v>OPEN</x:v>
      </x:c>
      <x:c r="G1860" t="str">
        <x:v>equals</x:v>
      </x:c>
      <x:c r="H1860" t="str">
        <x:f>IF(E1860=F1860,"PASS","FAIL")</x:f>
        <x:v>PASS</x:v>
      </x:c>
    </x:row>
    <x:row r="1861">
      <x:c r="B1861" t="str">
        <x:v>A-01829</x:v>
      </x:c>
      <x:c r="C1861" t="str">
        <x:v>GATE</x:v>
      </x:c>
      <x:c r="D1861" t="str">
        <x:v>release state mirrors governing ledger</x:v>
      </x:c>
      <x:c r="E1861" t="str">
        <x:f>'Release Gates'!I1835</x:f>
        <x:v>OPEN</x:v>
      </x:c>
      <x:c r="F1861" t="str">
        <x:f>IF('Release Gates'!C1835="PLANNING","PASS",IF('Release Gates'!C1835="PHYSICAL","OPEN","BLOCKED"))</x:f>
        <x:v>OPEN</x:v>
      </x:c>
      <x:c r="G1861" t="str">
        <x:v>equals</x:v>
      </x:c>
      <x:c r="H1861" t="str">
        <x:f>IF(E1861=F1861,"PASS","FAIL")</x:f>
        <x:v>PASS</x:v>
      </x:c>
    </x:row>
    <x:row r="1862">
      <x:c r="B1862" t="str">
        <x:v>A-01830</x:v>
      </x:c>
      <x:c r="C1862" t="str">
        <x:v>GATE</x:v>
      </x:c>
      <x:c r="D1862" t="str">
        <x:v>release state mirrors governing ledger</x:v>
      </x:c>
      <x:c r="E1862" t="str">
        <x:f>'Release Gates'!I1836</x:f>
        <x:v>OPEN</x:v>
      </x:c>
      <x:c r="F1862" t="str">
        <x:f>IF('Release Gates'!C1836="PLANNING","PASS",IF('Release Gates'!C1836="PHYSICAL","OPEN","BLOCKED"))</x:f>
        <x:v>OPEN</x:v>
      </x:c>
      <x:c r="G1862" t="str">
        <x:v>equals</x:v>
      </x:c>
      <x:c r="H1862" t="str">
        <x:f>IF(E1862=F1862,"PASS","FAIL")</x:f>
        <x:v>PASS</x:v>
      </x:c>
    </x:row>
    <x:row r="1863">
      <x:c r="B1863" t="str">
        <x:v>A-01831</x:v>
      </x:c>
      <x:c r="C1863" t="str">
        <x:v>GATE</x:v>
      </x:c>
      <x:c r="D1863" t="str">
        <x:v>release state mirrors governing ledger</x:v>
      </x:c>
      <x:c r="E1863" t="str">
        <x:f>'Release Gates'!I1837</x:f>
        <x:v>OPEN</x:v>
      </x:c>
      <x:c r="F1863" t="str">
        <x:f>IF('Release Gates'!C1837="PLANNING","PASS",IF('Release Gates'!C1837="PHYSICAL","OPEN","BLOCKED"))</x:f>
        <x:v>OPEN</x:v>
      </x:c>
      <x:c r="G1863" t="str">
        <x:v>equals</x:v>
      </x:c>
      <x:c r="H1863" t="str">
        <x:f>IF(E1863=F1863,"PASS","FAIL")</x:f>
        <x:v>PASS</x:v>
      </x:c>
    </x:row>
    <x:row r="1864">
      <x:c r="B1864" t="str">
        <x:v>A-01832</x:v>
      </x:c>
      <x:c r="C1864" t="str">
        <x:v>GATE</x:v>
      </x:c>
      <x:c r="D1864" t="str">
        <x:v>release state mirrors governing ledger</x:v>
      </x:c>
      <x:c r="E1864" t="str">
        <x:f>'Release Gates'!I1838</x:f>
        <x:v>OPEN</x:v>
      </x:c>
      <x:c r="F1864" t="str">
        <x:f>IF('Release Gates'!C1838="PLANNING","PASS",IF('Release Gates'!C1838="PHYSICAL","OPEN","BLOCKED"))</x:f>
        <x:v>OPEN</x:v>
      </x:c>
      <x:c r="G1864" t="str">
        <x:v>equals</x:v>
      </x:c>
      <x:c r="H1864" t="str">
        <x:f>IF(E1864=F1864,"PASS","FAIL")</x:f>
        <x:v>PASS</x:v>
      </x:c>
    </x:row>
    <x:row r="1865">
      <x:c r="B1865" t="str">
        <x:v>A-01833</x:v>
      </x:c>
      <x:c r="C1865" t="str">
        <x:v>GATE</x:v>
      </x:c>
      <x:c r="D1865" t="str">
        <x:v>release state mirrors governing ledger</x:v>
      </x:c>
      <x:c r="E1865" t="str">
        <x:f>'Release Gates'!I1839</x:f>
        <x:v>OPEN</x:v>
      </x:c>
      <x:c r="F1865" t="str">
        <x:f>IF('Release Gates'!C1839="PLANNING","PASS",IF('Release Gates'!C1839="PHYSICAL","OPEN","BLOCKED"))</x:f>
        <x:v>OPEN</x:v>
      </x:c>
      <x:c r="G1865" t="str">
        <x:v>equals</x:v>
      </x:c>
      <x:c r="H1865" t="str">
        <x:f>IF(E1865=F1865,"PASS","FAIL")</x:f>
        <x:v>PASS</x:v>
      </x:c>
    </x:row>
    <x:row r="1866">
      <x:c r="B1866" t="str">
        <x:v>A-01834</x:v>
      </x:c>
      <x:c r="C1866" t="str">
        <x:v>GATE</x:v>
      </x:c>
      <x:c r="D1866" t="str">
        <x:v>release state mirrors governing ledger</x:v>
      </x:c>
      <x:c r="E1866" t="str">
        <x:f>'Release Gates'!I1840</x:f>
        <x:v>OPEN</x:v>
      </x:c>
      <x:c r="F1866" t="str">
        <x:f>IF('Release Gates'!C1840="PLANNING","PASS",IF('Release Gates'!C1840="PHYSICAL","OPEN","BLOCKED"))</x:f>
        <x:v>OPEN</x:v>
      </x:c>
      <x:c r="G1866" t="str">
        <x:v>equals</x:v>
      </x:c>
      <x:c r="H1866" t="str">
        <x:f>IF(E1866=F1866,"PASS","FAIL")</x:f>
        <x:v>PASS</x:v>
      </x:c>
    </x:row>
    <x:row r="1867">
      <x:c r="B1867" t="str">
        <x:v>A-01835</x:v>
      </x:c>
      <x:c r="C1867" t="str">
        <x:v>GATE</x:v>
      </x:c>
      <x:c r="D1867" t="str">
        <x:v>release state mirrors governing ledger</x:v>
      </x:c>
      <x:c r="E1867" t="str">
        <x:f>'Release Gates'!I1841</x:f>
        <x:v>OPEN</x:v>
      </x:c>
      <x:c r="F1867" t="str">
        <x:f>IF('Release Gates'!C1841="PLANNING","PASS",IF('Release Gates'!C1841="PHYSICAL","OPEN","BLOCKED"))</x:f>
        <x:v>OPEN</x:v>
      </x:c>
      <x:c r="G1867" t="str">
        <x:v>equals</x:v>
      </x:c>
      <x:c r="H1867" t="str">
        <x:f>IF(E1867=F1867,"PASS","FAIL")</x:f>
        <x:v>PASS</x:v>
      </x:c>
    </x:row>
    <x:row r="1868">
      <x:c r="B1868" t="str">
        <x:v>A-01836</x:v>
      </x:c>
      <x:c r="C1868" t="str">
        <x:v>GATE</x:v>
      </x:c>
      <x:c r="D1868" t="str">
        <x:v>release state mirrors governing ledger</x:v>
      </x:c>
      <x:c r="E1868" t="str">
        <x:f>'Release Gates'!I1842</x:f>
        <x:v>OPEN</x:v>
      </x:c>
      <x:c r="F1868" t="str">
        <x:f>IF('Release Gates'!C1842="PLANNING","PASS",IF('Release Gates'!C1842="PHYSICAL","OPEN","BLOCKED"))</x:f>
        <x:v>OPEN</x:v>
      </x:c>
      <x:c r="G1868" t="str">
        <x:v>equals</x:v>
      </x:c>
      <x:c r="H1868" t="str">
        <x:f>IF(E1868=F1868,"PASS","FAIL")</x:f>
        <x:v>PASS</x:v>
      </x:c>
    </x:row>
    <x:row r="1869">
      <x:c r="B1869" t="str">
        <x:v>A-01837</x:v>
      </x:c>
      <x:c r="C1869" t="str">
        <x:v>GATE</x:v>
      </x:c>
      <x:c r="D1869" t="str">
        <x:v>release state mirrors governing ledger</x:v>
      </x:c>
      <x:c r="E1869" t="str">
        <x:f>'Release Gates'!I1843</x:f>
        <x:v>OPEN</x:v>
      </x:c>
      <x:c r="F1869" t="str">
        <x:f>IF('Release Gates'!C1843="PLANNING","PASS",IF('Release Gates'!C1843="PHYSICAL","OPEN","BLOCKED"))</x:f>
        <x:v>OPEN</x:v>
      </x:c>
      <x:c r="G1869" t="str">
        <x:v>equals</x:v>
      </x:c>
      <x:c r="H1869" t="str">
        <x:f>IF(E1869=F1869,"PASS","FAIL")</x:f>
        <x:v>PASS</x:v>
      </x:c>
    </x:row>
    <x:row r="1870">
      <x:c r="B1870" t="str">
        <x:v>A-01838</x:v>
      </x:c>
      <x:c r="C1870" t="str">
        <x:v>GATE</x:v>
      </x:c>
      <x:c r="D1870" t="str">
        <x:v>release state mirrors governing ledger</x:v>
      </x:c>
      <x:c r="E1870" t="str">
        <x:f>'Release Gates'!I1844</x:f>
        <x:v>OPEN</x:v>
      </x:c>
      <x:c r="F1870" t="str">
        <x:f>IF('Release Gates'!C1844="PLANNING","PASS",IF('Release Gates'!C1844="PHYSICAL","OPEN","BLOCKED"))</x:f>
        <x:v>OPEN</x:v>
      </x:c>
      <x:c r="G1870" t="str">
        <x:v>equals</x:v>
      </x:c>
      <x:c r="H1870" t="str">
        <x:f>IF(E1870=F1870,"PASS","FAIL")</x:f>
        <x:v>PASS</x:v>
      </x:c>
    </x:row>
    <x:row r="1871">
      <x:c r="B1871" t="str">
        <x:v>A-01839</x:v>
      </x:c>
      <x:c r="C1871" t="str">
        <x:v>GATE</x:v>
      </x:c>
      <x:c r="D1871" t="str">
        <x:v>release state mirrors governing ledger</x:v>
      </x:c>
      <x:c r="E1871" t="str">
        <x:f>'Release Gates'!I1845</x:f>
        <x:v>OPEN</x:v>
      </x:c>
      <x:c r="F1871" t="str">
        <x:f>IF('Release Gates'!C1845="PLANNING","PASS",IF('Release Gates'!C1845="PHYSICAL","OPEN","BLOCKED"))</x:f>
        <x:v>OPEN</x:v>
      </x:c>
      <x:c r="G1871" t="str">
        <x:v>equals</x:v>
      </x:c>
      <x:c r="H1871" t="str">
        <x:f>IF(E1871=F1871,"PASS","FAIL")</x:f>
        <x:v>PASS</x:v>
      </x:c>
    </x:row>
    <x:row r="1872">
      <x:c r="B1872" t="str">
        <x:v>A-01840</x:v>
      </x:c>
      <x:c r="C1872" t="str">
        <x:v>GATE</x:v>
      </x:c>
      <x:c r="D1872" t="str">
        <x:v>release state mirrors governing ledger</x:v>
      </x:c>
      <x:c r="E1872" t="str">
        <x:f>'Release Gates'!I1846</x:f>
        <x:v>OPEN</x:v>
      </x:c>
      <x:c r="F1872" t="str">
        <x:f>IF('Release Gates'!C1846="PLANNING","PASS",IF('Release Gates'!C1846="PHYSICAL","OPEN","BLOCKED"))</x:f>
        <x:v>OPEN</x:v>
      </x:c>
      <x:c r="G1872" t="str">
        <x:v>equals</x:v>
      </x:c>
      <x:c r="H1872" t="str">
        <x:f>IF(E1872=F1872,"PASS","FAIL")</x:f>
        <x:v>PASS</x:v>
      </x:c>
    </x:row>
    <x:row r="1873">
      <x:c r="B1873" t="str">
        <x:v>A-01841</x:v>
      </x:c>
      <x:c r="C1873" t="str">
        <x:v>GATE</x:v>
      </x:c>
      <x:c r="D1873" t="str">
        <x:v>release state mirrors governing ledger</x:v>
      </x:c>
      <x:c r="E1873" t="str">
        <x:f>'Release Gates'!I1847</x:f>
        <x:v>OPEN</x:v>
      </x:c>
      <x:c r="F1873" t="str">
        <x:f>IF('Release Gates'!C1847="PLANNING","PASS",IF('Release Gates'!C1847="PHYSICAL","OPEN","BLOCKED"))</x:f>
        <x:v>OPEN</x:v>
      </x:c>
      <x:c r="G1873" t="str">
        <x:v>equals</x:v>
      </x:c>
      <x:c r="H1873" t="str">
        <x:f>IF(E1873=F1873,"PASS","FAIL")</x:f>
        <x:v>PASS</x:v>
      </x:c>
    </x:row>
    <x:row r="1874">
      <x:c r="B1874" t="str">
        <x:v>A-01842</x:v>
      </x:c>
      <x:c r="C1874" t="str">
        <x:v>GATE</x:v>
      </x:c>
      <x:c r="D1874" t="str">
        <x:v>release state mirrors governing ledger</x:v>
      </x:c>
      <x:c r="E1874" t="str">
        <x:f>'Release Gates'!I1848</x:f>
        <x:v>OPEN</x:v>
      </x:c>
      <x:c r="F1874" t="str">
        <x:f>IF('Release Gates'!C1848="PLANNING","PASS",IF('Release Gates'!C1848="PHYSICAL","OPEN","BLOCKED"))</x:f>
        <x:v>OPEN</x:v>
      </x:c>
      <x:c r="G1874" t="str">
        <x:v>equals</x:v>
      </x:c>
      <x:c r="H1874" t="str">
        <x:f>IF(E1874=F1874,"PASS","FAIL")</x:f>
        <x:v>PASS</x:v>
      </x:c>
    </x:row>
    <x:row r="1875">
      <x:c r="B1875" t="str">
        <x:v>A-01843</x:v>
      </x:c>
      <x:c r="C1875" t="str">
        <x:v>GATE</x:v>
      </x:c>
      <x:c r="D1875" t="str">
        <x:v>release state mirrors governing ledger</x:v>
      </x:c>
      <x:c r="E1875" t="str">
        <x:f>'Release Gates'!I1849</x:f>
        <x:v>OPEN</x:v>
      </x:c>
      <x:c r="F1875" t="str">
        <x:f>IF('Release Gates'!C1849="PLANNING","PASS",IF('Release Gates'!C1849="PHYSICAL","OPEN","BLOCKED"))</x:f>
        <x:v>OPEN</x:v>
      </x:c>
      <x:c r="G1875" t="str">
        <x:v>equals</x:v>
      </x:c>
      <x:c r="H1875" t="str">
        <x:f>IF(E1875=F1875,"PASS","FAIL")</x:f>
        <x:v>PASS</x:v>
      </x:c>
    </x:row>
    <x:row r="1876">
      <x:c r="B1876" t="str">
        <x:v>A-01844</x:v>
      </x:c>
      <x:c r="C1876" t="str">
        <x:v>GATE</x:v>
      </x:c>
      <x:c r="D1876" t="str">
        <x:v>release state mirrors governing ledger</x:v>
      </x:c>
      <x:c r="E1876" t="str">
        <x:f>'Release Gates'!I1850</x:f>
        <x:v>OPEN</x:v>
      </x:c>
      <x:c r="F1876" t="str">
        <x:f>IF('Release Gates'!C1850="PLANNING","PASS",IF('Release Gates'!C1850="PHYSICAL","OPEN","BLOCKED"))</x:f>
        <x:v>OPEN</x:v>
      </x:c>
      <x:c r="G1876" t="str">
        <x:v>equals</x:v>
      </x:c>
      <x:c r="H1876" t="str">
        <x:f>IF(E1876=F1876,"PASS","FAIL")</x:f>
        <x:v>PASS</x:v>
      </x:c>
    </x:row>
    <x:row r="1877">
      <x:c r="B1877" t="str">
        <x:v>A-01845</x:v>
      </x:c>
      <x:c r="C1877" t="str">
        <x:v>GATE</x:v>
      </x:c>
      <x:c r="D1877" t="str">
        <x:v>release state mirrors governing ledger</x:v>
      </x:c>
      <x:c r="E1877" t="str">
        <x:f>'Release Gates'!I1851</x:f>
        <x:v>OPEN</x:v>
      </x:c>
      <x:c r="F1877" t="str">
        <x:f>IF('Release Gates'!C1851="PLANNING","PASS",IF('Release Gates'!C1851="PHYSICAL","OPEN","BLOCKED"))</x:f>
        <x:v>OPEN</x:v>
      </x:c>
      <x:c r="G1877" t="str">
        <x:v>equals</x:v>
      </x:c>
      <x:c r="H1877" t="str">
        <x:f>IF(E1877=F1877,"PASS","FAIL")</x:f>
        <x:v>PASS</x:v>
      </x:c>
    </x:row>
    <x:row r="1878">
      <x:c r="B1878" t="str">
        <x:v>A-01846</x:v>
      </x:c>
      <x:c r="C1878" t="str">
        <x:v>GATE</x:v>
      </x:c>
      <x:c r="D1878" t="str">
        <x:v>release state mirrors governing ledger</x:v>
      </x:c>
      <x:c r="E1878" t="str">
        <x:f>'Release Gates'!I1852</x:f>
        <x:v>OPEN</x:v>
      </x:c>
      <x:c r="F1878" t="str">
        <x:f>IF('Release Gates'!C1852="PLANNING","PASS",IF('Release Gates'!C1852="PHYSICAL","OPEN","BLOCKED"))</x:f>
        <x:v>OPEN</x:v>
      </x:c>
      <x:c r="G1878" t="str">
        <x:v>equals</x:v>
      </x:c>
      <x:c r="H1878" t="str">
        <x:f>IF(E1878=F1878,"PASS","FAIL")</x:f>
        <x:v>PASS</x:v>
      </x:c>
    </x:row>
    <x:row r="1879">
      <x:c r="B1879" t="str">
        <x:v>A-01847</x:v>
      </x:c>
      <x:c r="C1879" t="str">
        <x:v>GATE</x:v>
      </x:c>
      <x:c r="D1879" t="str">
        <x:v>release state mirrors governing ledger</x:v>
      </x:c>
      <x:c r="E1879" t="str">
        <x:f>'Release Gates'!I1853</x:f>
        <x:v>OPEN</x:v>
      </x:c>
      <x:c r="F1879" t="str">
        <x:f>IF('Release Gates'!C1853="PLANNING","PASS",IF('Release Gates'!C1853="PHYSICAL","OPEN","BLOCKED"))</x:f>
        <x:v>OPEN</x:v>
      </x:c>
      <x:c r="G1879" t="str">
        <x:v>equals</x:v>
      </x:c>
      <x:c r="H1879" t="str">
        <x:f>IF(E1879=F1879,"PASS","FAIL")</x:f>
        <x:v>PASS</x:v>
      </x:c>
    </x:row>
    <x:row r="1880">
      <x:c r="B1880" t="str">
        <x:v>A-01848</x:v>
      </x:c>
      <x:c r="C1880" t="str">
        <x:v>GATE</x:v>
      </x:c>
      <x:c r="D1880" t="str">
        <x:v>release state mirrors governing ledger</x:v>
      </x:c>
      <x:c r="E1880" t="str">
        <x:f>'Release Gates'!I1854</x:f>
        <x:v>OPEN</x:v>
      </x:c>
      <x:c r="F1880" t="str">
        <x:f>IF('Release Gates'!C1854="PLANNING","PASS",IF('Release Gates'!C1854="PHYSICAL","OPEN","BLOCKED"))</x:f>
        <x:v>OPEN</x:v>
      </x:c>
      <x:c r="G1880" t="str">
        <x:v>equals</x:v>
      </x:c>
      <x:c r="H1880" t="str">
        <x:f>IF(E1880=F1880,"PASS","FAIL")</x:f>
        <x:v>PASS</x:v>
      </x:c>
    </x:row>
    <x:row r="1881">
      <x:c r="B1881" t="str">
        <x:v>A-01849</x:v>
      </x:c>
      <x:c r="C1881" t="str">
        <x:v>GATE</x:v>
      </x:c>
      <x:c r="D1881" t="str">
        <x:v>release state mirrors governing ledger</x:v>
      </x:c>
      <x:c r="E1881" t="str">
        <x:f>'Release Gates'!I1855</x:f>
        <x:v>OPEN</x:v>
      </x:c>
      <x:c r="F1881" t="str">
        <x:f>IF('Release Gates'!C1855="PLANNING","PASS",IF('Release Gates'!C1855="PHYSICAL","OPEN","BLOCKED"))</x:f>
        <x:v>OPEN</x:v>
      </x:c>
      <x:c r="G1881" t="str">
        <x:v>equals</x:v>
      </x:c>
      <x:c r="H1881" t="str">
        <x:f>IF(E1881=F1881,"PASS","FAIL")</x:f>
        <x:v>PASS</x:v>
      </x:c>
    </x:row>
    <x:row r="1882">
      <x:c r="B1882" t="str">
        <x:v>A-01850</x:v>
      </x:c>
      <x:c r="C1882" t="str">
        <x:v>GATE</x:v>
      </x:c>
      <x:c r="D1882" t="str">
        <x:v>release state mirrors governing ledger</x:v>
      </x:c>
      <x:c r="E1882" t="str">
        <x:f>'Release Gates'!I1856</x:f>
        <x:v>OPEN</x:v>
      </x:c>
      <x:c r="F1882" t="str">
        <x:f>IF('Release Gates'!C1856="PLANNING","PASS",IF('Release Gates'!C1856="PHYSICAL","OPEN","BLOCKED"))</x:f>
        <x:v>OPEN</x:v>
      </x:c>
      <x:c r="G1882" t="str">
        <x:v>equals</x:v>
      </x:c>
      <x:c r="H1882" t="str">
        <x:f>IF(E1882=F1882,"PASS","FAIL")</x:f>
        <x:v>PASS</x:v>
      </x:c>
    </x:row>
    <x:row r="1883">
      <x:c r="B1883" t="str">
        <x:v>A-01851</x:v>
      </x:c>
      <x:c r="C1883" t="str">
        <x:v>GATE</x:v>
      </x:c>
      <x:c r="D1883" t="str">
        <x:v>release state mirrors governing ledger</x:v>
      </x:c>
      <x:c r="E1883" t="str">
        <x:f>'Release Gates'!I1857</x:f>
        <x:v>OPEN</x:v>
      </x:c>
      <x:c r="F1883" t="str">
        <x:f>IF('Release Gates'!C1857="PLANNING","PASS",IF('Release Gates'!C1857="PHYSICAL","OPEN","BLOCKED"))</x:f>
        <x:v>OPEN</x:v>
      </x:c>
      <x:c r="G1883" t="str">
        <x:v>equals</x:v>
      </x:c>
      <x:c r="H1883" t="str">
        <x:f>IF(E1883=F1883,"PASS","FAIL")</x:f>
        <x:v>PASS</x:v>
      </x:c>
    </x:row>
    <x:row r="1884">
      <x:c r="B1884" t="str">
        <x:v>A-01852</x:v>
      </x:c>
      <x:c r="C1884" t="str">
        <x:v>GATE</x:v>
      </x:c>
      <x:c r="D1884" t="str">
        <x:v>release state mirrors governing ledger</x:v>
      </x:c>
      <x:c r="E1884" t="str">
        <x:f>'Release Gates'!I1858</x:f>
        <x:v>OPEN</x:v>
      </x:c>
      <x:c r="F1884" t="str">
        <x:f>IF('Release Gates'!C1858="PLANNING","PASS",IF('Release Gates'!C1858="PHYSICAL","OPEN","BLOCKED"))</x:f>
        <x:v>OPEN</x:v>
      </x:c>
      <x:c r="G1884" t="str">
        <x:v>equals</x:v>
      </x:c>
      <x:c r="H1884" t="str">
        <x:f>IF(E1884=F1884,"PASS","FAIL")</x:f>
        <x:v>PASS</x:v>
      </x:c>
    </x:row>
    <x:row r="1885">
      <x:c r="B1885" t="str">
        <x:v>A-01853</x:v>
      </x:c>
      <x:c r="C1885" t="str">
        <x:v>GATE</x:v>
      </x:c>
      <x:c r="D1885" t="str">
        <x:v>release state mirrors governing ledger</x:v>
      </x:c>
      <x:c r="E1885" t="str">
        <x:f>'Release Gates'!I1859</x:f>
        <x:v>OPEN</x:v>
      </x:c>
      <x:c r="F1885" t="str">
        <x:f>IF('Release Gates'!C1859="PLANNING","PASS",IF('Release Gates'!C1859="PHYSICAL","OPEN","BLOCKED"))</x:f>
        <x:v>OPEN</x:v>
      </x:c>
      <x:c r="G1885" t="str">
        <x:v>equals</x:v>
      </x:c>
      <x:c r="H1885" t="str">
        <x:f>IF(E1885=F1885,"PASS","FAIL")</x:f>
        <x:v>PASS</x:v>
      </x:c>
    </x:row>
    <x:row r="1886">
      <x:c r="B1886" t="str">
        <x:v>A-01854</x:v>
      </x:c>
      <x:c r="C1886" t="str">
        <x:v>GATE</x:v>
      </x:c>
      <x:c r="D1886" t="str">
        <x:v>release state mirrors governing ledger</x:v>
      </x:c>
      <x:c r="E1886" t="str">
        <x:f>'Release Gates'!I1860</x:f>
        <x:v>OPEN</x:v>
      </x:c>
      <x:c r="F1886" t="str">
        <x:f>IF('Release Gates'!C1860="PLANNING","PASS",IF('Release Gates'!C1860="PHYSICAL","OPEN","BLOCKED"))</x:f>
        <x:v>OPEN</x:v>
      </x:c>
      <x:c r="G1886" t="str">
        <x:v>equals</x:v>
      </x:c>
      <x:c r="H1886" t="str">
        <x:f>IF(E1886=F1886,"PASS","FAIL")</x:f>
        <x:v>PASS</x:v>
      </x:c>
    </x:row>
    <x:row r="1887">
      <x:c r="B1887" t="str">
        <x:v>A-01855</x:v>
      </x:c>
      <x:c r="C1887" t="str">
        <x:v>GATE</x:v>
      </x:c>
      <x:c r="D1887" t="str">
        <x:v>release state mirrors governing ledger</x:v>
      </x:c>
      <x:c r="E1887" t="str">
        <x:f>'Release Gates'!I1861</x:f>
        <x:v>OPEN</x:v>
      </x:c>
      <x:c r="F1887" t="str">
        <x:f>IF('Release Gates'!C1861="PLANNING","PASS",IF('Release Gates'!C1861="PHYSICAL","OPEN","BLOCKED"))</x:f>
        <x:v>OPEN</x:v>
      </x:c>
      <x:c r="G1887" t="str">
        <x:v>equals</x:v>
      </x:c>
      <x:c r="H1887" t="str">
        <x:f>IF(E1887=F1887,"PASS","FAIL")</x:f>
        <x:v>PASS</x:v>
      </x:c>
    </x:row>
    <x:row r="1888">
      <x:c r="B1888" t="str">
        <x:v>A-01856</x:v>
      </x:c>
      <x:c r="C1888" t="str">
        <x:v>GATE</x:v>
      </x:c>
      <x:c r="D1888" t="str">
        <x:v>release state mirrors governing ledger</x:v>
      </x:c>
      <x:c r="E1888" t="str">
        <x:f>'Release Gates'!I1862</x:f>
        <x:v>OPEN</x:v>
      </x:c>
      <x:c r="F1888" t="str">
        <x:f>IF('Release Gates'!C1862="PLANNING","PASS",IF('Release Gates'!C1862="PHYSICAL","OPEN","BLOCKED"))</x:f>
        <x:v>OPEN</x:v>
      </x:c>
      <x:c r="G1888" t="str">
        <x:v>equals</x:v>
      </x:c>
      <x:c r="H1888" t="str">
        <x:f>IF(E1888=F1888,"PASS","FAIL")</x:f>
        <x:v>PASS</x:v>
      </x:c>
    </x:row>
    <x:row r="1889">
      <x:c r="B1889" t="str">
        <x:v>A-01857</x:v>
      </x:c>
      <x:c r="C1889" t="str">
        <x:v>GATE</x:v>
      </x:c>
      <x:c r="D1889" t="str">
        <x:v>release state mirrors governing ledger</x:v>
      </x:c>
      <x:c r="E1889" t="str">
        <x:f>'Release Gates'!I1863</x:f>
        <x:v>OPEN</x:v>
      </x:c>
      <x:c r="F1889" t="str">
        <x:f>IF('Release Gates'!C1863="PLANNING","PASS",IF('Release Gates'!C1863="PHYSICAL","OPEN","BLOCKED"))</x:f>
        <x:v>OPEN</x:v>
      </x:c>
      <x:c r="G1889" t="str">
        <x:v>equals</x:v>
      </x:c>
      <x:c r="H1889" t="str">
        <x:f>IF(E1889=F1889,"PASS","FAIL")</x:f>
        <x:v>PASS</x:v>
      </x:c>
    </x:row>
    <x:row r="1890">
      <x:c r="B1890" t="str">
        <x:v>A-01858</x:v>
      </x:c>
      <x:c r="C1890" t="str">
        <x:v>GATE</x:v>
      </x:c>
      <x:c r="D1890" t="str">
        <x:v>release state mirrors governing ledger</x:v>
      </x:c>
      <x:c r="E1890" t="str">
        <x:f>'Release Gates'!I1864</x:f>
        <x:v>OPEN</x:v>
      </x:c>
      <x:c r="F1890" t="str">
        <x:f>IF('Release Gates'!C1864="PLANNING","PASS",IF('Release Gates'!C1864="PHYSICAL","OPEN","BLOCKED"))</x:f>
        <x:v>OPEN</x:v>
      </x:c>
      <x:c r="G1890" t="str">
        <x:v>equals</x:v>
      </x:c>
      <x:c r="H1890" t="str">
        <x:f>IF(E1890=F1890,"PASS","FAIL")</x:f>
        <x:v>PASS</x:v>
      </x:c>
    </x:row>
    <x:row r="1891">
      <x:c r="B1891" t="str">
        <x:v>A-01859</x:v>
      </x:c>
      <x:c r="C1891" t="str">
        <x:v>GATE</x:v>
      </x:c>
      <x:c r="D1891" t="str">
        <x:v>release state mirrors governing ledger</x:v>
      </x:c>
      <x:c r="E1891" t="str">
        <x:f>'Release Gates'!I1865</x:f>
        <x:v>OPEN</x:v>
      </x:c>
      <x:c r="F1891" t="str">
        <x:f>IF('Release Gates'!C1865="PLANNING","PASS",IF('Release Gates'!C1865="PHYSICAL","OPEN","BLOCKED"))</x:f>
        <x:v>OPEN</x:v>
      </x:c>
      <x:c r="G1891" t="str">
        <x:v>equals</x:v>
      </x:c>
      <x:c r="H1891" t="str">
        <x:f>IF(E1891=F1891,"PASS","FAIL")</x:f>
        <x:v>PASS</x:v>
      </x:c>
    </x:row>
    <x:row r="1892">
      <x:c r="B1892" t="str">
        <x:v>A-01860</x:v>
      </x:c>
      <x:c r="C1892" t="str">
        <x:v>GATE</x:v>
      </x:c>
      <x:c r="D1892" t="str">
        <x:v>release state mirrors governing ledger</x:v>
      </x:c>
      <x:c r="E1892" t="str">
        <x:f>'Release Gates'!I1866</x:f>
        <x:v>OPEN</x:v>
      </x:c>
      <x:c r="F1892" t="str">
        <x:f>IF('Release Gates'!C1866="PLANNING","PASS",IF('Release Gates'!C1866="PHYSICAL","OPEN","BLOCKED"))</x:f>
        <x:v>OPEN</x:v>
      </x:c>
      <x:c r="G1892" t="str">
        <x:v>equals</x:v>
      </x:c>
      <x:c r="H1892" t="str">
        <x:f>IF(E1892=F1892,"PASS","FAIL")</x:f>
        <x:v>PASS</x:v>
      </x:c>
    </x:row>
    <x:row r="1893">
      <x:c r="B1893" t="str">
        <x:v>A-01861</x:v>
      </x:c>
      <x:c r="C1893" t="str">
        <x:v>GATE</x:v>
      </x:c>
      <x:c r="D1893" t="str">
        <x:v>release state mirrors governing ledger</x:v>
      </x:c>
      <x:c r="E1893" t="str">
        <x:f>'Release Gates'!I1867</x:f>
        <x:v>OPEN</x:v>
      </x:c>
      <x:c r="F1893" t="str">
        <x:f>IF('Release Gates'!C1867="PLANNING","PASS",IF('Release Gates'!C1867="PHYSICAL","OPEN","BLOCKED"))</x:f>
        <x:v>OPEN</x:v>
      </x:c>
      <x:c r="G1893" t="str">
        <x:v>equals</x:v>
      </x:c>
      <x:c r="H1893" t="str">
        <x:f>IF(E1893=F1893,"PASS","FAIL")</x:f>
        <x:v>PASS</x:v>
      </x:c>
    </x:row>
    <x:row r="1894">
      <x:c r="B1894" t="str">
        <x:v>A-01862</x:v>
      </x:c>
      <x:c r="C1894" t="str">
        <x:v>GATE</x:v>
      </x:c>
      <x:c r="D1894" t="str">
        <x:v>release state mirrors governing ledger</x:v>
      </x:c>
      <x:c r="E1894" t="str">
        <x:f>'Release Gates'!I1868</x:f>
        <x:v>OPEN</x:v>
      </x:c>
      <x:c r="F1894" t="str">
        <x:f>IF('Release Gates'!C1868="PLANNING","PASS",IF('Release Gates'!C1868="PHYSICAL","OPEN","BLOCKED"))</x:f>
        <x:v>OPEN</x:v>
      </x:c>
      <x:c r="G1894" t="str">
        <x:v>equals</x:v>
      </x:c>
      <x:c r="H1894" t="str">
        <x:f>IF(E1894=F1894,"PASS","FAIL")</x:f>
        <x:v>PASS</x:v>
      </x:c>
    </x:row>
    <x:row r="1895">
      <x:c r="B1895" t="str">
        <x:v>A-01863</x:v>
      </x:c>
      <x:c r="C1895" t="str">
        <x:v>GATE</x:v>
      </x:c>
      <x:c r="D1895" t="str">
        <x:v>release state mirrors governing ledger</x:v>
      </x:c>
      <x:c r="E1895" t="str">
        <x:f>'Release Gates'!I1869</x:f>
        <x:v>OPEN</x:v>
      </x:c>
      <x:c r="F1895" t="str">
        <x:f>IF('Release Gates'!C1869="PLANNING","PASS",IF('Release Gates'!C1869="PHYSICAL","OPEN","BLOCKED"))</x:f>
        <x:v>OPEN</x:v>
      </x:c>
      <x:c r="G1895" t="str">
        <x:v>equals</x:v>
      </x:c>
      <x:c r="H1895" t="str">
        <x:f>IF(E1895=F1895,"PASS","FAIL")</x:f>
        <x:v>PASS</x:v>
      </x:c>
    </x:row>
    <x:row r="1896">
      <x:c r="B1896" t="str">
        <x:v>A-01864</x:v>
      </x:c>
      <x:c r="C1896" t="str">
        <x:v>GATE</x:v>
      </x:c>
      <x:c r="D1896" t="str">
        <x:v>release state mirrors governing ledger</x:v>
      </x:c>
      <x:c r="E1896" t="str">
        <x:f>'Release Gates'!I1870</x:f>
        <x:v>OPEN</x:v>
      </x:c>
      <x:c r="F1896" t="str">
        <x:f>IF('Release Gates'!C1870="PLANNING","PASS",IF('Release Gates'!C1870="PHYSICAL","OPEN","BLOCKED"))</x:f>
        <x:v>OPEN</x:v>
      </x:c>
      <x:c r="G1896" t="str">
        <x:v>equals</x:v>
      </x:c>
      <x:c r="H1896" t="str">
        <x:f>IF(E1896=F1896,"PASS","FAIL")</x:f>
        <x:v>PASS</x:v>
      </x:c>
    </x:row>
    <x:row r="1897">
      <x:c r="B1897" t="str">
        <x:v>A-01865</x:v>
      </x:c>
      <x:c r="C1897" t="str">
        <x:v>GATE</x:v>
      </x:c>
      <x:c r="D1897" t="str">
        <x:v>release state mirrors governing ledger</x:v>
      </x:c>
      <x:c r="E1897" t="str">
        <x:f>'Release Gates'!I1871</x:f>
        <x:v>OPEN</x:v>
      </x:c>
      <x:c r="F1897" t="str">
        <x:f>IF('Release Gates'!C1871="PLANNING","PASS",IF('Release Gates'!C1871="PHYSICAL","OPEN","BLOCKED"))</x:f>
        <x:v>OPEN</x:v>
      </x:c>
      <x:c r="G1897" t="str">
        <x:v>equals</x:v>
      </x:c>
      <x:c r="H1897" t="str">
        <x:f>IF(E1897=F1897,"PASS","FAIL")</x:f>
        <x:v>PASS</x:v>
      </x:c>
    </x:row>
    <x:row r="1898">
      <x:c r="B1898" t="str">
        <x:v>A-01866</x:v>
      </x:c>
      <x:c r="C1898" t="str">
        <x:v>GATE</x:v>
      </x:c>
      <x:c r="D1898" t="str">
        <x:v>release state mirrors governing ledger</x:v>
      </x:c>
      <x:c r="E1898" t="str">
        <x:f>'Release Gates'!I1872</x:f>
        <x:v>OPEN</x:v>
      </x:c>
      <x:c r="F1898" t="str">
        <x:f>IF('Release Gates'!C1872="PLANNING","PASS",IF('Release Gates'!C1872="PHYSICAL","OPEN","BLOCKED"))</x:f>
        <x:v>OPEN</x:v>
      </x:c>
      <x:c r="G1898" t="str">
        <x:v>equals</x:v>
      </x:c>
      <x:c r="H1898" t="str">
        <x:f>IF(E1898=F1898,"PASS","FAIL")</x:f>
        <x:v>PASS</x:v>
      </x:c>
    </x:row>
    <x:row r="1899">
      <x:c r="B1899" t="str">
        <x:v>A-01867</x:v>
      </x:c>
      <x:c r="C1899" t="str">
        <x:v>GATE</x:v>
      </x:c>
      <x:c r="D1899" t="str">
        <x:v>release state mirrors governing ledger</x:v>
      </x:c>
      <x:c r="E1899" t="str">
        <x:f>'Release Gates'!I1873</x:f>
        <x:v>OPEN</x:v>
      </x:c>
      <x:c r="F1899" t="str">
        <x:f>IF('Release Gates'!C1873="PLANNING","PASS",IF('Release Gates'!C1873="PHYSICAL","OPEN","BLOCKED"))</x:f>
        <x:v>OPEN</x:v>
      </x:c>
      <x:c r="G1899" t="str">
        <x:v>equals</x:v>
      </x:c>
      <x:c r="H1899" t="str">
        <x:f>IF(E1899=F1899,"PASS","FAIL")</x:f>
        <x:v>PASS</x:v>
      </x:c>
    </x:row>
    <x:row r="1900">
      <x:c r="B1900" t="str">
        <x:v>A-01868</x:v>
      </x:c>
      <x:c r="C1900" t="str">
        <x:v>GATE</x:v>
      </x:c>
      <x:c r="D1900" t="str">
        <x:v>release state mirrors governing ledger</x:v>
      </x:c>
      <x:c r="E1900" t="str">
        <x:f>'Release Gates'!I1874</x:f>
        <x:v>OPEN</x:v>
      </x:c>
      <x:c r="F1900" t="str">
        <x:f>IF('Release Gates'!C1874="PLANNING","PASS",IF('Release Gates'!C1874="PHYSICAL","OPEN","BLOCKED"))</x:f>
        <x:v>OPEN</x:v>
      </x:c>
      <x:c r="G1900" t="str">
        <x:v>equals</x:v>
      </x:c>
      <x:c r="H1900" t="str">
        <x:f>IF(E1900=F1900,"PASS","FAIL")</x:f>
        <x:v>PASS</x:v>
      </x:c>
    </x:row>
    <x:row r="1901">
      <x:c r="B1901" t="str">
        <x:v>A-01869</x:v>
      </x:c>
      <x:c r="C1901" t="str">
        <x:v>GATE</x:v>
      </x:c>
      <x:c r="D1901" t="str">
        <x:v>release state mirrors governing ledger</x:v>
      </x:c>
      <x:c r="E1901" t="str">
        <x:f>'Release Gates'!I1875</x:f>
        <x:v>OPEN</x:v>
      </x:c>
      <x:c r="F1901" t="str">
        <x:f>IF('Release Gates'!C1875="PLANNING","PASS",IF('Release Gates'!C1875="PHYSICAL","OPEN","BLOCKED"))</x:f>
        <x:v>OPEN</x:v>
      </x:c>
      <x:c r="G1901" t="str">
        <x:v>equals</x:v>
      </x:c>
      <x:c r="H1901" t="str">
        <x:f>IF(E1901=F1901,"PASS","FAIL")</x:f>
        <x:v>PASS</x:v>
      </x:c>
    </x:row>
    <x:row r="1902">
      <x:c r="B1902" t="str">
        <x:v>A-01870</x:v>
      </x:c>
      <x:c r="C1902" t="str">
        <x:v>GATE</x:v>
      </x:c>
      <x:c r="D1902" t="str">
        <x:v>release state mirrors governing ledger</x:v>
      </x:c>
      <x:c r="E1902" t="str">
        <x:f>'Release Gates'!I1876</x:f>
        <x:v>OPEN</x:v>
      </x:c>
      <x:c r="F1902" t="str">
        <x:f>IF('Release Gates'!C1876="PLANNING","PASS",IF('Release Gates'!C1876="PHYSICAL","OPEN","BLOCKED"))</x:f>
        <x:v>OPEN</x:v>
      </x:c>
      <x:c r="G1902" t="str">
        <x:v>equals</x:v>
      </x:c>
      <x:c r="H1902" t="str">
        <x:f>IF(E1902=F1902,"PASS","FAIL")</x:f>
        <x:v>PASS</x:v>
      </x:c>
    </x:row>
    <x:row r="1903">
      <x:c r="B1903" t="str">
        <x:v>A-01871</x:v>
      </x:c>
      <x:c r="C1903" t="str">
        <x:v>GATE</x:v>
      </x:c>
      <x:c r="D1903" t="str">
        <x:v>release state mirrors governing ledger</x:v>
      </x:c>
      <x:c r="E1903" t="str">
        <x:f>'Release Gates'!I1877</x:f>
        <x:v>OPEN</x:v>
      </x:c>
      <x:c r="F1903" t="str">
        <x:f>IF('Release Gates'!C1877="PLANNING","PASS",IF('Release Gates'!C1877="PHYSICAL","OPEN","BLOCKED"))</x:f>
        <x:v>OPEN</x:v>
      </x:c>
      <x:c r="G1903" t="str">
        <x:v>equals</x:v>
      </x:c>
      <x:c r="H1903" t="str">
        <x:f>IF(E1903=F1903,"PASS","FAIL")</x:f>
        <x:v>PASS</x:v>
      </x:c>
    </x:row>
    <x:row r="1904">
      <x:c r="B1904" t="str">
        <x:v>A-01872</x:v>
      </x:c>
      <x:c r="C1904" t="str">
        <x:v>GATE</x:v>
      </x:c>
      <x:c r="D1904" t="str">
        <x:v>release state mirrors governing ledger</x:v>
      </x:c>
      <x:c r="E1904" t="str">
        <x:f>'Release Gates'!I1878</x:f>
        <x:v>OPEN</x:v>
      </x:c>
      <x:c r="F1904" t="str">
        <x:f>IF('Release Gates'!C1878="PLANNING","PASS",IF('Release Gates'!C1878="PHYSICAL","OPEN","BLOCKED"))</x:f>
        <x:v>OPEN</x:v>
      </x:c>
      <x:c r="G1904" t="str">
        <x:v>equals</x:v>
      </x:c>
      <x:c r="H1904" t="str">
        <x:f>IF(E1904=F1904,"PASS","FAIL")</x:f>
        <x:v>PASS</x:v>
      </x:c>
    </x:row>
    <x:row r="1905">
      <x:c r="B1905" t="str">
        <x:v>A-01873</x:v>
      </x:c>
      <x:c r="C1905" t="str">
        <x:v>GATE</x:v>
      </x:c>
      <x:c r="D1905" t="str">
        <x:v>release state mirrors governing ledger</x:v>
      </x:c>
      <x:c r="E1905" t="str">
        <x:f>'Release Gates'!I1879</x:f>
        <x:v>OPEN</x:v>
      </x:c>
      <x:c r="F1905" t="str">
        <x:f>IF('Release Gates'!C1879="PLANNING","PASS",IF('Release Gates'!C1879="PHYSICAL","OPEN","BLOCKED"))</x:f>
        <x:v>OPEN</x:v>
      </x:c>
      <x:c r="G1905" t="str">
        <x:v>equals</x:v>
      </x:c>
      <x:c r="H1905" t="str">
        <x:f>IF(E1905=F1905,"PASS","FAIL")</x:f>
        <x:v>PASS</x:v>
      </x:c>
    </x:row>
    <x:row r="1906">
      <x:c r="B1906" t="str">
        <x:v>A-01874</x:v>
      </x:c>
      <x:c r="C1906" t="str">
        <x:v>GATE</x:v>
      </x:c>
      <x:c r="D1906" t="str">
        <x:v>release state mirrors governing ledger</x:v>
      </x:c>
      <x:c r="E1906" t="str">
        <x:f>'Release Gates'!I1880</x:f>
        <x:v>OPEN</x:v>
      </x:c>
      <x:c r="F1906" t="str">
        <x:f>IF('Release Gates'!C1880="PLANNING","PASS",IF('Release Gates'!C1880="PHYSICAL","OPEN","BLOCKED"))</x:f>
        <x:v>OPEN</x:v>
      </x:c>
      <x:c r="G1906" t="str">
        <x:v>equals</x:v>
      </x:c>
      <x:c r="H1906" t="str">
        <x:f>IF(E1906=F1906,"PASS","FAIL")</x:f>
        <x:v>PASS</x:v>
      </x:c>
    </x:row>
    <x:row r="1907">
      <x:c r="B1907" t="str">
        <x:v>A-01875</x:v>
      </x:c>
      <x:c r="C1907" t="str">
        <x:v>GATE</x:v>
      </x:c>
      <x:c r="D1907" t="str">
        <x:v>release state mirrors governing ledger</x:v>
      </x:c>
      <x:c r="E1907" t="str">
        <x:f>'Release Gates'!I1881</x:f>
        <x:v>OPEN</x:v>
      </x:c>
      <x:c r="F1907" t="str">
        <x:f>IF('Release Gates'!C1881="PLANNING","PASS",IF('Release Gates'!C1881="PHYSICAL","OPEN","BLOCKED"))</x:f>
        <x:v>OPEN</x:v>
      </x:c>
      <x:c r="G1907" t="str">
        <x:v>equals</x:v>
      </x:c>
      <x:c r="H1907" t="str">
        <x:f>IF(E1907=F1907,"PASS","FAIL")</x:f>
        <x:v>PASS</x:v>
      </x:c>
    </x:row>
    <x:row r="1908">
      <x:c r="B1908" t="str">
        <x:v>A-01876</x:v>
      </x:c>
      <x:c r="C1908" t="str">
        <x:v>GATE</x:v>
      </x:c>
      <x:c r="D1908" t="str">
        <x:v>release state mirrors governing ledger</x:v>
      </x:c>
      <x:c r="E1908" t="str">
        <x:f>'Release Gates'!I1882</x:f>
        <x:v>OPEN</x:v>
      </x:c>
      <x:c r="F1908" t="str">
        <x:f>IF('Release Gates'!C1882="PLANNING","PASS",IF('Release Gates'!C1882="PHYSICAL","OPEN","BLOCKED"))</x:f>
        <x:v>OPEN</x:v>
      </x:c>
      <x:c r="G1908" t="str">
        <x:v>equals</x:v>
      </x:c>
      <x:c r="H1908" t="str">
        <x:f>IF(E1908=F1908,"PASS","FAIL")</x:f>
        <x:v>PASS</x:v>
      </x:c>
    </x:row>
    <x:row r="1909">
      <x:c r="B1909" t="str">
        <x:v>A-01877</x:v>
      </x:c>
      <x:c r="C1909" t="str">
        <x:v>GATE</x:v>
      </x:c>
      <x:c r="D1909" t="str">
        <x:v>release state mirrors governing ledger</x:v>
      </x:c>
      <x:c r="E1909" t="str">
        <x:f>'Release Gates'!I1883</x:f>
        <x:v>OPEN</x:v>
      </x:c>
      <x:c r="F1909" t="str">
        <x:f>IF('Release Gates'!C1883="PLANNING","PASS",IF('Release Gates'!C1883="PHYSICAL","OPEN","BLOCKED"))</x:f>
        <x:v>OPEN</x:v>
      </x:c>
      <x:c r="G1909" t="str">
        <x:v>equals</x:v>
      </x:c>
      <x:c r="H1909" t="str">
        <x:f>IF(E1909=F1909,"PASS","FAIL")</x:f>
        <x:v>PASS</x:v>
      </x:c>
    </x:row>
    <x:row r="1910">
      <x:c r="B1910" t="str">
        <x:v>A-01878</x:v>
      </x:c>
      <x:c r="C1910" t="str">
        <x:v>GATE</x:v>
      </x:c>
      <x:c r="D1910" t="str">
        <x:v>release state mirrors governing ledger</x:v>
      </x:c>
      <x:c r="E1910" t="str">
        <x:f>'Release Gates'!I1884</x:f>
        <x:v>OPEN</x:v>
      </x:c>
      <x:c r="F1910" t="str">
        <x:f>IF('Release Gates'!C1884="PLANNING","PASS",IF('Release Gates'!C1884="PHYSICAL","OPEN","BLOCKED"))</x:f>
        <x:v>OPEN</x:v>
      </x:c>
      <x:c r="G1910" t="str">
        <x:v>equals</x:v>
      </x:c>
      <x:c r="H1910" t="str">
        <x:f>IF(E1910=F1910,"PASS","FAIL")</x:f>
        <x:v>PASS</x:v>
      </x:c>
    </x:row>
    <x:row r="1911">
      <x:c r="B1911" t="str">
        <x:v>A-01879</x:v>
      </x:c>
      <x:c r="C1911" t="str">
        <x:v>GATE</x:v>
      </x:c>
      <x:c r="D1911" t="str">
        <x:v>release state mirrors governing ledger</x:v>
      </x:c>
      <x:c r="E1911" t="str">
        <x:f>'Release Gates'!I1885</x:f>
        <x:v>OPEN</x:v>
      </x:c>
      <x:c r="F1911" t="str">
        <x:f>IF('Release Gates'!C1885="PLANNING","PASS",IF('Release Gates'!C1885="PHYSICAL","OPEN","BLOCKED"))</x:f>
        <x:v>OPEN</x:v>
      </x:c>
      <x:c r="G1911" t="str">
        <x:v>equals</x:v>
      </x:c>
      <x:c r="H1911" t="str">
        <x:f>IF(E1911=F1911,"PASS","FAIL")</x:f>
        <x:v>PASS</x:v>
      </x:c>
    </x:row>
    <x:row r="1912">
      <x:c r="B1912" t="str">
        <x:v>A-01880</x:v>
      </x:c>
      <x:c r="C1912" t="str">
        <x:v>GATE</x:v>
      </x:c>
      <x:c r="D1912" t="str">
        <x:v>release state mirrors governing ledger</x:v>
      </x:c>
      <x:c r="E1912" t="str">
        <x:f>'Release Gates'!I1886</x:f>
        <x:v>OPEN</x:v>
      </x:c>
      <x:c r="F1912" t="str">
        <x:f>IF('Release Gates'!C1886="PLANNING","PASS",IF('Release Gates'!C1886="PHYSICAL","OPEN","BLOCKED"))</x:f>
        <x:v>OPEN</x:v>
      </x:c>
      <x:c r="G1912" t="str">
        <x:v>equals</x:v>
      </x:c>
      <x:c r="H1912" t="str">
        <x:f>IF(E1912=F1912,"PASS","FAIL")</x:f>
        <x:v>PASS</x:v>
      </x:c>
    </x:row>
    <x:row r="1913">
      <x:c r="B1913" t="str">
        <x:v>A-01881</x:v>
      </x:c>
      <x:c r="C1913" t="str">
        <x:v>GATE</x:v>
      </x:c>
      <x:c r="D1913" t="str">
        <x:v>release state mirrors governing ledger</x:v>
      </x:c>
      <x:c r="E1913" t="str">
        <x:f>'Release Gates'!I1887</x:f>
        <x:v>OPEN</x:v>
      </x:c>
      <x:c r="F1913" t="str">
        <x:f>IF('Release Gates'!C1887="PLANNING","PASS",IF('Release Gates'!C1887="PHYSICAL","OPEN","BLOCKED"))</x:f>
        <x:v>OPEN</x:v>
      </x:c>
      <x:c r="G1913" t="str">
        <x:v>equals</x:v>
      </x:c>
      <x:c r="H1913" t="str">
        <x:f>IF(E1913=F1913,"PASS","FAIL")</x:f>
        <x:v>PASS</x:v>
      </x:c>
    </x:row>
    <x:row r="1914">
      <x:c r="B1914" t="str">
        <x:v>A-01882</x:v>
      </x:c>
      <x:c r="C1914" t="str">
        <x:v>GATE</x:v>
      </x:c>
      <x:c r="D1914" t="str">
        <x:v>release state mirrors governing ledger</x:v>
      </x:c>
      <x:c r="E1914" t="str">
        <x:f>'Release Gates'!I1888</x:f>
        <x:v>OPEN</x:v>
      </x:c>
      <x:c r="F1914" t="str">
        <x:f>IF('Release Gates'!C1888="PLANNING","PASS",IF('Release Gates'!C1888="PHYSICAL","OPEN","BLOCKED"))</x:f>
        <x:v>OPEN</x:v>
      </x:c>
      <x:c r="G1914" t="str">
        <x:v>equals</x:v>
      </x:c>
      <x:c r="H1914" t="str">
        <x:f>IF(E1914=F1914,"PASS","FAIL")</x:f>
        <x:v>PASS</x:v>
      </x:c>
    </x:row>
    <x:row r="1915">
      <x:c r="B1915" t="str">
        <x:v>A-01883</x:v>
      </x:c>
      <x:c r="C1915" t="str">
        <x:v>GATE</x:v>
      </x:c>
      <x:c r="D1915" t="str">
        <x:v>release state mirrors governing ledger</x:v>
      </x:c>
      <x:c r="E1915" t="str">
        <x:f>'Release Gates'!I1889</x:f>
        <x:v>OPEN</x:v>
      </x:c>
      <x:c r="F1915" t="str">
        <x:f>IF('Release Gates'!C1889="PLANNING","PASS",IF('Release Gates'!C1889="PHYSICAL","OPEN","BLOCKED"))</x:f>
        <x:v>OPEN</x:v>
      </x:c>
      <x:c r="G1915" t="str">
        <x:v>equals</x:v>
      </x:c>
      <x:c r="H1915" t="str">
        <x:f>IF(E1915=F1915,"PASS","FAIL")</x:f>
        <x:v>PASS</x:v>
      </x:c>
    </x:row>
    <x:row r="1916">
      <x:c r="B1916" t="str">
        <x:v>A-01884</x:v>
      </x:c>
      <x:c r="C1916" t="str">
        <x:v>GATE</x:v>
      </x:c>
      <x:c r="D1916" t="str">
        <x:v>release state mirrors governing ledger</x:v>
      </x:c>
      <x:c r="E1916" t="str">
        <x:f>'Release Gates'!I1890</x:f>
        <x:v>OPEN</x:v>
      </x:c>
      <x:c r="F1916" t="str">
        <x:f>IF('Release Gates'!C1890="PLANNING","PASS",IF('Release Gates'!C1890="PHYSICAL","OPEN","BLOCKED"))</x:f>
        <x:v>OPEN</x:v>
      </x:c>
      <x:c r="G1916" t="str">
        <x:v>equals</x:v>
      </x:c>
      <x:c r="H1916" t="str">
        <x:f>IF(E1916=F1916,"PASS","FAIL")</x:f>
        <x:v>PASS</x:v>
      </x:c>
    </x:row>
    <x:row r="1917">
      <x:c r="B1917" t="str">
        <x:v>A-01885</x:v>
      </x:c>
      <x:c r="C1917" t="str">
        <x:v>GATE</x:v>
      </x:c>
      <x:c r="D1917" t="str">
        <x:v>release state mirrors governing ledger</x:v>
      </x:c>
      <x:c r="E1917" t="str">
        <x:f>'Release Gates'!I1891</x:f>
        <x:v>OPEN</x:v>
      </x:c>
      <x:c r="F1917" t="str">
        <x:f>IF('Release Gates'!C1891="PLANNING","PASS",IF('Release Gates'!C1891="PHYSICAL","OPEN","BLOCKED"))</x:f>
        <x:v>OPEN</x:v>
      </x:c>
      <x:c r="G1917" t="str">
        <x:v>equals</x:v>
      </x:c>
      <x:c r="H1917" t="str">
        <x:f>IF(E1917=F1917,"PASS","FAIL")</x:f>
        <x:v>PASS</x:v>
      </x:c>
    </x:row>
    <x:row r="1918">
      <x:c r="B1918" t="str">
        <x:v>A-01886</x:v>
      </x:c>
      <x:c r="C1918" t="str">
        <x:v>GATE</x:v>
      </x:c>
      <x:c r="D1918" t="str">
        <x:v>release state mirrors governing ledger</x:v>
      </x:c>
      <x:c r="E1918" t="str">
        <x:f>'Release Gates'!I1892</x:f>
        <x:v>OPEN</x:v>
      </x:c>
      <x:c r="F1918" t="str">
        <x:f>IF('Release Gates'!C1892="PLANNING","PASS",IF('Release Gates'!C1892="PHYSICAL","OPEN","BLOCKED"))</x:f>
        <x:v>OPEN</x:v>
      </x:c>
      <x:c r="G1918" t="str">
        <x:v>equals</x:v>
      </x:c>
      <x:c r="H1918" t="str">
        <x:f>IF(E1918=F1918,"PASS","FAIL")</x:f>
        <x:v>PASS</x:v>
      </x:c>
    </x:row>
    <x:row r="1919">
      <x:c r="B1919" t="str">
        <x:v>A-01887</x:v>
      </x:c>
      <x:c r="C1919" t="str">
        <x:v>GATE</x:v>
      </x:c>
      <x:c r="D1919" t="str">
        <x:v>release state mirrors governing ledger</x:v>
      </x:c>
      <x:c r="E1919" t="str">
        <x:f>'Release Gates'!I1893</x:f>
        <x:v>OPEN</x:v>
      </x:c>
      <x:c r="F1919" t="str">
        <x:f>IF('Release Gates'!C1893="PLANNING","PASS",IF('Release Gates'!C1893="PHYSICAL","OPEN","BLOCKED"))</x:f>
        <x:v>OPEN</x:v>
      </x:c>
      <x:c r="G1919" t="str">
        <x:v>equals</x:v>
      </x:c>
      <x:c r="H1919" t="str">
        <x:f>IF(E1919=F1919,"PASS","FAIL")</x:f>
        <x:v>PASS</x:v>
      </x:c>
    </x:row>
    <x:row r="1920">
      <x:c r="B1920" t="str">
        <x:v>A-01888</x:v>
      </x:c>
      <x:c r="C1920" t="str">
        <x:v>GATE</x:v>
      </x:c>
      <x:c r="D1920" t="str">
        <x:v>release state mirrors governing ledger</x:v>
      </x:c>
      <x:c r="E1920" t="str">
        <x:f>'Release Gates'!I1894</x:f>
        <x:v>OPEN</x:v>
      </x:c>
      <x:c r="F1920" t="str">
        <x:f>IF('Release Gates'!C1894="PLANNING","PASS",IF('Release Gates'!C1894="PHYSICAL","OPEN","BLOCKED"))</x:f>
        <x:v>OPEN</x:v>
      </x:c>
      <x:c r="G1920" t="str">
        <x:v>equals</x:v>
      </x:c>
      <x:c r="H1920" t="str">
        <x:f>IF(E1920=F1920,"PASS","FAIL")</x:f>
        <x:v>PASS</x:v>
      </x:c>
    </x:row>
    <x:row r="1921">
      <x:c r="B1921" t="str">
        <x:v>A-01889</x:v>
      </x:c>
      <x:c r="C1921" t="str">
        <x:v>GATE</x:v>
      </x:c>
      <x:c r="D1921" t="str">
        <x:v>release state mirrors governing ledger</x:v>
      </x:c>
      <x:c r="E1921" t="str">
        <x:f>'Release Gates'!I1895</x:f>
        <x:v>OPEN</x:v>
      </x:c>
      <x:c r="F1921" t="str">
        <x:f>IF('Release Gates'!C1895="PLANNING","PASS",IF('Release Gates'!C1895="PHYSICAL","OPEN","BLOCKED"))</x:f>
        <x:v>OPEN</x:v>
      </x:c>
      <x:c r="G1921" t="str">
        <x:v>equals</x:v>
      </x:c>
      <x:c r="H1921" t="str">
        <x:f>IF(E1921=F1921,"PASS","FAIL")</x:f>
        <x:v>PASS</x:v>
      </x:c>
    </x:row>
    <x:row r="1922">
      <x:c r="B1922" t="str">
        <x:v>A-01890</x:v>
      </x:c>
      <x:c r="C1922" t="str">
        <x:v>GATE</x:v>
      </x:c>
      <x:c r="D1922" t="str">
        <x:v>release state mirrors governing ledger</x:v>
      </x:c>
      <x:c r="E1922" t="str">
        <x:f>'Release Gates'!I1896</x:f>
        <x:v>OPEN</x:v>
      </x:c>
      <x:c r="F1922" t="str">
        <x:f>IF('Release Gates'!C1896="PLANNING","PASS",IF('Release Gates'!C1896="PHYSICAL","OPEN","BLOCKED"))</x:f>
        <x:v>OPEN</x:v>
      </x:c>
      <x:c r="G1922" t="str">
        <x:v>equals</x:v>
      </x:c>
      <x:c r="H1922" t="str">
        <x:f>IF(E1922=F1922,"PASS","FAIL")</x:f>
        <x:v>PASS</x:v>
      </x:c>
    </x:row>
    <x:row r="1923">
      <x:c r="B1923" t="str">
        <x:v>A-01891</x:v>
      </x:c>
      <x:c r="C1923" t="str">
        <x:v>GATE</x:v>
      </x:c>
      <x:c r="D1923" t="str">
        <x:v>release state mirrors governing ledger</x:v>
      </x:c>
      <x:c r="E1923" t="str">
        <x:f>'Release Gates'!I1897</x:f>
        <x:v>OPEN</x:v>
      </x:c>
      <x:c r="F1923" t="str">
        <x:f>IF('Release Gates'!C1897="PLANNING","PASS",IF('Release Gates'!C1897="PHYSICAL","OPEN","BLOCKED"))</x:f>
        <x:v>OPEN</x:v>
      </x:c>
      <x:c r="G1923" t="str">
        <x:v>equals</x:v>
      </x:c>
      <x:c r="H1923" t="str">
        <x:f>IF(E1923=F1923,"PASS","FAIL")</x:f>
        <x:v>PASS</x:v>
      </x:c>
    </x:row>
    <x:row r="1924">
      <x:c r="B1924" t="str">
        <x:v>A-01892</x:v>
      </x:c>
      <x:c r="C1924" t="str">
        <x:v>GATE</x:v>
      </x:c>
      <x:c r="D1924" t="str">
        <x:v>release state mirrors governing ledger</x:v>
      </x:c>
      <x:c r="E1924" t="str">
        <x:f>'Release Gates'!I1898</x:f>
        <x:v>OPEN</x:v>
      </x:c>
      <x:c r="F1924" t="str">
        <x:f>IF('Release Gates'!C1898="PLANNING","PASS",IF('Release Gates'!C1898="PHYSICAL","OPEN","BLOCKED"))</x:f>
        <x:v>OPEN</x:v>
      </x:c>
      <x:c r="G1924" t="str">
        <x:v>equals</x:v>
      </x:c>
      <x:c r="H1924" t="str">
        <x:f>IF(E1924=F1924,"PASS","FAIL")</x:f>
        <x:v>PASS</x:v>
      </x:c>
    </x:row>
    <x:row r="1925">
      <x:c r="B1925" t="str">
        <x:v>A-01893</x:v>
      </x:c>
      <x:c r="C1925" t="str">
        <x:v>GATE</x:v>
      </x:c>
      <x:c r="D1925" t="str">
        <x:v>release state mirrors governing ledger</x:v>
      </x:c>
      <x:c r="E1925" t="str">
        <x:f>'Release Gates'!I1899</x:f>
        <x:v>OPEN</x:v>
      </x:c>
      <x:c r="F1925" t="str">
        <x:f>IF('Release Gates'!C1899="PLANNING","PASS",IF('Release Gates'!C1899="PHYSICAL","OPEN","BLOCKED"))</x:f>
        <x:v>OPEN</x:v>
      </x:c>
      <x:c r="G1925" t="str">
        <x:v>equals</x:v>
      </x:c>
      <x:c r="H1925" t="str">
        <x:f>IF(E1925=F1925,"PASS","FAIL")</x:f>
        <x:v>PASS</x:v>
      </x:c>
    </x:row>
    <x:row r="1926">
      <x:c r="B1926" t="str">
        <x:v>A-01894</x:v>
      </x:c>
      <x:c r="C1926" t="str">
        <x:v>GATE</x:v>
      </x:c>
      <x:c r="D1926" t="str">
        <x:v>release state mirrors governing ledger</x:v>
      </x:c>
      <x:c r="E1926" t="str">
        <x:f>'Release Gates'!I1900</x:f>
        <x:v>OPEN</x:v>
      </x:c>
      <x:c r="F1926" t="str">
        <x:f>IF('Release Gates'!C1900="PLANNING","PASS",IF('Release Gates'!C1900="PHYSICAL","OPEN","BLOCKED"))</x:f>
        <x:v>OPEN</x:v>
      </x:c>
      <x:c r="G1926" t="str">
        <x:v>equals</x:v>
      </x:c>
      <x:c r="H1926" t="str">
        <x:f>IF(E1926=F1926,"PASS","FAIL")</x:f>
        <x:v>PASS</x:v>
      </x:c>
    </x:row>
    <x:row r="1927">
      <x:c r="B1927" t="str">
        <x:v>A-01895</x:v>
      </x:c>
      <x:c r="C1927" t="str">
        <x:v>GATE</x:v>
      </x:c>
      <x:c r="D1927" t="str">
        <x:v>release state mirrors governing ledger</x:v>
      </x:c>
      <x:c r="E1927" t="str">
        <x:f>'Release Gates'!I1901</x:f>
        <x:v>OPEN</x:v>
      </x:c>
      <x:c r="F1927" t="str">
        <x:f>IF('Release Gates'!C1901="PLANNING","PASS",IF('Release Gates'!C1901="PHYSICAL","OPEN","BLOCKED"))</x:f>
        <x:v>OPEN</x:v>
      </x:c>
      <x:c r="G1927" t="str">
        <x:v>equals</x:v>
      </x:c>
      <x:c r="H1927" t="str">
        <x:f>IF(E1927=F1927,"PASS","FAIL")</x:f>
        <x:v>PASS</x:v>
      </x:c>
    </x:row>
    <x:row r="1928">
      <x:c r="B1928" t="str">
        <x:v>A-01896</x:v>
      </x:c>
      <x:c r="C1928" t="str">
        <x:v>GATE</x:v>
      </x:c>
      <x:c r="D1928" t="str">
        <x:v>release state mirrors governing ledger</x:v>
      </x:c>
      <x:c r="E1928" t="str">
        <x:f>'Release Gates'!I1902</x:f>
        <x:v>OPEN</x:v>
      </x:c>
      <x:c r="F1928" t="str">
        <x:f>IF('Release Gates'!C1902="PLANNING","PASS",IF('Release Gates'!C1902="PHYSICAL","OPEN","BLOCKED"))</x:f>
        <x:v>OPEN</x:v>
      </x:c>
      <x:c r="G1928" t="str">
        <x:v>equals</x:v>
      </x:c>
      <x:c r="H1928" t="str">
        <x:f>IF(E1928=F1928,"PASS","FAIL")</x:f>
        <x:v>PASS</x:v>
      </x:c>
    </x:row>
    <x:row r="1929">
      <x:c r="B1929" t="str">
        <x:v>A-01897</x:v>
      </x:c>
      <x:c r="C1929" t="str">
        <x:v>GATE</x:v>
      </x:c>
      <x:c r="D1929" t="str">
        <x:v>release state mirrors governing ledger</x:v>
      </x:c>
      <x:c r="E1929" t="str">
        <x:f>'Release Gates'!I1903</x:f>
        <x:v>OPEN</x:v>
      </x:c>
      <x:c r="F1929" t="str">
        <x:f>IF('Release Gates'!C1903="PLANNING","PASS",IF('Release Gates'!C1903="PHYSICAL","OPEN","BLOCKED"))</x:f>
        <x:v>OPEN</x:v>
      </x:c>
      <x:c r="G1929" t="str">
        <x:v>equals</x:v>
      </x:c>
      <x:c r="H1929" t="str">
        <x:f>IF(E1929=F1929,"PASS","FAIL")</x:f>
        <x:v>PASS</x:v>
      </x:c>
    </x:row>
    <x:row r="1930">
      <x:c r="B1930" t="str">
        <x:v>A-01898</x:v>
      </x:c>
      <x:c r="C1930" t="str">
        <x:v>GATE</x:v>
      </x:c>
      <x:c r="D1930" t="str">
        <x:v>release state mirrors governing ledger</x:v>
      </x:c>
      <x:c r="E1930" t="str">
        <x:f>'Release Gates'!I1904</x:f>
        <x:v>OPEN</x:v>
      </x:c>
      <x:c r="F1930" t="str">
        <x:f>IF('Release Gates'!C1904="PLANNING","PASS",IF('Release Gates'!C1904="PHYSICAL","OPEN","BLOCKED"))</x:f>
        <x:v>OPEN</x:v>
      </x:c>
      <x:c r="G1930" t="str">
        <x:v>equals</x:v>
      </x:c>
      <x:c r="H1930" t="str">
        <x:f>IF(E1930=F1930,"PASS","FAIL")</x:f>
        <x:v>PASS</x:v>
      </x:c>
    </x:row>
    <x:row r="1931">
      <x:c r="B1931" t="str">
        <x:v>A-01899</x:v>
      </x:c>
      <x:c r="C1931" t="str">
        <x:v>GATE</x:v>
      </x:c>
      <x:c r="D1931" t="str">
        <x:v>release state mirrors governing ledger</x:v>
      </x:c>
      <x:c r="E1931" t="str">
        <x:f>'Release Gates'!I1905</x:f>
        <x:v>OPEN</x:v>
      </x:c>
      <x:c r="F1931" t="str">
        <x:f>IF('Release Gates'!C1905="PLANNING","PASS",IF('Release Gates'!C1905="PHYSICAL","OPEN","BLOCKED"))</x:f>
        <x:v>OPEN</x:v>
      </x:c>
      <x:c r="G1931" t="str">
        <x:v>equals</x:v>
      </x:c>
      <x:c r="H1931" t="str">
        <x:f>IF(E1931=F1931,"PASS","FAIL")</x:f>
        <x:v>PASS</x:v>
      </x:c>
    </x:row>
    <x:row r="1932">
      <x:c r="B1932" t="str">
        <x:v>A-01900</x:v>
      </x:c>
      <x:c r="C1932" t="str">
        <x:v>GATE</x:v>
      </x:c>
      <x:c r="D1932" t="str">
        <x:v>release state mirrors governing ledger</x:v>
      </x:c>
      <x:c r="E1932" t="str">
        <x:f>'Release Gates'!I1906</x:f>
        <x:v>OPEN</x:v>
      </x:c>
      <x:c r="F1932" t="str">
        <x:f>IF('Release Gates'!C1906="PLANNING","PASS",IF('Release Gates'!C1906="PHYSICAL","OPEN","BLOCKED"))</x:f>
        <x:v>OPEN</x:v>
      </x:c>
      <x:c r="G1932" t="str">
        <x:v>equals</x:v>
      </x:c>
      <x:c r="H1932" t="str">
        <x:f>IF(E1932=F1932,"PASS","FAIL")</x:f>
        <x:v>PASS</x:v>
      </x:c>
    </x:row>
    <x:row r="1933">
      <x:c r="B1933" t="str">
        <x:v>A-01901</x:v>
      </x:c>
      <x:c r="C1933" t="str">
        <x:v>GATE</x:v>
      </x:c>
      <x:c r="D1933" t="str">
        <x:v>release state mirrors governing ledger</x:v>
      </x:c>
      <x:c r="E1933" t="str">
        <x:f>'Release Gates'!I1907</x:f>
        <x:v>OPEN</x:v>
      </x:c>
      <x:c r="F1933" t="str">
        <x:f>IF('Release Gates'!C1907="PLANNING","PASS",IF('Release Gates'!C1907="PHYSICAL","OPEN","BLOCKED"))</x:f>
        <x:v>OPEN</x:v>
      </x:c>
      <x:c r="G1933" t="str">
        <x:v>equals</x:v>
      </x:c>
      <x:c r="H1933" t="str">
        <x:f>IF(E1933=F1933,"PASS","FAIL")</x:f>
        <x:v>PASS</x:v>
      </x:c>
    </x:row>
    <x:row r="1934">
      <x:c r="B1934" t="str">
        <x:v>A-01902</x:v>
      </x:c>
      <x:c r="C1934" t="str">
        <x:v>GATE</x:v>
      </x:c>
      <x:c r="D1934" t="str">
        <x:v>release state mirrors governing ledger</x:v>
      </x:c>
      <x:c r="E1934" t="str">
        <x:f>'Release Gates'!I1908</x:f>
        <x:v>OPEN</x:v>
      </x:c>
      <x:c r="F1934" t="str">
        <x:f>IF('Release Gates'!C1908="PLANNING","PASS",IF('Release Gates'!C1908="PHYSICAL","OPEN","BLOCKED"))</x:f>
        <x:v>OPEN</x:v>
      </x:c>
      <x:c r="G1934" t="str">
        <x:v>equals</x:v>
      </x:c>
      <x:c r="H1934" t="str">
        <x:f>IF(E1934=F1934,"PASS","FAIL")</x:f>
        <x:v>PASS</x:v>
      </x:c>
    </x:row>
    <x:row r="1935">
      <x:c r="B1935" t="str">
        <x:v>A-01903</x:v>
      </x:c>
      <x:c r="C1935" t="str">
        <x:v>GATE</x:v>
      </x:c>
      <x:c r="D1935" t="str">
        <x:v>release state mirrors governing ledger</x:v>
      </x:c>
      <x:c r="E1935" t="str">
        <x:f>'Release Gates'!I1909</x:f>
        <x:v>OPEN</x:v>
      </x:c>
      <x:c r="F1935" t="str">
        <x:f>IF('Release Gates'!C1909="PLANNING","PASS",IF('Release Gates'!C1909="PHYSICAL","OPEN","BLOCKED"))</x:f>
        <x:v>OPEN</x:v>
      </x:c>
      <x:c r="G1935" t="str">
        <x:v>equals</x:v>
      </x:c>
      <x:c r="H1935" t="str">
        <x:f>IF(E1935=F1935,"PASS","FAIL")</x:f>
        <x:v>PASS</x:v>
      </x:c>
    </x:row>
    <x:row r="1936">
      <x:c r="B1936" t="str">
        <x:v>A-01904</x:v>
      </x:c>
      <x:c r="C1936" t="str">
        <x:v>GATE</x:v>
      </x:c>
      <x:c r="D1936" t="str">
        <x:v>release state mirrors governing ledger</x:v>
      </x:c>
      <x:c r="E1936" t="str">
        <x:f>'Release Gates'!I1910</x:f>
        <x:v>OPEN</x:v>
      </x:c>
      <x:c r="F1936" t="str">
        <x:f>IF('Release Gates'!C1910="PLANNING","PASS",IF('Release Gates'!C1910="PHYSICAL","OPEN","BLOCKED"))</x:f>
        <x:v>OPEN</x:v>
      </x:c>
      <x:c r="G1936" t="str">
        <x:v>equals</x:v>
      </x:c>
      <x:c r="H1936" t="str">
        <x:f>IF(E1936=F1936,"PASS","FAIL")</x:f>
        <x:v>PASS</x:v>
      </x:c>
    </x:row>
    <x:row r="1937">
      <x:c r="B1937" t="str">
        <x:v>A-01905</x:v>
      </x:c>
      <x:c r="C1937" t="str">
        <x:v>GATE</x:v>
      </x:c>
      <x:c r="D1937" t="str">
        <x:v>release state mirrors governing ledger</x:v>
      </x:c>
      <x:c r="E1937" t="str">
        <x:f>'Release Gates'!I1911</x:f>
        <x:v>OPEN</x:v>
      </x:c>
      <x:c r="F1937" t="str">
        <x:f>IF('Release Gates'!C1911="PLANNING","PASS",IF('Release Gates'!C1911="PHYSICAL","OPEN","BLOCKED"))</x:f>
        <x:v>OPEN</x:v>
      </x:c>
      <x:c r="G1937" t="str">
        <x:v>equals</x:v>
      </x:c>
      <x:c r="H1937" t="str">
        <x:f>IF(E1937=F1937,"PASS","FAIL")</x:f>
        <x:v>PASS</x:v>
      </x:c>
    </x:row>
    <x:row r="1938">
      <x:c r="B1938" t="str">
        <x:v>A-01906</x:v>
      </x:c>
      <x:c r="C1938" t="str">
        <x:v>GATE</x:v>
      </x:c>
      <x:c r="D1938" t="str">
        <x:v>release state mirrors governing ledger</x:v>
      </x:c>
      <x:c r="E1938" t="str">
        <x:f>'Release Gates'!I1912</x:f>
        <x:v>OPEN</x:v>
      </x:c>
      <x:c r="F1938" t="str">
        <x:f>IF('Release Gates'!C1912="PLANNING","PASS",IF('Release Gates'!C1912="PHYSICAL","OPEN","BLOCKED"))</x:f>
        <x:v>OPEN</x:v>
      </x:c>
      <x:c r="G1938" t="str">
        <x:v>equals</x:v>
      </x:c>
      <x:c r="H1938" t="str">
        <x:f>IF(E1938=F1938,"PASS","FAIL")</x:f>
        <x:v>PASS</x:v>
      </x:c>
    </x:row>
    <x:row r="1939">
      <x:c r="B1939" t="str">
        <x:v>A-01907</x:v>
      </x:c>
      <x:c r="C1939" t="str">
        <x:v>GATE</x:v>
      </x:c>
      <x:c r="D1939" t="str">
        <x:v>release state mirrors governing ledger</x:v>
      </x:c>
      <x:c r="E1939" t="str">
        <x:f>'Release Gates'!I1913</x:f>
        <x:v>OPEN</x:v>
      </x:c>
      <x:c r="F1939" t="str">
        <x:f>IF('Release Gates'!C1913="PLANNING","PASS",IF('Release Gates'!C1913="PHYSICAL","OPEN","BLOCKED"))</x:f>
        <x:v>OPEN</x:v>
      </x:c>
      <x:c r="G1939" t="str">
        <x:v>equals</x:v>
      </x:c>
      <x:c r="H1939" t="str">
        <x:f>IF(E1939=F1939,"PASS","FAIL")</x:f>
        <x:v>PASS</x:v>
      </x:c>
    </x:row>
    <x:row r="1940">
      <x:c r="B1940" t="str">
        <x:v>A-01908</x:v>
      </x:c>
      <x:c r="C1940" t="str">
        <x:v>GATE</x:v>
      </x:c>
      <x:c r="D1940" t="str">
        <x:v>release state mirrors governing ledger</x:v>
      </x:c>
      <x:c r="E1940" t="str">
        <x:f>'Release Gates'!I1914</x:f>
        <x:v>OPEN</x:v>
      </x:c>
      <x:c r="F1940" t="str">
        <x:f>IF('Release Gates'!C1914="PLANNING","PASS",IF('Release Gates'!C1914="PHYSICAL","OPEN","BLOCKED"))</x:f>
        <x:v>OPEN</x:v>
      </x:c>
      <x:c r="G1940" t="str">
        <x:v>equals</x:v>
      </x:c>
      <x:c r="H1940" t="str">
        <x:f>IF(E1940=F1940,"PASS","FAIL")</x:f>
        <x:v>PASS</x:v>
      </x:c>
    </x:row>
    <x:row r="1941">
      <x:c r="B1941" t="str">
        <x:v>A-01909</x:v>
      </x:c>
      <x:c r="C1941" t="str">
        <x:v>GATE</x:v>
      </x:c>
      <x:c r="D1941" t="str">
        <x:v>release state mirrors governing ledger</x:v>
      </x:c>
      <x:c r="E1941" t="str">
        <x:f>'Release Gates'!I1915</x:f>
        <x:v>OPEN</x:v>
      </x:c>
      <x:c r="F1941" t="str">
        <x:f>IF('Release Gates'!C1915="PLANNING","PASS",IF('Release Gates'!C1915="PHYSICAL","OPEN","BLOCKED"))</x:f>
        <x:v>OPEN</x:v>
      </x:c>
      <x:c r="G1941" t="str">
        <x:v>equals</x:v>
      </x:c>
      <x:c r="H1941" t="str">
        <x:f>IF(E1941=F1941,"PASS","FAIL")</x:f>
        <x:v>PASS</x:v>
      </x:c>
    </x:row>
    <x:row r="1942">
      <x:c r="B1942" t="str">
        <x:v>A-01910</x:v>
      </x:c>
      <x:c r="C1942" t="str">
        <x:v>GATE</x:v>
      </x:c>
      <x:c r="D1942" t="str">
        <x:v>release state mirrors governing ledger</x:v>
      </x:c>
      <x:c r="E1942" t="str">
        <x:f>'Release Gates'!I1916</x:f>
        <x:v>OPEN</x:v>
      </x:c>
      <x:c r="F1942" t="str">
        <x:f>IF('Release Gates'!C1916="PLANNING","PASS",IF('Release Gates'!C1916="PHYSICAL","OPEN","BLOCKED"))</x:f>
        <x:v>OPEN</x:v>
      </x:c>
      <x:c r="G1942" t="str">
        <x:v>equals</x:v>
      </x:c>
      <x:c r="H1942" t="str">
        <x:f>IF(E1942=F1942,"PASS","FAIL")</x:f>
        <x:v>PASS</x:v>
      </x:c>
    </x:row>
    <x:row r="1943">
      <x:c r="B1943" t="str">
        <x:v>A-01911</x:v>
      </x:c>
      <x:c r="C1943" t="str">
        <x:v>GATE</x:v>
      </x:c>
      <x:c r="D1943" t="str">
        <x:v>release state mirrors governing ledger</x:v>
      </x:c>
      <x:c r="E1943" t="str">
        <x:f>'Release Gates'!I1917</x:f>
        <x:v>OPEN</x:v>
      </x:c>
      <x:c r="F1943" t="str">
        <x:f>IF('Release Gates'!C1917="PLANNING","PASS",IF('Release Gates'!C1917="PHYSICAL","OPEN","BLOCKED"))</x:f>
        <x:v>OPEN</x:v>
      </x:c>
      <x:c r="G1943" t="str">
        <x:v>equals</x:v>
      </x:c>
      <x:c r="H1943" t="str">
        <x:f>IF(E1943=F1943,"PASS","FAIL")</x:f>
        <x:v>PASS</x:v>
      </x:c>
    </x:row>
    <x:row r="1944">
      <x:c r="B1944" t="str">
        <x:v>A-01912</x:v>
      </x:c>
      <x:c r="C1944" t="str">
        <x:v>GATE</x:v>
      </x:c>
      <x:c r="D1944" t="str">
        <x:v>release state mirrors governing ledger</x:v>
      </x:c>
      <x:c r="E1944" t="str">
        <x:f>'Release Gates'!I1918</x:f>
        <x:v>OPEN</x:v>
      </x:c>
      <x:c r="F1944" t="str">
        <x:f>IF('Release Gates'!C1918="PLANNING","PASS",IF('Release Gates'!C1918="PHYSICAL","OPEN","BLOCKED"))</x:f>
        <x:v>OPEN</x:v>
      </x:c>
      <x:c r="G1944" t="str">
        <x:v>equals</x:v>
      </x:c>
      <x:c r="H1944" t="str">
        <x:f>IF(E1944=F1944,"PASS","FAIL")</x:f>
        <x:v>PASS</x:v>
      </x:c>
    </x:row>
    <x:row r="1945">
      <x:c r="B1945" t="str">
        <x:v>A-01913</x:v>
      </x:c>
      <x:c r="C1945" t="str">
        <x:v>GATE</x:v>
      </x:c>
      <x:c r="D1945" t="str">
        <x:v>release state mirrors governing ledger</x:v>
      </x:c>
      <x:c r="E1945" t="str">
        <x:f>'Release Gates'!I1919</x:f>
        <x:v>OPEN</x:v>
      </x:c>
      <x:c r="F1945" t="str">
        <x:f>IF('Release Gates'!C1919="PLANNING","PASS",IF('Release Gates'!C1919="PHYSICAL","OPEN","BLOCKED"))</x:f>
        <x:v>OPEN</x:v>
      </x:c>
      <x:c r="G1945" t="str">
        <x:v>equals</x:v>
      </x:c>
      <x:c r="H1945" t="str">
        <x:f>IF(E1945=F1945,"PASS","FAIL")</x:f>
        <x:v>PASS</x:v>
      </x:c>
    </x:row>
    <x:row r="1946">
      <x:c r="B1946" t="str">
        <x:v>A-01914</x:v>
      </x:c>
      <x:c r="C1946" t="str">
        <x:v>GATE</x:v>
      </x:c>
      <x:c r="D1946" t="str">
        <x:v>release state mirrors governing ledger</x:v>
      </x:c>
      <x:c r="E1946" t="str">
        <x:f>'Release Gates'!I1920</x:f>
        <x:v>OPEN</x:v>
      </x:c>
      <x:c r="F1946" t="str">
        <x:f>IF('Release Gates'!C1920="PLANNING","PASS",IF('Release Gates'!C1920="PHYSICAL","OPEN","BLOCKED"))</x:f>
        <x:v>OPEN</x:v>
      </x:c>
      <x:c r="G1946" t="str">
        <x:v>equals</x:v>
      </x:c>
      <x:c r="H1946" t="str">
        <x:f>IF(E1946=F1946,"PASS","FAIL")</x:f>
        <x:v>PASS</x:v>
      </x:c>
    </x:row>
    <x:row r="1947">
      <x:c r="B1947" t="str">
        <x:v>A-01915</x:v>
      </x:c>
      <x:c r="C1947" t="str">
        <x:v>GATE</x:v>
      </x:c>
      <x:c r="D1947" t="str">
        <x:v>release state mirrors governing ledger</x:v>
      </x:c>
      <x:c r="E1947" t="str">
        <x:f>'Release Gates'!I1921</x:f>
        <x:v>OPEN</x:v>
      </x:c>
      <x:c r="F1947" t="str">
        <x:f>IF('Release Gates'!C1921="PLANNING","PASS",IF('Release Gates'!C1921="PHYSICAL","OPEN","BLOCKED"))</x:f>
        <x:v>OPEN</x:v>
      </x:c>
      <x:c r="G1947" t="str">
        <x:v>equals</x:v>
      </x:c>
      <x:c r="H1947" t="str">
        <x:f>IF(E1947=F1947,"PASS","FAIL")</x:f>
        <x:v>PASS</x:v>
      </x:c>
    </x:row>
    <x:row r="1948">
      <x:c r="B1948" t="str">
        <x:v>A-01916</x:v>
      </x:c>
      <x:c r="C1948" t="str">
        <x:v>GATE</x:v>
      </x:c>
      <x:c r="D1948" t="str">
        <x:v>release state mirrors governing ledger</x:v>
      </x:c>
      <x:c r="E1948" t="str">
        <x:f>'Release Gates'!I1922</x:f>
        <x:v>OPEN</x:v>
      </x:c>
      <x:c r="F1948" t="str">
        <x:f>IF('Release Gates'!C1922="PLANNING","PASS",IF('Release Gates'!C1922="PHYSICAL","OPEN","BLOCKED"))</x:f>
        <x:v>OPEN</x:v>
      </x:c>
      <x:c r="G1948" t="str">
        <x:v>equals</x:v>
      </x:c>
      <x:c r="H1948" t="str">
        <x:f>IF(E1948=F1948,"PASS","FAIL")</x:f>
        <x:v>PASS</x:v>
      </x:c>
    </x:row>
    <x:row r="1949">
      <x:c r="B1949" t="str">
        <x:v>A-01917</x:v>
      </x:c>
      <x:c r="C1949" t="str">
        <x:v>GATE</x:v>
      </x:c>
      <x:c r="D1949" t="str">
        <x:v>release state mirrors governing ledger</x:v>
      </x:c>
      <x:c r="E1949" t="str">
        <x:f>'Release Gates'!I1923</x:f>
        <x:v>OPEN</x:v>
      </x:c>
      <x:c r="F1949" t="str">
        <x:f>IF('Release Gates'!C1923="PLANNING","PASS",IF('Release Gates'!C1923="PHYSICAL","OPEN","BLOCKED"))</x:f>
        <x:v>OPEN</x:v>
      </x:c>
      <x:c r="G1949" t="str">
        <x:v>equals</x:v>
      </x:c>
      <x:c r="H1949" t="str">
        <x:f>IF(E1949=F1949,"PASS","FAIL")</x:f>
        <x:v>PASS</x:v>
      </x:c>
    </x:row>
    <x:row r="1950">
      <x:c r="B1950" t="str">
        <x:v>A-01918</x:v>
      </x:c>
      <x:c r="C1950" t="str">
        <x:v>GATE</x:v>
      </x:c>
      <x:c r="D1950" t="str">
        <x:v>release state mirrors governing ledger</x:v>
      </x:c>
      <x:c r="E1950" t="str">
        <x:f>'Release Gates'!I1924</x:f>
        <x:v>OPEN</x:v>
      </x:c>
      <x:c r="F1950" t="str">
        <x:f>IF('Release Gates'!C1924="PLANNING","PASS",IF('Release Gates'!C1924="PHYSICAL","OPEN","BLOCKED"))</x:f>
        <x:v>OPEN</x:v>
      </x:c>
      <x:c r="G1950" t="str">
        <x:v>equals</x:v>
      </x:c>
      <x:c r="H1950" t="str">
        <x:f>IF(E1950=F1950,"PASS","FAIL")</x:f>
        <x:v>PASS</x:v>
      </x:c>
    </x:row>
    <x:row r="1951">
      <x:c r="B1951" t="str">
        <x:v>A-01919</x:v>
      </x:c>
      <x:c r="C1951" t="str">
        <x:v>GATE</x:v>
      </x:c>
      <x:c r="D1951" t="str">
        <x:v>release state mirrors governing ledger</x:v>
      </x:c>
      <x:c r="E1951" t="str">
        <x:f>'Release Gates'!I1925</x:f>
        <x:v>OPEN</x:v>
      </x:c>
      <x:c r="F1951" t="str">
        <x:f>IF('Release Gates'!C1925="PLANNING","PASS",IF('Release Gates'!C1925="PHYSICAL","OPEN","BLOCKED"))</x:f>
        <x:v>OPEN</x:v>
      </x:c>
      <x:c r="G1951" t="str">
        <x:v>equals</x:v>
      </x:c>
      <x:c r="H1951" t="str">
        <x:f>IF(E1951=F1951,"PASS","FAIL")</x:f>
        <x:v>PASS</x:v>
      </x:c>
    </x:row>
    <x:row r="1952">
      <x:c r="B1952" t="str">
        <x:v>A-01920</x:v>
      </x:c>
      <x:c r="C1952" t="str">
        <x:v>GATE</x:v>
      </x:c>
      <x:c r="D1952" t="str">
        <x:v>release state mirrors governing ledger</x:v>
      </x:c>
      <x:c r="E1952" t="str">
        <x:f>'Release Gates'!I1926</x:f>
        <x:v>OPEN</x:v>
      </x:c>
      <x:c r="F1952" t="str">
        <x:f>IF('Release Gates'!C1926="PLANNING","PASS",IF('Release Gates'!C1926="PHYSICAL","OPEN","BLOCKED"))</x:f>
        <x:v>OPEN</x:v>
      </x:c>
      <x:c r="G1952" t="str">
        <x:v>equals</x:v>
      </x:c>
      <x:c r="H1952" t="str">
        <x:f>IF(E1952=F1952,"PASS","FAIL")</x:f>
        <x:v>PASS</x:v>
      </x:c>
    </x:row>
    <x:row r="1953">
      <x:c r="B1953" t="str">
        <x:v>A-01921</x:v>
      </x:c>
      <x:c r="C1953" t="str">
        <x:v>GATE</x:v>
      </x:c>
      <x:c r="D1953" t="str">
        <x:v>release state mirrors governing ledger</x:v>
      </x:c>
      <x:c r="E1953" t="str">
        <x:f>'Release Gates'!I1927</x:f>
        <x:v>OPEN</x:v>
      </x:c>
      <x:c r="F1953" t="str">
        <x:f>IF('Release Gates'!C1927="PLANNING","PASS",IF('Release Gates'!C1927="PHYSICAL","OPEN","BLOCKED"))</x:f>
        <x:v>OPEN</x:v>
      </x:c>
      <x:c r="G1953" t="str">
        <x:v>equals</x:v>
      </x:c>
      <x:c r="H1953" t="str">
        <x:f>IF(E1953=F1953,"PASS","FAIL")</x:f>
        <x:v>PASS</x:v>
      </x:c>
    </x:row>
    <x:row r="1954">
      <x:c r="B1954" t="str">
        <x:v>A-01922</x:v>
      </x:c>
      <x:c r="C1954" t="str">
        <x:v>GATE</x:v>
      </x:c>
      <x:c r="D1954" t="str">
        <x:v>release state mirrors governing ledger</x:v>
      </x:c>
      <x:c r="E1954" t="str">
        <x:f>'Release Gates'!I1928</x:f>
        <x:v>OPEN</x:v>
      </x:c>
      <x:c r="F1954" t="str">
        <x:f>IF('Release Gates'!C1928="PLANNING","PASS",IF('Release Gates'!C1928="PHYSICAL","OPEN","BLOCKED"))</x:f>
        <x:v>OPEN</x:v>
      </x:c>
      <x:c r="G1954" t="str">
        <x:v>equals</x:v>
      </x:c>
      <x:c r="H1954" t="str">
        <x:f>IF(E1954=F1954,"PASS","FAIL")</x:f>
        <x:v>PASS</x:v>
      </x:c>
    </x:row>
    <x:row r="1955">
      <x:c r="B1955" t="str">
        <x:v>A-01923</x:v>
      </x:c>
      <x:c r="C1955" t="str">
        <x:v>GATE</x:v>
      </x:c>
      <x:c r="D1955" t="str">
        <x:v>release state mirrors governing ledger</x:v>
      </x:c>
      <x:c r="E1955" t="str">
        <x:f>'Release Gates'!I1929</x:f>
        <x:v>OPEN</x:v>
      </x:c>
      <x:c r="F1955" t="str">
        <x:f>IF('Release Gates'!C1929="PLANNING","PASS",IF('Release Gates'!C1929="PHYSICAL","OPEN","BLOCKED"))</x:f>
        <x:v>OPEN</x:v>
      </x:c>
      <x:c r="G1955" t="str">
        <x:v>equals</x:v>
      </x:c>
      <x:c r="H1955" t="str">
        <x:f>IF(E1955=F1955,"PASS","FAIL")</x:f>
        <x:v>PASS</x:v>
      </x:c>
    </x:row>
    <x:row r="1956">
      <x:c r="B1956" t="str">
        <x:v>A-01924</x:v>
      </x:c>
      <x:c r="C1956" t="str">
        <x:v>GATE</x:v>
      </x:c>
      <x:c r="D1956" t="str">
        <x:v>release state mirrors governing ledger</x:v>
      </x:c>
      <x:c r="E1956" t="str">
        <x:f>'Release Gates'!I1930</x:f>
        <x:v>OPEN</x:v>
      </x:c>
      <x:c r="F1956" t="str">
        <x:f>IF('Release Gates'!C1930="PLANNING","PASS",IF('Release Gates'!C1930="PHYSICAL","OPEN","BLOCKED"))</x:f>
        <x:v>OPEN</x:v>
      </x:c>
      <x:c r="G1956" t="str">
        <x:v>equals</x:v>
      </x:c>
      <x:c r="H1956" t="str">
        <x:f>IF(E1956=F1956,"PASS","FAIL")</x:f>
        <x:v>PASS</x:v>
      </x:c>
    </x:row>
    <x:row r="1957">
      <x:c r="B1957" t="str">
        <x:v>A-01925</x:v>
      </x:c>
      <x:c r="C1957" t="str">
        <x:v>GATE</x:v>
      </x:c>
      <x:c r="D1957" t="str">
        <x:v>release state mirrors governing ledger</x:v>
      </x:c>
      <x:c r="E1957" t="str">
        <x:f>'Release Gates'!I1931</x:f>
        <x:v>OPEN</x:v>
      </x:c>
      <x:c r="F1957" t="str">
        <x:f>IF('Release Gates'!C1931="PLANNING","PASS",IF('Release Gates'!C1931="PHYSICAL","OPEN","BLOCKED"))</x:f>
        <x:v>OPEN</x:v>
      </x:c>
      <x:c r="G1957" t="str">
        <x:v>equals</x:v>
      </x:c>
      <x:c r="H1957" t="str">
        <x:f>IF(E1957=F1957,"PASS","FAIL")</x:f>
        <x:v>PASS</x:v>
      </x:c>
    </x:row>
    <x:row r="1958">
      <x:c r="B1958" t="str">
        <x:v>A-01926</x:v>
      </x:c>
      <x:c r="C1958" t="str">
        <x:v>GATE</x:v>
      </x:c>
      <x:c r="D1958" t="str">
        <x:v>release state mirrors governing ledger</x:v>
      </x:c>
      <x:c r="E1958" t="str">
        <x:f>'Release Gates'!I1932</x:f>
        <x:v>OPEN</x:v>
      </x:c>
      <x:c r="F1958" t="str">
        <x:f>IF('Release Gates'!C1932="PLANNING","PASS",IF('Release Gates'!C1932="PHYSICAL","OPEN","BLOCKED"))</x:f>
        <x:v>OPEN</x:v>
      </x:c>
      <x:c r="G1958" t="str">
        <x:v>equals</x:v>
      </x:c>
      <x:c r="H1958" t="str">
        <x:f>IF(E1958=F1958,"PASS","FAIL")</x:f>
        <x:v>PASS</x:v>
      </x:c>
    </x:row>
    <x:row r="1959">
      <x:c r="B1959" t="str">
        <x:v>A-01927</x:v>
      </x:c>
      <x:c r="C1959" t="str">
        <x:v>GATE</x:v>
      </x:c>
      <x:c r="D1959" t="str">
        <x:v>release state mirrors governing ledger</x:v>
      </x:c>
      <x:c r="E1959" t="str">
        <x:f>'Release Gates'!I1933</x:f>
        <x:v>OPEN</x:v>
      </x:c>
      <x:c r="F1959" t="str">
        <x:f>IF('Release Gates'!C1933="PLANNING","PASS",IF('Release Gates'!C1933="PHYSICAL","OPEN","BLOCKED"))</x:f>
        <x:v>OPEN</x:v>
      </x:c>
      <x:c r="G1959" t="str">
        <x:v>equals</x:v>
      </x:c>
      <x:c r="H1959" t="str">
        <x:f>IF(E1959=F1959,"PASS","FAIL")</x:f>
        <x:v>PASS</x:v>
      </x:c>
    </x:row>
    <x:row r="1960">
      <x:c r="B1960" t="str">
        <x:v>A-01928</x:v>
      </x:c>
      <x:c r="C1960" t="str">
        <x:v>GATE</x:v>
      </x:c>
      <x:c r="D1960" t="str">
        <x:v>release state mirrors governing ledger</x:v>
      </x:c>
      <x:c r="E1960" t="str">
        <x:f>'Release Gates'!I1934</x:f>
        <x:v>OPEN</x:v>
      </x:c>
      <x:c r="F1960" t="str">
        <x:f>IF('Release Gates'!C1934="PLANNING","PASS",IF('Release Gates'!C1934="PHYSICAL","OPEN","BLOCKED"))</x:f>
        <x:v>OPEN</x:v>
      </x:c>
      <x:c r="G1960" t="str">
        <x:v>equals</x:v>
      </x:c>
      <x:c r="H1960" t="str">
        <x:f>IF(E1960=F1960,"PASS","FAIL")</x:f>
        <x:v>PASS</x:v>
      </x:c>
    </x:row>
    <x:row r="1961">
      <x:c r="B1961" t="str">
        <x:v>A-01929</x:v>
      </x:c>
      <x:c r="C1961" t="str">
        <x:v>GATE</x:v>
      </x:c>
      <x:c r="D1961" t="str">
        <x:v>release state mirrors governing ledger</x:v>
      </x:c>
      <x:c r="E1961" t="str">
        <x:f>'Release Gates'!I1935</x:f>
        <x:v>OPEN</x:v>
      </x:c>
      <x:c r="F1961" t="str">
        <x:f>IF('Release Gates'!C1935="PLANNING","PASS",IF('Release Gates'!C1935="PHYSICAL","OPEN","BLOCKED"))</x:f>
        <x:v>OPEN</x:v>
      </x:c>
      <x:c r="G1961" t="str">
        <x:v>equals</x:v>
      </x:c>
      <x:c r="H1961" t="str">
        <x:f>IF(E1961=F1961,"PASS","FAIL")</x:f>
        <x:v>PASS</x:v>
      </x:c>
    </x:row>
    <x:row r="1962">
      <x:c r="B1962" t="str">
        <x:v>A-01930</x:v>
      </x:c>
      <x:c r="C1962" t="str">
        <x:v>GATE</x:v>
      </x:c>
      <x:c r="D1962" t="str">
        <x:v>release state mirrors governing ledger</x:v>
      </x:c>
      <x:c r="E1962" t="str">
        <x:f>'Release Gates'!I1936</x:f>
        <x:v>OPEN</x:v>
      </x:c>
      <x:c r="F1962" t="str">
        <x:f>IF('Release Gates'!C1936="PLANNING","PASS",IF('Release Gates'!C1936="PHYSICAL","OPEN","BLOCKED"))</x:f>
        <x:v>OPEN</x:v>
      </x:c>
      <x:c r="G1962" t="str">
        <x:v>equals</x:v>
      </x:c>
      <x:c r="H1962" t="str">
        <x:f>IF(E1962=F1962,"PASS","FAIL")</x:f>
        <x:v>PASS</x:v>
      </x:c>
    </x:row>
    <x:row r="1963">
      <x:c r="B1963" t="str">
        <x:v>A-01931</x:v>
      </x:c>
      <x:c r="C1963" t="str">
        <x:v>GATE</x:v>
      </x:c>
      <x:c r="D1963" t="str">
        <x:v>release state mirrors governing ledger</x:v>
      </x:c>
      <x:c r="E1963" t="str">
        <x:f>'Release Gates'!I1937</x:f>
        <x:v>OPEN</x:v>
      </x:c>
      <x:c r="F1963" t="str">
        <x:f>IF('Release Gates'!C1937="PLANNING","PASS",IF('Release Gates'!C1937="PHYSICAL","OPEN","BLOCKED"))</x:f>
        <x:v>OPEN</x:v>
      </x:c>
      <x:c r="G1963" t="str">
        <x:v>equals</x:v>
      </x:c>
      <x:c r="H1963" t="str">
        <x:f>IF(E1963=F1963,"PASS","FAIL")</x:f>
        <x:v>PASS</x:v>
      </x:c>
    </x:row>
    <x:row r="1964">
      <x:c r="B1964" t="str">
        <x:v>A-01932</x:v>
      </x:c>
      <x:c r="C1964" t="str">
        <x:v>GATE</x:v>
      </x:c>
      <x:c r="D1964" t="str">
        <x:v>release state mirrors governing ledger</x:v>
      </x:c>
      <x:c r="E1964" t="str">
        <x:f>'Release Gates'!I1938</x:f>
        <x:v>OPEN</x:v>
      </x:c>
      <x:c r="F1964" t="str">
        <x:f>IF('Release Gates'!C1938="PLANNING","PASS",IF('Release Gates'!C1938="PHYSICAL","OPEN","BLOCKED"))</x:f>
        <x:v>OPEN</x:v>
      </x:c>
      <x:c r="G1964" t="str">
        <x:v>equals</x:v>
      </x:c>
      <x:c r="H1964" t="str">
        <x:f>IF(E1964=F1964,"PASS","FAIL")</x:f>
        <x:v>PASS</x:v>
      </x:c>
    </x:row>
    <x:row r="1965">
      <x:c r="B1965" t="str">
        <x:v>A-01933</x:v>
      </x:c>
      <x:c r="C1965" t="str">
        <x:v>GATE</x:v>
      </x:c>
      <x:c r="D1965" t="str">
        <x:v>release state mirrors governing ledger</x:v>
      </x:c>
      <x:c r="E1965" t="str">
        <x:f>'Release Gates'!I1939</x:f>
        <x:v>OPEN</x:v>
      </x:c>
      <x:c r="F1965" t="str">
        <x:f>IF('Release Gates'!C1939="PLANNING","PASS",IF('Release Gates'!C1939="PHYSICAL","OPEN","BLOCKED"))</x:f>
        <x:v>OPEN</x:v>
      </x:c>
      <x:c r="G1965" t="str">
        <x:v>equals</x:v>
      </x:c>
      <x:c r="H1965" t="str">
        <x:f>IF(E1965=F1965,"PASS","FAIL")</x:f>
        <x:v>PASS</x:v>
      </x:c>
    </x:row>
    <x:row r="1966">
      <x:c r="B1966" t="str">
        <x:v>A-01934</x:v>
      </x:c>
      <x:c r="C1966" t="str">
        <x:v>GATE</x:v>
      </x:c>
      <x:c r="D1966" t="str">
        <x:v>release state mirrors governing ledger</x:v>
      </x:c>
      <x:c r="E1966" t="str">
        <x:f>'Release Gates'!I1940</x:f>
        <x:v>OPEN</x:v>
      </x:c>
      <x:c r="F1966" t="str">
        <x:f>IF('Release Gates'!C1940="PLANNING","PASS",IF('Release Gates'!C1940="PHYSICAL","OPEN","BLOCKED"))</x:f>
        <x:v>OPEN</x:v>
      </x:c>
      <x:c r="G1966" t="str">
        <x:v>equals</x:v>
      </x:c>
      <x:c r="H1966" t="str">
        <x:f>IF(E1966=F1966,"PASS","FAIL")</x:f>
        <x:v>PASS</x:v>
      </x:c>
    </x:row>
    <x:row r="1967">
      <x:c r="B1967" t="str">
        <x:v>A-01935</x:v>
      </x:c>
      <x:c r="C1967" t="str">
        <x:v>GATE</x:v>
      </x:c>
      <x:c r="D1967" t="str">
        <x:v>release state mirrors governing ledger</x:v>
      </x:c>
      <x:c r="E1967" t="str">
        <x:f>'Release Gates'!I1941</x:f>
        <x:v>OPEN</x:v>
      </x:c>
      <x:c r="F1967" t="str">
        <x:f>IF('Release Gates'!C1941="PLANNING","PASS",IF('Release Gates'!C1941="PHYSICAL","OPEN","BLOCKED"))</x:f>
        <x:v>OPEN</x:v>
      </x:c>
      <x:c r="G1967" t="str">
        <x:v>equals</x:v>
      </x:c>
      <x:c r="H1967" t="str">
        <x:f>IF(E1967=F1967,"PASS","FAIL")</x:f>
        <x:v>PASS</x:v>
      </x:c>
    </x:row>
    <x:row r="1968">
      <x:c r="B1968" t="str">
        <x:v>A-01936</x:v>
      </x:c>
      <x:c r="C1968" t="str">
        <x:v>GATE</x:v>
      </x:c>
      <x:c r="D1968" t="str">
        <x:v>release state mirrors governing ledger</x:v>
      </x:c>
      <x:c r="E1968" t="str">
        <x:f>'Release Gates'!I1942</x:f>
        <x:v>OPEN</x:v>
      </x:c>
      <x:c r="F1968" t="str">
        <x:f>IF('Release Gates'!C1942="PLANNING","PASS",IF('Release Gates'!C1942="PHYSICAL","OPEN","BLOCKED"))</x:f>
        <x:v>OPEN</x:v>
      </x:c>
      <x:c r="G1968" t="str">
        <x:v>equals</x:v>
      </x:c>
      <x:c r="H1968" t="str">
        <x:f>IF(E1968=F1968,"PASS","FAIL")</x:f>
        <x:v>PASS</x:v>
      </x:c>
    </x:row>
    <x:row r="1969">
      <x:c r="B1969" t="str">
        <x:v>A-01937</x:v>
      </x:c>
      <x:c r="C1969" t="str">
        <x:v>GATE</x:v>
      </x:c>
      <x:c r="D1969" t="str">
        <x:v>release state mirrors governing ledger</x:v>
      </x:c>
      <x:c r="E1969" t="str">
        <x:f>'Release Gates'!I1943</x:f>
        <x:v>OPEN</x:v>
      </x:c>
      <x:c r="F1969" t="str">
        <x:f>IF('Release Gates'!C1943="PLANNING","PASS",IF('Release Gates'!C1943="PHYSICAL","OPEN","BLOCKED"))</x:f>
        <x:v>OPEN</x:v>
      </x:c>
      <x:c r="G1969" t="str">
        <x:v>equals</x:v>
      </x:c>
      <x:c r="H1969" t="str">
        <x:f>IF(E1969=F1969,"PASS","FAIL")</x:f>
        <x:v>PASS</x:v>
      </x:c>
    </x:row>
    <x:row r="1970">
      <x:c r="B1970" t="str">
        <x:v>A-01938</x:v>
      </x:c>
      <x:c r="C1970" t="str">
        <x:v>GATE</x:v>
      </x:c>
      <x:c r="D1970" t="str">
        <x:v>release state mirrors governing ledger</x:v>
      </x:c>
      <x:c r="E1970" t="str">
        <x:f>'Release Gates'!I1944</x:f>
        <x:v>OPEN</x:v>
      </x:c>
      <x:c r="F1970" t="str">
        <x:f>IF('Release Gates'!C1944="PLANNING","PASS",IF('Release Gates'!C1944="PHYSICAL","OPEN","BLOCKED"))</x:f>
        <x:v>OPEN</x:v>
      </x:c>
      <x:c r="G1970" t="str">
        <x:v>equals</x:v>
      </x:c>
      <x:c r="H1970" t="str">
        <x:f>IF(E1970=F1970,"PASS","FAIL")</x:f>
        <x:v>PASS</x:v>
      </x:c>
    </x:row>
    <x:row r="1971">
      <x:c r="B1971" t="str">
        <x:v>A-01939</x:v>
      </x:c>
      <x:c r="C1971" t="str">
        <x:v>GATE</x:v>
      </x:c>
      <x:c r="D1971" t="str">
        <x:v>release state mirrors governing ledger</x:v>
      </x:c>
      <x:c r="E1971" t="str">
        <x:f>'Release Gates'!I1945</x:f>
        <x:v>OPEN</x:v>
      </x:c>
      <x:c r="F1971" t="str">
        <x:f>IF('Release Gates'!C1945="PLANNING","PASS",IF('Release Gates'!C1945="PHYSICAL","OPEN","BLOCKED"))</x:f>
        <x:v>OPEN</x:v>
      </x:c>
      <x:c r="G1971" t="str">
        <x:v>equals</x:v>
      </x:c>
      <x:c r="H1971" t="str">
        <x:f>IF(E1971=F1971,"PASS","FAIL")</x:f>
        <x:v>PASS</x:v>
      </x:c>
    </x:row>
    <x:row r="1972">
      <x:c r="B1972" t="str">
        <x:v>A-01940</x:v>
      </x:c>
      <x:c r="C1972" t="str">
        <x:v>GATE</x:v>
      </x:c>
      <x:c r="D1972" t="str">
        <x:v>release state mirrors governing ledger</x:v>
      </x:c>
      <x:c r="E1972" t="str">
        <x:f>'Release Gates'!I1946</x:f>
        <x:v>OPEN</x:v>
      </x:c>
      <x:c r="F1972" t="str">
        <x:f>IF('Release Gates'!C1946="PLANNING","PASS",IF('Release Gates'!C1946="PHYSICAL","OPEN","BLOCKED"))</x:f>
        <x:v>OPEN</x:v>
      </x:c>
      <x:c r="G1972" t="str">
        <x:v>equals</x:v>
      </x:c>
      <x:c r="H1972" t="str">
        <x:f>IF(E1972=F1972,"PASS","FAIL")</x:f>
        <x:v>PASS</x:v>
      </x:c>
    </x:row>
    <x:row r="1973">
      <x:c r="B1973" t="str">
        <x:v>A-01941</x:v>
      </x:c>
      <x:c r="C1973" t="str">
        <x:v>GATE</x:v>
      </x:c>
      <x:c r="D1973" t="str">
        <x:v>release state mirrors governing ledger</x:v>
      </x:c>
      <x:c r="E1973" t="str">
        <x:f>'Release Gates'!I1947</x:f>
        <x:v>OPEN</x:v>
      </x:c>
      <x:c r="F1973" t="str">
        <x:f>IF('Release Gates'!C1947="PLANNING","PASS",IF('Release Gates'!C1947="PHYSICAL","OPEN","BLOCKED"))</x:f>
        <x:v>OPEN</x:v>
      </x:c>
      <x:c r="G1973" t="str">
        <x:v>equals</x:v>
      </x:c>
      <x:c r="H1973" t="str">
        <x:f>IF(E1973=F1973,"PASS","FAIL")</x:f>
        <x:v>PASS</x:v>
      </x:c>
    </x:row>
    <x:row r="1974">
      <x:c r="B1974" t="str">
        <x:v>A-01942</x:v>
      </x:c>
      <x:c r="C1974" t="str">
        <x:v>GATE</x:v>
      </x:c>
      <x:c r="D1974" t="str">
        <x:v>release state mirrors governing ledger</x:v>
      </x:c>
      <x:c r="E1974" t="str">
        <x:f>'Release Gates'!I1948</x:f>
        <x:v>OPEN</x:v>
      </x:c>
      <x:c r="F1974" t="str">
        <x:f>IF('Release Gates'!C1948="PLANNING","PASS",IF('Release Gates'!C1948="PHYSICAL","OPEN","BLOCKED"))</x:f>
        <x:v>OPEN</x:v>
      </x:c>
      <x:c r="G1974" t="str">
        <x:v>equals</x:v>
      </x:c>
      <x:c r="H1974" t="str">
        <x:f>IF(E1974=F1974,"PASS","FAIL")</x:f>
        <x:v>PASS</x:v>
      </x:c>
    </x:row>
    <x:row r="1975">
      <x:c r="B1975" t="str">
        <x:v>A-01943</x:v>
      </x:c>
      <x:c r="C1975" t="str">
        <x:v>GATE</x:v>
      </x:c>
      <x:c r="D1975" t="str">
        <x:v>release state mirrors governing ledger</x:v>
      </x:c>
      <x:c r="E1975" t="str">
        <x:f>'Release Gates'!I1949</x:f>
        <x:v>OPEN</x:v>
      </x:c>
      <x:c r="F1975" t="str">
        <x:f>IF('Release Gates'!C1949="PLANNING","PASS",IF('Release Gates'!C1949="PHYSICAL","OPEN","BLOCKED"))</x:f>
        <x:v>OPEN</x:v>
      </x:c>
      <x:c r="G1975" t="str">
        <x:v>equals</x:v>
      </x:c>
      <x:c r="H1975" t="str">
        <x:f>IF(E1975=F1975,"PASS","FAIL")</x:f>
        <x:v>PASS</x:v>
      </x:c>
    </x:row>
    <x:row r="1976">
      <x:c r="B1976" t="str">
        <x:v>A-01944</x:v>
      </x:c>
      <x:c r="C1976" t="str">
        <x:v>GATE</x:v>
      </x:c>
      <x:c r="D1976" t="str">
        <x:v>release state mirrors governing ledger</x:v>
      </x:c>
      <x:c r="E1976" t="str">
        <x:f>'Release Gates'!I1950</x:f>
        <x:v>OPEN</x:v>
      </x:c>
      <x:c r="F1976" t="str">
        <x:f>IF('Release Gates'!C1950="PLANNING","PASS",IF('Release Gates'!C1950="PHYSICAL","OPEN","BLOCKED"))</x:f>
        <x:v>OPEN</x:v>
      </x:c>
      <x:c r="G1976" t="str">
        <x:v>equals</x:v>
      </x:c>
      <x:c r="H1976" t="str">
        <x:f>IF(E1976=F1976,"PASS","FAIL")</x:f>
        <x:v>PASS</x:v>
      </x:c>
    </x:row>
    <x:row r="1977">
      <x:c r="B1977" t="str">
        <x:v>A-01945</x:v>
      </x:c>
      <x:c r="C1977" t="str">
        <x:v>GATE</x:v>
      </x:c>
      <x:c r="D1977" t="str">
        <x:v>release state mirrors governing ledger</x:v>
      </x:c>
      <x:c r="E1977" t="str">
        <x:f>'Release Gates'!I1951</x:f>
        <x:v>OPEN</x:v>
      </x:c>
      <x:c r="F1977" t="str">
        <x:f>IF('Release Gates'!C1951="PLANNING","PASS",IF('Release Gates'!C1951="PHYSICAL","OPEN","BLOCKED"))</x:f>
        <x:v>OPEN</x:v>
      </x:c>
      <x:c r="G1977" t="str">
        <x:v>equals</x:v>
      </x:c>
      <x:c r="H1977" t="str">
        <x:f>IF(E1977=F1977,"PASS","FAIL")</x:f>
        <x:v>PASS</x:v>
      </x:c>
    </x:row>
    <x:row r="1978">
      <x:c r="B1978" t="str">
        <x:v>A-01946</x:v>
      </x:c>
      <x:c r="C1978" t="str">
        <x:v>GATE</x:v>
      </x:c>
      <x:c r="D1978" t="str">
        <x:v>release state mirrors governing ledger</x:v>
      </x:c>
      <x:c r="E1978" t="str">
        <x:f>'Release Gates'!I1952</x:f>
        <x:v>OPEN</x:v>
      </x:c>
      <x:c r="F1978" t="str">
        <x:f>IF('Release Gates'!C1952="PLANNING","PASS",IF('Release Gates'!C1952="PHYSICAL","OPEN","BLOCKED"))</x:f>
        <x:v>OPEN</x:v>
      </x:c>
      <x:c r="G1978" t="str">
        <x:v>equals</x:v>
      </x:c>
      <x:c r="H1978" t="str">
        <x:f>IF(E1978=F1978,"PASS","FAIL")</x:f>
        <x:v>PASS</x:v>
      </x:c>
    </x:row>
    <x:row r="1979">
      <x:c r="B1979" t="str">
        <x:v>A-01947</x:v>
      </x:c>
      <x:c r="C1979" t="str">
        <x:v>GATE</x:v>
      </x:c>
      <x:c r="D1979" t="str">
        <x:v>release state mirrors governing ledger</x:v>
      </x:c>
      <x:c r="E1979" t="str">
        <x:f>'Release Gates'!I1953</x:f>
        <x:v>OPEN</x:v>
      </x:c>
      <x:c r="F1979" t="str">
        <x:f>IF('Release Gates'!C1953="PLANNING","PASS",IF('Release Gates'!C1953="PHYSICAL","OPEN","BLOCKED"))</x:f>
        <x:v>OPEN</x:v>
      </x:c>
      <x:c r="G1979" t="str">
        <x:v>equals</x:v>
      </x:c>
      <x:c r="H1979" t="str">
        <x:f>IF(E1979=F1979,"PASS","FAIL")</x:f>
        <x:v>PASS</x:v>
      </x:c>
    </x:row>
    <x:row r="1980">
      <x:c r="B1980" t="str">
        <x:v>A-01948</x:v>
      </x:c>
      <x:c r="C1980" t="str">
        <x:v>GATE</x:v>
      </x:c>
      <x:c r="D1980" t="str">
        <x:v>release state mirrors governing ledger</x:v>
      </x:c>
      <x:c r="E1980" t="str">
        <x:f>'Release Gates'!I1954</x:f>
        <x:v>OPEN</x:v>
      </x:c>
      <x:c r="F1980" t="str">
        <x:f>IF('Release Gates'!C1954="PLANNING","PASS",IF('Release Gates'!C1954="PHYSICAL","OPEN","BLOCKED"))</x:f>
        <x:v>OPEN</x:v>
      </x:c>
      <x:c r="G1980" t="str">
        <x:v>equals</x:v>
      </x:c>
      <x:c r="H1980" t="str">
        <x:f>IF(E1980=F1980,"PASS","FAIL")</x:f>
        <x:v>PASS</x:v>
      </x:c>
    </x:row>
    <x:row r="1981">
      <x:c r="B1981" t="str">
        <x:v>A-01949</x:v>
      </x:c>
      <x:c r="C1981" t="str">
        <x:v>GATE</x:v>
      </x:c>
      <x:c r="D1981" t="str">
        <x:v>release state mirrors governing ledger</x:v>
      </x:c>
      <x:c r="E1981" t="str">
        <x:f>'Release Gates'!I1955</x:f>
        <x:v>OPEN</x:v>
      </x:c>
      <x:c r="F1981" t="str">
        <x:f>IF('Release Gates'!C1955="PLANNING","PASS",IF('Release Gates'!C1955="PHYSICAL","OPEN","BLOCKED"))</x:f>
        <x:v>OPEN</x:v>
      </x:c>
      <x:c r="G1981" t="str">
        <x:v>equals</x:v>
      </x:c>
      <x:c r="H1981" t="str">
        <x:f>IF(E1981=F1981,"PASS","FAIL")</x:f>
        <x:v>PASS</x:v>
      </x:c>
    </x:row>
    <x:row r="1982">
      <x:c r="B1982" t="str">
        <x:v>A-01950</x:v>
      </x:c>
      <x:c r="C1982" t="str">
        <x:v>GATE</x:v>
      </x:c>
      <x:c r="D1982" t="str">
        <x:v>release state mirrors governing ledger</x:v>
      </x:c>
      <x:c r="E1982" t="str">
        <x:f>'Release Gates'!I1956</x:f>
        <x:v>OPEN</x:v>
      </x:c>
      <x:c r="F1982" t="str">
        <x:f>IF('Release Gates'!C1956="PLANNING","PASS",IF('Release Gates'!C1956="PHYSICAL","OPEN","BLOCKED"))</x:f>
        <x:v>OPEN</x:v>
      </x:c>
      <x:c r="G1982" t="str">
        <x:v>equals</x:v>
      </x:c>
      <x:c r="H1982" t="str">
        <x:f>IF(E1982=F1982,"PASS","FAIL")</x:f>
        <x:v>PASS</x:v>
      </x:c>
    </x:row>
    <x:row r="1983">
      <x:c r="B1983" t="str">
        <x:v>A-01951</x:v>
      </x:c>
      <x:c r="C1983" t="str">
        <x:v>GATE</x:v>
      </x:c>
      <x:c r="D1983" t="str">
        <x:v>release state mirrors governing ledger</x:v>
      </x:c>
      <x:c r="E1983" t="str">
        <x:f>'Release Gates'!I1957</x:f>
        <x:v>OPEN</x:v>
      </x:c>
      <x:c r="F1983" t="str">
        <x:f>IF('Release Gates'!C1957="PLANNING","PASS",IF('Release Gates'!C1957="PHYSICAL","OPEN","BLOCKED"))</x:f>
        <x:v>OPEN</x:v>
      </x:c>
      <x:c r="G1983" t="str">
        <x:v>equals</x:v>
      </x:c>
      <x:c r="H1983" t="str">
        <x:f>IF(E1983=F1983,"PASS","FAIL")</x:f>
        <x:v>PASS</x:v>
      </x:c>
    </x:row>
    <x:row r="1984">
      <x:c r="B1984" t="str">
        <x:v>A-01952</x:v>
      </x:c>
      <x:c r="C1984" t="str">
        <x:v>GATE</x:v>
      </x:c>
      <x:c r="D1984" t="str">
        <x:v>release state mirrors governing ledger</x:v>
      </x:c>
      <x:c r="E1984" t="str">
        <x:f>'Release Gates'!I1958</x:f>
        <x:v>OPEN</x:v>
      </x:c>
      <x:c r="F1984" t="str">
        <x:f>IF('Release Gates'!C1958="PLANNING","PASS",IF('Release Gates'!C1958="PHYSICAL","OPEN","BLOCKED"))</x:f>
        <x:v>OPEN</x:v>
      </x:c>
      <x:c r="G1984" t="str">
        <x:v>equals</x:v>
      </x:c>
      <x:c r="H1984" t="str">
        <x:f>IF(E1984=F1984,"PASS","FAIL")</x:f>
        <x:v>PASS</x:v>
      </x:c>
    </x:row>
    <x:row r="1985">
      <x:c r="B1985" t="str">
        <x:v>A-01953</x:v>
      </x:c>
      <x:c r="C1985" t="str">
        <x:v>GATE</x:v>
      </x:c>
      <x:c r="D1985" t="str">
        <x:v>release state mirrors governing ledger</x:v>
      </x:c>
      <x:c r="E1985" t="str">
        <x:f>'Release Gates'!I1959</x:f>
        <x:v>OPEN</x:v>
      </x:c>
      <x:c r="F1985" t="str">
        <x:f>IF('Release Gates'!C1959="PLANNING","PASS",IF('Release Gates'!C1959="PHYSICAL","OPEN","BLOCKED"))</x:f>
        <x:v>OPEN</x:v>
      </x:c>
      <x:c r="G1985" t="str">
        <x:v>equals</x:v>
      </x:c>
      <x:c r="H1985" t="str">
        <x:f>IF(E1985=F1985,"PASS","FAIL")</x:f>
        <x:v>PASS</x:v>
      </x:c>
    </x:row>
    <x:row r="1986">
      <x:c r="B1986" t="str">
        <x:v>A-01954</x:v>
      </x:c>
      <x:c r="C1986" t="str">
        <x:v>GATE</x:v>
      </x:c>
      <x:c r="D1986" t="str">
        <x:v>release state mirrors governing ledger</x:v>
      </x:c>
      <x:c r="E1986" t="str">
        <x:f>'Release Gates'!I1960</x:f>
        <x:v>OPEN</x:v>
      </x:c>
      <x:c r="F1986" t="str">
        <x:f>IF('Release Gates'!C1960="PLANNING","PASS",IF('Release Gates'!C1960="PHYSICAL","OPEN","BLOCKED"))</x:f>
        <x:v>OPEN</x:v>
      </x:c>
      <x:c r="G1986" t="str">
        <x:v>equals</x:v>
      </x:c>
      <x:c r="H1986" t="str">
        <x:f>IF(E1986=F1986,"PASS","FAIL")</x:f>
        <x:v>PASS</x:v>
      </x:c>
    </x:row>
    <x:row r="1987">
      <x:c r="B1987" t="str">
        <x:v>A-01955</x:v>
      </x:c>
      <x:c r="C1987" t="str">
        <x:v>GATE</x:v>
      </x:c>
      <x:c r="D1987" t="str">
        <x:v>release state mirrors governing ledger</x:v>
      </x:c>
      <x:c r="E1987" t="str">
        <x:f>'Release Gates'!I1961</x:f>
        <x:v>OPEN</x:v>
      </x:c>
      <x:c r="F1987" t="str">
        <x:f>IF('Release Gates'!C1961="PLANNING","PASS",IF('Release Gates'!C1961="PHYSICAL","OPEN","BLOCKED"))</x:f>
        <x:v>OPEN</x:v>
      </x:c>
      <x:c r="G1987" t="str">
        <x:v>equals</x:v>
      </x:c>
      <x:c r="H1987" t="str">
        <x:f>IF(E1987=F1987,"PASS","FAIL")</x:f>
        <x:v>PASS</x:v>
      </x:c>
    </x:row>
    <x:row r="1988">
      <x:c r="B1988" t="str">
        <x:v>A-01956</x:v>
      </x:c>
      <x:c r="C1988" t="str">
        <x:v>GATE</x:v>
      </x:c>
      <x:c r="D1988" t="str">
        <x:v>release state mirrors governing ledger</x:v>
      </x:c>
      <x:c r="E1988" t="str">
        <x:f>'Release Gates'!I1962</x:f>
        <x:v>OPEN</x:v>
      </x:c>
      <x:c r="F1988" t="str">
        <x:f>IF('Release Gates'!C1962="PLANNING","PASS",IF('Release Gates'!C1962="PHYSICAL","OPEN","BLOCKED"))</x:f>
        <x:v>OPEN</x:v>
      </x:c>
      <x:c r="G1988" t="str">
        <x:v>equals</x:v>
      </x:c>
      <x:c r="H1988" t="str">
        <x:f>IF(E1988=F1988,"PASS","FAIL")</x:f>
        <x:v>PASS</x:v>
      </x:c>
    </x:row>
    <x:row r="1989">
      <x:c r="B1989" t="str">
        <x:v>A-01957</x:v>
      </x:c>
      <x:c r="C1989" t="str">
        <x:v>GATE</x:v>
      </x:c>
      <x:c r="D1989" t="str">
        <x:v>release state mirrors governing ledger</x:v>
      </x:c>
      <x:c r="E1989" t="str">
        <x:f>'Release Gates'!I1963</x:f>
        <x:v>OPEN</x:v>
      </x:c>
      <x:c r="F1989" t="str">
        <x:f>IF('Release Gates'!C1963="PLANNING","PASS",IF('Release Gates'!C1963="PHYSICAL","OPEN","BLOCKED"))</x:f>
        <x:v>OPEN</x:v>
      </x:c>
      <x:c r="G1989" t="str">
        <x:v>equals</x:v>
      </x:c>
      <x:c r="H1989" t="str">
        <x:f>IF(E1989=F1989,"PASS","FAIL")</x:f>
        <x:v>PASS</x:v>
      </x:c>
    </x:row>
    <x:row r="1990">
      <x:c r="B1990" t="str">
        <x:v>A-01958</x:v>
      </x:c>
      <x:c r="C1990" t="str">
        <x:v>GATE</x:v>
      </x:c>
      <x:c r="D1990" t="str">
        <x:v>release state mirrors governing ledger</x:v>
      </x:c>
      <x:c r="E1990" t="str">
        <x:f>'Release Gates'!I1964</x:f>
        <x:v>OPEN</x:v>
      </x:c>
      <x:c r="F1990" t="str">
        <x:f>IF('Release Gates'!C1964="PLANNING","PASS",IF('Release Gates'!C1964="PHYSICAL","OPEN","BLOCKED"))</x:f>
        <x:v>OPEN</x:v>
      </x:c>
      <x:c r="G1990" t="str">
        <x:v>equals</x:v>
      </x:c>
      <x:c r="H1990" t="str">
        <x:f>IF(E1990=F1990,"PASS","FAIL")</x:f>
        <x:v>PASS</x:v>
      </x:c>
    </x:row>
    <x:row r="1991">
      <x:c r="B1991" t="str">
        <x:v>A-01959</x:v>
      </x:c>
      <x:c r="C1991" t="str">
        <x:v>GATE</x:v>
      </x:c>
      <x:c r="D1991" t="str">
        <x:v>release state mirrors governing ledger</x:v>
      </x:c>
      <x:c r="E1991" t="str">
        <x:f>'Release Gates'!I1965</x:f>
        <x:v>OPEN</x:v>
      </x:c>
      <x:c r="F1991" t="str">
        <x:f>IF('Release Gates'!C1965="PLANNING","PASS",IF('Release Gates'!C1965="PHYSICAL","OPEN","BLOCKED"))</x:f>
        <x:v>OPEN</x:v>
      </x:c>
      <x:c r="G1991" t="str">
        <x:v>equals</x:v>
      </x:c>
      <x:c r="H1991" t="str">
        <x:f>IF(E1991=F1991,"PASS","FAIL")</x:f>
        <x:v>PASS</x:v>
      </x:c>
    </x:row>
    <x:row r="1992">
      <x:c r="B1992" t="str">
        <x:v>A-01960</x:v>
      </x:c>
      <x:c r="C1992" t="str">
        <x:v>GATE</x:v>
      </x:c>
      <x:c r="D1992" t="str">
        <x:v>release state mirrors governing ledger</x:v>
      </x:c>
      <x:c r="E1992" t="str">
        <x:f>'Release Gates'!I1966</x:f>
        <x:v>OPEN</x:v>
      </x:c>
      <x:c r="F1992" t="str">
        <x:f>IF('Release Gates'!C1966="PLANNING","PASS",IF('Release Gates'!C1966="PHYSICAL","OPEN","BLOCKED"))</x:f>
        <x:v>OPEN</x:v>
      </x:c>
      <x:c r="G1992" t="str">
        <x:v>equals</x:v>
      </x:c>
      <x:c r="H1992" t="str">
        <x:f>IF(E1992=F1992,"PASS","FAIL")</x:f>
        <x:v>PASS</x:v>
      </x:c>
    </x:row>
    <x:row r="1993">
      <x:c r="B1993" t="str">
        <x:v>A-01961</x:v>
      </x:c>
      <x:c r="C1993" t="str">
        <x:v>GATE</x:v>
      </x:c>
      <x:c r="D1993" t="str">
        <x:v>release state mirrors governing ledger</x:v>
      </x:c>
      <x:c r="E1993" t="str">
        <x:f>'Release Gates'!I1967</x:f>
        <x:v>OPEN</x:v>
      </x:c>
      <x:c r="F1993" t="str">
        <x:f>IF('Release Gates'!C1967="PLANNING","PASS",IF('Release Gates'!C1967="PHYSICAL","OPEN","BLOCKED"))</x:f>
        <x:v>OPEN</x:v>
      </x:c>
      <x:c r="G1993" t="str">
        <x:v>equals</x:v>
      </x:c>
      <x:c r="H1993" t="str">
        <x:f>IF(E1993=F1993,"PASS","FAIL")</x:f>
        <x:v>PASS</x:v>
      </x:c>
    </x:row>
    <x:row r="1994">
      <x:c r="B1994" t="str">
        <x:v>A-01962</x:v>
      </x:c>
      <x:c r="C1994" t="str">
        <x:v>GATE</x:v>
      </x:c>
      <x:c r="D1994" t="str">
        <x:v>release state mirrors governing ledger</x:v>
      </x:c>
      <x:c r="E1994" t="str">
        <x:f>'Release Gates'!I1968</x:f>
        <x:v>OPEN</x:v>
      </x:c>
      <x:c r="F1994" t="str">
        <x:f>IF('Release Gates'!C1968="PLANNING","PASS",IF('Release Gates'!C1968="PHYSICAL","OPEN","BLOCKED"))</x:f>
        <x:v>OPEN</x:v>
      </x:c>
      <x:c r="G1994" t="str">
        <x:v>equals</x:v>
      </x:c>
      <x:c r="H1994" t="str">
        <x:f>IF(E1994=F1994,"PASS","FAIL")</x:f>
        <x:v>PASS</x:v>
      </x:c>
    </x:row>
    <x:row r="1995">
      <x:c r="B1995" t="str">
        <x:v>A-01963</x:v>
      </x:c>
      <x:c r="C1995" t="str">
        <x:v>GATE</x:v>
      </x:c>
      <x:c r="D1995" t="str">
        <x:v>release state mirrors governing ledger</x:v>
      </x:c>
      <x:c r="E1995" t="str">
        <x:f>'Release Gates'!I1969</x:f>
        <x:v>OPEN</x:v>
      </x:c>
      <x:c r="F1995" t="str">
        <x:f>IF('Release Gates'!C1969="PLANNING","PASS",IF('Release Gates'!C1969="PHYSICAL","OPEN","BLOCKED"))</x:f>
        <x:v>OPEN</x:v>
      </x:c>
      <x:c r="G1995" t="str">
        <x:v>equals</x:v>
      </x:c>
      <x:c r="H1995" t="str">
        <x:f>IF(E1995=F1995,"PASS","FAIL")</x:f>
        <x:v>PASS</x:v>
      </x:c>
    </x:row>
    <x:row r="1996">
      <x:c r="B1996" t="str">
        <x:v>A-01964</x:v>
      </x:c>
      <x:c r="C1996" t="str">
        <x:v>GATE</x:v>
      </x:c>
      <x:c r="D1996" t="str">
        <x:v>release state mirrors governing ledger</x:v>
      </x:c>
      <x:c r="E1996" t="str">
        <x:f>'Release Gates'!I1970</x:f>
        <x:v>OPEN</x:v>
      </x:c>
      <x:c r="F1996" t="str">
        <x:f>IF('Release Gates'!C1970="PLANNING","PASS",IF('Release Gates'!C1970="PHYSICAL","OPEN","BLOCKED"))</x:f>
        <x:v>OPEN</x:v>
      </x:c>
      <x:c r="G1996" t="str">
        <x:v>equals</x:v>
      </x:c>
      <x:c r="H1996" t="str">
        <x:f>IF(E1996=F1996,"PASS","FAIL")</x:f>
        <x:v>PASS</x:v>
      </x:c>
    </x:row>
    <x:row r="1997">
      <x:c r="B1997" t="str">
        <x:v>A-01965</x:v>
      </x:c>
      <x:c r="C1997" t="str">
        <x:v>GATE</x:v>
      </x:c>
      <x:c r="D1997" t="str">
        <x:v>release state mirrors governing ledger</x:v>
      </x:c>
      <x:c r="E1997" t="str">
        <x:f>'Release Gates'!I1971</x:f>
        <x:v>OPEN</x:v>
      </x:c>
      <x:c r="F1997" t="str">
        <x:f>IF('Release Gates'!C1971="PLANNING","PASS",IF('Release Gates'!C1971="PHYSICAL","OPEN","BLOCKED"))</x:f>
        <x:v>OPEN</x:v>
      </x:c>
      <x:c r="G1997" t="str">
        <x:v>equals</x:v>
      </x:c>
      <x:c r="H1997" t="str">
        <x:f>IF(E1997=F1997,"PASS","FAIL")</x:f>
        <x:v>PASS</x:v>
      </x:c>
    </x:row>
    <x:row r="1998">
      <x:c r="B1998" t="str">
        <x:v>A-01966</x:v>
      </x:c>
      <x:c r="C1998" t="str">
        <x:v>GATE</x:v>
      </x:c>
      <x:c r="D1998" t="str">
        <x:v>release state mirrors governing ledger</x:v>
      </x:c>
      <x:c r="E1998" t="str">
        <x:f>'Release Gates'!I1972</x:f>
        <x:v>OPEN</x:v>
      </x:c>
      <x:c r="F1998" t="str">
        <x:f>IF('Release Gates'!C1972="PLANNING","PASS",IF('Release Gates'!C1972="PHYSICAL","OPEN","BLOCKED"))</x:f>
        <x:v>OPEN</x:v>
      </x:c>
      <x:c r="G1998" t="str">
        <x:v>equals</x:v>
      </x:c>
      <x:c r="H1998" t="str">
        <x:f>IF(E1998=F1998,"PASS","FAIL")</x:f>
        <x:v>PASS</x:v>
      </x:c>
    </x:row>
    <x:row r="1999">
      <x:c r="B1999" t="str">
        <x:v>A-01967</x:v>
      </x:c>
      <x:c r="C1999" t="str">
        <x:v>GATE</x:v>
      </x:c>
      <x:c r="D1999" t="str">
        <x:v>release state mirrors governing ledger</x:v>
      </x:c>
      <x:c r="E1999" t="str">
        <x:f>'Release Gates'!I1973</x:f>
        <x:v>OPEN</x:v>
      </x:c>
      <x:c r="F1999" t="str">
        <x:f>IF('Release Gates'!C1973="PLANNING","PASS",IF('Release Gates'!C1973="PHYSICAL","OPEN","BLOCKED"))</x:f>
        <x:v>OPEN</x:v>
      </x:c>
      <x:c r="G1999" t="str">
        <x:v>equals</x:v>
      </x:c>
      <x:c r="H1999" t="str">
        <x:f>IF(E1999=F1999,"PASS","FAIL")</x:f>
        <x:v>PASS</x:v>
      </x:c>
    </x:row>
    <x:row r="2000">
      <x:c r="B2000" t="str">
        <x:v>A-01968</x:v>
      </x:c>
      <x:c r="C2000" t="str">
        <x:v>GATE</x:v>
      </x:c>
      <x:c r="D2000" t="str">
        <x:v>release state mirrors governing ledger</x:v>
      </x:c>
      <x:c r="E2000" t="str">
        <x:f>'Release Gates'!I1974</x:f>
        <x:v>OPEN</x:v>
      </x:c>
      <x:c r="F2000" t="str">
        <x:f>IF('Release Gates'!C1974="PLANNING","PASS",IF('Release Gates'!C1974="PHYSICAL","OPEN","BLOCKED"))</x:f>
        <x:v>OPEN</x:v>
      </x:c>
      <x:c r="G2000" t="str">
        <x:v>equals</x:v>
      </x:c>
      <x:c r="H2000" t="str">
        <x:f>IF(E2000=F2000,"PASS","FAIL")</x:f>
        <x:v>PASS</x:v>
      </x:c>
    </x:row>
    <x:row r="2001">
      <x:c r="B2001" t="str">
        <x:v>A-01969</x:v>
      </x:c>
      <x:c r="C2001" t="str">
        <x:v>GATE</x:v>
      </x:c>
      <x:c r="D2001" t="str">
        <x:v>release state mirrors governing ledger</x:v>
      </x:c>
      <x:c r="E2001" t="str">
        <x:f>'Release Gates'!I1975</x:f>
        <x:v>OPEN</x:v>
      </x:c>
      <x:c r="F2001" t="str">
        <x:f>IF('Release Gates'!C1975="PLANNING","PASS",IF('Release Gates'!C1975="PHYSICAL","OPEN","BLOCKED"))</x:f>
        <x:v>OPEN</x:v>
      </x:c>
      <x:c r="G2001" t="str">
        <x:v>equals</x:v>
      </x:c>
      <x:c r="H2001" t="str">
        <x:f>IF(E2001=F2001,"PASS","FAIL")</x:f>
        <x:v>PASS</x:v>
      </x:c>
    </x:row>
    <x:row r="2002">
      <x:c r="B2002" t="str">
        <x:v>A-01970</x:v>
      </x:c>
      <x:c r="C2002" t="str">
        <x:v>GATE</x:v>
      </x:c>
      <x:c r="D2002" t="str">
        <x:v>release state mirrors governing ledger</x:v>
      </x:c>
      <x:c r="E2002" t="str">
        <x:f>'Release Gates'!I1976</x:f>
        <x:v>OPEN</x:v>
      </x:c>
      <x:c r="F2002" t="str">
        <x:f>IF('Release Gates'!C1976="PLANNING","PASS",IF('Release Gates'!C1976="PHYSICAL","OPEN","BLOCKED"))</x:f>
        <x:v>OPEN</x:v>
      </x:c>
      <x:c r="G2002" t="str">
        <x:v>equals</x:v>
      </x:c>
      <x:c r="H2002" t="str">
        <x:f>IF(E2002=F2002,"PASS","FAIL")</x:f>
        <x:v>PASS</x:v>
      </x:c>
    </x:row>
    <x:row r="2003">
      <x:c r="B2003" t="str">
        <x:v>A-01971</x:v>
      </x:c>
      <x:c r="C2003" t="str">
        <x:v>GATE</x:v>
      </x:c>
      <x:c r="D2003" t="str">
        <x:v>release state mirrors governing ledger</x:v>
      </x:c>
      <x:c r="E2003" t="str">
        <x:f>'Release Gates'!I1977</x:f>
        <x:v>OPEN</x:v>
      </x:c>
      <x:c r="F2003" t="str">
        <x:f>IF('Release Gates'!C1977="PLANNING","PASS",IF('Release Gates'!C1977="PHYSICAL","OPEN","BLOCKED"))</x:f>
        <x:v>OPEN</x:v>
      </x:c>
      <x:c r="G2003" t="str">
        <x:v>equals</x:v>
      </x:c>
      <x:c r="H2003" t="str">
        <x:f>IF(E2003=F2003,"PASS","FAIL")</x:f>
        <x:v>PASS</x:v>
      </x:c>
    </x:row>
    <x:row r="2004">
      <x:c r="B2004" t="str">
        <x:v>A-01972</x:v>
      </x:c>
      <x:c r="C2004" t="str">
        <x:v>GATE</x:v>
      </x:c>
      <x:c r="D2004" t="str">
        <x:v>release state mirrors governing ledger</x:v>
      </x:c>
      <x:c r="E2004" t="str">
        <x:f>'Release Gates'!I1978</x:f>
        <x:v>OPEN</x:v>
      </x:c>
      <x:c r="F2004" t="str">
        <x:f>IF('Release Gates'!C1978="PLANNING","PASS",IF('Release Gates'!C1978="PHYSICAL","OPEN","BLOCKED"))</x:f>
        <x:v>OPEN</x:v>
      </x:c>
      <x:c r="G2004" t="str">
        <x:v>equals</x:v>
      </x:c>
      <x:c r="H2004" t="str">
        <x:f>IF(E2004=F2004,"PASS","FAIL")</x:f>
        <x:v>PASS</x:v>
      </x:c>
    </x:row>
    <x:row r="2005">
      <x:c r="B2005" t="str">
        <x:v>A-01973</x:v>
      </x:c>
      <x:c r="C2005" t="str">
        <x:v>GATE</x:v>
      </x:c>
      <x:c r="D2005" t="str">
        <x:v>release state mirrors governing ledger</x:v>
      </x:c>
      <x:c r="E2005" t="str">
        <x:f>'Release Gates'!I1979</x:f>
        <x:v>OPEN</x:v>
      </x:c>
      <x:c r="F2005" t="str">
        <x:f>IF('Release Gates'!C1979="PLANNING","PASS",IF('Release Gates'!C1979="PHYSICAL","OPEN","BLOCKED"))</x:f>
        <x:v>OPEN</x:v>
      </x:c>
      <x:c r="G2005" t="str">
        <x:v>equals</x:v>
      </x:c>
      <x:c r="H2005" t="str">
        <x:f>IF(E2005=F2005,"PASS","FAIL")</x:f>
        <x:v>PASS</x:v>
      </x:c>
    </x:row>
    <x:row r="2006">
      <x:c r="B2006" t="str">
        <x:v>A-01974</x:v>
      </x:c>
      <x:c r="C2006" t="str">
        <x:v>GATE</x:v>
      </x:c>
      <x:c r="D2006" t="str">
        <x:v>release state mirrors governing ledger</x:v>
      </x:c>
      <x:c r="E2006" t="str">
        <x:f>'Release Gates'!I1980</x:f>
        <x:v>OPEN</x:v>
      </x:c>
      <x:c r="F2006" t="str">
        <x:f>IF('Release Gates'!C1980="PLANNING","PASS",IF('Release Gates'!C1980="PHYSICAL","OPEN","BLOCKED"))</x:f>
        <x:v>OPEN</x:v>
      </x:c>
      <x:c r="G2006" t="str">
        <x:v>equals</x:v>
      </x:c>
      <x:c r="H2006" t="str">
        <x:f>IF(E2006=F2006,"PASS","FAIL")</x:f>
        <x:v>PASS</x:v>
      </x:c>
    </x:row>
    <x:row r="2007">
      <x:c r="B2007" t="str">
        <x:v>A-01975</x:v>
      </x:c>
      <x:c r="C2007" t="str">
        <x:v>GATE</x:v>
      </x:c>
      <x:c r="D2007" t="str">
        <x:v>release state mirrors governing ledger</x:v>
      </x:c>
      <x:c r="E2007" t="str">
        <x:f>'Release Gates'!I1981</x:f>
        <x:v>OPEN</x:v>
      </x:c>
      <x:c r="F2007" t="str">
        <x:f>IF('Release Gates'!C1981="PLANNING","PASS",IF('Release Gates'!C1981="PHYSICAL","OPEN","BLOCKED"))</x:f>
        <x:v>OPEN</x:v>
      </x:c>
      <x:c r="G2007" t="str">
        <x:v>equals</x:v>
      </x:c>
      <x:c r="H2007" t="str">
        <x:f>IF(E2007=F2007,"PASS","FAIL")</x:f>
        <x:v>PASS</x:v>
      </x:c>
    </x:row>
    <x:row r="2008">
      <x:c r="B2008" t="str">
        <x:v>A-01976</x:v>
      </x:c>
      <x:c r="C2008" t="str">
        <x:v>GATE</x:v>
      </x:c>
      <x:c r="D2008" t="str">
        <x:v>release state mirrors governing ledger</x:v>
      </x:c>
      <x:c r="E2008" t="str">
        <x:f>'Release Gates'!I1982</x:f>
        <x:v>OPEN</x:v>
      </x:c>
      <x:c r="F2008" t="str">
        <x:f>IF('Release Gates'!C1982="PLANNING","PASS",IF('Release Gates'!C1982="PHYSICAL","OPEN","BLOCKED"))</x:f>
        <x:v>OPEN</x:v>
      </x:c>
      <x:c r="G2008" t="str">
        <x:v>equals</x:v>
      </x:c>
      <x:c r="H2008" t="str">
        <x:f>IF(E2008=F2008,"PASS","FAIL")</x:f>
        <x:v>PASS</x:v>
      </x:c>
    </x:row>
    <x:row r="2009">
      <x:c r="B2009" t="str">
        <x:v>A-01977</x:v>
      </x:c>
      <x:c r="C2009" t="str">
        <x:v>GATE</x:v>
      </x:c>
      <x:c r="D2009" t="str">
        <x:v>release state mirrors governing ledger</x:v>
      </x:c>
      <x:c r="E2009" t="str">
        <x:f>'Release Gates'!I1983</x:f>
        <x:v>OPEN</x:v>
      </x:c>
      <x:c r="F2009" t="str">
        <x:f>IF('Release Gates'!C1983="PLANNING","PASS",IF('Release Gates'!C1983="PHYSICAL","OPEN","BLOCKED"))</x:f>
        <x:v>OPEN</x:v>
      </x:c>
      <x:c r="G2009" t="str">
        <x:v>equals</x:v>
      </x:c>
      <x:c r="H2009" t="str">
        <x:f>IF(E2009=F2009,"PASS","FAIL")</x:f>
        <x:v>PASS</x:v>
      </x:c>
    </x:row>
    <x:row r="2010">
      <x:c r="B2010" t="str">
        <x:v>A-01978</x:v>
      </x:c>
      <x:c r="C2010" t="str">
        <x:v>GATE</x:v>
      </x:c>
      <x:c r="D2010" t="str">
        <x:v>release state mirrors governing ledger</x:v>
      </x:c>
      <x:c r="E2010" t="str">
        <x:f>'Release Gates'!I1984</x:f>
        <x:v>OPEN</x:v>
      </x:c>
      <x:c r="F2010" t="str">
        <x:f>IF('Release Gates'!C1984="PLANNING","PASS",IF('Release Gates'!C1984="PHYSICAL","OPEN","BLOCKED"))</x:f>
        <x:v>OPEN</x:v>
      </x:c>
      <x:c r="G2010" t="str">
        <x:v>equals</x:v>
      </x:c>
      <x:c r="H2010" t="str">
        <x:f>IF(E2010=F2010,"PASS","FAIL")</x:f>
        <x:v>PASS</x:v>
      </x:c>
    </x:row>
    <x:row r="2011">
      <x:c r="B2011" t="str">
        <x:v>A-01979</x:v>
      </x:c>
      <x:c r="C2011" t="str">
        <x:v>GATE</x:v>
      </x:c>
      <x:c r="D2011" t="str">
        <x:v>release state mirrors governing ledger</x:v>
      </x:c>
      <x:c r="E2011" t="str">
        <x:f>'Release Gates'!I1985</x:f>
        <x:v>OPEN</x:v>
      </x:c>
      <x:c r="F2011" t="str">
        <x:f>IF('Release Gates'!C1985="PLANNING","PASS",IF('Release Gates'!C1985="PHYSICAL","OPEN","BLOCKED"))</x:f>
        <x:v>OPEN</x:v>
      </x:c>
      <x:c r="G2011" t="str">
        <x:v>equals</x:v>
      </x:c>
      <x:c r="H2011" t="str">
        <x:f>IF(E2011=F2011,"PASS","FAIL")</x:f>
        <x:v>PASS</x:v>
      </x:c>
    </x:row>
    <x:row r="2012">
      <x:c r="B2012" t="str">
        <x:v>A-01980</x:v>
      </x:c>
      <x:c r="C2012" t="str">
        <x:v>GATE</x:v>
      </x:c>
      <x:c r="D2012" t="str">
        <x:v>release state mirrors governing ledger</x:v>
      </x:c>
      <x:c r="E2012" t="str">
        <x:f>'Release Gates'!I1986</x:f>
        <x:v>OPEN</x:v>
      </x:c>
      <x:c r="F2012" t="str">
        <x:f>IF('Release Gates'!C1986="PLANNING","PASS",IF('Release Gates'!C1986="PHYSICAL","OPEN","BLOCKED"))</x:f>
        <x:v>OPEN</x:v>
      </x:c>
      <x:c r="G2012" t="str">
        <x:v>equals</x:v>
      </x:c>
      <x:c r="H2012" t="str">
        <x:f>IF(E2012=F2012,"PASS","FAIL")</x:f>
        <x:v>PASS</x:v>
      </x:c>
    </x:row>
    <x:row r="2013">
      <x:c r="B2013" t="str">
        <x:v>A-01981</x:v>
      </x:c>
      <x:c r="C2013" t="str">
        <x:v>GATE</x:v>
      </x:c>
      <x:c r="D2013" t="str">
        <x:v>release state mirrors governing ledger</x:v>
      </x:c>
      <x:c r="E2013" t="str">
        <x:f>'Release Gates'!I1987</x:f>
        <x:v>OPEN</x:v>
      </x:c>
      <x:c r="F2013" t="str">
        <x:f>IF('Release Gates'!C1987="PLANNING","PASS",IF('Release Gates'!C1987="PHYSICAL","OPEN","BLOCKED"))</x:f>
        <x:v>OPEN</x:v>
      </x:c>
      <x:c r="G2013" t="str">
        <x:v>equals</x:v>
      </x:c>
      <x:c r="H2013" t="str">
        <x:f>IF(E2013=F2013,"PASS","FAIL")</x:f>
        <x:v>PASS</x:v>
      </x:c>
    </x:row>
    <x:row r="2014">
      <x:c r="B2014" t="str">
        <x:v>A-01982</x:v>
      </x:c>
      <x:c r="C2014" t="str">
        <x:v>GATE</x:v>
      </x:c>
      <x:c r="D2014" t="str">
        <x:v>release state mirrors governing ledger</x:v>
      </x:c>
      <x:c r="E2014" t="str">
        <x:f>'Release Gates'!I1988</x:f>
        <x:v>OPEN</x:v>
      </x:c>
      <x:c r="F2014" t="str">
        <x:f>IF('Release Gates'!C1988="PLANNING","PASS",IF('Release Gates'!C1988="PHYSICAL","OPEN","BLOCKED"))</x:f>
        <x:v>OPEN</x:v>
      </x:c>
      <x:c r="G2014" t="str">
        <x:v>equals</x:v>
      </x:c>
      <x:c r="H2014" t="str">
        <x:f>IF(E2014=F2014,"PASS","FAIL")</x:f>
        <x:v>PASS</x:v>
      </x:c>
    </x:row>
    <x:row r="2015">
      <x:c r="B2015" t="str">
        <x:v>A-01983</x:v>
      </x:c>
      <x:c r="C2015" t="str">
        <x:v>GATE</x:v>
      </x:c>
      <x:c r="D2015" t="str">
        <x:v>release state mirrors governing ledger</x:v>
      </x:c>
      <x:c r="E2015" t="str">
        <x:f>'Release Gates'!I1989</x:f>
        <x:v>OPEN</x:v>
      </x:c>
      <x:c r="F2015" t="str">
        <x:f>IF('Release Gates'!C1989="PLANNING","PASS",IF('Release Gates'!C1989="PHYSICAL","OPEN","BLOCKED"))</x:f>
        <x:v>OPEN</x:v>
      </x:c>
      <x:c r="G2015" t="str">
        <x:v>equals</x:v>
      </x:c>
      <x:c r="H2015" t="str">
        <x:f>IF(E2015=F2015,"PASS","FAIL")</x:f>
        <x:v>PASS</x:v>
      </x:c>
    </x:row>
    <x:row r="2016">
      <x:c r="B2016" t="str">
        <x:v>A-01984</x:v>
      </x:c>
      <x:c r="C2016" t="str">
        <x:v>GATE</x:v>
      </x:c>
      <x:c r="D2016" t="str">
        <x:v>release state mirrors governing ledger</x:v>
      </x:c>
      <x:c r="E2016" t="str">
        <x:f>'Release Gates'!I1990</x:f>
        <x:v>OPEN</x:v>
      </x:c>
      <x:c r="F2016" t="str">
        <x:f>IF('Release Gates'!C1990="PLANNING","PASS",IF('Release Gates'!C1990="PHYSICAL","OPEN","BLOCKED"))</x:f>
        <x:v>OPEN</x:v>
      </x:c>
      <x:c r="G2016" t="str">
        <x:v>equals</x:v>
      </x:c>
      <x:c r="H2016" t="str">
        <x:f>IF(E2016=F2016,"PASS","FAIL")</x:f>
        <x:v>PASS</x:v>
      </x:c>
    </x:row>
    <x:row r="2017">
      <x:c r="B2017" t="str">
        <x:v>A-01985</x:v>
      </x:c>
      <x:c r="C2017" t="str">
        <x:v>GATE</x:v>
      </x:c>
      <x:c r="D2017" t="str">
        <x:v>release state mirrors governing ledger</x:v>
      </x:c>
      <x:c r="E2017" t="str">
        <x:f>'Release Gates'!I1991</x:f>
        <x:v>OPEN</x:v>
      </x:c>
      <x:c r="F2017" t="str">
        <x:f>IF('Release Gates'!C1991="PLANNING","PASS",IF('Release Gates'!C1991="PHYSICAL","OPEN","BLOCKED"))</x:f>
        <x:v>OPEN</x:v>
      </x:c>
      <x:c r="G2017" t="str">
        <x:v>equals</x:v>
      </x:c>
      <x:c r="H2017" t="str">
        <x:f>IF(E2017=F2017,"PASS","FAIL")</x:f>
        <x:v>PASS</x:v>
      </x:c>
    </x:row>
    <x:row r="2018">
      <x:c r="B2018" t="str">
        <x:v>A-01986</x:v>
      </x:c>
      <x:c r="C2018" t="str">
        <x:v>GATE</x:v>
      </x:c>
      <x:c r="D2018" t="str">
        <x:v>release state mirrors governing ledger</x:v>
      </x:c>
      <x:c r="E2018" t="str">
        <x:f>'Release Gates'!I1992</x:f>
        <x:v>OPEN</x:v>
      </x:c>
      <x:c r="F2018" t="str">
        <x:f>IF('Release Gates'!C1992="PLANNING","PASS",IF('Release Gates'!C1992="PHYSICAL","OPEN","BLOCKED"))</x:f>
        <x:v>OPEN</x:v>
      </x:c>
      <x:c r="G2018" t="str">
        <x:v>equals</x:v>
      </x:c>
      <x:c r="H2018" t="str">
        <x:f>IF(E2018=F2018,"PASS","FAIL")</x:f>
        <x:v>PASS</x:v>
      </x:c>
    </x:row>
    <x:row r="2019">
      <x:c r="B2019" t="str">
        <x:v>A-01987</x:v>
      </x:c>
      <x:c r="C2019" t="str">
        <x:v>GATE</x:v>
      </x:c>
      <x:c r="D2019" t="str">
        <x:v>release state mirrors governing ledger</x:v>
      </x:c>
      <x:c r="E2019" t="str">
        <x:f>'Release Gates'!I1993</x:f>
        <x:v>OPEN</x:v>
      </x:c>
      <x:c r="F2019" t="str">
        <x:f>IF('Release Gates'!C1993="PLANNING","PASS",IF('Release Gates'!C1993="PHYSICAL","OPEN","BLOCKED"))</x:f>
        <x:v>OPEN</x:v>
      </x:c>
      <x:c r="G2019" t="str">
        <x:v>equals</x:v>
      </x:c>
      <x:c r="H2019" t="str">
        <x:f>IF(E2019=F2019,"PASS","FAIL")</x:f>
        <x:v>PASS</x:v>
      </x:c>
    </x:row>
    <x:row r="2020">
      <x:c r="B2020" t="str">
        <x:v>A-01988</x:v>
      </x:c>
      <x:c r="C2020" t="str">
        <x:v>GATE</x:v>
      </x:c>
      <x:c r="D2020" t="str">
        <x:v>release state mirrors governing ledger</x:v>
      </x:c>
      <x:c r="E2020" t="str">
        <x:f>'Release Gates'!I1994</x:f>
        <x:v>OPEN</x:v>
      </x:c>
      <x:c r="F2020" t="str">
        <x:f>IF('Release Gates'!C1994="PLANNING","PASS",IF('Release Gates'!C1994="PHYSICAL","OPEN","BLOCKED"))</x:f>
        <x:v>OPEN</x:v>
      </x:c>
      <x:c r="G2020" t="str">
        <x:v>equals</x:v>
      </x:c>
      <x:c r="H2020" t="str">
        <x:f>IF(E2020=F2020,"PASS","FAIL")</x:f>
        <x:v>PASS</x:v>
      </x:c>
    </x:row>
    <x:row r="2021">
      <x:c r="B2021" t="str">
        <x:v>A-01989</x:v>
      </x:c>
      <x:c r="C2021" t="str">
        <x:v>GATE</x:v>
      </x:c>
      <x:c r="D2021" t="str">
        <x:v>release state mirrors governing ledger</x:v>
      </x:c>
      <x:c r="E2021" t="str">
        <x:f>'Release Gates'!I1995</x:f>
        <x:v>OPEN</x:v>
      </x:c>
      <x:c r="F2021" t="str">
        <x:f>IF('Release Gates'!C1995="PLANNING","PASS",IF('Release Gates'!C1995="PHYSICAL","OPEN","BLOCKED"))</x:f>
        <x:v>OPEN</x:v>
      </x:c>
      <x:c r="G2021" t="str">
        <x:v>equals</x:v>
      </x:c>
      <x:c r="H2021" t="str">
        <x:f>IF(E2021=F2021,"PASS","FAIL")</x:f>
        <x:v>PASS</x:v>
      </x:c>
    </x:row>
    <x:row r="2022">
      <x:c r="B2022" t="str">
        <x:v>A-01990</x:v>
      </x:c>
      <x:c r="C2022" t="str">
        <x:v>GATE</x:v>
      </x:c>
      <x:c r="D2022" t="str">
        <x:v>release state mirrors governing ledger</x:v>
      </x:c>
      <x:c r="E2022" t="str">
        <x:f>'Release Gates'!I1996</x:f>
        <x:v>OPEN</x:v>
      </x:c>
      <x:c r="F2022" t="str">
        <x:f>IF('Release Gates'!C1996="PLANNING","PASS",IF('Release Gates'!C1996="PHYSICAL","OPEN","BLOCKED"))</x:f>
        <x:v>OPEN</x:v>
      </x:c>
      <x:c r="G2022" t="str">
        <x:v>equals</x:v>
      </x:c>
      <x:c r="H2022" t="str">
        <x:f>IF(E2022=F2022,"PASS","FAIL")</x:f>
        <x:v>PASS</x:v>
      </x:c>
    </x:row>
    <x:row r="2023">
      <x:c r="B2023" t="str">
        <x:v>A-01991</x:v>
      </x:c>
      <x:c r="C2023" t="str">
        <x:v>GATE</x:v>
      </x:c>
      <x:c r="D2023" t="str">
        <x:v>release state mirrors governing ledger</x:v>
      </x:c>
      <x:c r="E2023" t="str">
        <x:f>'Release Gates'!I1997</x:f>
        <x:v>OPEN</x:v>
      </x:c>
      <x:c r="F2023" t="str">
        <x:f>IF('Release Gates'!C1997="PLANNING","PASS",IF('Release Gates'!C1997="PHYSICAL","OPEN","BLOCKED"))</x:f>
        <x:v>OPEN</x:v>
      </x:c>
      <x:c r="G2023" t="str">
        <x:v>equals</x:v>
      </x:c>
      <x:c r="H2023" t="str">
        <x:f>IF(E2023=F2023,"PASS","FAIL")</x:f>
        <x:v>PASS</x:v>
      </x:c>
    </x:row>
    <x:row r="2024">
      <x:c r="B2024" t="str">
        <x:v>A-01992</x:v>
      </x:c>
      <x:c r="C2024" t="str">
        <x:v>GATE</x:v>
      </x:c>
      <x:c r="D2024" t="str">
        <x:v>release state mirrors governing ledger</x:v>
      </x:c>
      <x:c r="E2024" t="str">
        <x:f>'Release Gates'!I1998</x:f>
        <x:v>OPEN</x:v>
      </x:c>
      <x:c r="F2024" t="str">
        <x:f>IF('Release Gates'!C1998="PLANNING","PASS",IF('Release Gates'!C1998="PHYSICAL","OPEN","BLOCKED"))</x:f>
        <x:v>OPEN</x:v>
      </x:c>
      <x:c r="G2024" t="str">
        <x:v>equals</x:v>
      </x:c>
      <x:c r="H2024" t="str">
        <x:f>IF(E2024=F2024,"PASS","FAIL")</x:f>
        <x:v>PASS</x:v>
      </x:c>
    </x:row>
    <x:row r="2025">
      <x:c r="B2025" t="str">
        <x:v>A-01993</x:v>
      </x:c>
      <x:c r="C2025" t="str">
        <x:v>GATE</x:v>
      </x:c>
      <x:c r="D2025" t="str">
        <x:v>release state mirrors governing ledger</x:v>
      </x:c>
      <x:c r="E2025" t="str">
        <x:f>'Release Gates'!I1999</x:f>
        <x:v>OPEN</x:v>
      </x:c>
      <x:c r="F2025" t="str">
        <x:f>IF('Release Gates'!C1999="PLANNING","PASS",IF('Release Gates'!C1999="PHYSICAL","OPEN","BLOCKED"))</x:f>
        <x:v>OPEN</x:v>
      </x:c>
      <x:c r="G2025" t="str">
        <x:v>equals</x:v>
      </x:c>
      <x:c r="H2025" t="str">
        <x:f>IF(E2025=F2025,"PASS","FAIL")</x:f>
        <x:v>PASS</x:v>
      </x:c>
    </x:row>
    <x:row r="2026">
      <x:c r="B2026" t="str">
        <x:v>A-01994</x:v>
      </x:c>
      <x:c r="C2026" t="str">
        <x:v>GATE</x:v>
      </x:c>
      <x:c r="D2026" t="str">
        <x:v>release state mirrors governing ledger</x:v>
      </x:c>
      <x:c r="E2026" t="str">
        <x:f>'Release Gates'!I2000</x:f>
        <x:v>OPEN</x:v>
      </x:c>
      <x:c r="F2026" t="str">
        <x:f>IF('Release Gates'!C2000="PLANNING","PASS",IF('Release Gates'!C2000="PHYSICAL","OPEN","BLOCKED"))</x:f>
        <x:v>OPEN</x:v>
      </x:c>
      <x:c r="G2026" t="str">
        <x:v>equals</x:v>
      </x:c>
      <x:c r="H2026" t="str">
        <x:f>IF(E2026=F2026,"PASS","FAIL")</x:f>
        <x:v>PASS</x:v>
      </x:c>
    </x:row>
    <x:row r="2027">
      <x:c r="B2027" t="str">
        <x:v>A-01995</x:v>
      </x:c>
      <x:c r="C2027" t="str">
        <x:v>GATE</x:v>
      </x:c>
      <x:c r="D2027" t="str">
        <x:v>release state mirrors governing ledger</x:v>
      </x:c>
      <x:c r="E2027" t="str">
        <x:f>'Release Gates'!I2001</x:f>
        <x:v>OPEN</x:v>
      </x:c>
      <x:c r="F2027" t="str">
        <x:f>IF('Release Gates'!C2001="PLANNING","PASS",IF('Release Gates'!C2001="PHYSICAL","OPEN","BLOCKED"))</x:f>
        <x:v>OPEN</x:v>
      </x:c>
      <x:c r="G2027" t="str">
        <x:v>equals</x:v>
      </x:c>
      <x:c r="H2027" t="str">
        <x:f>IF(E2027=F2027,"PASS","FAIL")</x:f>
        <x:v>PASS</x:v>
      </x:c>
    </x:row>
    <x:row r="2028">
      <x:c r="B2028" t="str">
        <x:v>A-01996</x:v>
      </x:c>
      <x:c r="C2028" t="str">
        <x:v>GATE</x:v>
      </x:c>
      <x:c r="D2028" t="str">
        <x:v>release state mirrors governing ledger</x:v>
      </x:c>
      <x:c r="E2028" t="str">
        <x:f>'Release Gates'!I2002</x:f>
        <x:v>OPEN</x:v>
      </x:c>
      <x:c r="F2028" t="str">
        <x:f>IF('Release Gates'!C2002="PLANNING","PASS",IF('Release Gates'!C2002="PHYSICAL","OPEN","BLOCKED"))</x:f>
        <x:v>OPEN</x:v>
      </x:c>
      <x:c r="G2028" t="str">
        <x:v>equals</x:v>
      </x:c>
      <x:c r="H2028" t="str">
        <x:f>IF(E2028=F2028,"PASS","FAIL")</x:f>
        <x:v>PASS</x:v>
      </x:c>
    </x:row>
    <x:row r="2029">
      <x:c r="B2029" t="str">
        <x:v>A-01997</x:v>
      </x:c>
      <x:c r="C2029" t="str">
        <x:v>GATE</x:v>
      </x:c>
      <x:c r="D2029" t="str">
        <x:v>release state mirrors governing ledger</x:v>
      </x:c>
      <x:c r="E2029" t="str">
        <x:f>'Release Gates'!I2003</x:f>
        <x:v>OPEN</x:v>
      </x:c>
      <x:c r="F2029" t="str">
        <x:f>IF('Release Gates'!C2003="PLANNING","PASS",IF('Release Gates'!C2003="PHYSICAL","OPEN","BLOCKED"))</x:f>
        <x:v>OPEN</x:v>
      </x:c>
      <x:c r="G2029" t="str">
        <x:v>equals</x:v>
      </x:c>
      <x:c r="H2029" t="str">
        <x:f>IF(E2029=F2029,"PASS","FAIL")</x:f>
        <x:v>PASS</x:v>
      </x:c>
    </x:row>
    <x:row r="2030">
      <x:c r="B2030" t="str">
        <x:v>A-01998</x:v>
      </x:c>
      <x:c r="C2030" t="str">
        <x:v>GATE</x:v>
      </x:c>
      <x:c r="D2030" t="str">
        <x:v>release state mirrors governing ledger</x:v>
      </x:c>
      <x:c r="E2030" t="str">
        <x:f>'Release Gates'!I2004</x:f>
        <x:v>OPEN</x:v>
      </x:c>
      <x:c r="F2030" t="str">
        <x:f>IF('Release Gates'!C2004="PLANNING","PASS",IF('Release Gates'!C2004="PHYSICAL","OPEN","BLOCKED"))</x:f>
        <x:v>OPEN</x:v>
      </x:c>
      <x:c r="G2030" t="str">
        <x:v>equals</x:v>
      </x:c>
      <x:c r="H2030" t="str">
        <x:f>IF(E2030=F2030,"PASS","FAIL")</x:f>
        <x:v>PASS</x:v>
      </x:c>
    </x:row>
    <x:row r="2031">
      <x:c r="B2031" t="str">
        <x:v>A-01999</x:v>
      </x:c>
      <x:c r="C2031" t="str">
        <x:v>GATE</x:v>
      </x:c>
      <x:c r="D2031" t="str">
        <x:v>release state mirrors governing ledger</x:v>
      </x:c>
      <x:c r="E2031" t="str">
        <x:f>'Release Gates'!I2005</x:f>
        <x:v>OPEN</x:v>
      </x:c>
      <x:c r="F2031" t="str">
        <x:f>IF('Release Gates'!C2005="PLANNING","PASS",IF('Release Gates'!C2005="PHYSICAL","OPEN","BLOCKED"))</x:f>
        <x:v>OPEN</x:v>
      </x:c>
      <x:c r="G2031" t="str">
        <x:v>equals</x:v>
      </x:c>
      <x:c r="H2031" t="str">
        <x:f>IF(E2031=F2031,"PASS","FAIL")</x:f>
        <x:v>PASS</x:v>
      </x:c>
    </x:row>
    <x:row r="2032">
      <x:c r="B2032" t="str">
        <x:v>A-02000</x:v>
      </x:c>
      <x:c r="C2032" t="str">
        <x:v>GATE</x:v>
      </x:c>
      <x:c r="D2032" t="str">
        <x:v>release state mirrors governing ledger</x:v>
      </x:c>
      <x:c r="E2032" t="str">
        <x:f>'Release Gates'!I2006</x:f>
        <x:v>OPEN</x:v>
      </x:c>
      <x:c r="F2032" t="str">
        <x:f>IF('Release Gates'!C2006="PLANNING","PASS",IF('Release Gates'!C2006="PHYSICAL","OPEN","BLOCKED"))</x:f>
        <x:v>OPEN</x:v>
      </x:c>
      <x:c r="G2032" t="str">
        <x:v>equals</x:v>
      </x:c>
      <x:c r="H2032" t="str">
        <x:f>IF(E2032=F2032,"PASS","FAIL")</x:f>
        <x:v>PASS</x:v>
      </x:c>
    </x:row>
    <x:row r="2033">
      <x:c r="B2033" t="str">
        <x:v>A-02001</x:v>
      </x:c>
      <x:c r="C2033" t="str">
        <x:v>GATE</x:v>
      </x:c>
      <x:c r="D2033" t="str">
        <x:v>release state mirrors governing ledger</x:v>
      </x:c>
      <x:c r="E2033" t="str">
        <x:f>'Release Gates'!I2007</x:f>
        <x:v>OPEN</x:v>
      </x:c>
      <x:c r="F2033" t="str">
        <x:f>IF('Release Gates'!C2007="PLANNING","PASS",IF('Release Gates'!C2007="PHYSICAL","OPEN","BLOCKED"))</x:f>
        <x:v>OPEN</x:v>
      </x:c>
      <x:c r="G2033" t="str">
        <x:v>equals</x:v>
      </x:c>
      <x:c r="H2033" t="str">
        <x:f>IF(E2033=F2033,"PASS","FAIL")</x:f>
        <x:v>PASS</x:v>
      </x:c>
    </x:row>
    <x:row r="2034">
      <x:c r="B2034" t="str">
        <x:v>A-02002</x:v>
      </x:c>
      <x:c r="C2034" t="str">
        <x:v>GATE</x:v>
      </x:c>
      <x:c r="D2034" t="str">
        <x:v>release state mirrors governing ledger</x:v>
      </x:c>
      <x:c r="E2034" t="str">
        <x:f>'Release Gates'!I2008</x:f>
        <x:v>OPEN</x:v>
      </x:c>
      <x:c r="F2034" t="str">
        <x:f>IF('Release Gates'!C2008="PLANNING","PASS",IF('Release Gates'!C2008="PHYSICAL","OPEN","BLOCKED"))</x:f>
        <x:v>OPEN</x:v>
      </x:c>
      <x:c r="G2034" t="str">
        <x:v>equals</x:v>
      </x:c>
      <x:c r="H2034" t="str">
        <x:f>IF(E2034=F2034,"PASS","FAIL")</x:f>
        <x:v>PASS</x:v>
      </x:c>
    </x:row>
    <x:row r="2035">
      <x:c r="B2035" t="str">
        <x:v>A-02003</x:v>
      </x:c>
      <x:c r="C2035" t="str">
        <x:v>GATE</x:v>
      </x:c>
      <x:c r="D2035" t="str">
        <x:v>release state mirrors governing ledger</x:v>
      </x:c>
      <x:c r="E2035" t="str">
        <x:f>'Release Gates'!I2009</x:f>
        <x:v>OPEN</x:v>
      </x:c>
      <x:c r="F2035" t="str">
        <x:f>IF('Release Gates'!C2009="PLANNING","PASS",IF('Release Gates'!C2009="PHYSICAL","OPEN","BLOCKED"))</x:f>
        <x:v>OPEN</x:v>
      </x:c>
      <x:c r="G2035" t="str">
        <x:v>equals</x:v>
      </x:c>
      <x:c r="H2035" t="str">
        <x:f>IF(E2035=F2035,"PASS","FAIL")</x:f>
        <x:v>PASS</x:v>
      </x:c>
    </x:row>
    <x:row r="2036">
      <x:c r="B2036" t="str">
        <x:v>A-02004</x:v>
      </x:c>
      <x:c r="C2036" t="str">
        <x:v>GATE</x:v>
      </x:c>
      <x:c r="D2036" t="str">
        <x:v>release state mirrors governing ledger</x:v>
      </x:c>
      <x:c r="E2036" t="str">
        <x:f>'Release Gates'!I2010</x:f>
        <x:v>OPEN</x:v>
      </x:c>
      <x:c r="F2036" t="str">
        <x:f>IF('Release Gates'!C2010="PLANNING","PASS",IF('Release Gates'!C2010="PHYSICAL","OPEN","BLOCKED"))</x:f>
        <x:v>OPEN</x:v>
      </x:c>
      <x:c r="G2036" t="str">
        <x:v>equals</x:v>
      </x:c>
      <x:c r="H2036" t="str">
        <x:f>IF(E2036=F2036,"PASS","FAIL")</x:f>
        <x:v>PASS</x:v>
      </x:c>
    </x:row>
    <x:row r="2037">
      <x:c r="B2037" t="str">
        <x:v>A-02005</x:v>
      </x:c>
      <x:c r="C2037" t="str">
        <x:v>GATE</x:v>
      </x:c>
      <x:c r="D2037" t="str">
        <x:v>release state mirrors governing ledger</x:v>
      </x:c>
      <x:c r="E2037" t="str">
        <x:f>'Release Gates'!I2011</x:f>
        <x:v>OPEN</x:v>
      </x:c>
      <x:c r="F2037" t="str">
        <x:f>IF('Release Gates'!C2011="PLANNING","PASS",IF('Release Gates'!C2011="PHYSICAL","OPEN","BLOCKED"))</x:f>
        <x:v>OPEN</x:v>
      </x:c>
      <x:c r="G2037" t="str">
        <x:v>equals</x:v>
      </x:c>
      <x:c r="H2037" t="str">
        <x:f>IF(E2037=F2037,"PASS","FAIL")</x:f>
        <x:v>PASS</x:v>
      </x:c>
    </x:row>
    <x:row r="2038">
      <x:c r="B2038" t="str">
        <x:v>A-02006</x:v>
      </x:c>
      <x:c r="C2038" t="str">
        <x:v>GATE</x:v>
      </x:c>
      <x:c r="D2038" t="str">
        <x:v>release state mirrors governing ledger</x:v>
      </x:c>
      <x:c r="E2038" t="str">
        <x:f>'Release Gates'!I2012</x:f>
        <x:v>OPEN</x:v>
      </x:c>
      <x:c r="F2038" t="str">
        <x:f>IF('Release Gates'!C2012="PLANNING","PASS",IF('Release Gates'!C2012="PHYSICAL","OPEN","BLOCKED"))</x:f>
        <x:v>OPEN</x:v>
      </x:c>
      <x:c r="G2038" t="str">
        <x:v>equals</x:v>
      </x:c>
      <x:c r="H2038" t="str">
        <x:f>IF(E2038=F2038,"PASS","FAIL")</x:f>
        <x:v>PASS</x:v>
      </x:c>
    </x:row>
    <x:row r="2039">
      <x:c r="B2039" t="str">
        <x:v>A-02007</x:v>
      </x:c>
      <x:c r="C2039" t="str">
        <x:v>GATE</x:v>
      </x:c>
      <x:c r="D2039" t="str">
        <x:v>release state mirrors governing ledger</x:v>
      </x:c>
      <x:c r="E2039" t="str">
        <x:f>'Release Gates'!I2013</x:f>
        <x:v>OPEN</x:v>
      </x:c>
      <x:c r="F2039" t="str">
        <x:f>IF('Release Gates'!C2013="PLANNING","PASS",IF('Release Gates'!C2013="PHYSICAL","OPEN","BLOCKED"))</x:f>
        <x:v>OPEN</x:v>
      </x:c>
      <x:c r="G2039" t="str">
        <x:v>equals</x:v>
      </x:c>
      <x:c r="H2039" t="str">
        <x:f>IF(E2039=F2039,"PASS","FAIL")</x:f>
        <x:v>PASS</x:v>
      </x:c>
    </x:row>
    <x:row r="2040">
      <x:c r="B2040" t="str">
        <x:v>A-02008</x:v>
      </x:c>
      <x:c r="C2040" t="str">
        <x:v>GATE</x:v>
      </x:c>
      <x:c r="D2040" t="str">
        <x:v>release state mirrors governing ledger</x:v>
      </x:c>
      <x:c r="E2040" t="str">
        <x:f>'Release Gates'!I2014</x:f>
        <x:v>OPEN</x:v>
      </x:c>
      <x:c r="F2040" t="str">
        <x:f>IF('Release Gates'!C2014="PLANNING","PASS",IF('Release Gates'!C2014="PHYSICAL","OPEN","BLOCKED"))</x:f>
        <x:v>OPEN</x:v>
      </x:c>
      <x:c r="G2040" t="str">
        <x:v>equals</x:v>
      </x:c>
      <x:c r="H2040" t="str">
        <x:f>IF(E2040=F2040,"PASS","FAIL")</x:f>
        <x:v>PASS</x:v>
      </x:c>
    </x:row>
    <x:row r="2041">
      <x:c r="B2041" t="str">
        <x:v>A-02009</x:v>
      </x:c>
      <x:c r="C2041" t="str">
        <x:v>GATE</x:v>
      </x:c>
      <x:c r="D2041" t="str">
        <x:v>release state mirrors governing ledger</x:v>
      </x:c>
      <x:c r="E2041" t="str">
        <x:f>'Release Gates'!I2015</x:f>
        <x:v>OPEN</x:v>
      </x:c>
      <x:c r="F2041" t="str">
        <x:f>IF('Release Gates'!C2015="PLANNING","PASS",IF('Release Gates'!C2015="PHYSICAL","OPEN","BLOCKED"))</x:f>
        <x:v>OPEN</x:v>
      </x:c>
      <x:c r="G2041" t="str">
        <x:v>equals</x:v>
      </x:c>
      <x:c r="H2041" t="str">
        <x:f>IF(E2041=F2041,"PASS","FAIL")</x:f>
        <x:v>PASS</x:v>
      </x:c>
    </x:row>
    <x:row r="2042">
      <x:c r="B2042" t="str">
        <x:v>A-02010</x:v>
      </x:c>
      <x:c r="C2042" t="str">
        <x:v>GATE</x:v>
      </x:c>
      <x:c r="D2042" t="str">
        <x:v>release state mirrors governing ledger</x:v>
      </x:c>
      <x:c r="E2042" t="str">
        <x:f>'Release Gates'!I2016</x:f>
        <x:v>OPEN</x:v>
      </x:c>
      <x:c r="F2042" t="str">
        <x:f>IF('Release Gates'!C2016="PLANNING","PASS",IF('Release Gates'!C2016="PHYSICAL","OPEN","BLOCKED"))</x:f>
        <x:v>OPEN</x:v>
      </x:c>
      <x:c r="G2042" t="str">
        <x:v>equals</x:v>
      </x:c>
      <x:c r="H2042" t="str">
        <x:f>IF(E2042=F2042,"PASS","FAIL")</x:f>
        <x:v>PASS</x:v>
      </x:c>
    </x:row>
    <x:row r="2043">
      <x:c r="B2043" t="str">
        <x:v>A-02011</x:v>
      </x:c>
      <x:c r="C2043" t="str">
        <x:v>GATE</x:v>
      </x:c>
      <x:c r="D2043" t="str">
        <x:v>release state mirrors governing ledger</x:v>
      </x:c>
      <x:c r="E2043" t="str">
        <x:f>'Release Gates'!I2017</x:f>
        <x:v>OPEN</x:v>
      </x:c>
      <x:c r="F2043" t="str">
        <x:f>IF('Release Gates'!C2017="PLANNING","PASS",IF('Release Gates'!C2017="PHYSICAL","OPEN","BLOCKED"))</x:f>
        <x:v>OPEN</x:v>
      </x:c>
      <x:c r="G2043" t="str">
        <x:v>equals</x:v>
      </x:c>
      <x:c r="H2043" t="str">
        <x:f>IF(E2043=F2043,"PASS","FAIL")</x:f>
        <x:v>PASS</x:v>
      </x:c>
    </x:row>
    <x:row r="2044">
      <x:c r="B2044" t="str">
        <x:v>A-02012</x:v>
      </x:c>
      <x:c r="C2044" t="str">
        <x:v>GATE</x:v>
      </x:c>
      <x:c r="D2044" t="str">
        <x:v>release state mirrors governing ledger</x:v>
      </x:c>
      <x:c r="E2044" t="str">
        <x:f>'Release Gates'!I2018</x:f>
        <x:v>OPEN</x:v>
      </x:c>
      <x:c r="F2044" t="str">
        <x:f>IF('Release Gates'!C2018="PLANNING","PASS",IF('Release Gates'!C2018="PHYSICAL","OPEN","BLOCKED"))</x:f>
        <x:v>OPEN</x:v>
      </x:c>
      <x:c r="G2044" t="str">
        <x:v>equals</x:v>
      </x:c>
      <x:c r="H2044" t="str">
        <x:f>IF(E2044=F2044,"PASS","FAIL")</x:f>
        <x:v>PASS</x:v>
      </x:c>
    </x:row>
    <x:row r="2045">
      <x:c r="B2045" t="str">
        <x:v>A-02013</x:v>
      </x:c>
      <x:c r="C2045" t="str">
        <x:v>GATE</x:v>
      </x:c>
      <x:c r="D2045" t="str">
        <x:v>release state mirrors governing ledger</x:v>
      </x:c>
      <x:c r="E2045" t="str">
        <x:f>'Release Gates'!I2019</x:f>
        <x:v>OPEN</x:v>
      </x:c>
      <x:c r="F2045" t="str">
        <x:f>IF('Release Gates'!C2019="PLANNING","PASS",IF('Release Gates'!C2019="PHYSICAL","OPEN","BLOCKED"))</x:f>
        <x:v>OPEN</x:v>
      </x:c>
      <x:c r="G2045" t="str">
        <x:v>equals</x:v>
      </x:c>
      <x:c r="H2045" t="str">
        <x:f>IF(E2045=F2045,"PASS","FAIL")</x:f>
        <x:v>PASS</x:v>
      </x:c>
    </x:row>
    <x:row r="2046">
      <x:c r="B2046" t="str">
        <x:v>A-02014</x:v>
      </x:c>
      <x:c r="C2046" t="str">
        <x:v>GATE</x:v>
      </x:c>
      <x:c r="D2046" t="str">
        <x:v>release state mirrors governing ledger</x:v>
      </x:c>
      <x:c r="E2046" t="str">
        <x:f>'Release Gates'!I2020</x:f>
        <x:v>OPEN</x:v>
      </x:c>
      <x:c r="F2046" t="str">
        <x:f>IF('Release Gates'!C2020="PLANNING","PASS",IF('Release Gates'!C2020="PHYSICAL","OPEN","BLOCKED"))</x:f>
        <x:v>OPEN</x:v>
      </x:c>
      <x:c r="G2046" t="str">
        <x:v>equals</x:v>
      </x:c>
      <x:c r="H2046" t="str">
        <x:f>IF(E2046=F2046,"PASS","FAIL")</x:f>
        <x:v>PASS</x:v>
      </x:c>
    </x:row>
    <x:row r="2047">
      <x:c r="B2047" t="str">
        <x:v>A-02015</x:v>
      </x:c>
      <x:c r="C2047" t="str">
        <x:v>GATE</x:v>
      </x:c>
      <x:c r="D2047" t="str">
        <x:v>release state mirrors governing ledger</x:v>
      </x:c>
      <x:c r="E2047" t="str">
        <x:f>'Release Gates'!I2021</x:f>
        <x:v>OPEN</x:v>
      </x:c>
      <x:c r="F2047" t="str">
        <x:f>IF('Release Gates'!C2021="PLANNING","PASS",IF('Release Gates'!C2021="PHYSICAL","OPEN","BLOCKED"))</x:f>
        <x:v>OPEN</x:v>
      </x:c>
      <x:c r="G2047" t="str">
        <x:v>equals</x:v>
      </x:c>
      <x:c r="H2047" t="str">
        <x:f>IF(E2047=F2047,"PASS","FAIL")</x:f>
        <x:v>PASS</x:v>
      </x:c>
    </x:row>
    <x:row r="2048">
      <x:c r="B2048" t="str">
        <x:v>A-02016</x:v>
      </x:c>
      <x:c r="C2048" t="str">
        <x:v>GATE</x:v>
      </x:c>
      <x:c r="D2048" t="str">
        <x:v>release state mirrors governing ledger</x:v>
      </x:c>
      <x:c r="E2048" t="str">
        <x:f>'Release Gates'!I2022</x:f>
        <x:v>OPEN</x:v>
      </x:c>
      <x:c r="F2048" t="str">
        <x:f>IF('Release Gates'!C2022="PLANNING","PASS",IF('Release Gates'!C2022="PHYSICAL","OPEN","BLOCKED"))</x:f>
        <x:v>OPEN</x:v>
      </x:c>
      <x:c r="G2048" t="str">
        <x:v>equals</x:v>
      </x:c>
      <x:c r="H2048" t="str">
        <x:f>IF(E2048=F2048,"PASS","FAIL")</x:f>
        <x:v>PASS</x:v>
      </x:c>
    </x:row>
    <x:row r="2049">
      <x:c r="B2049" t="str">
        <x:v>A-02017</x:v>
      </x:c>
      <x:c r="C2049" t="str">
        <x:v>GATE</x:v>
      </x:c>
      <x:c r="D2049" t="str">
        <x:v>release state mirrors governing ledger</x:v>
      </x:c>
      <x:c r="E2049" t="str">
        <x:f>'Release Gates'!I2023</x:f>
        <x:v>OPEN</x:v>
      </x:c>
      <x:c r="F2049" t="str">
        <x:f>IF('Release Gates'!C2023="PLANNING","PASS",IF('Release Gates'!C2023="PHYSICAL","OPEN","BLOCKED"))</x:f>
        <x:v>OPEN</x:v>
      </x:c>
      <x:c r="G2049" t="str">
        <x:v>equals</x:v>
      </x:c>
      <x:c r="H2049" t="str">
        <x:f>IF(E2049=F2049,"PASS","FAIL")</x:f>
        <x:v>PASS</x:v>
      </x:c>
    </x:row>
    <x:row r="2050">
      <x:c r="B2050" t="str">
        <x:v>A-02018</x:v>
      </x:c>
      <x:c r="C2050" t="str">
        <x:v>GATE</x:v>
      </x:c>
      <x:c r="D2050" t="str">
        <x:v>release state mirrors governing ledger</x:v>
      </x:c>
      <x:c r="E2050" t="str">
        <x:f>'Release Gates'!I2024</x:f>
        <x:v>OPEN</x:v>
      </x:c>
      <x:c r="F2050" t="str">
        <x:f>IF('Release Gates'!C2024="PLANNING","PASS",IF('Release Gates'!C2024="PHYSICAL","OPEN","BLOCKED"))</x:f>
        <x:v>OPEN</x:v>
      </x:c>
      <x:c r="G2050" t="str">
        <x:v>equals</x:v>
      </x:c>
      <x:c r="H2050" t="str">
        <x:f>IF(E2050=F2050,"PASS","FAIL")</x:f>
        <x:v>PASS</x:v>
      </x:c>
    </x:row>
    <x:row r="2051">
      <x:c r="B2051" t="str">
        <x:v>A-02019</x:v>
      </x:c>
      <x:c r="C2051" t="str">
        <x:v>GATE</x:v>
      </x:c>
      <x:c r="D2051" t="str">
        <x:v>release state mirrors governing ledger</x:v>
      </x:c>
      <x:c r="E2051" t="str">
        <x:f>'Release Gates'!I2025</x:f>
        <x:v>OPEN</x:v>
      </x:c>
      <x:c r="F2051" t="str">
        <x:f>IF('Release Gates'!C2025="PLANNING","PASS",IF('Release Gates'!C2025="PHYSICAL","OPEN","BLOCKED"))</x:f>
        <x:v>OPEN</x:v>
      </x:c>
      <x:c r="G2051" t="str">
        <x:v>equals</x:v>
      </x:c>
      <x:c r="H2051" t="str">
        <x:f>IF(E2051=F2051,"PASS","FAIL")</x:f>
        <x:v>PASS</x:v>
      </x:c>
    </x:row>
    <x:row r="2052">
      <x:c r="B2052" t="str">
        <x:v>A-02020</x:v>
      </x:c>
      <x:c r="C2052" t="str">
        <x:v>GATE</x:v>
      </x:c>
      <x:c r="D2052" t="str">
        <x:v>release state mirrors governing ledger</x:v>
      </x:c>
      <x:c r="E2052" t="str">
        <x:f>'Release Gates'!I2026</x:f>
        <x:v>OPEN</x:v>
      </x:c>
      <x:c r="F2052" t="str">
        <x:f>IF('Release Gates'!C2026="PLANNING","PASS",IF('Release Gates'!C2026="PHYSICAL","OPEN","BLOCKED"))</x:f>
        <x:v>OPEN</x:v>
      </x:c>
      <x:c r="G2052" t="str">
        <x:v>equals</x:v>
      </x:c>
      <x:c r="H2052" t="str">
        <x:f>IF(E2052=F2052,"PASS","FAIL")</x:f>
        <x:v>PASS</x:v>
      </x:c>
    </x:row>
    <x:row r="2053">
      <x:c r="B2053" t="str">
        <x:v>A-02021</x:v>
      </x:c>
      <x:c r="C2053" t="str">
        <x:v>GATE</x:v>
      </x:c>
      <x:c r="D2053" t="str">
        <x:v>release state mirrors governing ledger</x:v>
      </x:c>
      <x:c r="E2053" t="str">
        <x:f>'Release Gates'!I2027</x:f>
        <x:v>OPEN</x:v>
      </x:c>
      <x:c r="F2053" t="str">
        <x:f>IF('Release Gates'!C2027="PLANNING","PASS",IF('Release Gates'!C2027="PHYSICAL","OPEN","BLOCKED"))</x:f>
        <x:v>OPEN</x:v>
      </x:c>
      <x:c r="G2053" t="str">
        <x:v>equals</x:v>
      </x:c>
      <x:c r="H2053" t="str">
        <x:f>IF(E2053=F2053,"PASS","FAIL")</x:f>
        <x:v>PASS</x:v>
      </x:c>
    </x:row>
    <x:row r="2054">
      <x:c r="B2054" t="str">
        <x:v>A-02022</x:v>
      </x:c>
      <x:c r="C2054" t="str">
        <x:v>GATE</x:v>
      </x:c>
      <x:c r="D2054" t="str">
        <x:v>release state mirrors governing ledger</x:v>
      </x:c>
      <x:c r="E2054" t="str">
        <x:f>'Release Gates'!I2028</x:f>
        <x:v>OPEN</x:v>
      </x:c>
      <x:c r="F2054" t="str">
        <x:f>IF('Release Gates'!C2028="PLANNING","PASS",IF('Release Gates'!C2028="PHYSICAL","OPEN","BLOCKED"))</x:f>
        <x:v>OPEN</x:v>
      </x:c>
      <x:c r="G2054" t="str">
        <x:v>equals</x:v>
      </x:c>
      <x:c r="H2054" t="str">
        <x:f>IF(E2054=F2054,"PASS","FAIL")</x:f>
        <x:v>PASS</x:v>
      </x:c>
    </x:row>
    <x:row r="2055">
      <x:c r="B2055" t="str">
        <x:v>A-02023</x:v>
      </x:c>
      <x:c r="C2055" t="str">
        <x:v>GATE</x:v>
      </x:c>
      <x:c r="D2055" t="str">
        <x:v>release state mirrors governing ledger</x:v>
      </x:c>
      <x:c r="E2055" t="str">
        <x:f>'Release Gates'!I2029</x:f>
        <x:v>OPEN</x:v>
      </x:c>
      <x:c r="F2055" t="str">
        <x:f>IF('Release Gates'!C2029="PLANNING","PASS",IF('Release Gates'!C2029="PHYSICAL","OPEN","BLOCKED"))</x:f>
        <x:v>OPEN</x:v>
      </x:c>
      <x:c r="G2055" t="str">
        <x:v>equals</x:v>
      </x:c>
      <x:c r="H2055" t="str">
        <x:f>IF(E2055=F2055,"PASS","FAIL")</x:f>
        <x:v>PASS</x:v>
      </x:c>
    </x:row>
    <x:row r="2056">
      <x:c r="B2056" t="str">
        <x:v>A-02024</x:v>
      </x:c>
      <x:c r="C2056" t="str">
        <x:v>GATE</x:v>
      </x:c>
      <x:c r="D2056" t="str">
        <x:v>release state mirrors governing ledger</x:v>
      </x:c>
      <x:c r="E2056" t="str">
        <x:f>'Release Gates'!I2030</x:f>
        <x:v>OPEN</x:v>
      </x:c>
      <x:c r="F2056" t="str">
        <x:f>IF('Release Gates'!C2030="PLANNING","PASS",IF('Release Gates'!C2030="PHYSICAL","OPEN","BLOCKED"))</x:f>
        <x:v>OPEN</x:v>
      </x:c>
      <x:c r="G2056" t="str">
        <x:v>equals</x:v>
      </x:c>
      <x:c r="H2056" t="str">
        <x:f>IF(E2056=F2056,"PASS","FAIL")</x:f>
        <x:v>PASS</x:v>
      </x:c>
    </x:row>
    <x:row r="2057">
      <x:c r="B2057" t="str">
        <x:v>A-02025</x:v>
      </x:c>
      <x:c r="C2057" t="str">
        <x:v>GATE</x:v>
      </x:c>
      <x:c r="D2057" t="str">
        <x:v>release state mirrors governing ledger</x:v>
      </x:c>
      <x:c r="E2057" t="str">
        <x:f>'Release Gates'!I2031</x:f>
        <x:v>OPEN</x:v>
      </x:c>
      <x:c r="F2057" t="str">
        <x:f>IF('Release Gates'!C2031="PLANNING","PASS",IF('Release Gates'!C2031="PHYSICAL","OPEN","BLOCKED"))</x:f>
        <x:v>OPEN</x:v>
      </x:c>
      <x:c r="G2057" t="str">
        <x:v>equals</x:v>
      </x:c>
      <x:c r="H2057" t="str">
        <x:f>IF(E2057=F2057,"PASS","FAIL")</x:f>
        <x:v>PASS</x:v>
      </x:c>
    </x:row>
    <x:row r="2058">
      <x:c r="B2058" t="str">
        <x:v>A-02026</x:v>
      </x:c>
      <x:c r="C2058" t="str">
        <x:v>GATE</x:v>
      </x:c>
      <x:c r="D2058" t="str">
        <x:v>release state mirrors governing ledger</x:v>
      </x:c>
      <x:c r="E2058" t="str">
        <x:f>'Release Gates'!I2032</x:f>
        <x:v>OPEN</x:v>
      </x:c>
      <x:c r="F2058" t="str">
        <x:f>IF('Release Gates'!C2032="PLANNING","PASS",IF('Release Gates'!C2032="PHYSICAL","OPEN","BLOCKED"))</x:f>
        <x:v>OPEN</x:v>
      </x:c>
      <x:c r="G2058" t="str">
        <x:v>equals</x:v>
      </x:c>
      <x:c r="H2058" t="str">
        <x:f>IF(E2058=F2058,"PASS","FAIL")</x:f>
        <x:v>PASS</x:v>
      </x:c>
    </x:row>
    <x:row r="2059">
      <x:c r="B2059" t="str">
        <x:v>A-02027</x:v>
      </x:c>
      <x:c r="C2059" t="str">
        <x:v>GATE</x:v>
      </x:c>
      <x:c r="D2059" t="str">
        <x:v>release state mirrors governing ledger</x:v>
      </x:c>
      <x:c r="E2059" t="str">
        <x:f>'Release Gates'!I2033</x:f>
        <x:v>OPEN</x:v>
      </x:c>
      <x:c r="F2059" t="str">
        <x:f>IF('Release Gates'!C2033="PLANNING","PASS",IF('Release Gates'!C2033="PHYSICAL","OPEN","BLOCKED"))</x:f>
        <x:v>OPEN</x:v>
      </x:c>
      <x:c r="G2059" t="str">
        <x:v>equals</x:v>
      </x:c>
      <x:c r="H2059" t="str">
        <x:f>IF(E2059=F2059,"PASS","FAIL")</x:f>
        <x:v>PASS</x:v>
      </x:c>
    </x:row>
    <x:row r="2060">
      <x:c r="B2060" t="str">
        <x:v>A-02028</x:v>
      </x:c>
      <x:c r="C2060" t="str">
        <x:v>GATE</x:v>
      </x:c>
      <x:c r="D2060" t="str">
        <x:v>release state mirrors governing ledger</x:v>
      </x:c>
      <x:c r="E2060" t="str">
        <x:f>'Release Gates'!I2034</x:f>
        <x:v>OPEN</x:v>
      </x:c>
      <x:c r="F2060" t="str">
        <x:f>IF('Release Gates'!C2034="PLANNING","PASS",IF('Release Gates'!C2034="PHYSICAL","OPEN","BLOCKED"))</x:f>
        <x:v>OPEN</x:v>
      </x:c>
      <x:c r="G2060" t="str">
        <x:v>equals</x:v>
      </x:c>
      <x:c r="H2060" t="str">
        <x:f>IF(E2060=F2060,"PASS","FAIL")</x:f>
        <x:v>PASS</x:v>
      </x:c>
    </x:row>
    <x:row r="2061">
      <x:c r="B2061" t="str">
        <x:v>A-02029</x:v>
      </x:c>
      <x:c r="C2061" t="str">
        <x:v>GATE</x:v>
      </x:c>
      <x:c r="D2061" t="str">
        <x:v>release state mirrors governing ledger</x:v>
      </x:c>
      <x:c r="E2061" t="str">
        <x:f>'Release Gates'!I2035</x:f>
        <x:v>OPEN</x:v>
      </x:c>
      <x:c r="F2061" t="str">
        <x:f>IF('Release Gates'!C2035="PLANNING","PASS",IF('Release Gates'!C2035="PHYSICAL","OPEN","BLOCKED"))</x:f>
        <x:v>OPEN</x:v>
      </x:c>
      <x:c r="G2061" t="str">
        <x:v>equals</x:v>
      </x:c>
      <x:c r="H2061" t="str">
        <x:f>IF(E2061=F2061,"PASS","FAIL")</x:f>
        <x:v>PASS</x:v>
      </x:c>
    </x:row>
    <x:row r="2062">
      <x:c r="B2062" t="str">
        <x:v>A-02030</x:v>
      </x:c>
      <x:c r="C2062" t="str">
        <x:v>GATE</x:v>
      </x:c>
      <x:c r="D2062" t="str">
        <x:v>release state mirrors governing ledger</x:v>
      </x:c>
      <x:c r="E2062" t="str">
        <x:f>'Release Gates'!I2036</x:f>
        <x:v>OPEN</x:v>
      </x:c>
      <x:c r="F2062" t="str">
        <x:f>IF('Release Gates'!C2036="PLANNING","PASS",IF('Release Gates'!C2036="PHYSICAL","OPEN","BLOCKED"))</x:f>
        <x:v>OPEN</x:v>
      </x:c>
      <x:c r="G2062" t="str">
        <x:v>equals</x:v>
      </x:c>
      <x:c r="H2062" t="str">
        <x:f>IF(E2062=F2062,"PASS","FAIL")</x:f>
        <x:v>PASS</x:v>
      </x:c>
    </x:row>
    <x:row r="2063">
      <x:c r="B2063" t="str">
        <x:v>A-02031</x:v>
      </x:c>
      <x:c r="C2063" t="str">
        <x:v>GATE</x:v>
      </x:c>
      <x:c r="D2063" t="str">
        <x:v>release state mirrors governing ledger</x:v>
      </x:c>
      <x:c r="E2063" t="str">
        <x:f>'Release Gates'!I2037</x:f>
        <x:v>OPEN</x:v>
      </x:c>
      <x:c r="F2063" t="str">
        <x:f>IF('Release Gates'!C2037="PLANNING","PASS",IF('Release Gates'!C2037="PHYSICAL","OPEN","BLOCKED"))</x:f>
        <x:v>OPEN</x:v>
      </x:c>
      <x:c r="G2063" t="str">
        <x:v>equals</x:v>
      </x:c>
      <x:c r="H2063" t="str">
        <x:f>IF(E2063=F2063,"PASS","FAIL")</x:f>
        <x:v>PASS</x:v>
      </x:c>
    </x:row>
    <x:row r="2064">
      <x:c r="B2064" t="str">
        <x:v>A-02032</x:v>
      </x:c>
      <x:c r="C2064" t="str">
        <x:v>GATE</x:v>
      </x:c>
      <x:c r="D2064" t="str">
        <x:v>release state mirrors governing ledger</x:v>
      </x:c>
      <x:c r="E2064" t="str">
        <x:f>'Release Gates'!I2038</x:f>
        <x:v>OPEN</x:v>
      </x:c>
      <x:c r="F2064" t="str">
        <x:f>IF('Release Gates'!C2038="PLANNING","PASS",IF('Release Gates'!C2038="PHYSICAL","OPEN","BLOCKED"))</x:f>
        <x:v>OPEN</x:v>
      </x:c>
      <x:c r="G2064" t="str">
        <x:v>equals</x:v>
      </x:c>
      <x:c r="H2064" t="str">
        <x:f>IF(E2064=F2064,"PASS","FAIL")</x:f>
        <x:v>PASS</x:v>
      </x:c>
    </x:row>
    <x:row r="2065">
      <x:c r="B2065" t="str">
        <x:v>A-02033</x:v>
      </x:c>
      <x:c r="C2065" t="str">
        <x:v>GATE</x:v>
      </x:c>
      <x:c r="D2065" t="str">
        <x:v>release state mirrors governing ledger</x:v>
      </x:c>
      <x:c r="E2065" t="str">
        <x:f>'Release Gates'!I2039</x:f>
        <x:v>OPEN</x:v>
      </x:c>
      <x:c r="F2065" t="str">
        <x:f>IF('Release Gates'!C2039="PLANNING","PASS",IF('Release Gates'!C2039="PHYSICAL","OPEN","BLOCKED"))</x:f>
        <x:v>OPEN</x:v>
      </x:c>
      <x:c r="G2065" t="str">
        <x:v>equals</x:v>
      </x:c>
      <x:c r="H2065" t="str">
        <x:f>IF(E2065=F2065,"PASS","FAIL")</x:f>
        <x:v>PASS</x:v>
      </x:c>
    </x:row>
    <x:row r="2066">
      <x:c r="B2066" t="str">
        <x:v>A-02034</x:v>
      </x:c>
      <x:c r="C2066" t="str">
        <x:v>GATE</x:v>
      </x:c>
      <x:c r="D2066" t="str">
        <x:v>release state mirrors governing ledger</x:v>
      </x:c>
      <x:c r="E2066" t="str">
        <x:f>'Release Gates'!I2040</x:f>
        <x:v>OPEN</x:v>
      </x:c>
      <x:c r="F2066" t="str">
        <x:f>IF('Release Gates'!C2040="PLANNING","PASS",IF('Release Gates'!C2040="PHYSICAL","OPEN","BLOCKED"))</x:f>
        <x:v>OPEN</x:v>
      </x:c>
      <x:c r="G2066" t="str">
        <x:v>equals</x:v>
      </x:c>
      <x:c r="H2066" t="str">
        <x:f>IF(E2066=F2066,"PASS","FAIL")</x:f>
        <x:v>PASS</x:v>
      </x:c>
    </x:row>
    <x:row r="2067">
      <x:c r="B2067" t="str">
        <x:v>A-02035</x:v>
      </x:c>
      <x:c r="C2067" t="str">
        <x:v>GATE</x:v>
      </x:c>
      <x:c r="D2067" t="str">
        <x:v>release state mirrors governing ledger</x:v>
      </x:c>
      <x:c r="E2067" t="str">
        <x:f>'Release Gates'!I2041</x:f>
        <x:v>OPEN</x:v>
      </x:c>
      <x:c r="F2067" t="str">
        <x:f>IF('Release Gates'!C2041="PLANNING","PASS",IF('Release Gates'!C2041="PHYSICAL","OPEN","BLOCKED"))</x:f>
        <x:v>OPEN</x:v>
      </x:c>
      <x:c r="G2067" t="str">
        <x:v>equals</x:v>
      </x:c>
      <x:c r="H2067" t="str">
        <x:f>IF(E2067=F2067,"PASS","FAIL")</x:f>
        <x:v>PASS</x:v>
      </x:c>
    </x:row>
    <x:row r="2068">
      <x:c r="B2068" t="str">
        <x:v>A-02036</x:v>
      </x:c>
      <x:c r="C2068" t="str">
        <x:v>GATE</x:v>
      </x:c>
      <x:c r="D2068" t="str">
        <x:v>release state mirrors governing ledger</x:v>
      </x:c>
      <x:c r="E2068" t="str">
        <x:f>'Release Gates'!I2042</x:f>
        <x:v>OPEN</x:v>
      </x:c>
      <x:c r="F2068" t="str">
        <x:f>IF('Release Gates'!C2042="PLANNING","PASS",IF('Release Gates'!C2042="PHYSICAL","OPEN","BLOCKED"))</x:f>
        <x:v>OPEN</x:v>
      </x:c>
      <x:c r="G2068" t="str">
        <x:v>equals</x:v>
      </x:c>
      <x:c r="H2068" t="str">
        <x:f>IF(E2068=F2068,"PASS","FAIL")</x:f>
        <x:v>PASS</x:v>
      </x:c>
    </x:row>
    <x:row r="2069">
      <x:c r="B2069" t="str">
        <x:v>A-02037</x:v>
      </x:c>
      <x:c r="C2069" t="str">
        <x:v>GATE</x:v>
      </x:c>
      <x:c r="D2069" t="str">
        <x:v>release state mirrors governing ledger</x:v>
      </x:c>
      <x:c r="E2069" t="str">
        <x:f>'Release Gates'!I2043</x:f>
        <x:v>OPEN</x:v>
      </x:c>
      <x:c r="F2069" t="str">
        <x:f>IF('Release Gates'!C2043="PLANNING","PASS",IF('Release Gates'!C2043="PHYSICAL","OPEN","BLOCKED"))</x:f>
        <x:v>OPEN</x:v>
      </x:c>
      <x:c r="G2069" t="str">
        <x:v>equals</x:v>
      </x:c>
      <x:c r="H2069" t="str">
        <x:f>IF(E2069=F2069,"PASS","FAIL")</x:f>
        <x:v>PASS</x:v>
      </x:c>
    </x:row>
    <x:row r="2070">
      <x:c r="B2070" t="str">
        <x:v>A-02038</x:v>
      </x:c>
      <x:c r="C2070" t="str">
        <x:v>GATE</x:v>
      </x:c>
      <x:c r="D2070" t="str">
        <x:v>release state mirrors governing ledger</x:v>
      </x:c>
      <x:c r="E2070" t="str">
        <x:f>'Release Gates'!I2044</x:f>
        <x:v>OPEN</x:v>
      </x:c>
      <x:c r="F2070" t="str">
        <x:f>IF('Release Gates'!C2044="PLANNING","PASS",IF('Release Gates'!C2044="PHYSICAL","OPEN","BLOCKED"))</x:f>
        <x:v>OPEN</x:v>
      </x:c>
      <x:c r="G2070" t="str">
        <x:v>equals</x:v>
      </x:c>
      <x:c r="H2070" t="str">
        <x:f>IF(E2070=F2070,"PASS","FAIL")</x:f>
        <x:v>PASS</x:v>
      </x:c>
    </x:row>
    <x:row r="2071">
      <x:c r="B2071" t="str">
        <x:v>A-02039</x:v>
      </x:c>
      <x:c r="C2071" t="str">
        <x:v>GATE</x:v>
      </x:c>
      <x:c r="D2071" t="str">
        <x:v>release state mirrors governing ledger</x:v>
      </x:c>
      <x:c r="E2071" t="str">
        <x:f>'Release Gates'!I2045</x:f>
        <x:v>OPEN</x:v>
      </x:c>
      <x:c r="F2071" t="str">
        <x:f>IF('Release Gates'!C2045="PLANNING","PASS",IF('Release Gates'!C2045="PHYSICAL","OPEN","BLOCKED"))</x:f>
        <x:v>OPEN</x:v>
      </x:c>
      <x:c r="G2071" t="str">
        <x:v>equals</x:v>
      </x:c>
      <x:c r="H2071" t="str">
        <x:f>IF(E2071=F2071,"PASS","FAIL")</x:f>
        <x:v>PASS</x:v>
      </x:c>
    </x:row>
    <x:row r="2072">
      <x:c r="B2072" t="str">
        <x:v>A-02040</x:v>
      </x:c>
      <x:c r="C2072" t="str">
        <x:v>GATE</x:v>
      </x:c>
      <x:c r="D2072" t="str">
        <x:v>release state mirrors governing ledger</x:v>
      </x:c>
      <x:c r="E2072" t="str">
        <x:f>'Release Gates'!I2046</x:f>
        <x:v>OPEN</x:v>
      </x:c>
      <x:c r="F2072" t="str">
        <x:f>IF('Release Gates'!C2046="PLANNING","PASS",IF('Release Gates'!C2046="PHYSICAL","OPEN","BLOCKED"))</x:f>
        <x:v>OPEN</x:v>
      </x:c>
      <x:c r="G2072" t="str">
        <x:v>equals</x:v>
      </x:c>
      <x:c r="H2072" t="str">
        <x:f>IF(E2072=F2072,"PASS","FAIL")</x:f>
        <x:v>PASS</x:v>
      </x:c>
    </x:row>
    <x:row r="2073">
      <x:c r="B2073" t="str">
        <x:v>A-02041</x:v>
      </x:c>
      <x:c r="C2073" t="str">
        <x:v>GATE</x:v>
      </x:c>
      <x:c r="D2073" t="str">
        <x:v>release state mirrors governing ledger</x:v>
      </x:c>
      <x:c r="E2073" t="str">
        <x:f>'Release Gates'!I2047</x:f>
        <x:v>OPEN</x:v>
      </x:c>
      <x:c r="F2073" t="str">
        <x:f>IF('Release Gates'!C2047="PLANNING","PASS",IF('Release Gates'!C2047="PHYSICAL","OPEN","BLOCKED"))</x:f>
        <x:v>OPEN</x:v>
      </x:c>
      <x:c r="G2073" t="str">
        <x:v>equals</x:v>
      </x:c>
      <x:c r="H2073" t="str">
        <x:f>IF(E2073=F2073,"PASS","FAIL")</x:f>
        <x:v>PASS</x:v>
      </x:c>
    </x:row>
    <x:row r="2074">
      <x:c r="B2074" t="str">
        <x:v>A-02042</x:v>
      </x:c>
      <x:c r="C2074" t="str">
        <x:v>GATE</x:v>
      </x:c>
      <x:c r="D2074" t="str">
        <x:v>release state mirrors governing ledger</x:v>
      </x:c>
      <x:c r="E2074" t="str">
        <x:f>'Release Gates'!I2048</x:f>
        <x:v>OPEN</x:v>
      </x:c>
      <x:c r="F2074" t="str">
        <x:f>IF('Release Gates'!C2048="PLANNING","PASS",IF('Release Gates'!C2048="PHYSICAL","OPEN","BLOCKED"))</x:f>
        <x:v>OPEN</x:v>
      </x:c>
      <x:c r="G2074" t="str">
        <x:v>equals</x:v>
      </x:c>
      <x:c r="H2074" t="str">
        <x:f>IF(E2074=F2074,"PASS","FAIL")</x:f>
        <x:v>PASS</x:v>
      </x:c>
    </x:row>
    <x:row r="2075">
      <x:c r="B2075" t="str">
        <x:v>A-02043</x:v>
      </x:c>
      <x:c r="C2075" t="str">
        <x:v>GATE</x:v>
      </x:c>
      <x:c r="D2075" t="str">
        <x:v>release state mirrors governing ledger</x:v>
      </x:c>
      <x:c r="E2075" t="str">
        <x:f>'Release Gates'!I2049</x:f>
        <x:v>OPEN</x:v>
      </x:c>
      <x:c r="F2075" t="str">
        <x:f>IF('Release Gates'!C2049="PLANNING","PASS",IF('Release Gates'!C2049="PHYSICAL","OPEN","BLOCKED"))</x:f>
        <x:v>OPEN</x:v>
      </x:c>
      <x:c r="G2075" t="str">
        <x:v>equals</x:v>
      </x:c>
      <x:c r="H2075" t="str">
        <x:f>IF(E2075=F2075,"PASS","FAIL")</x:f>
        <x:v>PASS</x:v>
      </x:c>
    </x:row>
    <x:row r="2076">
      <x:c r="B2076" t="str">
        <x:v>A-02044</x:v>
      </x:c>
      <x:c r="C2076" t="str">
        <x:v>GATE</x:v>
      </x:c>
      <x:c r="D2076" t="str">
        <x:v>release state mirrors governing ledger</x:v>
      </x:c>
      <x:c r="E2076" t="str">
        <x:f>'Release Gates'!I2050</x:f>
        <x:v>OPEN</x:v>
      </x:c>
      <x:c r="F2076" t="str">
        <x:f>IF('Release Gates'!C2050="PLANNING","PASS",IF('Release Gates'!C2050="PHYSICAL","OPEN","BLOCKED"))</x:f>
        <x:v>OPEN</x:v>
      </x:c>
      <x:c r="G2076" t="str">
        <x:v>equals</x:v>
      </x:c>
      <x:c r="H2076" t="str">
        <x:f>IF(E2076=F2076,"PASS","FAIL")</x:f>
        <x:v>PASS</x:v>
      </x:c>
    </x:row>
    <x:row r="2077">
      <x:c r="B2077" t="str">
        <x:v>A-02045</x:v>
      </x:c>
      <x:c r="C2077" t="str">
        <x:v>GATE</x:v>
      </x:c>
      <x:c r="D2077" t="str">
        <x:v>release state mirrors governing ledger</x:v>
      </x:c>
      <x:c r="E2077" t="str">
        <x:f>'Release Gates'!I2051</x:f>
        <x:v>OPEN</x:v>
      </x:c>
      <x:c r="F2077" t="str">
        <x:f>IF('Release Gates'!C2051="PLANNING","PASS",IF('Release Gates'!C2051="PHYSICAL","OPEN","BLOCKED"))</x:f>
        <x:v>OPEN</x:v>
      </x:c>
      <x:c r="G2077" t="str">
        <x:v>equals</x:v>
      </x:c>
      <x:c r="H2077" t="str">
        <x:f>IF(E2077=F2077,"PASS","FAIL")</x:f>
        <x:v>PASS</x:v>
      </x:c>
    </x:row>
    <x:row r="2078">
      <x:c r="B2078" t="str">
        <x:v>A-02046</x:v>
      </x:c>
      <x:c r="C2078" t="str">
        <x:v>GATE</x:v>
      </x:c>
      <x:c r="D2078" t="str">
        <x:v>release state mirrors governing ledger</x:v>
      </x:c>
      <x:c r="E2078" t="str">
        <x:f>'Release Gates'!I2052</x:f>
        <x:v>OPEN</x:v>
      </x:c>
      <x:c r="F2078" t="str">
        <x:f>IF('Release Gates'!C2052="PLANNING","PASS",IF('Release Gates'!C2052="PHYSICAL","OPEN","BLOCKED"))</x:f>
        <x:v>OPEN</x:v>
      </x:c>
      <x:c r="G2078" t="str">
        <x:v>equals</x:v>
      </x:c>
      <x:c r="H2078" t="str">
        <x:f>IF(E2078=F2078,"PASS","FAIL")</x:f>
        <x:v>PASS</x:v>
      </x:c>
    </x:row>
    <x:row r="2079">
      <x:c r="B2079" t="str">
        <x:v>A-02047</x:v>
      </x:c>
      <x:c r="C2079" t="str">
        <x:v>GATE</x:v>
      </x:c>
      <x:c r="D2079" t="str">
        <x:v>release state mirrors governing ledger</x:v>
      </x:c>
      <x:c r="E2079" t="str">
        <x:f>'Release Gates'!I2053</x:f>
        <x:v>OPEN</x:v>
      </x:c>
      <x:c r="F2079" t="str">
        <x:f>IF('Release Gates'!C2053="PLANNING","PASS",IF('Release Gates'!C2053="PHYSICAL","OPEN","BLOCKED"))</x:f>
        <x:v>OPEN</x:v>
      </x:c>
      <x:c r="G2079" t="str">
        <x:v>equals</x:v>
      </x:c>
      <x:c r="H2079" t="str">
        <x:f>IF(E2079=F2079,"PASS","FAIL")</x:f>
        <x:v>PASS</x:v>
      </x:c>
    </x:row>
    <x:row r="2080">
      <x:c r="B2080" t="str">
        <x:v>A-02048</x:v>
      </x:c>
      <x:c r="C2080" t="str">
        <x:v>GATE</x:v>
      </x:c>
      <x:c r="D2080" t="str">
        <x:v>release state mirrors governing ledger</x:v>
      </x:c>
      <x:c r="E2080" t="str">
        <x:f>'Release Gates'!I2054</x:f>
        <x:v>OPEN</x:v>
      </x:c>
      <x:c r="F2080" t="str">
        <x:f>IF('Release Gates'!C2054="PLANNING","PASS",IF('Release Gates'!C2054="PHYSICAL","OPEN","BLOCKED"))</x:f>
        <x:v>OPEN</x:v>
      </x:c>
      <x:c r="G2080" t="str">
        <x:v>equals</x:v>
      </x:c>
      <x:c r="H2080" t="str">
        <x:f>IF(E2080=F2080,"PASS","FAIL")</x:f>
        <x:v>PASS</x:v>
      </x:c>
    </x:row>
    <x:row r="2081">
      <x:c r="B2081" t="str">
        <x:v>A-02049</x:v>
      </x:c>
      <x:c r="C2081" t="str">
        <x:v>GATE</x:v>
      </x:c>
      <x:c r="D2081" t="str">
        <x:v>release state mirrors governing ledger</x:v>
      </x:c>
      <x:c r="E2081" t="str">
        <x:f>'Release Gates'!I2055</x:f>
        <x:v>OPEN</x:v>
      </x:c>
      <x:c r="F2081" t="str">
        <x:f>IF('Release Gates'!C2055="PLANNING","PASS",IF('Release Gates'!C2055="PHYSICAL","OPEN","BLOCKED"))</x:f>
        <x:v>OPEN</x:v>
      </x:c>
      <x:c r="G2081" t="str">
        <x:v>equals</x:v>
      </x:c>
      <x:c r="H2081" t="str">
        <x:f>IF(E2081=F2081,"PASS","FAIL")</x:f>
        <x:v>PASS</x:v>
      </x:c>
    </x:row>
    <x:row r="2082">
      <x:c r="B2082" t="str">
        <x:v>A-02050</x:v>
      </x:c>
      <x:c r="C2082" t="str">
        <x:v>GATE</x:v>
      </x:c>
      <x:c r="D2082" t="str">
        <x:v>release state mirrors governing ledger</x:v>
      </x:c>
      <x:c r="E2082" t="str">
        <x:f>'Release Gates'!I2056</x:f>
        <x:v>OPEN</x:v>
      </x:c>
      <x:c r="F2082" t="str">
        <x:f>IF('Release Gates'!C2056="PLANNING","PASS",IF('Release Gates'!C2056="PHYSICAL","OPEN","BLOCKED"))</x:f>
        <x:v>OPEN</x:v>
      </x:c>
      <x:c r="G2082" t="str">
        <x:v>equals</x:v>
      </x:c>
      <x:c r="H2082" t="str">
        <x:f>IF(E2082=F2082,"PASS","FAIL")</x:f>
        <x:v>PASS</x:v>
      </x:c>
    </x:row>
    <x:row r="2083">
      <x:c r="B2083" t="str">
        <x:v>A-02051</x:v>
      </x:c>
      <x:c r="C2083" t="str">
        <x:v>GATE</x:v>
      </x:c>
      <x:c r="D2083" t="str">
        <x:v>release state mirrors governing ledger</x:v>
      </x:c>
      <x:c r="E2083" t="str">
        <x:f>'Release Gates'!I2057</x:f>
        <x:v>OPEN</x:v>
      </x:c>
      <x:c r="F2083" t="str">
        <x:f>IF('Release Gates'!C2057="PLANNING","PASS",IF('Release Gates'!C2057="PHYSICAL","OPEN","BLOCKED"))</x:f>
        <x:v>OPEN</x:v>
      </x:c>
      <x:c r="G2083" t="str">
        <x:v>equals</x:v>
      </x:c>
      <x:c r="H2083" t="str">
        <x:f>IF(E2083=F2083,"PASS","FAIL")</x:f>
        <x:v>PASS</x:v>
      </x:c>
    </x:row>
    <x:row r="2084">
      <x:c r="B2084" t="str">
        <x:v>A-02052</x:v>
      </x:c>
      <x:c r="C2084" t="str">
        <x:v>GATE</x:v>
      </x:c>
      <x:c r="D2084" t="str">
        <x:v>release state mirrors governing ledger</x:v>
      </x:c>
      <x:c r="E2084" t="str">
        <x:f>'Release Gates'!I2058</x:f>
        <x:v>OPEN</x:v>
      </x:c>
      <x:c r="F2084" t="str">
        <x:f>IF('Release Gates'!C2058="PLANNING","PASS",IF('Release Gates'!C2058="PHYSICAL","OPEN","BLOCKED"))</x:f>
        <x:v>OPEN</x:v>
      </x:c>
      <x:c r="G2084" t="str">
        <x:v>equals</x:v>
      </x:c>
      <x:c r="H2084" t="str">
        <x:f>IF(E2084=F2084,"PASS","FAIL")</x:f>
        <x:v>PASS</x:v>
      </x:c>
    </x:row>
    <x:row r="2085">
      <x:c r="B2085" t="str">
        <x:v>A-02053</x:v>
      </x:c>
      <x:c r="C2085" t="str">
        <x:v>GATE</x:v>
      </x:c>
      <x:c r="D2085" t="str">
        <x:v>release state mirrors governing ledger</x:v>
      </x:c>
      <x:c r="E2085" t="str">
        <x:f>'Release Gates'!I2059</x:f>
        <x:v>OPEN</x:v>
      </x:c>
      <x:c r="F2085" t="str">
        <x:f>IF('Release Gates'!C2059="PLANNING","PASS",IF('Release Gates'!C2059="PHYSICAL","OPEN","BLOCKED"))</x:f>
        <x:v>OPEN</x:v>
      </x:c>
      <x:c r="G2085" t="str">
        <x:v>equals</x:v>
      </x:c>
      <x:c r="H2085" t="str">
        <x:f>IF(E2085=F2085,"PASS","FAIL")</x:f>
        <x:v>PASS</x:v>
      </x:c>
    </x:row>
    <x:row r="2086">
      <x:c r="B2086" t="str">
        <x:v>A-02054</x:v>
      </x:c>
      <x:c r="C2086" t="str">
        <x:v>GATE</x:v>
      </x:c>
      <x:c r="D2086" t="str">
        <x:v>release state mirrors governing ledger</x:v>
      </x:c>
      <x:c r="E2086" t="str">
        <x:f>'Release Gates'!I2060</x:f>
        <x:v>OPEN</x:v>
      </x:c>
      <x:c r="F2086" t="str">
        <x:f>IF('Release Gates'!C2060="PLANNING","PASS",IF('Release Gates'!C2060="PHYSICAL","OPEN","BLOCKED"))</x:f>
        <x:v>OPEN</x:v>
      </x:c>
      <x:c r="G2086" t="str">
        <x:v>equals</x:v>
      </x:c>
      <x:c r="H2086" t="str">
        <x:f>IF(E2086=F2086,"PASS","FAIL")</x:f>
        <x:v>PASS</x:v>
      </x:c>
    </x:row>
    <x:row r="2087">
      <x:c r="B2087" t="str">
        <x:v>A-02055</x:v>
      </x:c>
      <x:c r="C2087" t="str">
        <x:v>GATE</x:v>
      </x:c>
      <x:c r="D2087" t="str">
        <x:v>release state mirrors governing ledger</x:v>
      </x:c>
      <x:c r="E2087" t="str">
        <x:f>'Release Gates'!I2061</x:f>
        <x:v>OPEN</x:v>
      </x:c>
      <x:c r="F2087" t="str">
        <x:f>IF('Release Gates'!C2061="PLANNING","PASS",IF('Release Gates'!C2061="PHYSICAL","OPEN","BLOCKED"))</x:f>
        <x:v>OPEN</x:v>
      </x:c>
      <x:c r="G2087" t="str">
        <x:v>equals</x:v>
      </x:c>
      <x:c r="H2087" t="str">
        <x:f>IF(E2087=F2087,"PASS","FAIL")</x:f>
        <x:v>PASS</x:v>
      </x:c>
    </x:row>
    <x:row r="2088">
      <x:c r="B2088" t="str">
        <x:v>A-02056</x:v>
      </x:c>
      <x:c r="C2088" t="str">
        <x:v>GATE</x:v>
      </x:c>
      <x:c r="D2088" t="str">
        <x:v>release state mirrors governing ledger</x:v>
      </x:c>
      <x:c r="E2088" t="str">
        <x:f>'Release Gates'!I2062</x:f>
        <x:v>OPEN</x:v>
      </x:c>
      <x:c r="F2088" t="str">
        <x:f>IF('Release Gates'!C2062="PLANNING","PASS",IF('Release Gates'!C2062="PHYSICAL","OPEN","BLOCKED"))</x:f>
        <x:v>OPEN</x:v>
      </x:c>
      <x:c r="G2088" t="str">
        <x:v>equals</x:v>
      </x:c>
      <x:c r="H2088" t="str">
        <x:f>IF(E2088=F2088,"PASS","FAIL")</x:f>
        <x:v>PASS</x:v>
      </x:c>
    </x:row>
    <x:row r="2089">
      <x:c r="B2089" t="str">
        <x:v>A-02057</x:v>
      </x:c>
      <x:c r="C2089" t="str">
        <x:v>GATE</x:v>
      </x:c>
      <x:c r="D2089" t="str">
        <x:v>release state mirrors governing ledger</x:v>
      </x:c>
      <x:c r="E2089" t="str">
        <x:f>'Release Gates'!I2063</x:f>
        <x:v>OPEN</x:v>
      </x:c>
      <x:c r="F2089" t="str">
        <x:f>IF('Release Gates'!C2063="PLANNING","PASS",IF('Release Gates'!C2063="PHYSICAL","OPEN","BLOCKED"))</x:f>
        <x:v>OPEN</x:v>
      </x:c>
      <x:c r="G2089" t="str">
        <x:v>equals</x:v>
      </x:c>
      <x:c r="H2089" t="str">
        <x:f>IF(E2089=F2089,"PASS","FAIL")</x:f>
        <x:v>PASS</x:v>
      </x:c>
    </x:row>
    <x:row r="2090">
      <x:c r="B2090" t="str">
        <x:v>A-02058</x:v>
      </x:c>
      <x:c r="C2090" t="str">
        <x:v>GATE</x:v>
      </x:c>
      <x:c r="D2090" t="str">
        <x:v>release state mirrors governing ledger</x:v>
      </x:c>
      <x:c r="E2090" t="str">
        <x:f>'Release Gates'!I2064</x:f>
        <x:v>OPEN</x:v>
      </x:c>
      <x:c r="F2090" t="str">
        <x:f>IF('Release Gates'!C2064="PLANNING","PASS",IF('Release Gates'!C2064="PHYSICAL","OPEN","BLOCKED"))</x:f>
        <x:v>OPEN</x:v>
      </x:c>
      <x:c r="G2090" t="str">
        <x:v>equals</x:v>
      </x:c>
      <x:c r="H2090" t="str">
        <x:f>IF(E2090=F2090,"PASS","FAIL")</x:f>
        <x:v>PASS</x:v>
      </x:c>
    </x:row>
    <x:row r="2091">
      <x:c r="B2091" t="str">
        <x:v>A-02059</x:v>
      </x:c>
      <x:c r="C2091" t="str">
        <x:v>GATE</x:v>
      </x:c>
      <x:c r="D2091" t="str">
        <x:v>release state mirrors governing ledger</x:v>
      </x:c>
      <x:c r="E2091" t="str">
        <x:f>'Release Gates'!I2065</x:f>
        <x:v>OPEN</x:v>
      </x:c>
      <x:c r="F2091" t="str">
        <x:f>IF('Release Gates'!C2065="PLANNING","PASS",IF('Release Gates'!C2065="PHYSICAL","OPEN","BLOCKED"))</x:f>
        <x:v>OPEN</x:v>
      </x:c>
      <x:c r="G2091" t="str">
        <x:v>equals</x:v>
      </x:c>
      <x:c r="H2091" t="str">
        <x:f>IF(E2091=F2091,"PASS","FAIL")</x:f>
        <x:v>PASS</x:v>
      </x:c>
    </x:row>
    <x:row r="2092">
      <x:c r="B2092" t="str">
        <x:v>A-02060</x:v>
      </x:c>
      <x:c r="C2092" t="str">
        <x:v>GATE</x:v>
      </x:c>
      <x:c r="D2092" t="str">
        <x:v>release state mirrors governing ledger</x:v>
      </x:c>
      <x:c r="E2092" t="str">
        <x:f>'Release Gates'!I2066</x:f>
        <x:v>OPEN</x:v>
      </x:c>
      <x:c r="F2092" t="str">
        <x:f>IF('Release Gates'!C2066="PLANNING","PASS",IF('Release Gates'!C2066="PHYSICAL","OPEN","BLOCKED"))</x:f>
        <x:v>OPEN</x:v>
      </x:c>
      <x:c r="G2092" t="str">
        <x:v>equals</x:v>
      </x:c>
      <x:c r="H2092" t="str">
        <x:f>IF(E2092=F2092,"PASS","FAIL")</x:f>
        <x:v>PASS</x:v>
      </x:c>
    </x:row>
    <x:row r="2093">
      <x:c r="B2093" t="str">
        <x:v>A-02061</x:v>
      </x:c>
      <x:c r="C2093" t="str">
        <x:v>GATE</x:v>
      </x:c>
      <x:c r="D2093" t="str">
        <x:v>release state mirrors governing ledger</x:v>
      </x:c>
      <x:c r="E2093" t="str">
        <x:f>'Release Gates'!I2067</x:f>
        <x:v>OPEN</x:v>
      </x:c>
      <x:c r="F2093" t="str">
        <x:f>IF('Release Gates'!C2067="PLANNING","PASS",IF('Release Gates'!C2067="PHYSICAL","OPEN","BLOCKED"))</x:f>
        <x:v>OPEN</x:v>
      </x:c>
      <x:c r="G2093" t="str">
        <x:v>equals</x:v>
      </x:c>
      <x:c r="H2093" t="str">
        <x:f>IF(E2093=F2093,"PASS","FAIL")</x:f>
        <x:v>PASS</x:v>
      </x:c>
    </x:row>
    <x:row r="2094">
      <x:c r="B2094" t="str">
        <x:v>A-02062</x:v>
      </x:c>
      <x:c r="C2094" t="str">
        <x:v>GATE</x:v>
      </x:c>
      <x:c r="D2094" t="str">
        <x:v>release state mirrors governing ledger</x:v>
      </x:c>
      <x:c r="E2094" t="str">
        <x:f>'Release Gates'!I2068</x:f>
        <x:v>OPEN</x:v>
      </x:c>
      <x:c r="F2094" t="str">
        <x:f>IF('Release Gates'!C2068="PLANNING","PASS",IF('Release Gates'!C2068="PHYSICAL","OPEN","BLOCKED"))</x:f>
        <x:v>OPEN</x:v>
      </x:c>
      <x:c r="G2094" t="str">
        <x:v>equals</x:v>
      </x:c>
      <x:c r="H2094" t="str">
        <x:f>IF(E2094=F2094,"PASS","FAIL")</x:f>
        <x:v>PASS</x:v>
      </x:c>
    </x:row>
    <x:row r="2095">
      <x:c r="B2095" t="str">
        <x:v>A-02063</x:v>
      </x:c>
      <x:c r="C2095" t="str">
        <x:v>GATE</x:v>
      </x:c>
      <x:c r="D2095" t="str">
        <x:v>release state mirrors governing ledger</x:v>
      </x:c>
      <x:c r="E2095" t="str">
        <x:f>'Release Gates'!I2069</x:f>
        <x:v>OPEN</x:v>
      </x:c>
      <x:c r="F2095" t="str">
        <x:f>IF('Release Gates'!C2069="PLANNING","PASS",IF('Release Gates'!C2069="PHYSICAL","OPEN","BLOCKED"))</x:f>
        <x:v>OPEN</x:v>
      </x:c>
      <x:c r="G2095" t="str">
        <x:v>equals</x:v>
      </x:c>
      <x:c r="H2095" t="str">
        <x:f>IF(E2095=F2095,"PASS","FAIL")</x:f>
        <x:v>PASS</x:v>
      </x:c>
    </x:row>
    <x:row r="2096">
      <x:c r="B2096" t="str">
        <x:v>A-02064</x:v>
      </x:c>
      <x:c r="C2096" t="str">
        <x:v>GATE</x:v>
      </x:c>
      <x:c r="D2096" t="str">
        <x:v>release state mirrors governing ledger</x:v>
      </x:c>
      <x:c r="E2096" t="str">
        <x:f>'Release Gates'!I2070</x:f>
        <x:v>OPEN</x:v>
      </x:c>
      <x:c r="F2096" t="str">
        <x:f>IF('Release Gates'!C2070="PLANNING","PASS",IF('Release Gates'!C2070="PHYSICAL","OPEN","BLOCKED"))</x:f>
        <x:v>OPEN</x:v>
      </x:c>
      <x:c r="G2096" t="str">
        <x:v>equals</x:v>
      </x:c>
      <x:c r="H2096" t="str">
        <x:f>IF(E2096=F2096,"PASS","FAIL")</x:f>
        <x:v>PASS</x:v>
      </x:c>
    </x:row>
    <x:row r="2097">
      <x:c r="B2097" t="str">
        <x:v>A-02065</x:v>
      </x:c>
      <x:c r="C2097" t="str">
        <x:v>GATE</x:v>
      </x:c>
      <x:c r="D2097" t="str">
        <x:v>release state mirrors governing ledger</x:v>
      </x:c>
      <x:c r="E2097" t="str">
        <x:f>'Release Gates'!I2071</x:f>
        <x:v>OPEN</x:v>
      </x:c>
      <x:c r="F2097" t="str">
        <x:f>IF('Release Gates'!C2071="PLANNING","PASS",IF('Release Gates'!C2071="PHYSICAL","OPEN","BLOCKED"))</x:f>
        <x:v>OPEN</x:v>
      </x:c>
      <x:c r="G2097" t="str">
        <x:v>equals</x:v>
      </x:c>
      <x:c r="H2097" t="str">
        <x:f>IF(E2097=F2097,"PASS","FAIL")</x:f>
        <x:v>PASS</x:v>
      </x:c>
    </x:row>
    <x:row r="2098">
      <x:c r="B2098" t="str">
        <x:v>A-02066</x:v>
      </x:c>
      <x:c r="C2098" t="str">
        <x:v>GATE</x:v>
      </x:c>
      <x:c r="D2098" t="str">
        <x:v>release state mirrors governing ledger</x:v>
      </x:c>
      <x:c r="E2098" t="str">
        <x:f>'Release Gates'!I2072</x:f>
        <x:v>OPEN</x:v>
      </x:c>
      <x:c r="F2098" t="str">
        <x:f>IF('Release Gates'!C2072="PLANNING","PASS",IF('Release Gates'!C2072="PHYSICAL","OPEN","BLOCKED"))</x:f>
        <x:v>OPEN</x:v>
      </x:c>
      <x:c r="G2098" t="str">
        <x:v>equals</x:v>
      </x:c>
      <x:c r="H2098" t="str">
        <x:f>IF(E2098=F2098,"PASS","FAIL")</x:f>
        <x:v>PASS</x:v>
      </x:c>
    </x:row>
    <x:row r="2099">
      <x:c r="B2099" t="str">
        <x:v>A-02067</x:v>
      </x:c>
      <x:c r="C2099" t="str">
        <x:v>GATE</x:v>
      </x:c>
      <x:c r="D2099" t="str">
        <x:v>release state mirrors governing ledger</x:v>
      </x:c>
      <x:c r="E2099" t="str">
        <x:f>'Release Gates'!I2073</x:f>
        <x:v>OPEN</x:v>
      </x:c>
      <x:c r="F2099" t="str">
        <x:f>IF('Release Gates'!C2073="PLANNING","PASS",IF('Release Gates'!C2073="PHYSICAL","OPEN","BLOCKED"))</x:f>
        <x:v>OPEN</x:v>
      </x:c>
      <x:c r="G2099" t="str">
        <x:v>equals</x:v>
      </x:c>
      <x:c r="H2099" t="str">
        <x:f>IF(E2099=F2099,"PASS","FAIL")</x:f>
        <x:v>PASS</x:v>
      </x:c>
    </x:row>
    <x:row r="2100">
      <x:c r="B2100" t="str">
        <x:v>A-02068</x:v>
      </x:c>
      <x:c r="C2100" t="str">
        <x:v>GATE</x:v>
      </x:c>
      <x:c r="D2100" t="str">
        <x:v>release state mirrors governing ledger</x:v>
      </x:c>
      <x:c r="E2100" t="str">
        <x:f>'Release Gates'!I2074</x:f>
        <x:v>OPEN</x:v>
      </x:c>
      <x:c r="F2100" t="str">
        <x:f>IF('Release Gates'!C2074="PLANNING","PASS",IF('Release Gates'!C2074="PHYSICAL","OPEN","BLOCKED"))</x:f>
        <x:v>OPEN</x:v>
      </x:c>
      <x:c r="G2100" t="str">
        <x:v>equals</x:v>
      </x:c>
      <x:c r="H2100" t="str">
        <x:f>IF(E2100=F2100,"PASS","FAIL")</x:f>
        <x:v>PASS</x:v>
      </x:c>
    </x:row>
    <x:row r="2101">
      <x:c r="B2101" t="str">
        <x:v>A-02069</x:v>
      </x:c>
      <x:c r="C2101" t="str">
        <x:v>GATE</x:v>
      </x:c>
      <x:c r="D2101" t="str">
        <x:v>release state mirrors governing ledger</x:v>
      </x:c>
      <x:c r="E2101" t="str">
        <x:f>'Release Gates'!I2075</x:f>
        <x:v>OPEN</x:v>
      </x:c>
      <x:c r="F2101" t="str">
        <x:f>IF('Release Gates'!C2075="PLANNING","PASS",IF('Release Gates'!C2075="PHYSICAL","OPEN","BLOCKED"))</x:f>
        <x:v>OPEN</x:v>
      </x:c>
      <x:c r="G2101" t="str">
        <x:v>equals</x:v>
      </x:c>
      <x:c r="H2101" t="str">
        <x:f>IF(E2101=F2101,"PASS","FAIL")</x:f>
        <x:v>PASS</x:v>
      </x:c>
    </x:row>
    <x:row r="2102">
      <x:c r="B2102" t="str">
        <x:v>A-02070</x:v>
      </x:c>
      <x:c r="C2102" t="str">
        <x:v>GATE</x:v>
      </x:c>
      <x:c r="D2102" t="str">
        <x:v>release state mirrors governing ledger</x:v>
      </x:c>
      <x:c r="E2102" t="str">
        <x:f>'Release Gates'!I2076</x:f>
        <x:v>OPEN</x:v>
      </x:c>
      <x:c r="F2102" t="str">
        <x:f>IF('Release Gates'!C2076="PLANNING","PASS",IF('Release Gates'!C2076="PHYSICAL","OPEN","BLOCKED"))</x:f>
        <x:v>OPEN</x:v>
      </x:c>
      <x:c r="G2102" t="str">
        <x:v>equals</x:v>
      </x:c>
      <x:c r="H2102" t="str">
        <x:f>IF(E2102=F2102,"PASS","FAIL")</x:f>
        <x:v>PASS</x:v>
      </x:c>
    </x:row>
    <x:row r="2103">
      <x:c r="B2103" t="str">
        <x:v>A-02071</x:v>
      </x:c>
      <x:c r="C2103" t="str">
        <x:v>GATE</x:v>
      </x:c>
      <x:c r="D2103" t="str">
        <x:v>release state mirrors governing ledger</x:v>
      </x:c>
      <x:c r="E2103" t="str">
        <x:f>'Release Gates'!I2077</x:f>
        <x:v>OPEN</x:v>
      </x:c>
      <x:c r="F2103" t="str">
        <x:f>IF('Release Gates'!C2077="PLANNING","PASS",IF('Release Gates'!C2077="PHYSICAL","OPEN","BLOCKED"))</x:f>
        <x:v>OPEN</x:v>
      </x:c>
      <x:c r="G2103" t="str">
        <x:v>equals</x:v>
      </x:c>
      <x:c r="H2103" t="str">
        <x:f>IF(E2103=F2103,"PASS","FAIL")</x:f>
        <x:v>PASS</x:v>
      </x:c>
    </x:row>
    <x:row r="2104">
      <x:c r="B2104" t="str">
        <x:v>A-02072</x:v>
      </x:c>
      <x:c r="C2104" t="str">
        <x:v>GATE</x:v>
      </x:c>
      <x:c r="D2104" t="str">
        <x:v>release state mirrors governing ledger</x:v>
      </x:c>
      <x:c r="E2104" t="str">
        <x:f>'Release Gates'!I2078</x:f>
        <x:v>OPEN</x:v>
      </x:c>
      <x:c r="F2104" t="str">
        <x:f>IF('Release Gates'!C2078="PLANNING","PASS",IF('Release Gates'!C2078="PHYSICAL","OPEN","BLOCKED"))</x:f>
        <x:v>OPEN</x:v>
      </x:c>
      <x:c r="G2104" t="str">
        <x:v>equals</x:v>
      </x:c>
      <x:c r="H2104" t="str">
        <x:f>IF(E2104=F2104,"PASS","FAIL")</x:f>
        <x:v>PASS</x:v>
      </x:c>
    </x:row>
    <x:row r="2105">
      <x:c r="B2105" t="str">
        <x:v>A-02073</x:v>
      </x:c>
      <x:c r="C2105" t="str">
        <x:v>GATE</x:v>
      </x:c>
      <x:c r="D2105" t="str">
        <x:v>release state mirrors governing ledger</x:v>
      </x:c>
      <x:c r="E2105" t="str">
        <x:f>'Release Gates'!I2079</x:f>
        <x:v>OPEN</x:v>
      </x:c>
      <x:c r="F2105" t="str">
        <x:f>IF('Release Gates'!C2079="PLANNING","PASS",IF('Release Gates'!C2079="PHYSICAL","OPEN","BLOCKED"))</x:f>
        <x:v>OPEN</x:v>
      </x:c>
      <x:c r="G2105" t="str">
        <x:v>equals</x:v>
      </x:c>
      <x:c r="H2105" t="str">
        <x:f>IF(E2105=F2105,"PASS","FAIL")</x:f>
        <x:v>PASS</x:v>
      </x:c>
    </x:row>
    <x:row r="2106">
      <x:c r="B2106" t="str">
        <x:v>A-02074</x:v>
      </x:c>
      <x:c r="C2106" t="str">
        <x:v>GATE</x:v>
      </x:c>
      <x:c r="D2106" t="str">
        <x:v>release state mirrors governing ledger</x:v>
      </x:c>
      <x:c r="E2106" t="str">
        <x:f>'Release Gates'!I2080</x:f>
        <x:v>OPEN</x:v>
      </x:c>
      <x:c r="F2106" t="str">
        <x:f>IF('Release Gates'!C2080="PLANNING","PASS",IF('Release Gates'!C2080="PHYSICAL","OPEN","BLOCKED"))</x:f>
        <x:v>OPEN</x:v>
      </x:c>
      <x:c r="G2106" t="str">
        <x:v>equals</x:v>
      </x:c>
      <x:c r="H2106" t="str">
        <x:f>IF(E2106=F2106,"PASS","FAIL")</x:f>
        <x:v>PASS</x:v>
      </x:c>
    </x:row>
    <x:row r="2107">
      <x:c r="B2107" t="str">
        <x:v>A-02075</x:v>
      </x:c>
      <x:c r="C2107" t="str">
        <x:v>GATE</x:v>
      </x:c>
      <x:c r="D2107" t="str">
        <x:v>release state mirrors governing ledger</x:v>
      </x:c>
      <x:c r="E2107" t="str">
        <x:f>'Release Gates'!I2081</x:f>
        <x:v>OPEN</x:v>
      </x:c>
      <x:c r="F2107" t="str">
        <x:f>IF('Release Gates'!C2081="PLANNING","PASS",IF('Release Gates'!C2081="PHYSICAL","OPEN","BLOCKED"))</x:f>
        <x:v>OPEN</x:v>
      </x:c>
      <x:c r="G2107" t="str">
        <x:v>equals</x:v>
      </x:c>
      <x:c r="H2107" t="str">
        <x:f>IF(E2107=F2107,"PASS","FAIL")</x:f>
        <x:v>PASS</x:v>
      </x:c>
    </x:row>
    <x:row r="2108">
      <x:c r="B2108" t="str">
        <x:v>A-02076</x:v>
      </x:c>
      <x:c r="C2108" t="str">
        <x:v>GATE</x:v>
      </x:c>
      <x:c r="D2108" t="str">
        <x:v>release state mirrors governing ledger</x:v>
      </x:c>
      <x:c r="E2108" t="str">
        <x:f>'Release Gates'!I2082</x:f>
        <x:v>OPEN</x:v>
      </x:c>
      <x:c r="F2108" t="str">
        <x:f>IF('Release Gates'!C2082="PLANNING","PASS",IF('Release Gates'!C2082="PHYSICAL","OPEN","BLOCKED"))</x:f>
        <x:v>OPEN</x:v>
      </x:c>
      <x:c r="G2108" t="str">
        <x:v>equals</x:v>
      </x:c>
      <x:c r="H2108" t="str">
        <x:f>IF(E2108=F2108,"PASS","FAIL")</x:f>
        <x:v>PASS</x:v>
      </x:c>
    </x:row>
    <x:row r="2109">
      <x:c r="B2109" t="str">
        <x:v>A-02077</x:v>
      </x:c>
      <x:c r="C2109" t="str">
        <x:v>GATE</x:v>
      </x:c>
      <x:c r="D2109" t="str">
        <x:v>release state mirrors governing ledger</x:v>
      </x:c>
      <x:c r="E2109" t="str">
        <x:f>'Release Gates'!I2083</x:f>
        <x:v>OPEN</x:v>
      </x:c>
      <x:c r="F2109" t="str">
        <x:f>IF('Release Gates'!C2083="PLANNING","PASS",IF('Release Gates'!C2083="PHYSICAL","OPEN","BLOCKED"))</x:f>
        <x:v>OPEN</x:v>
      </x:c>
      <x:c r="G2109" t="str">
        <x:v>equals</x:v>
      </x:c>
      <x:c r="H2109" t="str">
        <x:f>IF(E2109=F2109,"PASS","FAIL")</x:f>
        <x:v>PASS</x:v>
      </x:c>
    </x:row>
    <x:row r="2110">
      <x:c r="B2110" t="str">
        <x:v>A-02078</x:v>
      </x:c>
      <x:c r="C2110" t="str">
        <x:v>GATE</x:v>
      </x:c>
      <x:c r="D2110" t="str">
        <x:v>release state mirrors governing ledger</x:v>
      </x:c>
      <x:c r="E2110" t="str">
        <x:f>'Release Gates'!I2084</x:f>
        <x:v>OPEN</x:v>
      </x:c>
      <x:c r="F2110" t="str">
        <x:f>IF('Release Gates'!C2084="PLANNING","PASS",IF('Release Gates'!C2084="PHYSICAL","OPEN","BLOCKED"))</x:f>
        <x:v>OPEN</x:v>
      </x:c>
      <x:c r="G2110" t="str">
        <x:v>equals</x:v>
      </x:c>
      <x:c r="H2110" t="str">
        <x:f>IF(E2110=F2110,"PASS","FAIL")</x:f>
        <x:v>PASS</x:v>
      </x:c>
    </x:row>
    <x:row r="2111">
      <x:c r="B2111" t="str">
        <x:v>A-02079</x:v>
      </x:c>
      <x:c r="C2111" t="str">
        <x:v>GATE</x:v>
      </x:c>
      <x:c r="D2111" t="str">
        <x:v>release state mirrors governing ledger</x:v>
      </x:c>
      <x:c r="E2111" t="str">
        <x:f>'Release Gates'!I2085</x:f>
        <x:v>OPEN</x:v>
      </x:c>
      <x:c r="F2111" t="str">
        <x:f>IF('Release Gates'!C2085="PLANNING","PASS",IF('Release Gates'!C2085="PHYSICAL","OPEN","BLOCKED"))</x:f>
        <x:v>OPEN</x:v>
      </x:c>
      <x:c r="G2111" t="str">
        <x:v>equals</x:v>
      </x:c>
      <x:c r="H2111" t="str">
        <x:f>IF(E2111=F2111,"PASS","FAIL")</x:f>
        <x:v>PASS</x:v>
      </x:c>
    </x:row>
    <x:row r="2112">
      <x:c r="B2112" t="str">
        <x:v>A-02080</x:v>
      </x:c>
      <x:c r="C2112" t="str">
        <x:v>GATE</x:v>
      </x:c>
      <x:c r="D2112" t="str">
        <x:v>release state mirrors governing ledger</x:v>
      </x:c>
      <x:c r="E2112" t="str">
        <x:f>'Release Gates'!I2086</x:f>
        <x:v>OPEN</x:v>
      </x:c>
      <x:c r="F2112" t="str">
        <x:f>IF('Release Gates'!C2086="PLANNING","PASS",IF('Release Gates'!C2086="PHYSICAL","OPEN","BLOCKED"))</x:f>
        <x:v>OPEN</x:v>
      </x:c>
      <x:c r="G2112" t="str">
        <x:v>equals</x:v>
      </x:c>
      <x:c r="H2112" t="str">
        <x:f>IF(E2112=F2112,"PASS","FAIL")</x:f>
        <x:v>PASS</x:v>
      </x:c>
    </x:row>
    <x:row r="2113">
      <x:c r="B2113" t="str">
        <x:v>A-02081</x:v>
      </x:c>
      <x:c r="C2113" t="str">
        <x:v>GATE</x:v>
      </x:c>
      <x:c r="D2113" t="str">
        <x:v>release state mirrors governing ledger</x:v>
      </x:c>
      <x:c r="E2113" t="str">
        <x:f>'Release Gates'!I2087</x:f>
        <x:v>OPEN</x:v>
      </x:c>
      <x:c r="F2113" t="str">
        <x:f>IF('Release Gates'!C2087="PLANNING","PASS",IF('Release Gates'!C2087="PHYSICAL","OPEN","BLOCKED"))</x:f>
        <x:v>OPEN</x:v>
      </x:c>
      <x:c r="G2113" t="str">
        <x:v>equals</x:v>
      </x:c>
      <x:c r="H2113" t="str">
        <x:f>IF(E2113=F2113,"PASS","FAIL")</x:f>
        <x:v>PASS</x:v>
      </x:c>
    </x:row>
    <x:row r="2114">
      <x:c r="B2114" t="str">
        <x:v>A-02082</x:v>
      </x:c>
      <x:c r="C2114" t="str">
        <x:v>GATE</x:v>
      </x:c>
      <x:c r="D2114" t="str">
        <x:v>release state mirrors governing ledger</x:v>
      </x:c>
      <x:c r="E2114" t="str">
        <x:f>'Release Gates'!I2088</x:f>
        <x:v>OPEN</x:v>
      </x:c>
      <x:c r="F2114" t="str">
        <x:f>IF('Release Gates'!C2088="PLANNING","PASS",IF('Release Gates'!C2088="PHYSICAL","OPEN","BLOCKED"))</x:f>
        <x:v>OPEN</x:v>
      </x:c>
      <x:c r="G2114" t="str">
        <x:v>equals</x:v>
      </x:c>
      <x:c r="H2114" t="str">
        <x:f>IF(E2114=F2114,"PASS","FAIL")</x:f>
        <x:v>PASS</x:v>
      </x:c>
    </x:row>
    <x:row r="2115">
      <x:c r="B2115" t="str">
        <x:v>A-02083</x:v>
      </x:c>
      <x:c r="C2115" t="str">
        <x:v>GATE</x:v>
      </x:c>
      <x:c r="D2115" t="str">
        <x:v>release state mirrors governing ledger</x:v>
      </x:c>
      <x:c r="E2115" t="str">
        <x:f>'Release Gates'!I2089</x:f>
        <x:v>OPEN</x:v>
      </x:c>
      <x:c r="F2115" t="str">
        <x:f>IF('Release Gates'!C2089="PLANNING","PASS",IF('Release Gates'!C2089="PHYSICAL","OPEN","BLOCKED"))</x:f>
        <x:v>OPEN</x:v>
      </x:c>
      <x:c r="G2115" t="str">
        <x:v>equals</x:v>
      </x:c>
      <x:c r="H2115" t="str">
        <x:f>IF(E2115=F2115,"PASS","FAIL")</x:f>
        <x:v>PASS</x:v>
      </x:c>
    </x:row>
    <x:row r="2116">
      <x:c r="B2116" t="str">
        <x:v>A-02084</x:v>
      </x:c>
      <x:c r="C2116" t="str">
        <x:v>GATE</x:v>
      </x:c>
      <x:c r="D2116" t="str">
        <x:v>release state mirrors governing ledger</x:v>
      </x:c>
      <x:c r="E2116" t="str">
        <x:f>'Release Gates'!I2090</x:f>
        <x:v>OPEN</x:v>
      </x:c>
      <x:c r="F2116" t="str">
        <x:f>IF('Release Gates'!C2090="PLANNING","PASS",IF('Release Gates'!C2090="PHYSICAL","OPEN","BLOCKED"))</x:f>
        <x:v>OPEN</x:v>
      </x:c>
      <x:c r="G2116" t="str">
        <x:v>equals</x:v>
      </x:c>
      <x:c r="H2116" t="str">
        <x:f>IF(E2116=F2116,"PASS","FAIL")</x:f>
        <x:v>PASS</x:v>
      </x:c>
    </x:row>
    <x:row r="2117">
      <x:c r="B2117" t="str">
        <x:v>A-02085</x:v>
      </x:c>
      <x:c r="C2117" t="str">
        <x:v>GATE</x:v>
      </x:c>
      <x:c r="D2117" t="str">
        <x:v>release state mirrors governing ledger</x:v>
      </x:c>
      <x:c r="E2117" t="str">
        <x:f>'Release Gates'!I2091</x:f>
        <x:v>OPEN</x:v>
      </x:c>
      <x:c r="F2117" t="str">
        <x:f>IF('Release Gates'!C2091="PLANNING","PASS",IF('Release Gates'!C2091="PHYSICAL","OPEN","BLOCKED"))</x:f>
        <x:v>OPEN</x:v>
      </x:c>
      <x:c r="G2117" t="str">
        <x:v>equals</x:v>
      </x:c>
      <x:c r="H2117" t="str">
        <x:f>IF(E2117=F2117,"PASS","FAIL")</x:f>
        <x:v>PASS</x:v>
      </x:c>
    </x:row>
    <x:row r="2118">
      <x:c r="B2118" t="str">
        <x:v>A-02086</x:v>
      </x:c>
      <x:c r="C2118" t="str">
        <x:v>GATE</x:v>
      </x:c>
      <x:c r="D2118" t="str">
        <x:v>release state mirrors governing ledger</x:v>
      </x:c>
      <x:c r="E2118" t="str">
        <x:f>'Release Gates'!I2092</x:f>
        <x:v>OPEN</x:v>
      </x:c>
      <x:c r="F2118" t="str">
        <x:f>IF('Release Gates'!C2092="PLANNING","PASS",IF('Release Gates'!C2092="PHYSICAL","OPEN","BLOCKED"))</x:f>
        <x:v>OPEN</x:v>
      </x:c>
      <x:c r="G2118" t="str">
        <x:v>equals</x:v>
      </x:c>
      <x:c r="H2118" t="str">
        <x:f>IF(E2118=F2118,"PASS","FAIL")</x:f>
        <x:v>PASS</x:v>
      </x:c>
    </x:row>
    <x:row r="2119">
      <x:c r="B2119" t="str">
        <x:v>A-02087</x:v>
      </x:c>
      <x:c r="C2119" t="str">
        <x:v>GATE</x:v>
      </x:c>
      <x:c r="D2119" t="str">
        <x:v>release state mirrors governing ledger</x:v>
      </x:c>
      <x:c r="E2119" t="str">
        <x:f>'Release Gates'!I2093</x:f>
        <x:v>OPEN</x:v>
      </x:c>
      <x:c r="F2119" t="str">
        <x:f>IF('Release Gates'!C2093="PLANNING","PASS",IF('Release Gates'!C2093="PHYSICAL","OPEN","BLOCKED"))</x:f>
        <x:v>OPEN</x:v>
      </x:c>
      <x:c r="G2119" t="str">
        <x:v>equals</x:v>
      </x:c>
      <x:c r="H2119" t="str">
        <x:f>IF(E2119=F2119,"PASS","FAIL")</x:f>
        <x:v>PASS</x:v>
      </x:c>
    </x:row>
    <x:row r="2120">
      <x:c r="B2120" t="str">
        <x:v>A-02088</x:v>
      </x:c>
      <x:c r="C2120" t="str">
        <x:v>GATE</x:v>
      </x:c>
      <x:c r="D2120" t="str">
        <x:v>release state mirrors governing ledger</x:v>
      </x:c>
      <x:c r="E2120" t="str">
        <x:f>'Release Gates'!I2094</x:f>
        <x:v>OPEN</x:v>
      </x:c>
      <x:c r="F2120" t="str">
        <x:f>IF('Release Gates'!C2094="PLANNING","PASS",IF('Release Gates'!C2094="PHYSICAL","OPEN","BLOCKED"))</x:f>
        <x:v>OPEN</x:v>
      </x:c>
      <x:c r="G2120" t="str">
        <x:v>equals</x:v>
      </x:c>
      <x:c r="H2120" t="str">
        <x:f>IF(E2120=F2120,"PASS","FAIL")</x:f>
        <x:v>PASS</x:v>
      </x:c>
    </x:row>
    <x:row r="2121">
      <x:c r="B2121" t="str">
        <x:v>A-02089</x:v>
      </x:c>
      <x:c r="C2121" t="str">
        <x:v>GATE</x:v>
      </x:c>
      <x:c r="D2121" t="str">
        <x:v>release state mirrors governing ledger</x:v>
      </x:c>
      <x:c r="E2121" t="str">
        <x:f>'Release Gates'!I2095</x:f>
        <x:v>OPEN</x:v>
      </x:c>
      <x:c r="F2121" t="str">
        <x:f>IF('Release Gates'!C2095="PLANNING","PASS",IF('Release Gates'!C2095="PHYSICAL","OPEN","BLOCKED"))</x:f>
        <x:v>OPEN</x:v>
      </x:c>
      <x:c r="G2121" t="str">
        <x:v>equals</x:v>
      </x:c>
      <x:c r="H2121" t="str">
        <x:f>IF(E2121=F2121,"PASS","FAIL")</x:f>
        <x:v>PASS</x:v>
      </x:c>
    </x:row>
    <x:row r="2122">
      <x:c r="B2122" t="str">
        <x:v>A-02090</x:v>
      </x:c>
      <x:c r="C2122" t="str">
        <x:v>GATE</x:v>
      </x:c>
      <x:c r="D2122" t="str">
        <x:v>release state mirrors governing ledger</x:v>
      </x:c>
      <x:c r="E2122" t="str">
        <x:f>'Release Gates'!I2096</x:f>
        <x:v>OPEN</x:v>
      </x:c>
      <x:c r="F2122" t="str">
        <x:f>IF('Release Gates'!C2096="PLANNING","PASS",IF('Release Gates'!C2096="PHYSICAL","OPEN","BLOCKED"))</x:f>
        <x:v>OPEN</x:v>
      </x:c>
      <x:c r="G2122" t="str">
        <x:v>equals</x:v>
      </x:c>
      <x:c r="H2122" t="str">
        <x:f>IF(E2122=F2122,"PASS","FAIL")</x:f>
        <x:v>PASS</x:v>
      </x:c>
    </x:row>
    <x:row r="2123">
      <x:c r="B2123" t="str">
        <x:v>A-02091</x:v>
      </x:c>
      <x:c r="C2123" t="str">
        <x:v>GATE</x:v>
      </x:c>
      <x:c r="D2123" t="str">
        <x:v>release state mirrors governing ledger</x:v>
      </x:c>
      <x:c r="E2123" t="str">
        <x:f>'Release Gates'!I2097</x:f>
        <x:v>OPEN</x:v>
      </x:c>
      <x:c r="F2123" t="str">
        <x:f>IF('Release Gates'!C2097="PLANNING","PASS",IF('Release Gates'!C2097="PHYSICAL","OPEN","BLOCKED"))</x:f>
        <x:v>OPEN</x:v>
      </x:c>
      <x:c r="G2123" t="str">
        <x:v>equals</x:v>
      </x:c>
      <x:c r="H2123" t="str">
        <x:f>IF(E2123=F2123,"PASS","FAIL")</x:f>
        <x:v>PASS</x:v>
      </x:c>
    </x:row>
    <x:row r="2124">
      <x:c r="B2124" t="str">
        <x:v>A-02092</x:v>
      </x:c>
      <x:c r="C2124" t="str">
        <x:v>GATE</x:v>
      </x:c>
      <x:c r="D2124" t="str">
        <x:v>release state mirrors governing ledger</x:v>
      </x:c>
      <x:c r="E2124" t="str">
        <x:f>'Release Gates'!I2098</x:f>
        <x:v>OPEN</x:v>
      </x:c>
      <x:c r="F2124" t="str">
        <x:f>IF('Release Gates'!C2098="PLANNING","PASS",IF('Release Gates'!C2098="PHYSICAL","OPEN","BLOCKED"))</x:f>
        <x:v>OPEN</x:v>
      </x:c>
      <x:c r="G2124" t="str">
        <x:v>equals</x:v>
      </x:c>
      <x:c r="H2124" t="str">
        <x:f>IF(E2124=F2124,"PASS","FAIL")</x:f>
        <x:v>PASS</x:v>
      </x:c>
    </x:row>
    <x:row r="2125">
      <x:c r="B2125" t="str">
        <x:v>A-02093</x:v>
      </x:c>
      <x:c r="C2125" t="str">
        <x:v>GATE</x:v>
      </x:c>
      <x:c r="D2125" t="str">
        <x:v>release state mirrors governing ledger</x:v>
      </x:c>
      <x:c r="E2125" t="str">
        <x:f>'Release Gates'!I2099</x:f>
        <x:v>OPEN</x:v>
      </x:c>
      <x:c r="F2125" t="str">
        <x:f>IF('Release Gates'!C2099="PLANNING","PASS",IF('Release Gates'!C2099="PHYSICAL","OPEN","BLOCKED"))</x:f>
        <x:v>OPEN</x:v>
      </x:c>
      <x:c r="G2125" t="str">
        <x:v>equals</x:v>
      </x:c>
      <x:c r="H2125" t="str">
        <x:f>IF(E2125=F2125,"PASS","FAIL")</x:f>
        <x:v>PASS</x:v>
      </x:c>
    </x:row>
    <x:row r="2126">
      <x:c r="B2126" t="str">
        <x:v>A-02094</x:v>
      </x:c>
      <x:c r="C2126" t="str">
        <x:v>GATE</x:v>
      </x:c>
      <x:c r="D2126" t="str">
        <x:v>release state mirrors governing ledger</x:v>
      </x:c>
      <x:c r="E2126" t="str">
        <x:f>'Release Gates'!I2100</x:f>
        <x:v>OPEN</x:v>
      </x:c>
      <x:c r="F2126" t="str">
        <x:f>IF('Release Gates'!C2100="PLANNING","PASS",IF('Release Gates'!C2100="PHYSICAL","OPEN","BLOCKED"))</x:f>
        <x:v>OPEN</x:v>
      </x:c>
      <x:c r="G2126" t="str">
        <x:v>equals</x:v>
      </x:c>
      <x:c r="H2126" t="str">
        <x:f>IF(E2126=F2126,"PASS","FAIL")</x:f>
        <x:v>PASS</x:v>
      </x:c>
    </x:row>
    <x:row r="2127">
      <x:c r="B2127" t="str">
        <x:v>A-02095</x:v>
      </x:c>
      <x:c r="C2127" t="str">
        <x:v>GATE</x:v>
      </x:c>
      <x:c r="D2127" t="str">
        <x:v>release state mirrors governing ledger</x:v>
      </x:c>
      <x:c r="E2127" t="str">
        <x:f>'Release Gates'!I2101</x:f>
        <x:v>OPEN</x:v>
      </x:c>
      <x:c r="F2127" t="str">
        <x:f>IF('Release Gates'!C2101="PLANNING","PASS",IF('Release Gates'!C2101="PHYSICAL","OPEN","BLOCKED"))</x:f>
        <x:v>OPEN</x:v>
      </x:c>
      <x:c r="G2127" t="str">
        <x:v>equals</x:v>
      </x:c>
      <x:c r="H2127" t="str">
        <x:f>IF(E2127=F2127,"PASS","FAIL")</x:f>
        <x:v>PASS</x:v>
      </x:c>
    </x:row>
    <x:row r="2128">
      <x:c r="B2128" t="str">
        <x:v>A-02096</x:v>
      </x:c>
      <x:c r="C2128" t="str">
        <x:v>GATE</x:v>
      </x:c>
      <x:c r="D2128" t="str">
        <x:v>release state mirrors governing ledger</x:v>
      </x:c>
      <x:c r="E2128" t="str">
        <x:f>'Release Gates'!I2102</x:f>
        <x:v>OPEN</x:v>
      </x:c>
      <x:c r="F2128" t="str">
        <x:f>IF('Release Gates'!C2102="PLANNING","PASS",IF('Release Gates'!C2102="PHYSICAL","OPEN","BLOCKED"))</x:f>
        <x:v>OPEN</x:v>
      </x:c>
      <x:c r="G2128" t="str">
        <x:v>equals</x:v>
      </x:c>
      <x:c r="H2128" t="str">
        <x:f>IF(E2128=F2128,"PASS","FAIL")</x:f>
        <x:v>PASS</x:v>
      </x:c>
    </x:row>
    <x:row r="2129">
      <x:c r="B2129" t="str">
        <x:v>A-02097</x:v>
      </x:c>
      <x:c r="C2129" t="str">
        <x:v>GATE</x:v>
      </x:c>
      <x:c r="D2129" t="str">
        <x:v>release state mirrors governing ledger</x:v>
      </x:c>
      <x:c r="E2129" t="str">
        <x:f>'Release Gates'!I2103</x:f>
        <x:v>OPEN</x:v>
      </x:c>
      <x:c r="F2129" t="str">
        <x:f>IF('Release Gates'!C2103="PLANNING","PASS",IF('Release Gates'!C2103="PHYSICAL","OPEN","BLOCKED"))</x:f>
        <x:v>OPEN</x:v>
      </x:c>
      <x:c r="G2129" t="str">
        <x:v>equals</x:v>
      </x:c>
      <x:c r="H2129" t="str">
        <x:f>IF(E2129=F2129,"PASS","FAIL")</x:f>
        <x:v>PASS</x:v>
      </x:c>
    </x:row>
    <x:row r="2130">
      <x:c r="B2130" t="str">
        <x:v>A-02098</x:v>
      </x:c>
      <x:c r="C2130" t="str">
        <x:v>GATE</x:v>
      </x:c>
      <x:c r="D2130" t="str">
        <x:v>release state mirrors governing ledger</x:v>
      </x:c>
      <x:c r="E2130" t="str">
        <x:f>'Release Gates'!I2104</x:f>
        <x:v>OPEN</x:v>
      </x:c>
      <x:c r="F2130" t="str">
        <x:f>IF('Release Gates'!C2104="PLANNING","PASS",IF('Release Gates'!C2104="PHYSICAL","OPEN","BLOCKED"))</x:f>
        <x:v>OPEN</x:v>
      </x:c>
      <x:c r="G2130" t="str">
        <x:v>equals</x:v>
      </x:c>
      <x:c r="H2130" t="str">
        <x:f>IF(E2130=F2130,"PASS","FAIL")</x:f>
        <x:v>PASS</x:v>
      </x:c>
    </x:row>
    <x:row r="2131">
      <x:c r="B2131" t="str">
        <x:v>A-02099</x:v>
      </x:c>
      <x:c r="C2131" t="str">
        <x:v>GATE</x:v>
      </x:c>
      <x:c r="D2131" t="str">
        <x:v>release state mirrors governing ledger</x:v>
      </x:c>
      <x:c r="E2131" t="str">
        <x:f>'Release Gates'!I2105</x:f>
        <x:v>OPEN</x:v>
      </x:c>
      <x:c r="F2131" t="str">
        <x:f>IF('Release Gates'!C2105="PLANNING","PASS",IF('Release Gates'!C2105="PHYSICAL","OPEN","BLOCKED"))</x:f>
        <x:v>OPEN</x:v>
      </x:c>
      <x:c r="G2131" t="str">
        <x:v>equals</x:v>
      </x:c>
      <x:c r="H2131" t="str">
        <x:f>IF(E2131=F2131,"PASS","FAIL")</x:f>
        <x:v>PASS</x:v>
      </x:c>
    </x:row>
    <x:row r="2132">
      <x:c r="B2132" t="str">
        <x:v>A-02100</x:v>
      </x:c>
      <x:c r="C2132" t="str">
        <x:v>GATE</x:v>
      </x:c>
      <x:c r="D2132" t="str">
        <x:v>release state mirrors governing ledger</x:v>
      </x:c>
      <x:c r="E2132" t="str">
        <x:f>'Release Gates'!I2106</x:f>
        <x:v>OPEN</x:v>
      </x:c>
      <x:c r="F2132" t="str">
        <x:f>IF('Release Gates'!C2106="PLANNING","PASS",IF('Release Gates'!C2106="PHYSICAL","OPEN","BLOCKED"))</x:f>
        <x:v>OPEN</x:v>
      </x:c>
      <x:c r="G2132" t="str">
        <x:v>equals</x:v>
      </x:c>
      <x:c r="H2132" t="str">
        <x:f>IF(E2132=F2132,"PASS","FAIL")</x:f>
        <x:v>PASS</x:v>
      </x:c>
    </x:row>
    <x:row r="2133">
      <x:c r="B2133" t="str">
        <x:v>A-02101</x:v>
      </x:c>
      <x:c r="C2133" t="str">
        <x:v>GATE</x:v>
      </x:c>
      <x:c r="D2133" t="str">
        <x:v>release state mirrors governing ledger</x:v>
      </x:c>
      <x:c r="E2133" t="str">
        <x:f>'Release Gates'!I2107</x:f>
        <x:v>OPEN</x:v>
      </x:c>
      <x:c r="F2133" t="str">
        <x:f>IF('Release Gates'!C2107="PLANNING","PASS",IF('Release Gates'!C2107="PHYSICAL","OPEN","BLOCKED"))</x:f>
        <x:v>OPEN</x:v>
      </x:c>
      <x:c r="G2133" t="str">
        <x:v>equals</x:v>
      </x:c>
      <x:c r="H2133" t="str">
        <x:f>IF(E2133=F2133,"PASS","FAIL")</x:f>
        <x:v>PASS</x:v>
      </x:c>
    </x:row>
    <x:row r="2134">
      <x:c r="B2134" t="str">
        <x:v>A-02102</x:v>
      </x:c>
      <x:c r="C2134" t="str">
        <x:v>GATE</x:v>
      </x:c>
      <x:c r="D2134" t="str">
        <x:v>release state mirrors governing ledger</x:v>
      </x:c>
      <x:c r="E2134" t="str">
        <x:f>'Release Gates'!I2108</x:f>
        <x:v>OPEN</x:v>
      </x:c>
      <x:c r="F2134" t="str">
        <x:f>IF('Release Gates'!C2108="PLANNING","PASS",IF('Release Gates'!C2108="PHYSICAL","OPEN","BLOCKED"))</x:f>
        <x:v>OPEN</x:v>
      </x:c>
      <x:c r="G2134" t="str">
        <x:v>equals</x:v>
      </x:c>
      <x:c r="H2134" t="str">
        <x:f>IF(E2134=F2134,"PASS","FAIL")</x:f>
        <x:v>PASS</x:v>
      </x:c>
    </x:row>
    <x:row r="2135">
      <x:c r="B2135" t="str">
        <x:v>A-02103</x:v>
      </x:c>
      <x:c r="C2135" t="str">
        <x:v>GATE</x:v>
      </x:c>
      <x:c r="D2135" t="str">
        <x:v>release state mirrors governing ledger</x:v>
      </x:c>
      <x:c r="E2135" t="str">
        <x:f>'Release Gates'!I2109</x:f>
        <x:v>OPEN</x:v>
      </x:c>
      <x:c r="F2135" t="str">
        <x:f>IF('Release Gates'!C2109="PLANNING","PASS",IF('Release Gates'!C2109="PHYSICAL","OPEN","BLOCKED"))</x:f>
        <x:v>OPEN</x:v>
      </x:c>
      <x:c r="G2135" t="str">
        <x:v>equals</x:v>
      </x:c>
      <x:c r="H2135" t="str">
        <x:f>IF(E2135=F2135,"PASS","FAIL")</x:f>
        <x:v>PASS</x:v>
      </x:c>
    </x:row>
    <x:row r="2136">
      <x:c r="B2136" t="str">
        <x:v>A-02104</x:v>
      </x:c>
      <x:c r="C2136" t="str">
        <x:v>GATE</x:v>
      </x:c>
      <x:c r="D2136" t="str">
        <x:v>release state mirrors governing ledger</x:v>
      </x:c>
      <x:c r="E2136" t="str">
        <x:f>'Release Gates'!I2110</x:f>
        <x:v>OPEN</x:v>
      </x:c>
      <x:c r="F2136" t="str">
        <x:f>IF('Release Gates'!C2110="PLANNING","PASS",IF('Release Gates'!C2110="PHYSICAL","OPEN","BLOCKED"))</x:f>
        <x:v>OPEN</x:v>
      </x:c>
      <x:c r="G2136" t="str">
        <x:v>equals</x:v>
      </x:c>
      <x:c r="H2136" t="str">
        <x:f>IF(E2136=F2136,"PASS","FAIL")</x:f>
        <x:v>PASS</x:v>
      </x:c>
    </x:row>
    <x:row r="2137">
      <x:c r="B2137" t="str">
        <x:v>A-02105</x:v>
      </x:c>
      <x:c r="C2137" t="str">
        <x:v>GATE</x:v>
      </x:c>
      <x:c r="D2137" t="str">
        <x:v>release state mirrors governing ledger</x:v>
      </x:c>
      <x:c r="E2137" t="str">
        <x:f>'Release Gates'!I2111</x:f>
        <x:v>OPEN</x:v>
      </x:c>
      <x:c r="F2137" t="str">
        <x:f>IF('Release Gates'!C2111="PLANNING","PASS",IF('Release Gates'!C2111="PHYSICAL","OPEN","BLOCKED"))</x:f>
        <x:v>OPEN</x:v>
      </x:c>
      <x:c r="G2137" t="str">
        <x:v>equals</x:v>
      </x:c>
      <x:c r="H2137" t="str">
        <x:f>IF(E2137=F2137,"PASS","FAIL")</x:f>
        <x:v>PASS</x:v>
      </x:c>
    </x:row>
    <x:row r="2138">
      <x:c r="B2138" t="str">
        <x:v>A-02106</x:v>
      </x:c>
      <x:c r="C2138" t="str">
        <x:v>GATE</x:v>
      </x:c>
      <x:c r="D2138" t="str">
        <x:v>release state mirrors governing ledger</x:v>
      </x:c>
      <x:c r="E2138" t="str">
        <x:f>'Release Gates'!I2112</x:f>
        <x:v>OPEN</x:v>
      </x:c>
      <x:c r="F2138" t="str">
        <x:f>IF('Release Gates'!C2112="PLANNING","PASS",IF('Release Gates'!C2112="PHYSICAL","OPEN","BLOCKED"))</x:f>
        <x:v>OPEN</x:v>
      </x:c>
      <x:c r="G2138" t="str">
        <x:v>equals</x:v>
      </x:c>
      <x:c r="H2138" t="str">
        <x:f>IF(E2138=F2138,"PASS","FAIL")</x:f>
        <x:v>PASS</x:v>
      </x:c>
    </x:row>
    <x:row r="2139">
      <x:c r="B2139" t="str">
        <x:v>A-02107</x:v>
      </x:c>
      <x:c r="C2139" t="str">
        <x:v>GATE</x:v>
      </x:c>
      <x:c r="D2139" t="str">
        <x:v>release state mirrors governing ledger</x:v>
      </x:c>
      <x:c r="E2139" t="str">
        <x:f>'Release Gates'!I2113</x:f>
        <x:v>OPEN</x:v>
      </x:c>
      <x:c r="F2139" t="str">
        <x:f>IF('Release Gates'!C2113="PLANNING","PASS",IF('Release Gates'!C2113="PHYSICAL","OPEN","BLOCKED"))</x:f>
        <x:v>OPEN</x:v>
      </x:c>
      <x:c r="G2139" t="str">
        <x:v>equals</x:v>
      </x:c>
      <x:c r="H2139" t="str">
        <x:f>IF(E2139=F2139,"PASS","FAIL")</x:f>
        <x:v>PASS</x:v>
      </x:c>
    </x:row>
    <x:row r="2140">
      <x:c r="B2140" t="str">
        <x:v>A-02108</x:v>
      </x:c>
      <x:c r="C2140" t="str">
        <x:v>GATE</x:v>
      </x:c>
      <x:c r="D2140" t="str">
        <x:v>release state mirrors governing ledger</x:v>
      </x:c>
      <x:c r="E2140" t="str">
        <x:f>'Release Gates'!I2114</x:f>
        <x:v>OPEN</x:v>
      </x:c>
      <x:c r="F2140" t="str">
        <x:f>IF('Release Gates'!C2114="PLANNING","PASS",IF('Release Gates'!C2114="PHYSICAL","OPEN","BLOCKED"))</x:f>
        <x:v>OPEN</x:v>
      </x:c>
      <x:c r="G2140" t="str">
        <x:v>equals</x:v>
      </x:c>
      <x:c r="H2140" t="str">
        <x:f>IF(E2140=F2140,"PASS","FAIL")</x:f>
        <x:v>PASS</x:v>
      </x:c>
    </x:row>
    <x:row r="2141">
      <x:c r="B2141" t="str">
        <x:v>A-02109</x:v>
      </x:c>
      <x:c r="C2141" t="str">
        <x:v>GATE</x:v>
      </x:c>
      <x:c r="D2141" t="str">
        <x:v>release state mirrors governing ledger</x:v>
      </x:c>
      <x:c r="E2141" t="str">
        <x:f>'Release Gates'!I2115</x:f>
        <x:v>OPEN</x:v>
      </x:c>
      <x:c r="F2141" t="str">
        <x:f>IF('Release Gates'!C2115="PLANNING","PASS",IF('Release Gates'!C2115="PHYSICAL","OPEN","BLOCKED"))</x:f>
        <x:v>OPEN</x:v>
      </x:c>
      <x:c r="G2141" t="str">
        <x:v>equals</x:v>
      </x:c>
      <x:c r="H2141" t="str">
        <x:f>IF(E2141=F2141,"PASS","FAIL")</x:f>
        <x:v>PASS</x:v>
      </x:c>
    </x:row>
    <x:row r="2142">
      <x:c r="B2142" t="str">
        <x:v>A-02110</x:v>
      </x:c>
      <x:c r="C2142" t="str">
        <x:v>GATE</x:v>
      </x:c>
      <x:c r="D2142" t="str">
        <x:v>release state mirrors governing ledger</x:v>
      </x:c>
      <x:c r="E2142" t="str">
        <x:f>'Release Gates'!I2116</x:f>
        <x:v>OPEN</x:v>
      </x:c>
      <x:c r="F2142" t="str">
        <x:f>IF('Release Gates'!C2116="PLANNING","PASS",IF('Release Gates'!C2116="PHYSICAL","OPEN","BLOCKED"))</x:f>
        <x:v>OPEN</x:v>
      </x:c>
      <x:c r="G2142" t="str">
        <x:v>equals</x:v>
      </x:c>
      <x:c r="H2142" t="str">
        <x:f>IF(E2142=F2142,"PASS","FAIL")</x:f>
        <x:v>PASS</x:v>
      </x:c>
    </x:row>
    <x:row r="2143">
      <x:c r="B2143" t="str">
        <x:v>A-02111</x:v>
      </x:c>
      <x:c r="C2143" t="str">
        <x:v>GATE</x:v>
      </x:c>
      <x:c r="D2143" t="str">
        <x:v>release state mirrors governing ledger</x:v>
      </x:c>
      <x:c r="E2143" t="str">
        <x:f>'Release Gates'!I2117</x:f>
        <x:v>OPEN</x:v>
      </x:c>
      <x:c r="F2143" t="str">
        <x:f>IF('Release Gates'!C2117="PLANNING","PASS",IF('Release Gates'!C2117="PHYSICAL","OPEN","BLOCKED"))</x:f>
        <x:v>OPEN</x:v>
      </x:c>
      <x:c r="G2143" t="str">
        <x:v>equals</x:v>
      </x:c>
      <x:c r="H2143" t="str">
        <x:f>IF(E2143=F2143,"PASS","FAIL")</x:f>
        <x:v>PASS</x:v>
      </x:c>
    </x:row>
    <x:row r="2144">
      <x:c r="B2144" t="str">
        <x:v>A-02112</x:v>
      </x:c>
      <x:c r="C2144" t="str">
        <x:v>GATE</x:v>
      </x:c>
      <x:c r="D2144" t="str">
        <x:v>release state mirrors governing ledger</x:v>
      </x:c>
      <x:c r="E2144" t="str">
        <x:f>'Release Gates'!I2118</x:f>
        <x:v>OPEN</x:v>
      </x:c>
      <x:c r="F2144" t="str">
        <x:f>IF('Release Gates'!C2118="PLANNING","PASS",IF('Release Gates'!C2118="PHYSICAL","OPEN","BLOCKED"))</x:f>
        <x:v>OPEN</x:v>
      </x:c>
      <x:c r="G2144" t="str">
        <x:v>equals</x:v>
      </x:c>
      <x:c r="H2144" t="str">
        <x:f>IF(E2144=F2144,"PASS","FAIL")</x:f>
        <x:v>PASS</x:v>
      </x:c>
    </x:row>
    <x:row r="2145">
      <x:c r="B2145" t="str">
        <x:v>A-02113</x:v>
      </x:c>
      <x:c r="C2145" t="str">
        <x:v>GATE</x:v>
      </x:c>
      <x:c r="D2145" t="str">
        <x:v>release state mirrors governing ledger</x:v>
      </x:c>
      <x:c r="E2145" t="str">
        <x:f>'Release Gates'!I2119</x:f>
        <x:v>OPEN</x:v>
      </x:c>
      <x:c r="F2145" t="str">
        <x:f>IF('Release Gates'!C2119="PLANNING","PASS",IF('Release Gates'!C2119="PHYSICAL","OPEN","BLOCKED"))</x:f>
        <x:v>OPEN</x:v>
      </x:c>
      <x:c r="G2145" t="str">
        <x:v>equals</x:v>
      </x:c>
      <x:c r="H2145" t="str">
        <x:f>IF(E2145=F2145,"PASS","FAIL")</x:f>
        <x:v>PASS</x:v>
      </x:c>
    </x:row>
    <x:row r="2146">
      <x:c r="B2146" t="str">
        <x:v>A-02114</x:v>
      </x:c>
      <x:c r="C2146" t="str">
        <x:v>GATE</x:v>
      </x:c>
      <x:c r="D2146" t="str">
        <x:v>release state mirrors governing ledger</x:v>
      </x:c>
      <x:c r="E2146" t="str">
        <x:f>'Release Gates'!I2120</x:f>
        <x:v>OPEN</x:v>
      </x:c>
      <x:c r="F2146" t="str">
        <x:f>IF('Release Gates'!C2120="PLANNING","PASS",IF('Release Gates'!C2120="PHYSICAL","OPEN","BLOCKED"))</x:f>
        <x:v>OPEN</x:v>
      </x:c>
      <x:c r="G2146" t="str">
        <x:v>equals</x:v>
      </x:c>
      <x:c r="H2146" t="str">
        <x:f>IF(E2146=F2146,"PASS","FAIL")</x:f>
        <x:v>PASS</x:v>
      </x:c>
    </x:row>
    <x:row r="2147">
      <x:c r="B2147" t="str">
        <x:v>A-02115</x:v>
      </x:c>
      <x:c r="C2147" t="str">
        <x:v>GATE</x:v>
      </x:c>
      <x:c r="D2147" t="str">
        <x:v>release state mirrors governing ledger</x:v>
      </x:c>
      <x:c r="E2147" t="str">
        <x:f>'Release Gates'!I2121</x:f>
        <x:v>OPEN</x:v>
      </x:c>
      <x:c r="F2147" t="str">
        <x:f>IF('Release Gates'!C2121="PLANNING","PASS",IF('Release Gates'!C2121="PHYSICAL","OPEN","BLOCKED"))</x:f>
        <x:v>OPEN</x:v>
      </x:c>
      <x:c r="G2147" t="str">
        <x:v>equals</x:v>
      </x:c>
      <x:c r="H2147" t="str">
        <x:f>IF(E2147=F2147,"PASS","FAIL")</x:f>
        <x:v>PASS</x:v>
      </x:c>
    </x:row>
    <x:row r="2148">
      <x:c r="B2148" t="str">
        <x:v>A-02116</x:v>
      </x:c>
      <x:c r="C2148" t="str">
        <x:v>GATE</x:v>
      </x:c>
      <x:c r="D2148" t="str">
        <x:v>release state mirrors governing ledger</x:v>
      </x:c>
      <x:c r="E2148" t="str">
        <x:f>'Release Gates'!I2122</x:f>
        <x:v>OPEN</x:v>
      </x:c>
      <x:c r="F2148" t="str">
        <x:f>IF('Release Gates'!C2122="PLANNING","PASS",IF('Release Gates'!C2122="PHYSICAL","OPEN","BLOCKED"))</x:f>
        <x:v>OPEN</x:v>
      </x:c>
      <x:c r="G2148" t="str">
        <x:v>equals</x:v>
      </x:c>
      <x:c r="H2148" t="str">
        <x:f>IF(E2148=F2148,"PASS","FAIL")</x:f>
        <x:v>PASS</x:v>
      </x:c>
    </x:row>
    <x:row r="2149">
      <x:c r="B2149" t="str">
        <x:v>A-02117</x:v>
      </x:c>
      <x:c r="C2149" t="str">
        <x:v>GATE</x:v>
      </x:c>
      <x:c r="D2149" t="str">
        <x:v>release state mirrors governing ledger</x:v>
      </x:c>
      <x:c r="E2149" t="str">
        <x:f>'Release Gates'!I2123</x:f>
        <x:v>OPEN</x:v>
      </x:c>
      <x:c r="F2149" t="str">
        <x:f>IF('Release Gates'!C2123="PLANNING","PASS",IF('Release Gates'!C2123="PHYSICAL","OPEN","BLOCKED"))</x:f>
        <x:v>OPEN</x:v>
      </x:c>
      <x:c r="G2149" t="str">
        <x:v>equals</x:v>
      </x:c>
      <x:c r="H2149" t="str">
        <x:f>IF(E2149=F2149,"PASS","FAIL")</x:f>
        <x:v>PASS</x:v>
      </x:c>
    </x:row>
    <x:row r="2150">
      <x:c r="B2150" t="str">
        <x:v>A-02118</x:v>
      </x:c>
      <x:c r="C2150" t="str">
        <x:v>GATE</x:v>
      </x:c>
      <x:c r="D2150" t="str">
        <x:v>release state mirrors governing ledger</x:v>
      </x:c>
      <x:c r="E2150" t="str">
        <x:f>'Release Gates'!I2124</x:f>
        <x:v>OPEN</x:v>
      </x:c>
      <x:c r="F2150" t="str">
        <x:f>IF('Release Gates'!C2124="PLANNING","PASS",IF('Release Gates'!C2124="PHYSICAL","OPEN","BLOCKED"))</x:f>
        <x:v>OPEN</x:v>
      </x:c>
      <x:c r="G2150" t="str">
        <x:v>equals</x:v>
      </x:c>
      <x:c r="H2150" t="str">
        <x:f>IF(E2150=F2150,"PASS","FAIL")</x:f>
        <x:v>PASS</x:v>
      </x:c>
    </x:row>
    <x:row r="2151">
      <x:c r="B2151" t="str">
        <x:v>A-02119</x:v>
      </x:c>
      <x:c r="C2151" t="str">
        <x:v>GATE</x:v>
      </x:c>
      <x:c r="D2151" t="str">
        <x:v>release state mirrors governing ledger</x:v>
      </x:c>
      <x:c r="E2151" t="str">
        <x:f>'Release Gates'!I2125</x:f>
        <x:v>OPEN</x:v>
      </x:c>
      <x:c r="F2151" t="str">
        <x:f>IF('Release Gates'!C2125="PLANNING","PASS",IF('Release Gates'!C2125="PHYSICAL","OPEN","BLOCKED"))</x:f>
        <x:v>OPEN</x:v>
      </x:c>
      <x:c r="G2151" t="str">
        <x:v>equals</x:v>
      </x:c>
      <x:c r="H2151" t="str">
        <x:f>IF(E2151=F2151,"PASS","FAIL")</x:f>
        <x:v>PASS</x:v>
      </x:c>
    </x:row>
    <x:row r="2152">
      <x:c r="B2152" t="str">
        <x:v>A-02120</x:v>
      </x:c>
      <x:c r="C2152" t="str">
        <x:v>GATE</x:v>
      </x:c>
      <x:c r="D2152" t="str">
        <x:v>release state mirrors governing ledger</x:v>
      </x:c>
      <x:c r="E2152" t="str">
        <x:f>'Release Gates'!I2126</x:f>
        <x:v>OPEN</x:v>
      </x:c>
      <x:c r="F2152" t="str">
        <x:f>IF('Release Gates'!C2126="PLANNING","PASS",IF('Release Gates'!C2126="PHYSICAL","OPEN","BLOCKED"))</x:f>
        <x:v>OPEN</x:v>
      </x:c>
      <x:c r="G2152" t="str">
        <x:v>equals</x:v>
      </x:c>
      <x:c r="H2152" t="str">
        <x:f>IF(E2152=F2152,"PASS","FAIL")</x:f>
        <x:v>PASS</x:v>
      </x:c>
    </x:row>
    <x:row r="2153">
      <x:c r="B2153" t="str">
        <x:v>A-02121</x:v>
      </x:c>
      <x:c r="C2153" t="str">
        <x:v>GATE</x:v>
      </x:c>
      <x:c r="D2153" t="str">
        <x:v>release state mirrors governing ledger</x:v>
      </x:c>
      <x:c r="E2153" t="str">
        <x:f>'Release Gates'!I2127</x:f>
        <x:v>OPEN</x:v>
      </x:c>
      <x:c r="F2153" t="str">
        <x:f>IF('Release Gates'!C2127="PLANNING","PASS",IF('Release Gates'!C2127="PHYSICAL","OPEN","BLOCKED"))</x:f>
        <x:v>OPEN</x:v>
      </x:c>
      <x:c r="G2153" t="str">
        <x:v>equals</x:v>
      </x:c>
      <x:c r="H2153" t="str">
        <x:f>IF(E2153=F2153,"PASS","FAIL")</x:f>
        <x:v>PASS</x:v>
      </x:c>
    </x:row>
    <x:row r="2154">
      <x:c r="B2154" t="str">
        <x:v>A-02122</x:v>
      </x:c>
      <x:c r="C2154" t="str">
        <x:v>GATE</x:v>
      </x:c>
      <x:c r="D2154" t="str">
        <x:v>release state mirrors governing ledger</x:v>
      </x:c>
      <x:c r="E2154" t="str">
        <x:f>'Release Gates'!I2128</x:f>
        <x:v>OPEN</x:v>
      </x:c>
      <x:c r="F2154" t="str">
        <x:f>IF('Release Gates'!C2128="PLANNING","PASS",IF('Release Gates'!C2128="PHYSICAL","OPEN","BLOCKED"))</x:f>
        <x:v>OPEN</x:v>
      </x:c>
      <x:c r="G2154" t="str">
        <x:v>equals</x:v>
      </x:c>
      <x:c r="H2154" t="str">
        <x:f>IF(E2154=F2154,"PASS","FAIL")</x:f>
        <x:v>PASS</x:v>
      </x:c>
    </x:row>
    <x:row r="2155">
      <x:c r="B2155" t="str">
        <x:v>A-02123</x:v>
      </x:c>
      <x:c r="C2155" t="str">
        <x:v>GATE</x:v>
      </x:c>
      <x:c r="D2155" t="str">
        <x:v>release state mirrors governing ledger</x:v>
      </x:c>
      <x:c r="E2155" t="str">
        <x:f>'Release Gates'!I2129</x:f>
        <x:v>OPEN</x:v>
      </x:c>
      <x:c r="F2155" t="str">
        <x:f>IF('Release Gates'!C2129="PLANNING","PASS",IF('Release Gates'!C2129="PHYSICAL","OPEN","BLOCKED"))</x:f>
        <x:v>OPEN</x:v>
      </x:c>
      <x:c r="G2155" t="str">
        <x:v>equals</x:v>
      </x:c>
      <x:c r="H2155" t="str">
        <x:f>IF(E2155=F2155,"PASS","FAIL")</x:f>
        <x:v>PASS</x:v>
      </x:c>
    </x:row>
    <x:row r="2156">
      <x:c r="B2156" t="str">
        <x:v>A-02124</x:v>
      </x:c>
      <x:c r="C2156" t="str">
        <x:v>GATE</x:v>
      </x:c>
      <x:c r="D2156" t="str">
        <x:v>release state mirrors governing ledger</x:v>
      </x:c>
      <x:c r="E2156" t="str">
        <x:f>'Release Gates'!I2130</x:f>
        <x:v>OPEN</x:v>
      </x:c>
      <x:c r="F2156" t="str">
        <x:f>IF('Release Gates'!C2130="PLANNING","PASS",IF('Release Gates'!C2130="PHYSICAL","OPEN","BLOCKED"))</x:f>
        <x:v>OPEN</x:v>
      </x:c>
      <x:c r="G2156" t="str">
        <x:v>equals</x:v>
      </x:c>
      <x:c r="H2156" t="str">
        <x:f>IF(E2156=F2156,"PASS","FAIL")</x:f>
        <x:v>PASS</x:v>
      </x:c>
    </x:row>
    <x:row r="2157">
      <x:c r="B2157" t="str">
        <x:v>A-02125</x:v>
      </x:c>
      <x:c r="C2157" t="str">
        <x:v>GATE</x:v>
      </x:c>
      <x:c r="D2157" t="str">
        <x:v>release state mirrors governing ledger</x:v>
      </x:c>
      <x:c r="E2157" t="str">
        <x:f>'Release Gates'!I2131</x:f>
        <x:v>OPEN</x:v>
      </x:c>
      <x:c r="F2157" t="str">
        <x:f>IF('Release Gates'!C2131="PLANNING","PASS",IF('Release Gates'!C2131="PHYSICAL","OPEN","BLOCKED"))</x:f>
        <x:v>OPEN</x:v>
      </x:c>
      <x:c r="G2157" t="str">
        <x:v>equals</x:v>
      </x:c>
      <x:c r="H2157" t="str">
        <x:f>IF(E2157=F2157,"PASS","FAIL")</x:f>
        <x:v>PASS</x:v>
      </x:c>
    </x:row>
    <x:row r="2158">
      <x:c r="B2158" t="str">
        <x:v>A-02126</x:v>
      </x:c>
      <x:c r="C2158" t="str">
        <x:v>GATE</x:v>
      </x:c>
      <x:c r="D2158" t="str">
        <x:v>release state mirrors governing ledger</x:v>
      </x:c>
      <x:c r="E2158" t="str">
        <x:f>'Release Gates'!I2132</x:f>
        <x:v>OPEN</x:v>
      </x:c>
      <x:c r="F2158" t="str">
        <x:f>IF('Release Gates'!C2132="PLANNING","PASS",IF('Release Gates'!C2132="PHYSICAL","OPEN","BLOCKED"))</x:f>
        <x:v>OPEN</x:v>
      </x:c>
      <x:c r="G2158" t="str">
        <x:v>equals</x:v>
      </x:c>
      <x:c r="H2158" t="str">
        <x:f>IF(E2158=F2158,"PASS","FAIL")</x:f>
        <x:v>PASS</x:v>
      </x:c>
    </x:row>
    <x:row r="2159">
      <x:c r="B2159" t="str">
        <x:v>A-02127</x:v>
      </x:c>
      <x:c r="C2159" t="str">
        <x:v>GATE</x:v>
      </x:c>
      <x:c r="D2159" t="str">
        <x:v>release state mirrors governing ledger</x:v>
      </x:c>
      <x:c r="E2159" t="str">
        <x:f>'Release Gates'!I2133</x:f>
        <x:v>OPEN</x:v>
      </x:c>
      <x:c r="F2159" t="str">
        <x:f>IF('Release Gates'!C2133="PLANNING","PASS",IF('Release Gates'!C2133="PHYSICAL","OPEN","BLOCKED"))</x:f>
        <x:v>OPEN</x:v>
      </x:c>
      <x:c r="G2159" t="str">
        <x:v>equals</x:v>
      </x:c>
      <x:c r="H2159" t="str">
        <x:f>IF(E2159=F2159,"PASS","FAIL")</x:f>
        <x:v>PASS</x:v>
      </x:c>
    </x:row>
    <x:row r="2160">
      <x:c r="B2160" t="str">
        <x:v>A-02128</x:v>
      </x:c>
      <x:c r="C2160" t="str">
        <x:v>GATE</x:v>
      </x:c>
      <x:c r="D2160" t="str">
        <x:v>release state mirrors governing ledger</x:v>
      </x:c>
      <x:c r="E2160" t="str">
        <x:f>'Release Gates'!I2134</x:f>
        <x:v>OPEN</x:v>
      </x:c>
      <x:c r="F2160" t="str">
        <x:f>IF('Release Gates'!C2134="PLANNING","PASS",IF('Release Gates'!C2134="PHYSICAL","OPEN","BLOCKED"))</x:f>
        <x:v>OPEN</x:v>
      </x:c>
      <x:c r="G2160" t="str">
        <x:v>equals</x:v>
      </x:c>
      <x:c r="H2160" t="str">
        <x:f>IF(E2160=F2160,"PASS","FAIL")</x:f>
        <x:v>PASS</x:v>
      </x:c>
    </x:row>
    <x:row r="2161">
      <x:c r="B2161" t="str">
        <x:v>A-02129</x:v>
      </x:c>
      <x:c r="C2161" t="str">
        <x:v>GATE</x:v>
      </x:c>
      <x:c r="D2161" t="str">
        <x:v>release state mirrors governing ledger</x:v>
      </x:c>
      <x:c r="E2161" t="str">
        <x:f>'Release Gates'!I2135</x:f>
        <x:v>OPEN</x:v>
      </x:c>
      <x:c r="F2161" t="str">
        <x:f>IF('Release Gates'!C2135="PLANNING","PASS",IF('Release Gates'!C2135="PHYSICAL","OPEN","BLOCKED"))</x:f>
        <x:v>OPEN</x:v>
      </x:c>
      <x:c r="G2161" t="str">
        <x:v>equals</x:v>
      </x:c>
      <x:c r="H2161" t="str">
        <x:f>IF(E2161=F2161,"PASS","FAIL")</x:f>
        <x:v>PASS</x:v>
      </x:c>
    </x:row>
    <x:row r="2162">
      <x:c r="B2162" t="str">
        <x:v>A-02130</x:v>
      </x:c>
      <x:c r="C2162" t="str">
        <x:v>GATE</x:v>
      </x:c>
      <x:c r="D2162" t="str">
        <x:v>release state mirrors governing ledger</x:v>
      </x:c>
      <x:c r="E2162" t="str">
        <x:f>'Release Gates'!I2136</x:f>
        <x:v>OPEN</x:v>
      </x:c>
      <x:c r="F2162" t="str">
        <x:f>IF('Release Gates'!C2136="PLANNING","PASS",IF('Release Gates'!C2136="PHYSICAL","OPEN","BLOCKED"))</x:f>
        <x:v>OPEN</x:v>
      </x:c>
      <x:c r="G2162" t="str">
        <x:v>equals</x:v>
      </x:c>
      <x:c r="H2162" t="str">
        <x:f>IF(E2162=F2162,"PASS","FAIL")</x:f>
        <x:v>PASS</x:v>
      </x:c>
    </x:row>
    <x:row r="2163">
      <x:c r="B2163" t="str">
        <x:v>A-02131</x:v>
      </x:c>
      <x:c r="C2163" t="str">
        <x:v>GATE</x:v>
      </x:c>
      <x:c r="D2163" t="str">
        <x:v>release state mirrors governing ledger</x:v>
      </x:c>
      <x:c r="E2163" t="str">
        <x:f>'Release Gates'!I2137</x:f>
        <x:v>OPEN</x:v>
      </x:c>
      <x:c r="F2163" t="str">
        <x:f>IF('Release Gates'!C2137="PLANNING","PASS",IF('Release Gates'!C2137="PHYSICAL","OPEN","BLOCKED"))</x:f>
        <x:v>OPEN</x:v>
      </x:c>
      <x:c r="G2163" t="str">
        <x:v>equals</x:v>
      </x:c>
      <x:c r="H2163" t="str">
        <x:f>IF(E2163=F2163,"PASS","FAIL")</x:f>
        <x:v>PASS</x:v>
      </x:c>
    </x:row>
    <x:row r="2164">
      <x:c r="B2164" t="str">
        <x:v>A-02132</x:v>
      </x:c>
      <x:c r="C2164" t="str">
        <x:v>GATE</x:v>
      </x:c>
      <x:c r="D2164" t="str">
        <x:v>release state mirrors governing ledger</x:v>
      </x:c>
      <x:c r="E2164" t="str">
        <x:f>'Release Gates'!I2138</x:f>
        <x:v>OPEN</x:v>
      </x:c>
      <x:c r="F2164" t="str">
        <x:f>IF('Release Gates'!C2138="PLANNING","PASS",IF('Release Gates'!C2138="PHYSICAL","OPEN","BLOCKED"))</x:f>
        <x:v>OPEN</x:v>
      </x:c>
      <x:c r="G2164" t="str">
        <x:v>equals</x:v>
      </x:c>
      <x:c r="H2164" t="str">
        <x:f>IF(E2164=F2164,"PASS","FAIL")</x:f>
        <x:v>PASS</x:v>
      </x:c>
    </x:row>
    <x:row r="2165">
      <x:c r="B2165" t="str">
        <x:v>A-02133</x:v>
      </x:c>
      <x:c r="C2165" t="str">
        <x:v>GATE</x:v>
      </x:c>
      <x:c r="D2165" t="str">
        <x:v>release state mirrors governing ledger</x:v>
      </x:c>
      <x:c r="E2165" t="str">
        <x:f>'Release Gates'!I2139</x:f>
        <x:v>OPEN</x:v>
      </x:c>
      <x:c r="F2165" t="str">
        <x:f>IF('Release Gates'!C2139="PLANNING","PASS",IF('Release Gates'!C2139="PHYSICAL","OPEN","BLOCKED"))</x:f>
        <x:v>OPEN</x:v>
      </x:c>
      <x:c r="G2165" t="str">
        <x:v>equals</x:v>
      </x:c>
      <x:c r="H2165" t="str">
        <x:f>IF(E2165=F2165,"PASS","FAIL")</x:f>
        <x:v>PASS</x:v>
      </x:c>
    </x:row>
    <x:row r="2166">
      <x:c r="B2166" t="str">
        <x:v>A-02134</x:v>
      </x:c>
      <x:c r="C2166" t="str">
        <x:v>GATE</x:v>
      </x:c>
      <x:c r="D2166" t="str">
        <x:v>release state mirrors governing ledger</x:v>
      </x:c>
      <x:c r="E2166" t="str">
        <x:f>'Release Gates'!I2140</x:f>
        <x:v>OPEN</x:v>
      </x:c>
      <x:c r="F2166" t="str">
        <x:f>IF('Release Gates'!C2140="PLANNING","PASS",IF('Release Gates'!C2140="PHYSICAL","OPEN","BLOCKED"))</x:f>
        <x:v>OPEN</x:v>
      </x:c>
      <x:c r="G2166" t="str">
        <x:v>equals</x:v>
      </x:c>
      <x:c r="H2166" t="str">
        <x:f>IF(E2166=F2166,"PASS","FAIL")</x:f>
        <x:v>PASS</x:v>
      </x:c>
    </x:row>
    <x:row r="2167">
      <x:c r="B2167" t="str">
        <x:v>A-02135</x:v>
      </x:c>
      <x:c r="C2167" t="str">
        <x:v>GATE</x:v>
      </x:c>
      <x:c r="D2167" t="str">
        <x:v>release state mirrors governing ledger</x:v>
      </x:c>
      <x:c r="E2167" t="str">
        <x:f>'Release Gates'!I2141</x:f>
        <x:v>OPEN</x:v>
      </x:c>
      <x:c r="F2167" t="str">
        <x:f>IF('Release Gates'!C2141="PLANNING","PASS",IF('Release Gates'!C2141="PHYSICAL","OPEN","BLOCKED"))</x:f>
        <x:v>OPEN</x:v>
      </x:c>
      <x:c r="G2167" t="str">
        <x:v>equals</x:v>
      </x:c>
      <x:c r="H2167" t="str">
        <x:f>IF(E2167=F2167,"PASS","FAIL")</x:f>
        <x:v>PASS</x:v>
      </x:c>
    </x:row>
    <x:row r="2168">
      <x:c r="B2168" t="str">
        <x:v>A-02136</x:v>
      </x:c>
      <x:c r="C2168" t="str">
        <x:v>GATE</x:v>
      </x:c>
      <x:c r="D2168" t="str">
        <x:v>release state mirrors governing ledger</x:v>
      </x:c>
      <x:c r="E2168" t="str">
        <x:f>'Release Gates'!I2142</x:f>
        <x:v>OPEN</x:v>
      </x:c>
      <x:c r="F2168" t="str">
        <x:f>IF('Release Gates'!C2142="PLANNING","PASS",IF('Release Gates'!C2142="PHYSICAL","OPEN","BLOCKED"))</x:f>
        <x:v>OPEN</x:v>
      </x:c>
      <x:c r="G2168" t="str">
        <x:v>equals</x:v>
      </x:c>
      <x:c r="H2168" t="str">
        <x:f>IF(E2168=F2168,"PASS","FAIL")</x:f>
        <x:v>PASS</x:v>
      </x:c>
    </x:row>
    <x:row r="2169">
      <x:c r="B2169" t="str">
        <x:v>A-02137</x:v>
      </x:c>
      <x:c r="C2169" t="str">
        <x:v>GATE</x:v>
      </x:c>
      <x:c r="D2169" t="str">
        <x:v>release state mirrors governing ledger</x:v>
      </x:c>
      <x:c r="E2169" t="str">
        <x:f>'Release Gates'!I2143</x:f>
        <x:v>OPEN</x:v>
      </x:c>
      <x:c r="F2169" t="str">
        <x:f>IF('Release Gates'!C2143="PLANNING","PASS",IF('Release Gates'!C2143="PHYSICAL","OPEN","BLOCKED"))</x:f>
        <x:v>OPEN</x:v>
      </x:c>
      <x:c r="G2169" t="str">
        <x:v>equals</x:v>
      </x:c>
      <x:c r="H2169" t="str">
        <x:f>IF(E2169=F2169,"PASS","FAIL")</x:f>
        <x:v>PASS</x:v>
      </x:c>
    </x:row>
    <x:row r="2170">
      <x:c r="B2170" t="str">
        <x:v>A-02138</x:v>
      </x:c>
      <x:c r="C2170" t="str">
        <x:v>GATE</x:v>
      </x:c>
      <x:c r="D2170" t="str">
        <x:v>release state mirrors governing ledger</x:v>
      </x:c>
      <x:c r="E2170" t="str">
        <x:f>'Release Gates'!I2144</x:f>
        <x:v>OPEN</x:v>
      </x:c>
      <x:c r="F2170" t="str">
        <x:f>IF('Release Gates'!C2144="PLANNING","PASS",IF('Release Gates'!C2144="PHYSICAL","OPEN","BLOCKED"))</x:f>
        <x:v>OPEN</x:v>
      </x:c>
      <x:c r="G2170" t="str">
        <x:v>equals</x:v>
      </x:c>
      <x:c r="H2170" t="str">
        <x:f>IF(E2170=F2170,"PASS","FAIL")</x:f>
        <x:v>PASS</x:v>
      </x:c>
    </x:row>
    <x:row r="2171">
      <x:c r="B2171" t="str">
        <x:v>A-02139</x:v>
      </x:c>
      <x:c r="C2171" t="str">
        <x:v>GATE</x:v>
      </x:c>
      <x:c r="D2171" t="str">
        <x:v>release state mirrors governing ledger</x:v>
      </x:c>
      <x:c r="E2171" t="str">
        <x:f>'Release Gates'!I2145</x:f>
        <x:v>OPEN</x:v>
      </x:c>
      <x:c r="F2171" t="str">
        <x:f>IF('Release Gates'!C2145="PLANNING","PASS",IF('Release Gates'!C2145="PHYSICAL","OPEN","BLOCKED"))</x:f>
        <x:v>OPEN</x:v>
      </x:c>
      <x:c r="G2171" t="str">
        <x:v>equals</x:v>
      </x:c>
      <x:c r="H2171" t="str">
        <x:f>IF(E2171=F2171,"PASS","FAIL")</x:f>
        <x:v>PASS</x:v>
      </x:c>
    </x:row>
    <x:row r="2172">
      <x:c r="B2172" t="str">
        <x:v>A-02140</x:v>
      </x:c>
      <x:c r="C2172" t="str">
        <x:v>GATE</x:v>
      </x:c>
      <x:c r="D2172" t="str">
        <x:v>release state mirrors governing ledger</x:v>
      </x:c>
      <x:c r="E2172" t="str">
        <x:f>'Release Gates'!I2146</x:f>
        <x:v>OPEN</x:v>
      </x:c>
      <x:c r="F2172" t="str">
        <x:f>IF('Release Gates'!C2146="PLANNING","PASS",IF('Release Gates'!C2146="PHYSICAL","OPEN","BLOCKED"))</x:f>
        <x:v>OPEN</x:v>
      </x:c>
      <x:c r="G2172" t="str">
        <x:v>equals</x:v>
      </x:c>
      <x:c r="H2172" t="str">
        <x:f>IF(E2172=F2172,"PASS","FAIL")</x:f>
        <x:v>PASS</x:v>
      </x:c>
    </x:row>
    <x:row r="2173">
      <x:c r="B2173" t="str">
        <x:v>A-02141</x:v>
      </x:c>
      <x:c r="C2173" t="str">
        <x:v>GATE</x:v>
      </x:c>
      <x:c r="D2173" t="str">
        <x:v>release state mirrors governing ledger</x:v>
      </x:c>
      <x:c r="E2173" t="str">
        <x:f>'Release Gates'!I2147</x:f>
        <x:v>OPEN</x:v>
      </x:c>
      <x:c r="F2173" t="str">
        <x:f>IF('Release Gates'!C2147="PLANNING","PASS",IF('Release Gates'!C2147="PHYSICAL","OPEN","BLOCKED"))</x:f>
        <x:v>OPEN</x:v>
      </x:c>
      <x:c r="G2173" t="str">
        <x:v>equals</x:v>
      </x:c>
      <x:c r="H2173" t="str">
        <x:f>IF(E2173=F2173,"PASS","FAIL")</x:f>
        <x:v>PASS</x:v>
      </x:c>
    </x:row>
    <x:row r="2174">
      <x:c r="B2174" t="str">
        <x:v>A-02142</x:v>
      </x:c>
      <x:c r="C2174" t="str">
        <x:v>GATE</x:v>
      </x:c>
      <x:c r="D2174" t="str">
        <x:v>release state mirrors governing ledger</x:v>
      </x:c>
      <x:c r="E2174" t="str">
        <x:f>'Release Gates'!I2148</x:f>
        <x:v>OPEN</x:v>
      </x:c>
      <x:c r="F2174" t="str">
        <x:f>IF('Release Gates'!C2148="PLANNING","PASS",IF('Release Gates'!C2148="PHYSICAL","OPEN","BLOCKED"))</x:f>
        <x:v>OPEN</x:v>
      </x:c>
      <x:c r="G2174" t="str">
        <x:v>equals</x:v>
      </x:c>
      <x:c r="H2174" t="str">
        <x:f>IF(E2174=F2174,"PASS","FAIL")</x:f>
        <x:v>PASS</x:v>
      </x:c>
    </x:row>
    <x:row r="2175">
      <x:c r="B2175" t="str">
        <x:v>A-02143</x:v>
      </x:c>
      <x:c r="C2175" t="str">
        <x:v>GATE</x:v>
      </x:c>
      <x:c r="D2175" t="str">
        <x:v>release state mirrors governing ledger</x:v>
      </x:c>
      <x:c r="E2175" t="str">
        <x:f>'Release Gates'!I2149</x:f>
        <x:v>OPEN</x:v>
      </x:c>
      <x:c r="F2175" t="str">
        <x:f>IF('Release Gates'!C2149="PLANNING","PASS",IF('Release Gates'!C2149="PHYSICAL","OPEN","BLOCKED"))</x:f>
        <x:v>OPEN</x:v>
      </x:c>
      <x:c r="G2175" t="str">
        <x:v>equals</x:v>
      </x:c>
      <x:c r="H2175" t="str">
        <x:f>IF(E2175=F2175,"PASS","FAIL")</x:f>
        <x:v>PASS</x:v>
      </x:c>
    </x:row>
    <x:row r="2176">
      <x:c r="B2176" t="str">
        <x:v>A-02144</x:v>
      </x:c>
      <x:c r="C2176" t="str">
        <x:v>GATE</x:v>
      </x:c>
      <x:c r="D2176" t="str">
        <x:v>release state mirrors governing ledger</x:v>
      </x:c>
      <x:c r="E2176" t="str">
        <x:f>'Release Gates'!I2150</x:f>
        <x:v>OPEN</x:v>
      </x:c>
      <x:c r="F2176" t="str">
        <x:f>IF('Release Gates'!C2150="PLANNING","PASS",IF('Release Gates'!C2150="PHYSICAL","OPEN","BLOCKED"))</x:f>
        <x:v>OPEN</x:v>
      </x:c>
      <x:c r="G2176" t="str">
        <x:v>equals</x:v>
      </x:c>
      <x:c r="H2176" t="str">
        <x:f>IF(E2176=F2176,"PASS","FAIL")</x:f>
        <x:v>PASS</x:v>
      </x:c>
    </x:row>
    <x:row r="2177">
      <x:c r="B2177" t="str">
        <x:v>A-02145</x:v>
      </x:c>
      <x:c r="C2177" t="str">
        <x:v>GATE</x:v>
      </x:c>
      <x:c r="D2177" t="str">
        <x:v>release state mirrors governing ledger</x:v>
      </x:c>
      <x:c r="E2177" t="str">
        <x:f>'Release Gates'!I2151</x:f>
        <x:v>OPEN</x:v>
      </x:c>
      <x:c r="F2177" t="str">
        <x:f>IF('Release Gates'!C2151="PLANNING","PASS",IF('Release Gates'!C2151="PHYSICAL","OPEN","BLOCKED"))</x:f>
        <x:v>OPEN</x:v>
      </x:c>
      <x:c r="G2177" t="str">
        <x:v>equals</x:v>
      </x:c>
      <x:c r="H2177" t="str">
        <x:f>IF(E2177=F2177,"PASS","FAIL")</x:f>
        <x:v>PASS</x:v>
      </x:c>
    </x:row>
    <x:row r="2178">
      <x:c r="B2178" t="str">
        <x:v>A-02146</x:v>
      </x:c>
      <x:c r="C2178" t="str">
        <x:v>GATE</x:v>
      </x:c>
      <x:c r="D2178" t="str">
        <x:v>release state mirrors governing ledger</x:v>
      </x:c>
      <x:c r="E2178" t="str">
        <x:f>'Release Gates'!I2152</x:f>
        <x:v>OPEN</x:v>
      </x:c>
      <x:c r="F2178" t="str">
        <x:f>IF('Release Gates'!C2152="PLANNING","PASS",IF('Release Gates'!C2152="PHYSICAL","OPEN","BLOCKED"))</x:f>
        <x:v>OPEN</x:v>
      </x:c>
      <x:c r="G2178" t="str">
        <x:v>equals</x:v>
      </x:c>
      <x:c r="H2178" t="str">
        <x:f>IF(E2178=F2178,"PASS","FAIL")</x:f>
        <x:v>PASS</x:v>
      </x:c>
    </x:row>
    <x:row r="2179">
      <x:c r="B2179" t="str">
        <x:v>A-02147</x:v>
      </x:c>
      <x:c r="C2179" t="str">
        <x:v>GATE</x:v>
      </x:c>
      <x:c r="D2179" t="str">
        <x:v>release state mirrors governing ledger</x:v>
      </x:c>
      <x:c r="E2179" t="str">
        <x:f>'Release Gates'!I2153</x:f>
        <x:v>OPEN</x:v>
      </x:c>
      <x:c r="F2179" t="str">
        <x:f>IF('Release Gates'!C2153="PLANNING","PASS",IF('Release Gates'!C2153="PHYSICAL","OPEN","BLOCKED"))</x:f>
        <x:v>OPEN</x:v>
      </x:c>
      <x:c r="G2179" t="str">
        <x:v>equals</x:v>
      </x:c>
      <x:c r="H2179" t="str">
        <x:f>IF(E2179=F2179,"PASS","FAIL")</x:f>
        <x:v>PASS</x:v>
      </x:c>
    </x:row>
    <x:row r="2180">
      <x:c r="B2180" t="str">
        <x:v>A-02148</x:v>
      </x:c>
      <x:c r="C2180" t="str">
        <x:v>GATE</x:v>
      </x:c>
      <x:c r="D2180" t="str">
        <x:v>release state mirrors governing ledger</x:v>
      </x:c>
      <x:c r="E2180" t="str">
        <x:f>'Release Gates'!I2154</x:f>
        <x:v>OPEN</x:v>
      </x:c>
      <x:c r="F2180" t="str">
        <x:f>IF('Release Gates'!C2154="PLANNING","PASS",IF('Release Gates'!C2154="PHYSICAL","OPEN","BLOCKED"))</x:f>
        <x:v>OPEN</x:v>
      </x:c>
      <x:c r="G2180" t="str">
        <x:v>equals</x:v>
      </x:c>
      <x:c r="H2180" t="str">
        <x:f>IF(E2180=F2180,"PASS","FAIL")</x:f>
        <x:v>PASS</x:v>
      </x:c>
    </x:row>
    <x:row r="2181">
      <x:c r="B2181" t="str">
        <x:v>A-02149</x:v>
      </x:c>
      <x:c r="C2181" t="str">
        <x:v>GATE</x:v>
      </x:c>
      <x:c r="D2181" t="str">
        <x:v>release state mirrors governing ledger</x:v>
      </x:c>
      <x:c r="E2181" t="str">
        <x:f>'Release Gates'!I2155</x:f>
        <x:v>OPEN</x:v>
      </x:c>
      <x:c r="F2181" t="str">
        <x:f>IF('Release Gates'!C2155="PLANNING","PASS",IF('Release Gates'!C2155="PHYSICAL","OPEN","BLOCKED"))</x:f>
        <x:v>OPEN</x:v>
      </x:c>
      <x:c r="G2181" t="str">
        <x:v>equals</x:v>
      </x:c>
      <x:c r="H2181" t="str">
        <x:f>IF(E2181=F2181,"PASS","FAIL")</x:f>
        <x:v>PASS</x:v>
      </x:c>
    </x:row>
    <x:row r="2182">
      <x:c r="B2182" t="str">
        <x:v>A-02150</x:v>
      </x:c>
      <x:c r="C2182" t="str">
        <x:v>GATE</x:v>
      </x:c>
      <x:c r="D2182" t="str">
        <x:v>release state mirrors governing ledger</x:v>
      </x:c>
      <x:c r="E2182" t="str">
        <x:f>'Release Gates'!I2156</x:f>
        <x:v>OPEN</x:v>
      </x:c>
      <x:c r="F2182" t="str">
        <x:f>IF('Release Gates'!C2156="PLANNING","PASS",IF('Release Gates'!C2156="PHYSICAL","OPEN","BLOCKED"))</x:f>
        <x:v>OPEN</x:v>
      </x:c>
      <x:c r="G2182" t="str">
        <x:v>equals</x:v>
      </x:c>
      <x:c r="H2182" t="str">
        <x:f>IF(E2182=F2182,"PASS","FAIL")</x:f>
        <x:v>PASS</x:v>
      </x:c>
    </x:row>
    <x:row r="2183">
      <x:c r="B2183" t="str">
        <x:v>A-02151</x:v>
      </x:c>
      <x:c r="C2183" t="str">
        <x:v>GATE</x:v>
      </x:c>
      <x:c r="D2183" t="str">
        <x:v>release state mirrors governing ledger</x:v>
      </x:c>
      <x:c r="E2183" t="str">
        <x:f>'Release Gates'!I2157</x:f>
        <x:v>OPEN</x:v>
      </x:c>
      <x:c r="F2183" t="str">
        <x:f>IF('Release Gates'!C2157="PLANNING","PASS",IF('Release Gates'!C2157="PHYSICAL","OPEN","BLOCKED"))</x:f>
        <x:v>OPEN</x:v>
      </x:c>
      <x:c r="G2183" t="str">
        <x:v>equals</x:v>
      </x:c>
      <x:c r="H2183" t="str">
        <x:f>IF(E2183=F2183,"PASS","FAIL")</x:f>
        <x:v>PASS</x:v>
      </x:c>
    </x:row>
    <x:row r="2184">
      <x:c r="B2184" t="str">
        <x:v>A-02152</x:v>
      </x:c>
      <x:c r="C2184" t="str">
        <x:v>GATE</x:v>
      </x:c>
      <x:c r="D2184" t="str">
        <x:v>release state mirrors governing ledger</x:v>
      </x:c>
      <x:c r="E2184" t="str">
        <x:f>'Release Gates'!I2158</x:f>
        <x:v>OPEN</x:v>
      </x:c>
      <x:c r="F2184" t="str">
        <x:f>IF('Release Gates'!C2158="PLANNING","PASS",IF('Release Gates'!C2158="PHYSICAL","OPEN","BLOCKED"))</x:f>
        <x:v>OPEN</x:v>
      </x:c>
      <x:c r="G2184" t="str">
        <x:v>equals</x:v>
      </x:c>
      <x:c r="H2184" t="str">
        <x:f>IF(E2184=F2184,"PASS","FAIL")</x:f>
        <x:v>PASS</x:v>
      </x:c>
    </x:row>
    <x:row r="2185">
      <x:c r="B2185" t="str">
        <x:v>A-02153</x:v>
      </x:c>
      <x:c r="C2185" t="str">
        <x:v>GATE</x:v>
      </x:c>
      <x:c r="D2185" t="str">
        <x:v>release state mirrors governing ledger</x:v>
      </x:c>
      <x:c r="E2185" t="str">
        <x:f>'Release Gates'!I2159</x:f>
        <x:v>OPEN</x:v>
      </x:c>
      <x:c r="F2185" t="str">
        <x:f>IF('Release Gates'!C2159="PLANNING","PASS",IF('Release Gates'!C2159="PHYSICAL","OPEN","BLOCKED"))</x:f>
        <x:v>OPEN</x:v>
      </x:c>
      <x:c r="G2185" t="str">
        <x:v>equals</x:v>
      </x:c>
      <x:c r="H2185" t="str">
        <x:f>IF(E2185=F2185,"PASS","FAIL")</x:f>
        <x:v>PASS</x:v>
      </x:c>
    </x:row>
    <x:row r="2186">
      <x:c r="B2186" t="str">
        <x:v>A-02154</x:v>
      </x:c>
      <x:c r="C2186" t="str">
        <x:v>GATE</x:v>
      </x:c>
      <x:c r="D2186" t="str">
        <x:v>release state mirrors governing ledger</x:v>
      </x:c>
      <x:c r="E2186" t="str">
        <x:f>'Release Gates'!I2160</x:f>
        <x:v>OPEN</x:v>
      </x:c>
      <x:c r="F2186" t="str">
        <x:f>IF('Release Gates'!C2160="PLANNING","PASS",IF('Release Gates'!C2160="PHYSICAL","OPEN","BLOCKED"))</x:f>
        <x:v>OPEN</x:v>
      </x:c>
      <x:c r="G2186" t="str">
        <x:v>equals</x:v>
      </x:c>
      <x:c r="H2186" t="str">
        <x:f>IF(E2186=F2186,"PASS","FAIL")</x:f>
        <x:v>PASS</x:v>
      </x:c>
    </x:row>
    <x:row r="2187">
      <x:c r="B2187" t="str">
        <x:v>A-02155</x:v>
      </x:c>
      <x:c r="C2187" t="str">
        <x:v>GATE</x:v>
      </x:c>
      <x:c r="D2187" t="str">
        <x:v>release state mirrors governing ledger</x:v>
      </x:c>
      <x:c r="E2187" t="str">
        <x:f>'Release Gates'!I2161</x:f>
        <x:v>OPEN</x:v>
      </x:c>
      <x:c r="F2187" t="str">
        <x:f>IF('Release Gates'!C2161="PLANNING","PASS",IF('Release Gates'!C2161="PHYSICAL","OPEN","BLOCKED"))</x:f>
        <x:v>OPEN</x:v>
      </x:c>
      <x:c r="G2187" t="str">
        <x:v>equals</x:v>
      </x:c>
      <x:c r="H2187" t="str">
        <x:f>IF(E2187=F2187,"PASS","FAIL")</x:f>
        <x:v>PASS</x:v>
      </x:c>
    </x:row>
    <x:row r="2188">
      <x:c r="B2188" t="str">
        <x:v>A-02156</x:v>
      </x:c>
      <x:c r="C2188" t="str">
        <x:v>GATE</x:v>
      </x:c>
      <x:c r="D2188" t="str">
        <x:v>release state mirrors governing ledger</x:v>
      </x:c>
      <x:c r="E2188" t="str">
        <x:f>'Release Gates'!I2162</x:f>
        <x:v>OPEN</x:v>
      </x:c>
      <x:c r="F2188" t="str">
        <x:f>IF('Release Gates'!C2162="PLANNING","PASS",IF('Release Gates'!C2162="PHYSICAL","OPEN","BLOCKED"))</x:f>
        <x:v>OPEN</x:v>
      </x:c>
      <x:c r="G2188" t="str">
        <x:v>equals</x:v>
      </x:c>
      <x:c r="H2188" t="str">
        <x:f>IF(E2188=F2188,"PASS","FAIL")</x:f>
        <x:v>PASS</x:v>
      </x:c>
    </x:row>
    <x:row r="2189">
      <x:c r="B2189" t="str">
        <x:v>A-02157</x:v>
      </x:c>
      <x:c r="C2189" t="str">
        <x:v>GATE</x:v>
      </x:c>
      <x:c r="D2189" t="str">
        <x:v>release state mirrors governing ledger</x:v>
      </x:c>
      <x:c r="E2189" t="str">
        <x:f>'Release Gates'!I2163</x:f>
        <x:v>OPEN</x:v>
      </x:c>
      <x:c r="F2189" t="str">
        <x:f>IF('Release Gates'!C2163="PLANNING","PASS",IF('Release Gates'!C2163="PHYSICAL","OPEN","BLOCKED"))</x:f>
        <x:v>OPEN</x:v>
      </x:c>
      <x:c r="G2189" t="str">
        <x:v>equals</x:v>
      </x:c>
      <x:c r="H2189" t="str">
        <x:f>IF(E2189=F2189,"PASS","FAIL")</x:f>
        <x:v>PASS</x:v>
      </x:c>
    </x:row>
    <x:row r="2190">
      <x:c r="B2190" t="str">
        <x:v>A-02158</x:v>
      </x:c>
      <x:c r="C2190" t="str">
        <x:v>GATE</x:v>
      </x:c>
      <x:c r="D2190" t="str">
        <x:v>release state mirrors governing ledger</x:v>
      </x:c>
      <x:c r="E2190" t="str">
        <x:f>'Release Gates'!I2164</x:f>
        <x:v>OPEN</x:v>
      </x:c>
      <x:c r="F2190" t="str">
        <x:f>IF('Release Gates'!C2164="PLANNING","PASS",IF('Release Gates'!C2164="PHYSICAL","OPEN","BLOCKED"))</x:f>
        <x:v>OPEN</x:v>
      </x:c>
      <x:c r="G2190" t="str">
        <x:v>equals</x:v>
      </x:c>
      <x:c r="H2190" t="str">
        <x:f>IF(E2190=F2190,"PASS","FAIL")</x:f>
        <x:v>PASS</x:v>
      </x:c>
    </x:row>
    <x:row r="2191">
      <x:c r="B2191" t="str">
        <x:v>A-02159</x:v>
      </x:c>
      <x:c r="C2191" t="str">
        <x:v>GATE</x:v>
      </x:c>
      <x:c r="D2191" t="str">
        <x:v>release state mirrors governing ledger</x:v>
      </x:c>
      <x:c r="E2191" t="str">
        <x:f>'Release Gates'!I2165</x:f>
        <x:v>OPEN</x:v>
      </x:c>
      <x:c r="F2191" t="str">
        <x:f>IF('Release Gates'!C2165="PLANNING","PASS",IF('Release Gates'!C2165="PHYSICAL","OPEN","BLOCKED"))</x:f>
        <x:v>OPEN</x:v>
      </x:c>
      <x:c r="G2191" t="str">
        <x:v>equals</x:v>
      </x:c>
      <x:c r="H2191" t="str">
        <x:f>IF(E2191=F2191,"PASS","FAIL")</x:f>
        <x:v>PASS</x:v>
      </x:c>
    </x:row>
    <x:row r="2192">
      <x:c r="B2192" t="str">
        <x:v>A-02160</x:v>
      </x:c>
      <x:c r="C2192" t="str">
        <x:v>GATE</x:v>
      </x:c>
      <x:c r="D2192" t="str">
        <x:v>release state mirrors governing ledger</x:v>
      </x:c>
      <x:c r="E2192" t="str">
        <x:f>'Release Gates'!I2166</x:f>
        <x:v>OPEN</x:v>
      </x:c>
      <x:c r="F2192" t="str">
        <x:f>IF('Release Gates'!C2166="PLANNING","PASS",IF('Release Gates'!C2166="PHYSICAL","OPEN","BLOCKED"))</x:f>
        <x:v>OPEN</x:v>
      </x:c>
      <x:c r="G2192" t="str">
        <x:v>equals</x:v>
      </x:c>
      <x:c r="H2192" t="str">
        <x:f>IF(E2192=F2192,"PASS","FAIL")</x:f>
        <x:v>PASS</x:v>
      </x:c>
    </x:row>
    <x:row r="2193">
      <x:c r="B2193" t="str">
        <x:v>A-02161</x:v>
      </x:c>
      <x:c r="C2193" t="str">
        <x:v>GATE</x:v>
      </x:c>
      <x:c r="D2193" t="str">
        <x:v>release state mirrors governing ledger</x:v>
      </x:c>
      <x:c r="E2193" t="str">
        <x:f>'Release Gates'!I2167</x:f>
        <x:v>OPEN</x:v>
      </x:c>
      <x:c r="F2193" t="str">
        <x:f>IF('Release Gates'!C2167="PLANNING","PASS",IF('Release Gates'!C2167="PHYSICAL","OPEN","BLOCKED"))</x:f>
        <x:v>OPEN</x:v>
      </x:c>
      <x:c r="G2193" t="str">
        <x:v>equals</x:v>
      </x:c>
      <x:c r="H2193" t="str">
        <x:f>IF(E2193=F2193,"PASS","FAIL")</x:f>
        <x:v>PASS</x:v>
      </x:c>
    </x:row>
    <x:row r="2194">
      <x:c r="B2194" t="str">
        <x:v>A-02162</x:v>
      </x:c>
      <x:c r="C2194" t="str">
        <x:v>GATE</x:v>
      </x:c>
      <x:c r="D2194" t="str">
        <x:v>release state mirrors governing ledger</x:v>
      </x:c>
      <x:c r="E2194" t="str">
        <x:f>'Release Gates'!I2168</x:f>
        <x:v>OPEN</x:v>
      </x:c>
      <x:c r="F2194" t="str">
        <x:f>IF('Release Gates'!C2168="PLANNING","PASS",IF('Release Gates'!C2168="PHYSICAL","OPEN","BLOCKED"))</x:f>
        <x:v>OPEN</x:v>
      </x:c>
      <x:c r="G2194" t="str">
        <x:v>equals</x:v>
      </x:c>
      <x:c r="H2194" t="str">
        <x:f>IF(E2194=F2194,"PASS","FAIL")</x:f>
        <x:v>PASS</x:v>
      </x:c>
    </x:row>
    <x:row r="2195">
      <x:c r="B2195" t="str">
        <x:v>A-02163</x:v>
      </x:c>
      <x:c r="C2195" t="str">
        <x:v>GATE</x:v>
      </x:c>
      <x:c r="D2195" t="str">
        <x:v>release state mirrors governing ledger</x:v>
      </x:c>
      <x:c r="E2195" t="str">
        <x:f>'Release Gates'!I2169</x:f>
        <x:v>OPEN</x:v>
      </x:c>
      <x:c r="F2195" t="str">
        <x:f>IF('Release Gates'!C2169="PLANNING","PASS",IF('Release Gates'!C2169="PHYSICAL","OPEN","BLOCKED"))</x:f>
        <x:v>OPEN</x:v>
      </x:c>
      <x:c r="G2195" t="str">
        <x:v>equals</x:v>
      </x:c>
      <x:c r="H2195" t="str">
        <x:f>IF(E2195=F2195,"PASS","FAIL")</x:f>
        <x:v>PASS</x:v>
      </x:c>
    </x:row>
    <x:row r="2196">
      <x:c r="B2196" t="str">
        <x:v>A-02164</x:v>
      </x:c>
      <x:c r="C2196" t="str">
        <x:v>GATE</x:v>
      </x:c>
      <x:c r="D2196" t="str">
        <x:v>release state mirrors governing ledger</x:v>
      </x:c>
      <x:c r="E2196" t="str">
        <x:f>'Release Gates'!I2170</x:f>
        <x:v>OPEN</x:v>
      </x:c>
      <x:c r="F2196" t="str">
        <x:f>IF('Release Gates'!C2170="PLANNING","PASS",IF('Release Gates'!C2170="PHYSICAL","OPEN","BLOCKED"))</x:f>
        <x:v>OPEN</x:v>
      </x:c>
      <x:c r="G2196" t="str">
        <x:v>equals</x:v>
      </x:c>
      <x:c r="H2196" t="str">
        <x:f>IF(E2196=F2196,"PASS","FAIL")</x:f>
        <x:v>PASS</x:v>
      </x:c>
    </x:row>
    <x:row r="2197">
      <x:c r="B2197" t="str">
        <x:v>A-02165</x:v>
      </x:c>
      <x:c r="C2197" t="str">
        <x:v>GATE</x:v>
      </x:c>
      <x:c r="D2197" t="str">
        <x:v>release state mirrors governing ledger</x:v>
      </x:c>
      <x:c r="E2197" t="str">
        <x:f>'Release Gates'!I2171</x:f>
        <x:v>OPEN</x:v>
      </x:c>
      <x:c r="F2197" t="str">
        <x:f>IF('Release Gates'!C2171="PLANNING","PASS",IF('Release Gates'!C2171="PHYSICAL","OPEN","BLOCKED"))</x:f>
        <x:v>OPEN</x:v>
      </x:c>
      <x:c r="G2197" t="str">
        <x:v>equals</x:v>
      </x:c>
      <x:c r="H2197" t="str">
        <x:f>IF(E2197=F2197,"PASS","FAIL")</x:f>
        <x:v>PASS</x:v>
      </x:c>
    </x:row>
    <x:row r="2198">
      <x:c r="B2198" t="str">
        <x:v>A-02166</x:v>
      </x:c>
      <x:c r="C2198" t="str">
        <x:v>GATE</x:v>
      </x:c>
      <x:c r="D2198" t="str">
        <x:v>release state mirrors governing ledger</x:v>
      </x:c>
      <x:c r="E2198" t="str">
        <x:f>'Release Gates'!I2172</x:f>
        <x:v>OPEN</x:v>
      </x:c>
      <x:c r="F2198" t="str">
        <x:f>IF('Release Gates'!C2172="PLANNING","PASS",IF('Release Gates'!C2172="PHYSICAL","OPEN","BLOCKED"))</x:f>
        <x:v>OPEN</x:v>
      </x:c>
      <x:c r="G2198" t="str">
        <x:v>equals</x:v>
      </x:c>
      <x:c r="H2198" t="str">
        <x:f>IF(E2198=F2198,"PASS","FAIL")</x:f>
        <x:v>PASS</x:v>
      </x:c>
    </x:row>
    <x:row r="2199">
      <x:c r="B2199" t="str">
        <x:v>A-02167</x:v>
      </x:c>
      <x:c r="C2199" t="str">
        <x:v>GATE</x:v>
      </x:c>
      <x:c r="D2199" t="str">
        <x:v>release state mirrors governing ledger</x:v>
      </x:c>
      <x:c r="E2199" t="str">
        <x:f>'Release Gates'!I2173</x:f>
        <x:v>OPEN</x:v>
      </x:c>
      <x:c r="F2199" t="str">
        <x:f>IF('Release Gates'!C2173="PLANNING","PASS",IF('Release Gates'!C2173="PHYSICAL","OPEN","BLOCKED"))</x:f>
        <x:v>OPEN</x:v>
      </x:c>
      <x:c r="G2199" t="str">
        <x:v>equals</x:v>
      </x:c>
      <x:c r="H2199" t="str">
        <x:f>IF(E2199=F2199,"PASS","FAIL")</x:f>
        <x:v>PASS</x:v>
      </x:c>
    </x:row>
    <x:row r="2200">
      <x:c r="B2200" t="str">
        <x:v>A-02168</x:v>
      </x:c>
      <x:c r="C2200" t="str">
        <x:v>GATE</x:v>
      </x:c>
      <x:c r="D2200" t="str">
        <x:v>release state mirrors governing ledger</x:v>
      </x:c>
      <x:c r="E2200" t="str">
        <x:f>'Release Gates'!I2174</x:f>
        <x:v>OPEN</x:v>
      </x:c>
      <x:c r="F2200" t="str">
        <x:f>IF('Release Gates'!C2174="PLANNING","PASS",IF('Release Gates'!C2174="PHYSICAL","OPEN","BLOCKED"))</x:f>
        <x:v>OPEN</x:v>
      </x:c>
      <x:c r="G2200" t="str">
        <x:v>equals</x:v>
      </x:c>
      <x:c r="H2200" t="str">
        <x:f>IF(E2200=F2200,"PASS","FAIL")</x:f>
        <x:v>PASS</x:v>
      </x:c>
    </x:row>
    <x:row r="2201">
      <x:c r="B2201" t="str">
        <x:v>A-02169</x:v>
      </x:c>
      <x:c r="C2201" t="str">
        <x:v>GATE</x:v>
      </x:c>
      <x:c r="D2201" t="str">
        <x:v>release state mirrors governing ledger</x:v>
      </x:c>
      <x:c r="E2201" t="str">
        <x:f>'Release Gates'!I2175</x:f>
        <x:v>OPEN</x:v>
      </x:c>
      <x:c r="F2201" t="str">
        <x:f>IF('Release Gates'!C2175="PLANNING","PASS",IF('Release Gates'!C2175="PHYSICAL","OPEN","BLOCKED"))</x:f>
        <x:v>OPEN</x:v>
      </x:c>
      <x:c r="G2201" t="str">
        <x:v>equals</x:v>
      </x:c>
      <x:c r="H2201" t="str">
        <x:f>IF(E2201=F2201,"PASS","FAIL")</x:f>
        <x:v>PASS</x:v>
      </x:c>
    </x:row>
    <x:row r="2202">
      <x:c r="B2202" t="str">
        <x:v>A-02170</x:v>
      </x:c>
      <x:c r="C2202" t="str">
        <x:v>GATE</x:v>
      </x:c>
      <x:c r="D2202" t="str">
        <x:v>release state mirrors governing ledger</x:v>
      </x:c>
      <x:c r="E2202" t="str">
        <x:f>'Release Gates'!I2176</x:f>
        <x:v>OPEN</x:v>
      </x:c>
      <x:c r="F2202" t="str">
        <x:f>IF('Release Gates'!C2176="PLANNING","PASS",IF('Release Gates'!C2176="PHYSICAL","OPEN","BLOCKED"))</x:f>
        <x:v>OPEN</x:v>
      </x:c>
      <x:c r="G2202" t="str">
        <x:v>equals</x:v>
      </x:c>
      <x:c r="H2202" t="str">
        <x:f>IF(E2202=F2202,"PASS","FAIL")</x:f>
        <x:v>PASS</x:v>
      </x:c>
    </x:row>
    <x:row r="2203">
      <x:c r="B2203" t="str">
        <x:v>A-02171</x:v>
      </x:c>
      <x:c r="C2203" t="str">
        <x:v>GATE</x:v>
      </x:c>
      <x:c r="D2203" t="str">
        <x:v>release state mirrors governing ledger</x:v>
      </x:c>
      <x:c r="E2203" t="str">
        <x:f>'Release Gates'!I2177</x:f>
        <x:v>OPEN</x:v>
      </x:c>
      <x:c r="F2203" t="str">
        <x:f>IF('Release Gates'!C2177="PLANNING","PASS",IF('Release Gates'!C2177="PHYSICAL","OPEN","BLOCKED"))</x:f>
        <x:v>OPEN</x:v>
      </x:c>
      <x:c r="G2203" t="str">
        <x:v>equals</x:v>
      </x:c>
      <x:c r="H2203" t="str">
        <x:f>IF(E2203=F2203,"PASS","FAIL")</x:f>
        <x:v>PASS</x:v>
      </x:c>
    </x:row>
    <x:row r="2204">
      <x:c r="B2204" t="str">
        <x:v>A-02172</x:v>
      </x:c>
      <x:c r="C2204" t="str">
        <x:v>GATE</x:v>
      </x:c>
      <x:c r="D2204" t="str">
        <x:v>release state mirrors governing ledger</x:v>
      </x:c>
      <x:c r="E2204" t="str">
        <x:f>'Release Gates'!I2178</x:f>
        <x:v>OPEN</x:v>
      </x:c>
      <x:c r="F2204" t="str">
        <x:f>IF('Release Gates'!C2178="PLANNING","PASS",IF('Release Gates'!C2178="PHYSICAL","OPEN","BLOCKED"))</x:f>
        <x:v>OPEN</x:v>
      </x:c>
      <x:c r="G2204" t="str">
        <x:v>equals</x:v>
      </x:c>
      <x:c r="H2204" t="str">
        <x:f>IF(E2204=F2204,"PASS","FAIL")</x:f>
        <x:v>PASS</x:v>
      </x:c>
    </x:row>
    <x:row r="2205">
      <x:c r="B2205" t="str">
        <x:v>A-02173</x:v>
      </x:c>
      <x:c r="C2205" t="str">
        <x:v>GATE</x:v>
      </x:c>
      <x:c r="D2205" t="str">
        <x:v>release state mirrors governing ledger</x:v>
      </x:c>
      <x:c r="E2205" t="str">
        <x:f>'Release Gates'!I2179</x:f>
        <x:v>OPEN</x:v>
      </x:c>
      <x:c r="F2205" t="str">
        <x:f>IF('Release Gates'!C2179="PLANNING","PASS",IF('Release Gates'!C2179="PHYSICAL","OPEN","BLOCKED"))</x:f>
        <x:v>OPEN</x:v>
      </x:c>
      <x:c r="G2205" t="str">
        <x:v>equals</x:v>
      </x:c>
      <x:c r="H2205" t="str">
        <x:f>IF(E2205=F2205,"PASS","FAIL")</x:f>
        <x:v>PASS</x:v>
      </x:c>
    </x:row>
    <x:row r="2206">
      <x:c r="B2206" t="str">
        <x:v>A-02174</x:v>
      </x:c>
      <x:c r="C2206" t="str">
        <x:v>GATE</x:v>
      </x:c>
      <x:c r="D2206" t="str">
        <x:v>release state mirrors governing ledger</x:v>
      </x:c>
      <x:c r="E2206" t="str">
        <x:f>'Release Gates'!I2180</x:f>
        <x:v>OPEN</x:v>
      </x:c>
      <x:c r="F2206" t="str">
        <x:f>IF('Release Gates'!C2180="PLANNING","PASS",IF('Release Gates'!C2180="PHYSICAL","OPEN","BLOCKED"))</x:f>
        <x:v>OPEN</x:v>
      </x:c>
      <x:c r="G2206" t="str">
        <x:v>equals</x:v>
      </x:c>
      <x:c r="H2206" t="str">
        <x:f>IF(E2206=F2206,"PASS","FAIL")</x:f>
        <x:v>PASS</x:v>
      </x:c>
    </x:row>
    <x:row r="2207">
      <x:c r="B2207" t="str">
        <x:v>A-02175</x:v>
      </x:c>
      <x:c r="C2207" t="str">
        <x:v>GATE</x:v>
      </x:c>
      <x:c r="D2207" t="str">
        <x:v>release state mirrors governing ledger</x:v>
      </x:c>
      <x:c r="E2207" t="str">
        <x:f>'Release Gates'!I2181</x:f>
        <x:v>OPEN</x:v>
      </x:c>
      <x:c r="F2207" t="str">
        <x:f>IF('Release Gates'!C2181="PLANNING","PASS",IF('Release Gates'!C2181="PHYSICAL","OPEN","BLOCKED"))</x:f>
        <x:v>OPEN</x:v>
      </x:c>
      <x:c r="G2207" t="str">
        <x:v>equals</x:v>
      </x:c>
      <x:c r="H2207" t="str">
        <x:f>IF(E2207=F2207,"PASS","FAIL")</x:f>
        <x:v>PASS</x:v>
      </x:c>
    </x:row>
    <x:row r="2208">
      <x:c r="B2208" t="str">
        <x:v>A-02176</x:v>
      </x:c>
      <x:c r="C2208" t="str">
        <x:v>GATE</x:v>
      </x:c>
      <x:c r="D2208" t="str">
        <x:v>release state mirrors governing ledger</x:v>
      </x:c>
      <x:c r="E2208" t="str">
        <x:f>'Release Gates'!I2182</x:f>
        <x:v>OPEN</x:v>
      </x:c>
      <x:c r="F2208" t="str">
        <x:f>IF('Release Gates'!C2182="PLANNING","PASS",IF('Release Gates'!C2182="PHYSICAL","OPEN","BLOCKED"))</x:f>
        <x:v>OPEN</x:v>
      </x:c>
      <x:c r="G2208" t="str">
        <x:v>equals</x:v>
      </x:c>
      <x:c r="H2208" t="str">
        <x:f>IF(E2208=F2208,"PASS","FAIL")</x:f>
        <x:v>PASS</x:v>
      </x:c>
    </x:row>
    <x:row r="2209">
      <x:c r="B2209" t="str">
        <x:v>A-02177</x:v>
      </x:c>
      <x:c r="C2209" t="str">
        <x:v>GATE</x:v>
      </x:c>
      <x:c r="D2209" t="str">
        <x:v>release state mirrors governing ledger</x:v>
      </x:c>
      <x:c r="E2209" t="str">
        <x:f>'Release Gates'!I2183</x:f>
        <x:v>OPEN</x:v>
      </x:c>
      <x:c r="F2209" t="str">
        <x:f>IF('Release Gates'!C2183="PLANNING","PASS",IF('Release Gates'!C2183="PHYSICAL","OPEN","BLOCKED"))</x:f>
        <x:v>OPEN</x:v>
      </x:c>
      <x:c r="G2209" t="str">
        <x:v>equals</x:v>
      </x:c>
      <x:c r="H2209" t="str">
        <x:f>IF(E2209=F2209,"PASS","FAIL")</x:f>
        <x:v>PASS</x:v>
      </x:c>
    </x:row>
    <x:row r="2210">
      <x:c r="B2210" t="str">
        <x:v>A-02178</x:v>
      </x:c>
      <x:c r="C2210" t="str">
        <x:v>GATE</x:v>
      </x:c>
      <x:c r="D2210" t="str">
        <x:v>release state mirrors governing ledger</x:v>
      </x:c>
      <x:c r="E2210" t="str">
        <x:f>'Release Gates'!I2184</x:f>
        <x:v>OPEN</x:v>
      </x:c>
      <x:c r="F2210" t="str">
        <x:f>IF('Release Gates'!C2184="PLANNING","PASS",IF('Release Gates'!C2184="PHYSICAL","OPEN","BLOCKED"))</x:f>
        <x:v>OPEN</x:v>
      </x:c>
      <x:c r="G2210" t="str">
        <x:v>equals</x:v>
      </x:c>
      <x:c r="H2210" t="str">
        <x:f>IF(E2210=F2210,"PASS","FAIL")</x:f>
        <x:v>PASS</x:v>
      </x:c>
    </x:row>
    <x:row r="2211">
      <x:c r="B2211" t="str">
        <x:v>A-02179</x:v>
      </x:c>
      <x:c r="C2211" t="str">
        <x:v>GATE</x:v>
      </x:c>
      <x:c r="D2211" t="str">
        <x:v>release state mirrors governing ledger</x:v>
      </x:c>
      <x:c r="E2211" t="str">
        <x:f>'Release Gates'!I2185</x:f>
        <x:v>OPEN</x:v>
      </x:c>
      <x:c r="F2211" t="str">
        <x:f>IF('Release Gates'!C2185="PLANNING","PASS",IF('Release Gates'!C2185="PHYSICAL","OPEN","BLOCKED"))</x:f>
        <x:v>OPEN</x:v>
      </x:c>
      <x:c r="G2211" t="str">
        <x:v>equals</x:v>
      </x:c>
      <x:c r="H2211" t="str">
        <x:f>IF(E2211=F2211,"PASS","FAIL")</x:f>
        <x:v>PASS</x:v>
      </x:c>
    </x:row>
    <x:row r="2212">
      <x:c r="B2212" t="str">
        <x:v>A-02180</x:v>
      </x:c>
      <x:c r="C2212" t="str">
        <x:v>GATE</x:v>
      </x:c>
      <x:c r="D2212" t="str">
        <x:v>release state mirrors governing ledger</x:v>
      </x:c>
      <x:c r="E2212" t="str">
        <x:f>'Release Gates'!I2186</x:f>
        <x:v>OPEN</x:v>
      </x:c>
      <x:c r="F2212" t="str">
        <x:f>IF('Release Gates'!C2186="PLANNING","PASS",IF('Release Gates'!C2186="PHYSICAL","OPEN","BLOCKED"))</x:f>
        <x:v>OPEN</x:v>
      </x:c>
      <x:c r="G2212" t="str">
        <x:v>equals</x:v>
      </x:c>
      <x:c r="H2212" t="str">
        <x:f>IF(E2212=F2212,"PASS","FAIL")</x:f>
        <x:v>PASS</x:v>
      </x:c>
    </x:row>
    <x:row r="2213">
      <x:c r="B2213" t="str">
        <x:v>A-02181</x:v>
      </x:c>
      <x:c r="C2213" t="str">
        <x:v>GATE</x:v>
      </x:c>
      <x:c r="D2213" t="str">
        <x:v>release state mirrors governing ledger</x:v>
      </x:c>
      <x:c r="E2213" t="str">
        <x:f>'Release Gates'!I2187</x:f>
        <x:v>OPEN</x:v>
      </x:c>
      <x:c r="F2213" t="str">
        <x:f>IF('Release Gates'!C2187="PLANNING","PASS",IF('Release Gates'!C2187="PHYSICAL","OPEN","BLOCKED"))</x:f>
        <x:v>OPEN</x:v>
      </x:c>
      <x:c r="G2213" t="str">
        <x:v>equals</x:v>
      </x:c>
      <x:c r="H2213" t="str">
        <x:f>IF(E2213=F2213,"PASS","FAIL")</x:f>
        <x:v>PASS</x:v>
      </x:c>
    </x:row>
    <x:row r="2214">
      <x:c r="B2214" t="str">
        <x:v>A-02182</x:v>
      </x:c>
      <x:c r="C2214" t="str">
        <x:v>GATE</x:v>
      </x:c>
      <x:c r="D2214" t="str">
        <x:v>release state mirrors governing ledger</x:v>
      </x:c>
      <x:c r="E2214" t="str">
        <x:f>'Release Gates'!I2188</x:f>
        <x:v>OPEN</x:v>
      </x:c>
      <x:c r="F2214" t="str">
        <x:f>IF('Release Gates'!C2188="PLANNING","PASS",IF('Release Gates'!C2188="PHYSICAL","OPEN","BLOCKED"))</x:f>
        <x:v>OPEN</x:v>
      </x:c>
      <x:c r="G2214" t="str">
        <x:v>equals</x:v>
      </x:c>
      <x:c r="H2214" t="str">
        <x:f>IF(E2214=F2214,"PASS","FAIL")</x:f>
        <x:v>PASS</x:v>
      </x:c>
    </x:row>
    <x:row r="2215">
      <x:c r="B2215" t="str">
        <x:v>A-02183</x:v>
      </x:c>
      <x:c r="C2215" t="str">
        <x:v>GATE</x:v>
      </x:c>
      <x:c r="D2215" t="str">
        <x:v>release state mirrors governing ledger</x:v>
      </x:c>
      <x:c r="E2215" t="str">
        <x:f>'Release Gates'!I2189</x:f>
        <x:v>OPEN</x:v>
      </x:c>
      <x:c r="F2215" t="str">
        <x:f>IF('Release Gates'!C2189="PLANNING","PASS",IF('Release Gates'!C2189="PHYSICAL","OPEN","BLOCKED"))</x:f>
        <x:v>OPEN</x:v>
      </x:c>
      <x:c r="G2215" t="str">
        <x:v>equals</x:v>
      </x:c>
      <x:c r="H2215" t="str">
        <x:f>IF(E2215=F2215,"PASS","FAIL")</x:f>
        <x:v>PASS</x:v>
      </x:c>
    </x:row>
    <x:row r="2216">
      <x:c r="B2216" t="str">
        <x:v>A-02184</x:v>
      </x:c>
      <x:c r="C2216" t="str">
        <x:v>GATE</x:v>
      </x:c>
      <x:c r="D2216" t="str">
        <x:v>release state mirrors governing ledger</x:v>
      </x:c>
      <x:c r="E2216" t="str">
        <x:f>'Release Gates'!I2190</x:f>
        <x:v>OPEN</x:v>
      </x:c>
      <x:c r="F2216" t="str">
        <x:f>IF('Release Gates'!C2190="PLANNING","PASS",IF('Release Gates'!C2190="PHYSICAL","OPEN","BLOCKED"))</x:f>
        <x:v>OPEN</x:v>
      </x:c>
      <x:c r="G2216" t="str">
        <x:v>equals</x:v>
      </x:c>
      <x:c r="H2216" t="str">
        <x:f>IF(E2216=F2216,"PASS","FAIL")</x:f>
        <x:v>PASS</x:v>
      </x:c>
    </x:row>
    <x:row r="2217">
      <x:c r="B2217" t="str">
        <x:v>A-02185</x:v>
      </x:c>
      <x:c r="C2217" t="str">
        <x:v>GATE</x:v>
      </x:c>
      <x:c r="D2217" t="str">
        <x:v>release state mirrors governing ledger</x:v>
      </x:c>
      <x:c r="E2217" t="str">
        <x:f>'Release Gates'!I2191</x:f>
        <x:v>OPEN</x:v>
      </x:c>
      <x:c r="F2217" t="str">
        <x:f>IF('Release Gates'!C2191="PLANNING","PASS",IF('Release Gates'!C2191="PHYSICAL","OPEN","BLOCKED"))</x:f>
        <x:v>OPEN</x:v>
      </x:c>
      <x:c r="G2217" t="str">
        <x:v>equals</x:v>
      </x:c>
      <x:c r="H2217" t="str">
        <x:f>IF(E2217=F2217,"PASS","FAIL")</x:f>
        <x:v>PASS</x:v>
      </x:c>
    </x:row>
    <x:row r="2218">
      <x:c r="B2218" t="str">
        <x:v>A-02186</x:v>
      </x:c>
      <x:c r="C2218" t="str">
        <x:v>GATE</x:v>
      </x:c>
      <x:c r="D2218" t="str">
        <x:v>release state mirrors governing ledger</x:v>
      </x:c>
      <x:c r="E2218" t="str">
        <x:f>'Release Gates'!I2192</x:f>
        <x:v>OPEN</x:v>
      </x:c>
      <x:c r="F2218" t="str">
        <x:f>IF('Release Gates'!C2192="PLANNING","PASS",IF('Release Gates'!C2192="PHYSICAL","OPEN","BLOCKED"))</x:f>
        <x:v>OPEN</x:v>
      </x:c>
      <x:c r="G2218" t="str">
        <x:v>equals</x:v>
      </x:c>
      <x:c r="H2218" t="str">
        <x:f>IF(E2218=F2218,"PASS","FAIL")</x:f>
        <x:v>PASS</x:v>
      </x:c>
    </x:row>
    <x:row r="2219">
      <x:c r="B2219" t="str">
        <x:v>A-02187</x:v>
      </x:c>
      <x:c r="C2219" t="str">
        <x:v>GATE</x:v>
      </x:c>
      <x:c r="D2219" t="str">
        <x:v>release state mirrors governing ledger</x:v>
      </x:c>
      <x:c r="E2219" t="str">
        <x:f>'Release Gates'!I2193</x:f>
        <x:v>OPEN</x:v>
      </x:c>
      <x:c r="F2219" t="str">
        <x:f>IF('Release Gates'!C2193="PLANNING","PASS",IF('Release Gates'!C2193="PHYSICAL","OPEN","BLOCKED"))</x:f>
        <x:v>OPEN</x:v>
      </x:c>
      <x:c r="G2219" t="str">
        <x:v>equals</x:v>
      </x:c>
      <x:c r="H2219" t="str">
        <x:f>IF(E2219=F2219,"PASS","FAIL")</x:f>
        <x:v>PASS</x:v>
      </x:c>
    </x:row>
    <x:row r="2220">
      <x:c r="B2220" t="str">
        <x:v>A-02188</x:v>
      </x:c>
      <x:c r="C2220" t="str">
        <x:v>GATE</x:v>
      </x:c>
      <x:c r="D2220" t="str">
        <x:v>release state mirrors governing ledger</x:v>
      </x:c>
      <x:c r="E2220" t="str">
        <x:f>'Release Gates'!I2194</x:f>
        <x:v>OPEN</x:v>
      </x:c>
      <x:c r="F2220" t="str">
        <x:f>IF('Release Gates'!C2194="PLANNING","PASS",IF('Release Gates'!C2194="PHYSICAL","OPEN","BLOCKED"))</x:f>
        <x:v>OPEN</x:v>
      </x:c>
      <x:c r="G2220" t="str">
        <x:v>equals</x:v>
      </x:c>
      <x:c r="H2220" t="str">
        <x:f>IF(E2220=F2220,"PASS","FAIL")</x:f>
        <x:v>PASS</x:v>
      </x:c>
    </x:row>
    <x:row r="2221">
      <x:c r="B2221" t="str">
        <x:v>A-02189</x:v>
      </x:c>
      <x:c r="C2221" t="str">
        <x:v>GATE</x:v>
      </x:c>
      <x:c r="D2221" t="str">
        <x:v>release state mirrors governing ledger</x:v>
      </x:c>
      <x:c r="E2221" t="str">
        <x:f>'Release Gates'!I2195</x:f>
        <x:v>OPEN</x:v>
      </x:c>
      <x:c r="F2221" t="str">
        <x:f>IF('Release Gates'!C2195="PLANNING","PASS",IF('Release Gates'!C2195="PHYSICAL","OPEN","BLOCKED"))</x:f>
        <x:v>OPEN</x:v>
      </x:c>
      <x:c r="G2221" t="str">
        <x:v>equals</x:v>
      </x:c>
      <x:c r="H2221" t="str">
        <x:f>IF(E2221=F2221,"PASS","FAIL")</x:f>
        <x:v>PASS</x:v>
      </x:c>
    </x:row>
    <x:row r="2222">
      <x:c r="B2222" t="str">
        <x:v>A-02190</x:v>
      </x:c>
      <x:c r="C2222" t="str">
        <x:v>GATE</x:v>
      </x:c>
      <x:c r="D2222" t="str">
        <x:v>release state mirrors governing ledger</x:v>
      </x:c>
      <x:c r="E2222" t="str">
        <x:f>'Release Gates'!I2196</x:f>
        <x:v>OPEN</x:v>
      </x:c>
      <x:c r="F2222" t="str">
        <x:f>IF('Release Gates'!C2196="PLANNING","PASS",IF('Release Gates'!C2196="PHYSICAL","OPEN","BLOCKED"))</x:f>
        <x:v>OPEN</x:v>
      </x:c>
      <x:c r="G2222" t="str">
        <x:v>equals</x:v>
      </x:c>
      <x:c r="H2222" t="str">
        <x:f>IF(E2222=F2222,"PASS","FAIL")</x:f>
        <x:v>PASS</x:v>
      </x:c>
    </x:row>
    <x:row r="2223">
      <x:c r="B2223" t="str">
        <x:v>A-02191</x:v>
      </x:c>
      <x:c r="C2223" t="str">
        <x:v>GATE</x:v>
      </x:c>
      <x:c r="D2223" t="str">
        <x:v>release state mirrors governing ledger</x:v>
      </x:c>
      <x:c r="E2223" t="str">
        <x:f>'Release Gates'!I2197</x:f>
        <x:v>OPEN</x:v>
      </x:c>
      <x:c r="F2223" t="str">
        <x:f>IF('Release Gates'!C2197="PLANNING","PASS",IF('Release Gates'!C2197="PHYSICAL","OPEN","BLOCKED"))</x:f>
        <x:v>OPEN</x:v>
      </x:c>
      <x:c r="G2223" t="str">
        <x:v>equals</x:v>
      </x:c>
      <x:c r="H2223" t="str">
        <x:f>IF(E2223=F2223,"PASS","FAIL")</x:f>
        <x:v>PASS</x:v>
      </x:c>
    </x:row>
    <x:row r="2224">
      <x:c r="B2224" t="str">
        <x:v>A-02192</x:v>
      </x:c>
      <x:c r="C2224" t="str">
        <x:v>GATE</x:v>
      </x:c>
      <x:c r="D2224" t="str">
        <x:v>release state mirrors governing ledger</x:v>
      </x:c>
      <x:c r="E2224" t="str">
        <x:f>'Release Gates'!I2198</x:f>
        <x:v>OPEN</x:v>
      </x:c>
      <x:c r="F2224" t="str">
        <x:f>IF('Release Gates'!C2198="PLANNING","PASS",IF('Release Gates'!C2198="PHYSICAL","OPEN","BLOCKED"))</x:f>
        <x:v>OPEN</x:v>
      </x:c>
      <x:c r="G2224" t="str">
        <x:v>equals</x:v>
      </x:c>
      <x:c r="H2224" t="str">
        <x:f>IF(E2224=F2224,"PASS","FAIL")</x:f>
        <x:v>PASS</x:v>
      </x:c>
    </x:row>
    <x:row r="2225">
      <x:c r="B2225" t="str">
        <x:v>A-02193</x:v>
      </x:c>
      <x:c r="C2225" t="str">
        <x:v>GATE</x:v>
      </x:c>
      <x:c r="D2225" t="str">
        <x:v>release state mirrors governing ledger</x:v>
      </x:c>
      <x:c r="E2225" t="str">
        <x:f>'Release Gates'!I2199</x:f>
        <x:v>OPEN</x:v>
      </x:c>
      <x:c r="F2225" t="str">
        <x:f>IF('Release Gates'!C2199="PLANNING","PASS",IF('Release Gates'!C2199="PHYSICAL","OPEN","BLOCKED"))</x:f>
        <x:v>OPEN</x:v>
      </x:c>
      <x:c r="G2225" t="str">
        <x:v>equals</x:v>
      </x:c>
      <x:c r="H2225" t="str">
        <x:f>IF(E2225=F2225,"PASS","FAIL")</x:f>
        <x:v>PASS</x:v>
      </x:c>
    </x:row>
    <x:row r="2226">
      <x:c r="B2226" t="str">
        <x:v>A-02194</x:v>
      </x:c>
      <x:c r="C2226" t="str">
        <x:v>GATE</x:v>
      </x:c>
      <x:c r="D2226" t="str">
        <x:v>release state mirrors governing ledger</x:v>
      </x:c>
      <x:c r="E2226" t="str">
        <x:f>'Release Gates'!I2200</x:f>
        <x:v>OPEN</x:v>
      </x:c>
      <x:c r="F2226" t="str">
        <x:f>IF('Release Gates'!C2200="PLANNING","PASS",IF('Release Gates'!C2200="PHYSICAL","OPEN","BLOCKED"))</x:f>
        <x:v>OPEN</x:v>
      </x:c>
      <x:c r="G2226" t="str">
        <x:v>equals</x:v>
      </x:c>
      <x:c r="H2226" t="str">
        <x:f>IF(E2226=F2226,"PASS","FAIL")</x:f>
        <x:v>PASS</x:v>
      </x:c>
    </x:row>
    <x:row r="2227">
      <x:c r="B2227" t="str">
        <x:v>A-02195</x:v>
      </x:c>
      <x:c r="C2227" t="str">
        <x:v>GATE</x:v>
      </x:c>
      <x:c r="D2227" t="str">
        <x:v>release state mirrors governing ledger</x:v>
      </x:c>
      <x:c r="E2227" t="str">
        <x:f>'Release Gates'!I2201</x:f>
        <x:v>OPEN</x:v>
      </x:c>
      <x:c r="F2227" t="str">
        <x:f>IF('Release Gates'!C2201="PLANNING","PASS",IF('Release Gates'!C2201="PHYSICAL","OPEN","BLOCKED"))</x:f>
        <x:v>OPEN</x:v>
      </x:c>
      <x:c r="G2227" t="str">
        <x:v>equals</x:v>
      </x:c>
      <x:c r="H2227" t="str">
        <x:f>IF(E2227=F2227,"PASS","FAIL")</x:f>
        <x:v>PASS</x:v>
      </x:c>
    </x:row>
    <x:row r="2228">
      <x:c r="B2228" t="str">
        <x:v>A-02196</x:v>
      </x:c>
      <x:c r="C2228" t="str">
        <x:v>GATE</x:v>
      </x:c>
      <x:c r="D2228" t="str">
        <x:v>release state mirrors governing ledger</x:v>
      </x:c>
      <x:c r="E2228" t="str">
        <x:f>'Release Gates'!I2202</x:f>
        <x:v>OPEN</x:v>
      </x:c>
      <x:c r="F2228" t="str">
        <x:f>IF('Release Gates'!C2202="PLANNING","PASS",IF('Release Gates'!C2202="PHYSICAL","OPEN","BLOCKED"))</x:f>
        <x:v>OPEN</x:v>
      </x:c>
      <x:c r="G2228" t="str">
        <x:v>equals</x:v>
      </x:c>
      <x:c r="H2228" t="str">
        <x:f>IF(E2228=F2228,"PASS","FAIL")</x:f>
        <x:v>PASS</x:v>
      </x:c>
    </x:row>
    <x:row r="2229">
      <x:c r="B2229" t="str">
        <x:v>A-02197</x:v>
      </x:c>
      <x:c r="C2229" t="str">
        <x:v>GATE</x:v>
      </x:c>
      <x:c r="D2229" t="str">
        <x:v>release state mirrors governing ledger</x:v>
      </x:c>
      <x:c r="E2229" t="str">
        <x:f>'Release Gates'!I2203</x:f>
        <x:v>OPEN</x:v>
      </x:c>
      <x:c r="F2229" t="str">
        <x:f>IF('Release Gates'!C2203="PLANNING","PASS",IF('Release Gates'!C2203="PHYSICAL","OPEN","BLOCKED"))</x:f>
        <x:v>OPEN</x:v>
      </x:c>
      <x:c r="G2229" t="str">
        <x:v>equals</x:v>
      </x:c>
      <x:c r="H2229" t="str">
        <x:f>IF(E2229=F2229,"PASS","FAIL")</x:f>
        <x:v>PASS</x:v>
      </x:c>
    </x:row>
    <x:row r="2230">
      <x:c r="B2230" t="str">
        <x:v>A-02198</x:v>
      </x:c>
      <x:c r="C2230" t="str">
        <x:v>GATE</x:v>
      </x:c>
      <x:c r="D2230" t="str">
        <x:v>release state mirrors governing ledger</x:v>
      </x:c>
      <x:c r="E2230" t="str">
        <x:f>'Release Gates'!I2204</x:f>
        <x:v>OPEN</x:v>
      </x:c>
      <x:c r="F2230" t="str">
        <x:f>IF('Release Gates'!C2204="PLANNING","PASS",IF('Release Gates'!C2204="PHYSICAL","OPEN","BLOCKED"))</x:f>
        <x:v>OPEN</x:v>
      </x:c>
      <x:c r="G2230" t="str">
        <x:v>equals</x:v>
      </x:c>
      <x:c r="H2230" t="str">
        <x:f>IF(E2230=F2230,"PASS","FAIL")</x:f>
        <x:v>PASS</x:v>
      </x:c>
    </x:row>
    <x:row r="2231">
      <x:c r="B2231" t="str">
        <x:v>A-02199</x:v>
      </x:c>
      <x:c r="C2231" t="str">
        <x:v>GATE</x:v>
      </x:c>
      <x:c r="D2231" t="str">
        <x:v>release state mirrors governing ledger</x:v>
      </x:c>
      <x:c r="E2231" t="str">
        <x:f>'Release Gates'!I2205</x:f>
        <x:v>OPEN</x:v>
      </x:c>
      <x:c r="F2231" t="str">
        <x:f>IF('Release Gates'!C2205="PLANNING","PASS",IF('Release Gates'!C2205="PHYSICAL","OPEN","BLOCKED"))</x:f>
        <x:v>OPEN</x:v>
      </x:c>
      <x:c r="G2231" t="str">
        <x:v>equals</x:v>
      </x:c>
      <x:c r="H2231" t="str">
        <x:f>IF(E2231=F2231,"PASS","FAIL")</x:f>
        <x:v>PASS</x:v>
      </x:c>
    </x:row>
    <x:row r="2232">
      <x:c r="B2232" t="str">
        <x:v>A-02200</x:v>
      </x:c>
      <x:c r="C2232" t="str">
        <x:v>GATE</x:v>
      </x:c>
      <x:c r="D2232" t="str">
        <x:v>release state mirrors governing ledger</x:v>
      </x:c>
      <x:c r="E2232" t="str">
        <x:f>'Release Gates'!I2206</x:f>
        <x:v>OPEN</x:v>
      </x:c>
      <x:c r="F2232" t="str">
        <x:f>IF('Release Gates'!C2206="PLANNING","PASS",IF('Release Gates'!C2206="PHYSICAL","OPEN","BLOCKED"))</x:f>
        <x:v>OPEN</x:v>
      </x:c>
      <x:c r="G2232" t="str">
        <x:v>equals</x:v>
      </x:c>
      <x:c r="H2232" t="str">
        <x:f>IF(E2232=F2232,"PASS","FAIL")</x:f>
        <x:v>PASS</x:v>
      </x:c>
    </x:row>
    <x:row r="2233">
      <x:c r="B2233" t="str">
        <x:v>A-02201</x:v>
      </x:c>
      <x:c r="C2233" t="str">
        <x:v>GATE</x:v>
      </x:c>
      <x:c r="D2233" t="str">
        <x:v>release state mirrors governing ledger</x:v>
      </x:c>
      <x:c r="E2233" t="str">
        <x:f>'Release Gates'!I2207</x:f>
        <x:v>OPEN</x:v>
      </x:c>
      <x:c r="F2233" t="str">
        <x:f>IF('Release Gates'!C2207="PLANNING","PASS",IF('Release Gates'!C2207="PHYSICAL","OPEN","BLOCKED"))</x:f>
        <x:v>OPEN</x:v>
      </x:c>
      <x:c r="G2233" t="str">
        <x:v>equals</x:v>
      </x:c>
      <x:c r="H2233" t="str">
        <x:f>IF(E2233=F2233,"PASS","FAIL")</x:f>
        <x:v>PASS</x:v>
      </x:c>
    </x:row>
    <x:row r="2234">
      <x:c r="B2234" t="str">
        <x:v>A-02202</x:v>
      </x:c>
      <x:c r="C2234" t="str">
        <x:v>GATE</x:v>
      </x:c>
      <x:c r="D2234" t="str">
        <x:v>release state mirrors governing ledger</x:v>
      </x:c>
      <x:c r="E2234" t="str">
        <x:f>'Release Gates'!I2208</x:f>
        <x:v>OPEN</x:v>
      </x:c>
      <x:c r="F2234" t="str">
        <x:f>IF('Release Gates'!C2208="PLANNING","PASS",IF('Release Gates'!C2208="PHYSICAL","OPEN","BLOCKED"))</x:f>
        <x:v>OPEN</x:v>
      </x:c>
      <x:c r="G2234" t="str">
        <x:v>equals</x:v>
      </x:c>
      <x:c r="H2234" t="str">
        <x:f>IF(E2234=F2234,"PASS","FAIL")</x:f>
        <x:v>PASS</x:v>
      </x:c>
    </x:row>
    <x:row r="2235">
      <x:c r="B2235" t="str">
        <x:v>A-02203</x:v>
      </x:c>
      <x:c r="C2235" t="str">
        <x:v>GATE</x:v>
      </x:c>
      <x:c r="D2235" t="str">
        <x:v>release state mirrors governing ledger</x:v>
      </x:c>
      <x:c r="E2235" t="str">
        <x:f>'Release Gates'!I2209</x:f>
        <x:v>OPEN</x:v>
      </x:c>
      <x:c r="F2235" t="str">
        <x:f>IF('Release Gates'!C2209="PLANNING","PASS",IF('Release Gates'!C2209="PHYSICAL","OPEN","BLOCKED"))</x:f>
        <x:v>OPEN</x:v>
      </x:c>
      <x:c r="G2235" t="str">
        <x:v>equals</x:v>
      </x:c>
      <x:c r="H2235" t="str">
        <x:f>IF(E2235=F2235,"PASS","FAIL")</x:f>
        <x:v>PASS</x:v>
      </x:c>
    </x:row>
    <x:row r="2236">
      <x:c r="B2236" t="str">
        <x:v>A-02204</x:v>
      </x:c>
      <x:c r="C2236" t="str">
        <x:v>GATE</x:v>
      </x:c>
      <x:c r="D2236" t="str">
        <x:v>release state mirrors governing ledger</x:v>
      </x:c>
      <x:c r="E2236" t="str">
        <x:f>'Release Gates'!I2210</x:f>
        <x:v>OPEN</x:v>
      </x:c>
      <x:c r="F2236" t="str">
        <x:f>IF('Release Gates'!C2210="PLANNING","PASS",IF('Release Gates'!C2210="PHYSICAL","OPEN","BLOCKED"))</x:f>
        <x:v>OPEN</x:v>
      </x:c>
      <x:c r="G2236" t="str">
        <x:v>equals</x:v>
      </x:c>
      <x:c r="H2236" t="str">
        <x:f>IF(E2236=F2236,"PASS","FAIL")</x:f>
        <x:v>PASS</x:v>
      </x:c>
    </x:row>
    <x:row r="2237">
      <x:c r="B2237" t="str">
        <x:v>A-02205</x:v>
      </x:c>
      <x:c r="C2237" t="str">
        <x:v>GATE</x:v>
      </x:c>
      <x:c r="D2237" t="str">
        <x:v>release state mirrors governing ledger</x:v>
      </x:c>
      <x:c r="E2237" t="str">
        <x:f>'Release Gates'!I2211</x:f>
        <x:v>OPEN</x:v>
      </x:c>
      <x:c r="F2237" t="str">
        <x:f>IF('Release Gates'!C2211="PLANNING","PASS",IF('Release Gates'!C2211="PHYSICAL","OPEN","BLOCKED"))</x:f>
        <x:v>OPEN</x:v>
      </x:c>
      <x:c r="G2237" t="str">
        <x:v>equals</x:v>
      </x:c>
      <x:c r="H2237" t="str">
        <x:f>IF(E2237=F2237,"PASS","FAIL")</x:f>
        <x:v>PASS</x:v>
      </x:c>
    </x:row>
    <x:row r="2238">
      <x:c r="B2238" t="str">
        <x:v>A-02206</x:v>
      </x:c>
      <x:c r="C2238" t="str">
        <x:v>GATE</x:v>
      </x:c>
      <x:c r="D2238" t="str">
        <x:v>release state mirrors governing ledger</x:v>
      </x:c>
      <x:c r="E2238" t="str">
        <x:f>'Release Gates'!I2212</x:f>
        <x:v>OPEN</x:v>
      </x:c>
      <x:c r="F2238" t="str">
        <x:f>IF('Release Gates'!C2212="PLANNING","PASS",IF('Release Gates'!C2212="PHYSICAL","OPEN","BLOCKED"))</x:f>
        <x:v>OPEN</x:v>
      </x:c>
      <x:c r="G2238" t="str">
        <x:v>equals</x:v>
      </x:c>
      <x:c r="H2238" t="str">
        <x:f>IF(E2238=F2238,"PASS","FAIL")</x:f>
        <x:v>PASS</x:v>
      </x:c>
    </x:row>
    <x:row r="2239">
      <x:c r="B2239" t="str">
        <x:v>A-02207</x:v>
      </x:c>
      <x:c r="C2239" t="str">
        <x:v>GATE</x:v>
      </x:c>
      <x:c r="D2239" t="str">
        <x:v>release state mirrors governing ledger</x:v>
      </x:c>
      <x:c r="E2239" t="str">
        <x:f>'Release Gates'!I2213</x:f>
        <x:v>OPEN</x:v>
      </x:c>
      <x:c r="F2239" t="str">
        <x:f>IF('Release Gates'!C2213="PLANNING","PASS",IF('Release Gates'!C2213="PHYSICAL","OPEN","BLOCKED"))</x:f>
        <x:v>OPEN</x:v>
      </x:c>
      <x:c r="G2239" t="str">
        <x:v>equals</x:v>
      </x:c>
      <x:c r="H2239" t="str">
        <x:f>IF(E2239=F2239,"PASS","FAIL")</x:f>
        <x:v>PASS</x:v>
      </x:c>
    </x:row>
    <x:row r="2240">
      <x:c r="B2240" t="str">
        <x:v>A-02208</x:v>
      </x:c>
      <x:c r="C2240" t="str">
        <x:v>GATE</x:v>
      </x:c>
      <x:c r="D2240" t="str">
        <x:v>release state mirrors governing ledger</x:v>
      </x:c>
      <x:c r="E2240" t="str">
        <x:f>'Release Gates'!I2214</x:f>
        <x:v>OPEN</x:v>
      </x:c>
      <x:c r="F2240" t="str">
        <x:f>IF('Release Gates'!C2214="PLANNING","PASS",IF('Release Gates'!C2214="PHYSICAL","OPEN","BLOCKED"))</x:f>
        <x:v>OPEN</x:v>
      </x:c>
      <x:c r="G2240" t="str">
        <x:v>equals</x:v>
      </x:c>
      <x:c r="H2240" t="str">
        <x:f>IF(E2240=F2240,"PASS","FAIL")</x:f>
        <x:v>PASS</x:v>
      </x:c>
    </x:row>
    <x:row r="2241">
      <x:c r="B2241" t="str">
        <x:v>A-02209</x:v>
      </x:c>
      <x:c r="C2241" t="str">
        <x:v>GATE</x:v>
      </x:c>
      <x:c r="D2241" t="str">
        <x:v>release state mirrors governing ledger</x:v>
      </x:c>
      <x:c r="E2241" t="str">
        <x:f>'Release Gates'!I2215</x:f>
        <x:v>OPEN</x:v>
      </x:c>
      <x:c r="F2241" t="str">
        <x:f>IF('Release Gates'!C2215="PLANNING","PASS",IF('Release Gates'!C2215="PHYSICAL","OPEN","BLOCKED"))</x:f>
        <x:v>OPEN</x:v>
      </x:c>
      <x:c r="G2241" t="str">
        <x:v>equals</x:v>
      </x:c>
      <x:c r="H2241" t="str">
        <x:f>IF(E2241=F2241,"PASS","FAIL")</x:f>
        <x:v>PASS</x:v>
      </x:c>
    </x:row>
    <x:row r="2242">
      <x:c r="B2242" t="str">
        <x:v>A-02210</x:v>
      </x:c>
      <x:c r="C2242" t="str">
        <x:v>GATE</x:v>
      </x:c>
      <x:c r="D2242" t="str">
        <x:v>release state mirrors governing ledger</x:v>
      </x:c>
      <x:c r="E2242" t="str">
        <x:f>'Release Gates'!I2216</x:f>
        <x:v>OPEN</x:v>
      </x:c>
      <x:c r="F2242" t="str">
        <x:f>IF('Release Gates'!C2216="PLANNING","PASS",IF('Release Gates'!C2216="PHYSICAL","OPEN","BLOCKED"))</x:f>
        <x:v>OPEN</x:v>
      </x:c>
      <x:c r="G2242" t="str">
        <x:v>equals</x:v>
      </x:c>
      <x:c r="H2242" t="str">
        <x:f>IF(E2242=F2242,"PASS","FAIL")</x:f>
        <x:v>PASS</x:v>
      </x:c>
    </x:row>
    <x:row r="2243">
      <x:c r="B2243" t="str">
        <x:v>A-02211</x:v>
      </x:c>
      <x:c r="C2243" t="str">
        <x:v>GATE</x:v>
      </x:c>
      <x:c r="D2243" t="str">
        <x:v>release state mirrors governing ledger</x:v>
      </x:c>
      <x:c r="E2243" t="str">
        <x:f>'Release Gates'!I2217</x:f>
        <x:v>OPEN</x:v>
      </x:c>
      <x:c r="F2243" t="str">
        <x:f>IF('Release Gates'!C2217="PLANNING","PASS",IF('Release Gates'!C2217="PHYSICAL","OPEN","BLOCKED"))</x:f>
        <x:v>OPEN</x:v>
      </x:c>
      <x:c r="G2243" t="str">
        <x:v>equals</x:v>
      </x:c>
      <x:c r="H2243" t="str">
        <x:f>IF(E2243=F2243,"PASS","FAIL")</x:f>
        <x:v>PASS</x:v>
      </x:c>
    </x:row>
    <x:row r="2244">
      <x:c r="B2244" t="str">
        <x:v>A-02212</x:v>
      </x:c>
      <x:c r="C2244" t="str">
        <x:v>GATE</x:v>
      </x:c>
      <x:c r="D2244" t="str">
        <x:v>release state mirrors governing ledger</x:v>
      </x:c>
      <x:c r="E2244" t="str">
        <x:f>'Release Gates'!I2218</x:f>
        <x:v>OPEN</x:v>
      </x:c>
      <x:c r="F2244" t="str">
        <x:f>IF('Release Gates'!C2218="PLANNING","PASS",IF('Release Gates'!C2218="PHYSICAL","OPEN","BLOCKED"))</x:f>
        <x:v>OPEN</x:v>
      </x:c>
      <x:c r="G2244" t="str">
        <x:v>equals</x:v>
      </x:c>
      <x:c r="H2244" t="str">
        <x:f>IF(E2244=F2244,"PASS","FAIL")</x:f>
        <x:v>PASS</x:v>
      </x:c>
    </x:row>
    <x:row r="2245">
      <x:c r="B2245" t="str">
        <x:v>A-02213</x:v>
      </x:c>
      <x:c r="C2245" t="str">
        <x:v>GATE</x:v>
      </x:c>
      <x:c r="D2245" t="str">
        <x:v>release state mirrors governing ledger</x:v>
      </x:c>
      <x:c r="E2245" t="str">
        <x:f>'Release Gates'!I2219</x:f>
        <x:v>OPEN</x:v>
      </x:c>
      <x:c r="F2245" t="str">
        <x:f>IF('Release Gates'!C2219="PLANNING","PASS",IF('Release Gates'!C2219="PHYSICAL","OPEN","BLOCKED"))</x:f>
        <x:v>OPEN</x:v>
      </x:c>
      <x:c r="G2245" t="str">
        <x:v>equals</x:v>
      </x:c>
      <x:c r="H2245" t="str">
        <x:f>IF(E2245=F2245,"PASS","FAIL")</x:f>
        <x:v>PASS</x:v>
      </x:c>
    </x:row>
    <x:row r="2246">
      <x:c r="B2246" t="str">
        <x:v>A-02214</x:v>
      </x:c>
      <x:c r="C2246" t="str">
        <x:v>GATE</x:v>
      </x:c>
      <x:c r="D2246" t="str">
        <x:v>release state mirrors governing ledger</x:v>
      </x:c>
      <x:c r="E2246" t="str">
        <x:f>'Release Gates'!I2220</x:f>
        <x:v>OPEN</x:v>
      </x:c>
      <x:c r="F2246" t="str">
        <x:f>IF('Release Gates'!C2220="PLANNING","PASS",IF('Release Gates'!C2220="PHYSICAL","OPEN","BLOCKED"))</x:f>
        <x:v>OPEN</x:v>
      </x:c>
      <x:c r="G2246" t="str">
        <x:v>equals</x:v>
      </x:c>
      <x:c r="H2246" t="str">
        <x:f>IF(E2246=F2246,"PASS","FAIL")</x:f>
        <x:v>PASS</x:v>
      </x:c>
    </x:row>
    <x:row r="2247">
      <x:c r="B2247" t="str">
        <x:v>A-02215</x:v>
      </x:c>
      <x:c r="C2247" t="str">
        <x:v>GATE</x:v>
      </x:c>
      <x:c r="D2247" t="str">
        <x:v>release state mirrors governing ledger</x:v>
      </x:c>
      <x:c r="E2247" t="str">
        <x:f>'Release Gates'!I2221</x:f>
        <x:v>OPEN</x:v>
      </x:c>
      <x:c r="F2247" t="str">
        <x:f>IF('Release Gates'!C2221="PLANNING","PASS",IF('Release Gates'!C2221="PHYSICAL","OPEN","BLOCKED"))</x:f>
        <x:v>OPEN</x:v>
      </x:c>
      <x:c r="G2247" t="str">
        <x:v>equals</x:v>
      </x:c>
      <x:c r="H2247" t="str">
        <x:f>IF(E2247=F2247,"PASS","FAIL")</x:f>
        <x:v>PASS</x:v>
      </x:c>
    </x:row>
    <x:row r="2248">
      <x:c r="B2248" t="str">
        <x:v>A-02216</x:v>
      </x:c>
      <x:c r="C2248" t="str">
        <x:v>GATE</x:v>
      </x:c>
      <x:c r="D2248" t="str">
        <x:v>release state mirrors governing ledger</x:v>
      </x:c>
      <x:c r="E2248" t="str">
        <x:f>'Release Gates'!I2222</x:f>
        <x:v>OPEN</x:v>
      </x:c>
      <x:c r="F2248" t="str">
        <x:f>IF('Release Gates'!C2222="PLANNING","PASS",IF('Release Gates'!C2222="PHYSICAL","OPEN","BLOCKED"))</x:f>
        <x:v>OPEN</x:v>
      </x:c>
      <x:c r="G2248" t="str">
        <x:v>equals</x:v>
      </x:c>
      <x:c r="H2248" t="str">
        <x:f>IF(E2248=F2248,"PASS","FAIL")</x:f>
        <x:v>PASS</x:v>
      </x:c>
    </x:row>
    <x:row r="2249">
      <x:c r="B2249" t="str">
        <x:v>A-02217</x:v>
      </x:c>
      <x:c r="C2249" t="str">
        <x:v>GATE</x:v>
      </x:c>
      <x:c r="D2249" t="str">
        <x:v>release state mirrors governing ledger</x:v>
      </x:c>
      <x:c r="E2249" t="str">
        <x:f>'Release Gates'!I2223</x:f>
        <x:v>OPEN</x:v>
      </x:c>
      <x:c r="F2249" t="str">
        <x:f>IF('Release Gates'!C2223="PLANNING","PASS",IF('Release Gates'!C2223="PHYSICAL","OPEN","BLOCKED"))</x:f>
        <x:v>OPEN</x:v>
      </x:c>
      <x:c r="G2249" t="str">
        <x:v>equals</x:v>
      </x:c>
      <x:c r="H2249" t="str">
        <x:f>IF(E2249=F2249,"PASS","FAIL")</x:f>
        <x:v>PASS</x:v>
      </x:c>
    </x:row>
    <x:row r="2250">
      <x:c r="B2250" t="str">
        <x:v>A-02218</x:v>
      </x:c>
      <x:c r="C2250" t="str">
        <x:v>GATE</x:v>
      </x:c>
      <x:c r="D2250" t="str">
        <x:v>release state mirrors governing ledger</x:v>
      </x:c>
      <x:c r="E2250" t="str">
        <x:f>'Release Gates'!I2224</x:f>
        <x:v>OPEN</x:v>
      </x:c>
      <x:c r="F2250" t="str">
        <x:f>IF('Release Gates'!C2224="PLANNING","PASS",IF('Release Gates'!C2224="PHYSICAL","OPEN","BLOCKED"))</x:f>
        <x:v>OPEN</x:v>
      </x:c>
      <x:c r="G2250" t="str">
        <x:v>equals</x:v>
      </x:c>
      <x:c r="H2250" t="str">
        <x:f>IF(E2250=F2250,"PASS","FAIL")</x:f>
        <x:v>PASS</x:v>
      </x:c>
    </x:row>
    <x:row r="2251">
      <x:c r="B2251" t="str">
        <x:v>A-02219</x:v>
      </x:c>
      <x:c r="C2251" t="str">
        <x:v>GATE</x:v>
      </x:c>
      <x:c r="D2251" t="str">
        <x:v>release state mirrors governing ledger</x:v>
      </x:c>
      <x:c r="E2251" t="str">
        <x:f>'Release Gates'!I2225</x:f>
        <x:v>OPEN</x:v>
      </x:c>
      <x:c r="F2251" t="str">
        <x:f>IF('Release Gates'!C2225="PLANNING","PASS",IF('Release Gates'!C2225="PHYSICAL","OPEN","BLOCKED"))</x:f>
        <x:v>OPEN</x:v>
      </x:c>
      <x:c r="G2251" t="str">
        <x:v>equals</x:v>
      </x:c>
      <x:c r="H2251" t="str">
        <x:f>IF(E2251=F2251,"PASS","FAIL")</x:f>
        <x:v>PASS</x:v>
      </x:c>
    </x:row>
    <x:row r="2252">
      <x:c r="B2252" t="str">
        <x:v>A-02220</x:v>
      </x:c>
      <x:c r="C2252" t="str">
        <x:v>GATE</x:v>
      </x:c>
      <x:c r="D2252" t="str">
        <x:v>release state mirrors governing ledger</x:v>
      </x:c>
      <x:c r="E2252" t="str">
        <x:f>'Release Gates'!I2226</x:f>
        <x:v>OPEN</x:v>
      </x:c>
      <x:c r="F2252" t="str">
        <x:f>IF('Release Gates'!C2226="PLANNING","PASS",IF('Release Gates'!C2226="PHYSICAL","OPEN","BLOCKED"))</x:f>
        <x:v>OPEN</x:v>
      </x:c>
      <x:c r="G2252" t="str">
        <x:v>equals</x:v>
      </x:c>
      <x:c r="H2252" t="str">
        <x:f>IF(E2252=F2252,"PASS","FAIL")</x:f>
        <x:v>PASS</x:v>
      </x:c>
    </x:row>
    <x:row r="2253">
      <x:c r="B2253" t="str">
        <x:v>A-02221</x:v>
      </x:c>
      <x:c r="C2253" t="str">
        <x:v>GATE</x:v>
      </x:c>
      <x:c r="D2253" t="str">
        <x:v>release state mirrors governing ledger</x:v>
      </x:c>
      <x:c r="E2253" t="str">
        <x:f>'Release Gates'!I2227</x:f>
        <x:v>OPEN</x:v>
      </x:c>
      <x:c r="F2253" t="str">
        <x:f>IF('Release Gates'!C2227="PLANNING","PASS",IF('Release Gates'!C2227="PHYSICAL","OPEN","BLOCKED"))</x:f>
        <x:v>OPEN</x:v>
      </x:c>
      <x:c r="G2253" t="str">
        <x:v>equals</x:v>
      </x:c>
      <x:c r="H2253" t="str">
        <x:f>IF(E2253=F2253,"PASS","FAIL")</x:f>
        <x:v>PASS</x:v>
      </x:c>
    </x:row>
    <x:row r="2254">
      <x:c r="B2254" t="str">
        <x:v>A-02222</x:v>
      </x:c>
      <x:c r="C2254" t="str">
        <x:v>GATE</x:v>
      </x:c>
      <x:c r="D2254" t="str">
        <x:v>release state mirrors governing ledger</x:v>
      </x:c>
      <x:c r="E2254" t="str">
        <x:f>'Release Gates'!I2228</x:f>
        <x:v>OPEN</x:v>
      </x:c>
      <x:c r="F2254" t="str">
        <x:f>IF('Release Gates'!C2228="PLANNING","PASS",IF('Release Gates'!C2228="PHYSICAL","OPEN","BLOCKED"))</x:f>
        <x:v>OPEN</x:v>
      </x:c>
      <x:c r="G2254" t="str">
        <x:v>equals</x:v>
      </x:c>
      <x:c r="H2254" t="str">
        <x:f>IF(E2254=F2254,"PASS","FAIL")</x:f>
        <x:v>PASS</x:v>
      </x:c>
    </x:row>
    <x:row r="2255">
      <x:c r="B2255" t="str">
        <x:v>A-02223</x:v>
      </x:c>
      <x:c r="C2255" t="str">
        <x:v>GATE</x:v>
      </x:c>
      <x:c r="D2255" t="str">
        <x:v>release state mirrors governing ledger</x:v>
      </x:c>
      <x:c r="E2255" t="str">
        <x:f>'Release Gates'!I2229</x:f>
        <x:v>OPEN</x:v>
      </x:c>
      <x:c r="F2255" t="str">
        <x:f>IF('Release Gates'!C2229="PLANNING","PASS",IF('Release Gates'!C2229="PHYSICAL","OPEN","BLOCKED"))</x:f>
        <x:v>OPEN</x:v>
      </x:c>
      <x:c r="G2255" t="str">
        <x:v>equals</x:v>
      </x:c>
      <x:c r="H2255" t="str">
        <x:f>IF(E2255=F2255,"PASS","FAIL")</x:f>
        <x:v>PASS</x:v>
      </x:c>
    </x:row>
    <x:row r="2256">
      <x:c r="B2256" t="str">
        <x:v>A-02224</x:v>
      </x:c>
      <x:c r="C2256" t="str">
        <x:v>GATE</x:v>
      </x:c>
      <x:c r="D2256" t="str">
        <x:v>release state mirrors governing ledger</x:v>
      </x:c>
      <x:c r="E2256" t="str">
        <x:f>'Release Gates'!I2230</x:f>
        <x:v>OPEN</x:v>
      </x:c>
      <x:c r="F2256" t="str">
        <x:f>IF('Release Gates'!C2230="PLANNING","PASS",IF('Release Gates'!C2230="PHYSICAL","OPEN","BLOCKED"))</x:f>
        <x:v>OPEN</x:v>
      </x:c>
      <x:c r="G2256" t="str">
        <x:v>equals</x:v>
      </x:c>
      <x:c r="H2256" t="str">
        <x:f>IF(E2256=F2256,"PASS","FAIL")</x:f>
        <x:v>PASS</x:v>
      </x:c>
    </x:row>
    <x:row r="2257">
      <x:c r="B2257" t="str">
        <x:v>A-02225</x:v>
      </x:c>
      <x:c r="C2257" t="str">
        <x:v>GATE</x:v>
      </x:c>
      <x:c r="D2257" t="str">
        <x:v>release state mirrors governing ledger</x:v>
      </x:c>
      <x:c r="E2257" t="str">
        <x:f>'Release Gates'!I2231</x:f>
        <x:v>OPEN</x:v>
      </x:c>
      <x:c r="F2257" t="str">
        <x:f>IF('Release Gates'!C2231="PLANNING","PASS",IF('Release Gates'!C2231="PHYSICAL","OPEN","BLOCKED"))</x:f>
        <x:v>OPEN</x:v>
      </x:c>
      <x:c r="G2257" t="str">
        <x:v>equals</x:v>
      </x:c>
      <x:c r="H2257" t="str">
        <x:f>IF(E2257=F2257,"PASS","FAIL")</x:f>
        <x:v>PASS</x:v>
      </x:c>
    </x:row>
    <x:row r="2258">
      <x:c r="B2258" t="str">
        <x:v>A-02226</x:v>
      </x:c>
      <x:c r="C2258" t="str">
        <x:v>GATE</x:v>
      </x:c>
      <x:c r="D2258" t="str">
        <x:v>release state mirrors governing ledger</x:v>
      </x:c>
      <x:c r="E2258" t="str">
        <x:f>'Release Gates'!I2232</x:f>
        <x:v>OPEN</x:v>
      </x:c>
      <x:c r="F2258" t="str">
        <x:f>IF('Release Gates'!C2232="PLANNING","PASS",IF('Release Gates'!C2232="PHYSICAL","OPEN","BLOCKED"))</x:f>
        <x:v>OPEN</x:v>
      </x:c>
      <x:c r="G2258" t="str">
        <x:v>equals</x:v>
      </x:c>
      <x:c r="H2258" t="str">
        <x:f>IF(E2258=F2258,"PASS","FAIL")</x:f>
        <x:v>PASS</x:v>
      </x:c>
    </x:row>
    <x:row r="2259">
      <x:c r="B2259" t="str">
        <x:v>A-02227</x:v>
      </x:c>
      <x:c r="C2259" t="str">
        <x:v>GATE</x:v>
      </x:c>
      <x:c r="D2259" t="str">
        <x:v>release state mirrors governing ledger</x:v>
      </x:c>
      <x:c r="E2259" t="str">
        <x:f>'Release Gates'!I2233</x:f>
        <x:v>OPEN</x:v>
      </x:c>
      <x:c r="F2259" t="str">
        <x:f>IF('Release Gates'!C2233="PLANNING","PASS",IF('Release Gates'!C2233="PHYSICAL","OPEN","BLOCKED"))</x:f>
        <x:v>OPEN</x:v>
      </x:c>
      <x:c r="G2259" t="str">
        <x:v>equals</x:v>
      </x:c>
      <x:c r="H2259" t="str">
        <x:f>IF(E2259=F2259,"PASS","FAIL")</x:f>
        <x:v>PASS</x:v>
      </x:c>
    </x:row>
    <x:row r="2260">
      <x:c r="B2260" t="str">
        <x:v>A-02228</x:v>
      </x:c>
      <x:c r="C2260" t="str">
        <x:v>GATE</x:v>
      </x:c>
      <x:c r="D2260" t="str">
        <x:v>release state mirrors governing ledger</x:v>
      </x:c>
      <x:c r="E2260" t="str">
        <x:f>'Release Gates'!I2234</x:f>
        <x:v>OPEN</x:v>
      </x:c>
      <x:c r="F2260" t="str">
        <x:f>IF('Release Gates'!C2234="PLANNING","PASS",IF('Release Gates'!C2234="PHYSICAL","OPEN","BLOCKED"))</x:f>
        <x:v>OPEN</x:v>
      </x:c>
      <x:c r="G2260" t="str">
        <x:v>equals</x:v>
      </x:c>
      <x:c r="H2260" t="str">
        <x:f>IF(E2260=F2260,"PASS","FAIL")</x:f>
        <x:v>PASS</x:v>
      </x:c>
    </x:row>
    <x:row r="2261">
      <x:c r="B2261" t="str">
        <x:v>A-02229</x:v>
      </x:c>
      <x:c r="C2261" t="str">
        <x:v>GATE</x:v>
      </x:c>
      <x:c r="D2261" t="str">
        <x:v>release state mirrors governing ledger</x:v>
      </x:c>
      <x:c r="E2261" t="str">
        <x:f>'Release Gates'!I2235</x:f>
        <x:v>OPEN</x:v>
      </x:c>
      <x:c r="F2261" t="str">
        <x:f>IF('Release Gates'!C2235="PLANNING","PASS",IF('Release Gates'!C2235="PHYSICAL","OPEN","BLOCKED"))</x:f>
        <x:v>OPEN</x:v>
      </x:c>
      <x:c r="G2261" t="str">
        <x:v>equals</x:v>
      </x:c>
      <x:c r="H2261" t="str">
        <x:f>IF(E2261=F2261,"PASS","FAIL")</x:f>
        <x:v>PASS</x:v>
      </x:c>
    </x:row>
    <x:row r="2262">
      <x:c r="B2262" t="str">
        <x:v>A-02230</x:v>
      </x:c>
      <x:c r="C2262" t="str">
        <x:v>GATE</x:v>
      </x:c>
      <x:c r="D2262" t="str">
        <x:v>release state mirrors governing ledger</x:v>
      </x:c>
      <x:c r="E2262" t="str">
        <x:f>'Release Gates'!I2236</x:f>
        <x:v>OPEN</x:v>
      </x:c>
      <x:c r="F2262" t="str">
        <x:f>IF('Release Gates'!C2236="PLANNING","PASS",IF('Release Gates'!C2236="PHYSICAL","OPEN","BLOCKED"))</x:f>
        <x:v>OPEN</x:v>
      </x:c>
      <x:c r="G2262" t="str">
        <x:v>equals</x:v>
      </x:c>
      <x:c r="H2262" t="str">
        <x:f>IF(E2262=F2262,"PASS","FAIL")</x:f>
        <x:v>PASS</x:v>
      </x:c>
    </x:row>
    <x:row r="2263">
      <x:c r="B2263" t="str">
        <x:v>A-02231</x:v>
      </x:c>
      <x:c r="C2263" t="str">
        <x:v>GATE</x:v>
      </x:c>
      <x:c r="D2263" t="str">
        <x:v>release state mirrors governing ledger</x:v>
      </x:c>
      <x:c r="E2263" t="str">
        <x:f>'Release Gates'!I2237</x:f>
        <x:v>OPEN</x:v>
      </x:c>
      <x:c r="F2263" t="str">
        <x:f>IF('Release Gates'!C2237="PLANNING","PASS",IF('Release Gates'!C2237="PHYSICAL","OPEN","BLOCKED"))</x:f>
        <x:v>OPEN</x:v>
      </x:c>
      <x:c r="G2263" t="str">
        <x:v>equals</x:v>
      </x:c>
      <x:c r="H2263" t="str">
        <x:f>IF(E2263=F2263,"PASS","FAIL")</x:f>
        <x:v>PASS</x:v>
      </x:c>
    </x:row>
    <x:row r="2264">
      <x:c r="B2264" t="str">
        <x:v>A-02232</x:v>
      </x:c>
      <x:c r="C2264" t="str">
        <x:v>GATE</x:v>
      </x:c>
      <x:c r="D2264" t="str">
        <x:v>release state mirrors governing ledger</x:v>
      </x:c>
      <x:c r="E2264" t="str">
        <x:f>'Release Gates'!I2238</x:f>
        <x:v>OPEN</x:v>
      </x:c>
      <x:c r="F2264" t="str">
        <x:f>IF('Release Gates'!C2238="PLANNING","PASS",IF('Release Gates'!C2238="PHYSICAL","OPEN","BLOCKED"))</x:f>
        <x:v>OPEN</x:v>
      </x:c>
      <x:c r="G2264" t="str">
        <x:v>equals</x:v>
      </x:c>
      <x:c r="H2264" t="str">
        <x:f>IF(E2264=F2264,"PASS","FAIL")</x:f>
        <x:v>PASS</x:v>
      </x:c>
    </x:row>
    <x:row r="2265">
      <x:c r="B2265" t="str">
        <x:v>A-02233</x:v>
      </x:c>
      <x:c r="C2265" t="str">
        <x:v>GATE</x:v>
      </x:c>
      <x:c r="D2265" t="str">
        <x:v>release state mirrors governing ledger</x:v>
      </x:c>
      <x:c r="E2265" t="str">
        <x:f>'Release Gates'!I2239</x:f>
        <x:v>OPEN</x:v>
      </x:c>
      <x:c r="F2265" t="str">
        <x:f>IF('Release Gates'!C2239="PLANNING","PASS",IF('Release Gates'!C2239="PHYSICAL","OPEN","BLOCKED"))</x:f>
        <x:v>OPEN</x:v>
      </x:c>
      <x:c r="G2265" t="str">
        <x:v>equals</x:v>
      </x:c>
      <x:c r="H2265" t="str">
        <x:f>IF(E2265=F2265,"PASS","FAIL")</x:f>
        <x:v>PASS</x:v>
      </x:c>
    </x:row>
    <x:row r="2266">
      <x:c r="B2266" t="str">
        <x:v>A-02234</x:v>
      </x:c>
      <x:c r="C2266" t="str">
        <x:v>GATE</x:v>
      </x:c>
      <x:c r="D2266" t="str">
        <x:v>release state mirrors governing ledger</x:v>
      </x:c>
      <x:c r="E2266" t="str">
        <x:f>'Release Gates'!I2240</x:f>
        <x:v>OPEN</x:v>
      </x:c>
      <x:c r="F2266" t="str">
        <x:f>IF('Release Gates'!C2240="PLANNING","PASS",IF('Release Gates'!C2240="PHYSICAL","OPEN","BLOCKED"))</x:f>
        <x:v>OPEN</x:v>
      </x:c>
      <x:c r="G2266" t="str">
        <x:v>equals</x:v>
      </x:c>
      <x:c r="H2266" t="str">
        <x:f>IF(E2266=F2266,"PASS","FAIL")</x:f>
        <x:v>PASS</x:v>
      </x:c>
    </x:row>
    <x:row r="2267">
      <x:c r="B2267" t="str">
        <x:v>A-02235</x:v>
      </x:c>
      <x:c r="C2267" t="str">
        <x:v>GATE</x:v>
      </x:c>
      <x:c r="D2267" t="str">
        <x:v>release state mirrors governing ledger</x:v>
      </x:c>
      <x:c r="E2267" t="str">
        <x:f>'Release Gates'!I2241</x:f>
        <x:v>OPEN</x:v>
      </x:c>
      <x:c r="F2267" t="str">
        <x:f>IF('Release Gates'!C2241="PLANNING","PASS",IF('Release Gates'!C2241="PHYSICAL","OPEN","BLOCKED"))</x:f>
        <x:v>OPEN</x:v>
      </x:c>
      <x:c r="G2267" t="str">
        <x:v>equals</x:v>
      </x:c>
      <x:c r="H2267" t="str">
        <x:f>IF(E2267=F2267,"PASS","FAIL")</x:f>
        <x:v>PASS</x:v>
      </x:c>
    </x:row>
    <x:row r="2268">
      <x:c r="B2268" t="str">
        <x:v>A-02236</x:v>
      </x:c>
      <x:c r="C2268" t="str">
        <x:v>GATE</x:v>
      </x:c>
      <x:c r="D2268" t="str">
        <x:v>release state mirrors governing ledger</x:v>
      </x:c>
      <x:c r="E2268" t="str">
        <x:f>'Release Gates'!I2242</x:f>
        <x:v>OPEN</x:v>
      </x:c>
      <x:c r="F2268" t="str">
        <x:f>IF('Release Gates'!C2242="PLANNING","PASS",IF('Release Gates'!C2242="PHYSICAL","OPEN","BLOCKED"))</x:f>
        <x:v>OPEN</x:v>
      </x:c>
      <x:c r="G2268" t="str">
        <x:v>equals</x:v>
      </x:c>
      <x:c r="H2268" t="str">
        <x:f>IF(E2268=F2268,"PASS","FAIL")</x:f>
        <x:v>PASS</x:v>
      </x:c>
    </x:row>
    <x:row r="2269">
      <x:c r="B2269" t="str">
        <x:v>A-02237</x:v>
      </x:c>
      <x:c r="C2269" t="str">
        <x:v>GATE</x:v>
      </x:c>
      <x:c r="D2269" t="str">
        <x:v>release state mirrors governing ledger</x:v>
      </x:c>
      <x:c r="E2269" t="str">
        <x:f>'Release Gates'!I2243</x:f>
        <x:v>OPEN</x:v>
      </x:c>
      <x:c r="F2269" t="str">
        <x:f>IF('Release Gates'!C2243="PLANNING","PASS",IF('Release Gates'!C2243="PHYSICAL","OPEN","BLOCKED"))</x:f>
        <x:v>OPEN</x:v>
      </x:c>
      <x:c r="G2269" t="str">
        <x:v>equals</x:v>
      </x:c>
      <x:c r="H2269" t="str">
        <x:f>IF(E2269=F2269,"PASS","FAIL")</x:f>
        <x:v>PASS</x:v>
      </x:c>
    </x:row>
    <x:row r="2270">
      <x:c r="B2270" t="str">
        <x:v>A-02238</x:v>
      </x:c>
      <x:c r="C2270" t="str">
        <x:v>GATE</x:v>
      </x:c>
      <x:c r="D2270" t="str">
        <x:v>release state mirrors governing ledger</x:v>
      </x:c>
      <x:c r="E2270" t="str">
        <x:f>'Release Gates'!I2244</x:f>
        <x:v>OPEN</x:v>
      </x:c>
      <x:c r="F2270" t="str">
        <x:f>IF('Release Gates'!C2244="PLANNING","PASS",IF('Release Gates'!C2244="PHYSICAL","OPEN","BLOCKED"))</x:f>
        <x:v>OPEN</x:v>
      </x:c>
      <x:c r="G2270" t="str">
        <x:v>equals</x:v>
      </x:c>
      <x:c r="H2270" t="str">
        <x:f>IF(E2270=F2270,"PASS","FAIL")</x:f>
        <x:v>PASS</x:v>
      </x:c>
    </x:row>
    <x:row r="2271">
      <x:c r="B2271" t="str">
        <x:v>A-02239</x:v>
      </x:c>
      <x:c r="C2271" t="str">
        <x:v>GATE</x:v>
      </x:c>
      <x:c r="D2271" t="str">
        <x:v>release state mirrors governing ledger</x:v>
      </x:c>
      <x:c r="E2271" t="str">
        <x:f>'Release Gates'!I2245</x:f>
        <x:v>OPEN</x:v>
      </x:c>
      <x:c r="F2271" t="str">
        <x:f>IF('Release Gates'!C2245="PLANNING","PASS",IF('Release Gates'!C2245="PHYSICAL","OPEN","BLOCKED"))</x:f>
        <x:v>OPEN</x:v>
      </x:c>
      <x:c r="G2271" t="str">
        <x:v>equals</x:v>
      </x:c>
      <x:c r="H2271" t="str">
        <x:f>IF(E2271=F2271,"PASS","FAIL")</x:f>
        <x:v>PASS</x:v>
      </x:c>
    </x:row>
    <x:row r="2272">
      <x:c r="B2272" t="str">
        <x:v>A-02240</x:v>
      </x:c>
      <x:c r="C2272" t="str">
        <x:v>GATE</x:v>
      </x:c>
      <x:c r="D2272" t="str">
        <x:v>release state mirrors governing ledger</x:v>
      </x:c>
      <x:c r="E2272" t="str">
        <x:f>'Release Gates'!I2246</x:f>
        <x:v>OPEN</x:v>
      </x:c>
      <x:c r="F2272" t="str">
        <x:f>IF('Release Gates'!C2246="PLANNING","PASS",IF('Release Gates'!C2246="PHYSICAL","OPEN","BLOCKED"))</x:f>
        <x:v>OPEN</x:v>
      </x:c>
      <x:c r="G2272" t="str">
        <x:v>equals</x:v>
      </x:c>
      <x:c r="H2272" t="str">
        <x:f>IF(E2272=F2272,"PASS","FAIL")</x:f>
        <x:v>PASS</x:v>
      </x:c>
    </x:row>
    <x:row r="2273">
      <x:c r="B2273" t="str">
        <x:v>A-02241</x:v>
      </x:c>
      <x:c r="C2273" t="str">
        <x:v>GATE</x:v>
      </x:c>
      <x:c r="D2273" t="str">
        <x:v>release state mirrors governing ledger</x:v>
      </x:c>
      <x:c r="E2273" t="str">
        <x:f>'Release Gates'!I2247</x:f>
        <x:v>OPEN</x:v>
      </x:c>
      <x:c r="F2273" t="str">
        <x:f>IF('Release Gates'!C2247="PLANNING","PASS",IF('Release Gates'!C2247="PHYSICAL","OPEN","BLOCKED"))</x:f>
        <x:v>OPEN</x:v>
      </x:c>
      <x:c r="G2273" t="str">
        <x:v>equals</x:v>
      </x:c>
      <x:c r="H2273" t="str">
        <x:f>IF(E2273=F2273,"PASS","FAIL")</x:f>
        <x:v>PASS</x:v>
      </x:c>
    </x:row>
    <x:row r="2274">
      <x:c r="B2274" t="str">
        <x:v>A-02242</x:v>
      </x:c>
      <x:c r="C2274" t="str">
        <x:v>GATE</x:v>
      </x:c>
      <x:c r="D2274" t="str">
        <x:v>release state mirrors governing ledger</x:v>
      </x:c>
      <x:c r="E2274" t="str">
        <x:f>'Release Gates'!I2248</x:f>
        <x:v>OPEN</x:v>
      </x:c>
      <x:c r="F2274" t="str">
        <x:f>IF('Release Gates'!C2248="PLANNING","PASS",IF('Release Gates'!C2248="PHYSICAL","OPEN","BLOCKED"))</x:f>
        <x:v>OPEN</x:v>
      </x:c>
      <x:c r="G2274" t="str">
        <x:v>equals</x:v>
      </x:c>
      <x:c r="H2274" t="str">
        <x:f>IF(E2274=F2274,"PASS","FAIL")</x:f>
        <x:v>PASS</x:v>
      </x:c>
    </x:row>
    <x:row r="2275">
      <x:c r="B2275" t="str">
        <x:v>A-02243</x:v>
      </x:c>
      <x:c r="C2275" t="str">
        <x:v>GATE</x:v>
      </x:c>
      <x:c r="D2275" t="str">
        <x:v>release state mirrors governing ledger</x:v>
      </x:c>
      <x:c r="E2275" t="str">
        <x:f>'Release Gates'!I2249</x:f>
        <x:v>OPEN</x:v>
      </x:c>
      <x:c r="F2275" t="str">
        <x:f>IF('Release Gates'!C2249="PLANNING","PASS",IF('Release Gates'!C2249="PHYSICAL","OPEN","BLOCKED"))</x:f>
        <x:v>OPEN</x:v>
      </x:c>
      <x:c r="G2275" t="str">
        <x:v>equals</x:v>
      </x:c>
      <x:c r="H2275" t="str">
        <x:f>IF(E2275=F2275,"PASS","FAIL")</x:f>
        <x:v>PASS</x:v>
      </x:c>
    </x:row>
    <x:row r="2276">
      <x:c r="B2276" t="str">
        <x:v>A-02244</x:v>
      </x:c>
      <x:c r="C2276" t="str">
        <x:v>GATE</x:v>
      </x:c>
      <x:c r="D2276" t="str">
        <x:v>release state mirrors governing ledger</x:v>
      </x:c>
      <x:c r="E2276" t="str">
        <x:f>'Release Gates'!I2250</x:f>
        <x:v>OPEN</x:v>
      </x:c>
      <x:c r="F2276" t="str">
        <x:f>IF('Release Gates'!C2250="PLANNING","PASS",IF('Release Gates'!C2250="PHYSICAL","OPEN","BLOCKED"))</x:f>
        <x:v>OPEN</x:v>
      </x:c>
      <x:c r="G2276" t="str">
        <x:v>equals</x:v>
      </x:c>
      <x:c r="H2276" t="str">
        <x:f>IF(E2276=F2276,"PASS","FAIL")</x:f>
        <x:v>PASS</x:v>
      </x:c>
    </x:row>
    <x:row r="2277">
      <x:c r="B2277" t="str">
        <x:v>A-02245</x:v>
      </x:c>
      <x:c r="C2277" t="str">
        <x:v>GATE</x:v>
      </x:c>
      <x:c r="D2277" t="str">
        <x:v>release state mirrors governing ledger</x:v>
      </x:c>
      <x:c r="E2277" t="str">
        <x:f>'Release Gates'!I2251</x:f>
        <x:v>OPEN</x:v>
      </x:c>
      <x:c r="F2277" t="str">
        <x:f>IF('Release Gates'!C2251="PLANNING","PASS",IF('Release Gates'!C2251="PHYSICAL","OPEN","BLOCKED"))</x:f>
        <x:v>OPEN</x:v>
      </x:c>
      <x:c r="G2277" t="str">
        <x:v>equals</x:v>
      </x:c>
      <x:c r="H2277" t="str">
        <x:f>IF(E2277=F2277,"PASS","FAIL")</x:f>
        <x:v>PASS</x:v>
      </x:c>
    </x:row>
    <x:row r="2278">
      <x:c r="B2278" t="str">
        <x:v>A-02246</x:v>
      </x:c>
      <x:c r="C2278" t="str">
        <x:v>GATE</x:v>
      </x:c>
      <x:c r="D2278" t="str">
        <x:v>release state mirrors governing ledger</x:v>
      </x:c>
      <x:c r="E2278" t="str">
        <x:f>'Release Gates'!I2252</x:f>
        <x:v>OPEN</x:v>
      </x:c>
      <x:c r="F2278" t="str">
        <x:f>IF('Release Gates'!C2252="PLANNING","PASS",IF('Release Gates'!C2252="PHYSICAL","OPEN","BLOCKED"))</x:f>
        <x:v>OPEN</x:v>
      </x:c>
      <x:c r="G2278" t="str">
        <x:v>equals</x:v>
      </x:c>
      <x:c r="H2278" t="str">
        <x:f>IF(E2278=F2278,"PASS","FAIL")</x:f>
        <x:v>PASS</x:v>
      </x:c>
    </x:row>
    <x:row r="2279">
      <x:c r="B2279" t="str">
        <x:v>A-02247</x:v>
      </x:c>
      <x:c r="C2279" t="str">
        <x:v>GATE</x:v>
      </x:c>
      <x:c r="D2279" t="str">
        <x:v>release state mirrors governing ledger</x:v>
      </x:c>
      <x:c r="E2279" t="str">
        <x:f>'Release Gates'!I2253</x:f>
        <x:v>OPEN</x:v>
      </x:c>
      <x:c r="F2279" t="str">
        <x:f>IF('Release Gates'!C2253="PLANNING","PASS",IF('Release Gates'!C2253="PHYSICAL","OPEN","BLOCKED"))</x:f>
        <x:v>OPEN</x:v>
      </x:c>
      <x:c r="G2279" t="str">
        <x:v>equals</x:v>
      </x:c>
      <x:c r="H2279" t="str">
        <x:f>IF(E2279=F2279,"PASS","FAIL")</x:f>
        <x:v>PASS</x:v>
      </x:c>
    </x:row>
    <x:row r="2280">
      <x:c r="B2280" t="str">
        <x:v>A-02248</x:v>
      </x:c>
      <x:c r="C2280" t="str">
        <x:v>GATE</x:v>
      </x:c>
      <x:c r="D2280" t="str">
        <x:v>release state mirrors governing ledger</x:v>
      </x:c>
      <x:c r="E2280" t="str">
        <x:f>'Release Gates'!I2254</x:f>
        <x:v>OPEN</x:v>
      </x:c>
      <x:c r="F2280" t="str">
        <x:f>IF('Release Gates'!C2254="PLANNING","PASS",IF('Release Gates'!C2254="PHYSICAL","OPEN","BLOCKED"))</x:f>
        <x:v>OPEN</x:v>
      </x:c>
      <x:c r="G2280" t="str">
        <x:v>equals</x:v>
      </x:c>
      <x:c r="H2280" t="str">
        <x:f>IF(E2280=F2280,"PASS","FAIL")</x:f>
        <x:v>PASS</x:v>
      </x:c>
    </x:row>
    <x:row r="2281">
      <x:c r="B2281" t="str">
        <x:v>A-02249</x:v>
      </x:c>
      <x:c r="C2281" t="str">
        <x:v>GATE</x:v>
      </x:c>
      <x:c r="D2281" t="str">
        <x:v>release state mirrors governing ledger</x:v>
      </x:c>
      <x:c r="E2281" t="str">
        <x:f>'Release Gates'!I2255</x:f>
        <x:v>OPEN</x:v>
      </x:c>
      <x:c r="F2281" t="str">
        <x:f>IF('Release Gates'!C2255="PLANNING","PASS",IF('Release Gates'!C2255="PHYSICAL","OPEN","BLOCKED"))</x:f>
        <x:v>OPEN</x:v>
      </x:c>
      <x:c r="G2281" t="str">
        <x:v>equals</x:v>
      </x:c>
      <x:c r="H2281" t="str">
        <x:f>IF(E2281=F2281,"PASS","FAIL")</x:f>
        <x:v>PASS</x:v>
      </x:c>
    </x:row>
    <x:row r="2282">
      <x:c r="B2282" t="str">
        <x:v>A-02250</x:v>
      </x:c>
      <x:c r="C2282" t="str">
        <x:v>GATE</x:v>
      </x:c>
      <x:c r="D2282" t="str">
        <x:v>release state mirrors governing ledger</x:v>
      </x:c>
      <x:c r="E2282" t="str">
        <x:f>'Release Gates'!I2256</x:f>
        <x:v>OPEN</x:v>
      </x:c>
      <x:c r="F2282" t="str">
        <x:f>IF('Release Gates'!C2256="PLANNING","PASS",IF('Release Gates'!C2256="PHYSICAL","OPEN","BLOCKED"))</x:f>
        <x:v>OPEN</x:v>
      </x:c>
      <x:c r="G2282" t="str">
        <x:v>equals</x:v>
      </x:c>
      <x:c r="H2282" t="str">
        <x:f>IF(E2282=F2282,"PASS","FAIL")</x:f>
        <x:v>PASS</x:v>
      </x:c>
    </x:row>
    <x:row r="2283">
      <x:c r="B2283" t="str">
        <x:v>A-02251</x:v>
      </x:c>
      <x:c r="C2283" t="str">
        <x:v>GATE</x:v>
      </x:c>
      <x:c r="D2283" t="str">
        <x:v>release state mirrors governing ledger</x:v>
      </x:c>
      <x:c r="E2283" t="str">
        <x:f>'Release Gates'!I2257</x:f>
        <x:v>OPEN</x:v>
      </x:c>
      <x:c r="F2283" t="str">
        <x:f>IF('Release Gates'!C2257="PLANNING","PASS",IF('Release Gates'!C2257="PHYSICAL","OPEN","BLOCKED"))</x:f>
        <x:v>OPEN</x:v>
      </x:c>
      <x:c r="G2283" t="str">
        <x:v>equals</x:v>
      </x:c>
      <x:c r="H2283" t="str">
        <x:f>IF(E2283=F2283,"PASS","FAIL")</x:f>
        <x:v>PASS</x:v>
      </x:c>
    </x:row>
    <x:row r="2284">
      <x:c r="B2284" t="str">
        <x:v>A-02252</x:v>
      </x:c>
      <x:c r="C2284" t="str">
        <x:v>GATE</x:v>
      </x:c>
      <x:c r="D2284" t="str">
        <x:v>release state mirrors governing ledger</x:v>
      </x:c>
      <x:c r="E2284" t="str">
        <x:f>'Release Gates'!I2258</x:f>
        <x:v>OPEN</x:v>
      </x:c>
      <x:c r="F2284" t="str">
        <x:f>IF('Release Gates'!C2258="PLANNING","PASS",IF('Release Gates'!C2258="PHYSICAL","OPEN","BLOCKED"))</x:f>
        <x:v>OPEN</x:v>
      </x:c>
      <x:c r="G2284" t="str">
        <x:v>equals</x:v>
      </x:c>
      <x:c r="H2284" t="str">
        <x:f>IF(E2284=F2284,"PASS","FAIL")</x:f>
        <x:v>PASS</x:v>
      </x:c>
    </x:row>
    <x:row r="2285">
      <x:c r="B2285" t="str">
        <x:v>A-02253</x:v>
      </x:c>
      <x:c r="C2285" t="str">
        <x:v>GATE</x:v>
      </x:c>
      <x:c r="D2285" t="str">
        <x:v>release state mirrors governing ledger</x:v>
      </x:c>
      <x:c r="E2285" t="str">
        <x:f>'Release Gates'!I2259</x:f>
        <x:v>OPEN</x:v>
      </x:c>
      <x:c r="F2285" t="str">
        <x:f>IF('Release Gates'!C2259="PLANNING","PASS",IF('Release Gates'!C2259="PHYSICAL","OPEN","BLOCKED"))</x:f>
        <x:v>OPEN</x:v>
      </x:c>
      <x:c r="G2285" t="str">
        <x:v>equals</x:v>
      </x:c>
      <x:c r="H2285" t="str">
        <x:f>IF(E2285=F2285,"PASS","FAIL")</x:f>
        <x:v>PASS</x:v>
      </x:c>
    </x:row>
    <x:row r="2286">
      <x:c r="B2286" t="str">
        <x:v>A-02254</x:v>
      </x:c>
      <x:c r="C2286" t="str">
        <x:v>GATE</x:v>
      </x:c>
      <x:c r="D2286" t="str">
        <x:v>release state mirrors governing ledger</x:v>
      </x:c>
      <x:c r="E2286" t="str">
        <x:f>'Release Gates'!I2260</x:f>
        <x:v>OPEN</x:v>
      </x:c>
      <x:c r="F2286" t="str">
        <x:f>IF('Release Gates'!C2260="PLANNING","PASS",IF('Release Gates'!C2260="PHYSICAL","OPEN","BLOCKED"))</x:f>
        <x:v>OPEN</x:v>
      </x:c>
      <x:c r="G2286" t="str">
        <x:v>equals</x:v>
      </x:c>
      <x:c r="H2286" t="str">
        <x:f>IF(E2286=F2286,"PASS","FAIL")</x:f>
        <x:v>PASS</x:v>
      </x:c>
    </x:row>
    <x:row r="2287">
      <x:c r="B2287" t="str">
        <x:v>A-02255</x:v>
      </x:c>
      <x:c r="C2287" t="str">
        <x:v>GATE</x:v>
      </x:c>
      <x:c r="D2287" t="str">
        <x:v>release state mirrors governing ledger</x:v>
      </x:c>
      <x:c r="E2287" t="str">
        <x:f>'Release Gates'!I2261</x:f>
        <x:v>OPEN</x:v>
      </x:c>
      <x:c r="F2287" t="str">
        <x:f>IF('Release Gates'!C2261="PLANNING","PASS",IF('Release Gates'!C2261="PHYSICAL","OPEN","BLOCKED"))</x:f>
        <x:v>OPEN</x:v>
      </x:c>
      <x:c r="G2287" t="str">
        <x:v>equals</x:v>
      </x:c>
      <x:c r="H2287" t="str">
        <x:f>IF(E2287=F2287,"PASS","FAIL")</x:f>
        <x:v>PASS</x:v>
      </x:c>
    </x:row>
    <x:row r="2288">
      <x:c r="B2288" t="str">
        <x:v>A-02256</x:v>
      </x:c>
      <x:c r="C2288" t="str">
        <x:v>GATE</x:v>
      </x:c>
      <x:c r="D2288" t="str">
        <x:v>release state mirrors governing ledger</x:v>
      </x:c>
      <x:c r="E2288" t="str">
        <x:f>'Release Gates'!I2262</x:f>
        <x:v>OPEN</x:v>
      </x:c>
      <x:c r="F2288" t="str">
        <x:f>IF('Release Gates'!C2262="PLANNING","PASS",IF('Release Gates'!C2262="PHYSICAL","OPEN","BLOCKED"))</x:f>
        <x:v>OPEN</x:v>
      </x:c>
      <x:c r="G2288" t="str">
        <x:v>equals</x:v>
      </x:c>
      <x:c r="H2288" t="str">
        <x:f>IF(E2288=F2288,"PASS","FAIL")</x:f>
        <x:v>PASS</x:v>
      </x:c>
    </x:row>
    <x:row r="2289">
      <x:c r="B2289" t="str">
        <x:v>A-02257</x:v>
      </x:c>
      <x:c r="C2289" t="str">
        <x:v>GATE</x:v>
      </x:c>
      <x:c r="D2289" t="str">
        <x:v>release state mirrors governing ledger</x:v>
      </x:c>
      <x:c r="E2289" t="str">
        <x:f>'Release Gates'!I2263</x:f>
        <x:v>OPEN</x:v>
      </x:c>
      <x:c r="F2289" t="str">
        <x:f>IF('Release Gates'!C2263="PLANNING","PASS",IF('Release Gates'!C2263="PHYSICAL","OPEN","BLOCKED"))</x:f>
        <x:v>OPEN</x:v>
      </x:c>
      <x:c r="G2289" t="str">
        <x:v>equals</x:v>
      </x:c>
      <x:c r="H2289" t="str">
        <x:f>IF(E2289=F2289,"PASS","FAIL")</x:f>
        <x:v>PASS</x:v>
      </x:c>
    </x:row>
    <x:row r="2290">
      <x:c r="B2290" t="str">
        <x:v>A-02258</x:v>
      </x:c>
      <x:c r="C2290" t="str">
        <x:v>GATE</x:v>
      </x:c>
      <x:c r="D2290" t="str">
        <x:v>release state mirrors governing ledger</x:v>
      </x:c>
      <x:c r="E2290" t="str">
        <x:f>'Release Gates'!I2264</x:f>
        <x:v>OPEN</x:v>
      </x:c>
      <x:c r="F2290" t="str">
        <x:f>IF('Release Gates'!C2264="PLANNING","PASS",IF('Release Gates'!C2264="PHYSICAL","OPEN","BLOCKED"))</x:f>
        <x:v>OPEN</x:v>
      </x:c>
      <x:c r="G2290" t="str">
        <x:v>equals</x:v>
      </x:c>
      <x:c r="H2290" t="str">
        <x:f>IF(E2290=F2290,"PASS","FAIL")</x:f>
        <x:v>PASS</x:v>
      </x:c>
    </x:row>
    <x:row r="2291">
      <x:c r="B2291" t="str">
        <x:v>A-02259</x:v>
      </x:c>
      <x:c r="C2291" t="str">
        <x:v>GATE</x:v>
      </x:c>
      <x:c r="D2291" t="str">
        <x:v>release state mirrors governing ledger</x:v>
      </x:c>
      <x:c r="E2291" t="str">
        <x:f>'Release Gates'!I2265</x:f>
        <x:v>OPEN</x:v>
      </x:c>
      <x:c r="F2291" t="str">
        <x:f>IF('Release Gates'!C2265="PLANNING","PASS",IF('Release Gates'!C2265="PHYSICAL","OPEN","BLOCKED"))</x:f>
        <x:v>OPEN</x:v>
      </x:c>
      <x:c r="G2291" t="str">
        <x:v>equals</x:v>
      </x:c>
      <x:c r="H2291" t="str">
        <x:f>IF(E2291=F2291,"PASS","FAIL")</x:f>
        <x:v>PASS</x:v>
      </x:c>
    </x:row>
    <x:row r="2292">
      <x:c r="B2292" t="str">
        <x:v>A-02260</x:v>
      </x:c>
      <x:c r="C2292" t="str">
        <x:v>GATE</x:v>
      </x:c>
      <x:c r="D2292" t="str">
        <x:v>release state mirrors governing ledger</x:v>
      </x:c>
      <x:c r="E2292" t="str">
        <x:f>'Release Gates'!I2266</x:f>
        <x:v>OPEN</x:v>
      </x:c>
      <x:c r="F2292" t="str">
        <x:f>IF('Release Gates'!C2266="PLANNING","PASS",IF('Release Gates'!C2266="PHYSICAL","OPEN","BLOCKED"))</x:f>
        <x:v>OPEN</x:v>
      </x:c>
      <x:c r="G2292" t="str">
        <x:v>equals</x:v>
      </x:c>
      <x:c r="H2292" t="str">
        <x:f>IF(E2292=F2292,"PASS","FAIL")</x:f>
        <x:v>PASS</x:v>
      </x:c>
    </x:row>
    <x:row r="2293">
      <x:c r="B2293" t="str">
        <x:v>A-02261</x:v>
      </x:c>
      <x:c r="C2293" t="str">
        <x:v>GATE</x:v>
      </x:c>
      <x:c r="D2293" t="str">
        <x:v>release state mirrors governing ledger</x:v>
      </x:c>
      <x:c r="E2293" t="str">
        <x:f>'Release Gates'!I2267</x:f>
        <x:v>OPEN</x:v>
      </x:c>
      <x:c r="F2293" t="str">
        <x:f>IF('Release Gates'!C2267="PLANNING","PASS",IF('Release Gates'!C2267="PHYSICAL","OPEN","BLOCKED"))</x:f>
        <x:v>OPEN</x:v>
      </x:c>
      <x:c r="G2293" t="str">
        <x:v>equals</x:v>
      </x:c>
      <x:c r="H2293" t="str">
        <x:f>IF(E2293=F2293,"PASS","FAIL")</x:f>
        <x:v>PASS</x:v>
      </x:c>
    </x:row>
    <x:row r="2294">
      <x:c r="B2294" t="str">
        <x:v>A-02262</x:v>
      </x:c>
      <x:c r="C2294" t="str">
        <x:v>GATE</x:v>
      </x:c>
      <x:c r="D2294" t="str">
        <x:v>release state mirrors governing ledger</x:v>
      </x:c>
      <x:c r="E2294" t="str">
        <x:f>'Release Gates'!I2268</x:f>
        <x:v>OPEN</x:v>
      </x:c>
      <x:c r="F2294" t="str">
        <x:f>IF('Release Gates'!C2268="PLANNING","PASS",IF('Release Gates'!C2268="PHYSICAL","OPEN","BLOCKED"))</x:f>
        <x:v>OPEN</x:v>
      </x:c>
      <x:c r="G2294" t="str">
        <x:v>equals</x:v>
      </x:c>
      <x:c r="H2294" t="str">
        <x:f>IF(E2294=F2294,"PASS","FAIL")</x:f>
        <x:v>PASS</x:v>
      </x:c>
    </x:row>
    <x:row r="2295">
      <x:c r="B2295" t="str">
        <x:v>A-02263</x:v>
      </x:c>
      <x:c r="C2295" t="str">
        <x:v>GATE</x:v>
      </x:c>
      <x:c r="D2295" t="str">
        <x:v>release state mirrors governing ledger</x:v>
      </x:c>
      <x:c r="E2295" t="str">
        <x:f>'Release Gates'!I2269</x:f>
        <x:v>OPEN</x:v>
      </x:c>
      <x:c r="F2295" t="str">
        <x:f>IF('Release Gates'!C2269="PLANNING","PASS",IF('Release Gates'!C2269="PHYSICAL","OPEN","BLOCKED"))</x:f>
        <x:v>OPEN</x:v>
      </x:c>
      <x:c r="G2295" t="str">
        <x:v>equals</x:v>
      </x:c>
      <x:c r="H2295" t="str">
        <x:f>IF(E2295=F2295,"PASS","FAIL")</x:f>
        <x:v>PASS</x:v>
      </x:c>
    </x:row>
    <x:row r="2296">
      <x:c r="B2296" t="str">
        <x:v>A-02264</x:v>
      </x:c>
      <x:c r="C2296" t="str">
        <x:v>GATE</x:v>
      </x:c>
      <x:c r="D2296" t="str">
        <x:v>release state mirrors governing ledger</x:v>
      </x:c>
      <x:c r="E2296" t="str">
        <x:f>'Release Gates'!I2270</x:f>
        <x:v>OPEN</x:v>
      </x:c>
      <x:c r="F2296" t="str">
        <x:f>IF('Release Gates'!C2270="PLANNING","PASS",IF('Release Gates'!C2270="PHYSICAL","OPEN","BLOCKED"))</x:f>
        <x:v>OPEN</x:v>
      </x:c>
      <x:c r="G2296" t="str">
        <x:v>equals</x:v>
      </x:c>
      <x:c r="H2296" t="str">
        <x:f>IF(E2296=F2296,"PASS","FAIL")</x:f>
        <x:v>PASS</x:v>
      </x:c>
    </x:row>
    <x:row r="2297">
      <x:c r="B2297" t="str">
        <x:v>A-02265</x:v>
      </x:c>
      <x:c r="C2297" t="str">
        <x:v>GATE</x:v>
      </x:c>
      <x:c r="D2297" t="str">
        <x:v>release state mirrors governing ledger</x:v>
      </x:c>
      <x:c r="E2297" t="str">
        <x:f>'Release Gates'!I2271</x:f>
        <x:v>OPEN</x:v>
      </x:c>
      <x:c r="F2297" t="str">
        <x:f>IF('Release Gates'!C2271="PLANNING","PASS",IF('Release Gates'!C2271="PHYSICAL","OPEN","BLOCKED"))</x:f>
        <x:v>OPEN</x:v>
      </x:c>
      <x:c r="G2297" t="str">
        <x:v>equals</x:v>
      </x:c>
      <x:c r="H2297" t="str">
        <x:f>IF(E2297=F2297,"PASS","FAIL")</x:f>
        <x:v>PASS</x:v>
      </x:c>
    </x:row>
    <x:row r="2298">
      <x:c r="B2298" t="str">
        <x:v>A-02266</x:v>
      </x:c>
      <x:c r="C2298" t="str">
        <x:v>GATE</x:v>
      </x:c>
      <x:c r="D2298" t="str">
        <x:v>release state mirrors governing ledger</x:v>
      </x:c>
      <x:c r="E2298" t="str">
        <x:f>'Release Gates'!I2272</x:f>
        <x:v>OPEN</x:v>
      </x:c>
      <x:c r="F2298" t="str">
        <x:f>IF('Release Gates'!C2272="PLANNING","PASS",IF('Release Gates'!C2272="PHYSICAL","OPEN","BLOCKED"))</x:f>
        <x:v>OPEN</x:v>
      </x:c>
      <x:c r="G2298" t="str">
        <x:v>equals</x:v>
      </x:c>
      <x:c r="H2298" t="str">
        <x:f>IF(E2298=F2298,"PASS","FAIL")</x:f>
        <x:v>PASS</x:v>
      </x:c>
    </x:row>
    <x:row r="2299">
      <x:c r="B2299" t="str">
        <x:v>A-02267</x:v>
      </x:c>
      <x:c r="C2299" t="str">
        <x:v>GATE</x:v>
      </x:c>
      <x:c r="D2299" t="str">
        <x:v>release state mirrors governing ledger</x:v>
      </x:c>
      <x:c r="E2299" t="str">
        <x:f>'Release Gates'!I2273</x:f>
        <x:v>OPEN</x:v>
      </x:c>
      <x:c r="F2299" t="str">
        <x:f>IF('Release Gates'!C2273="PLANNING","PASS",IF('Release Gates'!C2273="PHYSICAL","OPEN","BLOCKED"))</x:f>
        <x:v>OPEN</x:v>
      </x:c>
      <x:c r="G2299" t="str">
        <x:v>equals</x:v>
      </x:c>
      <x:c r="H2299" t="str">
        <x:f>IF(E2299=F2299,"PASS","FAIL")</x:f>
        <x:v>PASS</x:v>
      </x:c>
    </x:row>
    <x:row r="2300">
      <x:c r="B2300" t="str">
        <x:v>A-02268</x:v>
      </x:c>
      <x:c r="C2300" t="str">
        <x:v>GATE</x:v>
      </x:c>
      <x:c r="D2300" t="str">
        <x:v>release state mirrors governing ledger</x:v>
      </x:c>
      <x:c r="E2300" t="str">
        <x:f>'Release Gates'!I2274</x:f>
        <x:v>OPEN</x:v>
      </x:c>
      <x:c r="F2300" t="str">
        <x:f>IF('Release Gates'!C2274="PLANNING","PASS",IF('Release Gates'!C2274="PHYSICAL","OPEN","BLOCKED"))</x:f>
        <x:v>OPEN</x:v>
      </x:c>
      <x:c r="G2300" t="str">
        <x:v>equals</x:v>
      </x:c>
      <x:c r="H2300" t="str">
        <x:f>IF(E2300=F2300,"PASS","FAIL")</x:f>
        <x:v>PASS</x:v>
      </x:c>
    </x:row>
    <x:row r="2301">
      <x:c r="B2301" t="str">
        <x:v>A-02269</x:v>
      </x:c>
      <x:c r="C2301" t="str">
        <x:v>GATE</x:v>
      </x:c>
      <x:c r="D2301" t="str">
        <x:v>release state mirrors governing ledger</x:v>
      </x:c>
      <x:c r="E2301" t="str">
        <x:f>'Release Gates'!I2275</x:f>
        <x:v>OPEN</x:v>
      </x:c>
      <x:c r="F2301" t="str">
        <x:f>IF('Release Gates'!C2275="PLANNING","PASS",IF('Release Gates'!C2275="PHYSICAL","OPEN","BLOCKED"))</x:f>
        <x:v>OPEN</x:v>
      </x:c>
      <x:c r="G2301" t="str">
        <x:v>equals</x:v>
      </x:c>
      <x:c r="H2301" t="str">
        <x:f>IF(E2301=F2301,"PASS","FAIL")</x:f>
        <x:v>PASS</x:v>
      </x:c>
    </x:row>
    <x:row r="2302">
      <x:c r="B2302" t="str">
        <x:v>A-02270</x:v>
      </x:c>
      <x:c r="C2302" t="str">
        <x:v>GATE</x:v>
      </x:c>
      <x:c r="D2302" t="str">
        <x:v>release state mirrors governing ledger</x:v>
      </x:c>
      <x:c r="E2302" t="str">
        <x:f>'Release Gates'!I2276</x:f>
        <x:v>OPEN</x:v>
      </x:c>
      <x:c r="F2302" t="str">
        <x:f>IF('Release Gates'!C2276="PLANNING","PASS",IF('Release Gates'!C2276="PHYSICAL","OPEN","BLOCKED"))</x:f>
        <x:v>OPEN</x:v>
      </x:c>
      <x:c r="G2302" t="str">
        <x:v>equals</x:v>
      </x:c>
      <x:c r="H2302" t="str">
        <x:f>IF(E2302=F2302,"PASS","FAIL")</x:f>
        <x:v>PASS</x:v>
      </x:c>
    </x:row>
    <x:row r="2303">
      <x:c r="B2303" t="str">
        <x:v>A-02271</x:v>
      </x:c>
      <x:c r="C2303" t="str">
        <x:v>GATE</x:v>
      </x:c>
      <x:c r="D2303" t="str">
        <x:v>release state mirrors governing ledger</x:v>
      </x:c>
      <x:c r="E2303" t="str">
        <x:f>'Release Gates'!I2277</x:f>
        <x:v>OPEN</x:v>
      </x:c>
      <x:c r="F2303" t="str">
        <x:f>IF('Release Gates'!C2277="PLANNING","PASS",IF('Release Gates'!C2277="PHYSICAL","OPEN","BLOCKED"))</x:f>
        <x:v>OPEN</x:v>
      </x:c>
      <x:c r="G2303" t="str">
        <x:v>equals</x:v>
      </x:c>
      <x:c r="H2303" t="str">
        <x:f>IF(E2303=F2303,"PASS","FAIL")</x:f>
        <x:v>PASS</x:v>
      </x:c>
    </x:row>
    <x:row r="2304">
      <x:c r="B2304" t="str">
        <x:v>A-02272</x:v>
      </x:c>
      <x:c r="C2304" t="str">
        <x:v>GATE</x:v>
      </x:c>
      <x:c r="D2304" t="str">
        <x:v>release state mirrors governing ledger</x:v>
      </x:c>
      <x:c r="E2304" t="str">
        <x:f>'Release Gates'!I2278</x:f>
        <x:v>OPEN</x:v>
      </x:c>
      <x:c r="F2304" t="str">
        <x:f>IF('Release Gates'!C2278="PLANNING","PASS",IF('Release Gates'!C2278="PHYSICAL","OPEN","BLOCKED"))</x:f>
        <x:v>OPEN</x:v>
      </x:c>
      <x:c r="G2304" t="str">
        <x:v>equals</x:v>
      </x:c>
      <x:c r="H2304" t="str">
        <x:f>IF(E2304=F2304,"PASS","FAIL")</x:f>
        <x:v>PASS</x:v>
      </x:c>
    </x:row>
    <x:row r="2305">
      <x:c r="B2305" t="str">
        <x:v>A-02273</x:v>
      </x:c>
      <x:c r="C2305" t="str">
        <x:v>GATE</x:v>
      </x:c>
      <x:c r="D2305" t="str">
        <x:v>release state mirrors governing ledger</x:v>
      </x:c>
      <x:c r="E2305" t="str">
        <x:f>'Release Gates'!I2279</x:f>
        <x:v>OPEN</x:v>
      </x:c>
      <x:c r="F2305" t="str">
        <x:f>IF('Release Gates'!C2279="PLANNING","PASS",IF('Release Gates'!C2279="PHYSICAL","OPEN","BLOCKED"))</x:f>
        <x:v>OPEN</x:v>
      </x:c>
      <x:c r="G2305" t="str">
        <x:v>equals</x:v>
      </x:c>
      <x:c r="H2305" t="str">
        <x:f>IF(E2305=F2305,"PASS","FAIL")</x:f>
        <x:v>PASS</x:v>
      </x:c>
    </x:row>
    <x:row r="2306">
      <x:c r="B2306" t="str">
        <x:v>A-02274</x:v>
      </x:c>
      <x:c r="C2306" t="str">
        <x:v>GATE</x:v>
      </x:c>
      <x:c r="D2306" t="str">
        <x:v>release state mirrors governing ledger</x:v>
      </x:c>
      <x:c r="E2306" t="str">
        <x:f>'Release Gates'!I2280</x:f>
        <x:v>OPEN</x:v>
      </x:c>
      <x:c r="F2306" t="str">
        <x:f>IF('Release Gates'!C2280="PLANNING","PASS",IF('Release Gates'!C2280="PHYSICAL","OPEN","BLOCKED"))</x:f>
        <x:v>OPEN</x:v>
      </x:c>
      <x:c r="G2306" t="str">
        <x:v>equals</x:v>
      </x:c>
      <x:c r="H2306" t="str">
        <x:f>IF(E2306=F2306,"PASS","FAIL")</x:f>
        <x:v>PASS</x:v>
      </x:c>
    </x:row>
    <x:row r="2307">
      <x:c r="B2307" t="str">
        <x:v>A-02275</x:v>
      </x:c>
      <x:c r="C2307" t="str">
        <x:v>GATE</x:v>
      </x:c>
      <x:c r="D2307" t="str">
        <x:v>release state mirrors governing ledger</x:v>
      </x:c>
      <x:c r="E2307" t="str">
        <x:f>'Release Gates'!I2281</x:f>
        <x:v>OPEN</x:v>
      </x:c>
      <x:c r="F2307" t="str">
        <x:f>IF('Release Gates'!C2281="PLANNING","PASS",IF('Release Gates'!C2281="PHYSICAL","OPEN","BLOCKED"))</x:f>
        <x:v>OPEN</x:v>
      </x:c>
      <x:c r="G2307" t="str">
        <x:v>equals</x:v>
      </x:c>
      <x:c r="H2307" t="str">
        <x:f>IF(E2307=F2307,"PASS","FAIL")</x:f>
        <x:v>PASS</x:v>
      </x:c>
    </x:row>
    <x:row r="2308">
      <x:c r="B2308" t="str">
        <x:v>A-02276</x:v>
      </x:c>
      <x:c r="C2308" t="str">
        <x:v>GATE</x:v>
      </x:c>
      <x:c r="D2308" t="str">
        <x:v>release state mirrors governing ledger</x:v>
      </x:c>
      <x:c r="E2308" t="str">
        <x:f>'Release Gates'!I2282</x:f>
        <x:v>OPEN</x:v>
      </x:c>
      <x:c r="F2308" t="str">
        <x:f>IF('Release Gates'!C2282="PLANNING","PASS",IF('Release Gates'!C2282="PHYSICAL","OPEN","BLOCKED"))</x:f>
        <x:v>OPEN</x:v>
      </x:c>
      <x:c r="G2308" t="str">
        <x:v>equals</x:v>
      </x:c>
      <x:c r="H2308" t="str">
        <x:f>IF(E2308=F2308,"PASS","FAIL")</x:f>
        <x:v>PASS</x:v>
      </x:c>
    </x:row>
    <x:row r="2309">
      <x:c r="B2309" t="str">
        <x:v>A-02277</x:v>
      </x:c>
      <x:c r="C2309" t="str">
        <x:v>GATE</x:v>
      </x:c>
      <x:c r="D2309" t="str">
        <x:v>release state mirrors governing ledger</x:v>
      </x:c>
      <x:c r="E2309" t="str">
        <x:f>'Release Gates'!I2283</x:f>
        <x:v>OPEN</x:v>
      </x:c>
      <x:c r="F2309" t="str">
        <x:f>IF('Release Gates'!C2283="PLANNING","PASS",IF('Release Gates'!C2283="PHYSICAL","OPEN","BLOCKED"))</x:f>
        <x:v>OPEN</x:v>
      </x:c>
      <x:c r="G2309" t="str">
        <x:v>equals</x:v>
      </x:c>
      <x:c r="H2309" t="str">
        <x:f>IF(E2309=F2309,"PASS","FAIL")</x:f>
        <x:v>PASS</x:v>
      </x:c>
    </x:row>
    <x:row r="2310">
      <x:c r="B2310" t="str">
        <x:v>A-02278</x:v>
      </x:c>
      <x:c r="C2310" t="str">
        <x:v>GATE</x:v>
      </x:c>
      <x:c r="D2310" t="str">
        <x:v>release state mirrors governing ledger</x:v>
      </x:c>
      <x:c r="E2310" t="str">
        <x:f>'Release Gates'!I2284</x:f>
        <x:v>OPEN</x:v>
      </x:c>
      <x:c r="F2310" t="str">
        <x:f>IF('Release Gates'!C2284="PLANNING","PASS",IF('Release Gates'!C2284="PHYSICAL","OPEN","BLOCKED"))</x:f>
        <x:v>OPEN</x:v>
      </x:c>
      <x:c r="G2310" t="str">
        <x:v>equals</x:v>
      </x:c>
      <x:c r="H2310" t="str">
        <x:f>IF(E2310=F2310,"PASS","FAIL")</x:f>
        <x:v>PASS</x:v>
      </x:c>
    </x:row>
    <x:row r="2311">
      <x:c r="B2311" t="str">
        <x:v>A-02279</x:v>
      </x:c>
      <x:c r="C2311" t="str">
        <x:v>GATE</x:v>
      </x:c>
      <x:c r="D2311" t="str">
        <x:v>release state mirrors governing ledger</x:v>
      </x:c>
      <x:c r="E2311" t="str">
        <x:f>'Release Gates'!I2285</x:f>
        <x:v>OPEN</x:v>
      </x:c>
      <x:c r="F2311" t="str">
        <x:f>IF('Release Gates'!C2285="PLANNING","PASS",IF('Release Gates'!C2285="PHYSICAL","OPEN","BLOCKED"))</x:f>
        <x:v>OPEN</x:v>
      </x:c>
      <x:c r="G2311" t="str">
        <x:v>equals</x:v>
      </x:c>
      <x:c r="H2311" t="str">
        <x:f>IF(E2311=F2311,"PASS","FAIL")</x:f>
        <x:v>PASS</x:v>
      </x:c>
    </x:row>
    <x:row r="2312">
      <x:c r="B2312" t="str">
        <x:v>A-02280</x:v>
      </x:c>
      <x:c r="C2312" t="str">
        <x:v>GATE</x:v>
      </x:c>
      <x:c r="D2312" t="str">
        <x:v>release state mirrors governing ledger</x:v>
      </x:c>
      <x:c r="E2312" t="str">
        <x:f>'Release Gates'!I2286</x:f>
        <x:v>OPEN</x:v>
      </x:c>
      <x:c r="F2312" t="str">
        <x:f>IF('Release Gates'!C2286="PLANNING","PASS",IF('Release Gates'!C2286="PHYSICAL","OPEN","BLOCKED"))</x:f>
        <x:v>OPEN</x:v>
      </x:c>
      <x:c r="G2312" t="str">
        <x:v>equals</x:v>
      </x:c>
      <x:c r="H2312" t="str">
        <x:f>IF(E2312=F2312,"PASS","FAIL")</x:f>
        <x:v>PASS</x:v>
      </x:c>
    </x:row>
    <x:row r="2313">
      <x:c r="B2313" t="str">
        <x:v>A-02281</x:v>
      </x:c>
      <x:c r="C2313" t="str">
        <x:v>GATE</x:v>
      </x:c>
      <x:c r="D2313" t="str">
        <x:v>release state mirrors governing ledger</x:v>
      </x:c>
      <x:c r="E2313" t="str">
        <x:f>'Release Gates'!I2287</x:f>
        <x:v>OPEN</x:v>
      </x:c>
      <x:c r="F2313" t="str">
        <x:f>IF('Release Gates'!C2287="PLANNING","PASS",IF('Release Gates'!C2287="PHYSICAL","OPEN","BLOCKED"))</x:f>
        <x:v>OPEN</x:v>
      </x:c>
      <x:c r="G2313" t="str">
        <x:v>equals</x:v>
      </x:c>
      <x:c r="H2313" t="str">
        <x:f>IF(E2313=F2313,"PASS","FAIL")</x:f>
        <x:v>PASS</x:v>
      </x:c>
    </x:row>
    <x:row r="2314">
      <x:c r="B2314" t="str">
        <x:v>A-02282</x:v>
      </x:c>
      <x:c r="C2314" t="str">
        <x:v>GATE</x:v>
      </x:c>
      <x:c r="D2314" t="str">
        <x:v>release state mirrors governing ledger</x:v>
      </x:c>
      <x:c r="E2314" t="str">
        <x:f>'Release Gates'!I2288</x:f>
        <x:v>OPEN</x:v>
      </x:c>
      <x:c r="F2314" t="str">
        <x:f>IF('Release Gates'!C2288="PLANNING","PASS",IF('Release Gates'!C2288="PHYSICAL","OPEN","BLOCKED"))</x:f>
        <x:v>OPEN</x:v>
      </x:c>
      <x:c r="G2314" t="str">
        <x:v>equals</x:v>
      </x:c>
      <x:c r="H2314" t="str">
        <x:f>IF(E2314=F2314,"PASS","FAIL")</x:f>
        <x:v>PASS</x:v>
      </x:c>
    </x:row>
    <x:row r="2315">
      <x:c r="B2315" t="str">
        <x:v>A-02283</x:v>
      </x:c>
      <x:c r="C2315" t="str">
        <x:v>GATE</x:v>
      </x:c>
      <x:c r="D2315" t="str">
        <x:v>release state mirrors governing ledger</x:v>
      </x:c>
      <x:c r="E2315" t="str">
        <x:f>'Release Gates'!I2289</x:f>
        <x:v>OPEN</x:v>
      </x:c>
      <x:c r="F2315" t="str">
        <x:f>IF('Release Gates'!C2289="PLANNING","PASS",IF('Release Gates'!C2289="PHYSICAL","OPEN","BLOCKED"))</x:f>
        <x:v>OPEN</x:v>
      </x:c>
      <x:c r="G2315" t="str">
        <x:v>equals</x:v>
      </x:c>
      <x:c r="H2315" t="str">
        <x:f>IF(E2315=F2315,"PASS","FAIL")</x:f>
        <x:v>PASS</x:v>
      </x:c>
    </x:row>
    <x:row r="2316">
      <x:c r="B2316" t="str">
        <x:v>A-02284</x:v>
      </x:c>
      <x:c r="C2316" t="str">
        <x:v>GATE</x:v>
      </x:c>
      <x:c r="D2316" t="str">
        <x:v>release state mirrors governing ledger</x:v>
      </x:c>
      <x:c r="E2316" t="str">
        <x:f>'Release Gates'!I2290</x:f>
        <x:v>OPEN</x:v>
      </x:c>
      <x:c r="F2316" t="str">
        <x:f>IF('Release Gates'!C2290="PLANNING","PASS",IF('Release Gates'!C2290="PHYSICAL","OPEN","BLOCKED"))</x:f>
        <x:v>OPEN</x:v>
      </x:c>
      <x:c r="G2316" t="str">
        <x:v>equals</x:v>
      </x:c>
      <x:c r="H2316" t="str">
        <x:f>IF(E2316=F2316,"PASS","FAIL")</x:f>
        <x:v>PASS</x:v>
      </x:c>
    </x:row>
    <x:row r="2317">
      <x:c r="B2317" t="str">
        <x:v>A-02285</x:v>
      </x:c>
      <x:c r="C2317" t="str">
        <x:v>GATE</x:v>
      </x:c>
      <x:c r="D2317" t="str">
        <x:v>release state mirrors governing ledger</x:v>
      </x:c>
      <x:c r="E2317" t="str">
        <x:f>'Release Gates'!I2291</x:f>
        <x:v>OPEN</x:v>
      </x:c>
      <x:c r="F2317" t="str">
        <x:f>IF('Release Gates'!C2291="PLANNING","PASS",IF('Release Gates'!C2291="PHYSICAL","OPEN","BLOCKED"))</x:f>
        <x:v>OPEN</x:v>
      </x:c>
      <x:c r="G2317" t="str">
        <x:v>equals</x:v>
      </x:c>
      <x:c r="H2317" t="str">
        <x:f>IF(E2317=F2317,"PASS","FAIL")</x:f>
        <x:v>PASS</x:v>
      </x:c>
    </x:row>
    <x:row r="2318">
      <x:c r="B2318" t="str">
        <x:v>A-02286</x:v>
      </x:c>
      <x:c r="C2318" t="str">
        <x:v>GATE</x:v>
      </x:c>
      <x:c r="D2318" t="str">
        <x:v>release state mirrors governing ledger</x:v>
      </x:c>
      <x:c r="E2318" t="str">
        <x:f>'Release Gates'!I2292</x:f>
        <x:v>OPEN</x:v>
      </x:c>
      <x:c r="F2318" t="str">
        <x:f>IF('Release Gates'!C2292="PLANNING","PASS",IF('Release Gates'!C2292="PHYSICAL","OPEN","BLOCKED"))</x:f>
        <x:v>OPEN</x:v>
      </x:c>
      <x:c r="G2318" t="str">
        <x:v>equals</x:v>
      </x:c>
      <x:c r="H2318" t="str">
        <x:f>IF(E2318=F2318,"PASS","FAIL")</x:f>
        <x:v>PASS</x:v>
      </x:c>
    </x:row>
    <x:row r="2319">
      <x:c r="B2319" t="str">
        <x:v>A-02287</x:v>
      </x:c>
      <x:c r="C2319" t="str">
        <x:v>GATE</x:v>
      </x:c>
      <x:c r="D2319" t="str">
        <x:v>release state mirrors governing ledger</x:v>
      </x:c>
      <x:c r="E2319" t="str">
        <x:f>'Release Gates'!I2293</x:f>
        <x:v>OPEN</x:v>
      </x:c>
      <x:c r="F2319" t="str">
        <x:f>IF('Release Gates'!C2293="PLANNING","PASS",IF('Release Gates'!C2293="PHYSICAL","OPEN","BLOCKED"))</x:f>
        <x:v>OPEN</x:v>
      </x:c>
      <x:c r="G2319" t="str">
        <x:v>equals</x:v>
      </x:c>
      <x:c r="H2319" t="str">
        <x:f>IF(E2319=F2319,"PASS","FAIL")</x:f>
        <x:v>PASS</x:v>
      </x:c>
    </x:row>
    <x:row r="2320">
      <x:c r="B2320" t="str">
        <x:v>A-02288</x:v>
      </x:c>
      <x:c r="C2320" t="str">
        <x:v>GATE</x:v>
      </x:c>
      <x:c r="D2320" t="str">
        <x:v>release state mirrors governing ledger</x:v>
      </x:c>
      <x:c r="E2320" t="str">
        <x:f>'Release Gates'!I2294</x:f>
        <x:v>OPEN</x:v>
      </x:c>
      <x:c r="F2320" t="str">
        <x:f>IF('Release Gates'!C2294="PLANNING","PASS",IF('Release Gates'!C2294="PHYSICAL","OPEN","BLOCKED"))</x:f>
        <x:v>OPEN</x:v>
      </x:c>
      <x:c r="G2320" t="str">
        <x:v>equals</x:v>
      </x:c>
      <x:c r="H2320" t="str">
        <x:f>IF(E2320=F2320,"PASS","FAIL")</x:f>
        <x:v>PASS</x:v>
      </x:c>
    </x:row>
    <x:row r="2321">
      <x:c r="B2321" t="str">
        <x:v>A-02289</x:v>
      </x:c>
      <x:c r="C2321" t="str">
        <x:v>GATE</x:v>
      </x:c>
      <x:c r="D2321" t="str">
        <x:v>release state mirrors governing ledger</x:v>
      </x:c>
      <x:c r="E2321" t="str">
        <x:f>'Release Gates'!I2295</x:f>
        <x:v>OPEN</x:v>
      </x:c>
      <x:c r="F2321" t="str">
        <x:f>IF('Release Gates'!C2295="PLANNING","PASS",IF('Release Gates'!C2295="PHYSICAL","OPEN","BLOCKED"))</x:f>
        <x:v>OPEN</x:v>
      </x:c>
      <x:c r="G2321" t="str">
        <x:v>equals</x:v>
      </x:c>
      <x:c r="H2321" t="str">
        <x:f>IF(E2321=F2321,"PASS","FAIL")</x:f>
        <x:v>PASS</x:v>
      </x:c>
    </x:row>
    <x:row r="2322">
      <x:c r="B2322" t="str">
        <x:v>A-02290</x:v>
      </x:c>
      <x:c r="C2322" t="str">
        <x:v>GATE</x:v>
      </x:c>
      <x:c r="D2322" t="str">
        <x:v>release state mirrors governing ledger</x:v>
      </x:c>
      <x:c r="E2322" t="str">
        <x:f>'Release Gates'!I2296</x:f>
        <x:v>OPEN</x:v>
      </x:c>
      <x:c r="F2322" t="str">
        <x:f>IF('Release Gates'!C2296="PLANNING","PASS",IF('Release Gates'!C2296="PHYSICAL","OPEN","BLOCKED"))</x:f>
        <x:v>OPEN</x:v>
      </x:c>
      <x:c r="G2322" t="str">
        <x:v>equals</x:v>
      </x:c>
      <x:c r="H2322" t="str">
        <x:f>IF(E2322=F2322,"PASS","FAIL")</x:f>
        <x:v>PASS</x:v>
      </x:c>
    </x:row>
    <x:row r="2323">
      <x:c r="B2323" t="str">
        <x:v>A-02291</x:v>
      </x:c>
      <x:c r="C2323" t="str">
        <x:v>GATE</x:v>
      </x:c>
      <x:c r="D2323" t="str">
        <x:v>release state mirrors governing ledger</x:v>
      </x:c>
      <x:c r="E2323" t="str">
        <x:f>'Release Gates'!I2297</x:f>
        <x:v>OPEN</x:v>
      </x:c>
      <x:c r="F2323" t="str">
        <x:f>IF('Release Gates'!C2297="PLANNING","PASS",IF('Release Gates'!C2297="PHYSICAL","OPEN","BLOCKED"))</x:f>
        <x:v>OPEN</x:v>
      </x:c>
      <x:c r="G2323" t="str">
        <x:v>equals</x:v>
      </x:c>
      <x:c r="H2323" t="str">
        <x:f>IF(E2323=F2323,"PASS","FAIL")</x:f>
        <x:v>PASS</x:v>
      </x:c>
    </x:row>
    <x:row r="2324">
      <x:c r="B2324" t="str">
        <x:v>A-02292</x:v>
      </x:c>
      <x:c r="C2324" t="str">
        <x:v>GATE</x:v>
      </x:c>
      <x:c r="D2324" t="str">
        <x:v>release state mirrors governing ledger</x:v>
      </x:c>
      <x:c r="E2324" t="str">
        <x:f>'Release Gates'!I2298</x:f>
        <x:v>OPEN</x:v>
      </x:c>
      <x:c r="F2324" t="str">
        <x:f>IF('Release Gates'!C2298="PLANNING","PASS",IF('Release Gates'!C2298="PHYSICAL","OPEN","BLOCKED"))</x:f>
        <x:v>OPEN</x:v>
      </x:c>
      <x:c r="G2324" t="str">
        <x:v>equals</x:v>
      </x:c>
      <x:c r="H2324" t="str">
        <x:f>IF(E2324=F2324,"PASS","FAIL")</x:f>
        <x:v>PASS</x:v>
      </x:c>
    </x:row>
    <x:row r="2325">
      <x:c r="B2325" t="str">
        <x:v>A-02293</x:v>
      </x:c>
      <x:c r="C2325" t="str">
        <x:v>GATE</x:v>
      </x:c>
      <x:c r="D2325" t="str">
        <x:v>release state mirrors governing ledger</x:v>
      </x:c>
      <x:c r="E2325" t="str">
        <x:f>'Release Gates'!I2299</x:f>
        <x:v>OPEN</x:v>
      </x:c>
      <x:c r="F2325" t="str">
        <x:f>IF('Release Gates'!C2299="PLANNING","PASS",IF('Release Gates'!C2299="PHYSICAL","OPEN","BLOCKED"))</x:f>
        <x:v>OPEN</x:v>
      </x:c>
      <x:c r="G2325" t="str">
        <x:v>equals</x:v>
      </x:c>
      <x:c r="H2325" t="str">
        <x:f>IF(E2325=F2325,"PASS","FAIL")</x:f>
        <x:v>PASS</x:v>
      </x:c>
    </x:row>
    <x:row r="2326">
      <x:c r="B2326" t="str">
        <x:v>A-02294</x:v>
      </x:c>
      <x:c r="C2326" t="str">
        <x:v>GATE</x:v>
      </x:c>
      <x:c r="D2326" t="str">
        <x:v>release state mirrors governing ledger</x:v>
      </x:c>
      <x:c r="E2326" t="str">
        <x:f>'Release Gates'!I2300</x:f>
        <x:v>OPEN</x:v>
      </x:c>
      <x:c r="F2326" t="str">
        <x:f>IF('Release Gates'!C2300="PLANNING","PASS",IF('Release Gates'!C2300="PHYSICAL","OPEN","BLOCKED"))</x:f>
        <x:v>OPEN</x:v>
      </x:c>
      <x:c r="G2326" t="str">
        <x:v>equals</x:v>
      </x:c>
      <x:c r="H2326" t="str">
        <x:f>IF(E2326=F2326,"PASS","FAIL")</x:f>
        <x:v>PASS</x:v>
      </x:c>
    </x:row>
    <x:row r="2327">
      <x:c r="B2327" t="str">
        <x:v>A-02295</x:v>
      </x:c>
      <x:c r="C2327" t="str">
        <x:v>GATE</x:v>
      </x:c>
      <x:c r="D2327" t="str">
        <x:v>release state mirrors governing ledger</x:v>
      </x:c>
      <x:c r="E2327" t="str">
        <x:f>'Release Gates'!I2301</x:f>
        <x:v>OPEN</x:v>
      </x:c>
      <x:c r="F2327" t="str">
        <x:f>IF('Release Gates'!C2301="PLANNING","PASS",IF('Release Gates'!C2301="PHYSICAL","OPEN","BLOCKED"))</x:f>
        <x:v>OPEN</x:v>
      </x:c>
      <x:c r="G2327" t="str">
        <x:v>equals</x:v>
      </x:c>
      <x:c r="H2327" t="str">
        <x:f>IF(E2327=F2327,"PASS","FAIL")</x:f>
        <x:v>PASS</x:v>
      </x:c>
    </x:row>
    <x:row r="2328">
      <x:c r="B2328" t="str">
        <x:v>A-02296</x:v>
      </x:c>
      <x:c r="C2328" t="str">
        <x:v>GATE</x:v>
      </x:c>
      <x:c r="D2328" t="str">
        <x:v>release state mirrors governing ledger</x:v>
      </x:c>
      <x:c r="E2328" t="str">
        <x:f>'Release Gates'!I2302</x:f>
        <x:v>OPEN</x:v>
      </x:c>
      <x:c r="F2328" t="str">
        <x:f>IF('Release Gates'!C2302="PLANNING","PASS",IF('Release Gates'!C2302="PHYSICAL","OPEN","BLOCKED"))</x:f>
        <x:v>OPEN</x:v>
      </x:c>
      <x:c r="G2328" t="str">
        <x:v>equals</x:v>
      </x:c>
      <x:c r="H2328" t="str">
        <x:f>IF(E2328=F2328,"PASS","FAIL")</x:f>
        <x:v>PASS</x:v>
      </x:c>
    </x:row>
    <x:row r="2329">
      <x:c r="B2329" t="str">
        <x:v>A-02297</x:v>
      </x:c>
      <x:c r="C2329" t="str">
        <x:v>GATE</x:v>
      </x:c>
      <x:c r="D2329" t="str">
        <x:v>release state mirrors governing ledger</x:v>
      </x:c>
      <x:c r="E2329" t="str">
        <x:f>'Release Gates'!I2303</x:f>
        <x:v>OPEN</x:v>
      </x:c>
      <x:c r="F2329" t="str">
        <x:f>IF('Release Gates'!C2303="PLANNING","PASS",IF('Release Gates'!C2303="PHYSICAL","OPEN","BLOCKED"))</x:f>
        <x:v>OPEN</x:v>
      </x:c>
      <x:c r="G2329" t="str">
        <x:v>equals</x:v>
      </x:c>
      <x:c r="H2329" t="str">
        <x:f>IF(E2329=F2329,"PASS","FAIL")</x:f>
        <x:v>PASS</x:v>
      </x:c>
    </x:row>
    <x:row r="2330">
      <x:c r="B2330" t="str">
        <x:v>A-02298</x:v>
      </x:c>
      <x:c r="C2330" t="str">
        <x:v>GATE</x:v>
      </x:c>
      <x:c r="D2330" t="str">
        <x:v>release state mirrors governing ledger</x:v>
      </x:c>
      <x:c r="E2330" t="str">
        <x:f>'Release Gates'!I2304</x:f>
        <x:v>OPEN</x:v>
      </x:c>
      <x:c r="F2330" t="str">
        <x:f>IF('Release Gates'!C2304="PLANNING","PASS",IF('Release Gates'!C2304="PHYSICAL","OPEN","BLOCKED"))</x:f>
        <x:v>OPEN</x:v>
      </x:c>
      <x:c r="G2330" t="str">
        <x:v>equals</x:v>
      </x:c>
      <x:c r="H2330" t="str">
        <x:f>IF(E2330=F2330,"PASS","FAIL")</x:f>
        <x:v>PASS</x:v>
      </x:c>
    </x:row>
    <x:row r="2331">
      <x:c r="B2331" t="str">
        <x:v>A-02299</x:v>
      </x:c>
      <x:c r="C2331" t="str">
        <x:v>GATE</x:v>
      </x:c>
      <x:c r="D2331" t="str">
        <x:v>release state mirrors governing ledger</x:v>
      </x:c>
      <x:c r="E2331" t="str">
        <x:f>'Release Gates'!I2305</x:f>
        <x:v>OPEN</x:v>
      </x:c>
      <x:c r="F2331" t="str">
        <x:f>IF('Release Gates'!C2305="PLANNING","PASS",IF('Release Gates'!C2305="PHYSICAL","OPEN","BLOCKED"))</x:f>
        <x:v>OPEN</x:v>
      </x:c>
      <x:c r="G2331" t="str">
        <x:v>equals</x:v>
      </x:c>
      <x:c r="H2331" t="str">
        <x:f>IF(E2331=F2331,"PASS","FAIL")</x:f>
        <x:v>PASS</x:v>
      </x:c>
    </x:row>
    <x:row r="2332">
      <x:c r="B2332" t="str">
        <x:v>A-02300</x:v>
      </x:c>
      <x:c r="C2332" t="str">
        <x:v>GATE</x:v>
      </x:c>
      <x:c r="D2332" t="str">
        <x:v>release state mirrors governing ledger</x:v>
      </x:c>
      <x:c r="E2332" t="str">
        <x:f>'Release Gates'!I2306</x:f>
        <x:v>OPEN</x:v>
      </x:c>
      <x:c r="F2332" t="str">
        <x:f>IF('Release Gates'!C2306="PLANNING","PASS",IF('Release Gates'!C2306="PHYSICAL","OPEN","BLOCKED"))</x:f>
        <x:v>OPEN</x:v>
      </x:c>
      <x:c r="G2332" t="str">
        <x:v>equals</x:v>
      </x:c>
      <x:c r="H2332" t="str">
        <x:f>IF(E2332=F2332,"PASS","FAIL")</x:f>
        <x:v>PASS</x:v>
      </x:c>
    </x:row>
    <x:row r="2333">
      <x:c r="B2333" t="str">
        <x:v>A-02301</x:v>
      </x:c>
      <x:c r="C2333" t="str">
        <x:v>GATE</x:v>
      </x:c>
      <x:c r="D2333" t="str">
        <x:v>release state mirrors governing ledger</x:v>
      </x:c>
      <x:c r="E2333" t="str">
        <x:f>'Release Gates'!I2307</x:f>
        <x:v>OPEN</x:v>
      </x:c>
      <x:c r="F2333" t="str">
        <x:f>IF('Release Gates'!C2307="PLANNING","PASS",IF('Release Gates'!C2307="PHYSICAL","OPEN","BLOCKED"))</x:f>
        <x:v>OPEN</x:v>
      </x:c>
      <x:c r="G2333" t="str">
        <x:v>equals</x:v>
      </x:c>
      <x:c r="H2333" t="str">
        <x:f>IF(E2333=F2333,"PASS","FAIL")</x:f>
        <x:v>PASS</x:v>
      </x:c>
    </x:row>
    <x:row r="2334">
      <x:c r="B2334" t="str">
        <x:v>A-02302</x:v>
      </x:c>
      <x:c r="C2334" t="str">
        <x:v>GATE</x:v>
      </x:c>
      <x:c r="D2334" t="str">
        <x:v>release state mirrors governing ledger</x:v>
      </x:c>
      <x:c r="E2334" t="str">
        <x:f>'Release Gates'!I2308</x:f>
        <x:v>OPEN</x:v>
      </x:c>
      <x:c r="F2334" t="str">
        <x:f>IF('Release Gates'!C2308="PLANNING","PASS",IF('Release Gates'!C2308="PHYSICAL","OPEN","BLOCKED"))</x:f>
        <x:v>OPEN</x:v>
      </x:c>
      <x:c r="G2334" t="str">
        <x:v>equals</x:v>
      </x:c>
      <x:c r="H2334" t="str">
        <x:f>IF(E2334=F2334,"PASS","FAIL")</x:f>
        <x:v>PASS</x:v>
      </x:c>
    </x:row>
    <x:row r="2335">
      <x:c r="B2335" t="str">
        <x:v>A-02303</x:v>
      </x:c>
      <x:c r="C2335" t="str">
        <x:v>GATE</x:v>
      </x:c>
      <x:c r="D2335" t="str">
        <x:v>release state mirrors governing ledger</x:v>
      </x:c>
      <x:c r="E2335" t="str">
        <x:f>'Release Gates'!I2309</x:f>
        <x:v>OPEN</x:v>
      </x:c>
      <x:c r="F2335" t="str">
        <x:f>IF('Release Gates'!C2309="PLANNING","PASS",IF('Release Gates'!C2309="PHYSICAL","OPEN","BLOCKED"))</x:f>
        <x:v>OPEN</x:v>
      </x:c>
      <x:c r="G2335" t="str">
        <x:v>equals</x:v>
      </x:c>
      <x:c r="H2335" t="str">
        <x:f>IF(E2335=F2335,"PASS","FAIL")</x:f>
        <x:v>PASS</x:v>
      </x:c>
    </x:row>
    <x:row r="2336">
      <x:c r="B2336" t="str">
        <x:v>A-02304</x:v>
      </x:c>
      <x:c r="C2336" t="str">
        <x:v>GATE</x:v>
      </x:c>
      <x:c r="D2336" t="str">
        <x:v>release state mirrors governing ledger</x:v>
      </x:c>
      <x:c r="E2336" t="str">
        <x:f>'Release Gates'!I2310</x:f>
        <x:v>OPEN</x:v>
      </x:c>
      <x:c r="F2336" t="str">
        <x:f>IF('Release Gates'!C2310="PLANNING","PASS",IF('Release Gates'!C2310="PHYSICAL","OPEN","BLOCKED"))</x:f>
        <x:v>OPEN</x:v>
      </x:c>
      <x:c r="G2336" t="str">
        <x:v>equals</x:v>
      </x:c>
      <x:c r="H2336" t="str">
        <x:f>IF(E2336=F2336,"PASS","FAIL")</x:f>
        <x:v>PASS</x:v>
      </x:c>
    </x:row>
    <x:row r="2337">
      <x:c r="B2337" t="str">
        <x:v>A-02305</x:v>
      </x:c>
      <x:c r="C2337" t="str">
        <x:v>GATE</x:v>
      </x:c>
      <x:c r="D2337" t="str">
        <x:v>release state mirrors governing ledger</x:v>
      </x:c>
      <x:c r="E2337" t="str">
        <x:f>'Release Gates'!I2311</x:f>
        <x:v>OPEN</x:v>
      </x:c>
      <x:c r="F2337" t="str">
        <x:f>IF('Release Gates'!C2311="PLANNING","PASS",IF('Release Gates'!C2311="PHYSICAL","OPEN","BLOCKED"))</x:f>
        <x:v>OPEN</x:v>
      </x:c>
      <x:c r="G2337" t="str">
        <x:v>equals</x:v>
      </x:c>
      <x:c r="H2337" t="str">
        <x:f>IF(E2337=F2337,"PASS","FAIL")</x:f>
        <x:v>PASS</x:v>
      </x:c>
    </x:row>
    <x:row r="2338">
      <x:c r="B2338" t="str">
        <x:v>A-02306</x:v>
      </x:c>
      <x:c r="C2338" t="str">
        <x:v>GATE</x:v>
      </x:c>
      <x:c r="D2338" t="str">
        <x:v>release state mirrors governing ledger</x:v>
      </x:c>
      <x:c r="E2338" t="str">
        <x:f>'Release Gates'!I2312</x:f>
        <x:v>OPEN</x:v>
      </x:c>
      <x:c r="F2338" t="str">
        <x:f>IF('Release Gates'!C2312="PLANNING","PASS",IF('Release Gates'!C2312="PHYSICAL","OPEN","BLOCKED"))</x:f>
        <x:v>OPEN</x:v>
      </x:c>
      <x:c r="G2338" t="str">
        <x:v>equals</x:v>
      </x:c>
      <x:c r="H2338" t="str">
        <x:f>IF(E2338=F2338,"PASS","FAIL")</x:f>
        <x:v>PASS</x:v>
      </x:c>
    </x:row>
    <x:row r="2339">
      <x:c r="B2339" t="str">
        <x:v>A-02307</x:v>
      </x:c>
      <x:c r="C2339" t="str">
        <x:v>GATE</x:v>
      </x:c>
      <x:c r="D2339" t="str">
        <x:v>release state mirrors governing ledger</x:v>
      </x:c>
      <x:c r="E2339" t="str">
        <x:f>'Release Gates'!I2313</x:f>
        <x:v>OPEN</x:v>
      </x:c>
      <x:c r="F2339" t="str">
        <x:f>IF('Release Gates'!C2313="PLANNING","PASS",IF('Release Gates'!C2313="PHYSICAL","OPEN","BLOCKED"))</x:f>
        <x:v>OPEN</x:v>
      </x:c>
      <x:c r="G2339" t="str">
        <x:v>equals</x:v>
      </x:c>
      <x:c r="H2339" t="str">
        <x:f>IF(E2339=F2339,"PASS","FAIL")</x:f>
        <x:v>PASS</x:v>
      </x:c>
    </x:row>
    <x:row r="2340">
      <x:c r="B2340" t="str">
        <x:v>A-02308</x:v>
      </x:c>
      <x:c r="C2340" t="str">
        <x:v>GATE</x:v>
      </x:c>
      <x:c r="D2340" t="str">
        <x:v>release state mirrors governing ledger</x:v>
      </x:c>
      <x:c r="E2340" t="str">
        <x:f>'Release Gates'!I2314</x:f>
        <x:v>OPEN</x:v>
      </x:c>
      <x:c r="F2340" t="str">
        <x:f>IF('Release Gates'!C2314="PLANNING","PASS",IF('Release Gates'!C2314="PHYSICAL","OPEN","BLOCKED"))</x:f>
        <x:v>OPEN</x:v>
      </x:c>
      <x:c r="G2340" t="str">
        <x:v>equals</x:v>
      </x:c>
      <x:c r="H2340" t="str">
        <x:f>IF(E2340=F2340,"PASS","FAIL")</x:f>
        <x:v>PASS</x:v>
      </x:c>
    </x:row>
    <x:row r="2341">
      <x:c r="B2341" t="str">
        <x:v>A-02309</x:v>
      </x:c>
      <x:c r="C2341" t="str">
        <x:v>GATE</x:v>
      </x:c>
      <x:c r="D2341" t="str">
        <x:v>release state mirrors governing ledger</x:v>
      </x:c>
      <x:c r="E2341" t="str">
        <x:f>'Release Gates'!I2315</x:f>
        <x:v>OPEN</x:v>
      </x:c>
      <x:c r="F2341" t="str">
        <x:f>IF('Release Gates'!C2315="PLANNING","PASS",IF('Release Gates'!C2315="PHYSICAL","OPEN","BLOCKED"))</x:f>
        <x:v>OPEN</x:v>
      </x:c>
      <x:c r="G2341" t="str">
        <x:v>equals</x:v>
      </x:c>
      <x:c r="H2341" t="str">
        <x:f>IF(E2341=F2341,"PASS","FAIL")</x:f>
        <x:v>PASS</x:v>
      </x:c>
    </x:row>
    <x:row r="2342">
      <x:c r="B2342" t="str">
        <x:v>A-02310</x:v>
      </x:c>
      <x:c r="C2342" t="str">
        <x:v>GATE</x:v>
      </x:c>
      <x:c r="D2342" t="str">
        <x:v>release state mirrors governing ledger</x:v>
      </x:c>
      <x:c r="E2342" t="str">
        <x:f>'Release Gates'!I2316</x:f>
        <x:v>OPEN</x:v>
      </x:c>
      <x:c r="F2342" t="str">
        <x:f>IF('Release Gates'!C2316="PLANNING","PASS",IF('Release Gates'!C2316="PHYSICAL","OPEN","BLOCKED"))</x:f>
        <x:v>OPEN</x:v>
      </x:c>
      <x:c r="G2342" t="str">
        <x:v>equals</x:v>
      </x:c>
      <x:c r="H2342" t="str">
        <x:f>IF(E2342=F2342,"PASS","FAIL")</x:f>
        <x:v>PASS</x:v>
      </x:c>
    </x:row>
    <x:row r="2343">
      <x:c r="B2343" t="str">
        <x:v>A-02311</x:v>
      </x:c>
      <x:c r="C2343" t="str">
        <x:v>GATE</x:v>
      </x:c>
      <x:c r="D2343" t="str">
        <x:v>release state mirrors governing ledger</x:v>
      </x:c>
      <x:c r="E2343" t="str">
        <x:f>'Release Gates'!I2317</x:f>
        <x:v>OPEN</x:v>
      </x:c>
      <x:c r="F2343" t="str">
        <x:f>IF('Release Gates'!C2317="PLANNING","PASS",IF('Release Gates'!C2317="PHYSICAL","OPEN","BLOCKED"))</x:f>
        <x:v>OPEN</x:v>
      </x:c>
      <x:c r="G2343" t="str">
        <x:v>equals</x:v>
      </x:c>
      <x:c r="H2343" t="str">
        <x:f>IF(E2343=F2343,"PASS","FAIL")</x:f>
        <x:v>PASS</x:v>
      </x:c>
    </x:row>
    <x:row r="2344">
      <x:c r="B2344" t="str">
        <x:v>A-02312</x:v>
      </x:c>
      <x:c r="C2344" t="str">
        <x:v>GATE</x:v>
      </x:c>
      <x:c r="D2344" t="str">
        <x:v>release state mirrors governing ledger</x:v>
      </x:c>
      <x:c r="E2344" t="str">
        <x:f>'Release Gates'!I2318</x:f>
        <x:v>OPEN</x:v>
      </x:c>
      <x:c r="F2344" t="str">
        <x:f>IF('Release Gates'!C2318="PLANNING","PASS",IF('Release Gates'!C2318="PHYSICAL","OPEN","BLOCKED"))</x:f>
        <x:v>OPEN</x:v>
      </x:c>
      <x:c r="G2344" t="str">
        <x:v>equals</x:v>
      </x:c>
      <x:c r="H2344" t="str">
        <x:f>IF(E2344=F2344,"PASS","FAIL")</x:f>
        <x:v>PASS</x:v>
      </x:c>
    </x:row>
    <x:row r="2345">
      <x:c r="B2345" t="str">
        <x:v>A-02313</x:v>
      </x:c>
      <x:c r="C2345" t="str">
        <x:v>GATE</x:v>
      </x:c>
      <x:c r="D2345" t="str">
        <x:v>release state mirrors governing ledger</x:v>
      </x:c>
      <x:c r="E2345" t="str">
        <x:f>'Release Gates'!I2319</x:f>
        <x:v>OPEN</x:v>
      </x:c>
      <x:c r="F2345" t="str">
        <x:f>IF('Release Gates'!C2319="PLANNING","PASS",IF('Release Gates'!C2319="PHYSICAL","OPEN","BLOCKED"))</x:f>
        <x:v>OPEN</x:v>
      </x:c>
      <x:c r="G2345" t="str">
        <x:v>equals</x:v>
      </x:c>
      <x:c r="H2345" t="str">
        <x:f>IF(E2345=F2345,"PASS","FAIL")</x:f>
        <x:v>PASS</x:v>
      </x:c>
    </x:row>
    <x:row r="2346">
      <x:c r="B2346" t="str">
        <x:v>A-02314</x:v>
      </x:c>
      <x:c r="C2346" t="str">
        <x:v>GATE</x:v>
      </x:c>
      <x:c r="D2346" t="str">
        <x:v>release state mirrors governing ledger</x:v>
      </x:c>
      <x:c r="E2346" t="str">
        <x:f>'Release Gates'!I2320</x:f>
        <x:v>OPEN</x:v>
      </x:c>
      <x:c r="F2346" t="str">
        <x:f>IF('Release Gates'!C2320="PLANNING","PASS",IF('Release Gates'!C2320="PHYSICAL","OPEN","BLOCKED"))</x:f>
        <x:v>OPEN</x:v>
      </x:c>
      <x:c r="G2346" t="str">
        <x:v>equals</x:v>
      </x:c>
      <x:c r="H2346" t="str">
        <x:f>IF(E2346=F2346,"PASS","FAIL")</x:f>
        <x:v>PASS</x:v>
      </x:c>
    </x:row>
    <x:row r="2347">
      <x:c r="B2347" t="str">
        <x:v>A-02315</x:v>
      </x:c>
      <x:c r="C2347" t="str">
        <x:v>GATE</x:v>
      </x:c>
      <x:c r="D2347" t="str">
        <x:v>release state mirrors governing ledger</x:v>
      </x:c>
      <x:c r="E2347" t="str">
        <x:f>'Release Gates'!I2321</x:f>
        <x:v>OPEN</x:v>
      </x:c>
      <x:c r="F2347" t="str">
        <x:f>IF('Release Gates'!C2321="PLANNING","PASS",IF('Release Gates'!C2321="PHYSICAL","OPEN","BLOCKED"))</x:f>
        <x:v>OPEN</x:v>
      </x:c>
      <x:c r="G2347" t="str">
        <x:v>equals</x:v>
      </x:c>
      <x:c r="H2347" t="str">
        <x:f>IF(E2347=F2347,"PASS","FAIL")</x:f>
        <x:v>PASS</x:v>
      </x:c>
    </x:row>
    <x:row r="2348">
      <x:c r="B2348" t="str">
        <x:v>A-02316</x:v>
      </x:c>
      <x:c r="C2348" t="str">
        <x:v>GATE</x:v>
      </x:c>
      <x:c r="D2348" t="str">
        <x:v>release state mirrors governing ledger</x:v>
      </x:c>
      <x:c r="E2348" t="str">
        <x:f>'Release Gates'!I2322</x:f>
        <x:v>OPEN</x:v>
      </x:c>
      <x:c r="F2348" t="str">
        <x:f>IF('Release Gates'!C2322="PLANNING","PASS",IF('Release Gates'!C2322="PHYSICAL","OPEN","BLOCKED"))</x:f>
        <x:v>OPEN</x:v>
      </x:c>
      <x:c r="G2348" t="str">
        <x:v>equals</x:v>
      </x:c>
      <x:c r="H2348" t="str">
        <x:f>IF(E2348=F2348,"PASS","FAIL")</x:f>
        <x:v>PASS</x:v>
      </x:c>
    </x:row>
    <x:row r="2349">
      <x:c r="B2349" t="str">
        <x:v>A-02317</x:v>
      </x:c>
      <x:c r="C2349" t="str">
        <x:v>GATE</x:v>
      </x:c>
      <x:c r="D2349" t="str">
        <x:v>release state mirrors governing ledger</x:v>
      </x:c>
      <x:c r="E2349" t="str">
        <x:f>'Release Gates'!I2323</x:f>
        <x:v>OPEN</x:v>
      </x:c>
      <x:c r="F2349" t="str">
        <x:f>IF('Release Gates'!C2323="PLANNING","PASS",IF('Release Gates'!C2323="PHYSICAL","OPEN","BLOCKED"))</x:f>
        <x:v>OPEN</x:v>
      </x:c>
      <x:c r="G2349" t="str">
        <x:v>equals</x:v>
      </x:c>
      <x:c r="H2349" t="str">
        <x:f>IF(E2349=F2349,"PASS","FAIL")</x:f>
        <x:v>PASS</x:v>
      </x:c>
    </x:row>
    <x:row r="2350">
      <x:c r="B2350" t="str">
        <x:v>A-02318</x:v>
      </x:c>
      <x:c r="C2350" t="str">
        <x:v>GATE</x:v>
      </x:c>
      <x:c r="D2350" t="str">
        <x:v>release state mirrors governing ledger</x:v>
      </x:c>
      <x:c r="E2350" t="str">
        <x:f>'Release Gates'!I2324</x:f>
        <x:v>OPEN</x:v>
      </x:c>
      <x:c r="F2350" t="str">
        <x:f>IF('Release Gates'!C2324="PLANNING","PASS",IF('Release Gates'!C2324="PHYSICAL","OPEN","BLOCKED"))</x:f>
        <x:v>OPEN</x:v>
      </x:c>
      <x:c r="G2350" t="str">
        <x:v>equals</x:v>
      </x:c>
      <x:c r="H2350" t="str">
        <x:f>IF(E2350=F2350,"PASS","FAIL")</x:f>
        <x:v>PASS</x:v>
      </x:c>
    </x:row>
    <x:row r="2351">
      <x:c r="B2351" t="str">
        <x:v>A-02319</x:v>
      </x:c>
      <x:c r="C2351" t="str">
        <x:v>GATE</x:v>
      </x:c>
      <x:c r="D2351" t="str">
        <x:v>release state mirrors governing ledger</x:v>
      </x:c>
      <x:c r="E2351" t="str">
        <x:f>'Release Gates'!I2325</x:f>
        <x:v>OPEN</x:v>
      </x:c>
      <x:c r="F2351" t="str">
        <x:f>IF('Release Gates'!C2325="PLANNING","PASS",IF('Release Gates'!C2325="PHYSICAL","OPEN","BLOCKED"))</x:f>
        <x:v>OPEN</x:v>
      </x:c>
      <x:c r="G2351" t="str">
        <x:v>equals</x:v>
      </x:c>
      <x:c r="H2351" t="str">
        <x:f>IF(E2351=F2351,"PASS","FAIL")</x:f>
        <x:v>PASS</x:v>
      </x:c>
    </x:row>
    <x:row r="2352">
      <x:c r="B2352" t="str">
        <x:v>A-02320</x:v>
      </x:c>
      <x:c r="C2352" t="str">
        <x:v>GATE</x:v>
      </x:c>
      <x:c r="D2352" t="str">
        <x:v>release state mirrors governing ledger</x:v>
      </x:c>
      <x:c r="E2352" t="str">
        <x:f>'Release Gates'!I2326</x:f>
        <x:v>OPEN</x:v>
      </x:c>
      <x:c r="F2352" t="str">
        <x:f>IF('Release Gates'!C2326="PLANNING","PASS",IF('Release Gates'!C2326="PHYSICAL","OPEN","BLOCKED"))</x:f>
        <x:v>OPEN</x:v>
      </x:c>
      <x:c r="G2352" t="str">
        <x:v>equals</x:v>
      </x:c>
      <x:c r="H2352" t="str">
        <x:f>IF(E2352=F2352,"PASS","FAIL")</x:f>
        <x:v>PASS</x:v>
      </x:c>
    </x:row>
    <x:row r="2353">
      <x:c r="B2353" t="str">
        <x:v>A-02321</x:v>
      </x:c>
      <x:c r="C2353" t="str">
        <x:v>GATE</x:v>
      </x:c>
      <x:c r="D2353" t="str">
        <x:v>release state mirrors governing ledger</x:v>
      </x:c>
      <x:c r="E2353" t="str">
        <x:f>'Release Gates'!I2327</x:f>
        <x:v>OPEN</x:v>
      </x:c>
      <x:c r="F2353" t="str">
        <x:f>IF('Release Gates'!C2327="PLANNING","PASS",IF('Release Gates'!C2327="PHYSICAL","OPEN","BLOCKED"))</x:f>
        <x:v>OPEN</x:v>
      </x:c>
      <x:c r="G2353" t="str">
        <x:v>equals</x:v>
      </x:c>
      <x:c r="H2353" t="str">
        <x:f>IF(E2353=F2353,"PASS","FAIL")</x:f>
        <x:v>PASS</x:v>
      </x:c>
    </x:row>
    <x:row r="2354">
      <x:c r="B2354" t="str">
        <x:v>A-02322</x:v>
      </x:c>
      <x:c r="C2354" t="str">
        <x:v>GATE</x:v>
      </x:c>
      <x:c r="D2354" t="str">
        <x:v>release state mirrors governing ledger</x:v>
      </x:c>
      <x:c r="E2354" t="str">
        <x:f>'Release Gates'!I2328</x:f>
        <x:v>OPEN</x:v>
      </x:c>
      <x:c r="F2354" t="str">
        <x:f>IF('Release Gates'!C2328="PLANNING","PASS",IF('Release Gates'!C2328="PHYSICAL","OPEN","BLOCKED"))</x:f>
        <x:v>OPEN</x:v>
      </x:c>
      <x:c r="G2354" t="str">
        <x:v>equals</x:v>
      </x:c>
      <x:c r="H2354" t="str">
        <x:f>IF(E2354=F2354,"PASS","FAIL")</x:f>
        <x:v>PASS</x:v>
      </x:c>
    </x:row>
    <x:row r="2355">
      <x:c r="B2355" t="str">
        <x:v>A-02323</x:v>
      </x:c>
      <x:c r="C2355" t="str">
        <x:v>GATE</x:v>
      </x:c>
      <x:c r="D2355" t="str">
        <x:v>release state mirrors governing ledger</x:v>
      </x:c>
      <x:c r="E2355" t="str">
        <x:f>'Release Gates'!I2329</x:f>
        <x:v>OPEN</x:v>
      </x:c>
      <x:c r="F2355" t="str">
        <x:f>IF('Release Gates'!C2329="PLANNING","PASS",IF('Release Gates'!C2329="PHYSICAL","OPEN","BLOCKED"))</x:f>
        <x:v>OPEN</x:v>
      </x:c>
      <x:c r="G2355" t="str">
        <x:v>equals</x:v>
      </x:c>
      <x:c r="H2355" t="str">
        <x:f>IF(E2355=F2355,"PASS","FAIL")</x:f>
        <x:v>PASS</x:v>
      </x:c>
    </x:row>
    <x:row r="2356">
      <x:c r="B2356" t="str">
        <x:v>A-02324</x:v>
      </x:c>
      <x:c r="C2356" t="str">
        <x:v>GATE</x:v>
      </x:c>
      <x:c r="D2356" t="str">
        <x:v>release state mirrors governing ledger</x:v>
      </x:c>
      <x:c r="E2356" t="str">
        <x:f>'Release Gates'!I2330</x:f>
        <x:v>OPEN</x:v>
      </x:c>
      <x:c r="F2356" t="str">
        <x:f>IF('Release Gates'!C2330="PLANNING","PASS",IF('Release Gates'!C2330="PHYSICAL","OPEN","BLOCKED"))</x:f>
        <x:v>OPEN</x:v>
      </x:c>
      <x:c r="G2356" t="str">
        <x:v>equals</x:v>
      </x:c>
      <x:c r="H2356" t="str">
        <x:f>IF(E2356=F2356,"PASS","FAIL")</x:f>
        <x:v>PASS</x:v>
      </x:c>
    </x:row>
    <x:row r="2357">
      <x:c r="B2357" t="str">
        <x:v>A-02325</x:v>
      </x:c>
      <x:c r="C2357" t="str">
        <x:v>GATE</x:v>
      </x:c>
      <x:c r="D2357" t="str">
        <x:v>release state mirrors governing ledger</x:v>
      </x:c>
      <x:c r="E2357" t="str">
        <x:f>'Release Gates'!I2331</x:f>
        <x:v>OPEN</x:v>
      </x:c>
      <x:c r="F2357" t="str">
        <x:f>IF('Release Gates'!C2331="PLANNING","PASS",IF('Release Gates'!C2331="PHYSICAL","OPEN","BLOCKED"))</x:f>
        <x:v>OPEN</x:v>
      </x:c>
      <x:c r="G2357" t="str">
        <x:v>equals</x:v>
      </x:c>
      <x:c r="H2357" t="str">
        <x:f>IF(E2357=F2357,"PASS","FAIL")</x:f>
        <x:v>PASS</x:v>
      </x:c>
    </x:row>
    <x:row r="2358">
      <x:c r="B2358" t="str">
        <x:v>A-02326</x:v>
      </x:c>
      <x:c r="C2358" t="str">
        <x:v>GATE</x:v>
      </x:c>
      <x:c r="D2358" t="str">
        <x:v>release state mirrors governing ledger</x:v>
      </x:c>
      <x:c r="E2358" t="str">
        <x:f>'Release Gates'!I2332</x:f>
        <x:v>OPEN</x:v>
      </x:c>
      <x:c r="F2358" t="str">
        <x:f>IF('Release Gates'!C2332="PLANNING","PASS",IF('Release Gates'!C2332="PHYSICAL","OPEN","BLOCKED"))</x:f>
        <x:v>OPEN</x:v>
      </x:c>
      <x:c r="G2358" t="str">
        <x:v>equals</x:v>
      </x:c>
      <x:c r="H2358" t="str">
        <x:f>IF(E2358=F2358,"PASS","FAIL")</x:f>
        <x:v>PASS</x:v>
      </x:c>
    </x:row>
    <x:row r="2359">
      <x:c r="B2359" t="str">
        <x:v>A-02327</x:v>
      </x:c>
      <x:c r="C2359" t="str">
        <x:v>GATE</x:v>
      </x:c>
      <x:c r="D2359" t="str">
        <x:v>release state mirrors governing ledger</x:v>
      </x:c>
      <x:c r="E2359" t="str">
        <x:f>'Release Gates'!I2333</x:f>
        <x:v>OPEN</x:v>
      </x:c>
      <x:c r="F2359" t="str">
        <x:f>IF('Release Gates'!C2333="PLANNING","PASS",IF('Release Gates'!C2333="PHYSICAL","OPEN","BLOCKED"))</x:f>
        <x:v>OPEN</x:v>
      </x:c>
      <x:c r="G2359" t="str">
        <x:v>equals</x:v>
      </x:c>
      <x:c r="H2359" t="str">
        <x:f>IF(E2359=F2359,"PASS","FAIL")</x:f>
        <x:v>PASS</x:v>
      </x:c>
    </x:row>
    <x:row r="2360">
      <x:c r="B2360" t="str">
        <x:v>A-02328</x:v>
      </x:c>
      <x:c r="C2360" t="str">
        <x:v>GATE</x:v>
      </x:c>
      <x:c r="D2360" t="str">
        <x:v>release state mirrors governing ledger</x:v>
      </x:c>
      <x:c r="E2360" t="str">
        <x:f>'Release Gates'!I2334</x:f>
        <x:v>OPEN</x:v>
      </x:c>
      <x:c r="F2360" t="str">
        <x:f>IF('Release Gates'!C2334="PLANNING","PASS",IF('Release Gates'!C2334="PHYSICAL","OPEN","BLOCKED"))</x:f>
        <x:v>OPEN</x:v>
      </x:c>
      <x:c r="G2360" t="str">
        <x:v>equals</x:v>
      </x:c>
      <x:c r="H2360" t="str">
        <x:f>IF(E2360=F2360,"PASS","FAIL")</x:f>
        <x:v>PASS</x:v>
      </x:c>
    </x:row>
    <x:row r="2361">
      <x:c r="B2361" t="str">
        <x:v>A-02329</x:v>
      </x:c>
      <x:c r="C2361" t="str">
        <x:v>GATE</x:v>
      </x:c>
      <x:c r="D2361" t="str">
        <x:v>release state mirrors governing ledger</x:v>
      </x:c>
      <x:c r="E2361" t="str">
        <x:f>'Release Gates'!I2335</x:f>
        <x:v>OPEN</x:v>
      </x:c>
      <x:c r="F2361" t="str">
        <x:f>IF('Release Gates'!C2335="PLANNING","PASS",IF('Release Gates'!C2335="PHYSICAL","OPEN","BLOCKED"))</x:f>
        <x:v>OPEN</x:v>
      </x:c>
      <x:c r="G2361" t="str">
        <x:v>equals</x:v>
      </x:c>
      <x:c r="H2361" t="str">
        <x:f>IF(E2361=F2361,"PASS","FAIL")</x:f>
        <x:v>PASS</x:v>
      </x:c>
    </x:row>
    <x:row r="2362">
      <x:c r="B2362" t="str">
        <x:v>A-02330</x:v>
      </x:c>
      <x:c r="C2362" t="str">
        <x:v>GATE</x:v>
      </x:c>
      <x:c r="D2362" t="str">
        <x:v>release state mirrors governing ledger</x:v>
      </x:c>
      <x:c r="E2362" t="str">
        <x:f>'Release Gates'!I2336</x:f>
        <x:v>OPEN</x:v>
      </x:c>
      <x:c r="F2362" t="str">
        <x:f>IF('Release Gates'!C2336="PLANNING","PASS",IF('Release Gates'!C2336="PHYSICAL","OPEN","BLOCKED"))</x:f>
        <x:v>OPEN</x:v>
      </x:c>
      <x:c r="G2362" t="str">
        <x:v>equals</x:v>
      </x:c>
      <x:c r="H2362" t="str">
        <x:f>IF(E2362=F2362,"PASS","FAIL")</x:f>
        <x:v>PASS</x:v>
      </x:c>
    </x:row>
    <x:row r="2363">
      <x:c r="B2363" t="str">
        <x:v>A-02331</x:v>
      </x:c>
      <x:c r="C2363" t="str">
        <x:v>GATE</x:v>
      </x:c>
      <x:c r="D2363" t="str">
        <x:v>release state mirrors governing ledger</x:v>
      </x:c>
      <x:c r="E2363" t="str">
        <x:f>'Release Gates'!I2337</x:f>
        <x:v>OPEN</x:v>
      </x:c>
      <x:c r="F2363" t="str">
        <x:f>IF('Release Gates'!C2337="PLANNING","PASS",IF('Release Gates'!C2337="PHYSICAL","OPEN","BLOCKED"))</x:f>
        <x:v>OPEN</x:v>
      </x:c>
      <x:c r="G2363" t="str">
        <x:v>equals</x:v>
      </x:c>
      <x:c r="H2363" t="str">
        <x:f>IF(E2363=F2363,"PASS","FAIL")</x:f>
        <x:v>PASS</x:v>
      </x:c>
    </x:row>
    <x:row r="2364">
      <x:c r="B2364" t="str">
        <x:v>A-02332</x:v>
      </x:c>
      <x:c r="C2364" t="str">
        <x:v>GATE</x:v>
      </x:c>
      <x:c r="D2364" t="str">
        <x:v>release state mirrors governing ledger</x:v>
      </x:c>
      <x:c r="E2364" t="str">
        <x:f>'Release Gates'!I2338</x:f>
        <x:v>OPEN</x:v>
      </x:c>
      <x:c r="F2364" t="str">
        <x:f>IF('Release Gates'!C2338="PLANNING","PASS",IF('Release Gates'!C2338="PHYSICAL","OPEN","BLOCKED"))</x:f>
        <x:v>OPEN</x:v>
      </x:c>
      <x:c r="G2364" t="str">
        <x:v>equals</x:v>
      </x:c>
      <x:c r="H2364" t="str">
        <x:f>IF(E2364=F2364,"PASS","FAIL")</x:f>
        <x:v>PASS</x:v>
      </x:c>
    </x:row>
    <x:row r="2365">
      <x:c r="B2365" t="str">
        <x:v>A-02333</x:v>
      </x:c>
      <x:c r="C2365" t="str">
        <x:v>GATE</x:v>
      </x:c>
      <x:c r="D2365" t="str">
        <x:v>release state mirrors governing ledger</x:v>
      </x:c>
      <x:c r="E2365" t="str">
        <x:f>'Release Gates'!I2339</x:f>
        <x:v>OPEN</x:v>
      </x:c>
      <x:c r="F2365" t="str">
        <x:f>IF('Release Gates'!C2339="PLANNING","PASS",IF('Release Gates'!C2339="PHYSICAL","OPEN","BLOCKED"))</x:f>
        <x:v>OPEN</x:v>
      </x:c>
      <x:c r="G2365" t="str">
        <x:v>equals</x:v>
      </x:c>
      <x:c r="H2365" t="str">
        <x:f>IF(E2365=F2365,"PASS","FAIL")</x:f>
        <x:v>PASS</x:v>
      </x:c>
    </x:row>
    <x:row r="2366">
      <x:c r="B2366" t="str">
        <x:v>A-02334</x:v>
      </x:c>
      <x:c r="C2366" t="str">
        <x:v>GATE</x:v>
      </x:c>
      <x:c r="D2366" t="str">
        <x:v>release state mirrors governing ledger</x:v>
      </x:c>
      <x:c r="E2366" t="str">
        <x:f>'Release Gates'!I2340</x:f>
        <x:v>OPEN</x:v>
      </x:c>
      <x:c r="F2366" t="str">
        <x:f>IF('Release Gates'!C2340="PLANNING","PASS",IF('Release Gates'!C2340="PHYSICAL","OPEN","BLOCKED"))</x:f>
        <x:v>OPEN</x:v>
      </x:c>
      <x:c r="G2366" t="str">
        <x:v>equals</x:v>
      </x:c>
      <x:c r="H2366" t="str">
        <x:f>IF(E2366=F2366,"PASS","FAIL")</x:f>
        <x:v>PASS</x:v>
      </x:c>
    </x:row>
    <x:row r="2367">
      <x:c r="B2367" t="str">
        <x:v>A-02335</x:v>
      </x:c>
      <x:c r="C2367" t="str">
        <x:v>GATE</x:v>
      </x:c>
      <x:c r="D2367" t="str">
        <x:v>release state mirrors governing ledger</x:v>
      </x:c>
      <x:c r="E2367" t="str">
        <x:f>'Release Gates'!I2341</x:f>
        <x:v>OPEN</x:v>
      </x:c>
      <x:c r="F2367" t="str">
        <x:f>IF('Release Gates'!C2341="PLANNING","PASS",IF('Release Gates'!C2341="PHYSICAL","OPEN","BLOCKED"))</x:f>
        <x:v>OPEN</x:v>
      </x:c>
      <x:c r="G2367" t="str">
        <x:v>equals</x:v>
      </x:c>
      <x:c r="H2367" t="str">
        <x:f>IF(E2367=F2367,"PASS","FAIL")</x:f>
        <x:v>PASS</x:v>
      </x:c>
    </x:row>
    <x:row r="2368">
      <x:c r="B2368" t="str">
        <x:v>A-02336</x:v>
      </x:c>
      <x:c r="C2368" t="str">
        <x:v>GATE</x:v>
      </x:c>
      <x:c r="D2368" t="str">
        <x:v>release state mirrors governing ledger</x:v>
      </x:c>
      <x:c r="E2368" t="str">
        <x:f>'Release Gates'!I2342</x:f>
        <x:v>OPEN</x:v>
      </x:c>
      <x:c r="F2368" t="str">
        <x:f>IF('Release Gates'!C2342="PLANNING","PASS",IF('Release Gates'!C2342="PHYSICAL","OPEN","BLOCKED"))</x:f>
        <x:v>OPEN</x:v>
      </x:c>
      <x:c r="G2368" t="str">
        <x:v>equals</x:v>
      </x:c>
      <x:c r="H2368" t="str">
        <x:f>IF(E2368=F2368,"PASS","FAIL")</x:f>
        <x:v>PASS</x:v>
      </x:c>
    </x:row>
    <x:row r="2369">
      <x:c r="B2369" t="str">
        <x:v>A-02337</x:v>
      </x:c>
      <x:c r="C2369" t="str">
        <x:v>GATE</x:v>
      </x:c>
      <x:c r="D2369" t="str">
        <x:v>release state mirrors governing ledger</x:v>
      </x:c>
      <x:c r="E2369" t="str">
        <x:f>'Release Gates'!I2343</x:f>
        <x:v>OPEN</x:v>
      </x:c>
      <x:c r="F2369" t="str">
        <x:f>IF('Release Gates'!C2343="PLANNING","PASS",IF('Release Gates'!C2343="PHYSICAL","OPEN","BLOCKED"))</x:f>
        <x:v>OPEN</x:v>
      </x:c>
      <x:c r="G2369" t="str">
        <x:v>equals</x:v>
      </x:c>
      <x:c r="H2369" t="str">
        <x:f>IF(E2369=F2369,"PASS","FAIL")</x:f>
        <x:v>PASS</x:v>
      </x:c>
    </x:row>
    <x:row r="2370">
      <x:c r="B2370" t="str">
        <x:v>A-02338</x:v>
      </x:c>
      <x:c r="C2370" t="str">
        <x:v>GATE</x:v>
      </x:c>
      <x:c r="D2370" t="str">
        <x:v>release state mirrors governing ledger</x:v>
      </x:c>
      <x:c r="E2370" t="str">
        <x:f>'Release Gates'!I2344</x:f>
        <x:v>OPEN</x:v>
      </x:c>
      <x:c r="F2370" t="str">
        <x:f>IF('Release Gates'!C2344="PLANNING","PASS",IF('Release Gates'!C2344="PHYSICAL","OPEN","BLOCKED"))</x:f>
        <x:v>OPEN</x:v>
      </x:c>
      <x:c r="G2370" t="str">
        <x:v>equals</x:v>
      </x:c>
      <x:c r="H2370" t="str">
        <x:f>IF(E2370=F2370,"PASS","FAIL")</x:f>
        <x:v>PASS</x:v>
      </x:c>
    </x:row>
    <x:row r="2371">
      <x:c r="B2371" t="str">
        <x:v>A-02339</x:v>
      </x:c>
      <x:c r="C2371" t="str">
        <x:v>GATE</x:v>
      </x:c>
      <x:c r="D2371" t="str">
        <x:v>release state mirrors governing ledger</x:v>
      </x:c>
      <x:c r="E2371" t="str">
        <x:f>'Release Gates'!I2345</x:f>
        <x:v>OPEN</x:v>
      </x:c>
      <x:c r="F2371" t="str">
        <x:f>IF('Release Gates'!C2345="PLANNING","PASS",IF('Release Gates'!C2345="PHYSICAL","OPEN","BLOCKED"))</x:f>
        <x:v>OPEN</x:v>
      </x:c>
      <x:c r="G2371" t="str">
        <x:v>equals</x:v>
      </x:c>
      <x:c r="H2371" t="str">
        <x:f>IF(E2371=F2371,"PASS","FAIL")</x:f>
        <x:v>PASS</x:v>
      </x:c>
    </x:row>
    <x:row r="2372">
      <x:c r="B2372" t="str">
        <x:v>A-02340</x:v>
      </x:c>
      <x:c r="C2372" t="str">
        <x:v>GATE</x:v>
      </x:c>
      <x:c r="D2372" t="str">
        <x:v>release state mirrors governing ledger</x:v>
      </x:c>
      <x:c r="E2372" t="str">
        <x:f>'Release Gates'!I2346</x:f>
        <x:v>OPEN</x:v>
      </x:c>
      <x:c r="F2372" t="str">
        <x:f>IF('Release Gates'!C2346="PLANNING","PASS",IF('Release Gates'!C2346="PHYSICAL","OPEN","BLOCKED"))</x:f>
        <x:v>OPEN</x:v>
      </x:c>
      <x:c r="G2372" t="str">
        <x:v>equals</x:v>
      </x:c>
      <x:c r="H2372" t="str">
        <x:f>IF(E2372=F2372,"PASS","FAIL")</x:f>
        <x:v>PASS</x:v>
      </x:c>
    </x:row>
    <x:row r="2373">
      <x:c r="B2373" t="str">
        <x:v>A-02341</x:v>
      </x:c>
      <x:c r="C2373" t="str">
        <x:v>GATE</x:v>
      </x:c>
      <x:c r="D2373" t="str">
        <x:v>release state mirrors governing ledger</x:v>
      </x:c>
      <x:c r="E2373" t="str">
        <x:f>'Release Gates'!I2347</x:f>
        <x:v>OPEN</x:v>
      </x:c>
      <x:c r="F2373" t="str">
        <x:f>IF('Release Gates'!C2347="PLANNING","PASS",IF('Release Gates'!C2347="PHYSICAL","OPEN","BLOCKED"))</x:f>
        <x:v>OPEN</x:v>
      </x:c>
      <x:c r="G2373" t="str">
        <x:v>equals</x:v>
      </x:c>
      <x:c r="H2373" t="str">
        <x:f>IF(E2373=F2373,"PASS","FAIL")</x:f>
        <x:v>PASS</x:v>
      </x:c>
    </x:row>
    <x:row r="2374">
      <x:c r="B2374" t="str">
        <x:v>A-02342</x:v>
      </x:c>
      <x:c r="C2374" t="str">
        <x:v>GATE</x:v>
      </x:c>
      <x:c r="D2374" t="str">
        <x:v>release state mirrors governing ledger</x:v>
      </x:c>
      <x:c r="E2374" t="str">
        <x:f>'Release Gates'!I2348</x:f>
        <x:v>OPEN</x:v>
      </x:c>
      <x:c r="F2374" t="str">
        <x:f>IF('Release Gates'!C2348="PLANNING","PASS",IF('Release Gates'!C2348="PHYSICAL","OPEN","BLOCKED"))</x:f>
        <x:v>OPEN</x:v>
      </x:c>
      <x:c r="G2374" t="str">
        <x:v>equals</x:v>
      </x:c>
      <x:c r="H2374" t="str">
        <x:f>IF(E2374=F2374,"PASS","FAIL")</x:f>
        <x:v>PASS</x:v>
      </x:c>
    </x:row>
    <x:row r="2375">
      <x:c r="B2375" t="str">
        <x:v>A-02343</x:v>
      </x:c>
      <x:c r="C2375" t="str">
        <x:v>GATE</x:v>
      </x:c>
      <x:c r="D2375" t="str">
        <x:v>release state mirrors governing ledger</x:v>
      </x:c>
      <x:c r="E2375" t="str">
        <x:f>'Release Gates'!I2349</x:f>
        <x:v>OPEN</x:v>
      </x:c>
      <x:c r="F2375" t="str">
        <x:f>IF('Release Gates'!C2349="PLANNING","PASS",IF('Release Gates'!C2349="PHYSICAL","OPEN","BLOCKED"))</x:f>
        <x:v>OPEN</x:v>
      </x:c>
      <x:c r="G2375" t="str">
        <x:v>equals</x:v>
      </x:c>
      <x:c r="H2375" t="str">
        <x:f>IF(E2375=F2375,"PASS","FAIL")</x:f>
        <x:v>PASS</x:v>
      </x:c>
    </x:row>
    <x:row r="2376">
      <x:c r="B2376" t="str">
        <x:v>A-02344</x:v>
      </x:c>
      <x:c r="C2376" t="str">
        <x:v>GATE</x:v>
      </x:c>
      <x:c r="D2376" t="str">
        <x:v>release state mirrors governing ledger</x:v>
      </x:c>
      <x:c r="E2376" t="str">
        <x:f>'Release Gates'!I2350</x:f>
        <x:v>OPEN</x:v>
      </x:c>
      <x:c r="F2376" t="str">
        <x:f>IF('Release Gates'!C2350="PLANNING","PASS",IF('Release Gates'!C2350="PHYSICAL","OPEN","BLOCKED"))</x:f>
        <x:v>OPEN</x:v>
      </x:c>
      <x:c r="G2376" t="str">
        <x:v>equals</x:v>
      </x:c>
      <x:c r="H2376" t="str">
        <x:f>IF(E2376=F2376,"PASS","FAIL")</x:f>
        <x:v>PASS</x:v>
      </x:c>
    </x:row>
    <x:row r="2377">
      <x:c r="B2377" t="str">
        <x:v>A-02345</x:v>
      </x:c>
      <x:c r="C2377" t="str">
        <x:v>GATE</x:v>
      </x:c>
      <x:c r="D2377" t="str">
        <x:v>release state mirrors governing ledger</x:v>
      </x:c>
      <x:c r="E2377" t="str">
        <x:f>'Release Gates'!I2351</x:f>
        <x:v>OPEN</x:v>
      </x:c>
      <x:c r="F2377" t="str">
        <x:f>IF('Release Gates'!C2351="PLANNING","PASS",IF('Release Gates'!C2351="PHYSICAL","OPEN","BLOCKED"))</x:f>
        <x:v>OPEN</x:v>
      </x:c>
      <x:c r="G2377" t="str">
        <x:v>equals</x:v>
      </x:c>
      <x:c r="H2377" t="str">
        <x:f>IF(E2377=F2377,"PASS","FAIL")</x:f>
        <x:v>PASS</x:v>
      </x:c>
    </x:row>
    <x:row r="2378">
      <x:c r="B2378" t="str">
        <x:v>A-02346</x:v>
      </x:c>
      <x:c r="C2378" t="str">
        <x:v>GATE</x:v>
      </x:c>
      <x:c r="D2378" t="str">
        <x:v>release state mirrors governing ledger</x:v>
      </x:c>
      <x:c r="E2378" t="str">
        <x:f>'Release Gates'!I2352</x:f>
        <x:v>OPEN</x:v>
      </x:c>
      <x:c r="F2378" t="str">
        <x:f>IF('Release Gates'!C2352="PLANNING","PASS",IF('Release Gates'!C2352="PHYSICAL","OPEN","BLOCKED"))</x:f>
        <x:v>OPEN</x:v>
      </x:c>
      <x:c r="G2378" t="str">
        <x:v>equals</x:v>
      </x:c>
      <x:c r="H2378" t="str">
        <x:f>IF(E2378=F2378,"PASS","FAIL")</x:f>
        <x:v>PASS</x:v>
      </x:c>
    </x:row>
    <x:row r="2379">
      <x:c r="B2379" t="str">
        <x:v>A-02347</x:v>
      </x:c>
      <x:c r="C2379" t="str">
        <x:v>GATE</x:v>
      </x:c>
      <x:c r="D2379" t="str">
        <x:v>release state mirrors governing ledger</x:v>
      </x:c>
      <x:c r="E2379" t="str">
        <x:f>'Release Gates'!I2353</x:f>
        <x:v>OPEN</x:v>
      </x:c>
      <x:c r="F2379" t="str">
        <x:f>IF('Release Gates'!C2353="PLANNING","PASS",IF('Release Gates'!C2353="PHYSICAL","OPEN","BLOCKED"))</x:f>
        <x:v>OPEN</x:v>
      </x:c>
      <x:c r="G2379" t="str">
        <x:v>equals</x:v>
      </x:c>
      <x:c r="H2379" t="str">
        <x:f>IF(E2379=F2379,"PASS","FAIL")</x:f>
        <x:v>PASS</x:v>
      </x:c>
    </x:row>
    <x:row r="2380">
      <x:c r="B2380" t="str">
        <x:v>A-02348</x:v>
      </x:c>
      <x:c r="C2380" t="str">
        <x:v>GATE</x:v>
      </x:c>
      <x:c r="D2380" t="str">
        <x:v>release state mirrors governing ledger</x:v>
      </x:c>
      <x:c r="E2380" t="str">
        <x:f>'Release Gates'!I2354</x:f>
        <x:v>OPEN</x:v>
      </x:c>
      <x:c r="F2380" t="str">
        <x:f>IF('Release Gates'!C2354="PLANNING","PASS",IF('Release Gates'!C2354="PHYSICAL","OPEN","BLOCKED"))</x:f>
        <x:v>OPEN</x:v>
      </x:c>
      <x:c r="G2380" t="str">
        <x:v>equals</x:v>
      </x:c>
      <x:c r="H2380" t="str">
        <x:f>IF(E2380=F2380,"PASS","FAIL")</x:f>
        <x:v>PASS</x:v>
      </x:c>
    </x:row>
    <x:row r="2381">
      <x:c r="B2381" t="str">
        <x:v>A-02349</x:v>
      </x:c>
      <x:c r="C2381" t="str">
        <x:v>GATE</x:v>
      </x:c>
      <x:c r="D2381" t="str">
        <x:v>release state mirrors governing ledger</x:v>
      </x:c>
      <x:c r="E2381" t="str">
        <x:f>'Release Gates'!I2355</x:f>
        <x:v>OPEN</x:v>
      </x:c>
      <x:c r="F2381" t="str">
        <x:f>IF('Release Gates'!C2355="PLANNING","PASS",IF('Release Gates'!C2355="PHYSICAL","OPEN","BLOCKED"))</x:f>
        <x:v>OPEN</x:v>
      </x:c>
      <x:c r="G2381" t="str">
        <x:v>equals</x:v>
      </x:c>
      <x:c r="H2381" t="str">
        <x:f>IF(E2381=F2381,"PASS","FAIL")</x:f>
        <x:v>PASS</x:v>
      </x:c>
    </x:row>
    <x:row r="2382">
      <x:c r="B2382" t="str">
        <x:v>A-02350</x:v>
      </x:c>
      <x:c r="C2382" t="str">
        <x:v>GATE</x:v>
      </x:c>
      <x:c r="D2382" t="str">
        <x:v>release state mirrors governing ledger</x:v>
      </x:c>
      <x:c r="E2382" t="str">
        <x:f>'Release Gates'!I2356</x:f>
        <x:v>OPEN</x:v>
      </x:c>
      <x:c r="F2382" t="str">
        <x:f>IF('Release Gates'!C2356="PLANNING","PASS",IF('Release Gates'!C2356="PHYSICAL","OPEN","BLOCKED"))</x:f>
        <x:v>OPEN</x:v>
      </x:c>
      <x:c r="G2382" t="str">
        <x:v>equals</x:v>
      </x:c>
      <x:c r="H2382" t="str">
        <x:f>IF(E2382=F2382,"PASS","FAIL")</x:f>
        <x:v>PASS</x:v>
      </x:c>
    </x:row>
    <x:row r="2383">
      <x:c r="B2383" t="str">
        <x:v>A-02351</x:v>
      </x:c>
      <x:c r="C2383" t="str">
        <x:v>GATE</x:v>
      </x:c>
      <x:c r="D2383" t="str">
        <x:v>release state mirrors governing ledger</x:v>
      </x:c>
      <x:c r="E2383" t="str">
        <x:f>'Release Gates'!I2357</x:f>
        <x:v>OPEN</x:v>
      </x:c>
      <x:c r="F2383" t="str">
        <x:f>IF('Release Gates'!C2357="PLANNING","PASS",IF('Release Gates'!C2357="PHYSICAL","OPEN","BLOCKED"))</x:f>
        <x:v>OPEN</x:v>
      </x:c>
      <x:c r="G2383" t="str">
        <x:v>equals</x:v>
      </x:c>
      <x:c r="H2383" t="str">
        <x:f>IF(E2383=F2383,"PASS","FAIL")</x:f>
        <x:v>PASS</x:v>
      </x:c>
    </x:row>
    <x:row r="2384">
      <x:c r="B2384" t="str">
        <x:v>A-02352</x:v>
      </x:c>
      <x:c r="C2384" t="str">
        <x:v>GATE</x:v>
      </x:c>
      <x:c r="D2384" t="str">
        <x:v>release state mirrors governing ledger</x:v>
      </x:c>
      <x:c r="E2384" t="str">
        <x:f>'Release Gates'!I2358</x:f>
        <x:v>OPEN</x:v>
      </x:c>
      <x:c r="F2384" t="str">
        <x:f>IF('Release Gates'!C2358="PLANNING","PASS",IF('Release Gates'!C2358="PHYSICAL","OPEN","BLOCKED"))</x:f>
        <x:v>OPEN</x:v>
      </x:c>
      <x:c r="G2384" t="str">
        <x:v>equals</x:v>
      </x:c>
      <x:c r="H2384" t="str">
        <x:f>IF(E2384=F2384,"PASS","FAIL")</x:f>
        <x:v>PASS</x:v>
      </x:c>
    </x:row>
    <x:row r="2385">
      <x:c r="B2385" t="str">
        <x:v>A-02353</x:v>
      </x:c>
      <x:c r="C2385" t="str">
        <x:v>GATE</x:v>
      </x:c>
      <x:c r="D2385" t="str">
        <x:v>release state mirrors governing ledger</x:v>
      </x:c>
      <x:c r="E2385" t="str">
        <x:f>'Release Gates'!I2359</x:f>
        <x:v>OPEN</x:v>
      </x:c>
      <x:c r="F2385" t="str">
        <x:f>IF('Release Gates'!C2359="PLANNING","PASS",IF('Release Gates'!C2359="PHYSICAL","OPEN","BLOCKED"))</x:f>
        <x:v>OPEN</x:v>
      </x:c>
      <x:c r="G2385" t="str">
        <x:v>equals</x:v>
      </x:c>
      <x:c r="H2385" t="str">
        <x:f>IF(E2385=F2385,"PASS","FAIL")</x:f>
        <x:v>PASS</x:v>
      </x:c>
    </x:row>
    <x:row r="2386">
      <x:c r="B2386" t="str">
        <x:v>A-02354</x:v>
      </x:c>
      <x:c r="C2386" t="str">
        <x:v>GATE</x:v>
      </x:c>
      <x:c r="D2386" t="str">
        <x:v>release state mirrors governing ledger</x:v>
      </x:c>
      <x:c r="E2386" t="str">
        <x:f>'Release Gates'!I2360</x:f>
        <x:v>OPEN</x:v>
      </x:c>
      <x:c r="F2386" t="str">
        <x:f>IF('Release Gates'!C2360="PLANNING","PASS",IF('Release Gates'!C2360="PHYSICAL","OPEN","BLOCKED"))</x:f>
        <x:v>OPEN</x:v>
      </x:c>
      <x:c r="G2386" t="str">
        <x:v>equals</x:v>
      </x:c>
      <x:c r="H2386" t="str">
        <x:f>IF(E2386=F2386,"PASS","FAIL")</x:f>
        <x:v>PASS</x:v>
      </x:c>
    </x:row>
    <x:row r="2387">
      <x:c r="B2387" t="str">
        <x:v>A-02355</x:v>
      </x:c>
      <x:c r="C2387" t="str">
        <x:v>GATE</x:v>
      </x:c>
      <x:c r="D2387" t="str">
        <x:v>release state mirrors governing ledger</x:v>
      </x:c>
      <x:c r="E2387" t="str">
        <x:f>'Release Gates'!I2361</x:f>
        <x:v>OPEN</x:v>
      </x:c>
      <x:c r="F2387" t="str">
        <x:f>IF('Release Gates'!C2361="PLANNING","PASS",IF('Release Gates'!C2361="PHYSICAL","OPEN","BLOCKED"))</x:f>
        <x:v>OPEN</x:v>
      </x:c>
      <x:c r="G2387" t="str">
        <x:v>equals</x:v>
      </x:c>
      <x:c r="H2387" t="str">
        <x:f>IF(E2387=F2387,"PASS","FAIL")</x:f>
        <x:v>PASS</x:v>
      </x:c>
    </x:row>
    <x:row r="2388">
      <x:c r="B2388" t="str">
        <x:v>A-02356</x:v>
      </x:c>
      <x:c r="C2388" t="str">
        <x:v>GATE</x:v>
      </x:c>
      <x:c r="D2388" t="str">
        <x:v>release state mirrors governing ledger</x:v>
      </x:c>
      <x:c r="E2388" t="str">
        <x:f>'Release Gates'!I2362</x:f>
        <x:v>OPEN</x:v>
      </x:c>
      <x:c r="F2388" t="str">
        <x:f>IF('Release Gates'!C2362="PLANNING","PASS",IF('Release Gates'!C2362="PHYSICAL","OPEN","BLOCKED"))</x:f>
        <x:v>OPEN</x:v>
      </x:c>
      <x:c r="G2388" t="str">
        <x:v>equals</x:v>
      </x:c>
      <x:c r="H2388" t="str">
        <x:f>IF(E2388=F2388,"PASS","FAIL")</x:f>
        <x:v>PASS</x:v>
      </x:c>
    </x:row>
    <x:row r="2389">
      <x:c r="B2389" t="str">
        <x:v>A-02357</x:v>
      </x:c>
      <x:c r="C2389" t="str">
        <x:v>GATE</x:v>
      </x:c>
      <x:c r="D2389" t="str">
        <x:v>release state mirrors governing ledger</x:v>
      </x:c>
      <x:c r="E2389" t="str">
        <x:f>'Release Gates'!I2363</x:f>
        <x:v>OPEN</x:v>
      </x:c>
      <x:c r="F2389" t="str">
        <x:f>IF('Release Gates'!C2363="PLANNING","PASS",IF('Release Gates'!C2363="PHYSICAL","OPEN","BLOCKED"))</x:f>
        <x:v>OPEN</x:v>
      </x:c>
      <x:c r="G2389" t="str">
        <x:v>equals</x:v>
      </x:c>
      <x:c r="H2389" t="str">
        <x:f>IF(E2389=F2389,"PASS","FAIL")</x:f>
        <x:v>PASS</x:v>
      </x:c>
    </x:row>
    <x:row r="2390">
      <x:c r="B2390" t="str">
        <x:v>A-02358</x:v>
      </x:c>
      <x:c r="C2390" t="str">
        <x:v>GATE</x:v>
      </x:c>
      <x:c r="D2390" t="str">
        <x:v>release state mirrors governing ledger</x:v>
      </x:c>
      <x:c r="E2390" t="str">
        <x:f>'Release Gates'!I2364</x:f>
        <x:v>OPEN</x:v>
      </x:c>
      <x:c r="F2390" t="str">
        <x:f>IF('Release Gates'!C2364="PLANNING","PASS",IF('Release Gates'!C2364="PHYSICAL","OPEN","BLOCKED"))</x:f>
        <x:v>OPEN</x:v>
      </x:c>
      <x:c r="G2390" t="str">
        <x:v>equals</x:v>
      </x:c>
      <x:c r="H2390" t="str">
        <x:f>IF(E2390=F2390,"PASS","FAIL")</x:f>
        <x:v>PASS</x:v>
      </x:c>
    </x:row>
    <x:row r="2391">
      <x:c r="B2391" t="str">
        <x:v>A-02359</x:v>
      </x:c>
      <x:c r="C2391" t="str">
        <x:v>GATE</x:v>
      </x:c>
      <x:c r="D2391" t="str">
        <x:v>release state mirrors governing ledger</x:v>
      </x:c>
      <x:c r="E2391" t="str">
        <x:f>'Release Gates'!I2365</x:f>
        <x:v>OPEN</x:v>
      </x:c>
      <x:c r="F2391" t="str">
        <x:f>IF('Release Gates'!C2365="PLANNING","PASS",IF('Release Gates'!C2365="PHYSICAL","OPEN","BLOCKED"))</x:f>
        <x:v>OPEN</x:v>
      </x:c>
      <x:c r="G2391" t="str">
        <x:v>equals</x:v>
      </x:c>
      <x:c r="H2391" t="str">
        <x:f>IF(E2391=F2391,"PASS","FAIL")</x:f>
        <x:v>PASS</x:v>
      </x:c>
    </x:row>
    <x:row r="2392">
      <x:c r="B2392" t="str">
        <x:v>A-02360</x:v>
      </x:c>
      <x:c r="C2392" t="str">
        <x:v>GATE</x:v>
      </x:c>
      <x:c r="D2392" t="str">
        <x:v>release state mirrors governing ledger</x:v>
      </x:c>
      <x:c r="E2392" t="str">
        <x:f>'Release Gates'!I2366</x:f>
        <x:v>OPEN</x:v>
      </x:c>
      <x:c r="F2392" t="str">
        <x:f>IF('Release Gates'!C2366="PLANNING","PASS",IF('Release Gates'!C2366="PHYSICAL","OPEN","BLOCKED"))</x:f>
        <x:v>OPEN</x:v>
      </x:c>
      <x:c r="G2392" t="str">
        <x:v>equals</x:v>
      </x:c>
      <x:c r="H2392" t="str">
        <x:f>IF(E2392=F2392,"PASS","FAIL")</x:f>
        <x:v>PASS</x:v>
      </x:c>
    </x:row>
    <x:row r="2393">
      <x:c r="B2393" t="str">
        <x:v>A-02361</x:v>
      </x:c>
      <x:c r="C2393" t="str">
        <x:v>GATE</x:v>
      </x:c>
      <x:c r="D2393" t="str">
        <x:v>release state mirrors governing ledger</x:v>
      </x:c>
      <x:c r="E2393" t="str">
        <x:f>'Release Gates'!I2367</x:f>
        <x:v>OPEN</x:v>
      </x:c>
      <x:c r="F2393" t="str">
        <x:f>IF('Release Gates'!C2367="PLANNING","PASS",IF('Release Gates'!C2367="PHYSICAL","OPEN","BLOCKED"))</x:f>
        <x:v>OPEN</x:v>
      </x:c>
      <x:c r="G2393" t="str">
        <x:v>equals</x:v>
      </x:c>
      <x:c r="H2393" t="str">
        <x:f>IF(E2393=F2393,"PASS","FAIL")</x:f>
        <x:v>PASS</x:v>
      </x:c>
    </x:row>
    <x:row r="2394">
      <x:c r="B2394" t="str">
        <x:v>A-02362</x:v>
      </x:c>
      <x:c r="C2394" t="str">
        <x:v>GATE</x:v>
      </x:c>
      <x:c r="D2394" t="str">
        <x:v>release state mirrors governing ledger</x:v>
      </x:c>
      <x:c r="E2394" t="str">
        <x:f>'Release Gates'!I2368</x:f>
        <x:v>OPEN</x:v>
      </x:c>
      <x:c r="F2394" t="str">
        <x:f>IF('Release Gates'!C2368="PLANNING","PASS",IF('Release Gates'!C2368="PHYSICAL","OPEN","BLOCKED"))</x:f>
        <x:v>OPEN</x:v>
      </x:c>
      <x:c r="G2394" t="str">
        <x:v>equals</x:v>
      </x:c>
      <x:c r="H2394" t="str">
        <x:f>IF(E2394=F2394,"PASS","FAIL")</x:f>
        <x:v>PASS</x:v>
      </x:c>
    </x:row>
    <x:row r="2395">
      <x:c r="B2395" t="str">
        <x:v>A-02363</x:v>
      </x:c>
      <x:c r="C2395" t="str">
        <x:v>GATE</x:v>
      </x:c>
      <x:c r="D2395" t="str">
        <x:v>release state mirrors governing ledger</x:v>
      </x:c>
      <x:c r="E2395" t="str">
        <x:f>'Release Gates'!I2369</x:f>
        <x:v>OPEN</x:v>
      </x:c>
      <x:c r="F2395" t="str">
        <x:f>IF('Release Gates'!C2369="PLANNING","PASS",IF('Release Gates'!C2369="PHYSICAL","OPEN","BLOCKED"))</x:f>
        <x:v>OPEN</x:v>
      </x:c>
      <x:c r="G2395" t="str">
        <x:v>equals</x:v>
      </x:c>
      <x:c r="H2395" t="str">
        <x:f>IF(E2395=F2395,"PASS","FAIL")</x:f>
        <x:v>PASS</x:v>
      </x:c>
    </x:row>
    <x:row r="2396">
      <x:c r="B2396" t="str">
        <x:v>A-02364</x:v>
      </x:c>
      <x:c r="C2396" t="str">
        <x:v>GATE</x:v>
      </x:c>
      <x:c r="D2396" t="str">
        <x:v>release state mirrors governing ledger</x:v>
      </x:c>
      <x:c r="E2396" t="str">
        <x:f>'Release Gates'!I2370</x:f>
        <x:v>OPEN</x:v>
      </x:c>
      <x:c r="F2396" t="str">
        <x:f>IF('Release Gates'!C2370="PLANNING","PASS",IF('Release Gates'!C2370="PHYSICAL","OPEN","BLOCKED"))</x:f>
        <x:v>OPEN</x:v>
      </x:c>
      <x:c r="G2396" t="str">
        <x:v>equals</x:v>
      </x:c>
      <x:c r="H2396" t="str">
        <x:f>IF(E2396=F2396,"PASS","FAIL")</x:f>
        <x:v>PASS</x:v>
      </x:c>
    </x:row>
    <x:row r="2397">
      <x:c r="B2397" t="str">
        <x:v>A-02365</x:v>
      </x:c>
      <x:c r="C2397" t="str">
        <x:v>GATE</x:v>
      </x:c>
      <x:c r="D2397" t="str">
        <x:v>release state mirrors governing ledger</x:v>
      </x:c>
      <x:c r="E2397" t="str">
        <x:f>'Release Gates'!I2371</x:f>
        <x:v>OPEN</x:v>
      </x:c>
      <x:c r="F2397" t="str">
        <x:f>IF('Release Gates'!C2371="PLANNING","PASS",IF('Release Gates'!C2371="PHYSICAL","OPEN","BLOCKED"))</x:f>
        <x:v>OPEN</x:v>
      </x:c>
      <x:c r="G2397" t="str">
        <x:v>equals</x:v>
      </x:c>
      <x:c r="H2397" t="str">
        <x:f>IF(E2397=F2397,"PASS","FAIL")</x:f>
        <x:v>PASS</x:v>
      </x:c>
    </x:row>
    <x:row r="2398">
      <x:c r="B2398" t="str">
        <x:v>A-02366</x:v>
      </x:c>
      <x:c r="C2398" t="str">
        <x:v>GATE</x:v>
      </x:c>
      <x:c r="D2398" t="str">
        <x:v>release state mirrors governing ledger</x:v>
      </x:c>
      <x:c r="E2398" t="str">
        <x:f>'Release Gates'!I2372</x:f>
        <x:v>OPEN</x:v>
      </x:c>
      <x:c r="F2398" t="str">
        <x:f>IF('Release Gates'!C2372="PLANNING","PASS",IF('Release Gates'!C2372="PHYSICAL","OPEN","BLOCKED"))</x:f>
        <x:v>OPEN</x:v>
      </x:c>
      <x:c r="G2398" t="str">
        <x:v>equals</x:v>
      </x:c>
      <x:c r="H2398" t="str">
        <x:f>IF(E2398=F2398,"PASS","FAIL")</x:f>
        <x:v>PASS</x:v>
      </x:c>
    </x:row>
    <x:row r="2399">
      <x:c r="B2399" t="str">
        <x:v>A-02367</x:v>
      </x:c>
      <x:c r="C2399" t="str">
        <x:v>GATE</x:v>
      </x:c>
      <x:c r="D2399" t="str">
        <x:v>release state mirrors governing ledger</x:v>
      </x:c>
      <x:c r="E2399" t="str">
        <x:f>'Release Gates'!I2373</x:f>
        <x:v>OPEN</x:v>
      </x:c>
      <x:c r="F2399" t="str">
        <x:f>IF('Release Gates'!C2373="PLANNING","PASS",IF('Release Gates'!C2373="PHYSICAL","OPEN","BLOCKED"))</x:f>
        <x:v>OPEN</x:v>
      </x:c>
      <x:c r="G2399" t="str">
        <x:v>equals</x:v>
      </x:c>
      <x:c r="H2399" t="str">
        <x:f>IF(E2399=F2399,"PASS","FAIL")</x:f>
        <x:v>PASS</x:v>
      </x:c>
    </x:row>
    <x:row r="2400">
      <x:c r="B2400" t="str">
        <x:v>A-02368</x:v>
      </x:c>
      <x:c r="C2400" t="str">
        <x:v>GATE</x:v>
      </x:c>
      <x:c r="D2400" t="str">
        <x:v>release state mirrors governing ledger</x:v>
      </x:c>
      <x:c r="E2400" t="str">
        <x:f>'Release Gates'!I2374</x:f>
        <x:v>OPEN</x:v>
      </x:c>
      <x:c r="F2400" t="str">
        <x:f>IF('Release Gates'!C2374="PLANNING","PASS",IF('Release Gates'!C2374="PHYSICAL","OPEN","BLOCKED"))</x:f>
        <x:v>OPEN</x:v>
      </x:c>
      <x:c r="G2400" t="str">
        <x:v>equals</x:v>
      </x:c>
      <x:c r="H2400" t="str">
        <x:f>IF(E2400=F2400,"PASS","FAIL")</x:f>
        <x:v>PASS</x:v>
      </x:c>
    </x:row>
    <x:row r="2401">
      <x:c r="B2401" t="str">
        <x:v>A-02369</x:v>
      </x:c>
      <x:c r="C2401" t="str">
        <x:v>GATE</x:v>
      </x:c>
      <x:c r="D2401" t="str">
        <x:v>release state mirrors governing ledger</x:v>
      </x:c>
      <x:c r="E2401" t="str">
        <x:f>'Release Gates'!I2375</x:f>
        <x:v>OPEN</x:v>
      </x:c>
      <x:c r="F2401" t="str">
        <x:f>IF('Release Gates'!C2375="PLANNING","PASS",IF('Release Gates'!C2375="PHYSICAL","OPEN","BLOCKED"))</x:f>
        <x:v>OPEN</x:v>
      </x:c>
      <x:c r="G2401" t="str">
        <x:v>equals</x:v>
      </x:c>
      <x:c r="H2401" t="str">
        <x:f>IF(E2401=F2401,"PASS","FAIL")</x:f>
        <x:v>PASS</x:v>
      </x:c>
    </x:row>
    <x:row r="2402">
      <x:c r="B2402" t="str">
        <x:v>A-02370</x:v>
      </x:c>
      <x:c r="C2402" t="str">
        <x:v>GATE</x:v>
      </x:c>
      <x:c r="D2402" t="str">
        <x:v>release state mirrors governing ledger</x:v>
      </x:c>
      <x:c r="E2402" t="str">
        <x:f>'Release Gates'!I2376</x:f>
        <x:v>OPEN</x:v>
      </x:c>
      <x:c r="F2402" t="str">
        <x:f>IF('Release Gates'!C2376="PLANNING","PASS",IF('Release Gates'!C2376="PHYSICAL","OPEN","BLOCKED"))</x:f>
        <x:v>OPEN</x:v>
      </x:c>
      <x:c r="G2402" t="str">
        <x:v>equals</x:v>
      </x:c>
      <x:c r="H2402" t="str">
        <x:f>IF(E2402=F2402,"PASS","FAIL")</x:f>
        <x:v>PASS</x:v>
      </x:c>
    </x:row>
    <x:row r="2403">
      <x:c r="B2403" t="str">
        <x:v>A-02371</x:v>
      </x:c>
      <x:c r="C2403" t="str">
        <x:v>GATE</x:v>
      </x:c>
      <x:c r="D2403" t="str">
        <x:v>release state mirrors governing ledger</x:v>
      </x:c>
      <x:c r="E2403" t="str">
        <x:f>'Release Gates'!I2377</x:f>
        <x:v>OPEN</x:v>
      </x:c>
      <x:c r="F2403" t="str">
        <x:f>IF('Release Gates'!C2377="PLANNING","PASS",IF('Release Gates'!C2377="PHYSICAL","OPEN","BLOCKED"))</x:f>
        <x:v>OPEN</x:v>
      </x:c>
      <x:c r="G2403" t="str">
        <x:v>equals</x:v>
      </x:c>
      <x:c r="H2403" t="str">
        <x:f>IF(E2403=F2403,"PASS","FAIL")</x:f>
        <x:v>PASS</x:v>
      </x:c>
    </x:row>
    <x:row r="2404">
      <x:c r="B2404" t="str">
        <x:v>A-02372</x:v>
      </x:c>
      <x:c r="C2404" t="str">
        <x:v>GATE</x:v>
      </x:c>
      <x:c r="D2404" t="str">
        <x:v>release state mirrors governing ledger</x:v>
      </x:c>
      <x:c r="E2404" t="str">
        <x:f>'Release Gates'!I2378</x:f>
        <x:v>OPEN</x:v>
      </x:c>
      <x:c r="F2404" t="str">
        <x:f>IF('Release Gates'!C2378="PLANNING","PASS",IF('Release Gates'!C2378="PHYSICAL","OPEN","BLOCKED"))</x:f>
        <x:v>OPEN</x:v>
      </x:c>
      <x:c r="G2404" t="str">
        <x:v>equals</x:v>
      </x:c>
      <x:c r="H2404" t="str">
        <x:f>IF(E2404=F2404,"PASS","FAIL")</x:f>
        <x:v>PASS</x:v>
      </x:c>
    </x:row>
    <x:row r="2405">
      <x:c r="B2405" t="str">
        <x:v>A-02373</x:v>
      </x:c>
      <x:c r="C2405" t="str">
        <x:v>GATE</x:v>
      </x:c>
      <x:c r="D2405" t="str">
        <x:v>release state mirrors governing ledger</x:v>
      </x:c>
      <x:c r="E2405" t="str">
        <x:f>'Release Gates'!I2379</x:f>
        <x:v>OPEN</x:v>
      </x:c>
      <x:c r="F2405" t="str">
        <x:f>IF('Release Gates'!C2379="PLANNING","PASS",IF('Release Gates'!C2379="PHYSICAL","OPEN","BLOCKED"))</x:f>
        <x:v>OPEN</x:v>
      </x:c>
      <x:c r="G2405" t="str">
        <x:v>equals</x:v>
      </x:c>
      <x:c r="H2405" t="str">
        <x:f>IF(E2405=F2405,"PASS","FAIL")</x:f>
        <x:v>PASS</x:v>
      </x:c>
    </x:row>
    <x:row r="2406">
      <x:c r="B2406" t="str">
        <x:v>A-02374</x:v>
      </x:c>
      <x:c r="C2406" t="str">
        <x:v>GATE</x:v>
      </x:c>
      <x:c r="D2406" t="str">
        <x:v>release state mirrors governing ledger</x:v>
      </x:c>
      <x:c r="E2406" t="str">
        <x:f>'Release Gates'!I2380</x:f>
        <x:v>OPEN</x:v>
      </x:c>
      <x:c r="F2406" t="str">
        <x:f>IF('Release Gates'!C2380="PLANNING","PASS",IF('Release Gates'!C2380="PHYSICAL","OPEN","BLOCKED"))</x:f>
        <x:v>OPEN</x:v>
      </x:c>
      <x:c r="G2406" t="str">
        <x:v>equals</x:v>
      </x:c>
      <x:c r="H2406" t="str">
        <x:f>IF(E2406=F2406,"PASS","FAIL")</x:f>
        <x:v>PASS</x:v>
      </x:c>
    </x:row>
    <x:row r="2407">
      <x:c r="B2407" t="str">
        <x:v>A-02375</x:v>
      </x:c>
      <x:c r="C2407" t="str">
        <x:v>GATE</x:v>
      </x:c>
      <x:c r="D2407" t="str">
        <x:v>release state mirrors governing ledger</x:v>
      </x:c>
      <x:c r="E2407" t="str">
        <x:f>'Release Gates'!I2381</x:f>
        <x:v>OPEN</x:v>
      </x:c>
      <x:c r="F2407" t="str">
        <x:f>IF('Release Gates'!C2381="PLANNING","PASS",IF('Release Gates'!C2381="PHYSICAL","OPEN","BLOCKED"))</x:f>
        <x:v>OPEN</x:v>
      </x:c>
      <x:c r="G2407" t="str">
        <x:v>equals</x:v>
      </x:c>
      <x:c r="H2407" t="str">
        <x:f>IF(E2407=F2407,"PASS","FAIL")</x:f>
        <x:v>PASS</x:v>
      </x:c>
    </x:row>
    <x:row r="2408">
      <x:c r="B2408" t="str">
        <x:v>A-02376</x:v>
      </x:c>
      <x:c r="C2408" t="str">
        <x:v>GATE</x:v>
      </x:c>
      <x:c r="D2408" t="str">
        <x:v>release state mirrors governing ledger</x:v>
      </x:c>
      <x:c r="E2408" t="str">
        <x:f>'Release Gates'!I2382</x:f>
        <x:v>OPEN</x:v>
      </x:c>
      <x:c r="F2408" t="str">
        <x:f>IF('Release Gates'!C2382="PLANNING","PASS",IF('Release Gates'!C2382="PHYSICAL","OPEN","BLOCKED"))</x:f>
        <x:v>OPEN</x:v>
      </x:c>
      <x:c r="G2408" t="str">
        <x:v>equals</x:v>
      </x:c>
      <x:c r="H2408" t="str">
        <x:f>IF(E2408=F2408,"PASS","FAIL")</x:f>
        <x:v>PASS</x:v>
      </x:c>
    </x:row>
    <x:row r="2409">
      <x:c r="B2409" t="str">
        <x:v>A-02377</x:v>
      </x:c>
      <x:c r="C2409" t="str">
        <x:v>GATE</x:v>
      </x:c>
      <x:c r="D2409" t="str">
        <x:v>release state mirrors governing ledger</x:v>
      </x:c>
      <x:c r="E2409" t="str">
        <x:f>'Release Gates'!I2383</x:f>
        <x:v>OPEN</x:v>
      </x:c>
      <x:c r="F2409" t="str">
        <x:f>IF('Release Gates'!C2383="PLANNING","PASS",IF('Release Gates'!C2383="PHYSICAL","OPEN","BLOCKED"))</x:f>
        <x:v>OPEN</x:v>
      </x:c>
      <x:c r="G2409" t="str">
        <x:v>equals</x:v>
      </x:c>
      <x:c r="H2409" t="str">
        <x:f>IF(E2409=F2409,"PASS","FAIL")</x:f>
        <x:v>PASS</x:v>
      </x:c>
    </x:row>
    <x:row r="2410">
      <x:c r="B2410" t="str">
        <x:v>A-02378</x:v>
      </x:c>
      <x:c r="C2410" t="str">
        <x:v>GATE</x:v>
      </x:c>
      <x:c r="D2410" t="str">
        <x:v>release state mirrors governing ledger</x:v>
      </x:c>
      <x:c r="E2410" t="str">
        <x:f>'Release Gates'!I2384</x:f>
        <x:v>OPEN</x:v>
      </x:c>
      <x:c r="F2410" t="str">
        <x:f>IF('Release Gates'!C2384="PLANNING","PASS",IF('Release Gates'!C2384="PHYSICAL","OPEN","BLOCKED"))</x:f>
        <x:v>OPEN</x:v>
      </x:c>
      <x:c r="G2410" t="str">
        <x:v>equals</x:v>
      </x:c>
      <x:c r="H2410" t="str">
        <x:f>IF(E2410=F2410,"PASS","FAIL")</x:f>
        <x:v>PASS</x:v>
      </x:c>
    </x:row>
    <x:row r="2411">
      <x:c r="B2411" t="str">
        <x:v>A-02379</x:v>
      </x:c>
      <x:c r="C2411" t="str">
        <x:v>GATE</x:v>
      </x:c>
      <x:c r="D2411" t="str">
        <x:v>release state mirrors governing ledger</x:v>
      </x:c>
      <x:c r="E2411" t="str">
        <x:f>'Release Gates'!I2385</x:f>
        <x:v>OPEN</x:v>
      </x:c>
      <x:c r="F2411" t="str">
        <x:f>IF('Release Gates'!C2385="PLANNING","PASS",IF('Release Gates'!C2385="PHYSICAL","OPEN","BLOCKED"))</x:f>
        <x:v>OPEN</x:v>
      </x:c>
      <x:c r="G2411" t="str">
        <x:v>equals</x:v>
      </x:c>
      <x:c r="H2411" t="str">
        <x:f>IF(E2411=F2411,"PASS","FAIL")</x:f>
        <x:v>PASS</x:v>
      </x:c>
    </x:row>
    <x:row r="2412">
      <x:c r="B2412" t="str">
        <x:v>A-02380</x:v>
      </x:c>
      <x:c r="C2412" t="str">
        <x:v>GATE</x:v>
      </x:c>
      <x:c r="D2412" t="str">
        <x:v>release state mirrors governing ledger</x:v>
      </x:c>
      <x:c r="E2412" t="str">
        <x:f>'Release Gates'!I2386</x:f>
        <x:v>OPEN</x:v>
      </x:c>
      <x:c r="F2412" t="str">
        <x:f>IF('Release Gates'!C2386="PLANNING","PASS",IF('Release Gates'!C2386="PHYSICAL","OPEN","BLOCKED"))</x:f>
        <x:v>OPEN</x:v>
      </x:c>
      <x:c r="G2412" t="str">
        <x:v>equals</x:v>
      </x:c>
      <x:c r="H2412" t="str">
        <x:f>IF(E2412=F2412,"PASS","FAIL")</x:f>
        <x:v>PASS</x:v>
      </x:c>
    </x:row>
    <x:row r="2413">
      <x:c r="B2413" t="str">
        <x:v>A-02381</x:v>
      </x:c>
      <x:c r="C2413" t="str">
        <x:v>GATE</x:v>
      </x:c>
      <x:c r="D2413" t="str">
        <x:v>release state mirrors governing ledger</x:v>
      </x:c>
      <x:c r="E2413" t="str">
        <x:f>'Release Gates'!I2387</x:f>
        <x:v>OPEN</x:v>
      </x:c>
      <x:c r="F2413" t="str">
        <x:f>IF('Release Gates'!C2387="PLANNING","PASS",IF('Release Gates'!C2387="PHYSICAL","OPEN","BLOCKED"))</x:f>
        <x:v>OPEN</x:v>
      </x:c>
      <x:c r="G2413" t="str">
        <x:v>equals</x:v>
      </x:c>
      <x:c r="H2413" t="str">
        <x:f>IF(E2413=F2413,"PASS","FAIL")</x:f>
        <x:v>PASS</x:v>
      </x:c>
    </x:row>
    <x:row r="2414">
      <x:c r="B2414" t="str">
        <x:v>A-02382</x:v>
      </x:c>
      <x:c r="C2414" t="str">
        <x:v>GATE</x:v>
      </x:c>
      <x:c r="D2414" t="str">
        <x:v>release state mirrors governing ledger</x:v>
      </x:c>
      <x:c r="E2414" t="str">
        <x:f>'Release Gates'!I2388</x:f>
        <x:v>OPEN</x:v>
      </x:c>
      <x:c r="F2414" t="str">
        <x:f>IF('Release Gates'!C2388="PLANNING","PASS",IF('Release Gates'!C2388="PHYSICAL","OPEN","BLOCKED"))</x:f>
        <x:v>OPEN</x:v>
      </x:c>
      <x:c r="G2414" t="str">
        <x:v>equals</x:v>
      </x:c>
      <x:c r="H2414" t="str">
        <x:f>IF(E2414=F2414,"PASS","FAIL")</x:f>
        <x:v>PASS</x:v>
      </x:c>
    </x:row>
    <x:row r="2415">
      <x:c r="B2415" t="str">
        <x:v>A-02383</x:v>
      </x:c>
      <x:c r="C2415" t="str">
        <x:v>GATE</x:v>
      </x:c>
      <x:c r="D2415" t="str">
        <x:v>release state mirrors governing ledger</x:v>
      </x:c>
      <x:c r="E2415" t="str">
        <x:f>'Release Gates'!I2389</x:f>
        <x:v>OPEN</x:v>
      </x:c>
      <x:c r="F2415" t="str">
        <x:f>IF('Release Gates'!C2389="PLANNING","PASS",IF('Release Gates'!C2389="PHYSICAL","OPEN","BLOCKED"))</x:f>
        <x:v>OPEN</x:v>
      </x:c>
      <x:c r="G2415" t="str">
        <x:v>equals</x:v>
      </x:c>
      <x:c r="H2415" t="str">
        <x:f>IF(E2415=F2415,"PASS","FAIL")</x:f>
        <x:v>PASS</x:v>
      </x:c>
    </x:row>
    <x:row r="2416">
      <x:c r="B2416" t="str">
        <x:v>A-02384</x:v>
      </x:c>
      <x:c r="C2416" t="str">
        <x:v>GATE</x:v>
      </x:c>
      <x:c r="D2416" t="str">
        <x:v>release state mirrors governing ledger</x:v>
      </x:c>
      <x:c r="E2416" t="str">
        <x:f>'Release Gates'!I2390</x:f>
        <x:v>OPEN</x:v>
      </x:c>
      <x:c r="F2416" t="str">
        <x:f>IF('Release Gates'!C2390="PLANNING","PASS",IF('Release Gates'!C2390="PHYSICAL","OPEN","BLOCKED"))</x:f>
        <x:v>OPEN</x:v>
      </x:c>
      <x:c r="G2416" t="str">
        <x:v>equals</x:v>
      </x:c>
      <x:c r="H2416" t="str">
        <x:f>IF(E2416=F2416,"PASS","FAIL")</x:f>
        <x:v>PASS</x:v>
      </x:c>
    </x:row>
    <x:row r="2417">
      <x:c r="B2417" t="str">
        <x:v>A-02385</x:v>
      </x:c>
      <x:c r="C2417" t="str">
        <x:v>GATE</x:v>
      </x:c>
      <x:c r="D2417" t="str">
        <x:v>release state mirrors governing ledger</x:v>
      </x:c>
      <x:c r="E2417" t="str">
        <x:f>'Release Gates'!I2391</x:f>
        <x:v>OPEN</x:v>
      </x:c>
      <x:c r="F2417" t="str">
        <x:f>IF('Release Gates'!C2391="PLANNING","PASS",IF('Release Gates'!C2391="PHYSICAL","OPEN","BLOCKED"))</x:f>
        <x:v>OPEN</x:v>
      </x:c>
      <x:c r="G2417" t="str">
        <x:v>equals</x:v>
      </x:c>
      <x:c r="H2417" t="str">
        <x:f>IF(E2417=F2417,"PASS","FAIL")</x:f>
        <x:v>PASS</x:v>
      </x:c>
    </x:row>
    <x:row r="2418">
      <x:c r="B2418" t="str">
        <x:v>A-02386</x:v>
      </x:c>
      <x:c r="C2418" t="str">
        <x:v>GATE</x:v>
      </x:c>
      <x:c r="D2418" t="str">
        <x:v>release state mirrors governing ledger</x:v>
      </x:c>
      <x:c r="E2418" t="str">
        <x:f>'Release Gates'!I2392</x:f>
        <x:v>OPEN</x:v>
      </x:c>
      <x:c r="F2418" t="str">
        <x:f>IF('Release Gates'!C2392="PLANNING","PASS",IF('Release Gates'!C2392="PHYSICAL","OPEN","BLOCKED"))</x:f>
        <x:v>OPEN</x:v>
      </x:c>
      <x:c r="G2418" t="str">
        <x:v>equals</x:v>
      </x:c>
      <x:c r="H2418" t="str">
        <x:f>IF(E2418=F2418,"PASS","FAIL")</x:f>
        <x:v>PASS</x:v>
      </x:c>
    </x:row>
    <x:row r="2419">
      <x:c r="B2419" t="str">
        <x:v>A-02387</x:v>
      </x:c>
      <x:c r="C2419" t="str">
        <x:v>GATE</x:v>
      </x:c>
      <x:c r="D2419" t="str">
        <x:v>release state mirrors governing ledger</x:v>
      </x:c>
      <x:c r="E2419" t="str">
        <x:f>'Release Gates'!I2393</x:f>
        <x:v>OPEN</x:v>
      </x:c>
      <x:c r="F2419" t="str">
        <x:f>IF('Release Gates'!C2393="PLANNING","PASS",IF('Release Gates'!C2393="PHYSICAL","OPEN","BLOCKED"))</x:f>
        <x:v>OPEN</x:v>
      </x:c>
      <x:c r="G2419" t="str">
        <x:v>equals</x:v>
      </x:c>
      <x:c r="H2419" t="str">
        <x:f>IF(E2419=F2419,"PASS","FAIL")</x:f>
        <x:v>PASS</x:v>
      </x:c>
    </x:row>
    <x:row r="2420">
      <x:c r="B2420" t="str">
        <x:v>A-02388</x:v>
      </x:c>
      <x:c r="C2420" t="str">
        <x:v>GATE</x:v>
      </x:c>
      <x:c r="D2420" t="str">
        <x:v>release state mirrors governing ledger</x:v>
      </x:c>
      <x:c r="E2420" t="str">
        <x:f>'Release Gates'!I2394</x:f>
        <x:v>OPEN</x:v>
      </x:c>
      <x:c r="F2420" t="str">
        <x:f>IF('Release Gates'!C2394="PLANNING","PASS",IF('Release Gates'!C2394="PHYSICAL","OPEN","BLOCKED"))</x:f>
        <x:v>OPEN</x:v>
      </x:c>
      <x:c r="G2420" t="str">
        <x:v>equals</x:v>
      </x:c>
      <x:c r="H2420" t="str">
        <x:f>IF(E2420=F2420,"PASS","FAIL")</x:f>
        <x:v>PASS</x:v>
      </x:c>
    </x:row>
    <x:row r="2421">
      <x:c r="B2421" t="str">
        <x:v>A-02389</x:v>
      </x:c>
      <x:c r="C2421" t="str">
        <x:v>GATE</x:v>
      </x:c>
      <x:c r="D2421" t="str">
        <x:v>release state mirrors governing ledger</x:v>
      </x:c>
      <x:c r="E2421" t="str">
        <x:f>'Release Gates'!I2395</x:f>
        <x:v>OPEN</x:v>
      </x:c>
      <x:c r="F2421" t="str">
        <x:f>IF('Release Gates'!C2395="PLANNING","PASS",IF('Release Gates'!C2395="PHYSICAL","OPEN","BLOCKED"))</x:f>
        <x:v>OPEN</x:v>
      </x:c>
      <x:c r="G2421" t="str">
        <x:v>equals</x:v>
      </x:c>
      <x:c r="H2421" t="str">
        <x:f>IF(E2421=F2421,"PASS","FAIL")</x:f>
        <x:v>PASS</x:v>
      </x:c>
    </x:row>
    <x:row r="2422">
      <x:c r="B2422" t="str">
        <x:v>A-02390</x:v>
      </x:c>
      <x:c r="C2422" t="str">
        <x:v>GATE</x:v>
      </x:c>
      <x:c r="D2422" t="str">
        <x:v>release state mirrors governing ledger</x:v>
      </x:c>
      <x:c r="E2422" t="str">
        <x:f>'Release Gates'!I2396</x:f>
        <x:v>OPEN</x:v>
      </x:c>
      <x:c r="F2422" t="str">
        <x:f>IF('Release Gates'!C2396="PLANNING","PASS",IF('Release Gates'!C2396="PHYSICAL","OPEN","BLOCKED"))</x:f>
        <x:v>OPEN</x:v>
      </x:c>
      <x:c r="G2422" t="str">
        <x:v>equals</x:v>
      </x:c>
      <x:c r="H2422" t="str">
        <x:f>IF(E2422=F2422,"PASS","FAIL")</x:f>
        <x:v>PASS</x:v>
      </x:c>
    </x:row>
    <x:row r="2423">
      <x:c r="B2423" t="str">
        <x:v>A-02391</x:v>
      </x:c>
      <x:c r="C2423" t="str">
        <x:v>GATE</x:v>
      </x:c>
      <x:c r="D2423" t="str">
        <x:v>release state mirrors governing ledger</x:v>
      </x:c>
      <x:c r="E2423" t="str">
        <x:f>'Release Gates'!I2397</x:f>
        <x:v>OPEN</x:v>
      </x:c>
      <x:c r="F2423" t="str">
        <x:f>IF('Release Gates'!C2397="PLANNING","PASS",IF('Release Gates'!C2397="PHYSICAL","OPEN","BLOCKED"))</x:f>
        <x:v>OPEN</x:v>
      </x:c>
      <x:c r="G2423" t="str">
        <x:v>equals</x:v>
      </x:c>
      <x:c r="H2423" t="str">
        <x:f>IF(E2423=F2423,"PASS","FAIL")</x:f>
        <x:v>PASS</x:v>
      </x:c>
    </x:row>
    <x:row r="2424">
      <x:c r="B2424" t="str">
        <x:v>A-02392</x:v>
      </x:c>
      <x:c r="C2424" t="str">
        <x:v>GATE</x:v>
      </x:c>
      <x:c r="D2424" t="str">
        <x:v>release state mirrors governing ledger</x:v>
      </x:c>
      <x:c r="E2424" t="str">
        <x:f>'Release Gates'!I2398</x:f>
        <x:v>OPEN</x:v>
      </x:c>
      <x:c r="F2424" t="str">
        <x:f>IF('Release Gates'!C2398="PLANNING","PASS",IF('Release Gates'!C2398="PHYSICAL","OPEN","BLOCKED"))</x:f>
        <x:v>OPEN</x:v>
      </x:c>
      <x:c r="G2424" t="str">
        <x:v>equals</x:v>
      </x:c>
      <x:c r="H2424" t="str">
        <x:f>IF(E2424=F2424,"PASS","FAIL")</x:f>
        <x:v>PASS</x:v>
      </x:c>
    </x:row>
    <x:row r="2425">
      <x:c r="B2425" t="str">
        <x:v>A-02393</x:v>
      </x:c>
      <x:c r="C2425" t="str">
        <x:v>GATE</x:v>
      </x:c>
      <x:c r="D2425" t="str">
        <x:v>release state mirrors governing ledger</x:v>
      </x:c>
      <x:c r="E2425" t="str">
        <x:f>'Release Gates'!I2399</x:f>
        <x:v>OPEN</x:v>
      </x:c>
      <x:c r="F2425" t="str">
        <x:f>IF('Release Gates'!C2399="PLANNING","PASS",IF('Release Gates'!C2399="PHYSICAL","OPEN","BLOCKED"))</x:f>
        <x:v>OPEN</x:v>
      </x:c>
      <x:c r="G2425" t="str">
        <x:v>equals</x:v>
      </x:c>
      <x:c r="H2425" t="str">
        <x:f>IF(E2425=F2425,"PASS","FAIL")</x:f>
        <x:v>PASS</x:v>
      </x:c>
    </x:row>
    <x:row r="2426">
      <x:c r="B2426" t="str">
        <x:v>A-02394</x:v>
      </x:c>
      <x:c r="C2426" t="str">
        <x:v>GATE</x:v>
      </x:c>
      <x:c r="D2426" t="str">
        <x:v>release state mirrors governing ledger</x:v>
      </x:c>
      <x:c r="E2426" t="str">
        <x:f>'Release Gates'!I2400</x:f>
        <x:v>OPEN</x:v>
      </x:c>
      <x:c r="F2426" t="str">
        <x:f>IF('Release Gates'!C2400="PLANNING","PASS",IF('Release Gates'!C2400="PHYSICAL","OPEN","BLOCKED"))</x:f>
        <x:v>OPEN</x:v>
      </x:c>
      <x:c r="G2426" t="str">
        <x:v>equals</x:v>
      </x:c>
      <x:c r="H2426" t="str">
        <x:f>IF(E2426=F2426,"PASS","FAIL")</x:f>
        <x:v>PASS</x:v>
      </x:c>
    </x:row>
    <x:row r="2427">
      <x:c r="B2427" t="str">
        <x:v>A-02395</x:v>
      </x:c>
      <x:c r="C2427" t="str">
        <x:v>GATE</x:v>
      </x:c>
      <x:c r="D2427" t="str">
        <x:v>release state mirrors governing ledger</x:v>
      </x:c>
      <x:c r="E2427" t="str">
        <x:f>'Release Gates'!I2401</x:f>
        <x:v>OPEN</x:v>
      </x:c>
      <x:c r="F2427" t="str">
        <x:f>IF('Release Gates'!C2401="PLANNING","PASS",IF('Release Gates'!C2401="PHYSICAL","OPEN","BLOCKED"))</x:f>
        <x:v>OPEN</x:v>
      </x:c>
      <x:c r="G2427" t="str">
        <x:v>equals</x:v>
      </x:c>
      <x:c r="H2427" t="str">
        <x:f>IF(E2427=F2427,"PASS","FAIL")</x:f>
        <x:v>PASS</x:v>
      </x:c>
    </x:row>
    <x:row r="2428">
      <x:c r="B2428" t="str">
        <x:v>A-02396</x:v>
      </x:c>
      <x:c r="C2428" t="str">
        <x:v>GATE</x:v>
      </x:c>
      <x:c r="D2428" t="str">
        <x:v>release state mirrors governing ledger</x:v>
      </x:c>
      <x:c r="E2428" t="str">
        <x:f>'Release Gates'!I2402</x:f>
        <x:v>OPEN</x:v>
      </x:c>
      <x:c r="F2428" t="str">
        <x:f>IF('Release Gates'!C2402="PLANNING","PASS",IF('Release Gates'!C2402="PHYSICAL","OPEN","BLOCKED"))</x:f>
        <x:v>OPEN</x:v>
      </x:c>
      <x:c r="G2428" t="str">
        <x:v>equals</x:v>
      </x:c>
      <x:c r="H2428" t="str">
        <x:f>IF(E2428=F2428,"PASS","FAIL")</x:f>
        <x:v>PASS</x:v>
      </x:c>
    </x:row>
    <x:row r="2429">
      <x:c r="B2429" t="str">
        <x:v>A-02397</x:v>
      </x:c>
      <x:c r="C2429" t="str">
        <x:v>GATE</x:v>
      </x:c>
      <x:c r="D2429" t="str">
        <x:v>release state mirrors governing ledger</x:v>
      </x:c>
      <x:c r="E2429" t="str">
        <x:f>'Release Gates'!I2403</x:f>
        <x:v>OPEN</x:v>
      </x:c>
      <x:c r="F2429" t="str">
        <x:f>IF('Release Gates'!C2403="PLANNING","PASS",IF('Release Gates'!C2403="PHYSICAL","OPEN","BLOCKED"))</x:f>
        <x:v>OPEN</x:v>
      </x:c>
      <x:c r="G2429" t="str">
        <x:v>equals</x:v>
      </x:c>
      <x:c r="H2429" t="str">
        <x:f>IF(E2429=F2429,"PASS","FAIL")</x:f>
        <x:v>PASS</x:v>
      </x:c>
    </x:row>
    <x:row r="2430">
      <x:c r="B2430" t="str">
        <x:v>A-02398</x:v>
      </x:c>
      <x:c r="C2430" t="str">
        <x:v>GATE</x:v>
      </x:c>
      <x:c r="D2430" t="str">
        <x:v>release state mirrors governing ledger</x:v>
      </x:c>
      <x:c r="E2430" t="str">
        <x:f>'Release Gates'!I2404</x:f>
        <x:v>OPEN</x:v>
      </x:c>
      <x:c r="F2430" t="str">
        <x:f>IF('Release Gates'!C2404="PLANNING","PASS",IF('Release Gates'!C2404="PHYSICAL","OPEN","BLOCKED"))</x:f>
        <x:v>OPEN</x:v>
      </x:c>
      <x:c r="G2430" t="str">
        <x:v>equals</x:v>
      </x:c>
      <x:c r="H2430" t="str">
        <x:f>IF(E2430=F2430,"PASS","FAIL")</x:f>
        <x:v>PASS</x:v>
      </x:c>
    </x:row>
    <x:row r="2431">
      <x:c r="B2431" t="str">
        <x:v>A-02399</x:v>
      </x:c>
      <x:c r="C2431" t="str">
        <x:v>GATE</x:v>
      </x:c>
      <x:c r="D2431" t="str">
        <x:v>release state mirrors governing ledger</x:v>
      </x:c>
      <x:c r="E2431" t="str">
        <x:f>'Release Gates'!I2405</x:f>
        <x:v>OPEN</x:v>
      </x:c>
      <x:c r="F2431" t="str">
        <x:f>IF('Release Gates'!C2405="PLANNING","PASS",IF('Release Gates'!C2405="PHYSICAL","OPEN","BLOCKED"))</x:f>
        <x:v>OPEN</x:v>
      </x:c>
      <x:c r="G2431" t="str">
        <x:v>equals</x:v>
      </x:c>
      <x:c r="H2431" t="str">
        <x:f>IF(E2431=F2431,"PASS","FAIL")</x:f>
        <x:v>PASS</x:v>
      </x:c>
    </x:row>
    <x:row r="2432">
      <x:c r="B2432" t="str">
        <x:v>A-02400</x:v>
      </x:c>
      <x:c r="C2432" t="str">
        <x:v>GATE</x:v>
      </x:c>
      <x:c r="D2432" t="str">
        <x:v>release state mirrors governing ledger</x:v>
      </x:c>
      <x:c r="E2432" t="str">
        <x:f>'Release Gates'!I2406</x:f>
        <x:v>OPEN</x:v>
      </x:c>
      <x:c r="F2432" t="str">
        <x:f>IF('Release Gates'!C2406="PLANNING","PASS",IF('Release Gates'!C2406="PHYSICAL","OPEN","BLOCKED"))</x:f>
        <x:v>OPEN</x:v>
      </x:c>
      <x:c r="G2432" t="str">
        <x:v>equals</x:v>
      </x:c>
      <x:c r="H2432" t="str">
        <x:f>IF(E2432=F2432,"PASS","FAIL")</x:f>
        <x:v>PASS</x:v>
      </x:c>
    </x:row>
    <x:row r="2433">
      <x:c r="B2433" t="str">
        <x:v>A-02401</x:v>
      </x:c>
      <x:c r="C2433" t="str">
        <x:v>GATE</x:v>
      </x:c>
      <x:c r="D2433" t="str">
        <x:v>release state mirrors governing ledger</x:v>
      </x:c>
      <x:c r="E2433" t="str">
        <x:f>'Release Gates'!I2407</x:f>
        <x:v>OPEN</x:v>
      </x:c>
      <x:c r="F2433" t="str">
        <x:f>IF('Release Gates'!C2407="PLANNING","PASS",IF('Release Gates'!C2407="PHYSICAL","OPEN","BLOCKED"))</x:f>
        <x:v>OPEN</x:v>
      </x:c>
      <x:c r="G2433" t="str">
        <x:v>equals</x:v>
      </x:c>
      <x:c r="H2433" t="str">
        <x:f>IF(E2433=F2433,"PASS","FAIL")</x:f>
        <x:v>PASS</x:v>
      </x:c>
    </x:row>
    <x:row r="2434">
      <x:c r="B2434" t="str">
        <x:v>A-02402</x:v>
      </x:c>
      <x:c r="C2434" t="str">
        <x:v>GATE</x:v>
      </x:c>
      <x:c r="D2434" t="str">
        <x:v>release state mirrors governing ledger</x:v>
      </x:c>
      <x:c r="E2434" t="str">
        <x:f>'Release Gates'!I2408</x:f>
        <x:v>OPEN</x:v>
      </x:c>
      <x:c r="F2434" t="str">
        <x:f>IF('Release Gates'!C2408="PLANNING","PASS",IF('Release Gates'!C2408="PHYSICAL","OPEN","BLOCKED"))</x:f>
        <x:v>OPEN</x:v>
      </x:c>
      <x:c r="G2434" t="str">
        <x:v>equals</x:v>
      </x:c>
      <x:c r="H2434" t="str">
        <x:f>IF(E2434=F2434,"PASS","FAIL")</x:f>
        <x:v>PASS</x:v>
      </x:c>
    </x:row>
    <x:row r="2435">
      <x:c r="B2435" t="str">
        <x:v>A-02403</x:v>
      </x:c>
      <x:c r="C2435" t="str">
        <x:v>GATE</x:v>
      </x:c>
      <x:c r="D2435" t="str">
        <x:v>release state mirrors governing ledger</x:v>
      </x:c>
      <x:c r="E2435" t="str">
        <x:f>'Release Gates'!I2409</x:f>
        <x:v>OPEN</x:v>
      </x:c>
      <x:c r="F2435" t="str">
        <x:f>IF('Release Gates'!C2409="PLANNING","PASS",IF('Release Gates'!C2409="PHYSICAL","OPEN","BLOCKED"))</x:f>
        <x:v>OPEN</x:v>
      </x:c>
      <x:c r="G2435" t="str">
        <x:v>equals</x:v>
      </x:c>
      <x:c r="H2435" t="str">
        <x:f>IF(E2435=F2435,"PASS","FAIL")</x:f>
        <x:v>PASS</x:v>
      </x:c>
    </x:row>
    <x:row r="2436">
      <x:c r="B2436" t="str">
        <x:v>A-02404</x:v>
      </x:c>
      <x:c r="C2436" t="str">
        <x:v>GATE</x:v>
      </x:c>
      <x:c r="D2436" t="str">
        <x:v>release state mirrors governing ledger</x:v>
      </x:c>
      <x:c r="E2436" t="str">
        <x:f>'Release Gates'!I2410</x:f>
        <x:v>OPEN</x:v>
      </x:c>
      <x:c r="F2436" t="str">
        <x:f>IF('Release Gates'!C2410="PLANNING","PASS",IF('Release Gates'!C2410="PHYSICAL","OPEN","BLOCKED"))</x:f>
        <x:v>OPEN</x:v>
      </x:c>
      <x:c r="G2436" t="str">
        <x:v>equals</x:v>
      </x:c>
      <x:c r="H2436" t="str">
        <x:f>IF(E2436=F2436,"PASS","FAIL")</x:f>
        <x:v>PASS</x:v>
      </x:c>
    </x:row>
    <x:row r="2437">
      <x:c r="B2437" t="str">
        <x:v>A-02405</x:v>
      </x:c>
      <x:c r="C2437" t="str">
        <x:v>GATE</x:v>
      </x:c>
      <x:c r="D2437" t="str">
        <x:v>release state mirrors governing ledger</x:v>
      </x:c>
      <x:c r="E2437" t="str">
        <x:f>'Release Gates'!I2411</x:f>
        <x:v>OPEN</x:v>
      </x:c>
      <x:c r="F2437" t="str">
        <x:f>IF('Release Gates'!C2411="PLANNING","PASS",IF('Release Gates'!C2411="PHYSICAL","OPEN","BLOCKED"))</x:f>
        <x:v>OPEN</x:v>
      </x:c>
      <x:c r="G2437" t="str">
        <x:v>equals</x:v>
      </x:c>
      <x:c r="H2437" t="str">
        <x:f>IF(E2437=F2437,"PASS","FAIL")</x:f>
        <x:v>PASS</x:v>
      </x:c>
    </x:row>
    <x:row r="2438">
      <x:c r="B2438" t="str">
        <x:v>A-02406</x:v>
      </x:c>
      <x:c r="C2438" t="str">
        <x:v>GATE</x:v>
      </x:c>
      <x:c r="D2438" t="str">
        <x:v>release state mirrors governing ledger</x:v>
      </x:c>
      <x:c r="E2438" t="str">
        <x:f>'Release Gates'!I2412</x:f>
        <x:v>OPEN</x:v>
      </x:c>
      <x:c r="F2438" t="str">
        <x:f>IF('Release Gates'!C2412="PLANNING","PASS",IF('Release Gates'!C2412="PHYSICAL","OPEN","BLOCKED"))</x:f>
        <x:v>OPEN</x:v>
      </x:c>
      <x:c r="G2438" t="str">
        <x:v>equals</x:v>
      </x:c>
      <x:c r="H2438" t="str">
        <x:f>IF(E2438=F2438,"PASS","FAIL")</x:f>
        <x:v>PASS</x:v>
      </x:c>
    </x:row>
    <x:row r="2439">
      <x:c r="B2439" t="str">
        <x:v>A-02407</x:v>
      </x:c>
      <x:c r="C2439" t="str">
        <x:v>GATE</x:v>
      </x:c>
      <x:c r="D2439" t="str">
        <x:v>release state mirrors governing ledger</x:v>
      </x:c>
      <x:c r="E2439" t="str">
        <x:f>'Release Gates'!I2413</x:f>
        <x:v>OPEN</x:v>
      </x:c>
      <x:c r="F2439" t="str">
        <x:f>IF('Release Gates'!C2413="PLANNING","PASS",IF('Release Gates'!C2413="PHYSICAL","OPEN","BLOCKED"))</x:f>
        <x:v>OPEN</x:v>
      </x:c>
      <x:c r="G2439" t="str">
        <x:v>equals</x:v>
      </x:c>
      <x:c r="H2439" t="str">
        <x:f>IF(E2439=F2439,"PASS","FAIL")</x:f>
        <x:v>PASS</x:v>
      </x:c>
    </x:row>
    <x:row r="2440">
      <x:c r="B2440" t="str">
        <x:v>A-02408</x:v>
      </x:c>
      <x:c r="C2440" t="str">
        <x:v>GATE</x:v>
      </x:c>
      <x:c r="D2440" t="str">
        <x:v>release state mirrors governing ledger</x:v>
      </x:c>
      <x:c r="E2440" t="str">
        <x:f>'Release Gates'!I2414</x:f>
        <x:v>OPEN</x:v>
      </x:c>
      <x:c r="F2440" t="str">
        <x:f>IF('Release Gates'!C2414="PLANNING","PASS",IF('Release Gates'!C2414="PHYSICAL","OPEN","BLOCKED"))</x:f>
        <x:v>OPEN</x:v>
      </x:c>
      <x:c r="G2440" t="str">
        <x:v>equals</x:v>
      </x:c>
      <x:c r="H2440" t="str">
        <x:f>IF(E2440=F2440,"PASS","FAIL")</x:f>
        <x:v>PASS</x:v>
      </x:c>
    </x:row>
    <x:row r="2441">
      <x:c r="B2441" t="str">
        <x:v>A-02409</x:v>
      </x:c>
      <x:c r="C2441" t="str">
        <x:v>GATE</x:v>
      </x:c>
      <x:c r="D2441" t="str">
        <x:v>release state mirrors governing ledger</x:v>
      </x:c>
      <x:c r="E2441" t="str">
        <x:f>'Release Gates'!I2415</x:f>
        <x:v>OPEN</x:v>
      </x:c>
      <x:c r="F2441" t="str">
        <x:f>IF('Release Gates'!C2415="PLANNING","PASS",IF('Release Gates'!C2415="PHYSICAL","OPEN","BLOCKED"))</x:f>
        <x:v>OPEN</x:v>
      </x:c>
      <x:c r="G2441" t="str">
        <x:v>equals</x:v>
      </x:c>
      <x:c r="H2441" t="str">
        <x:f>IF(E2441=F2441,"PASS","FAIL")</x:f>
        <x:v>PASS</x:v>
      </x:c>
    </x:row>
    <x:row r="2442">
      <x:c r="B2442" t="str">
        <x:v>A-02410</x:v>
      </x:c>
      <x:c r="C2442" t="str">
        <x:v>GATE</x:v>
      </x:c>
      <x:c r="D2442" t="str">
        <x:v>release state mirrors governing ledger</x:v>
      </x:c>
      <x:c r="E2442" t="str">
        <x:f>'Release Gates'!I2416</x:f>
        <x:v>OPEN</x:v>
      </x:c>
      <x:c r="F2442" t="str">
        <x:f>IF('Release Gates'!C2416="PLANNING","PASS",IF('Release Gates'!C2416="PHYSICAL","OPEN","BLOCKED"))</x:f>
        <x:v>OPEN</x:v>
      </x:c>
      <x:c r="G2442" t="str">
        <x:v>equals</x:v>
      </x:c>
      <x:c r="H2442" t="str">
        <x:f>IF(E2442=F2442,"PASS","FAIL")</x:f>
        <x:v>PASS</x:v>
      </x:c>
    </x:row>
    <x:row r="2443">
      <x:c r="B2443" t="str">
        <x:v>A-02411</x:v>
      </x:c>
      <x:c r="C2443" t="str">
        <x:v>GATE</x:v>
      </x:c>
      <x:c r="D2443" t="str">
        <x:v>release state mirrors governing ledger</x:v>
      </x:c>
      <x:c r="E2443" t="str">
        <x:f>'Release Gates'!I2417</x:f>
        <x:v>OPEN</x:v>
      </x:c>
      <x:c r="F2443" t="str">
        <x:f>IF('Release Gates'!C2417="PLANNING","PASS",IF('Release Gates'!C2417="PHYSICAL","OPEN","BLOCKED"))</x:f>
        <x:v>OPEN</x:v>
      </x:c>
      <x:c r="G2443" t="str">
        <x:v>equals</x:v>
      </x:c>
      <x:c r="H2443" t="str">
        <x:f>IF(E2443=F2443,"PASS","FAIL")</x:f>
        <x:v>PASS</x:v>
      </x:c>
    </x:row>
    <x:row r="2444">
      <x:c r="B2444" t="str">
        <x:v>A-02412</x:v>
      </x:c>
      <x:c r="C2444" t="str">
        <x:v>GATE</x:v>
      </x:c>
      <x:c r="D2444" t="str">
        <x:v>release state mirrors governing ledger</x:v>
      </x:c>
      <x:c r="E2444" t="str">
        <x:f>'Release Gates'!I2418</x:f>
        <x:v>OPEN</x:v>
      </x:c>
      <x:c r="F2444" t="str">
        <x:f>IF('Release Gates'!C2418="PLANNING","PASS",IF('Release Gates'!C2418="PHYSICAL","OPEN","BLOCKED"))</x:f>
        <x:v>OPEN</x:v>
      </x:c>
      <x:c r="G2444" t="str">
        <x:v>equals</x:v>
      </x:c>
      <x:c r="H2444" t="str">
        <x:f>IF(E2444=F2444,"PASS","FAIL")</x:f>
        <x:v>PASS</x:v>
      </x:c>
    </x:row>
    <x:row r="2445">
      <x:c r="B2445" t="str">
        <x:v>A-02413</x:v>
      </x:c>
      <x:c r="C2445" t="str">
        <x:v>GATE</x:v>
      </x:c>
      <x:c r="D2445" t="str">
        <x:v>release state mirrors governing ledger</x:v>
      </x:c>
      <x:c r="E2445" t="str">
        <x:f>'Release Gates'!I2419</x:f>
        <x:v>OPEN</x:v>
      </x:c>
      <x:c r="F2445" t="str">
        <x:f>IF('Release Gates'!C2419="PLANNING","PASS",IF('Release Gates'!C2419="PHYSICAL","OPEN","BLOCKED"))</x:f>
        <x:v>OPEN</x:v>
      </x:c>
      <x:c r="G2445" t="str">
        <x:v>equals</x:v>
      </x:c>
      <x:c r="H2445" t="str">
        <x:f>IF(E2445=F2445,"PASS","FAIL")</x:f>
        <x:v>PASS</x:v>
      </x:c>
    </x:row>
    <x:row r="2446">
      <x:c r="B2446" t="str">
        <x:v>A-02414</x:v>
      </x:c>
      <x:c r="C2446" t="str">
        <x:v>GATE</x:v>
      </x:c>
      <x:c r="D2446" t="str">
        <x:v>release state mirrors governing ledger</x:v>
      </x:c>
      <x:c r="E2446" t="str">
        <x:f>'Release Gates'!I2420</x:f>
        <x:v>OPEN</x:v>
      </x:c>
      <x:c r="F2446" t="str">
        <x:f>IF('Release Gates'!C2420="PLANNING","PASS",IF('Release Gates'!C2420="PHYSICAL","OPEN","BLOCKED"))</x:f>
        <x:v>OPEN</x:v>
      </x:c>
      <x:c r="G2446" t="str">
        <x:v>equals</x:v>
      </x:c>
      <x:c r="H2446" t="str">
        <x:f>IF(E2446=F2446,"PASS","FAIL")</x:f>
        <x:v>PASS</x:v>
      </x:c>
    </x:row>
    <x:row r="2447">
      <x:c r="B2447" t="str">
        <x:v>A-02415</x:v>
      </x:c>
      <x:c r="C2447" t="str">
        <x:v>GATE</x:v>
      </x:c>
      <x:c r="D2447" t="str">
        <x:v>release state mirrors governing ledger</x:v>
      </x:c>
      <x:c r="E2447" t="str">
        <x:f>'Release Gates'!I2421</x:f>
        <x:v>OPEN</x:v>
      </x:c>
      <x:c r="F2447" t="str">
        <x:f>IF('Release Gates'!C2421="PLANNING","PASS",IF('Release Gates'!C2421="PHYSICAL","OPEN","BLOCKED"))</x:f>
        <x:v>OPEN</x:v>
      </x:c>
      <x:c r="G2447" t="str">
        <x:v>equals</x:v>
      </x:c>
      <x:c r="H2447" t="str">
        <x:f>IF(E2447=F2447,"PASS","FAIL")</x:f>
        <x:v>PASS</x:v>
      </x:c>
    </x:row>
    <x:row r="2448">
      <x:c r="B2448" t="str">
        <x:v>A-02416</x:v>
      </x:c>
      <x:c r="C2448" t="str">
        <x:v>GATE</x:v>
      </x:c>
      <x:c r="D2448" t="str">
        <x:v>release state mirrors governing ledger</x:v>
      </x:c>
      <x:c r="E2448" t="str">
        <x:f>'Release Gates'!I2422</x:f>
        <x:v>OPEN</x:v>
      </x:c>
      <x:c r="F2448" t="str">
        <x:f>IF('Release Gates'!C2422="PLANNING","PASS",IF('Release Gates'!C2422="PHYSICAL","OPEN","BLOCKED"))</x:f>
        <x:v>OPEN</x:v>
      </x:c>
      <x:c r="G2448" t="str">
        <x:v>equals</x:v>
      </x:c>
      <x:c r="H2448" t="str">
        <x:f>IF(E2448=F2448,"PASS","FAIL")</x:f>
        <x:v>PASS</x:v>
      </x:c>
    </x:row>
    <x:row r="2449">
      <x:c r="B2449" t="str">
        <x:v>A-02417</x:v>
      </x:c>
      <x:c r="C2449" t="str">
        <x:v>GATE</x:v>
      </x:c>
      <x:c r="D2449" t="str">
        <x:v>release state mirrors governing ledger</x:v>
      </x:c>
      <x:c r="E2449" t="str">
        <x:f>'Release Gates'!I2423</x:f>
        <x:v>OPEN</x:v>
      </x:c>
      <x:c r="F2449" t="str">
        <x:f>IF('Release Gates'!C2423="PLANNING","PASS",IF('Release Gates'!C2423="PHYSICAL","OPEN","BLOCKED"))</x:f>
        <x:v>OPEN</x:v>
      </x:c>
      <x:c r="G2449" t="str">
        <x:v>equals</x:v>
      </x:c>
      <x:c r="H2449" t="str">
        <x:f>IF(E2449=F2449,"PASS","FAIL")</x:f>
        <x:v>PASS</x:v>
      </x:c>
    </x:row>
    <x:row r="2450">
      <x:c r="B2450" t="str">
        <x:v>A-02418</x:v>
      </x:c>
      <x:c r="C2450" t="str">
        <x:v>GATE</x:v>
      </x:c>
      <x:c r="D2450" t="str">
        <x:v>release state mirrors governing ledger</x:v>
      </x:c>
      <x:c r="E2450" t="str">
        <x:f>'Release Gates'!I2424</x:f>
        <x:v>OPEN</x:v>
      </x:c>
      <x:c r="F2450" t="str">
        <x:f>IF('Release Gates'!C2424="PLANNING","PASS",IF('Release Gates'!C2424="PHYSICAL","OPEN","BLOCKED"))</x:f>
        <x:v>OPEN</x:v>
      </x:c>
      <x:c r="G2450" t="str">
        <x:v>equals</x:v>
      </x:c>
      <x:c r="H2450" t="str">
        <x:f>IF(E2450=F2450,"PASS","FAIL")</x:f>
        <x:v>PASS</x:v>
      </x:c>
    </x:row>
    <x:row r="2451">
      <x:c r="B2451" t="str">
        <x:v>A-02419</x:v>
      </x:c>
      <x:c r="C2451" t="str">
        <x:v>GATE</x:v>
      </x:c>
      <x:c r="D2451" t="str">
        <x:v>release state mirrors governing ledger</x:v>
      </x:c>
      <x:c r="E2451" t="str">
        <x:f>'Release Gates'!I2425</x:f>
        <x:v>OPEN</x:v>
      </x:c>
      <x:c r="F2451" t="str">
        <x:f>IF('Release Gates'!C2425="PLANNING","PASS",IF('Release Gates'!C2425="PHYSICAL","OPEN","BLOCKED"))</x:f>
        <x:v>OPEN</x:v>
      </x:c>
      <x:c r="G2451" t="str">
        <x:v>equals</x:v>
      </x:c>
      <x:c r="H2451" t="str">
        <x:f>IF(E2451=F2451,"PASS","FAIL")</x:f>
        <x:v>PASS</x:v>
      </x:c>
    </x:row>
    <x:row r="2452">
      <x:c r="B2452" t="str">
        <x:v>A-02420</x:v>
      </x:c>
      <x:c r="C2452" t="str">
        <x:v>GATE</x:v>
      </x:c>
      <x:c r="D2452" t="str">
        <x:v>release state mirrors governing ledger</x:v>
      </x:c>
      <x:c r="E2452" t="str">
        <x:f>'Release Gates'!I2426</x:f>
        <x:v>OPEN</x:v>
      </x:c>
      <x:c r="F2452" t="str">
        <x:f>IF('Release Gates'!C2426="PLANNING","PASS",IF('Release Gates'!C2426="PHYSICAL","OPEN","BLOCKED"))</x:f>
        <x:v>OPEN</x:v>
      </x:c>
      <x:c r="G2452" t="str">
        <x:v>equals</x:v>
      </x:c>
      <x:c r="H2452" t="str">
        <x:f>IF(E2452=F2452,"PASS","FAIL")</x:f>
        <x:v>PASS</x:v>
      </x:c>
    </x:row>
    <x:row r="2453">
      <x:c r="B2453" t="str">
        <x:v>A-02421</x:v>
      </x:c>
      <x:c r="C2453" t="str">
        <x:v>GATE</x:v>
      </x:c>
      <x:c r="D2453" t="str">
        <x:v>release state mirrors governing ledger</x:v>
      </x:c>
      <x:c r="E2453" t="str">
        <x:f>'Release Gates'!I2427</x:f>
        <x:v>OPEN</x:v>
      </x:c>
      <x:c r="F2453" t="str">
        <x:f>IF('Release Gates'!C2427="PLANNING","PASS",IF('Release Gates'!C2427="PHYSICAL","OPEN","BLOCKED"))</x:f>
        <x:v>OPEN</x:v>
      </x:c>
      <x:c r="G2453" t="str">
        <x:v>equals</x:v>
      </x:c>
      <x:c r="H2453" t="str">
        <x:f>IF(E2453=F2453,"PASS","FAIL")</x:f>
        <x:v>PASS</x:v>
      </x:c>
    </x:row>
    <x:row r="2454">
      <x:c r="B2454" t="str">
        <x:v>A-02422</x:v>
      </x:c>
      <x:c r="C2454" t="str">
        <x:v>GATE</x:v>
      </x:c>
      <x:c r="D2454" t="str">
        <x:v>release state mirrors governing ledger</x:v>
      </x:c>
      <x:c r="E2454" t="str">
        <x:f>'Release Gates'!I2428</x:f>
        <x:v>OPEN</x:v>
      </x:c>
      <x:c r="F2454" t="str">
        <x:f>IF('Release Gates'!C2428="PLANNING","PASS",IF('Release Gates'!C2428="PHYSICAL","OPEN","BLOCKED"))</x:f>
        <x:v>OPEN</x:v>
      </x:c>
      <x:c r="G2454" t="str">
        <x:v>equals</x:v>
      </x:c>
      <x:c r="H2454" t="str">
        <x:f>IF(E2454=F2454,"PASS","FAIL")</x:f>
        <x:v>PASS</x:v>
      </x:c>
    </x:row>
    <x:row r="2455">
      <x:c r="B2455" t="str">
        <x:v>A-02423</x:v>
      </x:c>
      <x:c r="C2455" t="str">
        <x:v>GATE</x:v>
      </x:c>
      <x:c r="D2455" t="str">
        <x:v>release state mirrors governing ledger</x:v>
      </x:c>
      <x:c r="E2455" t="str">
        <x:f>'Release Gates'!I2429</x:f>
        <x:v>OPEN</x:v>
      </x:c>
      <x:c r="F2455" t="str">
        <x:f>IF('Release Gates'!C2429="PLANNING","PASS",IF('Release Gates'!C2429="PHYSICAL","OPEN","BLOCKED"))</x:f>
        <x:v>OPEN</x:v>
      </x:c>
      <x:c r="G2455" t="str">
        <x:v>equals</x:v>
      </x:c>
      <x:c r="H2455" t="str">
        <x:f>IF(E2455=F2455,"PASS","FAIL")</x:f>
        <x:v>PASS</x:v>
      </x:c>
    </x:row>
    <x:row r="2456">
      <x:c r="B2456" t="str">
        <x:v>A-02424</x:v>
      </x:c>
      <x:c r="C2456" t="str">
        <x:v>GATE</x:v>
      </x:c>
      <x:c r="D2456" t="str">
        <x:v>release state mirrors governing ledger</x:v>
      </x:c>
      <x:c r="E2456" t="str">
        <x:f>'Release Gates'!I2430</x:f>
        <x:v>OPEN</x:v>
      </x:c>
      <x:c r="F2456" t="str">
        <x:f>IF('Release Gates'!C2430="PLANNING","PASS",IF('Release Gates'!C2430="PHYSICAL","OPEN","BLOCKED"))</x:f>
        <x:v>OPEN</x:v>
      </x:c>
      <x:c r="G2456" t="str">
        <x:v>equals</x:v>
      </x:c>
      <x:c r="H2456" t="str">
        <x:f>IF(E2456=F2456,"PASS","FAIL")</x:f>
        <x:v>PASS</x:v>
      </x:c>
    </x:row>
    <x:row r="2457">
      <x:c r="B2457" t="str">
        <x:v>A-02425</x:v>
      </x:c>
      <x:c r="C2457" t="str">
        <x:v>GATE</x:v>
      </x:c>
      <x:c r="D2457" t="str">
        <x:v>release state mirrors governing ledger</x:v>
      </x:c>
      <x:c r="E2457" t="str">
        <x:f>'Release Gates'!I2431</x:f>
        <x:v>OPEN</x:v>
      </x:c>
      <x:c r="F2457" t="str">
        <x:f>IF('Release Gates'!C2431="PLANNING","PASS",IF('Release Gates'!C2431="PHYSICAL","OPEN","BLOCKED"))</x:f>
        <x:v>OPEN</x:v>
      </x:c>
      <x:c r="G2457" t="str">
        <x:v>equals</x:v>
      </x:c>
      <x:c r="H2457" t="str">
        <x:f>IF(E2457=F2457,"PASS","FAIL")</x:f>
        <x:v>PASS</x:v>
      </x:c>
    </x:row>
    <x:row r="2458">
      <x:c r="B2458" t="str">
        <x:v>A-02426</x:v>
      </x:c>
      <x:c r="C2458" t="str">
        <x:v>GATE</x:v>
      </x:c>
      <x:c r="D2458" t="str">
        <x:v>release state mirrors governing ledger</x:v>
      </x:c>
      <x:c r="E2458" t="str">
        <x:f>'Release Gates'!I2432</x:f>
        <x:v>OPEN</x:v>
      </x:c>
      <x:c r="F2458" t="str">
        <x:f>IF('Release Gates'!C2432="PLANNING","PASS",IF('Release Gates'!C2432="PHYSICAL","OPEN","BLOCKED"))</x:f>
        <x:v>OPEN</x:v>
      </x:c>
      <x:c r="G2458" t="str">
        <x:v>equals</x:v>
      </x:c>
      <x:c r="H2458" t="str">
        <x:f>IF(E2458=F2458,"PASS","FAIL")</x:f>
        <x:v>PASS</x:v>
      </x:c>
    </x:row>
    <x:row r="2459">
      <x:c r="B2459" t="str">
        <x:v>A-02427</x:v>
      </x:c>
      <x:c r="C2459" t="str">
        <x:v>GATE</x:v>
      </x:c>
      <x:c r="D2459" t="str">
        <x:v>release state mirrors governing ledger</x:v>
      </x:c>
      <x:c r="E2459" t="str">
        <x:f>'Release Gates'!I2433</x:f>
        <x:v>OPEN</x:v>
      </x:c>
      <x:c r="F2459" t="str">
        <x:f>IF('Release Gates'!C2433="PLANNING","PASS",IF('Release Gates'!C2433="PHYSICAL","OPEN","BLOCKED"))</x:f>
        <x:v>OPEN</x:v>
      </x:c>
      <x:c r="G2459" t="str">
        <x:v>equals</x:v>
      </x:c>
      <x:c r="H2459" t="str">
        <x:f>IF(E2459=F2459,"PASS","FAIL")</x:f>
        <x:v>PASS</x:v>
      </x:c>
    </x:row>
    <x:row r="2460">
      <x:c r="B2460" t="str">
        <x:v>A-02428</x:v>
      </x:c>
      <x:c r="C2460" t="str">
        <x:v>GATE</x:v>
      </x:c>
      <x:c r="D2460" t="str">
        <x:v>release state mirrors governing ledger</x:v>
      </x:c>
      <x:c r="E2460" t="str">
        <x:f>'Release Gates'!I2434</x:f>
        <x:v>OPEN</x:v>
      </x:c>
      <x:c r="F2460" t="str">
        <x:f>IF('Release Gates'!C2434="PLANNING","PASS",IF('Release Gates'!C2434="PHYSICAL","OPEN","BLOCKED"))</x:f>
        <x:v>OPEN</x:v>
      </x:c>
      <x:c r="G2460" t="str">
        <x:v>equals</x:v>
      </x:c>
      <x:c r="H2460" t="str">
        <x:f>IF(E2460=F2460,"PASS","FAIL")</x:f>
        <x:v>PASS</x:v>
      </x:c>
    </x:row>
    <x:row r="2461">
      <x:c r="B2461" t="str">
        <x:v>A-02429</x:v>
      </x:c>
      <x:c r="C2461" t="str">
        <x:v>GATE</x:v>
      </x:c>
      <x:c r="D2461" t="str">
        <x:v>release state mirrors governing ledger</x:v>
      </x:c>
      <x:c r="E2461" t="str">
        <x:f>'Release Gates'!I2435</x:f>
        <x:v>OPEN</x:v>
      </x:c>
      <x:c r="F2461" t="str">
        <x:f>IF('Release Gates'!C2435="PLANNING","PASS",IF('Release Gates'!C2435="PHYSICAL","OPEN","BLOCKED"))</x:f>
        <x:v>OPEN</x:v>
      </x:c>
      <x:c r="G2461" t="str">
        <x:v>equals</x:v>
      </x:c>
      <x:c r="H2461" t="str">
        <x:f>IF(E2461=F2461,"PASS","FAIL")</x:f>
        <x:v>PASS</x:v>
      </x:c>
    </x:row>
    <x:row r="2462">
      <x:c r="B2462" t="str">
        <x:v>A-02430</x:v>
      </x:c>
      <x:c r="C2462" t="str">
        <x:v>GATE</x:v>
      </x:c>
      <x:c r="D2462" t="str">
        <x:v>release state mirrors governing ledger</x:v>
      </x:c>
      <x:c r="E2462" t="str">
        <x:f>'Release Gates'!I2436</x:f>
        <x:v>OPEN</x:v>
      </x:c>
      <x:c r="F2462" t="str">
        <x:f>IF('Release Gates'!C2436="PLANNING","PASS",IF('Release Gates'!C2436="PHYSICAL","OPEN","BLOCKED"))</x:f>
        <x:v>OPEN</x:v>
      </x:c>
      <x:c r="G2462" t="str">
        <x:v>equals</x:v>
      </x:c>
      <x:c r="H2462" t="str">
        <x:f>IF(E2462=F2462,"PASS","FAIL")</x:f>
        <x:v>PASS</x:v>
      </x:c>
    </x:row>
    <x:row r="2463">
      <x:c r="B2463" t="str">
        <x:v>A-02431</x:v>
      </x:c>
      <x:c r="C2463" t="str">
        <x:v>GATE</x:v>
      </x:c>
      <x:c r="D2463" t="str">
        <x:v>release state mirrors governing ledger</x:v>
      </x:c>
      <x:c r="E2463" t="str">
        <x:f>'Release Gates'!I2437</x:f>
        <x:v>OPEN</x:v>
      </x:c>
      <x:c r="F2463" t="str">
        <x:f>IF('Release Gates'!C2437="PLANNING","PASS",IF('Release Gates'!C2437="PHYSICAL","OPEN","BLOCKED"))</x:f>
        <x:v>OPEN</x:v>
      </x:c>
      <x:c r="G2463" t="str">
        <x:v>equals</x:v>
      </x:c>
      <x:c r="H2463" t="str">
        <x:f>IF(E2463=F2463,"PASS","FAIL")</x:f>
        <x:v>PASS</x:v>
      </x:c>
    </x:row>
    <x:row r="2464">
      <x:c r="B2464" t="str">
        <x:v>A-02432</x:v>
      </x:c>
      <x:c r="C2464" t="str">
        <x:v>GATE</x:v>
      </x:c>
      <x:c r="D2464" t="str">
        <x:v>release state mirrors governing ledger</x:v>
      </x:c>
      <x:c r="E2464" t="str">
        <x:f>'Release Gates'!I2438</x:f>
        <x:v>OPEN</x:v>
      </x:c>
      <x:c r="F2464" t="str">
        <x:f>IF('Release Gates'!C2438="PLANNING","PASS",IF('Release Gates'!C2438="PHYSICAL","OPEN","BLOCKED"))</x:f>
        <x:v>OPEN</x:v>
      </x:c>
      <x:c r="G2464" t="str">
        <x:v>equals</x:v>
      </x:c>
      <x:c r="H2464" t="str">
        <x:f>IF(E2464=F2464,"PASS","FAIL")</x:f>
        <x:v>PASS</x:v>
      </x:c>
    </x:row>
    <x:row r="2465">
      <x:c r="B2465" t="str">
        <x:v>A-02433</x:v>
      </x:c>
      <x:c r="C2465" t="str">
        <x:v>GATE</x:v>
      </x:c>
      <x:c r="D2465" t="str">
        <x:v>release state mirrors governing ledger</x:v>
      </x:c>
      <x:c r="E2465" t="str">
        <x:f>'Release Gates'!I2439</x:f>
        <x:v>OPEN</x:v>
      </x:c>
      <x:c r="F2465" t="str">
        <x:f>IF('Release Gates'!C2439="PLANNING","PASS",IF('Release Gates'!C2439="PHYSICAL","OPEN","BLOCKED"))</x:f>
        <x:v>OPEN</x:v>
      </x:c>
      <x:c r="G2465" t="str">
        <x:v>equals</x:v>
      </x:c>
      <x:c r="H2465" t="str">
        <x:f>IF(E2465=F2465,"PASS","FAIL")</x:f>
        <x:v>PASS</x:v>
      </x:c>
    </x:row>
    <x:row r="2466">
      <x:c r="B2466" t="str">
        <x:v>A-02434</x:v>
      </x:c>
      <x:c r="C2466" t="str">
        <x:v>GATE</x:v>
      </x:c>
      <x:c r="D2466" t="str">
        <x:v>release state mirrors governing ledger</x:v>
      </x:c>
      <x:c r="E2466" t="str">
        <x:f>'Release Gates'!I2440</x:f>
        <x:v>OPEN</x:v>
      </x:c>
      <x:c r="F2466" t="str">
        <x:f>IF('Release Gates'!C2440="PLANNING","PASS",IF('Release Gates'!C2440="PHYSICAL","OPEN","BLOCKED"))</x:f>
        <x:v>OPEN</x:v>
      </x:c>
      <x:c r="G2466" t="str">
        <x:v>equals</x:v>
      </x:c>
      <x:c r="H2466" t="str">
        <x:f>IF(E2466=F2466,"PASS","FAIL")</x:f>
        <x:v>PASS</x:v>
      </x:c>
    </x:row>
    <x:row r="2467">
      <x:c r="B2467" t="str">
        <x:v>A-02435</x:v>
      </x:c>
      <x:c r="C2467" t="str">
        <x:v>GATE</x:v>
      </x:c>
      <x:c r="D2467" t="str">
        <x:v>release state mirrors governing ledger</x:v>
      </x:c>
      <x:c r="E2467" t="str">
        <x:f>'Release Gates'!I2441</x:f>
        <x:v>OPEN</x:v>
      </x:c>
      <x:c r="F2467" t="str">
        <x:f>IF('Release Gates'!C2441="PLANNING","PASS",IF('Release Gates'!C2441="PHYSICAL","OPEN","BLOCKED"))</x:f>
        <x:v>OPEN</x:v>
      </x:c>
      <x:c r="G2467" t="str">
        <x:v>equals</x:v>
      </x:c>
      <x:c r="H2467" t="str">
        <x:f>IF(E2467=F2467,"PASS","FAIL")</x:f>
        <x:v>PASS</x:v>
      </x:c>
    </x:row>
    <x:row r="2468">
      <x:c r="B2468" t="str">
        <x:v>A-02436</x:v>
      </x:c>
      <x:c r="C2468" t="str">
        <x:v>GATE</x:v>
      </x:c>
      <x:c r="D2468" t="str">
        <x:v>release state mirrors governing ledger</x:v>
      </x:c>
      <x:c r="E2468" t="str">
        <x:f>'Release Gates'!I2442</x:f>
        <x:v>OPEN</x:v>
      </x:c>
      <x:c r="F2468" t="str">
        <x:f>IF('Release Gates'!C2442="PLANNING","PASS",IF('Release Gates'!C2442="PHYSICAL","OPEN","BLOCKED"))</x:f>
        <x:v>OPEN</x:v>
      </x:c>
      <x:c r="G2468" t="str">
        <x:v>equals</x:v>
      </x:c>
      <x:c r="H2468" t="str">
        <x:f>IF(E2468=F2468,"PASS","FAIL")</x:f>
        <x:v>PASS</x:v>
      </x:c>
    </x:row>
    <x:row r="2469">
      <x:c r="B2469" t="str">
        <x:v>A-02437</x:v>
      </x:c>
      <x:c r="C2469" t="str">
        <x:v>GATE</x:v>
      </x:c>
      <x:c r="D2469" t="str">
        <x:v>release state mirrors governing ledger</x:v>
      </x:c>
      <x:c r="E2469" t="str">
        <x:f>'Release Gates'!I2443</x:f>
        <x:v>OPEN</x:v>
      </x:c>
      <x:c r="F2469" t="str">
        <x:f>IF('Release Gates'!C2443="PLANNING","PASS",IF('Release Gates'!C2443="PHYSICAL","OPEN","BLOCKED"))</x:f>
        <x:v>OPEN</x:v>
      </x:c>
      <x:c r="G2469" t="str">
        <x:v>equals</x:v>
      </x:c>
      <x:c r="H2469" t="str">
        <x:f>IF(E2469=F2469,"PASS","FAIL")</x:f>
        <x:v>PASS</x:v>
      </x:c>
    </x:row>
    <x:row r="2470">
      <x:c r="B2470" t="str">
        <x:v>A-02438</x:v>
      </x:c>
      <x:c r="C2470" t="str">
        <x:v>GATE</x:v>
      </x:c>
      <x:c r="D2470" t="str">
        <x:v>release state mirrors governing ledger</x:v>
      </x:c>
      <x:c r="E2470" t="str">
        <x:f>'Release Gates'!I2444</x:f>
        <x:v>OPEN</x:v>
      </x:c>
      <x:c r="F2470" t="str">
        <x:f>IF('Release Gates'!C2444="PLANNING","PASS",IF('Release Gates'!C2444="PHYSICAL","OPEN","BLOCKED"))</x:f>
        <x:v>OPEN</x:v>
      </x:c>
      <x:c r="G2470" t="str">
        <x:v>equals</x:v>
      </x:c>
      <x:c r="H2470" t="str">
        <x:f>IF(E2470=F2470,"PASS","FAIL")</x:f>
        <x:v>PASS</x:v>
      </x:c>
    </x:row>
    <x:row r="2471">
      <x:c r="B2471" t="str">
        <x:v>A-02439</x:v>
      </x:c>
      <x:c r="C2471" t="str">
        <x:v>GATE</x:v>
      </x:c>
      <x:c r="D2471" t="str">
        <x:v>release state mirrors governing ledger</x:v>
      </x:c>
      <x:c r="E2471" t="str">
        <x:f>'Release Gates'!I2445</x:f>
        <x:v>OPEN</x:v>
      </x:c>
      <x:c r="F2471" t="str">
        <x:f>IF('Release Gates'!C2445="PLANNING","PASS",IF('Release Gates'!C2445="PHYSICAL","OPEN","BLOCKED"))</x:f>
        <x:v>OPEN</x:v>
      </x:c>
      <x:c r="G2471" t="str">
        <x:v>equals</x:v>
      </x:c>
      <x:c r="H2471" t="str">
        <x:f>IF(E2471=F2471,"PASS","FAIL")</x:f>
        <x:v>PASS</x:v>
      </x:c>
    </x:row>
    <x:row r="2472">
      <x:c r="B2472" t="str">
        <x:v>A-02440</x:v>
      </x:c>
      <x:c r="C2472" t="str">
        <x:v>GATE</x:v>
      </x:c>
      <x:c r="D2472" t="str">
        <x:v>release state mirrors governing ledger</x:v>
      </x:c>
      <x:c r="E2472" t="str">
        <x:f>'Release Gates'!I2446</x:f>
        <x:v>OPEN</x:v>
      </x:c>
      <x:c r="F2472" t="str">
        <x:f>IF('Release Gates'!C2446="PLANNING","PASS",IF('Release Gates'!C2446="PHYSICAL","OPEN","BLOCKED"))</x:f>
        <x:v>OPEN</x:v>
      </x:c>
      <x:c r="G2472" t="str">
        <x:v>equals</x:v>
      </x:c>
      <x:c r="H2472" t="str">
        <x:f>IF(E2472=F2472,"PASS","FAIL")</x:f>
        <x:v>PASS</x:v>
      </x:c>
    </x:row>
    <x:row r="2473">
      <x:c r="B2473" t="str">
        <x:v>A-02441</x:v>
      </x:c>
      <x:c r="C2473" t="str">
        <x:v>GATE</x:v>
      </x:c>
      <x:c r="D2473" t="str">
        <x:v>release state mirrors governing ledger</x:v>
      </x:c>
      <x:c r="E2473" t="str">
        <x:f>'Release Gates'!I2447</x:f>
        <x:v>OPEN</x:v>
      </x:c>
      <x:c r="F2473" t="str">
        <x:f>IF('Release Gates'!C2447="PLANNING","PASS",IF('Release Gates'!C2447="PHYSICAL","OPEN","BLOCKED"))</x:f>
        <x:v>OPEN</x:v>
      </x:c>
      <x:c r="G2473" t="str">
        <x:v>equals</x:v>
      </x:c>
      <x:c r="H2473" t="str">
        <x:f>IF(E2473=F2473,"PASS","FAIL")</x:f>
        <x:v>PASS</x:v>
      </x:c>
    </x:row>
    <x:row r="2474">
      <x:c r="B2474" t="str">
        <x:v>A-02442</x:v>
      </x:c>
      <x:c r="C2474" t="str">
        <x:v>GATE</x:v>
      </x:c>
      <x:c r="D2474" t="str">
        <x:v>release state mirrors governing ledger</x:v>
      </x:c>
      <x:c r="E2474" t="str">
        <x:f>'Release Gates'!I2448</x:f>
        <x:v>OPEN</x:v>
      </x:c>
      <x:c r="F2474" t="str">
        <x:f>IF('Release Gates'!C2448="PLANNING","PASS",IF('Release Gates'!C2448="PHYSICAL","OPEN","BLOCKED"))</x:f>
        <x:v>OPEN</x:v>
      </x:c>
      <x:c r="G2474" t="str">
        <x:v>equals</x:v>
      </x:c>
      <x:c r="H2474" t="str">
        <x:f>IF(E2474=F2474,"PASS","FAIL")</x:f>
        <x:v>PASS</x:v>
      </x:c>
    </x:row>
    <x:row r="2475">
      <x:c r="B2475" t="str">
        <x:v>A-02443</x:v>
      </x:c>
      <x:c r="C2475" t="str">
        <x:v>GATE</x:v>
      </x:c>
      <x:c r="D2475" t="str">
        <x:v>release state mirrors governing ledger</x:v>
      </x:c>
      <x:c r="E2475" t="str">
        <x:f>'Release Gates'!I2449</x:f>
        <x:v>OPEN</x:v>
      </x:c>
      <x:c r="F2475" t="str">
        <x:f>IF('Release Gates'!C2449="PLANNING","PASS",IF('Release Gates'!C2449="PHYSICAL","OPEN","BLOCKED"))</x:f>
        <x:v>OPEN</x:v>
      </x:c>
      <x:c r="G2475" t="str">
        <x:v>equals</x:v>
      </x:c>
      <x:c r="H2475" t="str">
        <x:f>IF(E2475=F2475,"PASS","FAIL")</x:f>
        <x:v>PASS</x:v>
      </x:c>
    </x:row>
    <x:row r="2476">
      <x:c r="B2476" t="str">
        <x:v>A-02444</x:v>
      </x:c>
      <x:c r="C2476" t="str">
        <x:v>GATE</x:v>
      </x:c>
      <x:c r="D2476" t="str">
        <x:v>release state mirrors governing ledger</x:v>
      </x:c>
      <x:c r="E2476" t="str">
        <x:f>'Release Gates'!I2450</x:f>
        <x:v>OPEN</x:v>
      </x:c>
      <x:c r="F2476" t="str">
        <x:f>IF('Release Gates'!C2450="PLANNING","PASS",IF('Release Gates'!C2450="PHYSICAL","OPEN","BLOCKED"))</x:f>
        <x:v>OPEN</x:v>
      </x:c>
      <x:c r="G2476" t="str">
        <x:v>equals</x:v>
      </x:c>
      <x:c r="H2476" t="str">
        <x:f>IF(E2476=F2476,"PASS","FAIL")</x:f>
        <x:v>PASS</x:v>
      </x:c>
    </x:row>
    <x:row r="2477">
      <x:c r="B2477" t="str">
        <x:v>A-02445</x:v>
      </x:c>
      <x:c r="C2477" t="str">
        <x:v>GATE</x:v>
      </x:c>
      <x:c r="D2477" t="str">
        <x:v>release state mirrors governing ledger</x:v>
      </x:c>
      <x:c r="E2477" t="str">
        <x:f>'Release Gates'!I2451</x:f>
        <x:v>OPEN</x:v>
      </x:c>
      <x:c r="F2477" t="str">
        <x:f>IF('Release Gates'!C2451="PLANNING","PASS",IF('Release Gates'!C2451="PHYSICAL","OPEN","BLOCKED"))</x:f>
        <x:v>OPEN</x:v>
      </x:c>
      <x:c r="G2477" t="str">
        <x:v>equals</x:v>
      </x:c>
      <x:c r="H2477" t="str">
        <x:f>IF(E2477=F2477,"PASS","FAIL")</x:f>
        <x:v>PASS</x:v>
      </x:c>
    </x:row>
    <x:row r="2478">
      <x:c r="B2478" t="str">
        <x:v>A-02446</x:v>
      </x:c>
      <x:c r="C2478" t="str">
        <x:v>GATE</x:v>
      </x:c>
      <x:c r="D2478" t="str">
        <x:v>release state mirrors governing ledger</x:v>
      </x:c>
      <x:c r="E2478" t="str">
        <x:f>'Release Gates'!I2452</x:f>
        <x:v>OPEN</x:v>
      </x:c>
      <x:c r="F2478" t="str">
        <x:f>IF('Release Gates'!C2452="PLANNING","PASS",IF('Release Gates'!C2452="PHYSICAL","OPEN","BLOCKED"))</x:f>
        <x:v>OPEN</x:v>
      </x:c>
      <x:c r="G2478" t="str">
        <x:v>equals</x:v>
      </x:c>
      <x:c r="H2478" t="str">
        <x:f>IF(E2478=F2478,"PASS","FAIL")</x:f>
        <x:v>PASS</x:v>
      </x:c>
    </x:row>
    <x:row r="2479">
      <x:c r="B2479" t="str">
        <x:v>A-02447</x:v>
      </x:c>
      <x:c r="C2479" t="str">
        <x:v>GATE</x:v>
      </x:c>
      <x:c r="D2479" t="str">
        <x:v>release state mirrors governing ledger</x:v>
      </x:c>
      <x:c r="E2479" t="str">
        <x:f>'Release Gates'!I2453</x:f>
        <x:v>OPEN</x:v>
      </x:c>
      <x:c r="F2479" t="str">
        <x:f>IF('Release Gates'!C2453="PLANNING","PASS",IF('Release Gates'!C2453="PHYSICAL","OPEN","BLOCKED"))</x:f>
        <x:v>OPEN</x:v>
      </x:c>
      <x:c r="G2479" t="str">
        <x:v>equals</x:v>
      </x:c>
      <x:c r="H2479" t="str">
        <x:f>IF(E2479=F2479,"PASS","FAIL")</x:f>
        <x:v>PASS</x:v>
      </x:c>
    </x:row>
    <x:row r="2480">
      <x:c r="B2480" t="str">
        <x:v>A-02448</x:v>
      </x:c>
      <x:c r="C2480" t="str">
        <x:v>GATE</x:v>
      </x:c>
      <x:c r="D2480" t="str">
        <x:v>release state mirrors governing ledger</x:v>
      </x:c>
      <x:c r="E2480" t="str">
        <x:f>'Release Gates'!I2454</x:f>
        <x:v>OPEN</x:v>
      </x:c>
      <x:c r="F2480" t="str">
        <x:f>IF('Release Gates'!C2454="PLANNING","PASS",IF('Release Gates'!C2454="PHYSICAL","OPEN","BLOCKED"))</x:f>
        <x:v>OPEN</x:v>
      </x:c>
      <x:c r="G2480" t="str">
        <x:v>equals</x:v>
      </x:c>
      <x:c r="H2480" t="str">
        <x:f>IF(E2480=F2480,"PASS","FAIL")</x:f>
        <x:v>PASS</x:v>
      </x:c>
    </x:row>
    <x:row r="2481">
      <x:c r="B2481" t="str">
        <x:v>A-02449</x:v>
      </x:c>
      <x:c r="C2481" t="str">
        <x:v>GATE</x:v>
      </x:c>
      <x:c r="D2481" t="str">
        <x:v>release state mirrors governing ledger</x:v>
      </x:c>
      <x:c r="E2481" t="str">
        <x:f>'Release Gates'!I2455</x:f>
        <x:v>OPEN</x:v>
      </x:c>
      <x:c r="F2481" t="str">
        <x:f>IF('Release Gates'!C2455="PLANNING","PASS",IF('Release Gates'!C2455="PHYSICAL","OPEN","BLOCKED"))</x:f>
        <x:v>OPEN</x:v>
      </x:c>
      <x:c r="G2481" t="str">
        <x:v>equals</x:v>
      </x:c>
      <x:c r="H2481" t="str">
        <x:f>IF(E2481=F2481,"PASS","FAIL")</x:f>
        <x:v>PASS</x:v>
      </x:c>
    </x:row>
    <x:row r="2482">
      <x:c r="B2482" t="str">
        <x:v>A-02450</x:v>
      </x:c>
      <x:c r="C2482" t="str">
        <x:v>GATE</x:v>
      </x:c>
      <x:c r="D2482" t="str">
        <x:v>release state mirrors governing ledger</x:v>
      </x:c>
      <x:c r="E2482" t="str">
        <x:f>'Release Gates'!I2456</x:f>
        <x:v>OPEN</x:v>
      </x:c>
      <x:c r="F2482" t="str">
        <x:f>IF('Release Gates'!C2456="PLANNING","PASS",IF('Release Gates'!C2456="PHYSICAL","OPEN","BLOCKED"))</x:f>
        <x:v>OPEN</x:v>
      </x:c>
      <x:c r="G2482" t="str">
        <x:v>equals</x:v>
      </x:c>
      <x:c r="H2482" t="str">
        <x:f>IF(E2482=F2482,"PASS","FAIL")</x:f>
        <x:v>PASS</x:v>
      </x:c>
    </x:row>
    <x:row r="2483">
      <x:c r="B2483" t="str">
        <x:v>A-02451</x:v>
      </x:c>
      <x:c r="C2483" t="str">
        <x:v>GATE</x:v>
      </x:c>
      <x:c r="D2483" t="str">
        <x:v>release state mirrors governing ledger</x:v>
      </x:c>
      <x:c r="E2483" t="str">
        <x:f>'Release Gates'!I2457</x:f>
        <x:v>OPEN</x:v>
      </x:c>
      <x:c r="F2483" t="str">
        <x:f>IF('Release Gates'!C2457="PLANNING","PASS",IF('Release Gates'!C2457="PHYSICAL","OPEN","BLOCKED"))</x:f>
        <x:v>OPEN</x:v>
      </x:c>
      <x:c r="G2483" t="str">
        <x:v>equals</x:v>
      </x:c>
      <x:c r="H2483" t="str">
        <x:f>IF(E2483=F2483,"PASS","FAIL")</x:f>
        <x:v>PASS</x:v>
      </x:c>
    </x:row>
    <x:row r="2484">
      <x:c r="B2484" t="str">
        <x:v>A-02452</x:v>
      </x:c>
      <x:c r="C2484" t="str">
        <x:v>GATE</x:v>
      </x:c>
      <x:c r="D2484" t="str">
        <x:v>release state mirrors governing ledger</x:v>
      </x:c>
      <x:c r="E2484" t="str">
        <x:f>'Release Gates'!I2458</x:f>
        <x:v>OPEN</x:v>
      </x:c>
      <x:c r="F2484" t="str">
        <x:f>IF('Release Gates'!C2458="PLANNING","PASS",IF('Release Gates'!C2458="PHYSICAL","OPEN","BLOCKED"))</x:f>
        <x:v>OPEN</x:v>
      </x:c>
      <x:c r="G2484" t="str">
        <x:v>equals</x:v>
      </x:c>
      <x:c r="H2484" t="str">
        <x:f>IF(E2484=F2484,"PASS","FAIL")</x:f>
        <x:v>PASS</x:v>
      </x:c>
    </x:row>
    <x:row r="2485">
      <x:c r="B2485" t="str">
        <x:v>A-02453</x:v>
      </x:c>
      <x:c r="C2485" t="str">
        <x:v>GATE</x:v>
      </x:c>
      <x:c r="D2485" t="str">
        <x:v>release state mirrors governing ledger</x:v>
      </x:c>
      <x:c r="E2485" t="str">
        <x:f>'Release Gates'!I2459</x:f>
        <x:v>OPEN</x:v>
      </x:c>
      <x:c r="F2485" t="str">
        <x:f>IF('Release Gates'!C2459="PLANNING","PASS",IF('Release Gates'!C2459="PHYSICAL","OPEN","BLOCKED"))</x:f>
        <x:v>OPEN</x:v>
      </x:c>
      <x:c r="G2485" t="str">
        <x:v>equals</x:v>
      </x:c>
      <x:c r="H2485" t="str">
        <x:f>IF(E2485=F2485,"PASS","FAIL")</x:f>
        <x:v>PASS</x:v>
      </x:c>
    </x:row>
    <x:row r="2486">
      <x:c r="B2486" t="str">
        <x:v>A-02454</x:v>
      </x:c>
      <x:c r="C2486" t="str">
        <x:v>GATE</x:v>
      </x:c>
      <x:c r="D2486" t="str">
        <x:v>release state mirrors governing ledger</x:v>
      </x:c>
      <x:c r="E2486" t="str">
        <x:f>'Release Gates'!I2460</x:f>
        <x:v>OPEN</x:v>
      </x:c>
      <x:c r="F2486" t="str">
        <x:f>IF('Release Gates'!C2460="PLANNING","PASS",IF('Release Gates'!C2460="PHYSICAL","OPEN","BLOCKED"))</x:f>
        <x:v>OPEN</x:v>
      </x:c>
      <x:c r="G2486" t="str">
        <x:v>equals</x:v>
      </x:c>
      <x:c r="H2486" t="str">
        <x:f>IF(E2486=F2486,"PASS","FAIL")</x:f>
        <x:v>PASS</x:v>
      </x:c>
    </x:row>
    <x:row r="2487">
      <x:c r="B2487" t="str">
        <x:v>A-02455</x:v>
      </x:c>
      <x:c r="C2487" t="str">
        <x:v>GATE</x:v>
      </x:c>
      <x:c r="D2487" t="str">
        <x:v>release state mirrors governing ledger</x:v>
      </x:c>
      <x:c r="E2487" t="str">
        <x:f>'Release Gates'!I2461</x:f>
        <x:v>OPEN</x:v>
      </x:c>
      <x:c r="F2487" t="str">
        <x:f>IF('Release Gates'!C2461="PLANNING","PASS",IF('Release Gates'!C2461="PHYSICAL","OPEN","BLOCKED"))</x:f>
        <x:v>OPEN</x:v>
      </x:c>
      <x:c r="G2487" t="str">
        <x:v>equals</x:v>
      </x:c>
      <x:c r="H2487" t="str">
        <x:f>IF(E2487=F2487,"PASS","FAIL")</x:f>
        <x:v>PASS</x:v>
      </x:c>
    </x:row>
    <x:row r="2488">
      <x:c r="B2488" t="str">
        <x:v>A-02456</x:v>
      </x:c>
      <x:c r="C2488" t="str">
        <x:v>GATE</x:v>
      </x:c>
      <x:c r="D2488" t="str">
        <x:v>release state mirrors governing ledger</x:v>
      </x:c>
      <x:c r="E2488" t="str">
        <x:f>'Release Gates'!I2462</x:f>
        <x:v>OPEN</x:v>
      </x:c>
      <x:c r="F2488" t="str">
        <x:f>IF('Release Gates'!C2462="PLANNING","PASS",IF('Release Gates'!C2462="PHYSICAL","OPEN","BLOCKED"))</x:f>
        <x:v>OPEN</x:v>
      </x:c>
      <x:c r="G2488" t="str">
        <x:v>equals</x:v>
      </x:c>
      <x:c r="H2488" t="str">
        <x:f>IF(E2488=F2488,"PASS","FAIL")</x:f>
        <x:v>PASS</x:v>
      </x:c>
    </x:row>
    <x:row r="2489">
      <x:c r="B2489" t="str">
        <x:v>A-02457</x:v>
      </x:c>
      <x:c r="C2489" t="str">
        <x:v>GATE</x:v>
      </x:c>
      <x:c r="D2489" t="str">
        <x:v>release state mirrors governing ledger</x:v>
      </x:c>
      <x:c r="E2489" t="str">
        <x:f>'Release Gates'!I2463</x:f>
        <x:v>OPEN</x:v>
      </x:c>
      <x:c r="F2489" t="str">
        <x:f>IF('Release Gates'!C2463="PLANNING","PASS",IF('Release Gates'!C2463="PHYSICAL","OPEN","BLOCKED"))</x:f>
        <x:v>OPEN</x:v>
      </x:c>
      <x:c r="G2489" t="str">
        <x:v>equals</x:v>
      </x:c>
      <x:c r="H2489" t="str">
        <x:f>IF(E2489=F2489,"PASS","FAIL")</x:f>
        <x:v>PASS</x:v>
      </x:c>
    </x:row>
    <x:row r="2490">
      <x:c r="B2490" t="str">
        <x:v>A-02458</x:v>
      </x:c>
      <x:c r="C2490" t="str">
        <x:v>GATE</x:v>
      </x:c>
      <x:c r="D2490" t="str">
        <x:v>release state mirrors governing ledger</x:v>
      </x:c>
      <x:c r="E2490" t="str">
        <x:f>'Release Gates'!I2464</x:f>
        <x:v>OPEN</x:v>
      </x:c>
      <x:c r="F2490" t="str">
        <x:f>IF('Release Gates'!C2464="PLANNING","PASS",IF('Release Gates'!C2464="PHYSICAL","OPEN","BLOCKED"))</x:f>
        <x:v>OPEN</x:v>
      </x:c>
      <x:c r="G2490" t="str">
        <x:v>equals</x:v>
      </x:c>
      <x:c r="H2490" t="str">
        <x:f>IF(E2490=F2490,"PASS","FAIL")</x:f>
        <x:v>PASS</x:v>
      </x:c>
    </x:row>
    <x:row r="2491">
      <x:c r="B2491" t="str">
        <x:v>A-02459</x:v>
      </x:c>
      <x:c r="C2491" t="str">
        <x:v>GATE</x:v>
      </x:c>
      <x:c r="D2491" t="str">
        <x:v>release state mirrors governing ledger</x:v>
      </x:c>
      <x:c r="E2491" t="str">
        <x:f>'Release Gates'!I2465</x:f>
        <x:v>OPEN</x:v>
      </x:c>
      <x:c r="F2491" t="str">
        <x:f>IF('Release Gates'!C2465="PLANNING","PASS",IF('Release Gates'!C2465="PHYSICAL","OPEN","BLOCKED"))</x:f>
        <x:v>OPEN</x:v>
      </x:c>
      <x:c r="G2491" t="str">
        <x:v>equals</x:v>
      </x:c>
      <x:c r="H2491" t="str">
        <x:f>IF(E2491=F2491,"PASS","FAIL")</x:f>
        <x:v>PASS</x:v>
      </x:c>
    </x:row>
    <x:row r="2492">
      <x:c r="B2492" t="str">
        <x:v>A-02460</x:v>
      </x:c>
      <x:c r="C2492" t="str">
        <x:v>GATE</x:v>
      </x:c>
      <x:c r="D2492" t="str">
        <x:v>release state mirrors governing ledger</x:v>
      </x:c>
      <x:c r="E2492" t="str">
        <x:f>'Release Gates'!I2466</x:f>
        <x:v>OPEN</x:v>
      </x:c>
      <x:c r="F2492" t="str">
        <x:f>IF('Release Gates'!C2466="PLANNING","PASS",IF('Release Gates'!C2466="PHYSICAL","OPEN","BLOCKED"))</x:f>
        <x:v>OPEN</x:v>
      </x:c>
      <x:c r="G2492" t="str">
        <x:v>equals</x:v>
      </x:c>
      <x:c r="H2492" t="str">
        <x:f>IF(E2492=F2492,"PASS","FAIL")</x:f>
        <x:v>PASS</x:v>
      </x:c>
    </x:row>
    <x:row r="2493">
      <x:c r="B2493" t="str">
        <x:v>A-02461</x:v>
      </x:c>
      <x:c r="C2493" t="str">
        <x:v>GATE</x:v>
      </x:c>
      <x:c r="D2493" t="str">
        <x:v>release state mirrors governing ledger</x:v>
      </x:c>
      <x:c r="E2493" t="str">
        <x:f>'Release Gates'!I2467</x:f>
        <x:v>OPEN</x:v>
      </x:c>
      <x:c r="F2493" t="str">
        <x:f>IF('Release Gates'!C2467="PLANNING","PASS",IF('Release Gates'!C2467="PHYSICAL","OPEN","BLOCKED"))</x:f>
        <x:v>OPEN</x:v>
      </x:c>
      <x:c r="G2493" t="str">
        <x:v>equals</x:v>
      </x:c>
      <x:c r="H2493" t="str">
        <x:f>IF(E2493=F2493,"PASS","FAIL")</x:f>
        <x:v>PASS</x:v>
      </x:c>
    </x:row>
    <x:row r="2494">
      <x:c r="B2494" t="str">
        <x:v>A-02462</x:v>
      </x:c>
      <x:c r="C2494" t="str">
        <x:v>GATE</x:v>
      </x:c>
      <x:c r="D2494" t="str">
        <x:v>release state mirrors governing ledger</x:v>
      </x:c>
      <x:c r="E2494" t="str">
        <x:f>'Release Gates'!I2468</x:f>
        <x:v>OPEN</x:v>
      </x:c>
      <x:c r="F2494" t="str">
        <x:f>IF('Release Gates'!C2468="PLANNING","PASS",IF('Release Gates'!C2468="PHYSICAL","OPEN","BLOCKED"))</x:f>
        <x:v>OPEN</x:v>
      </x:c>
      <x:c r="G2494" t="str">
        <x:v>equals</x:v>
      </x:c>
      <x:c r="H2494" t="str">
        <x:f>IF(E2494=F2494,"PASS","FAIL")</x:f>
        <x:v>PASS</x:v>
      </x:c>
    </x:row>
    <x:row r="2495">
      <x:c r="B2495" t="str">
        <x:v>A-02463</x:v>
      </x:c>
      <x:c r="C2495" t="str">
        <x:v>GATE</x:v>
      </x:c>
      <x:c r="D2495" t="str">
        <x:v>release state mirrors governing ledger</x:v>
      </x:c>
      <x:c r="E2495" t="str">
        <x:f>'Release Gates'!I2469</x:f>
        <x:v>OPEN</x:v>
      </x:c>
      <x:c r="F2495" t="str">
        <x:f>IF('Release Gates'!C2469="PLANNING","PASS",IF('Release Gates'!C2469="PHYSICAL","OPEN","BLOCKED"))</x:f>
        <x:v>OPEN</x:v>
      </x:c>
      <x:c r="G2495" t="str">
        <x:v>equals</x:v>
      </x:c>
      <x:c r="H2495" t="str">
        <x:f>IF(E2495=F2495,"PASS","FAIL")</x:f>
        <x:v>PASS</x:v>
      </x:c>
    </x:row>
    <x:row r="2496">
      <x:c r="B2496" t="str">
        <x:v>A-02464</x:v>
      </x:c>
      <x:c r="C2496" t="str">
        <x:v>GATE</x:v>
      </x:c>
      <x:c r="D2496" t="str">
        <x:v>release state mirrors governing ledger</x:v>
      </x:c>
      <x:c r="E2496" t="str">
        <x:f>'Release Gates'!I2470</x:f>
        <x:v>OPEN</x:v>
      </x:c>
      <x:c r="F2496" t="str">
        <x:f>IF('Release Gates'!C2470="PLANNING","PASS",IF('Release Gates'!C2470="PHYSICAL","OPEN","BLOCKED"))</x:f>
        <x:v>OPEN</x:v>
      </x:c>
      <x:c r="G2496" t="str">
        <x:v>equals</x:v>
      </x:c>
      <x:c r="H2496" t="str">
        <x:f>IF(E2496=F2496,"PASS","FAIL")</x:f>
        <x:v>PASS</x:v>
      </x:c>
    </x:row>
    <x:row r="2497">
      <x:c r="B2497" t="str">
        <x:v>A-02465</x:v>
      </x:c>
      <x:c r="C2497" t="str">
        <x:v>GATE</x:v>
      </x:c>
      <x:c r="D2497" t="str">
        <x:v>release state mirrors governing ledger</x:v>
      </x:c>
      <x:c r="E2497" t="str">
        <x:f>'Release Gates'!I2471</x:f>
        <x:v>OPEN</x:v>
      </x:c>
      <x:c r="F2497" t="str">
        <x:f>IF('Release Gates'!C2471="PLANNING","PASS",IF('Release Gates'!C2471="PHYSICAL","OPEN","BLOCKED"))</x:f>
        <x:v>OPEN</x:v>
      </x:c>
      <x:c r="G2497" t="str">
        <x:v>equals</x:v>
      </x:c>
      <x:c r="H2497" t="str">
        <x:f>IF(E2497=F2497,"PASS","FAIL")</x:f>
        <x:v>PASS</x:v>
      </x:c>
    </x:row>
    <x:row r="2498">
      <x:c r="B2498" t="str">
        <x:v>A-02466</x:v>
      </x:c>
      <x:c r="C2498" t="str">
        <x:v>GATE</x:v>
      </x:c>
      <x:c r="D2498" t="str">
        <x:v>release state mirrors governing ledger</x:v>
      </x:c>
      <x:c r="E2498" t="str">
        <x:f>'Release Gates'!I2472</x:f>
        <x:v>OPEN</x:v>
      </x:c>
      <x:c r="F2498" t="str">
        <x:f>IF('Release Gates'!C2472="PLANNING","PASS",IF('Release Gates'!C2472="PHYSICAL","OPEN","BLOCKED"))</x:f>
        <x:v>OPEN</x:v>
      </x:c>
      <x:c r="G2498" t="str">
        <x:v>equals</x:v>
      </x:c>
      <x:c r="H2498" t="str">
        <x:f>IF(E2498=F2498,"PASS","FAIL")</x:f>
        <x:v>PASS</x:v>
      </x:c>
    </x:row>
    <x:row r="2499">
      <x:c r="B2499" t="str">
        <x:v>A-02467</x:v>
      </x:c>
      <x:c r="C2499" t="str">
        <x:v>GATE</x:v>
      </x:c>
      <x:c r="D2499" t="str">
        <x:v>release state mirrors governing ledger</x:v>
      </x:c>
      <x:c r="E2499" t="str">
        <x:f>'Release Gates'!I2473</x:f>
        <x:v>OPEN</x:v>
      </x:c>
      <x:c r="F2499" t="str">
        <x:f>IF('Release Gates'!C2473="PLANNING","PASS",IF('Release Gates'!C2473="PHYSICAL","OPEN","BLOCKED"))</x:f>
        <x:v>OPEN</x:v>
      </x:c>
      <x:c r="G2499" t="str">
        <x:v>equals</x:v>
      </x:c>
      <x:c r="H2499" t="str">
        <x:f>IF(E2499=F2499,"PASS","FAIL")</x:f>
        <x:v>PASS</x:v>
      </x:c>
    </x:row>
    <x:row r="2500">
      <x:c r="B2500" t="str">
        <x:v>A-02468</x:v>
      </x:c>
      <x:c r="C2500" t="str">
        <x:v>GATE</x:v>
      </x:c>
      <x:c r="D2500" t="str">
        <x:v>release state mirrors governing ledger</x:v>
      </x:c>
      <x:c r="E2500" t="str">
        <x:f>'Release Gates'!I2474</x:f>
        <x:v>OPEN</x:v>
      </x:c>
      <x:c r="F2500" t="str">
        <x:f>IF('Release Gates'!C2474="PLANNING","PASS",IF('Release Gates'!C2474="PHYSICAL","OPEN","BLOCKED"))</x:f>
        <x:v>OPEN</x:v>
      </x:c>
      <x:c r="G2500" t="str">
        <x:v>equals</x:v>
      </x:c>
      <x:c r="H2500" t="str">
        <x:f>IF(E2500=F2500,"PASS","FAIL")</x:f>
        <x:v>PASS</x:v>
      </x:c>
    </x:row>
    <x:row r="2501">
      <x:c r="B2501" t="str">
        <x:v>A-02469</x:v>
      </x:c>
      <x:c r="C2501" t="str">
        <x:v>GATE</x:v>
      </x:c>
      <x:c r="D2501" t="str">
        <x:v>release state mirrors governing ledger</x:v>
      </x:c>
      <x:c r="E2501" t="str">
        <x:f>'Release Gates'!I2475</x:f>
        <x:v>OPEN</x:v>
      </x:c>
      <x:c r="F2501" t="str">
        <x:f>IF('Release Gates'!C2475="PLANNING","PASS",IF('Release Gates'!C2475="PHYSICAL","OPEN","BLOCKED"))</x:f>
        <x:v>OPEN</x:v>
      </x:c>
      <x:c r="G2501" t="str">
        <x:v>equals</x:v>
      </x:c>
      <x:c r="H2501" t="str">
        <x:f>IF(E2501=F2501,"PASS","FAIL")</x:f>
        <x:v>PASS</x:v>
      </x:c>
    </x:row>
    <x:row r="2502">
      <x:c r="B2502" t="str">
        <x:v>A-02470</x:v>
      </x:c>
      <x:c r="C2502" t="str">
        <x:v>GATE</x:v>
      </x:c>
      <x:c r="D2502" t="str">
        <x:v>release state mirrors governing ledger</x:v>
      </x:c>
      <x:c r="E2502" t="str">
        <x:f>'Release Gates'!I2476</x:f>
        <x:v>OPEN</x:v>
      </x:c>
      <x:c r="F2502" t="str">
        <x:f>IF('Release Gates'!C2476="PLANNING","PASS",IF('Release Gates'!C2476="PHYSICAL","OPEN","BLOCKED"))</x:f>
        <x:v>OPEN</x:v>
      </x:c>
      <x:c r="G2502" t="str">
        <x:v>equals</x:v>
      </x:c>
      <x:c r="H2502" t="str">
        <x:f>IF(E2502=F2502,"PASS","FAIL")</x:f>
        <x:v>PASS</x:v>
      </x:c>
    </x:row>
    <x:row r="2503">
      <x:c r="B2503" t="str">
        <x:v>A-02471</x:v>
      </x:c>
      <x:c r="C2503" t="str">
        <x:v>GATE</x:v>
      </x:c>
      <x:c r="D2503" t="str">
        <x:v>release state mirrors governing ledger</x:v>
      </x:c>
      <x:c r="E2503" t="str">
        <x:f>'Release Gates'!I2477</x:f>
        <x:v>OPEN</x:v>
      </x:c>
      <x:c r="F2503" t="str">
        <x:f>IF('Release Gates'!C2477="PLANNING","PASS",IF('Release Gates'!C2477="PHYSICAL","OPEN","BLOCKED"))</x:f>
        <x:v>OPEN</x:v>
      </x:c>
      <x:c r="G2503" t="str">
        <x:v>equals</x:v>
      </x:c>
      <x:c r="H2503" t="str">
        <x:f>IF(E2503=F2503,"PASS","FAIL")</x:f>
        <x:v>PASS</x:v>
      </x:c>
    </x:row>
    <x:row r="2504">
      <x:c r="B2504" t="str">
        <x:v>A-02472</x:v>
      </x:c>
      <x:c r="C2504" t="str">
        <x:v>GATE</x:v>
      </x:c>
      <x:c r="D2504" t="str">
        <x:v>release state mirrors governing ledger</x:v>
      </x:c>
      <x:c r="E2504" t="str">
        <x:f>'Release Gates'!I2478</x:f>
        <x:v>OPEN</x:v>
      </x:c>
      <x:c r="F2504" t="str">
        <x:f>IF('Release Gates'!C2478="PLANNING","PASS",IF('Release Gates'!C2478="PHYSICAL","OPEN","BLOCKED"))</x:f>
        <x:v>OPEN</x:v>
      </x:c>
      <x:c r="G2504" t="str">
        <x:v>equals</x:v>
      </x:c>
      <x:c r="H2504" t="str">
        <x:f>IF(E2504=F2504,"PASS","FAIL")</x:f>
        <x:v>PASS</x:v>
      </x:c>
    </x:row>
    <x:row r="2505">
      <x:c r="B2505" t="str">
        <x:v>A-02473</x:v>
      </x:c>
      <x:c r="C2505" t="str">
        <x:v>GATE</x:v>
      </x:c>
      <x:c r="D2505" t="str">
        <x:v>release state mirrors governing ledger</x:v>
      </x:c>
      <x:c r="E2505" t="str">
        <x:f>'Release Gates'!I2479</x:f>
        <x:v>OPEN</x:v>
      </x:c>
      <x:c r="F2505" t="str">
        <x:f>IF('Release Gates'!C2479="PLANNING","PASS",IF('Release Gates'!C2479="PHYSICAL","OPEN","BLOCKED"))</x:f>
        <x:v>OPEN</x:v>
      </x:c>
      <x:c r="G2505" t="str">
        <x:v>equals</x:v>
      </x:c>
      <x:c r="H2505" t="str">
        <x:f>IF(E2505=F2505,"PASS","FAIL")</x:f>
        <x:v>PASS</x:v>
      </x:c>
    </x:row>
    <x:row r="2506">
      <x:c r="B2506" t="str">
        <x:v>A-02474</x:v>
      </x:c>
      <x:c r="C2506" t="str">
        <x:v>GATE</x:v>
      </x:c>
      <x:c r="D2506" t="str">
        <x:v>release state mirrors governing ledger</x:v>
      </x:c>
      <x:c r="E2506" t="str">
        <x:f>'Release Gates'!I2480</x:f>
        <x:v>OPEN</x:v>
      </x:c>
      <x:c r="F2506" t="str">
        <x:f>IF('Release Gates'!C2480="PLANNING","PASS",IF('Release Gates'!C2480="PHYSICAL","OPEN","BLOCKED"))</x:f>
        <x:v>OPEN</x:v>
      </x:c>
      <x:c r="G2506" t="str">
        <x:v>equals</x:v>
      </x:c>
      <x:c r="H2506" t="str">
        <x:f>IF(E2506=F2506,"PASS","FAIL")</x:f>
        <x:v>PASS</x:v>
      </x:c>
    </x:row>
    <x:row r="2507">
      <x:c r="B2507" t="str">
        <x:v>A-02475</x:v>
      </x:c>
      <x:c r="C2507" t="str">
        <x:v>GATE</x:v>
      </x:c>
      <x:c r="D2507" t="str">
        <x:v>release state mirrors governing ledger</x:v>
      </x:c>
      <x:c r="E2507" t="str">
        <x:f>'Release Gates'!I2481</x:f>
        <x:v>OPEN</x:v>
      </x:c>
      <x:c r="F2507" t="str">
        <x:f>IF('Release Gates'!C2481="PLANNING","PASS",IF('Release Gates'!C2481="PHYSICAL","OPEN","BLOCKED"))</x:f>
        <x:v>OPEN</x:v>
      </x:c>
      <x:c r="G2507" t="str">
        <x:v>equals</x:v>
      </x:c>
      <x:c r="H2507" t="str">
        <x:f>IF(E2507=F2507,"PASS","FAIL")</x:f>
        <x:v>PASS</x:v>
      </x:c>
    </x:row>
    <x:row r="2508">
      <x:c r="B2508" t="str">
        <x:v>A-02476</x:v>
      </x:c>
      <x:c r="C2508" t="str">
        <x:v>GATE</x:v>
      </x:c>
      <x:c r="D2508" t="str">
        <x:v>release state mirrors governing ledger</x:v>
      </x:c>
      <x:c r="E2508" t="str">
        <x:f>'Release Gates'!I2482</x:f>
        <x:v>OPEN</x:v>
      </x:c>
      <x:c r="F2508" t="str">
        <x:f>IF('Release Gates'!C2482="PLANNING","PASS",IF('Release Gates'!C2482="PHYSICAL","OPEN","BLOCKED"))</x:f>
        <x:v>OPEN</x:v>
      </x:c>
      <x:c r="G2508" t="str">
        <x:v>equals</x:v>
      </x:c>
      <x:c r="H2508" t="str">
        <x:f>IF(E2508=F2508,"PASS","FAIL")</x:f>
        <x:v>PASS</x:v>
      </x:c>
    </x:row>
    <x:row r="2509">
      <x:c r="B2509" t="str">
        <x:v>A-02477</x:v>
      </x:c>
      <x:c r="C2509" t="str">
        <x:v>GATE</x:v>
      </x:c>
      <x:c r="D2509" t="str">
        <x:v>release state mirrors governing ledger</x:v>
      </x:c>
      <x:c r="E2509" t="str">
        <x:f>'Release Gates'!I2483</x:f>
        <x:v>OPEN</x:v>
      </x:c>
      <x:c r="F2509" t="str">
        <x:f>IF('Release Gates'!C2483="PLANNING","PASS",IF('Release Gates'!C2483="PHYSICAL","OPEN","BLOCKED"))</x:f>
        <x:v>OPEN</x:v>
      </x:c>
      <x:c r="G2509" t="str">
        <x:v>equals</x:v>
      </x:c>
      <x:c r="H2509" t="str">
        <x:f>IF(E2509=F2509,"PASS","FAIL")</x:f>
        <x:v>PASS</x:v>
      </x:c>
    </x:row>
    <x:row r="2510">
      <x:c r="B2510" t="str">
        <x:v>A-02478</x:v>
      </x:c>
      <x:c r="C2510" t="str">
        <x:v>GATE</x:v>
      </x:c>
      <x:c r="D2510" t="str">
        <x:v>release state mirrors governing ledger</x:v>
      </x:c>
      <x:c r="E2510" t="str">
        <x:f>'Release Gates'!I2484</x:f>
        <x:v>OPEN</x:v>
      </x:c>
      <x:c r="F2510" t="str">
        <x:f>IF('Release Gates'!C2484="PLANNING","PASS",IF('Release Gates'!C2484="PHYSICAL","OPEN","BLOCKED"))</x:f>
        <x:v>OPEN</x:v>
      </x:c>
      <x:c r="G2510" t="str">
        <x:v>equals</x:v>
      </x:c>
      <x:c r="H2510" t="str">
        <x:f>IF(E2510=F2510,"PASS","FAIL")</x:f>
        <x:v>PASS</x:v>
      </x:c>
    </x:row>
    <x:row r="2511">
      <x:c r="B2511" t="str">
        <x:v>A-02479</x:v>
      </x:c>
      <x:c r="C2511" t="str">
        <x:v>GATE</x:v>
      </x:c>
      <x:c r="D2511" t="str">
        <x:v>release state mirrors governing ledger</x:v>
      </x:c>
      <x:c r="E2511" t="str">
        <x:f>'Release Gates'!I2485</x:f>
        <x:v>OPEN</x:v>
      </x:c>
      <x:c r="F2511" t="str">
        <x:f>IF('Release Gates'!C2485="PLANNING","PASS",IF('Release Gates'!C2485="PHYSICAL","OPEN","BLOCKED"))</x:f>
        <x:v>OPEN</x:v>
      </x:c>
      <x:c r="G2511" t="str">
        <x:v>equals</x:v>
      </x:c>
      <x:c r="H2511" t="str">
        <x:f>IF(E2511=F2511,"PASS","FAIL")</x:f>
        <x:v>PASS</x:v>
      </x:c>
    </x:row>
    <x:row r="2512">
      <x:c r="B2512" t="str">
        <x:v>A-02480</x:v>
      </x:c>
      <x:c r="C2512" t="str">
        <x:v>GATE</x:v>
      </x:c>
      <x:c r="D2512" t="str">
        <x:v>release state mirrors governing ledger</x:v>
      </x:c>
      <x:c r="E2512" t="str">
        <x:f>'Release Gates'!I2486</x:f>
        <x:v>OPEN</x:v>
      </x:c>
      <x:c r="F2512" t="str">
        <x:f>IF('Release Gates'!C2486="PLANNING","PASS",IF('Release Gates'!C2486="PHYSICAL","OPEN","BLOCKED"))</x:f>
        <x:v>OPEN</x:v>
      </x:c>
      <x:c r="G2512" t="str">
        <x:v>equals</x:v>
      </x:c>
      <x:c r="H2512" t="str">
        <x:f>IF(E2512=F2512,"PASS","FAIL")</x:f>
        <x:v>PASS</x:v>
      </x:c>
    </x:row>
    <x:row r="2513">
      <x:c r="B2513" t="str">
        <x:v>A-02481</x:v>
      </x:c>
      <x:c r="C2513" t="str">
        <x:v>GATE</x:v>
      </x:c>
      <x:c r="D2513" t="str">
        <x:v>release state mirrors governing ledger</x:v>
      </x:c>
      <x:c r="E2513" t="str">
        <x:f>'Release Gates'!I2487</x:f>
        <x:v>OPEN</x:v>
      </x:c>
      <x:c r="F2513" t="str">
        <x:f>IF('Release Gates'!C2487="PLANNING","PASS",IF('Release Gates'!C2487="PHYSICAL","OPEN","BLOCKED"))</x:f>
        <x:v>OPEN</x:v>
      </x:c>
      <x:c r="G2513" t="str">
        <x:v>equals</x:v>
      </x:c>
      <x:c r="H2513" t="str">
        <x:f>IF(E2513=F2513,"PASS","FAIL")</x:f>
        <x:v>PASS</x:v>
      </x:c>
    </x:row>
    <x:row r="2514">
      <x:c r="B2514" t="str">
        <x:v>A-02482</x:v>
      </x:c>
      <x:c r="C2514" t="str">
        <x:v>GATE</x:v>
      </x:c>
      <x:c r="D2514" t="str">
        <x:v>release state mirrors governing ledger</x:v>
      </x:c>
      <x:c r="E2514" t="str">
        <x:f>'Release Gates'!I2488</x:f>
        <x:v>OPEN</x:v>
      </x:c>
      <x:c r="F2514" t="str">
        <x:f>IF('Release Gates'!C2488="PLANNING","PASS",IF('Release Gates'!C2488="PHYSICAL","OPEN","BLOCKED"))</x:f>
        <x:v>OPEN</x:v>
      </x:c>
      <x:c r="G2514" t="str">
        <x:v>equals</x:v>
      </x:c>
      <x:c r="H2514" t="str">
        <x:f>IF(E2514=F2514,"PASS","FAIL")</x:f>
        <x:v>PASS</x:v>
      </x:c>
    </x:row>
    <x:row r="2515">
      <x:c r="B2515" t="str">
        <x:v>A-02483</x:v>
      </x:c>
      <x:c r="C2515" t="str">
        <x:v>GATE</x:v>
      </x:c>
      <x:c r="D2515" t="str">
        <x:v>release state mirrors governing ledger</x:v>
      </x:c>
      <x:c r="E2515" t="str">
        <x:f>'Release Gates'!I2489</x:f>
        <x:v>OPEN</x:v>
      </x:c>
      <x:c r="F2515" t="str">
        <x:f>IF('Release Gates'!C2489="PLANNING","PASS",IF('Release Gates'!C2489="PHYSICAL","OPEN","BLOCKED"))</x:f>
        <x:v>OPEN</x:v>
      </x:c>
      <x:c r="G2515" t="str">
        <x:v>equals</x:v>
      </x:c>
      <x:c r="H2515" t="str">
        <x:f>IF(E2515=F2515,"PASS","FAIL")</x:f>
        <x:v>PASS</x:v>
      </x:c>
    </x:row>
    <x:row r="2516">
      <x:c r="B2516" t="str">
        <x:v>A-02484</x:v>
      </x:c>
      <x:c r="C2516" t="str">
        <x:v>GATE</x:v>
      </x:c>
      <x:c r="D2516" t="str">
        <x:v>release state mirrors governing ledger</x:v>
      </x:c>
      <x:c r="E2516" t="str">
        <x:f>'Release Gates'!I2490</x:f>
        <x:v>OPEN</x:v>
      </x:c>
      <x:c r="F2516" t="str">
        <x:f>IF('Release Gates'!C2490="PLANNING","PASS",IF('Release Gates'!C2490="PHYSICAL","OPEN","BLOCKED"))</x:f>
        <x:v>OPEN</x:v>
      </x:c>
      <x:c r="G2516" t="str">
        <x:v>equals</x:v>
      </x:c>
      <x:c r="H2516" t="str">
        <x:f>IF(E2516=F2516,"PASS","FAIL")</x:f>
        <x:v>PASS</x:v>
      </x:c>
    </x:row>
    <x:row r="2517">
      <x:c r="B2517" t="str">
        <x:v>A-02485</x:v>
      </x:c>
      <x:c r="C2517" t="str">
        <x:v>GATE</x:v>
      </x:c>
      <x:c r="D2517" t="str">
        <x:v>release state mirrors governing ledger</x:v>
      </x:c>
      <x:c r="E2517" t="str">
        <x:f>'Release Gates'!I2491</x:f>
        <x:v>OPEN</x:v>
      </x:c>
      <x:c r="F2517" t="str">
        <x:f>IF('Release Gates'!C2491="PLANNING","PASS",IF('Release Gates'!C2491="PHYSICAL","OPEN","BLOCKED"))</x:f>
        <x:v>OPEN</x:v>
      </x:c>
      <x:c r="G2517" t="str">
        <x:v>equals</x:v>
      </x:c>
      <x:c r="H2517" t="str">
        <x:f>IF(E2517=F2517,"PASS","FAIL")</x:f>
        <x:v>PASS</x:v>
      </x:c>
    </x:row>
    <x:row r="2518">
      <x:c r="B2518" t="str">
        <x:v>A-02486</x:v>
      </x:c>
      <x:c r="C2518" t="str">
        <x:v>GATE</x:v>
      </x:c>
      <x:c r="D2518" t="str">
        <x:v>release state mirrors governing ledger</x:v>
      </x:c>
      <x:c r="E2518" t="str">
        <x:f>'Release Gates'!I2492</x:f>
        <x:v>OPEN</x:v>
      </x:c>
      <x:c r="F2518" t="str">
        <x:f>IF('Release Gates'!C2492="PLANNING","PASS",IF('Release Gates'!C2492="PHYSICAL","OPEN","BLOCKED"))</x:f>
        <x:v>OPEN</x:v>
      </x:c>
      <x:c r="G2518" t="str">
        <x:v>equals</x:v>
      </x:c>
      <x:c r="H2518" t="str">
        <x:f>IF(E2518=F2518,"PASS","FAIL")</x:f>
        <x:v>PASS</x:v>
      </x:c>
    </x:row>
    <x:row r="2519">
      <x:c r="B2519" t="str">
        <x:v>A-02487</x:v>
      </x:c>
      <x:c r="C2519" t="str">
        <x:v>GATE</x:v>
      </x:c>
      <x:c r="D2519" t="str">
        <x:v>release state mirrors governing ledger</x:v>
      </x:c>
      <x:c r="E2519" t="str">
        <x:f>'Release Gates'!I2493</x:f>
        <x:v>OPEN</x:v>
      </x:c>
      <x:c r="F2519" t="str">
        <x:f>IF('Release Gates'!C2493="PLANNING","PASS",IF('Release Gates'!C2493="PHYSICAL","OPEN","BLOCKED"))</x:f>
        <x:v>OPEN</x:v>
      </x:c>
      <x:c r="G2519" t="str">
        <x:v>equals</x:v>
      </x:c>
      <x:c r="H2519" t="str">
        <x:f>IF(E2519=F2519,"PASS","FAIL")</x:f>
        <x:v>PASS</x:v>
      </x:c>
    </x:row>
    <x:row r="2520">
      <x:c r="B2520" t="str">
        <x:v>A-02488</x:v>
      </x:c>
      <x:c r="C2520" t="str">
        <x:v>GATE</x:v>
      </x:c>
      <x:c r="D2520" t="str">
        <x:v>release state mirrors governing ledger</x:v>
      </x:c>
      <x:c r="E2520" t="str">
        <x:f>'Release Gates'!I2494</x:f>
        <x:v>OPEN</x:v>
      </x:c>
      <x:c r="F2520" t="str">
        <x:f>IF('Release Gates'!C2494="PLANNING","PASS",IF('Release Gates'!C2494="PHYSICAL","OPEN","BLOCKED"))</x:f>
        <x:v>OPEN</x:v>
      </x:c>
      <x:c r="G2520" t="str">
        <x:v>equals</x:v>
      </x:c>
      <x:c r="H2520" t="str">
        <x:f>IF(E2520=F2520,"PASS","FAIL")</x:f>
        <x:v>PASS</x:v>
      </x:c>
    </x:row>
    <x:row r="2521">
      <x:c r="B2521" t="str">
        <x:v>A-02489</x:v>
      </x:c>
      <x:c r="C2521" t="str">
        <x:v>GATE</x:v>
      </x:c>
      <x:c r="D2521" t="str">
        <x:v>release state mirrors governing ledger</x:v>
      </x:c>
      <x:c r="E2521" t="str">
        <x:f>'Release Gates'!I2495</x:f>
        <x:v>OPEN</x:v>
      </x:c>
      <x:c r="F2521" t="str">
        <x:f>IF('Release Gates'!C2495="PLANNING","PASS",IF('Release Gates'!C2495="PHYSICAL","OPEN","BLOCKED"))</x:f>
        <x:v>OPEN</x:v>
      </x:c>
      <x:c r="G2521" t="str">
        <x:v>equals</x:v>
      </x:c>
      <x:c r="H2521" t="str">
        <x:f>IF(E2521=F2521,"PASS","FAIL")</x:f>
        <x:v>PASS</x:v>
      </x:c>
    </x:row>
    <x:row r="2522">
      <x:c r="B2522" t="str">
        <x:v>A-02490</x:v>
      </x:c>
      <x:c r="C2522" t="str">
        <x:v>GATE</x:v>
      </x:c>
      <x:c r="D2522" t="str">
        <x:v>release state mirrors governing ledger</x:v>
      </x:c>
      <x:c r="E2522" t="str">
        <x:f>'Release Gates'!I2496</x:f>
        <x:v>OPEN</x:v>
      </x:c>
      <x:c r="F2522" t="str">
        <x:f>IF('Release Gates'!C2496="PLANNING","PASS",IF('Release Gates'!C2496="PHYSICAL","OPEN","BLOCKED"))</x:f>
        <x:v>OPEN</x:v>
      </x:c>
      <x:c r="G2522" t="str">
        <x:v>equals</x:v>
      </x:c>
      <x:c r="H2522" t="str">
        <x:f>IF(E2522=F2522,"PASS","FAIL")</x:f>
        <x:v>PASS</x:v>
      </x:c>
    </x:row>
    <x:row r="2523">
      <x:c r="B2523" t="str">
        <x:v>A-02491</x:v>
      </x:c>
      <x:c r="C2523" t="str">
        <x:v>GATE</x:v>
      </x:c>
      <x:c r="D2523" t="str">
        <x:v>release state mirrors governing ledger</x:v>
      </x:c>
      <x:c r="E2523" t="str">
        <x:f>'Release Gates'!I2497</x:f>
        <x:v>OPEN</x:v>
      </x:c>
      <x:c r="F2523" t="str">
        <x:f>IF('Release Gates'!C2497="PLANNING","PASS",IF('Release Gates'!C2497="PHYSICAL","OPEN","BLOCKED"))</x:f>
        <x:v>OPEN</x:v>
      </x:c>
      <x:c r="G2523" t="str">
        <x:v>equals</x:v>
      </x:c>
      <x:c r="H2523" t="str">
        <x:f>IF(E2523=F2523,"PASS","FAIL")</x:f>
        <x:v>PASS</x:v>
      </x:c>
    </x:row>
    <x:row r="2524">
      <x:c r="B2524" t="str">
        <x:v>A-02492</x:v>
      </x:c>
      <x:c r="C2524" t="str">
        <x:v>GATE</x:v>
      </x:c>
      <x:c r="D2524" t="str">
        <x:v>release state mirrors governing ledger</x:v>
      </x:c>
      <x:c r="E2524" t="str">
        <x:f>'Release Gates'!I2498</x:f>
        <x:v>OPEN</x:v>
      </x:c>
      <x:c r="F2524" t="str">
        <x:f>IF('Release Gates'!C2498="PLANNING","PASS",IF('Release Gates'!C2498="PHYSICAL","OPEN","BLOCKED"))</x:f>
        <x:v>OPEN</x:v>
      </x:c>
      <x:c r="G2524" t="str">
        <x:v>equals</x:v>
      </x:c>
      <x:c r="H2524" t="str">
        <x:f>IF(E2524=F2524,"PASS","FAIL")</x:f>
        <x:v>PASS</x:v>
      </x:c>
    </x:row>
    <x:row r="2525">
      <x:c r="B2525" t="str">
        <x:v>A-02493</x:v>
      </x:c>
      <x:c r="C2525" t="str">
        <x:v>GATE</x:v>
      </x:c>
      <x:c r="D2525" t="str">
        <x:v>release state mirrors governing ledger</x:v>
      </x:c>
      <x:c r="E2525" t="str">
        <x:f>'Release Gates'!I2499</x:f>
        <x:v>OPEN</x:v>
      </x:c>
      <x:c r="F2525" t="str">
        <x:f>IF('Release Gates'!C2499="PLANNING","PASS",IF('Release Gates'!C2499="PHYSICAL","OPEN","BLOCKED"))</x:f>
        <x:v>OPEN</x:v>
      </x:c>
      <x:c r="G2525" t="str">
        <x:v>equals</x:v>
      </x:c>
      <x:c r="H2525" t="str">
        <x:f>IF(E2525=F2525,"PASS","FAIL")</x:f>
        <x:v>PASS</x:v>
      </x:c>
    </x:row>
    <x:row r="2526">
      <x:c r="B2526" t="str">
        <x:v>A-02494</x:v>
      </x:c>
      <x:c r="C2526" t="str">
        <x:v>GATE</x:v>
      </x:c>
      <x:c r="D2526" t="str">
        <x:v>release state mirrors governing ledger</x:v>
      </x:c>
      <x:c r="E2526" t="str">
        <x:f>'Release Gates'!I2500</x:f>
        <x:v>OPEN</x:v>
      </x:c>
      <x:c r="F2526" t="str">
        <x:f>IF('Release Gates'!C2500="PLANNING","PASS",IF('Release Gates'!C2500="PHYSICAL","OPEN","BLOCKED"))</x:f>
        <x:v>OPEN</x:v>
      </x:c>
      <x:c r="G2526" t="str">
        <x:v>equals</x:v>
      </x:c>
      <x:c r="H2526" t="str">
        <x:f>IF(E2526=F2526,"PASS","FAIL")</x:f>
        <x:v>PASS</x:v>
      </x:c>
    </x:row>
    <x:row r="2527">
      <x:c r="B2527" t="str">
        <x:v>A-02495</x:v>
      </x:c>
      <x:c r="C2527" t="str">
        <x:v>GATE</x:v>
      </x:c>
      <x:c r="D2527" t="str">
        <x:v>release state mirrors governing ledger</x:v>
      </x:c>
      <x:c r="E2527" t="str">
        <x:f>'Release Gates'!I2501</x:f>
        <x:v>OPEN</x:v>
      </x:c>
      <x:c r="F2527" t="str">
        <x:f>IF('Release Gates'!C2501="PLANNING","PASS",IF('Release Gates'!C2501="PHYSICAL","OPEN","BLOCKED"))</x:f>
        <x:v>OPEN</x:v>
      </x:c>
      <x:c r="G2527" t="str">
        <x:v>equals</x:v>
      </x:c>
      <x:c r="H2527" t="str">
        <x:f>IF(E2527=F2527,"PASS","FAIL")</x:f>
        <x:v>PASS</x:v>
      </x:c>
    </x:row>
    <x:row r="2528">
      <x:c r="B2528" t="str">
        <x:v>A-02496</x:v>
      </x:c>
      <x:c r="C2528" t="str">
        <x:v>GATE</x:v>
      </x:c>
      <x:c r="D2528" t="str">
        <x:v>release state mirrors governing ledger</x:v>
      </x:c>
      <x:c r="E2528" t="str">
        <x:f>'Release Gates'!I2502</x:f>
        <x:v>OPEN</x:v>
      </x:c>
      <x:c r="F2528" t="str">
        <x:f>IF('Release Gates'!C2502="PLANNING","PASS",IF('Release Gates'!C2502="PHYSICAL","OPEN","BLOCKED"))</x:f>
        <x:v>OPEN</x:v>
      </x:c>
      <x:c r="G2528" t="str">
        <x:v>equals</x:v>
      </x:c>
      <x:c r="H2528" t="str">
        <x:f>IF(E2528=F2528,"PASS","FAIL")</x:f>
        <x:v>PASS</x:v>
      </x:c>
    </x:row>
    <x:row r="2529">
      <x:c r="B2529" t="str">
        <x:v>A-02497</x:v>
      </x:c>
      <x:c r="C2529" t="str">
        <x:v>GATE</x:v>
      </x:c>
      <x:c r="D2529" t="str">
        <x:v>release state mirrors governing ledger</x:v>
      </x:c>
      <x:c r="E2529" t="str">
        <x:f>'Release Gates'!I2503</x:f>
        <x:v>OPEN</x:v>
      </x:c>
      <x:c r="F2529" t="str">
        <x:f>IF('Release Gates'!C2503="PLANNING","PASS",IF('Release Gates'!C2503="PHYSICAL","OPEN","BLOCKED"))</x:f>
        <x:v>OPEN</x:v>
      </x:c>
      <x:c r="G2529" t="str">
        <x:v>equals</x:v>
      </x:c>
      <x:c r="H2529" t="str">
        <x:f>IF(E2529=F2529,"PASS","FAIL")</x:f>
        <x:v>PASS</x:v>
      </x:c>
    </x:row>
    <x:row r="2530">
      <x:c r="B2530" t="str">
        <x:v>A-02498</x:v>
      </x:c>
      <x:c r="C2530" t="str">
        <x:v>GATE</x:v>
      </x:c>
      <x:c r="D2530" t="str">
        <x:v>release state mirrors governing ledger</x:v>
      </x:c>
      <x:c r="E2530" t="str">
        <x:f>'Release Gates'!I2504</x:f>
        <x:v>OPEN</x:v>
      </x:c>
      <x:c r="F2530" t="str">
        <x:f>IF('Release Gates'!C2504="PLANNING","PASS",IF('Release Gates'!C2504="PHYSICAL","OPEN","BLOCKED"))</x:f>
        <x:v>OPEN</x:v>
      </x:c>
      <x:c r="G2530" t="str">
        <x:v>equals</x:v>
      </x:c>
      <x:c r="H2530" t="str">
        <x:f>IF(E2530=F2530,"PASS","FAIL")</x:f>
        <x:v>PASS</x:v>
      </x:c>
    </x:row>
    <x:row r="2531">
      <x:c r="B2531" t="str">
        <x:v>A-02499</x:v>
      </x:c>
      <x:c r="C2531" t="str">
        <x:v>GATE</x:v>
      </x:c>
      <x:c r="D2531" t="str">
        <x:v>release state mirrors governing ledger</x:v>
      </x:c>
      <x:c r="E2531" t="str">
        <x:f>'Release Gates'!I2505</x:f>
        <x:v>OPEN</x:v>
      </x:c>
      <x:c r="F2531" t="str">
        <x:f>IF('Release Gates'!C2505="PLANNING","PASS",IF('Release Gates'!C2505="PHYSICAL","OPEN","BLOCKED"))</x:f>
        <x:v>OPEN</x:v>
      </x:c>
      <x:c r="G2531" t="str">
        <x:v>equals</x:v>
      </x:c>
      <x:c r="H2531" t="str">
        <x:f>IF(E2531=F2531,"PASS","FAIL")</x:f>
        <x:v>PASS</x:v>
      </x:c>
    </x:row>
    <x:row r="2532">
      <x:c r="B2532" t="str">
        <x:v>A-02500</x:v>
      </x:c>
      <x:c r="C2532" t="str">
        <x:v>GATE</x:v>
      </x:c>
      <x:c r="D2532" t="str">
        <x:v>release state mirrors governing ledger</x:v>
      </x:c>
      <x:c r="E2532" t="str">
        <x:f>'Release Gates'!I2506</x:f>
        <x:v>OPEN</x:v>
      </x:c>
      <x:c r="F2532" t="str">
        <x:f>IF('Release Gates'!C2506="PLANNING","PASS",IF('Release Gates'!C2506="PHYSICAL","OPEN","BLOCKED"))</x:f>
        <x:v>OPEN</x:v>
      </x:c>
      <x:c r="G2532" t="str">
        <x:v>equals</x:v>
      </x:c>
      <x:c r="H2532" t="str">
        <x:f>IF(E2532=F2532,"PASS","FAIL")</x:f>
        <x:v>PASS</x:v>
      </x:c>
    </x:row>
    <x:row r="2533">
      <x:c r="B2533" t="str">
        <x:v>A-02501</x:v>
      </x:c>
      <x:c r="C2533" t="str">
        <x:v>GATE</x:v>
      </x:c>
      <x:c r="D2533" t="str">
        <x:v>release state mirrors governing ledger</x:v>
      </x:c>
      <x:c r="E2533" t="str">
        <x:f>'Release Gates'!I2507</x:f>
        <x:v>OPEN</x:v>
      </x:c>
      <x:c r="F2533" t="str">
        <x:f>IF('Release Gates'!C2507="PLANNING","PASS",IF('Release Gates'!C2507="PHYSICAL","OPEN","BLOCKED"))</x:f>
        <x:v>OPEN</x:v>
      </x:c>
      <x:c r="G2533" t="str">
        <x:v>equals</x:v>
      </x:c>
      <x:c r="H2533" t="str">
        <x:f>IF(E2533=F2533,"PASS","FAIL")</x:f>
        <x:v>PASS</x:v>
      </x:c>
    </x:row>
    <x:row r="2534">
      <x:c r="B2534" t="str">
        <x:v>A-02502</x:v>
      </x:c>
      <x:c r="C2534" t="str">
        <x:v>GATE</x:v>
      </x:c>
      <x:c r="D2534" t="str">
        <x:v>release state mirrors governing ledger</x:v>
      </x:c>
      <x:c r="E2534" t="str">
        <x:f>'Release Gates'!I2508</x:f>
        <x:v>OPEN</x:v>
      </x:c>
      <x:c r="F2534" t="str">
        <x:f>IF('Release Gates'!C2508="PLANNING","PASS",IF('Release Gates'!C2508="PHYSICAL","OPEN","BLOCKED"))</x:f>
        <x:v>OPEN</x:v>
      </x:c>
      <x:c r="G2534" t="str">
        <x:v>equals</x:v>
      </x:c>
      <x:c r="H2534" t="str">
        <x:f>IF(E2534=F2534,"PASS","FAIL")</x:f>
        <x:v>PASS</x:v>
      </x:c>
    </x:row>
    <x:row r="2535">
      <x:c r="B2535" t="str">
        <x:v>A-02503</x:v>
      </x:c>
      <x:c r="C2535" t="str">
        <x:v>GATE</x:v>
      </x:c>
      <x:c r="D2535" t="str">
        <x:v>release state mirrors governing ledger</x:v>
      </x:c>
      <x:c r="E2535" t="str">
        <x:f>'Release Gates'!I2509</x:f>
        <x:v>OPEN</x:v>
      </x:c>
      <x:c r="F2535" t="str">
        <x:f>IF('Release Gates'!C2509="PLANNING","PASS",IF('Release Gates'!C2509="PHYSICAL","OPEN","BLOCKED"))</x:f>
        <x:v>OPEN</x:v>
      </x:c>
      <x:c r="G2535" t="str">
        <x:v>equals</x:v>
      </x:c>
      <x:c r="H2535" t="str">
        <x:f>IF(E2535=F2535,"PASS","FAIL")</x:f>
        <x:v>PASS</x:v>
      </x:c>
    </x:row>
    <x:row r="2536">
      <x:c r="B2536" t="str">
        <x:v>A-02504</x:v>
      </x:c>
      <x:c r="C2536" t="str">
        <x:v>GATE</x:v>
      </x:c>
      <x:c r="D2536" t="str">
        <x:v>release state mirrors governing ledger</x:v>
      </x:c>
      <x:c r="E2536" t="str">
        <x:f>'Release Gates'!I2510</x:f>
        <x:v>OPEN</x:v>
      </x:c>
      <x:c r="F2536" t="str">
        <x:f>IF('Release Gates'!C2510="PLANNING","PASS",IF('Release Gates'!C2510="PHYSICAL","OPEN","BLOCKED"))</x:f>
        <x:v>OPEN</x:v>
      </x:c>
      <x:c r="G2536" t="str">
        <x:v>equals</x:v>
      </x:c>
      <x:c r="H2536" t="str">
        <x:f>IF(E2536=F2536,"PASS","FAIL")</x:f>
        <x:v>PASS</x:v>
      </x:c>
    </x:row>
    <x:row r="2537">
      <x:c r="B2537" t="str">
        <x:v>A-02505</x:v>
      </x:c>
      <x:c r="C2537" t="str">
        <x:v>GATE</x:v>
      </x:c>
      <x:c r="D2537" t="str">
        <x:v>release state mirrors governing ledger</x:v>
      </x:c>
      <x:c r="E2537" t="str">
        <x:f>'Release Gates'!I2511</x:f>
        <x:v>OPEN</x:v>
      </x:c>
      <x:c r="F2537" t="str">
        <x:f>IF('Release Gates'!C2511="PLANNING","PASS",IF('Release Gates'!C2511="PHYSICAL","OPEN","BLOCKED"))</x:f>
        <x:v>OPEN</x:v>
      </x:c>
      <x:c r="G2537" t="str">
        <x:v>equals</x:v>
      </x:c>
      <x:c r="H2537" t="str">
        <x:f>IF(E2537=F2537,"PASS","FAIL")</x:f>
        <x:v>PASS</x:v>
      </x:c>
    </x:row>
    <x:row r="2538">
      <x:c r="B2538" t="str">
        <x:v>A-02506</x:v>
      </x:c>
      <x:c r="C2538" t="str">
        <x:v>GATE</x:v>
      </x:c>
      <x:c r="D2538" t="str">
        <x:v>release state mirrors governing ledger</x:v>
      </x:c>
      <x:c r="E2538" t="str">
        <x:f>'Release Gates'!I2512</x:f>
        <x:v>OPEN</x:v>
      </x:c>
      <x:c r="F2538" t="str">
        <x:f>IF('Release Gates'!C2512="PLANNING","PASS",IF('Release Gates'!C2512="PHYSICAL","OPEN","BLOCKED"))</x:f>
        <x:v>OPEN</x:v>
      </x:c>
      <x:c r="G2538" t="str">
        <x:v>equals</x:v>
      </x:c>
      <x:c r="H2538" t="str">
        <x:f>IF(E2538=F2538,"PASS","FAIL")</x:f>
        <x:v>PASS</x:v>
      </x:c>
    </x:row>
    <x:row r="2539">
      <x:c r="B2539" t="str">
        <x:v>A-02507</x:v>
      </x:c>
      <x:c r="C2539" t="str">
        <x:v>GATE</x:v>
      </x:c>
      <x:c r="D2539" t="str">
        <x:v>release state mirrors governing ledger</x:v>
      </x:c>
      <x:c r="E2539" t="str">
        <x:f>'Release Gates'!I2513</x:f>
        <x:v>OPEN</x:v>
      </x:c>
      <x:c r="F2539" t="str">
        <x:f>IF('Release Gates'!C2513="PLANNING","PASS",IF('Release Gates'!C2513="PHYSICAL","OPEN","BLOCKED"))</x:f>
        <x:v>OPEN</x:v>
      </x:c>
      <x:c r="G2539" t="str">
        <x:v>equals</x:v>
      </x:c>
      <x:c r="H2539" t="str">
        <x:f>IF(E2539=F2539,"PASS","FAIL")</x:f>
        <x:v>PASS</x:v>
      </x:c>
    </x:row>
    <x:row r="2540">
      <x:c r="B2540" t="str">
        <x:v>A-02508</x:v>
      </x:c>
      <x:c r="C2540" t="str">
        <x:v>GATE</x:v>
      </x:c>
      <x:c r="D2540" t="str">
        <x:v>release state mirrors governing ledger</x:v>
      </x:c>
      <x:c r="E2540" t="str">
        <x:f>'Release Gates'!I2514</x:f>
        <x:v>OPEN</x:v>
      </x:c>
      <x:c r="F2540" t="str">
        <x:f>IF('Release Gates'!C2514="PLANNING","PASS",IF('Release Gates'!C2514="PHYSICAL","OPEN","BLOCKED"))</x:f>
        <x:v>OPEN</x:v>
      </x:c>
      <x:c r="G2540" t="str">
        <x:v>equals</x:v>
      </x:c>
      <x:c r="H2540" t="str">
        <x:f>IF(E2540=F2540,"PASS","FAIL")</x:f>
        <x:v>PASS</x:v>
      </x:c>
    </x:row>
    <x:row r="2541">
      <x:c r="B2541" t="str">
        <x:v>A-02509</x:v>
      </x:c>
      <x:c r="C2541" t="str">
        <x:v>GATE</x:v>
      </x:c>
      <x:c r="D2541" t="str">
        <x:v>release state mirrors governing ledger</x:v>
      </x:c>
      <x:c r="E2541" t="str">
        <x:f>'Release Gates'!I2515</x:f>
        <x:v>OPEN</x:v>
      </x:c>
      <x:c r="F2541" t="str">
        <x:f>IF('Release Gates'!C2515="PLANNING","PASS",IF('Release Gates'!C2515="PHYSICAL","OPEN","BLOCKED"))</x:f>
        <x:v>OPEN</x:v>
      </x:c>
      <x:c r="G2541" t="str">
        <x:v>equals</x:v>
      </x:c>
      <x:c r="H2541" t="str">
        <x:f>IF(E2541=F2541,"PASS","FAIL")</x:f>
        <x:v>PASS</x:v>
      </x:c>
    </x:row>
    <x:row r="2542">
      <x:c r="B2542" t="str">
        <x:v>A-02510</x:v>
      </x:c>
      <x:c r="C2542" t="str">
        <x:v>GATE</x:v>
      </x:c>
      <x:c r="D2542" t="str">
        <x:v>release state mirrors governing ledger</x:v>
      </x:c>
      <x:c r="E2542" t="str">
        <x:f>'Release Gates'!I2516</x:f>
        <x:v>OPEN</x:v>
      </x:c>
      <x:c r="F2542" t="str">
        <x:f>IF('Release Gates'!C2516="PLANNING","PASS",IF('Release Gates'!C2516="PHYSICAL","OPEN","BLOCKED"))</x:f>
        <x:v>OPEN</x:v>
      </x:c>
      <x:c r="G2542" t="str">
        <x:v>equals</x:v>
      </x:c>
      <x:c r="H2542" t="str">
        <x:f>IF(E2542=F2542,"PASS","FAIL")</x:f>
        <x:v>PASS</x:v>
      </x:c>
    </x:row>
    <x:row r="2543">
      <x:c r="B2543" t="str">
        <x:v>A-02511</x:v>
      </x:c>
      <x:c r="C2543" t="str">
        <x:v>GATE</x:v>
      </x:c>
      <x:c r="D2543" t="str">
        <x:v>release state mirrors governing ledger</x:v>
      </x:c>
      <x:c r="E2543" t="str">
        <x:f>'Release Gates'!I2517</x:f>
        <x:v>OPEN</x:v>
      </x:c>
      <x:c r="F2543" t="str">
        <x:f>IF('Release Gates'!C2517="PLANNING","PASS",IF('Release Gates'!C2517="PHYSICAL","OPEN","BLOCKED"))</x:f>
        <x:v>OPEN</x:v>
      </x:c>
      <x:c r="G2543" t="str">
        <x:v>equals</x:v>
      </x:c>
      <x:c r="H2543" t="str">
        <x:f>IF(E2543=F2543,"PASS","FAIL")</x:f>
        <x:v>PASS</x:v>
      </x:c>
    </x:row>
    <x:row r="2544">
      <x:c r="B2544" t="str">
        <x:v>A-02512</x:v>
      </x:c>
      <x:c r="C2544" t="str">
        <x:v>GATE</x:v>
      </x:c>
      <x:c r="D2544" t="str">
        <x:v>release state mirrors governing ledger</x:v>
      </x:c>
      <x:c r="E2544" t="str">
        <x:f>'Release Gates'!I2518</x:f>
        <x:v>OPEN</x:v>
      </x:c>
      <x:c r="F2544" t="str">
        <x:f>IF('Release Gates'!C2518="PLANNING","PASS",IF('Release Gates'!C2518="PHYSICAL","OPEN","BLOCKED"))</x:f>
        <x:v>OPEN</x:v>
      </x:c>
      <x:c r="G2544" t="str">
        <x:v>equals</x:v>
      </x:c>
      <x:c r="H2544" t="str">
        <x:f>IF(E2544=F2544,"PASS","FAIL")</x:f>
        <x:v>PASS</x:v>
      </x:c>
    </x:row>
    <x:row r="2545">
      <x:c r="B2545" t="str">
        <x:v>A-02513</x:v>
      </x:c>
      <x:c r="C2545" t="str">
        <x:v>GATE</x:v>
      </x:c>
      <x:c r="D2545" t="str">
        <x:v>release state mirrors governing ledger</x:v>
      </x:c>
      <x:c r="E2545" t="str">
        <x:f>'Release Gates'!I2519</x:f>
        <x:v>OPEN</x:v>
      </x:c>
      <x:c r="F2545" t="str">
        <x:f>IF('Release Gates'!C2519="PLANNING","PASS",IF('Release Gates'!C2519="PHYSICAL","OPEN","BLOCKED"))</x:f>
        <x:v>OPEN</x:v>
      </x:c>
      <x:c r="G2545" t="str">
        <x:v>equals</x:v>
      </x:c>
      <x:c r="H2545" t="str">
        <x:f>IF(E2545=F2545,"PASS","FAIL")</x:f>
        <x:v>PASS</x:v>
      </x:c>
    </x:row>
    <x:row r="2546">
      <x:c r="B2546" t="str">
        <x:v>A-02514</x:v>
      </x:c>
      <x:c r="C2546" t="str">
        <x:v>GATE</x:v>
      </x:c>
      <x:c r="D2546" t="str">
        <x:v>release state mirrors governing ledger</x:v>
      </x:c>
      <x:c r="E2546" t="str">
        <x:f>'Release Gates'!I2520</x:f>
        <x:v>OPEN</x:v>
      </x:c>
      <x:c r="F2546" t="str">
        <x:f>IF('Release Gates'!C2520="PLANNING","PASS",IF('Release Gates'!C2520="PHYSICAL","OPEN","BLOCKED"))</x:f>
        <x:v>OPEN</x:v>
      </x:c>
      <x:c r="G2546" t="str">
        <x:v>equals</x:v>
      </x:c>
      <x:c r="H2546" t="str">
        <x:f>IF(E2546=F2546,"PASS","FAIL")</x:f>
        <x:v>PASS</x:v>
      </x:c>
    </x:row>
    <x:row r="2547">
      <x:c r="B2547" t="str">
        <x:v>A-02515</x:v>
      </x:c>
      <x:c r="C2547" t="str">
        <x:v>GATE</x:v>
      </x:c>
      <x:c r="D2547" t="str">
        <x:v>release state mirrors governing ledger</x:v>
      </x:c>
      <x:c r="E2547" t="str">
        <x:f>'Release Gates'!I2521</x:f>
        <x:v>OPEN</x:v>
      </x:c>
      <x:c r="F2547" t="str">
        <x:f>IF('Release Gates'!C2521="PLANNING","PASS",IF('Release Gates'!C2521="PHYSICAL","OPEN","BLOCKED"))</x:f>
        <x:v>OPEN</x:v>
      </x:c>
      <x:c r="G2547" t="str">
        <x:v>equals</x:v>
      </x:c>
      <x:c r="H2547" t="str">
        <x:f>IF(E2547=F2547,"PASS","FAIL")</x:f>
        <x:v>PASS</x:v>
      </x:c>
    </x:row>
    <x:row r="2548">
      <x:c r="B2548" t="str">
        <x:v>A-02516</x:v>
      </x:c>
      <x:c r="C2548" t="str">
        <x:v>GATE</x:v>
      </x:c>
      <x:c r="D2548" t="str">
        <x:v>release state mirrors governing ledger</x:v>
      </x:c>
      <x:c r="E2548" t="str">
        <x:f>'Release Gates'!I2522</x:f>
        <x:v>OPEN</x:v>
      </x:c>
      <x:c r="F2548" t="str">
        <x:f>IF('Release Gates'!C2522="PLANNING","PASS",IF('Release Gates'!C2522="PHYSICAL","OPEN","BLOCKED"))</x:f>
        <x:v>OPEN</x:v>
      </x:c>
      <x:c r="G2548" t="str">
        <x:v>equals</x:v>
      </x:c>
      <x:c r="H2548" t="str">
        <x:f>IF(E2548=F2548,"PASS","FAIL")</x:f>
        <x:v>PASS</x:v>
      </x:c>
    </x:row>
    <x:row r="2549">
      <x:c r="B2549" t="str">
        <x:v>A-02517</x:v>
      </x:c>
      <x:c r="C2549" t="str">
        <x:v>GATE</x:v>
      </x:c>
      <x:c r="D2549" t="str">
        <x:v>release state mirrors governing ledger</x:v>
      </x:c>
      <x:c r="E2549" t="str">
        <x:f>'Release Gates'!I2523</x:f>
        <x:v>OPEN</x:v>
      </x:c>
      <x:c r="F2549" t="str">
        <x:f>IF('Release Gates'!C2523="PLANNING","PASS",IF('Release Gates'!C2523="PHYSICAL","OPEN","BLOCKED"))</x:f>
        <x:v>OPEN</x:v>
      </x:c>
      <x:c r="G2549" t="str">
        <x:v>equals</x:v>
      </x:c>
      <x:c r="H2549" t="str">
        <x:f>IF(E2549=F2549,"PASS","FAIL")</x:f>
        <x:v>PASS</x:v>
      </x:c>
    </x:row>
    <x:row r="2550">
      <x:c r="B2550" t="str">
        <x:v>A-02518</x:v>
      </x:c>
      <x:c r="C2550" t="str">
        <x:v>GATE</x:v>
      </x:c>
      <x:c r="D2550" t="str">
        <x:v>release state mirrors governing ledger</x:v>
      </x:c>
      <x:c r="E2550" t="str">
        <x:f>'Release Gates'!I2524</x:f>
        <x:v>OPEN</x:v>
      </x:c>
      <x:c r="F2550" t="str">
        <x:f>IF('Release Gates'!C2524="PLANNING","PASS",IF('Release Gates'!C2524="PHYSICAL","OPEN","BLOCKED"))</x:f>
        <x:v>OPEN</x:v>
      </x:c>
      <x:c r="G2550" t="str">
        <x:v>equals</x:v>
      </x:c>
      <x:c r="H2550" t="str">
        <x:f>IF(E2550=F2550,"PASS","FAIL")</x:f>
        <x:v>PASS</x:v>
      </x:c>
    </x:row>
    <x:row r="2551">
      <x:c r="B2551" t="str">
        <x:v>A-02519</x:v>
      </x:c>
      <x:c r="C2551" t="str">
        <x:v>GATE</x:v>
      </x:c>
      <x:c r="D2551" t="str">
        <x:v>release state mirrors governing ledger</x:v>
      </x:c>
      <x:c r="E2551" t="str">
        <x:f>'Release Gates'!I2525</x:f>
        <x:v>OPEN</x:v>
      </x:c>
      <x:c r="F2551" t="str">
        <x:f>IF('Release Gates'!C2525="PLANNING","PASS",IF('Release Gates'!C2525="PHYSICAL","OPEN","BLOCKED"))</x:f>
        <x:v>OPEN</x:v>
      </x:c>
      <x:c r="G2551" t="str">
        <x:v>equals</x:v>
      </x:c>
      <x:c r="H2551" t="str">
        <x:f>IF(E2551=F2551,"PASS","FAIL")</x:f>
        <x:v>PASS</x:v>
      </x:c>
    </x:row>
    <x:row r="2552">
      <x:c r="B2552" t="str">
        <x:v>A-02520</x:v>
      </x:c>
      <x:c r="C2552" t="str">
        <x:v>GATE</x:v>
      </x:c>
      <x:c r="D2552" t="str">
        <x:v>release state mirrors governing ledger</x:v>
      </x:c>
      <x:c r="E2552" t="str">
        <x:f>'Release Gates'!I2526</x:f>
        <x:v>OPEN</x:v>
      </x:c>
      <x:c r="F2552" t="str">
        <x:f>IF('Release Gates'!C2526="PLANNING","PASS",IF('Release Gates'!C2526="PHYSICAL","OPEN","BLOCKED"))</x:f>
        <x:v>OPEN</x:v>
      </x:c>
      <x:c r="G2552" t="str">
        <x:v>equals</x:v>
      </x:c>
      <x:c r="H2552" t="str">
        <x:f>IF(E2552=F2552,"PASS","FAIL")</x:f>
        <x:v>PASS</x:v>
      </x:c>
    </x:row>
    <x:row r="2553">
      <x:c r="B2553" t="str">
        <x:v>A-02521</x:v>
      </x:c>
      <x:c r="C2553" t="str">
        <x:v>GATE</x:v>
      </x:c>
      <x:c r="D2553" t="str">
        <x:v>release state mirrors governing ledger</x:v>
      </x:c>
      <x:c r="E2553" t="str">
        <x:f>'Release Gates'!I2527</x:f>
        <x:v>OPEN</x:v>
      </x:c>
      <x:c r="F2553" t="str">
        <x:f>IF('Release Gates'!C2527="PLANNING","PASS",IF('Release Gates'!C2527="PHYSICAL","OPEN","BLOCKED"))</x:f>
        <x:v>OPEN</x:v>
      </x:c>
      <x:c r="G2553" t="str">
        <x:v>equals</x:v>
      </x:c>
      <x:c r="H2553" t="str">
        <x:f>IF(E2553=F2553,"PASS","FAIL")</x:f>
        <x:v>PASS</x:v>
      </x:c>
    </x:row>
    <x:row r="2554">
      <x:c r="B2554" t="str">
        <x:v>A-02522</x:v>
      </x:c>
      <x:c r="C2554" t="str">
        <x:v>GATE</x:v>
      </x:c>
      <x:c r="D2554" t="str">
        <x:v>release state mirrors governing ledger</x:v>
      </x:c>
      <x:c r="E2554" t="str">
        <x:f>'Release Gates'!I2528</x:f>
        <x:v>OPEN</x:v>
      </x:c>
      <x:c r="F2554" t="str">
        <x:f>IF('Release Gates'!C2528="PLANNING","PASS",IF('Release Gates'!C2528="PHYSICAL","OPEN","BLOCKED"))</x:f>
        <x:v>OPEN</x:v>
      </x:c>
      <x:c r="G2554" t="str">
        <x:v>equals</x:v>
      </x:c>
      <x:c r="H2554" t="str">
        <x:f>IF(E2554=F2554,"PASS","FAIL")</x:f>
        <x:v>PASS</x:v>
      </x:c>
    </x:row>
    <x:row r="2555">
      <x:c r="B2555" t="str">
        <x:v>A-02523</x:v>
      </x:c>
      <x:c r="C2555" t="str">
        <x:v>GATE</x:v>
      </x:c>
      <x:c r="D2555" t="str">
        <x:v>release state mirrors governing ledger</x:v>
      </x:c>
      <x:c r="E2555" t="str">
        <x:f>'Release Gates'!I2529</x:f>
        <x:v>OPEN</x:v>
      </x:c>
      <x:c r="F2555" t="str">
        <x:f>IF('Release Gates'!C2529="PLANNING","PASS",IF('Release Gates'!C2529="PHYSICAL","OPEN","BLOCKED"))</x:f>
        <x:v>OPEN</x:v>
      </x:c>
      <x:c r="G2555" t="str">
        <x:v>equals</x:v>
      </x:c>
      <x:c r="H2555" t="str">
        <x:f>IF(E2555=F2555,"PASS","FAIL")</x:f>
        <x:v>PASS</x:v>
      </x:c>
    </x:row>
    <x:row r="2556">
      <x:c r="B2556" t="str">
        <x:v>A-02524</x:v>
      </x:c>
      <x:c r="C2556" t="str">
        <x:v>GATE</x:v>
      </x:c>
      <x:c r="D2556" t="str">
        <x:v>release state mirrors governing ledger</x:v>
      </x:c>
      <x:c r="E2556" t="str">
        <x:f>'Release Gates'!I2530</x:f>
        <x:v>OPEN</x:v>
      </x:c>
      <x:c r="F2556" t="str">
        <x:f>IF('Release Gates'!C2530="PLANNING","PASS",IF('Release Gates'!C2530="PHYSICAL","OPEN","BLOCKED"))</x:f>
        <x:v>OPEN</x:v>
      </x:c>
      <x:c r="G2556" t="str">
        <x:v>equals</x:v>
      </x:c>
      <x:c r="H2556" t="str">
        <x:f>IF(E2556=F2556,"PASS","FAIL")</x:f>
        <x:v>PASS</x:v>
      </x:c>
    </x:row>
    <x:row r="2557">
      <x:c r="B2557" t="str">
        <x:v>A-02525</x:v>
      </x:c>
      <x:c r="C2557" t="str">
        <x:v>GATE</x:v>
      </x:c>
      <x:c r="D2557" t="str">
        <x:v>release state mirrors governing ledger</x:v>
      </x:c>
      <x:c r="E2557" t="str">
        <x:f>'Release Gates'!I2531</x:f>
        <x:v>OPEN</x:v>
      </x:c>
      <x:c r="F2557" t="str">
        <x:f>IF('Release Gates'!C2531="PLANNING","PASS",IF('Release Gates'!C2531="PHYSICAL","OPEN","BLOCKED"))</x:f>
        <x:v>OPEN</x:v>
      </x:c>
      <x:c r="G2557" t="str">
        <x:v>equals</x:v>
      </x:c>
      <x:c r="H2557" t="str">
        <x:f>IF(E2557=F2557,"PASS","FAIL")</x:f>
        <x:v>PASS</x:v>
      </x:c>
    </x:row>
    <x:row r="2558">
      <x:c r="B2558" t="str">
        <x:v>A-02526</x:v>
      </x:c>
      <x:c r="C2558" t="str">
        <x:v>GATE</x:v>
      </x:c>
      <x:c r="D2558" t="str">
        <x:v>release state mirrors governing ledger</x:v>
      </x:c>
      <x:c r="E2558" t="str">
        <x:f>'Release Gates'!I2532</x:f>
        <x:v>OPEN</x:v>
      </x:c>
      <x:c r="F2558" t="str">
        <x:f>IF('Release Gates'!C2532="PLANNING","PASS",IF('Release Gates'!C2532="PHYSICAL","OPEN","BLOCKED"))</x:f>
        <x:v>OPEN</x:v>
      </x:c>
      <x:c r="G2558" t="str">
        <x:v>equals</x:v>
      </x:c>
      <x:c r="H2558" t="str">
        <x:f>IF(E2558=F2558,"PASS","FAIL")</x:f>
        <x:v>PASS</x:v>
      </x:c>
    </x:row>
    <x:row r="2559">
      <x:c r="B2559" t="str">
        <x:v>A-02527</x:v>
      </x:c>
      <x:c r="C2559" t="str">
        <x:v>GATE</x:v>
      </x:c>
      <x:c r="D2559" t="str">
        <x:v>release state mirrors governing ledger</x:v>
      </x:c>
      <x:c r="E2559" t="str">
        <x:f>'Release Gates'!I2533</x:f>
        <x:v>OPEN</x:v>
      </x:c>
      <x:c r="F2559" t="str">
        <x:f>IF('Release Gates'!C2533="PLANNING","PASS",IF('Release Gates'!C2533="PHYSICAL","OPEN","BLOCKED"))</x:f>
        <x:v>OPEN</x:v>
      </x:c>
      <x:c r="G2559" t="str">
        <x:v>equals</x:v>
      </x:c>
      <x:c r="H2559" t="str">
        <x:f>IF(E2559=F2559,"PASS","FAIL")</x:f>
        <x:v>PASS</x:v>
      </x:c>
    </x:row>
    <x:row r="2560">
      <x:c r="B2560" t="str">
        <x:v>A-02528</x:v>
      </x:c>
      <x:c r="C2560" t="str">
        <x:v>GATE</x:v>
      </x:c>
      <x:c r="D2560" t="str">
        <x:v>release state mirrors governing ledger</x:v>
      </x:c>
      <x:c r="E2560" t="str">
        <x:f>'Release Gates'!I2534</x:f>
        <x:v>OPEN</x:v>
      </x:c>
      <x:c r="F2560" t="str">
        <x:f>IF('Release Gates'!C2534="PLANNING","PASS",IF('Release Gates'!C2534="PHYSICAL","OPEN","BLOCKED"))</x:f>
        <x:v>OPEN</x:v>
      </x:c>
      <x:c r="G2560" t="str">
        <x:v>equals</x:v>
      </x:c>
      <x:c r="H2560" t="str">
        <x:f>IF(E2560=F2560,"PASS","FAIL")</x:f>
        <x:v>PASS</x:v>
      </x:c>
    </x:row>
    <x:row r="2561">
      <x:c r="B2561" t="str">
        <x:v>A-02529</x:v>
      </x:c>
      <x:c r="C2561" t="str">
        <x:v>GATE</x:v>
      </x:c>
      <x:c r="D2561" t="str">
        <x:v>release state mirrors governing ledger</x:v>
      </x:c>
      <x:c r="E2561" t="str">
        <x:f>'Release Gates'!I2535</x:f>
        <x:v>OPEN</x:v>
      </x:c>
      <x:c r="F2561" t="str">
        <x:f>IF('Release Gates'!C2535="PLANNING","PASS",IF('Release Gates'!C2535="PHYSICAL","OPEN","BLOCKED"))</x:f>
        <x:v>OPEN</x:v>
      </x:c>
      <x:c r="G2561" t="str">
        <x:v>equals</x:v>
      </x:c>
      <x:c r="H2561" t="str">
        <x:f>IF(E2561=F2561,"PASS","FAIL")</x:f>
        <x:v>PASS</x:v>
      </x:c>
    </x:row>
    <x:row r="2562">
      <x:c r="B2562" t="str">
        <x:v>A-02530</x:v>
      </x:c>
      <x:c r="C2562" t="str">
        <x:v>GATE</x:v>
      </x:c>
      <x:c r="D2562" t="str">
        <x:v>release state mirrors governing ledger</x:v>
      </x:c>
      <x:c r="E2562" t="str">
        <x:f>'Release Gates'!I2536</x:f>
        <x:v>OPEN</x:v>
      </x:c>
      <x:c r="F2562" t="str">
        <x:f>IF('Release Gates'!C2536="PLANNING","PASS",IF('Release Gates'!C2536="PHYSICAL","OPEN","BLOCKED"))</x:f>
        <x:v>OPEN</x:v>
      </x:c>
      <x:c r="G2562" t="str">
        <x:v>equals</x:v>
      </x:c>
      <x:c r="H2562" t="str">
        <x:f>IF(E2562=F2562,"PASS","FAIL")</x:f>
        <x:v>PASS</x:v>
      </x:c>
    </x:row>
    <x:row r="2563">
      <x:c r="B2563" t="str">
        <x:v>A-02531</x:v>
      </x:c>
      <x:c r="C2563" t="str">
        <x:v>GATE</x:v>
      </x:c>
      <x:c r="D2563" t="str">
        <x:v>release state mirrors governing ledger</x:v>
      </x:c>
      <x:c r="E2563" t="str">
        <x:f>'Release Gates'!I2537</x:f>
        <x:v>OPEN</x:v>
      </x:c>
      <x:c r="F2563" t="str">
        <x:f>IF('Release Gates'!C2537="PLANNING","PASS",IF('Release Gates'!C2537="PHYSICAL","OPEN","BLOCKED"))</x:f>
        <x:v>OPEN</x:v>
      </x:c>
      <x:c r="G2563" t="str">
        <x:v>equals</x:v>
      </x:c>
      <x:c r="H2563" t="str">
        <x:f>IF(E2563=F2563,"PASS","FAIL")</x:f>
        <x:v>PASS</x:v>
      </x:c>
    </x:row>
    <x:row r="2564">
      <x:c r="B2564" t="str">
        <x:v>A-02532</x:v>
      </x:c>
      <x:c r="C2564" t="str">
        <x:v>GATE</x:v>
      </x:c>
      <x:c r="D2564" t="str">
        <x:v>release state mirrors governing ledger</x:v>
      </x:c>
      <x:c r="E2564" t="str">
        <x:f>'Release Gates'!I2538</x:f>
        <x:v>OPEN</x:v>
      </x:c>
      <x:c r="F2564" t="str">
        <x:f>IF('Release Gates'!C2538="PLANNING","PASS",IF('Release Gates'!C2538="PHYSICAL","OPEN","BLOCKED"))</x:f>
        <x:v>OPEN</x:v>
      </x:c>
      <x:c r="G2564" t="str">
        <x:v>equals</x:v>
      </x:c>
      <x:c r="H2564" t="str">
        <x:f>IF(E2564=F2564,"PASS","FAIL")</x:f>
        <x:v>PASS</x:v>
      </x:c>
    </x:row>
    <x:row r="2565">
      <x:c r="B2565" t="str">
        <x:v>A-02533</x:v>
      </x:c>
      <x:c r="C2565" t="str">
        <x:v>GATE</x:v>
      </x:c>
      <x:c r="D2565" t="str">
        <x:v>release state mirrors governing ledger</x:v>
      </x:c>
      <x:c r="E2565" t="str">
        <x:f>'Release Gates'!I2539</x:f>
        <x:v>OPEN</x:v>
      </x:c>
      <x:c r="F2565" t="str">
        <x:f>IF('Release Gates'!C2539="PLANNING","PASS",IF('Release Gates'!C2539="PHYSICAL","OPEN","BLOCKED"))</x:f>
        <x:v>OPEN</x:v>
      </x:c>
      <x:c r="G2565" t="str">
        <x:v>equals</x:v>
      </x:c>
      <x:c r="H2565" t="str">
        <x:f>IF(E2565=F2565,"PASS","FAIL")</x:f>
        <x:v>PASS</x:v>
      </x:c>
    </x:row>
    <x:row r="2566">
      <x:c r="B2566" t="str">
        <x:v>A-02534</x:v>
      </x:c>
      <x:c r="C2566" t="str">
        <x:v>GATE</x:v>
      </x:c>
      <x:c r="D2566" t="str">
        <x:v>release state mirrors governing ledger</x:v>
      </x:c>
      <x:c r="E2566" t="str">
        <x:f>'Release Gates'!I2540</x:f>
        <x:v>OPEN</x:v>
      </x:c>
      <x:c r="F2566" t="str">
        <x:f>IF('Release Gates'!C2540="PLANNING","PASS",IF('Release Gates'!C2540="PHYSICAL","OPEN","BLOCKED"))</x:f>
        <x:v>OPEN</x:v>
      </x:c>
      <x:c r="G2566" t="str">
        <x:v>equals</x:v>
      </x:c>
      <x:c r="H2566" t="str">
        <x:f>IF(E2566=F2566,"PASS","FAIL")</x:f>
        <x:v>PASS</x:v>
      </x:c>
    </x:row>
    <x:row r="2567">
      <x:c r="B2567" t="str">
        <x:v>A-02535</x:v>
      </x:c>
      <x:c r="C2567" t="str">
        <x:v>GATE</x:v>
      </x:c>
      <x:c r="D2567" t="str">
        <x:v>release state mirrors governing ledger</x:v>
      </x:c>
      <x:c r="E2567" t="str">
        <x:f>'Release Gates'!I2541</x:f>
        <x:v>OPEN</x:v>
      </x:c>
      <x:c r="F2567" t="str">
        <x:f>IF('Release Gates'!C2541="PLANNING","PASS",IF('Release Gates'!C2541="PHYSICAL","OPEN","BLOCKED"))</x:f>
        <x:v>OPEN</x:v>
      </x:c>
      <x:c r="G2567" t="str">
        <x:v>equals</x:v>
      </x:c>
      <x:c r="H2567" t="str">
        <x:f>IF(E2567=F2567,"PASS","FAIL")</x:f>
        <x:v>PASS</x:v>
      </x:c>
    </x:row>
    <x:row r="2568">
      <x:c r="B2568" t="str">
        <x:v>A-02536</x:v>
      </x:c>
      <x:c r="C2568" t="str">
        <x:v>GATE</x:v>
      </x:c>
      <x:c r="D2568" t="str">
        <x:v>release state mirrors governing ledger</x:v>
      </x:c>
      <x:c r="E2568" t="str">
        <x:f>'Release Gates'!I2542</x:f>
        <x:v>OPEN</x:v>
      </x:c>
      <x:c r="F2568" t="str">
        <x:f>IF('Release Gates'!C2542="PLANNING","PASS",IF('Release Gates'!C2542="PHYSICAL","OPEN","BLOCKED"))</x:f>
        <x:v>OPEN</x:v>
      </x:c>
      <x:c r="G2568" t="str">
        <x:v>equals</x:v>
      </x:c>
      <x:c r="H2568" t="str">
        <x:f>IF(E2568=F2568,"PASS","FAIL")</x:f>
        <x:v>PASS</x:v>
      </x:c>
    </x:row>
    <x:row r="2569">
      <x:c r="B2569" t="str">
        <x:v>A-02537</x:v>
      </x:c>
      <x:c r="C2569" t="str">
        <x:v>GATE</x:v>
      </x:c>
      <x:c r="D2569" t="str">
        <x:v>release state mirrors governing ledger</x:v>
      </x:c>
      <x:c r="E2569" t="str">
        <x:f>'Release Gates'!I2543</x:f>
        <x:v>OPEN</x:v>
      </x:c>
      <x:c r="F2569" t="str">
        <x:f>IF('Release Gates'!C2543="PLANNING","PASS",IF('Release Gates'!C2543="PHYSICAL","OPEN","BLOCKED"))</x:f>
        <x:v>OPEN</x:v>
      </x:c>
      <x:c r="G2569" t="str">
        <x:v>equals</x:v>
      </x:c>
      <x:c r="H2569" t="str">
        <x:f>IF(E2569=F2569,"PASS","FAIL")</x:f>
        <x:v>PASS</x:v>
      </x:c>
    </x:row>
    <x:row r="2570">
      <x:c r="B2570" t="str">
        <x:v>A-02538</x:v>
      </x:c>
      <x:c r="C2570" t="str">
        <x:v>GATE</x:v>
      </x:c>
      <x:c r="D2570" t="str">
        <x:v>release state mirrors governing ledger</x:v>
      </x:c>
      <x:c r="E2570" t="str">
        <x:f>'Release Gates'!I2544</x:f>
        <x:v>OPEN</x:v>
      </x:c>
      <x:c r="F2570" t="str">
        <x:f>IF('Release Gates'!C2544="PLANNING","PASS",IF('Release Gates'!C2544="PHYSICAL","OPEN","BLOCKED"))</x:f>
        <x:v>OPEN</x:v>
      </x:c>
      <x:c r="G2570" t="str">
        <x:v>equals</x:v>
      </x:c>
      <x:c r="H2570" t="str">
        <x:f>IF(E2570=F2570,"PASS","FAIL")</x:f>
        <x:v>PASS</x:v>
      </x:c>
    </x:row>
    <x:row r="2571">
      <x:c r="B2571" t="str">
        <x:v>A-02539</x:v>
      </x:c>
      <x:c r="C2571" t="str">
        <x:v>GATE</x:v>
      </x:c>
      <x:c r="D2571" t="str">
        <x:v>release state mirrors governing ledger</x:v>
      </x:c>
      <x:c r="E2571" t="str">
        <x:f>'Release Gates'!I2545</x:f>
        <x:v>OPEN</x:v>
      </x:c>
      <x:c r="F2571" t="str">
        <x:f>IF('Release Gates'!C2545="PLANNING","PASS",IF('Release Gates'!C2545="PHYSICAL","OPEN","BLOCKED"))</x:f>
        <x:v>OPEN</x:v>
      </x:c>
      <x:c r="G2571" t="str">
        <x:v>equals</x:v>
      </x:c>
      <x:c r="H2571" t="str">
        <x:f>IF(E2571=F2571,"PASS","FAIL")</x:f>
        <x:v>PASS</x:v>
      </x:c>
    </x:row>
    <x:row r="2572">
      <x:c r="B2572" t="str">
        <x:v>A-02540</x:v>
      </x:c>
      <x:c r="C2572" t="str">
        <x:v>GATE</x:v>
      </x:c>
      <x:c r="D2572" t="str">
        <x:v>release state mirrors governing ledger</x:v>
      </x:c>
      <x:c r="E2572" t="str">
        <x:f>'Release Gates'!I2546</x:f>
        <x:v>OPEN</x:v>
      </x:c>
      <x:c r="F2572" t="str">
        <x:f>IF('Release Gates'!C2546="PLANNING","PASS",IF('Release Gates'!C2546="PHYSICAL","OPEN","BLOCKED"))</x:f>
        <x:v>OPEN</x:v>
      </x:c>
      <x:c r="G2572" t="str">
        <x:v>equals</x:v>
      </x:c>
      <x:c r="H2572" t="str">
        <x:f>IF(E2572=F2572,"PASS","FAIL")</x:f>
        <x:v>PASS</x:v>
      </x:c>
    </x:row>
    <x:row r="2573">
      <x:c r="B2573" t="str">
        <x:v>A-02541</x:v>
      </x:c>
      <x:c r="C2573" t="str">
        <x:v>GATE</x:v>
      </x:c>
      <x:c r="D2573" t="str">
        <x:v>release state mirrors governing ledger</x:v>
      </x:c>
      <x:c r="E2573" t="str">
        <x:f>'Release Gates'!I2547</x:f>
        <x:v>OPEN</x:v>
      </x:c>
      <x:c r="F2573" t="str">
        <x:f>IF('Release Gates'!C2547="PLANNING","PASS",IF('Release Gates'!C2547="PHYSICAL","OPEN","BLOCKED"))</x:f>
        <x:v>OPEN</x:v>
      </x:c>
      <x:c r="G2573" t="str">
        <x:v>equals</x:v>
      </x:c>
      <x:c r="H2573" t="str">
        <x:f>IF(E2573=F2573,"PASS","FAIL")</x:f>
        <x:v>PASS</x:v>
      </x:c>
    </x:row>
    <x:row r="2574">
      <x:c r="B2574" t="str">
        <x:v>A-02542</x:v>
      </x:c>
      <x:c r="C2574" t="str">
        <x:v>GATE</x:v>
      </x:c>
      <x:c r="D2574" t="str">
        <x:v>release state mirrors governing ledger</x:v>
      </x:c>
      <x:c r="E2574" t="str">
        <x:f>'Release Gates'!I2548</x:f>
        <x:v>OPEN</x:v>
      </x:c>
      <x:c r="F2574" t="str">
        <x:f>IF('Release Gates'!C2548="PLANNING","PASS",IF('Release Gates'!C2548="PHYSICAL","OPEN","BLOCKED"))</x:f>
        <x:v>OPEN</x:v>
      </x:c>
      <x:c r="G2574" t="str">
        <x:v>equals</x:v>
      </x:c>
      <x:c r="H2574" t="str">
        <x:f>IF(E2574=F2574,"PASS","FAIL")</x:f>
        <x:v>PASS</x:v>
      </x:c>
    </x:row>
    <x:row r="2575">
      <x:c r="B2575" t="str">
        <x:v>A-02543</x:v>
      </x:c>
      <x:c r="C2575" t="str">
        <x:v>GATE</x:v>
      </x:c>
      <x:c r="D2575" t="str">
        <x:v>release state mirrors governing ledger</x:v>
      </x:c>
      <x:c r="E2575" t="str">
        <x:f>'Release Gates'!I2549</x:f>
        <x:v>OPEN</x:v>
      </x:c>
      <x:c r="F2575" t="str">
        <x:f>IF('Release Gates'!C2549="PLANNING","PASS",IF('Release Gates'!C2549="PHYSICAL","OPEN","BLOCKED"))</x:f>
        <x:v>OPEN</x:v>
      </x:c>
      <x:c r="G2575" t="str">
        <x:v>equals</x:v>
      </x:c>
      <x:c r="H2575" t="str">
        <x:f>IF(E2575=F2575,"PASS","FAIL")</x:f>
        <x:v>PASS</x:v>
      </x:c>
    </x:row>
    <x:row r="2576">
      <x:c r="B2576" t="str">
        <x:v>A-02544</x:v>
      </x:c>
      <x:c r="C2576" t="str">
        <x:v>GATE</x:v>
      </x:c>
      <x:c r="D2576" t="str">
        <x:v>release state mirrors governing ledger</x:v>
      </x:c>
      <x:c r="E2576" t="str">
        <x:f>'Release Gates'!I2550</x:f>
        <x:v>OPEN</x:v>
      </x:c>
      <x:c r="F2576" t="str">
        <x:f>IF('Release Gates'!C2550="PLANNING","PASS",IF('Release Gates'!C2550="PHYSICAL","OPEN","BLOCKED"))</x:f>
        <x:v>OPEN</x:v>
      </x:c>
      <x:c r="G2576" t="str">
        <x:v>equals</x:v>
      </x:c>
      <x:c r="H2576" t="str">
        <x:f>IF(E2576=F2576,"PASS","FAIL")</x:f>
        <x:v>PASS</x:v>
      </x:c>
    </x:row>
    <x:row r="2577">
      <x:c r="B2577" t="str">
        <x:v>A-02545</x:v>
      </x:c>
      <x:c r="C2577" t="str">
        <x:v>GATE</x:v>
      </x:c>
      <x:c r="D2577" t="str">
        <x:v>release state mirrors governing ledger</x:v>
      </x:c>
      <x:c r="E2577" t="str">
        <x:f>'Release Gates'!I2551</x:f>
        <x:v>OPEN</x:v>
      </x:c>
      <x:c r="F2577" t="str">
        <x:f>IF('Release Gates'!C2551="PLANNING","PASS",IF('Release Gates'!C2551="PHYSICAL","OPEN","BLOCKED"))</x:f>
        <x:v>OPEN</x:v>
      </x:c>
      <x:c r="G2577" t="str">
        <x:v>equals</x:v>
      </x:c>
      <x:c r="H2577" t="str">
        <x:f>IF(E2577=F2577,"PASS","FAIL")</x:f>
        <x:v>PASS</x:v>
      </x:c>
    </x:row>
    <x:row r="2578">
      <x:c r="B2578" t="str">
        <x:v>A-02546</x:v>
      </x:c>
      <x:c r="C2578" t="str">
        <x:v>GATE</x:v>
      </x:c>
      <x:c r="D2578" t="str">
        <x:v>release state mirrors governing ledger</x:v>
      </x:c>
      <x:c r="E2578" t="str">
        <x:f>'Release Gates'!I2552</x:f>
        <x:v>OPEN</x:v>
      </x:c>
      <x:c r="F2578" t="str">
        <x:f>IF('Release Gates'!C2552="PLANNING","PASS",IF('Release Gates'!C2552="PHYSICAL","OPEN","BLOCKED"))</x:f>
        <x:v>OPEN</x:v>
      </x:c>
      <x:c r="G2578" t="str">
        <x:v>equals</x:v>
      </x:c>
      <x:c r="H2578" t="str">
        <x:f>IF(E2578=F2578,"PASS","FAIL")</x:f>
        <x:v>PASS</x:v>
      </x:c>
    </x:row>
    <x:row r="2579">
      <x:c r="B2579" t="str">
        <x:v>A-02547</x:v>
      </x:c>
      <x:c r="C2579" t="str">
        <x:v>GATE</x:v>
      </x:c>
      <x:c r="D2579" t="str">
        <x:v>release state mirrors governing ledger</x:v>
      </x:c>
      <x:c r="E2579" t="str">
        <x:f>'Release Gates'!I2553</x:f>
        <x:v>OPEN</x:v>
      </x:c>
      <x:c r="F2579" t="str">
        <x:f>IF('Release Gates'!C2553="PLANNING","PASS",IF('Release Gates'!C2553="PHYSICAL","OPEN","BLOCKED"))</x:f>
        <x:v>OPEN</x:v>
      </x:c>
      <x:c r="G2579" t="str">
        <x:v>equals</x:v>
      </x:c>
      <x:c r="H2579" t="str">
        <x:f>IF(E2579=F2579,"PASS","FAIL")</x:f>
        <x:v>PASS</x:v>
      </x:c>
    </x:row>
    <x:row r="2580">
      <x:c r="B2580" t="str">
        <x:v>A-02548</x:v>
      </x:c>
      <x:c r="C2580" t="str">
        <x:v>GATE</x:v>
      </x:c>
      <x:c r="D2580" t="str">
        <x:v>release state mirrors governing ledger</x:v>
      </x:c>
      <x:c r="E2580" t="str">
        <x:f>'Release Gates'!I2554</x:f>
        <x:v>OPEN</x:v>
      </x:c>
      <x:c r="F2580" t="str">
        <x:f>IF('Release Gates'!C2554="PLANNING","PASS",IF('Release Gates'!C2554="PHYSICAL","OPEN","BLOCKED"))</x:f>
        <x:v>OPEN</x:v>
      </x:c>
      <x:c r="G2580" t="str">
        <x:v>equals</x:v>
      </x:c>
      <x:c r="H2580" t="str">
        <x:f>IF(E2580=F2580,"PASS","FAIL")</x:f>
        <x:v>PASS</x:v>
      </x:c>
    </x:row>
    <x:row r="2581">
      <x:c r="B2581" t="str">
        <x:v>A-02549</x:v>
      </x:c>
      <x:c r="C2581" t="str">
        <x:v>GATE</x:v>
      </x:c>
      <x:c r="D2581" t="str">
        <x:v>release state mirrors governing ledger</x:v>
      </x:c>
      <x:c r="E2581" t="str">
        <x:f>'Release Gates'!I2555</x:f>
        <x:v>OPEN</x:v>
      </x:c>
      <x:c r="F2581" t="str">
        <x:f>IF('Release Gates'!C2555="PLANNING","PASS",IF('Release Gates'!C2555="PHYSICAL","OPEN","BLOCKED"))</x:f>
        <x:v>OPEN</x:v>
      </x:c>
      <x:c r="G2581" t="str">
        <x:v>equals</x:v>
      </x:c>
      <x:c r="H2581" t="str">
        <x:f>IF(E2581=F2581,"PASS","FAIL")</x:f>
        <x:v>PASS</x:v>
      </x:c>
    </x:row>
    <x:row r="2582">
      <x:c r="B2582" t="str">
        <x:v>A-02550</x:v>
      </x:c>
      <x:c r="C2582" t="str">
        <x:v>GATE</x:v>
      </x:c>
      <x:c r="D2582" t="str">
        <x:v>release state mirrors governing ledger</x:v>
      </x:c>
      <x:c r="E2582" t="str">
        <x:f>'Release Gates'!I2556</x:f>
        <x:v>OPEN</x:v>
      </x:c>
      <x:c r="F2582" t="str">
        <x:f>IF('Release Gates'!C2556="PLANNING","PASS",IF('Release Gates'!C2556="PHYSICAL","OPEN","BLOCKED"))</x:f>
        <x:v>OPEN</x:v>
      </x:c>
      <x:c r="G2582" t="str">
        <x:v>equals</x:v>
      </x:c>
      <x:c r="H2582" t="str">
        <x:f>IF(E2582=F2582,"PASS","FAIL")</x:f>
        <x:v>PASS</x:v>
      </x:c>
    </x:row>
    <x:row r="2583">
      <x:c r="B2583" t="str">
        <x:v>A-02551</x:v>
      </x:c>
      <x:c r="C2583" t="str">
        <x:v>GATE</x:v>
      </x:c>
      <x:c r="D2583" t="str">
        <x:v>release state mirrors governing ledger</x:v>
      </x:c>
      <x:c r="E2583" t="str">
        <x:f>'Release Gates'!I2557</x:f>
        <x:v>OPEN</x:v>
      </x:c>
      <x:c r="F2583" t="str">
        <x:f>IF('Release Gates'!C2557="PLANNING","PASS",IF('Release Gates'!C2557="PHYSICAL","OPEN","BLOCKED"))</x:f>
        <x:v>OPEN</x:v>
      </x:c>
      <x:c r="G2583" t="str">
        <x:v>equals</x:v>
      </x:c>
      <x:c r="H2583" t="str">
        <x:f>IF(E2583=F2583,"PASS","FAIL")</x:f>
        <x:v>PASS</x:v>
      </x:c>
    </x:row>
    <x:row r="2584">
      <x:c r="B2584" t="str">
        <x:v>A-02552</x:v>
      </x:c>
      <x:c r="C2584" t="str">
        <x:v>GATE</x:v>
      </x:c>
      <x:c r="D2584" t="str">
        <x:v>release state mirrors governing ledger</x:v>
      </x:c>
      <x:c r="E2584" t="str">
        <x:f>'Release Gates'!I2558</x:f>
        <x:v>OPEN</x:v>
      </x:c>
      <x:c r="F2584" t="str">
        <x:f>IF('Release Gates'!C2558="PLANNING","PASS",IF('Release Gates'!C2558="PHYSICAL","OPEN","BLOCKED"))</x:f>
        <x:v>OPEN</x:v>
      </x:c>
      <x:c r="G2584" t="str">
        <x:v>equals</x:v>
      </x:c>
      <x:c r="H2584" t="str">
        <x:f>IF(E2584=F2584,"PASS","FAIL")</x:f>
        <x:v>PASS</x:v>
      </x:c>
    </x:row>
    <x:row r="2585">
      <x:c r="B2585" t="str">
        <x:v>A-02553</x:v>
      </x:c>
      <x:c r="C2585" t="str">
        <x:v>GATE</x:v>
      </x:c>
      <x:c r="D2585" t="str">
        <x:v>release state mirrors governing ledger</x:v>
      </x:c>
      <x:c r="E2585" t="str">
        <x:f>'Release Gates'!I2559</x:f>
        <x:v>OPEN</x:v>
      </x:c>
      <x:c r="F2585" t="str">
        <x:f>IF('Release Gates'!C2559="PLANNING","PASS",IF('Release Gates'!C2559="PHYSICAL","OPEN","BLOCKED"))</x:f>
        <x:v>OPEN</x:v>
      </x:c>
      <x:c r="G2585" t="str">
        <x:v>equals</x:v>
      </x:c>
      <x:c r="H2585" t="str">
        <x:f>IF(E2585=F2585,"PASS","FAIL")</x:f>
        <x:v>PASS</x:v>
      </x:c>
    </x:row>
    <x:row r="2586">
      <x:c r="B2586" t="str">
        <x:v>A-02554</x:v>
      </x:c>
      <x:c r="C2586" t="str">
        <x:v>GATE</x:v>
      </x:c>
      <x:c r="D2586" t="str">
        <x:v>release state mirrors governing ledger</x:v>
      </x:c>
      <x:c r="E2586" t="str">
        <x:f>'Release Gates'!I2560</x:f>
        <x:v>OPEN</x:v>
      </x:c>
      <x:c r="F2586" t="str">
        <x:f>IF('Release Gates'!C2560="PLANNING","PASS",IF('Release Gates'!C2560="PHYSICAL","OPEN","BLOCKED"))</x:f>
        <x:v>OPEN</x:v>
      </x:c>
      <x:c r="G2586" t="str">
        <x:v>equals</x:v>
      </x:c>
      <x:c r="H2586" t="str">
        <x:f>IF(E2586=F2586,"PASS","FAIL")</x:f>
        <x:v>PASS</x:v>
      </x:c>
    </x:row>
    <x:row r="2587">
      <x:c r="B2587" t="str">
        <x:v>A-02555</x:v>
      </x:c>
      <x:c r="C2587" t="str">
        <x:v>GATE</x:v>
      </x:c>
      <x:c r="D2587" t="str">
        <x:v>release state mirrors governing ledger</x:v>
      </x:c>
      <x:c r="E2587" t="str">
        <x:f>'Release Gates'!I2561</x:f>
        <x:v>OPEN</x:v>
      </x:c>
      <x:c r="F2587" t="str">
        <x:f>IF('Release Gates'!C2561="PLANNING","PASS",IF('Release Gates'!C2561="PHYSICAL","OPEN","BLOCKED"))</x:f>
        <x:v>OPEN</x:v>
      </x:c>
      <x:c r="G2587" t="str">
        <x:v>equals</x:v>
      </x:c>
      <x:c r="H2587" t="str">
        <x:f>IF(E2587=F2587,"PASS","FAIL")</x:f>
        <x:v>PASS</x:v>
      </x:c>
    </x:row>
    <x:row r="2588">
      <x:c r="B2588" t="str">
        <x:v>A-02556</x:v>
      </x:c>
      <x:c r="C2588" t="str">
        <x:v>GATE</x:v>
      </x:c>
      <x:c r="D2588" t="str">
        <x:v>release state mirrors governing ledger</x:v>
      </x:c>
      <x:c r="E2588" t="str">
        <x:f>'Release Gates'!I2562</x:f>
        <x:v>OPEN</x:v>
      </x:c>
      <x:c r="F2588" t="str">
        <x:f>IF('Release Gates'!C2562="PLANNING","PASS",IF('Release Gates'!C2562="PHYSICAL","OPEN","BLOCKED"))</x:f>
        <x:v>OPEN</x:v>
      </x:c>
      <x:c r="G2588" t="str">
        <x:v>equals</x:v>
      </x:c>
      <x:c r="H2588" t="str">
        <x:f>IF(E2588=F2588,"PASS","FAIL")</x:f>
        <x:v>PASS</x:v>
      </x:c>
    </x:row>
    <x:row r="2589">
      <x:c r="B2589" t="str">
        <x:v>A-02557</x:v>
      </x:c>
      <x:c r="C2589" t="str">
        <x:v>GATE</x:v>
      </x:c>
      <x:c r="D2589" t="str">
        <x:v>release state mirrors governing ledger</x:v>
      </x:c>
      <x:c r="E2589" t="str">
        <x:f>'Release Gates'!I2563</x:f>
        <x:v>OPEN</x:v>
      </x:c>
      <x:c r="F2589" t="str">
        <x:f>IF('Release Gates'!C2563="PLANNING","PASS",IF('Release Gates'!C2563="PHYSICAL","OPEN","BLOCKED"))</x:f>
        <x:v>OPEN</x:v>
      </x:c>
      <x:c r="G2589" t="str">
        <x:v>equals</x:v>
      </x:c>
      <x:c r="H2589" t="str">
        <x:f>IF(E2589=F2589,"PASS","FAIL")</x:f>
        <x:v>PASS</x:v>
      </x:c>
    </x:row>
    <x:row r="2590">
      <x:c r="B2590" t="str">
        <x:v>A-02558</x:v>
      </x:c>
      <x:c r="C2590" t="str">
        <x:v>GATE</x:v>
      </x:c>
      <x:c r="D2590" t="str">
        <x:v>release state mirrors governing ledger</x:v>
      </x:c>
      <x:c r="E2590" t="str">
        <x:f>'Release Gates'!I2564</x:f>
        <x:v>OPEN</x:v>
      </x:c>
      <x:c r="F2590" t="str">
        <x:f>IF('Release Gates'!C2564="PLANNING","PASS",IF('Release Gates'!C2564="PHYSICAL","OPEN","BLOCKED"))</x:f>
        <x:v>OPEN</x:v>
      </x:c>
      <x:c r="G2590" t="str">
        <x:v>equals</x:v>
      </x:c>
      <x:c r="H2590" t="str">
        <x:f>IF(E2590=F2590,"PASS","FAIL")</x:f>
        <x:v>PASS</x:v>
      </x:c>
    </x:row>
    <x:row r="2591">
      <x:c r="B2591" t="str">
        <x:v>A-02559</x:v>
      </x:c>
      <x:c r="C2591" t="str">
        <x:v>GATE</x:v>
      </x:c>
      <x:c r="D2591" t="str">
        <x:v>release state mirrors governing ledger</x:v>
      </x:c>
      <x:c r="E2591" t="str">
        <x:f>'Release Gates'!I2565</x:f>
        <x:v>OPEN</x:v>
      </x:c>
      <x:c r="F2591" t="str">
        <x:f>IF('Release Gates'!C2565="PLANNING","PASS",IF('Release Gates'!C2565="PHYSICAL","OPEN","BLOCKED"))</x:f>
        <x:v>OPEN</x:v>
      </x:c>
      <x:c r="G2591" t="str">
        <x:v>equals</x:v>
      </x:c>
      <x:c r="H2591" t="str">
        <x:f>IF(E2591=F2591,"PASS","FAIL")</x:f>
        <x:v>PASS</x:v>
      </x:c>
    </x:row>
    <x:row r="2592">
      <x:c r="B2592" t="str">
        <x:v>A-02560</x:v>
      </x:c>
      <x:c r="C2592" t="str">
        <x:v>GATE</x:v>
      </x:c>
      <x:c r="D2592" t="str">
        <x:v>release state mirrors governing ledger</x:v>
      </x:c>
      <x:c r="E2592" t="str">
        <x:f>'Release Gates'!I2566</x:f>
        <x:v>OPEN</x:v>
      </x:c>
      <x:c r="F2592" t="str">
        <x:f>IF('Release Gates'!C2566="PLANNING","PASS",IF('Release Gates'!C2566="PHYSICAL","OPEN","BLOCKED"))</x:f>
        <x:v>OPEN</x:v>
      </x:c>
      <x:c r="G2592" t="str">
        <x:v>equals</x:v>
      </x:c>
      <x:c r="H2592" t="str">
        <x:f>IF(E2592=F2592,"PASS","FAIL")</x:f>
        <x:v>PASS</x:v>
      </x:c>
    </x:row>
    <x:row r="2593">
      <x:c r="B2593" t="str">
        <x:v>A-02561</x:v>
      </x:c>
      <x:c r="C2593" t="str">
        <x:v>GATE</x:v>
      </x:c>
      <x:c r="D2593" t="str">
        <x:v>release state mirrors governing ledger</x:v>
      </x:c>
      <x:c r="E2593" t="str">
        <x:f>'Release Gates'!I2567</x:f>
        <x:v>OPEN</x:v>
      </x:c>
      <x:c r="F2593" t="str">
        <x:f>IF('Release Gates'!C2567="PLANNING","PASS",IF('Release Gates'!C2567="PHYSICAL","OPEN","BLOCKED"))</x:f>
        <x:v>OPEN</x:v>
      </x:c>
      <x:c r="G2593" t="str">
        <x:v>equals</x:v>
      </x:c>
      <x:c r="H2593" t="str">
        <x:f>IF(E2593=F2593,"PASS","FAIL")</x:f>
        <x:v>PASS</x:v>
      </x:c>
    </x:row>
    <x:row r="2594">
      <x:c r="B2594" t="str">
        <x:v>A-02562</x:v>
      </x:c>
      <x:c r="C2594" t="str">
        <x:v>GATE</x:v>
      </x:c>
      <x:c r="D2594" t="str">
        <x:v>release state mirrors governing ledger</x:v>
      </x:c>
      <x:c r="E2594" t="str">
        <x:f>'Release Gates'!I2568</x:f>
        <x:v>OPEN</x:v>
      </x:c>
      <x:c r="F2594" t="str">
        <x:f>IF('Release Gates'!C2568="PLANNING","PASS",IF('Release Gates'!C2568="PHYSICAL","OPEN","BLOCKED"))</x:f>
        <x:v>OPEN</x:v>
      </x:c>
      <x:c r="G2594" t="str">
        <x:v>equals</x:v>
      </x:c>
      <x:c r="H2594" t="str">
        <x:f>IF(E2594=F2594,"PASS","FAIL")</x:f>
        <x:v>PASS</x:v>
      </x:c>
    </x:row>
    <x:row r="2595">
      <x:c r="B2595" t="str">
        <x:v>A-02563</x:v>
      </x:c>
      <x:c r="C2595" t="str">
        <x:v>GATE</x:v>
      </x:c>
      <x:c r="D2595" t="str">
        <x:v>release state mirrors governing ledger</x:v>
      </x:c>
      <x:c r="E2595" t="str">
        <x:f>'Release Gates'!I2569</x:f>
        <x:v>OPEN</x:v>
      </x:c>
      <x:c r="F2595" t="str">
        <x:f>IF('Release Gates'!C2569="PLANNING","PASS",IF('Release Gates'!C2569="PHYSICAL","OPEN","BLOCKED"))</x:f>
        <x:v>OPEN</x:v>
      </x:c>
      <x:c r="G2595" t="str">
        <x:v>equals</x:v>
      </x:c>
      <x:c r="H2595" t="str">
        <x:f>IF(E2595=F2595,"PASS","FAIL")</x:f>
        <x:v>PASS</x:v>
      </x:c>
    </x:row>
    <x:row r="2596">
      <x:c r="B2596" t="str">
        <x:v>A-02564</x:v>
      </x:c>
      <x:c r="C2596" t="str">
        <x:v>GATE</x:v>
      </x:c>
      <x:c r="D2596" t="str">
        <x:v>release state mirrors governing ledger</x:v>
      </x:c>
      <x:c r="E2596" t="str">
        <x:f>'Release Gates'!I2570</x:f>
        <x:v>OPEN</x:v>
      </x:c>
      <x:c r="F2596" t="str">
        <x:f>IF('Release Gates'!C2570="PLANNING","PASS",IF('Release Gates'!C2570="PHYSICAL","OPEN","BLOCKED"))</x:f>
        <x:v>OPEN</x:v>
      </x:c>
      <x:c r="G2596" t="str">
        <x:v>equals</x:v>
      </x:c>
      <x:c r="H2596" t="str">
        <x:f>IF(E2596=F2596,"PASS","FAIL")</x:f>
        <x:v>PASS</x:v>
      </x:c>
    </x:row>
    <x:row r="2597">
      <x:c r="B2597" t="str">
        <x:v>A-02565</x:v>
      </x:c>
      <x:c r="C2597" t="str">
        <x:v>GATE</x:v>
      </x:c>
      <x:c r="D2597" t="str">
        <x:v>release state mirrors governing ledger</x:v>
      </x:c>
      <x:c r="E2597" t="str">
        <x:f>'Release Gates'!I2571</x:f>
        <x:v>OPEN</x:v>
      </x:c>
      <x:c r="F2597" t="str">
        <x:f>IF('Release Gates'!C2571="PLANNING","PASS",IF('Release Gates'!C2571="PHYSICAL","OPEN","BLOCKED"))</x:f>
        <x:v>OPEN</x:v>
      </x:c>
      <x:c r="G2597" t="str">
        <x:v>equals</x:v>
      </x:c>
      <x:c r="H2597" t="str">
        <x:f>IF(E2597=F2597,"PASS","FAIL")</x:f>
        <x:v>PASS</x:v>
      </x:c>
    </x:row>
    <x:row r="2598">
      <x:c r="B2598" t="str">
        <x:v>A-02566</x:v>
      </x:c>
      <x:c r="C2598" t="str">
        <x:v>GATE</x:v>
      </x:c>
      <x:c r="D2598" t="str">
        <x:v>release state mirrors governing ledger</x:v>
      </x:c>
      <x:c r="E2598" t="str">
        <x:f>'Release Gates'!I2572</x:f>
        <x:v>OPEN</x:v>
      </x:c>
      <x:c r="F2598" t="str">
        <x:f>IF('Release Gates'!C2572="PLANNING","PASS",IF('Release Gates'!C2572="PHYSICAL","OPEN","BLOCKED"))</x:f>
        <x:v>OPEN</x:v>
      </x:c>
      <x:c r="G2598" t="str">
        <x:v>equals</x:v>
      </x:c>
      <x:c r="H2598" t="str">
        <x:f>IF(E2598=F2598,"PASS","FAIL")</x:f>
        <x:v>PASS</x:v>
      </x:c>
    </x:row>
    <x:row r="2599">
      <x:c r="B2599" t="str">
        <x:v>A-02567</x:v>
      </x:c>
      <x:c r="C2599" t="str">
        <x:v>GATE</x:v>
      </x:c>
      <x:c r="D2599" t="str">
        <x:v>release state mirrors governing ledger</x:v>
      </x:c>
      <x:c r="E2599" t="str">
        <x:f>'Release Gates'!I2573</x:f>
        <x:v>OPEN</x:v>
      </x:c>
      <x:c r="F2599" t="str">
        <x:f>IF('Release Gates'!C2573="PLANNING","PASS",IF('Release Gates'!C2573="PHYSICAL","OPEN","BLOCKED"))</x:f>
        <x:v>OPEN</x:v>
      </x:c>
      <x:c r="G2599" t="str">
        <x:v>equals</x:v>
      </x:c>
      <x:c r="H2599" t="str">
        <x:f>IF(E2599=F2599,"PASS","FAIL")</x:f>
        <x:v>PASS</x:v>
      </x:c>
    </x:row>
    <x:row r="2600">
      <x:c r="B2600" t="str">
        <x:v>A-02568</x:v>
      </x:c>
      <x:c r="C2600" t="str">
        <x:v>GATE</x:v>
      </x:c>
      <x:c r="D2600" t="str">
        <x:v>release state mirrors governing ledger</x:v>
      </x:c>
      <x:c r="E2600" t="str">
        <x:f>'Release Gates'!I2574</x:f>
        <x:v>OPEN</x:v>
      </x:c>
      <x:c r="F2600" t="str">
        <x:f>IF('Release Gates'!C2574="PLANNING","PASS",IF('Release Gates'!C2574="PHYSICAL","OPEN","BLOCKED"))</x:f>
        <x:v>OPEN</x:v>
      </x:c>
      <x:c r="G2600" t="str">
        <x:v>equals</x:v>
      </x:c>
      <x:c r="H2600" t="str">
        <x:f>IF(E2600=F2600,"PASS","FAIL")</x:f>
        <x:v>PASS</x:v>
      </x:c>
    </x:row>
    <x:row r="2601">
      <x:c r="B2601" t="str">
        <x:v>A-02569</x:v>
      </x:c>
      <x:c r="C2601" t="str">
        <x:v>GATE</x:v>
      </x:c>
      <x:c r="D2601" t="str">
        <x:v>release state mirrors governing ledger</x:v>
      </x:c>
      <x:c r="E2601" t="str">
        <x:f>'Release Gates'!I2575</x:f>
        <x:v>OPEN</x:v>
      </x:c>
      <x:c r="F2601" t="str">
        <x:f>IF('Release Gates'!C2575="PLANNING","PASS",IF('Release Gates'!C2575="PHYSICAL","OPEN","BLOCKED"))</x:f>
        <x:v>OPEN</x:v>
      </x:c>
      <x:c r="G2601" t="str">
        <x:v>equals</x:v>
      </x:c>
      <x:c r="H2601" t="str">
        <x:f>IF(E2601=F2601,"PASS","FAIL")</x:f>
        <x:v>PASS</x:v>
      </x:c>
    </x:row>
    <x:row r="2602">
      <x:c r="B2602" t="str">
        <x:v>A-02570</x:v>
      </x:c>
      <x:c r="C2602" t="str">
        <x:v>GATE</x:v>
      </x:c>
      <x:c r="D2602" t="str">
        <x:v>release state mirrors governing ledger</x:v>
      </x:c>
      <x:c r="E2602" t="str">
        <x:f>'Release Gates'!I2576</x:f>
        <x:v>OPEN</x:v>
      </x:c>
      <x:c r="F2602" t="str">
        <x:f>IF('Release Gates'!C2576="PLANNING","PASS",IF('Release Gates'!C2576="PHYSICAL","OPEN","BLOCKED"))</x:f>
        <x:v>OPEN</x:v>
      </x:c>
      <x:c r="G2602" t="str">
        <x:v>equals</x:v>
      </x:c>
      <x:c r="H2602" t="str">
        <x:f>IF(E2602=F2602,"PASS","FAIL")</x:f>
        <x:v>PASS</x:v>
      </x:c>
    </x:row>
    <x:row r="2603">
      <x:c r="B2603" t="str">
        <x:v>A-02571</x:v>
      </x:c>
      <x:c r="C2603" t="str">
        <x:v>GATE</x:v>
      </x:c>
      <x:c r="D2603" t="str">
        <x:v>release state mirrors governing ledger</x:v>
      </x:c>
      <x:c r="E2603" t="str">
        <x:f>'Release Gates'!I2577</x:f>
        <x:v>OPEN</x:v>
      </x:c>
      <x:c r="F2603" t="str">
        <x:f>IF('Release Gates'!C2577="PLANNING","PASS",IF('Release Gates'!C2577="PHYSICAL","OPEN","BLOCKED"))</x:f>
        <x:v>OPEN</x:v>
      </x:c>
      <x:c r="G2603" t="str">
        <x:v>equals</x:v>
      </x:c>
      <x:c r="H2603" t="str">
        <x:f>IF(E2603=F2603,"PASS","FAIL")</x:f>
        <x:v>PASS</x:v>
      </x:c>
    </x:row>
    <x:row r="2604">
      <x:c r="B2604" t="str">
        <x:v>A-02572</x:v>
      </x:c>
      <x:c r="C2604" t="str">
        <x:v>GATE</x:v>
      </x:c>
      <x:c r="D2604" t="str">
        <x:v>release state mirrors governing ledger</x:v>
      </x:c>
      <x:c r="E2604" t="str">
        <x:f>'Release Gates'!I2578</x:f>
        <x:v>OPEN</x:v>
      </x:c>
      <x:c r="F2604" t="str">
        <x:f>IF('Release Gates'!C2578="PLANNING","PASS",IF('Release Gates'!C2578="PHYSICAL","OPEN","BLOCKED"))</x:f>
        <x:v>OPEN</x:v>
      </x:c>
      <x:c r="G2604" t="str">
        <x:v>equals</x:v>
      </x:c>
      <x:c r="H2604" t="str">
        <x:f>IF(E2604=F2604,"PASS","FAIL")</x:f>
        <x:v>PASS</x:v>
      </x:c>
    </x:row>
    <x:row r="2605">
      <x:c r="B2605" t="str">
        <x:v>A-02573</x:v>
      </x:c>
      <x:c r="C2605" t="str">
        <x:v>GATE</x:v>
      </x:c>
      <x:c r="D2605" t="str">
        <x:v>release state mirrors governing ledger</x:v>
      </x:c>
      <x:c r="E2605" t="str">
        <x:f>'Release Gates'!I2579</x:f>
        <x:v>OPEN</x:v>
      </x:c>
      <x:c r="F2605" t="str">
        <x:f>IF('Release Gates'!C2579="PLANNING","PASS",IF('Release Gates'!C2579="PHYSICAL","OPEN","BLOCKED"))</x:f>
        <x:v>OPEN</x:v>
      </x:c>
      <x:c r="G2605" t="str">
        <x:v>equals</x:v>
      </x:c>
      <x:c r="H2605" t="str">
        <x:f>IF(E2605=F2605,"PASS","FAIL")</x:f>
        <x:v>PASS</x:v>
      </x:c>
    </x:row>
    <x:row r="2606">
      <x:c r="B2606" t="str">
        <x:v>A-02574</x:v>
      </x:c>
      <x:c r="C2606" t="str">
        <x:v>GATE</x:v>
      </x:c>
      <x:c r="D2606" t="str">
        <x:v>release state mirrors governing ledger</x:v>
      </x:c>
      <x:c r="E2606" t="str">
        <x:f>'Release Gates'!I2580</x:f>
        <x:v>OPEN</x:v>
      </x:c>
      <x:c r="F2606" t="str">
        <x:f>IF('Release Gates'!C2580="PLANNING","PASS",IF('Release Gates'!C2580="PHYSICAL","OPEN","BLOCKED"))</x:f>
        <x:v>OPEN</x:v>
      </x:c>
      <x:c r="G2606" t="str">
        <x:v>equals</x:v>
      </x:c>
      <x:c r="H2606" t="str">
        <x:f>IF(E2606=F2606,"PASS","FAIL")</x:f>
        <x:v>PASS</x:v>
      </x:c>
    </x:row>
    <x:row r="2607">
      <x:c r="B2607" t="str">
        <x:v>A-02575</x:v>
      </x:c>
      <x:c r="C2607" t="str">
        <x:v>GATE</x:v>
      </x:c>
      <x:c r="D2607" t="str">
        <x:v>release state mirrors governing ledger</x:v>
      </x:c>
      <x:c r="E2607" t="str">
        <x:f>'Release Gates'!I2581</x:f>
        <x:v>OPEN</x:v>
      </x:c>
      <x:c r="F2607" t="str">
        <x:f>IF('Release Gates'!C2581="PLANNING","PASS",IF('Release Gates'!C2581="PHYSICAL","OPEN","BLOCKED"))</x:f>
        <x:v>OPEN</x:v>
      </x:c>
      <x:c r="G2607" t="str">
        <x:v>equals</x:v>
      </x:c>
      <x:c r="H2607" t="str">
        <x:f>IF(E2607=F2607,"PASS","FAIL")</x:f>
        <x:v>PASS</x:v>
      </x:c>
    </x:row>
    <x:row r="2608">
      <x:c r="B2608" t="str">
        <x:v>A-02576</x:v>
      </x:c>
      <x:c r="C2608" t="str">
        <x:v>GATE</x:v>
      </x:c>
      <x:c r="D2608" t="str">
        <x:v>release state mirrors governing ledger</x:v>
      </x:c>
      <x:c r="E2608" t="str">
        <x:f>'Release Gates'!I2582</x:f>
        <x:v>OPEN</x:v>
      </x:c>
      <x:c r="F2608" t="str">
        <x:f>IF('Release Gates'!C2582="PLANNING","PASS",IF('Release Gates'!C2582="PHYSICAL","OPEN","BLOCKED"))</x:f>
        <x:v>OPEN</x:v>
      </x:c>
      <x:c r="G2608" t="str">
        <x:v>equals</x:v>
      </x:c>
      <x:c r="H2608" t="str">
        <x:f>IF(E2608=F2608,"PASS","FAIL")</x:f>
        <x:v>PASS</x:v>
      </x:c>
    </x:row>
    <x:row r="2609">
      <x:c r="B2609" t="str">
        <x:v>A-02577</x:v>
      </x:c>
      <x:c r="C2609" t="str">
        <x:v>GATE</x:v>
      </x:c>
      <x:c r="D2609" t="str">
        <x:v>release state mirrors governing ledger</x:v>
      </x:c>
      <x:c r="E2609" t="str">
        <x:f>'Release Gates'!I2583</x:f>
        <x:v>OPEN</x:v>
      </x:c>
      <x:c r="F2609" t="str">
        <x:f>IF('Release Gates'!C2583="PLANNING","PASS",IF('Release Gates'!C2583="PHYSICAL","OPEN","BLOCKED"))</x:f>
        <x:v>OPEN</x:v>
      </x:c>
      <x:c r="G2609" t="str">
        <x:v>equals</x:v>
      </x:c>
      <x:c r="H2609" t="str">
        <x:f>IF(E2609=F2609,"PASS","FAIL")</x:f>
        <x:v>PASS</x:v>
      </x:c>
    </x:row>
    <x:row r="2610">
      <x:c r="B2610" t="str">
        <x:v>A-02578</x:v>
      </x:c>
      <x:c r="C2610" t="str">
        <x:v>GATE</x:v>
      </x:c>
      <x:c r="D2610" t="str">
        <x:v>release state mirrors governing ledger</x:v>
      </x:c>
      <x:c r="E2610" t="str">
        <x:f>'Release Gates'!I2584</x:f>
        <x:v>OPEN</x:v>
      </x:c>
      <x:c r="F2610" t="str">
        <x:f>IF('Release Gates'!C2584="PLANNING","PASS",IF('Release Gates'!C2584="PHYSICAL","OPEN","BLOCKED"))</x:f>
        <x:v>OPEN</x:v>
      </x:c>
      <x:c r="G2610" t="str">
        <x:v>equals</x:v>
      </x:c>
      <x:c r="H2610" t="str">
        <x:f>IF(E2610=F2610,"PASS","FAIL")</x:f>
        <x:v>PASS</x:v>
      </x:c>
    </x:row>
    <x:row r="2611">
      <x:c r="B2611" t="str">
        <x:v>A-02579</x:v>
      </x:c>
      <x:c r="C2611" t="str">
        <x:v>GATE</x:v>
      </x:c>
      <x:c r="D2611" t="str">
        <x:v>release state mirrors governing ledger</x:v>
      </x:c>
      <x:c r="E2611" t="str">
        <x:f>'Release Gates'!I2585</x:f>
        <x:v>OPEN</x:v>
      </x:c>
      <x:c r="F2611" t="str">
        <x:f>IF('Release Gates'!C2585="PLANNING","PASS",IF('Release Gates'!C2585="PHYSICAL","OPEN","BLOCKED"))</x:f>
        <x:v>OPEN</x:v>
      </x:c>
      <x:c r="G2611" t="str">
        <x:v>equals</x:v>
      </x:c>
      <x:c r="H2611" t="str">
        <x:f>IF(E2611=F2611,"PASS","FAIL")</x:f>
        <x:v>PASS</x:v>
      </x:c>
    </x:row>
    <x:row r="2612">
      <x:c r="B2612" t="str">
        <x:v>A-02580</x:v>
      </x:c>
      <x:c r="C2612" t="str">
        <x:v>GATE</x:v>
      </x:c>
      <x:c r="D2612" t="str">
        <x:v>release state mirrors governing ledger</x:v>
      </x:c>
      <x:c r="E2612" t="str">
        <x:f>'Release Gates'!I2586</x:f>
        <x:v>BLOCKED</x:v>
      </x:c>
      <x:c r="F2612" t="str">
        <x:f>IF('Release Gates'!C2586="PLANNING","PASS",IF('Release Gates'!C2586="PHYSICAL","OPEN","BLOCKED"))</x:f>
        <x:v>BLOCKED</x:v>
      </x:c>
      <x:c r="G2612" t="str">
        <x:v>equals</x:v>
      </x:c>
      <x:c r="H2612" t="str">
        <x:f>IF(E2612=F2612,"PASS","FAIL")</x:f>
        <x:v>PASS</x:v>
      </x:c>
    </x:row>
    <x:row r="2613">
      <x:c r="B2613" t="str">
        <x:v>A-02581</x:v>
      </x:c>
      <x:c r="C2613" t="str">
        <x:v>GATE</x:v>
      </x:c>
      <x:c r="D2613" t="str">
        <x:v>release state mirrors governing ledger</x:v>
      </x:c>
      <x:c r="E2613" t="str">
        <x:f>'Release Gates'!I2587</x:f>
        <x:v>BLOCKED</x:v>
      </x:c>
      <x:c r="F2613" t="str">
        <x:f>IF('Release Gates'!C2587="PLANNING","PASS",IF('Release Gates'!C2587="PHYSICAL","OPEN","BLOCKED"))</x:f>
        <x:v>BLOCKED</x:v>
      </x:c>
      <x:c r="G2613" t="str">
        <x:v>equals</x:v>
      </x:c>
      <x:c r="H2613" t="str">
        <x:f>IF(E2613=F2613,"PASS","FAIL")</x:f>
        <x:v>PASS</x:v>
      </x:c>
    </x:row>
    <x:row r="2614">
      <x:c r="B2614" t="str">
        <x:v>A-02582</x:v>
      </x:c>
      <x:c r="C2614" t="str">
        <x:v>GATE</x:v>
      </x:c>
      <x:c r="D2614" t="str">
        <x:v>release state mirrors governing ledger</x:v>
      </x:c>
      <x:c r="E2614" t="str">
        <x:f>'Release Gates'!I2588</x:f>
        <x:v>BLOCKED</x:v>
      </x:c>
      <x:c r="F2614" t="str">
        <x:f>IF('Release Gates'!C2588="PLANNING","PASS",IF('Release Gates'!C2588="PHYSICAL","OPEN","BLOCKED"))</x:f>
        <x:v>BLOCKED</x:v>
      </x:c>
      <x:c r="G2614" t="str">
        <x:v>equals</x:v>
      </x:c>
      <x:c r="H2614" t="str">
        <x:f>IF(E2614=F2614,"PASS","FAIL")</x:f>
        <x:v>PASS</x:v>
      </x:c>
    </x:row>
    <x:row r="2615">
      <x:c r="B2615" t="str">
        <x:v>A-02583</x:v>
      </x:c>
      <x:c r="C2615" t="str">
        <x:v>GATE</x:v>
      </x:c>
      <x:c r="D2615" t="str">
        <x:v>release state mirrors governing ledger</x:v>
      </x:c>
      <x:c r="E2615" t="str">
        <x:f>'Release Gates'!I2589</x:f>
        <x:v>BLOCKED</x:v>
      </x:c>
      <x:c r="F2615" t="str">
        <x:f>IF('Release Gates'!C2589="PLANNING","PASS",IF('Release Gates'!C2589="PHYSICAL","OPEN","BLOCKED"))</x:f>
        <x:v>BLOCKED</x:v>
      </x:c>
      <x:c r="G2615" t="str">
        <x:v>equals</x:v>
      </x:c>
      <x:c r="H2615" t="str">
        <x:f>IF(E2615=F2615,"PASS","FAIL")</x:f>
        <x:v>PASS</x:v>
      </x:c>
    </x:row>
    <x:row r="2616">
      <x:c r="B2616" t="str">
        <x:v>A-02584</x:v>
      </x:c>
      <x:c r="C2616" t="str">
        <x:v>GATE</x:v>
      </x:c>
      <x:c r="D2616" t="str">
        <x:v>release state mirrors governing ledger</x:v>
      </x:c>
      <x:c r="E2616" t="str">
        <x:f>'Release Gates'!I2590</x:f>
        <x:v>BLOCKED</x:v>
      </x:c>
      <x:c r="F2616" t="str">
        <x:f>IF('Release Gates'!C2590="PLANNING","PASS",IF('Release Gates'!C2590="PHYSICAL","OPEN","BLOCKED"))</x:f>
        <x:v>BLOCKED</x:v>
      </x:c>
      <x:c r="G2616" t="str">
        <x:v>equals</x:v>
      </x:c>
      <x:c r="H2616" t="str">
        <x:f>IF(E2616=F2616,"PASS","FAIL")</x:f>
        <x:v>PASS</x:v>
      </x:c>
    </x:row>
    <x:row r="2617">
      <x:c r="B2617" t="str">
        <x:v>A-02585</x:v>
      </x:c>
      <x:c r="C2617" t="str">
        <x:v>GATE</x:v>
      </x:c>
      <x:c r="D2617" t="str">
        <x:v>release state mirrors governing ledger</x:v>
      </x:c>
      <x:c r="E2617" t="str">
        <x:f>'Release Gates'!I2591</x:f>
        <x:v>BLOCKED</x:v>
      </x:c>
      <x:c r="F2617" t="str">
        <x:f>IF('Release Gates'!C2591="PLANNING","PASS",IF('Release Gates'!C2591="PHYSICAL","OPEN","BLOCKED"))</x:f>
        <x:v>BLOCKED</x:v>
      </x:c>
      <x:c r="G2617" t="str">
        <x:v>equals</x:v>
      </x:c>
      <x:c r="H2617" t="str">
        <x:f>IF(E2617=F2617,"PASS","FAIL")</x:f>
        <x:v>PASS</x:v>
      </x:c>
    </x:row>
    <x:row r="2618">
      <x:c r="B2618" t="str">
        <x:v>A-02586</x:v>
      </x:c>
      <x:c r="C2618" t="str">
        <x:v>GATE</x:v>
      </x:c>
      <x:c r="D2618" t="str">
        <x:v>release state mirrors governing ledger</x:v>
      </x:c>
      <x:c r="E2618" t="str">
        <x:f>'Release Gates'!I2592</x:f>
        <x:v>BLOCKED</x:v>
      </x:c>
      <x:c r="F2618" t="str">
        <x:f>IF('Release Gates'!C2592="PLANNING","PASS",IF('Release Gates'!C2592="PHYSICAL","OPEN","BLOCKED"))</x:f>
        <x:v>BLOCKED</x:v>
      </x:c>
      <x:c r="G2618" t="str">
        <x:v>equals</x:v>
      </x:c>
      <x:c r="H2618" t="str">
        <x:f>IF(E2618=F2618,"PASS","FAIL")</x:f>
        <x:v>PASS</x:v>
      </x:c>
    </x:row>
    <x:row r="2619">
      <x:c r="B2619" t="str">
        <x:v>A-02587</x:v>
      </x:c>
      <x:c r="C2619" t="str">
        <x:v>GATE</x:v>
      </x:c>
      <x:c r="D2619" t="str">
        <x:v>release state mirrors governing ledger</x:v>
      </x:c>
      <x:c r="E2619" t="str">
        <x:f>'Release Gates'!I2593</x:f>
        <x:v>BLOCKED</x:v>
      </x:c>
      <x:c r="F2619" t="str">
        <x:f>IF('Release Gates'!C2593="PLANNING","PASS",IF('Release Gates'!C2593="PHYSICAL","OPEN","BLOCKED"))</x:f>
        <x:v>BLOCKED</x:v>
      </x:c>
      <x:c r="G2619" t="str">
        <x:v>equals</x:v>
      </x:c>
      <x:c r="H2619" t="str">
        <x:f>IF(E2619=F2619,"PASS","FAIL")</x:f>
        <x:v>PASS</x:v>
      </x:c>
    </x:row>
    <x:row r="2620">
      <x:c r="B2620" t="str">
        <x:v>A-02588</x:v>
      </x:c>
      <x:c r="C2620" t="str">
        <x:v>GATE</x:v>
      </x:c>
      <x:c r="D2620" t="str">
        <x:v>release state mirrors governing ledger</x:v>
      </x:c>
      <x:c r="E2620" t="str">
        <x:f>'Release Gates'!I2594</x:f>
        <x:v>BLOCKED</x:v>
      </x:c>
      <x:c r="F2620" t="str">
        <x:f>IF('Release Gates'!C2594="PLANNING","PASS",IF('Release Gates'!C2594="PHYSICAL","OPEN","BLOCKED"))</x:f>
        <x:v>BLOCKED</x:v>
      </x:c>
      <x:c r="G2620" t="str">
        <x:v>equals</x:v>
      </x:c>
      <x:c r="H2620" t="str">
        <x:f>IF(E2620=F2620,"PASS","FAIL")</x:f>
        <x:v>PASS</x:v>
      </x:c>
    </x:row>
  </x:sheetData>
  <x:conditionalFormatting sqref="H7:H2620">
    <x:cfRule type="containsText" dxfId="96" priority="1" operator="containsText" text="FAIL"/>
    <x:cfRule type="containsText" dxfId="97" priority="2" operator="containsText" text="BLOCKED"/>
    <x:cfRule type="containsText" dxfId="98" priority="3" operator="containsText" text="OPEN"/>
    <x:cfRule type="containsText" dxfId="99" priority="4" operator="containsText" text="GAP"/>
    <x:cfRule type="containsText" dxfId="100" priority="5" operator="containsText" text="PASS"/>
    <x:cfRule type="containsText" dxfId="101" priority="6" operator="containsText" text="INVALID"/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4" hidden="0" customWidth="1"/>
    <x:col min="4" max="4" width="32" hidden="0" customWidth="1"/>
    <x:col min="5" max="5" width="70" hidden="0" customWidth="1"/>
  </x:cols>
  <x:sheetData>
    <x:row r="2">
      <x:c r="B2" s="1" t="str">
        <x:v>Ten separated public authorities</x:v>
      </x:c>
    </x:row>
    <x:row r="3">
      <x:c r="B3" s="2" t="str">
        <x:v>No candidate, facility integrator or spreadsheet can self-release a source event.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Authority</x:v>
      </x:c>
      <x:c r="C6" s="7" t="str">
        <x:v>Decision</x:v>
      </x:c>
      <x:c r="D6" s="7" t="str">
        <x:v>Owner</x:v>
      </x:c>
      <x:c r="E6" s="7" t="str">
        <x:v>Rule</x:v>
      </x:c>
    </x:row>
    <x:row r="7" ht="44" customHeight="1">
      <x:c r="B7" t="str">
        <x:v>AU-01</x:v>
      </x:c>
      <x:c r="C7" t="str">
        <x:v>public rig configuration</x:v>
      </x:c>
      <x:c r="D7" t="str">
        <x:v>Department test authority</x:v>
      </x:c>
      <x:c r="E7" s="11" t="str">
        <x:v>owns source, datum, clock and public safety</x:v>
      </x:c>
    </x:row>
    <x:row r="8" ht="44" customHeight="1">
      <x:c r="B8" t="str">
        <x:v>AU-02</x:v>
      </x:c>
      <x:c r="C8" t="str">
        <x:v>candidate configuration</x:v>
      </x:c>
      <x:c r="D8" t="str">
        <x:v>candidate builder cell</x:v>
      </x:c>
      <x:c r="E8" s="11" t="str">
        <x:v>owns article mechanism and declared software</x:v>
      </x:c>
    </x:row>
    <x:row r="9" ht="44" customHeight="1">
      <x:c r="B9" t="str">
        <x:v>AU-03</x:v>
      </x:c>
      <x:c r="C9" t="str">
        <x:v>source admission</x:v>
      </x:c>
      <x:c r="D9" t="str">
        <x:v>source authority</x:v>
      </x:c>
      <x:c r="E9" s="11" t="str">
        <x:v>releases exact inventory and lot</x:v>
      </x:c>
    </x:row>
    <x:row r="10" ht="44" customHeight="1">
      <x:c r="B10" t="str">
        <x:v>AU-04</x:v>
      </x:c>
      <x:c r="C10" t="str">
        <x:v>fire and thermal boundary</x:v>
      </x:c>
      <x:c r="D10" t="str">
        <x:v>hazard authority</x:v>
      </x:c>
      <x:c r="E10" s="11" t="str">
        <x:v>releases ignition, wind and thermal state</x:v>
      </x:c>
    </x:row>
    <x:row r="11" ht="44" customHeight="1">
      <x:c r="B11" t="str">
        <x:v>AU-05</x:v>
      </x:c>
      <x:c r="C11" t="str">
        <x:v>environmental custody</x:v>
      </x:c>
      <x:c r="D11" t="str">
        <x:v>environmental authority</x:v>
      </x:c>
      <x:c r="E11" s="11" t="str">
        <x:v>owns all post-boundary disposition</x:v>
      </x:c>
    </x:row>
    <x:row r="12" ht="44" customHeight="1">
      <x:c r="B12" t="str">
        <x:v>AU-06</x:v>
      </x:c>
      <x:c r="C12" t="str">
        <x:v>rescue and clinical</x:v>
      </x:c>
      <x:c r="D12" t="str">
        <x:v>life-safety authority</x:v>
      </x:c>
      <x:c r="E12" s="11" t="str">
        <x:v>may intervene without evidence permission</x:v>
      </x:c>
    </x:row>
    <x:row r="13" ht="44" customHeight="1">
      <x:c r="B13" t="str">
        <x:v>AU-07</x:v>
      </x:c>
      <x:c r="C13" t="str">
        <x:v>evidence validity</x:v>
      </x:c>
      <x:c r="D13" t="str">
        <x:v>independent evidence authority</x:v>
      </x:c>
      <x:c r="E13" s="11" t="str">
        <x:v>accepts time, configuration and mass lineage</x:v>
      </x:c>
    </x:row>
    <x:row r="14" ht="44" customHeight="1">
      <x:c r="B14" t="str">
        <x:v>AU-08</x:v>
      </x:c>
      <x:c r="C14" t="str">
        <x:v>candidate performance</x:v>
      </x:c>
      <x:c r="D14" t="str">
        <x:v>selection authority</x:v>
      </x:c>
      <x:c r="E14" s="11" t="str">
        <x:v>scores public intervention as an outcome</x:v>
      </x:c>
    </x:row>
    <x:row r="15" ht="44" customHeight="1">
      <x:c r="B15" t="str">
        <x:v>AU-09</x:v>
      </x:c>
      <x:c r="C15" t="str">
        <x:v>regression after change</x:v>
      </x:c>
      <x:c r="D15" t="str">
        <x:v>configuration board</x:v>
      </x:c>
      <x:c r="E15" s="11" t="str">
        <x:v>returns article or rig to an earlier stage</x:v>
      </x:c>
    </x:row>
    <x:row r="16" ht="44" customHeight="1">
      <x:c r="B16" t="str">
        <x:v>AU-10</x:v>
      </x:c>
      <x:c r="C16" t="str">
        <x:v>exterior rendering</x:v>
      </x:c>
      <x:c r="D16" t="str">
        <x:v>research-program authority</x:v>
      </x:c>
      <x:c r="E16" s="11" t="str">
        <x:v>remains blocked pending physical learning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5" hidden="0" customWidth="1"/>
    <x:col min="3" max="3" width="125" hidden="0" customWidth="1"/>
  </x:cols>
  <x:sheetData>
    <x:row r="2">
      <x:c r="B2" s="1" t="str">
        <x:v>Workbook use and authority</x:v>
      </x:c>
    </x:row>
    <x:row r="3">
      <x:c r="B3" s="2" t="str">
        <x:v>RFP-1 is a physical test-plant specification, not a construction release or candidate selection.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Topic</x:v>
      </x:c>
      <x:c r="C6" s="7" t="str">
        <x:v>Rule</x:v>
      </x:c>
    </x:row>
    <x:row r="7" ht="46" customHeight="1">
      <x:c r="B7" t="str">
        <x:v>Decision</x:v>
      </x:c>
      <x:c r="C7" s="11" t="str">
        <x:v>Build six complete public fire/hydraulic rigs whose common components create comparable truth without supplying a candidate's missing function.</x:v>
      </x:c>
    </x:row>
    <x:row r="8" ht="46" customHeight="1">
      <x:c r="B8" t="str">
        <x:v>Neutrality</x:v>
      </x:c>
      <x:c r="C8" s="11" t="str">
        <x:v>Common source, datum, challenge, time, safety and evidence; unlike candidate surfaces, drains, water logic, cooling, robots and recovery.</x:v>
      </x:c>
    </x:row>
    <x:row r="9" ht="46" customHeight="1">
      <x:c r="B9" t="str">
        <x:v>Terrain</x:v>
      </x:c>
      <x:c r="C9" s="11" t="str">
        <x:v>Each rig has a 30 m × 20 m field, 150 adjustable cassettes and 600 replaceable panels.</x:v>
      </x:c>
    </x:row>
    <x:row r="10" ht="46" customHeight="1">
      <x:c r="B10" t="str">
        <x:v>Casualty boundary</x:v>
      </x:c>
      <x:c r="C10" s="11" t="str">
        <x:v>Public 50 m3 source and 120 m3 water receivers are one-way safety systems. Use is adverse candidate evidence.</x:v>
      </x:c>
    </x:row>
    <x:row r="11" ht="46" customHeight="1">
      <x:c r="B11" t="str">
        <x:v>Campaign</x:v>
      </x:c>
      <x:c r="C11" s="11" t="str">
        <x:v>The plant admits the inherited ten methods, eight challenges, 306 events and 96 matched pairs.</x:v>
      </x:c>
    </x:row>
    <x:row r="12" ht="46" customHeight="1">
      <x:c r="B12" t="str">
        <x:v>Evidence</x:v>
      </x:c>
      <x:c r="C12" s="11" t="str">
        <x:v>576 channels per rig: 480 scientific plus 96 independent facility witnesses.</x:v>
      </x:c>
    </x:row>
    <x:row r="13" ht="46" customHeight="1">
      <x:c r="B13" t="str">
        <x:v>Finance</x:v>
      </x:c>
      <x:c r="C13" s="11" t="str">
        <x:v>USD 720 million capital, USD 112 million per year and USD 1,056 million program-period exposure.</x:v>
      </x:c>
    </x:row>
    <x:row r="14" ht="46" customHeight="1">
      <x:c r="B14" t="str">
        <x:v>Authority</x:v>
      </x:c>
      <x:c r="C14" s="11" t="str">
        <x:v>Planning completeness grants no physical or source authority. Candidate failure may remain a valid public experiment.</x:v>
      </x:c>
    </x:row>
    <x:row r="15" ht="46" customHeight="1">
      <x:c r="B15" t="str">
        <x:v>Rendering</x:v>
      </x:c>
      <x:c r="C15" s="11" t="str">
        <x:v>No exterior rendering is authorized. Physical results must precede external form.</x:v>
      </x:c>
    </x:row>
    <x:row r="16" ht="46" customHeight="1">
      <x:c r="B16" t="str">
        <x:v>Sources</x:v>
      </x:c>
      <x:c r="C16" s="11" t="str">
        <x:v>Internal repository authority only: CISA-1, PTC-0, MCR-1, SBD-1, RFA-1, RHE-1 and RHM-1.</x:v>
      </x:c>
    </x:row>
  </x:sheetData>
  <x:pageMargins left="0.7" right="0.7" top="0.75" bottom="0.75" header="0.3" footer="0.3"/>
</x:worksheet>
</file>