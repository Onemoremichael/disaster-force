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ables/table18.xml" ContentType="application/vnd.openxmlformats-officedocument.spreadsheetml.table+xml"/>
  <Override PartName="/xl/worksheets/sheet21.xml" ContentType="application/vnd.openxmlformats-officedocument.spreadsheetml.worksheet+xml"/>
  <Override PartName="/xl/tables/table1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7fb59c5a4a49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" sheetId="1" r:id="Rabf4082197fb4095"/>
    <x:sheet xmlns:r="http://schemas.openxmlformats.org/officeDocument/2006/relationships" name="Assumptions" sheetId="2" r:id="Rc76a16303d8b403a"/>
    <x:sheet xmlns:r="http://schemas.openxmlformats.org/officeDocument/2006/relationships" name="Candidate Screens" sheetId="3" r:id="R2d20c7f146944cce"/>
    <x:sheet xmlns:r="http://schemas.openxmlformats.org/officeDocument/2006/relationships" name="Candidate Gates" sheetId="4" r:id="R3b25ead16cf54714"/>
    <x:sheet xmlns:r="http://schemas.openxmlformats.org/officeDocument/2006/relationships" name="Trial Register" sheetId="5" r:id="R3111d147db0d4e5d"/>
    <x:sheet xmlns:r="http://schemas.openxmlformats.org/officeDocument/2006/relationships" name="Selection" sheetId="6" r:id="R2651dc060329416b"/>
    <x:sheet xmlns:r="http://schemas.openxmlformats.org/officeDocument/2006/relationships" name="Receiver" sheetId="7" r:id="R121392905c6e4acc"/>
    <x:sheet xmlns:r="http://schemas.openxmlformats.org/officeDocument/2006/relationships" name="Source Bank" sheetId="8" r:id="R487d995e244a42ca"/>
    <x:sheet xmlns:r="http://schemas.openxmlformats.org/officeDocument/2006/relationships" name="Reserve Capacity" sheetId="9" r:id="R225d622fd6164b7a"/>
    <x:sheet xmlns:r="http://schemas.openxmlformats.org/officeDocument/2006/relationships" name="Cell Eligibility" sheetId="10" r:id="R68b562f743884c33"/>
    <x:sheet xmlns:r="http://schemas.openxmlformats.org/officeDocument/2006/relationships" name="Event Gates" sheetId="11" r:id="Rbdf0ab03212e487a"/>
    <x:sheet xmlns:r="http://schemas.openxmlformats.org/officeDocument/2006/relationships" name="Dossier" sheetId="12" r:id="Ra1eee529ab434895"/>
    <x:sheet xmlns:r="http://schemas.openxmlformats.org/officeDocument/2006/relationships" name="Uncertainty" sheetId="13" r:id="R0af78644671c492f"/>
    <x:sheet xmlns:r="http://schemas.openxmlformats.org/officeDocument/2006/relationships" name="Source Ledger" sheetId="14" r:id="R1324b1bd83a04914"/>
    <x:sheet xmlns:r="http://schemas.openxmlformats.org/officeDocument/2006/relationships" name="Event Clock" sheetId="15" r:id="R87a9958a12574500"/>
    <x:sheet xmlns:r="http://schemas.openxmlformats.org/officeDocument/2006/relationships" name="Return" sheetId="16" r:id="Rac0500e2727f4741"/>
    <x:sheet xmlns:r="http://schemas.openxmlformats.org/officeDocument/2006/relationships" name="Evidence" sheetId="17" r:id="R935bfc17ca874aa0"/>
    <x:sheet xmlns:r="http://schemas.openxmlformats.org/officeDocument/2006/relationships" name="Workforce" sheetId="18" r:id="R1b71cdbbc1ee4de0"/>
    <x:sheet xmlns:r="http://schemas.openxmlformats.org/officeDocument/2006/relationships" name="Finance" sheetId="19" r:id="Rea50d732f77144d3"/>
    <x:sheet xmlns:r="http://schemas.openxmlformats.org/officeDocument/2006/relationships" name="Cases" sheetId="20" r:id="R8bc59ff520264044"/>
    <x:sheet xmlns:r="http://schemas.openxmlformats.org/officeDocument/2006/relationships" name="Audit" sheetId="21" r:id="R7016648a1c2b43b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.000"/>
    <x:numFmt numFmtId="201" formatCode="@"/>
    <x:numFmt numFmtId="202" formatCode="#,##0.00000"/>
    <x:numFmt numFmtId="203" formatCode="#,##0.0000"/>
    <x:numFmt numFmtId="204" formatCode="0.0000"/>
    <x:numFmt numFmtId="205" formatCode="0.000"/>
    <x:numFmt numFmtId="206" formatCode="0.000000"/>
    <x:numFmt numFmtId="207" formatCode="0.0000%"/>
    <x:numFmt numFmtId="208" formatCode="0.0%"/>
    <x:numFmt numFmtId="209" formatCode="#,##0.00"/>
    <x:numFmt numFmtId="210" formatCode="#,##0.000000"/>
  </x:numFmts>
  <x:fonts count="9">
    <x:font>
      <x:sz val="11"/>
      <x:name val="Carlito"/>
    </x:font>
    <x:font>
      <x:b/>
      <x:sz val="15"/>
      <x:color rgb="FFFFFFFF"/>
      <x:name val="Arial"/>
    </x:font>
    <x:font>
      <x:i/>
      <x:sz val="9"/>
      <x:color rgb="FF5E6B78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  <x:font>
      <x:sz val="10"/>
      <x:color rgb="FF0070C0"/>
      <x:name val="Arial"/>
    </x:font>
    <x:font>
      <x:i/>
      <x:sz val="10"/>
      <x:color rgb="FF1F2937"/>
      <x:name val="Arial"/>
    </x:font>
    <x:font>
      <x:sz val="1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42B44"/>
      </x:patternFill>
    </x:fill>
    <x:fill>
      <x:patternFill patternType="solid">
        <x:fgColor rgb="FFDCEAF7"/>
      </x:patternFill>
    </x:fill>
    <x:fill>
      <x:patternFill patternType="solid">
        <x:fgColor rgb="FF1E3A5F"/>
      </x:patternFill>
    </x:fill>
    <x:fill>
      <x:patternFill patternType="solid">
        <x:fgColor rgb="FFFFF2CC"/>
      </x:patternFill>
    </x:fill>
  </x:fills>
  <x:borders count="7">
    <x:border/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6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200" fontId="4" fillId="0" borderId="0" xfId="0" applyNumberFormat="1" applyFont="1" applyFill="1" applyBorder="1" applyAlignment="1">
      <x:alignment vertical="center"/>
    </x:xf>
    <x:xf numFmtId="200" fontId="3" fillId="3" borderId="2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4" xfId="0" applyNumberFormat="1" applyFont="1" applyFill="1" applyBorder="1"/>
    <x:xf numFmtId="0" fontId="5" fillId="4" borderId="5" xfId="0" applyNumberFormat="1" applyFont="1" applyFill="1" applyBorder="1"/>
    <x:xf numFmtId="0" fontId="5" fillId="4" borderId="6" xfId="0" applyNumberFormat="1" applyFont="1" applyFill="1" applyBorder="1"/>
    <x:xf numFmtId="0" fontId="5" fillId="4" borderId="4" xfId="0" applyNumberFormat="1" applyFont="1" applyFill="1" applyBorder="1" applyAlignment="1">
      <x:alignment wrapText="1"/>
    </x:xf>
    <x:xf numFmtId="0" fontId="5" fillId="4" borderId="5" xfId="0" applyNumberFormat="1" applyFont="1" applyFill="1" applyBorder="1" applyAlignment="1">
      <x:alignment wrapText="1"/>
    </x:xf>
    <x:xf numFmtId="0" fontId="5" fillId="4" borderId="6" xfId="0" applyNumberFormat="1" applyFont="1" applyFill="1" applyBorder="1" applyAlignment="1">
      <x:alignment wrapText="1"/>
    </x:xf>
    <x:xf numFmtId="0" fontId="5" fillId="4" borderId="4" xfId="0" applyNumberFormat="1" applyFont="1" applyFill="1" applyBorder="1" applyAlignment="1">
      <x:alignment horizontal="center" wrapText="1"/>
    </x:xf>
    <x:xf numFmtId="0" fontId="5" fillId="4" borderId="5" xfId="0" applyNumberFormat="1" applyFont="1" applyFill="1" applyBorder="1" applyAlignment="1">
      <x:alignment horizontal="center" wrapText="1"/>
    </x:xf>
    <x:xf numFmtId="0" fontId="5" fillId="4" borderId="6" xfId="0" applyNumberFormat="1" applyFont="1" applyFill="1" applyBorder="1" applyAlignment="1">
      <x:alignment horizont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5" fillId="4" borderId="5" xfId="0" applyNumberFormat="1" applyFont="1" applyFill="1" applyBorder="1" applyAlignment="1">
      <x:alignment horizontal="center" vertical="center" wrapText="1"/>
    </x:xf>
    <x:xf numFmtId="0" fontId="5" fillId="4" borderId="6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vertical="center"/>
    </x:xf>
    <x:xf numFmtId="202" fontId="6" fillId="5" borderId="0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3" fillId="4" borderId="6" xfId="0" applyNumberFormat="1" applyFont="1" applyFill="1" applyBorder="1" applyAlignment="1">
      <x:alignment horizontal="center" vertical="center" wrapText="1"/>
    </x:xf>
    <x:xf numFmtId="0" fontId="3" fillId="4" borderId="5" xfId="0" applyNumberFormat="1" applyFont="1" applyFill="1" applyBorder="1" applyAlignment="1">
      <x:alignment horizontal="center" vertical="center" wrapText="1"/>
    </x:xf>
    <x:xf numFmtId="203" fontId="4" fillId="0" borderId="0" xfId="0" applyNumberFormat="1" applyFont="1" applyFill="1" applyBorder="1" applyAlignment="1">
      <x:alignment vertical="center"/>
    </x:xf>
    <x:xf numFmtId="204" fontId="4" fillId="0" borderId="0" xfId="0" applyNumberFormat="1" applyFont="1" applyFill="1" applyBorder="1" applyAlignment="1">
      <x:alignment vertical="center"/>
    </x:xf>
    <x:xf numFmtId="205" fontId="6" fillId="5" borderId="0" xfId="0" applyNumberFormat="1" applyFont="1" applyFill="1" applyBorder="1" applyAlignment="1">
      <x:alignment vertical="center"/>
    </x:xf>
    <x:xf numFmtId="0" fontId="7" fillId="0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center" wrapText="1"/>
    </x:xf>
    <x:xf numFmtId="206" fontId="4" fillId="0" borderId="0" xfId="0" applyNumberFormat="1" applyFont="1" applyFill="1" applyBorder="1" applyAlignment="1">
      <x:alignment vertical="center"/>
    </x:xf>
    <x:xf numFmtId="206" fontId="6" fillId="5" borderId="0" xfId="0" applyNumberFormat="1" applyFont="1" applyFill="1" applyBorder="1" applyAlignment="1">
      <x:alignment vertical="center"/>
    </x:xf>
    <x:xf numFmtId="207" fontId="4" fillId="0" borderId="0" xfId="0" applyNumberFormat="1" applyFont="1" applyFill="1" applyBorder="1" applyAlignment="1">
      <x:alignment vertical="center"/>
    </x:xf>
    <x:xf numFmtId="204" fontId="6" fillId="0" borderId="0" xfId="0" applyNumberFormat="1" applyFont="1" applyFill="1" applyBorder="1" applyAlignment="1">
      <x:alignment vertical="center"/>
    </x:xf>
    <x:xf numFmtId="204" fontId="3" fillId="4" borderId="6" xfId="0" applyNumberFormat="1" applyFont="1" applyFill="1" applyBorder="1" applyAlignment="1">
      <x:alignment horizontal="center" vertical="center" wrapText="1"/>
    </x:xf>
    <x:xf numFmtId="208" fontId="4" fillId="0" borderId="0" xfId="0" applyNumberFormat="1" applyFont="1" applyFill="1" applyBorder="1" applyAlignment="1">
      <x:alignment vertical="center"/>
    </x:xf>
    <x:xf numFmtId="205" fontId="4" fillId="0" borderId="0" xfId="0" applyNumberFormat="1" applyFont="1" applyFill="1" applyBorder="1" applyAlignment="1">
      <x:alignment vertical="center"/>
    </x:xf>
    <x:xf numFmtId="205" fontId="3" fillId="3" borderId="2" xfId="0" applyNumberFormat="1" applyFont="1" applyFill="1" applyBorder="1" applyAlignment="1">
      <x:alignment vertical="center"/>
    </x:xf>
    <x:xf numFmtId="209" fontId="4" fillId="0" borderId="0" xfId="0" applyNumberFormat="1" applyFont="1" applyFill="1" applyBorder="1" applyAlignment="1">
      <x:alignment vertical="center"/>
    </x:xf>
    <x:xf numFmtId="209" fontId="3" fillId="3" borderId="2" xfId="0" applyNumberFormat="1" applyFont="1" applyFill="1" applyBorder="1" applyAlignment="1">
      <x:alignment vertical="center"/>
    </x:xf>
    <x:xf numFmtId="210" fontId="4" fillId="0" borderId="0" xfId="0" applyNumberFormat="1" applyFont="1" applyFill="1" applyBorder="1" applyAlignment="1">
      <x:alignment vertical="center"/>
    </x:xf>
    <x:xf numFmtId="0" fontId="8" fillId="0" borderId="0" xfId="0" applyNumberFormat="1" applyFont="1" applyFill="1" applyBorder="1"/>
    <x:xf numFmtId="0" fontId="8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60"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E6B78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E6B78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E6B78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E6B78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E6B78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E6B78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E6B78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E6B78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E6B78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E6B78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E6B78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E6B78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E6B78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E6B78"/>
      </x:font>
      <x:fill>
        <x:patternFill patternType="solid">
          <x:bgColor rgb="FFF3F4F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B42318"/>
      </x:font>
      <x:fill>
        <x:patternFill patternType="solid">
          <x:bgColor rgb="FFFCE8E6"/>
        </x:patternFill>
      </x:fill>
    </x:dxf>
    <x:dxf>
      <x:font>
        <x:b/>
        <x:color rgb="FF1F2937"/>
      </x:font>
      <x:fill>
        <x:patternFill patternType="solid">
          <x:bgColor rgb="FFFFF2CC"/>
        </x:patternFill>
      </x:fill>
    </x:dxf>
    <x:dxf>
      <x:font>
        <x:color rgb="FF5E6B78"/>
      </x:font>
      <x:fill>
        <x:patternFill patternType="solid">
          <x:bgColor rgb="FFF3F4F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2850b1204049d4" /><Relationship Type="http://schemas.openxmlformats.org/officeDocument/2006/relationships/theme" Target="/xl/theme/theme1.xml" Id="R491111a1cfcc493e" /><Relationship Type="http://schemas.openxmlformats.org/officeDocument/2006/relationships/sharedStrings" Target="/xl/sharedStrings.xml" Id="Rb397c3dae910471e" /><Relationship Type="http://schemas.openxmlformats.org/officeDocument/2006/relationships/worksheet" Target="/xl/worksheets/sheet1.xml" Id="Rabf4082197fb4095" /><Relationship Type="http://schemas.openxmlformats.org/officeDocument/2006/relationships/worksheet" Target="/xl/worksheets/sheet2.xml" Id="Rc76a16303d8b403a" /><Relationship Type="http://schemas.openxmlformats.org/officeDocument/2006/relationships/worksheet" Target="/xl/worksheets/sheet3.xml" Id="R2d20c7f146944cce" /><Relationship Type="http://schemas.openxmlformats.org/officeDocument/2006/relationships/worksheet" Target="/xl/worksheets/sheet4.xml" Id="R3b25ead16cf54714" /><Relationship Type="http://schemas.openxmlformats.org/officeDocument/2006/relationships/worksheet" Target="/xl/worksheets/sheet5.xml" Id="R3111d147db0d4e5d" /><Relationship Type="http://schemas.openxmlformats.org/officeDocument/2006/relationships/worksheet" Target="/xl/worksheets/sheet6.xml" Id="R2651dc060329416b" /><Relationship Type="http://schemas.openxmlformats.org/officeDocument/2006/relationships/worksheet" Target="/xl/worksheets/sheet7.xml" Id="R121392905c6e4acc" /><Relationship Type="http://schemas.openxmlformats.org/officeDocument/2006/relationships/worksheet" Target="/xl/worksheets/sheet8.xml" Id="R487d995e244a42ca" /><Relationship Type="http://schemas.openxmlformats.org/officeDocument/2006/relationships/worksheet" Target="/xl/worksheets/sheet9.xml" Id="R225d622fd6164b7a" /><Relationship Type="http://schemas.openxmlformats.org/officeDocument/2006/relationships/worksheet" Target="/xl/worksheets/sheet10.xml" Id="R68b562f743884c33" /><Relationship Type="http://schemas.openxmlformats.org/officeDocument/2006/relationships/worksheet" Target="/xl/worksheets/sheet11.xml" Id="Rbdf0ab03212e487a" /><Relationship Type="http://schemas.openxmlformats.org/officeDocument/2006/relationships/worksheet" Target="/xl/worksheets/sheet12.xml" Id="Ra1eee529ab434895" /><Relationship Type="http://schemas.openxmlformats.org/officeDocument/2006/relationships/worksheet" Target="/xl/worksheets/sheet13.xml" Id="R0af78644671c492f" /><Relationship Type="http://schemas.openxmlformats.org/officeDocument/2006/relationships/worksheet" Target="/xl/worksheets/sheet14.xml" Id="R1324b1bd83a04914" /><Relationship Type="http://schemas.openxmlformats.org/officeDocument/2006/relationships/worksheet" Target="/xl/worksheets/sheet15.xml" Id="R87a9958a12574500" /><Relationship Type="http://schemas.openxmlformats.org/officeDocument/2006/relationships/worksheet" Target="/xl/worksheets/sheet16.xml" Id="Rac0500e2727f4741" /><Relationship Type="http://schemas.openxmlformats.org/officeDocument/2006/relationships/worksheet" Target="/xl/worksheets/sheet17.xml" Id="R935bfc17ca874aa0" /><Relationship Type="http://schemas.openxmlformats.org/officeDocument/2006/relationships/worksheet" Target="/xl/worksheets/sheet18.xml" Id="R1b71cdbbc1ee4de0" /><Relationship Type="http://schemas.openxmlformats.org/officeDocument/2006/relationships/worksheet" Target="/xl/worksheets/sheet19.xml" Id="Rea50d732f77144d3" /><Relationship Type="http://schemas.openxmlformats.org/officeDocument/2006/relationships/worksheet" Target="/xl/worksheets/sheet20.xml" Id="R8bc59ff520264044" /><Relationship Type="http://schemas.openxmlformats.org/officeDocument/2006/relationships/worksheet" Target="/xl/worksheets/sheet21.xml" Id="R7016648a1c2b43b6" /></Relationships>
</file>

<file path=xl/tables/table1.xml><?xml version="1.0" encoding="utf-8"?>
<x:table xmlns:x="http://schemas.openxmlformats.org/spreadsheetml/2006/main" id="1" name="AssumptionsTable" displayName="AssumptionsTable" ref="A5:E37" headerRowCount="1" totalsRowCount="0" totalsRowShown="0">
  <x:tableColumns count="5">
    <x:tableColumn id="1" name="Parameter"/>
    <x:tableColumn id="2" name="Value"/>
    <x:tableColumn id="3" name="Unit"/>
    <x:tableColumn id="4" name="Role"/>
    <x:tableColumn id="5" name="Internal 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andidateScreensTable" displayName="CandidateScreensTable" ref="A7:P12" headerRowCount="1" totalsRowCount="0" totalsRowShown="0">
  <x:tableColumns count="16">
    <x:tableColumn id="1" name="ID"/>
    <x:tableColumn id="2" name="Candidate"/>
    <x:tableColumn id="3" name="Diameter (m)"/>
    <x:tableColumn id="4" name="Lanes"/>
    <x:tableColumn id="5" name="Schedule (s)"/>
    <x:tableColumn id="6" name="Flow per lane (m³/s)"/>
    <x:tableColumn id="7" name="Velocity (m/s)"/>
    <x:tableColumn id="8" name="Re"/>
    <x:tableColumn id="9" name="Fr"/>
    <x:tableColumn id="10" name="We"/>
    <x:tableColumn id="11" name="Darcy factor"/>
    <x:tableColumn id="12" name="Friction (kPa)"/>
    <x:tableColumn id="13" name="Static inventory (kg)"/>
    <x:tableColumn id="14" name="110% raw surge (MPa)"/>
    <x:tableColumn id="15" name="Margin to design (MPa)"/>
    <x:tableColumn id="16" name="Analytical dispositi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andidateGatesTable" displayName="CandidateGatesTable" ref="A3:L8" headerRowCount="1" totalsRowCount="0" totalsRowShown="0">
  <x:tableColumns count="12">
    <x:tableColumn id="1" name="Architecture"/>
    <x:tableColumn id="2" name="Required trials"/>
    <x:tableColumn id="3" name="Observed dispositions"/>
    <x:tableColumn id="4" name="Passed"/>
    <x:tableColumn id="5" name="Adverse"/>
    <x:tableColumn id="6" name="Open"/>
    <x:tableColumn id="7" name="Lineage A state"/>
    <x:tableColumn id="8" name="Lineage B state"/>
    <x:tableColumn id="9" name="Campus coverage"/>
    <x:tableColumn id="10" name="Physical gate"/>
    <x:tableColumn id="11" name="Replication gate"/>
    <x:tableColumn id="12" name="Architecture sta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rialRegisterTable" displayName="TrialRegisterTable" ref="A6:P186" headerRowCount="1" totalsRowCount="0" totalsRowShown="0">
  <x:tableColumns count="16">
    <x:tableColumn id="1" name="Trial ID"/>
    <x:tableColumn id="2" name="Architecture"/>
    <x:tableColumn id="3" name="Lineage"/>
    <x:tableColumn id="4" name="Campus"/>
    <x:tableColumn id="5" name="Family"/>
    <x:tableColumn id="6" name="Article ID"/>
    <x:tableColumn id="7" name="Planned rate factor"/>
    <x:tableColumn id="8" name="Observed peak MPa"/>
    <x:tableColumn id="9" name="Terminal source s"/>
    <x:tableColumn id="10" name="Mass U95 kg"/>
    <x:tableColumn id="11" name="Available receiver m³"/>
    <x:tableColumn id="12" name="Permanent change"/>
    <x:tableColumn id="13" name="Evidence complete"/>
    <x:tableColumn id="14" name="Final state observed"/>
    <x:tableColumn id="15" name="Public intervention"/>
    <x:tableColumn id="16" name="Disposition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SelectionVectorTable" displayName="SelectionVectorTable" ref="A7:L12" headerRowCount="1" totalsRowCount="0" totalsRowShown="0">
  <x:tableColumns count="12">
    <x:tableColumn id="1" name="Architecture"/>
    <x:tableColumn id="2" name="Gate state"/>
    <x:tableColumn id="3" name="Worst safety margin MPa"/>
    <x:tableColumn id="4" name="Mass U95 kg"/>
    <x:tableColumn id="5" name="Terminal residual kg"/>
    <x:tableColumn id="6" name="Return burden h"/>
    <x:tableColumn id="7" name="Fault states"/>
    <x:tableColumn id="8" name="Replaceable mass kg"/>
    <x:tableColumn id="9" name="Public energy kWh"/>
    <x:tableColumn id="10" name="Work hours"/>
    <x:tableColumn id="11" name="Cost USD M"/>
    <x:tableColumn id="12" name="Board rank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ReceiverRegisterTable" displayName="ReceiverRegisterTable" ref="A16:G28" headerRowCount="1" totalsRowCount="0" totalsRowShown="0">
  <x:tableColumns count="7">
    <x:tableColumn id="1" name="Receiver ID"/>
    <x:tableColumn id="2" name="Measured usable m³"/>
    <x:tableColumn id="3" name="Initial inventory m³"/>
    <x:tableColumn id="4" name="Closed heel m³"/>
    <x:tableColumn id="5" name="Inaccessible m³"/>
    <x:tableColumn id="6" name="Available m³"/>
    <x:tableColumn id="7" name="Stat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SourceBankTable" displayName="SourceBankTable" ref="A19:H49" headerRowCount="1" totalsRowCount="0" totalsRowShown="0">
  <x:tableColumns count="8">
    <x:tableColumn id="1" name="Package ID"/>
    <x:tableColumn id="2" name="Root family"/>
    <x:tableColumn id="3" name="Role"/>
    <x:tableColumn id="4" name="Gross kg"/>
    <x:tableColumn id="5" name="Event kg"/>
    <x:tableColumn id="6" name="Token state"/>
    <x:tableColumn id="7" name="Physical acceptance"/>
    <x:tableColumn id="8" name="Issue sta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ReserveCapacityTable" displayName="ReserveCapacityTable" ref="A5:G10" headerRowCount="1" totalsRowCount="0" totalsRowShown="0">
  <x:tableColumns count="7">
    <x:tableColumn id="1" name="Reserves per family"/>
    <x:tableColumn id="2" name="Packages incl. references"/>
    <x:tableColumn id="3" name="Maximum attempts"/>
    <x:tableColumn id="4" name="Family 5 capacity"/>
    <x:tableColumn id="5" name="Family 6 capacity"/>
    <x:tableColumn id="6" name="Joint capacity"/>
    <x:tableColumn id="7" name="Meets 95%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ellEligibilityTable" displayName="CellEligibilityTable" ref="A7:J31" headerRowCount="1" totalsRowCount="0" totalsRowShown="0">
  <x:tableColumns count="10">
    <x:tableColumn id="1" name="Cell ID"/>
    <x:tableColumn id="2" name="Rig"/>
    <x:tableColumn id="3" name="Campus"/>
    <x:tableColumn id="4" name="Root"/>
    <x:tableColumn id="5" name="Attempt role"/>
    <x:tableColumn id="6" name="Architecture admitted"/>
    <x:tableColumn id="7" name="Receiver eligible"/>
    <x:tableColumn id="8" name="48 gates closed"/>
    <x:tableColumn id="9" name="Package accepted"/>
    <x:tableColumn id="10" name="Stat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EventGatesTable" displayName="EventGatesTable" ref="A3:G51" headerRowCount="1" totalsRowCount="0" totalsRowShown="0">
  <x:tableColumns count="7">
    <x:tableColumn id="1" name="Gate ID"/>
    <x:tableColumn id="2" name="Domain"/>
    <x:tableColumn id="3" name="Requirement"/>
    <x:tableColumn id="4" name="Owner"/>
    <x:tableColumn id="5" name="Physical result"/>
    <x:tableColumn id="6" name="Authority state"/>
    <x:tableColumn id="7" name="Disposition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DossierTable" displayName="DossierTable" ref="A3:H239" headerRowCount="1" totalsRowCount="0" totalsRowShown="0">
  <x:tableColumns count="8">
    <x:tableColumn id="1" name="Object ID"/>
    <x:tableColumn id="2" name="Class"/>
    <x:tableColumn id="3" name="Serialized identity"/>
    <x:tableColumn id="4" name="Configuration hash"/>
    <x:tableColumn id="5" name="Evidence root"/>
    <x:tableColumn id="6" name="Current state"/>
    <x:tableColumn id="7" name="Independent acceptance"/>
    <x:tableColumn id="8" name="Disposi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UncertaintyTable" displayName="UncertaintyTable" ref="A3:D10" headerRowCount="1" totalsRowCount="0" totalsRowShown="0">
  <x:tableColumns count="4">
    <x:tableColumn id="1" name="Component"/>
    <x:tableColumn id="2" name="Standard uncertainty kg"/>
    <x:tableColumn id="3" name="Squared contribution"/>
    <x:tableColumn id="4" name="Share of varia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SourceLedgerTable" displayName="SourceLedgerTable" ref="A3:H13" headerRowCount="1" totalsRowCount="0" totalsRowShown="0">
  <x:tableColumns count="8">
    <x:tableColumn id="1" name="Terminal bin"/>
    <x:tableColumn id="2" name="Primary kg"/>
    <x:tableColumn id="3" name="Replacement kg"/>
    <x:tableColumn id="4" name="Object total kg"/>
    <x:tableColumn id="5" name="Limit kg"/>
    <x:tableColumn id="6" name="Primary ancestry"/>
    <x:tableColumn id="7" name="Replacement ancestry"/>
    <x:tableColumn id="8" name="Stat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EventClockTable" displayName="EventClockTable" ref="A3:G17" headerRowCount="1" totalsRowCount="0" totalsRowShown="0">
  <x:tableColumns count="7">
    <x:tableColumn id="1" name="Phase"/>
    <x:tableColumn id="2" name="Relative time"/>
    <x:tableColumn id="3" name="Required state"/>
    <x:tableColumn id="4" name="Owner"/>
    <x:tableColumn id="5" name="Physical timestamp"/>
    <x:tableColumn id="6" name="Complete original"/>
    <x:tableColumn id="7" name="Disposition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ReturnTable" displayName="ReturnTable" ref="A7:H27" headerRowCount="1" totalsRowCount="0" totalsRowShown="0">
  <x:tableColumns count="8">
    <x:tableColumn id="1" name="Work package"/>
    <x:tableColumn id="2" name="Domain"/>
    <x:tableColumn id="3" name="Required evidence"/>
    <x:tableColumn id="4" name="72 h"/>
    <x:tableColumn id="5" name="336 h"/>
    <x:tableColumn id="6" name="504 h"/>
    <x:tableColumn id="7" name="Board decision"/>
    <x:tableColumn id="8" name="Disposition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EvidenceReplayTable" displayName="EvidenceReplayTable" ref="A17:F41" headerRowCount="1" totalsRowCount="0" totalsRowShown="0">
  <x:tableColumns count="6">
    <x:tableColumn id="1" name="Packet class"/>
    <x:tableColumn id="2" name="Origin service removed"/>
    <x:tableColumn id="3" name="Candidate service removed"/>
    <x:tableColumn id="4" name="Campus 2 state"/>
    <x:tableColumn id="5" name="Campus 3 state"/>
    <x:tableColumn id="6" name="Disposition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WorkforceTable" displayName="WorkforceTable" ref="A3:E9" headerRowCount="1" totalsRowCount="0" totalsRowShown="0">
  <x:tableColumns count="5">
    <x:tableColumn id="1" name="Function"/>
    <x:tableColumn id="2" name="Positions"/>
    <x:tableColumn id="3" name="Owned capacity"/>
    <x:tableColumn id="4" name="Parent positions"/>
    <x:tableColumn id="5" name="Within parent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CasesTable" displayName="CasesTable" ref="A5:H95" headerRowCount="1" totalsRowCount="0" totalsRowShown="0">
  <x:tableColumns count="8">
    <x:tableColumn id="1" name="Case ID"/>
    <x:tableColumn id="2" name="Category"/>
    <x:tableColumn id="3" name="Input"/>
    <x:tableColumn id="4" name="Lower bound"/>
    <x:tableColumn id="5" name="Upper bound"/>
    <x:tableColumn id="6" name="Expected"/>
    <x:tableColumn id="7" name="Calculated"/>
    <x:tableColumn id="8" name="Audit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AuditTable" displayName="AuditTable" ref="A3:F213" headerRowCount="1" totalsRowCount="0" totalsRowShown="0">
  <x:tableColumns count="6">
    <x:tableColumn id="1" name="Audit ID"/>
    <x:tableColumn id="2" name="Family"/>
    <x:tableColumn id="3" name="Assertion"/>
    <x:tableColumn id="4" name="Expected"/>
    <x:tableColumn id="5" name="Observed"/>
    <x:tableColumn id="6" name="Dispos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bc0176574349d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46dcbf3dd854c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ab428c681b544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5f4bf2f36b846c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bcda57da3942a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4cef50a1a57429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a9e5b84139742a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8be680f83a864f3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c5d6e1f0cdc1446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6dad9a780c2c468e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780fa2dd3432404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2.xml" Id="Rba660bdcc56543a9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3.xml" Id="R7a4a270eb7d541ad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4.xml" Id="R34bca26223604799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5.xml" Id="R76d784fdc4234a62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6.xml" Id="R1769394f20054a4c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7.xml" Id="Rc83254ffe7414ccc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18.xml" Id="Rfd0fdab61894489c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19.xml" Id="Rb7c8346d76b34190" /></Relationships>
</file>

<file path=xl/worksheets/sheet1.xml><?xml version="1.0" encoding="utf-8"?>
<x:worksheet xmlns:x="http://schemas.openxmlformats.org/spreadsheetml/2006/main">
  <x:sheetPr>
    <x:tabColor rgb="FF1E3A5F"/>
  </x:sheetPr>
  <x:sheetViews>
    <x:sheetView showGridLines="0" workbookViewId="0"/>
  </x:sheetViews>
  <x:sheetFormatPr defaultRowHeight="15"/>
  <x:cols>
    <x:col min="1" max="1" width="32" hidden="0" customWidth="1"/>
    <x:col min="2" max="2" width="25" hidden="0" customWidth="1"/>
    <x:col min="3" max="3" width="3" hidden="0" customWidth="1"/>
    <x:col min="4" max="4" width="38" hidden="0" customWidth="1"/>
    <x:col min="5" max="5" width="25" hidden="0" customWidth="1"/>
    <x:col min="6" max="6" width="3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</x:cols>
  <x:sheetData>
    <x:row r="1" ht="27" customHeight="1">
      <x:c r="A1" s="3" t="str">
        <x:v>RBE-1 QE-04 architecture competition and first AM-05 event</x:v>
      </x:c>
      <x:c r="B1" s="3" t="str">
        <x:v>RBE-1 QE-04 architecture competition and first AM-05 event</x:v>
      </x:c>
      <x:c r="C1" s="3" t="str">
        <x:v>RBE-1 QE-04 architecture competition and first AM-05 event</x:v>
      </x:c>
      <x:c r="D1" s="3" t="str">
        <x:v>RBE-1 QE-04 architecture competition and first AM-05 event</x:v>
      </x:c>
      <x:c r="E1" s="3" t="str">
        <x:v>RBE-1 QE-04 architecture competition and first AM-05 event</x:v>
      </x:c>
      <x:c r="F1" s="3" t="str">
        <x:v>RBE-1 QE-04 architecture competition and first AM-05 event</x:v>
      </x:c>
      <x:c r="G1" s="3" t="str">
        <x:v>RBE-1 QE-04 architecture competition and first AM-05 event</x:v>
      </x:c>
      <x:c r="H1" s="3" t="str">
        <x:v>RBE-1 QE-04 architecture competition and first AM-05 event</x:v>
      </x:c>
      <x:c r="I1" s="3" t="str">
        <x:v>RBE-1 QE-04 architecture competition and first AM-05 event</x:v>
      </x:c>
      <x:c r="J1" s="3" t="str">
        <x:v>RBE-1 QE-04 architecture competition and first AM-05 event</x:v>
      </x:c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</x:row>
    <x:row r="3">
      <x:c r="A3" s="61" t="str">
        <x:v>Planning constitution only. Every physical result remains open. Architecture admission, event issue and event credit are separate decisions.</x:v>
      </x:c>
      <x:c r="B3" s="60"/>
      <x:c r="C3" s="60"/>
      <x:c r="D3" s="60"/>
      <x:c r="E3" s="60"/>
      <x:c r="F3" s="60"/>
      <x:c r="G3" s="60"/>
      <x:c r="H3" s="60"/>
      <x:c r="I3" s="60"/>
      <x:c r="J3" s="60"/>
    </x:row>
    <x:row r="4">
      <x:c r="A4" s="60"/>
      <x:c r="B4" s="60"/>
      <x:c r="C4" s="60"/>
      <x:c r="D4" s="60"/>
      <x:c r="E4" s="60"/>
      <x:c r="F4" s="60"/>
      <x:c r="G4" s="60"/>
      <x:c r="H4" s="60"/>
      <x:c r="I4" s="60"/>
      <x:c r="J4" s="60"/>
    </x:row>
    <x:row r="5">
      <x:c r="A5" s="12" t="str">
        <x:v>Decision state</x:v>
      </x:c>
      <x:c r="B5" s="13" t="str">
        <x:v>Decision state</x:v>
      </x:c>
      <x:c r="C5" s="13" t="str">
        <x:v>Decision state</x:v>
      </x:c>
      <x:c r="D5" s="13" t="str">
        <x:v>Decision state</x:v>
      </x:c>
      <x:c r="E5" s="13" t="str">
        <x:v>Decision state</x:v>
      </x:c>
      <x:c r="F5" s="13" t="str">
        <x:v>Decision state</x:v>
      </x:c>
      <x:c r="G5" s="13" t="str">
        <x:v>Decision state</x:v>
      </x:c>
      <x:c r="H5" s="13" t="str">
        <x:v>Decision state</x:v>
      </x:c>
      <x:c r="I5" s="13" t="str">
        <x:v>Decision state</x:v>
      </x:c>
      <x:c r="J5" s="14" t="str">
        <x:v>Decision state</x:v>
      </x:c>
    </x:row>
    <x:row r="6">
      <x:c r="A6" s="17" t="str">
        <x:v>Candidate architectures</x:v>
      </x:c>
      <x:c r="B6" s="18" t="n">
        <x:f>'Candidate Screens'!B4</x:f>
        <x:v>5</x:v>
      </x:c>
      <x:c r="C6" s="16"/>
      <x:c r="D6" s="17" t="str">
        <x:v>Event source (kg)</x:v>
      </x:c>
      <x:c r="E6" s="18" t="n">
        <x:f>'Assumptions'!B6</x:f>
        <x:v>500</x:v>
      </x:c>
      <x:c r="F6" s="16"/>
      <x:c r="G6" s="16"/>
      <x:c r="H6" s="16"/>
      <x:c r="I6" s="16"/>
      <x:c r="J6" s="16"/>
    </x:row>
    <x:row r="7">
      <x:c r="A7" s="17" t="str">
        <x:v>Serialized nonenergetic articles</x:v>
      </x:c>
      <x:c r="B7" s="18" t="n">
        <x:f>'Trial Register'!B3</x:f>
        <x:v>30</x:v>
      </x:c>
      <x:c r="C7" s="16"/>
      <x:c r="D7" s="17" t="str">
        <x:v>Receiver usable target (m³)</x:v>
      </x:c>
      <x:c r="E7" s="18" t="n">
        <x:f>'Assumptions'!B20</x:f>
        <x:v>0.8</x:v>
      </x:c>
      <x:c r="F7" s="16"/>
      <x:c r="G7" s="16"/>
      <x:c r="H7" s="16"/>
      <x:c r="I7" s="16"/>
      <x:c r="J7" s="16"/>
    </x:row>
    <x:row r="8">
      <x:c r="A8" s="17" t="str">
        <x:v>Qualification trials</x:v>
      </x:c>
      <x:c r="B8" s="18" t="n">
        <x:f>'Trial Register'!B4</x:f>
        <x:v>180</x:v>
      </x:c>
      <x:c r="C8" s="16"/>
      <x:c r="D8" s="17" t="str">
        <x:v>Low-density + uncertainty volume (m³)</x:v>
      </x:c>
      <x:c r="E8" s="18" t="n">
        <x:f>'Receiver'!B7</x:f>
        <x:v>0.6376262626262625</x:v>
      </x:c>
      <x:c r="F8" s="16"/>
      <x:c r="G8" s="16"/>
      <x:c r="H8" s="16"/>
      <x:c r="I8" s="16"/>
      <x:c r="J8" s="16"/>
    </x:row>
    <x:row r="9">
      <x:c r="A9" s="17" t="str">
        <x:v>Analytically eligible at 110%</x:v>
      </x:c>
      <x:c r="B9" s="18" t="n">
        <x:f>'Candidate Screens'!B5</x:f>
        <x:v>3</x:v>
      </x:c>
      <x:c r="C9" s="16"/>
      <x:c r="D9" s="17" t="str">
        <x:v>Required receiver available volume (m³)</x:v>
      </x:c>
      <x:c r="E9" s="18" t="n">
        <x:f>'Receiver'!B9</x:f>
        <x:v>0.7176262626262625</x:v>
      </x:c>
      <x:c r="F9" s="16"/>
      <x:c r="G9" s="16"/>
      <x:c r="H9" s="16"/>
      <x:c r="I9" s="16"/>
      <x:c r="J9" s="16"/>
    </x:row>
    <x:row r="10">
      <x:c r="A10" s="17" t="str">
        <x:v>Architecture decision</x:v>
      </x:c>
      <x:c r="B10" s="20" t="str">
        <x:f>'Selection'!B5</x:f>
        <x:v>OPEN</x:v>
      </x:c>
      <x:c r="C10" s="16"/>
      <x:c r="D10" s="17" t="str">
        <x:v>Expanded uncertainty plan (kg)</x:v>
      </x:c>
      <x:c r="E10" s="18" t="n">
        <x:f>'Uncertainty'!B15</x:f>
        <x:v>3.6783148315499044</x:v>
      </x:c>
      <x:c r="F10" s="16"/>
      <x:c r="G10" s="16"/>
      <x:c r="H10" s="16"/>
      <x:c r="I10" s="16"/>
      <x:c r="J10" s="16"/>
    </x:row>
    <x:row r="11">
      <x:c r="A11" s="17" t="str">
        <x:v>Event issue state</x:v>
      </x:c>
      <x:c r="B11" s="20" t="str">
        <x:f>'Cell Eligibility'!B5</x:f>
        <x:v>OPEN</x:v>
      </x:c>
      <x:c r="C11" s="16"/>
      <x:c r="D11" s="17" t="str">
        <x:v>Future packages</x:v>
      </x:c>
      <x:c r="E11" s="18" t="n">
        <x:f>'Source Bank'!B4</x:f>
        <x:v>30</x:v>
      </x:c>
      <x:c r="F11" s="16"/>
      <x:c r="G11" s="16"/>
      <x:c r="H11" s="16"/>
      <x:c r="I11" s="16"/>
      <x:c r="J11" s="16"/>
    </x:row>
    <x:row r="12">
      <x:c r="A12" s="17" t="str">
        <x:v>Maximum first-event attempts</x:v>
      </x:c>
      <x:c r="B12" s="18" t="n">
        <x:f>2</x:f>
        <x:v>2</x:v>
      </x:c>
      <x:c r="C12" s="16"/>
      <x:c r="D12" s="17" t="str">
        <x:v>Maximum future event issue (kg)</x:v>
      </x:c>
      <x:c r="E12" s="18" t="n">
        <x:f>'Source Bank'!B7</x:f>
        <x:v>14000</x:v>
      </x:c>
      <x:c r="F12" s="16"/>
      <x:c r="G12" s="16"/>
      <x:c r="H12" s="16"/>
      <x:c r="I12" s="16"/>
      <x:c r="J12" s="16"/>
    </x:row>
    <x:row r="13">
      <x:c r="A13" s="17" t="str">
        <x:v>Return minimum (hours)</x:v>
      </x:c>
      <x:c r="B13" s="18" t="n">
        <x:f>'Return'!B4</x:f>
        <x:v>672</x:v>
      </x:c>
      <x:c r="C13" s="16"/>
      <x:c r="D13" s="17" t="str">
        <x:v>First-event evidence allocation (GB)</x:v>
      </x:c>
      <x:c r="E13" s="18" t="n">
        <x:f>'Evidence'!B11</x:f>
        <x:v>991.9720556928002</x:v>
      </x:c>
      <x:c r="F13" s="16"/>
      <x:c r="G13" s="16"/>
      <x:c r="H13" s="16"/>
      <x:c r="I13" s="16"/>
      <x:c r="J13" s="16"/>
    </x:row>
    <x:row r="14">
      <x:c r="A14" s="17"/>
      <x:c r="B14" s="18"/>
      <x:c r="C14" s="16"/>
      <x:c r="D14" s="17"/>
      <x:c r="E14" s="18"/>
      <x:c r="F14" s="16"/>
      <x:c r="G14" s="16"/>
      <x:c r="H14" s="16"/>
      <x:c r="I14" s="16"/>
      <x:c r="J14" s="16"/>
    </x:row>
    <x:row r="15">
      <x:c r="A15" s="12" t="str">
        <x:v>Fiscal and authority boundary</x:v>
      </x:c>
      <x:c r="B15" s="19" t="str">
        <x:v>Fiscal and authority boundary</x:v>
      </x:c>
      <x:c r="C15" s="13" t="str">
        <x:v>Fiscal and authority boundary</x:v>
      </x:c>
      <x:c r="D15" s="13" t="str">
        <x:v>Fiscal and authority boundary</x:v>
      </x:c>
      <x:c r="E15" s="19" t="str">
        <x:v>Fiscal and authority boundary</x:v>
      </x:c>
      <x:c r="F15" s="13" t="str">
        <x:v>Fiscal and authority boundary</x:v>
      </x:c>
      <x:c r="G15" s="13" t="str">
        <x:v>Fiscal and authority boundary</x:v>
      </x:c>
      <x:c r="H15" s="13" t="str">
        <x:v>Fiscal and authority boundary</x:v>
      </x:c>
      <x:c r="I15" s="13" t="str">
        <x:v>Fiscal and authority boundary</x:v>
      </x:c>
      <x:c r="J15" s="14" t="str">
        <x:v>Fiscal and authority boundary</x:v>
      </x:c>
    </x:row>
    <x:row r="16">
      <x:c r="A16" s="17" t="str">
        <x:v>Duration (months)</x:v>
      </x:c>
      <x:c r="B16" s="18" t="n">
        <x:f>'Finance'!B4</x:f>
        <x:v>15</x:v>
      </x:c>
      <x:c r="C16" s="16"/>
      <x:c r="D16" s="17" t="str">
        <x:v>Capital remaining (USD M)</x:v>
      </x:c>
      <x:c r="E16" s="18" t="n">
        <x:f>'Finance'!B11</x:f>
        <x:v>0</x:v>
      </x:c>
      <x:c r="F16" s="16"/>
      <x:c r="G16" s="16"/>
      <x:c r="H16" s="16"/>
      <x:c r="I16" s="16"/>
      <x:c r="J16" s="16"/>
    </x:row>
    <x:row r="17">
      <x:c r="A17" s="17" t="str">
        <x:v>Capital (USD M)</x:v>
      </x:c>
      <x:c r="B17" s="18" t="n">
        <x:f>'Finance'!B5</x:f>
        <x:v>70</x:v>
      </x:c>
      <x:c r="C17" s="16"/>
      <x:c r="D17" s="17" t="str">
        <x:v>Annual support remaining (USD M)</x:v>
      </x:c>
      <x:c r="E17" s="18" t="n">
        <x:f>'Finance'!B12</x:f>
        <x:v>0</x:v>
      </x:c>
      <x:c r="F17" s="16"/>
      <x:c r="G17" s="16"/>
      <x:c r="H17" s="16"/>
      <x:c r="I17" s="16"/>
      <x:c r="J17" s="16"/>
    </x:row>
    <x:row r="18">
      <x:c r="A18" s="17" t="str">
        <x:v>Annual support (USD M)</x:v>
      </x:c>
      <x:c r="B18" s="18" t="n">
        <x:f>'Finance'!B6</x:f>
        <x:v>9</x:v>
      </x:c>
      <x:c r="C18" s="16"/>
      <x:c r="D18" s="17" t="str">
        <x:v>Technology remaining (USD M)</x:v>
      </x:c>
      <x:c r="E18" s="18" t="n">
        <x:f>'Finance'!B13</x:f>
        <x:v>0</x:v>
      </x:c>
      <x:c r="F18" s="16"/>
      <x:c r="G18" s="16"/>
      <x:c r="H18" s="16"/>
      <x:c r="I18" s="16"/>
      <x:c r="J18" s="16"/>
    </x:row>
    <x:row r="19">
      <x:c r="A19" s="17" t="str">
        <x:v>Stage exposure (USD M)</x:v>
      </x:c>
      <x:c r="B19" s="18" t="n">
        <x:f>'Finance'!B7</x:f>
        <x:v>81.25</x:v>
      </x:c>
      <x:c r="C19" s="16"/>
      <x:c r="D19" s="17" t="str">
        <x:v>Release-aware completion month</x:v>
      </x:c>
      <x:c r="E19" s="18" t="n">
        <x:f>'Finance'!B15</x:f>
        <x:v>126</x:v>
      </x:c>
      <x:c r="F19" s="16"/>
      <x:c r="G19" s="16"/>
      <x:c r="H19" s="16"/>
      <x:c r="I19" s="16"/>
      <x:c r="J19" s="16"/>
    </x:row>
    <x:row r="20">
      <x:c r="A20" s="17" t="str">
        <x:v>Cumulative child exposure (USD M)</x:v>
      </x:c>
      <x:c r="B20" s="18" t="n">
        <x:f>'Finance'!B8</x:f>
        <x:v>938.25</x:v>
      </x:c>
      <x:c r="C20" s="16"/>
      <x:c r="D20" s="17" t="str">
        <x:v>Full-sequence completion month</x:v>
      </x:c>
      <x:c r="E20" s="18" t="n">
        <x:f>'Finance'!B17</x:f>
        <x:v>150</x:v>
      </x:c>
      <x:c r="F20" s="16"/>
      <x:c r="G20" s="16"/>
      <x:c r="H20" s="16"/>
      <x:c r="I20" s="16"/>
      <x:c r="J20" s="16"/>
    </x:row>
    <x:row r="21">
      <x:c r="A21" s="17" t="str">
        <x:v>Parent difference (USD M)</x:v>
      </x:c>
      <x:c r="B21" s="18" t="n">
        <x:f>'Finance'!B10</x:f>
        <x:v>269.25</x:v>
      </x:c>
      <x:c r="C21" s="16"/>
      <x:c r="D21" s="17" t="str">
        <x:v>Schedule difference (months)</x:v>
      </x:c>
      <x:c r="E21" s="18" t="n">
        <x:f>'Finance'!B18</x:f>
        <x:v>24</x:v>
      </x:c>
      <x:c r="F21" s="16"/>
      <x:c r="G21" s="16"/>
      <x:c r="H21" s="16"/>
      <x:c r="I21" s="16"/>
      <x:c r="J21" s="16"/>
    </x:row>
    <x:row r="22">
      <x:c r="A22" s="17" t="str">
        <x:v>Next lawful object</x:v>
      </x:c>
      <x:c r="B22" s="21" t="str">
        <x:v>RBF-1 complete QE-04 class constitution</x:v>
      </x:c>
      <x:c r="C22" s="21"/>
      <x:c r="D22" s="22" t="str">
        <x:v>Blocked</x:v>
      </x:c>
      <x:c r="E22" s="21" t="str">
        <x:v>AM-06, fire, candidate entry, production, export and exterior rendering</x:v>
      </x:c>
      <x:c r="F22" s="16"/>
      <x:c r="G22" s="16"/>
      <x:c r="H22" s="16"/>
      <x:c r="I22" s="16"/>
      <x:c r="J22" s="16"/>
    </x:row>
  </x:sheetData>
  <x:mergeCells>
    <x:mergeCell ref="A1:J1"/>
    <x:mergeCell ref="A5:J5"/>
    <x:mergeCell ref="A15:J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DDEBF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6" hidden="0" customWidth="1"/>
    <x:col min="3" max="3" width="16" hidden="0" customWidth="1"/>
    <x:col min="4" max="4" width="30" hidden="0" customWidth="1"/>
    <x:col min="5" max="5" width="22" hidden="0" customWidth="1"/>
    <x:col min="6" max="6" width="3" hidden="0" customWidth="1"/>
    <x:col min="7" max="7" width="3" hidden="0" customWidth="1"/>
  </x:cols>
  <x:sheetData>
    <x:row r="1" ht="27" customHeight="1">
      <x:c r="A1" s="3" t="str">
        <x:v>Registered assumptions</x:v>
      </x:c>
      <x:c r="B1" s="3" t="str">
        <x:v>Registered assumptions</x:v>
      </x:c>
      <x:c r="C1" s="3" t="str">
        <x:v>Registered assumptions</x:v>
      </x:c>
      <x:c r="D1" s="3" t="str">
        <x:v>Registered assumptions</x:v>
      </x:c>
      <x:c r="E1" s="3" t="str">
        <x:v>Registered assumptions</x:v>
      </x:c>
      <x:c r="F1" s="3" t="str">
        <x:v>Registered assumptions</x:v>
      </x:c>
      <x:c r="G1" s="3" t="str">
        <x:v>Registered assumptions</x:v>
      </x:c>
    </x:row>
    <x:row r="2">
      <x:c r="A2" s="60"/>
      <x:c r="B2" s="60"/>
      <x:c r="C2" s="60"/>
      <x:c r="D2" s="60"/>
      <x:c r="E2" s="60"/>
      <x:c r="F2" s="60"/>
      <x:c r="G2" s="60"/>
    </x:row>
    <x:row r="3">
      <x:c r="A3" s="61" t="str">
        <x:v>Blue cells are registered planning inputs. Internal repository sources are named in column E. Physical measurements must replace planning values before a decision can close.</x:v>
      </x:c>
      <x:c r="B3" s="60"/>
      <x:c r="C3" s="60"/>
      <x:c r="D3" s="60"/>
      <x:c r="E3" s="60"/>
      <x:c r="F3" s="60"/>
      <x:c r="G3" s="60"/>
    </x:row>
    <x:row r="4">
      <x:c r="A4" s="60"/>
      <x:c r="B4" s="60"/>
      <x:c r="C4" s="60"/>
      <x:c r="D4" s="60"/>
      <x:c r="E4" s="60"/>
      <x:c r="F4" s="60"/>
      <x:c r="G4" s="60"/>
    </x:row>
    <x:row r="5">
      <x:c r="A5" s="34" t="str">
        <x:v>Parameter</x:v>
      </x:c>
      <x:c r="B5" s="35" t="str">
        <x:v>Value</x:v>
      </x:c>
      <x:c r="C5" s="35" t="str">
        <x:v>Unit</x:v>
      </x:c>
      <x:c r="D5" s="35" t="str">
        <x:v>Role</x:v>
      </x:c>
      <x:c r="E5" s="36" t="str">
        <x:v>Internal source</x:v>
      </x:c>
      <x:c r="F5" s="60"/>
      <x:c r="G5" s="60"/>
    </x:row>
    <x:row r="6">
      <x:c r="A6" s="16" t="str">
        <x:v>Source mass</x:v>
      </x:c>
      <x:c r="B6" s="39" t="n">
        <x:v>500</x:v>
      </x:c>
      <x:c r="C6" s="16" t="str">
        <x:v>kg</x:v>
      </x:c>
      <x:c r="D6" s="16" t="str">
        <x:v>event aliquot</x:v>
      </x:c>
      <x:c r="E6" s="16" t="str">
        <x:v>RAS-1 QE-04</x:v>
      </x:c>
      <x:c r="F6" s="60"/>
      <x:c r="G6" s="60"/>
    </x:row>
    <x:row r="7">
      <x:c r="A7" s="16" t="str">
        <x:v>Nominal density</x:v>
      </x:c>
      <x:c r="B7" s="39" t="n">
        <x:v>800</x:v>
      </x:c>
      <x:c r="C7" s="16" t="str">
        <x:v>kg/m³</x:v>
      </x:c>
      <x:c r="D7" s="16" t="str">
        <x:v>hydraulic screen</x:v>
      </x:c>
      <x:c r="E7" s="16" t="str">
        <x:v>RBC-1</x:v>
      </x:c>
      <x:c r="F7" s="60"/>
      <x:c r="G7" s="60"/>
    </x:row>
    <x:row r="8">
      <x:c r="A8" s="16" t="str">
        <x:v>Low density</x:v>
      </x:c>
      <x:c r="B8" s="39" t="n">
        <x:v>792</x:v>
      </x:c>
      <x:c r="C8" s="16" t="str">
        <x:v>kg/m³</x:v>
      </x:c>
      <x:c r="D8" s="16" t="str">
        <x:v>receiver edge</x:v>
      </x:c>
      <x:c r="E8" s="16" t="str">
        <x:v>RBC-1</x:v>
      </x:c>
      <x:c r="F8" s="60"/>
      <x:c r="G8" s="60"/>
    </x:row>
    <x:row r="9">
      <x:c r="A9" s="16" t="str">
        <x:v>Dynamic viscosity</x:v>
      </x:c>
      <x:c r="B9" s="39" t="n">
        <x:v>0.004</x:v>
      </x:c>
      <x:c r="C9" s="16" t="str">
        <x:v>Pa s</x:v>
      </x:c>
      <x:c r="D9" s="16" t="str">
        <x:v>hydraulic screen</x:v>
      </x:c>
      <x:c r="E9" s="16" t="str">
        <x:v>RBC-1</x:v>
      </x:c>
      <x:c r="F9" s="60"/>
      <x:c r="G9" s="60"/>
    </x:row>
    <x:row r="10">
      <x:c r="A10" s="16" t="str">
        <x:v>Surface tension</x:v>
      </x:c>
      <x:c r="B10" s="39" t="n">
        <x:v>0.025</x:v>
      </x:c>
      <x:c r="C10" s="16" t="str">
        <x:v>N/m</x:v>
      </x:c>
      <x:c r="D10" s="16" t="str">
        <x:v>hydraulic screen</x:v>
      </x:c>
      <x:c r="E10" s="16" t="str">
        <x:v>RBC-1</x:v>
      </x:c>
      <x:c r="F10" s="60"/>
      <x:c r="G10" s="60"/>
    </x:row>
    <x:row r="11">
      <x:c r="A11" s="16" t="str">
        <x:v>Route length</x:v>
      </x:c>
      <x:c r="B11" s="39" t="n">
        <x:v>12</x:v>
      </x:c>
      <x:c r="C11" s="16" t="str">
        <x:v>m</x:v>
      </x:c>
      <x:c r="D11" s="16" t="str">
        <x:v>candidate common path</x:v>
      </x:c>
      <x:c r="E11" s="16" t="str">
        <x:v>RBC-1</x:v>
      </x:c>
      <x:c r="F11" s="60"/>
      <x:c r="G11" s="60"/>
    </x:row>
    <x:row r="12">
      <x:c r="A12" s="16" t="str">
        <x:v>Wave-speed screen</x:v>
      </x:c>
      <x:c r="B12" s="39" t="n">
        <x:v>1000</x:v>
      </x:c>
      <x:c r="C12" s="16" t="str">
        <x:v>m/s</x:v>
      </x:c>
      <x:c r="D12" s="16" t="str">
        <x:v>transient screen</x:v>
      </x:c>
      <x:c r="E12" s="16" t="str">
        <x:v>RBC-1</x:v>
      </x:c>
      <x:c r="F12" s="60"/>
      <x:c r="G12" s="60"/>
    </x:row>
    <x:row r="13">
      <x:c r="A13" s="16" t="str">
        <x:v>Gravity</x:v>
      </x:c>
      <x:c r="B13" s="39" t="n">
        <x:v>9.80665</x:v>
      </x:c>
      <x:c r="C13" s="16" t="str">
        <x:v>m/s²</x:v>
      </x:c>
      <x:c r="D13" s="16" t="str">
        <x:v>grade screen</x:v>
      </x:c>
      <x:c r="E13" s="16" t="str">
        <x:v>declared constant</x:v>
      </x:c>
      <x:c r="F13" s="60"/>
      <x:c r="G13" s="60"/>
    </x:row>
    <x:row r="14">
      <x:c r="A14" s="16" t="str">
        <x:v>Grade angle</x:v>
      </x:c>
      <x:c r="B14" s="39" t="n">
        <x:v>2</x:v>
      </x:c>
      <x:c r="C14" s="16" t="str">
        <x:v>degrees</x:v>
      </x:c>
      <x:c r="D14" s="16" t="str">
        <x:v>route edge</x:v>
      </x:c>
      <x:c r="E14" s="16" t="str">
        <x:v>RBC-1</x:v>
      </x:c>
      <x:c r="F14" s="60"/>
      <x:c r="G14" s="60"/>
    </x:row>
    <x:row r="15">
      <x:c r="A15" s="16" t="str">
        <x:v>Design pressure</x:v>
      </x:c>
      <x:c r="B15" s="39" t="n">
        <x:v>2</x:v>
      </x:c>
      <x:c r="C15" s="16" t="str">
        <x:v>MPa</x:v>
      </x:c>
      <x:c r="D15" s="16" t="str">
        <x:v>hard structural boundary</x:v>
      </x:c>
      <x:c r="E15" s="16" t="str">
        <x:v>RAC-1</x:v>
      </x:c>
      <x:c r="F15" s="60"/>
      <x:c r="G15" s="60"/>
    </x:row>
    <x:row r="16">
      <x:c r="A16" s="16" t="str">
        <x:v>Experimental peak ceiling</x:v>
      </x:c>
      <x:c r="B16" s="39" t="n">
        <x:v>1.8</x:v>
      </x:c>
      <x:c r="C16" s="16" t="str">
        <x:v>MPa</x:v>
      </x:c>
      <x:c r="D16" s="16" t="str">
        <x:v>qualification and event</x:v>
      </x:c>
      <x:c r="E16" s="16" t="str">
        <x:v>RBE-1</x:v>
      </x:c>
      <x:c r="F16" s="60"/>
      <x:c r="G16" s="60"/>
    </x:row>
    <x:row r="17">
      <x:c r="A17" s="16" t="str">
        <x:v>Overspeed bracket</x:v>
      </x:c>
      <x:c r="B17" s="39" t="n">
        <x:v>1.1</x:v>
      </x:c>
      <x:c r="C17" s="16" t="str">
        <x:v>ratio</x:v>
      </x:c>
      <x:c r="D17" s="16" t="str">
        <x:v>QH-2</x:v>
      </x:c>
      <x:c r="E17" s="16" t="str">
        <x:v>RBC-1</x:v>
      </x:c>
      <x:c r="F17" s="60"/>
      <x:c r="G17" s="60"/>
    </x:row>
    <x:row r="18">
      <x:c r="A18" s="16" t="str">
        <x:v>Receiver gross volume</x:v>
      </x:c>
      <x:c r="B18" s="39" t="n">
        <x:v>1</x:v>
      </x:c>
      <x:c r="C18" s="16" t="str">
        <x:v>m³</x:v>
      </x:c>
      <x:c r="D18" s="16" t="str">
        <x:v>RER-800 design</x:v>
      </x:c>
      <x:c r="E18" s="16" t="str">
        <x:v>RBE-1</x:v>
      </x:c>
      <x:c r="F18" s="60"/>
      <x:c r="G18" s="60"/>
    </x:row>
    <x:row r="19">
      <x:c r="A19" s="16" t="str">
        <x:v>Receiver usable fraction</x:v>
      </x:c>
      <x:c r="B19" s="39" t="n">
        <x:v>0.8</x:v>
      </x:c>
      <x:c r="C19" s="16" t="str">
        <x:v>ratio</x:v>
      </x:c>
      <x:c r="D19" s="16" t="str">
        <x:v>RER-800 design</x:v>
      </x:c>
      <x:c r="E19" s="16" t="str">
        <x:v>RBE-1</x:v>
      </x:c>
      <x:c r="F19" s="60"/>
      <x:c r="G19" s="60"/>
    </x:row>
    <x:row r="20">
      <x:c r="A20" s="16" t="str">
        <x:v>Receiver usable target</x:v>
      </x:c>
      <x:c r="B20" s="39" t="n">
        <x:v>0.8</x:v>
      </x:c>
      <x:c r="C20" s="16" t="str">
        <x:v>m³</x:v>
      </x:c>
      <x:c r="D20" s="16" t="str">
        <x:v>RER-800 issue target</x:v>
      </x:c>
      <x:c r="E20" s="16" t="str">
        <x:v>RBE-1</x:v>
      </x:c>
      <x:c r="F20" s="60"/>
      <x:c r="G20" s="60"/>
    </x:row>
    <x:row r="21">
      <x:c r="A21" s="16" t="str">
        <x:v>Uncertainty mass allowance</x:v>
      </x:c>
      <x:c r="B21" s="39" t="n">
        <x:v>5</x:v>
      </x:c>
      <x:c r="C21" s="16" t="str">
        <x:v>kg</x:v>
      </x:c>
      <x:c r="D21" s="16" t="str">
        <x:v>expanded ceiling</x:v>
      </x:c>
      <x:c r="E21" s="16" t="str">
        <x:v>RAS-1</x:v>
      </x:c>
      <x:c r="F21" s="60"/>
      <x:c r="G21" s="60"/>
    </x:row>
    <x:row r="22">
      <x:c r="A22" s="16" t="str">
        <x:v>Operational receiver reserve</x:v>
      </x:c>
      <x:c r="B22" s="39" t="n">
        <x:v>0.08</x:v>
      </x:c>
      <x:c r="C22" s="16" t="str">
        <x:v>m³</x:v>
      </x:c>
      <x:c r="D22" s="16" t="str">
        <x:v>issue requirement</x:v>
      </x:c>
      <x:c r="E22" s="16" t="str">
        <x:v>RBE-1</x:v>
      </x:c>
      <x:c r="F22" s="60"/>
      <x:c r="G22" s="60"/>
    </x:row>
    <x:row r="23">
      <x:c r="A23" s="16" t="str">
        <x:v>Capture area</x:v>
      </x:c>
      <x:c r="B23" s="39" t="n">
        <x:v>6.25</x:v>
      </x:c>
      <x:c r="C23" s="16" t="str">
        <x:v>m²</x:v>
      </x:c>
      <x:c r="D23" s="16" t="str">
        <x:v>QE-04 bound</x:v>
      </x:c>
      <x:c r="E23" s="16" t="str">
        <x:v>RAS-1</x:v>
      </x:c>
      <x:c r="F23" s="60"/>
      <x:c r="G23" s="60"/>
    </x:row>
    <x:row r="24">
      <x:c r="A24" s="16" t="str">
        <x:v>Terminal-source maximum</x:v>
      </x:c>
      <x:c r="B24" s="39" t="n">
        <x:v>30</x:v>
      </x:c>
      <x:c r="C24" s="16" t="str">
        <x:v>s</x:v>
      </x:c>
      <x:c r="D24" s="16" t="str">
        <x:v>registered stop</x:v>
      </x:c>
      <x:c r="E24" s="16" t="str">
        <x:v>RAS-1</x:v>
      </x:c>
      <x:c r="F24" s="60"/>
      <x:c r="G24" s="60"/>
    </x:row>
    <x:row r="25">
      <x:c r="A25" s="16" t="str">
        <x:v>Return minimum</x:v>
      </x:c>
      <x:c r="B25" s="39" t="n">
        <x:v>672</x:v>
      </x:c>
      <x:c r="C25" s="16" t="str">
        <x:v>h</x:v>
      </x:c>
      <x:c r="D25" s="16" t="str">
        <x:v>new architecture return</x:v>
      </x:c>
      <x:c r="E25" s="16" t="str">
        <x:v>RBE-1</x:v>
      </x:c>
      <x:c r="F25" s="60"/>
      <x:c r="G25" s="60"/>
    </x:row>
    <x:row r="26">
      <x:c r="A26" s="16" t="str">
        <x:v>Evidence rate</x:v>
      </x:c>
      <x:c r="B26" s="39" t="n">
        <x:v>80.10576</x:v>
      </x:c>
      <x:c r="C26" s="16" t="str">
        <x:v>MB/s</x:v>
      </x:c>
      <x:c r="D26" s="16" t="str">
        <x:v>new channel plan</x:v>
      </x:c>
      <x:c r="E26" s="16" t="str">
        <x:v>RBE-1</x:v>
      </x:c>
      <x:c r="F26" s="60"/>
      <x:c r="G26" s="60"/>
    </x:row>
    <x:row r="27">
      <x:c r="A27" s="16" t="str">
        <x:v>Full-rate retention</x:v>
      </x:c>
      <x:c r="B27" s="39" t="n">
        <x:v>900</x:v>
      </x:c>
      <x:c r="C27" s="16" t="str">
        <x:v>s</x:v>
      </x:c>
      <x:c r="D27" s="16" t="str">
        <x:v>native evidence</x:v>
      </x:c>
      <x:c r="E27" s="16" t="str">
        <x:v>RBE-1</x:v>
      </x:c>
      <x:c r="F27" s="60"/>
      <x:c r="G27" s="60"/>
    </x:row>
    <x:row r="28">
      <x:c r="A28" s="16" t="str">
        <x:v>Tail retention</x:v>
      </x:c>
      <x:c r="B28" s="39" t="n">
        <x:v>86400</x:v>
      </x:c>
      <x:c r="C28" s="16" t="str">
        <x:v>s</x:v>
      </x:c>
      <x:c r="D28" s="16" t="str">
        <x:v>24 h</x:v>
      </x:c>
      <x:c r="E28" s="16" t="str">
        <x:v>RBE-1</x:v>
      </x:c>
      <x:c r="F28" s="60"/>
      <x:c r="G28" s="60"/>
    </x:row>
    <x:row r="29">
      <x:c r="A29" s="16" t="str">
        <x:v>Tail fraction</x:v>
      </x:c>
      <x:c r="B29" s="39" t="n">
        <x:v>0.01</x:v>
      </x:c>
      <x:c r="C29" s="16" t="str">
        <x:v>ratio</x:v>
      </x:c>
      <x:c r="D29" s="16" t="str">
        <x:v>retained channel fraction</x:v>
      </x:c>
      <x:c r="E29" s="16" t="str">
        <x:v>RBE-1</x:v>
      </x:c>
      <x:c r="F29" s="60"/>
      <x:c r="G29" s="60"/>
    </x:row>
    <x:row r="30">
      <x:c r="A30" s="16" t="str">
        <x:v>Native originals</x:v>
      </x:c>
      <x:c r="B30" s="39" t="n">
        <x:v>2</x:v>
      </x:c>
      <x:c r="C30" s="16" t="str">
        <x:v>count</x:v>
      </x:c>
      <x:c r="D30" s="16" t="str">
        <x:v>local completeness</x:v>
      </x:c>
      <x:c r="E30" s="16" t="str">
        <x:v>RAS-1</x:v>
      </x:c>
      <x:c r="F30" s="60"/>
      <x:c r="G30" s="60"/>
    </x:row>
    <x:row r="31">
      <x:c r="A31" s="16" t="str">
        <x:v>Custody factor</x:v>
      </x:c>
      <x:c r="B31" s="39" t="n">
        <x:v>1.35</x:v>
      </x:c>
      <x:c r="C31" s="16" t="str">
        <x:v>ratio</x:v>
      </x:c>
      <x:c r="D31" s="16" t="str">
        <x:v>evidence copies</x:v>
      </x:c>
      <x:c r="E31" s="16" t="str">
        <x:v>RFP-1</x:v>
      </x:c>
      <x:c r="F31" s="60"/>
      <x:c r="G31" s="60"/>
    </x:row>
    <x:row r="32">
      <x:c r="A32" s="16" t="str">
        <x:v>Governed capacity factor</x:v>
      </x:c>
      <x:c r="B32" s="39" t="n">
        <x:v>1.3</x:v>
      </x:c>
      <x:c r="C32" s="16" t="str">
        <x:v>ratio</x:v>
      </x:c>
      <x:c r="D32" s="16" t="str">
        <x:v>storage allowance</x:v>
      </x:c>
      <x:c r="E32" s="16" t="str">
        <x:v>RBE-1</x:v>
      </x:c>
      <x:c r="F32" s="60"/>
      <x:c r="G32" s="60"/>
    </x:row>
    <x:row r="33">
      <x:c r="A33" s="16" t="str">
        <x:v>Planning validity floor</x:v>
      </x:c>
      <x:c r="B33" s="39" t="n">
        <x:v>0.65</x:v>
      </x:c>
      <x:c r="C33" s="16" t="str">
        <x:v>probability</x:v>
      </x:c>
      <x:c r="D33" s="16" t="str">
        <x:v>reserve topology</x:v>
      </x:c>
      <x:c r="E33" s="16" t="str">
        <x:v>RBE-1</x:v>
      </x:c>
      <x:c r="F33" s="60"/>
      <x:c r="G33" s="60"/>
    </x:row>
    <x:row r="34">
      <x:c r="A34" s="16" t="str">
        <x:v>Required completion capacity</x:v>
      </x:c>
      <x:c r="B34" s="39" t="n">
        <x:v>0.95</x:v>
      </x:c>
      <x:c r="C34" s="16" t="str">
        <x:v>probability</x:v>
      </x:c>
      <x:c r="D34" s="16" t="str">
        <x:v>reserve selection</x:v>
      </x:c>
      <x:c r="E34" s="16" t="str">
        <x:v>RBC-1</x:v>
      </x:c>
      <x:c r="F34" s="60"/>
      <x:c r="G34" s="60"/>
    </x:row>
    <x:row r="35">
      <x:c r="A35" s="16" t="str">
        <x:v>Parent capital</x:v>
      </x:c>
      <x:c r="B35" s="39" t="n">
        <x:v>620</x:v>
      </x:c>
      <x:c r="C35" s="16" t="str">
        <x:v>USD M</x:v>
      </x:c>
      <x:c r="D35" s="16" t="str">
        <x:v>RAS-1 authority</x:v>
      </x:c>
      <x:c r="E35" s="16" t="str">
        <x:v>RAS-1</x:v>
      </x:c>
      <x:c r="F35" s="60"/>
      <x:c r="G35" s="60"/>
    </x:row>
    <x:row r="36">
      <x:c r="A36" s="16" t="str">
        <x:v>Parent annual support</x:v>
      </x:c>
      <x:c r="B36" s="39" t="n">
        <x:v>235</x:v>
      </x:c>
      <x:c r="C36" s="16" t="str">
        <x:v>USD M/year</x:v>
      </x:c>
      <x:c r="D36" s="16" t="str">
        <x:v>RAS-1 authority</x:v>
      </x:c>
      <x:c r="E36" s="16" t="str">
        <x:v>RAS-1</x:v>
      </x:c>
      <x:c r="F36" s="60"/>
      <x:c r="G36" s="60"/>
    </x:row>
    <x:row r="37">
      <x:c r="A37" s="16" t="str">
        <x:v>Parent technology</x:v>
      </x:c>
      <x:c r="B37" s="39" t="n">
        <x:v>1005</x:v>
      </x:c>
      <x:c r="C37" s="16" t="str">
        <x:v>USD M</x:v>
      </x:c>
      <x:c r="D37" s="16" t="str">
        <x:v>RAS-1 authority</x:v>
      </x:c>
      <x:c r="E37" s="16" t="str">
        <x:v>RAS-1</x:v>
      </x:c>
      <x:c r="F37" s="60"/>
      <x:c r="G37" s="60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dbbc0176574349d9"/>
  </x:tableParts>
</x:worksheet>
</file>

<file path=xl/worksheets/sheet3.xml><?xml version="1.0" encoding="utf-8"?>
<x:worksheet xmlns:x="http://schemas.openxmlformats.org/spreadsheetml/2006/main">
  <x:sheetPr>
    <x:tabColor rgb="FF1E3A5F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2" hidden="0" customWidth="1"/>
    <x:col min="2" max="2" width="23" hidden="0" customWidth="1"/>
    <x:col min="3" max="3" width="13" hidden="0" customWidth="1"/>
    <x:col min="4" max="4" width="10" hidden="0" customWidth="1"/>
    <x:col min="5" max="5" width="13" hidden="0" customWidth="1"/>
    <x:col min="6" max="6" width="18" hidden="0" customWidth="1"/>
    <x:col min="7" max="7" width="15" hidden="0" customWidth="1"/>
    <x:col min="8" max="8" width="13" hidden="0" customWidth="1"/>
    <x:col min="9" max="9" width="12" hidden="0" customWidth="1"/>
    <x:col min="10" max="10" width="14" hidden="0" customWidth="1"/>
    <x:col min="11" max="11" width="14" hidden="0" customWidth="1"/>
    <x:col min="12" max="12" width="15" hidden="0" customWidth="1"/>
    <x:col min="13" max="13" width="18" hidden="0" customWidth="1"/>
    <x:col min="14" max="14" width="19" hidden="0" customWidth="1"/>
    <x:col min="15" max="15" width="19" hidden="0" customWidth="1"/>
    <x:col min="16" max="16" width="28" hidden="0" customWidth="1"/>
  </x:cols>
  <x:sheetData>
    <x:row r="1" ht="27" customHeight="1">
      <x:c r="A1" s="3" t="str">
        <x:v>Candidate hydraulic screens</x:v>
      </x:c>
      <x:c r="B1" s="3" t="str">
        <x:v>Candidate hydraulic screens</x:v>
      </x:c>
      <x:c r="C1" s="3" t="str">
        <x:v>Candidate hydraulic screens</x:v>
      </x:c>
      <x:c r="D1" s="3" t="str">
        <x:v>Candidate hydraulic screens</x:v>
      </x:c>
      <x:c r="E1" s="3" t="str">
        <x:v>Candidate hydraulic screens</x:v>
      </x:c>
      <x:c r="F1" s="3" t="str">
        <x:v>Candidate hydraulic screens</x:v>
      </x:c>
      <x:c r="G1" s="3" t="str">
        <x:v>Candidate hydraulic screens</x:v>
      </x:c>
      <x:c r="H1" s="3" t="str">
        <x:v>Candidate hydraulic screens</x:v>
      </x:c>
      <x:c r="I1" s="3" t="str">
        <x:v>Candidate hydraulic screens</x:v>
      </x:c>
      <x:c r="J1" s="3" t="str">
        <x:v>Candidate hydraulic screens</x:v>
      </x:c>
      <x:c r="K1" s="3" t="str">
        <x:v>Candidate hydraulic screens</x:v>
      </x:c>
      <x:c r="L1" s="3" t="str">
        <x:v>Candidate hydraulic screens</x:v>
      </x:c>
      <x:c r="M1" s="3" t="str">
        <x:v>Candidate hydraulic screens</x:v>
      </x:c>
      <x:c r="N1" s="3" t="str">
        <x:v>Candidate hydraulic screens</x:v>
      </x:c>
      <x:c r="O1" s="3" t="str">
        <x:v>Candidate hydraulic screens</x:v>
      </x:c>
      <x:c r="P1" s="3" t="str">
        <x:v>Candidate hydraulic screens</x:v>
      </x:c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</x:row>
    <x:row r="3">
      <x:c r="A3" s="40" t="str">
        <x:v>Metric</x:v>
      </x:c>
      <x:c r="B3" s="41" t="str">
        <x:v>Value</x:v>
      </x:c>
      <x:c r="C3" s="16"/>
      <x:c r="D3" s="16"/>
      <x:c r="E3" s="16"/>
      <x:c r="F3" s="16"/>
      <x:c r="G3" s="16"/>
      <x:c r="H3" s="16"/>
      <x:c r="I3" s="16"/>
      <x:c r="J3" s="16"/>
      <x:c r="K3" s="16"/>
      <x:c r="L3" s="16"/>
      <x:c r="M3" s="16"/>
      <x:c r="N3" s="16"/>
      <x:c r="O3" s="16"/>
      <x:c r="P3" s="16"/>
    </x:row>
    <x:row r="4">
      <x:c r="A4" s="16" t="str">
        <x:v>Candidate architectures</x:v>
      </x:c>
      <x:c r="B4" s="16" t="n">
        <x:v>5</x:v>
      </x:c>
      <x:c r="C4" s="16"/>
      <x:c r="D4" s="16"/>
      <x:c r="E4" s="16"/>
      <x:c r="F4" s="16"/>
      <x:c r="G4" s="16"/>
      <x:c r="H4" s="16"/>
      <x:c r="I4" s="16"/>
      <x:c r="J4" s="16"/>
      <x:c r="K4" s="16"/>
      <x:c r="L4" s="16"/>
      <x:c r="M4" s="16"/>
      <x:c r="N4" s="16"/>
      <x:c r="O4" s="16"/>
      <x:c r="P4" s="16"/>
    </x:row>
    <x:row r="5">
      <x:c r="A5" s="16" t="str">
        <x:v>Analytically below design boundary at 110%</x:v>
      </x:c>
      <x:c r="B5" s="16" t="n">
        <x:v>3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  <x:c r="M5" s="16"/>
      <x:c r="N5" s="16"/>
      <x:c r="O5" s="16"/>
      <x:c r="P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  <x:c r="M6" s="16"/>
      <x:c r="N6" s="16"/>
      <x:c r="O6" s="16"/>
      <x:c r="P6" s="16"/>
    </x:row>
    <x:row r="7">
      <x:c r="A7" s="40" t="str">
        <x:v>ID</x:v>
      </x:c>
      <x:c r="B7" s="42" t="str">
        <x:v>Candidate</x:v>
      </x:c>
      <x:c r="C7" s="42" t="str">
        <x:v>Diameter (m)</x:v>
      </x:c>
      <x:c r="D7" s="42" t="str">
        <x:v>Lanes</x:v>
      </x:c>
      <x:c r="E7" s="42" t="str">
        <x:v>Schedule (s)</x:v>
      </x:c>
      <x:c r="F7" s="42" t="str">
        <x:v>Flow per lane (m³/s)</x:v>
      </x:c>
      <x:c r="G7" s="42" t="str">
        <x:v>Velocity (m/s)</x:v>
      </x:c>
      <x:c r="H7" s="42" t="str">
        <x:v>Re</x:v>
      </x:c>
      <x:c r="I7" s="42" t="str">
        <x:v>Fr</x:v>
      </x:c>
      <x:c r="J7" s="42" t="str">
        <x:v>We</x:v>
      </x:c>
      <x:c r="K7" s="42" t="str">
        <x:v>Darcy factor</x:v>
      </x:c>
      <x:c r="L7" s="42" t="str">
        <x:v>Friction (kPa)</x:v>
      </x:c>
      <x:c r="M7" s="42" t="str">
        <x:v>Static inventory (kg)</x:v>
      </x:c>
      <x:c r="N7" s="42" t="str">
        <x:v>110% raw surge (MPa)</x:v>
      </x:c>
      <x:c r="O7" s="42" t="str">
        <x:v>Margin to design (MPa)</x:v>
      </x:c>
      <x:c r="P7" s="41" t="str">
        <x:v>Analytical disposition</x:v>
      </x:c>
    </x:row>
    <x:row r="8">
      <x:c r="A8" s="16" t="str">
        <x:v>A-S40</x:v>
      </x:c>
      <x:c r="B8" s="16" t="str">
        <x:v>Slow 40</x:v>
      </x:c>
      <x:c r="C8" s="37" t="n">
        <x:v>0.04</x:v>
      </x:c>
      <x:c r="D8" s="37" t="n">
        <x:v>1</x:v>
      </x:c>
      <x:c r="E8" s="37" t="n">
        <x:v>240</x:v>
      </x:c>
      <x:c r="F8" s="43" t="n">
        <x:f>('Assumptions'!$B$6/'Assumptions'!$B$7/E8)/D8</x:f>
        <x:v>0.0026041666666666665</x:v>
      </x:c>
      <x:c r="G8" s="43" t="n">
        <x:f>F8/(PI()*C8^2/4)</x:f>
        <x:v>2.0723299881757207</x:v>
      </x:c>
      <x:c r="H8" s="43" t="n">
        <x:f>'Assumptions'!$B$7*G8*C8/'Assumptions'!$B$9</x:f>
        <x:v>16578.639905405766</x:v>
      </x:c>
      <x:c r="I8" s="43" t="n">
        <x:f>G8/SQRT('Assumptions'!$B$13*C8)</x:f>
        <x:v>3.308785227801224</x:v>
      </x:c>
      <x:c r="J8" s="43" t="n">
        <x:f>'Assumptions'!$B$7*G8^2*C8/'Assumptions'!$B$10</x:f>
        <x:v>5497.026022262249</x:v>
      </x:c>
      <x:c r="K8" s="43" t="n">
        <x:f>0.3164/H8^0.25</x:f>
        <x:v>0.027883626078041</x:v>
      </x:c>
      <x:c r="L8" s="43" t="n">
        <x:f>K8*('Assumptions'!$B$11/C8)*('Assumptions'!$B$7*G8^2/2)/1000</x:f>
        <x:v>14.369720451189528</x:v>
      </x:c>
      <x:c r="M8" s="43" t="n">
        <x:f>'Assumptions'!$B$7*(PI()*C8^2/4)*'Assumptions'!$B$11*D8</x:f>
        <x:v>12.063715789784807</x:v>
      </x:c>
      <x:c r="N8" s="43" t="n">
        <x:f>'Assumptions'!$B$12*'Assumptions'!$B$7*G8*'Assumptions'!$B$17/1000000</x:f>
        <x:v>1.8236503895946345</x:v>
      </x:c>
      <x:c r="O8" s="43" t="n">
        <x:f>'Assumptions'!$B$15-N8</x:f>
        <x:v>0.17634961040536545</x:v>
      </x:c>
      <x:c r="P8" s="16" t="str">
        <x:f>IF(N8&lt;='Assumptions'!$B$15,"ANALYTICALLY ELIGIBLE","PHYSICAL REDUCTION REQUIRED")</x:f>
        <x:v>ANALYTICALLY ELIGIBLE</x:v>
      </x:c>
    </x:row>
    <x:row r="9">
      <x:c r="A9" s="16" t="str">
        <x:v>A-I60</x:v>
      </x:c>
      <x:c r="B9" s="16" t="str">
        <x:v>Intermediate bore</x:v>
      </x:c>
      <x:c r="C9" s="37" t="n">
        <x:v>0.06</x:v>
      </x:c>
      <x:c r="D9" s="37" t="n">
        <x:v>1</x:v>
      </x:c>
      <x:c r="E9" s="37" t="n">
        <x:v>120</x:v>
      </x:c>
      <x:c r="F9" s="43" t="n">
        <x:f>('Assumptions'!$B$6/'Assumptions'!$B$7/E9)/D9</x:f>
        <x:v>0.005208333333333333</x:v>
      </x:c>
      <x:c r="G9" s="43" t="n">
        <x:f>F9/(PI()*C9^2/4)</x:f>
        <x:v>1.8420711006006405</x:v>
      </x:c>
      <x:c r="H9" s="43" t="n">
        <x:f>'Assumptions'!$B$7*G9*C9/'Assumptions'!$B$9</x:f>
        <x:v>22104.853207207685</x:v>
      </x:c>
      <x:c r="I9" s="43" t="n">
        <x:f>G9/SQRT('Assumptions'!$B$13*C9)</x:f>
        <x:v>2.4014327337989925</x:v>
      </x:c>
      <x:c r="J9" s="43" t="n">
        <x:f>'Assumptions'!$B$7*G9^2*C9/'Assumptions'!$B$10</x:f>
        <x:v>6514.993804162666</x:v>
      </x:c>
      <x:c r="K9" s="43" t="n">
        <x:f>0.3164/H9^0.25</x:f>
        <x:v>0.025948637917610973</x:v>
      </x:c>
      <x:c r="L9" s="43" t="n">
        <x:f>K9*('Assumptions'!$B$11/C9)*('Assumptions'!$B$7*G9^2/2)/1000</x:f>
        <x:v>7.04396730248733</x:v>
      </x:c>
      <x:c r="M9" s="43" t="n">
        <x:f>'Assumptions'!$B$7*(PI()*C9^2/4)*'Assumptions'!$B$11*D9</x:f>
        <x:v>27.143360527015815</x:v>
      </x:c>
      <x:c r="N9" s="43" t="n">
        <x:f>'Assumptions'!$B$12*'Assumptions'!$B$7*G9*'Assumptions'!$B$17/1000000</x:f>
        <x:v>1.621022568528564</x:v>
      </x:c>
      <x:c r="O9" s="43" t="n">
        <x:f>'Assumptions'!$B$15-N9</x:f>
        <x:v>0.37897743147143603</x:v>
      </x:c>
      <x:c r="P9" s="16" t="str">
        <x:f>IF(N9&lt;='Assumptions'!$B$15,"ANALYTICALLY ELIGIBLE","PHYSICAL REDUCTION REQUIRED")</x:f>
        <x:v>ANALYTICALLY ELIGIBLE</x:v>
      </x:c>
    </x:row>
    <x:row r="10">
      <x:c r="A10" s="16" t="str">
        <x:v>A-T40</x:v>
      </x:c>
      <x:c r="B10" s="16" t="str">
        <x:v>Twin 40</x:v>
      </x:c>
      <x:c r="C10" s="37" t="n">
        <x:v>0.04</x:v>
      </x:c>
      <x:c r="D10" s="37" t="n">
        <x:v>2</x:v>
      </x:c>
      <x:c r="E10" s="37" t="n">
        <x:v>120</x:v>
      </x:c>
      <x:c r="F10" s="43" t="n">
        <x:f>('Assumptions'!$B$6/'Assumptions'!$B$7/E10)/D10</x:f>
        <x:v>0.0026041666666666665</x:v>
      </x:c>
      <x:c r="G10" s="43" t="n">
        <x:f>F10/(PI()*C10^2/4)</x:f>
        <x:v>2.0723299881757207</x:v>
      </x:c>
      <x:c r="H10" s="43" t="n">
        <x:f>'Assumptions'!$B$7*G10*C10/'Assumptions'!$B$9</x:f>
        <x:v>16578.639905405766</x:v>
      </x:c>
      <x:c r="I10" s="43" t="n">
        <x:f>G10/SQRT('Assumptions'!$B$13*C10)</x:f>
        <x:v>3.308785227801224</x:v>
      </x:c>
      <x:c r="J10" s="43" t="n">
        <x:f>'Assumptions'!$B$7*G10^2*C10/'Assumptions'!$B$10</x:f>
        <x:v>5497.026022262249</x:v>
      </x:c>
      <x:c r="K10" s="43" t="n">
        <x:f>0.3164/H10^0.25</x:f>
        <x:v>0.027883626078041</x:v>
      </x:c>
      <x:c r="L10" s="43" t="n">
        <x:f>K10*('Assumptions'!$B$11/C10)*('Assumptions'!$B$7*G10^2/2)/1000</x:f>
        <x:v>14.369720451189528</x:v>
      </x:c>
      <x:c r="M10" s="43" t="n">
        <x:f>'Assumptions'!$B$7*(PI()*C10^2/4)*'Assumptions'!$B$11*D10</x:f>
        <x:v>24.127431579569613</x:v>
      </x:c>
      <x:c r="N10" s="43" t="n">
        <x:f>'Assumptions'!$B$12*'Assumptions'!$B$7*G10*'Assumptions'!$B$17/1000000</x:f>
        <x:v>1.8236503895946345</x:v>
      </x:c>
      <x:c r="O10" s="43" t="n">
        <x:f>'Assumptions'!$B$15-N10</x:f>
        <x:v>0.17634961040536545</x:v>
      </x:c>
      <x:c r="P10" s="16" t="str">
        <x:f>IF(N10&lt;='Assumptions'!$B$15,"ANALYTICALLY ELIGIBLE","PHYSICAL REDUCTION REQUIRED")</x:f>
        <x:v>ANALYTICALLY ELIGIBLE</x:v>
      </x:c>
    </x:row>
    <x:row r="11">
      <x:c r="A11" s="16" t="str">
        <x:v>A-C40</x:v>
      </x:c>
      <x:c r="B11" s="16" t="str">
        <x:v>Distributed compliance</x:v>
      </x:c>
      <x:c r="C11" s="37" t="n">
        <x:v>0.04</x:v>
      </x:c>
      <x:c r="D11" s="37" t="n">
        <x:v>1</x:v>
      </x:c>
      <x:c r="E11" s="37" t="n">
        <x:v>120</x:v>
      </x:c>
      <x:c r="F11" s="43" t="n">
        <x:f>('Assumptions'!$B$6/'Assumptions'!$B$7/E11)/D11</x:f>
        <x:v>0.005208333333333333</x:v>
      </x:c>
      <x:c r="G11" s="43" t="n">
        <x:f>F11/(PI()*C11^2/4)</x:f>
        <x:v>4.144659976351441</x:v>
      </x:c>
      <x:c r="H11" s="43" t="n">
        <x:f>'Assumptions'!$B$7*G11*C11/'Assumptions'!$B$9</x:f>
        <x:v>33157.27981081153</x:v>
      </x:c>
      <x:c r="I11" s="43" t="n">
        <x:f>G11/SQRT('Assumptions'!$B$13*C11)</x:f>
        <x:v>6.617570455602448</x:v>
      </x:c>
      <x:c r="J11" s="43" t="n">
        <x:f>'Assumptions'!$B$7*G11^2*C11/'Assumptions'!$B$10</x:f>
        <x:v>21988.104089048997</x:v>
      </x:c>
      <x:c r="K11" s="43" t="n">
        <x:f>0.3164/H11^0.25</x:f>
        <x:v>0.023447241213299667</x:v>
      </x:c>
      <x:c r="L11" s="43" t="n">
        <x:f>K11*('Assumptions'!$B$11/C11)*('Assumptions'!$B$7*G11^2/2)/1000</x:f>
        <x:v>48.33378566241306</x:v>
      </x:c>
      <x:c r="M11" s="43" t="n">
        <x:f>'Assumptions'!$B$7*(PI()*C11^2/4)*'Assumptions'!$B$11*D11</x:f>
        <x:v>12.063715789784807</x:v>
      </x:c>
      <x:c r="N11" s="43" t="n">
        <x:f>'Assumptions'!$B$12*'Assumptions'!$B$7*G11*'Assumptions'!$B$17/1000000</x:f>
        <x:v>3.647300779189269</x:v>
      </x:c>
      <x:c r="O11" s="43" t="n">
        <x:f>'Assumptions'!$B$15-N11</x:f>
        <x:v>-1.647300779189269</x:v>
      </x:c>
      <x:c r="P11" s="16" t="str">
        <x:f>IF(N11&lt;='Assumptions'!$B$15,"ANALYTICALLY ELIGIBLE","PHYSICAL REDUCTION REQUIRED")</x:f>
        <x:v>PHYSICAL REDUCTION REQUIRED</x:v>
      </x:c>
    </x:row>
    <x:row r="12">
      <x:c r="A12" s="16" t="str">
        <x:v>A-M40</x:v>
      </x:c>
      <x:c r="B12" s="16" t="str">
        <x:v>Shaped metering</x:v>
      </x:c>
      <x:c r="C12" s="37" t="n">
        <x:v>0.04</x:v>
      </x:c>
      <x:c r="D12" s="37" t="n">
        <x:v>1</x:v>
      </x:c>
      <x:c r="E12" s="37" t="n">
        <x:v>120</x:v>
      </x:c>
      <x:c r="F12" s="43" t="n">
        <x:f>('Assumptions'!$B$6/'Assumptions'!$B$7/E12)/D12</x:f>
        <x:v>0.005208333333333333</x:v>
      </x:c>
      <x:c r="G12" s="43" t="n">
        <x:f>F12/(PI()*C12^2/4)</x:f>
        <x:v>4.144659976351441</x:v>
      </x:c>
      <x:c r="H12" s="43" t="n">
        <x:f>'Assumptions'!$B$7*G12*C12/'Assumptions'!$B$9</x:f>
        <x:v>33157.27981081153</x:v>
      </x:c>
      <x:c r="I12" s="43" t="n">
        <x:f>G12/SQRT('Assumptions'!$B$13*C12)</x:f>
        <x:v>6.617570455602448</x:v>
      </x:c>
      <x:c r="J12" s="43" t="n">
        <x:f>'Assumptions'!$B$7*G12^2*C12/'Assumptions'!$B$10</x:f>
        <x:v>21988.104089048997</x:v>
      </x:c>
      <x:c r="K12" s="43" t="n">
        <x:f>0.3164/H12^0.25</x:f>
        <x:v>0.023447241213299667</x:v>
      </x:c>
      <x:c r="L12" s="43" t="n">
        <x:f>K12*('Assumptions'!$B$11/C12)*('Assumptions'!$B$7*G12^2/2)/1000</x:f>
        <x:v>48.33378566241306</x:v>
      </x:c>
      <x:c r="M12" s="43" t="n">
        <x:f>'Assumptions'!$B$7*(PI()*C12^2/4)*'Assumptions'!$B$11*D12</x:f>
        <x:v>12.063715789784807</x:v>
      </x:c>
      <x:c r="N12" s="43" t="n">
        <x:f>'Assumptions'!$B$12*'Assumptions'!$B$7*G12*'Assumptions'!$B$17/1000000</x:f>
        <x:v>3.647300779189269</x:v>
      </x:c>
      <x:c r="O12" s="43" t="n">
        <x:f>'Assumptions'!$B$15-N12</x:f>
        <x:v>-1.647300779189269</x:v>
      </x:c>
      <x:c r="P12" s="16" t="str">
        <x:f>IF(N12&lt;='Assumptions'!$B$15,"ANALYTICALLY ELIGIBLE","PHYSICAL REDUCTION REQUIRED")</x:f>
        <x:v>PHYSICAL REDUCTION REQUIRED</x:v>
      </x:c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  <x:c r="M13" s="16"/>
      <x:c r="N13" s="16"/>
      <x:c r="O13" s="16"/>
      <x:c r="P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  <x:c r="M14" s="16"/>
      <x:c r="N14" s="16"/>
      <x:c r="O14" s="16"/>
      <x:c r="P14" s="16"/>
    </x:row>
    <x:row r="15">
      <x:c r="A15" s="12" t="str">
        <x:v>Novel 40 mm candidate requirement</x:v>
      </x:c>
      <x:c r="B15" s="13" t="str">
        <x:v>Novel 40 mm candidate requirement</x:v>
      </x:c>
      <x:c r="C15" s="13" t="str">
        <x:v>Novel 40 mm candidate requirement</x:v>
      </x:c>
      <x:c r="D15" s="13" t="str">
        <x:v>Novel 40 mm candidate requirement</x:v>
      </x:c>
      <x:c r="E15" s="13" t="str">
        <x:v>Novel 40 mm candidate requirement</x:v>
      </x:c>
      <x:c r="F15" s="13" t="str">
        <x:v>Novel 40 mm candidate requirement</x:v>
      </x:c>
      <x:c r="G15" s="13" t="str">
        <x:v>Novel 40 mm candidate requirement</x:v>
      </x:c>
      <x:c r="H15" s="13" t="str">
        <x:v>Novel 40 mm candidate requirement</x:v>
      </x:c>
      <x:c r="I15" s="13" t="str">
        <x:v>Novel 40 mm candidate requirement</x:v>
      </x:c>
      <x:c r="J15" s="13" t="str">
        <x:v>Novel 40 mm candidate requirement</x:v>
      </x:c>
      <x:c r="K15" s="13" t="str">
        <x:v>Novel 40 mm candidate requirement</x:v>
      </x:c>
      <x:c r="L15" s="13" t="str">
        <x:v>Novel 40 mm candidate requirement</x:v>
      </x:c>
      <x:c r="M15" s="13" t="str">
        <x:v>Novel 40 mm candidate requirement</x:v>
      </x:c>
      <x:c r="N15" s="13" t="str">
        <x:v>Novel 40 mm candidate requirement</x:v>
      </x:c>
      <x:c r="O15" s="13" t="str">
        <x:v>Novel 40 mm candidate requirement</x:v>
      </x:c>
      <x:c r="P15" s="14" t="str">
        <x:v>Novel 40 mm candidate requirement</x:v>
      </x:c>
    </x:row>
    <x:row r="16">
      <x:c r="A16" s="16" t="str">
        <x:v>Raw 110% surge (MPa)</x:v>
      </x:c>
      <x:c r="B16" s="44" t="n">
        <x:f>N11</x:f>
        <x:v>3.647300779189269</x:v>
      </x:c>
      <x:c r="C16" s="16"/>
      <x:c r="D16" s="16"/>
      <x:c r="E16" s="16"/>
      <x:c r="F16" s="16"/>
      <x:c r="G16" s="16"/>
      <x:c r="H16" s="16"/>
      <x:c r="I16" s="16"/>
      <x:c r="J16" s="16"/>
      <x:c r="K16" s="16"/>
      <x:c r="L16" s="16"/>
      <x:c r="M16" s="16"/>
      <x:c r="N16" s="16"/>
      <x:c r="O16" s="16"/>
      <x:c r="P16" s="16"/>
    </x:row>
    <x:row r="17">
      <x:c r="A17" s="16" t="str">
        <x:v>Experimental ceiling (MPa)</x:v>
      </x:c>
      <x:c r="B17" s="44" t="n">
        <x:f>'Assumptions'!B16</x:f>
        <x:v>1.8</x:v>
      </x:c>
      <x:c r="C17" s="16"/>
      <x:c r="D17" s="16"/>
      <x:c r="E17" s="16"/>
      <x:c r="F17" s="16"/>
      <x:c r="G17" s="16"/>
      <x:c r="H17" s="16"/>
      <x:c r="I17" s="16"/>
      <x:c r="J17" s="16"/>
      <x:c r="K17" s="16"/>
      <x:c r="L17" s="16"/>
      <x:c r="M17" s="16"/>
      <x:c r="N17" s="16"/>
      <x:c r="O17" s="16"/>
      <x:c r="P17" s="16"/>
    </x:row>
    <x:row r="18">
      <x:c r="A18" s="16" t="str">
        <x:v>Maximum residual dynamic factor</x:v>
      </x:c>
      <x:c r="B18" s="44" t="n">
        <x:f>B17/B16</x:f>
        <x:v>0.49351564594574193</x:v>
      </x:c>
      <x:c r="C18" s="16"/>
      <x:c r="D18" s="16"/>
      <x:c r="E18" s="16"/>
      <x:c r="F18" s="16"/>
      <x:c r="G18" s="16"/>
      <x:c r="H18" s="16"/>
      <x:c r="I18" s="16"/>
      <x:c r="J18" s="16"/>
      <x:c r="K18" s="16"/>
      <x:c r="L18" s="16"/>
      <x:c r="M18" s="16"/>
      <x:c r="N18" s="16"/>
      <x:c r="O18" s="16"/>
      <x:c r="P18" s="16"/>
    </x:row>
    <x:row r="19">
      <x:c r="A19" s="16" t="str">
        <x:v>Minimum reduction</x:v>
      </x:c>
      <x:c r="B19" s="44" t="n">
        <x:f>1-B18</x:f>
        <x:v>0.5064843540542581</x:v>
      </x:c>
      <x:c r="C19" s="16"/>
      <x:c r="D19" s="16"/>
      <x:c r="E19" s="16"/>
      <x:c r="F19" s="16"/>
      <x:c r="G19" s="16"/>
      <x:c r="H19" s="16"/>
      <x:c r="I19" s="16"/>
      <x:c r="J19" s="16"/>
      <x:c r="K19" s="16"/>
      <x:c r="L19" s="16"/>
      <x:c r="M19" s="16"/>
      <x:c r="N19" s="16"/>
      <x:c r="O19" s="16"/>
      <x:c r="P19" s="16"/>
    </x:row>
  </x:sheetData>
  <x:mergeCells>
    <x:mergeCell ref="A1:P1"/>
    <x:mergeCell ref="A15:P15"/>
  </x:mergeCells>
  <x:conditionalFormatting sqref="P8:P12">
    <x:cfRule type="containsText" dxfId="0" priority="1" operator="containsText" text="DENY"/>
    <x:cfRule type="containsText" dxfId="1" priority="2" operator="containsText" text="FAIL"/>
    <x:cfRule type="containsText" dxfId="2" priority="3" operator="containsText" text="MISSING"/>
    <x:cfRule type="containsText" dxfId="3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046dcbf3dd854c4b"/>
  </x:tableParts>
</x:worksheet>
</file>

<file path=xl/worksheets/sheet4.xml><?xml version="1.0" encoding="utf-8"?>
<x:worksheet xmlns:x="http://schemas.openxmlformats.org/spreadsheetml/2006/main">
  <x:sheetPr>
    <x:tabColor rgb="FF1E3A5F"/>
  </x:sheetPr>
  <x:sheetViews>
    <x:sheetView showGridLines="0" workbookViewId="0"/>
  </x:sheetViews>
  <x:sheetFormatPr defaultRowHeight="15"/>
  <x:cols>
    <x:col min="1" max="1" width="16" hidden="0" customWidth="1"/>
    <x:col min="2" max="2" width="14" hidden="0" customWidth="1"/>
    <x:col min="3" max="3" width="18" hidden="0" customWidth="1"/>
    <x:col min="4" max="4" width="11" hidden="0" customWidth="1"/>
    <x:col min="5" max="5" width="11" hidden="0" customWidth="1"/>
    <x:col min="6" max="6" width="11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8" hidden="0" customWidth="1"/>
    <x:col min="12" max="12" width="18" hidden="0" customWidth="1"/>
  </x:cols>
  <x:sheetData>
    <x:row r="1" ht="27" customHeight="1">
      <x:c r="A1" s="3" t="str">
        <x:v>Candidate architecture admission</x:v>
      </x:c>
      <x:c r="B1" s="3" t="str">
        <x:v>Candidate architecture admission</x:v>
      </x:c>
      <x:c r="C1" s="3" t="str">
        <x:v>Candidate architecture admission</x:v>
      </x:c>
      <x:c r="D1" s="3" t="str">
        <x:v>Candidate architecture admission</x:v>
      </x:c>
      <x:c r="E1" s="3" t="str">
        <x:v>Candidate architecture admission</x:v>
      </x:c>
      <x:c r="F1" s="3" t="str">
        <x:v>Candidate architecture admission</x:v>
      </x:c>
      <x:c r="G1" s="3" t="str">
        <x:v>Candidate architecture admission</x:v>
      </x:c>
      <x:c r="H1" s="3" t="str">
        <x:v>Candidate architecture admission</x:v>
      </x:c>
      <x:c r="I1" s="3" t="str">
        <x:v>Candidate architecture admission</x:v>
      </x:c>
      <x:c r="J1" s="3" t="str">
        <x:v>Candidate architecture admission</x:v>
      </x:c>
      <x:c r="K1" s="3" t="str">
        <x:v>Candidate architecture admission</x:v>
      </x:c>
      <x:c r="L1" s="3" t="str">
        <x:v>Candidate architecture admission</x:v>
      </x:c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</x:row>
    <x:row r="3">
      <x:c r="A3" s="34" t="str">
        <x:v>Architecture</x:v>
      </x:c>
      <x:c r="B3" s="35" t="str">
        <x:v>Required trials</x:v>
      </x:c>
      <x:c r="C3" s="35" t="str">
        <x:v>Observed dispositions</x:v>
      </x:c>
      <x:c r="D3" s="35" t="str">
        <x:v>Passed</x:v>
      </x:c>
      <x:c r="E3" s="35" t="str">
        <x:v>Adverse</x:v>
      </x:c>
      <x:c r="F3" s="35" t="str">
        <x:v>Open</x:v>
      </x:c>
      <x:c r="G3" s="35" t="str">
        <x:v>Lineage A state</x:v>
      </x:c>
      <x:c r="H3" s="35" t="str">
        <x:v>Lineage B state</x:v>
      </x:c>
      <x:c r="I3" s="35" t="str">
        <x:v>Campus coverage</x:v>
      </x:c>
      <x:c r="J3" s="35" t="str">
        <x:v>Physical gate</x:v>
      </x:c>
      <x:c r="K3" s="35" t="str">
        <x:v>Replication gate</x:v>
      </x:c>
      <x:c r="L3" s="36" t="str">
        <x:v>Architecture state</x:v>
      </x:c>
    </x:row>
    <x:row r="4">
      <x:c r="A4" s="16" t="str">
        <x:v>A-S40</x:v>
      </x:c>
      <x:c r="B4" s="16" t="n">
        <x:v>36</x:v>
      </x:c>
      <x:c r="C4" s="16" t="n">
        <x:f>COUNTIFS('Trial Register'!$B$7:$B$186,A4,'Trial Register'!$P$7:$P$186,"&lt;&gt;OPEN")</x:f>
        <x:v>0</x:v>
      </x:c>
      <x:c r="D4" s="16" t="n">
        <x:f>COUNTIFS('Trial Register'!$B$7:$B$186,A4,'Trial Register'!$P$7:$P$186,"PASS")</x:f>
        <x:v>0</x:v>
      </x:c>
      <x:c r="E4" s="16" t="n">
        <x:f>COUNTIFS('Trial Register'!$B$7:$B$186,A4,'Trial Register'!$P$7:$P$186,"ADVERSE")</x:f>
        <x:v>0</x:v>
      </x:c>
      <x:c r="F4" s="16" t="n">
        <x:f>COUNTIFS('Trial Register'!$B$7:$B$186,A4,'Trial Register'!$P$7:$P$186,"OPEN")</x:f>
        <x:v>36</x:v>
      </x:c>
      <x:c r="G4" s="16" t="str">
        <x:f>IF(COUNTIFS('Trial Register'!$B$7:$B$186,A4,'Trial Register'!$C$7:$C$186,"L-A",'Trial Register'!$P$7:$P$186,"PASS")=18,"PASS",IF(COUNTIFS('Trial Register'!$B$7:$B$186,A4,'Trial Register'!$C$7:$C$186,"L-A",'Trial Register'!$P$7:$P$186,"ADVERSE")&gt;0,"ADVERSE","OPEN"))</x:f>
        <x:v>OPEN</x:v>
      </x:c>
      <x:c r="H4" s="16" t="str">
        <x:f>IF(COUNTIFS('Trial Register'!$B$7:$B$186,A4,'Trial Register'!$C$7:$C$186,"L-B",'Trial Register'!$P$7:$P$186,"PASS")=18,"PASS",IF(COUNTIFS('Trial Register'!$B$7:$B$186,A4,'Trial Register'!$C$7:$C$186,"L-B",'Trial Register'!$P$7:$P$186,"ADVERSE")&gt;0,"ADVERSE","OPEN"))</x:f>
        <x:v>OPEN</x:v>
      </x:c>
      <x:c r="I4" s="16" t="str">
        <x:f>IF(COUNTIFS('Trial Register'!$B$7:$B$186,A4,'Trial Register'!$D$7:$D$186,"C-1",'Trial Register'!$P$7:$P$186,"PASS")=12,IF(COUNTIFS('Trial Register'!$B$7:$B$186,A4,'Trial Register'!$D$7:$D$186,"C-2",'Trial Register'!$P$7:$P$186,"PASS")=12,IF(COUNTIFS('Trial Register'!$B$7:$B$186,A4,'Trial Register'!$D$7:$D$186,"C-3",'Trial Register'!$P$7:$P$186,"PASS")=12,"PASS","OPEN"),"OPEN"),"OPEN")</x:f>
        <x:v>OPEN</x:v>
      </x:c>
      <x:c r="J4" s="16" t="str">
        <x:f>IF(E4&gt;0,"DENY",IF(F4&gt;0,"OPEN","PASS"))</x:f>
        <x:v>OPEN</x:v>
      </x:c>
      <x:c r="K4" s="16" t="str">
        <x:f>IF(AND(G4="PASS",H4="PASS",I4="PASS"),"PASS",IF(OR(G4="ADVERSE",H4="ADVERSE"),"DENY","OPEN"))</x:f>
        <x:v>OPEN</x:v>
      </x:c>
      <x:c r="L4" s="16" t="str">
        <x:f>IF(AND(J4="PASS",K4="PASS"),"ADMITTED",IF(OR(J4="DENY",K4="DENY"),"DENIED","OPEN"))</x:f>
        <x:v>OPEN</x:v>
      </x:c>
    </x:row>
    <x:row r="5">
      <x:c r="A5" s="16" t="str">
        <x:v>A-I60</x:v>
      </x:c>
      <x:c r="B5" s="16" t="n">
        <x:v>36</x:v>
      </x:c>
      <x:c r="C5" s="16" t="n">
        <x:f>COUNTIFS('Trial Register'!$B$7:$B$186,A5,'Trial Register'!$P$7:$P$186,"&lt;&gt;OPEN")</x:f>
        <x:v>0</x:v>
      </x:c>
      <x:c r="D5" s="16" t="n">
        <x:f>COUNTIFS('Trial Register'!$B$7:$B$186,A5,'Trial Register'!$P$7:$P$186,"PASS")</x:f>
        <x:v>0</x:v>
      </x:c>
      <x:c r="E5" s="16" t="n">
        <x:f>COUNTIFS('Trial Register'!$B$7:$B$186,A5,'Trial Register'!$P$7:$P$186,"ADVERSE")</x:f>
        <x:v>0</x:v>
      </x:c>
      <x:c r="F5" s="16" t="n">
        <x:f>COUNTIFS('Trial Register'!$B$7:$B$186,A5,'Trial Register'!$P$7:$P$186,"OPEN")</x:f>
        <x:v>36</x:v>
      </x:c>
      <x:c r="G5" s="16" t="str">
        <x:f>IF(COUNTIFS('Trial Register'!$B$7:$B$186,A5,'Trial Register'!$C$7:$C$186,"L-A",'Trial Register'!$P$7:$P$186,"PASS")=18,"PASS",IF(COUNTIFS('Trial Register'!$B$7:$B$186,A5,'Trial Register'!$C$7:$C$186,"L-A",'Trial Register'!$P$7:$P$186,"ADVERSE")&gt;0,"ADVERSE","OPEN"))</x:f>
        <x:v>OPEN</x:v>
      </x:c>
      <x:c r="H5" s="16" t="str">
        <x:f>IF(COUNTIFS('Trial Register'!$B$7:$B$186,A5,'Trial Register'!$C$7:$C$186,"L-B",'Trial Register'!$P$7:$P$186,"PASS")=18,"PASS",IF(COUNTIFS('Trial Register'!$B$7:$B$186,A5,'Trial Register'!$C$7:$C$186,"L-B",'Trial Register'!$P$7:$P$186,"ADVERSE")&gt;0,"ADVERSE","OPEN"))</x:f>
        <x:v>OPEN</x:v>
      </x:c>
      <x:c r="I5" s="16" t="str">
        <x:f>IF(COUNTIFS('Trial Register'!$B$7:$B$186,A5,'Trial Register'!$D$7:$D$186,"C-1",'Trial Register'!$P$7:$P$186,"PASS")=12,IF(COUNTIFS('Trial Register'!$B$7:$B$186,A5,'Trial Register'!$D$7:$D$186,"C-2",'Trial Register'!$P$7:$P$186,"PASS")=12,IF(COUNTIFS('Trial Register'!$B$7:$B$186,A5,'Trial Register'!$D$7:$D$186,"C-3",'Trial Register'!$P$7:$P$186,"PASS")=12,"PASS","OPEN"),"OPEN"),"OPEN")</x:f>
        <x:v>OPEN</x:v>
      </x:c>
      <x:c r="J5" s="16" t="str">
        <x:f>IF(E5&gt;0,"DENY",IF(F5&gt;0,"OPEN","PASS"))</x:f>
        <x:v>OPEN</x:v>
      </x:c>
      <x:c r="K5" s="16" t="str">
        <x:f>IF(AND(G5="PASS",H5="PASS",I5="PASS"),"PASS",IF(OR(G5="ADVERSE",H5="ADVERSE"),"DENY","OPEN"))</x:f>
        <x:v>OPEN</x:v>
      </x:c>
      <x:c r="L5" s="16" t="str">
        <x:f>IF(AND(J5="PASS",K5="PASS"),"ADMITTED",IF(OR(J5="DENY",K5="DENY"),"DENIED","OPEN"))</x:f>
        <x:v>OPEN</x:v>
      </x:c>
    </x:row>
    <x:row r="6">
      <x:c r="A6" s="16" t="str">
        <x:v>A-T40</x:v>
      </x:c>
      <x:c r="B6" s="16" t="n">
        <x:v>36</x:v>
      </x:c>
      <x:c r="C6" s="16" t="n">
        <x:f>COUNTIFS('Trial Register'!$B$7:$B$186,A6,'Trial Register'!$P$7:$P$186,"&lt;&gt;OPEN")</x:f>
        <x:v>0</x:v>
      </x:c>
      <x:c r="D6" s="16" t="n">
        <x:f>COUNTIFS('Trial Register'!$B$7:$B$186,A6,'Trial Register'!$P$7:$P$186,"PASS")</x:f>
        <x:v>0</x:v>
      </x:c>
      <x:c r="E6" s="16" t="n">
        <x:f>COUNTIFS('Trial Register'!$B$7:$B$186,A6,'Trial Register'!$P$7:$P$186,"ADVERSE")</x:f>
        <x:v>0</x:v>
      </x:c>
      <x:c r="F6" s="16" t="n">
        <x:f>COUNTIFS('Trial Register'!$B$7:$B$186,A6,'Trial Register'!$P$7:$P$186,"OPEN")</x:f>
        <x:v>36</x:v>
      </x:c>
      <x:c r="G6" s="16" t="str">
        <x:f>IF(COUNTIFS('Trial Register'!$B$7:$B$186,A6,'Trial Register'!$C$7:$C$186,"L-A",'Trial Register'!$P$7:$P$186,"PASS")=18,"PASS",IF(COUNTIFS('Trial Register'!$B$7:$B$186,A6,'Trial Register'!$C$7:$C$186,"L-A",'Trial Register'!$P$7:$P$186,"ADVERSE")&gt;0,"ADVERSE","OPEN"))</x:f>
        <x:v>OPEN</x:v>
      </x:c>
      <x:c r="H6" s="16" t="str">
        <x:f>IF(COUNTIFS('Trial Register'!$B$7:$B$186,A6,'Trial Register'!$C$7:$C$186,"L-B",'Trial Register'!$P$7:$P$186,"PASS")=18,"PASS",IF(COUNTIFS('Trial Register'!$B$7:$B$186,A6,'Trial Register'!$C$7:$C$186,"L-B",'Trial Register'!$P$7:$P$186,"ADVERSE")&gt;0,"ADVERSE","OPEN"))</x:f>
        <x:v>OPEN</x:v>
      </x:c>
      <x:c r="I6" s="16" t="str">
        <x:f>IF(COUNTIFS('Trial Register'!$B$7:$B$186,A6,'Trial Register'!$D$7:$D$186,"C-1",'Trial Register'!$P$7:$P$186,"PASS")=12,IF(COUNTIFS('Trial Register'!$B$7:$B$186,A6,'Trial Register'!$D$7:$D$186,"C-2",'Trial Register'!$P$7:$P$186,"PASS")=12,IF(COUNTIFS('Trial Register'!$B$7:$B$186,A6,'Trial Register'!$D$7:$D$186,"C-3",'Trial Register'!$P$7:$P$186,"PASS")=12,"PASS","OPEN"),"OPEN"),"OPEN")</x:f>
        <x:v>OPEN</x:v>
      </x:c>
      <x:c r="J6" s="16" t="str">
        <x:f>IF(E6&gt;0,"DENY",IF(F6&gt;0,"OPEN","PASS"))</x:f>
        <x:v>OPEN</x:v>
      </x:c>
      <x:c r="K6" s="16" t="str">
        <x:f>IF(AND(G6="PASS",H6="PASS",I6="PASS"),"PASS",IF(OR(G6="ADVERSE",H6="ADVERSE"),"DENY","OPEN"))</x:f>
        <x:v>OPEN</x:v>
      </x:c>
      <x:c r="L6" s="16" t="str">
        <x:f>IF(AND(J6="PASS",K6="PASS"),"ADMITTED",IF(OR(J6="DENY",K6="DENY"),"DENIED","OPEN"))</x:f>
        <x:v>OPEN</x:v>
      </x:c>
    </x:row>
    <x:row r="7">
      <x:c r="A7" s="16" t="str">
        <x:v>A-C40</x:v>
      </x:c>
      <x:c r="B7" s="16" t="n">
        <x:v>36</x:v>
      </x:c>
      <x:c r="C7" s="16" t="n">
        <x:f>COUNTIFS('Trial Register'!$B$7:$B$186,A7,'Trial Register'!$P$7:$P$186,"&lt;&gt;OPEN")</x:f>
        <x:v>0</x:v>
      </x:c>
      <x:c r="D7" s="16" t="n">
        <x:f>COUNTIFS('Trial Register'!$B$7:$B$186,A7,'Trial Register'!$P$7:$P$186,"PASS")</x:f>
        <x:v>0</x:v>
      </x:c>
      <x:c r="E7" s="16" t="n">
        <x:f>COUNTIFS('Trial Register'!$B$7:$B$186,A7,'Trial Register'!$P$7:$P$186,"ADVERSE")</x:f>
        <x:v>0</x:v>
      </x:c>
      <x:c r="F7" s="16" t="n">
        <x:f>COUNTIFS('Trial Register'!$B$7:$B$186,A7,'Trial Register'!$P$7:$P$186,"OPEN")</x:f>
        <x:v>36</x:v>
      </x:c>
      <x:c r="G7" s="16" t="str">
        <x:f>IF(COUNTIFS('Trial Register'!$B$7:$B$186,A7,'Trial Register'!$C$7:$C$186,"L-A",'Trial Register'!$P$7:$P$186,"PASS")=18,"PASS",IF(COUNTIFS('Trial Register'!$B$7:$B$186,A7,'Trial Register'!$C$7:$C$186,"L-A",'Trial Register'!$P$7:$P$186,"ADVERSE")&gt;0,"ADVERSE","OPEN"))</x:f>
        <x:v>OPEN</x:v>
      </x:c>
      <x:c r="H7" s="16" t="str">
        <x:f>IF(COUNTIFS('Trial Register'!$B$7:$B$186,A7,'Trial Register'!$C$7:$C$186,"L-B",'Trial Register'!$P$7:$P$186,"PASS")=18,"PASS",IF(COUNTIFS('Trial Register'!$B$7:$B$186,A7,'Trial Register'!$C$7:$C$186,"L-B",'Trial Register'!$P$7:$P$186,"ADVERSE")&gt;0,"ADVERSE","OPEN"))</x:f>
        <x:v>OPEN</x:v>
      </x:c>
      <x:c r="I7" s="16" t="str">
        <x:f>IF(COUNTIFS('Trial Register'!$B$7:$B$186,A7,'Trial Register'!$D$7:$D$186,"C-1",'Trial Register'!$P$7:$P$186,"PASS")=12,IF(COUNTIFS('Trial Register'!$B$7:$B$186,A7,'Trial Register'!$D$7:$D$186,"C-2",'Trial Register'!$P$7:$P$186,"PASS")=12,IF(COUNTIFS('Trial Register'!$B$7:$B$186,A7,'Trial Register'!$D$7:$D$186,"C-3",'Trial Register'!$P$7:$P$186,"PASS")=12,"PASS","OPEN"),"OPEN"),"OPEN")</x:f>
        <x:v>OPEN</x:v>
      </x:c>
      <x:c r="J7" s="16" t="str">
        <x:f>IF(E7&gt;0,"DENY",IF(F7&gt;0,"OPEN","PASS"))</x:f>
        <x:v>OPEN</x:v>
      </x:c>
      <x:c r="K7" s="16" t="str">
        <x:f>IF(AND(G7="PASS",H7="PASS",I7="PASS"),"PASS",IF(OR(G7="ADVERSE",H7="ADVERSE"),"DENY","OPEN"))</x:f>
        <x:v>OPEN</x:v>
      </x:c>
      <x:c r="L7" s="16" t="str">
        <x:f>IF(AND(J7="PASS",K7="PASS"),"ADMITTED",IF(OR(J7="DENY",K7="DENY"),"DENIED","OPEN"))</x:f>
        <x:v>OPEN</x:v>
      </x:c>
    </x:row>
    <x:row r="8">
      <x:c r="A8" s="16" t="str">
        <x:v>A-M40</x:v>
      </x:c>
      <x:c r="B8" s="16" t="n">
        <x:v>36</x:v>
      </x:c>
      <x:c r="C8" s="16" t="n">
        <x:f>COUNTIFS('Trial Register'!$B$7:$B$186,A8,'Trial Register'!$P$7:$P$186,"&lt;&gt;OPEN")</x:f>
        <x:v>0</x:v>
      </x:c>
      <x:c r="D8" s="16" t="n">
        <x:f>COUNTIFS('Trial Register'!$B$7:$B$186,A8,'Trial Register'!$P$7:$P$186,"PASS")</x:f>
        <x:v>0</x:v>
      </x:c>
      <x:c r="E8" s="16" t="n">
        <x:f>COUNTIFS('Trial Register'!$B$7:$B$186,A8,'Trial Register'!$P$7:$P$186,"ADVERSE")</x:f>
        <x:v>0</x:v>
      </x:c>
      <x:c r="F8" s="16" t="n">
        <x:f>COUNTIFS('Trial Register'!$B$7:$B$186,A8,'Trial Register'!$P$7:$P$186,"OPEN")</x:f>
        <x:v>36</x:v>
      </x:c>
      <x:c r="G8" s="16" t="str">
        <x:f>IF(COUNTIFS('Trial Register'!$B$7:$B$186,A8,'Trial Register'!$C$7:$C$186,"L-A",'Trial Register'!$P$7:$P$186,"PASS")=18,"PASS",IF(COUNTIFS('Trial Register'!$B$7:$B$186,A8,'Trial Register'!$C$7:$C$186,"L-A",'Trial Register'!$P$7:$P$186,"ADVERSE")&gt;0,"ADVERSE","OPEN"))</x:f>
        <x:v>OPEN</x:v>
      </x:c>
      <x:c r="H8" s="16" t="str">
        <x:f>IF(COUNTIFS('Trial Register'!$B$7:$B$186,A8,'Trial Register'!$C$7:$C$186,"L-B",'Trial Register'!$P$7:$P$186,"PASS")=18,"PASS",IF(COUNTIFS('Trial Register'!$B$7:$B$186,A8,'Trial Register'!$C$7:$C$186,"L-B",'Trial Register'!$P$7:$P$186,"ADVERSE")&gt;0,"ADVERSE","OPEN"))</x:f>
        <x:v>OPEN</x:v>
      </x:c>
      <x:c r="I8" s="16" t="str">
        <x:f>IF(COUNTIFS('Trial Register'!$B$7:$B$186,A8,'Trial Register'!$D$7:$D$186,"C-1",'Trial Register'!$P$7:$P$186,"PASS")=12,IF(COUNTIFS('Trial Register'!$B$7:$B$186,A8,'Trial Register'!$D$7:$D$186,"C-2",'Trial Register'!$P$7:$P$186,"PASS")=12,IF(COUNTIFS('Trial Register'!$B$7:$B$186,A8,'Trial Register'!$D$7:$D$186,"C-3",'Trial Register'!$P$7:$P$186,"PASS")=12,"PASS","OPEN"),"OPEN"),"OPEN")</x:f>
        <x:v>OPEN</x:v>
      </x:c>
      <x:c r="J8" s="16" t="str">
        <x:f>IF(E8&gt;0,"DENY",IF(F8&gt;0,"OPEN","PASS"))</x:f>
        <x:v>OPEN</x:v>
      </x:c>
      <x:c r="K8" s="16" t="str">
        <x:f>IF(AND(G8="PASS",H8="PASS",I8="PASS"),"PASS",IF(OR(G8="ADVERSE",H8="ADVERSE"),"DENY","OPEN"))</x:f>
        <x:v>OPEN</x:v>
      </x:c>
      <x:c r="L8" s="16" t="str">
        <x:f>IF(AND(J8="PASS",K8="PASS"),"ADMITTED",IF(OR(J8="DENY",K8="DENY"),"DENIED","OPEN"))</x:f>
        <x:v>OPEN</x:v>
      </x:c>
    </x:row>
  </x:sheetData>
  <x:mergeCells>
    <x:mergeCell ref="A1:L1"/>
  </x:mergeCells>
  <x:conditionalFormatting sqref="G4:L8">
    <x:cfRule type="containsText" dxfId="4" priority="1" operator="containsText" text="DENY"/>
    <x:cfRule type="containsText" dxfId="5" priority="2" operator="containsText" text="FAIL"/>
    <x:cfRule type="containsText" dxfId="6" priority="3" operator="containsText" text="MISSING"/>
    <x:cfRule type="containsText" dxfId="7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cab428c681b544cc"/>
  </x:tableParts>
</x:worksheet>
</file>

<file path=xl/worksheets/sheet5.xml><?xml version="1.0" encoding="utf-8"?>
<x:worksheet xmlns:x="http://schemas.openxmlformats.org/spreadsheetml/2006/main">
  <x:sheetPr>
    <x:tabColor rgb="FFDDEBF7"/>
  </x:sheetPr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2" hidden="0" customWidth="1"/>
    <x:col min="2" max="2" width="15" hidden="0" customWidth="1"/>
    <x:col min="3" max="3" width="10" hidden="0" customWidth="1"/>
    <x:col min="4" max="4" width="10" hidden="0" customWidth="1"/>
    <x:col min="5" max="5" width="10" hidden="0" customWidth="1"/>
    <x:col min="6" max="6" width="24" hidden="0" customWidth="1"/>
    <x:col min="7" max="7" width="15" hidden="0" customWidth="1"/>
    <x:col min="8" max="8" width="15" hidden="0" customWidth="1"/>
    <x:col min="9" max="9" width="16" hidden="0" customWidth="1"/>
    <x:col min="10" max="10" width="13" hidden="0" customWidth="1"/>
    <x:col min="11" max="11" width="20" hidden="0" customWidth="1"/>
    <x:col min="12" max="12" width="18" hidden="0" customWidth="1"/>
    <x:col min="13" max="13" width="18" hidden="0" customWidth="1"/>
    <x:col min="14" max="14" width="19" hidden="0" customWidth="1"/>
    <x:col min="15" max="15" width="18" hidden="0" customWidth="1"/>
    <x:col min="16" max="16" width="14" hidden="0" customWidth="1"/>
  </x:cols>
  <x:sheetData>
    <x:row r="1" ht="27" customHeight="1">
      <x:c r="A1" s="3" t="str">
        <x:v>Nonenergetic architecture qualification register</x:v>
      </x:c>
      <x:c r="B1" s="3" t="str">
        <x:v>Nonenergetic architecture qualification register</x:v>
      </x:c>
      <x:c r="C1" s="3" t="str">
        <x:v>Nonenergetic architecture qualification register</x:v>
      </x:c>
      <x:c r="D1" s="3" t="str">
        <x:v>Nonenergetic architecture qualification register</x:v>
      </x:c>
      <x:c r="E1" s="3" t="str">
        <x:v>Nonenergetic architecture qualification register</x:v>
      </x:c>
      <x:c r="F1" s="3" t="str">
        <x:v>Nonenergetic architecture qualification register</x:v>
      </x:c>
      <x:c r="G1" s="3" t="str">
        <x:v>Nonenergetic architecture qualification register</x:v>
      </x:c>
      <x:c r="H1" s="3" t="str">
        <x:v>Nonenergetic architecture qualification register</x:v>
      </x:c>
      <x:c r="I1" s="3" t="str">
        <x:v>Nonenergetic architecture qualification register</x:v>
      </x:c>
      <x:c r="J1" s="3" t="str">
        <x:v>Nonenergetic architecture qualification register</x:v>
      </x:c>
      <x:c r="K1" s="3" t="str">
        <x:v>Nonenergetic architecture qualification register</x:v>
      </x:c>
      <x:c r="L1" s="3" t="str">
        <x:v>Nonenergetic architecture qualification register</x:v>
      </x:c>
      <x:c r="M1" s="3" t="str">
        <x:v>Nonenergetic architecture qualification register</x:v>
      </x:c>
      <x:c r="N1" s="3" t="str">
        <x:v>Nonenergetic architecture qualification register</x:v>
      </x:c>
      <x:c r="O1" s="3" t="str">
        <x:v>Nonenergetic architecture qualification register</x:v>
      </x:c>
      <x:c r="P1" s="3" t="str">
        <x:v>Nonenergetic architecture qualification register</x:v>
      </x:c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  <x:c r="M2" s="60"/>
      <x:c r="N2" s="60"/>
      <x:c r="O2" s="60"/>
      <x:c r="P2" s="60"/>
    </x:row>
    <x:row r="3">
      <x:c r="A3" s="60" t="str">
        <x:v>Serialized articles</x:v>
      </x:c>
      <x:c r="B3" s="60" t="n">
        <x:v>30</x:v>
      </x:c>
      <x:c r="C3" s="60"/>
      <x:c r="D3" s="61" t="str">
        <x:v>Observed columns remain blank until physical execution. A blank decisive field keeps the trial OPEN.</x:v>
      </x:c>
      <x:c r="E3" s="60"/>
      <x:c r="F3" s="60"/>
      <x:c r="G3" s="60"/>
      <x:c r="H3" s="60"/>
      <x:c r="I3" s="60"/>
      <x:c r="J3" s="60"/>
      <x:c r="K3" s="60"/>
      <x:c r="L3" s="60"/>
      <x:c r="M3" s="60"/>
      <x:c r="N3" s="60"/>
      <x:c r="O3" s="60"/>
      <x:c r="P3" s="60"/>
    </x:row>
    <x:row r="4">
      <x:c r="A4" s="60" t="str">
        <x:v>Required trials</x:v>
      </x:c>
      <x:c r="B4" s="60" t="n">
        <x:v>180</x:v>
      </x:c>
      <x:c r="C4" s="60"/>
      <x:c r="D4" s="60"/>
      <x:c r="E4" s="60"/>
      <x:c r="F4" s="60"/>
      <x:c r="G4" s="60"/>
      <x:c r="H4" s="60"/>
      <x:c r="I4" s="60"/>
      <x:c r="J4" s="60"/>
      <x:c r="K4" s="60"/>
      <x:c r="L4" s="60"/>
      <x:c r="M4" s="60"/>
      <x:c r="N4" s="60"/>
      <x:c r="O4" s="60"/>
      <x:c r="P4" s="60"/>
    </x:row>
    <x:row r="5">
      <x:c r="A5" s="60"/>
      <x:c r="B5" s="60"/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</x:row>
    <x:row r="6">
      <x:c r="A6" s="34" t="str">
        <x:v>Trial ID</x:v>
      </x:c>
      <x:c r="B6" s="35" t="str">
        <x:v>Architecture</x:v>
      </x:c>
      <x:c r="C6" s="35" t="str">
        <x:v>Lineage</x:v>
      </x:c>
      <x:c r="D6" s="35" t="str">
        <x:v>Campus</x:v>
      </x:c>
      <x:c r="E6" s="35" t="str">
        <x:v>Family</x:v>
      </x:c>
      <x:c r="F6" s="35" t="str">
        <x:v>Article ID</x:v>
      </x:c>
      <x:c r="G6" s="35" t="str">
        <x:v>Planned rate factor</x:v>
      </x:c>
      <x:c r="H6" s="35" t="str">
        <x:v>Observed peak MPa</x:v>
      </x:c>
      <x:c r="I6" s="35" t="str">
        <x:v>Terminal source s</x:v>
      </x:c>
      <x:c r="J6" s="35" t="str">
        <x:v>Mass U95 kg</x:v>
      </x:c>
      <x:c r="K6" s="35" t="str">
        <x:v>Available receiver m³</x:v>
      </x:c>
      <x:c r="L6" s="35" t="str">
        <x:v>Permanent change</x:v>
      </x:c>
      <x:c r="M6" s="35" t="str">
        <x:v>Evidence complete</x:v>
      </x:c>
      <x:c r="N6" s="35" t="str">
        <x:v>Final state observed</x:v>
      </x:c>
      <x:c r="O6" s="35" t="str">
        <x:v>Public intervention</x:v>
      </x:c>
      <x:c r="P6" s="36" t="str">
        <x:v>Disposition</x:v>
      </x:c>
    </x:row>
    <x:row r="7">
      <x:c r="A7" s="16" t="str">
        <x:v>T-001</x:v>
      </x:c>
      <x:c r="B7" s="16" t="str">
        <x:v>A-S40</x:v>
      </x:c>
      <x:c r="C7" s="16" t="str">
        <x:v>L-A</x:v>
      </x:c>
      <x:c r="D7" s="16" t="str">
        <x:v>C-1</x:v>
      </x:c>
      <x:c r="E7" s="16" t="str">
        <x:v>QH-1</x:v>
      </x:c>
      <x:c r="F7" s="16" t="str">
        <x:v>A-S40-L-A-C-1</x:v>
      </x:c>
      <x:c r="G7" s="16" t="n">
        <x:v>1</x:v>
      </x:c>
      <x:c r="H7" s="45"/>
      <x:c r="I7" s="45"/>
      <x:c r="J7" s="45"/>
      <x:c r="K7" s="45"/>
      <x:c r="L7" s="38"/>
      <x:c r="M7" s="38"/>
      <x:c r="N7" s="38"/>
      <x:c r="O7" s="38"/>
      <x:c r="P7" s="16" t="str">
        <x:f>IF(COUNTA(H7:O7)&lt;8,"OPEN",IF(AND(H7&lt;='Assumptions'!$B$16,H7&lt;='Assumptions'!$B$15,I7&lt;='Assumptions'!$B$24,J7&lt;='Assumptions'!$B$21,K7&gt;='Receiver'!$B$9,L7="NO",M7="YES",N7="YES",O7="NO"),"PASS","ADVERSE"))</x:f>
        <x:v>OPEN</x:v>
      </x:c>
    </x:row>
    <x:row r="8">
      <x:c r="A8" s="16" t="str">
        <x:v>T-002</x:v>
      </x:c>
      <x:c r="B8" s="16" t="str">
        <x:v>A-S40</x:v>
      </x:c>
      <x:c r="C8" s="16" t="str">
        <x:v>L-A</x:v>
      </x:c>
      <x:c r="D8" s="16" t="str">
        <x:v>C-1</x:v>
      </x:c>
      <x:c r="E8" s="16" t="str">
        <x:v>QH-2</x:v>
      </x:c>
      <x:c r="F8" s="16" t="str">
        <x:v>A-S40-L-A-C-1</x:v>
      </x:c>
      <x:c r="G8" s="16" t="n">
        <x:v>1.1</x:v>
      </x:c>
      <x:c r="H8" s="45"/>
      <x:c r="I8" s="45"/>
      <x:c r="J8" s="45"/>
      <x:c r="K8" s="45"/>
      <x:c r="L8" s="38"/>
      <x:c r="M8" s="38"/>
      <x:c r="N8" s="38"/>
      <x:c r="O8" s="38"/>
      <x:c r="P8" s="16" t="str">
        <x:f>IF(COUNTA(H8:O8)&lt;8,"OPEN",IF(AND(H8&lt;='Assumptions'!$B$16,H8&lt;='Assumptions'!$B$15,I8&lt;='Assumptions'!$B$24,J8&lt;='Assumptions'!$B$21,K8&gt;='Receiver'!$B$9,L8="NO",M8="YES",N8="YES",O8="NO"),"PASS","ADVERSE"))</x:f>
        <x:v>OPEN</x:v>
      </x:c>
    </x:row>
    <x:row r="9">
      <x:c r="A9" s="16" t="str">
        <x:v>T-003</x:v>
      </x:c>
      <x:c r="B9" s="16" t="str">
        <x:v>A-S40</x:v>
      </x:c>
      <x:c r="C9" s="16" t="str">
        <x:v>L-A</x:v>
      </x:c>
      <x:c r="D9" s="16" t="str">
        <x:v>C-1</x:v>
      </x:c>
      <x:c r="E9" s="16" t="str">
        <x:v>QH-3</x:v>
      </x:c>
      <x:c r="F9" s="16" t="str">
        <x:v>A-S40-L-A-C-1</x:v>
      </x:c>
      <x:c r="G9" s="16" t="n">
        <x:v>1</x:v>
      </x:c>
      <x:c r="H9" s="45"/>
      <x:c r="I9" s="45"/>
      <x:c r="J9" s="45"/>
      <x:c r="K9" s="45"/>
      <x:c r="L9" s="38"/>
      <x:c r="M9" s="38"/>
      <x:c r="N9" s="38"/>
      <x:c r="O9" s="38"/>
      <x:c r="P9" s="16" t="str">
        <x:f>IF(COUNTA(H9:O9)&lt;8,"OPEN",IF(AND(H9&lt;='Assumptions'!$B$16,H9&lt;='Assumptions'!$B$15,I9&lt;='Assumptions'!$B$24,J9&lt;='Assumptions'!$B$21,K9&gt;='Receiver'!$B$9,L9="NO",M9="YES",N9="YES",O9="NO"),"PASS","ADVERSE"))</x:f>
        <x:v>OPEN</x:v>
      </x:c>
    </x:row>
    <x:row r="10">
      <x:c r="A10" s="16" t="str">
        <x:v>T-004</x:v>
      </x:c>
      <x:c r="B10" s="16" t="str">
        <x:v>A-S40</x:v>
      </x:c>
      <x:c r="C10" s="16" t="str">
        <x:v>L-A</x:v>
      </x:c>
      <x:c r="D10" s="16" t="str">
        <x:v>C-1</x:v>
      </x:c>
      <x:c r="E10" s="16" t="str">
        <x:v>QH-4</x:v>
      </x:c>
      <x:c r="F10" s="16" t="str">
        <x:v>A-S40-L-A-C-1</x:v>
      </x:c>
      <x:c r="G10" s="16" t="n">
        <x:v>1</x:v>
      </x:c>
      <x:c r="H10" s="45"/>
      <x:c r="I10" s="45"/>
      <x:c r="J10" s="45"/>
      <x:c r="K10" s="45"/>
      <x:c r="L10" s="38"/>
      <x:c r="M10" s="38"/>
      <x:c r="N10" s="38"/>
      <x:c r="O10" s="38"/>
      <x:c r="P10" s="16" t="str">
        <x:f>IF(COUNTA(H10:O10)&lt;8,"OPEN",IF(AND(H10&lt;='Assumptions'!$B$16,H10&lt;='Assumptions'!$B$15,I10&lt;='Assumptions'!$B$24,J10&lt;='Assumptions'!$B$21,K10&gt;='Receiver'!$B$9,L10="NO",M10="YES",N10="YES",O10="NO"),"PASS","ADVERSE"))</x:f>
        <x:v>OPEN</x:v>
      </x:c>
    </x:row>
    <x:row r="11">
      <x:c r="A11" s="16" t="str">
        <x:v>T-005</x:v>
      </x:c>
      <x:c r="B11" s="16" t="str">
        <x:v>A-S40</x:v>
      </x:c>
      <x:c r="C11" s="16" t="str">
        <x:v>L-A</x:v>
      </x:c>
      <x:c r="D11" s="16" t="str">
        <x:v>C-1</x:v>
      </x:c>
      <x:c r="E11" s="16" t="str">
        <x:v>QH-5</x:v>
      </x:c>
      <x:c r="F11" s="16" t="str">
        <x:v>A-S40-L-A-C-1</x:v>
      </x:c>
      <x:c r="G11" s="16" t="n">
        <x:v>1</x:v>
      </x:c>
      <x:c r="H11" s="45"/>
      <x:c r="I11" s="45"/>
      <x:c r="J11" s="45"/>
      <x:c r="K11" s="45"/>
      <x:c r="L11" s="38"/>
      <x:c r="M11" s="38"/>
      <x:c r="N11" s="38"/>
      <x:c r="O11" s="38"/>
      <x:c r="P11" s="16" t="str">
        <x:f>IF(COUNTA(H11:O11)&lt;8,"OPEN",IF(AND(H11&lt;='Assumptions'!$B$16,H11&lt;='Assumptions'!$B$15,I11&lt;='Assumptions'!$B$24,J11&lt;='Assumptions'!$B$21,K11&gt;='Receiver'!$B$9,L11="NO",M11="YES",N11="YES",O11="NO"),"PASS","ADVERSE"))</x:f>
        <x:v>OPEN</x:v>
      </x:c>
    </x:row>
    <x:row r="12">
      <x:c r="A12" s="16" t="str">
        <x:v>T-006</x:v>
      </x:c>
      <x:c r="B12" s="16" t="str">
        <x:v>A-S40</x:v>
      </x:c>
      <x:c r="C12" s="16" t="str">
        <x:v>L-A</x:v>
      </x:c>
      <x:c r="D12" s="16" t="str">
        <x:v>C-1</x:v>
      </x:c>
      <x:c r="E12" s="16" t="str">
        <x:v>QH-6</x:v>
      </x:c>
      <x:c r="F12" s="16" t="str">
        <x:v>A-S40-L-A-C-1</x:v>
      </x:c>
      <x:c r="G12" s="16" t="n">
        <x:v>1</x:v>
      </x:c>
      <x:c r="H12" s="45"/>
      <x:c r="I12" s="45"/>
      <x:c r="J12" s="45"/>
      <x:c r="K12" s="45"/>
      <x:c r="L12" s="38"/>
      <x:c r="M12" s="38"/>
      <x:c r="N12" s="38"/>
      <x:c r="O12" s="38"/>
      <x:c r="P12" s="16" t="str">
        <x:f>IF(COUNTA(H12:O12)&lt;8,"OPEN",IF(AND(H12&lt;='Assumptions'!$B$16,H12&lt;='Assumptions'!$B$15,I12&lt;='Assumptions'!$B$24,J12&lt;='Assumptions'!$B$21,K12&gt;='Receiver'!$B$9,L12="NO",M12="YES",N12="YES",O12="NO"),"PASS","ADVERSE"))</x:f>
        <x:v>OPEN</x:v>
      </x:c>
    </x:row>
    <x:row r="13">
      <x:c r="A13" s="16" t="str">
        <x:v>T-007</x:v>
      </x:c>
      <x:c r="B13" s="16" t="str">
        <x:v>A-S40</x:v>
      </x:c>
      <x:c r="C13" s="16" t="str">
        <x:v>L-A</x:v>
      </x:c>
      <x:c r="D13" s="16" t="str">
        <x:v>C-2</x:v>
      </x:c>
      <x:c r="E13" s="16" t="str">
        <x:v>QH-1</x:v>
      </x:c>
      <x:c r="F13" s="16" t="str">
        <x:v>A-S40-L-A-C-2</x:v>
      </x:c>
      <x:c r="G13" s="16" t="n">
        <x:v>1</x:v>
      </x:c>
      <x:c r="H13" s="45"/>
      <x:c r="I13" s="45"/>
      <x:c r="J13" s="45"/>
      <x:c r="K13" s="45"/>
      <x:c r="L13" s="38"/>
      <x:c r="M13" s="38"/>
      <x:c r="N13" s="38"/>
      <x:c r="O13" s="38"/>
      <x:c r="P13" s="16" t="str">
        <x:f>IF(COUNTA(H13:O13)&lt;8,"OPEN",IF(AND(H13&lt;='Assumptions'!$B$16,H13&lt;='Assumptions'!$B$15,I13&lt;='Assumptions'!$B$24,J13&lt;='Assumptions'!$B$21,K13&gt;='Receiver'!$B$9,L13="NO",M13="YES",N13="YES",O13="NO"),"PASS","ADVERSE"))</x:f>
        <x:v>OPEN</x:v>
      </x:c>
    </x:row>
    <x:row r="14">
      <x:c r="A14" s="16" t="str">
        <x:v>T-008</x:v>
      </x:c>
      <x:c r="B14" s="16" t="str">
        <x:v>A-S40</x:v>
      </x:c>
      <x:c r="C14" s="16" t="str">
        <x:v>L-A</x:v>
      </x:c>
      <x:c r="D14" s="16" t="str">
        <x:v>C-2</x:v>
      </x:c>
      <x:c r="E14" s="16" t="str">
        <x:v>QH-2</x:v>
      </x:c>
      <x:c r="F14" s="16" t="str">
        <x:v>A-S40-L-A-C-2</x:v>
      </x:c>
      <x:c r="G14" s="16" t="n">
        <x:v>1.1</x:v>
      </x:c>
      <x:c r="H14" s="45"/>
      <x:c r="I14" s="45"/>
      <x:c r="J14" s="45"/>
      <x:c r="K14" s="45"/>
      <x:c r="L14" s="38"/>
      <x:c r="M14" s="38"/>
      <x:c r="N14" s="38"/>
      <x:c r="O14" s="38"/>
      <x:c r="P14" s="16" t="str">
        <x:f>IF(COUNTA(H14:O14)&lt;8,"OPEN",IF(AND(H14&lt;='Assumptions'!$B$16,H14&lt;='Assumptions'!$B$15,I14&lt;='Assumptions'!$B$24,J14&lt;='Assumptions'!$B$21,K14&gt;='Receiver'!$B$9,L14="NO",M14="YES",N14="YES",O14="NO"),"PASS","ADVERSE"))</x:f>
        <x:v>OPEN</x:v>
      </x:c>
    </x:row>
    <x:row r="15">
      <x:c r="A15" s="16" t="str">
        <x:v>T-009</x:v>
      </x:c>
      <x:c r="B15" s="16" t="str">
        <x:v>A-S40</x:v>
      </x:c>
      <x:c r="C15" s="16" t="str">
        <x:v>L-A</x:v>
      </x:c>
      <x:c r="D15" s="16" t="str">
        <x:v>C-2</x:v>
      </x:c>
      <x:c r="E15" s="16" t="str">
        <x:v>QH-3</x:v>
      </x:c>
      <x:c r="F15" s="16" t="str">
        <x:v>A-S40-L-A-C-2</x:v>
      </x:c>
      <x:c r="G15" s="16" t="n">
        <x:v>1</x:v>
      </x:c>
      <x:c r="H15" s="45"/>
      <x:c r="I15" s="45"/>
      <x:c r="J15" s="45"/>
      <x:c r="K15" s="45"/>
      <x:c r="L15" s="38"/>
      <x:c r="M15" s="38"/>
      <x:c r="N15" s="38"/>
      <x:c r="O15" s="38"/>
      <x:c r="P15" s="16" t="str">
        <x:f>IF(COUNTA(H15:O15)&lt;8,"OPEN",IF(AND(H15&lt;='Assumptions'!$B$16,H15&lt;='Assumptions'!$B$15,I15&lt;='Assumptions'!$B$24,J15&lt;='Assumptions'!$B$21,K15&gt;='Receiver'!$B$9,L15="NO",M15="YES",N15="YES",O15="NO"),"PASS","ADVERSE"))</x:f>
        <x:v>OPEN</x:v>
      </x:c>
    </x:row>
    <x:row r="16">
      <x:c r="A16" s="16" t="str">
        <x:v>T-010</x:v>
      </x:c>
      <x:c r="B16" s="16" t="str">
        <x:v>A-S40</x:v>
      </x:c>
      <x:c r="C16" s="16" t="str">
        <x:v>L-A</x:v>
      </x:c>
      <x:c r="D16" s="16" t="str">
        <x:v>C-2</x:v>
      </x:c>
      <x:c r="E16" s="16" t="str">
        <x:v>QH-4</x:v>
      </x:c>
      <x:c r="F16" s="16" t="str">
        <x:v>A-S40-L-A-C-2</x:v>
      </x:c>
      <x:c r="G16" s="16" t="n">
        <x:v>1</x:v>
      </x:c>
      <x:c r="H16" s="45"/>
      <x:c r="I16" s="45"/>
      <x:c r="J16" s="45"/>
      <x:c r="K16" s="45"/>
      <x:c r="L16" s="38"/>
      <x:c r="M16" s="38"/>
      <x:c r="N16" s="38"/>
      <x:c r="O16" s="38"/>
      <x:c r="P16" s="16" t="str">
        <x:f>IF(COUNTA(H16:O16)&lt;8,"OPEN",IF(AND(H16&lt;='Assumptions'!$B$16,H16&lt;='Assumptions'!$B$15,I16&lt;='Assumptions'!$B$24,J16&lt;='Assumptions'!$B$21,K16&gt;='Receiver'!$B$9,L16="NO",M16="YES",N16="YES",O16="NO"),"PASS","ADVERSE"))</x:f>
        <x:v>OPEN</x:v>
      </x:c>
    </x:row>
    <x:row r="17">
      <x:c r="A17" s="16" t="str">
        <x:v>T-011</x:v>
      </x:c>
      <x:c r="B17" s="16" t="str">
        <x:v>A-S40</x:v>
      </x:c>
      <x:c r="C17" s="16" t="str">
        <x:v>L-A</x:v>
      </x:c>
      <x:c r="D17" s="16" t="str">
        <x:v>C-2</x:v>
      </x:c>
      <x:c r="E17" s="16" t="str">
        <x:v>QH-5</x:v>
      </x:c>
      <x:c r="F17" s="16" t="str">
        <x:v>A-S40-L-A-C-2</x:v>
      </x:c>
      <x:c r="G17" s="16" t="n">
        <x:v>1</x:v>
      </x:c>
      <x:c r="H17" s="45"/>
      <x:c r="I17" s="45"/>
      <x:c r="J17" s="45"/>
      <x:c r="K17" s="45"/>
      <x:c r="L17" s="38"/>
      <x:c r="M17" s="38"/>
      <x:c r="N17" s="38"/>
      <x:c r="O17" s="38"/>
      <x:c r="P17" s="16" t="str">
        <x:f>IF(COUNTA(H17:O17)&lt;8,"OPEN",IF(AND(H17&lt;='Assumptions'!$B$16,H17&lt;='Assumptions'!$B$15,I17&lt;='Assumptions'!$B$24,J17&lt;='Assumptions'!$B$21,K17&gt;='Receiver'!$B$9,L17="NO",M17="YES",N17="YES",O17="NO"),"PASS","ADVERSE"))</x:f>
        <x:v>OPEN</x:v>
      </x:c>
    </x:row>
    <x:row r="18">
      <x:c r="A18" s="16" t="str">
        <x:v>T-012</x:v>
      </x:c>
      <x:c r="B18" s="16" t="str">
        <x:v>A-S40</x:v>
      </x:c>
      <x:c r="C18" s="16" t="str">
        <x:v>L-A</x:v>
      </x:c>
      <x:c r="D18" s="16" t="str">
        <x:v>C-2</x:v>
      </x:c>
      <x:c r="E18" s="16" t="str">
        <x:v>QH-6</x:v>
      </x:c>
      <x:c r="F18" s="16" t="str">
        <x:v>A-S40-L-A-C-2</x:v>
      </x:c>
      <x:c r="G18" s="16" t="n">
        <x:v>1</x:v>
      </x:c>
      <x:c r="H18" s="45"/>
      <x:c r="I18" s="45"/>
      <x:c r="J18" s="45"/>
      <x:c r="K18" s="45"/>
      <x:c r="L18" s="38"/>
      <x:c r="M18" s="38"/>
      <x:c r="N18" s="38"/>
      <x:c r="O18" s="38"/>
      <x:c r="P18" s="16" t="str">
        <x:f>IF(COUNTA(H18:O18)&lt;8,"OPEN",IF(AND(H18&lt;='Assumptions'!$B$16,H18&lt;='Assumptions'!$B$15,I18&lt;='Assumptions'!$B$24,J18&lt;='Assumptions'!$B$21,K18&gt;='Receiver'!$B$9,L18="NO",M18="YES",N18="YES",O18="NO"),"PASS","ADVERSE"))</x:f>
        <x:v>OPEN</x:v>
      </x:c>
    </x:row>
    <x:row r="19">
      <x:c r="A19" s="16" t="str">
        <x:v>T-013</x:v>
      </x:c>
      <x:c r="B19" s="16" t="str">
        <x:v>A-S40</x:v>
      </x:c>
      <x:c r="C19" s="16" t="str">
        <x:v>L-A</x:v>
      </x:c>
      <x:c r="D19" s="16" t="str">
        <x:v>C-3</x:v>
      </x:c>
      <x:c r="E19" s="16" t="str">
        <x:v>QH-1</x:v>
      </x:c>
      <x:c r="F19" s="16" t="str">
        <x:v>A-S40-L-A-C-3</x:v>
      </x:c>
      <x:c r="G19" s="16" t="n">
        <x:v>1</x:v>
      </x:c>
      <x:c r="H19" s="45"/>
      <x:c r="I19" s="45"/>
      <x:c r="J19" s="45"/>
      <x:c r="K19" s="45"/>
      <x:c r="L19" s="38"/>
      <x:c r="M19" s="38"/>
      <x:c r="N19" s="38"/>
      <x:c r="O19" s="38"/>
      <x:c r="P19" s="16" t="str">
        <x:f>IF(COUNTA(H19:O19)&lt;8,"OPEN",IF(AND(H19&lt;='Assumptions'!$B$16,H19&lt;='Assumptions'!$B$15,I19&lt;='Assumptions'!$B$24,J19&lt;='Assumptions'!$B$21,K19&gt;='Receiver'!$B$9,L19="NO",M19="YES",N19="YES",O19="NO"),"PASS","ADVERSE"))</x:f>
        <x:v>OPEN</x:v>
      </x:c>
    </x:row>
    <x:row r="20">
      <x:c r="A20" s="16" t="str">
        <x:v>T-014</x:v>
      </x:c>
      <x:c r="B20" s="16" t="str">
        <x:v>A-S40</x:v>
      </x:c>
      <x:c r="C20" s="16" t="str">
        <x:v>L-A</x:v>
      </x:c>
      <x:c r="D20" s="16" t="str">
        <x:v>C-3</x:v>
      </x:c>
      <x:c r="E20" s="16" t="str">
        <x:v>QH-2</x:v>
      </x:c>
      <x:c r="F20" s="16" t="str">
        <x:v>A-S40-L-A-C-3</x:v>
      </x:c>
      <x:c r="G20" s="16" t="n">
        <x:v>1.1</x:v>
      </x:c>
      <x:c r="H20" s="45"/>
      <x:c r="I20" s="45"/>
      <x:c r="J20" s="45"/>
      <x:c r="K20" s="45"/>
      <x:c r="L20" s="38"/>
      <x:c r="M20" s="38"/>
      <x:c r="N20" s="38"/>
      <x:c r="O20" s="38"/>
      <x:c r="P20" s="16" t="str">
        <x:f>IF(COUNTA(H20:O20)&lt;8,"OPEN",IF(AND(H20&lt;='Assumptions'!$B$16,H20&lt;='Assumptions'!$B$15,I20&lt;='Assumptions'!$B$24,J20&lt;='Assumptions'!$B$21,K20&gt;='Receiver'!$B$9,L20="NO",M20="YES",N20="YES",O20="NO"),"PASS","ADVERSE"))</x:f>
        <x:v>OPEN</x:v>
      </x:c>
    </x:row>
    <x:row r="21">
      <x:c r="A21" s="16" t="str">
        <x:v>T-015</x:v>
      </x:c>
      <x:c r="B21" s="16" t="str">
        <x:v>A-S40</x:v>
      </x:c>
      <x:c r="C21" s="16" t="str">
        <x:v>L-A</x:v>
      </x:c>
      <x:c r="D21" s="16" t="str">
        <x:v>C-3</x:v>
      </x:c>
      <x:c r="E21" s="16" t="str">
        <x:v>QH-3</x:v>
      </x:c>
      <x:c r="F21" s="16" t="str">
        <x:v>A-S40-L-A-C-3</x:v>
      </x:c>
      <x:c r="G21" s="16" t="n">
        <x:v>1</x:v>
      </x:c>
      <x:c r="H21" s="45"/>
      <x:c r="I21" s="45"/>
      <x:c r="J21" s="45"/>
      <x:c r="K21" s="45"/>
      <x:c r="L21" s="38"/>
      <x:c r="M21" s="38"/>
      <x:c r="N21" s="38"/>
      <x:c r="O21" s="38"/>
      <x:c r="P21" s="16" t="str">
        <x:f>IF(COUNTA(H21:O21)&lt;8,"OPEN",IF(AND(H21&lt;='Assumptions'!$B$16,H21&lt;='Assumptions'!$B$15,I21&lt;='Assumptions'!$B$24,J21&lt;='Assumptions'!$B$21,K21&gt;='Receiver'!$B$9,L21="NO",M21="YES",N21="YES",O21="NO"),"PASS","ADVERSE"))</x:f>
        <x:v>OPEN</x:v>
      </x:c>
    </x:row>
    <x:row r="22">
      <x:c r="A22" s="16" t="str">
        <x:v>T-016</x:v>
      </x:c>
      <x:c r="B22" s="16" t="str">
        <x:v>A-S40</x:v>
      </x:c>
      <x:c r="C22" s="16" t="str">
        <x:v>L-A</x:v>
      </x:c>
      <x:c r="D22" s="16" t="str">
        <x:v>C-3</x:v>
      </x:c>
      <x:c r="E22" s="16" t="str">
        <x:v>QH-4</x:v>
      </x:c>
      <x:c r="F22" s="16" t="str">
        <x:v>A-S40-L-A-C-3</x:v>
      </x:c>
      <x:c r="G22" s="16" t="n">
        <x:v>1</x:v>
      </x:c>
      <x:c r="H22" s="45"/>
      <x:c r="I22" s="45"/>
      <x:c r="J22" s="45"/>
      <x:c r="K22" s="45"/>
      <x:c r="L22" s="38"/>
      <x:c r="M22" s="38"/>
      <x:c r="N22" s="38"/>
      <x:c r="O22" s="38"/>
      <x:c r="P22" s="16" t="str">
        <x:f>IF(COUNTA(H22:O22)&lt;8,"OPEN",IF(AND(H22&lt;='Assumptions'!$B$16,H22&lt;='Assumptions'!$B$15,I22&lt;='Assumptions'!$B$24,J22&lt;='Assumptions'!$B$21,K22&gt;='Receiver'!$B$9,L22="NO",M22="YES",N22="YES",O22="NO"),"PASS","ADVERSE"))</x:f>
        <x:v>OPEN</x:v>
      </x:c>
    </x:row>
    <x:row r="23">
      <x:c r="A23" s="16" t="str">
        <x:v>T-017</x:v>
      </x:c>
      <x:c r="B23" s="16" t="str">
        <x:v>A-S40</x:v>
      </x:c>
      <x:c r="C23" s="16" t="str">
        <x:v>L-A</x:v>
      </x:c>
      <x:c r="D23" s="16" t="str">
        <x:v>C-3</x:v>
      </x:c>
      <x:c r="E23" s="16" t="str">
        <x:v>QH-5</x:v>
      </x:c>
      <x:c r="F23" s="16" t="str">
        <x:v>A-S40-L-A-C-3</x:v>
      </x:c>
      <x:c r="G23" s="16" t="n">
        <x:v>1</x:v>
      </x:c>
      <x:c r="H23" s="45"/>
      <x:c r="I23" s="45"/>
      <x:c r="J23" s="45"/>
      <x:c r="K23" s="45"/>
      <x:c r="L23" s="38"/>
      <x:c r="M23" s="38"/>
      <x:c r="N23" s="38"/>
      <x:c r="O23" s="38"/>
      <x:c r="P23" s="16" t="str">
        <x:f>IF(COUNTA(H23:O23)&lt;8,"OPEN",IF(AND(H23&lt;='Assumptions'!$B$16,H23&lt;='Assumptions'!$B$15,I23&lt;='Assumptions'!$B$24,J23&lt;='Assumptions'!$B$21,K23&gt;='Receiver'!$B$9,L23="NO",M23="YES",N23="YES",O23="NO"),"PASS","ADVERSE"))</x:f>
        <x:v>OPEN</x:v>
      </x:c>
    </x:row>
    <x:row r="24">
      <x:c r="A24" s="16" t="str">
        <x:v>T-018</x:v>
      </x:c>
      <x:c r="B24" s="16" t="str">
        <x:v>A-S40</x:v>
      </x:c>
      <x:c r="C24" s="16" t="str">
        <x:v>L-A</x:v>
      </x:c>
      <x:c r="D24" s="16" t="str">
        <x:v>C-3</x:v>
      </x:c>
      <x:c r="E24" s="16" t="str">
        <x:v>QH-6</x:v>
      </x:c>
      <x:c r="F24" s="16" t="str">
        <x:v>A-S40-L-A-C-3</x:v>
      </x:c>
      <x:c r="G24" s="16" t="n">
        <x:v>1</x:v>
      </x:c>
      <x:c r="H24" s="45"/>
      <x:c r="I24" s="45"/>
      <x:c r="J24" s="45"/>
      <x:c r="K24" s="45"/>
      <x:c r="L24" s="38"/>
      <x:c r="M24" s="38"/>
      <x:c r="N24" s="38"/>
      <x:c r="O24" s="38"/>
      <x:c r="P24" s="16" t="str">
        <x:f>IF(COUNTA(H24:O24)&lt;8,"OPEN",IF(AND(H24&lt;='Assumptions'!$B$16,H24&lt;='Assumptions'!$B$15,I24&lt;='Assumptions'!$B$24,J24&lt;='Assumptions'!$B$21,K24&gt;='Receiver'!$B$9,L24="NO",M24="YES",N24="YES",O24="NO"),"PASS","ADVERSE"))</x:f>
        <x:v>OPEN</x:v>
      </x:c>
    </x:row>
    <x:row r="25">
      <x:c r="A25" s="16" t="str">
        <x:v>T-019</x:v>
      </x:c>
      <x:c r="B25" s="16" t="str">
        <x:v>A-S40</x:v>
      </x:c>
      <x:c r="C25" s="16" t="str">
        <x:v>L-B</x:v>
      </x:c>
      <x:c r="D25" s="16" t="str">
        <x:v>C-1</x:v>
      </x:c>
      <x:c r="E25" s="16" t="str">
        <x:v>QH-1</x:v>
      </x:c>
      <x:c r="F25" s="16" t="str">
        <x:v>A-S40-L-B-C-1</x:v>
      </x:c>
      <x:c r="G25" s="16" t="n">
        <x:v>1</x:v>
      </x:c>
      <x:c r="H25" s="45"/>
      <x:c r="I25" s="45"/>
      <x:c r="J25" s="45"/>
      <x:c r="K25" s="45"/>
      <x:c r="L25" s="38"/>
      <x:c r="M25" s="38"/>
      <x:c r="N25" s="38"/>
      <x:c r="O25" s="38"/>
      <x:c r="P25" s="16" t="str">
        <x:f>IF(COUNTA(H25:O25)&lt;8,"OPEN",IF(AND(H25&lt;='Assumptions'!$B$16,H25&lt;='Assumptions'!$B$15,I25&lt;='Assumptions'!$B$24,J25&lt;='Assumptions'!$B$21,K25&gt;='Receiver'!$B$9,L25="NO",M25="YES",N25="YES",O25="NO"),"PASS","ADVERSE"))</x:f>
        <x:v>OPEN</x:v>
      </x:c>
    </x:row>
    <x:row r="26">
      <x:c r="A26" s="16" t="str">
        <x:v>T-020</x:v>
      </x:c>
      <x:c r="B26" s="16" t="str">
        <x:v>A-S40</x:v>
      </x:c>
      <x:c r="C26" s="16" t="str">
        <x:v>L-B</x:v>
      </x:c>
      <x:c r="D26" s="16" t="str">
        <x:v>C-1</x:v>
      </x:c>
      <x:c r="E26" s="16" t="str">
        <x:v>QH-2</x:v>
      </x:c>
      <x:c r="F26" s="16" t="str">
        <x:v>A-S40-L-B-C-1</x:v>
      </x:c>
      <x:c r="G26" s="16" t="n">
        <x:v>1.1</x:v>
      </x:c>
      <x:c r="H26" s="45"/>
      <x:c r="I26" s="45"/>
      <x:c r="J26" s="45"/>
      <x:c r="K26" s="45"/>
      <x:c r="L26" s="38"/>
      <x:c r="M26" s="38"/>
      <x:c r="N26" s="38"/>
      <x:c r="O26" s="38"/>
      <x:c r="P26" s="16" t="str">
        <x:f>IF(COUNTA(H26:O26)&lt;8,"OPEN",IF(AND(H26&lt;='Assumptions'!$B$16,H26&lt;='Assumptions'!$B$15,I26&lt;='Assumptions'!$B$24,J26&lt;='Assumptions'!$B$21,K26&gt;='Receiver'!$B$9,L26="NO",M26="YES",N26="YES",O26="NO"),"PASS","ADVERSE"))</x:f>
        <x:v>OPEN</x:v>
      </x:c>
    </x:row>
    <x:row r="27">
      <x:c r="A27" s="16" t="str">
        <x:v>T-021</x:v>
      </x:c>
      <x:c r="B27" s="16" t="str">
        <x:v>A-S40</x:v>
      </x:c>
      <x:c r="C27" s="16" t="str">
        <x:v>L-B</x:v>
      </x:c>
      <x:c r="D27" s="16" t="str">
        <x:v>C-1</x:v>
      </x:c>
      <x:c r="E27" s="16" t="str">
        <x:v>QH-3</x:v>
      </x:c>
      <x:c r="F27" s="16" t="str">
        <x:v>A-S40-L-B-C-1</x:v>
      </x:c>
      <x:c r="G27" s="16" t="n">
        <x:v>1</x:v>
      </x:c>
      <x:c r="H27" s="45"/>
      <x:c r="I27" s="45"/>
      <x:c r="J27" s="45"/>
      <x:c r="K27" s="45"/>
      <x:c r="L27" s="38"/>
      <x:c r="M27" s="38"/>
      <x:c r="N27" s="38"/>
      <x:c r="O27" s="38"/>
      <x:c r="P27" s="16" t="str">
        <x:f>IF(COUNTA(H27:O27)&lt;8,"OPEN",IF(AND(H27&lt;='Assumptions'!$B$16,H27&lt;='Assumptions'!$B$15,I27&lt;='Assumptions'!$B$24,J27&lt;='Assumptions'!$B$21,K27&gt;='Receiver'!$B$9,L27="NO",M27="YES",N27="YES",O27="NO"),"PASS","ADVERSE"))</x:f>
        <x:v>OPEN</x:v>
      </x:c>
    </x:row>
    <x:row r="28">
      <x:c r="A28" s="16" t="str">
        <x:v>T-022</x:v>
      </x:c>
      <x:c r="B28" s="16" t="str">
        <x:v>A-S40</x:v>
      </x:c>
      <x:c r="C28" s="16" t="str">
        <x:v>L-B</x:v>
      </x:c>
      <x:c r="D28" s="16" t="str">
        <x:v>C-1</x:v>
      </x:c>
      <x:c r="E28" s="16" t="str">
        <x:v>QH-4</x:v>
      </x:c>
      <x:c r="F28" s="16" t="str">
        <x:v>A-S40-L-B-C-1</x:v>
      </x:c>
      <x:c r="G28" s="16" t="n">
        <x:v>1</x:v>
      </x:c>
      <x:c r="H28" s="45"/>
      <x:c r="I28" s="45"/>
      <x:c r="J28" s="45"/>
      <x:c r="K28" s="45"/>
      <x:c r="L28" s="38"/>
      <x:c r="M28" s="38"/>
      <x:c r="N28" s="38"/>
      <x:c r="O28" s="38"/>
      <x:c r="P28" s="16" t="str">
        <x:f>IF(COUNTA(H28:O28)&lt;8,"OPEN",IF(AND(H28&lt;='Assumptions'!$B$16,H28&lt;='Assumptions'!$B$15,I28&lt;='Assumptions'!$B$24,J28&lt;='Assumptions'!$B$21,K28&gt;='Receiver'!$B$9,L28="NO",M28="YES",N28="YES",O28="NO"),"PASS","ADVERSE"))</x:f>
        <x:v>OPEN</x:v>
      </x:c>
    </x:row>
    <x:row r="29">
      <x:c r="A29" s="16" t="str">
        <x:v>T-023</x:v>
      </x:c>
      <x:c r="B29" s="16" t="str">
        <x:v>A-S40</x:v>
      </x:c>
      <x:c r="C29" s="16" t="str">
        <x:v>L-B</x:v>
      </x:c>
      <x:c r="D29" s="16" t="str">
        <x:v>C-1</x:v>
      </x:c>
      <x:c r="E29" s="16" t="str">
        <x:v>QH-5</x:v>
      </x:c>
      <x:c r="F29" s="16" t="str">
        <x:v>A-S40-L-B-C-1</x:v>
      </x:c>
      <x:c r="G29" s="16" t="n">
        <x:v>1</x:v>
      </x:c>
      <x:c r="H29" s="45"/>
      <x:c r="I29" s="45"/>
      <x:c r="J29" s="45"/>
      <x:c r="K29" s="45"/>
      <x:c r="L29" s="38"/>
      <x:c r="M29" s="38"/>
      <x:c r="N29" s="38"/>
      <x:c r="O29" s="38"/>
      <x:c r="P29" s="16" t="str">
        <x:f>IF(COUNTA(H29:O29)&lt;8,"OPEN",IF(AND(H29&lt;='Assumptions'!$B$16,H29&lt;='Assumptions'!$B$15,I29&lt;='Assumptions'!$B$24,J29&lt;='Assumptions'!$B$21,K29&gt;='Receiver'!$B$9,L29="NO",M29="YES",N29="YES",O29="NO"),"PASS","ADVERSE"))</x:f>
        <x:v>OPEN</x:v>
      </x:c>
    </x:row>
    <x:row r="30">
      <x:c r="A30" s="16" t="str">
        <x:v>T-024</x:v>
      </x:c>
      <x:c r="B30" s="16" t="str">
        <x:v>A-S40</x:v>
      </x:c>
      <x:c r="C30" s="16" t="str">
        <x:v>L-B</x:v>
      </x:c>
      <x:c r="D30" s="16" t="str">
        <x:v>C-1</x:v>
      </x:c>
      <x:c r="E30" s="16" t="str">
        <x:v>QH-6</x:v>
      </x:c>
      <x:c r="F30" s="16" t="str">
        <x:v>A-S40-L-B-C-1</x:v>
      </x:c>
      <x:c r="G30" s="16" t="n">
        <x:v>1</x:v>
      </x:c>
      <x:c r="H30" s="45"/>
      <x:c r="I30" s="45"/>
      <x:c r="J30" s="45"/>
      <x:c r="K30" s="45"/>
      <x:c r="L30" s="38"/>
      <x:c r="M30" s="38"/>
      <x:c r="N30" s="38"/>
      <x:c r="O30" s="38"/>
      <x:c r="P30" s="16" t="str">
        <x:f>IF(COUNTA(H30:O30)&lt;8,"OPEN",IF(AND(H30&lt;='Assumptions'!$B$16,H30&lt;='Assumptions'!$B$15,I30&lt;='Assumptions'!$B$24,J30&lt;='Assumptions'!$B$21,K30&gt;='Receiver'!$B$9,L30="NO",M30="YES",N30="YES",O30="NO"),"PASS","ADVERSE"))</x:f>
        <x:v>OPEN</x:v>
      </x:c>
    </x:row>
    <x:row r="31">
      <x:c r="A31" s="16" t="str">
        <x:v>T-025</x:v>
      </x:c>
      <x:c r="B31" s="16" t="str">
        <x:v>A-S40</x:v>
      </x:c>
      <x:c r="C31" s="16" t="str">
        <x:v>L-B</x:v>
      </x:c>
      <x:c r="D31" s="16" t="str">
        <x:v>C-2</x:v>
      </x:c>
      <x:c r="E31" s="16" t="str">
        <x:v>QH-1</x:v>
      </x:c>
      <x:c r="F31" s="16" t="str">
        <x:v>A-S40-L-B-C-2</x:v>
      </x:c>
      <x:c r="G31" s="16" t="n">
        <x:v>1</x:v>
      </x:c>
      <x:c r="H31" s="45"/>
      <x:c r="I31" s="45"/>
      <x:c r="J31" s="45"/>
      <x:c r="K31" s="45"/>
      <x:c r="L31" s="38"/>
      <x:c r="M31" s="38"/>
      <x:c r="N31" s="38"/>
      <x:c r="O31" s="38"/>
      <x:c r="P31" s="16" t="str">
        <x:f>IF(COUNTA(H31:O31)&lt;8,"OPEN",IF(AND(H31&lt;='Assumptions'!$B$16,H31&lt;='Assumptions'!$B$15,I31&lt;='Assumptions'!$B$24,J31&lt;='Assumptions'!$B$21,K31&gt;='Receiver'!$B$9,L31="NO",M31="YES",N31="YES",O31="NO"),"PASS","ADVERSE"))</x:f>
        <x:v>OPEN</x:v>
      </x:c>
    </x:row>
    <x:row r="32">
      <x:c r="A32" s="16" t="str">
        <x:v>T-026</x:v>
      </x:c>
      <x:c r="B32" s="16" t="str">
        <x:v>A-S40</x:v>
      </x:c>
      <x:c r="C32" s="16" t="str">
        <x:v>L-B</x:v>
      </x:c>
      <x:c r="D32" s="16" t="str">
        <x:v>C-2</x:v>
      </x:c>
      <x:c r="E32" s="16" t="str">
        <x:v>QH-2</x:v>
      </x:c>
      <x:c r="F32" s="16" t="str">
        <x:v>A-S40-L-B-C-2</x:v>
      </x:c>
      <x:c r="G32" s="16" t="n">
        <x:v>1.1</x:v>
      </x:c>
      <x:c r="H32" s="45"/>
      <x:c r="I32" s="45"/>
      <x:c r="J32" s="45"/>
      <x:c r="K32" s="45"/>
      <x:c r="L32" s="38"/>
      <x:c r="M32" s="38"/>
      <x:c r="N32" s="38"/>
      <x:c r="O32" s="38"/>
      <x:c r="P32" s="16" t="str">
        <x:f>IF(COUNTA(H32:O32)&lt;8,"OPEN",IF(AND(H32&lt;='Assumptions'!$B$16,H32&lt;='Assumptions'!$B$15,I32&lt;='Assumptions'!$B$24,J32&lt;='Assumptions'!$B$21,K32&gt;='Receiver'!$B$9,L32="NO",M32="YES",N32="YES",O32="NO"),"PASS","ADVERSE"))</x:f>
        <x:v>OPEN</x:v>
      </x:c>
    </x:row>
    <x:row r="33">
      <x:c r="A33" s="16" t="str">
        <x:v>T-027</x:v>
      </x:c>
      <x:c r="B33" s="16" t="str">
        <x:v>A-S40</x:v>
      </x:c>
      <x:c r="C33" s="16" t="str">
        <x:v>L-B</x:v>
      </x:c>
      <x:c r="D33" s="16" t="str">
        <x:v>C-2</x:v>
      </x:c>
      <x:c r="E33" s="16" t="str">
        <x:v>QH-3</x:v>
      </x:c>
      <x:c r="F33" s="16" t="str">
        <x:v>A-S40-L-B-C-2</x:v>
      </x:c>
      <x:c r="G33" s="16" t="n">
        <x:v>1</x:v>
      </x:c>
      <x:c r="H33" s="45"/>
      <x:c r="I33" s="45"/>
      <x:c r="J33" s="45"/>
      <x:c r="K33" s="45"/>
      <x:c r="L33" s="38"/>
      <x:c r="M33" s="38"/>
      <x:c r="N33" s="38"/>
      <x:c r="O33" s="38"/>
      <x:c r="P33" s="16" t="str">
        <x:f>IF(COUNTA(H33:O33)&lt;8,"OPEN",IF(AND(H33&lt;='Assumptions'!$B$16,H33&lt;='Assumptions'!$B$15,I33&lt;='Assumptions'!$B$24,J33&lt;='Assumptions'!$B$21,K33&gt;='Receiver'!$B$9,L33="NO",M33="YES",N33="YES",O33="NO"),"PASS","ADVERSE"))</x:f>
        <x:v>OPEN</x:v>
      </x:c>
    </x:row>
    <x:row r="34">
      <x:c r="A34" s="16" t="str">
        <x:v>T-028</x:v>
      </x:c>
      <x:c r="B34" s="16" t="str">
        <x:v>A-S40</x:v>
      </x:c>
      <x:c r="C34" s="16" t="str">
        <x:v>L-B</x:v>
      </x:c>
      <x:c r="D34" s="16" t="str">
        <x:v>C-2</x:v>
      </x:c>
      <x:c r="E34" s="16" t="str">
        <x:v>QH-4</x:v>
      </x:c>
      <x:c r="F34" s="16" t="str">
        <x:v>A-S40-L-B-C-2</x:v>
      </x:c>
      <x:c r="G34" s="16" t="n">
        <x:v>1</x:v>
      </x:c>
      <x:c r="H34" s="45"/>
      <x:c r="I34" s="45"/>
      <x:c r="J34" s="45"/>
      <x:c r="K34" s="45"/>
      <x:c r="L34" s="38"/>
      <x:c r="M34" s="38"/>
      <x:c r="N34" s="38"/>
      <x:c r="O34" s="38"/>
      <x:c r="P34" s="16" t="str">
        <x:f>IF(COUNTA(H34:O34)&lt;8,"OPEN",IF(AND(H34&lt;='Assumptions'!$B$16,H34&lt;='Assumptions'!$B$15,I34&lt;='Assumptions'!$B$24,J34&lt;='Assumptions'!$B$21,K34&gt;='Receiver'!$B$9,L34="NO",M34="YES",N34="YES",O34="NO"),"PASS","ADVERSE"))</x:f>
        <x:v>OPEN</x:v>
      </x:c>
    </x:row>
    <x:row r="35">
      <x:c r="A35" s="16" t="str">
        <x:v>T-029</x:v>
      </x:c>
      <x:c r="B35" s="16" t="str">
        <x:v>A-S40</x:v>
      </x:c>
      <x:c r="C35" s="16" t="str">
        <x:v>L-B</x:v>
      </x:c>
      <x:c r="D35" s="16" t="str">
        <x:v>C-2</x:v>
      </x:c>
      <x:c r="E35" s="16" t="str">
        <x:v>QH-5</x:v>
      </x:c>
      <x:c r="F35" s="16" t="str">
        <x:v>A-S40-L-B-C-2</x:v>
      </x:c>
      <x:c r="G35" s="16" t="n">
        <x:v>1</x:v>
      </x:c>
      <x:c r="H35" s="45"/>
      <x:c r="I35" s="45"/>
      <x:c r="J35" s="45"/>
      <x:c r="K35" s="45"/>
      <x:c r="L35" s="38"/>
      <x:c r="M35" s="38"/>
      <x:c r="N35" s="38"/>
      <x:c r="O35" s="38"/>
      <x:c r="P35" s="16" t="str">
        <x:f>IF(COUNTA(H35:O35)&lt;8,"OPEN",IF(AND(H35&lt;='Assumptions'!$B$16,H35&lt;='Assumptions'!$B$15,I35&lt;='Assumptions'!$B$24,J35&lt;='Assumptions'!$B$21,K35&gt;='Receiver'!$B$9,L35="NO",M35="YES",N35="YES",O35="NO"),"PASS","ADVERSE"))</x:f>
        <x:v>OPEN</x:v>
      </x:c>
    </x:row>
    <x:row r="36">
      <x:c r="A36" s="16" t="str">
        <x:v>T-030</x:v>
      </x:c>
      <x:c r="B36" s="16" t="str">
        <x:v>A-S40</x:v>
      </x:c>
      <x:c r="C36" s="16" t="str">
        <x:v>L-B</x:v>
      </x:c>
      <x:c r="D36" s="16" t="str">
        <x:v>C-2</x:v>
      </x:c>
      <x:c r="E36" s="16" t="str">
        <x:v>QH-6</x:v>
      </x:c>
      <x:c r="F36" s="16" t="str">
        <x:v>A-S40-L-B-C-2</x:v>
      </x:c>
      <x:c r="G36" s="16" t="n">
        <x:v>1</x:v>
      </x:c>
      <x:c r="H36" s="45"/>
      <x:c r="I36" s="45"/>
      <x:c r="J36" s="45"/>
      <x:c r="K36" s="45"/>
      <x:c r="L36" s="38"/>
      <x:c r="M36" s="38"/>
      <x:c r="N36" s="38"/>
      <x:c r="O36" s="38"/>
      <x:c r="P36" s="16" t="str">
        <x:f>IF(COUNTA(H36:O36)&lt;8,"OPEN",IF(AND(H36&lt;='Assumptions'!$B$16,H36&lt;='Assumptions'!$B$15,I36&lt;='Assumptions'!$B$24,J36&lt;='Assumptions'!$B$21,K36&gt;='Receiver'!$B$9,L36="NO",M36="YES",N36="YES",O36="NO"),"PASS","ADVERSE"))</x:f>
        <x:v>OPEN</x:v>
      </x:c>
    </x:row>
    <x:row r="37">
      <x:c r="A37" s="16" t="str">
        <x:v>T-031</x:v>
      </x:c>
      <x:c r="B37" s="16" t="str">
        <x:v>A-S40</x:v>
      </x:c>
      <x:c r="C37" s="16" t="str">
        <x:v>L-B</x:v>
      </x:c>
      <x:c r="D37" s="16" t="str">
        <x:v>C-3</x:v>
      </x:c>
      <x:c r="E37" s="16" t="str">
        <x:v>QH-1</x:v>
      </x:c>
      <x:c r="F37" s="16" t="str">
        <x:v>A-S40-L-B-C-3</x:v>
      </x:c>
      <x:c r="G37" s="16" t="n">
        <x:v>1</x:v>
      </x:c>
      <x:c r="H37" s="45"/>
      <x:c r="I37" s="45"/>
      <x:c r="J37" s="45"/>
      <x:c r="K37" s="45"/>
      <x:c r="L37" s="38"/>
      <x:c r="M37" s="38"/>
      <x:c r="N37" s="38"/>
      <x:c r="O37" s="38"/>
      <x:c r="P37" s="16" t="str">
        <x:f>IF(COUNTA(H37:O37)&lt;8,"OPEN",IF(AND(H37&lt;='Assumptions'!$B$16,H37&lt;='Assumptions'!$B$15,I37&lt;='Assumptions'!$B$24,J37&lt;='Assumptions'!$B$21,K37&gt;='Receiver'!$B$9,L37="NO",M37="YES",N37="YES",O37="NO"),"PASS","ADVERSE"))</x:f>
        <x:v>OPEN</x:v>
      </x:c>
    </x:row>
    <x:row r="38">
      <x:c r="A38" s="16" t="str">
        <x:v>T-032</x:v>
      </x:c>
      <x:c r="B38" s="16" t="str">
        <x:v>A-S40</x:v>
      </x:c>
      <x:c r="C38" s="16" t="str">
        <x:v>L-B</x:v>
      </x:c>
      <x:c r="D38" s="16" t="str">
        <x:v>C-3</x:v>
      </x:c>
      <x:c r="E38" s="16" t="str">
        <x:v>QH-2</x:v>
      </x:c>
      <x:c r="F38" s="16" t="str">
        <x:v>A-S40-L-B-C-3</x:v>
      </x:c>
      <x:c r="G38" s="16" t="n">
        <x:v>1.1</x:v>
      </x:c>
      <x:c r="H38" s="45"/>
      <x:c r="I38" s="45"/>
      <x:c r="J38" s="45"/>
      <x:c r="K38" s="45"/>
      <x:c r="L38" s="38"/>
      <x:c r="M38" s="38"/>
      <x:c r="N38" s="38"/>
      <x:c r="O38" s="38"/>
      <x:c r="P38" s="16" t="str">
        <x:f>IF(COUNTA(H38:O38)&lt;8,"OPEN",IF(AND(H38&lt;='Assumptions'!$B$16,H38&lt;='Assumptions'!$B$15,I38&lt;='Assumptions'!$B$24,J38&lt;='Assumptions'!$B$21,K38&gt;='Receiver'!$B$9,L38="NO",M38="YES",N38="YES",O38="NO"),"PASS","ADVERSE"))</x:f>
        <x:v>OPEN</x:v>
      </x:c>
    </x:row>
    <x:row r="39">
      <x:c r="A39" s="16" t="str">
        <x:v>T-033</x:v>
      </x:c>
      <x:c r="B39" s="16" t="str">
        <x:v>A-S40</x:v>
      </x:c>
      <x:c r="C39" s="16" t="str">
        <x:v>L-B</x:v>
      </x:c>
      <x:c r="D39" s="16" t="str">
        <x:v>C-3</x:v>
      </x:c>
      <x:c r="E39" s="16" t="str">
        <x:v>QH-3</x:v>
      </x:c>
      <x:c r="F39" s="16" t="str">
        <x:v>A-S40-L-B-C-3</x:v>
      </x:c>
      <x:c r="G39" s="16" t="n">
        <x:v>1</x:v>
      </x:c>
      <x:c r="H39" s="45"/>
      <x:c r="I39" s="45"/>
      <x:c r="J39" s="45"/>
      <x:c r="K39" s="45"/>
      <x:c r="L39" s="38"/>
      <x:c r="M39" s="38"/>
      <x:c r="N39" s="38"/>
      <x:c r="O39" s="38"/>
      <x:c r="P39" s="16" t="str">
        <x:f>IF(COUNTA(H39:O39)&lt;8,"OPEN",IF(AND(H39&lt;='Assumptions'!$B$16,H39&lt;='Assumptions'!$B$15,I39&lt;='Assumptions'!$B$24,J39&lt;='Assumptions'!$B$21,K39&gt;='Receiver'!$B$9,L39="NO",M39="YES",N39="YES",O39="NO"),"PASS","ADVERSE"))</x:f>
        <x:v>OPEN</x:v>
      </x:c>
    </x:row>
    <x:row r="40">
      <x:c r="A40" s="16" t="str">
        <x:v>T-034</x:v>
      </x:c>
      <x:c r="B40" s="16" t="str">
        <x:v>A-S40</x:v>
      </x:c>
      <x:c r="C40" s="16" t="str">
        <x:v>L-B</x:v>
      </x:c>
      <x:c r="D40" s="16" t="str">
        <x:v>C-3</x:v>
      </x:c>
      <x:c r="E40" s="16" t="str">
        <x:v>QH-4</x:v>
      </x:c>
      <x:c r="F40" s="16" t="str">
        <x:v>A-S40-L-B-C-3</x:v>
      </x:c>
      <x:c r="G40" s="16" t="n">
        <x:v>1</x:v>
      </x:c>
      <x:c r="H40" s="45"/>
      <x:c r="I40" s="45"/>
      <x:c r="J40" s="45"/>
      <x:c r="K40" s="45"/>
      <x:c r="L40" s="38"/>
      <x:c r="M40" s="38"/>
      <x:c r="N40" s="38"/>
      <x:c r="O40" s="38"/>
      <x:c r="P40" s="16" t="str">
        <x:f>IF(COUNTA(H40:O40)&lt;8,"OPEN",IF(AND(H40&lt;='Assumptions'!$B$16,H40&lt;='Assumptions'!$B$15,I40&lt;='Assumptions'!$B$24,J40&lt;='Assumptions'!$B$21,K40&gt;='Receiver'!$B$9,L40="NO",M40="YES",N40="YES",O40="NO"),"PASS","ADVERSE"))</x:f>
        <x:v>OPEN</x:v>
      </x:c>
    </x:row>
    <x:row r="41">
      <x:c r="A41" s="16" t="str">
        <x:v>T-035</x:v>
      </x:c>
      <x:c r="B41" s="16" t="str">
        <x:v>A-S40</x:v>
      </x:c>
      <x:c r="C41" s="16" t="str">
        <x:v>L-B</x:v>
      </x:c>
      <x:c r="D41" s="16" t="str">
        <x:v>C-3</x:v>
      </x:c>
      <x:c r="E41" s="16" t="str">
        <x:v>QH-5</x:v>
      </x:c>
      <x:c r="F41" s="16" t="str">
        <x:v>A-S40-L-B-C-3</x:v>
      </x:c>
      <x:c r="G41" s="16" t="n">
        <x:v>1</x:v>
      </x:c>
      <x:c r="H41" s="45"/>
      <x:c r="I41" s="45"/>
      <x:c r="J41" s="45"/>
      <x:c r="K41" s="45"/>
      <x:c r="L41" s="38"/>
      <x:c r="M41" s="38"/>
      <x:c r="N41" s="38"/>
      <x:c r="O41" s="38"/>
      <x:c r="P41" s="16" t="str">
        <x:f>IF(COUNTA(H41:O41)&lt;8,"OPEN",IF(AND(H41&lt;='Assumptions'!$B$16,H41&lt;='Assumptions'!$B$15,I41&lt;='Assumptions'!$B$24,J41&lt;='Assumptions'!$B$21,K41&gt;='Receiver'!$B$9,L41="NO",M41="YES",N41="YES",O41="NO"),"PASS","ADVERSE"))</x:f>
        <x:v>OPEN</x:v>
      </x:c>
    </x:row>
    <x:row r="42">
      <x:c r="A42" s="16" t="str">
        <x:v>T-036</x:v>
      </x:c>
      <x:c r="B42" s="16" t="str">
        <x:v>A-S40</x:v>
      </x:c>
      <x:c r="C42" s="16" t="str">
        <x:v>L-B</x:v>
      </x:c>
      <x:c r="D42" s="16" t="str">
        <x:v>C-3</x:v>
      </x:c>
      <x:c r="E42" s="16" t="str">
        <x:v>QH-6</x:v>
      </x:c>
      <x:c r="F42" s="16" t="str">
        <x:v>A-S40-L-B-C-3</x:v>
      </x:c>
      <x:c r="G42" s="16" t="n">
        <x:v>1</x:v>
      </x:c>
      <x:c r="H42" s="45"/>
      <x:c r="I42" s="45"/>
      <x:c r="J42" s="45"/>
      <x:c r="K42" s="45"/>
      <x:c r="L42" s="38"/>
      <x:c r="M42" s="38"/>
      <x:c r="N42" s="38"/>
      <x:c r="O42" s="38"/>
      <x:c r="P42" s="16" t="str">
        <x:f>IF(COUNTA(H42:O42)&lt;8,"OPEN",IF(AND(H42&lt;='Assumptions'!$B$16,H42&lt;='Assumptions'!$B$15,I42&lt;='Assumptions'!$B$24,J42&lt;='Assumptions'!$B$21,K42&gt;='Receiver'!$B$9,L42="NO",M42="YES",N42="YES",O42="NO"),"PASS","ADVERSE"))</x:f>
        <x:v>OPEN</x:v>
      </x:c>
    </x:row>
    <x:row r="43">
      <x:c r="A43" s="16" t="str">
        <x:v>T-037</x:v>
      </x:c>
      <x:c r="B43" s="16" t="str">
        <x:v>A-I60</x:v>
      </x:c>
      <x:c r="C43" s="16" t="str">
        <x:v>L-A</x:v>
      </x:c>
      <x:c r="D43" s="16" t="str">
        <x:v>C-1</x:v>
      </x:c>
      <x:c r="E43" s="16" t="str">
        <x:v>QH-1</x:v>
      </x:c>
      <x:c r="F43" s="16" t="str">
        <x:v>A-I60-L-A-C-1</x:v>
      </x:c>
      <x:c r="G43" s="16" t="n">
        <x:v>1</x:v>
      </x:c>
      <x:c r="H43" s="45"/>
      <x:c r="I43" s="45"/>
      <x:c r="J43" s="45"/>
      <x:c r="K43" s="45"/>
      <x:c r="L43" s="38"/>
      <x:c r="M43" s="38"/>
      <x:c r="N43" s="38"/>
      <x:c r="O43" s="38"/>
      <x:c r="P43" s="16" t="str">
        <x:f>IF(COUNTA(H43:O43)&lt;8,"OPEN",IF(AND(H43&lt;='Assumptions'!$B$16,H43&lt;='Assumptions'!$B$15,I43&lt;='Assumptions'!$B$24,J43&lt;='Assumptions'!$B$21,K43&gt;='Receiver'!$B$9,L43="NO",M43="YES",N43="YES",O43="NO"),"PASS","ADVERSE"))</x:f>
        <x:v>OPEN</x:v>
      </x:c>
    </x:row>
    <x:row r="44">
      <x:c r="A44" s="16" t="str">
        <x:v>T-038</x:v>
      </x:c>
      <x:c r="B44" s="16" t="str">
        <x:v>A-I60</x:v>
      </x:c>
      <x:c r="C44" s="16" t="str">
        <x:v>L-A</x:v>
      </x:c>
      <x:c r="D44" s="16" t="str">
        <x:v>C-1</x:v>
      </x:c>
      <x:c r="E44" s="16" t="str">
        <x:v>QH-2</x:v>
      </x:c>
      <x:c r="F44" s="16" t="str">
        <x:v>A-I60-L-A-C-1</x:v>
      </x:c>
      <x:c r="G44" s="16" t="n">
        <x:v>1.1</x:v>
      </x:c>
      <x:c r="H44" s="45"/>
      <x:c r="I44" s="45"/>
      <x:c r="J44" s="45"/>
      <x:c r="K44" s="45"/>
      <x:c r="L44" s="38"/>
      <x:c r="M44" s="38"/>
      <x:c r="N44" s="38"/>
      <x:c r="O44" s="38"/>
      <x:c r="P44" s="16" t="str">
        <x:f>IF(COUNTA(H44:O44)&lt;8,"OPEN",IF(AND(H44&lt;='Assumptions'!$B$16,H44&lt;='Assumptions'!$B$15,I44&lt;='Assumptions'!$B$24,J44&lt;='Assumptions'!$B$21,K44&gt;='Receiver'!$B$9,L44="NO",M44="YES",N44="YES",O44="NO"),"PASS","ADVERSE"))</x:f>
        <x:v>OPEN</x:v>
      </x:c>
    </x:row>
    <x:row r="45">
      <x:c r="A45" s="16" t="str">
        <x:v>T-039</x:v>
      </x:c>
      <x:c r="B45" s="16" t="str">
        <x:v>A-I60</x:v>
      </x:c>
      <x:c r="C45" s="16" t="str">
        <x:v>L-A</x:v>
      </x:c>
      <x:c r="D45" s="16" t="str">
        <x:v>C-1</x:v>
      </x:c>
      <x:c r="E45" s="16" t="str">
        <x:v>QH-3</x:v>
      </x:c>
      <x:c r="F45" s="16" t="str">
        <x:v>A-I60-L-A-C-1</x:v>
      </x:c>
      <x:c r="G45" s="16" t="n">
        <x:v>1</x:v>
      </x:c>
      <x:c r="H45" s="45"/>
      <x:c r="I45" s="45"/>
      <x:c r="J45" s="45"/>
      <x:c r="K45" s="45"/>
      <x:c r="L45" s="38"/>
      <x:c r="M45" s="38"/>
      <x:c r="N45" s="38"/>
      <x:c r="O45" s="38"/>
      <x:c r="P45" s="16" t="str">
        <x:f>IF(COUNTA(H45:O45)&lt;8,"OPEN",IF(AND(H45&lt;='Assumptions'!$B$16,H45&lt;='Assumptions'!$B$15,I45&lt;='Assumptions'!$B$24,J45&lt;='Assumptions'!$B$21,K45&gt;='Receiver'!$B$9,L45="NO",M45="YES",N45="YES",O45="NO"),"PASS","ADVERSE"))</x:f>
        <x:v>OPEN</x:v>
      </x:c>
    </x:row>
    <x:row r="46">
      <x:c r="A46" s="16" t="str">
        <x:v>T-040</x:v>
      </x:c>
      <x:c r="B46" s="16" t="str">
        <x:v>A-I60</x:v>
      </x:c>
      <x:c r="C46" s="16" t="str">
        <x:v>L-A</x:v>
      </x:c>
      <x:c r="D46" s="16" t="str">
        <x:v>C-1</x:v>
      </x:c>
      <x:c r="E46" s="16" t="str">
        <x:v>QH-4</x:v>
      </x:c>
      <x:c r="F46" s="16" t="str">
        <x:v>A-I60-L-A-C-1</x:v>
      </x:c>
      <x:c r="G46" s="16" t="n">
        <x:v>1</x:v>
      </x:c>
      <x:c r="H46" s="45"/>
      <x:c r="I46" s="45"/>
      <x:c r="J46" s="45"/>
      <x:c r="K46" s="45"/>
      <x:c r="L46" s="38"/>
      <x:c r="M46" s="38"/>
      <x:c r="N46" s="38"/>
      <x:c r="O46" s="38"/>
      <x:c r="P46" s="16" t="str">
        <x:f>IF(COUNTA(H46:O46)&lt;8,"OPEN",IF(AND(H46&lt;='Assumptions'!$B$16,H46&lt;='Assumptions'!$B$15,I46&lt;='Assumptions'!$B$24,J46&lt;='Assumptions'!$B$21,K46&gt;='Receiver'!$B$9,L46="NO",M46="YES",N46="YES",O46="NO"),"PASS","ADVERSE"))</x:f>
        <x:v>OPEN</x:v>
      </x:c>
    </x:row>
    <x:row r="47">
      <x:c r="A47" s="16" t="str">
        <x:v>T-041</x:v>
      </x:c>
      <x:c r="B47" s="16" t="str">
        <x:v>A-I60</x:v>
      </x:c>
      <x:c r="C47" s="16" t="str">
        <x:v>L-A</x:v>
      </x:c>
      <x:c r="D47" s="16" t="str">
        <x:v>C-1</x:v>
      </x:c>
      <x:c r="E47" s="16" t="str">
        <x:v>QH-5</x:v>
      </x:c>
      <x:c r="F47" s="16" t="str">
        <x:v>A-I60-L-A-C-1</x:v>
      </x:c>
      <x:c r="G47" s="16" t="n">
        <x:v>1</x:v>
      </x:c>
      <x:c r="H47" s="45"/>
      <x:c r="I47" s="45"/>
      <x:c r="J47" s="45"/>
      <x:c r="K47" s="45"/>
      <x:c r="L47" s="38"/>
      <x:c r="M47" s="38"/>
      <x:c r="N47" s="38"/>
      <x:c r="O47" s="38"/>
      <x:c r="P47" s="16" t="str">
        <x:f>IF(COUNTA(H47:O47)&lt;8,"OPEN",IF(AND(H47&lt;='Assumptions'!$B$16,H47&lt;='Assumptions'!$B$15,I47&lt;='Assumptions'!$B$24,J47&lt;='Assumptions'!$B$21,K47&gt;='Receiver'!$B$9,L47="NO",M47="YES",N47="YES",O47="NO"),"PASS","ADVERSE"))</x:f>
        <x:v>OPEN</x:v>
      </x:c>
    </x:row>
    <x:row r="48">
      <x:c r="A48" s="16" t="str">
        <x:v>T-042</x:v>
      </x:c>
      <x:c r="B48" s="16" t="str">
        <x:v>A-I60</x:v>
      </x:c>
      <x:c r="C48" s="16" t="str">
        <x:v>L-A</x:v>
      </x:c>
      <x:c r="D48" s="16" t="str">
        <x:v>C-1</x:v>
      </x:c>
      <x:c r="E48" s="16" t="str">
        <x:v>QH-6</x:v>
      </x:c>
      <x:c r="F48" s="16" t="str">
        <x:v>A-I60-L-A-C-1</x:v>
      </x:c>
      <x:c r="G48" s="16" t="n">
        <x:v>1</x:v>
      </x:c>
      <x:c r="H48" s="45"/>
      <x:c r="I48" s="45"/>
      <x:c r="J48" s="45"/>
      <x:c r="K48" s="45"/>
      <x:c r="L48" s="38"/>
      <x:c r="M48" s="38"/>
      <x:c r="N48" s="38"/>
      <x:c r="O48" s="38"/>
      <x:c r="P48" s="16" t="str">
        <x:f>IF(COUNTA(H48:O48)&lt;8,"OPEN",IF(AND(H48&lt;='Assumptions'!$B$16,H48&lt;='Assumptions'!$B$15,I48&lt;='Assumptions'!$B$24,J48&lt;='Assumptions'!$B$21,K48&gt;='Receiver'!$B$9,L48="NO",M48="YES",N48="YES",O48="NO"),"PASS","ADVERSE"))</x:f>
        <x:v>OPEN</x:v>
      </x:c>
    </x:row>
    <x:row r="49">
      <x:c r="A49" s="16" t="str">
        <x:v>T-043</x:v>
      </x:c>
      <x:c r="B49" s="16" t="str">
        <x:v>A-I60</x:v>
      </x:c>
      <x:c r="C49" s="16" t="str">
        <x:v>L-A</x:v>
      </x:c>
      <x:c r="D49" s="16" t="str">
        <x:v>C-2</x:v>
      </x:c>
      <x:c r="E49" s="16" t="str">
        <x:v>QH-1</x:v>
      </x:c>
      <x:c r="F49" s="16" t="str">
        <x:v>A-I60-L-A-C-2</x:v>
      </x:c>
      <x:c r="G49" s="16" t="n">
        <x:v>1</x:v>
      </x:c>
      <x:c r="H49" s="45"/>
      <x:c r="I49" s="45"/>
      <x:c r="J49" s="45"/>
      <x:c r="K49" s="45"/>
      <x:c r="L49" s="38"/>
      <x:c r="M49" s="38"/>
      <x:c r="N49" s="38"/>
      <x:c r="O49" s="38"/>
      <x:c r="P49" s="16" t="str">
        <x:f>IF(COUNTA(H49:O49)&lt;8,"OPEN",IF(AND(H49&lt;='Assumptions'!$B$16,H49&lt;='Assumptions'!$B$15,I49&lt;='Assumptions'!$B$24,J49&lt;='Assumptions'!$B$21,K49&gt;='Receiver'!$B$9,L49="NO",M49="YES",N49="YES",O49="NO"),"PASS","ADVERSE"))</x:f>
        <x:v>OPEN</x:v>
      </x:c>
    </x:row>
    <x:row r="50">
      <x:c r="A50" s="16" t="str">
        <x:v>T-044</x:v>
      </x:c>
      <x:c r="B50" s="16" t="str">
        <x:v>A-I60</x:v>
      </x:c>
      <x:c r="C50" s="16" t="str">
        <x:v>L-A</x:v>
      </x:c>
      <x:c r="D50" s="16" t="str">
        <x:v>C-2</x:v>
      </x:c>
      <x:c r="E50" s="16" t="str">
        <x:v>QH-2</x:v>
      </x:c>
      <x:c r="F50" s="16" t="str">
        <x:v>A-I60-L-A-C-2</x:v>
      </x:c>
      <x:c r="G50" s="16" t="n">
        <x:v>1.1</x:v>
      </x:c>
      <x:c r="H50" s="45"/>
      <x:c r="I50" s="45"/>
      <x:c r="J50" s="45"/>
      <x:c r="K50" s="45"/>
      <x:c r="L50" s="38"/>
      <x:c r="M50" s="38"/>
      <x:c r="N50" s="38"/>
      <x:c r="O50" s="38"/>
      <x:c r="P50" s="16" t="str">
        <x:f>IF(COUNTA(H50:O50)&lt;8,"OPEN",IF(AND(H50&lt;='Assumptions'!$B$16,H50&lt;='Assumptions'!$B$15,I50&lt;='Assumptions'!$B$24,J50&lt;='Assumptions'!$B$21,K50&gt;='Receiver'!$B$9,L50="NO",M50="YES",N50="YES",O50="NO"),"PASS","ADVERSE"))</x:f>
        <x:v>OPEN</x:v>
      </x:c>
    </x:row>
    <x:row r="51">
      <x:c r="A51" s="16" t="str">
        <x:v>T-045</x:v>
      </x:c>
      <x:c r="B51" s="16" t="str">
        <x:v>A-I60</x:v>
      </x:c>
      <x:c r="C51" s="16" t="str">
        <x:v>L-A</x:v>
      </x:c>
      <x:c r="D51" s="16" t="str">
        <x:v>C-2</x:v>
      </x:c>
      <x:c r="E51" s="16" t="str">
        <x:v>QH-3</x:v>
      </x:c>
      <x:c r="F51" s="16" t="str">
        <x:v>A-I60-L-A-C-2</x:v>
      </x:c>
      <x:c r="G51" s="16" t="n">
        <x:v>1</x:v>
      </x:c>
      <x:c r="H51" s="45"/>
      <x:c r="I51" s="45"/>
      <x:c r="J51" s="45"/>
      <x:c r="K51" s="45"/>
      <x:c r="L51" s="38"/>
      <x:c r="M51" s="38"/>
      <x:c r="N51" s="38"/>
      <x:c r="O51" s="38"/>
      <x:c r="P51" s="16" t="str">
        <x:f>IF(COUNTA(H51:O51)&lt;8,"OPEN",IF(AND(H51&lt;='Assumptions'!$B$16,H51&lt;='Assumptions'!$B$15,I51&lt;='Assumptions'!$B$24,J51&lt;='Assumptions'!$B$21,K51&gt;='Receiver'!$B$9,L51="NO",M51="YES",N51="YES",O51="NO"),"PASS","ADVERSE"))</x:f>
        <x:v>OPEN</x:v>
      </x:c>
    </x:row>
    <x:row r="52">
      <x:c r="A52" s="16" t="str">
        <x:v>T-046</x:v>
      </x:c>
      <x:c r="B52" s="16" t="str">
        <x:v>A-I60</x:v>
      </x:c>
      <x:c r="C52" s="16" t="str">
        <x:v>L-A</x:v>
      </x:c>
      <x:c r="D52" s="16" t="str">
        <x:v>C-2</x:v>
      </x:c>
      <x:c r="E52" s="16" t="str">
        <x:v>QH-4</x:v>
      </x:c>
      <x:c r="F52" s="16" t="str">
        <x:v>A-I60-L-A-C-2</x:v>
      </x:c>
      <x:c r="G52" s="16" t="n">
        <x:v>1</x:v>
      </x:c>
      <x:c r="H52" s="45"/>
      <x:c r="I52" s="45"/>
      <x:c r="J52" s="45"/>
      <x:c r="K52" s="45"/>
      <x:c r="L52" s="38"/>
      <x:c r="M52" s="38"/>
      <x:c r="N52" s="38"/>
      <x:c r="O52" s="38"/>
      <x:c r="P52" s="16" t="str">
        <x:f>IF(COUNTA(H52:O52)&lt;8,"OPEN",IF(AND(H52&lt;='Assumptions'!$B$16,H52&lt;='Assumptions'!$B$15,I52&lt;='Assumptions'!$B$24,J52&lt;='Assumptions'!$B$21,K52&gt;='Receiver'!$B$9,L52="NO",M52="YES",N52="YES",O52="NO"),"PASS","ADVERSE"))</x:f>
        <x:v>OPEN</x:v>
      </x:c>
    </x:row>
    <x:row r="53">
      <x:c r="A53" s="16" t="str">
        <x:v>T-047</x:v>
      </x:c>
      <x:c r="B53" s="16" t="str">
        <x:v>A-I60</x:v>
      </x:c>
      <x:c r="C53" s="16" t="str">
        <x:v>L-A</x:v>
      </x:c>
      <x:c r="D53" s="16" t="str">
        <x:v>C-2</x:v>
      </x:c>
      <x:c r="E53" s="16" t="str">
        <x:v>QH-5</x:v>
      </x:c>
      <x:c r="F53" s="16" t="str">
        <x:v>A-I60-L-A-C-2</x:v>
      </x:c>
      <x:c r="G53" s="16" t="n">
        <x:v>1</x:v>
      </x:c>
      <x:c r="H53" s="45"/>
      <x:c r="I53" s="45"/>
      <x:c r="J53" s="45"/>
      <x:c r="K53" s="45"/>
      <x:c r="L53" s="38"/>
      <x:c r="M53" s="38"/>
      <x:c r="N53" s="38"/>
      <x:c r="O53" s="38"/>
      <x:c r="P53" s="16" t="str">
        <x:f>IF(COUNTA(H53:O53)&lt;8,"OPEN",IF(AND(H53&lt;='Assumptions'!$B$16,H53&lt;='Assumptions'!$B$15,I53&lt;='Assumptions'!$B$24,J53&lt;='Assumptions'!$B$21,K53&gt;='Receiver'!$B$9,L53="NO",M53="YES",N53="YES",O53="NO"),"PASS","ADVERSE"))</x:f>
        <x:v>OPEN</x:v>
      </x:c>
    </x:row>
    <x:row r="54">
      <x:c r="A54" s="16" t="str">
        <x:v>T-048</x:v>
      </x:c>
      <x:c r="B54" s="16" t="str">
        <x:v>A-I60</x:v>
      </x:c>
      <x:c r="C54" s="16" t="str">
        <x:v>L-A</x:v>
      </x:c>
      <x:c r="D54" s="16" t="str">
        <x:v>C-2</x:v>
      </x:c>
      <x:c r="E54" s="16" t="str">
        <x:v>QH-6</x:v>
      </x:c>
      <x:c r="F54" s="16" t="str">
        <x:v>A-I60-L-A-C-2</x:v>
      </x:c>
      <x:c r="G54" s="16" t="n">
        <x:v>1</x:v>
      </x:c>
      <x:c r="H54" s="45"/>
      <x:c r="I54" s="45"/>
      <x:c r="J54" s="45"/>
      <x:c r="K54" s="45"/>
      <x:c r="L54" s="38"/>
      <x:c r="M54" s="38"/>
      <x:c r="N54" s="38"/>
      <x:c r="O54" s="38"/>
      <x:c r="P54" s="16" t="str">
        <x:f>IF(COUNTA(H54:O54)&lt;8,"OPEN",IF(AND(H54&lt;='Assumptions'!$B$16,H54&lt;='Assumptions'!$B$15,I54&lt;='Assumptions'!$B$24,J54&lt;='Assumptions'!$B$21,K54&gt;='Receiver'!$B$9,L54="NO",M54="YES",N54="YES",O54="NO"),"PASS","ADVERSE"))</x:f>
        <x:v>OPEN</x:v>
      </x:c>
    </x:row>
    <x:row r="55">
      <x:c r="A55" s="16" t="str">
        <x:v>T-049</x:v>
      </x:c>
      <x:c r="B55" s="16" t="str">
        <x:v>A-I60</x:v>
      </x:c>
      <x:c r="C55" s="16" t="str">
        <x:v>L-A</x:v>
      </x:c>
      <x:c r="D55" s="16" t="str">
        <x:v>C-3</x:v>
      </x:c>
      <x:c r="E55" s="16" t="str">
        <x:v>QH-1</x:v>
      </x:c>
      <x:c r="F55" s="16" t="str">
        <x:v>A-I60-L-A-C-3</x:v>
      </x:c>
      <x:c r="G55" s="16" t="n">
        <x:v>1</x:v>
      </x:c>
      <x:c r="H55" s="45"/>
      <x:c r="I55" s="45"/>
      <x:c r="J55" s="45"/>
      <x:c r="K55" s="45"/>
      <x:c r="L55" s="38"/>
      <x:c r="M55" s="38"/>
      <x:c r="N55" s="38"/>
      <x:c r="O55" s="38"/>
      <x:c r="P55" s="16" t="str">
        <x:f>IF(COUNTA(H55:O55)&lt;8,"OPEN",IF(AND(H55&lt;='Assumptions'!$B$16,H55&lt;='Assumptions'!$B$15,I55&lt;='Assumptions'!$B$24,J55&lt;='Assumptions'!$B$21,K55&gt;='Receiver'!$B$9,L55="NO",M55="YES",N55="YES",O55="NO"),"PASS","ADVERSE"))</x:f>
        <x:v>OPEN</x:v>
      </x:c>
    </x:row>
    <x:row r="56">
      <x:c r="A56" s="16" t="str">
        <x:v>T-050</x:v>
      </x:c>
      <x:c r="B56" s="16" t="str">
        <x:v>A-I60</x:v>
      </x:c>
      <x:c r="C56" s="16" t="str">
        <x:v>L-A</x:v>
      </x:c>
      <x:c r="D56" s="16" t="str">
        <x:v>C-3</x:v>
      </x:c>
      <x:c r="E56" s="16" t="str">
        <x:v>QH-2</x:v>
      </x:c>
      <x:c r="F56" s="16" t="str">
        <x:v>A-I60-L-A-C-3</x:v>
      </x:c>
      <x:c r="G56" s="16" t="n">
        <x:v>1.1</x:v>
      </x:c>
      <x:c r="H56" s="45"/>
      <x:c r="I56" s="45"/>
      <x:c r="J56" s="45"/>
      <x:c r="K56" s="45"/>
      <x:c r="L56" s="38"/>
      <x:c r="M56" s="38"/>
      <x:c r="N56" s="38"/>
      <x:c r="O56" s="38"/>
      <x:c r="P56" s="16" t="str">
        <x:f>IF(COUNTA(H56:O56)&lt;8,"OPEN",IF(AND(H56&lt;='Assumptions'!$B$16,H56&lt;='Assumptions'!$B$15,I56&lt;='Assumptions'!$B$24,J56&lt;='Assumptions'!$B$21,K56&gt;='Receiver'!$B$9,L56="NO",M56="YES",N56="YES",O56="NO"),"PASS","ADVERSE"))</x:f>
        <x:v>OPEN</x:v>
      </x:c>
    </x:row>
    <x:row r="57">
      <x:c r="A57" s="16" t="str">
        <x:v>T-051</x:v>
      </x:c>
      <x:c r="B57" s="16" t="str">
        <x:v>A-I60</x:v>
      </x:c>
      <x:c r="C57" s="16" t="str">
        <x:v>L-A</x:v>
      </x:c>
      <x:c r="D57" s="16" t="str">
        <x:v>C-3</x:v>
      </x:c>
      <x:c r="E57" s="16" t="str">
        <x:v>QH-3</x:v>
      </x:c>
      <x:c r="F57" s="16" t="str">
        <x:v>A-I60-L-A-C-3</x:v>
      </x:c>
      <x:c r="G57" s="16" t="n">
        <x:v>1</x:v>
      </x:c>
      <x:c r="H57" s="45"/>
      <x:c r="I57" s="45"/>
      <x:c r="J57" s="45"/>
      <x:c r="K57" s="45"/>
      <x:c r="L57" s="38"/>
      <x:c r="M57" s="38"/>
      <x:c r="N57" s="38"/>
      <x:c r="O57" s="38"/>
      <x:c r="P57" s="16" t="str">
        <x:f>IF(COUNTA(H57:O57)&lt;8,"OPEN",IF(AND(H57&lt;='Assumptions'!$B$16,H57&lt;='Assumptions'!$B$15,I57&lt;='Assumptions'!$B$24,J57&lt;='Assumptions'!$B$21,K57&gt;='Receiver'!$B$9,L57="NO",M57="YES",N57="YES",O57="NO"),"PASS","ADVERSE"))</x:f>
        <x:v>OPEN</x:v>
      </x:c>
    </x:row>
    <x:row r="58">
      <x:c r="A58" s="16" t="str">
        <x:v>T-052</x:v>
      </x:c>
      <x:c r="B58" s="16" t="str">
        <x:v>A-I60</x:v>
      </x:c>
      <x:c r="C58" s="16" t="str">
        <x:v>L-A</x:v>
      </x:c>
      <x:c r="D58" s="16" t="str">
        <x:v>C-3</x:v>
      </x:c>
      <x:c r="E58" s="16" t="str">
        <x:v>QH-4</x:v>
      </x:c>
      <x:c r="F58" s="16" t="str">
        <x:v>A-I60-L-A-C-3</x:v>
      </x:c>
      <x:c r="G58" s="16" t="n">
        <x:v>1</x:v>
      </x:c>
      <x:c r="H58" s="45"/>
      <x:c r="I58" s="45"/>
      <x:c r="J58" s="45"/>
      <x:c r="K58" s="45"/>
      <x:c r="L58" s="38"/>
      <x:c r="M58" s="38"/>
      <x:c r="N58" s="38"/>
      <x:c r="O58" s="38"/>
      <x:c r="P58" s="16" t="str">
        <x:f>IF(COUNTA(H58:O58)&lt;8,"OPEN",IF(AND(H58&lt;='Assumptions'!$B$16,H58&lt;='Assumptions'!$B$15,I58&lt;='Assumptions'!$B$24,J58&lt;='Assumptions'!$B$21,K58&gt;='Receiver'!$B$9,L58="NO",M58="YES",N58="YES",O58="NO"),"PASS","ADVERSE"))</x:f>
        <x:v>OPEN</x:v>
      </x:c>
    </x:row>
    <x:row r="59">
      <x:c r="A59" s="16" t="str">
        <x:v>T-053</x:v>
      </x:c>
      <x:c r="B59" s="16" t="str">
        <x:v>A-I60</x:v>
      </x:c>
      <x:c r="C59" s="16" t="str">
        <x:v>L-A</x:v>
      </x:c>
      <x:c r="D59" s="16" t="str">
        <x:v>C-3</x:v>
      </x:c>
      <x:c r="E59" s="16" t="str">
        <x:v>QH-5</x:v>
      </x:c>
      <x:c r="F59" s="16" t="str">
        <x:v>A-I60-L-A-C-3</x:v>
      </x:c>
      <x:c r="G59" s="16" t="n">
        <x:v>1</x:v>
      </x:c>
      <x:c r="H59" s="45"/>
      <x:c r="I59" s="45"/>
      <x:c r="J59" s="45"/>
      <x:c r="K59" s="45"/>
      <x:c r="L59" s="38"/>
      <x:c r="M59" s="38"/>
      <x:c r="N59" s="38"/>
      <x:c r="O59" s="38"/>
      <x:c r="P59" s="16" t="str">
        <x:f>IF(COUNTA(H59:O59)&lt;8,"OPEN",IF(AND(H59&lt;='Assumptions'!$B$16,H59&lt;='Assumptions'!$B$15,I59&lt;='Assumptions'!$B$24,J59&lt;='Assumptions'!$B$21,K59&gt;='Receiver'!$B$9,L59="NO",M59="YES",N59="YES",O59="NO"),"PASS","ADVERSE"))</x:f>
        <x:v>OPEN</x:v>
      </x:c>
    </x:row>
    <x:row r="60">
      <x:c r="A60" s="16" t="str">
        <x:v>T-054</x:v>
      </x:c>
      <x:c r="B60" s="16" t="str">
        <x:v>A-I60</x:v>
      </x:c>
      <x:c r="C60" s="16" t="str">
        <x:v>L-A</x:v>
      </x:c>
      <x:c r="D60" s="16" t="str">
        <x:v>C-3</x:v>
      </x:c>
      <x:c r="E60" s="16" t="str">
        <x:v>QH-6</x:v>
      </x:c>
      <x:c r="F60" s="16" t="str">
        <x:v>A-I60-L-A-C-3</x:v>
      </x:c>
      <x:c r="G60" s="16" t="n">
        <x:v>1</x:v>
      </x:c>
      <x:c r="H60" s="45"/>
      <x:c r="I60" s="45"/>
      <x:c r="J60" s="45"/>
      <x:c r="K60" s="45"/>
      <x:c r="L60" s="38"/>
      <x:c r="M60" s="38"/>
      <x:c r="N60" s="38"/>
      <x:c r="O60" s="38"/>
      <x:c r="P60" s="16" t="str">
        <x:f>IF(COUNTA(H60:O60)&lt;8,"OPEN",IF(AND(H60&lt;='Assumptions'!$B$16,H60&lt;='Assumptions'!$B$15,I60&lt;='Assumptions'!$B$24,J60&lt;='Assumptions'!$B$21,K60&gt;='Receiver'!$B$9,L60="NO",M60="YES",N60="YES",O60="NO"),"PASS","ADVERSE"))</x:f>
        <x:v>OPEN</x:v>
      </x:c>
    </x:row>
    <x:row r="61">
      <x:c r="A61" s="16" t="str">
        <x:v>T-055</x:v>
      </x:c>
      <x:c r="B61" s="16" t="str">
        <x:v>A-I60</x:v>
      </x:c>
      <x:c r="C61" s="16" t="str">
        <x:v>L-B</x:v>
      </x:c>
      <x:c r="D61" s="16" t="str">
        <x:v>C-1</x:v>
      </x:c>
      <x:c r="E61" s="16" t="str">
        <x:v>QH-1</x:v>
      </x:c>
      <x:c r="F61" s="16" t="str">
        <x:v>A-I60-L-B-C-1</x:v>
      </x:c>
      <x:c r="G61" s="16" t="n">
        <x:v>1</x:v>
      </x:c>
      <x:c r="H61" s="45"/>
      <x:c r="I61" s="45"/>
      <x:c r="J61" s="45"/>
      <x:c r="K61" s="45"/>
      <x:c r="L61" s="38"/>
      <x:c r="M61" s="38"/>
      <x:c r="N61" s="38"/>
      <x:c r="O61" s="38"/>
      <x:c r="P61" s="16" t="str">
        <x:f>IF(COUNTA(H61:O61)&lt;8,"OPEN",IF(AND(H61&lt;='Assumptions'!$B$16,H61&lt;='Assumptions'!$B$15,I61&lt;='Assumptions'!$B$24,J61&lt;='Assumptions'!$B$21,K61&gt;='Receiver'!$B$9,L61="NO",M61="YES",N61="YES",O61="NO"),"PASS","ADVERSE"))</x:f>
        <x:v>OPEN</x:v>
      </x:c>
    </x:row>
    <x:row r="62">
      <x:c r="A62" s="16" t="str">
        <x:v>T-056</x:v>
      </x:c>
      <x:c r="B62" s="16" t="str">
        <x:v>A-I60</x:v>
      </x:c>
      <x:c r="C62" s="16" t="str">
        <x:v>L-B</x:v>
      </x:c>
      <x:c r="D62" s="16" t="str">
        <x:v>C-1</x:v>
      </x:c>
      <x:c r="E62" s="16" t="str">
        <x:v>QH-2</x:v>
      </x:c>
      <x:c r="F62" s="16" t="str">
        <x:v>A-I60-L-B-C-1</x:v>
      </x:c>
      <x:c r="G62" s="16" t="n">
        <x:v>1.1</x:v>
      </x:c>
      <x:c r="H62" s="45"/>
      <x:c r="I62" s="45"/>
      <x:c r="J62" s="45"/>
      <x:c r="K62" s="45"/>
      <x:c r="L62" s="38"/>
      <x:c r="M62" s="38"/>
      <x:c r="N62" s="38"/>
      <x:c r="O62" s="38"/>
      <x:c r="P62" s="16" t="str">
        <x:f>IF(COUNTA(H62:O62)&lt;8,"OPEN",IF(AND(H62&lt;='Assumptions'!$B$16,H62&lt;='Assumptions'!$B$15,I62&lt;='Assumptions'!$B$24,J62&lt;='Assumptions'!$B$21,K62&gt;='Receiver'!$B$9,L62="NO",M62="YES",N62="YES",O62="NO"),"PASS","ADVERSE"))</x:f>
        <x:v>OPEN</x:v>
      </x:c>
    </x:row>
    <x:row r="63">
      <x:c r="A63" s="16" t="str">
        <x:v>T-057</x:v>
      </x:c>
      <x:c r="B63" s="16" t="str">
        <x:v>A-I60</x:v>
      </x:c>
      <x:c r="C63" s="16" t="str">
        <x:v>L-B</x:v>
      </x:c>
      <x:c r="D63" s="16" t="str">
        <x:v>C-1</x:v>
      </x:c>
      <x:c r="E63" s="16" t="str">
        <x:v>QH-3</x:v>
      </x:c>
      <x:c r="F63" s="16" t="str">
        <x:v>A-I60-L-B-C-1</x:v>
      </x:c>
      <x:c r="G63" s="16" t="n">
        <x:v>1</x:v>
      </x:c>
      <x:c r="H63" s="45"/>
      <x:c r="I63" s="45"/>
      <x:c r="J63" s="45"/>
      <x:c r="K63" s="45"/>
      <x:c r="L63" s="38"/>
      <x:c r="M63" s="38"/>
      <x:c r="N63" s="38"/>
      <x:c r="O63" s="38"/>
      <x:c r="P63" s="16" t="str">
        <x:f>IF(COUNTA(H63:O63)&lt;8,"OPEN",IF(AND(H63&lt;='Assumptions'!$B$16,H63&lt;='Assumptions'!$B$15,I63&lt;='Assumptions'!$B$24,J63&lt;='Assumptions'!$B$21,K63&gt;='Receiver'!$B$9,L63="NO",M63="YES",N63="YES",O63="NO"),"PASS","ADVERSE"))</x:f>
        <x:v>OPEN</x:v>
      </x:c>
    </x:row>
    <x:row r="64">
      <x:c r="A64" s="16" t="str">
        <x:v>T-058</x:v>
      </x:c>
      <x:c r="B64" s="16" t="str">
        <x:v>A-I60</x:v>
      </x:c>
      <x:c r="C64" s="16" t="str">
        <x:v>L-B</x:v>
      </x:c>
      <x:c r="D64" s="16" t="str">
        <x:v>C-1</x:v>
      </x:c>
      <x:c r="E64" s="16" t="str">
        <x:v>QH-4</x:v>
      </x:c>
      <x:c r="F64" s="16" t="str">
        <x:v>A-I60-L-B-C-1</x:v>
      </x:c>
      <x:c r="G64" s="16" t="n">
        <x:v>1</x:v>
      </x:c>
      <x:c r="H64" s="45"/>
      <x:c r="I64" s="45"/>
      <x:c r="J64" s="45"/>
      <x:c r="K64" s="45"/>
      <x:c r="L64" s="38"/>
      <x:c r="M64" s="38"/>
      <x:c r="N64" s="38"/>
      <x:c r="O64" s="38"/>
      <x:c r="P64" s="16" t="str">
        <x:f>IF(COUNTA(H64:O64)&lt;8,"OPEN",IF(AND(H64&lt;='Assumptions'!$B$16,H64&lt;='Assumptions'!$B$15,I64&lt;='Assumptions'!$B$24,J64&lt;='Assumptions'!$B$21,K64&gt;='Receiver'!$B$9,L64="NO",M64="YES",N64="YES",O64="NO"),"PASS","ADVERSE"))</x:f>
        <x:v>OPEN</x:v>
      </x:c>
    </x:row>
    <x:row r="65">
      <x:c r="A65" s="16" t="str">
        <x:v>T-059</x:v>
      </x:c>
      <x:c r="B65" s="16" t="str">
        <x:v>A-I60</x:v>
      </x:c>
      <x:c r="C65" s="16" t="str">
        <x:v>L-B</x:v>
      </x:c>
      <x:c r="D65" s="16" t="str">
        <x:v>C-1</x:v>
      </x:c>
      <x:c r="E65" s="16" t="str">
        <x:v>QH-5</x:v>
      </x:c>
      <x:c r="F65" s="16" t="str">
        <x:v>A-I60-L-B-C-1</x:v>
      </x:c>
      <x:c r="G65" s="16" t="n">
        <x:v>1</x:v>
      </x:c>
      <x:c r="H65" s="45"/>
      <x:c r="I65" s="45"/>
      <x:c r="J65" s="45"/>
      <x:c r="K65" s="45"/>
      <x:c r="L65" s="38"/>
      <x:c r="M65" s="38"/>
      <x:c r="N65" s="38"/>
      <x:c r="O65" s="38"/>
      <x:c r="P65" s="16" t="str">
        <x:f>IF(COUNTA(H65:O65)&lt;8,"OPEN",IF(AND(H65&lt;='Assumptions'!$B$16,H65&lt;='Assumptions'!$B$15,I65&lt;='Assumptions'!$B$24,J65&lt;='Assumptions'!$B$21,K65&gt;='Receiver'!$B$9,L65="NO",M65="YES",N65="YES",O65="NO"),"PASS","ADVERSE"))</x:f>
        <x:v>OPEN</x:v>
      </x:c>
    </x:row>
    <x:row r="66">
      <x:c r="A66" s="16" t="str">
        <x:v>T-060</x:v>
      </x:c>
      <x:c r="B66" s="16" t="str">
        <x:v>A-I60</x:v>
      </x:c>
      <x:c r="C66" s="16" t="str">
        <x:v>L-B</x:v>
      </x:c>
      <x:c r="D66" s="16" t="str">
        <x:v>C-1</x:v>
      </x:c>
      <x:c r="E66" s="16" t="str">
        <x:v>QH-6</x:v>
      </x:c>
      <x:c r="F66" s="16" t="str">
        <x:v>A-I60-L-B-C-1</x:v>
      </x:c>
      <x:c r="G66" s="16" t="n">
        <x:v>1</x:v>
      </x:c>
      <x:c r="H66" s="45"/>
      <x:c r="I66" s="45"/>
      <x:c r="J66" s="45"/>
      <x:c r="K66" s="45"/>
      <x:c r="L66" s="38"/>
      <x:c r="M66" s="38"/>
      <x:c r="N66" s="38"/>
      <x:c r="O66" s="38"/>
      <x:c r="P66" s="16" t="str">
        <x:f>IF(COUNTA(H66:O66)&lt;8,"OPEN",IF(AND(H66&lt;='Assumptions'!$B$16,H66&lt;='Assumptions'!$B$15,I66&lt;='Assumptions'!$B$24,J66&lt;='Assumptions'!$B$21,K66&gt;='Receiver'!$B$9,L66="NO",M66="YES",N66="YES",O66="NO"),"PASS","ADVERSE"))</x:f>
        <x:v>OPEN</x:v>
      </x:c>
    </x:row>
    <x:row r="67">
      <x:c r="A67" s="16" t="str">
        <x:v>T-061</x:v>
      </x:c>
      <x:c r="B67" s="16" t="str">
        <x:v>A-I60</x:v>
      </x:c>
      <x:c r="C67" s="16" t="str">
        <x:v>L-B</x:v>
      </x:c>
      <x:c r="D67" s="16" t="str">
        <x:v>C-2</x:v>
      </x:c>
      <x:c r="E67" s="16" t="str">
        <x:v>QH-1</x:v>
      </x:c>
      <x:c r="F67" s="16" t="str">
        <x:v>A-I60-L-B-C-2</x:v>
      </x:c>
      <x:c r="G67" s="16" t="n">
        <x:v>1</x:v>
      </x:c>
      <x:c r="H67" s="45"/>
      <x:c r="I67" s="45"/>
      <x:c r="J67" s="45"/>
      <x:c r="K67" s="45"/>
      <x:c r="L67" s="38"/>
      <x:c r="M67" s="38"/>
      <x:c r="N67" s="38"/>
      <x:c r="O67" s="38"/>
      <x:c r="P67" s="16" t="str">
        <x:f>IF(COUNTA(H67:O67)&lt;8,"OPEN",IF(AND(H67&lt;='Assumptions'!$B$16,H67&lt;='Assumptions'!$B$15,I67&lt;='Assumptions'!$B$24,J67&lt;='Assumptions'!$B$21,K67&gt;='Receiver'!$B$9,L67="NO",M67="YES",N67="YES",O67="NO"),"PASS","ADVERSE"))</x:f>
        <x:v>OPEN</x:v>
      </x:c>
    </x:row>
    <x:row r="68">
      <x:c r="A68" s="16" t="str">
        <x:v>T-062</x:v>
      </x:c>
      <x:c r="B68" s="16" t="str">
        <x:v>A-I60</x:v>
      </x:c>
      <x:c r="C68" s="16" t="str">
        <x:v>L-B</x:v>
      </x:c>
      <x:c r="D68" s="16" t="str">
        <x:v>C-2</x:v>
      </x:c>
      <x:c r="E68" s="16" t="str">
        <x:v>QH-2</x:v>
      </x:c>
      <x:c r="F68" s="16" t="str">
        <x:v>A-I60-L-B-C-2</x:v>
      </x:c>
      <x:c r="G68" s="16" t="n">
        <x:v>1.1</x:v>
      </x:c>
      <x:c r="H68" s="45"/>
      <x:c r="I68" s="45"/>
      <x:c r="J68" s="45"/>
      <x:c r="K68" s="45"/>
      <x:c r="L68" s="38"/>
      <x:c r="M68" s="38"/>
      <x:c r="N68" s="38"/>
      <x:c r="O68" s="38"/>
      <x:c r="P68" s="16" t="str">
        <x:f>IF(COUNTA(H68:O68)&lt;8,"OPEN",IF(AND(H68&lt;='Assumptions'!$B$16,H68&lt;='Assumptions'!$B$15,I68&lt;='Assumptions'!$B$24,J68&lt;='Assumptions'!$B$21,K68&gt;='Receiver'!$B$9,L68="NO",M68="YES",N68="YES",O68="NO"),"PASS","ADVERSE"))</x:f>
        <x:v>OPEN</x:v>
      </x:c>
    </x:row>
    <x:row r="69">
      <x:c r="A69" s="16" t="str">
        <x:v>T-063</x:v>
      </x:c>
      <x:c r="B69" s="16" t="str">
        <x:v>A-I60</x:v>
      </x:c>
      <x:c r="C69" s="16" t="str">
        <x:v>L-B</x:v>
      </x:c>
      <x:c r="D69" s="16" t="str">
        <x:v>C-2</x:v>
      </x:c>
      <x:c r="E69" s="16" t="str">
        <x:v>QH-3</x:v>
      </x:c>
      <x:c r="F69" s="16" t="str">
        <x:v>A-I60-L-B-C-2</x:v>
      </x:c>
      <x:c r="G69" s="16" t="n">
        <x:v>1</x:v>
      </x:c>
      <x:c r="H69" s="45"/>
      <x:c r="I69" s="45"/>
      <x:c r="J69" s="45"/>
      <x:c r="K69" s="45"/>
      <x:c r="L69" s="38"/>
      <x:c r="M69" s="38"/>
      <x:c r="N69" s="38"/>
      <x:c r="O69" s="38"/>
      <x:c r="P69" s="16" t="str">
        <x:f>IF(COUNTA(H69:O69)&lt;8,"OPEN",IF(AND(H69&lt;='Assumptions'!$B$16,H69&lt;='Assumptions'!$B$15,I69&lt;='Assumptions'!$B$24,J69&lt;='Assumptions'!$B$21,K69&gt;='Receiver'!$B$9,L69="NO",M69="YES",N69="YES",O69="NO"),"PASS","ADVERSE"))</x:f>
        <x:v>OPEN</x:v>
      </x:c>
    </x:row>
    <x:row r="70">
      <x:c r="A70" s="16" t="str">
        <x:v>T-064</x:v>
      </x:c>
      <x:c r="B70" s="16" t="str">
        <x:v>A-I60</x:v>
      </x:c>
      <x:c r="C70" s="16" t="str">
        <x:v>L-B</x:v>
      </x:c>
      <x:c r="D70" s="16" t="str">
        <x:v>C-2</x:v>
      </x:c>
      <x:c r="E70" s="16" t="str">
        <x:v>QH-4</x:v>
      </x:c>
      <x:c r="F70" s="16" t="str">
        <x:v>A-I60-L-B-C-2</x:v>
      </x:c>
      <x:c r="G70" s="16" t="n">
        <x:v>1</x:v>
      </x:c>
      <x:c r="H70" s="45"/>
      <x:c r="I70" s="45"/>
      <x:c r="J70" s="45"/>
      <x:c r="K70" s="45"/>
      <x:c r="L70" s="38"/>
      <x:c r="M70" s="38"/>
      <x:c r="N70" s="38"/>
      <x:c r="O70" s="38"/>
      <x:c r="P70" s="16" t="str">
        <x:f>IF(COUNTA(H70:O70)&lt;8,"OPEN",IF(AND(H70&lt;='Assumptions'!$B$16,H70&lt;='Assumptions'!$B$15,I70&lt;='Assumptions'!$B$24,J70&lt;='Assumptions'!$B$21,K70&gt;='Receiver'!$B$9,L70="NO",M70="YES",N70="YES",O70="NO"),"PASS","ADVERSE"))</x:f>
        <x:v>OPEN</x:v>
      </x:c>
    </x:row>
    <x:row r="71">
      <x:c r="A71" s="16" t="str">
        <x:v>T-065</x:v>
      </x:c>
      <x:c r="B71" s="16" t="str">
        <x:v>A-I60</x:v>
      </x:c>
      <x:c r="C71" s="16" t="str">
        <x:v>L-B</x:v>
      </x:c>
      <x:c r="D71" s="16" t="str">
        <x:v>C-2</x:v>
      </x:c>
      <x:c r="E71" s="16" t="str">
        <x:v>QH-5</x:v>
      </x:c>
      <x:c r="F71" s="16" t="str">
        <x:v>A-I60-L-B-C-2</x:v>
      </x:c>
      <x:c r="G71" s="16" t="n">
        <x:v>1</x:v>
      </x:c>
      <x:c r="H71" s="45"/>
      <x:c r="I71" s="45"/>
      <x:c r="J71" s="45"/>
      <x:c r="K71" s="45"/>
      <x:c r="L71" s="38"/>
      <x:c r="M71" s="38"/>
      <x:c r="N71" s="38"/>
      <x:c r="O71" s="38"/>
      <x:c r="P71" s="16" t="str">
        <x:f>IF(COUNTA(H71:O71)&lt;8,"OPEN",IF(AND(H71&lt;='Assumptions'!$B$16,H71&lt;='Assumptions'!$B$15,I71&lt;='Assumptions'!$B$24,J71&lt;='Assumptions'!$B$21,K71&gt;='Receiver'!$B$9,L71="NO",M71="YES",N71="YES",O71="NO"),"PASS","ADVERSE"))</x:f>
        <x:v>OPEN</x:v>
      </x:c>
    </x:row>
    <x:row r="72">
      <x:c r="A72" s="16" t="str">
        <x:v>T-066</x:v>
      </x:c>
      <x:c r="B72" s="16" t="str">
        <x:v>A-I60</x:v>
      </x:c>
      <x:c r="C72" s="16" t="str">
        <x:v>L-B</x:v>
      </x:c>
      <x:c r="D72" s="16" t="str">
        <x:v>C-2</x:v>
      </x:c>
      <x:c r="E72" s="16" t="str">
        <x:v>QH-6</x:v>
      </x:c>
      <x:c r="F72" s="16" t="str">
        <x:v>A-I60-L-B-C-2</x:v>
      </x:c>
      <x:c r="G72" s="16" t="n">
        <x:v>1</x:v>
      </x:c>
      <x:c r="H72" s="45"/>
      <x:c r="I72" s="45"/>
      <x:c r="J72" s="45"/>
      <x:c r="K72" s="45"/>
      <x:c r="L72" s="38"/>
      <x:c r="M72" s="38"/>
      <x:c r="N72" s="38"/>
      <x:c r="O72" s="38"/>
      <x:c r="P72" s="16" t="str">
        <x:f>IF(COUNTA(H72:O72)&lt;8,"OPEN",IF(AND(H72&lt;='Assumptions'!$B$16,H72&lt;='Assumptions'!$B$15,I72&lt;='Assumptions'!$B$24,J72&lt;='Assumptions'!$B$21,K72&gt;='Receiver'!$B$9,L72="NO",M72="YES",N72="YES",O72="NO"),"PASS","ADVERSE"))</x:f>
        <x:v>OPEN</x:v>
      </x:c>
    </x:row>
    <x:row r="73">
      <x:c r="A73" s="16" t="str">
        <x:v>T-067</x:v>
      </x:c>
      <x:c r="B73" s="16" t="str">
        <x:v>A-I60</x:v>
      </x:c>
      <x:c r="C73" s="16" t="str">
        <x:v>L-B</x:v>
      </x:c>
      <x:c r="D73" s="16" t="str">
        <x:v>C-3</x:v>
      </x:c>
      <x:c r="E73" s="16" t="str">
        <x:v>QH-1</x:v>
      </x:c>
      <x:c r="F73" s="16" t="str">
        <x:v>A-I60-L-B-C-3</x:v>
      </x:c>
      <x:c r="G73" s="16" t="n">
        <x:v>1</x:v>
      </x:c>
      <x:c r="H73" s="45"/>
      <x:c r="I73" s="45"/>
      <x:c r="J73" s="45"/>
      <x:c r="K73" s="45"/>
      <x:c r="L73" s="38"/>
      <x:c r="M73" s="38"/>
      <x:c r="N73" s="38"/>
      <x:c r="O73" s="38"/>
      <x:c r="P73" s="16" t="str">
        <x:f>IF(COUNTA(H73:O73)&lt;8,"OPEN",IF(AND(H73&lt;='Assumptions'!$B$16,H73&lt;='Assumptions'!$B$15,I73&lt;='Assumptions'!$B$24,J73&lt;='Assumptions'!$B$21,K73&gt;='Receiver'!$B$9,L73="NO",M73="YES",N73="YES",O73="NO"),"PASS","ADVERSE"))</x:f>
        <x:v>OPEN</x:v>
      </x:c>
    </x:row>
    <x:row r="74">
      <x:c r="A74" s="16" t="str">
        <x:v>T-068</x:v>
      </x:c>
      <x:c r="B74" s="16" t="str">
        <x:v>A-I60</x:v>
      </x:c>
      <x:c r="C74" s="16" t="str">
        <x:v>L-B</x:v>
      </x:c>
      <x:c r="D74" s="16" t="str">
        <x:v>C-3</x:v>
      </x:c>
      <x:c r="E74" s="16" t="str">
        <x:v>QH-2</x:v>
      </x:c>
      <x:c r="F74" s="16" t="str">
        <x:v>A-I60-L-B-C-3</x:v>
      </x:c>
      <x:c r="G74" s="16" t="n">
        <x:v>1.1</x:v>
      </x:c>
      <x:c r="H74" s="45"/>
      <x:c r="I74" s="45"/>
      <x:c r="J74" s="45"/>
      <x:c r="K74" s="45"/>
      <x:c r="L74" s="38"/>
      <x:c r="M74" s="38"/>
      <x:c r="N74" s="38"/>
      <x:c r="O74" s="38"/>
      <x:c r="P74" s="16" t="str">
        <x:f>IF(COUNTA(H74:O74)&lt;8,"OPEN",IF(AND(H74&lt;='Assumptions'!$B$16,H74&lt;='Assumptions'!$B$15,I74&lt;='Assumptions'!$B$24,J74&lt;='Assumptions'!$B$21,K74&gt;='Receiver'!$B$9,L74="NO",M74="YES",N74="YES",O74="NO"),"PASS","ADVERSE"))</x:f>
        <x:v>OPEN</x:v>
      </x:c>
    </x:row>
    <x:row r="75">
      <x:c r="A75" s="16" t="str">
        <x:v>T-069</x:v>
      </x:c>
      <x:c r="B75" s="16" t="str">
        <x:v>A-I60</x:v>
      </x:c>
      <x:c r="C75" s="16" t="str">
        <x:v>L-B</x:v>
      </x:c>
      <x:c r="D75" s="16" t="str">
        <x:v>C-3</x:v>
      </x:c>
      <x:c r="E75" s="16" t="str">
        <x:v>QH-3</x:v>
      </x:c>
      <x:c r="F75" s="16" t="str">
        <x:v>A-I60-L-B-C-3</x:v>
      </x:c>
      <x:c r="G75" s="16" t="n">
        <x:v>1</x:v>
      </x:c>
      <x:c r="H75" s="45"/>
      <x:c r="I75" s="45"/>
      <x:c r="J75" s="45"/>
      <x:c r="K75" s="45"/>
      <x:c r="L75" s="38"/>
      <x:c r="M75" s="38"/>
      <x:c r="N75" s="38"/>
      <x:c r="O75" s="38"/>
      <x:c r="P75" s="16" t="str">
        <x:f>IF(COUNTA(H75:O75)&lt;8,"OPEN",IF(AND(H75&lt;='Assumptions'!$B$16,H75&lt;='Assumptions'!$B$15,I75&lt;='Assumptions'!$B$24,J75&lt;='Assumptions'!$B$21,K75&gt;='Receiver'!$B$9,L75="NO",M75="YES",N75="YES",O75="NO"),"PASS","ADVERSE"))</x:f>
        <x:v>OPEN</x:v>
      </x:c>
    </x:row>
    <x:row r="76">
      <x:c r="A76" s="16" t="str">
        <x:v>T-070</x:v>
      </x:c>
      <x:c r="B76" s="16" t="str">
        <x:v>A-I60</x:v>
      </x:c>
      <x:c r="C76" s="16" t="str">
        <x:v>L-B</x:v>
      </x:c>
      <x:c r="D76" s="16" t="str">
        <x:v>C-3</x:v>
      </x:c>
      <x:c r="E76" s="16" t="str">
        <x:v>QH-4</x:v>
      </x:c>
      <x:c r="F76" s="16" t="str">
        <x:v>A-I60-L-B-C-3</x:v>
      </x:c>
      <x:c r="G76" s="16" t="n">
        <x:v>1</x:v>
      </x:c>
      <x:c r="H76" s="45"/>
      <x:c r="I76" s="45"/>
      <x:c r="J76" s="45"/>
      <x:c r="K76" s="45"/>
      <x:c r="L76" s="38"/>
      <x:c r="M76" s="38"/>
      <x:c r="N76" s="38"/>
      <x:c r="O76" s="38"/>
      <x:c r="P76" s="16" t="str">
        <x:f>IF(COUNTA(H76:O76)&lt;8,"OPEN",IF(AND(H76&lt;='Assumptions'!$B$16,H76&lt;='Assumptions'!$B$15,I76&lt;='Assumptions'!$B$24,J76&lt;='Assumptions'!$B$21,K76&gt;='Receiver'!$B$9,L76="NO",M76="YES",N76="YES",O76="NO"),"PASS","ADVERSE"))</x:f>
        <x:v>OPEN</x:v>
      </x:c>
    </x:row>
    <x:row r="77">
      <x:c r="A77" s="16" t="str">
        <x:v>T-071</x:v>
      </x:c>
      <x:c r="B77" s="16" t="str">
        <x:v>A-I60</x:v>
      </x:c>
      <x:c r="C77" s="16" t="str">
        <x:v>L-B</x:v>
      </x:c>
      <x:c r="D77" s="16" t="str">
        <x:v>C-3</x:v>
      </x:c>
      <x:c r="E77" s="16" t="str">
        <x:v>QH-5</x:v>
      </x:c>
      <x:c r="F77" s="16" t="str">
        <x:v>A-I60-L-B-C-3</x:v>
      </x:c>
      <x:c r="G77" s="16" t="n">
        <x:v>1</x:v>
      </x:c>
      <x:c r="H77" s="45"/>
      <x:c r="I77" s="45"/>
      <x:c r="J77" s="45"/>
      <x:c r="K77" s="45"/>
      <x:c r="L77" s="38"/>
      <x:c r="M77" s="38"/>
      <x:c r="N77" s="38"/>
      <x:c r="O77" s="38"/>
      <x:c r="P77" s="16" t="str">
        <x:f>IF(COUNTA(H77:O77)&lt;8,"OPEN",IF(AND(H77&lt;='Assumptions'!$B$16,H77&lt;='Assumptions'!$B$15,I77&lt;='Assumptions'!$B$24,J77&lt;='Assumptions'!$B$21,K77&gt;='Receiver'!$B$9,L77="NO",M77="YES",N77="YES",O77="NO"),"PASS","ADVERSE"))</x:f>
        <x:v>OPEN</x:v>
      </x:c>
    </x:row>
    <x:row r="78">
      <x:c r="A78" s="16" t="str">
        <x:v>T-072</x:v>
      </x:c>
      <x:c r="B78" s="16" t="str">
        <x:v>A-I60</x:v>
      </x:c>
      <x:c r="C78" s="16" t="str">
        <x:v>L-B</x:v>
      </x:c>
      <x:c r="D78" s="16" t="str">
        <x:v>C-3</x:v>
      </x:c>
      <x:c r="E78" s="16" t="str">
        <x:v>QH-6</x:v>
      </x:c>
      <x:c r="F78" s="16" t="str">
        <x:v>A-I60-L-B-C-3</x:v>
      </x:c>
      <x:c r="G78" s="16" t="n">
        <x:v>1</x:v>
      </x:c>
      <x:c r="H78" s="45"/>
      <x:c r="I78" s="45"/>
      <x:c r="J78" s="45"/>
      <x:c r="K78" s="45"/>
      <x:c r="L78" s="38"/>
      <x:c r="M78" s="38"/>
      <x:c r="N78" s="38"/>
      <x:c r="O78" s="38"/>
      <x:c r="P78" s="16" t="str">
        <x:f>IF(COUNTA(H78:O78)&lt;8,"OPEN",IF(AND(H78&lt;='Assumptions'!$B$16,H78&lt;='Assumptions'!$B$15,I78&lt;='Assumptions'!$B$24,J78&lt;='Assumptions'!$B$21,K78&gt;='Receiver'!$B$9,L78="NO",M78="YES",N78="YES",O78="NO"),"PASS","ADVERSE"))</x:f>
        <x:v>OPEN</x:v>
      </x:c>
    </x:row>
    <x:row r="79">
      <x:c r="A79" s="16" t="str">
        <x:v>T-073</x:v>
      </x:c>
      <x:c r="B79" s="16" t="str">
        <x:v>A-T40</x:v>
      </x:c>
      <x:c r="C79" s="16" t="str">
        <x:v>L-A</x:v>
      </x:c>
      <x:c r="D79" s="16" t="str">
        <x:v>C-1</x:v>
      </x:c>
      <x:c r="E79" s="16" t="str">
        <x:v>QH-1</x:v>
      </x:c>
      <x:c r="F79" s="16" t="str">
        <x:v>A-T40-L-A-C-1</x:v>
      </x:c>
      <x:c r="G79" s="16" t="n">
        <x:v>1</x:v>
      </x:c>
      <x:c r="H79" s="45"/>
      <x:c r="I79" s="45"/>
      <x:c r="J79" s="45"/>
      <x:c r="K79" s="45"/>
      <x:c r="L79" s="38"/>
      <x:c r="M79" s="38"/>
      <x:c r="N79" s="38"/>
      <x:c r="O79" s="38"/>
      <x:c r="P79" s="16" t="str">
        <x:f>IF(COUNTA(H79:O79)&lt;8,"OPEN",IF(AND(H79&lt;='Assumptions'!$B$16,H79&lt;='Assumptions'!$B$15,I79&lt;='Assumptions'!$B$24,J79&lt;='Assumptions'!$B$21,K79&gt;='Receiver'!$B$9,L79="NO",M79="YES",N79="YES",O79="NO"),"PASS","ADVERSE"))</x:f>
        <x:v>OPEN</x:v>
      </x:c>
    </x:row>
    <x:row r="80">
      <x:c r="A80" s="16" t="str">
        <x:v>T-074</x:v>
      </x:c>
      <x:c r="B80" s="16" t="str">
        <x:v>A-T40</x:v>
      </x:c>
      <x:c r="C80" s="16" t="str">
        <x:v>L-A</x:v>
      </x:c>
      <x:c r="D80" s="16" t="str">
        <x:v>C-1</x:v>
      </x:c>
      <x:c r="E80" s="16" t="str">
        <x:v>QH-2</x:v>
      </x:c>
      <x:c r="F80" s="16" t="str">
        <x:v>A-T40-L-A-C-1</x:v>
      </x:c>
      <x:c r="G80" s="16" t="n">
        <x:v>1.1</x:v>
      </x:c>
      <x:c r="H80" s="45"/>
      <x:c r="I80" s="45"/>
      <x:c r="J80" s="45"/>
      <x:c r="K80" s="45"/>
      <x:c r="L80" s="38"/>
      <x:c r="M80" s="38"/>
      <x:c r="N80" s="38"/>
      <x:c r="O80" s="38"/>
      <x:c r="P80" s="16" t="str">
        <x:f>IF(COUNTA(H80:O80)&lt;8,"OPEN",IF(AND(H80&lt;='Assumptions'!$B$16,H80&lt;='Assumptions'!$B$15,I80&lt;='Assumptions'!$B$24,J80&lt;='Assumptions'!$B$21,K80&gt;='Receiver'!$B$9,L80="NO",M80="YES",N80="YES",O80="NO"),"PASS","ADVERSE"))</x:f>
        <x:v>OPEN</x:v>
      </x:c>
    </x:row>
    <x:row r="81">
      <x:c r="A81" s="16" t="str">
        <x:v>T-075</x:v>
      </x:c>
      <x:c r="B81" s="16" t="str">
        <x:v>A-T40</x:v>
      </x:c>
      <x:c r="C81" s="16" t="str">
        <x:v>L-A</x:v>
      </x:c>
      <x:c r="D81" s="16" t="str">
        <x:v>C-1</x:v>
      </x:c>
      <x:c r="E81" s="16" t="str">
        <x:v>QH-3</x:v>
      </x:c>
      <x:c r="F81" s="16" t="str">
        <x:v>A-T40-L-A-C-1</x:v>
      </x:c>
      <x:c r="G81" s="16" t="n">
        <x:v>1</x:v>
      </x:c>
      <x:c r="H81" s="45"/>
      <x:c r="I81" s="45"/>
      <x:c r="J81" s="45"/>
      <x:c r="K81" s="45"/>
      <x:c r="L81" s="38"/>
      <x:c r="M81" s="38"/>
      <x:c r="N81" s="38"/>
      <x:c r="O81" s="38"/>
      <x:c r="P81" s="16" t="str">
        <x:f>IF(COUNTA(H81:O81)&lt;8,"OPEN",IF(AND(H81&lt;='Assumptions'!$B$16,H81&lt;='Assumptions'!$B$15,I81&lt;='Assumptions'!$B$24,J81&lt;='Assumptions'!$B$21,K81&gt;='Receiver'!$B$9,L81="NO",M81="YES",N81="YES",O81="NO"),"PASS","ADVERSE"))</x:f>
        <x:v>OPEN</x:v>
      </x:c>
    </x:row>
    <x:row r="82">
      <x:c r="A82" s="16" t="str">
        <x:v>T-076</x:v>
      </x:c>
      <x:c r="B82" s="16" t="str">
        <x:v>A-T40</x:v>
      </x:c>
      <x:c r="C82" s="16" t="str">
        <x:v>L-A</x:v>
      </x:c>
      <x:c r="D82" s="16" t="str">
        <x:v>C-1</x:v>
      </x:c>
      <x:c r="E82" s="16" t="str">
        <x:v>QH-4</x:v>
      </x:c>
      <x:c r="F82" s="16" t="str">
        <x:v>A-T40-L-A-C-1</x:v>
      </x:c>
      <x:c r="G82" s="16" t="n">
        <x:v>1</x:v>
      </x:c>
      <x:c r="H82" s="45"/>
      <x:c r="I82" s="45"/>
      <x:c r="J82" s="45"/>
      <x:c r="K82" s="45"/>
      <x:c r="L82" s="38"/>
      <x:c r="M82" s="38"/>
      <x:c r="N82" s="38"/>
      <x:c r="O82" s="38"/>
      <x:c r="P82" s="16" t="str">
        <x:f>IF(COUNTA(H82:O82)&lt;8,"OPEN",IF(AND(H82&lt;='Assumptions'!$B$16,H82&lt;='Assumptions'!$B$15,I82&lt;='Assumptions'!$B$24,J82&lt;='Assumptions'!$B$21,K82&gt;='Receiver'!$B$9,L82="NO",M82="YES",N82="YES",O82="NO"),"PASS","ADVERSE"))</x:f>
        <x:v>OPEN</x:v>
      </x:c>
    </x:row>
    <x:row r="83">
      <x:c r="A83" s="16" t="str">
        <x:v>T-077</x:v>
      </x:c>
      <x:c r="B83" s="16" t="str">
        <x:v>A-T40</x:v>
      </x:c>
      <x:c r="C83" s="16" t="str">
        <x:v>L-A</x:v>
      </x:c>
      <x:c r="D83" s="16" t="str">
        <x:v>C-1</x:v>
      </x:c>
      <x:c r="E83" s="16" t="str">
        <x:v>QH-5</x:v>
      </x:c>
      <x:c r="F83" s="16" t="str">
        <x:v>A-T40-L-A-C-1</x:v>
      </x:c>
      <x:c r="G83" s="16" t="n">
        <x:v>1</x:v>
      </x:c>
      <x:c r="H83" s="45"/>
      <x:c r="I83" s="45"/>
      <x:c r="J83" s="45"/>
      <x:c r="K83" s="45"/>
      <x:c r="L83" s="38"/>
      <x:c r="M83" s="38"/>
      <x:c r="N83" s="38"/>
      <x:c r="O83" s="38"/>
      <x:c r="P83" s="16" t="str">
        <x:f>IF(COUNTA(H83:O83)&lt;8,"OPEN",IF(AND(H83&lt;='Assumptions'!$B$16,H83&lt;='Assumptions'!$B$15,I83&lt;='Assumptions'!$B$24,J83&lt;='Assumptions'!$B$21,K83&gt;='Receiver'!$B$9,L83="NO",M83="YES",N83="YES",O83="NO"),"PASS","ADVERSE"))</x:f>
        <x:v>OPEN</x:v>
      </x:c>
    </x:row>
    <x:row r="84">
      <x:c r="A84" s="16" t="str">
        <x:v>T-078</x:v>
      </x:c>
      <x:c r="B84" s="16" t="str">
        <x:v>A-T40</x:v>
      </x:c>
      <x:c r="C84" s="16" t="str">
        <x:v>L-A</x:v>
      </x:c>
      <x:c r="D84" s="16" t="str">
        <x:v>C-1</x:v>
      </x:c>
      <x:c r="E84" s="16" t="str">
        <x:v>QH-6</x:v>
      </x:c>
      <x:c r="F84" s="16" t="str">
        <x:v>A-T40-L-A-C-1</x:v>
      </x:c>
      <x:c r="G84" s="16" t="n">
        <x:v>1</x:v>
      </x:c>
      <x:c r="H84" s="45"/>
      <x:c r="I84" s="45"/>
      <x:c r="J84" s="45"/>
      <x:c r="K84" s="45"/>
      <x:c r="L84" s="38"/>
      <x:c r="M84" s="38"/>
      <x:c r="N84" s="38"/>
      <x:c r="O84" s="38"/>
      <x:c r="P84" s="16" t="str">
        <x:f>IF(COUNTA(H84:O84)&lt;8,"OPEN",IF(AND(H84&lt;='Assumptions'!$B$16,H84&lt;='Assumptions'!$B$15,I84&lt;='Assumptions'!$B$24,J84&lt;='Assumptions'!$B$21,K84&gt;='Receiver'!$B$9,L84="NO",M84="YES",N84="YES",O84="NO"),"PASS","ADVERSE"))</x:f>
        <x:v>OPEN</x:v>
      </x:c>
    </x:row>
    <x:row r="85">
      <x:c r="A85" s="16" t="str">
        <x:v>T-079</x:v>
      </x:c>
      <x:c r="B85" s="16" t="str">
        <x:v>A-T40</x:v>
      </x:c>
      <x:c r="C85" s="16" t="str">
        <x:v>L-A</x:v>
      </x:c>
      <x:c r="D85" s="16" t="str">
        <x:v>C-2</x:v>
      </x:c>
      <x:c r="E85" s="16" t="str">
        <x:v>QH-1</x:v>
      </x:c>
      <x:c r="F85" s="16" t="str">
        <x:v>A-T40-L-A-C-2</x:v>
      </x:c>
      <x:c r="G85" s="16" t="n">
        <x:v>1</x:v>
      </x:c>
      <x:c r="H85" s="45"/>
      <x:c r="I85" s="45"/>
      <x:c r="J85" s="45"/>
      <x:c r="K85" s="45"/>
      <x:c r="L85" s="38"/>
      <x:c r="M85" s="38"/>
      <x:c r="N85" s="38"/>
      <x:c r="O85" s="38"/>
      <x:c r="P85" s="16" t="str">
        <x:f>IF(COUNTA(H85:O85)&lt;8,"OPEN",IF(AND(H85&lt;='Assumptions'!$B$16,H85&lt;='Assumptions'!$B$15,I85&lt;='Assumptions'!$B$24,J85&lt;='Assumptions'!$B$21,K85&gt;='Receiver'!$B$9,L85="NO",M85="YES",N85="YES",O85="NO"),"PASS","ADVERSE"))</x:f>
        <x:v>OPEN</x:v>
      </x:c>
    </x:row>
    <x:row r="86">
      <x:c r="A86" s="16" t="str">
        <x:v>T-080</x:v>
      </x:c>
      <x:c r="B86" s="16" t="str">
        <x:v>A-T40</x:v>
      </x:c>
      <x:c r="C86" s="16" t="str">
        <x:v>L-A</x:v>
      </x:c>
      <x:c r="D86" s="16" t="str">
        <x:v>C-2</x:v>
      </x:c>
      <x:c r="E86" s="16" t="str">
        <x:v>QH-2</x:v>
      </x:c>
      <x:c r="F86" s="16" t="str">
        <x:v>A-T40-L-A-C-2</x:v>
      </x:c>
      <x:c r="G86" s="16" t="n">
        <x:v>1.1</x:v>
      </x:c>
      <x:c r="H86" s="45"/>
      <x:c r="I86" s="45"/>
      <x:c r="J86" s="45"/>
      <x:c r="K86" s="45"/>
      <x:c r="L86" s="38"/>
      <x:c r="M86" s="38"/>
      <x:c r="N86" s="38"/>
      <x:c r="O86" s="38"/>
      <x:c r="P86" s="16" t="str">
        <x:f>IF(COUNTA(H86:O86)&lt;8,"OPEN",IF(AND(H86&lt;='Assumptions'!$B$16,H86&lt;='Assumptions'!$B$15,I86&lt;='Assumptions'!$B$24,J86&lt;='Assumptions'!$B$21,K86&gt;='Receiver'!$B$9,L86="NO",M86="YES",N86="YES",O86="NO"),"PASS","ADVERSE"))</x:f>
        <x:v>OPEN</x:v>
      </x:c>
    </x:row>
    <x:row r="87">
      <x:c r="A87" s="16" t="str">
        <x:v>T-081</x:v>
      </x:c>
      <x:c r="B87" s="16" t="str">
        <x:v>A-T40</x:v>
      </x:c>
      <x:c r="C87" s="16" t="str">
        <x:v>L-A</x:v>
      </x:c>
      <x:c r="D87" s="16" t="str">
        <x:v>C-2</x:v>
      </x:c>
      <x:c r="E87" s="16" t="str">
        <x:v>QH-3</x:v>
      </x:c>
      <x:c r="F87" s="16" t="str">
        <x:v>A-T40-L-A-C-2</x:v>
      </x:c>
      <x:c r="G87" s="16" t="n">
        <x:v>1</x:v>
      </x:c>
      <x:c r="H87" s="45"/>
      <x:c r="I87" s="45"/>
      <x:c r="J87" s="45"/>
      <x:c r="K87" s="45"/>
      <x:c r="L87" s="38"/>
      <x:c r="M87" s="38"/>
      <x:c r="N87" s="38"/>
      <x:c r="O87" s="38"/>
      <x:c r="P87" s="16" t="str">
        <x:f>IF(COUNTA(H87:O87)&lt;8,"OPEN",IF(AND(H87&lt;='Assumptions'!$B$16,H87&lt;='Assumptions'!$B$15,I87&lt;='Assumptions'!$B$24,J87&lt;='Assumptions'!$B$21,K87&gt;='Receiver'!$B$9,L87="NO",M87="YES",N87="YES",O87="NO"),"PASS","ADVERSE"))</x:f>
        <x:v>OPEN</x:v>
      </x:c>
    </x:row>
    <x:row r="88">
      <x:c r="A88" s="16" t="str">
        <x:v>T-082</x:v>
      </x:c>
      <x:c r="B88" s="16" t="str">
        <x:v>A-T40</x:v>
      </x:c>
      <x:c r="C88" s="16" t="str">
        <x:v>L-A</x:v>
      </x:c>
      <x:c r="D88" s="16" t="str">
        <x:v>C-2</x:v>
      </x:c>
      <x:c r="E88" s="16" t="str">
        <x:v>QH-4</x:v>
      </x:c>
      <x:c r="F88" s="16" t="str">
        <x:v>A-T40-L-A-C-2</x:v>
      </x:c>
      <x:c r="G88" s="16" t="n">
        <x:v>1</x:v>
      </x:c>
      <x:c r="H88" s="45"/>
      <x:c r="I88" s="45"/>
      <x:c r="J88" s="45"/>
      <x:c r="K88" s="45"/>
      <x:c r="L88" s="38"/>
      <x:c r="M88" s="38"/>
      <x:c r="N88" s="38"/>
      <x:c r="O88" s="38"/>
      <x:c r="P88" s="16" t="str">
        <x:f>IF(COUNTA(H88:O88)&lt;8,"OPEN",IF(AND(H88&lt;='Assumptions'!$B$16,H88&lt;='Assumptions'!$B$15,I88&lt;='Assumptions'!$B$24,J88&lt;='Assumptions'!$B$21,K88&gt;='Receiver'!$B$9,L88="NO",M88="YES",N88="YES",O88="NO"),"PASS","ADVERSE"))</x:f>
        <x:v>OPEN</x:v>
      </x:c>
    </x:row>
    <x:row r="89">
      <x:c r="A89" s="16" t="str">
        <x:v>T-083</x:v>
      </x:c>
      <x:c r="B89" s="16" t="str">
        <x:v>A-T40</x:v>
      </x:c>
      <x:c r="C89" s="16" t="str">
        <x:v>L-A</x:v>
      </x:c>
      <x:c r="D89" s="16" t="str">
        <x:v>C-2</x:v>
      </x:c>
      <x:c r="E89" s="16" t="str">
        <x:v>QH-5</x:v>
      </x:c>
      <x:c r="F89" s="16" t="str">
        <x:v>A-T40-L-A-C-2</x:v>
      </x:c>
      <x:c r="G89" s="16" t="n">
        <x:v>1</x:v>
      </x:c>
      <x:c r="H89" s="45"/>
      <x:c r="I89" s="45"/>
      <x:c r="J89" s="45"/>
      <x:c r="K89" s="45"/>
      <x:c r="L89" s="38"/>
      <x:c r="M89" s="38"/>
      <x:c r="N89" s="38"/>
      <x:c r="O89" s="38"/>
      <x:c r="P89" s="16" t="str">
        <x:f>IF(COUNTA(H89:O89)&lt;8,"OPEN",IF(AND(H89&lt;='Assumptions'!$B$16,H89&lt;='Assumptions'!$B$15,I89&lt;='Assumptions'!$B$24,J89&lt;='Assumptions'!$B$21,K89&gt;='Receiver'!$B$9,L89="NO",M89="YES",N89="YES",O89="NO"),"PASS","ADVERSE"))</x:f>
        <x:v>OPEN</x:v>
      </x:c>
    </x:row>
    <x:row r="90">
      <x:c r="A90" s="16" t="str">
        <x:v>T-084</x:v>
      </x:c>
      <x:c r="B90" s="16" t="str">
        <x:v>A-T40</x:v>
      </x:c>
      <x:c r="C90" s="16" t="str">
        <x:v>L-A</x:v>
      </x:c>
      <x:c r="D90" s="16" t="str">
        <x:v>C-2</x:v>
      </x:c>
      <x:c r="E90" s="16" t="str">
        <x:v>QH-6</x:v>
      </x:c>
      <x:c r="F90" s="16" t="str">
        <x:v>A-T40-L-A-C-2</x:v>
      </x:c>
      <x:c r="G90" s="16" t="n">
        <x:v>1</x:v>
      </x:c>
      <x:c r="H90" s="45"/>
      <x:c r="I90" s="45"/>
      <x:c r="J90" s="45"/>
      <x:c r="K90" s="45"/>
      <x:c r="L90" s="38"/>
      <x:c r="M90" s="38"/>
      <x:c r="N90" s="38"/>
      <x:c r="O90" s="38"/>
      <x:c r="P90" s="16" t="str">
        <x:f>IF(COUNTA(H90:O90)&lt;8,"OPEN",IF(AND(H90&lt;='Assumptions'!$B$16,H90&lt;='Assumptions'!$B$15,I90&lt;='Assumptions'!$B$24,J90&lt;='Assumptions'!$B$21,K90&gt;='Receiver'!$B$9,L90="NO",M90="YES",N90="YES",O90="NO"),"PASS","ADVERSE"))</x:f>
        <x:v>OPEN</x:v>
      </x:c>
    </x:row>
    <x:row r="91">
      <x:c r="A91" s="16" t="str">
        <x:v>T-085</x:v>
      </x:c>
      <x:c r="B91" s="16" t="str">
        <x:v>A-T40</x:v>
      </x:c>
      <x:c r="C91" s="16" t="str">
        <x:v>L-A</x:v>
      </x:c>
      <x:c r="D91" s="16" t="str">
        <x:v>C-3</x:v>
      </x:c>
      <x:c r="E91" s="16" t="str">
        <x:v>QH-1</x:v>
      </x:c>
      <x:c r="F91" s="16" t="str">
        <x:v>A-T40-L-A-C-3</x:v>
      </x:c>
      <x:c r="G91" s="16" t="n">
        <x:v>1</x:v>
      </x:c>
      <x:c r="H91" s="45"/>
      <x:c r="I91" s="45"/>
      <x:c r="J91" s="45"/>
      <x:c r="K91" s="45"/>
      <x:c r="L91" s="38"/>
      <x:c r="M91" s="38"/>
      <x:c r="N91" s="38"/>
      <x:c r="O91" s="38"/>
      <x:c r="P91" s="16" t="str">
        <x:f>IF(COUNTA(H91:O91)&lt;8,"OPEN",IF(AND(H91&lt;='Assumptions'!$B$16,H91&lt;='Assumptions'!$B$15,I91&lt;='Assumptions'!$B$24,J91&lt;='Assumptions'!$B$21,K91&gt;='Receiver'!$B$9,L91="NO",M91="YES",N91="YES",O91="NO"),"PASS","ADVERSE"))</x:f>
        <x:v>OPEN</x:v>
      </x:c>
    </x:row>
    <x:row r="92">
      <x:c r="A92" s="16" t="str">
        <x:v>T-086</x:v>
      </x:c>
      <x:c r="B92" s="16" t="str">
        <x:v>A-T40</x:v>
      </x:c>
      <x:c r="C92" s="16" t="str">
        <x:v>L-A</x:v>
      </x:c>
      <x:c r="D92" s="16" t="str">
        <x:v>C-3</x:v>
      </x:c>
      <x:c r="E92" s="16" t="str">
        <x:v>QH-2</x:v>
      </x:c>
      <x:c r="F92" s="16" t="str">
        <x:v>A-T40-L-A-C-3</x:v>
      </x:c>
      <x:c r="G92" s="16" t="n">
        <x:v>1.1</x:v>
      </x:c>
      <x:c r="H92" s="45"/>
      <x:c r="I92" s="45"/>
      <x:c r="J92" s="45"/>
      <x:c r="K92" s="45"/>
      <x:c r="L92" s="38"/>
      <x:c r="M92" s="38"/>
      <x:c r="N92" s="38"/>
      <x:c r="O92" s="38"/>
      <x:c r="P92" s="16" t="str">
        <x:f>IF(COUNTA(H92:O92)&lt;8,"OPEN",IF(AND(H92&lt;='Assumptions'!$B$16,H92&lt;='Assumptions'!$B$15,I92&lt;='Assumptions'!$B$24,J92&lt;='Assumptions'!$B$21,K92&gt;='Receiver'!$B$9,L92="NO",M92="YES",N92="YES",O92="NO"),"PASS","ADVERSE"))</x:f>
        <x:v>OPEN</x:v>
      </x:c>
    </x:row>
    <x:row r="93">
      <x:c r="A93" s="16" t="str">
        <x:v>T-087</x:v>
      </x:c>
      <x:c r="B93" s="16" t="str">
        <x:v>A-T40</x:v>
      </x:c>
      <x:c r="C93" s="16" t="str">
        <x:v>L-A</x:v>
      </x:c>
      <x:c r="D93" s="16" t="str">
        <x:v>C-3</x:v>
      </x:c>
      <x:c r="E93" s="16" t="str">
        <x:v>QH-3</x:v>
      </x:c>
      <x:c r="F93" s="16" t="str">
        <x:v>A-T40-L-A-C-3</x:v>
      </x:c>
      <x:c r="G93" s="16" t="n">
        <x:v>1</x:v>
      </x:c>
      <x:c r="H93" s="45"/>
      <x:c r="I93" s="45"/>
      <x:c r="J93" s="45"/>
      <x:c r="K93" s="45"/>
      <x:c r="L93" s="38"/>
      <x:c r="M93" s="38"/>
      <x:c r="N93" s="38"/>
      <x:c r="O93" s="38"/>
      <x:c r="P93" s="16" t="str">
        <x:f>IF(COUNTA(H93:O93)&lt;8,"OPEN",IF(AND(H93&lt;='Assumptions'!$B$16,H93&lt;='Assumptions'!$B$15,I93&lt;='Assumptions'!$B$24,J93&lt;='Assumptions'!$B$21,K93&gt;='Receiver'!$B$9,L93="NO",M93="YES",N93="YES",O93="NO"),"PASS","ADVERSE"))</x:f>
        <x:v>OPEN</x:v>
      </x:c>
    </x:row>
    <x:row r="94">
      <x:c r="A94" s="16" t="str">
        <x:v>T-088</x:v>
      </x:c>
      <x:c r="B94" s="16" t="str">
        <x:v>A-T40</x:v>
      </x:c>
      <x:c r="C94" s="16" t="str">
        <x:v>L-A</x:v>
      </x:c>
      <x:c r="D94" s="16" t="str">
        <x:v>C-3</x:v>
      </x:c>
      <x:c r="E94" s="16" t="str">
        <x:v>QH-4</x:v>
      </x:c>
      <x:c r="F94" s="16" t="str">
        <x:v>A-T40-L-A-C-3</x:v>
      </x:c>
      <x:c r="G94" s="16" t="n">
        <x:v>1</x:v>
      </x:c>
      <x:c r="H94" s="45"/>
      <x:c r="I94" s="45"/>
      <x:c r="J94" s="45"/>
      <x:c r="K94" s="45"/>
      <x:c r="L94" s="38"/>
      <x:c r="M94" s="38"/>
      <x:c r="N94" s="38"/>
      <x:c r="O94" s="38"/>
      <x:c r="P94" s="16" t="str">
        <x:f>IF(COUNTA(H94:O94)&lt;8,"OPEN",IF(AND(H94&lt;='Assumptions'!$B$16,H94&lt;='Assumptions'!$B$15,I94&lt;='Assumptions'!$B$24,J94&lt;='Assumptions'!$B$21,K94&gt;='Receiver'!$B$9,L94="NO",M94="YES",N94="YES",O94="NO"),"PASS","ADVERSE"))</x:f>
        <x:v>OPEN</x:v>
      </x:c>
    </x:row>
    <x:row r="95">
      <x:c r="A95" s="16" t="str">
        <x:v>T-089</x:v>
      </x:c>
      <x:c r="B95" s="16" t="str">
        <x:v>A-T40</x:v>
      </x:c>
      <x:c r="C95" s="16" t="str">
        <x:v>L-A</x:v>
      </x:c>
      <x:c r="D95" s="16" t="str">
        <x:v>C-3</x:v>
      </x:c>
      <x:c r="E95" s="16" t="str">
        <x:v>QH-5</x:v>
      </x:c>
      <x:c r="F95" s="16" t="str">
        <x:v>A-T40-L-A-C-3</x:v>
      </x:c>
      <x:c r="G95" s="16" t="n">
        <x:v>1</x:v>
      </x:c>
      <x:c r="H95" s="45"/>
      <x:c r="I95" s="45"/>
      <x:c r="J95" s="45"/>
      <x:c r="K95" s="45"/>
      <x:c r="L95" s="38"/>
      <x:c r="M95" s="38"/>
      <x:c r="N95" s="38"/>
      <x:c r="O95" s="38"/>
      <x:c r="P95" s="16" t="str">
        <x:f>IF(COUNTA(H95:O95)&lt;8,"OPEN",IF(AND(H95&lt;='Assumptions'!$B$16,H95&lt;='Assumptions'!$B$15,I95&lt;='Assumptions'!$B$24,J95&lt;='Assumptions'!$B$21,K95&gt;='Receiver'!$B$9,L95="NO",M95="YES",N95="YES",O95="NO"),"PASS","ADVERSE"))</x:f>
        <x:v>OPEN</x:v>
      </x:c>
    </x:row>
    <x:row r="96">
      <x:c r="A96" s="16" t="str">
        <x:v>T-090</x:v>
      </x:c>
      <x:c r="B96" s="16" t="str">
        <x:v>A-T40</x:v>
      </x:c>
      <x:c r="C96" s="16" t="str">
        <x:v>L-A</x:v>
      </x:c>
      <x:c r="D96" s="16" t="str">
        <x:v>C-3</x:v>
      </x:c>
      <x:c r="E96" s="16" t="str">
        <x:v>QH-6</x:v>
      </x:c>
      <x:c r="F96" s="16" t="str">
        <x:v>A-T40-L-A-C-3</x:v>
      </x:c>
      <x:c r="G96" s="16" t="n">
        <x:v>1</x:v>
      </x:c>
      <x:c r="H96" s="45"/>
      <x:c r="I96" s="45"/>
      <x:c r="J96" s="45"/>
      <x:c r="K96" s="45"/>
      <x:c r="L96" s="38"/>
      <x:c r="M96" s="38"/>
      <x:c r="N96" s="38"/>
      <x:c r="O96" s="38"/>
      <x:c r="P96" s="16" t="str">
        <x:f>IF(COUNTA(H96:O96)&lt;8,"OPEN",IF(AND(H96&lt;='Assumptions'!$B$16,H96&lt;='Assumptions'!$B$15,I96&lt;='Assumptions'!$B$24,J96&lt;='Assumptions'!$B$21,K96&gt;='Receiver'!$B$9,L96="NO",M96="YES",N96="YES",O96="NO"),"PASS","ADVERSE"))</x:f>
        <x:v>OPEN</x:v>
      </x:c>
    </x:row>
    <x:row r="97">
      <x:c r="A97" s="16" t="str">
        <x:v>T-091</x:v>
      </x:c>
      <x:c r="B97" s="16" t="str">
        <x:v>A-T40</x:v>
      </x:c>
      <x:c r="C97" s="16" t="str">
        <x:v>L-B</x:v>
      </x:c>
      <x:c r="D97" s="16" t="str">
        <x:v>C-1</x:v>
      </x:c>
      <x:c r="E97" s="16" t="str">
        <x:v>QH-1</x:v>
      </x:c>
      <x:c r="F97" s="16" t="str">
        <x:v>A-T40-L-B-C-1</x:v>
      </x:c>
      <x:c r="G97" s="16" t="n">
        <x:v>1</x:v>
      </x:c>
      <x:c r="H97" s="45"/>
      <x:c r="I97" s="45"/>
      <x:c r="J97" s="45"/>
      <x:c r="K97" s="45"/>
      <x:c r="L97" s="38"/>
      <x:c r="M97" s="38"/>
      <x:c r="N97" s="38"/>
      <x:c r="O97" s="38"/>
      <x:c r="P97" s="16" t="str">
        <x:f>IF(COUNTA(H97:O97)&lt;8,"OPEN",IF(AND(H97&lt;='Assumptions'!$B$16,H97&lt;='Assumptions'!$B$15,I97&lt;='Assumptions'!$B$24,J97&lt;='Assumptions'!$B$21,K97&gt;='Receiver'!$B$9,L97="NO",M97="YES",N97="YES",O97="NO"),"PASS","ADVERSE"))</x:f>
        <x:v>OPEN</x:v>
      </x:c>
    </x:row>
    <x:row r="98">
      <x:c r="A98" s="16" t="str">
        <x:v>T-092</x:v>
      </x:c>
      <x:c r="B98" s="16" t="str">
        <x:v>A-T40</x:v>
      </x:c>
      <x:c r="C98" s="16" t="str">
        <x:v>L-B</x:v>
      </x:c>
      <x:c r="D98" s="16" t="str">
        <x:v>C-1</x:v>
      </x:c>
      <x:c r="E98" s="16" t="str">
        <x:v>QH-2</x:v>
      </x:c>
      <x:c r="F98" s="16" t="str">
        <x:v>A-T40-L-B-C-1</x:v>
      </x:c>
      <x:c r="G98" s="16" t="n">
        <x:v>1.1</x:v>
      </x:c>
      <x:c r="H98" s="45"/>
      <x:c r="I98" s="45"/>
      <x:c r="J98" s="45"/>
      <x:c r="K98" s="45"/>
      <x:c r="L98" s="38"/>
      <x:c r="M98" s="38"/>
      <x:c r="N98" s="38"/>
      <x:c r="O98" s="38"/>
      <x:c r="P98" s="16" t="str">
        <x:f>IF(COUNTA(H98:O98)&lt;8,"OPEN",IF(AND(H98&lt;='Assumptions'!$B$16,H98&lt;='Assumptions'!$B$15,I98&lt;='Assumptions'!$B$24,J98&lt;='Assumptions'!$B$21,K98&gt;='Receiver'!$B$9,L98="NO",M98="YES",N98="YES",O98="NO"),"PASS","ADVERSE"))</x:f>
        <x:v>OPEN</x:v>
      </x:c>
    </x:row>
    <x:row r="99">
      <x:c r="A99" s="16" t="str">
        <x:v>T-093</x:v>
      </x:c>
      <x:c r="B99" s="16" t="str">
        <x:v>A-T40</x:v>
      </x:c>
      <x:c r="C99" s="16" t="str">
        <x:v>L-B</x:v>
      </x:c>
      <x:c r="D99" s="16" t="str">
        <x:v>C-1</x:v>
      </x:c>
      <x:c r="E99" s="16" t="str">
        <x:v>QH-3</x:v>
      </x:c>
      <x:c r="F99" s="16" t="str">
        <x:v>A-T40-L-B-C-1</x:v>
      </x:c>
      <x:c r="G99" s="16" t="n">
        <x:v>1</x:v>
      </x:c>
      <x:c r="H99" s="45"/>
      <x:c r="I99" s="45"/>
      <x:c r="J99" s="45"/>
      <x:c r="K99" s="45"/>
      <x:c r="L99" s="38"/>
      <x:c r="M99" s="38"/>
      <x:c r="N99" s="38"/>
      <x:c r="O99" s="38"/>
      <x:c r="P99" s="16" t="str">
        <x:f>IF(COUNTA(H99:O99)&lt;8,"OPEN",IF(AND(H99&lt;='Assumptions'!$B$16,H99&lt;='Assumptions'!$B$15,I99&lt;='Assumptions'!$B$24,J99&lt;='Assumptions'!$B$21,K99&gt;='Receiver'!$B$9,L99="NO",M99="YES",N99="YES",O99="NO"),"PASS","ADVERSE"))</x:f>
        <x:v>OPEN</x:v>
      </x:c>
    </x:row>
    <x:row r="100">
      <x:c r="A100" s="16" t="str">
        <x:v>T-094</x:v>
      </x:c>
      <x:c r="B100" s="16" t="str">
        <x:v>A-T40</x:v>
      </x:c>
      <x:c r="C100" s="16" t="str">
        <x:v>L-B</x:v>
      </x:c>
      <x:c r="D100" s="16" t="str">
        <x:v>C-1</x:v>
      </x:c>
      <x:c r="E100" s="16" t="str">
        <x:v>QH-4</x:v>
      </x:c>
      <x:c r="F100" s="16" t="str">
        <x:v>A-T40-L-B-C-1</x:v>
      </x:c>
      <x:c r="G100" s="16" t="n">
        <x:v>1</x:v>
      </x:c>
      <x:c r="H100" s="45"/>
      <x:c r="I100" s="45"/>
      <x:c r="J100" s="45"/>
      <x:c r="K100" s="45"/>
      <x:c r="L100" s="38"/>
      <x:c r="M100" s="38"/>
      <x:c r="N100" s="38"/>
      <x:c r="O100" s="38"/>
      <x:c r="P100" s="16" t="str">
        <x:f>IF(COUNTA(H100:O100)&lt;8,"OPEN",IF(AND(H100&lt;='Assumptions'!$B$16,H100&lt;='Assumptions'!$B$15,I100&lt;='Assumptions'!$B$24,J100&lt;='Assumptions'!$B$21,K100&gt;='Receiver'!$B$9,L100="NO",M100="YES",N100="YES",O100="NO"),"PASS","ADVERSE"))</x:f>
        <x:v>OPEN</x:v>
      </x:c>
    </x:row>
    <x:row r="101">
      <x:c r="A101" s="16" t="str">
        <x:v>T-095</x:v>
      </x:c>
      <x:c r="B101" s="16" t="str">
        <x:v>A-T40</x:v>
      </x:c>
      <x:c r="C101" s="16" t="str">
        <x:v>L-B</x:v>
      </x:c>
      <x:c r="D101" s="16" t="str">
        <x:v>C-1</x:v>
      </x:c>
      <x:c r="E101" s="16" t="str">
        <x:v>QH-5</x:v>
      </x:c>
      <x:c r="F101" s="16" t="str">
        <x:v>A-T40-L-B-C-1</x:v>
      </x:c>
      <x:c r="G101" s="16" t="n">
        <x:v>1</x:v>
      </x:c>
      <x:c r="H101" s="45"/>
      <x:c r="I101" s="45"/>
      <x:c r="J101" s="45"/>
      <x:c r="K101" s="45"/>
      <x:c r="L101" s="38"/>
      <x:c r="M101" s="38"/>
      <x:c r="N101" s="38"/>
      <x:c r="O101" s="38"/>
      <x:c r="P101" s="16" t="str">
        <x:f>IF(COUNTA(H101:O101)&lt;8,"OPEN",IF(AND(H101&lt;='Assumptions'!$B$16,H101&lt;='Assumptions'!$B$15,I101&lt;='Assumptions'!$B$24,J101&lt;='Assumptions'!$B$21,K101&gt;='Receiver'!$B$9,L101="NO",M101="YES",N101="YES",O101="NO"),"PASS","ADVERSE"))</x:f>
        <x:v>OPEN</x:v>
      </x:c>
    </x:row>
    <x:row r="102">
      <x:c r="A102" s="16" t="str">
        <x:v>T-096</x:v>
      </x:c>
      <x:c r="B102" s="16" t="str">
        <x:v>A-T40</x:v>
      </x:c>
      <x:c r="C102" s="16" t="str">
        <x:v>L-B</x:v>
      </x:c>
      <x:c r="D102" s="16" t="str">
        <x:v>C-1</x:v>
      </x:c>
      <x:c r="E102" s="16" t="str">
        <x:v>QH-6</x:v>
      </x:c>
      <x:c r="F102" s="16" t="str">
        <x:v>A-T40-L-B-C-1</x:v>
      </x:c>
      <x:c r="G102" s="16" t="n">
        <x:v>1</x:v>
      </x:c>
      <x:c r="H102" s="45"/>
      <x:c r="I102" s="45"/>
      <x:c r="J102" s="45"/>
      <x:c r="K102" s="45"/>
      <x:c r="L102" s="38"/>
      <x:c r="M102" s="38"/>
      <x:c r="N102" s="38"/>
      <x:c r="O102" s="38"/>
      <x:c r="P102" s="16" t="str">
        <x:f>IF(COUNTA(H102:O102)&lt;8,"OPEN",IF(AND(H102&lt;='Assumptions'!$B$16,H102&lt;='Assumptions'!$B$15,I102&lt;='Assumptions'!$B$24,J102&lt;='Assumptions'!$B$21,K102&gt;='Receiver'!$B$9,L102="NO",M102="YES",N102="YES",O102="NO"),"PASS","ADVERSE"))</x:f>
        <x:v>OPEN</x:v>
      </x:c>
    </x:row>
    <x:row r="103">
      <x:c r="A103" s="16" t="str">
        <x:v>T-097</x:v>
      </x:c>
      <x:c r="B103" s="16" t="str">
        <x:v>A-T40</x:v>
      </x:c>
      <x:c r="C103" s="16" t="str">
        <x:v>L-B</x:v>
      </x:c>
      <x:c r="D103" s="16" t="str">
        <x:v>C-2</x:v>
      </x:c>
      <x:c r="E103" s="16" t="str">
        <x:v>QH-1</x:v>
      </x:c>
      <x:c r="F103" s="16" t="str">
        <x:v>A-T40-L-B-C-2</x:v>
      </x:c>
      <x:c r="G103" s="16" t="n">
        <x:v>1</x:v>
      </x:c>
      <x:c r="H103" s="45"/>
      <x:c r="I103" s="45"/>
      <x:c r="J103" s="45"/>
      <x:c r="K103" s="45"/>
      <x:c r="L103" s="38"/>
      <x:c r="M103" s="38"/>
      <x:c r="N103" s="38"/>
      <x:c r="O103" s="38"/>
      <x:c r="P103" s="16" t="str">
        <x:f>IF(COUNTA(H103:O103)&lt;8,"OPEN",IF(AND(H103&lt;='Assumptions'!$B$16,H103&lt;='Assumptions'!$B$15,I103&lt;='Assumptions'!$B$24,J103&lt;='Assumptions'!$B$21,K103&gt;='Receiver'!$B$9,L103="NO",M103="YES",N103="YES",O103="NO"),"PASS","ADVERSE"))</x:f>
        <x:v>OPEN</x:v>
      </x:c>
    </x:row>
    <x:row r="104">
      <x:c r="A104" s="16" t="str">
        <x:v>T-098</x:v>
      </x:c>
      <x:c r="B104" s="16" t="str">
        <x:v>A-T40</x:v>
      </x:c>
      <x:c r="C104" s="16" t="str">
        <x:v>L-B</x:v>
      </x:c>
      <x:c r="D104" s="16" t="str">
        <x:v>C-2</x:v>
      </x:c>
      <x:c r="E104" s="16" t="str">
        <x:v>QH-2</x:v>
      </x:c>
      <x:c r="F104" s="16" t="str">
        <x:v>A-T40-L-B-C-2</x:v>
      </x:c>
      <x:c r="G104" s="16" t="n">
        <x:v>1.1</x:v>
      </x:c>
      <x:c r="H104" s="45"/>
      <x:c r="I104" s="45"/>
      <x:c r="J104" s="45"/>
      <x:c r="K104" s="45"/>
      <x:c r="L104" s="38"/>
      <x:c r="M104" s="38"/>
      <x:c r="N104" s="38"/>
      <x:c r="O104" s="38"/>
      <x:c r="P104" s="16" t="str">
        <x:f>IF(COUNTA(H104:O104)&lt;8,"OPEN",IF(AND(H104&lt;='Assumptions'!$B$16,H104&lt;='Assumptions'!$B$15,I104&lt;='Assumptions'!$B$24,J104&lt;='Assumptions'!$B$21,K104&gt;='Receiver'!$B$9,L104="NO",M104="YES",N104="YES",O104="NO"),"PASS","ADVERSE"))</x:f>
        <x:v>OPEN</x:v>
      </x:c>
    </x:row>
    <x:row r="105">
      <x:c r="A105" s="16" t="str">
        <x:v>T-099</x:v>
      </x:c>
      <x:c r="B105" s="16" t="str">
        <x:v>A-T40</x:v>
      </x:c>
      <x:c r="C105" s="16" t="str">
        <x:v>L-B</x:v>
      </x:c>
      <x:c r="D105" s="16" t="str">
        <x:v>C-2</x:v>
      </x:c>
      <x:c r="E105" s="16" t="str">
        <x:v>QH-3</x:v>
      </x:c>
      <x:c r="F105" s="16" t="str">
        <x:v>A-T40-L-B-C-2</x:v>
      </x:c>
      <x:c r="G105" s="16" t="n">
        <x:v>1</x:v>
      </x:c>
      <x:c r="H105" s="45"/>
      <x:c r="I105" s="45"/>
      <x:c r="J105" s="45"/>
      <x:c r="K105" s="45"/>
      <x:c r="L105" s="38"/>
      <x:c r="M105" s="38"/>
      <x:c r="N105" s="38"/>
      <x:c r="O105" s="38"/>
      <x:c r="P105" s="16" t="str">
        <x:f>IF(COUNTA(H105:O105)&lt;8,"OPEN",IF(AND(H105&lt;='Assumptions'!$B$16,H105&lt;='Assumptions'!$B$15,I105&lt;='Assumptions'!$B$24,J105&lt;='Assumptions'!$B$21,K105&gt;='Receiver'!$B$9,L105="NO",M105="YES",N105="YES",O105="NO"),"PASS","ADVERSE"))</x:f>
        <x:v>OPEN</x:v>
      </x:c>
    </x:row>
    <x:row r="106">
      <x:c r="A106" s="16" t="str">
        <x:v>T-100</x:v>
      </x:c>
      <x:c r="B106" s="16" t="str">
        <x:v>A-T40</x:v>
      </x:c>
      <x:c r="C106" s="16" t="str">
        <x:v>L-B</x:v>
      </x:c>
      <x:c r="D106" s="16" t="str">
        <x:v>C-2</x:v>
      </x:c>
      <x:c r="E106" s="16" t="str">
        <x:v>QH-4</x:v>
      </x:c>
      <x:c r="F106" s="16" t="str">
        <x:v>A-T40-L-B-C-2</x:v>
      </x:c>
      <x:c r="G106" s="16" t="n">
        <x:v>1</x:v>
      </x:c>
      <x:c r="H106" s="45"/>
      <x:c r="I106" s="45"/>
      <x:c r="J106" s="45"/>
      <x:c r="K106" s="45"/>
      <x:c r="L106" s="38"/>
      <x:c r="M106" s="38"/>
      <x:c r="N106" s="38"/>
      <x:c r="O106" s="38"/>
      <x:c r="P106" s="16" t="str">
        <x:f>IF(COUNTA(H106:O106)&lt;8,"OPEN",IF(AND(H106&lt;='Assumptions'!$B$16,H106&lt;='Assumptions'!$B$15,I106&lt;='Assumptions'!$B$24,J106&lt;='Assumptions'!$B$21,K106&gt;='Receiver'!$B$9,L106="NO",M106="YES",N106="YES",O106="NO"),"PASS","ADVERSE"))</x:f>
        <x:v>OPEN</x:v>
      </x:c>
    </x:row>
    <x:row r="107">
      <x:c r="A107" s="16" t="str">
        <x:v>T-101</x:v>
      </x:c>
      <x:c r="B107" s="16" t="str">
        <x:v>A-T40</x:v>
      </x:c>
      <x:c r="C107" s="16" t="str">
        <x:v>L-B</x:v>
      </x:c>
      <x:c r="D107" s="16" t="str">
        <x:v>C-2</x:v>
      </x:c>
      <x:c r="E107" s="16" t="str">
        <x:v>QH-5</x:v>
      </x:c>
      <x:c r="F107" s="16" t="str">
        <x:v>A-T40-L-B-C-2</x:v>
      </x:c>
      <x:c r="G107" s="16" t="n">
        <x:v>1</x:v>
      </x:c>
      <x:c r="H107" s="45"/>
      <x:c r="I107" s="45"/>
      <x:c r="J107" s="45"/>
      <x:c r="K107" s="45"/>
      <x:c r="L107" s="38"/>
      <x:c r="M107" s="38"/>
      <x:c r="N107" s="38"/>
      <x:c r="O107" s="38"/>
      <x:c r="P107" s="16" t="str">
        <x:f>IF(COUNTA(H107:O107)&lt;8,"OPEN",IF(AND(H107&lt;='Assumptions'!$B$16,H107&lt;='Assumptions'!$B$15,I107&lt;='Assumptions'!$B$24,J107&lt;='Assumptions'!$B$21,K107&gt;='Receiver'!$B$9,L107="NO",M107="YES",N107="YES",O107="NO"),"PASS","ADVERSE"))</x:f>
        <x:v>OPEN</x:v>
      </x:c>
    </x:row>
    <x:row r="108">
      <x:c r="A108" s="16" t="str">
        <x:v>T-102</x:v>
      </x:c>
      <x:c r="B108" s="16" t="str">
        <x:v>A-T40</x:v>
      </x:c>
      <x:c r="C108" s="16" t="str">
        <x:v>L-B</x:v>
      </x:c>
      <x:c r="D108" s="16" t="str">
        <x:v>C-2</x:v>
      </x:c>
      <x:c r="E108" s="16" t="str">
        <x:v>QH-6</x:v>
      </x:c>
      <x:c r="F108" s="16" t="str">
        <x:v>A-T40-L-B-C-2</x:v>
      </x:c>
      <x:c r="G108" s="16" t="n">
        <x:v>1</x:v>
      </x:c>
      <x:c r="H108" s="45"/>
      <x:c r="I108" s="45"/>
      <x:c r="J108" s="45"/>
      <x:c r="K108" s="45"/>
      <x:c r="L108" s="38"/>
      <x:c r="M108" s="38"/>
      <x:c r="N108" s="38"/>
      <x:c r="O108" s="38"/>
      <x:c r="P108" s="16" t="str">
        <x:f>IF(COUNTA(H108:O108)&lt;8,"OPEN",IF(AND(H108&lt;='Assumptions'!$B$16,H108&lt;='Assumptions'!$B$15,I108&lt;='Assumptions'!$B$24,J108&lt;='Assumptions'!$B$21,K108&gt;='Receiver'!$B$9,L108="NO",M108="YES",N108="YES",O108="NO"),"PASS","ADVERSE"))</x:f>
        <x:v>OPEN</x:v>
      </x:c>
    </x:row>
    <x:row r="109">
      <x:c r="A109" s="16" t="str">
        <x:v>T-103</x:v>
      </x:c>
      <x:c r="B109" s="16" t="str">
        <x:v>A-T40</x:v>
      </x:c>
      <x:c r="C109" s="16" t="str">
        <x:v>L-B</x:v>
      </x:c>
      <x:c r="D109" s="16" t="str">
        <x:v>C-3</x:v>
      </x:c>
      <x:c r="E109" s="16" t="str">
        <x:v>QH-1</x:v>
      </x:c>
      <x:c r="F109" s="16" t="str">
        <x:v>A-T40-L-B-C-3</x:v>
      </x:c>
      <x:c r="G109" s="16" t="n">
        <x:v>1</x:v>
      </x:c>
      <x:c r="H109" s="45"/>
      <x:c r="I109" s="45"/>
      <x:c r="J109" s="45"/>
      <x:c r="K109" s="45"/>
      <x:c r="L109" s="38"/>
      <x:c r="M109" s="38"/>
      <x:c r="N109" s="38"/>
      <x:c r="O109" s="38"/>
      <x:c r="P109" s="16" t="str">
        <x:f>IF(COUNTA(H109:O109)&lt;8,"OPEN",IF(AND(H109&lt;='Assumptions'!$B$16,H109&lt;='Assumptions'!$B$15,I109&lt;='Assumptions'!$B$24,J109&lt;='Assumptions'!$B$21,K109&gt;='Receiver'!$B$9,L109="NO",M109="YES",N109="YES",O109="NO"),"PASS","ADVERSE"))</x:f>
        <x:v>OPEN</x:v>
      </x:c>
    </x:row>
    <x:row r="110">
      <x:c r="A110" s="16" t="str">
        <x:v>T-104</x:v>
      </x:c>
      <x:c r="B110" s="16" t="str">
        <x:v>A-T40</x:v>
      </x:c>
      <x:c r="C110" s="16" t="str">
        <x:v>L-B</x:v>
      </x:c>
      <x:c r="D110" s="16" t="str">
        <x:v>C-3</x:v>
      </x:c>
      <x:c r="E110" s="16" t="str">
        <x:v>QH-2</x:v>
      </x:c>
      <x:c r="F110" s="16" t="str">
        <x:v>A-T40-L-B-C-3</x:v>
      </x:c>
      <x:c r="G110" s="16" t="n">
        <x:v>1.1</x:v>
      </x:c>
      <x:c r="H110" s="45"/>
      <x:c r="I110" s="45"/>
      <x:c r="J110" s="45"/>
      <x:c r="K110" s="45"/>
      <x:c r="L110" s="38"/>
      <x:c r="M110" s="38"/>
      <x:c r="N110" s="38"/>
      <x:c r="O110" s="38"/>
      <x:c r="P110" s="16" t="str">
        <x:f>IF(COUNTA(H110:O110)&lt;8,"OPEN",IF(AND(H110&lt;='Assumptions'!$B$16,H110&lt;='Assumptions'!$B$15,I110&lt;='Assumptions'!$B$24,J110&lt;='Assumptions'!$B$21,K110&gt;='Receiver'!$B$9,L110="NO",M110="YES",N110="YES",O110="NO"),"PASS","ADVERSE"))</x:f>
        <x:v>OPEN</x:v>
      </x:c>
    </x:row>
    <x:row r="111">
      <x:c r="A111" s="16" t="str">
        <x:v>T-105</x:v>
      </x:c>
      <x:c r="B111" s="16" t="str">
        <x:v>A-T40</x:v>
      </x:c>
      <x:c r="C111" s="16" t="str">
        <x:v>L-B</x:v>
      </x:c>
      <x:c r="D111" s="16" t="str">
        <x:v>C-3</x:v>
      </x:c>
      <x:c r="E111" s="16" t="str">
        <x:v>QH-3</x:v>
      </x:c>
      <x:c r="F111" s="16" t="str">
        <x:v>A-T40-L-B-C-3</x:v>
      </x:c>
      <x:c r="G111" s="16" t="n">
        <x:v>1</x:v>
      </x:c>
      <x:c r="H111" s="45"/>
      <x:c r="I111" s="45"/>
      <x:c r="J111" s="45"/>
      <x:c r="K111" s="45"/>
      <x:c r="L111" s="38"/>
      <x:c r="M111" s="38"/>
      <x:c r="N111" s="38"/>
      <x:c r="O111" s="38"/>
      <x:c r="P111" s="16" t="str">
        <x:f>IF(COUNTA(H111:O111)&lt;8,"OPEN",IF(AND(H111&lt;='Assumptions'!$B$16,H111&lt;='Assumptions'!$B$15,I111&lt;='Assumptions'!$B$24,J111&lt;='Assumptions'!$B$21,K111&gt;='Receiver'!$B$9,L111="NO",M111="YES",N111="YES",O111="NO"),"PASS","ADVERSE"))</x:f>
        <x:v>OPEN</x:v>
      </x:c>
    </x:row>
    <x:row r="112">
      <x:c r="A112" s="16" t="str">
        <x:v>T-106</x:v>
      </x:c>
      <x:c r="B112" s="16" t="str">
        <x:v>A-T40</x:v>
      </x:c>
      <x:c r="C112" s="16" t="str">
        <x:v>L-B</x:v>
      </x:c>
      <x:c r="D112" s="16" t="str">
        <x:v>C-3</x:v>
      </x:c>
      <x:c r="E112" s="16" t="str">
        <x:v>QH-4</x:v>
      </x:c>
      <x:c r="F112" s="16" t="str">
        <x:v>A-T40-L-B-C-3</x:v>
      </x:c>
      <x:c r="G112" s="16" t="n">
        <x:v>1</x:v>
      </x:c>
      <x:c r="H112" s="45"/>
      <x:c r="I112" s="45"/>
      <x:c r="J112" s="45"/>
      <x:c r="K112" s="45"/>
      <x:c r="L112" s="38"/>
      <x:c r="M112" s="38"/>
      <x:c r="N112" s="38"/>
      <x:c r="O112" s="38"/>
      <x:c r="P112" s="16" t="str">
        <x:f>IF(COUNTA(H112:O112)&lt;8,"OPEN",IF(AND(H112&lt;='Assumptions'!$B$16,H112&lt;='Assumptions'!$B$15,I112&lt;='Assumptions'!$B$24,J112&lt;='Assumptions'!$B$21,K112&gt;='Receiver'!$B$9,L112="NO",M112="YES",N112="YES",O112="NO"),"PASS","ADVERSE"))</x:f>
        <x:v>OPEN</x:v>
      </x:c>
    </x:row>
    <x:row r="113">
      <x:c r="A113" s="16" t="str">
        <x:v>T-107</x:v>
      </x:c>
      <x:c r="B113" s="16" t="str">
        <x:v>A-T40</x:v>
      </x:c>
      <x:c r="C113" s="16" t="str">
        <x:v>L-B</x:v>
      </x:c>
      <x:c r="D113" s="16" t="str">
        <x:v>C-3</x:v>
      </x:c>
      <x:c r="E113" s="16" t="str">
        <x:v>QH-5</x:v>
      </x:c>
      <x:c r="F113" s="16" t="str">
        <x:v>A-T40-L-B-C-3</x:v>
      </x:c>
      <x:c r="G113" s="16" t="n">
        <x:v>1</x:v>
      </x:c>
      <x:c r="H113" s="45"/>
      <x:c r="I113" s="45"/>
      <x:c r="J113" s="45"/>
      <x:c r="K113" s="45"/>
      <x:c r="L113" s="38"/>
      <x:c r="M113" s="38"/>
      <x:c r="N113" s="38"/>
      <x:c r="O113" s="38"/>
      <x:c r="P113" s="16" t="str">
        <x:f>IF(COUNTA(H113:O113)&lt;8,"OPEN",IF(AND(H113&lt;='Assumptions'!$B$16,H113&lt;='Assumptions'!$B$15,I113&lt;='Assumptions'!$B$24,J113&lt;='Assumptions'!$B$21,K113&gt;='Receiver'!$B$9,L113="NO",M113="YES",N113="YES",O113="NO"),"PASS","ADVERSE"))</x:f>
        <x:v>OPEN</x:v>
      </x:c>
    </x:row>
    <x:row r="114">
      <x:c r="A114" s="16" t="str">
        <x:v>T-108</x:v>
      </x:c>
      <x:c r="B114" s="16" t="str">
        <x:v>A-T40</x:v>
      </x:c>
      <x:c r="C114" s="16" t="str">
        <x:v>L-B</x:v>
      </x:c>
      <x:c r="D114" s="16" t="str">
        <x:v>C-3</x:v>
      </x:c>
      <x:c r="E114" s="16" t="str">
        <x:v>QH-6</x:v>
      </x:c>
      <x:c r="F114" s="16" t="str">
        <x:v>A-T40-L-B-C-3</x:v>
      </x:c>
      <x:c r="G114" s="16" t="n">
        <x:v>1</x:v>
      </x:c>
      <x:c r="H114" s="45"/>
      <x:c r="I114" s="45"/>
      <x:c r="J114" s="45"/>
      <x:c r="K114" s="45"/>
      <x:c r="L114" s="38"/>
      <x:c r="M114" s="38"/>
      <x:c r="N114" s="38"/>
      <x:c r="O114" s="38"/>
      <x:c r="P114" s="16" t="str">
        <x:f>IF(COUNTA(H114:O114)&lt;8,"OPEN",IF(AND(H114&lt;='Assumptions'!$B$16,H114&lt;='Assumptions'!$B$15,I114&lt;='Assumptions'!$B$24,J114&lt;='Assumptions'!$B$21,K114&gt;='Receiver'!$B$9,L114="NO",M114="YES",N114="YES",O114="NO"),"PASS","ADVERSE"))</x:f>
        <x:v>OPEN</x:v>
      </x:c>
    </x:row>
    <x:row r="115">
      <x:c r="A115" s="16" t="str">
        <x:v>T-109</x:v>
      </x:c>
      <x:c r="B115" s="16" t="str">
        <x:v>A-C40</x:v>
      </x:c>
      <x:c r="C115" s="16" t="str">
        <x:v>L-A</x:v>
      </x:c>
      <x:c r="D115" s="16" t="str">
        <x:v>C-1</x:v>
      </x:c>
      <x:c r="E115" s="16" t="str">
        <x:v>QH-1</x:v>
      </x:c>
      <x:c r="F115" s="16" t="str">
        <x:v>A-C40-L-A-C-1</x:v>
      </x:c>
      <x:c r="G115" s="16" t="n">
        <x:v>1</x:v>
      </x:c>
      <x:c r="H115" s="45"/>
      <x:c r="I115" s="45"/>
      <x:c r="J115" s="45"/>
      <x:c r="K115" s="45"/>
      <x:c r="L115" s="38"/>
      <x:c r="M115" s="38"/>
      <x:c r="N115" s="38"/>
      <x:c r="O115" s="38"/>
      <x:c r="P115" s="16" t="str">
        <x:f>IF(COUNTA(H115:O115)&lt;8,"OPEN",IF(AND(H115&lt;='Assumptions'!$B$16,H115&lt;='Assumptions'!$B$15,I115&lt;='Assumptions'!$B$24,J115&lt;='Assumptions'!$B$21,K115&gt;='Receiver'!$B$9,L115="NO",M115="YES",N115="YES",O115="NO"),"PASS","ADVERSE"))</x:f>
        <x:v>OPEN</x:v>
      </x:c>
    </x:row>
    <x:row r="116">
      <x:c r="A116" s="16" t="str">
        <x:v>T-110</x:v>
      </x:c>
      <x:c r="B116" s="16" t="str">
        <x:v>A-C40</x:v>
      </x:c>
      <x:c r="C116" s="16" t="str">
        <x:v>L-A</x:v>
      </x:c>
      <x:c r="D116" s="16" t="str">
        <x:v>C-1</x:v>
      </x:c>
      <x:c r="E116" s="16" t="str">
        <x:v>QH-2</x:v>
      </x:c>
      <x:c r="F116" s="16" t="str">
        <x:v>A-C40-L-A-C-1</x:v>
      </x:c>
      <x:c r="G116" s="16" t="n">
        <x:v>1.1</x:v>
      </x:c>
      <x:c r="H116" s="45"/>
      <x:c r="I116" s="45"/>
      <x:c r="J116" s="45"/>
      <x:c r="K116" s="45"/>
      <x:c r="L116" s="38"/>
      <x:c r="M116" s="38"/>
      <x:c r="N116" s="38"/>
      <x:c r="O116" s="38"/>
      <x:c r="P116" s="16" t="str">
        <x:f>IF(COUNTA(H116:O116)&lt;8,"OPEN",IF(AND(H116&lt;='Assumptions'!$B$16,H116&lt;='Assumptions'!$B$15,I116&lt;='Assumptions'!$B$24,J116&lt;='Assumptions'!$B$21,K116&gt;='Receiver'!$B$9,L116="NO",M116="YES",N116="YES",O116="NO"),"PASS","ADVERSE"))</x:f>
        <x:v>OPEN</x:v>
      </x:c>
    </x:row>
    <x:row r="117">
      <x:c r="A117" s="16" t="str">
        <x:v>T-111</x:v>
      </x:c>
      <x:c r="B117" s="16" t="str">
        <x:v>A-C40</x:v>
      </x:c>
      <x:c r="C117" s="16" t="str">
        <x:v>L-A</x:v>
      </x:c>
      <x:c r="D117" s="16" t="str">
        <x:v>C-1</x:v>
      </x:c>
      <x:c r="E117" s="16" t="str">
        <x:v>QH-3</x:v>
      </x:c>
      <x:c r="F117" s="16" t="str">
        <x:v>A-C40-L-A-C-1</x:v>
      </x:c>
      <x:c r="G117" s="16" t="n">
        <x:v>1</x:v>
      </x:c>
      <x:c r="H117" s="45"/>
      <x:c r="I117" s="45"/>
      <x:c r="J117" s="45"/>
      <x:c r="K117" s="45"/>
      <x:c r="L117" s="38"/>
      <x:c r="M117" s="38"/>
      <x:c r="N117" s="38"/>
      <x:c r="O117" s="38"/>
      <x:c r="P117" s="16" t="str">
        <x:f>IF(COUNTA(H117:O117)&lt;8,"OPEN",IF(AND(H117&lt;='Assumptions'!$B$16,H117&lt;='Assumptions'!$B$15,I117&lt;='Assumptions'!$B$24,J117&lt;='Assumptions'!$B$21,K117&gt;='Receiver'!$B$9,L117="NO",M117="YES",N117="YES",O117="NO"),"PASS","ADVERSE"))</x:f>
        <x:v>OPEN</x:v>
      </x:c>
    </x:row>
    <x:row r="118">
      <x:c r="A118" s="16" t="str">
        <x:v>T-112</x:v>
      </x:c>
      <x:c r="B118" s="16" t="str">
        <x:v>A-C40</x:v>
      </x:c>
      <x:c r="C118" s="16" t="str">
        <x:v>L-A</x:v>
      </x:c>
      <x:c r="D118" s="16" t="str">
        <x:v>C-1</x:v>
      </x:c>
      <x:c r="E118" s="16" t="str">
        <x:v>QH-4</x:v>
      </x:c>
      <x:c r="F118" s="16" t="str">
        <x:v>A-C40-L-A-C-1</x:v>
      </x:c>
      <x:c r="G118" s="16" t="n">
        <x:v>1</x:v>
      </x:c>
      <x:c r="H118" s="45"/>
      <x:c r="I118" s="45"/>
      <x:c r="J118" s="45"/>
      <x:c r="K118" s="45"/>
      <x:c r="L118" s="38"/>
      <x:c r="M118" s="38"/>
      <x:c r="N118" s="38"/>
      <x:c r="O118" s="38"/>
      <x:c r="P118" s="16" t="str">
        <x:f>IF(COUNTA(H118:O118)&lt;8,"OPEN",IF(AND(H118&lt;='Assumptions'!$B$16,H118&lt;='Assumptions'!$B$15,I118&lt;='Assumptions'!$B$24,J118&lt;='Assumptions'!$B$21,K118&gt;='Receiver'!$B$9,L118="NO",M118="YES",N118="YES",O118="NO"),"PASS","ADVERSE"))</x:f>
        <x:v>OPEN</x:v>
      </x:c>
    </x:row>
    <x:row r="119">
      <x:c r="A119" s="16" t="str">
        <x:v>T-113</x:v>
      </x:c>
      <x:c r="B119" s="16" t="str">
        <x:v>A-C40</x:v>
      </x:c>
      <x:c r="C119" s="16" t="str">
        <x:v>L-A</x:v>
      </x:c>
      <x:c r="D119" s="16" t="str">
        <x:v>C-1</x:v>
      </x:c>
      <x:c r="E119" s="16" t="str">
        <x:v>QH-5</x:v>
      </x:c>
      <x:c r="F119" s="16" t="str">
        <x:v>A-C40-L-A-C-1</x:v>
      </x:c>
      <x:c r="G119" s="16" t="n">
        <x:v>1</x:v>
      </x:c>
      <x:c r="H119" s="45"/>
      <x:c r="I119" s="45"/>
      <x:c r="J119" s="45"/>
      <x:c r="K119" s="45"/>
      <x:c r="L119" s="38"/>
      <x:c r="M119" s="38"/>
      <x:c r="N119" s="38"/>
      <x:c r="O119" s="38"/>
      <x:c r="P119" s="16" t="str">
        <x:f>IF(COUNTA(H119:O119)&lt;8,"OPEN",IF(AND(H119&lt;='Assumptions'!$B$16,H119&lt;='Assumptions'!$B$15,I119&lt;='Assumptions'!$B$24,J119&lt;='Assumptions'!$B$21,K119&gt;='Receiver'!$B$9,L119="NO",M119="YES",N119="YES",O119="NO"),"PASS","ADVERSE"))</x:f>
        <x:v>OPEN</x:v>
      </x:c>
    </x:row>
    <x:row r="120">
      <x:c r="A120" s="16" t="str">
        <x:v>T-114</x:v>
      </x:c>
      <x:c r="B120" s="16" t="str">
        <x:v>A-C40</x:v>
      </x:c>
      <x:c r="C120" s="16" t="str">
        <x:v>L-A</x:v>
      </x:c>
      <x:c r="D120" s="16" t="str">
        <x:v>C-1</x:v>
      </x:c>
      <x:c r="E120" s="16" t="str">
        <x:v>QH-6</x:v>
      </x:c>
      <x:c r="F120" s="16" t="str">
        <x:v>A-C40-L-A-C-1</x:v>
      </x:c>
      <x:c r="G120" s="16" t="n">
        <x:v>1</x:v>
      </x:c>
      <x:c r="H120" s="45"/>
      <x:c r="I120" s="45"/>
      <x:c r="J120" s="45"/>
      <x:c r="K120" s="45"/>
      <x:c r="L120" s="38"/>
      <x:c r="M120" s="38"/>
      <x:c r="N120" s="38"/>
      <x:c r="O120" s="38"/>
      <x:c r="P120" s="16" t="str">
        <x:f>IF(COUNTA(H120:O120)&lt;8,"OPEN",IF(AND(H120&lt;='Assumptions'!$B$16,H120&lt;='Assumptions'!$B$15,I120&lt;='Assumptions'!$B$24,J120&lt;='Assumptions'!$B$21,K120&gt;='Receiver'!$B$9,L120="NO",M120="YES",N120="YES",O120="NO"),"PASS","ADVERSE"))</x:f>
        <x:v>OPEN</x:v>
      </x:c>
    </x:row>
    <x:row r="121">
      <x:c r="A121" s="16" t="str">
        <x:v>T-115</x:v>
      </x:c>
      <x:c r="B121" s="16" t="str">
        <x:v>A-C40</x:v>
      </x:c>
      <x:c r="C121" s="16" t="str">
        <x:v>L-A</x:v>
      </x:c>
      <x:c r="D121" s="16" t="str">
        <x:v>C-2</x:v>
      </x:c>
      <x:c r="E121" s="16" t="str">
        <x:v>QH-1</x:v>
      </x:c>
      <x:c r="F121" s="16" t="str">
        <x:v>A-C40-L-A-C-2</x:v>
      </x:c>
      <x:c r="G121" s="16" t="n">
        <x:v>1</x:v>
      </x:c>
      <x:c r="H121" s="45"/>
      <x:c r="I121" s="45"/>
      <x:c r="J121" s="45"/>
      <x:c r="K121" s="45"/>
      <x:c r="L121" s="38"/>
      <x:c r="M121" s="38"/>
      <x:c r="N121" s="38"/>
      <x:c r="O121" s="38"/>
      <x:c r="P121" s="16" t="str">
        <x:f>IF(COUNTA(H121:O121)&lt;8,"OPEN",IF(AND(H121&lt;='Assumptions'!$B$16,H121&lt;='Assumptions'!$B$15,I121&lt;='Assumptions'!$B$24,J121&lt;='Assumptions'!$B$21,K121&gt;='Receiver'!$B$9,L121="NO",M121="YES",N121="YES",O121="NO"),"PASS","ADVERSE"))</x:f>
        <x:v>OPEN</x:v>
      </x:c>
    </x:row>
    <x:row r="122">
      <x:c r="A122" s="16" t="str">
        <x:v>T-116</x:v>
      </x:c>
      <x:c r="B122" s="16" t="str">
        <x:v>A-C40</x:v>
      </x:c>
      <x:c r="C122" s="16" t="str">
        <x:v>L-A</x:v>
      </x:c>
      <x:c r="D122" s="16" t="str">
        <x:v>C-2</x:v>
      </x:c>
      <x:c r="E122" s="16" t="str">
        <x:v>QH-2</x:v>
      </x:c>
      <x:c r="F122" s="16" t="str">
        <x:v>A-C40-L-A-C-2</x:v>
      </x:c>
      <x:c r="G122" s="16" t="n">
        <x:v>1.1</x:v>
      </x:c>
      <x:c r="H122" s="45"/>
      <x:c r="I122" s="45"/>
      <x:c r="J122" s="45"/>
      <x:c r="K122" s="45"/>
      <x:c r="L122" s="38"/>
      <x:c r="M122" s="38"/>
      <x:c r="N122" s="38"/>
      <x:c r="O122" s="38"/>
      <x:c r="P122" s="16" t="str">
        <x:f>IF(COUNTA(H122:O122)&lt;8,"OPEN",IF(AND(H122&lt;='Assumptions'!$B$16,H122&lt;='Assumptions'!$B$15,I122&lt;='Assumptions'!$B$24,J122&lt;='Assumptions'!$B$21,K122&gt;='Receiver'!$B$9,L122="NO",M122="YES",N122="YES",O122="NO"),"PASS","ADVERSE"))</x:f>
        <x:v>OPEN</x:v>
      </x:c>
    </x:row>
    <x:row r="123">
      <x:c r="A123" s="16" t="str">
        <x:v>T-117</x:v>
      </x:c>
      <x:c r="B123" s="16" t="str">
        <x:v>A-C40</x:v>
      </x:c>
      <x:c r="C123" s="16" t="str">
        <x:v>L-A</x:v>
      </x:c>
      <x:c r="D123" s="16" t="str">
        <x:v>C-2</x:v>
      </x:c>
      <x:c r="E123" s="16" t="str">
        <x:v>QH-3</x:v>
      </x:c>
      <x:c r="F123" s="16" t="str">
        <x:v>A-C40-L-A-C-2</x:v>
      </x:c>
      <x:c r="G123" s="16" t="n">
        <x:v>1</x:v>
      </x:c>
      <x:c r="H123" s="45"/>
      <x:c r="I123" s="45"/>
      <x:c r="J123" s="45"/>
      <x:c r="K123" s="45"/>
      <x:c r="L123" s="38"/>
      <x:c r="M123" s="38"/>
      <x:c r="N123" s="38"/>
      <x:c r="O123" s="38"/>
      <x:c r="P123" s="16" t="str">
        <x:f>IF(COUNTA(H123:O123)&lt;8,"OPEN",IF(AND(H123&lt;='Assumptions'!$B$16,H123&lt;='Assumptions'!$B$15,I123&lt;='Assumptions'!$B$24,J123&lt;='Assumptions'!$B$21,K123&gt;='Receiver'!$B$9,L123="NO",M123="YES",N123="YES",O123="NO"),"PASS","ADVERSE"))</x:f>
        <x:v>OPEN</x:v>
      </x:c>
    </x:row>
    <x:row r="124">
      <x:c r="A124" s="16" t="str">
        <x:v>T-118</x:v>
      </x:c>
      <x:c r="B124" s="16" t="str">
        <x:v>A-C40</x:v>
      </x:c>
      <x:c r="C124" s="16" t="str">
        <x:v>L-A</x:v>
      </x:c>
      <x:c r="D124" s="16" t="str">
        <x:v>C-2</x:v>
      </x:c>
      <x:c r="E124" s="16" t="str">
        <x:v>QH-4</x:v>
      </x:c>
      <x:c r="F124" s="16" t="str">
        <x:v>A-C40-L-A-C-2</x:v>
      </x:c>
      <x:c r="G124" s="16" t="n">
        <x:v>1</x:v>
      </x:c>
      <x:c r="H124" s="45"/>
      <x:c r="I124" s="45"/>
      <x:c r="J124" s="45"/>
      <x:c r="K124" s="45"/>
      <x:c r="L124" s="38"/>
      <x:c r="M124" s="38"/>
      <x:c r="N124" s="38"/>
      <x:c r="O124" s="38"/>
      <x:c r="P124" s="16" t="str">
        <x:f>IF(COUNTA(H124:O124)&lt;8,"OPEN",IF(AND(H124&lt;='Assumptions'!$B$16,H124&lt;='Assumptions'!$B$15,I124&lt;='Assumptions'!$B$24,J124&lt;='Assumptions'!$B$21,K124&gt;='Receiver'!$B$9,L124="NO",M124="YES",N124="YES",O124="NO"),"PASS","ADVERSE"))</x:f>
        <x:v>OPEN</x:v>
      </x:c>
    </x:row>
    <x:row r="125">
      <x:c r="A125" s="16" t="str">
        <x:v>T-119</x:v>
      </x:c>
      <x:c r="B125" s="16" t="str">
        <x:v>A-C40</x:v>
      </x:c>
      <x:c r="C125" s="16" t="str">
        <x:v>L-A</x:v>
      </x:c>
      <x:c r="D125" s="16" t="str">
        <x:v>C-2</x:v>
      </x:c>
      <x:c r="E125" s="16" t="str">
        <x:v>QH-5</x:v>
      </x:c>
      <x:c r="F125" s="16" t="str">
        <x:v>A-C40-L-A-C-2</x:v>
      </x:c>
      <x:c r="G125" s="16" t="n">
        <x:v>1</x:v>
      </x:c>
      <x:c r="H125" s="45"/>
      <x:c r="I125" s="45"/>
      <x:c r="J125" s="45"/>
      <x:c r="K125" s="45"/>
      <x:c r="L125" s="38"/>
      <x:c r="M125" s="38"/>
      <x:c r="N125" s="38"/>
      <x:c r="O125" s="38"/>
      <x:c r="P125" s="16" t="str">
        <x:f>IF(COUNTA(H125:O125)&lt;8,"OPEN",IF(AND(H125&lt;='Assumptions'!$B$16,H125&lt;='Assumptions'!$B$15,I125&lt;='Assumptions'!$B$24,J125&lt;='Assumptions'!$B$21,K125&gt;='Receiver'!$B$9,L125="NO",M125="YES",N125="YES",O125="NO"),"PASS","ADVERSE"))</x:f>
        <x:v>OPEN</x:v>
      </x:c>
    </x:row>
    <x:row r="126">
      <x:c r="A126" s="16" t="str">
        <x:v>T-120</x:v>
      </x:c>
      <x:c r="B126" s="16" t="str">
        <x:v>A-C40</x:v>
      </x:c>
      <x:c r="C126" s="16" t="str">
        <x:v>L-A</x:v>
      </x:c>
      <x:c r="D126" s="16" t="str">
        <x:v>C-2</x:v>
      </x:c>
      <x:c r="E126" s="16" t="str">
        <x:v>QH-6</x:v>
      </x:c>
      <x:c r="F126" s="16" t="str">
        <x:v>A-C40-L-A-C-2</x:v>
      </x:c>
      <x:c r="G126" s="16" t="n">
        <x:v>1</x:v>
      </x:c>
      <x:c r="H126" s="45"/>
      <x:c r="I126" s="45"/>
      <x:c r="J126" s="45"/>
      <x:c r="K126" s="45"/>
      <x:c r="L126" s="38"/>
      <x:c r="M126" s="38"/>
      <x:c r="N126" s="38"/>
      <x:c r="O126" s="38"/>
      <x:c r="P126" s="16" t="str">
        <x:f>IF(COUNTA(H126:O126)&lt;8,"OPEN",IF(AND(H126&lt;='Assumptions'!$B$16,H126&lt;='Assumptions'!$B$15,I126&lt;='Assumptions'!$B$24,J126&lt;='Assumptions'!$B$21,K126&gt;='Receiver'!$B$9,L126="NO",M126="YES",N126="YES",O126="NO"),"PASS","ADVERSE"))</x:f>
        <x:v>OPEN</x:v>
      </x:c>
    </x:row>
    <x:row r="127">
      <x:c r="A127" s="16" t="str">
        <x:v>T-121</x:v>
      </x:c>
      <x:c r="B127" s="16" t="str">
        <x:v>A-C40</x:v>
      </x:c>
      <x:c r="C127" s="16" t="str">
        <x:v>L-A</x:v>
      </x:c>
      <x:c r="D127" s="16" t="str">
        <x:v>C-3</x:v>
      </x:c>
      <x:c r="E127" s="16" t="str">
        <x:v>QH-1</x:v>
      </x:c>
      <x:c r="F127" s="16" t="str">
        <x:v>A-C40-L-A-C-3</x:v>
      </x:c>
      <x:c r="G127" s="16" t="n">
        <x:v>1</x:v>
      </x:c>
      <x:c r="H127" s="45"/>
      <x:c r="I127" s="45"/>
      <x:c r="J127" s="45"/>
      <x:c r="K127" s="45"/>
      <x:c r="L127" s="38"/>
      <x:c r="M127" s="38"/>
      <x:c r="N127" s="38"/>
      <x:c r="O127" s="38"/>
      <x:c r="P127" s="16" t="str">
        <x:f>IF(COUNTA(H127:O127)&lt;8,"OPEN",IF(AND(H127&lt;='Assumptions'!$B$16,H127&lt;='Assumptions'!$B$15,I127&lt;='Assumptions'!$B$24,J127&lt;='Assumptions'!$B$21,K127&gt;='Receiver'!$B$9,L127="NO",M127="YES",N127="YES",O127="NO"),"PASS","ADVERSE"))</x:f>
        <x:v>OPEN</x:v>
      </x:c>
    </x:row>
    <x:row r="128">
      <x:c r="A128" s="16" t="str">
        <x:v>T-122</x:v>
      </x:c>
      <x:c r="B128" s="16" t="str">
        <x:v>A-C40</x:v>
      </x:c>
      <x:c r="C128" s="16" t="str">
        <x:v>L-A</x:v>
      </x:c>
      <x:c r="D128" s="16" t="str">
        <x:v>C-3</x:v>
      </x:c>
      <x:c r="E128" s="16" t="str">
        <x:v>QH-2</x:v>
      </x:c>
      <x:c r="F128" s="16" t="str">
        <x:v>A-C40-L-A-C-3</x:v>
      </x:c>
      <x:c r="G128" s="16" t="n">
        <x:v>1.1</x:v>
      </x:c>
      <x:c r="H128" s="45"/>
      <x:c r="I128" s="45"/>
      <x:c r="J128" s="45"/>
      <x:c r="K128" s="45"/>
      <x:c r="L128" s="38"/>
      <x:c r="M128" s="38"/>
      <x:c r="N128" s="38"/>
      <x:c r="O128" s="38"/>
      <x:c r="P128" s="16" t="str">
        <x:f>IF(COUNTA(H128:O128)&lt;8,"OPEN",IF(AND(H128&lt;='Assumptions'!$B$16,H128&lt;='Assumptions'!$B$15,I128&lt;='Assumptions'!$B$24,J128&lt;='Assumptions'!$B$21,K128&gt;='Receiver'!$B$9,L128="NO",M128="YES",N128="YES",O128="NO"),"PASS","ADVERSE"))</x:f>
        <x:v>OPEN</x:v>
      </x:c>
    </x:row>
    <x:row r="129">
      <x:c r="A129" s="16" t="str">
        <x:v>T-123</x:v>
      </x:c>
      <x:c r="B129" s="16" t="str">
        <x:v>A-C40</x:v>
      </x:c>
      <x:c r="C129" s="16" t="str">
        <x:v>L-A</x:v>
      </x:c>
      <x:c r="D129" s="16" t="str">
        <x:v>C-3</x:v>
      </x:c>
      <x:c r="E129" s="16" t="str">
        <x:v>QH-3</x:v>
      </x:c>
      <x:c r="F129" s="16" t="str">
        <x:v>A-C40-L-A-C-3</x:v>
      </x:c>
      <x:c r="G129" s="16" t="n">
        <x:v>1</x:v>
      </x:c>
      <x:c r="H129" s="45"/>
      <x:c r="I129" s="45"/>
      <x:c r="J129" s="45"/>
      <x:c r="K129" s="45"/>
      <x:c r="L129" s="38"/>
      <x:c r="M129" s="38"/>
      <x:c r="N129" s="38"/>
      <x:c r="O129" s="38"/>
      <x:c r="P129" s="16" t="str">
        <x:f>IF(COUNTA(H129:O129)&lt;8,"OPEN",IF(AND(H129&lt;='Assumptions'!$B$16,H129&lt;='Assumptions'!$B$15,I129&lt;='Assumptions'!$B$24,J129&lt;='Assumptions'!$B$21,K129&gt;='Receiver'!$B$9,L129="NO",M129="YES",N129="YES",O129="NO"),"PASS","ADVERSE"))</x:f>
        <x:v>OPEN</x:v>
      </x:c>
    </x:row>
    <x:row r="130">
      <x:c r="A130" s="16" t="str">
        <x:v>T-124</x:v>
      </x:c>
      <x:c r="B130" s="16" t="str">
        <x:v>A-C40</x:v>
      </x:c>
      <x:c r="C130" s="16" t="str">
        <x:v>L-A</x:v>
      </x:c>
      <x:c r="D130" s="16" t="str">
        <x:v>C-3</x:v>
      </x:c>
      <x:c r="E130" s="16" t="str">
        <x:v>QH-4</x:v>
      </x:c>
      <x:c r="F130" s="16" t="str">
        <x:v>A-C40-L-A-C-3</x:v>
      </x:c>
      <x:c r="G130" s="16" t="n">
        <x:v>1</x:v>
      </x:c>
      <x:c r="H130" s="45"/>
      <x:c r="I130" s="45"/>
      <x:c r="J130" s="45"/>
      <x:c r="K130" s="45"/>
      <x:c r="L130" s="38"/>
      <x:c r="M130" s="38"/>
      <x:c r="N130" s="38"/>
      <x:c r="O130" s="38"/>
      <x:c r="P130" s="16" t="str">
        <x:f>IF(COUNTA(H130:O130)&lt;8,"OPEN",IF(AND(H130&lt;='Assumptions'!$B$16,H130&lt;='Assumptions'!$B$15,I130&lt;='Assumptions'!$B$24,J130&lt;='Assumptions'!$B$21,K130&gt;='Receiver'!$B$9,L130="NO",M130="YES",N130="YES",O130="NO"),"PASS","ADVERSE"))</x:f>
        <x:v>OPEN</x:v>
      </x:c>
    </x:row>
    <x:row r="131">
      <x:c r="A131" s="16" t="str">
        <x:v>T-125</x:v>
      </x:c>
      <x:c r="B131" s="16" t="str">
        <x:v>A-C40</x:v>
      </x:c>
      <x:c r="C131" s="16" t="str">
        <x:v>L-A</x:v>
      </x:c>
      <x:c r="D131" s="16" t="str">
        <x:v>C-3</x:v>
      </x:c>
      <x:c r="E131" s="16" t="str">
        <x:v>QH-5</x:v>
      </x:c>
      <x:c r="F131" s="16" t="str">
        <x:v>A-C40-L-A-C-3</x:v>
      </x:c>
      <x:c r="G131" s="16" t="n">
        <x:v>1</x:v>
      </x:c>
      <x:c r="H131" s="45"/>
      <x:c r="I131" s="45"/>
      <x:c r="J131" s="45"/>
      <x:c r="K131" s="45"/>
      <x:c r="L131" s="38"/>
      <x:c r="M131" s="38"/>
      <x:c r="N131" s="38"/>
      <x:c r="O131" s="38"/>
      <x:c r="P131" s="16" t="str">
        <x:f>IF(COUNTA(H131:O131)&lt;8,"OPEN",IF(AND(H131&lt;='Assumptions'!$B$16,H131&lt;='Assumptions'!$B$15,I131&lt;='Assumptions'!$B$24,J131&lt;='Assumptions'!$B$21,K131&gt;='Receiver'!$B$9,L131="NO",M131="YES",N131="YES",O131="NO"),"PASS","ADVERSE"))</x:f>
        <x:v>OPEN</x:v>
      </x:c>
    </x:row>
    <x:row r="132">
      <x:c r="A132" s="16" t="str">
        <x:v>T-126</x:v>
      </x:c>
      <x:c r="B132" s="16" t="str">
        <x:v>A-C40</x:v>
      </x:c>
      <x:c r="C132" s="16" t="str">
        <x:v>L-A</x:v>
      </x:c>
      <x:c r="D132" s="16" t="str">
        <x:v>C-3</x:v>
      </x:c>
      <x:c r="E132" s="16" t="str">
        <x:v>QH-6</x:v>
      </x:c>
      <x:c r="F132" s="16" t="str">
        <x:v>A-C40-L-A-C-3</x:v>
      </x:c>
      <x:c r="G132" s="16" t="n">
        <x:v>1</x:v>
      </x:c>
      <x:c r="H132" s="45"/>
      <x:c r="I132" s="45"/>
      <x:c r="J132" s="45"/>
      <x:c r="K132" s="45"/>
      <x:c r="L132" s="38"/>
      <x:c r="M132" s="38"/>
      <x:c r="N132" s="38"/>
      <x:c r="O132" s="38"/>
      <x:c r="P132" s="16" t="str">
        <x:f>IF(COUNTA(H132:O132)&lt;8,"OPEN",IF(AND(H132&lt;='Assumptions'!$B$16,H132&lt;='Assumptions'!$B$15,I132&lt;='Assumptions'!$B$24,J132&lt;='Assumptions'!$B$21,K132&gt;='Receiver'!$B$9,L132="NO",M132="YES",N132="YES",O132="NO"),"PASS","ADVERSE"))</x:f>
        <x:v>OPEN</x:v>
      </x:c>
    </x:row>
    <x:row r="133">
      <x:c r="A133" s="16" t="str">
        <x:v>T-127</x:v>
      </x:c>
      <x:c r="B133" s="16" t="str">
        <x:v>A-C40</x:v>
      </x:c>
      <x:c r="C133" s="16" t="str">
        <x:v>L-B</x:v>
      </x:c>
      <x:c r="D133" s="16" t="str">
        <x:v>C-1</x:v>
      </x:c>
      <x:c r="E133" s="16" t="str">
        <x:v>QH-1</x:v>
      </x:c>
      <x:c r="F133" s="16" t="str">
        <x:v>A-C40-L-B-C-1</x:v>
      </x:c>
      <x:c r="G133" s="16" t="n">
        <x:v>1</x:v>
      </x:c>
      <x:c r="H133" s="45"/>
      <x:c r="I133" s="45"/>
      <x:c r="J133" s="45"/>
      <x:c r="K133" s="45"/>
      <x:c r="L133" s="38"/>
      <x:c r="M133" s="38"/>
      <x:c r="N133" s="38"/>
      <x:c r="O133" s="38"/>
      <x:c r="P133" s="16" t="str">
        <x:f>IF(COUNTA(H133:O133)&lt;8,"OPEN",IF(AND(H133&lt;='Assumptions'!$B$16,H133&lt;='Assumptions'!$B$15,I133&lt;='Assumptions'!$B$24,J133&lt;='Assumptions'!$B$21,K133&gt;='Receiver'!$B$9,L133="NO",M133="YES",N133="YES",O133="NO"),"PASS","ADVERSE"))</x:f>
        <x:v>OPEN</x:v>
      </x:c>
    </x:row>
    <x:row r="134">
      <x:c r="A134" s="16" t="str">
        <x:v>T-128</x:v>
      </x:c>
      <x:c r="B134" s="16" t="str">
        <x:v>A-C40</x:v>
      </x:c>
      <x:c r="C134" s="16" t="str">
        <x:v>L-B</x:v>
      </x:c>
      <x:c r="D134" s="16" t="str">
        <x:v>C-1</x:v>
      </x:c>
      <x:c r="E134" s="16" t="str">
        <x:v>QH-2</x:v>
      </x:c>
      <x:c r="F134" s="16" t="str">
        <x:v>A-C40-L-B-C-1</x:v>
      </x:c>
      <x:c r="G134" s="16" t="n">
        <x:v>1.1</x:v>
      </x:c>
      <x:c r="H134" s="45"/>
      <x:c r="I134" s="45"/>
      <x:c r="J134" s="45"/>
      <x:c r="K134" s="45"/>
      <x:c r="L134" s="38"/>
      <x:c r="M134" s="38"/>
      <x:c r="N134" s="38"/>
      <x:c r="O134" s="38"/>
      <x:c r="P134" s="16" t="str">
        <x:f>IF(COUNTA(H134:O134)&lt;8,"OPEN",IF(AND(H134&lt;='Assumptions'!$B$16,H134&lt;='Assumptions'!$B$15,I134&lt;='Assumptions'!$B$24,J134&lt;='Assumptions'!$B$21,K134&gt;='Receiver'!$B$9,L134="NO",M134="YES",N134="YES",O134="NO"),"PASS","ADVERSE"))</x:f>
        <x:v>OPEN</x:v>
      </x:c>
    </x:row>
    <x:row r="135">
      <x:c r="A135" s="16" t="str">
        <x:v>T-129</x:v>
      </x:c>
      <x:c r="B135" s="16" t="str">
        <x:v>A-C40</x:v>
      </x:c>
      <x:c r="C135" s="16" t="str">
        <x:v>L-B</x:v>
      </x:c>
      <x:c r="D135" s="16" t="str">
        <x:v>C-1</x:v>
      </x:c>
      <x:c r="E135" s="16" t="str">
        <x:v>QH-3</x:v>
      </x:c>
      <x:c r="F135" s="16" t="str">
        <x:v>A-C40-L-B-C-1</x:v>
      </x:c>
      <x:c r="G135" s="16" t="n">
        <x:v>1</x:v>
      </x:c>
      <x:c r="H135" s="45"/>
      <x:c r="I135" s="45"/>
      <x:c r="J135" s="45"/>
      <x:c r="K135" s="45"/>
      <x:c r="L135" s="38"/>
      <x:c r="M135" s="38"/>
      <x:c r="N135" s="38"/>
      <x:c r="O135" s="38"/>
      <x:c r="P135" s="16" t="str">
        <x:f>IF(COUNTA(H135:O135)&lt;8,"OPEN",IF(AND(H135&lt;='Assumptions'!$B$16,H135&lt;='Assumptions'!$B$15,I135&lt;='Assumptions'!$B$24,J135&lt;='Assumptions'!$B$21,K135&gt;='Receiver'!$B$9,L135="NO",M135="YES",N135="YES",O135="NO"),"PASS","ADVERSE"))</x:f>
        <x:v>OPEN</x:v>
      </x:c>
    </x:row>
    <x:row r="136">
      <x:c r="A136" s="16" t="str">
        <x:v>T-130</x:v>
      </x:c>
      <x:c r="B136" s="16" t="str">
        <x:v>A-C40</x:v>
      </x:c>
      <x:c r="C136" s="16" t="str">
        <x:v>L-B</x:v>
      </x:c>
      <x:c r="D136" s="16" t="str">
        <x:v>C-1</x:v>
      </x:c>
      <x:c r="E136" s="16" t="str">
        <x:v>QH-4</x:v>
      </x:c>
      <x:c r="F136" s="16" t="str">
        <x:v>A-C40-L-B-C-1</x:v>
      </x:c>
      <x:c r="G136" s="16" t="n">
        <x:v>1</x:v>
      </x:c>
      <x:c r="H136" s="45"/>
      <x:c r="I136" s="45"/>
      <x:c r="J136" s="45"/>
      <x:c r="K136" s="45"/>
      <x:c r="L136" s="38"/>
      <x:c r="M136" s="38"/>
      <x:c r="N136" s="38"/>
      <x:c r="O136" s="38"/>
      <x:c r="P136" s="16" t="str">
        <x:f>IF(COUNTA(H136:O136)&lt;8,"OPEN",IF(AND(H136&lt;='Assumptions'!$B$16,H136&lt;='Assumptions'!$B$15,I136&lt;='Assumptions'!$B$24,J136&lt;='Assumptions'!$B$21,K136&gt;='Receiver'!$B$9,L136="NO",M136="YES",N136="YES",O136="NO"),"PASS","ADVERSE"))</x:f>
        <x:v>OPEN</x:v>
      </x:c>
    </x:row>
    <x:row r="137">
      <x:c r="A137" s="16" t="str">
        <x:v>T-131</x:v>
      </x:c>
      <x:c r="B137" s="16" t="str">
        <x:v>A-C40</x:v>
      </x:c>
      <x:c r="C137" s="16" t="str">
        <x:v>L-B</x:v>
      </x:c>
      <x:c r="D137" s="16" t="str">
        <x:v>C-1</x:v>
      </x:c>
      <x:c r="E137" s="16" t="str">
        <x:v>QH-5</x:v>
      </x:c>
      <x:c r="F137" s="16" t="str">
        <x:v>A-C40-L-B-C-1</x:v>
      </x:c>
      <x:c r="G137" s="16" t="n">
        <x:v>1</x:v>
      </x:c>
      <x:c r="H137" s="45"/>
      <x:c r="I137" s="45"/>
      <x:c r="J137" s="45"/>
      <x:c r="K137" s="45"/>
      <x:c r="L137" s="38"/>
      <x:c r="M137" s="38"/>
      <x:c r="N137" s="38"/>
      <x:c r="O137" s="38"/>
      <x:c r="P137" s="16" t="str">
        <x:f>IF(COUNTA(H137:O137)&lt;8,"OPEN",IF(AND(H137&lt;='Assumptions'!$B$16,H137&lt;='Assumptions'!$B$15,I137&lt;='Assumptions'!$B$24,J137&lt;='Assumptions'!$B$21,K137&gt;='Receiver'!$B$9,L137="NO",M137="YES",N137="YES",O137="NO"),"PASS","ADVERSE"))</x:f>
        <x:v>OPEN</x:v>
      </x:c>
    </x:row>
    <x:row r="138">
      <x:c r="A138" s="16" t="str">
        <x:v>T-132</x:v>
      </x:c>
      <x:c r="B138" s="16" t="str">
        <x:v>A-C40</x:v>
      </x:c>
      <x:c r="C138" s="16" t="str">
        <x:v>L-B</x:v>
      </x:c>
      <x:c r="D138" s="16" t="str">
        <x:v>C-1</x:v>
      </x:c>
      <x:c r="E138" s="16" t="str">
        <x:v>QH-6</x:v>
      </x:c>
      <x:c r="F138" s="16" t="str">
        <x:v>A-C40-L-B-C-1</x:v>
      </x:c>
      <x:c r="G138" s="16" t="n">
        <x:v>1</x:v>
      </x:c>
      <x:c r="H138" s="45"/>
      <x:c r="I138" s="45"/>
      <x:c r="J138" s="45"/>
      <x:c r="K138" s="45"/>
      <x:c r="L138" s="38"/>
      <x:c r="M138" s="38"/>
      <x:c r="N138" s="38"/>
      <x:c r="O138" s="38"/>
      <x:c r="P138" s="16" t="str">
        <x:f>IF(COUNTA(H138:O138)&lt;8,"OPEN",IF(AND(H138&lt;='Assumptions'!$B$16,H138&lt;='Assumptions'!$B$15,I138&lt;='Assumptions'!$B$24,J138&lt;='Assumptions'!$B$21,K138&gt;='Receiver'!$B$9,L138="NO",M138="YES",N138="YES",O138="NO"),"PASS","ADVERSE"))</x:f>
        <x:v>OPEN</x:v>
      </x:c>
    </x:row>
    <x:row r="139">
      <x:c r="A139" s="16" t="str">
        <x:v>T-133</x:v>
      </x:c>
      <x:c r="B139" s="16" t="str">
        <x:v>A-C40</x:v>
      </x:c>
      <x:c r="C139" s="16" t="str">
        <x:v>L-B</x:v>
      </x:c>
      <x:c r="D139" s="16" t="str">
        <x:v>C-2</x:v>
      </x:c>
      <x:c r="E139" s="16" t="str">
        <x:v>QH-1</x:v>
      </x:c>
      <x:c r="F139" s="16" t="str">
        <x:v>A-C40-L-B-C-2</x:v>
      </x:c>
      <x:c r="G139" s="16" t="n">
        <x:v>1</x:v>
      </x:c>
      <x:c r="H139" s="45"/>
      <x:c r="I139" s="45"/>
      <x:c r="J139" s="45"/>
      <x:c r="K139" s="45"/>
      <x:c r="L139" s="38"/>
      <x:c r="M139" s="38"/>
      <x:c r="N139" s="38"/>
      <x:c r="O139" s="38"/>
      <x:c r="P139" s="16" t="str">
        <x:f>IF(COUNTA(H139:O139)&lt;8,"OPEN",IF(AND(H139&lt;='Assumptions'!$B$16,H139&lt;='Assumptions'!$B$15,I139&lt;='Assumptions'!$B$24,J139&lt;='Assumptions'!$B$21,K139&gt;='Receiver'!$B$9,L139="NO",M139="YES",N139="YES",O139="NO"),"PASS","ADVERSE"))</x:f>
        <x:v>OPEN</x:v>
      </x:c>
    </x:row>
    <x:row r="140">
      <x:c r="A140" s="16" t="str">
        <x:v>T-134</x:v>
      </x:c>
      <x:c r="B140" s="16" t="str">
        <x:v>A-C40</x:v>
      </x:c>
      <x:c r="C140" s="16" t="str">
        <x:v>L-B</x:v>
      </x:c>
      <x:c r="D140" s="16" t="str">
        <x:v>C-2</x:v>
      </x:c>
      <x:c r="E140" s="16" t="str">
        <x:v>QH-2</x:v>
      </x:c>
      <x:c r="F140" s="16" t="str">
        <x:v>A-C40-L-B-C-2</x:v>
      </x:c>
      <x:c r="G140" s="16" t="n">
        <x:v>1.1</x:v>
      </x:c>
      <x:c r="H140" s="45"/>
      <x:c r="I140" s="45"/>
      <x:c r="J140" s="45"/>
      <x:c r="K140" s="45"/>
      <x:c r="L140" s="38"/>
      <x:c r="M140" s="38"/>
      <x:c r="N140" s="38"/>
      <x:c r="O140" s="38"/>
      <x:c r="P140" s="16" t="str">
        <x:f>IF(COUNTA(H140:O140)&lt;8,"OPEN",IF(AND(H140&lt;='Assumptions'!$B$16,H140&lt;='Assumptions'!$B$15,I140&lt;='Assumptions'!$B$24,J140&lt;='Assumptions'!$B$21,K140&gt;='Receiver'!$B$9,L140="NO",M140="YES",N140="YES",O140="NO"),"PASS","ADVERSE"))</x:f>
        <x:v>OPEN</x:v>
      </x:c>
    </x:row>
    <x:row r="141">
      <x:c r="A141" s="16" t="str">
        <x:v>T-135</x:v>
      </x:c>
      <x:c r="B141" s="16" t="str">
        <x:v>A-C40</x:v>
      </x:c>
      <x:c r="C141" s="16" t="str">
        <x:v>L-B</x:v>
      </x:c>
      <x:c r="D141" s="16" t="str">
        <x:v>C-2</x:v>
      </x:c>
      <x:c r="E141" s="16" t="str">
        <x:v>QH-3</x:v>
      </x:c>
      <x:c r="F141" s="16" t="str">
        <x:v>A-C40-L-B-C-2</x:v>
      </x:c>
      <x:c r="G141" s="16" t="n">
        <x:v>1</x:v>
      </x:c>
      <x:c r="H141" s="45"/>
      <x:c r="I141" s="45"/>
      <x:c r="J141" s="45"/>
      <x:c r="K141" s="45"/>
      <x:c r="L141" s="38"/>
      <x:c r="M141" s="38"/>
      <x:c r="N141" s="38"/>
      <x:c r="O141" s="38"/>
      <x:c r="P141" s="16" t="str">
        <x:f>IF(COUNTA(H141:O141)&lt;8,"OPEN",IF(AND(H141&lt;='Assumptions'!$B$16,H141&lt;='Assumptions'!$B$15,I141&lt;='Assumptions'!$B$24,J141&lt;='Assumptions'!$B$21,K141&gt;='Receiver'!$B$9,L141="NO",M141="YES",N141="YES",O141="NO"),"PASS","ADVERSE"))</x:f>
        <x:v>OPEN</x:v>
      </x:c>
    </x:row>
    <x:row r="142">
      <x:c r="A142" s="16" t="str">
        <x:v>T-136</x:v>
      </x:c>
      <x:c r="B142" s="16" t="str">
        <x:v>A-C40</x:v>
      </x:c>
      <x:c r="C142" s="16" t="str">
        <x:v>L-B</x:v>
      </x:c>
      <x:c r="D142" s="16" t="str">
        <x:v>C-2</x:v>
      </x:c>
      <x:c r="E142" s="16" t="str">
        <x:v>QH-4</x:v>
      </x:c>
      <x:c r="F142" s="16" t="str">
        <x:v>A-C40-L-B-C-2</x:v>
      </x:c>
      <x:c r="G142" s="16" t="n">
        <x:v>1</x:v>
      </x:c>
      <x:c r="H142" s="45"/>
      <x:c r="I142" s="45"/>
      <x:c r="J142" s="45"/>
      <x:c r="K142" s="45"/>
      <x:c r="L142" s="38"/>
      <x:c r="M142" s="38"/>
      <x:c r="N142" s="38"/>
      <x:c r="O142" s="38"/>
      <x:c r="P142" s="16" t="str">
        <x:f>IF(COUNTA(H142:O142)&lt;8,"OPEN",IF(AND(H142&lt;='Assumptions'!$B$16,H142&lt;='Assumptions'!$B$15,I142&lt;='Assumptions'!$B$24,J142&lt;='Assumptions'!$B$21,K142&gt;='Receiver'!$B$9,L142="NO",M142="YES",N142="YES",O142="NO"),"PASS","ADVERSE"))</x:f>
        <x:v>OPEN</x:v>
      </x:c>
    </x:row>
    <x:row r="143">
      <x:c r="A143" s="16" t="str">
        <x:v>T-137</x:v>
      </x:c>
      <x:c r="B143" s="16" t="str">
        <x:v>A-C40</x:v>
      </x:c>
      <x:c r="C143" s="16" t="str">
        <x:v>L-B</x:v>
      </x:c>
      <x:c r="D143" s="16" t="str">
        <x:v>C-2</x:v>
      </x:c>
      <x:c r="E143" s="16" t="str">
        <x:v>QH-5</x:v>
      </x:c>
      <x:c r="F143" s="16" t="str">
        <x:v>A-C40-L-B-C-2</x:v>
      </x:c>
      <x:c r="G143" s="16" t="n">
        <x:v>1</x:v>
      </x:c>
      <x:c r="H143" s="45"/>
      <x:c r="I143" s="45"/>
      <x:c r="J143" s="45"/>
      <x:c r="K143" s="45"/>
      <x:c r="L143" s="38"/>
      <x:c r="M143" s="38"/>
      <x:c r="N143" s="38"/>
      <x:c r="O143" s="38"/>
      <x:c r="P143" s="16" t="str">
        <x:f>IF(COUNTA(H143:O143)&lt;8,"OPEN",IF(AND(H143&lt;='Assumptions'!$B$16,H143&lt;='Assumptions'!$B$15,I143&lt;='Assumptions'!$B$24,J143&lt;='Assumptions'!$B$21,K143&gt;='Receiver'!$B$9,L143="NO",M143="YES",N143="YES",O143="NO"),"PASS","ADVERSE"))</x:f>
        <x:v>OPEN</x:v>
      </x:c>
    </x:row>
    <x:row r="144">
      <x:c r="A144" s="16" t="str">
        <x:v>T-138</x:v>
      </x:c>
      <x:c r="B144" s="16" t="str">
        <x:v>A-C40</x:v>
      </x:c>
      <x:c r="C144" s="16" t="str">
        <x:v>L-B</x:v>
      </x:c>
      <x:c r="D144" s="16" t="str">
        <x:v>C-2</x:v>
      </x:c>
      <x:c r="E144" s="16" t="str">
        <x:v>QH-6</x:v>
      </x:c>
      <x:c r="F144" s="16" t="str">
        <x:v>A-C40-L-B-C-2</x:v>
      </x:c>
      <x:c r="G144" s="16" t="n">
        <x:v>1</x:v>
      </x:c>
      <x:c r="H144" s="45"/>
      <x:c r="I144" s="45"/>
      <x:c r="J144" s="45"/>
      <x:c r="K144" s="45"/>
      <x:c r="L144" s="38"/>
      <x:c r="M144" s="38"/>
      <x:c r="N144" s="38"/>
      <x:c r="O144" s="38"/>
      <x:c r="P144" s="16" t="str">
        <x:f>IF(COUNTA(H144:O144)&lt;8,"OPEN",IF(AND(H144&lt;='Assumptions'!$B$16,H144&lt;='Assumptions'!$B$15,I144&lt;='Assumptions'!$B$24,J144&lt;='Assumptions'!$B$21,K144&gt;='Receiver'!$B$9,L144="NO",M144="YES",N144="YES",O144="NO"),"PASS","ADVERSE"))</x:f>
        <x:v>OPEN</x:v>
      </x:c>
    </x:row>
    <x:row r="145">
      <x:c r="A145" s="16" t="str">
        <x:v>T-139</x:v>
      </x:c>
      <x:c r="B145" s="16" t="str">
        <x:v>A-C40</x:v>
      </x:c>
      <x:c r="C145" s="16" t="str">
        <x:v>L-B</x:v>
      </x:c>
      <x:c r="D145" s="16" t="str">
        <x:v>C-3</x:v>
      </x:c>
      <x:c r="E145" s="16" t="str">
        <x:v>QH-1</x:v>
      </x:c>
      <x:c r="F145" s="16" t="str">
        <x:v>A-C40-L-B-C-3</x:v>
      </x:c>
      <x:c r="G145" s="16" t="n">
        <x:v>1</x:v>
      </x:c>
      <x:c r="H145" s="45"/>
      <x:c r="I145" s="45"/>
      <x:c r="J145" s="45"/>
      <x:c r="K145" s="45"/>
      <x:c r="L145" s="38"/>
      <x:c r="M145" s="38"/>
      <x:c r="N145" s="38"/>
      <x:c r="O145" s="38"/>
      <x:c r="P145" s="16" t="str">
        <x:f>IF(COUNTA(H145:O145)&lt;8,"OPEN",IF(AND(H145&lt;='Assumptions'!$B$16,H145&lt;='Assumptions'!$B$15,I145&lt;='Assumptions'!$B$24,J145&lt;='Assumptions'!$B$21,K145&gt;='Receiver'!$B$9,L145="NO",M145="YES",N145="YES",O145="NO"),"PASS","ADVERSE"))</x:f>
        <x:v>OPEN</x:v>
      </x:c>
    </x:row>
    <x:row r="146">
      <x:c r="A146" s="16" t="str">
        <x:v>T-140</x:v>
      </x:c>
      <x:c r="B146" s="16" t="str">
        <x:v>A-C40</x:v>
      </x:c>
      <x:c r="C146" s="16" t="str">
        <x:v>L-B</x:v>
      </x:c>
      <x:c r="D146" s="16" t="str">
        <x:v>C-3</x:v>
      </x:c>
      <x:c r="E146" s="16" t="str">
        <x:v>QH-2</x:v>
      </x:c>
      <x:c r="F146" s="16" t="str">
        <x:v>A-C40-L-B-C-3</x:v>
      </x:c>
      <x:c r="G146" s="16" t="n">
        <x:v>1.1</x:v>
      </x:c>
      <x:c r="H146" s="45"/>
      <x:c r="I146" s="45"/>
      <x:c r="J146" s="45"/>
      <x:c r="K146" s="45"/>
      <x:c r="L146" s="38"/>
      <x:c r="M146" s="38"/>
      <x:c r="N146" s="38"/>
      <x:c r="O146" s="38"/>
      <x:c r="P146" s="16" t="str">
        <x:f>IF(COUNTA(H146:O146)&lt;8,"OPEN",IF(AND(H146&lt;='Assumptions'!$B$16,H146&lt;='Assumptions'!$B$15,I146&lt;='Assumptions'!$B$24,J146&lt;='Assumptions'!$B$21,K146&gt;='Receiver'!$B$9,L146="NO",M146="YES",N146="YES",O146="NO"),"PASS","ADVERSE"))</x:f>
        <x:v>OPEN</x:v>
      </x:c>
    </x:row>
    <x:row r="147">
      <x:c r="A147" s="16" t="str">
        <x:v>T-141</x:v>
      </x:c>
      <x:c r="B147" s="16" t="str">
        <x:v>A-C40</x:v>
      </x:c>
      <x:c r="C147" s="16" t="str">
        <x:v>L-B</x:v>
      </x:c>
      <x:c r="D147" s="16" t="str">
        <x:v>C-3</x:v>
      </x:c>
      <x:c r="E147" s="16" t="str">
        <x:v>QH-3</x:v>
      </x:c>
      <x:c r="F147" s="16" t="str">
        <x:v>A-C40-L-B-C-3</x:v>
      </x:c>
      <x:c r="G147" s="16" t="n">
        <x:v>1</x:v>
      </x:c>
      <x:c r="H147" s="45"/>
      <x:c r="I147" s="45"/>
      <x:c r="J147" s="45"/>
      <x:c r="K147" s="45"/>
      <x:c r="L147" s="38"/>
      <x:c r="M147" s="38"/>
      <x:c r="N147" s="38"/>
      <x:c r="O147" s="38"/>
      <x:c r="P147" s="16" t="str">
        <x:f>IF(COUNTA(H147:O147)&lt;8,"OPEN",IF(AND(H147&lt;='Assumptions'!$B$16,H147&lt;='Assumptions'!$B$15,I147&lt;='Assumptions'!$B$24,J147&lt;='Assumptions'!$B$21,K147&gt;='Receiver'!$B$9,L147="NO",M147="YES",N147="YES",O147="NO"),"PASS","ADVERSE"))</x:f>
        <x:v>OPEN</x:v>
      </x:c>
    </x:row>
    <x:row r="148">
      <x:c r="A148" s="16" t="str">
        <x:v>T-142</x:v>
      </x:c>
      <x:c r="B148" s="16" t="str">
        <x:v>A-C40</x:v>
      </x:c>
      <x:c r="C148" s="16" t="str">
        <x:v>L-B</x:v>
      </x:c>
      <x:c r="D148" s="16" t="str">
        <x:v>C-3</x:v>
      </x:c>
      <x:c r="E148" s="16" t="str">
        <x:v>QH-4</x:v>
      </x:c>
      <x:c r="F148" s="16" t="str">
        <x:v>A-C40-L-B-C-3</x:v>
      </x:c>
      <x:c r="G148" s="16" t="n">
        <x:v>1</x:v>
      </x:c>
      <x:c r="H148" s="45"/>
      <x:c r="I148" s="45"/>
      <x:c r="J148" s="45"/>
      <x:c r="K148" s="45"/>
      <x:c r="L148" s="38"/>
      <x:c r="M148" s="38"/>
      <x:c r="N148" s="38"/>
      <x:c r="O148" s="38"/>
      <x:c r="P148" s="16" t="str">
        <x:f>IF(COUNTA(H148:O148)&lt;8,"OPEN",IF(AND(H148&lt;='Assumptions'!$B$16,H148&lt;='Assumptions'!$B$15,I148&lt;='Assumptions'!$B$24,J148&lt;='Assumptions'!$B$21,K148&gt;='Receiver'!$B$9,L148="NO",M148="YES",N148="YES",O148="NO"),"PASS","ADVERSE"))</x:f>
        <x:v>OPEN</x:v>
      </x:c>
    </x:row>
    <x:row r="149">
      <x:c r="A149" s="16" t="str">
        <x:v>T-143</x:v>
      </x:c>
      <x:c r="B149" s="16" t="str">
        <x:v>A-C40</x:v>
      </x:c>
      <x:c r="C149" s="16" t="str">
        <x:v>L-B</x:v>
      </x:c>
      <x:c r="D149" s="16" t="str">
        <x:v>C-3</x:v>
      </x:c>
      <x:c r="E149" s="16" t="str">
        <x:v>QH-5</x:v>
      </x:c>
      <x:c r="F149" s="16" t="str">
        <x:v>A-C40-L-B-C-3</x:v>
      </x:c>
      <x:c r="G149" s="16" t="n">
        <x:v>1</x:v>
      </x:c>
      <x:c r="H149" s="45"/>
      <x:c r="I149" s="45"/>
      <x:c r="J149" s="45"/>
      <x:c r="K149" s="45"/>
      <x:c r="L149" s="38"/>
      <x:c r="M149" s="38"/>
      <x:c r="N149" s="38"/>
      <x:c r="O149" s="38"/>
      <x:c r="P149" s="16" t="str">
        <x:f>IF(COUNTA(H149:O149)&lt;8,"OPEN",IF(AND(H149&lt;='Assumptions'!$B$16,H149&lt;='Assumptions'!$B$15,I149&lt;='Assumptions'!$B$24,J149&lt;='Assumptions'!$B$21,K149&gt;='Receiver'!$B$9,L149="NO",M149="YES",N149="YES",O149="NO"),"PASS","ADVERSE"))</x:f>
        <x:v>OPEN</x:v>
      </x:c>
    </x:row>
    <x:row r="150">
      <x:c r="A150" s="16" t="str">
        <x:v>T-144</x:v>
      </x:c>
      <x:c r="B150" s="16" t="str">
        <x:v>A-C40</x:v>
      </x:c>
      <x:c r="C150" s="16" t="str">
        <x:v>L-B</x:v>
      </x:c>
      <x:c r="D150" s="16" t="str">
        <x:v>C-3</x:v>
      </x:c>
      <x:c r="E150" s="16" t="str">
        <x:v>QH-6</x:v>
      </x:c>
      <x:c r="F150" s="16" t="str">
        <x:v>A-C40-L-B-C-3</x:v>
      </x:c>
      <x:c r="G150" s="16" t="n">
        <x:v>1</x:v>
      </x:c>
      <x:c r="H150" s="45"/>
      <x:c r="I150" s="45"/>
      <x:c r="J150" s="45"/>
      <x:c r="K150" s="45"/>
      <x:c r="L150" s="38"/>
      <x:c r="M150" s="38"/>
      <x:c r="N150" s="38"/>
      <x:c r="O150" s="38"/>
      <x:c r="P150" s="16" t="str">
        <x:f>IF(COUNTA(H150:O150)&lt;8,"OPEN",IF(AND(H150&lt;='Assumptions'!$B$16,H150&lt;='Assumptions'!$B$15,I150&lt;='Assumptions'!$B$24,J150&lt;='Assumptions'!$B$21,K150&gt;='Receiver'!$B$9,L150="NO",M150="YES",N150="YES",O150="NO"),"PASS","ADVERSE"))</x:f>
        <x:v>OPEN</x:v>
      </x:c>
    </x:row>
    <x:row r="151">
      <x:c r="A151" s="16" t="str">
        <x:v>T-145</x:v>
      </x:c>
      <x:c r="B151" s="16" t="str">
        <x:v>A-M40</x:v>
      </x:c>
      <x:c r="C151" s="16" t="str">
        <x:v>L-A</x:v>
      </x:c>
      <x:c r="D151" s="16" t="str">
        <x:v>C-1</x:v>
      </x:c>
      <x:c r="E151" s="16" t="str">
        <x:v>QH-1</x:v>
      </x:c>
      <x:c r="F151" s="16" t="str">
        <x:v>A-M40-L-A-C-1</x:v>
      </x:c>
      <x:c r="G151" s="16" t="n">
        <x:v>1</x:v>
      </x:c>
      <x:c r="H151" s="45"/>
      <x:c r="I151" s="45"/>
      <x:c r="J151" s="45"/>
      <x:c r="K151" s="45"/>
      <x:c r="L151" s="38"/>
      <x:c r="M151" s="38"/>
      <x:c r="N151" s="38"/>
      <x:c r="O151" s="38"/>
      <x:c r="P151" s="16" t="str">
        <x:f>IF(COUNTA(H151:O151)&lt;8,"OPEN",IF(AND(H151&lt;='Assumptions'!$B$16,H151&lt;='Assumptions'!$B$15,I151&lt;='Assumptions'!$B$24,J151&lt;='Assumptions'!$B$21,K151&gt;='Receiver'!$B$9,L151="NO",M151="YES",N151="YES",O151="NO"),"PASS","ADVERSE"))</x:f>
        <x:v>OPEN</x:v>
      </x:c>
    </x:row>
    <x:row r="152">
      <x:c r="A152" s="16" t="str">
        <x:v>T-146</x:v>
      </x:c>
      <x:c r="B152" s="16" t="str">
        <x:v>A-M40</x:v>
      </x:c>
      <x:c r="C152" s="16" t="str">
        <x:v>L-A</x:v>
      </x:c>
      <x:c r="D152" s="16" t="str">
        <x:v>C-1</x:v>
      </x:c>
      <x:c r="E152" s="16" t="str">
        <x:v>QH-2</x:v>
      </x:c>
      <x:c r="F152" s="16" t="str">
        <x:v>A-M40-L-A-C-1</x:v>
      </x:c>
      <x:c r="G152" s="16" t="n">
        <x:v>1.1</x:v>
      </x:c>
      <x:c r="H152" s="45"/>
      <x:c r="I152" s="45"/>
      <x:c r="J152" s="45"/>
      <x:c r="K152" s="45"/>
      <x:c r="L152" s="38"/>
      <x:c r="M152" s="38"/>
      <x:c r="N152" s="38"/>
      <x:c r="O152" s="38"/>
      <x:c r="P152" s="16" t="str">
        <x:f>IF(COUNTA(H152:O152)&lt;8,"OPEN",IF(AND(H152&lt;='Assumptions'!$B$16,H152&lt;='Assumptions'!$B$15,I152&lt;='Assumptions'!$B$24,J152&lt;='Assumptions'!$B$21,K152&gt;='Receiver'!$B$9,L152="NO",M152="YES",N152="YES",O152="NO"),"PASS","ADVERSE"))</x:f>
        <x:v>OPEN</x:v>
      </x:c>
    </x:row>
    <x:row r="153">
      <x:c r="A153" s="16" t="str">
        <x:v>T-147</x:v>
      </x:c>
      <x:c r="B153" s="16" t="str">
        <x:v>A-M40</x:v>
      </x:c>
      <x:c r="C153" s="16" t="str">
        <x:v>L-A</x:v>
      </x:c>
      <x:c r="D153" s="16" t="str">
        <x:v>C-1</x:v>
      </x:c>
      <x:c r="E153" s="16" t="str">
        <x:v>QH-3</x:v>
      </x:c>
      <x:c r="F153" s="16" t="str">
        <x:v>A-M40-L-A-C-1</x:v>
      </x:c>
      <x:c r="G153" s="16" t="n">
        <x:v>1</x:v>
      </x:c>
      <x:c r="H153" s="45"/>
      <x:c r="I153" s="45"/>
      <x:c r="J153" s="45"/>
      <x:c r="K153" s="45"/>
      <x:c r="L153" s="38"/>
      <x:c r="M153" s="38"/>
      <x:c r="N153" s="38"/>
      <x:c r="O153" s="38"/>
      <x:c r="P153" s="16" t="str">
        <x:f>IF(COUNTA(H153:O153)&lt;8,"OPEN",IF(AND(H153&lt;='Assumptions'!$B$16,H153&lt;='Assumptions'!$B$15,I153&lt;='Assumptions'!$B$24,J153&lt;='Assumptions'!$B$21,K153&gt;='Receiver'!$B$9,L153="NO",M153="YES",N153="YES",O153="NO"),"PASS","ADVERSE"))</x:f>
        <x:v>OPEN</x:v>
      </x:c>
    </x:row>
    <x:row r="154">
      <x:c r="A154" s="16" t="str">
        <x:v>T-148</x:v>
      </x:c>
      <x:c r="B154" s="16" t="str">
        <x:v>A-M40</x:v>
      </x:c>
      <x:c r="C154" s="16" t="str">
        <x:v>L-A</x:v>
      </x:c>
      <x:c r="D154" s="16" t="str">
        <x:v>C-1</x:v>
      </x:c>
      <x:c r="E154" s="16" t="str">
        <x:v>QH-4</x:v>
      </x:c>
      <x:c r="F154" s="16" t="str">
        <x:v>A-M40-L-A-C-1</x:v>
      </x:c>
      <x:c r="G154" s="16" t="n">
        <x:v>1</x:v>
      </x:c>
      <x:c r="H154" s="45"/>
      <x:c r="I154" s="45"/>
      <x:c r="J154" s="45"/>
      <x:c r="K154" s="45"/>
      <x:c r="L154" s="38"/>
      <x:c r="M154" s="38"/>
      <x:c r="N154" s="38"/>
      <x:c r="O154" s="38"/>
      <x:c r="P154" s="16" t="str">
        <x:f>IF(COUNTA(H154:O154)&lt;8,"OPEN",IF(AND(H154&lt;='Assumptions'!$B$16,H154&lt;='Assumptions'!$B$15,I154&lt;='Assumptions'!$B$24,J154&lt;='Assumptions'!$B$21,K154&gt;='Receiver'!$B$9,L154="NO",M154="YES",N154="YES",O154="NO"),"PASS","ADVERSE"))</x:f>
        <x:v>OPEN</x:v>
      </x:c>
    </x:row>
    <x:row r="155">
      <x:c r="A155" s="16" t="str">
        <x:v>T-149</x:v>
      </x:c>
      <x:c r="B155" s="16" t="str">
        <x:v>A-M40</x:v>
      </x:c>
      <x:c r="C155" s="16" t="str">
        <x:v>L-A</x:v>
      </x:c>
      <x:c r="D155" s="16" t="str">
        <x:v>C-1</x:v>
      </x:c>
      <x:c r="E155" s="16" t="str">
        <x:v>QH-5</x:v>
      </x:c>
      <x:c r="F155" s="16" t="str">
        <x:v>A-M40-L-A-C-1</x:v>
      </x:c>
      <x:c r="G155" s="16" t="n">
        <x:v>1</x:v>
      </x:c>
      <x:c r="H155" s="45"/>
      <x:c r="I155" s="45"/>
      <x:c r="J155" s="45"/>
      <x:c r="K155" s="45"/>
      <x:c r="L155" s="38"/>
      <x:c r="M155" s="38"/>
      <x:c r="N155" s="38"/>
      <x:c r="O155" s="38"/>
      <x:c r="P155" s="16" t="str">
        <x:f>IF(COUNTA(H155:O155)&lt;8,"OPEN",IF(AND(H155&lt;='Assumptions'!$B$16,H155&lt;='Assumptions'!$B$15,I155&lt;='Assumptions'!$B$24,J155&lt;='Assumptions'!$B$21,K155&gt;='Receiver'!$B$9,L155="NO",M155="YES",N155="YES",O155="NO"),"PASS","ADVERSE"))</x:f>
        <x:v>OPEN</x:v>
      </x:c>
    </x:row>
    <x:row r="156">
      <x:c r="A156" s="16" t="str">
        <x:v>T-150</x:v>
      </x:c>
      <x:c r="B156" s="16" t="str">
        <x:v>A-M40</x:v>
      </x:c>
      <x:c r="C156" s="16" t="str">
        <x:v>L-A</x:v>
      </x:c>
      <x:c r="D156" s="16" t="str">
        <x:v>C-1</x:v>
      </x:c>
      <x:c r="E156" s="16" t="str">
        <x:v>QH-6</x:v>
      </x:c>
      <x:c r="F156" s="16" t="str">
        <x:v>A-M40-L-A-C-1</x:v>
      </x:c>
      <x:c r="G156" s="16" t="n">
        <x:v>1</x:v>
      </x:c>
      <x:c r="H156" s="45"/>
      <x:c r="I156" s="45"/>
      <x:c r="J156" s="45"/>
      <x:c r="K156" s="45"/>
      <x:c r="L156" s="38"/>
      <x:c r="M156" s="38"/>
      <x:c r="N156" s="38"/>
      <x:c r="O156" s="38"/>
      <x:c r="P156" s="16" t="str">
        <x:f>IF(COUNTA(H156:O156)&lt;8,"OPEN",IF(AND(H156&lt;='Assumptions'!$B$16,H156&lt;='Assumptions'!$B$15,I156&lt;='Assumptions'!$B$24,J156&lt;='Assumptions'!$B$21,K156&gt;='Receiver'!$B$9,L156="NO",M156="YES",N156="YES",O156="NO"),"PASS","ADVERSE"))</x:f>
        <x:v>OPEN</x:v>
      </x:c>
    </x:row>
    <x:row r="157">
      <x:c r="A157" s="16" t="str">
        <x:v>T-151</x:v>
      </x:c>
      <x:c r="B157" s="16" t="str">
        <x:v>A-M40</x:v>
      </x:c>
      <x:c r="C157" s="16" t="str">
        <x:v>L-A</x:v>
      </x:c>
      <x:c r="D157" s="16" t="str">
        <x:v>C-2</x:v>
      </x:c>
      <x:c r="E157" s="16" t="str">
        <x:v>QH-1</x:v>
      </x:c>
      <x:c r="F157" s="16" t="str">
        <x:v>A-M40-L-A-C-2</x:v>
      </x:c>
      <x:c r="G157" s="16" t="n">
        <x:v>1</x:v>
      </x:c>
      <x:c r="H157" s="45"/>
      <x:c r="I157" s="45"/>
      <x:c r="J157" s="45"/>
      <x:c r="K157" s="45"/>
      <x:c r="L157" s="38"/>
      <x:c r="M157" s="38"/>
      <x:c r="N157" s="38"/>
      <x:c r="O157" s="38"/>
      <x:c r="P157" s="16" t="str">
        <x:f>IF(COUNTA(H157:O157)&lt;8,"OPEN",IF(AND(H157&lt;='Assumptions'!$B$16,H157&lt;='Assumptions'!$B$15,I157&lt;='Assumptions'!$B$24,J157&lt;='Assumptions'!$B$21,K157&gt;='Receiver'!$B$9,L157="NO",M157="YES",N157="YES",O157="NO"),"PASS","ADVERSE"))</x:f>
        <x:v>OPEN</x:v>
      </x:c>
    </x:row>
    <x:row r="158">
      <x:c r="A158" s="16" t="str">
        <x:v>T-152</x:v>
      </x:c>
      <x:c r="B158" s="16" t="str">
        <x:v>A-M40</x:v>
      </x:c>
      <x:c r="C158" s="16" t="str">
        <x:v>L-A</x:v>
      </x:c>
      <x:c r="D158" s="16" t="str">
        <x:v>C-2</x:v>
      </x:c>
      <x:c r="E158" s="16" t="str">
        <x:v>QH-2</x:v>
      </x:c>
      <x:c r="F158" s="16" t="str">
        <x:v>A-M40-L-A-C-2</x:v>
      </x:c>
      <x:c r="G158" s="16" t="n">
        <x:v>1.1</x:v>
      </x:c>
      <x:c r="H158" s="45"/>
      <x:c r="I158" s="45"/>
      <x:c r="J158" s="45"/>
      <x:c r="K158" s="45"/>
      <x:c r="L158" s="38"/>
      <x:c r="M158" s="38"/>
      <x:c r="N158" s="38"/>
      <x:c r="O158" s="38"/>
      <x:c r="P158" s="16" t="str">
        <x:f>IF(COUNTA(H158:O158)&lt;8,"OPEN",IF(AND(H158&lt;='Assumptions'!$B$16,H158&lt;='Assumptions'!$B$15,I158&lt;='Assumptions'!$B$24,J158&lt;='Assumptions'!$B$21,K158&gt;='Receiver'!$B$9,L158="NO",M158="YES",N158="YES",O158="NO"),"PASS","ADVERSE"))</x:f>
        <x:v>OPEN</x:v>
      </x:c>
    </x:row>
    <x:row r="159">
      <x:c r="A159" s="16" t="str">
        <x:v>T-153</x:v>
      </x:c>
      <x:c r="B159" s="16" t="str">
        <x:v>A-M40</x:v>
      </x:c>
      <x:c r="C159" s="16" t="str">
        <x:v>L-A</x:v>
      </x:c>
      <x:c r="D159" s="16" t="str">
        <x:v>C-2</x:v>
      </x:c>
      <x:c r="E159" s="16" t="str">
        <x:v>QH-3</x:v>
      </x:c>
      <x:c r="F159" s="16" t="str">
        <x:v>A-M40-L-A-C-2</x:v>
      </x:c>
      <x:c r="G159" s="16" t="n">
        <x:v>1</x:v>
      </x:c>
      <x:c r="H159" s="45"/>
      <x:c r="I159" s="45"/>
      <x:c r="J159" s="45"/>
      <x:c r="K159" s="45"/>
      <x:c r="L159" s="38"/>
      <x:c r="M159" s="38"/>
      <x:c r="N159" s="38"/>
      <x:c r="O159" s="38"/>
      <x:c r="P159" s="16" t="str">
        <x:f>IF(COUNTA(H159:O159)&lt;8,"OPEN",IF(AND(H159&lt;='Assumptions'!$B$16,H159&lt;='Assumptions'!$B$15,I159&lt;='Assumptions'!$B$24,J159&lt;='Assumptions'!$B$21,K159&gt;='Receiver'!$B$9,L159="NO",M159="YES",N159="YES",O159="NO"),"PASS","ADVERSE"))</x:f>
        <x:v>OPEN</x:v>
      </x:c>
    </x:row>
    <x:row r="160">
      <x:c r="A160" s="16" t="str">
        <x:v>T-154</x:v>
      </x:c>
      <x:c r="B160" s="16" t="str">
        <x:v>A-M40</x:v>
      </x:c>
      <x:c r="C160" s="16" t="str">
        <x:v>L-A</x:v>
      </x:c>
      <x:c r="D160" s="16" t="str">
        <x:v>C-2</x:v>
      </x:c>
      <x:c r="E160" s="16" t="str">
        <x:v>QH-4</x:v>
      </x:c>
      <x:c r="F160" s="16" t="str">
        <x:v>A-M40-L-A-C-2</x:v>
      </x:c>
      <x:c r="G160" s="16" t="n">
        <x:v>1</x:v>
      </x:c>
      <x:c r="H160" s="45"/>
      <x:c r="I160" s="45"/>
      <x:c r="J160" s="45"/>
      <x:c r="K160" s="45"/>
      <x:c r="L160" s="38"/>
      <x:c r="M160" s="38"/>
      <x:c r="N160" s="38"/>
      <x:c r="O160" s="38"/>
      <x:c r="P160" s="16" t="str">
        <x:f>IF(COUNTA(H160:O160)&lt;8,"OPEN",IF(AND(H160&lt;='Assumptions'!$B$16,H160&lt;='Assumptions'!$B$15,I160&lt;='Assumptions'!$B$24,J160&lt;='Assumptions'!$B$21,K160&gt;='Receiver'!$B$9,L160="NO",M160="YES",N160="YES",O160="NO"),"PASS","ADVERSE"))</x:f>
        <x:v>OPEN</x:v>
      </x:c>
    </x:row>
    <x:row r="161">
      <x:c r="A161" s="16" t="str">
        <x:v>T-155</x:v>
      </x:c>
      <x:c r="B161" s="16" t="str">
        <x:v>A-M40</x:v>
      </x:c>
      <x:c r="C161" s="16" t="str">
        <x:v>L-A</x:v>
      </x:c>
      <x:c r="D161" s="16" t="str">
        <x:v>C-2</x:v>
      </x:c>
      <x:c r="E161" s="16" t="str">
        <x:v>QH-5</x:v>
      </x:c>
      <x:c r="F161" s="16" t="str">
        <x:v>A-M40-L-A-C-2</x:v>
      </x:c>
      <x:c r="G161" s="16" t="n">
        <x:v>1</x:v>
      </x:c>
      <x:c r="H161" s="45"/>
      <x:c r="I161" s="45"/>
      <x:c r="J161" s="45"/>
      <x:c r="K161" s="45"/>
      <x:c r="L161" s="38"/>
      <x:c r="M161" s="38"/>
      <x:c r="N161" s="38"/>
      <x:c r="O161" s="38"/>
      <x:c r="P161" s="16" t="str">
        <x:f>IF(COUNTA(H161:O161)&lt;8,"OPEN",IF(AND(H161&lt;='Assumptions'!$B$16,H161&lt;='Assumptions'!$B$15,I161&lt;='Assumptions'!$B$24,J161&lt;='Assumptions'!$B$21,K161&gt;='Receiver'!$B$9,L161="NO",M161="YES",N161="YES",O161="NO"),"PASS","ADVERSE"))</x:f>
        <x:v>OPEN</x:v>
      </x:c>
    </x:row>
    <x:row r="162">
      <x:c r="A162" s="16" t="str">
        <x:v>T-156</x:v>
      </x:c>
      <x:c r="B162" s="16" t="str">
        <x:v>A-M40</x:v>
      </x:c>
      <x:c r="C162" s="16" t="str">
        <x:v>L-A</x:v>
      </x:c>
      <x:c r="D162" s="16" t="str">
        <x:v>C-2</x:v>
      </x:c>
      <x:c r="E162" s="16" t="str">
        <x:v>QH-6</x:v>
      </x:c>
      <x:c r="F162" s="16" t="str">
        <x:v>A-M40-L-A-C-2</x:v>
      </x:c>
      <x:c r="G162" s="16" t="n">
        <x:v>1</x:v>
      </x:c>
      <x:c r="H162" s="45"/>
      <x:c r="I162" s="45"/>
      <x:c r="J162" s="45"/>
      <x:c r="K162" s="45"/>
      <x:c r="L162" s="38"/>
      <x:c r="M162" s="38"/>
      <x:c r="N162" s="38"/>
      <x:c r="O162" s="38"/>
      <x:c r="P162" s="16" t="str">
        <x:f>IF(COUNTA(H162:O162)&lt;8,"OPEN",IF(AND(H162&lt;='Assumptions'!$B$16,H162&lt;='Assumptions'!$B$15,I162&lt;='Assumptions'!$B$24,J162&lt;='Assumptions'!$B$21,K162&gt;='Receiver'!$B$9,L162="NO",M162="YES",N162="YES",O162="NO"),"PASS","ADVERSE"))</x:f>
        <x:v>OPEN</x:v>
      </x:c>
    </x:row>
    <x:row r="163">
      <x:c r="A163" s="16" t="str">
        <x:v>T-157</x:v>
      </x:c>
      <x:c r="B163" s="16" t="str">
        <x:v>A-M40</x:v>
      </x:c>
      <x:c r="C163" s="16" t="str">
        <x:v>L-A</x:v>
      </x:c>
      <x:c r="D163" s="16" t="str">
        <x:v>C-3</x:v>
      </x:c>
      <x:c r="E163" s="16" t="str">
        <x:v>QH-1</x:v>
      </x:c>
      <x:c r="F163" s="16" t="str">
        <x:v>A-M40-L-A-C-3</x:v>
      </x:c>
      <x:c r="G163" s="16" t="n">
        <x:v>1</x:v>
      </x:c>
      <x:c r="H163" s="45"/>
      <x:c r="I163" s="45"/>
      <x:c r="J163" s="45"/>
      <x:c r="K163" s="45"/>
      <x:c r="L163" s="38"/>
      <x:c r="M163" s="38"/>
      <x:c r="N163" s="38"/>
      <x:c r="O163" s="38"/>
      <x:c r="P163" s="16" t="str">
        <x:f>IF(COUNTA(H163:O163)&lt;8,"OPEN",IF(AND(H163&lt;='Assumptions'!$B$16,H163&lt;='Assumptions'!$B$15,I163&lt;='Assumptions'!$B$24,J163&lt;='Assumptions'!$B$21,K163&gt;='Receiver'!$B$9,L163="NO",M163="YES",N163="YES",O163="NO"),"PASS","ADVERSE"))</x:f>
        <x:v>OPEN</x:v>
      </x:c>
    </x:row>
    <x:row r="164">
      <x:c r="A164" s="16" t="str">
        <x:v>T-158</x:v>
      </x:c>
      <x:c r="B164" s="16" t="str">
        <x:v>A-M40</x:v>
      </x:c>
      <x:c r="C164" s="16" t="str">
        <x:v>L-A</x:v>
      </x:c>
      <x:c r="D164" s="16" t="str">
        <x:v>C-3</x:v>
      </x:c>
      <x:c r="E164" s="16" t="str">
        <x:v>QH-2</x:v>
      </x:c>
      <x:c r="F164" s="16" t="str">
        <x:v>A-M40-L-A-C-3</x:v>
      </x:c>
      <x:c r="G164" s="16" t="n">
        <x:v>1.1</x:v>
      </x:c>
      <x:c r="H164" s="45"/>
      <x:c r="I164" s="45"/>
      <x:c r="J164" s="45"/>
      <x:c r="K164" s="45"/>
      <x:c r="L164" s="38"/>
      <x:c r="M164" s="38"/>
      <x:c r="N164" s="38"/>
      <x:c r="O164" s="38"/>
      <x:c r="P164" s="16" t="str">
        <x:f>IF(COUNTA(H164:O164)&lt;8,"OPEN",IF(AND(H164&lt;='Assumptions'!$B$16,H164&lt;='Assumptions'!$B$15,I164&lt;='Assumptions'!$B$24,J164&lt;='Assumptions'!$B$21,K164&gt;='Receiver'!$B$9,L164="NO",M164="YES",N164="YES",O164="NO"),"PASS","ADVERSE"))</x:f>
        <x:v>OPEN</x:v>
      </x:c>
    </x:row>
    <x:row r="165">
      <x:c r="A165" s="16" t="str">
        <x:v>T-159</x:v>
      </x:c>
      <x:c r="B165" s="16" t="str">
        <x:v>A-M40</x:v>
      </x:c>
      <x:c r="C165" s="16" t="str">
        <x:v>L-A</x:v>
      </x:c>
      <x:c r="D165" s="16" t="str">
        <x:v>C-3</x:v>
      </x:c>
      <x:c r="E165" s="16" t="str">
        <x:v>QH-3</x:v>
      </x:c>
      <x:c r="F165" s="16" t="str">
        <x:v>A-M40-L-A-C-3</x:v>
      </x:c>
      <x:c r="G165" s="16" t="n">
        <x:v>1</x:v>
      </x:c>
      <x:c r="H165" s="45"/>
      <x:c r="I165" s="45"/>
      <x:c r="J165" s="45"/>
      <x:c r="K165" s="45"/>
      <x:c r="L165" s="38"/>
      <x:c r="M165" s="38"/>
      <x:c r="N165" s="38"/>
      <x:c r="O165" s="38"/>
      <x:c r="P165" s="16" t="str">
        <x:f>IF(COUNTA(H165:O165)&lt;8,"OPEN",IF(AND(H165&lt;='Assumptions'!$B$16,H165&lt;='Assumptions'!$B$15,I165&lt;='Assumptions'!$B$24,J165&lt;='Assumptions'!$B$21,K165&gt;='Receiver'!$B$9,L165="NO",M165="YES",N165="YES",O165="NO"),"PASS","ADVERSE"))</x:f>
        <x:v>OPEN</x:v>
      </x:c>
    </x:row>
    <x:row r="166">
      <x:c r="A166" s="16" t="str">
        <x:v>T-160</x:v>
      </x:c>
      <x:c r="B166" s="16" t="str">
        <x:v>A-M40</x:v>
      </x:c>
      <x:c r="C166" s="16" t="str">
        <x:v>L-A</x:v>
      </x:c>
      <x:c r="D166" s="16" t="str">
        <x:v>C-3</x:v>
      </x:c>
      <x:c r="E166" s="16" t="str">
        <x:v>QH-4</x:v>
      </x:c>
      <x:c r="F166" s="16" t="str">
        <x:v>A-M40-L-A-C-3</x:v>
      </x:c>
      <x:c r="G166" s="16" t="n">
        <x:v>1</x:v>
      </x:c>
      <x:c r="H166" s="45"/>
      <x:c r="I166" s="45"/>
      <x:c r="J166" s="45"/>
      <x:c r="K166" s="45"/>
      <x:c r="L166" s="38"/>
      <x:c r="M166" s="38"/>
      <x:c r="N166" s="38"/>
      <x:c r="O166" s="38"/>
      <x:c r="P166" s="16" t="str">
        <x:f>IF(COUNTA(H166:O166)&lt;8,"OPEN",IF(AND(H166&lt;='Assumptions'!$B$16,H166&lt;='Assumptions'!$B$15,I166&lt;='Assumptions'!$B$24,J166&lt;='Assumptions'!$B$21,K166&gt;='Receiver'!$B$9,L166="NO",M166="YES",N166="YES",O166="NO"),"PASS","ADVERSE"))</x:f>
        <x:v>OPEN</x:v>
      </x:c>
    </x:row>
    <x:row r="167">
      <x:c r="A167" s="16" t="str">
        <x:v>T-161</x:v>
      </x:c>
      <x:c r="B167" s="16" t="str">
        <x:v>A-M40</x:v>
      </x:c>
      <x:c r="C167" s="16" t="str">
        <x:v>L-A</x:v>
      </x:c>
      <x:c r="D167" s="16" t="str">
        <x:v>C-3</x:v>
      </x:c>
      <x:c r="E167" s="16" t="str">
        <x:v>QH-5</x:v>
      </x:c>
      <x:c r="F167" s="16" t="str">
        <x:v>A-M40-L-A-C-3</x:v>
      </x:c>
      <x:c r="G167" s="16" t="n">
        <x:v>1</x:v>
      </x:c>
      <x:c r="H167" s="45"/>
      <x:c r="I167" s="45"/>
      <x:c r="J167" s="45"/>
      <x:c r="K167" s="45"/>
      <x:c r="L167" s="38"/>
      <x:c r="M167" s="38"/>
      <x:c r="N167" s="38"/>
      <x:c r="O167" s="38"/>
      <x:c r="P167" s="16" t="str">
        <x:f>IF(COUNTA(H167:O167)&lt;8,"OPEN",IF(AND(H167&lt;='Assumptions'!$B$16,H167&lt;='Assumptions'!$B$15,I167&lt;='Assumptions'!$B$24,J167&lt;='Assumptions'!$B$21,K167&gt;='Receiver'!$B$9,L167="NO",M167="YES",N167="YES",O167="NO"),"PASS","ADVERSE"))</x:f>
        <x:v>OPEN</x:v>
      </x:c>
    </x:row>
    <x:row r="168">
      <x:c r="A168" s="16" t="str">
        <x:v>T-162</x:v>
      </x:c>
      <x:c r="B168" s="16" t="str">
        <x:v>A-M40</x:v>
      </x:c>
      <x:c r="C168" s="16" t="str">
        <x:v>L-A</x:v>
      </x:c>
      <x:c r="D168" s="16" t="str">
        <x:v>C-3</x:v>
      </x:c>
      <x:c r="E168" s="16" t="str">
        <x:v>QH-6</x:v>
      </x:c>
      <x:c r="F168" s="16" t="str">
        <x:v>A-M40-L-A-C-3</x:v>
      </x:c>
      <x:c r="G168" s="16" t="n">
        <x:v>1</x:v>
      </x:c>
      <x:c r="H168" s="45"/>
      <x:c r="I168" s="45"/>
      <x:c r="J168" s="45"/>
      <x:c r="K168" s="45"/>
      <x:c r="L168" s="38"/>
      <x:c r="M168" s="38"/>
      <x:c r="N168" s="38"/>
      <x:c r="O168" s="38"/>
      <x:c r="P168" s="16" t="str">
        <x:f>IF(COUNTA(H168:O168)&lt;8,"OPEN",IF(AND(H168&lt;='Assumptions'!$B$16,H168&lt;='Assumptions'!$B$15,I168&lt;='Assumptions'!$B$24,J168&lt;='Assumptions'!$B$21,K168&gt;='Receiver'!$B$9,L168="NO",M168="YES",N168="YES",O168="NO"),"PASS","ADVERSE"))</x:f>
        <x:v>OPEN</x:v>
      </x:c>
    </x:row>
    <x:row r="169">
      <x:c r="A169" s="16" t="str">
        <x:v>T-163</x:v>
      </x:c>
      <x:c r="B169" s="16" t="str">
        <x:v>A-M40</x:v>
      </x:c>
      <x:c r="C169" s="16" t="str">
        <x:v>L-B</x:v>
      </x:c>
      <x:c r="D169" s="16" t="str">
        <x:v>C-1</x:v>
      </x:c>
      <x:c r="E169" s="16" t="str">
        <x:v>QH-1</x:v>
      </x:c>
      <x:c r="F169" s="16" t="str">
        <x:v>A-M40-L-B-C-1</x:v>
      </x:c>
      <x:c r="G169" s="16" t="n">
        <x:v>1</x:v>
      </x:c>
      <x:c r="H169" s="45"/>
      <x:c r="I169" s="45"/>
      <x:c r="J169" s="45"/>
      <x:c r="K169" s="45"/>
      <x:c r="L169" s="38"/>
      <x:c r="M169" s="38"/>
      <x:c r="N169" s="38"/>
      <x:c r="O169" s="38"/>
      <x:c r="P169" s="16" t="str">
        <x:f>IF(COUNTA(H169:O169)&lt;8,"OPEN",IF(AND(H169&lt;='Assumptions'!$B$16,H169&lt;='Assumptions'!$B$15,I169&lt;='Assumptions'!$B$24,J169&lt;='Assumptions'!$B$21,K169&gt;='Receiver'!$B$9,L169="NO",M169="YES",N169="YES",O169="NO"),"PASS","ADVERSE"))</x:f>
        <x:v>OPEN</x:v>
      </x:c>
    </x:row>
    <x:row r="170">
      <x:c r="A170" s="16" t="str">
        <x:v>T-164</x:v>
      </x:c>
      <x:c r="B170" s="16" t="str">
        <x:v>A-M40</x:v>
      </x:c>
      <x:c r="C170" s="16" t="str">
        <x:v>L-B</x:v>
      </x:c>
      <x:c r="D170" s="16" t="str">
        <x:v>C-1</x:v>
      </x:c>
      <x:c r="E170" s="16" t="str">
        <x:v>QH-2</x:v>
      </x:c>
      <x:c r="F170" s="16" t="str">
        <x:v>A-M40-L-B-C-1</x:v>
      </x:c>
      <x:c r="G170" s="16" t="n">
        <x:v>1.1</x:v>
      </x:c>
      <x:c r="H170" s="45"/>
      <x:c r="I170" s="45"/>
      <x:c r="J170" s="45"/>
      <x:c r="K170" s="45"/>
      <x:c r="L170" s="38"/>
      <x:c r="M170" s="38"/>
      <x:c r="N170" s="38"/>
      <x:c r="O170" s="38"/>
      <x:c r="P170" s="16" t="str">
        <x:f>IF(COUNTA(H170:O170)&lt;8,"OPEN",IF(AND(H170&lt;='Assumptions'!$B$16,H170&lt;='Assumptions'!$B$15,I170&lt;='Assumptions'!$B$24,J170&lt;='Assumptions'!$B$21,K170&gt;='Receiver'!$B$9,L170="NO",M170="YES",N170="YES",O170="NO"),"PASS","ADVERSE"))</x:f>
        <x:v>OPEN</x:v>
      </x:c>
    </x:row>
    <x:row r="171">
      <x:c r="A171" s="16" t="str">
        <x:v>T-165</x:v>
      </x:c>
      <x:c r="B171" s="16" t="str">
        <x:v>A-M40</x:v>
      </x:c>
      <x:c r="C171" s="16" t="str">
        <x:v>L-B</x:v>
      </x:c>
      <x:c r="D171" s="16" t="str">
        <x:v>C-1</x:v>
      </x:c>
      <x:c r="E171" s="16" t="str">
        <x:v>QH-3</x:v>
      </x:c>
      <x:c r="F171" s="16" t="str">
        <x:v>A-M40-L-B-C-1</x:v>
      </x:c>
      <x:c r="G171" s="16" t="n">
        <x:v>1</x:v>
      </x:c>
      <x:c r="H171" s="45"/>
      <x:c r="I171" s="45"/>
      <x:c r="J171" s="45"/>
      <x:c r="K171" s="45"/>
      <x:c r="L171" s="38"/>
      <x:c r="M171" s="38"/>
      <x:c r="N171" s="38"/>
      <x:c r="O171" s="38"/>
      <x:c r="P171" s="16" t="str">
        <x:f>IF(COUNTA(H171:O171)&lt;8,"OPEN",IF(AND(H171&lt;='Assumptions'!$B$16,H171&lt;='Assumptions'!$B$15,I171&lt;='Assumptions'!$B$24,J171&lt;='Assumptions'!$B$21,K171&gt;='Receiver'!$B$9,L171="NO",M171="YES",N171="YES",O171="NO"),"PASS","ADVERSE"))</x:f>
        <x:v>OPEN</x:v>
      </x:c>
    </x:row>
    <x:row r="172">
      <x:c r="A172" s="16" t="str">
        <x:v>T-166</x:v>
      </x:c>
      <x:c r="B172" s="16" t="str">
        <x:v>A-M40</x:v>
      </x:c>
      <x:c r="C172" s="16" t="str">
        <x:v>L-B</x:v>
      </x:c>
      <x:c r="D172" s="16" t="str">
        <x:v>C-1</x:v>
      </x:c>
      <x:c r="E172" s="16" t="str">
        <x:v>QH-4</x:v>
      </x:c>
      <x:c r="F172" s="16" t="str">
        <x:v>A-M40-L-B-C-1</x:v>
      </x:c>
      <x:c r="G172" s="16" t="n">
        <x:v>1</x:v>
      </x:c>
      <x:c r="H172" s="45"/>
      <x:c r="I172" s="45"/>
      <x:c r="J172" s="45"/>
      <x:c r="K172" s="45"/>
      <x:c r="L172" s="38"/>
      <x:c r="M172" s="38"/>
      <x:c r="N172" s="38"/>
      <x:c r="O172" s="38"/>
      <x:c r="P172" s="16" t="str">
        <x:f>IF(COUNTA(H172:O172)&lt;8,"OPEN",IF(AND(H172&lt;='Assumptions'!$B$16,H172&lt;='Assumptions'!$B$15,I172&lt;='Assumptions'!$B$24,J172&lt;='Assumptions'!$B$21,K172&gt;='Receiver'!$B$9,L172="NO",M172="YES",N172="YES",O172="NO"),"PASS","ADVERSE"))</x:f>
        <x:v>OPEN</x:v>
      </x:c>
    </x:row>
    <x:row r="173">
      <x:c r="A173" s="16" t="str">
        <x:v>T-167</x:v>
      </x:c>
      <x:c r="B173" s="16" t="str">
        <x:v>A-M40</x:v>
      </x:c>
      <x:c r="C173" s="16" t="str">
        <x:v>L-B</x:v>
      </x:c>
      <x:c r="D173" s="16" t="str">
        <x:v>C-1</x:v>
      </x:c>
      <x:c r="E173" s="16" t="str">
        <x:v>QH-5</x:v>
      </x:c>
      <x:c r="F173" s="16" t="str">
        <x:v>A-M40-L-B-C-1</x:v>
      </x:c>
      <x:c r="G173" s="16" t="n">
        <x:v>1</x:v>
      </x:c>
      <x:c r="H173" s="45"/>
      <x:c r="I173" s="45"/>
      <x:c r="J173" s="45"/>
      <x:c r="K173" s="45"/>
      <x:c r="L173" s="38"/>
      <x:c r="M173" s="38"/>
      <x:c r="N173" s="38"/>
      <x:c r="O173" s="38"/>
      <x:c r="P173" s="16" t="str">
        <x:f>IF(COUNTA(H173:O173)&lt;8,"OPEN",IF(AND(H173&lt;='Assumptions'!$B$16,H173&lt;='Assumptions'!$B$15,I173&lt;='Assumptions'!$B$24,J173&lt;='Assumptions'!$B$21,K173&gt;='Receiver'!$B$9,L173="NO",M173="YES",N173="YES",O173="NO"),"PASS","ADVERSE"))</x:f>
        <x:v>OPEN</x:v>
      </x:c>
    </x:row>
    <x:row r="174">
      <x:c r="A174" s="16" t="str">
        <x:v>T-168</x:v>
      </x:c>
      <x:c r="B174" s="16" t="str">
        <x:v>A-M40</x:v>
      </x:c>
      <x:c r="C174" s="16" t="str">
        <x:v>L-B</x:v>
      </x:c>
      <x:c r="D174" s="16" t="str">
        <x:v>C-1</x:v>
      </x:c>
      <x:c r="E174" s="16" t="str">
        <x:v>QH-6</x:v>
      </x:c>
      <x:c r="F174" s="16" t="str">
        <x:v>A-M40-L-B-C-1</x:v>
      </x:c>
      <x:c r="G174" s="16" t="n">
        <x:v>1</x:v>
      </x:c>
      <x:c r="H174" s="45"/>
      <x:c r="I174" s="45"/>
      <x:c r="J174" s="45"/>
      <x:c r="K174" s="45"/>
      <x:c r="L174" s="38"/>
      <x:c r="M174" s="38"/>
      <x:c r="N174" s="38"/>
      <x:c r="O174" s="38"/>
      <x:c r="P174" s="16" t="str">
        <x:f>IF(COUNTA(H174:O174)&lt;8,"OPEN",IF(AND(H174&lt;='Assumptions'!$B$16,H174&lt;='Assumptions'!$B$15,I174&lt;='Assumptions'!$B$24,J174&lt;='Assumptions'!$B$21,K174&gt;='Receiver'!$B$9,L174="NO",M174="YES",N174="YES",O174="NO"),"PASS","ADVERSE"))</x:f>
        <x:v>OPEN</x:v>
      </x:c>
    </x:row>
    <x:row r="175">
      <x:c r="A175" s="16" t="str">
        <x:v>T-169</x:v>
      </x:c>
      <x:c r="B175" s="16" t="str">
        <x:v>A-M40</x:v>
      </x:c>
      <x:c r="C175" s="16" t="str">
        <x:v>L-B</x:v>
      </x:c>
      <x:c r="D175" s="16" t="str">
        <x:v>C-2</x:v>
      </x:c>
      <x:c r="E175" s="16" t="str">
        <x:v>QH-1</x:v>
      </x:c>
      <x:c r="F175" s="16" t="str">
        <x:v>A-M40-L-B-C-2</x:v>
      </x:c>
      <x:c r="G175" s="16" t="n">
        <x:v>1</x:v>
      </x:c>
      <x:c r="H175" s="45"/>
      <x:c r="I175" s="45"/>
      <x:c r="J175" s="45"/>
      <x:c r="K175" s="45"/>
      <x:c r="L175" s="38"/>
      <x:c r="M175" s="38"/>
      <x:c r="N175" s="38"/>
      <x:c r="O175" s="38"/>
      <x:c r="P175" s="16" t="str">
        <x:f>IF(COUNTA(H175:O175)&lt;8,"OPEN",IF(AND(H175&lt;='Assumptions'!$B$16,H175&lt;='Assumptions'!$B$15,I175&lt;='Assumptions'!$B$24,J175&lt;='Assumptions'!$B$21,K175&gt;='Receiver'!$B$9,L175="NO",M175="YES",N175="YES",O175="NO"),"PASS","ADVERSE"))</x:f>
        <x:v>OPEN</x:v>
      </x:c>
    </x:row>
    <x:row r="176">
      <x:c r="A176" s="16" t="str">
        <x:v>T-170</x:v>
      </x:c>
      <x:c r="B176" s="16" t="str">
        <x:v>A-M40</x:v>
      </x:c>
      <x:c r="C176" s="16" t="str">
        <x:v>L-B</x:v>
      </x:c>
      <x:c r="D176" s="16" t="str">
        <x:v>C-2</x:v>
      </x:c>
      <x:c r="E176" s="16" t="str">
        <x:v>QH-2</x:v>
      </x:c>
      <x:c r="F176" s="16" t="str">
        <x:v>A-M40-L-B-C-2</x:v>
      </x:c>
      <x:c r="G176" s="16" t="n">
        <x:v>1.1</x:v>
      </x:c>
      <x:c r="H176" s="45"/>
      <x:c r="I176" s="45"/>
      <x:c r="J176" s="45"/>
      <x:c r="K176" s="45"/>
      <x:c r="L176" s="38"/>
      <x:c r="M176" s="38"/>
      <x:c r="N176" s="38"/>
      <x:c r="O176" s="38"/>
      <x:c r="P176" s="16" t="str">
        <x:f>IF(COUNTA(H176:O176)&lt;8,"OPEN",IF(AND(H176&lt;='Assumptions'!$B$16,H176&lt;='Assumptions'!$B$15,I176&lt;='Assumptions'!$B$24,J176&lt;='Assumptions'!$B$21,K176&gt;='Receiver'!$B$9,L176="NO",M176="YES",N176="YES",O176="NO"),"PASS","ADVERSE"))</x:f>
        <x:v>OPEN</x:v>
      </x:c>
    </x:row>
    <x:row r="177">
      <x:c r="A177" s="16" t="str">
        <x:v>T-171</x:v>
      </x:c>
      <x:c r="B177" s="16" t="str">
        <x:v>A-M40</x:v>
      </x:c>
      <x:c r="C177" s="16" t="str">
        <x:v>L-B</x:v>
      </x:c>
      <x:c r="D177" s="16" t="str">
        <x:v>C-2</x:v>
      </x:c>
      <x:c r="E177" s="16" t="str">
        <x:v>QH-3</x:v>
      </x:c>
      <x:c r="F177" s="16" t="str">
        <x:v>A-M40-L-B-C-2</x:v>
      </x:c>
      <x:c r="G177" s="16" t="n">
        <x:v>1</x:v>
      </x:c>
      <x:c r="H177" s="45"/>
      <x:c r="I177" s="45"/>
      <x:c r="J177" s="45"/>
      <x:c r="K177" s="45"/>
      <x:c r="L177" s="38"/>
      <x:c r="M177" s="38"/>
      <x:c r="N177" s="38"/>
      <x:c r="O177" s="38"/>
      <x:c r="P177" s="16" t="str">
        <x:f>IF(COUNTA(H177:O177)&lt;8,"OPEN",IF(AND(H177&lt;='Assumptions'!$B$16,H177&lt;='Assumptions'!$B$15,I177&lt;='Assumptions'!$B$24,J177&lt;='Assumptions'!$B$21,K177&gt;='Receiver'!$B$9,L177="NO",M177="YES",N177="YES",O177="NO"),"PASS","ADVERSE"))</x:f>
        <x:v>OPEN</x:v>
      </x:c>
    </x:row>
    <x:row r="178">
      <x:c r="A178" s="16" t="str">
        <x:v>T-172</x:v>
      </x:c>
      <x:c r="B178" s="16" t="str">
        <x:v>A-M40</x:v>
      </x:c>
      <x:c r="C178" s="16" t="str">
        <x:v>L-B</x:v>
      </x:c>
      <x:c r="D178" s="16" t="str">
        <x:v>C-2</x:v>
      </x:c>
      <x:c r="E178" s="16" t="str">
        <x:v>QH-4</x:v>
      </x:c>
      <x:c r="F178" s="16" t="str">
        <x:v>A-M40-L-B-C-2</x:v>
      </x:c>
      <x:c r="G178" s="16" t="n">
        <x:v>1</x:v>
      </x:c>
      <x:c r="H178" s="45"/>
      <x:c r="I178" s="45"/>
      <x:c r="J178" s="45"/>
      <x:c r="K178" s="45"/>
      <x:c r="L178" s="38"/>
      <x:c r="M178" s="38"/>
      <x:c r="N178" s="38"/>
      <x:c r="O178" s="38"/>
      <x:c r="P178" s="16" t="str">
        <x:f>IF(COUNTA(H178:O178)&lt;8,"OPEN",IF(AND(H178&lt;='Assumptions'!$B$16,H178&lt;='Assumptions'!$B$15,I178&lt;='Assumptions'!$B$24,J178&lt;='Assumptions'!$B$21,K178&gt;='Receiver'!$B$9,L178="NO",M178="YES",N178="YES",O178="NO"),"PASS","ADVERSE"))</x:f>
        <x:v>OPEN</x:v>
      </x:c>
    </x:row>
    <x:row r="179">
      <x:c r="A179" s="16" t="str">
        <x:v>T-173</x:v>
      </x:c>
      <x:c r="B179" s="16" t="str">
        <x:v>A-M40</x:v>
      </x:c>
      <x:c r="C179" s="16" t="str">
        <x:v>L-B</x:v>
      </x:c>
      <x:c r="D179" s="16" t="str">
        <x:v>C-2</x:v>
      </x:c>
      <x:c r="E179" s="16" t="str">
        <x:v>QH-5</x:v>
      </x:c>
      <x:c r="F179" s="16" t="str">
        <x:v>A-M40-L-B-C-2</x:v>
      </x:c>
      <x:c r="G179" s="16" t="n">
        <x:v>1</x:v>
      </x:c>
      <x:c r="H179" s="45"/>
      <x:c r="I179" s="45"/>
      <x:c r="J179" s="45"/>
      <x:c r="K179" s="45"/>
      <x:c r="L179" s="38"/>
      <x:c r="M179" s="38"/>
      <x:c r="N179" s="38"/>
      <x:c r="O179" s="38"/>
      <x:c r="P179" s="16" t="str">
        <x:f>IF(COUNTA(H179:O179)&lt;8,"OPEN",IF(AND(H179&lt;='Assumptions'!$B$16,H179&lt;='Assumptions'!$B$15,I179&lt;='Assumptions'!$B$24,J179&lt;='Assumptions'!$B$21,K179&gt;='Receiver'!$B$9,L179="NO",M179="YES",N179="YES",O179="NO"),"PASS","ADVERSE"))</x:f>
        <x:v>OPEN</x:v>
      </x:c>
    </x:row>
    <x:row r="180">
      <x:c r="A180" s="16" t="str">
        <x:v>T-174</x:v>
      </x:c>
      <x:c r="B180" s="16" t="str">
        <x:v>A-M40</x:v>
      </x:c>
      <x:c r="C180" s="16" t="str">
        <x:v>L-B</x:v>
      </x:c>
      <x:c r="D180" s="16" t="str">
        <x:v>C-2</x:v>
      </x:c>
      <x:c r="E180" s="16" t="str">
        <x:v>QH-6</x:v>
      </x:c>
      <x:c r="F180" s="16" t="str">
        <x:v>A-M40-L-B-C-2</x:v>
      </x:c>
      <x:c r="G180" s="16" t="n">
        <x:v>1</x:v>
      </x:c>
      <x:c r="H180" s="45"/>
      <x:c r="I180" s="45"/>
      <x:c r="J180" s="45"/>
      <x:c r="K180" s="45"/>
      <x:c r="L180" s="38"/>
      <x:c r="M180" s="38"/>
      <x:c r="N180" s="38"/>
      <x:c r="O180" s="38"/>
      <x:c r="P180" s="16" t="str">
        <x:f>IF(COUNTA(H180:O180)&lt;8,"OPEN",IF(AND(H180&lt;='Assumptions'!$B$16,H180&lt;='Assumptions'!$B$15,I180&lt;='Assumptions'!$B$24,J180&lt;='Assumptions'!$B$21,K180&gt;='Receiver'!$B$9,L180="NO",M180="YES",N180="YES",O180="NO"),"PASS","ADVERSE"))</x:f>
        <x:v>OPEN</x:v>
      </x:c>
    </x:row>
    <x:row r="181">
      <x:c r="A181" s="16" t="str">
        <x:v>T-175</x:v>
      </x:c>
      <x:c r="B181" s="16" t="str">
        <x:v>A-M40</x:v>
      </x:c>
      <x:c r="C181" s="16" t="str">
        <x:v>L-B</x:v>
      </x:c>
      <x:c r="D181" s="16" t="str">
        <x:v>C-3</x:v>
      </x:c>
      <x:c r="E181" s="16" t="str">
        <x:v>QH-1</x:v>
      </x:c>
      <x:c r="F181" s="16" t="str">
        <x:v>A-M40-L-B-C-3</x:v>
      </x:c>
      <x:c r="G181" s="16" t="n">
        <x:v>1</x:v>
      </x:c>
      <x:c r="H181" s="45"/>
      <x:c r="I181" s="45"/>
      <x:c r="J181" s="45"/>
      <x:c r="K181" s="45"/>
      <x:c r="L181" s="38"/>
      <x:c r="M181" s="38"/>
      <x:c r="N181" s="38"/>
      <x:c r="O181" s="38"/>
      <x:c r="P181" s="16" t="str">
        <x:f>IF(COUNTA(H181:O181)&lt;8,"OPEN",IF(AND(H181&lt;='Assumptions'!$B$16,H181&lt;='Assumptions'!$B$15,I181&lt;='Assumptions'!$B$24,J181&lt;='Assumptions'!$B$21,K181&gt;='Receiver'!$B$9,L181="NO",M181="YES",N181="YES",O181="NO"),"PASS","ADVERSE"))</x:f>
        <x:v>OPEN</x:v>
      </x:c>
    </x:row>
    <x:row r="182">
      <x:c r="A182" s="16" t="str">
        <x:v>T-176</x:v>
      </x:c>
      <x:c r="B182" s="16" t="str">
        <x:v>A-M40</x:v>
      </x:c>
      <x:c r="C182" s="16" t="str">
        <x:v>L-B</x:v>
      </x:c>
      <x:c r="D182" s="16" t="str">
        <x:v>C-3</x:v>
      </x:c>
      <x:c r="E182" s="16" t="str">
        <x:v>QH-2</x:v>
      </x:c>
      <x:c r="F182" s="16" t="str">
        <x:v>A-M40-L-B-C-3</x:v>
      </x:c>
      <x:c r="G182" s="16" t="n">
        <x:v>1.1</x:v>
      </x:c>
      <x:c r="H182" s="45"/>
      <x:c r="I182" s="45"/>
      <x:c r="J182" s="45"/>
      <x:c r="K182" s="45"/>
      <x:c r="L182" s="38"/>
      <x:c r="M182" s="38"/>
      <x:c r="N182" s="38"/>
      <x:c r="O182" s="38"/>
      <x:c r="P182" s="16" t="str">
        <x:f>IF(COUNTA(H182:O182)&lt;8,"OPEN",IF(AND(H182&lt;='Assumptions'!$B$16,H182&lt;='Assumptions'!$B$15,I182&lt;='Assumptions'!$B$24,J182&lt;='Assumptions'!$B$21,K182&gt;='Receiver'!$B$9,L182="NO",M182="YES",N182="YES",O182="NO"),"PASS","ADVERSE"))</x:f>
        <x:v>OPEN</x:v>
      </x:c>
    </x:row>
    <x:row r="183">
      <x:c r="A183" s="16" t="str">
        <x:v>T-177</x:v>
      </x:c>
      <x:c r="B183" s="16" t="str">
        <x:v>A-M40</x:v>
      </x:c>
      <x:c r="C183" s="16" t="str">
        <x:v>L-B</x:v>
      </x:c>
      <x:c r="D183" s="16" t="str">
        <x:v>C-3</x:v>
      </x:c>
      <x:c r="E183" s="16" t="str">
        <x:v>QH-3</x:v>
      </x:c>
      <x:c r="F183" s="16" t="str">
        <x:v>A-M40-L-B-C-3</x:v>
      </x:c>
      <x:c r="G183" s="16" t="n">
        <x:v>1</x:v>
      </x:c>
      <x:c r="H183" s="45"/>
      <x:c r="I183" s="45"/>
      <x:c r="J183" s="45"/>
      <x:c r="K183" s="45"/>
      <x:c r="L183" s="38"/>
      <x:c r="M183" s="38"/>
      <x:c r="N183" s="38"/>
      <x:c r="O183" s="38"/>
      <x:c r="P183" s="16" t="str">
        <x:f>IF(COUNTA(H183:O183)&lt;8,"OPEN",IF(AND(H183&lt;='Assumptions'!$B$16,H183&lt;='Assumptions'!$B$15,I183&lt;='Assumptions'!$B$24,J183&lt;='Assumptions'!$B$21,K183&gt;='Receiver'!$B$9,L183="NO",M183="YES",N183="YES",O183="NO"),"PASS","ADVERSE"))</x:f>
        <x:v>OPEN</x:v>
      </x:c>
    </x:row>
    <x:row r="184">
      <x:c r="A184" s="16" t="str">
        <x:v>T-178</x:v>
      </x:c>
      <x:c r="B184" s="16" t="str">
        <x:v>A-M40</x:v>
      </x:c>
      <x:c r="C184" s="16" t="str">
        <x:v>L-B</x:v>
      </x:c>
      <x:c r="D184" s="16" t="str">
        <x:v>C-3</x:v>
      </x:c>
      <x:c r="E184" s="16" t="str">
        <x:v>QH-4</x:v>
      </x:c>
      <x:c r="F184" s="16" t="str">
        <x:v>A-M40-L-B-C-3</x:v>
      </x:c>
      <x:c r="G184" s="16" t="n">
        <x:v>1</x:v>
      </x:c>
      <x:c r="H184" s="45"/>
      <x:c r="I184" s="45"/>
      <x:c r="J184" s="45"/>
      <x:c r="K184" s="45"/>
      <x:c r="L184" s="38"/>
      <x:c r="M184" s="38"/>
      <x:c r="N184" s="38"/>
      <x:c r="O184" s="38"/>
      <x:c r="P184" s="16" t="str">
        <x:f>IF(COUNTA(H184:O184)&lt;8,"OPEN",IF(AND(H184&lt;='Assumptions'!$B$16,H184&lt;='Assumptions'!$B$15,I184&lt;='Assumptions'!$B$24,J184&lt;='Assumptions'!$B$21,K184&gt;='Receiver'!$B$9,L184="NO",M184="YES",N184="YES",O184="NO"),"PASS","ADVERSE"))</x:f>
        <x:v>OPEN</x:v>
      </x:c>
    </x:row>
    <x:row r="185">
      <x:c r="A185" s="16" t="str">
        <x:v>T-179</x:v>
      </x:c>
      <x:c r="B185" s="16" t="str">
        <x:v>A-M40</x:v>
      </x:c>
      <x:c r="C185" s="16" t="str">
        <x:v>L-B</x:v>
      </x:c>
      <x:c r="D185" s="16" t="str">
        <x:v>C-3</x:v>
      </x:c>
      <x:c r="E185" s="16" t="str">
        <x:v>QH-5</x:v>
      </x:c>
      <x:c r="F185" s="16" t="str">
        <x:v>A-M40-L-B-C-3</x:v>
      </x:c>
      <x:c r="G185" s="16" t="n">
        <x:v>1</x:v>
      </x:c>
      <x:c r="H185" s="45"/>
      <x:c r="I185" s="45"/>
      <x:c r="J185" s="45"/>
      <x:c r="K185" s="45"/>
      <x:c r="L185" s="38"/>
      <x:c r="M185" s="38"/>
      <x:c r="N185" s="38"/>
      <x:c r="O185" s="38"/>
      <x:c r="P185" s="16" t="str">
        <x:f>IF(COUNTA(H185:O185)&lt;8,"OPEN",IF(AND(H185&lt;='Assumptions'!$B$16,H185&lt;='Assumptions'!$B$15,I185&lt;='Assumptions'!$B$24,J185&lt;='Assumptions'!$B$21,K185&gt;='Receiver'!$B$9,L185="NO",M185="YES",N185="YES",O185="NO"),"PASS","ADVERSE"))</x:f>
        <x:v>OPEN</x:v>
      </x:c>
    </x:row>
    <x:row r="186">
      <x:c r="A186" s="16" t="str">
        <x:v>T-180</x:v>
      </x:c>
      <x:c r="B186" s="16" t="str">
        <x:v>A-M40</x:v>
      </x:c>
      <x:c r="C186" s="16" t="str">
        <x:v>L-B</x:v>
      </x:c>
      <x:c r="D186" s="16" t="str">
        <x:v>C-3</x:v>
      </x:c>
      <x:c r="E186" s="16" t="str">
        <x:v>QH-6</x:v>
      </x:c>
      <x:c r="F186" s="16" t="str">
        <x:v>A-M40-L-B-C-3</x:v>
      </x:c>
      <x:c r="G186" s="16" t="n">
        <x:v>1</x:v>
      </x:c>
      <x:c r="H186" s="45"/>
      <x:c r="I186" s="45"/>
      <x:c r="J186" s="45"/>
      <x:c r="K186" s="45"/>
      <x:c r="L186" s="38"/>
      <x:c r="M186" s="38"/>
      <x:c r="N186" s="38"/>
      <x:c r="O186" s="38"/>
      <x:c r="P186" s="16" t="str">
        <x:f>IF(COUNTA(H186:O186)&lt;8,"OPEN",IF(AND(H186&lt;='Assumptions'!$B$16,H186&lt;='Assumptions'!$B$15,I186&lt;='Assumptions'!$B$24,J186&lt;='Assumptions'!$B$21,K186&gt;='Receiver'!$B$9,L186="NO",M186="YES",N186="YES",O186="NO"),"PASS","ADVERSE"))</x:f>
        <x:v>OPEN</x:v>
      </x:c>
    </x:row>
  </x:sheetData>
  <x:mergeCells>
    <x:mergeCell ref="A1:P1"/>
  </x:mergeCells>
  <x:conditionalFormatting sqref="P7:P186">
    <x:cfRule type="containsText" dxfId="8" priority="1" operator="containsText" text="DENY"/>
    <x:cfRule type="containsText" dxfId="9" priority="2" operator="containsText" text="FAIL"/>
    <x:cfRule type="containsText" dxfId="10" priority="3" operator="containsText" text="MISSING"/>
    <x:cfRule type="containsText" dxfId="11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a5f4bf2f36b846cf"/>
  </x:tableParts>
</x:worksheet>
</file>

<file path=xl/worksheets/sheet6.xml><?xml version="1.0" encoding="utf-8"?>
<x:worksheet xmlns:x="http://schemas.openxmlformats.org/spreadsheetml/2006/main">
  <x:sheetPr>
    <x:tabColor rgb="FF1E3A5F"/>
  </x:sheetPr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1" hidden="0" customWidth="1"/>
    <x:col min="4" max="4" width="14" hidden="0" customWidth="1"/>
    <x:col min="5" max="5" width="19" hidden="0" customWidth="1"/>
    <x:col min="6" max="6" width="16" hidden="0" customWidth="1"/>
    <x:col min="7" max="7" width="13" hidden="0" customWidth="1"/>
    <x:col min="8" max="8" width="20" hidden="0" customWidth="1"/>
    <x:col min="9" max="9" width="18" hidden="0" customWidth="1"/>
    <x:col min="10" max="10" width="14" hidden="0" customWidth="1"/>
    <x:col min="11" max="11" width="14" hidden="0" customWidth="1"/>
    <x:col min="12" max="12" width="16" hidden="0" customWidth="1"/>
  </x:cols>
  <x:sheetData>
    <x:row r="1" ht="27" customHeight="1">
      <x:c r="A1" s="3" t="str">
        <x:v>Architecture selection vector</x:v>
      </x:c>
      <x:c r="B1" s="3" t="str">
        <x:v>Architecture selection vector</x:v>
      </x:c>
      <x:c r="C1" s="3" t="str">
        <x:v>Architecture selection vector</x:v>
      </x:c>
      <x:c r="D1" s="3" t="str">
        <x:v>Architecture selection vector</x:v>
      </x:c>
      <x:c r="E1" s="3" t="str">
        <x:v>Architecture selection vector</x:v>
      </x:c>
      <x:c r="F1" s="3" t="str">
        <x:v>Architecture selection vector</x:v>
      </x:c>
      <x:c r="G1" s="3" t="str">
        <x:v>Architecture selection vector</x:v>
      </x:c>
      <x:c r="H1" s="3" t="str">
        <x:v>Architecture selection vector</x:v>
      </x:c>
      <x:c r="I1" s="3" t="str">
        <x:v>Architecture selection vector</x:v>
      </x:c>
      <x:c r="J1" s="3" t="str">
        <x:v>Architecture selection vector</x:v>
      </x:c>
      <x:c r="K1" s="3" t="str">
        <x:v>Architecture selection vector</x:v>
      </x:c>
      <x:c r="L1" s="3" t="str">
        <x:v>Architecture selection vector</x:v>
      </x:c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  <x:c r="K2" s="60"/>
      <x:c r="L2" s="60"/>
    </x:row>
    <x:row r="3">
      <x:c r="A3" s="16" t="str">
        <x:v>Rule</x:v>
      </x:c>
      <x:c r="B3" s="16" t="str">
        <x:v>Conjunctive gates, then minimax and lexicographic review</x:v>
      </x:c>
      <x:c r="C3" s="16"/>
      <x:c r="D3" s="16"/>
      <x:c r="E3" s="16"/>
      <x:c r="F3" s="16"/>
      <x:c r="G3" s="16"/>
      <x:c r="H3" s="16"/>
      <x:c r="I3" s="16"/>
      <x:c r="J3" s="16"/>
      <x:c r="K3" s="16"/>
      <x:c r="L3" s="16"/>
    </x:row>
    <x:row r="4">
      <x:c r="A4" s="16" t="str">
        <x:v>Admitted architectures</x:v>
      </x:c>
      <x:c r="B4" s="16" t="n">
        <x:f>COUNTIFS('Candidate Gates'!$L$4:$L$8,"ADMITTED")</x:f>
        <x:v>0</x:v>
      </x:c>
      <x:c r="C4" s="16"/>
      <x:c r="D4" s="16"/>
      <x:c r="E4" s="16"/>
      <x:c r="F4" s="16"/>
      <x:c r="G4" s="16"/>
      <x:c r="H4" s="16"/>
      <x:c r="I4" s="16"/>
      <x:c r="J4" s="16"/>
      <x:c r="K4" s="16"/>
      <x:c r="L4" s="16"/>
    </x:row>
    <x:row r="5">
      <x:c r="A5" s="16" t="str">
        <x:v>Architecture decision</x:v>
      </x:c>
      <x:c r="B5" s="16" t="str">
        <x:f>IF(B4=0,IF(COUNTIFS('Candidate Gates'!$L$4:$L$8,"DENIED")=5,"NO-ADMISSION","OPEN"),IF(B4=1,"ONE ADMITTED; BOARD REVIEW OPEN","MULTIPLE ADMITTED; BOARD REVIEW OPEN"))</x:f>
        <x:v>OPEN</x:v>
      </x:c>
      <x:c r="C5" s="16"/>
      <x:c r="D5" s="16"/>
      <x:c r="E5" s="16"/>
      <x:c r="F5" s="16"/>
      <x:c r="G5" s="16"/>
      <x:c r="H5" s="16"/>
      <x:c r="I5" s="16"/>
      <x:c r="J5" s="16"/>
      <x:c r="K5" s="16"/>
      <x:c r="L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  <x:c r="K6" s="16"/>
      <x:c r="L6" s="16"/>
    </x:row>
    <x:row r="7">
      <x:c r="A7" s="40" t="str">
        <x:v>Architecture</x:v>
      </x:c>
      <x:c r="B7" s="42" t="str">
        <x:v>Gate state</x:v>
      </x:c>
      <x:c r="C7" s="42" t="str">
        <x:v>Worst safety margin MPa</x:v>
      </x:c>
      <x:c r="D7" s="42" t="str">
        <x:v>Mass U95 kg</x:v>
      </x:c>
      <x:c r="E7" s="42" t="str">
        <x:v>Terminal residual kg</x:v>
      </x:c>
      <x:c r="F7" s="42" t="str">
        <x:v>Return burden h</x:v>
      </x:c>
      <x:c r="G7" s="42" t="str">
        <x:v>Fault states</x:v>
      </x:c>
      <x:c r="H7" s="42" t="str">
        <x:v>Replaceable mass kg</x:v>
      </x:c>
      <x:c r="I7" s="42" t="str">
        <x:v>Public energy kWh</x:v>
      </x:c>
      <x:c r="J7" s="42" t="str">
        <x:v>Work hours</x:v>
      </x:c>
      <x:c r="K7" s="42" t="str">
        <x:v>Cost USD M</x:v>
      </x:c>
      <x:c r="L7" s="41" t="str">
        <x:v>Board rank</x:v>
      </x:c>
    </x:row>
    <x:row r="8">
      <x:c r="A8" s="16" t="str">
        <x:v>A-S40</x:v>
      </x:c>
      <x:c r="B8" s="16" t="str">
        <x:f>'Candidate Gates'!L4</x:f>
        <x:v>OPEN</x:v>
      </x:c>
      <x:c r="C8" s="38"/>
      <x:c r="D8" s="38"/>
      <x:c r="E8" s="38"/>
      <x:c r="F8" s="38"/>
      <x:c r="G8" s="38"/>
      <x:c r="H8" s="38"/>
      <x:c r="I8" s="38"/>
      <x:c r="J8" s="38"/>
      <x:c r="K8" s="38"/>
      <x:c r="L8" s="16" t="str">
        <x:f>IF(B8&lt;&gt;"ADMITTED","n.a.",IF(COUNTA(C8:K8)&lt;9,"OPEN",RANK(C8,$C$8:$C$12,0)))</x:f>
        <x:v>n.a.</x:v>
      </x:c>
    </x:row>
    <x:row r="9">
      <x:c r="A9" s="16" t="str">
        <x:v>A-I60</x:v>
      </x:c>
      <x:c r="B9" s="16" t="str">
        <x:f>'Candidate Gates'!L5</x:f>
        <x:v>OPEN</x:v>
      </x:c>
      <x:c r="C9" s="38"/>
      <x:c r="D9" s="38"/>
      <x:c r="E9" s="38"/>
      <x:c r="F9" s="38"/>
      <x:c r="G9" s="38"/>
      <x:c r="H9" s="38"/>
      <x:c r="I9" s="38"/>
      <x:c r="J9" s="38"/>
      <x:c r="K9" s="38"/>
      <x:c r="L9" s="16" t="str">
        <x:f>IF(B9&lt;&gt;"ADMITTED","n.a.",IF(COUNTA(C9:K9)&lt;9,"OPEN",RANK(C9,$C$8:$C$12,0)))</x:f>
        <x:v>n.a.</x:v>
      </x:c>
    </x:row>
    <x:row r="10">
      <x:c r="A10" s="16" t="str">
        <x:v>A-T40</x:v>
      </x:c>
      <x:c r="B10" s="16" t="str">
        <x:f>'Candidate Gates'!L6</x:f>
        <x:v>OPEN</x:v>
      </x:c>
      <x:c r="C10" s="38"/>
      <x:c r="D10" s="38"/>
      <x:c r="E10" s="38"/>
      <x:c r="F10" s="38"/>
      <x:c r="G10" s="38"/>
      <x:c r="H10" s="38"/>
      <x:c r="I10" s="38"/>
      <x:c r="J10" s="38"/>
      <x:c r="K10" s="38"/>
      <x:c r="L10" s="16" t="str">
        <x:f>IF(B10&lt;&gt;"ADMITTED","n.a.",IF(COUNTA(C10:K10)&lt;9,"OPEN",RANK(C10,$C$8:$C$12,0)))</x:f>
        <x:v>n.a.</x:v>
      </x:c>
    </x:row>
    <x:row r="11">
      <x:c r="A11" s="16" t="str">
        <x:v>A-C40</x:v>
      </x:c>
      <x:c r="B11" s="16" t="str">
        <x:f>'Candidate Gates'!L7</x:f>
        <x:v>OPEN</x:v>
      </x:c>
      <x:c r="C11" s="38"/>
      <x:c r="D11" s="38"/>
      <x:c r="E11" s="38"/>
      <x:c r="F11" s="38"/>
      <x:c r="G11" s="38"/>
      <x:c r="H11" s="38"/>
      <x:c r="I11" s="38"/>
      <x:c r="J11" s="38"/>
      <x:c r="K11" s="38"/>
      <x:c r="L11" s="16" t="str">
        <x:f>IF(B11&lt;&gt;"ADMITTED","n.a.",IF(COUNTA(C11:K11)&lt;9,"OPEN",RANK(C11,$C$8:$C$12,0)))</x:f>
        <x:v>n.a.</x:v>
      </x:c>
    </x:row>
    <x:row r="12">
      <x:c r="A12" s="16" t="str">
        <x:v>A-M40</x:v>
      </x:c>
      <x:c r="B12" s="16" t="str">
        <x:f>'Candidate Gates'!L8</x:f>
        <x:v>OPEN</x:v>
      </x:c>
      <x:c r="C12" s="38"/>
      <x:c r="D12" s="38"/>
      <x:c r="E12" s="38"/>
      <x:c r="F12" s="38"/>
      <x:c r="G12" s="38"/>
      <x:c r="H12" s="38"/>
      <x:c r="I12" s="38"/>
      <x:c r="J12" s="38"/>
      <x:c r="K12" s="38"/>
      <x:c r="L12" s="16" t="str">
        <x:f>IF(B12&lt;&gt;"ADMITTED","n.a.",IF(COUNTA(C12:K12)&lt;9,"OPEN",RANK(C12,$C$8:$C$12,0)))</x:f>
        <x:v>n.a.</x:v>
      </x:c>
    </x:row>
    <x:row r="13">
      <x:c r="A13" s="16"/>
      <x:c r="B13" s="16"/>
      <x:c r="C13" s="16"/>
      <x:c r="D13" s="16"/>
      <x:c r="E13" s="16"/>
      <x:c r="F13" s="16"/>
      <x:c r="G13" s="16"/>
      <x:c r="H13" s="16"/>
      <x:c r="I13" s="16"/>
      <x:c r="J13" s="16"/>
      <x:c r="K13" s="16"/>
      <x:c r="L13" s="16"/>
    </x:row>
    <x:row r="14">
      <x:c r="A14" s="16"/>
      <x:c r="B14" s="16"/>
      <x:c r="C14" s="16"/>
      <x:c r="D14" s="16"/>
      <x:c r="E14" s="16"/>
      <x:c r="F14" s="16"/>
      <x:c r="G14" s="16"/>
      <x:c r="H14" s="16"/>
      <x:c r="I14" s="16"/>
      <x:c r="J14" s="16"/>
      <x:c r="K14" s="16"/>
      <x:c r="L14" s="16"/>
    </x:row>
    <x:row r="15">
      <x:c r="A15" s="47" t="str">
        <x:v>Board rank is unavailable until every decision vector is complete. Any admitted architecture with the smallest worst safety margin is examined first; the board then follows the registered lexicographic order and publishes the complete vector.</x:v>
      </x:c>
      <x:c r="B15" s="16"/>
      <x:c r="C15" s="16"/>
      <x:c r="D15" s="16"/>
      <x:c r="E15" s="16"/>
      <x:c r="F15" s="16"/>
      <x:c r="G15" s="16"/>
      <x:c r="H15" s="16"/>
      <x:c r="I15" s="16"/>
      <x:c r="J15" s="16"/>
      <x:c r="K15" s="16"/>
      <x:c r="L15" s="16"/>
    </x:row>
  </x:sheetData>
  <x:mergeCells>
    <x:mergeCell ref="A1:L1"/>
  </x:mergeCells>
  <x:conditionalFormatting sqref="B5:B5">
    <x:cfRule type="containsText" dxfId="12" priority="1" operator="containsText" text="DENY"/>
    <x:cfRule type="containsText" dxfId="13" priority="2" operator="containsText" text="FAIL"/>
    <x:cfRule type="containsText" dxfId="14" priority="3" operator="containsText" text="MISSING"/>
    <x:cfRule type="containsText" dxfId="15" priority="4" operator="containsText" text="OPEN"/>
  </x:conditionalFormatting>
  <x:conditionalFormatting sqref="B8:B12">
    <x:cfRule type="containsText" dxfId="16" priority="5" operator="containsText" text="DENY"/>
    <x:cfRule type="containsText" dxfId="17" priority="6" operator="containsText" text="FAIL"/>
    <x:cfRule type="containsText" dxfId="18" priority="7" operator="containsText" text="MISSING"/>
    <x:cfRule type="containsText" dxfId="19" priority="8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b2bcda57da3942a4"/>
  </x:tableParts>
</x:worksheet>
</file>

<file path=xl/worksheets/sheet7.xml><?xml version="1.0" encoding="utf-8"?>
<x:worksheet xmlns:x="http://schemas.openxmlformats.org/spreadsheetml/2006/main">
  <x:sheetPr>
    <x:tabColor rgb="FF1E3A5F"/>
  </x:sheetPr>
  <x:sheetViews>
    <x:sheetView showGridLines="0" workbookViewId="0"/>
  </x:sheetViews>
  <x:sheetFormatPr defaultRowHeight="15"/>
  <x:cols>
    <x:col min="1" max="1" width="24" hidden="0" customWidth="1"/>
    <x:col min="2" max="2" width="21" hidden="0" customWidth="1"/>
    <x:col min="3" max="3" width="21" hidden="0" customWidth="1"/>
    <x:col min="4" max="4" width="16" hidden="0" customWidth="1"/>
    <x:col min="5" max="5" width="17" hidden="0" customWidth="1"/>
    <x:col min="6" max="6" width="17" hidden="0" customWidth="1"/>
    <x:col min="7" max="7" width="17" hidden="0" customWidth="1"/>
  </x:cols>
  <x:sheetData>
    <x:row r="1" ht="27" customHeight="1">
      <x:c r="A1" s="3" t="str">
        <x:v>RER-800 receiver capacity and issue screen</x:v>
      </x:c>
      <x:c r="B1" s="3" t="str">
        <x:v>RER-800 receiver capacity and issue screen</x:v>
      </x:c>
      <x:c r="C1" s="3" t="str">
        <x:v>RER-800 receiver capacity and issue screen</x:v>
      </x:c>
      <x:c r="D1" s="3" t="str">
        <x:v>RER-800 receiver capacity and issue screen</x:v>
      </x:c>
      <x:c r="E1" s="3" t="str">
        <x:v>RER-800 receiver capacity and issue screen</x:v>
      </x:c>
      <x:c r="F1" s="3" t="str">
        <x:v>RER-800 receiver capacity and issue screen</x:v>
      </x:c>
      <x:c r="G1" s="3" t="str">
        <x:v>RER-800 receiver capacity and issue screen</x:v>
      </x:c>
    </x:row>
    <x:row r="2">
      <x:c r="A2" s="60"/>
      <x:c r="B2" s="60"/>
      <x:c r="C2" s="60"/>
      <x:c r="D2" s="60"/>
      <x:c r="E2" s="60"/>
      <x:c r="F2" s="60"/>
      <x:c r="G2" s="60"/>
    </x:row>
    <x:row r="3">
      <x:c r="A3" s="34" t="str">
        <x:v>Metric</x:v>
      </x:c>
      <x:c r="B3" s="36" t="str">
        <x:v>Value</x:v>
      </x:c>
      <x:c r="C3" s="60"/>
      <x:c r="D3" s="60"/>
      <x:c r="E3" s="60"/>
      <x:c r="F3" s="60"/>
      <x:c r="G3" s="60"/>
    </x:row>
    <x:row r="4">
      <x:c r="A4" s="16" t="str">
        <x:v>Nominal event volume m³</x:v>
      </x:c>
      <x:c r="B4" s="48" t="n">
        <x:f>'Assumptions'!B6/'Assumptions'!B7</x:f>
        <x:v>0.625</x:v>
      </x:c>
      <x:c r="C4" s="16"/>
      <x:c r="D4" s="16"/>
      <x:c r="E4" s="16"/>
      <x:c r="F4" s="16"/>
      <x:c r="G4" s="16"/>
    </x:row>
    <x:row r="5">
      <x:c r="A5" s="16" t="str">
        <x:v>Low-density event volume m³</x:v>
      </x:c>
      <x:c r="B5" s="48" t="n">
        <x:f>'Assumptions'!B6/'Assumptions'!B8</x:f>
        <x:v>0.6313131313131313</x:v>
      </x:c>
      <x:c r="C5" s="16"/>
      <x:c r="D5" s="16"/>
      <x:c r="E5" s="16"/>
      <x:c r="F5" s="16"/>
      <x:c r="G5" s="16"/>
    </x:row>
    <x:row r="6">
      <x:c r="A6" s="16" t="str">
        <x:v>Low-density uncertainty volume m³</x:v>
      </x:c>
      <x:c r="B6" s="48" t="n">
        <x:f>'Assumptions'!B21/'Assumptions'!B8</x:f>
        <x:v>0.006313131313131313</x:v>
      </x:c>
      <x:c r="C6" s="16"/>
      <x:c r="D6" s="16"/>
      <x:c r="E6" s="16"/>
      <x:c r="F6" s="16"/>
      <x:c r="G6" s="16"/>
    </x:row>
    <x:row r="7">
      <x:c r="A7" s="16" t="str">
        <x:v>Low-density event plus uncertainty m³</x:v>
      </x:c>
      <x:c r="B7" s="48" t="n">
        <x:f>SUM(B5:B6)</x:f>
        <x:v>0.6376262626262625</x:v>
      </x:c>
      <x:c r="C7" s="16"/>
      <x:c r="D7" s="16"/>
      <x:c r="E7" s="16"/>
      <x:c r="F7" s="16"/>
      <x:c r="G7" s="16"/>
    </x:row>
    <x:row r="8">
      <x:c r="A8" s="16" t="str">
        <x:v>Operational reserve m³</x:v>
      </x:c>
      <x:c r="B8" s="48" t="n">
        <x:f>'Assumptions'!B22</x:f>
        <x:v>0.08</x:v>
      </x:c>
      <x:c r="C8" s="16"/>
      <x:c r="D8" s="16"/>
      <x:c r="E8" s="16"/>
      <x:c r="F8" s="16"/>
      <x:c r="G8" s="16"/>
    </x:row>
    <x:row r="9">
      <x:c r="A9" s="16" t="str">
        <x:v>Required available volume m³</x:v>
      </x:c>
      <x:c r="B9" s="48" t="n">
        <x:f>SUM(B7:B8)</x:f>
        <x:v>0.7176262626262625</x:v>
      </x:c>
      <x:c r="C9" s="16"/>
      <x:c r="D9" s="16"/>
      <x:c r="E9" s="16"/>
      <x:c r="F9" s="16"/>
      <x:c r="G9" s="16"/>
    </x:row>
    <x:row r="10">
      <x:c r="A10" s="16" t="str">
        <x:v>Usable target m³</x:v>
      </x:c>
      <x:c r="B10" s="48" t="n">
        <x:f>'Assumptions'!B20</x:f>
        <x:v>0.8</x:v>
      </x:c>
      <x:c r="C10" s="16"/>
      <x:c r="D10" s="16"/>
      <x:c r="E10" s="16"/>
      <x:c r="F10" s="16"/>
      <x:c r="G10" s="16"/>
    </x:row>
    <x:row r="11">
      <x:c r="A11" s="16" t="str">
        <x:v>Margin above required m³</x:v>
      </x:c>
      <x:c r="B11" s="48" t="n">
        <x:f>B10-B9</x:f>
        <x:v>0.08237373737373754</x:v>
      </x:c>
      <x:c r="C11" s="16"/>
      <x:c r="D11" s="16"/>
      <x:c r="E11" s="16"/>
      <x:c r="F11" s="16"/>
      <x:c r="G11" s="16"/>
    </x:row>
    <x:row r="12">
      <x:c r="A12" s="16" t="str">
        <x:v>Issue screen</x:v>
      </x:c>
      <x:c r="B12" s="16" t="str">
        <x:f>IF(B10&gt;=B9,"PLANNING CAPACITY CLOSES","DENY")</x:f>
        <x:v>PLANNING CAPACITY CLOSES</x:v>
      </x:c>
      <x:c r="C12" s="16"/>
      <x:c r="D12" s="16"/>
      <x:c r="E12" s="16"/>
      <x:c r="F12" s="16"/>
      <x:c r="G12" s="16"/>
    </x:row>
    <x:row r="13">
      <x:c r="A13" s="16"/>
      <x:c r="B13" s="16"/>
      <x:c r="C13" s="16"/>
      <x:c r="D13" s="16"/>
      <x:c r="E13" s="16"/>
      <x:c r="F13" s="16"/>
      <x:c r="G13" s="16"/>
    </x:row>
    <x:row r="14">
      <x:c r="A14" s="16"/>
      <x:c r="B14" s="16"/>
      <x:c r="C14" s="16"/>
      <x:c r="D14" s="16"/>
      <x:c r="E14" s="16"/>
      <x:c r="F14" s="16"/>
      <x:c r="G14" s="16"/>
    </x:row>
    <x:row r="15">
      <x:c r="A15" s="12" t="str">
        <x:v>Physical receiver register</x:v>
      </x:c>
      <x:c r="B15" s="13" t="str">
        <x:v>Physical receiver register</x:v>
      </x:c>
      <x:c r="C15" s="13" t="str">
        <x:v>Physical receiver register</x:v>
      </x:c>
      <x:c r="D15" s="13" t="str">
        <x:v>Physical receiver register</x:v>
      </x:c>
      <x:c r="E15" s="13" t="str">
        <x:v>Physical receiver register</x:v>
      </x:c>
      <x:c r="F15" s="13" t="str">
        <x:v>Physical receiver register</x:v>
      </x:c>
      <x:c r="G15" s="14" t="str">
        <x:v>Physical receiver register</x:v>
      </x:c>
    </x:row>
    <x:row r="16">
      <x:c r="A16" s="40" t="str">
        <x:v>Receiver ID</x:v>
      </x:c>
      <x:c r="B16" s="42" t="str">
        <x:v>Measured usable m³</x:v>
      </x:c>
      <x:c r="C16" s="42" t="str">
        <x:v>Initial inventory m³</x:v>
      </x:c>
      <x:c r="D16" s="42" t="str">
        <x:v>Closed heel m³</x:v>
      </x:c>
      <x:c r="E16" s="42" t="str">
        <x:v>Inaccessible m³</x:v>
      </x:c>
      <x:c r="F16" s="42" t="str">
        <x:v>Available m³</x:v>
      </x:c>
      <x:c r="G16" s="41" t="str">
        <x:v>State</x:v>
      </x:c>
    </x:row>
    <x:row r="17">
      <x:c r="A17" s="16" t="str">
        <x:v>RER-01</x:v>
      </x:c>
      <x:c r="B17" s="49"/>
      <x:c r="C17" s="49"/>
      <x:c r="D17" s="49"/>
      <x:c r="E17" s="49"/>
      <x:c r="F17" s="48" t="str">
        <x:f>IF(COUNT(B17:E17)&lt;4,"",B17-SUM(C17:E17))</x:f>
      </x:c>
      <x:c r="G17" s="16" t="str">
        <x:f>IF(F17="","OPEN",IF(F17&gt;=$B$9,"ELIGIBLE","DENY"))</x:f>
        <x:v>OPEN</x:v>
      </x:c>
    </x:row>
    <x:row r="18">
      <x:c r="A18" s="16" t="str">
        <x:v>RER-02</x:v>
      </x:c>
      <x:c r="B18" s="49"/>
      <x:c r="C18" s="49"/>
      <x:c r="D18" s="49"/>
      <x:c r="E18" s="49"/>
      <x:c r="F18" s="48" t="str">
        <x:f>IF(COUNT(B18:E18)&lt;4,"",B18-SUM(C18:E18))</x:f>
      </x:c>
      <x:c r="G18" s="16" t="str">
        <x:f>IF(F18="","OPEN",IF(F18&gt;=$B$9,"ELIGIBLE","DENY"))</x:f>
        <x:v>OPEN</x:v>
      </x:c>
    </x:row>
    <x:row r="19">
      <x:c r="A19" s="16" t="str">
        <x:v>RER-03</x:v>
      </x:c>
      <x:c r="B19" s="49"/>
      <x:c r="C19" s="49"/>
      <x:c r="D19" s="49"/>
      <x:c r="E19" s="49"/>
      <x:c r="F19" s="48" t="str">
        <x:f>IF(COUNT(B19:E19)&lt;4,"",B19-SUM(C19:E19))</x:f>
      </x:c>
      <x:c r="G19" s="16" t="str">
        <x:f>IF(F19="","OPEN",IF(F19&gt;=$B$9,"ELIGIBLE","DENY"))</x:f>
        <x:v>OPEN</x:v>
      </x:c>
    </x:row>
    <x:row r="20">
      <x:c r="A20" s="16" t="str">
        <x:v>RER-04</x:v>
      </x:c>
      <x:c r="B20" s="49"/>
      <x:c r="C20" s="49"/>
      <x:c r="D20" s="49"/>
      <x:c r="E20" s="49"/>
      <x:c r="F20" s="48" t="str">
        <x:f>IF(COUNT(B20:E20)&lt;4,"",B20-SUM(C20:E20))</x:f>
      </x:c>
      <x:c r="G20" s="16" t="str">
        <x:f>IF(F20="","OPEN",IF(F20&gt;=$B$9,"ELIGIBLE","DENY"))</x:f>
        <x:v>OPEN</x:v>
      </x:c>
    </x:row>
    <x:row r="21">
      <x:c r="A21" s="16" t="str">
        <x:v>RER-05</x:v>
      </x:c>
      <x:c r="B21" s="49"/>
      <x:c r="C21" s="49"/>
      <x:c r="D21" s="49"/>
      <x:c r="E21" s="49"/>
      <x:c r="F21" s="48" t="str">
        <x:f>IF(COUNT(B21:E21)&lt;4,"",B21-SUM(C21:E21))</x:f>
      </x:c>
      <x:c r="G21" s="16" t="str">
        <x:f>IF(F21="","OPEN",IF(F21&gt;=$B$9,"ELIGIBLE","DENY"))</x:f>
        <x:v>OPEN</x:v>
      </x:c>
    </x:row>
    <x:row r="22">
      <x:c r="A22" s="16" t="str">
        <x:v>RER-06</x:v>
      </x:c>
      <x:c r="B22" s="49"/>
      <x:c r="C22" s="49"/>
      <x:c r="D22" s="49"/>
      <x:c r="E22" s="49"/>
      <x:c r="F22" s="48" t="str">
        <x:f>IF(COUNT(B22:E22)&lt;4,"",B22-SUM(C22:E22))</x:f>
      </x:c>
      <x:c r="G22" s="16" t="str">
        <x:f>IF(F22="","OPEN",IF(F22&gt;=$B$9,"ELIGIBLE","DENY"))</x:f>
        <x:v>OPEN</x:v>
      </x:c>
    </x:row>
    <x:row r="23">
      <x:c r="A23" s="16" t="str">
        <x:v>RER-07</x:v>
      </x:c>
      <x:c r="B23" s="49"/>
      <x:c r="C23" s="49"/>
      <x:c r="D23" s="49"/>
      <x:c r="E23" s="49"/>
      <x:c r="F23" s="48" t="str">
        <x:f>IF(COUNT(B23:E23)&lt;4,"",B23-SUM(C23:E23))</x:f>
      </x:c>
      <x:c r="G23" s="16" t="str">
        <x:f>IF(F23="","OPEN",IF(F23&gt;=$B$9,"ELIGIBLE","DENY"))</x:f>
        <x:v>OPEN</x:v>
      </x:c>
    </x:row>
    <x:row r="24">
      <x:c r="A24" s="16" t="str">
        <x:v>RER-08</x:v>
      </x:c>
      <x:c r="B24" s="49"/>
      <x:c r="C24" s="49"/>
      <x:c r="D24" s="49"/>
      <x:c r="E24" s="49"/>
      <x:c r="F24" s="48" t="str">
        <x:f>IF(COUNT(B24:E24)&lt;4,"",B24-SUM(C24:E24))</x:f>
      </x:c>
      <x:c r="G24" s="16" t="str">
        <x:f>IF(F24="","OPEN",IF(F24&gt;=$B$9,"ELIGIBLE","DENY"))</x:f>
        <x:v>OPEN</x:v>
      </x:c>
    </x:row>
    <x:row r="25">
      <x:c r="A25" s="16" t="str">
        <x:v>RER-09</x:v>
      </x:c>
      <x:c r="B25" s="49"/>
      <x:c r="C25" s="49"/>
      <x:c r="D25" s="49"/>
      <x:c r="E25" s="49"/>
      <x:c r="F25" s="48" t="str">
        <x:f>IF(COUNT(B25:E25)&lt;4,"",B25-SUM(C25:E25))</x:f>
      </x:c>
      <x:c r="G25" s="16" t="str">
        <x:f>IF(F25="","OPEN",IF(F25&gt;=$B$9,"ELIGIBLE","DENY"))</x:f>
        <x:v>OPEN</x:v>
      </x:c>
    </x:row>
    <x:row r="26">
      <x:c r="A26" s="16" t="str">
        <x:v>RER-10</x:v>
      </x:c>
      <x:c r="B26" s="49"/>
      <x:c r="C26" s="49"/>
      <x:c r="D26" s="49"/>
      <x:c r="E26" s="49"/>
      <x:c r="F26" s="48" t="str">
        <x:f>IF(COUNT(B26:E26)&lt;4,"",B26-SUM(C26:E26))</x:f>
      </x:c>
      <x:c r="G26" s="16" t="str">
        <x:f>IF(F26="","OPEN",IF(F26&gt;=$B$9,"ELIGIBLE","DENY"))</x:f>
        <x:v>OPEN</x:v>
      </x:c>
    </x:row>
    <x:row r="27">
      <x:c r="A27" s="16" t="str">
        <x:v>RER-11</x:v>
      </x:c>
      <x:c r="B27" s="49"/>
      <x:c r="C27" s="49"/>
      <x:c r="D27" s="49"/>
      <x:c r="E27" s="49"/>
      <x:c r="F27" s="48" t="str">
        <x:f>IF(COUNT(B27:E27)&lt;4,"",B27-SUM(C27:E27))</x:f>
      </x:c>
      <x:c r="G27" s="16" t="str">
        <x:f>IF(F27="","OPEN",IF(F27&gt;=$B$9,"ELIGIBLE","DENY"))</x:f>
        <x:v>OPEN</x:v>
      </x:c>
    </x:row>
    <x:row r="28">
      <x:c r="A28" s="16" t="str">
        <x:v>RER-12</x:v>
      </x:c>
      <x:c r="B28" s="49"/>
      <x:c r="C28" s="49"/>
      <x:c r="D28" s="49"/>
      <x:c r="E28" s="49"/>
      <x:c r="F28" s="48" t="str">
        <x:f>IF(COUNT(B28:E28)&lt;4,"",B28-SUM(C28:E28))</x:f>
      </x:c>
      <x:c r="G28" s="16" t="str">
        <x:f>IF(F28="","OPEN",IF(F28&gt;=$B$9,"ELIGIBLE","DENY"))</x:f>
        <x:v>OPEN</x:v>
      </x:c>
    </x:row>
  </x:sheetData>
  <x:mergeCells>
    <x:mergeCell ref="A1:G1"/>
    <x:mergeCell ref="A15:G15"/>
  </x:mergeCells>
  <x:conditionalFormatting sqref="G17:G28">
    <x:cfRule type="containsText" dxfId="20" priority="1" operator="containsText" text="DENY"/>
    <x:cfRule type="containsText" dxfId="21" priority="2" operator="containsText" text="FAIL"/>
    <x:cfRule type="containsText" dxfId="22" priority="3" operator="containsText" text="MISSING"/>
    <x:cfRule type="containsText" dxfId="23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44cef50a1a574298"/>
  </x:tableParts>
</x:worksheet>
</file>

<file path=xl/worksheets/sheet8.xml><?xml version="1.0" encoding="utf-8"?>
<x:worksheet xmlns:x="http://schemas.openxmlformats.org/spreadsheetml/2006/main">
  <x:sheetPr>
    <x:tabColor rgb="FFDDEBF7"/>
  </x:sheetPr>
  <x:sheetViews>
    <x:sheetView showGridLines="0" workbookViewId="0">
      <x:pane ySplit="19" topLeftCell="A20" activePane="bottomLeft" state="frozen"/>
    </x:sheetView>
  </x:sheetViews>
  <x:sheetFormatPr defaultRowHeight="15"/>
  <x:cols>
    <x:col min="1" max="1" width="17" hidden="0" customWidth="1"/>
    <x:col min="2" max="2" width="14" hidden="0" customWidth="1"/>
    <x:col min="3" max="3" width="14" hidden="0" customWidth="1"/>
    <x:col min="4" max="4" width="13" hidden="0" customWidth="1"/>
    <x:col min="5" max="5" width="13" hidden="0" customWidth="1"/>
    <x:col min="6" max="6" width="16" hidden="0" customWidth="1"/>
    <x:col min="7" max="7" width="19" hidden="0" customWidth="1"/>
    <x:col min="8" max="8" width="16" hidden="0" customWidth="1"/>
  </x:cols>
  <x:sheetData>
    <x:row r="1" ht="27" customHeight="1">
      <x:c r="A1" s="3" t="str">
        <x:v>QE-04 source package and future bank</x:v>
      </x:c>
      <x:c r="B1" s="3" t="str">
        <x:v>QE-04 source package and future bank</x:v>
      </x:c>
      <x:c r="C1" s="3" t="str">
        <x:v>QE-04 source package and future bank</x:v>
      </x:c>
      <x:c r="D1" s="3" t="str">
        <x:v>QE-04 source package and future bank</x:v>
      </x:c>
      <x:c r="E1" s="3" t="str">
        <x:v>QE-04 source package and future bank</x:v>
      </x:c>
      <x:c r="F1" s="3" t="str">
        <x:v>QE-04 source package and future bank</x:v>
      </x:c>
      <x:c r="G1" s="3" t="str">
        <x:v>QE-04 source package and future bank</x:v>
      </x:c>
      <x:c r="H1" s="3" t="str">
        <x:v>QE-04 source package and future bank</x:v>
      </x:c>
    </x:row>
    <x:row r="2">
      <x:c r="A2" s="60"/>
      <x:c r="B2" s="60"/>
      <x:c r="C2" s="60"/>
      <x:c r="D2" s="60"/>
      <x:c r="E2" s="60"/>
      <x:c r="F2" s="60"/>
      <x:c r="G2" s="60"/>
      <x:c r="H2" s="60"/>
    </x:row>
    <x:row r="3">
      <x:c r="A3" s="34" t="str">
        <x:v>Metric</x:v>
      </x:c>
      <x:c r="B3" s="36" t="str">
        <x:v>Value</x:v>
      </x:c>
      <x:c r="C3" s="60"/>
      <x:c r="D3" s="60"/>
      <x:c r="E3" s="60"/>
      <x:c r="F3" s="60"/>
      <x:c r="G3" s="60"/>
      <x:c r="H3" s="60"/>
    </x:row>
    <x:row r="4">
      <x:c r="A4" s="16" t="str">
        <x:v>Future packages</x:v>
      </x:c>
      <x:c r="B4" s="16" t="n">
        <x:v>30</x:v>
      </x:c>
      <x:c r="C4" s="16"/>
      <x:c r="D4" s="16"/>
      <x:c r="E4" s="16"/>
      <x:c r="F4" s="16"/>
      <x:c r="G4" s="16"/>
      <x:c r="H4" s="16"/>
    </x:row>
    <x:row r="5">
      <x:c r="A5" s="16" t="str">
        <x:v>Gross package mass kg</x:v>
      </x:c>
      <x:c r="B5" s="16" t="n">
        <x:v>600</x:v>
      </x:c>
      <x:c r="C5" s="16"/>
      <x:c r="D5" s="16"/>
      <x:c r="E5" s="16"/>
      <x:c r="F5" s="16"/>
      <x:c r="G5" s="16"/>
      <x:c r="H5" s="16"/>
    </x:row>
    <x:row r="6">
      <x:c r="A6" s="16" t="str">
        <x:v>Gross custody kg</x:v>
      </x:c>
      <x:c r="B6" s="16" t="n">
        <x:f>B4*B5</x:f>
        <x:v>18000</x:v>
      </x:c>
      <x:c r="C6" s="16"/>
      <x:c r="D6" s="16"/>
      <x:c r="E6" s="16"/>
      <x:c r="F6" s="16"/>
      <x:c r="G6" s="16"/>
      <x:c r="H6" s="16"/>
    </x:row>
    <x:row r="7">
      <x:c r="A7" s="16" t="str">
        <x:v>Maximum future event issue kg</x:v>
      </x:c>
      <x:c r="B7" s="16" t="n">
        <x:f>(12+16)*500</x:f>
        <x:v>14000</x:v>
      </x:c>
      <x:c r="C7" s="16"/>
      <x:c r="D7" s="16"/>
      <x:c r="E7" s="16"/>
      <x:c r="F7" s="16"/>
      <x:c r="G7" s="16"/>
      <x:c r="H7" s="16"/>
    </x:row>
    <x:row r="8">
      <x:c r="A8" s="16" t="str">
        <x:v>First-event maximum issue kg</x:v>
      </x:c>
      <x:c r="B8" s="16" t="n">
        <x:v>1000</x:v>
      </x:c>
      <x:c r="C8" s="16"/>
      <x:c r="D8" s="16"/>
      <x:c r="E8" s="16"/>
      <x:c r="F8" s="16"/>
      <x:c r="G8" s="16"/>
      <x:c r="H8" s="16"/>
    </x:row>
    <x:row r="9">
      <x:c r="A9" s="16"/>
      <x:c r="B9" s="16"/>
      <x:c r="C9" s="16"/>
      <x:c r="D9" s="16"/>
      <x:c r="E9" s="16"/>
      <x:c r="F9" s="16"/>
      <x:c r="G9" s="16"/>
      <x:c r="H9" s="16"/>
    </x:row>
    <x:row r="10">
      <x:c r="A10" s="12" t="str">
        <x:v>Package allocations</x:v>
      </x:c>
      <x:c r="B10" s="13" t="str">
        <x:v>Package allocations</x:v>
      </x:c>
      <x:c r="C10" s="13" t="str">
        <x:v>Package allocations</x:v>
      </x:c>
      <x:c r="D10" s="13" t="str">
        <x:v>Package allocations</x:v>
      </x:c>
      <x:c r="E10" s="13" t="str">
        <x:v>Package allocations</x:v>
      </x:c>
      <x:c r="F10" s="13" t="str">
        <x:v>Package allocations</x:v>
      </x:c>
      <x:c r="G10" s="13" t="str">
        <x:v>Package allocations</x:v>
      </x:c>
      <x:c r="H10" s="14" t="str">
        <x:v>Package allocations</x:v>
      </x:c>
    </x:row>
    <x:row r="11">
      <x:c r="A11" s="40" t="str">
        <x:v>Allocation</x:v>
      </x:c>
      <x:c r="B11" s="42" t="str">
        <x:v>Mass kg</x:v>
      </x:c>
      <x:c r="C11" s="42" t="str">
        <x:v>Protected purpose</x:v>
      </x:c>
      <x:c r="D11" s="41" t="str">
        <x:v>May enter event</x:v>
      </x:c>
      <x:c r="E11" s="16"/>
      <x:c r="F11" s="16"/>
      <x:c r="G11" s="16"/>
      <x:c r="H11" s="16"/>
    </x:row>
    <x:row r="12">
      <x:c r="A12" s="16" t="str">
        <x:v>Event aliquot</x:v>
      </x:c>
      <x:c r="B12" s="16" t="n">
        <x:v>500</x:v>
      </x:c>
      <x:c r="C12" s="16" t="str">
        <x:v>exact event issue</x:v>
      </x:c>
      <x:c r="D12" s="16" t="str">
        <x:v>YES</x:v>
      </x:c>
      <x:c r="E12" s="16"/>
      <x:c r="F12" s="16"/>
      <x:c r="G12" s="16"/>
      <x:c r="H12" s="16"/>
    </x:row>
    <x:row r="13">
      <x:c r="A13" s="16" t="str">
        <x:v>Retained assay</x:v>
      </x:c>
      <x:c r="B13" s="16" t="n">
        <x:v>30</x:v>
      </x:c>
      <x:c r="C13" s="16" t="str">
        <x:v>unlike property reconstruction</x:v>
      </x:c>
      <x:c r="D13" s="16" t="str">
        <x:v>NO</x:v>
      </x:c>
      <x:c r="E13" s="16"/>
      <x:c r="F13" s="16"/>
      <x:c r="G13" s="16"/>
      <x:c r="H13" s="16"/>
    </x:row>
    <x:row r="14">
      <x:c r="A14" s="16" t="str">
        <x:v>Conditioning</x:v>
      </x:c>
      <x:c r="B14" s="16" t="n">
        <x:v>40</x:v>
      </x:c>
      <x:c r="C14" s="16" t="str">
        <x:v>route and receiver verification</x:v>
      </x:c>
      <x:c r="D14" s="16" t="str">
        <x:v>NO</x:v>
      </x:c>
      <x:c r="E14" s="16"/>
      <x:c r="F14" s="16"/>
      <x:c r="G14" s="16"/>
      <x:c r="H14" s="16"/>
    </x:row>
    <x:row r="15">
      <x:c r="A15" s="16" t="str">
        <x:v>Quarantine</x:v>
      </x:c>
      <x:c r="B15" s="16" t="n">
        <x:v>30</x:v>
      </x:c>
      <x:c r="C15" s="16" t="str">
        <x:v>independent investigation</x:v>
      </x:c>
      <x:c r="D15" s="16" t="str">
        <x:v>NO</x:v>
      </x:c>
      <x:c r="E15" s="16"/>
      <x:c r="F15" s="16"/>
      <x:c r="G15" s="16"/>
      <x:c r="H15" s="16"/>
    </x:row>
    <x:row r="16">
      <x:c r="A16" s="16"/>
      <x:c r="B16" s="16"/>
      <x:c r="C16" s="16"/>
      <x:c r="D16" s="16"/>
      <x:c r="E16" s="16"/>
      <x:c r="F16" s="16"/>
      <x:c r="G16" s="16"/>
      <x:c r="H16" s="16"/>
    </x:row>
    <x:row r="17">
      <x:c r="A17" s="16"/>
      <x:c r="B17" s="16"/>
      <x:c r="C17" s="16"/>
      <x:c r="D17" s="16"/>
      <x:c r="E17" s="16"/>
      <x:c r="F17" s="16"/>
      <x:c r="G17" s="16"/>
      <x:c r="H17" s="16"/>
    </x:row>
    <x:row r="18">
      <x:c r="A18" s="12" t="str">
        <x:v>Package registry</x:v>
      </x:c>
      <x:c r="B18" s="13" t="str">
        <x:v>Package registry</x:v>
      </x:c>
      <x:c r="C18" s="13" t="str">
        <x:v>Package registry</x:v>
      </x:c>
      <x:c r="D18" s="13" t="str">
        <x:v>Package registry</x:v>
      </x:c>
      <x:c r="E18" s="13" t="str">
        <x:v>Package registry</x:v>
      </x:c>
      <x:c r="F18" s="13" t="str">
        <x:v>Package registry</x:v>
      </x:c>
      <x:c r="G18" s="13" t="str">
        <x:v>Package registry</x:v>
      </x:c>
      <x:c r="H18" s="14" t="str">
        <x:v>Package registry</x:v>
      </x:c>
    </x:row>
    <x:row r="19">
      <x:c r="A19" s="40" t="str">
        <x:v>Package ID</x:v>
      </x:c>
      <x:c r="B19" s="42" t="str">
        <x:v>Root family</x:v>
      </x:c>
      <x:c r="C19" s="42" t="str">
        <x:v>Role</x:v>
      </x:c>
      <x:c r="D19" s="42" t="str">
        <x:v>Gross kg</x:v>
      </x:c>
      <x:c r="E19" s="42" t="str">
        <x:v>Event kg</x:v>
      </x:c>
      <x:c r="F19" s="42" t="str">
        <x:v>Token state</x:v>
      </x:c>
      <x:c r="G19" s="42" t="str">
        <x:v>Physical acceptance</x:v>
      </x:c>
      <x:c r="H19" s="41" t="str">
        <x:v>Issue state</x:v>
      </x:c>
    </x:row>
    <x:row r="20">
      <x:c r="A20" s="16" t="str">
        <x:v>P-ACT-01</x:v>
      </x:c>
      <x:c r="B20" s="16" t="str">
        <x:v>TR-A</x:v>
      </x:c>
      <x:c r="C20" s="16" t="str">
        <x:v>ACTIVE</x:v>
      </x:c>
      <x:c r="D20" s="16" t="n">
        <x:v>600</x:v>
      </x:c>
      <x:c r="E20" s="16" t="n">
        <x:v>500</x:v>
      </x:c>
      <x:c r="F20" s="16" t="str">
        <x:v>ASSIGNED</x:v>
      </x:c>
      <x:c r="G20" s="38"/>
      <x:c r="H20" s="38"/>
    </x:row>
    <x:row r="21">
      <x:c r="A21" s="16" t="str">
        <x:v>P-ACT-02</x:v>
      </x:c>
      <x:c r="B21" s="16" t="str">
        <x:v>TR-A</x:v>
      </x:c>
      <x:c r="C21" s="16" t="str">
        <x:v>ACTIVE</x:v>
      </x:c>
      <x:c r="D21" s="16" t="n">
        <x:v>600</x:v>
      </x:c>
      <x:c r="E21" s="16" t="n">
        <x:v>500</x:v>
      </x:c>
      <x:c r="F21" s="16" t="str">
        <x:v>ASSIGNED</x:v>
      </x:c>
      <x:c r="G21" s="38"/>
      <x:c r="H21" s="38"/>
    </x:row>
    <x:row r="22">
      <x:c r="A22" s="16" t="str">
        <x:v>P-ACT-03</x:v>
      </x:c>
      <x:c r="B22" s="16" t="str">
        <x:v>TR-A</x:v>
      </x:c>
      <x:c r="C22" s="16" t="str">
        <x:v>ACTIVE</x:v>
      </x:c>
      <x:c r="D22" s="16" t="n">
        <x:v>600</x:v>
      </x:c>
      <x:c r="E22" s="16" t="n">
        <x:v>500</x:v>
      </x:c>
      <x:c r="F22" s="16" t="str">
        <x:v>ASSIGNED</x:v>
      </x:c>
      <x:c r="G22" s="38"/>
      <x:c r="H22" s="38"/>
    </x:row>
    <x:row r="23">
      <x:c r="A23" s="16" t="str">
        <x:v>P-ACT-04</x:v>
      </x:c>
      <x:c r="B23" s="16" t="str">
        <x:v>TR-A</x:v>
      </x:c>
      <x:c r="C23" s="16" t="str">
        <x:v>ACTIVE</x:v>
      </x:c>
      <x:c r="D23" s="16" t="n">
        <x:v>600</x:v>
      </x:c>
      <x:c r="E23" s="16" t="n">
        <x:v>500</x:v>
      </x:c>
      <x:c r="F23" s="16" t="str">
        <x:v>ASSIGNED</x:v>
      </x:c>
      <x:c r="G23" s="38"/>
      <x:c r="H23" s="38"/>
    </x:row>
    <x:row r="24">
      <x:c r="A24" s="16" t="str">
        <x:v>P-ACT-05</x:v>
      </x:c>
      <x:c r="B24" s="16" t="str">
        <x:v>TR-A</x:v>
      </x:c>
      <x:c r="C24" s="16" t="str">
        <x:v>ACTIVE</x:v>
      </x:c>
      <x:c r="D24" s="16" t="n">
        <x:v>600</x:v>
      </x:c>
      <x:c r="E24" s="16" t="n">
        <x:v>500</x:v>
      </x:c>
      <x:c r="F24" s="16" t="str">
        <x:v>ASSIGNED</x:v>
      </x:c>
      <x:c r="G24" s="38"/>
      <x:c r="H24" s="38"/>
    </x:row>
    <x:row r="25">
      <x:c r="A25" s="16" t="str">
        <x:v>P-ACT-06</x:v>
      </x:c>
      <x:c r="B25" s="16" t="str">
        <x:v>TR-A</x:v>
      </x:c>
      <x:c r="C25" s="16" t="str">
        <x:v>ACTIVE</x:v>
      </x:c>
      <x:c r="D25" s="16" t="n">
        <x:v>600</x:v>
      </x:c>
      <x:c r="E25" s="16" t="n">
        <x:v>500</x:v>
      </x:c>
      <x:c r="F25" s="16" t="str">
        <x:v>ASSIGNED</x:v>
      </x:c>
      <x:c r="G25" s="38"/>
      <x:c r="H25" s="38"/>
    </x:row>
    <x:row r="26">
      <x:c r="A26" s="16" t="str">
        <x:v>P-ACT-07</x:v>
      </x:c>
      <x:c r="B26" s="16" t="str">
        <x:v>TR-B</x:v>
      </x:c>
      <x:c r="C26" s="16" t="str">
        <x:v>ACTIVE</x:v>
      </x:c>
      <x:c r="D26" s="16" t="n">
        <x:v>600</x:v>
      </x:c>
      <x:c r="E26" s="16" t="n">
        <x:v>500</x:v>
      </x:c>
      <x:c r="F26" s="16" t="str">
        <x:v>ASSIGNED</x:v>
      </x:c>
      <x:c r="G26" s="38"/>
      <x:c r="H26" s="38"/>
    </x:row>
    <x:row r="27">
      <x:c r="A27" s="16" t="str">
        <x:v>P-ACT-08</x:v>
      </x:c>
      <x:c r="B27" s="16" t="str">
        <x:v>TR-B</x:v>
      </x:c>
      <x:c r="C27" s="16" t="str">
        <x:v>ACTIVE</x:v>
      </x:c>
      <x:c r="D27" s="16" t="n">
        <x:v>600</x:v>
      </x:c>
      <x:c r="E27" s="16" t="n">
        <x:v>500</x:v>
      </x:c>
      <x:c r="F27" s="16" t="str">
        <x:v>ASSIGNED</x:v>
      </x:c>
      <x:c r="G27" s="38"/>
      <x:c r="H27" s="38"/>
    </x:row>
    <x:row r="28">
      <x:c r="A28" s="16" t="str">
        <x:v>P-ACT-09</x:v>
      </x:c>
      <x:c r="B28" s="16" t="str">
        <x:v>TR-B</x:v>
      </x:c>
      <x:c r="C28" s="16" t="str">
        <x:v>ACTIVE</x:v>
      </x:c>
      <x:c r="D28" s="16" t="n">
        <x:v>600</x:v>
      </x:c>
      <x:c r="E28" s="16" t="n">
        <x:v>500</x:v>
      </x:c>
      <x:c r="F28" s="16" t="str">
        <x:v>ASSIGNED</x:v>
      </x:c>
      <x:c r="G28" s="38"/>
      <x:c r="H28" s="38"/>
    </x:row>
    <x:row r="29">
      <x:c r="A29" s="16" t="str">
        <x:v>P-ACT-10</x:v>
      </x:c>
      <x:c r="B29" s="16" t="str">
        <x:v>TR-B</x:v>
      </x:c>
      <x:c r="C29" s="16" t="str">
        <x:v>ACTIVE</x:v>
      </x:c>
      <x:c r="D29" s="16" t="n">
        <x:v>600</x:v>
      </x:c>
      <x:c r="E29" s="16" t="n">
        <x:v>500</x:v>
      </x:c>
      <x:c r="F29" s="16" t="str">
        <x:v>ASSIGNED</x:v>
      </x:c>
      <x:c r="G29" s="38"/>
      <x:c r="H29" s="38"/>
    </x:row>
    <x:row r="30">
      <x:c r="A30" s="16" t="str">
        <x:v>P-ACT-11</x:v>
      </x:c>
      <x:c r="B30" s="16" t="str">
        <x:v>TR-B</x:v>
      </x:c>
      <x:c r="C30" s="16" t="str">
        <x:v>ACTIVE</x:v>
      </x:c>
      <x:c r="D30" s="16" t="n">
        <x:v>600</x:v>
      </x:c>
      <x:c r="E30" s="16" t="n">
        <x:v>500</x:v>
      </x:c>
      <x:c r="F30" s="16" t="str">
        <x:v>ASSIGNED</x:v>
      </x:c>
      <x:c r="G30" s="38"/>
      <x:c r="H30" s="38"/>
    </x:row>
    <x:row r="31">
      <x:c r="A31" s="16" t="str">
        <x:v>P-ACT-12</x:v>
      </x:c>
      <x:c r="B31" s="16" t="str">
        <x:v>TR-B</x:v>
      </x:c>
      <x:c r="C31" s="16" t="str">
        <x:v>ACTIVE</x:v>
      </x:c>
      <x:c r="D31" s="16" t="n">
        <x:v>600</x:v>
      </x:c>
      <x:c r="E31" s="16" t="n">
        <x:v>500</x:v>
      </x:c>
      <x:c r="F31" s="16" t="str">
        <x:v>ASSIGNED</x:v>
      </x:c>
      <x:c r="G31" s="38"/>
      <x:c r="H31" s="38"/>
    </x:row>
    <x:row r="32">
      <x:c r="A32" s="16" t="str">
        <x:v>P-RES-01</x:v>
      </x:c>
      <x:c r="B32" s="16" t="str">
        <x:v>TR-A</x:v>
      </x:c>
      <x:c r="C32" s="16" t="str">
        <x:v>RESERVE</x:v>
      </x:c>
      <x:c r="D32" s="16" t="n">
        <x:v>600</x:v>
      </x:c>
      <x:c r="E32" s="16" t="n">
        <x:v>500</x:v>
      </x:c>
      <x:c r="F32" s="16" t="str">
        <x:v>DORMANT</x:v>
      </x:c>
      <x:c r="G32" s="38"/>
      <x:c r="H32" s="38"/>
    </x:row>
    <x:row r="33">
      <x:c r="A33" s="16" t="str">
        <x:v>P-RES-02</x:v>
      </x:c>
      <x:c r="B33" s="16" t="str">
        <x:v>TR-A</x:v>
      </x:c>
      <x:c r="C33" s="16" t="str">
        <x:v>RESERVE</x:v>
      </x:c>
      <x:c r="D33" s="16" t="n">
        <x:v>600</x:v>
      </x:c>
      <x:c r="E33" s="16" t="n">
        <x:v>500</x:v>
      </x:c>
      <x:c r="F33" s="16" t="str">
        <x:v>DORMANT</x:v>
      </x:c>
      <x:c r="G33" s="38"/>
      <x:c r="H33" s="38"/>
    </x:row>
    <x:row r="34">
      <x:c r="A34" s="16" t="str">
        <x:v>P-RES-03</x:v>
      </x:c>
      <x:c r="B34" s="16" t="str">
        <x:v>TR-A</x:v>
      </x:c>
      <x:c r="C34" s="16" t="str">
        <x:v>RESERVE</x:v>
      </x:c>
      <x:c r="D34" s="16" t="n">
        <x:v>600</x:v>
      </x:c>
      <x:c r="E34" s="16" t="n">
        <x:v>500</x:v>
      </x:c>
      <x:c r="F34" s="16" t="str">
        <x:v>DORMANT</x:v>
      </x:c>
      <x:c r="G34" s="38"/>
      <x:c r="H34" s="38"/>
    </x:row>
    <x:row r="35">
      <x:c r="A35" s="16" t="str">
        <x:v>P-RES-04</x:v>
      </x:c>
      <x:c r="B35" s="16" t="str">
        <x:v>TR-A</x:v>
      </x:c>
      <x:c r="C35" s="16" t="str">
        <x:v>RESERVE</x:v>
      </x:c>
      <x:c r="D35" s="16" t="n">
        <x:v>600</x:v>
      </x:c>
      <x:c r="E35" s="16" t="n">
        <x:v>500</x:v>
      </x:c>
      <x:c r="F35" s="16" t="str">
        <x:v>DORMANT</x:v>
      </x:c>
      <x:c r="G35" s="38"/>
      <x:c r="H35" s="38"/>
    </x:row>
    <x:row r="36">
      <x:c r="A36" s="16" t="str">
        <x:v>P-RES-05</x:v>
      </x:c>
      <x:c r="B36" s="16" t="str">
        <x:v>TR-A</x:v>
      </x:c>
      <x:c r="C36" s="16" t="str">
        <x:v>RESERVE</x:v>
      </x:c>
      <x:c r="D36" s="16" t="n">
        <x:v>600</x:v>
      </x:c>
      <x:c r="E36" s="16" t="n">
        <x:v>500</x:v>
      </x:c>
      <x:c r="F36" s="16" t="str">
        <x:v>DORMANT</x:v>
      </x:c>
      <x:c r="G36" s="38"/>
      <x:c r="H36" s="38"/>
    </x:row>
    <x:row r="37">
      <x:c r="A37" s="16" t="str">
        <x:v>P-RES-06</x:v>
      </x:c>
      <x:c r="B37" s="16" t="str">
        <x:v>TR-A</x:v>
      </x:c>
      <x:c r="C37" s="16" t="str">
        <x:v>RESERVE</x:v>
      </x:c>
      <x:c r="D37" s="16" t="n">
        <x:v>600</x:v>
      </x:c>
      <x:c r="E37" s="16" t="n">
        <x:v>500</x:v>
      </x:c>
      <x:c r="F37" s="16" t="str">
        <x:v>DORMANT</x:v>
      </x:c>
      <x:c r="G37" s="38"/>
      <x:c r="H37" s="38"/>
    </x:row>
    <x:row r="38">
      <x:c r="A38" s="16" t="str">
        <x:v>P-RES-07</x:v>
      </x:c>
      <x:c r="B38" s="16" t="str">
        <x:v>TR-A</x:v>
      </x:c>
      <x:c r="C38" s="16" t="str">
        <x:v>RESERVE</x:v>
      </x:c>
      <x:c r="D38" s="16" t="n">
        <x:v>600</x:v>
      </x:c>
      <x:c r="E38" s="16" t="n">
        <x:v>500</x:v>
      </x:c>
      <x:c r="F38" s="16" t="str">
        <x:v>DORMANT</x:v>
      </x:c>
      <x:c r="G38" s="38"/>
      <x:c r="H38" s="38"/>
    </x:row>
    <x:row r="39">
      <x:c r="A39" s="16" t="str">
        <x:v>P-RES-08</x:v>
      </x:c>
      <x:c r="B39" s="16" t="str">
        <x:v>TR-A</x:v>
      </x:c>
      <x:c r="C39" s="16" t="str">
        <x:v>RESERVE</x:v>
      </x:c>
      <x:c r="D39" s="16" t="n">
        <x:v>600</x:v>
      </x:c>
      <x:c r="E39" s="16" t="n">
        <x:v>500</x:v>
      </x:c>
      <x:c r="F39" s="16" t="str">
        <x:v>DORMANT</x:v>
      </x:c>
      <x:c r="G39" s="38"/>
      <x:c r="H39" s="38"/>
    </x:row>
    <x:row r="40">
      <x:c r="A40" s="16" t="str">
        <x:v>P-RES-09</x:v>
      </x:c>
      <x:c r="B40" s="16" t="str">
        <x:v>TR-B</x:v>
      </x:c>
      <x:c r="C40" s="16" t="str">
        <x:v>RESERVE</x:v>
      </x:c>
      <x:c r="D40" s="16" t="n">
        <x:v>600</x:v>
      </x:c>
      <x:c r="E40" s="16" t="n">
        <x:v>500</x:v>
      </x:c>
      <x:c r="F40" s="16" t="str">
        <x:v>DORMANT</x:v>
      </x:c>
      <x:c r="G40" s="38"/>
      <x:c r="H40" s="38"/>
    </x:row>
    <x:row r="41">
      <x:c r="A41" s="16" t="str">
        <x:v>P-RES-10</x:v>
      </x:c>
      <x:c r="B41" s="16" t="str">
        <x:v>TR-B</x:v>
      </x:c>
      <x:c r="C41" s="16" t="str">
        <x:v>RESERVE</x:v>
      </x:c>
      <x:c r="D41" s="16" t="n">
        <x:v>600</x:v>
      </x:c>
      <x:c r="E41" s="16" t="n">
        <x:v>500</x:v>
      </x:c>
      <x:c r="F41" s="16" t="str">
        <x:v>DORMANT</x:v>
      </x:c>
      <x:c r="G41" s="38"/>
      <x:c r="H41" s="38"/>
    </x:row>
    <x:row r="42">
      <x:c r="A42" s="16" t="str">
        <x:v>P-RES-11</x:v>
      </x:c>
      <x:c r="B42" s="16" t="str">
        <x:v>TR-B</x:v>
      </x:c>
      <x:c r="C42" s="16" t="str">
        <x:v>RESERVE</x:v>
      </x:c>
      <x:c r="D42" s="16" t="n">
        <x:v>600</x:v>
      </x:c>
      <x:c r="E42" s="16" t="n">
        <x:v>500</x:v>
      </x:c>
      <x:c r="F42" s="16" t="str">
        <x:v>DORMANT</x:v>
      </x:c>
      <x:c r="G42" s="38"/>
      <x:c r="H42" s="38"/>
    </x:row>
    <x:row r="43">
      <x:c r="A43" s="16" t="str">
        <x:v>P-RES-12</x:v>
      </x:c>
      <x:c r="B43" s="16" t="str">
        <x:v>TR-B</x:v>
      </x:c>
      <x:c r="C43" s="16" t="str">
        <x:v>RESERVE</x:v>
      </x:c>
      <x:c r="D43" s="16" t="n">
        <x:v>600</x:v>
      </x:c>
      <x:c r="E43" s="16" t="n">
        <x:v>500</x:v>
      </x:c>
      <x:c r="F43" s="16" t="str">
        <x:v>DORMANT</x:v>
      </x:c>
      <x:c r="G43" s="38"/>
      <x:c r="H43" s="38"/>
    </x:row>
    <x:row r="44">
      <x:c r="A44" s="16" t="str">
        <x:v>P-RES-13</x:v>
      </x:c>
      <x:c r="B44" s="16" t="str">
        <x:v>TR-B</x:v>
      </x:c>
      <x:c r="C44" s="16" t="str">
        <x:v>RESERVE</x:v>
      </x:c>
      <x:c r="D44" s="16" t="n">
        <x:v>600</x:v>
      </x:c>
      <x:c r="E44" s="16" t="n">
        <x:v>500</x:v>
      </x:c>
      <x:c r="F44" s="16" t="str">
        <x:v>DORMANT</x:v>
      </x:c>
      <x:c r="G44" s="38"/>
      <x:c r="H44" s="38"/>
    </x:row>
    <x:row r="45">
      <x:c r="A45" s="16" t="str">
        <x:v>P-RES-14</x:v>
      </x:c>
      <x:c r="B45" s="16" t="str">
        <x:v>TR-B</x:v>
      </x:c>
      <x:c r="C45" s="16" t="str">
        <x:v>RESERVE</x:v>
      </x:c>
      <x:c r="D45" s="16" t="n">
        <x:v>600</x:v>
      </x:c>
      <x:c r="E45" s="16" t="n">
        <x:v>500</x:v>
      </x:c>
      <x:c r="F45" s="16" t="str">
        <x:v>DORMANT</x:v>
      </x:c>
      <x:c r="G45" s="38"/>
      <x:c r="H45" s="38"/>
    </x:row>
    <x:row r="46">
      <x:c r="A46" s="16" t="str">
        <x:v>P-RES-15</x:v>
      </x:c>
      <x:c r="B46" s="16" t="str">
        <x:v>TR-B</x:v>
      </x:c>
      <x:c r="C46" s="16" t="str">
        <x:v>RESERVE</x:v>
      </x:c>
      <x:c r="D46" s="16" t="n">
        <x:v>600</x:v>
      </x:c>
      <x:c r="E46" s="16" t="n">
        <x:v>500</x:v>
      </x:c>
      <x:c r="F46" s="16" t="str">
        <x:v>DORMANT</x:v>
      </x:c>
      <x:c r="G46" s="38"/>
      <x:c r="H46" s="38"/>
    </x:row>
    <x:row r="47">
      <x:c r="A47" s="16" t="str">
        <x:v>P-RES-16</x:v>
      </x:c>
      <x:c r="B47" s="16" t="str">
        <x:v>TR-B</x:v>
      </x:c>
      <x:c r="C47" s="16" t="str">
        <x:v>RESERVE</x:v>
      </x:c>
      <x:c r="D47" s="16" t="n">
        <x:v>600</x:v>
      </x:c>
      <x:c r="E47" s="16" t="n">
        <x:v>500</x:v>
      </x:c>
      <x:c r="F47" s="16" t="str">
        <x:v>DORMANT</x:v>
      </x:c>
      <x:c r="G47" s="38"/>
      <x:c r="H47" s="38"/>
    </x:row>
    <x:row r="48">
      <x:c r="A48" s="16" t="str">
        <x:v>P-REF-01</x:v>
      </x:c>
      <x:c r="B48" s="16" t="str">
        <x:v>TR-A</x:v>
      </x:c>
      <x:c r="C48" s="16" t="str">
        <x:v>FORENSIC</x:v>
      </x:c>
      <x:c r="D48" s="16" t="n">
        <x:v>600</x:v>
      </x:c>
      <x:c r="E48" s="16" t="n">
        <x:v>0</x:v>
      </x:c>
      <x:c r="F48" s="16" t="str">
        <x:v>NO TOKEN</x:v>
      </x:c>
      <x:c r="G48" s="38"/>
      <x:c r="H48" s="38"/>
    </x:row>
    <x:row r="49">
      <x:c r="A49" s="16" t="str">
        <x:v>P-REF-02</x:v>
      </x:c>
      <x:c r="B49" s="16" t="str">
        <x:v>TR-B</x:v>
      </x:c>
      <x:c r="C49" s="16" t="str">
        <x:v>FORENSIC</x:v>
      </x:c>
      <x:c r="D49" s="16" t="n">
        <x:v>600</x:v>
      </x:c>
      <x:c r="E49" s="16" t="n">
        <x:v>0</x:v>
      </x:c>
      <x:c r="F49" s="16" t="str">
        <x:v>NO TOKEN</x:v>
      </x:c>
      <x:c r="G49" s="38"/>
      <x:c r="H49" s="38"/>
    </x:row>
  </x:sheetData>
  <x:mergeCells>
    <x:mergeCell ref="A1:H1"/>
    <x:mergeCell ref="A10:H10"/>
    <x:mergeCell ref="A18:H18"/>
  </x:mergeCells>
  <x:pageMargins left="0.7" right="0.7" top="0.75" bottom="0.75" header="0.3" footer="0.3"/>
  <x:tableParts count="1">
    <x:tablePart xmlns:r="http://schemas.openxmlformats.org/officeDocument/2006/relationships" r:id="R1a9e5b84139742a4"/>
  </x:tableParts>
</x:worksheet>
</file>

<file path=xl/worksheets/sheet9.xml><?xml version="1.0" encoding="utf-8"?>
<x:worksheet xmlns:x="http://schemas.openxmlformats.org/spreadsheetml/2006/main">
  <x:sheetPr>
    <x:tabColor rgb="FF1E3A5F"/>
  </x:sheetPr>
  <x:sheetViews>
    <x:sheetView showGridLines="0" workbookViewId="0"/>
  </x:sheetViews>
  <x:sheetFormatPr defaultRowHeight="15"/>
  <x:cols>
    <x:col min="1" max="1" width="21" hidden="0" customWidth="1"/>
    <x:col min="2" max="2" width="24" hidden="0" customWidth="1"/>
    <x:col min="3" max="3" width="18" hidden="0" customWidth="1"/>
    <x:col min="4" max="4" width="19" hidden="0" customWidth="1"/>
    <x:col min="5" max="5" width="19" hidden="0" customWidth="1"/>
    <x:col min="6" max="6" width="18" hidden="0" customWidth="1"/>
    <x:col min="7" max="7" width="15" hidden="0" customWidth="1"/>
  </x:cols>
  <x:sheetData>
    <x:row r="1" ht="27" customHeight="1">
      <x:c r="A1" s="3" t="str">
        <x:v>Future class reserve capacity</x:v>
      </x:c>
      <x:c r="B1" s="3" t="str">
        <x:v>Future class reserve capacity</x:v>
      </x:c>
      <x:c r="C1" s="3" t="str">
        <x:v>Future class reserve capacity</x:v>
      </x:c>
      <x:c r="D1" s="3" t="str">
        <x:v>Future class reserve capacity</x:v>
      </x:c>
      <x:c r="E1" s="3" t="str">
        <x:v>Future class reserve capacity</x:v>
      </x:c>
      <x:c r="F1" s="3" t="str">
        <x:v>Future class reserve capacity</x:v>
      </x:c>
      <x:c r="G1" s="3" t="str">
        <x:v>Future class reserve capacity</x:v>
      </x:c>
    </x:row>
    <x:row r="2">
      <x:c r="A2" s="60"/>
      <x:c r="B2" s="60"/>
      <x:c r="C2" s="60"/>
      <x:c r="D2" s="60"/>
      <x:c r="E2" s="60"/>
      <x:c r="F2" s="60"/>
      <x:c r="G2" s="60"/>
    </x:row>
    <x:row r="3">
      <x:c r="A3" s="61" t="str">
        <x:v>Conditional on one accepted seed. Family requirements are five and six remaining credits. Probabilities are planning capacity, not reliability claims.</x:v>
      </x:c>
      <x:c r="B3" s="60"/>
      <x:c r="C3" s="60"/>
      <x:c r="D3" s="60"/>
      <x:c r="E3" s="60"/>
      <x:c r="F3" s="60"/>
      <x:c r="G3" s="60"/>
    </x:row>
    <x:row r="4">
      <x:c r="A4" s="60"/>
      <x:c r="B4" s="60"/>
      <x:c r="C4" s="60"/>
      <x:c r="D4" s="60"/>
      <x:c r="E4" s="60"/>
      <x:c r="F4" s="60"/>
      <x:c r="G4" s="60"/>
    </x:row>
    <x:row r="5">
      <x:c r="A5" s="34" t="str">
        <x:v>Reserves per family</x:v>
      </x:c>
      <x:c r="B5" s="35" t="str">
        <x:v>Packages incl. references</x:v>
      </x:c>
      <x:c r="C5" s="35" t="str">
        <x:v>Maximum attempts</x:v>
      </x:c>
      <x:c r="D5" s="35" t="str">
        <x:v>Family 5 capacity</x:v>
      </x:c>
      <x:c r="E5" s="35" t="str">
        <x:v>Family 6 capacity</x:v>
      </x:c>
      <x:c r="F5" s="35" t="str">
        <x:v>Joint capacity</x:v>
      </x:c>
      <x:c r="G5" s="36" t="str">
        <x:v>Meets 95%</x:v>
      </x:c>
    </x:row>
    <x:row r="6">
      <x:c r="A6" s="16" t="n">
        <x:v>5</x:v>
      </x:c>
      <x:c r="B6" s="16" t="n">
        <x:v>24</x:v>
      </x:c>
      <x:c r="C6" s="16" t="n">
        <x:v>22</x:v>
      </x:c>
      <x:c r="D6" s="50" t="n">
        <x:f>COMBIN(4,0)*'Assumptions'!$B$33^5*(1-'Assumptions'!$B$33)^0+COMBIN(5,1)*'Assumptions'!$B$33^5*(1-'Assumptions'!$B$33)^1+COMBIN(6,2)*'Assumptions'!$B$33^5*(1-'Assumptions'!$B$33)^2+COMBIN(7,3)*'Assumptions'!$B$33^5*(1-'Assumptions'!$B$33)^3+COMBIN(8,4)*'Assumptions'!$B$33^5*(1-'Assumptions'!$B$33)^4+COMBIN(9,5)*'Assumptions'!$B$33^5*(1-'Assumptions'!$B$33)^5</x:f>
        <x:v>0.9050659198267579</x:v>
      </x:c>
      <x:c r="E6" s="50" t="n">
        <x:f>COMBIN(5,0)*'Assumptions'!$B$33^6*(1-'Assumptions'!$B$33)^0+COMBIN(6,1)*'Assumptions'!$B$33^6*(1-'Assumptions'!$B$33)^1+COMBIN(7,2)*'Assumptions'!$B$33^6*(1-'Assumptions'!$B$33)^2+COMBIN(8,3)*'Assumptions'!$B$33^6*(1-'Assumptions'!$B$33)^3+COMBIN(9,4)*'Assumptions'!$B$33^6*(1-'Assumptions'!$B$33)^4+COMBIN(10,5)*'Assumptions'!$B$33^6*(1-'Assumptions'!$B$33)^5</x:f>
        <x:v>0.8513162760788867</x:v>
      </x:c>
      <x:c r="F6" s="50" t="n">
        <x:f>D6*E6</x:f>
        <x:v>0.7704973484728278</x:v>
      </x:c>
      <x:c r="G6" s="16" t="str">
        <x:f>IF(F6&gt;='Assumptions'!$B$34,"YES","NO")</x:f>
        <x:v>NO</x:v>
      </x:c>
    </x:row>
    <x:row r="7">
      <x:c r="A7" s="16" t="n">
        <x:v>6</x:v>
      </x:c>
      <x:c r="B7" s="16" t="n">
        <x:v>26</x:v>
      </x:c>
      <x:c r="C7" s="16" t="n">
        <x:v>24</x:v>
      </x:c>
      <x:c r="D7" s="50" t="n">
        <x:f>COMBIN(4,0)*'Assumptions'!$B$33^5*(1-'Assumptions'!$B$33)^0+COMBIN(5,1)*'Assumptions'!$B$33^5*(1-'Assumptions'!$B$33)^1+COMBIN(6,2)*'Assumptions'!$B$33^5*(1-'Assumptions'!$B$33)^2+COMBIN(7,3)*'Assumptions'!$B$33^5*(1-'Assumptions'!$B$33)^3+COMBIN(8,4)*'Assumptions'!$B$33^5*(1-'Assumptions'!$B$33)^4+COMBIN(9,5)*'Assumptions'!$B$33^5*(1-'Assumptions'!$B$33)^5+COMBIN(10,6)*'Assumptions'!$B$33^5*(1-'Assumptions'!$B$33)^6</x:f>
        <x:v>0.9498572896166504</x:v>
      </x:c>
      <x:c r="E7" s="50" t="n">
        <x:f>COMBIN(5,0)*'Assumptions'!$B$33^6*(1-'Assumptions'!$B$33)^0+COMBIN(6,1)*'Assumptions'!$B$33^6*(1-'Assumptions'!$B$33)^1+COMBIN(7,2)*'Assumptions'!$B$33^6*(1-'Assumptions'!$B$33)^2+COMBIN(8,3)*'Assumptions'!$B$33^6*(1-'Assumptions'!$B$33)^3+COMBIN(9,4)*'Assumptions'!$B$33^6*(1-'Assumptions'!$B$33)^4+COMBIN(10,5)*'Assumptions'!$B$33^6*(1-'Assumptions'!$B$33)^5+COMBIN(11,6)*'Assumptions'!$B$33^6*(1-'Assumptions'!$B$33)^6</x:f>
        <x:v>0.915367934878433</x:v>
      </x:c>
      <x:c r="F7" s="50" t="n">
        <x:f>D7*E7</x:f>
        <x:v>0.869468905625619</x:v>
      </x:c>
      <x:c r="G7" s="16" t="str">
        <x:f>IF(F7&gt;='Assumptions'!$B$34,"YES","NO")</x:f>
        <x:v>NO</x:v>
      </x:c>
    </x:row>
    <x:row r="8">
      <x:c r="A8" s="16" t="n">
        <x:v>7</x:v>
      </x:c>
      <x:c r="B8" s="16" t="n">
        <x:v>28</x:v>
      </x:c>
      <x:c r="C8" s="16" t="n">
        <x:v>26</x:v>
      </x:c>
      <x:c r="D8" s="50" t="n">
        <x:f>COMBIN(4,0)*'Assumptions'!$B$33^5*(1-'Assumptions'!$B$33)^0+COMBIN(5,1)*'Assumptions'!$B$33^5*(1-'Assumptions'!$B$33)^1+COMBIN(6,2)*'Assumptions'!$B$33^5*(1-'Assumptions'!$B$33)^2+COMBIN(7,3)*'Assumptions'!$B$33^5*(1-'Assumptions'!$B$33)^3+COMBIN(8,4)*'Assumptions'!$B$33^5*(1-'Assumptions'!$B$33)^4+COMBIN(9,5)*'Assumptions'!$B$33^5*(1-'Assumptions'!$B$33)^5+COMBIN(10,6)*'Assumptions'!$B$33^5*(1-'Assumptions'!$B$33)^6+COMBIN(11,7)*'Assumptions'!$B$33^5*(1-'Assumptions'!$B$33)^7</x:f>
        <x:v>0.9744925430010913</x:v>
      </x:c>
      <x:c r="E8" s="50" t="n">
        <x:f>COMBIN(5,0)*'Assumptions'!$B$33^6*(1-'Assumptions'!$B$33)^0+COMBIN(6,1)*'Assumptions'!$B$33^6*(1-'Assumptions'!$B$33)^1+COMBIN(7,2)*'Assumptions'!$B$33^6*(1-'Assumptions'!$B$33)^2+COMBIN(8,3)*'Assumptions'!$B$33^6*(1-'Assumptions'!$B$33)^3+COMBIN(9,4)*'Assumptions'!$B$33^6*(1-'Assumptions'!$B$33)^4+COMBIN(10,5)*'Assumptions'!$B$33^6*(1-'Assumptions'!$B$33)^5+COMBIN(11,6)*'Assumptions'!$B$33^6*(1-'Assumptions'!$B$33)^6+COMBIN(12,7)*'Assumptions'!$B$33^6*(1-'Assumptions'!$B$33)^7</x:f>
        <x:v>0.9537989301581609</x:v>
      </x:c>
      <x:c r="F8" s="50" t="n">
        <x:f>D8*E8</x:f>
        <x:v>0.9294699449615464</x:v>
      </x:c>
      <x:c r="G8" s="16" t="str">
        <x:f>IF(F8&gt;='Assumptions'!$B$34,"YES","NO")</x:f>
        <x:v>NO</x:v>
      </x:c>
    </x:row>
    <x:row r="9">
      <x:c r="A9" s="16" t="n">
        <x:v>8</x:v>
      </x:c>
      <x:c r="B9" s="16" t="n">
        <x:v>30</x:v>
      </x:c>
      <x:c r="C9" s="16" t="n">
        <x:v>28</x:v>
      </x:c>
      <x:c r="D9" s="50" t="n">
        <x:f>COMBIN(4,0)*'Assumptions'!$B$33^5*(1-'Assumptions'!$B$33)^0+COMBIN(5,1)*'Assumptions'!$B$33^5*(1-'Assumptions'!$B$33)^1+COMBIN(6,2)*'Assumptions'!$B$33^5*(1-'Assumptions'!$B$33)^2+COMBIN(7,3)*'Assumptions'!$B$33^5*(1-'Assumptions'!$B$33)^3+COMBIN(8,4)*'Assumptions'!$B$33^5*(1-'Assumptions'!$B$33)^4+COMBIN(9,5)*'Assumptions'!$B$33^5*(1-'Assumptions'!$B$33)^5+COMBIN(10,6)*'Assumptions'!$B$33^5*(1-'Assumptions'!$B$33)^6+COMBIN(11,7)*'Assumptions'!$B$33^5*(1-'Assumptions'!$B$33)^7+COMBIN(12,8)*'Assumptions'!$B$33^5*(1-'Assumptions'!$B$33)^8</x:f>
        <x:v>0.9874260510279228</x:v>
      </x:c>
      <x:c r="E9" s="50" t="n">
        <x:f>COMBIN(5,0)*'Assumptions'!$B$33^6*(1-'Assumptions'!$B$33)^0+COMBIN(6,1)*'Assumptions'!$B$33^6*(1-'Assumptions'!$B$33)^1+COMBIN(7,2)*'Assumptions'!$B$33^6*(1-'Assumptions'!$B$33)^2+COMBIN(8,3)*'Assumptions'!$B$33^6*(1-'Assumptions'!$B$33)^3+COMBIN(9,4)*'Assumptions'!$B$33^6*(1-'Assumptions'!$B$33)^4+COMBIN(10,5)*'Assumptions'!$B$33^6*(1-'Assumptions'!$B$33)^5+COMBIN(11,6)*'Assumptions'!$B$33^6*(1-'Assumptions'!$B$33)^6+COMBIN(12,7)*'Assumptions'!$B$33^6*(1-'Assumptions'!$B$33)^7+COMBIN(13,8)*'Assumptions'!$B$33^6*(1-'Assumptions'!$B$33)^8</x:f>
        <x:v>0.9756565587235061</x:v>
      </x:c>
      <x:c r="F9" s="50" t="n">
        <x:f>D9*E9</x:f>
        <x:v>0.9633887029398442</x:v>
      </x:c>
      <x:c r="G9" s="16" t="str">
        <x:f>IF(F9&gt;='Assumptions'!$B$34,"YES","NO")</x:f>
        <x:v>YES</x:v>
      </x:c>
    </x:row>
    <x:row r="10">
      <x:c r="A10" s="16" t="n">
        <x:v>9</x:v>
      </x:c>
      <x:c r="B10" s="16" t="n">
        <x:v>32</x:v>
      </x:c>
      <x:c r="C10" s="16" t="n">
        <x:v>30</x:v>
      </x:c>
      <x:c r="D10" s="50" t="n">
        <x:f>COMBIN(4,0)*'Assumptions'!$B$33^5*(1-'Assumptions'!$B$33)^0+COMBIN(5,1)*'Assumptions'!$B$33^5*(1-'Assumptions'!$B$33)^1+COMBIN(6,2)*'Assumptions'!$B$33^5*(1-'Assumptions'!$B$33)^2+COMBIN(7,3)*'Assumptions'!$B$33^5*(1-'Assumptions'!$B$33)^3+COMBIN(8,4)*'Assumptions'!$B$33^5*(1-'Assumptions'!$B$33)^4+COMBIN(9,5)*'Assumptions'!$B$33^5*(1-'Assumptions'!$B$33)^5+COMBIN(10,6)*'Assumptions'!$B$33^5*(1-'Assumptions'!$B$33)^6+COMBIN(11,7)*'Assumptions'!$B$33^5*(1-'Assumptions'!$B$33)^7+COMBIN(12,8)*'Assumptions'!$B$33^5*(1-'Assumptions'!$B$33)^8+COMBIN(13,9)*'Assumptions'!$B$33^5*(1-'Assumptions'!$B$33)^9</x:f>
        <x:v>0.9939646578637098</x:v>
      </x:c>
      <x:c r="E10" s="50" t="n">
        <x:f>COMBIN(5,0)*'Assumptions'!$B$33^6*(1-'Assumptions'!$B$33)^0+COMBIN(6,1)*'Assumptions'!$B$33^6*(1-'Assumptions'!$B$33)^1+COMBIN(7,2)*'Assumptions'!$B$33^6*(1-'Assumptions'!$B$33)^2+COMBIN(8,3)*'Assumptions'!$B$33^6*(1-'Assumptions'!$B$33)^3+COMBIN(9,4)*'Assumptions'!$B$33^6*(1-'Assumptions'!$B$33)^4+COMBIN(10,5)*'Assumptions'!$B$33^6*(1-'Assumptions'!$B$33)^5+COMBIN(11,6)*'Assumptions'!$B$33^6*(1-'Assumptions'!$B$33)^6+COMBIN(12,7)*'Assumptions'!$B$33^6*(1-'Assumptions'!$B$33)^7+COMBIN(13,8)*'Assumptions'!$B$33^6*(1-'Assumptions'!$B$33)^8+COMBIN(14,9)*'Assumptions'!$B$33^6*(1-'Assumptions'!$B$33)^9</x:f>
        <x:v>0.9875568231646384</x:v>
      </x:c>
      <x:c r="F10" s="50" t="n">
        <x:f>D10*E10</x:f>
        <x:v>0.981596579857812</x:v>
      </x:c>
      <x:c r="G10" s="16" t="str">
        <x:f>IF(F10&gt;='Assumptions'!$B$34,"YES","NO")</x:f>
        <x:v>YES</x:v>
      </x:c>
    </x:row>
    <x:row r="11">
      <x:c r="A11" s="16"/>
      <x:c r="B11" s="16"/>
      <x:c r="C11" s="16"/>
      <x:c r="D11" s="16"/>
      <x:c r="E11" s="16"/>
      <x:c r="F11" s="16"/>
      <x:c r="G11" s="16"/>
    </x:row>
    <x:row r="12">
      <x:c r="A12" s="16"/>
      <x:c r="B12" s="16"/>
      <x:c r="C12" s="16"/>
      <x:c r="D12" s="16"/>
      <x:c r="E12" s="16"/>
      <x:c r="F12" s="16"/>
      <x:c r="G12" s="16"/>
    </x:row>
    <x:row r="13">
      <x:c r="A13" s="12" t="str">
        <x:v>Selected topology</x:v>
      </x:c>
      <x:c r="B13" s="13" t="str">
        <x:v>Selected topology</x:v>
      </x:c>
      <x:c r="C13" s="13" t="str">
        <x:v>Selected topology</x:v>
      </x:c>
      <x:c r="D13" s="13" t="str">
        <x:v>Selected topology</x:v>
      </x:c>
      <x:c r="E13" s="13" t="str">
        <x:v>Selected topology</x:v>
      </x:c>
      <x:c r="F13" s="13" t="str">
        <x:v>Selected topology</x:v>
      </x:c>
      <x:c r="G13" s="14" t="str">
        <x:v>Selected topology</x:v>
      </x:c>
    </x:row>
    <x:row r="14">
      <x:c r="A14" s="16" t="str">
        <x:v>Selected reserves per family</x:v>
      </x:c>
      <x:c r="B14" s="16" t="n">
        <x:v>8</x:v>
      </x:c>
      <x:c r="C14" s="16"/>
      <x:c r="D14" s="16"/>
      <x:c r="E14" s="16"/>
      <x:c r="F14" s="16"/>
      <x:c r="G14" s="16"/>
    </x:row>
    <x:row r="15">
      <x:c r="A15" s="16" t="str">
        <x:v>Selected packages</x:v>
      </x:c>
      <x:c r="B15" s="16" t="n">
        <x:v>30</x:v>
      </x:c>
      <x:c r="C15" s="16"/>
      <x:c r="D15" s="16"/>
      <x:c r="E15" s="16"/>
      <x:c r="F15" s="16"/>
      <x:c r="G15" s="16"/>
    </x:row>
    <x:row r="16">
      <x:c r="A16" s="16" t="str">
        <x:v>Joint capacity</x:v>
      </x:c>
      <x:c r="B16" s="50" t="n">
        <x:f>F9</x:f>
        <x:v>0.9633887029398442</x:v>
      </x:c>
      <x:c r="C16" s="16"/>
      <x:c r="D16" s="16"/>
      <x:c r="E16" s="16"/>
      <x:c r="F16" s="16"/>
      <x:c r="G16" s="16"/>
    </x:row>
    <x:row r="17">
      <x:c r="A17" s="16" t="str">
        <x:v>Minimum topology above requirement</x:v>
      </x:c>
      <x:c r="B17" s="16" t="str">
        <x:f>IF(AND(G9="YES",G8="NO"),"YES","NO")</x:f>
        <x:v>YES</x:v>
      </x:c>
      <x:c r="C17" s="16"/>
      <x:c r="D17" s="16"/>
      <x:c r="E17" s="16"/>
      <x:c r="F17" s="16"/>
      <x:c r="G17" s="16"/>
    </x:row>
  </x:sheetData>
  <x:mergeCells>
    <x:mergeCell ref="A1:G1"/>
    <x:mergeCell ref="A13:G13"/>
  </x:mergeCells>
  <x:pageMargins left="0.7" right="0.7" top="0.75" bottom="0.75" header="0.3" footer="0.3"/>
  <x:tableParts count="1">
    <x:tablePart xmlns:r="http://schemas.openxmlformats.org/officeDocument/2006/relationships" r:id="R8be680f83a864f3d"/>
  </x:tableParts>
</x:worksheet>
</file>

<file path=xl/worksheets/sheet10.xml><?xml version="1.0" encoding="utf-8"?>
<x:worksheet xmlns:x="http://schemas.openxmlformats.org/spreadsheetml/2006/main">
  <x:sheetPr>
    <x:tabColor rgb="FFDDEBF7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6" hidden="0" customWidth="1"/>
    <x:col min="2" max="2" width="12" hidden="0" customWidth="1"/>
    <x:col min="3" max="3" width="12" hidden="0" customWidth="1"/>
    <x:col min="4" max="4" width="12" hidden="0" customWidth="1"/>
    <x:col min="5" max="5" width="17" hidden="0" customWidth="1"/>
    <x:col min="6" max="6" width="22" hidden="0" customWidth="1"/>
    <x:col min="7" max="7" width="19" hidden="0" customWidth="1"/>
    <x:col min="8" max="8" width="18" hidden="0" customWidth="1"/>
    <x:col min="9" max="9" width="19" hidden="0" customWidth="1"/>
    <x:col min="10" max="10" width="16" hidden="0" customWidth="1"/>
  </x:cols>
  <x:sheetData>
    <x:row r="1" ht="27" customHeight="1">
      <x:c r="A1" s="3" t="str">
        <x:v>Exact cell eligibility and public draw</x:v>
      </x:c>
      <x:c r="B1" s="3" t="str">
        <x:v>Exact cell eligibility and public draw</x:v>
      </x:c>
      <x:c r="C1" s="3" t="str">
        <x:v>Exact cell eligibility and public draw</x:v>
      </x:c>
      <x:c r="D1" s="3" t="str">
        <x:v>Exact cell eligibility and public draw</x:v>
      </x:c>
      <x:c r="E1" s="3" t="str">
        <x:v>Exact cell eligibility and public draw</x:v>
      </x:c>
      <x:c r="F1" s="3" t="str">
        <x:v>Exact cell eligibility and public draw</x:v>
      </x:c>
      <x:c r="G1" s="3" t="str">
        <x:v>Exact cell eligibility and public draw</x:v>
      </x:c>
      <x:c r="H1" s="3" t="str">
        <x:v>Exact cell eligibility and public draw</x:v>
      </x:c>
      <x:c r="I1" s="3" t="str">
        <x:v>Exact cell eligibility and public draw</x:v>
      </x:c>
      <x:c r="J1" s="3" t="str">
        <x:v>Exact cell eligibility and public draw</x:v>
      </x:c>
    </x:row>
    <x:row r="2">
      <x:c r="A2" s="60"/>
      <x:c r="B2" s="60"/>
      <x:c r="C2" s="60"/>
      <x:c r="D2" s="60"/>
      <x:c r="E2" s="60"/>
      <x:c r="F2" s="60"/>
      <x:c r="G2" s="60"/>
      <x:c r="H2" s="60"/>
      <x:c r="I2" s="60"/>
      <x:c r="J2" s="60"/>
    </x:row>
    <x:row r="3">
      <x:c r="A3" s="16" t="str">
        <x:v>Required eligible cells</x:v>
      </x:c>
      <x:c r="B3" s="16" t="n">
        <x:v>8</x:v>
      </x:c>
      <x:c r="C3" s="16"/>
      <x:c r="D3" s="47" t="str">
        <x:v>Twenty-four rows preserve primary and replacement identity. A replacement can activate only after independent invalidity of the matching primary.</x:v>
      </x:c>
      <x:c r="E3" s="16"/>
      <x:c r="F3" s="16"/>
      <x:c r="G3" s="16"/>
      <x:c r="H3" s="16"/>
      <x:c r="I3" s="16"/>
      <x:c r="J3" s="16"/>
    </x:row>
    <x:row r="4">
      <x:c r="A4" s="16" t="str">
        <x:v>Eligible cells</x:v>
      </x:c>
      <x:c r="B4" s="16" t="n">
        <x:f>COUNTIFS(J8:J31,"ELIGIBLE")</x:f>
        <x:v>0</x:v>
      </x:c>
      <x:c r="C4" s="16"/>
      <x:c r="D4" s="16"/>
      <x:c r="E4" s="16"/>
      <x:c r="F4" s="16"/>
      <x:c r="G4" s="16"/>
      <x:c r="H4" s="16"/>
      <x:c r="I4" s="16"/>
      <x:c r="J4" s="16"/>
    </x:row>
    <x:row r="5">
      <x:c r="A5" s="16" t="str">
        <x:v>Issue state</x:v>
      </x:c>
      <x:c r="B5" s="16" t="str">
        <x:f>IF(B4&lt;8,"OPEN",IF(COUNTIFS(J8:J31,"SELECTED")=1,"ISSUE-ONE","DRAW OPEN"))</x:f>
        <x:v>OPEN</x:v>
      </x:c>
      <x:c r="C5" s="16"/>
      <x:c r="D5" s="16"/>
      <x:c r="E5" s="16"/>
      <x:c r="F5" s="16"/>
      <x:c r="G5" s="16"/>
      <x:c r="H5" s="16"/>
      <x:c r="I5" s="16"/>
      <x:c r="J5" s="16"/>
    </x:row>
    <x:row r="6">
      <x:c r="A6" s="16"/>
      <x:c r="B6" s="16"/>
      <x:c r="C6" s="16"/>
      <x:c r="D6" s="16"/>
      <x:c r="E6" s="16"/>
      <x:c r="F6" s="16"/>
      <x:c r="G6" s="16"/>
      <x:c r="H6" s="16"/>
      <x:c r="I6" s="16"/>
      <x:c r="J6" s="16"/>
    </x:row>
    <x:row r="7">
      <x:c r="A7" s="40" t="str">
        <x:v>Cell ID</x:v>
      </x:c>
      <x:c r="B7" s="42" t="str">
        <x:v>Rig</x:v>
      </x:c>
      <x:c r="C7" s="42" t="str">
        <x:v>Campus</x:v>
      </x:c>
      <x:c r="D7" s="42" t="str">
        <x:v>Root</x:v>
      </x:c>
      <x:c r="E7" s="42" t="str">
        <x:v>Attempt role</x:v>
      </x:c>
      <x:c r="F7" s="42" t="str">
        <x:v>Architecture admitted</x:v>
      </x:c>
      <x:c r="G7" s="42" t="str">
        <x:v>Receiver eligible</x:v>
      </x:c>
      <x:c r="H7" s="42" t="str">
        <x:v>48 gates closed</x:v>
      </x:c>
      <x:c r="I7" s="42" t="str">
        <x:v>Package accepted</x:v>
      </x:c>
      <x:c r="J7" s="41" t="str">
        <x:v>State</x:v>
      </x:c>
    </x:row>
    <x:row r="8">
      <x:c r="A8" s="16" t="str">
        <x:v>CELL-01</x:v>
      </x:c>
      <x:c r="B8" s="16" t="str">
        <x:v>RIG-1</x:v>
      </x:c>
      <x:c r="C8" s="16" t="str">
        <x:v>C-1</x:v>
      </x:c>
      <x:c r="D8" s="16" t="str">
        <x:v>TR-A</x:v>
      </x:c>
      <x:c r="E8" s="16" t="str">
        <x:v>PRIMARY</x:v>
      </x:c>
      <x:c r="F8" s="38"/>
      <x:c r="G8" s="38"/>
      <x:c r="H8" s="38"/>
      <x:c r="I8" s="38"/>
      <x:c r="J8" s="16" t="str">
        <x:f>IF(COUNTA(F8:I8)&lt;4,"OPEN",IF(AND(F8="YES",G8="YES",H8="YES",I8="YES"),"ELIGIBLE","DENY"))</x:f>
        <x:v>OPEN</x:v>
      </x:c>
    </x:row>
    <x:row r="9">
      <x:c r="A9" s="16" t="str">
        <x:v>CELL-02</x:v>
      </x:c>
      <x:c r="B9" s="16" t="str">
        <x:v>RIG-1</x:v>
      </x:c>
      <x:c r="C9" s="16" t="str">
        <x:v>C-1</x:v>
      </x:c>
      <x:c r="D9" s="16" t="str">
        <x:v>TR-B</x:v>
      </x:c>
      <x:c r="E9" s="16" t="str">
        <x:v>PRIMARY</x:v>
      </x:c>
      <x:c r="F9" s="38"/>
      <x:c r="G9" s="38"/>
      <x:c r="H9" s="38"/>
      <x:c r="I9" s="38"/>
      <x:c r="J9" s="16" t="str">
        <x:f>IF(COUNTA(F9:I9)&lt;4,"OPEN",IF(AND(F9="YES",G9="YES",H9="YES",I9="YES"),"ELIGIBLE","DENY"))</x:f>
        <x:v>OPEN</x:v>
      </x:c>
    </x:row>
    <x:row r="10">
      <x:c r="A10" s="16" t="str">
        <x:v>CELL-03</x:v>
      </x:c>
      <x:c r="B10" s="16" t="str">
        <x:v>RIG-2</x:v>
      </x:c>
      <x:c r="C10" s="16" t="str">
        <x:v>C-1</x:v>
      </x:c>
      <x:c r="D10" s="16" t="str">
        <x:v>TR-A</x:v>
      </x:c>
      <x:c r="E10" s="16" t="str">
        <x:v>PRIMARY</x:v>
      </x:c>
      <x:c r="F10" s="38"/>
      <x:c r="G10" s="38"/>
      <x:c r="H10" s="38"/>
      <x:c r="I10" s="38"/>
      <x:c r="J10" s="16" t="str">
        <x:f>IF(COUNTA(F10:I10)&lt;4,"OPEN",IF(AND(F10="YES",G10="YES",H10="YES",I10="YES"),"ELIGIBLE","DENY"))</x:f>
        <x:v>OPEN</x:v>
      </x:c>
    </x:row>
    <x:row r="11">
      <x:c r="A11" s="16" t="str">
        <x:v>CELL-04</x:v>
      </x:c>
      <x:c r="B11" s="16" t="str">
        <x:v>RIG-2</x:v>
      </x:c>
      <x:c r="C11" s="16" t="str">
        <x:v>C-1</x:v>
      </x:c>
      <x:c r="D11" s="16" t="str">
        <x:v>TR-B</x:v>
      </x:c>
      <x:c r="E11" s="16" t="str">
        <x:v>PRIMARY</x:v>
      </x:c>
      <x:c r="F11" s="38"/>
      <x:c r="G11" s="38"/>
      <x:c r="H11" s="38"/>
      <x:c r="I11" s="38"/>
      <x:c r="J11" s="16" t="str">
        <x:f>IF(COUNTA(F11:I11)&lt;4,"OPEN",IF(AND(F11="YES",G11="YES",H11="YES",I11="YES"),"ELIGIBLE","DENY"))</x:f>
        <x:v>OPEN</x:v>
      </x:c>
    </x:row>
    <x:row r="12">
      <x:c r="A12" s="16" t="str">
        <x:v>CELL-05</x:v>
      </x:c>
      <x:c r="B12" s="16" t="str">
        <x:v>RIG-3</x:v>
      </x:c>
      <x:c r="C12" s="16" t="str">
        <x:v>C-2</x:v>
      </x:c>
      <x:c r="D12" s="16" t="str">
        <x:v>TR-A</x:v>
      </x:c>
      <x:c r="E12" s="16" t="str">
        <x:v>PRIMARY</x:v>
      </x:c>
      <x:c r="F12" s="38"/>
      <x:c r="G12" s="38"/>
      <x:c r="H12" s="38"/>
      <x:c r="I12" s="38"/>
      <x:c r="J12" s="16" t="str">
        <x:f>IF(COUNTA(F12:I12)&lt;4,"OPEN",IF(AND(F12="YES",G12="YES",H12="YES",I12="YES"),"ELIGIBLE","DENY"))</x:f>
        <x:v>OPEN</x:v>
      </x:c>
    </x:row>
    <x:row r="13">
      <x:c r="A13" s="16" t="str">
        <x:v>CELL-06</x:v>
      </x:c>
      <x:c r="B13" s="16" t="str">
        <x:v>RIG-3</x:v>
      </x:c>
      <x:c r="C13" s="16" t="str">
        <x:v>C-2</x:v>
      </x:c>
      <x:c r="D13" s="16" t="str">
        <x:v>TR-B</x:v>
      </x:c>
      <x:c r="E13" s="16" t="str">
        <x:v>PRIMARY</x:v>
      </x:c>
      <x:c r="F13" s="38"/>
      <x:c r="G13" s="38"/>
      <x:c r="H13" s="38"/>
      <x:c r="I13" s="38"/>
      <x:c r="J13" s="16" t="str">
        <x:f>IF(COUNTA(F13:I13)&lt;4,"OPEN",IF(AND(F13="YES",G13="YES",H13="YES",I13="YES"),"ELIGIBLE","DENY"))</x:f>
        <x:v>OPEN</x:v>
      </x:c>
    </x:row>
    <x:row r="14">
      <x:c r="A14" s="16" t="str">
        <x:v>CELL-07</x:v>
      </x:c>
      <x:c r="B14" s="16" t="str">
        <x:v>RIG-4</x:v>
      </x:c>
      <x:c r="C14" s="16" t="str">
        <x:v>C-2</x:v>
      </x:c>
      <x:c r="D14" s="16" t="str">
        <x:v>TR-A</x:v>
      </x:c>
      <x:c r="E14" s="16" t="str">
        <x:v>PRIMARY</x:v>
      </x:c>
      <x:c r="F14" s="38"/>
      <x:c r="G14" s="38"/>
      <x:c r="H14" s="38"/>
      <x:c r="I14" s="38"/>
      <x:c r="J14" s="16" t="str">
        <x:f>IF(COUNTA(F14:I14)&lt;4,"OPEN",IF(AND(F14="YES",G14="YES",H14="YES",I14="YES"),"ELIGIBLE","DENY"))</x:f>
        <x:v>OPEN</x:v>
      </x:c>
    </x:row>
    <x:row r="15">
      <x:c r="A15" s="16" t="str">
        <x:v>CELL-08</x:v>
      </x:c>
      <x:c r="B15" s="16" t="str">
        <x:v>RIG-4</x:v>
      </x:c>
      <x:c r="C15" s="16" t="str">
        <x:v>C-2</x:v>
      </x:c>
      <x:c r="D15" s="16" t="str">
        <x:v>TR-B</x:v>
      </x:c>
      <x:c r="E15" s="16" t="str">
        <x:v>PRIMARY</x:v>
      </x:c>
      <x:c r="F15" s="38"/>
      <x:c r="G15" s="38"/>
      <x:c r="H15" s="38"/>
      <x:c r="I15" s="38"/>
      <x:c r="J15" s="16" t="str">
        <x:f>IF(COUNTA(F15:I15)&lt;4,"OPEN",IF(AND(F15="YES",G15="YES",H15="YES",I15="YES"),"ELIGIBLE","DENY"))</x:f>
        <x:v>OPEN</x:v>
      </x:c>
    </x:row>
    <x:row r="16">
      <x:c r="A16" s="16" t="str">
        <x:v>CELL-09</x:v>
      </x:c>
      <x:c r="B16" s="16" t="str">
        <x:v>RIG-5</x:v>
      </x:c>
      <x:c r="C16" s="16" t="str">
        <x:v>C-3</x:v>
      </x:c>
      <x:c r="D16" s="16" t="str">
        <x:v>TR-A</x:v>
      </x:c>
      <x:c r="E16" s="16" t="str">
        <x:v>PRIMARY</x:v>
      </x:c>
      <x:c r="F16" s="38"/>
      <x:c r="G16" s="38"/>
      <x:c r="H16" s="38"/>
      <x:c r="I16" s="38"/>
      <x:c r="J16" s="16" t="str">
        <x:f>IF(COUNTA(F16:I16)&lt;4,"OPEN",IF(AND(F16="YES",G16="YES",H16="YES",I16="YES"),"ELIGIBLE","DENY"))</x:f>
        <x:v>OPEN</x:v>
      </x:c>
    </x:row>
    <x:row r="17">
      <x:c r="A17" s="16" t="str">
        <x:v>CELL-10</x:v>
      </x:c>
      <x:c r="B17" s="16" t="str">
        <x:v>RIG-5</x:v>
      </x:c>
      <x:c r="C17" s="16" t="str">
        <x:v>C-3</x:v>
      </x:c>
      <x:c r="D17" s="16" t="str">
        <x:v>TR-B</x:v>
      </x:c>
      <x:c r="E17" s="16" t="str">
        <x:v>PRIMARY</x:v>
      </x:c>
      <x:c r="F17" s="38"/>
      <x:c r="G17" s="38"/>
      <x:c r="H17" s="38"/>
      <x:c r="I17" s="38"/>
      <x:c r="J17" s="16" t="str">
        <x:f>IF(COUNTA(F17:I17)&lt;4,"OPEN",IF(AND(F17="YES",G17="YES",H17="YES",I17="YES"),"ELIGIBLE","DENY"))</x:f>
        <x:v>OPEN</x:v>
      </x:c>
    </x:row>
    <x:row r="18">
      <x:c r="A18" s="16" t="str">
        <x:v>CELL-11</x:v>
      </x:c>
      <x:c r="B18" s="16" t="str">
        <x:v>RIG-6</x:v>
      </x:c>
      <x:c r="C18" s="16" t="str">
        <x:v>C-3</x:v>
      </x:c>
      <x:c r="D18" s="16" t="str">
        <x:v>TR-A</x:v>
      </x:c>
      <x:c r="E18" s="16" t="str">
        <x:v>PRIMARY</x:v>
      </x:c>
      <x:c r="F18" s="38"/>
      <x:c r="G18" s="38"/>
      <x:c r="H18" s="38"/>
      <x:c r="I18" s="38"/>
      <x:c r="J18" s="16" t="str">
        <x:f>IF(COUNTA(F18:I18)&lt;4,"OPEN",IF(AND(F18="YES",G18="YES",H18="YES",I18="YES"),"ELIGIBLE","DENY"))</x:f>
        <x:v>OPEN</x:v>
      </x:c>
    </x:row>
    <x:row r="19">
      <x:c r="A19" s="16" t="str">
        <x:v>CELL-12</x:v>
      </x:c>
      <x:c r="B19" s="16" t="str">
        <x:v>RIG-6</x:v>
      </x:c>
      <x:c r="C19" s="16" t="str">
        <x:v>C-3</x:v>
      </x:c>
      <x:c r="D19" s="16" t="str">
        <x:v>TR-B</x:v>
      </x:c>
      <x:c r="E19" s="16" t="str">
        <x:v>PRIMARY</x:v>
      </x:c>
      <x:c r="F19" s="38"/>
      <x:c r="G19" s="38"/>
      <x:c r="H19" s="38"/>
      <x:c r="I19" s="38"/>
      <x:c r="J19" s="16" t="str">
        <x:f>IF(COUNTA(F19:I19)&lt;4,"OPEN",IF(AND(F19="YES",G19="YES",H19="YES",I19="YES"),"ELIGIBLE","DENY"))</x:f>
        <x:v>OPEN</x:v>
      </x:c>
    </x:row>
    <x:row r="20">
      <x:c r="A20" s="16" t="str">
        <x:v>CELL-01-R</x:v>
      </x:c>
      <x:c r="B20" s="16" t="str">
        <x:v>RIG-1</x:v>
      </x:c>
      <x:c r="C20" s="16" t="str">
        <x:v>C-1</x:v>
      </x:c>
      <x:c r="D20" s="16" t="str">
        <x:v>TR-A</x:v>
      </x:c>
      <x:c r="E20" s="16" t="str">
        <x:v>REPLACEMENT</x:v>
      </x:c>
      <x:c r="F20" s="38"/>
      <x:c r="G20" s="38"/>
      <x:c r="H20" s="38"/>
      <x:c r="I20" s="38"/>
      <x:c r="J20" s="16" t="str">
        <x:f>IF(COUNTA(F20:I20)&lt;4,"OPEN",IF(AND(F20="YES",G20="YES",H20="YES",I20="YES"),"ELIGIBLE","DENY"))</x:f>
        <x:v>OPEN</x:v>
      </x:c>
    </x:row>
    <x:row r="21">
      <x:c r="A21" s="16" t="str">
        <x:v>CELL-02-R</x:v>
      </x:c>
      <x:c r="B21" s="16" t="str">
        <x:v>RIG-1</x:v>
      </x:c>
      <x:c r="C21" s="16" t="str">
        <x:v>C-1</x:v>
      </x:c>
      <x:c r="D21" s="16" t="str">
        <x:v>TR-B</x:v>
      </x:c>
      <x:c r="E21" s="16" t="str">
        <x:v>REPLACEMENT</x:v>
      </x:c>
      <x:c r="F21" s="38"/>
      <x:c r="G21" s="38"/>
      <x:c r="H21" s="38"/>
      <x:c r="I21" s="38"/>
      <x:c r="J21" s="16" t="str">
        <x:f>IF(COUNTA(F21:I21)&lt;4,"OPEN",IF(AND(F21="YES",G21="YES",H21="YES",I21="YES"),"ELIGIBLE","DENY"))</x:f>
        <x:v>OPEN</x:v>
      </x:c>
    </x:row>
    <x:row r="22">
      <x:c r="A22" s="16" t="str">
        <x:v>CELL-03-R</x:v>
      </x:c>
      <x:c r="B22" s="16" t="str">
        <x:v>RIG-2</x:v>
      </x:c>
      <x:c r="C22" s="16" t="str">
        <x:v>C-1</x:v>
      </x:c>
      <x:c r="D22" s="16" t="str">
        <x:v>TR-A</x:v>
      </x:c>
      <x:c r="E22" s="16" t="str">
        <x:v>REPLACEMENT</x:v>
      </x:c>
      <x:c r="F22" s="38"/>
      <x:c r="G22" s="38"/>
      <x:c r="H22" s="38"/>
      <x:c r="I22" s="38"/>
      <x:c r="J22" s="16" t="str">
        <x:f>IF(COUNTA(F22:I22)&lt;4,"OPEN",IF(AND(F22="YES",G22="YES",H22="YES",I22="YES"),"ELIGIBLE","DENY"))</x:f>
        <x:v>OPEN</x:v>
      </x:c>
    </x:row>
    <x:row r="23">
      <x:c r="A23" s="16" t="str">
        <x:v>CELL-04-R</x:v>
      </x:c>
      <x:c r="B23" s="16" t="str">
        <x:v>RIG-2</x:v>
      </x:c>
      <x:c r="C23" s="16" t="str">
        <x:v>C-1</x:v>
      </x:c>
      <x:c r="D23" s="16" t="str">
        <x:v>TR-B</x:v>
      </x:c>
      <x:c r="E23" s="16" t="str">
        <x:v>REPLACEMENT</x:v>
      </x:c>
      <x:c r="F23" s="38"/>
      <x:c r="G23" s="38"/>
      <x:c r="H23" s="38"/>
      <x:c r="I23" s="38"/>
      <x:c r="J23" s="16" t="str">
        <x:f>IF(COUNTA(F23:I23)&lt;4,"OPEN",IF(AND(F23="YES",G23="YES",H23="YES",I23="YES"),"ELIGIBLE","DENY"))</x:f>
        <x:v>OPEN</x:v>
      </x:c>
    </x:row>
    <x:row r="24">
      <x:c r="A24" s="16" t="str">
        <x:v>CELL-05-R</x:v>
      </x:c>
      <x:c r="B24" s="16" t="str">
        <x:v>RIG-3</x:v>
      </x:c>
      <x:c r="C24" s="16" t="str">
        <x:v>C-2</x:v>
      </x:c>
      <x:c r="D24" s="16" t="str">
        <x:v>TR-A</x:v>
      </x:c>
      <x:c r="E24" s="16" t="str">
        <x:v>REPLACEMENT</x:v>
      </x:c>
      <x:c r="F24" s="38"/>
      <x:c r="G24" s="38"/>
      <x:c r="H24" s="38"/>
      <x:c r="I24" s="38"/>
      <x:c r="J24" s="16" t="str">
        <x:f>IF(COUNTA(F24:I24)&lt;4,"OPEN",IF(AND(F24="YES",G24="YES",H24="YES",I24="YES"),"ELIGIBLE","DENY"))</x:f>
        <x:v>OPEN</x:v>
      </x:c>
    </x:row>
    <x:row r="25">
      <x:c r="A25" s="16" t="str">
        <x:v>CELL-06-R</x:v>
      </x:c>
      <x:c r="B25" s="16" t="str">
        <x:v>RIG-3</x:v>
      </x:c>
      <x:c r="C25" s="16" t="str">
        <x:v>C-2</x:v>
      </x:c>
      <x:c r="D25" s="16" t="str">
        <x:v>TR-B</x:v>
      </x:c>
      <x:c r="E25" s="16" t="str">
        <x:v>REPLACEMENT</x:v>
      </x:c>
      <x:c r="F25" s="38"/>
      <x:c r="G25" s="38"/>
      <x:c r="H25" s="38"/>
      <x:c r="I25" s="38"/>
      <x:c r="J25" s="16" t="str">
        <x:f>IF(COUNTA(F25:I25)&lt;4,"OPEN",IF(AND(F25="YES",G25="YES",H25="YES",I25="YES"),"ELIGIBLE","DENY"))</x:f>
        <x:v>OPEN</x:v>
      </x:c>
    </x:row>
    <x:row r="26">
      <x:c r="A26" s="16" t="str">
        <x:v>CELL-07-R</x:v>
      </x:c>
      <x:c r="B26" s="16" t="str">
        <x:v>RIG-4</x:v>
      </x:c>
      <x:c r="C26" s="16" t="str">
        <x:v>C-2</x:v>
      </x:c>
      <x:c r="D26" s="16" t="str">
        <x:v>TR-A</x:v>
      </x:c>
      <x:c r="E26" s="16" t="str">
        <x:v>REPLACEMENT</x:v>
      </x:c>
      <x:c r="F26" s="38"/>
      <x:c r="G26" s="38"/>
      <x:c r="H26" s="38"/>
      <x:c r="I26" s="38"/>
      <x:c r="J26" s="16" t="str">
        <x:f>IF(COUNTA(F26:I26)&lt;4,"OPEN",IF(AND(F26="YES",G26="YES",H26="YES",I26="YES"),"ELIGIBLE","DENY"))</x:f>
        <x:v>OPEN</x:v>
      </x:c>
    </x:row>
    <x:row r="27">
      <x:c r="A27" s="16" t="str">
        <x:v>CELL-08-R</x:v>
      </x:c>
      <x:c r="B27" s="16" t="str">
        <x:v>RIG-4</x:v>
      </x:c>
      <x:c r="C27" s="16" t="str">
        <x:v>C-2</x:v>
      </x:c>
      <x:c r="D27" s="16" t="str">
        <x:v>TR-B</x:v>
      </x:c>
      <x:c r="E27" s="16" t="str">
        <x:v>REPLACEMENT</x:v>
      </x:c>
      <x:c r="F27" s="38"/>
      <x:c r="G27" s="38"/>
      <x:c r="H27" s="38"/>
      <x:c r="I27" s="38"/>
      <x:c r="J27" s="16" t="str">
        <x:f>IF(COUNTA(F27:I27)&lt;4,"OPEN",IF(AND(F27="YES",G27="YES",H27="YES",I27="YES"),"ELIGIBLE","DENY"))</x:f>
        <x:v>OPEN</x:v>
      </x:c>
    </x:row>
    <x:row r="28">
      <x:c r="A28" s="16" t="str">
        <x:v>CELL-09-R</x:v>
      </x:c>
      <x:c r="B28" s="16" t="str">
        <x:v>RIG-5</x:v>
      </x:c>
      <x:c r="C28" s="16" t="str">
        <x:v>C-3</x:v>
      </x:c>
      <x:c r="D28" s="16" t="str">
        <x:v>TR-A</x:v>
      </x:c>
      <x:c r="E28" s="16" t="str">
        <x:v>REPLACEMENT</x:v>
      </x:c>
      <x:c r="F28" s="38"/>
      <x:c r="G28" s="38"/>
      <x:c r="H28" s="38"/>
      <x:c r="I28" s="38"/>
      <x:c r="J28" s="16" t="str">
        <x:f>IF(COUNTA(F28:I28)&lt;4,"OPEN",IF(AND(F28="YES",G28="YES",H28="YES",I28="YES"),"ELIGIBLE","DENY"))</x:f>
        <x:v>OPEN</x:v>
      </x:c>
    </x:row>
    <x:row r="29">
      <x:c r="A29" s="16" t="str">
        <x:v>CELL-10-R</x:v>
      </x:c>
      <x:c r="B29" s="16" t="str">
        <x:v>RIG-5</x:v>
      </x:c>
      <x:c r="C29" s="16" t="str">
        <x:v>C-3</x:v>
      </x:c>
      <x:c r="D29" s="16" t="str">
        <x:v>TR-B</x:v>
      </x:c>
      <x:c r="E29" s="16" t="str">
        <x:v>REPLACEMENT</x:v>
      </x:c>
      <x:c r="F29" s="38"/>
      <x:c r="G29" s="38"/>
      <x:c r="H29" s="38"/>
      <x:c r="I29" s="38"/>
      <x:c r="J29" s="16" t="str">
        <x:f>IF(COUNTA(F29:I29)&lt;4,"OPEN",IF(AND(F29="YES",G29="YES",H29="YES",I29="YES"),"ELIGIBLE","DENY"))</x:f>
        <x:v>OPEN</x:v>
      </x:c>
    </x:row>
    <x:row r="30">
      <x:c r="A30" s="16" t="str">
        <x:v>CELL-11-R</x:v>
      </x:c>
      <x:c r="B30" s="16" t="str">
        <x:v>RIG-6</x:v>
      </x:c>
      <x:c r="C30" s="16" t="str">
        <x:v>C-3</x:v>
      </x:c>
      <x:c r="D30" s="16" t="str">
        <x:v>TR-A</x:v>
      </x:c>
      <x:c r="E30" s="16" t="str">
        <x:v>REPLACEMENT</x:v>
      </x:c>
      <x:c r="F30" s="38"/>
      <x:c r="G30" s="38"/>
      <x:c r="H30" s="38"/>
      <x:c r="I30" s="38"/>
      <x:c r="J30" s="16" t="str">
        <x:f>IF(COUNTA(F30:I30)&lt;4,"OPEN",IF(AND(F30="YES",G30="YES",H30="YES",I30="YES"),"ELIGIBLE","DENY"))</x:f>
        <x:v>OPEN</x:v>
      </x:c>
    </x:row>
    <x:row r="31">
      <x:c r="A31" s="16" t="str">
        <x:v>CELL-12-R</x:v>
      </x:c>
      <x:c r="B31" s="16" t="str">
        <x:v>RIG-6</x:v>
      </x:c>
      <x:c r="C31" s="16" t="str">
        <x:v>C-3</x:v>
      </x:c>
      <x:c r="D31" s="16" t="str">
        <x:v>TR-B</x:v>
      </x:c>
      <x:c r="E31" s="16" t="str">
        <x:v>REPLACEMENT</x:v>
      </x:c>
      <x:c r="F31" s="38"/>
      <x:c r="G31" s="38"/>
      <x:c r="H31" s="38"/>
      <x:c r="I31" s="38"/>
      <x:c r="J31" s="16" t="str">
        <x:f>IF(COUNTA(F31:I31)&lt;4,"OPEN",IF(AND(F31="YES",G31="YES",H31="YES",I31="YES"),"ELIGIBLE","DENY"))</x:f>
        <x:v>OPEN</x:v>
      </x:c>
    </x:row>
  </x:sheetData>
  <x:mergeCells>
    <x:mergeCell ref="A1:J1"/>
  </x:mergeCells>
  <x:conditionalFormatting sqref="J8:J31">
    <x:cfRule type="containsText" dxfId="24" priority="1" operator="containsText" text="DENY"/>
    <x:cfRule type="containsText" dxfId="25" priority="2" operator="containsText" text="FAIL"/>
    <x:cfRule type="containsText" dxfId="26" priority="3" operator="containsText" text="MISSING"/>
    <x:cfRule type="containsText" dxfId="27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c5d6e1f0cdc14468"/>
  </x:tableParts>
</x:worksheet>
</file>

<file path=xl/worksheets/sheet11.xml><?xml version="1.0" encoding="utf-8"?>
<x:worksheet xmlns:x="http://schemas.openxmlformats.org/spreadsheetml/2006/main">
  <x:sheetPr>
    <x:tabColor rgb="FFDDEBF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2" hidden="0" customWidth="1"/>
    <x:col min="2" max="2" width="20" hidden="0" customWidth="1"/>
    <x:col min="3" max="3" width="35" hidden="0" customWidth="1"/>
    <x:col min="4" max="4" width="22" hidden="0" customWidth="1"/>
    <x:col min="5" max="5" width="18" hidden="0" customWidth="1"/>
    <x:col min="6" max="6" width="18" hidden="0" customWidth="1"/>
    <x:col min="7" max="7" width="15" hidden="0" customWidth="1"/>
  </x:cols>
  <x:sheetData>
    <x:row r="1" ht="27" customHeight="1">
      <x:c r="A1" s="3" t="str">
        <x:v>Forty-eight first-event gates</x:v>
      </x:c>
      <x:c r="B1" s="3" t="str">
        <x:v>Forty-eight first-event gates</x:v>
      </x:c>
      <x:c r="C1" s="3" t="str">
        <x:v>Forty-eight first-event gates</x:v>
      </x:c>
      <x:c r="D1" s="3" t="str">
        <x:v>Forty-eight first-event gates</x:v>
      </x:c>
      <x:c r="E1" s="3" t="str">
        <x:v>Forty-eight first-event gates</x:v>
      </x:c>
      <x:c r="F1" s="3" t="str">
        <x:v>Forty-eight first-event gates</x:v>
      </x:c>
      <x:c r="G1" s="3" t="str">
        <x:v>Forty-eight first-event gates</x:v>
      </x:c>
    </x:row>
    <x:row r="2">
      <x:c r="A2" s="60"/>
      <x:c r="B2" s="60"/>
      <x:c r="C2" s="60"/>
      <x:c r="D2" s="60"/>
      <x:c r="E2" s="60"/>
      <x:c r="F2" s="60"/>
      <x:c r="G2" s="60"/>
    </x:row>
    <x:row r="3">
      <x:c r="A3" s="34" t="str">
        <x:v>Gate ID</x:v>
      </x:c>
      <x:c r="B3" s="35" t="str">
        <x:v>Domain</x:v>
      </x:c>
      <x:c r="C3" s="35" t="str">
        <x:v>Requirement</x:v>
      </x:c>
      <x:c r="D3" s="35" t="str">
        <x:v>Owner</x:v>
      </x:c>
      <x:c r="E3" s="35" t="str">
        <x:v>Physical result</x:v>
      </x:c>
      <x:c r="F3" s="35" t="str">
        <x:v>Authority state</x:v>
      </x:c>
      <x:c r="G3" s="36" t="str">
        <x:v>Disposition</x:v>
      </x:c>
    </x:row>
    <x:row r="4">
      <x:c r="A4" s="16" t="str">
        <x:v>EG-01</x:v>
      </x:c>
      <x:c r="B4" s="16" t="str">
        <x:v>prior authority</x:v>
      </x:c>
      <x:c r="C4" s="16" t="str">
        <x:v>Registered requirement 01</x:v>
      </x:c>
      <x:c r="D4" s="16" t="str">
        <x:v>receiver</x:v>
      </x:c>
      <x:c r="E4" s="38"/>
      <x:c r="F4" s="38"/>
      <x:c r="G4" s="16" t="str">
        <x:f>IF(COUNTA(E4:F4)&lt;2,"OPEN",IF(AND(E4="PASS",F4="ACCEPTED"),"CLOSED","DENY"))</x:f>
        <x:v>OPEN</x:v>
      </x:c>
    </x:row>
    <x:row r="5">
      <x:c r="A5" s="16" t="str">
        <x:v>EG-02</x:v>
      </x:c>
      <x:c r="B5" s="16" t="str">
        <x:v>architecture</x:v>
      </x:c>
      <x:c r="C5" s="16" t="str">
        <x:v>Registered requirement 02</x:v>
      </x:c>
      <x:c r="D5" s="16" t="str">
        <x:v>source</x:v>
      </x:c>
      <x:c r="E5" s="38"/>
      <x:c r="F5" s="38"/>
      <x:c r="G5" s="16" t="str">
        <x:f>IF(COUNTA(E5:F5)&lt;2,"OPEN",IF(AND(E5="PASS",F5="ACCEPTED"),"CLOSED","DENY"))</x:f>
        <x:v>OPEN</x:v>
      </x:c>
    </x:row>
    <x:row r="6">
      <x:c r="A6" s="16" t="str">
        <x:v>EG-03</x:v>
      </x:c>
      <x:c r="B6" s="16" t="str">
        <x:v>article</x:v>
      </x:c>
      <x:c r="C6" s="16" t="str">
        <x:v>Registered requirement 03</x:v>
      </x:c>
      <x:c r="D6" s="16" t="str">
        <x:v>metrology</x:v>
      </x:c>
      <x:c r="E6" s="38"/>
      <x:c r="F6" s="38"/>
      <x:c r="G6" s="16" t="str">
        <x:f>IF(COUNTA(E6:F6)&lt;2,"OPEN",IF(AND(E6="PASS",F6="ACCEPTED"),"CLOSED","DENY"))</x:f>
        <x:v>OPEN</x:v>
      </x:c>
    </x:row>
    <x:row r="7">
      <x:c r="A7" s="16" t="str">
        <x:v>EG-04</x:v>
      </x:c>
      <x:c r="B7" s="16" t="str">
        <x:v>receiver</x:v>
      </x:c>
      <x:c r="C7" s="16" t="str">
        <x:v>Registered requirement 04</x:v>
      </x:c>
      <x:c r="D7" s="16" t="str">
        <x:v>safeing</x:v>
      </x:c>
      <x:c r="E7" s="38"/>
      <x:c r="F7" s="38"/>
      <x:c r="G7" s="16" t="str">
        <x:f>IF(COUNTA(E7:F7)&lt;2,"OPEN",IF(AND(E7="PASS",F7="ACCEPTED"),"CLOSED","DENY"))</x:f>
        <x:v>OPEN</x:v>
      </x:c>
    </x:row>
    <x:row r="8">
      <x:c r="A8" s="16" t="str">
        <x:v>EG-05</x:v>
      </x:c>
      <x:c r="B8" s="16" t="str">
        <x:v>source</x:v>
      </x:c>
      <x:c r="C8" s="16" t="str">
        <x:v>Registered requirement 05</x:v>
      </x:c>
      <x:c r="D8" s="16" t="str">
        <x:v>evidence</x:v>
      </x:c>
      <x:c r="E8" s="38"/>
      <x:c r="F8" s="38"/>
      <x:c r="G8" s="16" t="str">
        <x:f>IF(COUNTA(E8:F8)&lt;2,"OPEN",IF(AND(E8="PASS",F8="ACCEPTED"),"CLOSED","DENY"))</x:f>
        <x:v>OPEN</x:v>
      </x:c>
    </x:row>
    <x:row r="9">
      <x:c r="A9" s="16" t="str">
        <x:v>EG-06</x:v>
      </x:c>
      <x:c r="B9" s="16" t="str">
        <x:v>metrology</x:v>
      </x:c>
      <x:c r="C9" s="16" t="str">
        <x:v>Registered requirement 06</x:v>
      </x:c>
      <x:c r="D9" s="16" t="str">
        <x:v>environment</x:v>
      </x:c>
      <x:c r="E9" s="38"/>
      <x:c r="F9" s="38"/>
      <x:c r="G9" s="16" t="str">
        <x:f>IF(COUNTA(E9:F9)&lt;2,"OPEN",IF(AND(E9="PASS",F9="ACCEPTED"),"CLOSED","DENY"))</x:f>
        <x:v>OPEN</x:v>
      </x:c>
    </x:row>
    <x:row r="10">
      <x:c r="A10" s="16" t="str">
        <x:v>EG-07</x:v>
      </x:c>
      <x:c r="B10" s="16" t="str">
        <x:v>safeing</x:v>
      </x:c>
      <x:c r="C10" s="16" t="str">
        <x:v>Registered requirement 07</x:v>
      </x:c>
      <x:c r="D10" s="16" t="str">
        <x:v>return</x:v>
      </x:c>
      <x:c r="E10" s="38"/>
      <x:c r="F10" s="38"/>
      <x:c r="G10" s="16" t="str">
        <x:f>IF(COUNTA(E10:F10)&lt;2,"OPEN",IF(AND(E10="PASS",F10="ACCEPTED"),"CLOSED","DENY"))</x:f>
        <x:v>OPEN</x:v>
      </x:c>
    </x:row>
    <x:row r="11">
      <x:c r="A11" s="16" t="str">
        <x:v>EG-08</x:v>
      </x:c>
      <x:c r="B11" s="16" t="str">
        <x:v>evidence</x:v>
      </x:c>
      <x:c r="C11" s="16" t="str">
        <x:v>Registered requirement 08</x:v>
      </x:c>
      <x:c r="D11" s="16" t="str">
        <x:v>selection</x:v>
      </x:c>
      <x:c r="E11" s="38"/>
      <x:c r="F11" s="38"/>
      <x:c r="G11" s="16" t="str">
        <x:f>IF(COUNTA(E11:F11)&lt;2,"OPEN",IF(AND(E11="PASS",F11="ACCEPTED"),"CLOSED","DENY"))</x:f>
        <x:v>OPEN</x:v>
      </x:c>
    </x:row>
    <x:row r="12">
      <x:c r="A12" s="16" t="str">
        <x:v>EG-09</x:v>
      </x:c>
      <x:c r="B12" s="16" t="str">
        <x:v>environment</x:v>
      </x:c>
      <x:c r="C12" s="16" t="str">
        <x:v>Registered requirement 09</x:v>
      </x:c>
      <x:c r="D12" s="16" t="str">
        <x:v>independent review</x:v>
      </x:c>
      <x:c r="E12" s="38"/>
      <x:c r="F12" s="38"/>
      <x:c r="G12" s="16" t="str">
        <x:f>IF(COUNTA(E12:F12)&lt;2,"OPEN",IF(AND(E12="PASS",F12="ACCEPTED"),"CLOSED","DENY"))</x:f>
        <x:v>OPEN</x:v>
      </x:c>
    </x:row>
    <x:row r="13">
      <x:c r="A13" s="16" t="str">
        <x:v>EG-10</x:v>
      </x:c>
      <x:c r="B13" s="16" t="str">
        <x:v>return</x:v>
      </x:c>
      <x:c r="C13" s="16" t="str">
        <x:v>Registered requirement 10</x:v>
      </x:c>
      <x:c r="D13" s="16" t="str">
        <x:v>prior authority</x:v>
      </x:c>
      <x:c r="E13" s="38"/>
      <x:c r="F13" s="38"/>
      <x:c r="G13" s="16" t="str">
        <x:f>IF(COUNTA(E13:F13)&lt;2,"OPEN",IF(AND(E13="PASS",F13="ACCEPTED"),"CLOSED","DENY"))</x:f>
        <x:v>OPEN</x:v>
      </x:c>
    </x:row>
    <x:row r="14">
      <x:c r="A14" s="16" t="str">
        <x:v>EG-11</x:v>
      </x:c>
      <x:c r="B14" s="16" t="str">
        <x:v>selection</x:v>
      </x:c>
      <x:c r="C14" s="16" t="str">
        <x:v>Registered requirement 11</x:v>
      </x:c>
      <x:c r="D14" s="16" t="str">
        <x:v>architecture</x:v>
      </x:c>
      <x:c r="E14" s="38"/>
      <x:c r="F14" s="38"/>
      <x:c r="G14" s="16" t="str">
        <x:f>IF(COUNTA(E14:F14)&lt;2,"OPEN",IF(AND(E14="PASS",F14="ACCEPTED"),"CLOSED","DENY"))</x:f>
        <x:v>OPEN</x:v>
      </x:c>
    </x:row>
    <x:row r="15">
      <x:c r="A15" s="16" t="str">
        <x:v>EG-12</x:v>
      </x:c>
      <x:c r="B15" s="16" t="str">
        <x:v>independent review</x:v>
      </x:c>
      <x:c r="C15" s="16" t="str">
        <x:v>Registered requirement 12</x:v>
      </x:c>
      <x:c r="D15" s="16" t="str">
        <x:v>article</x:v>
      </x:c>
      <x:c r="E15" s="38"/>
      <x:c r="F15" s="38"/>
      <x:c r="G15" s="16" t="str">
        <x:f>IF(COUNTA(E15:F15)&lt;2,"OPEN",IF(AND(E15="PASS",F15="ACCEPTED"),"CLOSED","DENY"))</x:f>
        <x:v>OPEN</x:v>
      </x:c>
    </x:row>
    <x:row r="16">
      <x:c r="A16" s="16" t="str">
        <x:v>EG-13</x:v>
      </x:c>
      <x:c r="B16" s="16" t="str">
        <x:v>prior authority</x:v>
      </x:c>
      <x:c r="C16" s="16" t="str">
        <x:v>Registered requirement 13</x:v>
      </x:c>
      <x:c r="D16" s="16" t="str">
        <x:v>receiver</x:v>
      </x:c>
      <x:c r="E16" s="38"/>
      <x:c r="F16" s="38"/>
      <x:c r="G16" s="16" t="str">
        <x:f>IF(COUNTA(E16:F16)&lt;2,"OPEN",IF(AND(E16="PASS",F16="ACCEPTED"),"CLOSED","DENY"))</x:f>
        <x:v>OPEN</x:v>
      </x:c>
    </x:row>
    <x:row r="17">
      <x:c r="A17" s="16" t="str">
        <x:v>EG-14</x:v>
      </x:c>
      <x:c r="B17" s="16" t="str">
        <x:v>architecture</x:v>
      </x:c>
      <x:c r="C17" s="16" t="str">
        <x:v>Registered requirement 14</x:v>
      </x:c>
      <x:c r="D17" s="16" t="str">
        <x:v>source</x:v>
      </x:c>
      <x:c r="E17" s="38"/>
      <x:c r="F17" s="38"/>
      <x:c r="G17" s="16" t="str">
        <x:f>IF(COUNTA(E17:F17)&lt;2,"OPEN",IF(AND(E17="PASS",F17="ACCEPTED"),"CLOSED","DENY"))</x:f>
        <x:v>OPEN</x:v>
      </x:c>
    </x:row>
    <x:row r="18">
      <x:c r="A18" s="16" t="str">
        <x:v>EG-15</x:v>
      </x:c>
      <x:c r="B18" s="16" t="str">
        <x:v>article</x:v>
      </x:c>
      <x:c r="C18" s="16" t="str">
        <x:v>Registered requirement 15</x:v>
      </x:c>
      <x:c r="D18" s="16" t="str">
        <x:v>metrology</x:v>
      </x:c>
      <x:c r="E18" s="38"/>
      <x:c r="F18" s="38"/>
      <x:c r="G18" s="16" t="str">
        <x:f>IF(COUNTA(E18:F18)&lt;2,"OPEN",IF(AND(E18="PASS",F18="ACCEPTED"),"CLOSED","DENY"))</x:f>
        <x:v>OPEN</x:v>
      </x:c>
    </x:row>
    <x:row r="19">
      <x:c r="A19" s="16" t="str">
        <x:v>EG-16</x:v>
      </x:c>
      <x:c r="B19" s="16" t="str">
        <x:v>receiver</x:v>
      </x:c>
      <x:c r="C19" s="16" t="str">
        <x:v>Registered requirement 16</x:v>
      </x:c>
      <x:c r="D19" s="16" t="str">
        <x:v>safeing</x:v>
      </x:c>
      <x:c r="E19" s="38"/>
      <x:c r="F19" s="38"/>
      <x:c r="G19" s="16" t="str">
        <x:f>IF(COUNTA(E19:F19)&lt;2,"OPEN",IF(AND(E19="PASS",F19="ACCEPTED"),"CLOSED","DENY"))</x:f>
        <x:v>OPEN</x:v>
      </x:c>
    </x:row>
    <x:row r="20">
      <x:c r="A20" s="16" t="str">
        <x:v>EG-17</x:v>
      </x:c>
      <x:c r="B20" s="16" t="str">
        <x:v>source</x:v>
      </x:c>
      <x:c r="C20" s="16" t="str">
        <x:v>Registered requirement 17</x:v>
      </x:c>
      <x:c r="D20" s="16" t="str">
        <x:v>evidence</x:v>
      </x:c>
      <x:c r="E20" s="38"/>
      <x:c r="F20" s="38"/>
      <x:c r="G20" s="16" t="str">
        <x:f>IF(COUNTA(E20:F20)&lt;2,"OPEN",IF(AND(E20="PASS",F20="ACCEPTED"),"CLOSED","DENY"))</x:f>
        <x:v>OPEN</x:v>
      </x:c>
    </x:row>
    <x:row r="21">
      <x:c r="A21" s="16" t="str">
        <x:v>EG-18</x:v>
      </x:c>
      <x:c r="B21" s="16" t="str">
        <x:v>metrology</x:v>
      </x:c>
      <x:c r="C21" s="16" t="str">
        <x:v>Registered requirement 18</x:v>
      </x:c>
      <x:c r="D21" s="16" t="str">
        <x:v>environment</x:v>
      </x:c>
      <x:c r="E21" s="38"/>
      <x:c r="F21" s="38"/>
      <x:c r="G21" s="16" t="str">
        <x:f>IF(COUNTA(E21:F21)&lt;2,"OPEN",IF(AND(E21="PASS",F21="ACCEPTED"),"CLOSED","DENY"))</x:f>
        <x:v>OPEN</x:v>
      </x:c>
    </x:row>
    <x:row r="22">
      <x:c r="A22" s="16" t="str">
        <x:v>EG-19</x:v>
      </x:c>
      <x:c r="B22" s="16" t="str">
        <x:v>safeing</x:v>
      </x:c>
      <x:c r="C22" s="16" t="str">
        <x:v>Registered requirement 19</x:v>
      </x:c>
      <x:c r="D22" s="16" t="str">
        <x:v>return</x:v>
      </x:c>
      <x:c r="E22" s="38"/>
      <x:c r="F22" s="38"/>
      <x:c r="G22" s="16" t="str">
        <x:f>IF(COUNTA(E22:F22)&lt;2,"OPEN",IF(AND(E22="PASS",F22="ACCEPTED"),"CLOSED","DENY"))</x:f>
        <x:v>OPEN</x:v>
      </x:c>
    </x:row>
    <x:row r="23">
      <x:c r="A23" s="16" t="str">
        <x:v>EG-20</x:v>
      </x:c>
      <x:c r="B23" s="16" t="str">
        <x:v>evidence</x:v>
      </x:c>
      <x:c r="C23" s="16" t="str">
        <x:v>Registered requirement 20</x:v>
      </x:c>
      <x:c r="D23" s="16" t="str">
        <x:v>selection</x:v>
      </x:c>
      <x:c r="E23" s="38"/>
      <x:c r="F23" s="38"/>
      <x:c r="G23" s="16" t="str">
        <x:f>IF(COUNTA(E23:F23)&lt;2,"OPEN",IF(AND(E23="PASS",F23="ACCEPTED"),"CLOSED","DENY"))</x:f>
        <x:v>OPEN</x:v>
      </x:c>
    </x:row>
    <x:row r="24">
      <x:c r="A24" s="16" t="str">
        <x:v>EG-21</x:v>
      </x:c>
      <x:c r="B24" s="16" t="str">
        <x:v>environment</x:v>
      </x:c>
      <x:c r="C24" s="16" t="str">
        <x:v>Registered requirement 21</x:v>
      </x:c>
      <x:c r="D24" s="16" t="str">
        <x:v>independent review</x:v>
      </x:c>
      <x:c r="E24" s="38"/>
      <x:c r="F24" s="38"/>
      <x:c r="G24" s="16" t="str">
        <x:f>IF(COUNTA(E24:F24)&lt;2,"OPEN",IF(AND(E24="PASS",F24="ACCEPTED"),"CLOSED","DENY"))</x:f>
        <x:v>OPEN</x:v>
      </x:c>
    </x:row>
    <x:row r="25">
      <x:c r="A25" s="16" t="str">
        <x:v>EG-22</x:v>
      </x:c>
      <x:c r="B25" s="16" t="str">
        <x:v>return</x:v>
      </x:c>
      <x:c r="C25" s="16" t="str">
        <x:v>Registered requirement 22</x:v>
      </x:c>
      <x:c r="D25" s="16" t="str">
        <x:v>prior authority</x:v>
      </x:c>
      <x:c r="E25" s="38"/>
      <x:c r="F25" s="38"/>
      <x:c r="G25" s="16" t="str">
        <x:f>IF(COUNTA(E25:F25)&lt;2,"OPEN",IF(AND(E25="PASS",F25="ACCEPTED"),"CLOSED","DENY"))</x:f>
        <x:v>OPEN</x:v>
      </x:c>
    </x:row>
    <x:row r="26">
      <x:c r="A26" s="16" t="str">
        <x:v>EG-23</x:v>
      </x:c>
      <x:c r="B26" s="16" t="str">
        <x:v>selection</x:v>
      </x:c>
      <x:c r="C26" s="16" t="str">
        <x:v>Registered requirement 23</x:v>
      </x:c>
      <x:c r="D26" s="16" t="str">
        <x:v>architecture</x:v>
      </x:c>
      <x:c r="E26" s="38"/>
      <x:c r="F26" s="38"/>
      <x:c r="G26" s="16" t="str">
        <x:f>IF(COUNTA(E26:F26)&lt;2,"OPEN",IF(AND(E26="PASS",F26="ACCEPTED"),"CLOSED","DENY"))</x:f>
        <x:v>OPEN</x:v>
      </x:c>
    </x:row>
    <x:row r="27">
      <x:c r="A27" s="16" t="str">
        <x:v>EG-24</x:v>
      </x:c>
      <x:c r="B27" s="16" t="str">
        <x:v>independent review</x:v>
      </x:c>
      <x:c r="C27" s="16" t="str">
        <x:v>Registered requirement 24</x:v>
      </x:c>
      <x:c r="D27" s="16" t="str">
        <x:v>article</x:v>
      </x:c>
      <x:c r="E27" s="38"/>
      <x:c r="F27" s="38"/>
      <x:c r="G27" s="16" t="str">
        <x:f>IF(COUNTA(E27:F27)&lt;2,"OPEN",IF(AND(E27="PASS",F27="ACCEPTED"),"CLOSED","DENY"))</x:f>
        <x:v>OPEN</x:v>
      </x:c>
    </x:row>
    <x:row r="28">
      <x:c r="A28" s="16" t="str">
        <x:v>EG-25</x:v>
      </x:c>
      <x:c r="B28" s="16" t="str">
        <x:v>prior authority</x:v>
      </x:c>
      <x:c r="C28" s="16" t="str">
        <x:v>Registered requirement 25</x:v>
      </x:c>
      <x:c r="D28" s="16" t="str">
        <x:v>receiver</x:v>
      </x:c>
      <x:c r="E28" s="38"/>
      <x:c r="F28" s="38"/>
      <x:c r="G28" s="16" t="str">
        <x:f>IF(COUNTA(E28:F28)&lt;2,"OPEN",IF(AND(E28="PASS",F28="ACCEPTED"),"CLOSED","DENY"))</x:f>
        <x:v>OPEN</x:v>
      </x:c>
    </x:row>
    <x:row r="29">
      <x:c r="A29" s="16" t="str">
        <x:v>EG-26</x:v>
      </x:c>
      <x:c r="B29" s="16" t="str">
        <x:v>architecture</x:v>
      </x:c>
      <x:c r="C29" s="16" t="str">
        <x:v>Registered requirement 26</x:v>
      </x:c>
      <x:c r="D29" s="16" t="str">
        <x:v>source</x:v>
      </x:c>
      <x:c r="E29" s="38"/>
      <x:c r="F29" s="38"/>
      <x:c r="G29" s="16" t="str">
        <x:f>IF(COUNTA(E29:F29)&lt;2,"OPEN",IF(AND(E29="PASS",F29="ACCEPTED"),"CLOSED","DENY"))</x:f>
        <x:v>OPEN</x:v>
      </x:c>
    </x:row>
    <x:row r="30">
      <x:c r="A30" s="16" t="str">
        <x:v>EG-27</x:v>
      </x:c>
      <x:c r="B30" s="16" t="str">
        <x:v>article</x:v>
      </x:c>
      <x:c r="C30" s="16" t="str">
        <x:v>Registered requirement 27</x:v>
      </x:c>
      <x:c r="D30" s="16" t="str">
        <x:v>metrology</x:v>
      </x:c>
      <x:c r="E30" s="38"/>
      <x:c r="F30" s="38"/>
      <x:c r="G30" s="16" t="str">
        <x:f>IF(COUNTA(E30:F30)&lt;2,"OPEN",IF(AND(E30="PASS",F30="ACCEPTED"),"CLOSED","DENY"))</x:f>
        <x:v>OPEN</x:v>
      </x:c>
    </x:row>
    <x:row r="31">
      <x:c r="A31" s="16" t="str">
        <x:v>EG-28</x:v>
      </x:c>
      <x:c r="B31" s="16" t="str">
        <x:v>receiver</x:v>
      </x:c>
      <x:c r="C31" s="16" t="str">
        <x:v>Registered requirement 28</x:v>
      </x:c>
      <x:c r="D31" s="16" t="str">
        <x:v>safeing</x:v>
      </x:c>
      <x:c r="E31" s="38"/>
      <x:c r="F31" s="38"/>
      <x:c r="G31" s="16" t="str">
        <x:f>IF(COUNTA(E31:F31)&lt;2,"OPEN",IF(AND(E31="PASS",F31="ACCEPTED"),"CLOSED","DENY"))</x:f>
        <x:v>OPEN</x:v>
      </x:c>
    </x:row>
    <x:row r="32">
      <x:c r="A32" s="16" t="str">
        <x:v>EG-29</x:v>
      </x:c>
      <x:c r="B32" s="16" t="str">
        <x:v>source</x:v>
      </x:c>
      <x:c r="C32" s="16" t="str">
        <x:v>Registered requirement 29</x:v>
      </x:c>
      <x:c r="D32" s="16" t="str">
        <x:v>evidence</x:v>
      </x:c>
      <x:c r="E32" s="38"/>
      <x:c r="F32" s="38"/>
      <x:c r="G32" s="16" t="str">
        <x:f>IF(COUNTA(E32:F32)&lt;2,"OPEN",IF(AND(E32="PASS",F32="ACCEPTED"),"CLOSED","DENY"))</x:f>
        <x:v>OPEN</x:v>
      </x:c>
    </x:row>
    <x:row r="33">
      <x:c r="A33" s="16" t="str">
        <x:v>EG-30</x:v>
      </x:c>
      <x:c r="B33" s="16" t="str">
        <x:v>metrology</x:v>
      </x:c>
      <x:c r="C33" s="16" t="str">
        <x:v>Registered requirement 30</x:v>
      </x:c>
      <x:c r="D33" s="16" t="str">
        <x:v>environment</x:v>
      </x:c>
      <x:c r="E33" s="38"/>
      <x:c r="F33" s="38"/>
      <x:c r="G33" s="16" t="str">
        <x:f>IF(COUNTA(E33:F33)&lt;2,"OPEN",IF(AND(E33="PASS",F33="ACCEPTED"),"CLOSED","DENY"))</x:f>
        <x:v>OPEN</x:v>
      </x:c>
    </x:row>
    <x:row r="34">
      <x:c r="A34" s="16" t="str">
        <x:v>EG-31</x:v>
      </x:c>
      <x:c r="B34" s="16" t="str">
        <x:v>safeing</x:v>
      </x:c>
      <x:c r="C34" s="16" t="str">
        <x:v>Registered requirement 31</x:v>
      </x:c>
      <x:c r="D34" s="16" t="str">
        <x:v>return</x:v>
      </x:c>
      <x:c r="E34" s="38"/>
      <x:c r="F34" s="38"/>
      <x:c r="G34" s="16" t="str">
        <x:f>IF(COUNTA(E34:F34)&lt;2,"OPEN",IF(AND(E34="PASS",F34="ACCEPTED"),"CLOSED","DENY"))</x:f>
        <x:v>OPEN</x:v>
      </x:c>
    </x:row>
    <x:row r="35">
      <x:c r="A35" s="16" t="str">
        <x:v>EG-32</x:v>
      </x:c>
      <x:c r="B35" s="16" t="str">
        <x:v>evidence</x:v>
      </x:c>
      <x:c r="C35" s="16" t="str">
        <x:v>Registered requirement 32</x:v>
      </x:c>
      <x:c r="D35" s="16" t="str">
        <x:v>selection</x:v>
      </x:c>
      <x:c r="E35" s="38"/>
      <x:c r="F35" s="38"/>
      <x:c r="G35" s="16" t="str">
        <x:f>IF(COUNTA(E35:F35)&lt;2,"OPEN",IF(AND(E35="PASS",F35="ACCEPTED"),"CLOSED","DENY"))</x:f>
        <x:v>OPEN</x:v>
      </x:c>
    </x:row>
    <x:row r="36">
      <x:c r="A36" s="16" t="str">
        <x:v>EG-33</x:v>
      </x:c>
      <x:c r="B36" s="16" t="str">
        <x:v>environment</x:v>
      </x:c>
      <x:c r="C36" s="16" t="str">
        <x:v>Registered requirement 33</x:v>
      </x:c>
      <x:c r="D36" s="16" t="str">
        <x:v>independent review</x:v>
      </x:c>
      <x:c r="E36" s="38"/>
      <x:c r="F36" s="38"/>
      <x:c r="G36" s="16" t="str">
        <x:f>IF(COUNTA(E36:F36)&lt;2,"OPEN",IF(AND(E36="PASS",F36="ACCEPTED"),"CLOSED","DENY"))</x:f>
        <x:v>OPEN</x:v>
      </x:c>
    </x:row>
    <x:row r="37">
      <x:c r="A37" s="16" t="str">
        <x:v>EG-34</x:v>
      </x:c>
      <x:c r="B37" s="16" t="str">
        <x:v>return</x:v>
      </x:c>
      <x:c r="C37" s="16" t="str">
        <x:v>Registered requirement 34</x:v>
      </x:c>
      <x:c r="D37" s="16" t="str">
        <x:v>prior authority</x:v>
      </x:c>
      <x:c r="E37" s="38"/>
      <x:c r="F37" s="38"/>
      <x:c r="G37" s="16" t="str">
        <x:f>IF(COUNTA(E37:F37)&lt;2,"OPEN",IF(AND(E37="PASS",F37="ACCEPTED"),"CLOSED","DENY"))</x:f>
        <x:v>OPEN</x:v>
      </x:c>
    </x:row>
    <x:row r="38">
      <x:c r="A38" s="16" t="str">
        <x:v>EG-35</x:v>
      </x:c>
      <x:c r="B38" s="16" t="str">
        <x:v>selection</x:v>
      </x:c>
      <x:c r="C38" s="16" t="str">
        <x:v>Registered requirement 35</x:v>
      </x:c>
      <x:c r="D38" s="16" t="str">
        <x:v>architecture</x:v>
      </x:c>
      <x:c r="E38" s="38"/>
      <x:c r="F38" s="38"/>
      <x:c r="G38" s="16" t="str">
        <x:f>IF(COUNTA(E38:F38)&lt;2,"OPEN",IF(AND(E38="PASS",F38="ACCEPTED"),"CLOSED","DENY"))</x:f>
        <x:v>OPEN</x:v>
      </x:c>
    </x:row>
    <x:row r="39">
      <x:c r="A39" s="16" t="str">
        <x:v>EG-36</x:v>
      </x:c>
      <x:c r="B39" s="16" t="str">
        <x:v>independent review</x:v>
      </x:c>
      <x:c r="C39" s="16" t="str">
        <x:v>Registered requirement 36</x:v>
      </x:c>
      <x:c r="D39" s="16" t="str">
        <x:v>article</x:v>
      </x:c>
      <x:c r="E39" s="38"/>
      <x:c r="F39" s="38"/>
      <x:c r="G39" s="16" t="str">
        <x:f>IF(COUNTA(E39:F39)&lt;2,"OPEN",IF(AND(E39="PASS",F39="ACCEPTED"),"CLOSED","DENY"))</x:f>
        <x:v>OPEN</x:v>
      </x:c>
    </x:row>
    <x:row r="40">
      <x:c r="A40" s="16" t="str">
        <x:v>EG-37</x:v>
      </x:c>
      <x:c r="B40" s="16" t="str">
        <x:v>prior authority</x:v>
      </x:c>
      <x:c r="C40" s="16" t="str">
        <x:v>Registered requirement 37</x:v>
      </x:c>
      <x:c r="D40" s="16" t="str">
        <x:v>receiver</x:v>
      </x:c>
      <x:c r="E40" s="38"/>
      <x:c r="F40" s="38"/>
      <x:c r="G40" s="16" t="str">
        <x:f>IF(COUNTA(E40:F40)&lt;2,"OPEN",IF(AND(E40="PASS",F40="ACCEPTED"),"CLOSED","DENY"))</x:f>
        <x:v>OPEN</x:v>
      </x:c>
    </x:row>
    <x:row r="41">
      <x:c r="A41" s="16" t="str">
        <x:v>EG-38</x:v>
      </x:c>
      <x:c r="B41" s="16" t="str">
        <x:v>architecture</x:v>
      </x:c>
      <x:c r="C41" s="16" t="str">
        <x:v>Registered requirement 38</x:v>
      </x:c>
      <x:c r="D41" s="16" t="str">
        <x:v>source</x:v>
      </x:c>
      <x:c r="E41" s="38"/>
      <x:c r="F41" s="38"/>
      <x:c r="G41" s="16" t="str">
        <x:f>IF(COUNTA(E41:F41)&lt;2,"OPEN",IF(AND(E41="PASS",F41="ACCEPTED"),"CLOSED","DENY"))</x:f>
        <x:v>OPEN</x:v>
      </x:c>
    </x:row>
    <x:row r="42">
      <x:c r="A42" s="16" t="str">
        <x:v>EG-39</x:v>
      </x:c>
      <x:c r="B42" s="16" t="str">
        <x:v>article</x:v>
      </x:c>
      <x:c r="C42" s="16" t="str">
        <x:v>Registered requirement 39</x:v>
      </x:c>
      <x:c r="D42" s="16" t="str">
        <x:v>metrology</x:v>
      </x:c>
      <x:c r="E42" s="38"/>
      <x:c r="F42" s="38"/>
      <x:c r="G42" s="16" t="str">
        <x:f>IF(COUNTA(E42:F42)&lt;2,"OPEN",IF(AND(E42="PASS",F42="ACCEPTED"),"CLOSED","DENY"))</x:f>
        <x:v>OPEN</x:v>
      </x:c>
    </x:row>
    <x:row r="43">
      <x:c r="A43" s="16" t="str">
        <x:v>EG-40</x:v>
      </x:c>
      <x:c r="B43" s="16" t="str">
        <x:v>receiver</x:v>
      </x:c>
      <x:c r="C43" s="16" t="str">
        <x:v>Registered requirement 40</x:v>
      </x:c>
      <x:c r="D43" s="16" t="str">
        <x:v>safeing</x:v>
      </x:c>
      <x:c r="E43" s="38"/>
      <x:c r="F43" s="38"/>
      <x:c r="G43" s="16" t="str">
        <x:f>IF(COUNTA(E43:F43)&lt;2,"OPEN",IF(AND(E43="PASS",F43="ACCEPTED"),"CLOSED","DENY"))</x:f>
        <x:v>OPEN</x:v>
      </x:c>
    </x:row>
    <x:row r="44">
      <x:c r="A44" s="16" t="str">
        <x:v>EG-41</x:v>
      </x:c>
      <x:c r="B44" s="16" t="str">
        <x:v>source</x:v>
      </x:c>
      <x:c r="C44" s="16" t="str">
        <x:v>Registered requirement 41</x:v>
      </x:c>
      <x:c r="D44" s="16" t="str">
        <x:v>evidence</x:v>
      </x:c>
      <x:c r="E44" s="38"/>
      <x:c r="F44" s="38"/>
      <x:c r="G44" s="16" t="str">
        <x:f>IF(COUNTA(E44:F44)&lt;2,"OPEN",IF(AND(E44="PASS",F44="ACCEPTED"),"CLOSED","DENY"))</x:f>
        <x:v>OPEN</x:v>
      </x:c>
    </x:row>
    <x:row r="45">
      <x:c r="A45" s="16" t="str">
        <x:v>EG-42</x:v>
      </x:c>
      <x:c r="B45" s="16" t="str">
        <x:v>metrology</x:v>
      </x:c>
      <x:c r="C45" s="16" t="str">
        <x:v>Registered requirement 42</x:v>
      </x:c>
      <x:c r="D45" s="16" t="str">
        <x:v>environment</x:v>
      </x:c>
      <x:c r="E45" s="38"/>
      <x:c r="F45" s="38"/>
      <x:c r="G45" s="16" t="str">
        <x:f>IF(COUNTA(E45:F45)&lt;2,"OPEN",IF(AND(E45="PASS",F45="ACCEPTED"),"CLOSED","DENY"))</x:f>
        <x:v>OPEN</x:v>
      </x:c>
    </x:row>
    <x:row r="46">
      <x:c r="A46" s="16" t="str">
        <x:v>EG-43</x:v>
      </x:c>
      <x:c r="B46" s="16" t="str">
        <x:v>safeing</x:v>
      </x:c>
      <x:c r="C46" s="16" t="str">
        <x:v>Registered requirement 43</x:v>
      </x:c>
      <x:c r="D46" s="16" t="str">
        <x:v>return</x:v>
      </x:c>
      <x:c r="E46" s="38"/>
      <x:c r="F46" s="38"/>
      <x:c r="G46" s="16" t="str">
        <x:f>IF(COUNTA(E46:F46)&lt;2,"OPEN",IF(AND(E46="PASS",F46="ACCEPTED"),"CLOSED","DENY"))</x:f>
        <x:v>OPEN</x:v>
      </x:c>
    </x:row>
    <x:row r="47">
      <x:c r="A47" s="16" t="str">
        <x:v>EG-44</x:v>
      </x:c>
      <x:c r="B47" s="16" t="str">
        <x:v>evidence</x:v>
      </x:c>
      <x:c r="C47" s="16" t="str">
        <x:v>Registered requirement 44</x:v>
      </x:c>
      <x:c r="D47" s="16" t="str">
        <x:v>selection</x:v>
      </x:c>
      <x:c r="E47" s="38"/>
      <x:c r="F47" s="38"/>
      <x:c r="G47" s="16" t="str">
        <x:f>IF(COUNTA(E47:F47)&lt;2,"OPEN",IF(AND(E47="PASS",F47="ACCEPTED"),"CLOSED","DENY"))</x:f>
        <x:v>OPEN</x:v>
      </x:c>
    </x:row>
    <x:row r="48">
      <x:c r="A48" s="16" t="str">
        <x:v>EG-45</x:v>
      </x:c>
      <x:c r="B48" s="16" t="str">
        <x:v>environment</x:v>
      </x:c>
      <x:c r="C48" s="16" t="str">
        <x:v>Registered requirement 45</x:v>
      </x:c>
      <x:c r="D48" s="16" t="str">
        <x:v>independent review</x:v>
      </x:c>
      <x:c r="E48" s="38"/>
      <x:c r="F48" s="38"/>
      <x:c r="G48" s="16" t="str">
        <x:f>IF(COUNTA(E48:F48)&lt;2,"OPEN",IF(AND(E48="PASS",F48="ACCEPTED"),"CLOSED","DENY"))</x:f>
        <x:v>OPEN</x:v>
      </x:c>
    </x:row>
    <x:row r="49">
      <x:c r="A49" s="16" t="str">
        <x:v>EG-46</x:v>
      </x:c>
      <x:c r="B49" s="16" t="str">
        <x:v>return</x:v>
      </x:c>
      <x:c r="C49" s="16" t="str">
        <x:v>Registered requirement 46</x:v>
      </x:c>
      <x:c r="D49" s="16" t="str">
        <x:v>prior authority</x:v>
      </x:c>
      <x:c r="E49" s="38"/>
      <x:c r="F49" s="38"/>
      <x:c r="G49" s="16" t="str">
        <x:f>IF(COUNTA(E49:F49)&lt;2,"OPEN",IF(AND(E49="PASS",F49="ACCEPTED"),"CLOSED","DENY"))</x:f>
        <x:v>OPEN</x:v>
      </x:c>
    </x:row>
    <x:row r="50">
      <x:c r="A50" s="16" t="str">
        <x:v>EG-47</x:v>
      </x:c>
      <x:c r="B50" s="16" t="str">
        <x:v>selection</x:v>
      </x:c>
      <x:c r="C50" s="16" t="str">
        <x:v>Registered requirement 47</x:v>
      </x:c>
      <x:c r="D50" s="16" t="str">
        <x:v>architecture</x:v>
      </x:c>
      <x:c r="E50" s="38"/>
      <x:c r="F50" s="38"/>
      <x:c r="G50" s="16" t="str">
        <x:f>IF(COUNTA(E50:F50)&lt;2,"OPEN",IF(AND(E50="PASS",F50="ACCEPTED"),"CLOSED","DENY"))</x:f>
        <x:v>OPEN</x:v>
      </x:c>
    </x:row>
    <x:row r="51">
      <x:c r="A51" s="16" t="str">
        <x:v>EG-48</x:v>
      </x:c>
      <x:c r="B51" s="16" t="str">
        <x:v>independent review</x:v>
      </x:c>
      <x:c r="C51" s="16" t="str">
        <x:v>Registered requirement 48</x:v>
      </x:c>
      <x:c r="D51" s="16" t="str">
        <x:v>article</x:v>
      </x:c>
      <x:c r="E51" s="38"/>
      <x:c r="F51" s="38"/>
      <x:c r="G51" s="16" t="str">
        <x:f>IF(COUNTA(E51:F51)&lt;2,"OPEN",IF(AND(E51="PASS",F51="ACCEPTED"),"CLOSED","DENY"))</x:f>
        <x:v>OPEN</x:v>
      </x:c>
    </x:row>
  </x:sheetData>
  <x:mergeCells>
    <x:mergeCell ref="A1:G1"/>
  </x:mergeCells>
  <x:conditionalFormatting sqref="G4:G51">
    <x:cfRule type="containsText" dxfId="28" priority="1" operator="containsText" text="DENY"/>
    <x:cfRule type="containsText" dxfId="29" priority="2" operator="containsText" text="FAIL"/>
    <x:cfRule type="containsText" dxfId="30" priority="3" operator="containsText" text="MISSING"/>
    <x:cfRule type="containsText" dxfId="31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6dad9a780c2c468e"/>
  </x:tableParts>
</x:worksheet>
</file>

<file path=xl/worksheets/sheet12.xml><?xml version="1.0" encoding="utf-8"?>
<x:worksheet xmlns:x="http://schemas.openxmlformats.org/spreadsheetml/2006/main">
  <x:sheetPr>
    <x:tabColor rgb="FFDDEBF7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24" hidden="0" customWidth="1"/>
    <x:col min="3" max="3" width="20" hidden="0" customWidth="1"/>
    <x:col min="4" max="4" width="23" hidden="0" customWidth="1"/>
    <x:col min="5" max="5" width="18" hidden="0" customWidth="1"/>
    <x:col min="6" max="6" width="17" hidden="0" customWidth="1"/>
    <x:col min="7" max="7" width="24" hidden="0" customWidth="1"/>
    <x:col min="8" max="8" width="15" hidden="0" customWidth="1"/>
  </x:cols>
  <x:sheetData>
    <x:row r="1" ht="27" customHeight="1">
      <x:c r="A1" s="3" t="str">
        <x:v>Two hundred thirty-six bound event objects</x:v>
      </x:c>
      <x:c r="B1" s="3" t="str">
        <x:v>Two hundred thirty-six bound event objects</x:v>
      </x:c>
      <x:c r="C1" s="3" t="str">
        <x:v>Two hundred thirty-six bound event objects</x:v>
      </x:c>
      <x:c r="D1" s="3" t="str">
        <x:v>Two hundred thirty-six bound event objects</x:v>
      </x:c>
      <x:c r="E1" s="3" t="str">
        <x:v>Two hundred thirty-six bound event objects</x:v>
      </x:c>
      <x:c r="F1" s="3" t="str">
        <x:v>Two hundred thirty-six bound event objects</x:v>
      </x:c>
      <x:c r="G1" s="3" t="str">
        <x:v>Two hundred thirty-six bound event objects</x:v>
      </x:c>
      <x:c r="H1" s="3" t="str">
        <x:v>Two hundred thirty-six bound event objects</x:v>
      </x:c>
    </x:row>
    <x:row r="2">
      <x:c r="A2" s="60"/>
      <x:c r="B2" s="60"/>
      <x:c r="C2" s="60"/>
      <x:c r="D2" s="60"/>
      <x:c r="E2" s="60"/>
      <x:c r="F2" s="60"/>
      <x:c r="G2" s="60"/>
      <x:c r="H2" s="60"/>
    </x:row>
    <x:row r="3">
      <x:c r="A3" s="34" t="str">
        <x:v>Object ID</x:v>
      </x:c>
      <x:c r="B3" s="35" t="str">
        <x:v>Class</x:v>
      </x:c>
      <x:c r="C3" s="35" t="str">
        <x:v>Serialized identity</x:v>
      </x:c>
      <x:c r="D3" s="35" t="str">
        <x:v>Configuration hash</x:v>
      </x:c>
      <x:c r="E3" s="35" t="str">
        <x:v>Evidence root</x:v>
      </x:c>
      <x:c r="F3" s="35" t="str">
        <x:v>Current state</x:v>
      </x:c>
      <x:c r="G3" s="35" t="str">
        <x:v>Independent acceptance</x:v>
      </x:c>
      <x:c r="H3" s="36" t="str">
        <x:v>Disposition</x:v>
      </x:c>
    </x:row>
    <x:row r="4">
      <x:c r="A4" s="16" t="str">
        <x:v>DO-001</x:v>
      </x:c>
      <x:c r="B4" s="16" t="str">
        <x:v>inherited event</x:v>
      </x:c>
      <x:c r="C4" s="38"/>
      <x:c r="D4" s="38"/>
      <x:c r="E4" s="38"/>
      <x:c r="F4" s="38"/>
      <x:c r="G4" s="38"/>
      <x:c r="H4" s="16" t="str">
        <x:f>IF(COUNTA(C4:G4)&lt;5,"OPEN",IF(AND(F4="CURRENT",G4="ACCEPTED"),"BOUND","DENY"))</x:f>
        <x:v>OPEN</x:v>
      </x:c>
    </x:row>
    <x:row r="5">
      <x:c r="A5" s="16" t="str">
        <x:v>DO-002</x:v>
      </x:c>
      <x:c r="B5" s="16" t="str">
        <x:v>inherited event</x:v>
      </x:c>
      <x:c r="C5" s="38"/>
      <x:c r="D5" s="38"/>
      <x:c r="E5" s="38"/>
      <x:c r="F5" s="38"/>
      <x:c r="G5" s="38"/>
      <x:c r="H5" s="16" t="str">
        <x:f>IF(COUNTA(C5:G5)&lt;5,"OPEN",IF(AND(F5="CURRENT",G5="ACCEPTED"),"BOUND","DENY"))</x:f>
        <x:v>OPEN</x:v>
      </x:c>
    </x:row>
    <x:row r="6">
      <x:c r="A6" s="16" t="str">
        <x:v>DO-003</x:v>
      </x:c>
      <x:c r="B6" s="16" t="str">
        <x:v>inherited event</x:v>
      </x:c>
      <x:c r="C6" s="38"/>
      <x:c r="D6" s="38"/>
      <x:c r="E6" s="38"/>
      <x:c r="F6" s="38"/>
      <x:c r="G6" s="38"/>
      <x:c r="H6" s="16" t="str">
        <x:f>IF(COUNTA(C6:G6)&lt;5,"OPEN",IF(AND(F6="CURRENT",G6="ACCEPTED"),"BOUND","DENY"))</x:f>
        <x:v>OPEN</x:v>
      </x:c>
    </x:row>
    <x:row r="7">
      <x:c r="A7" s="16" t="str">
        <x:v>DO-004</x:v>
      </x:c>
      <x:c r="B7" s="16" t="str">
        <x:v>inherited event</x:v>
      </x:c>
      <x:c r="C7" s="38"/>
      <x:c r="D7" s="38"/>
      <x:c r="E7" s="38"/>
      <x:c r="F7" s="38"/>
      <x:c r="G7" s="38"/>
      <x:c r="H7" s="16" t="str">
        <x:f>IF(COUNTA(C7:G7)&lt;5,"OPEN",IF(AND(F7="CURRENT",G7="ACCEPTED"),"BOUND","DENY"))</x:f>
        <x:v>OPEN</x:v>
      </x:c>
    </x:row>
    <x:row r="8">
      <x:c r="A8" s="16" t="str">
        <x:v>DO-005</x:v>
      </x:c>
      <x:c r="B8" s="16" t="str">
        <x:v>inherited event</x:v>
      </x:c>
      <x:c r="C8" s="38"/>
      <x:c r="D8" s="38"/>
      <x:c r="E8" s="38"/>
      <x:c r="F8" s="38"/>
      <x:c r="G8" s="38"/>
      <x:c r="H8" s="16" t="str">
        <x:f>IF(COUNTA(C8:G8)&lt;5,"OPEN",IF(AND(F8="CURRENT",G8="ACCEPTED"),"BOUND","DENY"))</x:f>
        <x:v>OPEN</x:v>
      </x:c>
    </x:row>
    <x:row r="9">
      <x:c r="A9" s="16" t="str">
        <x:v>DO-006</x:v>
      </x:c>
      <x:c r="B9" s="16" t="str">
        <x:v>inherited event</x:v>
      </x:c>
      <x:c r="C9" s="38"/>
      <x:c r="D9" s="38"/>
      <x:c r="E9" s="38"/>
      <x:c r="F9" s="38"/>
      <x:c r="G9" s="38"/>
      <x:c r="H9" s="16" t="str">
        <x:f>IF(COUNTA(C9:G9)&lt;5,"OPEN",IF(AND(F9="CURRENT",G9="ACCEPTED"),"BOUND","DENY"))</x:f>
        <x:v>OPEN</x:v>
      </x:c>
    </x:row>
    <x:row r="10">
      <x:c r="A10" s="16" t="str">
        <x:v>DO-007</x:v>
      </x:c>
      <x:c r="B10" s="16" t="str">
        <x:v>inherited event</x:v>
      </x:c>
      <x:c r="C10" s="38"/>
      <x:c r="D10" s="38"/>
      <x:c r="E10" s="38"/>
      <x:c r="F10" s="38"/>
      <x:c r="G10" s="38"/>
      <x:c r="H10" s="16" t="str">
        <x:f>IF(COUNTA(C10:G10)&lt;5,"OPEN",IF(AND(F10="CURRENT",G10="ACCEPTED"),"BOUND","DENY"))</x:f>
        <x:v>OPEN</x:v>
      </x:c>
    </x:row>
    <x:row r="11">
      <x:c r="A11" s="16" t="str">
        <x:v>DO-008</x:v>
      </x:c>
      <x:c r="B11" s="16" t="str">
        <x:v>inherited event</x:v>
      </x:c>
      <x:c r="C11" s="38"/>
      <x:c r="D11" s="38"/>
      <x:c r="E11" s="38"/>
      <x:c r="F11" s="38"/>
      <x:c r="G11" s="38"/>
      <x:c r="H11" s="16" t="str">
        <x:f>IF(COUNTA(C11:G11)&lt;5,"OPEN",IF(AND(F11="CURRENT",G11="ACCEPTED"),"BOUND","DENY"))</x:f>
        <x:v>OPEN</x:v>
      </x:c>
    </x:row>
    <x:row r="12">
      <x:c r="A12" s="16" t="str">
        <x:v>DO-009</x:v>
      </x:c>
      <x:c r="B12" s="16" t="str">
        <x:v>inherited event</x:v>
      </x:c>
      <x:c r="C12" s="38"/>
      <x:c r="D12" s="38"/>
      <x:c r="E12" s="38"/>
      <x:c r="F12" s="38"/>
      <x:c r="G12" s="38"/>
      <x:c r="H12" s="16" t="str">
        <x:f>IF(COUNTA(C12:G12)&lt;5,"OPEN",IF(AND(F12="CURRENT",G12="ACCEPTED"),"BOUND","DENY"))</x:f>
        <x:v>OPEN</x:v>
      </x:c>
    </x:row>
    <x:row r="13">
      <x:c r="A13" s="16" t="str">
        <x:v>DO-010</x:v>
      </x:c>
      <x:c r="B13" s="16" t="str">
        <x:v>inherited event</x:v>
      </x:c>
      <x:c r="C13" s="38"/>
      <x:c r="D13" s="38"/>
      <x:c r="E13" s="38"/>
      <x:c r="F13" s="38"/>
      <x:c r="G13" s="38"/>
      <x:c r="H13" s="16" t="str">
        <x:f>IF(COUNTA(C13:G13)&lt;5,"OPEN",IF(AND(F13="CURRENT",G13="ACCEPTED"),"BOUND","DENY"))</x:f>
        <x:v>OPEN</x:v>
      </x:c>
    </x:row>
    <x:row r="14">
      <x:c r="A14" s="16" t="str">
        <x:v>DO-011</x:v>
      </x:c>
      <x:c r="B14" s="16" t="str">
        <x:v>inherited event</x:v>
      </x:c>
      <x:c r="C14" s="38"/>
      <x:c r="D14" s="38"/>
      <x:c r="E14" s="38"/>
      <x:c r="F14" s="38"/>
      <x:c r="G14" s="38"/>
      <x:c r="H14" s="16" t="str">
        <x:f>IF(COUNTA(C14:G14)&lt;5,"OPEN",IF(AND(F14="CURRENT",G14="ACCEPTED"),"BOUND","DENY"))</x:f>
        <x:v>OPEN</x:v>
      </x:c>
    </x:row>
    <x:row r="15">
      <x:c r="A15" s="16" t="str">
        <x:v>DO-012</x:v>
      </x:c>
      <x:c r="B15" s="16" t="str">
        <x:v>inherited event</x:v>
      </x:c>
      <x:c r="C15" s="38"/>
      <x:c r="D15" s="38"/>
      <x:c r="E15" s="38"/>
      <x:c r="F15" s="38"/>
      <x:c r="G15" s="38"/>
      <x:c r="H15" s="16" t="str">
        <x:f>IF(COUNTA(C15:G15)&lt;5,"OPEN",IF(AND(F15="CURRENT",G15="ACCEPTED"),"BOUND","DENY"))</x:f>
        <x:v>OPEN</x:v>
      </x:c>
    </x:row>
    <x:row r="16">
      <x:c r="A16" s="16" t="str">
        <x:v>DO-013</x:v>
      </x:c>
      <x:c r="B16" s="16" t="str">
        <x:v>inherited event</x:v>
      </x:c>
      <x:c r="C16" s="38"/>
      <x:c r="D16" s="38"/>
      <x:c r="E16" s="38"/>
      <x:c r="F16" s="38"/>
      <x:c r="G16" s="38"/>
      <x:c r="H16" s="16" t="str">
        <x:f>IF(COUNTA(C16:G16)&lt;5,"OPEN",IF(AND(F16="CURRENT",G16="ACCEPTED"),"BOUND","DENY"))</x:f>
        <x:v>OPEN</x:v>
      </x:c>
    </x:row>
    <x:row r="17">
      <x:c r="A17" s="16" t="str">
        <x:v>DO-014</x:v>
      </x:c>
      <x:c r="B17" s="16" t="str">
        <x:v>inherited event</x:v>
      </x:c>
      <x:c r="C17" s="38"/>
      <x:c r="D17" s="38"/>
      <x:c r="E17" s="38"/>
      <x:c r="F17" s="38"/>
      <x:c r="G17" s="38"/>
      <x:c r="H17" s="16" t="str">
        <x:f>IF(COUNTA(C17:G17)&lt;5,"OPEN",IF(AND(F17="CURRENT",G17="ACCEPTED"),"BOUND","DENY"))</x:f>
        <x:v>OPEN</x:v>
      </x:c>
    </x:row>
    <x:row r="18">
      <x:c r="A18" s="16" t="str">
        <x:v>DO-015</x:v>
      </x:c>
      <x:c r="B18" s="16" t="str">
        <x:v>inherited event</x:v>
      </x:c>
      <x:c r="C18" s="38"/>
      <x:c r="D18" s="38"/>
      <x:c r="E18" s="38"/>
      <x:c r="F18" s="38"/>
      <x:c r="G18" s="38"/>
      <x:c r="H18" s="16" t="str">
        <x:f>IF(COUNTA(C18:G18)&lt;5,"OPEN",IF(AND(F18="CURRENT",G18="ACCEPTED"),"BOUND","DENY"))</x:f>
        <x:v>OPEN</x:v>
      </x:c>
    </x:row>
    <x:row r="19">
      <x:c r="A19" s="16" t="str">
        <x:v>DO-016</x:v>
      </x:c>
      <x:c r="B19" s="16" t="str">
        <x:v>inherited event</x:v>
      </x:c>
      <x:c r="C19" s="38"/>
      <x:c r="D19" s="38"/>
      <x:c r="E19" s="38"/>
      <x:c r="F19" s="38"/>
      <x:c r="G19" s="38"/>
      <x:c r="H19" s="16" t="str">
        <x:f>IF(COUNTA(C19:G19)&lt;5,"OPEN",IF(AND(F19="CURRENT",G19="ACCEPTED"),"BOUND","DENY"))</x:f>
        <x:v>OPEN</x:v>
      </x:c>
    </x:row>
    <x:row r="20">
      <x:c r="A20" s="16" t="str">
        <x:v>DO-017</x:v>
      </x:c>
      <x:c r="B20" s="16" t="str">
        <x:v>inherited event</x:v>
      </x:c>
      <x:c r="C20" s="38"/>
      <x:c r="D20" s="38"/>
      <x:c r="E20" s="38"/>
      <x:c r="F20" s="38"/>
      <x:c r="G20" s="38"/>
      <x:c r="H20" s="16" t="str">
        <x:f>IF(COUNTA(C20:G20)&lt;5,"OPEN",IF(AND(F20="CURRENT",G20="ACCEPTED"),"BOUND","DENY"))</x:f>
        <x:v>OPEN</x:v>
      </x:c>
    </x:row>
    <x:row r="21">
      <x:c r="A21" s="16" t="str">
        <x:v>DO-018</x:v>
      </x:c>
      <x:c r="B21" s="16" t="str">
        <x:v>inherited event</x:v>
      </x:c>
      <x:c r="C21" s="38"/>
      <x:c r="D21" s="38"/>
      <x:c r="E21" s="38"/>
      <x:c r="F21" s="38"/>
      <x:c r="G21" s="38"/>
      <x:c r="H21" s="16" t="str">
        <x:f>IF(COUNTA(C21:G21)&lt;5,"OPEN",IF(AND(F21="CURRENT",G21="ACCEPTED"),"BOUND","DENY"))</x:f>
        <x:v>OPEN</x:v>
      </x:c>
    </x:row>
    <x:row r="22">
      <x:c r="A22" s="16" t="str">
        <x:v>DO-019</x:v>
      </x:c>
      <x:c r="B22" s="16" t="str">
        <x:v>inherited event</x:v>
      </x:c>
      <x:c r="C22" s="38"/>
      <x:c r="D22" s="38"/>
      <x:c r="E22" s="38"/>
      <x:c r="F22" s="38"/>
      <x:c r="G22" s="38"/>
      <x:c r="H22" s="16" t="str">
        <x:f>IF(COUNTA(C22:G22)&lt;5,"OPEN",IF(AND(F22="CURRENT",G22="ACCEPTED"),"BOUND","DENY"))</x:f>
        <x:v>OPEN</x:v>
      </x:c>
    </x:row>
    <x:row r="23">
      <x:c r="A23" s="16" t="str">
        <x:v>DO-020</x:v>
      </x:c>
      <x:c r="B23" s="16" t="str">
        <x:v>inherited event</x:v>
      </x:c>
      <x:c r="C23" s="38"/>
      <x:c r="D23" s="38"/>
      <x:c r="E23" s="38"/>
      <x:c r="F23" s="38"/>
      <x:c r="G23" s="38"/>
      <x:c r="H23" s="16" t="str">
        <x:f>IF(COUNTA(C23:G23)&lt;5,"OPEN",IF(AND(F23="CURRENT",G23="ACCEPTED"),"BOUND","DENY"))</x:f>
        <x:v>OPEN</x:v>
      </x:c>
    </x:row>
    <x:row r="24">
      <x:c r="A24" s="16" t="str">
        <x:v>DO-021</x:v>
      </x:c>
      <x:c r="B24" s="16" t="str">
        <x:v>inherited event</x:v>
      </x:c>
      <x:c r="C24" s="38"/>
      <x:c r="D24" s="38"/>
      <x:c r="E24" s="38"/>
      <x:c r="F24" s="38"/>
      <x:c r="G24" s="38"/>
      <x:c r="H24" s="16" t="str">
        <x:f>IF(COUNTA(C24:G24)&lt;5,"OPEN",IF(AND(F24="CURRENT",G24="ACCEPTED"),"BOUND","DENY"))</x:f>
        <x:v>OPEN</x:v>
      </x:c>
    </x:row>
    <x:row r="25">
      <x:c r="A25" s="16" t="str">
        <x:v>DO-022</x:v>
      </x:c>
      <x:c r="B25" s="16" t="str">
        <x:v>inherited event</x:v>
      </x:c>
      <x:c r="C25" s="38"/>
      <x:c r="D25" s="38"/>
      <x:c r="E25" s="38"/>
      <x:c r="F25" s="38"/>
      <x:c r="G25" s="38"/>
      <x:c r="H25" s="16" t="str">
        <x:f>IF(COUNTA(C25:G25)&lt;5,"OPEN",IF(AND(F25="CURRENT",G25="ACCEPTED"),"BOUND","DENY"))</x:f>
        <x:v>OPEN</x:v>
      </x:c>
    </x:row>
    <x:row r="26">
      <x:c r="A26" s="16" t="str">
        <x:v>DO-023</x:v>
      </x:c>
      <x:c r="B26" s="16" t="str">
        <x:v>inherited event</x:v>
      </x:c>
      <x:c r="C26" s="38"/>
      <x:c r="D26" s="38"/>
      <x:c r="E26" s="38"/>
      <x:c r="F26" s="38"/>
      <x:c r="G26" s="38"/>
      <x:c r="H26" s="16" t="str">
        <x:f>IF(COUNTA(C26:G26)&lt;5,"OPEN",IF(AND(F26="CURRENT",G26="ACCEPTED"),"BOUND","DENY"))</x:f>
        <x:v>OPEN</x:v>
      </x:c>
    </x:row>
    <x:row r="27">
      <x:c r="A27" s="16" t="str">
        <x:v>DO-024</x:v>
      </x:c>
      <x:c r="B27" s="16" t="str">
        <x:v>inherited event</x:v>
      </x:c>
      <x:c r="C27" s="38"/>
      <x:c r="D27" s="38"/>
      <x:c r="E27" s="38"/>
      <x:c r="F27" s="38"/>
      <x:c r="G27" s="38"/>
      <x:c r="H27" s="16" t="str">
        <x:f>IF(COUNTA(C27:G27)&lt;5,"OPEN",IF(AND(F27="CURRENT",G27="ACCEPTED"),"BOUND","DENY"))</x:f>
        <x:v>OPEN</x:v>
      </x:c>
    </x:row>
    <x:row r="28">
      <x:c r="A28" s="16" t="str">
        <x:v>DO-025</x:v>
      </x:c>
      <x:c r="B28" s="16" t="str">
        <x:v>inherited event</x:v>
      </x:c>
      <x:c r="C28" s="38"/>
      <x:c r="D28" s="38"/>
      <x:c r="E28" s="38"/>
      <x:c r="F28" s="38"/>
      <x:c r="G28" s="38"/>
      <x:c r="H28" s="16" t="str">
        <x:f>IF(COUNTA(C28:G28)&lt;5,"OPEN",IF(AND(F28="CURRENT",G28="ACCEPTED"),"BOUND","DENY"))</x:f>
        <x:v>OPEN</x:v>
      </x:c>
    </x:row>
    <x:row r="29">
      <x:c r="A29" s="16" t="str">
        <x:v>DO-026</x:v>
      </x:c>
      <x:c r="B29" s="16" t="str">
        <x:v>inherited event</x:v>
      </x:c>
      <x:c r="C29" s="38"/>
      <x:c r="D29" s="38"/>
      <x:c r="E29" s="38"/>
      <x:c r="F29" s="38"/>
      <x:c r="G29" s="38"/>
      <x:c r="H29" s="16" t="str">
        <x:f>IF(COUNTA(C29:G29)&lt;5,"OPEN",IF(AND(F29="CURRENT",G29="ACCEPTED"),"BOUND","DENY"))</x:f>
        <x:v>OPEN</x:v>
      </x:c>
    </x:row>
    <x:row r="30">
      <x:c r="A30" s="16" t="str">
        <x:v>DO-027</x:v>
      </x:c>
      <x:c r="B30" s="16" t="str">
        <x:v>inherited event</x:v>
      </x:c>
      <x:c r="C30" s="38"/>
      <x:c r="D30" s="38"/>
      <x:c r="E30" s="38"/>
      <x:c r="F30" s="38"/>
      <x:c r="G30" s="38"/>
      <x:c r="H30" s="16" t="str">
        <x:f>IF(COUNTA(C30:G30)&lt;5,"OPEN",IF(AND(F30="CURRENT",G30="ACCEPTED"),"BOUND","DENY"))</x:f>
        <x:v>OPEN</x:v>
      </x:c>
    </x:row>
    <x:row r="31">
      <x:c r="A31" s="16" t="str">
        <x:v>DO-028</x:v>
      </x:c>
      <x:c r="B31" s="16" t="str">
        <x:v>inherited event</x:v>
      </x:c>
      <x:c r="C31" s="38"/>
      <x:c r="D31" s="38"/>
      <x:c r="E31" s="38"/>
      <x:c r="F31" s="38"/>
      <x:c r="G31" s="38"/>
      <x:c r="H31" s="16" t="str">
        <x:f>IF(COUNTA(C31:G31)&lt;5,"OPEN",IF(AND(F31="CURRENT",G31="ACCEPTED"),"BOUND","DENY"))</x:f>
        <x:v>OPEN</x:v>
      </x:c>
    </x:row>
    <x:row r="32">
      <x:c r="A32" s="16" t="str">
        <x:v>DO-029</x:v>
      </x:c>
      <x:c r="B32" s="16" t="str">
        <x:v>inherited event</x:v>
      </x:c>
      <x:c r="C32" s="38"/>
      <x:c r="D32" s="38"/>
      <x:c r="E32" s="38"/>
      <x:c r="F32" s="38"/>
      <x:c r="G32" s="38"/>
      <x:c r="H32" s="16" t="str">
        <x:f>IF(COUNTA(C32:G32)&lt;5,"OPEN",IF(AND(F32="CURRENT",G32="ACCEPTED"),"BOUND","DENY"))</x:f>
        <x:v>OPEN</x:v>
      </x:c>
    </x:row>
    <x:row r="33">
      <x:c r="A33" s="16" t="str">
        <x:v>DO-030</x:v>
      </x:c>
      <x:c r="B33" s="16" t="str">
        <x:v>inherited event</x:v>
      </x:c>
      <x:c r="C33" s="38"/>
      <x:c r="D33" s="38"/>
      <x:c r="E33" s="38"/>
      <x:c r="F33" s="38"/>
      <x:c r="G33" s="38"/>
      <x:c r="H33" s="16" t="str">
        <x:f>IF(COUNTA(C33:G33)&lt;5,"OPEN",IF(AND(F33="CURRENT",G33="ACCEPTED"),"BOUND","DENY"))</x:f>
        <x:v>OPEN</x:v>
      </x:c>
    </x:row>
    <x:row r="34">
      <x:c r="A34" s="16" t="str">
        <x:v>DO-031</x:v>
      </x:c>
      <x:c r="B34" s="16" t="str">
        <x:v>inherited event</x:v>
      </x:c>
      <x:c r="C34" s="38"/>
      <x:c r="D34" s="38"/>
      <x:c r="E34" s="38"/>
      <x:c r="F34" s="38"/>
      <x:c r="G34" s="38"/>
      <x:c r="H34" s="16" t="str">
        <x:f>IF(COUNTA(C34:G34)&lt;5,"OPEN",IF(AND(F34="CURRENT",G34="ACCEPTED"),"BOUND","DENY"))</x:f>
        <x:v>OPEN</x:v>
      </x:c>
    </x:row>
    <x:row r="35">
      <x:c r="A35" s="16" t="str">
        <x:v>DO-032</x:v>
      </x:c>
      <x:c r="B35" s="16" t="str">
        <x:v>inherited event</x:v>
      </x:c>
      <x:c r="C35" s="38"/>
      <x:c r="D35" s="38"/>
      <x:c r="E35" s="38"/>
      <x:c r="F35" s="38"/>
      <x:c r="G35" s="38"/>
      <x:c r="H35" s="16" t="str">
        <x:f>IF(COUNTA(C35:G35)&lt;5,"OPEN",IF(AND(F35="CURRENT",G35="ACCEPTED"),"BOUND","DENY"))</x:f>
        <x:v>OPEN</x:v>
      </x:c>
    </x:row>
    <x:row r="36">
      <x:c r="A36" s="16" t="str">
        <x:v>DO-033</x:v>
      </x:c>
      <x:c r="B36" s="16" t="str">
        <x:v>inherited event</x:v>
      </x:c>
      <x:c r="C36" s="38"/>
      <x:c r="D36" s="38"/>
      <x:c r="E36" s="38"/>
      <x:c r="F36" s="38"/>
      <x:c r="G36" s="38"/>
      <x:c r="H36" s="16" t="str">
        <x:f>IF(COUNTA(C36:G36)&lt;5,"OPEN",IF(AND(F36="CURRENT",G36="ACCEPTED"),"BOUND","DENY"))</x:f>
        <x:v>OPEN</x:v>
      </x:c>
    </x:row>
    <x:row r="37">
      <x:c r="A37" s="16" t="str">
        <x:v>DO-034</x:v>
      </x:c>
      <x:c r="B37" s="16" t="str">
        <x:v>inherited event</x:v>
      </x:c>
      <x:c r="C37" s="38"/>
      <x:c r="D37" s="38"/>
      <x:c r="E37" s="38"/>
      <x:c r="F37" s="38"/>
      <x:c r="G37" s="38"/>
      <x:c r="H37" s="16" t="str">
        <x:f>IF(COUNTA(C37:G37)&lt;5,"OPEN",IF(AND(F37="CURRENT",G37="ACCEPTED"),"BOUND","DENY"))</x:f>
        <x:v>OPEN</x:v>
      </x:c>
    </x:row>
    <x:row r="38">
      <x:c r="A38" s="16" t="str">
        <x:v>DO-035</x:v>
      </x:c>
      <x:c r="B38" s="16" t="str">
        <x:v>inherited event</x:v>
      </x:c>
      <x:c r="C38" s="38"/>
      <x:c r="D38" s="38"/>
      <x:c r="E38" s="38"/>
      <x:c r="F38" s="38"/>
      <x:c r="G38" s="38"/>
      <x:c r="H38" s="16" t="str">
        <x:f>IF(COUNTA(C38:G38)&lt;5,"OPEN",IF(AND(F38="CURRENT",G38="ACCEPTED"),"BOUND","DENY"))</x:f>
        <x:v>OPEN</x:v>
      </x:c>
    </x:row>
    <x:row r="39">
      <x:c r="A39" s="16" t="str">
        <x:v>DO-036</x:v>
      </x:c>
      <x:c r="B39" s="16" t="str">
        <x:v>inherited event</x:v>
      </x:c>
      <x:c r="C39" s="38"/>
      <x:c r="D39" s="38"/>
      <x:c r="E39" s="38"/>
      <x:c r="F39" s="38"/>
      <x:c r="G39" s="38"/>
      <x:c r="H39" s="16" t="str">
        <x:f>IF(COUNTA(C39:G39)&lt;5,"OPEN",IF(AND(F39="CURRENT",G39="ACCEPTED"),"BOUND","DENY"))</x:f>
        <x:v>OPEN</x:v>
      </x:c>
    </x:row>
    <x:row r="40">
      <x:c r="A40" s="16" t="str">
        <x:v>DO-037</x:v>
      </x:c>
      <x:c r="B40" s="16" t="str">
        <x:v>inherited event</x:v>
      </x:c>
      <x:c r="C40" s="38"/>
      <x:c r="D40" s="38"/>
      <x:c r="E40" s="38"/>
      <x:c r="F40" s="38"/>
      <x:c r="G40" s="38"/>
      <x:c r="H40" s="16" t="str">
        <x:f>IF(COUNTA(C40:G40)&lt;5,"OPEN",IF(AND(F40="CURRENT",G40="ACCEPTED"),"BOUND","DENY"))</x:f>
        <x:v>OPEN</x:v>
      </x:c>
    </x:row>
    <x:row r="41">
      <x:c r="A41" s="16" t="str">
        <x:v>DO-038</x:v>
      </x:c>
      <x:c r="B41" s="16" t="str">
        <x:v>inherited event</x:v>
      </x:c>
      <x:c r="C41" s="38"/>
      <x:c r="D41" s="38"/>
      <x:c r="E41" s="38"/>
      <x:c r="F41" s="38"/>
      <x:c r="G41" s="38"/>
      <x:c r="H41" s="16" t="str">
        <x:f>IF(COUNTA(C41:G41)&lt;5,"OPEN",IF(AND(F41="CURRENT",G41="ACCEPTED"),"BOUND","DENY"))</x:f>
        <x:v>OPEN</x:v>
      </x:c>
    </x:row>
    <x:row r="42">
      <x:c r="A42" s="16" t="str">
        <x:v>DO-039</x:v>
      </x:c>
      <x:c r="B42" s="16" t="str">
        <x:v>inherited event</x:v>
      </x:c>
      <x:c r="C42" s="38"/>
      <x:c r="D42" s="38"/>
      <x:c r="E42" s="38"/>
      <x:c r="F42" s="38"/>
      <x:c r="G42" s="38"/>
      <x:c r="H42" s="16" t="str">
        <x:f>IF(COUNTA(C42:G42)&lt;5,"OPEN",IF(AND(F42="CURRENT",G42="ACCEPTED"),"BOUND","DENY"))</x:f>
        <x:v>OPEN</x:v>
      </x:c>
    </x:row>
    <x:row r="43">
      <x:c r="A43" s="16" t="str">
        <x:v>DO-040</x:v>
      </x:c>
      <x:c r="B43" s="16" t="str">
        <x:v>inherited event</x:v>
      </x:c>
      <x:c r="C43" s="38"/>
      <x:c r="D43" s="38"/>
      <x:c r="E43" s="38"/>
      <x:c r="F43" s="38"/>
      <x:c r="G43" s="38"/>
      <x:c r="H43" s="16" t="str">
        <x:f>IF(COUNTA(C43:G43)&lt;5,"OPEN",IF(AND(F43="CURRENT",G43="ACCEPTED"),"BOUND","DENY"))</x:f>
        <x:v>OPEN</x:v>
      </x:c>
    </x:row>
    <x:row r="44">
      <x:c r="A44" s="16" t="str">
        <x:v>DO-041</x:v>
      </x:c>
      <x:c r="B44" s="16" t="str">
        <x:v>inherited event</x:v>
      </x:c>
      <x:c r="C44" s="38"/>
      <x:c r="D44" s="38"/>
      <x:c r="E44" s="38"/>
      <x:c r="F44" s="38"/>
      <x:c r="G44" s="38"/>
      <x:c r="H44" s="16" t="str">
        <x:f>IF(COUNTA(C44:G44)&lt;5,"OPEN",IF(AND(F44="CURRENT",G44="ACCEPTED"),"BOUND","DENY"))</x:f>
        <x:v>OPEN</x:v>
      </x:c>
    </x:row>
    <x:row r="45">
      <x:c r="A45" s="16" t="str">
        <x:v>DO-042</x:v>
      </x:c>
      <x:c r="B45" s="16" t="str">
        <x:v>inherited event</x:v>
      </x:c>
      <x:c r="C45" s="38"/>
      <x:c r="D45" s="38"/>
      <x:c r="E45" s="38"/>
      <x:c r="F45" s="38"/>
      <x:c r="G45" s="38"/>
      <x:c r="H45" s="16" t="str">
        <x:f>IF(COUNTA(C45:G45)&lt;5,"OPEN",IF(AND(F45="CURRENT",G45="ACCEPTED"),"BOUND","DENY"))</x:f>
        <x:v>OPEN</x:v>
      </x:c>
    </x:row>
    <x:row r="46">
      <x:c r="A46" s="16" t="str">
        <x:v>DO-043</x:v>
      </x:c>
      <x:c r="B46" s="16" t="str">
        <x:v>inherited event</x:v>
      </x:c>
      <x:c r="C46" s="38"/>
      <x:c r="D46" s="38"/>
      <x:c r="E46" s="38"/>
      <x:c r="F46" s="38"/>
      <x:c r="G46" s="38"/>
      <x:c r="H46" s="16" t="str">
        <x:f>IF(COUNTA(C46:G46)&lt;5,"OPEN",IF(AND(F46="CURRENT",G46="ACCEPTED"),"BOUND","DENY"))</x:f>
        <x:v>OPEN</x:v>
      </x:c>
    </x:row>
    <x:row r="47">
      <x:c r="A47" s="16" t="str">
        <x:v>DO-044</x:v>
      </x:c>
      <x:c r="B47" s="16" t="str">
        <x:v>inherited event</x:v>
      </x:c>
      <x:c r="C47" s="38"/>
      <x:c r="D47" s="38"/>
      <x:c r="E47" s="38"/>
      <x:c r="F47" s="38"/>
      <x:c r="G47" s="38"/>
      <x:c r="H47" s="16" t="str">
        <x:f>IF(COUNTA(C47:G47)&lt;5,"OPEN",IF(AND(F47="CURRENT",G47="ACCEPTED"),"BOUND","DENY"))</x:f>
        <x:v>OPEN</x:v>
      </x:c>
    </x:row>
    <x:row r="48">
      <x:c r="A48" s="16" t="str">
        <x:v>DO-045</x:v>
      </x:c>
      <x:c r="B48" s="16" t="str">
        <x:v>inherited event</x:v>
      </x:c>
      <x:c r="C48" s="38"/>
      <x:c r="D48" s="38"/>
      <x:c r="E48" s="38"/>
      <x:c r="F48" s="38"/>
      <x:c r="G48" s="38"/>
      <x:c r="H48" s="16" t="str">
        <x:f>IF(COUNTA(C48:G48)&lt;5,"OPEN",IF(AND(F48="CURRENT",G48="ACCEPTED"),"BOUND","DENY"))</x:f>
        <x:v>OPEN</x:v>
      </x:c>
    </x:row>
    <x:row r="49">
      <x:c r="A49" s="16" t="str">
        <x:v>DO-046</x:v>
      </x:c>
      <x:c r="B49" s="16" t="str">
        <x:v>inherited event</x:v>
      </x:c>
      <x:c r="C49" s="38"/>
      <x:c r="D49" s="38"/>
      <x:c r="E49" s="38"/>
      <x:c r="F49" s="38"/>
      <x:c r="G49" s="38"/>
      <x:c r="H49" s="16" t="str">
        <x:f>IF(COUNTA(C49:G49)&lt;5,"OPEN",IF(AND(F49="CURRENT",G49="ACCEPTED"),"BOUND","DENY"))</x:f>
        <x:v>OPEN</x:v>
      </x:c>
    </x:row>
    <x:row r="50">
      <x:c r="A50" s="16" t="str">
        <x:v>DO-047</x:v>
      </x:c>
      <x:c r="B50" s="16" t="str">
        <x:v>inherited event</x:v>
      </x:c>
      <x:c r="C50" s="38"/>
      <x:c r="D50" s="38"/>
      <x:c r="E50" s="38"/>
      <x:c r="F50" s="38"/>
      <x:c r="G50" s="38"/>
      <x:c r="H50" s="16" t="str">
        <x:f>IF(COUNTA(C50:G50)&lt;5,"OPEN",IF(AND(F50="CURRENT",G50="ACCEPTED"),"BOUND","DENY"))</x:f>
        <x:v>OPEN</x:v>
      </x:c>
    </x:row>
    <x:row r="51">
      <x:c r="A51" s="16" t="str">
        <x:v>DO-048</x:v>
      </x:c>
      <x:c r="B51" s="16" t="str">
        <x:v>inherited event</x:v>
      </x:c>
      <x:c r="C51" s="38"/>
      <x:c r="D51" s="38"/>
      <x:c r="E51" s="38"/>
      <x:c r="F51" s="38"/>
      <x:c r="G51" s="38"/>
      <x:c r="H51" s="16" t="str">
        <x:f>IF(COUNTA(C51:G51)&lt;5,"OPEN",IF(AND(F51="CURRENT",G51="ACCEPTED"),"BOUND","DENY"))</x:f>
        <x:v>OPEN</x:v>
      </x:c>
    </x:row>
    <x:row r="52">
      <x:c r="A52" s="16" t="str">
        <x:v>DO-049</x:v>
      </x:c>
      <x:c r="B52" s="16" t="str">
        <x:v>inherited event</x:v>
      </x:c>
      <x:c r="C52" s="38"/>
      <x:c r="D52" s="38"/>
      <x:c r="E52" s="38"/>
      <x:c r="F52" s="38"/>
      <x:c r="G52" s="38"/>
      <x:c r="H52" s="16" t="str">
        <x:f>IF(COUNTA(C52:G52)&lt;5,"OPEN",IF(AND(F52="CURRENT",G52="ACCEPTED"),"BOUND","DENY"))</x:f>
        <x:v>OPEN</x:v>
      </x:c>
    </x:row>
    <x:row r="53">
      <x:c r="A53" s="16" t="str">
        <x:v>DO-050</x:v>
      </x:c>
      <x:c r="B53" s="16" t="str">
        <x:v>inherited event</x:v>
      </x:c>
      <x:c r="C53" s="38"/>
      <x:c r="D53" s="38"/>
      <x:c r="E53" s="38"/>
      <x:c r="F53" s="38"/>
      <x:c r="G53" s="38"/>
      <x:c r="H53" s="16" t="str">
        <x:f>IF(COUNTA(C53:G53)&lt;5,"OPEN",IF(AND(F53="CURRENT",G53="ACCEPTED"),"BOUND","DENY"))</x:f>
        <x:v>OPEN</x:v>
      </x:c>
    </x:row>
    <x:row r="54">
      <x:c r="A54" s="16" t="str">
        <x:v>DO-051</x:v>
      </x:c>
      <x:c r="B54" s="16" t="str">
        <x:v>inherited event</x:v>
      </x:c>
      <x:c r="C54" s="38"/>
      <x:c r="D54" s="38"/>
      <x:c r="E54" s="38"/>
      <x:c r="F54" s="38"/>
      <x:c r="G54" s="38"/>
      <x:c r="H54" s="16" t="str">
        <x:f>IF(COUNTA(C54:G54)&lt;5,"OPEN",IF(AND(F54="CURRENT",G54="ACCEPTED"),"BOUND","DENY"))</x:f>
        <x:v>OPEN</x:v>
      </x:c>
    </x:row>
    <x:row r="55">
      <x:c r="A55" s="16" t="str">
        <x:v>DO-052</x:v>
      </x:c>
      <x:c r="B55" s="16" t="str">
        <x:v>inherited event</x:v>
      </x:c>
      <x:c r="C55" s="38"/>
      <x:c r="D55" s="38"/>
      <x:c r="E55" s="38"/>
      <x:c r="F55" s="38"/>
      <x:c r="G55" s="38"/>
      <x:c r="H55" s="16" t="str">
        <x:f>IF(COUNTA(C55:G55)&lt;5,"OPEN",IF(AND(F55="CURRENT",G55="ACCEPTED"),"BOUND","DENY"))</x:f>
        <x:v>OPEN</x:v>
      </x:c>
    </x:row>
    <x:row r="56">
      <x:c r="A56" s="16" t="str">
        <x:v>DO-053</x:v>
      </x:c>
      <x:c r="B56" s="16" t="str">
        <x:v>inherited event</x:v>
      </x:c>
      <x:c r="C56" s="38"/>
      <x:c r="D56" s="38"/>
      <x:c r="E56" s="38"/>
      <x:c r="F56" s="38"/>
      <x:c r="G56" s="38"/>
      <x:c r="H56" s="16" t="str">
        <x:f>IF(COUNTA(C56:G56)&lt;5,"OPEN",IF(AND(F56="CURRENT",G56="ACCEPTED"),"BOUND","DENY"))</x:f>
        <x:v>OPEN</x:v>
      </x:c>
    </x:row>
    <x:row r="57">
      <x:c r="A57" s="16" t="str">
        <x:v>DO-054</x:v>
      </x:c>
      <x:c r="B57" s="16" t="str">
        <x:v>inherited event</x:v>
      </x:c>
      <x:c r="C57" s="38"/>
      <x:c r="D57" s="38"/>
      <x:c r="E57" s="38"/>
      <x:c r="F57" s="38"/>
      <x:c r="G57" s="38"/>
      <x:c r="H57" s="16" t="str">
        <x:f>IF(COUNTA(C57:G57)&lt;5,"OPEN",IF(AND(F57="CURRENT",G57="ACCEPTED"),"BOUND","DENY"))</x:f>
        <x:v>OPEN</x:v>
      </x:c>
    </x:row>
    <x:row r="58">
      <x:c r="A58" s="16" t="str">
        <x:v>DO-055</x:v>
      </x:c>
      <x:c r="B58" s="16" t="str">
        <x:v>inherited event</x:v>
      </x:c>
      <x:c r="C58" s="38"/>
      <x:c r="D58" s="38"/>
      <x:c r="E58" s="38"/>
      <x:c r="F58" s="38"/>
      <x:c r="G58" s="38"/>
      <x:c r="H58" s="16" t="str">
        <x:f>IF(COUNTA(C58:G58)&lt;5,"OPEN",IF(AND(F58="CURRENT",G58="ACCEPTED"),"BOUND","DENY"))</x:f>
        <x:v>OPEN</x:v>
      </x:c>
    </x:row>
    <x:row r="59">
      <x:c r="A59" s="16" t="str">
        <x:v>DO-056</x:v>
      </x:c>
      <x:c r="B59" s="16" t="str">
        <x:v>inherited event</x:v>
      </x:c>
      <x:c r="C59" s="38"/>
      <x:c r="D59" s="38"/>
      <x:c r="E59" s="38"/>
      <x:c r="F59" s="38"/>
      <x:c r="G59" s="38"/>
      <x:c r="H59" s="16" t="str">
        <x:f>IF(COUNTA(C59:G59)&lt;5,"OPEN",IF(AND(F59="CURRENT",G59="ACCEPTED"),"BOUND","DENY"))</x:f>
        <x:v>OPEN</x:v>
      </x:c>
    </x:row>
    <x:row r="60">
      <x:c r="A60" s="16" t="str">
        <x:v>DO-057</x:v>
      </x:c>
      <x:c r="B60" s="16" t="str">
        <x:v>inherited event</x:v>
      </x:c>
      <x:c r="C60" s="38"/>
      <x:c r="D60" s="38"/>
      <x:c r="E60" s="38"/>
      <x:c r="F60" s="38"/>
      <x:c r="G60" s="38"/>
      <x:c r="H60" s="16" t="str">
        <x:f>IF(COUNTA(C60:G60)&lt;5,"OPEN",IF(AND(F60="CURRENT",G60="ACCEPTED"),"BOUND","DENY"))</x:f>
        <x:v>OPEN</x:v>
      </x:c>
    </x:row>
    <x:row r="61">
      <x:c r="A61" s="16" t="str">
        <x:v>DO-058</x:v>
      </x:c>
      <x:c r="B61" s="16" t="str">
        <x:v>inherited event</x:v>
      </x:c>
      <x:c r="C61" s="38"/>
      <x:c r="D61" s="38"/>
      <x:c r="E61" s="38"/>
      <x:c r="F61" s="38"/>
      <x:c r="G61" s="38"/>
      <x:c r="H61" s="16" t="str">
        <x:f>IF(COUNTA(C61:G61)&lt;5,"OPEN",IF(AND(F61="CURRENT",G61="ACCEPTED"),"BOUND","DENY"))</x:f>
        <x:v>OPEN</x:v>
      </x:c>
    </x:row>
    <x:row r="62">
      <x:c r="A62" s="16" t="str">
        <x:v>DO-059</x:v>
      </x:c>
      <x:c r="B62" s="16" t="str">
        <x:v>inherited event</x:v>
      </x:c>
      <x:c r="C62" s="38"/>
      <x:c r="D62" s="38"/>
      <x:c r="E62" s="38"/>
      <x:c r="F62" s="38"/>
      <x:c r="G62" s="38"/>
      <x:c r="H62" s="16" t="str">
        <x:f>IF(COUNTA(C62:G62)&lt;5,"OPEN",IF(AND(F62="CURRENT",G62="ACCEPTED"),"BOUND","DENY"))</x:f>
        <x:v>OPEN</x:v>
      </x:c>
    </x:row>
    <x:row r="63">
      <x:c r="A63" s="16" t="str">
        <x:v>DO-060</x:v>
      </x:c>
      <x:c r="B63" s="16" t="str">
        <x:v>inherited event</x:v>
      </x:c>
      <x:c r="C63" s="38"/>
      <x:c r="D63" s="38"/>
      <x:c r="E63" s="38"/>
      <x:c r="F63" s="38"/>
      <x:c r="G63" s="38"/>
      <x:c r="H63" s="16" t="str">
        <x:f>IF(COUNTA(C63:G63)&lt;5,"OPEN",IF(AND(F63="CURRENT",G63="ACCEPTED"),"BOUND","DENY"))</x:f>
        <x:v>OPEN</x:v>
      </x:c>
    </x:row>
    <x:row r="64">
      <x:c r="A64" s="16" t="str">
        <x:v>DO-061</x:v>
      </x:c>
      <x:c r="B64" s="16" t="str">
        <x:v>inherited event</x:v>
      </x:c>
      <x:c r="C64" s="38"/>
      <x:c r="D64" s="38"/>
      <x:c r="E64" s="38"/>
      <x:c r="F64" s="38"/>
      <x:c r="G64" s="38"/>
      <x:c r="H64" s="16" t="str">
        <x:f>IF(COUNTA(C64:G64)&lt;5,"OPEN",IF(AND(F64="CURRENT",G64="ACCEPTED"),"BOUND","DENY"))</x:f>
        <x:v>OPEN</x:v>
      </x:c>
    </x:row>
    <x:row r="65">
      <x:c r="A65" s="16" t="str">
        <x:v>DO-062</x:v>
      </x:c>
      <x:c r="B65" s="16" t="str">
        <x:v>inherited event</x:v>
      </x:c>
      <x:c r="C65" s="38"/>
      <x:c r="D65" s="38"/>
      <x:c r="E65" s="38"/>
      <x:c r="F65" s="38"/>
      <x:c r="G65" s="38"/>
      <x:c r="H65" s="16" t="str">
        <x:f>IF(COUNTA(C65:G65)&lt;5,"OPEN",IF(AND(F65="CURRENT",G65="ACCEPTED"),"BOUND","DENY"))</x:f>
        <x:v>OPEN</x:v>
      </x:c>
    </x:row>
    <x:row r="66">
      <x:c r="A66" s="16" t="str">
        <x:v>DO-063</x:v>
      </x:c>
      <x:c r="B66" s="16" t="str">
        <x:v>inherited event</x:v>
      </x:c>
      <x:c r="C66" s="38"/>
      <x:c r="D66" s="38"/>
      <x:c r="E66" s="38"/>
      <x:c r="F66" s="38"/>
      <x:c r="G66" s="38"/>
      <x:c r="H66" s="16" t="str">
        <x:f>IF(COUNTA(C66:G66)&lt;5,"OPEN",IF(AND(F66="CURRENT",G66="ACCEPTED"),"BOUND","DENY"))</x:f>
        <x:v>OPEN</x:v>
      </x:c>
    </x:row>
    <x:row r="67">
      <x:c r="A67" s="16" t="str">
        <x:v>DO-064</x:v>
      </x:c>
      <x:c r="B67" s="16" t="str">
        <x:v>inherited event</x:v>
      </x:c>
      <x:c r="C67" s="38"/>
      <x:c r="D67" s="38"/>
      <x:c r="E67" s="38"/>
      <x:c r="F67" s="38"/>
      <x:c r="G67" s="38"/>
      <x:c r="H67" s="16" t="str">
        <x:f>IF(COUNTA(C67:G67)&lt;5,"OPEN",IF(AND(F67="CURRENT",G67="ACCEPTED"),"BOUND","DENY"))</x:f>
        <x:v>OPEN</x:v>
      </x:c>
    </x:row>
    <x:row r="68">
      <x:c r="A68" s="16" t="str">
        <x:v>DO-065</x:v>
      </x:c>
      <x:c r="B68" s="16" t="str">
        <x:v>inherited event</x:v>
      </x:c>
      <x:c r="C68" s="38"/>
      <x:c r="D68" s="38"/>
      <x:c r="E68" s="38"/>
      <x:c r="F68" s="38"/>
      <x:c r="G68" s="38"/>
      <x:c r="H68" s="16" t="str">
        <x:f>IF(COUNTA(C68:G68)&lt;5,"OPEN",IF(AND(F68="CURRENT",G68="ACCEPTED"),"BOUND","DENY"))</x:f>
        <x:v>OPEN</x:v>
      </x:c>
    </x:row>
    <x:row r="69">
      <x:c r="A69" s="16" t="str">
        <x:v>DO-066</x:v>
      </x:c>
      <x:c r="B69" s="16" t="str">
        <x:v>inherited event</x:v>
      </x:c>
      <x:c r="C69" s="38"/>
      <x:c r="D69" s="38"/>
      <x:c r="E69" s="38"/>
      <x:c r="F69" s="38"/>
      <x:c r="G69" s="38"/>
      <x:c r="H69" s="16" t="str">
        <x:f>IF(COUNTA(C69:G69)&lt;5,"OPEN",IF(AND(F69="CURRENT",G69="ACCEPTED"),"BOUND","DENY"))</x:f>
        <x:v>OPEN</x:v>
      </x:c>
    </x:row>
    <x:row r="70">
      <x:c r="A70" s="16" t="str">
        <x:v>DO-067</x:v>
      </x:c>
      <x:c r="B70" s="16" t="str">
        <x:v>inherited event</x:v>
      </x:c>
      <x:c r="C70" s="38"/>
      <x:c r="D70" s="38"/>
      <x:c r="E70" s="38"/>
      <x:c r="F70" s="38"/>
      <x:c r="G70" s="38"/>
      <x:c r="H70" s="16" t="str">
        <x:f>IF(COUNTA(C70:G70)&lt;5,"OPEN",IF(AND(F70="CURRENT",G70="ACCEPTED"),"BOUND","DENY"))</x:f>
        <x:v>OPEN</x:v>
      </x:c>
    </x:row>
    <x:row r="71">
      <x:c r="A71" s="16" t="str">
        <x:v>DO-068</x:v>
      </x:c>
      <x:c r="B71" s="16" t="str">
        <x:v>inherited event</x:v>
      </x:c>
      <x:c r="C71" s="38"/>
      <x:c r="D71" s="38"/>
      <x:c r="E71" s="38"/>
      <x:c r="F71" s="38"/>
      <x:c r="G71" s="38"/>
      <x:c r="H71" s="16" t="str">
        <x:f>IF(COUNTA(C71:G71)&lt;5,"OPEN",IF(AND(F71="CURRENT",G71="ACCEPTED"),"BOUND","DENY"))</x:f>
        <x:v>OPEN</x:v>
      </x:c>
    </x:row>
    <x:row r="72">
      <x:c r="A72" s="16" t="str">
        <x:v>DO-069</x:v>
      </x:c>
      <x:c r="B72" s="16" t="str">
        <x:v>inherited event</x:v>
      </x:c>
      <x:c r="C72" s="38"/>
      <x:c r="D72" s="38"/>
      <x:c r="E72" s="38"/>
      <x:c r="F72" s="38"/>
      <x:c r="G72" s="38"/>
      <x:c r="H72" s="16" t="str">
        <x:f>IF(COUNTA(C72:G72)&lt;5,"OPEN",IF(AND(F72="CURRENT",G72="ACCEPTED"),"BOUND","DENY"))</x:f>
        <x:v>OPEN</x:v>
      </x:c>
    </x:row>
    <x:row r="73">
      <x:c r="A73" s="16" t="str">
        <x:v>DO-070</x:v>
      </x:c>
      <x:c r="B73" s="16" t="str">
        <x:v>inherited event</x:v>
      </x:c>
      <x:c r="C73" s="38"/>
      <x:c r="D73" s="38"/>
      <x:c r="E73" s="38"/>
      <x:c r="F73" s="38"/>
      <x:c r="G73" s="38"/>
      <x:c r="H73" s="16" t="str">
        <x:f>IF(COUNTA(C73:G73)&lt;5,"OPEN",IF(AND(F73="CURRENT",G73="ACCEPTED"),"BOUND","DENY"))</x:f>
        <x:v>OPEN</x:v>
      </x:c>
    </x:row>
    <x:row r="74">
      <x:c r="A74" s="16" t="str">
        <x:v>DO-071</x:v>
      </x:c>
      <x:c r="B74" s="16" t="str">
        <x:v>inherited event</x:v>
      </x:c>
      <x:c r="C74" s="38"/>
      <x:c r="D74" s="38"/>
      <x:c r="E74" s="38"/>
      <x:c r="F74" s="38"/>
      <x:c r="G74" s="38"/>
      <x:c r="H74" s="16" t="str">
        <x:f>IF(COUNTA(C74:G74)&lt;5,"OPEN",IF(AND(F74="CURRENT",G74="ACCEPTED"),"BOUND","DENY"))</x:f>
        <x:v>OPEN</x:v>
      </x:c>
    </x:row>
    <x:row r="75">
      <x:c r="A75" s="16" t="str">
        <x:v>DO-072</x:v>
      </x:c>
      <x:c r="B75" s="16" t="str">
        <x:v>inherited event</x:v>
      </x:c>
      <x:c r="C75" s="38"/>
      <x:c r="D75" s="38"/>
      <x:c r="E75" s="38"/>
      <x:c r="F75" s="38"/>
      <x:c r="G75" s="38"/>
      <x:c r="H75" s="16" t="str">
        <x:f>IF(COUNTA(C75:G75)&lt;5,"OPEN",IF(AND(F75="CURRENT",G75="ACCEPTED"),"BOUND","DENY"))</x:f>
        <x:v>OPEN</x:v>
      </x:c>
    </x:row>
    <x:row r="76">
      <x:c r="A76" s="16" t="str">
        <x:v>DO-073</x:v>
      </x:c>
      <x:c r="B76" s="16" t="str">
        <x:v>inherited event</x:v>
      </x:c>
      <x:c r="C76" s="38"/>
      <x:c r="D76" s="38"/>
      <x:c r="E76" s="38"/>
      <x:c r="F76" s="38"/>
      <x:c r="G76" s="38"/>
      <x:c r="H76" s="16" t="str">
        <x:f>IF(COUNTA(C76:G76)&lt;5,"OPEN",IF(AND(F76="CURRENT",G76="ACCEPTED"),"BOUND","DENY"))</x:f>
        <x:v>OPEN</x:v>
      </x:c>
    </x:row>
    <x:row r="77">
      <x:c r="A77" s="16" t="str">
        <x:v>DO-074</x:v>
      </x:c>
      <x:c r="B77" s="16" t="str">
        <x:v>inherited event</x:v>
      </x:c>
      <x:c r="C77" s="38"/>
      <x:c r="D77" s="38"/>
      <x:c r="E77" s="38"/>
      <x:c r="F77" s="38"/>
      <x:c r="G77" s="38"/>
      <x:c r="H77" s="16" t="str">
        <x:f>IF(COUNTA(C77:G77)&lt;5,"OPEN",IF(AND(F77="CURRENT",G77="ACCEPTED"),"BOUND","DENY"))</x:f>
        <x:v>OPEN</x:v>
      </x:c>
    </x:row>
    <x:row r="78">
      <x:c r="A78" s="16" t="str">
        <x:v>DO-075</x:v>
      </x:c>
      <x:c r="B78" s="16" t="str">
        <x:v>inherited event</x:v>
      </x:c>
      <x:c r="C78" s="38"/>
      <x:c r="D78" s="38"/>
      <x:c r="E78" s="38"/>
      <x:c r="F78" s="38"/>
      <x:c r="G78" s="38"/>
      <x:c r="H78" s="16" t="str">
        <x:f>IF(COUNTA(C78:G78)&lt;5,"OPEN",IF(AND(F78="CURRENT",G78="ACCEPTED"),"BOUND","DENY"))</x:f>
        <x:v>OPEN</x:v>
      </x:c>
    </x:row>
    <x:row r="79">
      <x:c r="A79" s="16" t="str">
        <x:v>DO-076</x:v>
      </x:c>
      <x:c r="B79" s="16" t="str">
        <x:v>inherited event</x:v>
      </x:c>
      <x:c r="C79" s="38"/>
      <x:c r="D79" s="38"/>
      <x:c r="E79" s="38"/>
      <x:c r="F79" s="38"/>
      <x:c r="G79" s="38"/>
      <x:c r="H79" s="16" t="str">
        <x:f>IF(COUNTA(C79:G79)&lt;5,"OPEN",IF(AND(F79="CURRENT",G79="ACCEPTED"),"BOUND","DENY"))</x:f>
        <x:v>OPEN</x:v>
      </x:c>
    </x:row>
    <x:row r="80">
      <x:c r="A80" s="16" t="str">
        <x:v>DO-077</x:v>
      </x:c>
      <x:c r="B80" s="16" t="str">
        <x:v>inherited event</x:v>
      </x:c>
      <x:c r="C80" s="38"/>
      <x:c r="D80" s="38"/>
      <x:c r="E80" s="38"/>
      <x:c r="F80" s="38"/>
      <x:c r="G80" s="38"/>
      <x:c r="H80" s="16" t="str">
        <x:f>IF(COUNTA(C80:G80)&lt;5,"OPEN",IF(AND(F80="CURRENT",G80="ACCEPTED"),"BOUND","DENY"))</x:f>
        <x:v>OPEN</x:v>
      </x:c>
    </x:row>
    <x:row r="81">
      <x:c r="A81" s="16" t="str">
        <x:v>DO-078</x:v>
      </x:c>
      <x:c r="B81" s="16" t="str">
        <x:v>inherited event</x:v>
      </x:c>
      <x:c r="C81" s="38"/>
      <x:c r="D81" s="38"/>
      <x:c r="E81" s="38"/>
      <x:c r="F81" s="38"/>
      <x:c r="G81" s="38"/>
      <x:c r="H81" s="16" t="str">
        <x:f>IF(COUNTA(C81:G81)&lt;5,"OPEN",IF(AND(F81="CURRENT",G81="ACCEPTED"),"BOUND","DENY"))</x:f>
        <x:v>OPEN</x:v>
      </x:c>
    </x:row>
    <x:row r="82">
      <x:c r="A82" s="16" t="str">
        <x:v>DO-079</x:v>
      </x:c>
      <x:c r="B82" s="16" t="str">
        <x:v>inherited event</x:v>
      </x:c>
      <x:c r="C82" s="38"/>
      <x:c r="D82" s="38"/>
      <x:c r="E82" s="38"/>
      <x:c r="F82" s="38"/>
      <x:c r="G82" s="38"/>
      <x:c r="H82" s="16" t="str">
        <x:f>IF(COUNTA(C82:G82)&lt;5,"OPEN",IF(AND(F82="CURRENT",G82="ACCEPTED"),"BOUND","DENY"))</x:f>
        <x:v>OPEN</x:v>
      </x:c>
    </x:row>
    <x:row r="83">
      <x:c r="A83" s="16" t="str">
        <x:v>DO-080</x:v>
      </x:c>
      <x:c r="B83" s="16" t="str">
        <x:v>inherited event</x:v>
      </x:c>
      <x:c r="C83" s="38"/>
      <x:c r="D83" s="38"/>
      <x:c r="E83" s="38"/>
      <x:c r="F83" s="38"/>
      <x:c r="G83" s="38"/>
      <x:c r="H83" s="16" t="str">
        <x:f>IF(COUNTA(C83:G83)&lt;5,"OPEN",IF(AND(F83="CURRENT",G83="ACCEPTED"),"BOUND","DENY"))</x:f>
        <x:v>OPEN</x:v>
      </x:c>
    </x:row>
    <x:row r="84">
      <x:c r="A84" s="16" t="str">
        <x:v>DO-081</x:v>
      </x:c>
      <x:c r="B84" s="16" t="str">
        <x:v>inherited event</x:v>
      </x:c>
      <x:c r="C84" s="38"/>
      <x:c r="D84" s="38"/>
      <x:c r="E84" s="38"/>
      <x:c r="F84" s="38"/>
      <x:c r="G84" s="38"/>
      <x:c r="H84" s="16" t="str">
        <x:f>IF(COUNTA(C84:G84)&lt;5,"OPEN",IF(AND(F84="CURRENT",G84="ACCEPTED"),"BOUND","DENY"))</x:f>
        <x:v>OPEN</x:v>
      </x:c>
    </x:row>
    <x:row r="85">
      <x:c r="A85" s="16" t="str">
        <x:v>DO-082</x:v>
      </x:c>
      <x:c r="B85" s="16" t="str">
        <x:v>inherited event</x:v>
      </x:c>
      <x:c r="C85" s="38"/>
      <x:c r="D85" s="38"/>
      <x:c r="E85" s="38"/>
      <x:c r="F85" s="38"/>
      <x:c r="G85" s="38"/>
      <x:c r="H85" s="16" t="str">
        <x:f>IF(COUNTA(C85:G85)&lt;5,"OPEN",IF(AND(F85="CURRENT",G85="ACCEPTED"),"BOUND","DENY"))</x:f>
        <x:v>OPEN</x:v>
      </x:c>
    </x:row>
    <x:row r="86">
      <x:c r="A86" s="16" t="str">
        <x:v>DO-083</x:v>
      </x:c>
      <x:c r="B86" s="16" t="str">
        <x:v>inherited event</x:v>
      </x:c>
      <x:c r="C86" s="38"/>
      <x:c r="D86" s="38"/>
      <x:c r="E86" s="38"/>
      <x:c r="F86" s="38"/>
      <x:c r="G86" s="38"/>
      <x:c r="H86" s="16" t="str">
        <x:f>IF(COUNTA(C86:G86)&lt;5,"OPEN",IF(AND(F86="CURRENT",G86="ACCEPTED"),"BOUND","DENY"))</x:f>
        <x:v>OPEN</x:v>
      </x:c>
    </x:row>
    <x:row r="87">
      <x:c r="A87" s="16" t="str">
        <x:v>DO-084</x:v>
      </x:c>
      <x:c r="B87" s="16" t="str">
        <x:v>inherited event</x:v>
      </x:c>
      <x:c r="C87" s="38"/>
      <x:c r="D87" s="38"/>
      <x:c r="E87" s="38"/>
      <x:c r="F87" s="38"/>
      <x:c r="G87" s="38"/>
      <x:c r="H87" s="16" t="str">
        <x:f>IF(COUNTA(C87:G87)&lt;5,"OPEN",IF(AND(F87="CURRENT",G87="ACCEPTED"),"BOUND","DENY"))</x:f>
        <x:v>OPEN</x:v>
      </x:c>
    </x:row>
    <x:row r="88">
      <x:c r="A88" s="16" t="str">
        <x:v>DO-085</x:v>
      </x:c>
      <x:c r="B88" s="16" t="str">
        <x:v>inherited event</x:v>
      </x:c>
      <x:c r="C88" s="38"/>
      <x:c r="D88" s="38"/>
      <x:c r="E88" s="38"/>
      <x:c r="F88" s="38"/>
      <x:c r="G88" s="38"/>
      <x:c r="H88" s="16" t="str">
        <x:f>IF(COUNTA(C88:G88)&lt;5,"OPEN",IF(AND(F88="CURRENT",G88="ACCEPTED"),"BOUND","DENY"))</x:f>
        <x:v>OPEN</x:v>
      </x:c>
    </x:row>
    <x:row r="89">
      <x:c r="A89" s="16" t="str">
        <x:v>DO-086</x:v>
      </x:c>
      <x:c r="B89" s="16" t="str">
        <x:v>inherited event</x:v>
      </x:c>
      <x:c r="C89" s="38"/>
      <x:c r="D89" s="38"/>
      <x:c r="E89" s="38"/>
      <x:c r="F89" s="38"/>
      <x:c r="G89" s="38"/>
      <x:c r="H89" s="16" t="str">
        <x:f>IF(COUNTA(C89:G89)&lt;5,"OPEN",IF(AND(F89="CURRENT",G89="ACCEPTED"),"BOUND","DENY"))</x:f>
        <x:v>OPEN</x:v>
      </x:c>
    </x:row>
    <x:row r="90">
      <x:c r="A90" s="16" t="str">
        <x:v>DO-087</x:v>
      </x:c>
      <x:c r="B90" s="16" t="str">
        <x:v>inherited event</x:v>
      </x:c>
      <x:c r="C90" s="38"/>
      <x:c r="D90" s="38"/>
      <x:c r="E90" s="38"/>
      <x:c r="F90" s="38"/>
      <x:c r="G90" s="38"/>
      <x:c r="H90" s="16" t="str">
        <x:f>IF(COUNTA(C90:G90)&lt;5,"OPEN",IF(AND(F90="CURRENT",G90="ACCEPTED"),"BOUND","DENY"))</x:f>
        <x:v>OPEN</x:v>
      </x:c>
    </x:row>
    <x:row r="91">
      <x:c r="A91" s="16" t="str">
        <x:v>DO-088</x:v>
      </x:c>
      <x:c r="B91" s="16" t="str">
        <x:v>inherited event</x:v>
      </x:c>
      <x:c r="C91" s="38"/>
      <x:c r="D91" s="38"/>
      <x:c r="E91" s="38"/>
      <x:c r="F91" s="38"/>
      <x:c r="G91" s="38"/>
      <x:c r="H91" s="16" t="str">
        <x:f>IF(COUNTA(C91:G91)&lt;5,"OPEN",IF(AND(F91="CURRENT",G91="ACCEPTED"),"BOUND","DENY"))</x:f>
        <x:v>OPEN</x:v>
      </x:c>
    </x:row>
    <x:row r="92">
      <x:c r="A92" s="16" t="str">
        <x:v>DO-089</x:v>
      </x:c>
      <x:c r="B92" s="16" t="str">
        <x:v>inherited event</x:v>
      </x:c>
      <x:c r="C92" s="38"/>
      <x:c r="D92" s="38"/>
      <x:c r="E92" s="38"/>
      <x:c r="F92" s="38"/>
      <x:c r="G92" s="38"/>
      <x:c r="H92" s="16" t="str">
        <x:f>IF(COUNTA(C92:G92)&lt;5,"OPEN",IF(AND(F92="CURRENT",G92="ACCEPTED"),"BOUND","DENY"))</x:f>
        <x:v>OPEN</x:v>
      </x:c>
    </x:row>
    <x:row r="93">
      <x:c r="A93" s="16" t="str">
        <x:v>DO-090</x:v>
      </x:c>
      <x:c r="B93" s="16" t="str">
        <x:v>inherited event</x:v>
      </x:c>
      <x:c r="C93" s="38"/>
      <x:c r="D93" s="38"/>
      <x:c r="E93" s="38"/>
      <x:c r="F93" s="38"/>
      <x:c r="G93" s="38"/>
      <x:c r="H93" s="16" t="str">
        <x:f>IF(COUNTA(C93:G93)&lt;5,"OPEN",IF(AND(F93="CURRENT",G93="ACCEPTED"),"BOUND","DENY"))</x:f>
        <x:v>OPEN</x:v>
      </x:c>
    </x:row>
    <x:row r="94">
      <x:c r="A94" s="16" t="str">
        <x:v>DO-091</x:v>
      </x:c>
      <x:c r="B94" s="16" t="str">
        <x:v>inherited event</x:v>
      </x:c>
      <x:c r="C94" s="38"/>
      <x:c r="D94" s="38"/>
      <x:c r="E94" s="38"/>
      <x:c r="F94" s="38"/>
      <x:c r="G94" s="38"/>
      <x:c r="H94" s="16" t="str">
        <x:f>IF(COUNTA(C94:G94)&lt;5,"OPEN",IF(AND(F94="CURRENT",G94="ACCEPTED"),"BOUND","DENY"))</x:f>
        <x:v>OPEN</x:v>
      </x:c>
    </x:row>
    <x:row r="95">
      <x:c r="A95" s="16" t="str">
        <x:v>DO-092</x:v>
      </x:c>
      <x:c r="B95" s="16" t="str">
        <x:v>inherited event</x:v>
      </x:c>
      <x:c r="C95" s="38"/>
      <x:c r="D95" s="38"/>
      <x:c r="E95" s="38"/>
      <x:c r="F95" s="38"/>
      <x:c r="G95" s="38"/>
      <x:c r="H95" s="16" t="str">
        <x:f>IF(COUNTA(C95:G95)&lt;5,"OPEN",IF(AND(F95="CURRENT",G95="ACCEPTED"),"BOUND","DENY"))</x:f>
        <x:v>OPEN</x:v>
      </x:c>
    </x:row>
    <x:row r="96">
      <x:c r="A96" s="16" t="str">
        <x:v>DO-093</x:v>
      </x:c>
      <x:c r="B96" s="16" t="str">
        <x:v>inherited event</x:v>
      </x:c>
      <x:c r="C96" s="38"/>
      <x:c r="D96" s="38"/>
      <x:c r="E96" s="38"/>
      <x:c r="F96" s="38"/>
      <x:c r="G96" s="38"/>
      <x:c r="H96" s="16" t="str">
        <x:f>IF(COUNTA(C96:G96)&lt;5,"OPEN",IF(AND(F96="CURRENT",G96="ACCEPTED"),"BOUND","DENY"))</x:f>
        <x:v>OPEN</x:v>
      </x:c>
    </x:row>
    <x:row r="97">
      <x:c r="A97" s="16" t="str">
        <x:v>DO-094</x:v>
      </x:c>
      <x:c r="B97" s="16" t="str">
        <x:v>inherited event</x:v>
      </x:c>
      <x:c r="C97" s="38"/>
      <x:c r="D97" s="38"/>
      <x:c r="E97" s="38"/>
      <x:c r="F97" s="38"/>
      <x:c r="G97" s="38"/>
      <x:c r="H97" s="16" t="str">
        <x:f>IF(COUNTA(C97:G97)&lt;5,"OPEN",IF(AND(F97="CURRENT",G97="ACCEPTED"),"BOUND","DENY"))</x:f>
        <x:v>OPEN</x:v>
      </x:c>
    </x:row>
    <x:row r="98">
      <x:c r="A98" s="16" t="str">
        <x:v>DO-095</x:v>
      </x:c>
      <x:c r="B98" s="16" t="str">
        <x:v>inherited event</x:v>
      </x:c>
      <x:c r="C98" s="38"/>
      <x:c r="D98" s="38"/>
      <x:c r="E98" s="38"/>
      <x:c r="F98" s="38"/>
      <x:c r="G98" s="38"/>
      <x:c r="H98" s="16" t="str">
        <x:f>IF(COUNTA(C98:G98)&lt;5,"OPEN",IF(AND(F98="CURRENT",G98="ACCEPTED"),"BOUND","DENY"))</x:f>
        <x:v>OPEN</x:v>
      </x:c>
    </x:row>
    <x:row r="99">
      <x:c r="A99" s="16" t="str">
        <x:v>DO-096</x:v>
      </x:c>
      <x:c r="B99" s="16" t="str">
        <x:v>inherited event</x:v>
      </x:c>
      <x:c r="C99" s="38"/>
      <x:c r="D99" s="38"/>
      <x:c r="E99" s="38"/>
      <x:c r="F99" s="38"/>
      <x:c r="G99" s="38"/>
      <x:c r="H99" s="16" t="str">
        <x:f>IF(COUNTA(C99:G99)&lt;5,"OPEN",IF(AND(F99="CURRENT",G99="ACCEPTED"),"BOUND","DENY"))</x:f>
        <x:v>OPEN</x:v>
      </x:c>
    </x:row>
    <x:row r="100">
      <x:c r="A100" s="16" t="str">
        <x:v>DO-097</x:v>
      </x:c>
      <x:c r="B100" s="16" t="str">
        <x:v>inherited event</x:v>
      </x:c>
      <x:c r="C100" s="38"/>
      <x:c r="D100" s="38"/>
      <x:c r="E100" s="38"/>
      <x:c r="F100" s="38"/>
      <x:c r="G100" s="38"/>
      <x:c r="H100" s="16" t="str">
        <x:f>IF(COUNTA(C100:G100)&lt;5,"OPEN",IF(AND(F100="CURRENT",G100="ACCEPTED"),"BOUND","DENY"))</x:f>
        <x:v>OPEN</x:v>
      </x:c>
    </x:row>
    <x:row r="101">
      <x:c r="A101" s="16" t="str">
        <x:v>DO-098</x:v>
      </x:c>
      <x:c r="B101" s="16" t="str">
        <x:v>inherited event</x:v>
      </x:c>
      <x:c r="C101" s="38"/>
      <x:c r="D101" s="38"/>
      <x:c r="E101" s="38"/>
      <x:c r="F101" s="38"/>
      <x:c r="G101" s="38"/>
      <x:c r="H101" s="16" t="str">
        <x:f>IF(COUNTA(C101:G101)&lt;5,"OPEN",IF(AND(F101="CURRENT",G101="ACCEPTED"),"BOUND","DENY"))</x:f>
        <x:v>OPEN</x:v>
      </x:c>
    </x:row>
    <x:row r="102">
      <x:c r="A102" s="16" t="str">
        <x:v>DO-099</x:v>
      </x:c>
      <x:c r="B102" s="16" t="str">
        <x:v>inherited event</x:v>
      </x:c>
      <x:c r="C102" s="38"/>
      <x:c r="D102" s="38"/>
      <x:c r="E102" s="38"/>
      <x:c r="F102" s="38"/>
      <x:c r="G102" s="38"/>
      <x:c r="H102" s="16" t="str">
        <x:f>IF(COUNTA(C102:G102)&lt;5,"OPEN",IF(AND(F102="CURRENT",G102="ACCEPTED"),"BOUND","DENY"))</x:f>
        <x:v>OPEN</x:v>
      </x:c>
    </x:row>
    <x:row r="103">
      <x:c r="A103" s="16" t="str">
        <x:v>DO-100</x:v>
      </x:c>
      <x:c r="B103" s="16" t="str">
        <x:v>inherited event</x:v>
      </x:c>
      <x:c r="C103" s="38"/>
      <x:c r="D103" s="38"/>
      <x:c r="E103" s="38"/>
      <x:c r="F103" s="38"/>
      <x:c r="G103" s="38"/>
      <x:c r="H103" s="16" t="str">
        <x:f>IF(COUNTA(C103:G103)&lt;5,"OPEN",IF(AND(F103="CURRENT",G103="ACCEPTED"),"BOUND","DENY"))</x:f>
        <x:v>OPEN</x:v>
      </x:c>
    </x:row>
    <x:row r="104">
      <x:c r="A104" s="16" t="str">
        <x:v>DO-101</x:v>
      </x:c>
      <x:c r="B104" s="16" t="str">
        <x:v>inherited event</x:v>
      </x:c>
      <x:c r="C104" s="38"/>
      <x:c r="D104" s="38"/>
      <x:c r="E104" s="38"/>
      <x:c r="F104" s="38"/>
      <x:c r="G104" s="38"/>
      <x:c r="H104" s="16" t="str">
        <x:f>IF(COUNTA(C104:G104)&lt;5,"OPEN",IF(AND(F104="CURRENT",G104="ACCEPTED"),"BOUND","DENY"))</x:f>
        <x:v>OPEN</x:v>
      </x:c>
    </x:row>
    <x:row r="105">
      <x:c r="A105" s="16" t="str">
        <x:v>DO-102</x:v>
      </x:c>
      <x:c r="B105" s="16" t="str">
        <x:v>inherited event</x:v>
      </x:c>
      <x:c r="C105" s="38"/>
      <x:c r="D105" s="38"/>
      <x:c r="E105" s="38"/>
      <x:c r="F105" s="38"/>
      <x:c r="G105" s="38"/>
      <x:c r="H105" s="16" t="str">
        <x:f>IF(COUNTA(C105:G105)&lt;5,"OPEN",IF(AND(F105="CURRENT",G105="ACCEPTED"),"BOUND","DENY"))</x:f>
        <x:v>OPEN</x:v>
      </x:c>
    </x:row>
    <x:row r="106">
      <x:c r="A106" s="16" t="str">
        <x:v>DO-103</x:v>
      </x:c>
      <x:c r="B106" s="16" t="str">
        <x:v>inherited event</x:v>
      </x:c>
      <x:c r="C106" s="38"/>
      <x:c r="D106" s="38"/>
      <x:c r="E106" s="38"/>
      <x:c r="F106" s="38"/>
      <x:c r="G106" s="38"/>
      <x:c r="H106" s="16" t="str">
        <x:f>IF(COUNTA(C106:G106)&lt;5,"OPEN",IF(AND(F106="CURRENT",G106="ACCEPTED"),"BOUND","DENY"))</x:f>
        <x:v>OPEN</x:v>
      </x:c>
    </x:row>
    <x:row r="107">
      <x:c r="A107" s="16" t="str">
        <x:v>DO-104</x:v>
      </x:c>
      <x:c r="B107" s="16" t="str">
        <x:v>inherited event</x:v>
      </x:c>
      <x:c r="C107" s="38"/>
      <x:c r="D107" s="38"/>
      <x:c r="E107" s="38"/>
      <x:c r="F107" s="38"/>
      <x:c r="G107" s="38"/>
      <x:c r="H107" s="16" t="str">
        <x:f>IF(COUNTA(C107:G107)&lt;5,"OPEN",IF(AND(F107="CURRENT",G107="ACCEPTED"),"BOUND","DENY"))</x:f>
        <x:v>OPEN</x:v>
      </x:c>
    </x:row>
    <x:row r="108">
      <x:c r="A108" s="16" t="str">
        <x:v>DO-105</x:v>
      </x:c>
      <x:c r="B108" s="16" t="str">
        <x:v>inherited event</x:v>
      </x:c>
      <x:c r="C108" s="38"/>
      <x:c r="D108" s="38"/>
      <x:c r="E108" s="38"/>
      <x:c r="F108" s="38"/>
      <x:c r="G108" s="38"/>
      <x:c r="H108" s="16" t="str">
        <x:f>IF(COUNTA(C108:G108)&lt;5,"OPEN",IF(AND(F108="CURRENT",G108="ACCEPTED"),"BOUND","DENY"))</x:f>
        <x:v>OPEN</x:v>
      </x:c>
    </x:row>
    <x:row r="109">
      <x:c r="A109" s="16" t="str">
        <x:v>DO-106</x:v>
      </x:c>
      <x:c r="B109" s="16" t="str">
        <x:v>inherited event</x:v>
      </x:c>
      <x:c r="C109" s="38"/>
      <x:c r="D109" s="38"/>
      <x:c r="E109" s="38"/>
      <x:c r="F109" s="38"/>
      <x:c r="G109" s="38"/>
      <x:c r="H109" s="16" t="str">
        <x:f>IF(COUNTA(C109:G109)&lt;5,"OPEN",IF(AND(F109="CURRENT",G109="ACCEPTED"),"BOUND","DENY"))</x:f>
        <x:v>OPEN</x:v>
      </x:c>
    </x:row>
    <x:row r="110">
      <x:c r="A110" s="16" t="str">
        <x:v>DO-107</x:v>
      </x:c>
      <x:c r="B110" s="16" t="str">
        <x:v>inherited event</x:v>
      </x:c>
      <x:c r="C110" s="38"/>
      <x:c r="D110" s="38"/>
      <x:c r="E110" s="38"/>
      <x:c r="F110" s="38"/>
      <x:c r="G110" s="38"/>
      <x:c r="H110" s="16" t="str">
        <x:f>IF(COUNTA(C110:G110)&lt;5,"OPEN",IF(AND(F110="CURRENT",G110="ACCEPTED"),"BOUND","DENY"))</x:f>
        <x:v>OPEN</x:v>
      </x:c>
    </x:row>
    <x:row r="111">
      <x:c r="A111" s="16" t="str">
        <x:v>DO-108</x:v>
      </x:c>
      <x:c r="B111" s="16" t="str">
        <x:v>inherited event</x:v>
      </x:c>
      <x:c r="C111" s="38"/>
      <x:c r="D111" s="38"/>
      <x:c r="E111" s="38"/>
      <x:c r="F111" s="38"/>
      <x:c r="G111" s="38"/>
      <x:c r="H111" s="16" t="str">
        <x:f>IF(COUNTA(C111:G111)&lt;5,"OPEN",IF(AND(F111="CURRENT",G111="ACCEPTED"),"BOUND","DENY"))</x:f>
        <x:v>OPEN</x:v>
      </x:c>
    </x:row>
    <x:row r="112">
      <x:c r="A112" s="16" t="str">
        <x:v>DO-109</x:v>
      </x:c>
      <x:c r="B112" s="16" t="str">
        <x:v>inherited event</x:v>
      </x:c>
      <x:c r="C112" s="38"/>
      <x:c r="D112" s="38"/>
      <x:c r="E112" s="38"/>
      <x:c r="F112" s="38"/>
      <x:c r="G112" s="38"/>
      <x:c r="H112" s="16" t="str">
        <x:f>IF(COUNTA(C112:G112)&lt;5,"OPEN",IF(AND(F112="CURRENT",G112="ACCEPTED"),"BOUND","DENY"))</x:f>
        <x:v>OPEN</x:v>
      </x:c>
    </x:row>
    <x:row r="113">
      <x:c r="A113" s="16" t="str">
        <x:v>DO-110</x:v>
      </x:c>
      <x:c r="B113" s="16" t="str">
        <x:v>inherited event</x:v>
      </x:c>
      <x:c r="C113" s="38"/>
      <x:c r="D113" s="38"/>
      <x:c r="E113" s="38"/>
      <x:c r="F113" s="38"/>
      <x:c r="G113" s="38"/>
      <x:c r="H113" s="16" t="str">
        <x:f>IF(COUNTA(C113:G113)&lt;5,"OPEN",IF(AND(F113="CURRENT",G113="ACCEPTED"),"BOUND","DENY"))</x:f>
        <x:v>OPEN</x:v>
      </x:c>
    </x:row>
    <x:row r="114">
      <x:c r="A114" s="16" t="str">
        <x:v>DO-111</x:v>
      </x:c>
      <x:c r="B114" s="16" t="str">
        <x:v>inherited event</x:v>
      </x:c>
      <x:c r="C114" s="38"/>
      <x:c r="D114" s="38"/>
      <x:c r="E114" s="38"/>
      <x:c r="F114" s="38"/>
      <x:c r="G114" s="38"/>
      <x:c r="H114" s="16" t="str">
        <x:f>IF(COUNTA(C114:G114)&lt;5,"OPEN",IF(AND(F114="CURRENT",G114="ACCEPTED"),"BOUND","DENY"))</x:f>
        <x:v>OPEN</x:v>
      </x:c>
    </x:row>
    <x:row r="115">
      <x:c r="A115" s="16" t="str">
        <x:v>DO-112</x:v>
      </x:c>
      <x:c r="B115" s="16" t="str">
        <x:v>inherited event</x:v>
      </x:c>
      <x:c r="C115" s="38"/>
      <x:c r="D115" s="38"/>
      <x:c r="E115" s="38"/>
      <x:c r="F115" s="38"/>
      <x:c r="G115" s="38"/>
      <x:c r="H115" s="16" t="str">
        <x:f>IF(COUNTA(C115:G115)&lt;5,"OPEN",IF(AND(F115="CURRENT",G115="ACCEPTED"),"BOUND","DENY"))</x:f>
        <x:v>OPEN</x:v>
      </x:c>
    </x:row>
    <x:row r="116">
      <x:c r="A116" s="16" t="str">
        <x:v>DO-113</x:v>
      </x:c>
      <x:c r="B116" s="16" t="str">
        <x:v>inherited event</x:v>
      </x:c>
      <x:c r="C116" s="38"/>
      <x:c r="D116" s="38"/>
      <x:c r="E116" s="38"/>
      <x:c r="F116" s="38"/>
      <x:c r="G116" s="38"/>
      <x:c r="H116" s="16" t="str">
        <x:f>IF(COUNTA(C116:G116)&lt;5,"OPEN",IF(AND(F116="CURRENT",G116="ACCEPTED"),"BOUND","DENY"))</x:f>
        <x:v>OPEN</x:v>
      </x:c>
    </x:row>
    <x:row r="117">
      <x:c r="A117" s="16" t="str">
        <x:v>DO-114</x:v>
      </x:c>
      <x:c r="B117" s="16" t="str">
        <x:v>inherited event</x:v>
      </x:c>
      <x:c r="C117" s="38"/>
      <x:c r="D117" s="38"/>
      <x:c r="E117" s="38"/>
      <x:c r="F117" s="38"/>
      <x:c r="G117" s="38"/>
      <x:c r="H117" s="16" t="str">
        <x:f>IF(COUNTA(C117:G117)&lt;5,"OPEN",IF(AND(F117="CURRENT",G117="ACCEPTED"),"BOUND","DENY"))</x:f>
        <x:v>OPEN</x:v>
      </x:c>
    </x:row>
    <x:row r="118">
      <x:c r="A118" s="16" t="str">
        <x:v>DO-115</x:v>
      </x:c>
      <x:c r="B118" s="16" t="str">
        <x:v>inherited event</x:v>
      </x:c>
      <x:c r="C118" s="38"/>
      <x:c r="D118" s="38"/>
      <x:c r="E118" s="38"/>
      <x:c r="F118" s="38"/>
      <x:c r="G118" s="38"/>
      <x:c r="H118" s="16" t="str">
        <x:f>IF(COUNTA(C118:G118)&lt;5,"OPEN",IF(AND(F118="CURRENT",G118="ACCEPTED"),"BOUND","DENY"))</x:f>
        <x:v>OPEN</x:v>
      </x:c>
    </x:row>
    <x:row r="119">
      <x:c r="A119" s="16" t="str">
        <x:v>DO-116</x:v>
      </x:c>
      <x:c r="B119" s="16" t="str">
        <x:v>inherited event</x:v>
      </x:c>
      <x:c r="C119" s="38"/>
      <x:c r="D119" s="38"/>
      <x:c r="E119" s="38"/>
      <x:c r="F119" s="38"/>
      <x:c r="G119" s="38"/>
      <x:c r="H119" s="16" t="str">
        <x:f>IF(COUNTA(C119:G119)&lt;5,"OPEN",IF(AND(F119="CURRENT",G119="ACCEPTED"),"BOUND","DENY"))</x:f>
        <x:v>OPEN</x:v>
      </x:c>
    </x:row>
    <x:row r="120">
      <x:c r="A120" s="16" t="str">
        <x:v>DO-117</x:v>
      </x:c>
      <x:c r="B120" s="16" t="str">
        <x:v>inherited event</x:v>
      </x:c>
      <x:c r="C120" s="38"/>
      <x:c r="D120" s="38"/>
      <x:c r="E120" s="38"/>
      <x:c r="F120" s="38"/>
      <x:c r="G120" s="38"/>
      <x:c r="H120" s="16" t="str">
        <x:f>IF(COUNTA(C120:G120)&lt;5,"OPEN",IF(AND(F120="CURRENT",G120="ACCEPTED"),"BOUND","DENY"))</x:f>
        <x:v>OPEN</x:v>
      </x:c>
    </x:row>
    <x:row r="121">
      <x:c r="A121" s="16" t="str">
        <x:v>DO-118</x:v>
      </x:c>
      <x:c r="B121" s="16" t="str">
        <x:v>inherited event</x:v>
      </x:c>
      <x:c r="C121" s="38"/>
      <x:c r="D121" s="38"/>
      <x:c r="E121" s="38"/>
      <x:c r="F121" s="38"/>
      <x:c r="G121" s="38"/>
      <x:c r="H121" s="16" t="str">
        <x:f>IF(COUNTA(C121:G121)&lt;5,"OPEN",IF(AND(F121="CURRENT",G121="ACCEPTED"),"BOUND","DENY"))</x:f>
        <x:v>OPEN</x:v>
      </x:c>
    </x:row>
    <x:row r="122">
      <x:c r="A122" s="16" t="str">
        <x:v>DO-119</x:v>
      </x:c>
      <x:c r="B122" s="16" t="str">
        <x:v>inherited event</x:v>
      </x:c>
      <x:c r="C122" s="38"/>
      <x:c r="D122" s="38"/>
      <x:c r="E122" s="38"/>
      <x:c r="F122" s="38"/>
      <x:c r="G122" s="38"/>
      <x:c r="H122" s="16" t="str">
        <x:f>IF(COUNTA(C122:G122)&lt;5,"OPEN",IF(AND(F122="CURRENT",G122="ACCEPTED"),"BOUND","DENY"))</x:f>
        <x:v>OPEN</x:v>
      </x:c>
    </x:row>
    <x:row r="123">
      <x:c r="A123" s="16" t="str">
        <x:v>DO-120</x:v>
      </x:c>
      <x:c r="B123" s="16" t="str">
        <x:v>inherited event</x:v>
      </x:c>
      <x:c r="C123" s="38"/>
      <x:c r="D123" s="38"/>
      <x:c r="E123" s="38"/>
      <x:c r="F123" s="38"/>
      <x:c r="G123" s="38"/>
      <x:c r="H123" s="16" t="str">
        <x:f>IF(COUNTA(C123:G123)&lt;5,"OPEN",IF(AND(F123="CURRENT",G123="ACCEPTED"),"BOUND","DENY"))</x:f>
        <x:v>OPEN</x:v>
      </x:c>
    </x:row>
    <x:row r="124">
      <x:c r="A124" s="16" t="str">
        <x:v>DO-121</x:v>
      </x:c>
      <x:c r="B124" s="16" t="str">
        <x:v>inherited event</x:v>
      </x:c>
      <x:c r="C124" s="38"/>
      <x:c r="D124" s="38"/>
      <x:c r="E124" s="38"/>
      <x:c r="F124" s="38"/>
      <x:c r="G124" s="38"/>
      <x:c r="H124" s="16" t="str">
        <x:f>IF(COUNTA(C124:G124)&lt;5,"OPEN",IF(AND(F124="CURRENT",G124="ACCEPTED"),"BOUND","DENY"))</x:f>
        <x:v>OPEN</x:v>
      </x:c>
    </x:row>
    <x:row r="125">
      <x:c r="A125" s="16" t="str">
        <x:v>DO-122</x:v>
      </x:c>
      <x:c r="B125" s="16" t="str">
        <x:v>inherited event</x:v>
      </x:c>
      <x:c r="C125" s="38"/>
      <x:c r="D125" s="38"/>
      <x:c r="E125" s="38"/>
      <x:c r="F125" s="38"/>
      <x:c r="G125" s="38"/>
      <x:c r="H125" s="16" t="str">
        <x:f>IF(COUNTA(C125:G125)&lt;5,"OPEN",IF(AND(F125="CURRENT",G125="ACCEPTED"),"BOUND","DENY"))</x:f>
        <x:v>OPEN</x:v>
      </x:c>
    </x:row>
    <x:row r="126">
      <x:c r="A126" s="16" t="str">
        <x:v>DO-123</x:v>
      </x:c>
      <x:c r="B126" s="16" t="str">
        <x:v>inherited event</x:v>
      </x:c>
      <x:c r="C126" s="38"/>
      <x:c r="D126" s="38"/>
      <x:c r="E126" s="38"/>
      <x:c r="F126" s="38"/>
      <x:c r="G126" s="38"/>
      <x:c r="H126" s="16" t="str">
        <x:f>IF(COUNTA(C126:G126)&lt;5,"OPEN",IF(AND(F126="CURRENT",G126="ACCEPTED"),"BOUND","DENY"))</x:f>
        <x:v>OPEN</x:v>
      </x:c>
    </x:row>
    <x:row r="127">
      <x:c r="A127" s="16" t="str">
        <x:v>DO-124</x:v>
      </x:c>
      <x:c r="B127" s="16" t="str">
        <x:v>inherited event</x:v>
      </x:c>
      <x:c r="C127" s="38"/>
      <x:c r="D127" s="38"/>
      <x:c r="E127" s="38"/>
      <x:c r="F127" s="38"/>
      <x:c r="G127" s="38"/>
      <x:c r="H127" s="16" t="str">
        <x:f>IF(COUNTA(C127:G127)&lt;5,"OPEN",IF(AND(F127="CURRENT",G127="ACCEPTED"),"BOUND","DENY"))</x:f>
        <x:v>OPEN</x:v>
      </x:c>
    </x:row>
    <x:row r="128">
      <x:c r="A128" s="16" t="str">
        <x:v>DO-125</x:v>
      </x:c>
      <x:c r="B128" s="16" t="str">
        <x:v>inherited event</x:v>
      </x:c>
      <x:c r="C128" s="38"/>
      <x:c r="D128" s="38"/>
      <x:c r="E128" s="38"/>
      <x:c r="F128" s="38"/>
      <x:c r="G128" s="38"/>
      <x:c r="H128" s="16" t="str">
        <x:f>IF(COUNTA(C128:G128)&lt;5,"OPEN",IF(AND(F128="CURRENT",G128="ACCEPTED"),"BOUND","DENY"))</x:f>
        <x:v>OPEN</x:v>
      </x:c>
    </x:row>
    <x:row r="129">
      <x:c r="A129" s="16" t="str">
        <x:v>DO-126</x:v>
      </x:c>
      <x:c r="B129" s="16" t="str">
        <x:v>inherited event</x:v>
      </x:c>
      <x:c r="C129" s="38"/>
      <x:c r="D129" s="38"/>
      <x:c r="E129" s="38"/>
      <x:c r="F129" s="38"/>
      <x:c r="G129" s="38"/>
      <x:c r="H129" s="16" t="str">
        <x:f>IF(COUNTA(C129:G129)&lt;5,"OPEN",IF(AND(F129="CURRENT",G129="ACCEPTED"),"BOUND","DENY"))</x:f>
        <x:v>OPEN</x:v>
      </x:c>
    </x:row>
    <x:row r="130">
      <x:c r="A130" s="16" t="str">
        <x:v>DO-127</x:v>
      </x:c>
      <x:c r="B130" s="16" t="str">
        <x:v>inherited event</x:v>
      </x:c>
      <x:c r="C130" s="38"/>
      <x:c r="D130" s="38"/>
      <x:c r="E130" s="38"/>
      <x:c r="F130" s="38"/>
      <x:c r="G130" s="38"/>
      <x:c r="H130" s="16" t="str">
        <x:f>IF(COUNTA(C130:G130)&lt;5,"OPEN",IF(AND(F130="CURRENT",G130="ACCEPTED"),"BOUND","DENY"))</x:f>
        <x:v>OPEN</x:v>
      </x:c>
    </x:row>
    <x:row r="131">
      <x:c r="A131" s="16" t="str">
        <x:v>DO-128</x:v>
      </x:c>
      <x:c r="B131" s="16" t="str">
        <x:v>inherited event</x:v>
      </x:c>
      <x:c r="C131" s="38"/>
      <x:c r="D131" s="38"/>
      <x:c r="E131" s="38"/>
      <x:c r="F131" s="38"/>
      <x:c r="G131" s="38"/>
      <x:c r="H131" s="16" t="str">
        <x:f>IF(COUNTA(C131:G131)&lt;5,"OPEN",IF(AND(F131="CURRENT",G131="ACCEPTED"),"BOUND","DENY"))</x:f>
        <x:v>OPEN</x:v>
      </x:c>
    </x:row>
    <x:row r="132">
      <x:c r="A132" s="16" t="str">
        <x:v>DO-129</x:v>
      </x:c>
      <x:c r="B132" s="16" t="str">
        <x:v>inherited event</x:v>
      </x:c>
      <x:c r="C132" s="38"/>
      <x:c r="D132" s="38"/>
      <x:c r="E132" s="38"/>
      <x:c r="F132" s="38"/>
      <x:c r="G132" s="38"/>
      <x:c r="H132" s="16" t="str">
        <x:f>IF(COUNTA(C132:G132)&lt;5,"OPEN",IF(AND(F132="CURRENT",G132="ACCEPTED"),"BOUND","DENY"))</x:f>
        <x:v>OPEN</x:v>
      </x:c>
    </x:row>
    <x:row r="133">
      <x:c r="A133" s="16" t="str">
        <x:v>DO-130</x:v>
      </x:c>
      <x:c r="B133" s="16" t="str">
        <x:v>inherited event</x:v>
      </x:c>
      <x:c r="C133" s="38"/>
      <x:c r="D133" s="38"/>
      <x:c r="E133" s="38"/>
      <x:c r="F133" s="38"/>
      <x:c r="G133" s="38"/>
      <x:c r="H133" s="16" t="str">
        <x:f>IF(COUNTA(C133:G133)&lt;5,"OPEN",IF(AND(F133="CURRENT",G133="ACCEPTED"),"BOUND","DENY"))</x:f>
        <x:v>OPEN</x:v>
      </x:c>
    </x:row>
    <x:row r="134">
      <x:c r="A134" s="16" t="str">
        <x:v>DO-131</x:v>
      </x:c>
      <x:c r="B134" s="16" t="str">
        <x:v>inherited event</x:v>
      </x:c>
      <x:c r="C134" s="38"/>
      <x:c r="D134" s="38"/>
      <x:c r="E134" s="38"/>
      <x:c r="F134" s="38"/>
      <x:c r="G134" s="38"/>
      <x:c r="H134" s="16" t="str">
        <x:f>IF(COUNTA(C134:G134)&lt;5,"OPEN",IF(AND(F134="CURRENT",G134="ACCEPTED"),"BOUND","DENY"))</x:f>
        <x:v>OPEN</x:v>
      </x:c>
    </x:row>
    <x:row r="135">
      <x:c r="A135" s="16" t="str">
        <x:v>DO-132</x:v>
      </x:c>
      <x:c r="B135" s="16" t="str">
        <x:v>inherited event</x:v>
      </x:c>
      <x:c r="C135" s="38"/>
      <x:c r="D135" s="38"/>
      <x:c r="E135" s="38"/>
      <x:c r="F135" s="38"/>
      <x:c r="G135" s="38"/>
      <x:c r="H135" s="16" t="str">
        <x:f>IF(COUNTA(C135:G135)&lt;5,"OPEN",IF(AND(F135="CURRENT",G135="ACCEPTED"),"BOUND","DENY"))</x:f>
        <x:v>OPEN</x:v>
      </x:c>
    </x:row>
    <x:row r="136">
      <x:c r="A136" s="16" t="str">
        <x:v>DO-133</x:v>
      </x:c>
      <x:c r="B136" s="16" t="str">
        <x:v>inherited event</x:v>
      </x:c>
      <x:c r="C136" s="38"/>
      <x:c r="D136" s="38"/>
      <x:c r="E136" s="38"/>
      <x:c r="F136" s="38"/>
      <x:c r="G136" s="38"/>
      <x:c r="H136" s="16" t="str">
        <x:f>IF(COUNTA(C136:G136)&lt;5,"OPEN",IF(AND(F136="CURRENT",G136="ACCEPTED"),"BOUND","DENY"))</x:f>
        <x:v>OPEN</x:v>
      </x:c>
    </x:row>
    <x:row r="137">
      <x:c r="A137" s="16" t="str">
        <x:v>DO-134</x:v>
      </x:c>
      <x:c r="B137" s="16" t="str">
        <x:v>inherited event</x:v>
      </x:c>
      <x:c r="C137" s="38"/>
      <x:c r="D137" s="38"/>
      <x:c r="E137" s="38"/>
      <x:c r="F137" s="38"/>
      <x:c r="G137" s="38"/>
      <x:c r="H137" s="16" t="str">
        <x:f>IF(COUNTA(C137:G137)&lt;5,"OPEN",IF(AND(F137="CURRENT",G137="ACCEPTED"),"BOUND","DENY"))</x:f>
        <x:v>OPEN</x:v>
      </x:c>
    </x:row>
    <x:row r="138">
      <x:c r="A138" s="16" t="str">
        <x:v>DO-135</x:v>
      </x:c>
      <x:c r="B138" s="16" t="str">
        <x:v>inherited event</x:v>
      </x:c>
      <x:c r="C138" s="38"/>
      <x:c r="D138" s="38"/>
      <x:c r="E138" s="38"/>
      <x:c r="F138" s="38"/>
      <x:c r="G138" s="38"/>
      <x:c r="H138" s="16" t="str">
        <x:f>IF(COUNTA(C138:G138)&lt;5,"OPEN",IF(AND(F138="CURRENT",G138="ACCEPTED"),"BOUND","DENY"))</x:f>
        <x:v>OPEN</x:v>
      </x:c>
    </x:row>
    <x:row r="139">
      <x:c r="A139" s="16" t="str">
        <x:v>DO-136</x:v>
      </x:c>
      <x:c r="B139" s="16" t="str">
        <x:v>inherited event</x:v>
      </x:c>
      <x:c r="C139" s="38"/>
      <x:c r="D139" s="38"/>
      <x:c r="E139" s="38"/>
      <x:c r="F139" s="38"/>
      <x:c r="G139" s="38"/>
      <x:c r="H139" s="16" t="str">
        <x:f>IF(COUNTA(C139:G139)&lt;5,"OPEN",IF(AND(F139="CURRENT",G139="ACCEPTED"),"BOUND","DENY"))</x:f>
        <x:v>OPEN</x:v>
      </x:c>
    </x:row>
    <x:row r="140">
      <x:c r="A140" s="16" t="str">
        <x:v>DO-137</x:v>
      </x:c>
      <x:c r="B140" s="16" t="str">
        <x:v>inherited event</x:v>
      </x:c>
      <x:c r="C140" s="38"/>
      <x:c r="D140" s="38"/>
      <x:c r="E140" s="38"/>
      <x:c r="F140" s="38"/>
      <x:c r="G140" s="38"/>
      <x:c r="H140" s="16" t="str">
        <x:f>IF(COUNTA(C140:G140)&lt;5,"OPEN",IF(AND(F140="CURRENT",G140="ACCEPTED"),"BOUND","DENY"))</x:f>
        <x:v>OPEN</x:v>
      </x:c>
    </x:row>
    <x:row r="141">
      <x:c r="A141" s="16" t="str">
        <x:v>DO-138</x:v>
      </x:c>
      <x:c r="B141" s="16" t="str">
        <x:v>inherited event</x:v>
      </x:c>
      <x:c r="C141" s="38"/>
      <x:c r="D141" s="38"/>
      <x:c r="E141" s="38"/>
      <x:c r="F141" s="38"/>
      <x:c r="G141" s="38"/>
      <x:c r="H141" s="16" t="str">
        <x:f>IF(COUNTA(C141:G141)&lt;5,"OPEN",IF(AND(F141="CURRENT",G141="ACCEPTED"),"BOUND","DENY"))</x:f>
        <x:v>OPEN</x:v>
      </x:c>
    </x:row>
    <x:row r="142">
      <x:c r="A142" s="16" t="str">
        <x:v>DO-139</x:v>
      </x:c>
      <x:c r="B142" s="16" t="str">
        <x:v>inherited event</x:v>
      </x:c>
      <x:c r="C142" s="38"/>
      <x:c r="D142" s="38"/>
      <x:c r="E142" s="38"/>
      <x:c r="F142" s="38"/>
      <x:c r="G142" s="38"/>
      <x:c r="H142" s="16" t="str">
        <x:f>IF(COUNTA(C142:G142)&lt;5,"OPEN",IF(AND(F142="CURRENT",G142="ACCEPTED"),"BOUND","DENY"))</x:f>
        <x:v>OPEN</x:v>
      </x:c>
    </x:row>
    <x:row r="143">
      <x:c r="A143" s="16" t="str">
        <x:v>DO-140</x:v>
      </x:c>
      <x:c r="B143" s="16" t="str">
        <x:v>inherited event</x:v>
      </x:c>
      <x:c r="C143" s="38"/>
      <x:c r="D143" s="38"/>
      <x:c r="E143" s="38"/>
      <x:c r="F143" s="38"/>
      <x:c r="G143" s="38"/>
      <x:c r="H143" s="16" t="str">
        <x:f>IF(COUNTA(C143:G143)&lt;5,"OPEN",IF(AND(F143="CURRENT",G143="ACCEPTED"),"BOUND","DENY"))</x:f>
        <x:v>OPEN</x:v>
      </x:c>
    </x:row>
    <x:row r="144">
      <x:c r="A144" s="16" t="str">
        <x:v>DO-141</x:v>
      </x:c>
      <x:c r="B144" s="16" t="str">
        <x:v>inherited event</x:v>
      </x:c>
      <x:c r="C144" s="38"/>
      <x:c r="D144" s="38"/>
      <x:c r="E144" s="38"/>
      <x:c r="F144" s="38"/>
      <x:c r="G144" s="38"/>
      <x:c r="H144" s="16" t="str">
        <x:f>IF(COUNTA(C144:G144)&lt;5,"OPEN",IF(AND(F144="CURRENT",G144="ACCEPTED"),"BOUND","DENY"))</x:f>
        <x:v>OPEN</x:v>
      </x:c>
    </x:row>
    <x:row r="145">
      <x:c r="A145" s="16" t="str">
        <x:v>DO-142</x:v>
      </x:c>
      <x:c r="B145" s="16" t="str">
        <x:v>inherited event</x:v>
      </x:c>
      <x:c r="C145" s="38"/>
      <x:c r="D145" s="38"/>
      <x:c r="E145" s="38"/>
      <x:c r="F145" s="38"/>
      <x:c r="G145" s="38"/>
      <x:c r="H145" s="16" t="str">
        <x:f>IF(COUNTA(C145:G145)&lt;5,"OPEN",IF(AND(F145="CURRENT",G145="ACCEPTED"),"BOUND","DENY"))</x:f>
        <x:v>OPEN</x:v>
      </x:c>
    </x:row>
    <x:row r="146">
      <x:c r="A146" s="16" t="str">
        <x:v>DO-143</x:v>
      </x:c>
      <x:c r="B146" s="16" t="str">
        <x:v>inherited event</x:v>
      </x:c>
      <x:c r="C146" s="38"/>
      <x:c r="D146" s="38"/>
      <x:c r="E146" s="38"/>
      <x:c r="F146" s="38"/>
      <x:c r="G146" s="38"/>
      <x:c r="H146" s="16" t="str">
        <x:f>IF(COUNTA(C146:G146)&lt;5,"OPEN",IF(AND(F146="CURRENT",G146="ACCEPTED"),"BOUND","DENY"))</x:f>
        <x:v>OPEN</x:v>
      </x:c>
    </x:row>
    <x:row r="147">
      <x:c r="A147" s="16" t="str">
        <x:v>DO-144</x:v>
      </x:c>
      <x:c r="B147" s="16" t="str">
        <x:v>inherited event</x:v>
      </x:c>
      <x:c r="C147" s="38"/>
      <x:c r="D147" s="38"/>
      <x:c r="E147" s="38"/>
      <x:c r="F147" s="38"/>
      <x:c r="G147" s="38"/>
      <x:c r="H147" s="16" t="str">
        <x:f>IF(COUNTA(C147:G147)&lt;5,"OPEN",IF(AND(F147="CURRENT",G147="ACCEPTED"),"BOUND","DENY"))</x:f>
        <x:v>OPEN</x:v>
      </x:c>
    </x:row>
    <x:row r="148">
      <x:c r="A148" s="16" t="str">
        <x:v>DO-145</x:v>
      </x:c>
      <x:c r="B148" s="16" t="str">
        <x:v>inherited event</x:v>
      </x:c>
      <x:c r="C148" s="38"/>
      <x:c r="D148" s="38"/>
      <x:c r="E148" s="38"/>
      <x:c r="F148" s="38"/>
      <x:c r="G148" s="38"/>
      <x:c r="H148" s="16" t="str">
        <x:f>IF(COUNTA(C148:G148)&lt;5,"OPEN",IF(AND(F148="CURRENT",G148="ACCEPTED"),"BOUND","DENY"))</x:f>
        <x:v>OPEN</x:v>
      </x:c>
    </x:row>
    <x:row r="149">
      <x:c r="A149" s="16" t="str">
        <x:v>DO-146</x:v>
      </x:c>
      <x:c r="B149" s="16" t="str">
        <x:v>inherited event</x:v>
      </x:c>
      <x:c r="C149" s="38"/>
      <x:c r="D149" s="38"/>
      <x:c r="E149" s="38"/>
      <x:c r="F149" s="38"/>
      <x:c r="G149" s="38"/>
      <x:c r="H149" s="16" t="str">
        <x:f>IF(COUNTA(C149:G149)&lt;5,"OPEN",IF(AND(F149="CURRENT",G149="ACCEPTED"),"BOUND","DENY"))</x:f>
        <x:v>OPEN</x:v>
      </x:c>
    </x:row>
    <x:row r="150">
      <x:c r="A150" s="16" t="str">
        <x:v>DO-147</x:v>
      </x:c>
      <x:c r="B150" s="16" t="str">
        <x:v>inherited event</x:v>
      </x:c>
      <x:c r="C150" s="38"/>
      <x:c r="D150" s="38"/>
      <x:c r="E150" s="38"/>
      <x:c r="F150" s="38"/>
      <x:c r="G150" s="38"/>
      <x:c r="H150" s="16" t="str">
        <x:f>IF(COUNTA(C150:G150)&lt;5,"OPEN",IF(AND(F150="CURRENT",G150="ACCEPTED"),"BOUND","DENY"))</x:f>
        <x:v>OPEN</x:v>
      </x:c>
    </x:row>
    <x:row r="151">
      <x:c r="A151" s="16" t="str">
        <x:v>DO-148</x:v>
      </x:c>
      <x:c r="B151" s="16" t="str">
        <x:v>inherited event</x:v>
      </x:c>
      <x:c r="C151" s="38"/>
      <x:c r="D151" s="38"/>
      <x:c r="E151" s="38"/>
      <x:c r="F151" s="38"/>
      <x:c r="G151" s="38"/>
      <x:c r="H151" s="16" t="str">
        <x:f>IF(COUNTA(C151:G151)&lt;5,"OPEN",IF(AND(F151="CURRENT",G151="ACCEPTED"),"BOUND","DENY"))</x:f>
        <x:v>OPEN</x:v>
      </x:c>
    </x:row>
    <x:row r="152">
      <x:c r="A152" s="16" t="str">
        <x:v>DO-149</x:v>
      </x:c>
      <x:c r="B152" s="16" t="str">
        <x:v>inherited event</x:v>
      </x:c>
      <x:c r="C152" s="38"/>
      <x:c r="D152" s="38"/>
      <x:c r="E152" s="38"/>
      <x:c r="F152" s="38"/>
      <x:c r="G152" s="38"/>
      <x:c r="H152" s="16" t="str">
        <x:f>IF(COUNTA(C152:G152)&lt;5,"OPEN",IF(AND(F152="CURRENT",G152="ACCEPTED"),"BOUND","DENY"))</x:f>
        <x:v>OPEN</x:v>
      </x:c>
    </x:row>
    <x:row r="153">
      <x:c r="A153" s="16" t="str">
        <x:v>DO-150</x:v>
      </x:c>
      <x:c r="B153" s="16" t="str">
        <x:v>inherited event</x:v>
      </x:c>
      <x:c r="C153" s="38"/>
      <x:c r="D153" s="38"/>
      <x:c r="E153" s="38"/>
      <x:c r="F153" s="38"/>
      <x:c r="G153" s="38"/>
      <x:c r="H153" s="16" t="str">
        <x:f>IF(COUNTA(C153:G153)&lt;5,"OPEN",IF(AND(F153="CURRENT",G153="ACCEPTED"),"BOUND","DENY"))</x:f>
        <x:v>OPEN</x:v>
      </x:c>
    </x:row>
    <x:row r="154">
      <x:c r="A154" s="16" t="str">
        <x:v>DO-151</x:v>
      </x:c>
      <x:c r="B154" s="16" t="str">
        <x:v>inherited event</x:v>
      </x:c>
      <x:c r="C154" s="38"/>
      <x:c r="D154" s="38"/>
      <x:c r="E154" s="38"/>
      <x:c r="F154" s="38"/>
      <x:c r="G154" s="38"/>
      <x:c r="H154" s="16" t="str">
        <x:f>IF(COUNTA(C154:G154)&lt;5,"OPEN",IF(AND(F154="CURRENT",G154="ACCEPTED"),"BOUND","DENY"))</x:f>
        <x:v>OPEN</x:v>
      </x:c>
    </x:row>
    <x:row r="155">
      <x:c r="A155" s="16" t="str">
        <x:v>DO-152</x:v>
      </x:c>
      <x:c r="B155" s="16" t="str">
        <x:v>inherited event</x:v>
      </x:c>
      <x:c r="C155" s="38"/>
      <x:c r="D155" s="38"/>
      <x:c r="E155" s="38"/>
      <x:c r="F155" s="38"/>
      <x:c r="G155" s="38"/>
      <x:c r="H155" s="16" t="str">
        <x:f>IF(COUNTA(C155:G155)&lt;5,"OPEN",IF(AND(F155="CURRENT",G155="ACCEPTED"),"BOUND","DENY"))</x:f>
        <x:v>OPEN</x:v>
      </x:c>
    </x:row>
    <x:row r="156">
      <x:c r="A156" s="16" t="str">
        <x:v>DO-153</x:v>
      </x:c>
      <x:c r="B156" s="16" t="str">
        <x:v>inherited event</x:v>
      </x:c>
      <x:c r="C156" s="38"/>
      <x:c r="D156" s="38"/>
      <x:c r="E156" s="38"/>
      <x:c r="F156" s="38"/>
      <x:c r="G156" s="38"/>
      <x:c r="H156" s="16" t="str">
        <x:f>IF(COUNTA(C156:G156)&lt;5,"OPEN",IF(AND(F156="CURRENT",G156="ACCEPTED"),"BOUND","DENY"))</x:f>
        <x:v>OPEN</x:v>
      </x:c>
    </x:row>
    <x:row r="157">
      <x:c r="A157" s="16" t="str">
        <x:v>DO-154</x:v>
      </x:c>
      <x:c r="B157" s="16" t="str">
        <x:v>inherited event</x:v>
      </x:c>
      <x:c r="C157" s="38"/>
      <x:c r="D157" s="38"/>
      <x:c r="E157" s="38"/>
      <x:c r="F157" s="38"/>
      <x:c r="G157" s="38"/>
      <x:c r="H157" s="16" t="str">
        <x:f>IF(COUNTA(C157:G157)&lt;5,"OPEN",IF(AND(F157="CURRENT",G157="ACCEPTED"),"BOUND","DENY"))</x:f>
        <x:v>OPEN</x:v>
      </x:c>
    </x:row>
    <x:row r="158">
      <x:c r="A158" s="16" t="str">
        <x:v>DO-155</x:v>
      </x:c>
      <x:c r="B158" s="16" t="str">
        <x:v>inherited event</x:v>
      </x:c>
      <x:c r="C158" s="38"/>
      <x:c r="D158" s="38"/>
      <x:c r="E158" s="38"/>
      <x:c r="F158" s="38"/>
      <x:c r="G158" s="38"/>
      <x:c r="H158" s="16" t="str">
        <x:f>IF(COUNTA(C158:G158)&lt;5,"OPEN",IF(AND(F158="CURRENT",G158="ACCEPTED"),"BOUND","DENY"))</x:f>
        <x:v>OPEN</x:v>
      </x:c>
    </x:row>
    <x:row r="159">
      <x:c r="A159" s="16" t="str">
        <x:v>DO-156</x:v>
      </x:c>
      <x:c r="B159" s="16" t="str">
        <x:v>inherited event</x:v>
      </x:c>
      <x:c r="C159" s="38"/>
      <x:c r="D159" s="38"/>
      <x:c r="E159" s="38"/>
      <x:c r="F159" s="38"/>
      <x:c r="G159" s="38"/>
      <x:c r="H159" s="16" t="str">
        <x:f>IF(COUNTA(C159:G159)&lt;5,"OPEN",IF(AND(F159="CURRENT",G159="ACCEPTED"),"BOUND","DENY"))</x:f>
        <x:v>OPEN</x:v>
      </x:c>
    </x:row>
    <x:row r="160">
      <x:c r="A160" s="16" t="str">
        <x:v>DO-157</x:v>
      </x:c>
      <x:c r="B160" s="16" t="str">
        <x:v>inherited event</x:v>
      </x:c>
      <x:c r="C160" s="38"/>
      <x:c r="D160" s="38"/>
      <x:c r="E160" s="38"/>
      <x:c r="F160" s="38"/>
      <x:c r="G160" s="38"/>
      <x:c r="H160" s="16" t="str">
        <x:f>IF(COUNTA(C160:G160)&lt;5,"OPEN",IF(AND(F160="CURRENT",G160="ACCEPTED"),"BOUND","DENY"))</x:f>
        <x:v>OPEN</x:v>
      </x:c>
    </x:row>
    <x:row r="161">
      <x:c r="A161" s="16" t="str">
        <x:v>DO-158</x:v>
      </x:c>
      <x:c r="B161" s="16" t="str">
        <x:v>inherited event</x:v>
      </x:c>
      <x:c r="C161" s="38"/>
      <x:c r="D161" s="38"/>
      <x:c r="E161" s="38"/>
      <x:c r="F161" s="38"/>
      <x:c r="G161" s="38"/>
      <x:c r="H161" s="16" t="str">
        <x:f>IF(COUNTA(C161:G161)&lt;5,"OPEN",IF(AND(F161="CURRENT",G161="ACCEPTED"),"BOUND","DENY"))</x:f>
        <x:v>OPEN</x:v>
      </x:c>
    </x:row>
    <x:row r="162">
      <x:c r="A162" s="16" t="str">
        <x:v>DO-159</x:v>
      </x:c>
      <x:c r="B162" s="16" t="str">
        <x:v>inherited event</x:v>
      </x:c>
      <x:c r="C162" s="38"/>
      <x:c r="D162" s="38"/>
      <x:c r="E162" s="38"/>
      <x:c r="F162" s="38"/>
      <x:c r="G162" s="38"/>
      <x:c r="H162" s="16" t="str">
        <x:f>IF(COUNTA(C162:G162)&lt;5,"OPEN",IF(AND(F162="CURRENT",G162="ACCEPTED"),"BOUND","DENY"))</x:f>
        <x:v>OPEN</x:v>
      </x:c>
    </x:row>
    <x:row r="163">
      <x:c r="A163" s="16" t="str">
        <x:v>DO-160</x:v>
      </x:c>
      <x:c r="B163" s="16" t="str">
        <x:v>inherited event</x:v>
      </x:c>
      <x:c r="C163" s="38"/>
      <x:c r="D163" s="38"/>
      <x:c r="E163" s="38"/>
      <x:c r="F163" s="38"/>
      <x:c r="G163" s="38"/>
      <x:c r="H163" s="16" t="str">
        <x:f>IF(COUNTA(C163:G163)&lt;5,"OPEN",IF(AND(F163="CURRENT",G163="ACCEPTED"),"BOUND","DENY"))</x:f>
        <x:v>OPEN</x:v>
      </x:c>
    </x:row>
    <x:row r="164">
      <x:c r="A164" s="16" t="str">
        <x:v>DO-161</x:v>
      </x:c>
      <x:c r="B164" s="16" t="str">
        <x:v>inherited event</x:v>
      </x:c>
      <x:c r="C164" s="38"/>
      <x:c r="D164" s="38"/>
      <x:c r="E164" s="38"/>
      <x:c r="F164" s="38"/>
      <x:c r="G164" s="38"/>
      <x:c r="H164" s="16" t="str">
        <x:f>IF(COUNTA(C164:G164)&lt;5,"OPEN",IF(AND(F164="CURRENT",G164="ACCEPTED"),"BOUND","DENY"))</x:f>
        <x:v>OPEN</x:v>
      </x:c>
    </x:row>
    <x:row r="165">
      <x:c r="A165" s="16" t="str">
        <x:v>DO-162</x:v>
      </x:c>
      <x:c r="B165" s="16" t="str">
        <x:v>inherited event</x:v>
      </x:c>
      <x:c r="C165" s="38"/>
      <x:c r="D165" s="38"/>
      <x:c r="E165" s="38"/>
      <x:c r="F165" s="38"/>
      <x:c r="G165" s="38"/>
      <x:c r="H165" s="16" t="str">
        <x:f>IF(COUNTA(C165:G165)&lt;5,"OPEN",IF(AND(F165="CURRENT",G165="ACCEPTED"),"BOUND","DENY"))</x:f>
        <x:v>OPEN</x:v>
      </x:c>
    </x:row>
    <x:row r="166">
      <x:c r="A166" s="16" t="str">
        <x:v>DO-163</x:v>
      </x:c>
      <x:c r="B166" s="16" t="str">
        <x:v>inherited event</x:v>
      </x:c>
      <x:c r="C166" s="38"/>
      <x:c r="D166" s="38"/>
      <x:c r="E166" s="38"/>
      <x:c r="F166" s="38"/>
      <x:c r="G166" s="38"/>
      <x:c r="H166" s="16" t="str">
        <x:f>IF(COUNTA(C166:G166)&lt;5,"OPEN",IF(AND(F166="CURRENT",G166="ACCEPTED"),"BOUND","DENY"))</x:f>
        <x:v>OPEN</x:v>
      </x:c>
    </x:row>
    <x:row r="167">
      <x:c r="A167" s="16" t="str">
        <x:v>DO-164</x:v>
      </x:c>
      <x:c r="B167" s="16" t="str">
        <x:v>inherited event</x:v>
      </x:c>
      <x:c r="C167" s="38"/>
      <x:c r="D167" s="38"/>
      <x:c r="E167" s="38"/>
      <x:c r="F167" s="38"/>
      <x:c r="G167" s="38"/>
      <x:c r="H167" s="16" t="str">
        <x:f>IF(COUNTA(C167:G167)&lt;5,"OPEN",IF(AND(F167="CURRENT",G167="ACCEPTED"),"BOUND","DENY"))</x:f>
        <x:v>OPEN</x:v>
      </x:c>
    </x:row>
    <x:row r="168">
      <x:c r="A168" s="16" t="str">
        <x:v>DO-165</x:v>
      </x:c>
      <x:c r="B168" s="16" t="str">
        <x:v>inherited event</x:v>
      </x:c>
      <x:c r="C168" s="38"/>
      <x:c r="D168" s="38"/>
      <x:c r="E168" s="38"/>
      <x:c r="F168" s="38"/>
      <x:c r="G168" s="38"/>
      <x:c r="H168" s="16" t="str">
        <x:f>IF(COUNTA(C168:G168)&lt;5,"OPEN",IF(AND(F168="CURRENT",G168="ACCEPTED"),"BOUND","DENY"))</x:f>
        <x:v>OPEN</x:v>
      </x:c>
    </x:row>
    <x:row r="169">
      <x:c r="A169" s="16" t="str">
        <x:v>DO-166</x:v>
      </x:c>
      <x:c r="B169" s="16" t="str">
        <x:v>inherited event</x:v>
      </x:c>
      <x:c r="C169" s="38"/>
      <x:c r="D169" s="38"/>
      <x:c r="E169" s="38"/>
      <x:c r="F169" s="38"/>
      <x:c r="G169" s="38"/>
      <x:c r="H169" s="16" t="str">
        <x:f>IF(COUNTA(C169:G169)&lt;5,"OPEN",IF(AND(F169="CURRENT",G169="ACCEPTED"),"BOUND","DENY"))</x:f>
        <x:v>OPEN</x:v>
      </x:c>
    </x:row>
    <x:row r="170">
      <x:c r="A170" s="16" t="str">
        <x:v>DO-167</x:v>
      </x:c>
      <x:c r="B170" s="16" t="str">
        <x:v>inherited event</x:v>
      </x:c>
      <x:c r="C170" s="38"/>
      <x:c r="D170" s="38"/>
      <x:c r="E170" s="38"/>
      <x:c r="F170" s="38"/>
      <x:c r="G170" s="38"/>
      <x:c r="H170" s="16" t="str">
        <x:f>IF(COUNTA(C170:G170)&lt;5,"OPEN",IF(AND(F170="CURRENT",G170="ACCEPTED"),"BOUND","DENY"))</x:f>
        <x:v>OPEN</x:v>
      </x:c>
    </x:row>
    <x:row r="171">
      <x:c r="A171" s="16" t="str">
        <x:v>DO-168</x:v>
      </x:c>
      <x:c r="B171" s="16" t="str">
        <x:v>inherited event</x:v>
      </x:c>
      <x:c r="C171" s="38"/>
      <x:c r="D171" s="38"/>
      <x:c r="E171" s="38"/>
      <x:c r="F171" s="38"/>
      <x:c r="G171" s="38"/>
      <x:c r="H171" s="16" t="str">
        <x:f>IF(COUNTA(C171:G171)&lt;5,"OPEN",IF(AND(F171="CURRENT",G171="ACCEPTED"),"BOUND","DENY"))</x:f>
        <x:v>OPEN</x:v>
      </x:c>
    </x:row>
    <x:row r="172">
      <x:c r="A172" s="16" t="str">
        <x:v>DO-169</x:v>
      </x:c>
      <x:c r="B172" s="16" t="str">
        <x:v>inherited event</x:v>
      </x:c>
      <x:c r="C172" s="38"/>
      <x:c r="D172" s="38"/>
      <x:c r="E172" s="38"/>
      <x:c r="F172" s="38"/>
      <x:c r="G172" s="38"/>
      <x:c r="H172" s="16" t="str">
        <x:f>IF(COUNTA(C172:G172)&lt;5,"OPEN",IF(AND(F172="CURRENT",G172="ACCEPTED"),"BOUND","DENY"))</x:f>
        <x:v>OPEN</x:v>
      </x:c>
    </x:row>
    <x:row r="173">
      <x:c r="A173" s="16" t="str">
        <x:v>DO-170</x:v>
      </x:c>
      <x:c r="B173" s="16" t="str">
        <x:v>inherited event</x:v>
      </x:c>
      <x:c r="C173" s="38"/>
      <x:c r="D173" s="38"/>
      <x:c r="E173" s="38"/>
      <x:c r="F173" s="38"/>
      <x:c r="G173" s="38"/>
      <x:c r="H173" s="16" t="str">
        <x:f>IF(COUNTA(C173:G173)&lt;5,"OPEN",IF(AND(F173="CURRENT",G173="ACCEPTED"),"BOUND","DENY"))</x:f>
        <x:v>OPEN</x:v>
      </x:c>
    </x:row>
    <x:row r="174">
      <x:c r="A174" s="16" t="str">
        <x:v>DO-171</x:v>
      </x:c>
      <x:c r="B174" s="16" t="str">
        <x:v>inherited event</x:v>
      </x:c>
      <x:c r="C174" s="38"/>
      <x:c r="D174" s="38"/>
      <x:c r="E174" s="38"/>
      <x:c r="F174" s="38"/>
      <x:c r="G174" s="38"/>
      <x:c r="H174" s="16" t="str">
        <x:f>IF(COUNTA(C174:G174)&lt;5,"OPEN",IF(AND(F174="CURRENT",G174="ACCEPTED"),"BOUND","DENY"))</x:f>
        <x:v>OPEN</x:v>
      </x:c>
    </x:row>
    <x:row r="175">
      <x:c r="A175" s="16" t="str">
        <x:v>DO-172</x:v>
      </x:c>
      <x:c r="B175" s="16" t="str">
        <x:v>inherited event</x:v>
      </x:c>
      <x:c r="C175" s="38"/>
      <x:c r="D175" s="38"/>
      <x:c r="E175" s="38"/>
      <x:c r="F175" s="38"/>
      <x:c r="G175" s="38"/>
      <x:c r="H175" s="16" t="str">
        <x:f>IF(COUNTA(C175:G175)&lt;5,"OPEN",IF(AND(F175="CURRENT",G175="ACCEPTED"),"BOUND","DENY"))</x:f>
        <x:v>OPEN</x:v>
      </x:c>
    </x:row>
    <x:row r="176">
      <x:c r="A176" s="16" t="str">
        <x:v>DO-173</x:v>
      </x:c>
      <x:c r="B176" s="16" t="str">
        <x:v>inherited event</x:v>
      </x:c>
      <x:c r="C176" s="38"/>
      <x:c r="D176" s="38"/>
      <x:c r="E176" s="38"/>
      <x:c r="F176" s="38"/>
      <x:c r="G176" s="38"/>
      <x:c r="H176" s="16" t="str">
        <x:f>IF(COUNTA(C176:G176)&lt;5,"OPEN",IF(AND(F176="CURRENT",G176="ACCEPTED"),"BOUND","DENY"))</x:f>
        <x:v>OPEN</x:v>
      </x:c>
    </x:row>
    <x:row r="177">
      <x:c r="A177" s="16" t="str">
        <x:v>DO-174</x:v>
      </x:c>
      <x:c r="B177" s="16" t="str">
        <x:v>inherited event</x:v>
      </x:c>
      <x:c r="C177" s="38"/>
      <x:c r="D177" s="38"/>
      <x:c r="E177" s="38"/>
      <x:c r="F177" s="38"/>
      <x:c r="G177" s="38"/>
      <x:c r="H177" s="16" t="str">
        <x:f>IF(COUNTA(C177:G177)&lt;5,"OPEN",IF(AND(F177="CURRENT",G177="ACCEPTED"),"BOUND","DENY"))</x:f>
        <x:v>OPEN</x:v>
      </x:c>
    </x:row>
    <x:row r="178">
      <x:c r="A178" s="16" t="str">
        <x:v>DO-175</x:v>
      </x:c>
      <x:c r="B178" s="16" t="str">
        <x:v>inherited event</x:v>
      </x:c>
      <x:c r="C178" s="38"/>
      <x:c r="D178" s="38"/>
      <x:c r="E178" s="38"/>
      <x:c r="F178" s="38"/>
      <x:c r="G178" s="38"/>
      <x:c r="H178" s="16" t="str">
        <x:f>IF(COUNTA(C178:G178)&lt;5,"OPEN",IF(AND(F178="CURRENT",G178="ACCEPTED"),"BOUND","DENY"))</x:f>
        <x:v>OPEN</x:v>
      </x:c>
    </x:row>
    <x:row r="179">
      <x:c r="A179" s="16" t="str">
        <x:v>DO-176</x:v>
      </x:c>
      <x:c r="B179" s="16" t="str">
        <x:v>inherited event</x:v>
      </x:c>
      <x:c r="C179" s="38"/>
      <x:c r="D179" s="38"/>
      <x:c r="E179" s="38"/>
      <x:c r="F179" s="38"/>
      <x:c r="G179" s="38"/>
      <x:c r="H179" s="16" t="str">
        <x:f>IF(COUNTA(C179:G179)&lt;5,"OPEN",IF(AND(F179="CURRENT",G179="ACCEPTED"),"BOUND","DENY"))</x:f>
        <x:v>OPEN</x:v>
      </x:c>
    </x:row>
    <x:row r="180">
      <x:c r="A180" s="16" t="str">
        <x:v>DO-177</x:v>
      </x:c>
      <x:c r="B180" s="16" t="str">
        <x:v>inherited event</x:v>
      </x:c>
      <x:c r="C180" s="38"/>
      <x:c r="D180" s="38"/>
      <x:c r="E180" s="38"/>
      <x:c r="F180" s="38"/>
      <x:c r="G180" s="38"/>
      <x:c r="H180" s="16" t="str">
        <x:f>IF(COUNTA(C180:G180)&lt;5,"OPEN",IF(AND(F180="CURRENT",G180="ACCEPTED"),"BOUND","DENY"))</x:f>
        <x:v>OPEN</x:v>
      </x:c>
    </x:row>
    <x:row r="181">
      <x:c r="A181" s="16" t="str">
        <x:v>DO-178</x:v>
      </x:c>
      <x:c r="B181" s="16" t="str">
        <x:v>inherited event</x:v>
      </x:c>
      <x:c r="C181" s="38"/>
      <x:c r="D181" s="38"/>
      <x:c r="E181" s="38"/>
      <x:c r="F181" s="38"/>
      <x:c r="G181" s="38"/>
      <x:c r="H181" s="16" t="str">
        <x:f>IF(COUNTA(C181:G181)&lt;5,"OPEN",IF(AND(F181="CURRENT",G181="ACCEPTED"),"BOUND","DENY"))</x:f>
        <x:v>OPEN</x:v>
      </x:c>
    </x:row>
    <x:row r="182">
      <x:c r="A182" s="16" t="str">
        <x:v>DO-179</x:v>
      </x:c>
      <x:c r="B182" s="16" t="str">
        <x:v>inherited event</x:v>
      </x:c>
      <x:c r="C182" s="38"/>
      <x:c r="D182" s="38"/>
      <x:c r="E182" s="38"/>
      <x:c r="F182" s="38"/>
      <x:c r="G182" s="38"/>
      <x:c r="H182" s="16" t="str">
        <x:f>IF(COUNTA(C182:G182)&lt;5,"OPEN",IF(AND(F182="CURRENT",G182="ACCEPTED"),"BOUND","DENY"))</x:f>
        <x:v>OPEN</x:v>
      </x:c>
    </x:row>
    <x:row r="183">
      <x:c r="A183" s="16" t="str">
        <x:v>DO-180</x:v>
      </x:c>
      <x:c r="B183" s="16" t="str">
        <x:v>inherited event</x:v>
      </x:c>
      <x:c r="C183" s="38"/>
      <x:c r="D183" s="38"/>
      <x:c r="E183" s="38"/>
      <x:c r="F183" s="38"/>
      <x:c r="G183" s="38"/>
      <x:c r="H183" s="16" t="str">
        <x:f>IF(COUNTA(C183:G183)&lt;5,"OPEN",IF(AND(F183="CURRENT",G183="ACCEPTED"),"BOUND","DENY"))</x:f>
        <x:v>OPEN</x:v>
      </x:c>
    </x:row>
    <x:row r="184">
      <x:c r="A184" s="16" t="str">
        <x:v>DO-181</x:v>
      </x:c>
      <x:c r="B184" s="16" t="str">
        <x:v>inherited event</x:v>
      </x:c>
      <x:c r="C184" s="38"/>
      <x:c r="D184" s="38"/>
      <x:c r="E184" s="38"/>
      <x:c r="F184" s="38"/>
      <x:c r="G184" s="38"/>
      <x:c r="H184" s="16" t="str">
        <x:f>IF(COUNTA(C184:G184)&lt;5,"OPEN",IF(AND(F184="CURRENT",G184="ACCEPTED"),"BOUND","DENY"))</x:f>
        <x:v>OPEN</x:v>
      </x:c>
    </x:row>
    <x:row r="185">
      <x:c r="A185" s="16" t="str">
        <x:v>DO-182</x:v>
      </x:c>
      <x:c r="B185" s="16" t="str">
        <x:v>inherited event</x:v>
      </x:c>
      <x:c r="C185" s="38"/>
      <x:c r="D185" s="38"/>
      <x:c r="E185" s="38"/>
      <x:c r="F185" s="38"/>
      <x:c r="G185" s="38"/>
      <x:c r="H185" s="16" t="str">
        <x:f>IF(COUNTA(C185:G185)&lt;5,"OPEN",IF(AND(F185="CURRENT",G185="ACCEPTED"),"BOUND","DENY"))</x:f>
        <x:v>OPEN</x:v>
      </x:c>
    </x:row>
    <x:row r="186">
      <x:c r="A186" s="16" t="str">
        <x:v>DO-183</x:v>
      </x:c>
      <x:c r="B186" s="16" t="str">
        <x:v>inherited event</x:v>
      </x:c>
      <x:c r="C186" s="38"/>
      <x:c r="D186" s="38"/>
      <x:c r="E186" s="38"/>
      <x:c r="F186" s="38"/>
      <x:c r="G186" s="38"/>
      <x:c r="H186" s="16" t="str">
        <x:f>IF(COUNTA(C186:G186)&lt;5,"OPEN",IF(AND(F186="CURRENT",G186="ACCEPTED"),"BOUND","DENY"))</x:f>
        <x:v>OPEN</x:v>
      </x:c>
    </x:row>
    <x:row r="187">
      <x:c r="A187" s="16" t="str">
        <x:v>DO-184</x:v>
      </x:c>
      <x:c r="B187" s="16" t="str">
        <x:v>inherited event</x:v>
      </x:c>
      <x:c r="C187" s="38"/>
      <x:c r="D187" s="38"/>
      <x:c r="E187" s="38"/>
      <x:c r="F187" s="38"/>
      <x:c r="G187" s="38"/>
      <x:c r="H187" s="16" t="str">
        <x:f>IF(COUNTA(C187:G187)&lt;5,"OPEN",IF(AND(F187="CURRENT",G187="ACCEPTED"),"BOUND","DENY"))</x:f>
        <x:v>OPEN</x:v>
      </x:c>
    </x:row>
    <x:row r="188">
      <x:c r="A188" s="16" t="str">
        <x:v>DO-185</x:v>
      </x:c>
      <x:c r="B188" s="16" t="str">
        <x:v>inherited event</x:v>
      </x:c>
      <x:c r="C188" s="38"/>
      <x:c r="D188" s="38"/>
      <x:c r="E188" s="38"/>
      <x:c r="F188" s="38"/>
      <x:c r="G188" s="38"/>
      <x:c r="H188" s="16" t="str">
        <x:f>IF(COUNTA(C188:G188)&lt;5,"OPEN",IF(AND(F188="CURRENT",G188="ACCEPTED"),"BOUND","DENY"))</x:f>
        <x:v>OPEN</x:v>
      </x:c>
    </x:row>
    <x:row r="189">
      <x:c r="A189" s="16" t="str">
        <x:v>DO-186</x:v>
      </x:c>
      <x:c r="B189" s="16" t="str">
        <x:v>inherited event</x:v>
      </x:c>
      <x:c r="C189" s="38"/>
      <x:c r="D189" s="38"/>
      <x:c r="E189" s="38"/>
      <x:c r="F189" s="38"/>
      <x:c r="G189" s="38"/>
      <x:c r="H189" s="16" t="str">
        <x:f>IF(COUNTA(C189:G189)&lt;5,"OPEN",IF(AND(F189="CURRENT",G189="ACCEPTED"),"BOUND","DENY"))</x:f>
        <x:v>OPEN</x:v>
      </x:c>
    </x:row>
    <x:row r="190">
      <x:c r="A190" s="16" t="str">
        <x:v>DO-187</x:v>
      </x:c>
      <x:c r="B190" s="16" t="str">
        <x:v>inherited event</x:v>
      </x:c>
      <x:c r="C190" s="38"/>
      <x:c r="D190" s="38"/>
      <x:c r="E190" s="38"/>
      <x:c r="F190" s="38"/>
      <x:c r="G190" s="38"/>
      <x:c r="H190" s="16" t="str">
        <x:f>IF(COUNTA(C190:G190)&lt;5,"OPEN",IF(AND(F190="CURRENT",G190="ACCEPTED"),"BOUND","DENY"))</x:f>
        <x:v>OPEN</x:v>
      </x:c>
    </x:row>
    <x:row r="191">
      <x:c r="A191" s="16" t="str">
        <x:v>DO-188</x:v>
      </x:c>
      <x:c r="B191" s="16" t="str">
        <x:v>inherited event</x:v>
      </x:c>
      <x:c r="C191" s="38"/>
      <x:c r="D191" s="38"/>
      <x:c r="E191" s="38"/>
      <x:c r="F191" s="38"/>
      <x:c r="G191" s="38"/>
      <x:c r="H191" s="16" t="str">
        <x:f>IF(COUNTA(C191:G191)&lt;5,"OPEN",IF(AND(F191="CURRENT",G191="ACCEPTED"),"BOUND","DENY"))</x:f>
        <x:v>OPEN</x:v>
      </x:c>
    </x:row>
    <x:row r="192">
      <x:c r="A192" s="16" t="str">
        <x:v>DO-189</x:v>
      </x:c>
      <x:c r="B192" s="16" t="str">
        <x:v>inherited event</x:v>
      </x:c>
      <x:c r="C192" s="38"/>
      <x:c r="D192" s="38"/>
      <x:c r="E192" s="38"/>
      <x:c r="F192" s="38"/>
      <x:c r="G192" s="38"/>
      <x:c r="H192" s="16" t="str">
        <x:f>IF(COUNTA(C192:G192)&lt;5,"OPEN",IF(AND(F192="CURRENT",G192="ACCEPTED"),"BOUND","DENY"))</x:f>
        <x:v>OPEN</x:v>
      </x:c>
    </x:row>
    <x:row r="193">
      <x:c r="A193" s="16" t="str">
        <x:v>DO-190</x:v>
      </x:c>
      <x:c r="B193" s="16" t="str">
        <x:v>inherited event</x:v>
      </x:c>
      <x:c r="C193" s="38"/>
      <x:c r="D193" s="38"/>
      <x:c r="E193" s="38"/>
      <x:c r="F193" s="38"/>
      <x:c r="G193" s="38"/>
      <x:c r="H193" s="16" t="str">
        <x:f>IF(COUNTA(C193:G193)&lt;5,"OPEN",IF(AND(F193="CURRENT",G193="ACCEPTED"),"BOUND","DENY"))</x:f>
        <x:v>OPEN</x:v>
      </x:c>
    </x:row>
    <x:row r="194">
      <x:c r="A194" s="16" t="str">
        <x:v>DO-191</x:v>
      </x:c>
      <x:c r="B194" s="16" t="str">
        <x:v>inherited event</x:v>
      </x:c>
      <x:c r="C194" s="38"/>
      <x:c r="D194" s="38"/>
      <x:c r="E194" s="38"/>
      <x:c r="F194" s="38"/>
      <x:c r="G194" s="38"/>
      <x:c r="H194" s="16" t="str">
        <x:f>IF(COUNTA(C194:G194)&lt;5,"OPEN",IF(AND(F194="CURRENT",G194="ACCEPTED"),"BOUND","DENY"))</x:f>
        <x:v>OPEN</x:v>
      </x:c>
    </x:row>
    <x:row r="195">
      <x:c r="A195" s="16" t="str">
        <x:v>DO-192</x:v>
      </x:c>
      <x:c r="B195" s="16" t="str">
        <x:v>inherited event</x:v>
      </x:c>
      <x:c r="C195" s="38"/>
      <x:c r="D195" s="38"/>
      <x:c r="E195" s="38"/>
      <x:c r="F195" s="38"/>
      <x:c r="G195" s="38"/>
      <x:c r="H195" s="16" t="str">
        <x:f>IF(COUNTA(C195:G195)&lt;5,"OPEN",IF(AND(F195="CURRENT",G195="ACCEPTED"),"BOUND","DENY"))</x:f>
        <x:v>OPEN</x:v>
      </x:c>
    </x:row>
    <x:row r="196">
      <x:c r="A196" s="16" t="str">
        <x:v>DO-193</x:v>
      </x:c>
      <x:c r="B196" s="16" t="str">
        <x:v>inherited event</x:v>
      </x:c>
      <x:c r="C196" s="38"/>
      <x:c r="D196" s="38"/>
      <x:c r="E196" s="38"/>
      <x:c r="F196" s="38"/>
      <x:c r="G196" s="38"/>
      <x:c r="H196" s="16" t="str">
        <x:f>IF(COUNTA(C196:G196)&lt;5,"OPEN",IF(AND(F196="CURRENT",G196="ACCEPTED"),"BOUND","DENY"))</x:f>
        <x:v>OPEN</x:v>
      </x:c>
    </x:row>
    <x:row r="197">
      <x:c r="A197" s="16" t="str">
        <x:v>DO-194</x:v>
      </x:c>
      <x:c r="B197" s="16" t="str">
        <x:v>inherited event</x:v>
      </x:c>
      <x:c r="C197" s="38"/>
      <x:c r="D197" s="38"/>
      <x:c r="E197" s="38"/>
      <x:c r="F197" s="38"/>
      <x:c r="G197" s="38"/>
      <x:c r="H197" s="16" t="str">
        <x:f>IF(COUNTA(C197:G197)&lt;5,"OPEN",IF(AND(F197="CURRENT",G197="ACCEPTED"),"BOUND","DENY"))</x:f>
        <x:v>OPEN</x:v>
      </x:c>
    </x:row>
    <x:row r="198">
      <x:c r="A198" s="16" t="str">
        <x:v>DO-195</x:v>
      </x:c>
      <x:c r="B198" s="16" t="str">
        <x:v>inherited event</x:v>
      </x:c>
      <x:c r="C198" s="38"/>
      <x:c r="D198" s="38"/>
      <x:c r="E198" s="38"/>
      <x:c r="F198" s="38"/>
      <x:c r="G198" s="38"/>
      <x:c r="H198" s="16" t="str">
        <x:f>IF(COUNTA(C198:G198)&lt;5,"OPEN",IF(AND(F198="CURRENT",G198="ACCEPTED"),"BOUND","DENY"))</x:f>
        <x:v>OPEN</x:v>
      </x:c>
    </x:row>
    <x:row r="199">
      <x:c r="A199" s="16" t="str">
        <x:v>DO-196</x:v>
      </x:c>
      <x:c r="B199" s="16" t="str">
        <x:v>inherited event</x:v>
      </x:c>
      <x:c r="C199" s="38"/>
      <x:c r="D199" s="38"/>
      <x:c r="E199" s="38"/>
      <x:c r="F199" s="38"/>
      <x:c r="G199" s="38"/>
      <x:c r="H199" s="16" t="str">
        <x:f>IF(COUNTA(C199:G199)&lt;5,"OPEN",IF(AND(F199="CURRENT",G199="ACCEPTED"),"BOUND","DENY"))</x:f>
        <x:v>OPEN</x:v>
      </x:c>
    </x:row>
    <x:row r="200">
      <x:c r="A200" s="16" t="str">
        <x:v>DO-197</x:v>
      </x:c>
      <x:c r="B200" s="16" t="str">
        <x:v>inherited event</x:v>
      </x:c>
      <x:c r="C200" s="38"/>
      <x:c r="D200" s="38"/>
      <x:c r="E200" s="38"/>
      <x:c r="F200" s="38"/>
      <x:c r="G200" s="38"/>
      <x:c r="H200" s="16" t="str">
        <x:f>IF(COUNTA(C200:G200)&lt;5,"OPEN",IF(AND(F200="CURRENT",G200="ACCEPTED"),"BOUND","DENY"))</x:f>
        <x:v>OPEN</x:v>
      </x:c>
    </x:row>
    <x:row r="201">
      <x:c r="A201" s="16" t="str">
        <x:v>DO-198</x:v>
      </x:c>
      <x:c r="B201" s="16" t="str">
        <x:v>inherited event</x:v>
      </x:c>
      <x:c r="C201" s="38"/>
      <x:c r="D201" s="38"/>
      <x:c r="E201" s="38"/>
      <x:c r="F201" s="38"/>
      <x:c r="G201" s="38"/>
      <x:c r="H201" s="16" t="str">
        <x:f>IF(COUNTA(C201:G201)&lt;5,"OPEN",IF(AND(F201="CURRENT",G201="ACCEPTED"),"BOUND","DENY"))</x:f>
        <x:v>OPEN</x:v>
      </x:c>
    </x:row>
    <x:row r="202">
      <x:c r="A202" s="16" t="str">
        <x:v>DO-199</x:v>
      </x:c>
      <x:c r="B202" s="16" t="str">
        <x:v>inherited event</x:v>
      </x:c>
      <x:c r="C202" s="38"/>
      <x:c r="D202" s="38"/>
      <x:c r="E202" s="38"/>
      <x:c r="F202" s="38"/>
      <x:c r="G202" s="38"/>
      <x:c r="H202" s="16" t="str">
        <x:f>IF(COUNTA(C202:G202)&lt;5,"OPEN",IF(AND(F202="CURRENT",G202="ACCEPTED"),"BOUND","DENY"))</x:f>
        <x:v>OPEN</x:v>
      </x:c>
    </x:row>
    <x:row r="203">
      <x:c r="A203" s="16" t="str">
        <x:v>DO-200</x:v>
      </x:c>
      <x:c r="B203" s="16" t="str">
        <x:v>inherited event</x:v>
      </x:c>
      <x:c r="C203" s="38"/>
      <x:c r="D203" s="38"/>
      <x:c r="E203" s="38"/>
      <x:c r="F203" s="38"/>
      <x:c r="G203" s="38"/>
      <x:c r="H203" s="16" t="str">
        <x:f>IF(COUNTA(C203:G203)&lt;5,"OPEN",IF(AND(F203="CURRENT",G203="ACCEPTED"),"BOUND","DENY"))</x:f>
        <x:v>OPEN</x:v>
      </x:c>
    </x:row>
    <x:row r="204">
      <x:c r="A204" s="16" t="str">
        <x:v>DO-201</x:v>
      </x:c>
      <x:c r="B204" s="16" t="str">
        <x:v>inherited event</x:v>
      </x:c>
      <x:c r="C204" s="38"/>
      <x:c r="D204" s="38"/>
      <x:c r="E204" s="38"/>
      <x:c r="F204" s="38"/>
      <x:c r="G204" s="38"/>
      <x:c r="H204" s="16" t="str">
        <x:f>IF(COUNTA(C204:G204)&lt;5,"OPEN",IF(AND(F204="CURRENT",G204="ACCEPTED"),"BOUND","DENY"))</x:f>
        <x:v>OPEN</x:v>
      </x:c>
    </x:row>
    <x:row r="205">
      <x:c r="A205" s="16" t="str">
        <x:v>DO-202</x:v>
      </x:c>
      <x:c r="B205" s="16" t="str">
        <x:v>inherited event</x:v>
      </x:c>
      <x:c r="C205" s="38"/>
      <x:c r="D205" s="38"/>
      <x:c r="E205" s="38"/>
      <x:c r="F205" s="38"/>
      <x:c r="G205" s="38"/>
      <x:c r="H205" s="16" t="str">
        <x:f>IF(COUNTA(C205:G205)&lt;5,"OPEN",IF(AND(F205="CURRENT",G205="ACCEPTED"),"BOUND","DENY"))</x:f>
        <x:v>OPEN</x:v>
      </x:c>
    </x:row>
    <x:row r="206">
      <x:c r="A206" s="16" t="str">
        <x:v>DO-203</x:v>
      </x:c>
      <x:c r="B206" s="16" t="str">
        <x:v>inherited event</x:v>
      </x:c>
      <x:c r="C206" s="38"/>
      <x:c r="D206" s="38"/>
      <x:c r="E206" s="38"/>
      <x:c r="F206" s="38"/>
      <x:c r="G206" s="38"/>
      <x:c r="H206" s="16" t="str">
        <x:f>IF(COUNTA(C206:G206)&lt;5,"OPEN",IF(AND(F206="CURRENT",G206="ACCEPTED"),"BOUND","DENY"))</x:f>
        <x:v>OPEN</x:v>
      </x:c>
    </x:row>
    <x:row r="207">
      <x:c r="A207" s="16" t="str">
        <x:v>DO-204</x:v>
      </x:c>
      <x:c r="B207" s="16" t="str">
        <x:v>inherited event</x:v>
      </x:c>
      <x:c r="C207" s="38"/>
      <x:c r="D207" s="38"/>
      <x:c r="E207" s="38"/>
      <x:c r="F207" s="38"/>
      <x:c r="G207" s="38"/>
      <x:c r="H207" s="16" t="str">
        <x:f>IF(COUNTA(C207:G207)&lt;5,"OPEN",IF(AND(F207="CURRENT",G207="ACCEPTED"),"BOUND","DENY"))</x:f>
        <x:v>OPEN</x:v>
      </x:c>
    </x:row>
    <x:row r="208">
      <x:c r="A208" s="16" t="str">
        <x:v>DO-205</x:v>
      </x:c>
      <x:c r="B208" s="16" t="str">
        <x:v>inherited event</x:v>
      </x:c>
      <x:c r="C208" s="38"/>
      <x:c r="D208" s="38"/>
      <x:c r="E208" s="38"/>
      <x:c r="F208" s="38"/>
      <x:c r="G208" s="38"/>
      <x:c r="H208" s="16" t="str">
        <x:f>IF(COUNTA(C208:G208)&lt;5,"OPEN",IF(AND(F208="CURRENT",G208="ACCEPTED"),"BOUND","DENY"))</x:f>
        <x:v>OPEN</x:v>
      </x:c>
    </x:row>
    <x:row r="209">
      <x:c r="A209" s="16" t="str">
        <x:v>DO-206</x:v>
      </x:c>
      <x:c r="B209" s="16" t="str">
        <x:v>inherited event</x:v>
      </x:c>
      <x:c r="C209" s="38"/>
      <x:c r="D209" s="38"/>
      <x:c r="E209" s="38"/>
      <x:c r="F209" s="38"/>
      <x:c r="G209" s="38"/>
      <x:c r="H209" s="16" t="str">
        <x:f>IF(COUNTA(C209:G209)&lt;5,"OPEN",IF(AND(F209="CURRENT",G209="ACCEPTED"),"BOUND","DENY"))</x:f>
        <x:v>OPEN</x:v>
      </x:c>
    </x:row>
    <x:row r="210">
      <x:c r="A210" s="16" t="str">
        <x:v>DO-207</x:v>
      </x:c>
      <x:c r="B210" s="16" t="str">
        <x:v>inherited event</x:v>
      </x:c>
      <x:c r="C210" s="38"/>
      <x:c r="D210" s="38"/>
      <x:c r="E210" s="38"/>
      <x:c r="F210" s="38"/>
      <x:c r="G210" s="38"/>
      <x:c r="H210" s="16" t="str">
        <x:f>IF(COUNTA(C210:G210)&lt;5,"OPEN",IF(AND(F210="CURRENT",G210="ACCEPTED"),"BOUND","DENY"))</x:f>
        <x:v>OPEN</x:v>
      </x:c>
    </x:row>
    <x:row r="211">
      <x:c r="A211" s="16" t="str">
        <x:v>DO-208</x:v>
      </x:c>
      <x:c r="B211" s="16" t="str">
        <x:v>inherited event</x:v>
      </x:c>
      <x:c r="C211" s="38"/>
      <x:c r="D211" s="38"/>
      <x:c r="E211" s="38"/>
      <x:c r="F211" s="38"/>
      <x:c r="G211" s="38"/>
      <x:c r="H211" s="16" t="str">
        <x:f>IF(COUNTA(C211:G211)&lt;5,"OPEN",IF(AND(F211="CURRENT",G211="ACCEPTED"),"BOUND","DENY"))</x:f>
        <x:v>OPEN</x:v>
      </x:c>
    </x:row>
    <x:row r="212">
      <x:c r="A212" s="16" t="str">
        <x:v>DO-209</x:v>
      </x:c>
      <x:c r="B212" s="16" t="str">
        <x:v>inherited event</x:v>
      </x:c>
      <x:c r="C212" s="38"/>
      <x:c r="D212" s="38"/>
      <x:c r="E212" s="38"/>
      <x:c r="F212" s="38"/>
      <x:c r="G212" s="38"/>
      <x:c r="H212" s="16" t="str">
        <x:f>IF(COUNTA(C212:G212)&lt;5,"OPEN",IF(AND(F212="CURRENT",G212="ACCEPTED"),"BOUND","DENY"))</x:f>
        <x:v>OPEN</x:v>
      </x:c>
    </x:row>
    <x:row r="213">
      <x:c r="A213" s="16" t="str">
        <x:v>DO-210</x:v>
      </x:c>
      <x:c r="B213" s="16" t="str">
        <x:v>inherited event</x:v>
      </x:c>
      <x:c r="C213" s="38"/>
      <x:c r="D213" s="38"/>
      <x:c r="E213" s="38"/>
      <x:c r="F213" s="38"/>
      <x:c r="G213" s="38"/>
      <x:c r="H213" s="16" t="str">
        <x:f>IF(COUNTA(C213:G213)&lt;5,"OPEN",IF(AND(F213="CURRENT",G213="ACCEPTED"),"BOUND","DENY"))</x:f>
        <x:v>OPEN</x:v>
      </x:c>
    </x:row>
    <x:row r="214">
      <x:c r="A214" s="16" t="str">
        <x:v>DO-211</x:v>
      </x:c>
      <x:c r="B214" s="16" t="str">
        <x:v>inherited event</x:v>
      </x:c>
      <x:c r="C214" s="38"/>
      <x:c r="D214" s="38"/>
      <x:c r="E214" s="38"/>
      <x:c r="F214" s="38"/>
      <x:c r="G214" s="38"/>
      <x:c r="H214" s="16" t="str">
        <x:f>IF(COUNTA(C214:G214)&lt;5,"OPEN",IF(AND(F214="CURRENT",G214="ACCEPTED"),"BOUND","DENY"))</x:f>
        <x:v>OPEN</x:v>
      </x:c>
    </x:row>
    <x:row r="215">
      <x:c r="A215" s="16" t="str">
        <x:v>DO-212</x:v>
      </x:c>
      <x:c r="B215" s="16" t="str">
        <x:v>inherited event</x:v>
      </x:c>
      <x:c r="C215" s="38"/>
      <x:c r="D215" s="38"/>
      <x:c r="E215" s="38"/>
      <x:c r="F215" s="38"/>
      <x:c r="G215" s="38"/>
      <x:c r="H215" s="16" t="str">
        <x:f>IF(COUNTA(C215:G215)&lt;5,"OPEN",IF(AND(F215="CURRENT",G215="ACCEPTED"),"BOUND","DENY"))</x:f>
        <x:v>OPEN</x:v>
      </x:c>
    </x:row>
    <x:row r="216">
      <x:c r="A216" s="16" t="str">
        <x:v>DO-213</x:v>
      </x:c>
      <x:c r="B216" s="16" t="str">
        <x:v>inherited event</x:v>
      </x:c>
      <x:c r="C216" s="38"/>
      <x:c r="D216" s="38"/>
      <x:c r="E216" s="38"/>
      <x:c r="F216" s="38"/>
      <x:c r="G216" s="38"/>
      <x:c r="H216" s="16" t="str">
        <x:f>IF(COUNTA(C216:G216)&lt;5,"OPEN",IF(AND(F216="CURRENT",G216="ACCEPTED"),"BOUND","DENY"))</x:f>
        <x:v>OPEN</x:v>
      </x:c>
    </x:row>
    <x:row r="217">
      <x:c r="A217" s="16" t="str">
        <x:v>DO-214</x:v>
      </x:c>
      <x:c r="B217" s="16" t="str">
        <x:v>inherited event</x:v>
      </x:c>
      <x:c r="C217" s="38"/>
      <x:c r="D217" s="38"/>
      <x:c r="E217" s="38"/>
      <x:c r="F217" s="38"/>
      <x:c r="G217" s="38"/>
      <x:c r="H217" s="16" t="str">
        <x:f>IF(COUNTA(C217:G217)&lt;5,"OPEN",IF(AND(F217="CURRENT",G217="ACCEPTED"),"BOUND","DENY"))</x:f>
        <x:v>OPEN</x:v>
      </x:c>
    </x:row>
    <x:row r="218">
      <x:c r="A218" s="16" t="str">
        <x:v>DO-215</x:v>
      </x:c>
      <x:c r="B218" s="16" t="str">
        <x:v>inherited event</x:v>
      </x:c>
      <x:c r="C218" s="38"/>
      <x:c r="D218" s="38"/>
      <x:c r="E218" s="38"/>
      <x:c r="F218" s="38"/>
      <x:c r="G218" s="38"/>
      <x:c r="H218" s="16" t="str">
        <x:f>IF(COUNTA(C218:G218)&lt;5,"OPEN",IF(AND(F218="CURRENT",G218="ACCEPTED"),"BOUND","DENY"))</x:f>
        <x:v>OPEN</x:v>
      </x:c>
    </x:row>
    <x:row r="219">
      <x:c r="A219" s="16" t="str">
        <x:v>DO-216</x:v>
      </x:c>
      <x:c r="B219" s="16" t="str">
        <x:v>inherited event</x:v>
      </x:c>
      <x:c r="C219" s="38"/>
      <x:c r="D219" s="38"/>
      <x:c r="E219" s="38"/>
      <x:c r="F219" s="38"/>
      <x:c r="G219" s="38"/>
      <x:c r="H219" s="16" t="str">
        <x:f>IF(COUNTA(C219:G219)&lt;5,"OPEN",IF(AND(F219="CURRENT",G219="ACCEPTED"),"BOUND","DENY"))</x:f>
        <x:v>OPEN</x:v>
      </x:c>
    </x:row>
    <x:row r="220">
      <x:c r="A220" s="16" t="str">
        <x:v>DO-217</x:v>
      </x:c>
      <x:c r="B220" s="16" t="str">
        <x:v>inherited event</x:v>
      </x:c>
      <x:c r="C220" s="38"/>
      <x:c r="D220" s="38"/>
      <x:c r="E220" s="38"/>
      <x:c r="F220" s="38"/>
      <x:c r="G220" s="38"/>
      <x:c r="H220" s="16" t="str">
        <x:f>IF(COUNTA(C220:G220)&lt;5,"OPEN",IF(AND(F220="CURRENT",G220="ACCEPTED"),"BOUND","DENY"))</x:f>
        <x:v>OPEN</x:v>
      </x:c>
    </x:row>
    <x:row r="221">
      <x:c r="A221" s="16" t="str">
        <x:v>DO-218</x:v>
      </x:c>
      <x:c r="B221" s="16" t="str">
        <x:v>inherited event</x:v>
      </x:c>
      <x:c r="C221" s="38"/>
      <x:c r="D221" s="38"/>
      <x:c r="E221" s="38"/>
      <x:c r="F221" s="38"/>
      <x:c r="G221" s="38"/>
      <x:c r="H221" s="16" t="str">
        <x:f>IF(COUNTA(C221:G221)&lt;5,"OPEN",IF(AND(F221="CURRENT",G221="ACCEPTED"),"BOUND","DENY"))</x:f>
        <x:v>OPEN</x:v>
      </x:c>
    </x:row>
    <x:row r="222">
      <x:c r="A222" s="16" t="str">
        <x:v>DO-219</x:v>
      </x:c>
      <x:c r="B222" s="16" t="str">
        <x:v>architecture downselect</x:v>
      </x:c>
      <x:c r="C222" s="38"/>
      <x:c r="D222" s="38"/>
      <x:c r="E222" s="38"/>
      <x:c r="F222" s="38"/>
      <x:c r="G222" s="38"/>
      <x:c r="H222" s="16" t="str">
        <x:f>IF(COUNTA(C222:G222)&lt;5,"OPEN",IF(AND(F222="CURRENT",G222="ACCEPTED"),"BOUND","DENY"))</x:f>
        <x:v>OPEN</x:v>
      </x:c>
    </x:row>
    <x:row r="223">
      <x:c r="A223" s="16" t="str">
        <x:v>DO-220</x:v>
      </x:c>
      <x:c r="B223" s="16" t="str">
        <x:v>route baseline</x:v>
      </x:c>
      <x:c r="C223" s="38"/>
      <x:c r="D223" s="38"/>
      <x:c r="E223" s="38"/>
      <x:c r="F223" s="38"/>
      <x:c r="G223" s="38"/>
      <x:c r="H223" s="16" t="str">
        <x:f>IF(COUNTA(C223:G223)&lt;5,"OPEN",IF(AND(F223="CURRENT",G223="ACCEPTED"),"BOUND","DENY"))</x:f>
        <x:v>OPEN</x:v>
      </x:c>
    </x:row>
    <x:row r="224">
      <x:c r="A224" s="16" t="str">
        <x:v>DO-221</x:v>
      </x:c>
      <x:c r="B224" s="16" t="str">
        <x:v>receiver</x:v>
      </x:c>
      <x:c r="C224" s="38"/>
      <x:c r="D224" s="38"/>
      <x:c r="E224" s="38"/>
      <x:c r="F224" s="38"/>
      <x:c r="G224" s="38"/>
      <x:c r="H224" s="16" t="str">
        <x:f>IF(COUNTA(C224:G224)&lt;5,"OPEN",IF(AND(F224="CURRENT",G224="ACCEPTED"),"BOUND","DENY"))</x:f>
        <x:v>OPEN</x:v>
      </x:c>
    </x:row>
    <x:row r="225">
      <x:c r="A225" s="16" t="str">
        <x:v>DO-222</x:v>
      </x:c>
      <x:c r="B225" s="16" t="str">
        <x:v>capture plane</x:v>
      </x:c>
      <x:c r="C225" s="38"/>
      <x:c r="D225" s="38"/>
      <x:c r="E225" s="38"/>
      <x:c r="F225" s="38"/>
      <x:c r="G225" s="38"/>
      <x:c r="H225" s="16" t="str">
        <x:f>IF(COUNTA(C225:G225)&lt;5,"OPEN",IF(AND(F225="CURRENT",G225="ACCEPTED"),"BOUND","DENY"))</x:f>
        <x:v>OPEN</x:v>
      </x:c>
    </x:row>
    <x:row r="226">
      <x:c r="A226" s="16" t="str">
        <x:v>DO-223</x:v>
      </x:c>
      <x:c r="B226" s="16" t="str">
        <x:v>qualification</x:v>
      </x:c>
      <x:c r="C226" s="38"/>
      <x:c r="D226" s="38"/>
      <x:c r="E226" s="38"/>
      <x:c r="F226" s="38"/>
      <x:c r="G226" s="38"/>
      <x:c r="H226" s="16" t="str">
        <x:f>IF(COUNTA(C226:G226)&lt;5,"OPEN",IF(AND(F226="CURRENT",G226="ACCEPTED"),"BOUND","DENY"))</x:f>
        <x:v>OPEN</x:v>
      </x:c>
    </x:row>
    <x:row r="227">
      <x:c r="A227" s="16" t="str">
        <x:v>DO-224</x:v>
      </x:c>
      <x:c r="B227" s="16" t="str">
        <x:v>pressure</x:v>
      </x:c>
      <x:c r="C227" s="38"/>
      <x:c r="D227" s="38"/>
      <x:c r="E227" s="38"/>
      <x:c r="F227" s="38"/>
      <x:c r="G227" s="38"/>
      <x:c r="H227" s="16" t="str">
        <x:f>IF(COUNTA(C227:G227)&lt;5,"OPEN",IF(AND(F227="CURRENT",G227="ACCEPTED"),"BOUND","DENY"))</x:f>
        <x:v>OPEN</x:v>
      </x:c>
    </x:row>
    <x:row r="228">
      <x:c r="A228" s="16" t="str">
        <x:v>DO-225</x:v>
      </x:c>
      <x:c r="B228" s="16" t="str">
        <x:v>hold-up</x:v>
      </x:c>
      <x:c r="C228" s="38"/>
      <x:c r="D228" s="38"/>
      <x:c r="E228" s="38"/>
      <x:c r="F228" s="38"/>
      <x:c r="G228" s="38"/>
      <x:c r="H228" s="16" t="str">
        <x:f>IF(COUNTA(C228:G228)&lt;5,"OPEN",IF(AND(F228="CURRENT",G228="ACCEPTED"),"BOUND","DENY"))</x:f>
        <x:v>OPEN</x:v>
      </x:c>
    </x:row>
    <x:row r="229">
      <x:c r="A229" s="16" t="str">
        <x:v>DO-226</x:v>
      </x:c>
      <x:c r="B229" s="16" t="str">
        <x:v>fault</x:v>
      </x:c>
      <x:c r="C229" s="38"/>
      <x:c r="D229" s="38"/>
      <x:c r="E229" s="38"/>
      <x:c r="F229" s="38"/>
      <x:c r="G229" s="38"/>
      <x:c r="H229" s="16" t="str">
        <x:f>IF(COUNTA(C229:G229)&lt;5,"OPEN",IF(AND(F229="CURRENT",G229="ACCEPTED"),"BOUND","DENY"))</x:f>
        <x:v>OPEN</x:v>
      </x:c>
    </x:row>
    <x:row r="230">
      <x:c r="A230" s="16" t="str">
        <x:v>DO-227</x:v>
      </x:c>
      <x:c r="B230" s="16" t="str">
        <x:v>return</x:v>
      </x:c>
      <x:c r="C230" s="38"/>
      <x:c r="D230" s="38"/>
      <x:c r="E230" s="38"/>
      <x:c r="F230" s="38"/>
      <x:c r="G230" s="38"/>
      <x:c r="H230" s="16" t="str">
        <x:f>IF(COUNTA(C230:G230)&lt;5,"OPEN",IF(AND(F230="CURRENT",G230="ACCEPTED"),"BOUND","DENY"))</x:f>
        <x:v>OPEN</x:v>
      </x:c>
    </x:row>
    <x:row r="231">
      <x:c r="A231" s="16" t="str">
        <x:v>DO-228</x:v>
      </x:c>
      <x:c r="B231" s="16" t="str">
        <x:v>evidence</x:v>
      </x:c>
      <x:c r="C231" s="38"/>
      <x:c r="D231" s="38"/>
      <x:c r="E231" s="38"/>
      <x:c r="F231" s="38"/>
      <x:c r="G231" s="38"/>
      <x:c r="H231" s="16" t="str">
        <x:f>IF(COUNTA(C231:G231)&lt;5,"OPEN",IF(AND(F231="CURRENT",G231="ACCEPTED"),"BOUND","DENY"))</x:f>
        <x:v>OPEN</x:v>
      </x:c>
    </x:row>
    <x:row r="232">
      <x:c r="A232" s="16" t="str">
        <x:v>DO-229</x:v>
      </x:c>
      <x:c r="B232" s="16" t="str">
        <x:v>review</x:v>
      </x:c>
      <x:c r="C232" s="38"/>
      <x:c r="D232" s="38"/>
      <x:c r="E232" s="38"/>
      <x:c r="F232" s="38"/>
      <x:c r="G232" s="38"/>
      <x:c r="H232" s="16" t="str">
        <x:f>IF(COUNTA(C232:G232)&lt;5,"OPEN",IF(AND(F232="CURRENT",G232="ACCEPTED"),"BOUND","DENY"))</x:f>
        <x:v>OPEN</x:v>
      </x:c>
    </x:row>
    <x:row r="233">
      <x:c r="A233" s="16" t="str">
        <x:v>DO-230</x:v>
      </x:c>
      <x:c r="B233" s="16" t="str">
        <x:v>inherited event</x:v>
      </x:c>
      <x:c r="C233" s="38"/>
      <x:c r="D233" s="38"/>
      <x:c r="E233" s="38"/>
      <x:c r="F233" s="38"/>
      <x:c r="G233" s="38"/>
      <x:c r="H233" s="16" t="str">
        <x:f>IF(COUNTA(C233:G233)&lt;5,"OPEN",IF(AND(F233="CURRENT",G233="ACCEPTED"),"BOUND","DENY"))</x:f>
        <x:v>OPEN</x:v>
      </x:c>
    </x:row>
    <x:row r="234">
      <x:c r="A234" s="16" t="str">
        <x:v>DO-231</x:v>
      </x:c>
      <x:c r="B234" s="16" t="str">
        <x:v>architecture downselect</x:v>
      </x:c>
      <x:c r="C234" s="38"/>
      <x:c r="D234" s="38"/>
      <x:c r="E234" s="38"/>
      <x:c r="F234" s="38"/>
      <x:c r="G234" s="38"/>
      <x:c r="H234" s="16" t="str">
        <x:f>IF(COUNTA(C234:G234)&lt;5,"OPEN",IF(AND(F234="CURRENT",G234="ACCEPTED"),"BOUND","DENY"))</x:f>
        <x:v>OPEN</x:v>
      </x:c>
    </x:row>
    <x:row r="235">
      <x:c r="A235" s="16" t="str">
        <x:v>DO-232</x:v>
      </x:c>
      <x:c r="B235" s="16" t="str">
        <x:v>route baseline</x:v>
      </x:c>
      <x:c r="C235" s="38"/>
      <x:c r="D235" s="38"/>
      <x:c r="E235" s="38"/>
      <x:c r="F235" s="38"/>
      <x:c r="G235" s="38"/>
      <x:c r="H235" s="16" t="str">
        <x:f>IF(COUNTA(C235:G235)&lt;5,"OPEN",IF(AND(F235="CURRENT",G235="ACCEPTED"),"BOUND","DENY"))</x:f>
        <x:v>OPEN</x:v>
      </x:c>
    </x:row>
    <x:row r="236">
      <x:c r="A236" s="16" t="str">
        <x:v>DO-233</x:v>
      </x:c>
      <x:c r="B236" s="16" t="str">
        <x:v>receiver</x:v>
      </x:c>
      <x:c r="C236" s="38"/>
      <x:c r="D236" s="38"/>
      <x:c r="E236" s="38"/>
      <x:c r="F236" s="38"/>
      <x:c r="G236" s="38"/>
      <x:c r="H236" s="16" t="str">
        <x:f>IF(COUNTA(C236:G236)&lt;5,"OPEN",IF(AND(F236="CURRENT",G236="ACCEPTED"),"BOUND","DENY"))</x:f>
        <x:v>OPEN</x:v>
      </x:c>
    </x:row>
    <x:row r="237">
      <x:c r="A237" s="16" t="str">
        <x:v>DO-234</x:v>
      </x:c>
      <x:c r="B237" s="16" t="str">
        <x:v>capture plane</x:v>
      </x:c>
      <x:c r="C237" s="38"/>
      <x:c r="D237" s="38"/>
      <x:c r="E237" s="38"/>
      <x:c r="F237" s="38"/>
      <x:c r="G237" s="38"/>
      <x:c r="H237" s="16" t="str">
        <x:f>IF(COUNTA(C237:G237)&lt;5,"OPEN",IF(AND(F237="CURRENT",G237="ACCEPTED"),"BOUND","DENY"))</x:f>
        <x:v>OPEN</x:v>
      </x:c>
    </x:row>
    <x:row r="238">
      <x:c r="A238" s="16" t="str">
        <x:v>DO-235</x:v>
      </x:c>
      <x:c r="B238" s="16" t="str">
        <x:v>qualification</x:v>
      </x:c>
      <x:c r="C238" s="38"/>
      <x:c r="D238" s="38"/>
      <x:c r="E238" s="38"/>
      <x:c r="F238" s="38"/>
      <x:c r="G238" s="38"/>
      <x:c r="H238" s="16" t="str">
        <x:f>IF(COUNTA(C238:G238)&lt;5,"OPEN",IF(AND(F238="CURRENT",G238="ACCEPTED"),"BOUND","DENY"))</x:f>
        <x:v>OPEN</x:v>
      </x:c>
    </x:row>
    <x:row r="239">
      <x:c r="A239" s="16" t="str">
        <x:v>DO-236</x:v>
      </x:c>
      <x:c r="B239" s="16" t="str">
        <x:v>pressure</x:v>
      </x:c>
      <x:c r="C239" s="38"/>
      <x:c r="D239" s="38"/>
      <x:c r="E239" s="38"/>
      <x:c r="F239" s="38"/>
      <x:c r="G239" s="38"/>
      <x:c r="H239" s="16" t="str">
        <x:f>IF(COUNTA(C239:G239)&lt;5,"OPEN",IF(AND(F239="CURRENT",G239="ACCEPTED"),"BOUND","DENY"))</x:f>
        <x:v>OPEN</x:v>
      </x:c>
    </x:row>
  </x:sheetData>
  <x:mergeCells>
    <x:mergeCell ref="A1:H1"/>
  </x:mergeCells>
  <x:conditionalFormatting sqref="H4:H239">
    <x:cfRule type="containsText" dxfId="32" priority="1" operator="containsText" text="DENY"/>
    <x:cfRule type="containsText" dxfId="33" priority="2" operator="containsText" text="FAIL"/>
    <x:cfRule type="containsText" dxfId="34" priority="3" operator="containsText" text="MISSING"/>
    <x:cfRule type="containsText" dxfId="35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780fa2dd3432404e"/>
  </x:tableParts>
</x:worksheet>
</file>

<file path=xl/worksheets/sheet13.xml><?xml version="1.0" encoding="utf-8"?>
<x:worksheet xmlns:x="http://schemas.openxmlformats.org/spreadsheetml/2006/main">
  <x:sheetPr>
    <x:tabColor rgb="FF1E3A5F"/>
  </x:sheetPr>
  <x:sheetViews>
    <x:sheetView showGridLines="0" workbookViewId="0"/>
  </x:sheetViews>
  <x:sheetFormatPr defaultRowHeight="15"/>
  <x:cols>
    <x:col min="1" max="1" width="38" hidden="0" customWidth="1"/>
    <x:col min="2" max="2" width="23" hidden="0" customWidth="1"/>
    <x:col min="3" max="3" width="22" hidden="0" customWidth="1"/>
    <x:col min="4" max="4" width="20" hidden="0" customWidth="1"/>
  </x:cols>
  <x:sheetData>
    <x:row r="1" ht="27" customHeight="1">
      <x:c r="A1" s="3" t="str">
        <x:v>Source-mass uncertainty allocation</x:v>
      </x:c>
      <x:c r="B1" s="3" t="str">
        <x:v>Source-mass uncertainty allocation</x:v>
      </x:c>
      <x:c r="C1" s="3" t="str">
        <x:v>Source-mass uncertainty allocation</x:v>
      </x:c>
      <x:c r="D1" s="3" t="str">
        <x:v>Source-mass uncertainty allocation</x:v>
      </x:c>
      <x:c r="E1" s="3" t="str">
        <x:v>Source-mass uncertainty allocation</x:v>
      </x:c>
      <x:c r="F1" s="3" t="str">
        <x:v>Source-mass uncertainty allocation</x:v>
      </x:c>
      <x:c r="G1" s="3" t="str">
        <x:v>Source-mass uncertainty allocation</x:v>
      </x:c>
    </x:row>
    <x:row r="2">
      <x:c r="A2" s="60"/>
      <x:c r="B2" s="60"/>
      <x:c r="C2" s="60"/>
      <x:c r="D2" s="60"/>
      <x:c r="E2" s="60"/>
      <x:c r="F2" s="60"/>
      <x:c r="G2" s="60"/>
    </x:row>
    <x:row r="3">
      <x:c r="A3" s="34" t="str">
        <x:v>Component</x:v>
      </x:c>
      <x:c r="B3" s="35" t="str">
        <x:v>Standard uncertainty kg</x:v>
      </x:c>
      <x:c r="C3" s="35" t="str">
        <x:v>Squared contribution</x:v>
      </x:c>
      <x:c r="D3" s="36" t="str">
        <x:v>Share of variance</x:v>
      </x:c>
      <x:c r="E3" s="60"/>
      <x:c r="F3" s="60"/>
      <x:c r="G3" s="60"/>
    </x:row>
    <x:row r="4">
      <x:c r="A4" s="16" t="str">
        <x:v>Initial vessel and issued aliquot</x:v>
      </x:c>
      <x:c r="B4" s="51" t="n">
        <x:v>0.75</x:v>
      </x:c>
      <x:c r="C4" s="44" t="n">
        <x:f>B4^2</x:f>
        <x:v>0.5625</x:v>
      </x:c>
      <x:c r="D4" s="53" t="n">
        <x:f>C4/SUM($C$4:$C$10)</x:f>
        <x:v>0.1662971175166297</x:v>
      </x:c>
      <x:c r="E4" s="60"/>
      <x:c r="F4" s="60"/>
      <x:c r="G4" s="60"/>
    </x:row>
    <x:row r="5">
      <x:c r="A5" s="16" t="str">
        <x:v>Metering and transfer</x:v>
      </x:c>
      <x:c r="B5" s="51" t="n">
        <x:v>0.65</x:v>
      </x:c>
      <x:c r="C5" s="44" t="n">
        <x:f>B5^2</x:f>
        <x:v>0.42250000000000004</x:v>
      </x:c>
      <x:c r="D5" s="53" t="n">
        <x:f>C5/SUM($C$4:$C$10)</x:f>
        <x:v>0.12490761271249076</x:v>
      </x:c>
      <x:c r="E5" s="60"/>
      <x:c r="F5" s="60"/>
      <x:c r="G5" s="60"/>
    </x:row>
    <x:row r="6">
      <x:c r="A6" s="16" t="str">
        <x:v>Route and dynamic hold-up</x:v>
      </x:c>
      <x:c r="B6" s="51" t="n">
        <x:v>1</x:v>
      </x:c>
      <x:c r="C6" s="44" t="n">
        <x:f>B6^2</x:f>
        <x:v>1</x:v>
      </x:c>
      <x:c r="D6" s="53" t="n">
        <x:f>C6/SUM($C$4:$C$10)</x:f>
        <x:v>0.2956393200295639</x:v>
      </x:c>
      <x:c r="E6" s="60"/>
      <x:c r="F6" s="60"/>
      <x:c r="G6" s="60"/>
    </x:row>
    <x:row r="7">
      <x:c r="A7" s="16" t="str">
        <x:v>Normal and casualty receiver</x:v>
      </x:c>
      <x:c r="B7" s="51" t="n">
        <x:v>0.85</x:v>
      </x:c>
      <x:c r="C7" s="44" t="n">
        <x:f>B7^2</x:f>
        <x:v>0.7224999999999999</x:v>
      </x:c>
      <x:c r="D7" s="53" t="n">
        <x:f>C7/SUM($C$4:$C$10)</x:f>
        <x:v>0.2135994087213599</x:v>
      </x:c>
      <x:c r="E7" s="60"/>
      <x:c r="F7" s="60"/>
      <x:c r="G7" s="60"/>
    </x:row>
    <x:row r="8">
      <x:c r="A8" s="16" t="str">
        <x:v>Samples and recovered material</x:v>
      </x:c>
      <x:c r="B8" s="51" t="n">
        <x:v>0.55</x:v>
      </x:c>
      <x:c r="C8" s="44" t="n">
        <x:f>B8^2</x:f>
        <x:v>0.30250000000000005</x:v>
      </x:c>
      <x:c r="D8" s="53" t="n">
        <x:f>C8/SUM($C$4:$C$10)</x:f>
        <x:v>0.08943089430894309</x:v>
      </x:c>
      <x:c r="E8" s="60"/>
      <x:c r="F8" s="60"/>
      <x:c r="G8" s="60"/>
    </x:row>
    <x:row r="9">
      <x:c r="A9" s="16" t="str">
        <x:v>Causal time alignment</x:v>
      </x:c>
      <x:c r="B9" s="51" t="n">
        <x:v>0.35</x:v>
      </x:c>
      <x:c r="C9" s="44" t="n">
        <x:f>B9^2</x:f>
        <x:v>0.12249999999999998</x:v>
      </x:c>
      <x:c r="D9" s="53" t="n">
        <x:f>C9/SUM($C$4:$C$10)</x:f>
        <x:v>0.036215816703621576</x:v>
      </x:c>
      <x:c r="E9" s="60"/>
      <x:c r="F9" s="60"/>
      <x:c r="G9" s="60"/>
    </x:row>
    <x:row r="10">
      <x:c r="A10" s="16" t="str">
        <x:v>Topology-specific split or energy state</x:v>
      </x:c>
      <x:c r="B10" s="51" t="n">
        <x:v>0.5</x:v>
      </x:c>
      <x:c r="C10" s="44" t="n">
        <x:f>B10^2</x:f>
        <x:v>0.25</x:v>
      </x:c>
      <x:c r="D10" s="53" t="n">
        <x:f>C10/SUM($C$4:$C$10)</x:f>
        <x:v>0.07390983000739097</x:v>
      </x:c>
      <x:c r="E10" s="60"/>
      <x:c r="F10" s="60"/>
      <x:c r="G10" s="60"/>
    </x:row>
    <x:row r="11">
      <x:c r="A11" s="16"/>
      <x:c r="B11" s="44"/>
      <x:c r="C11" s="44"/>
      <x:c r="D11" s="16"/>
      <x:c r="E11" s="60"/>
      <x:c r="F11" s="60"/>
      <x:c r="G11" s="60"/>
    </x:row>
    <x:row r="12">
      <x:c r="A12" s="40" t="str">
        <x:v>Metric</x:v>
      </x:c>
      <x:c r="B12" s="52" t="str">
        <x:v>Value</x:v>
      </x:c>
      <x:c r="C12" s="44"/>
      <x:c r="D12" s="16"/>
      <x:c r="E12" s="60"/>
      <x:c r="F12" s="60"/>
      <x:c r="G12" s="60"/>
    </x:row>
    <x:row r="13">
      <x:c r="A13" s="16" t="str">
        <x:v>RSS standard uncertainty kg</x:v>
      </x:c>
      <x:c r="B13" s="44" t="n">
        <x:f>SQRT(SUM(C4:C10))</x:f>
        <x:v>1.8391574157749522</x:v>
      </x:c>
      <x:c r="C13" s="44"/>
      <x:c r="D13" s="16"/>
      <x:c r="E13" s="60"/>
      <x:c r="F13" s="60"/>
      <x:c r="G13" s="60"/>
    </x:row>
    <x:row r="14">
      <x:c r="A14" s="16" t="str">
        <x:v>Coverage factor</x:v>
      </x:c>
      <x:c r="B14" s="44" t="n">
        <x:v>2</x:v>
      </x:c>
      <x:c r="C14" s="44"/>
      <x:c r="D14" s="16"/>
      <x:c r="E14" s="60"/>
      <x:c r="F14" s="60"/>
      <x:c r="G14" s="60"/>
    </x:row>
    <x:row r="15">
      <x:c r="A15" s="16" t="str">
        <x:v>Expanded uncertainty kg</x:v>
      </x:c>
      <x:c r="B15" s="44" t="n">
        <x:f>B13*B14</x:f>
        <x:v>3.6783148315499044</x:v>
      </x:c>
      <x:c r="C15" s="44"/>
      <x:c r="D15" s="16"/>
      <x:c r="E15" s="60"/>
      <x:c r="F15" s="60"/>
      <x:c r="G15" s="60"/>
    </x:row>
    <x:row r="16">
      <x:c r="A16" s="16" t="str">
        <x:v>Ceiling kg</x:v>
      </x:c>
      <x:c r="B16" s="44" t="n">
        <x:f>'Assumptions'!B21</x:f>
        <x:v>5</x:v>
      </x:c>
      <x:c r="C16" s="44"/>
      <x:c r="D16" s="16"/>
      <x:c r="E16" s="60"/>
      <x:c r="F16" s="60"/>
      <x:c r="G16" s="60"/>
    </x:row>
    <x:row r="17">
      <x:c r="A17" s="16" t="str">
        <x:v>Margin kg</x:v>
      </x:c>
      <x:c r="B17" s="44" t="n">
        <x:f>B16-B15</x:f>
        <x:v>1.3216851684500956</x:v>
      </x:c>
      <x:c r="C17" s="44"/>
      <x:c r="D17" s="16"/>
      <x:c r="E17" s="60"/>
      <x:c r="F17" s="60"/>
      <x:c r="G17" s="60"/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a660bdcc56543a9"/>
  </x:tableParts>
</x:worksheet>
</file>

<file path=xl/worksheets/sheet14.xml><?xml version="1.0" encoding="utf-8"?>
<x:worksheet xmlns:x="http://schemas.openxmlformats.org/spreadsheetml/2006/main">
  <x:sheetPr>
    <x:tabColor rgb="FFDDEBF7"/>
  </x:sheetPr>
  <x:sheetViews>
    <x:sheetView showGridLines="0" workbookViewId="0"/>
  </x:sheetViews>
  <x:sheetFormatPr defaultRowHeight="15"/>
  <x:cols>
    <x:col min="1" max="1" width="36" hidden="0" customWidth="1"/>
    <x:col min="2" max="2" width="15" hidden="0" customWidth="1"/>
    <x:col min="3" max="3" width="17" hidden="0" customWidth="1"/>
    <x:col min="4" max="4" width="18" hidden="0" customWidth="1"/>
    <x:col min="5" max="5" width="14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7" customHeight="1">
      <x:c r="A1" s="3" t="str">
        <x:v>First-event conserved source account</x:v>
      </x:c>
      <x:c r="B1" s="3" t="str">
        <x:v>First-event conserved source account</x:v>
      </x:c>
      <x:c r="C1" s="3" t="str">
        <x:v>First-event conserved source account</x:v>
      </x:c>
      <x:c r="D1" s="3" t="str">
        <x:v>First-event conserved source account</x:v>
      </x:c>
      <x:c r="E1" s="3" t="str">
        <x:v>First-event conserved source account</x:v>
      </x:c>
      <x:c r="F1" s="3" t="str">
        <x:v>First-event conserved source account</x:v>
      </x:c>
      <x:c r="G1" s="3" t="str">
        <x:v>First-event conserved source account</x:v>
      </x:c>
      <x:c r="H1" s="3" t="str">
        <x:v>First-event conserved source account</x:v>
      </x:c>
    </x:row>
    <x:row r="2">
      <x:c r="A2" s="60"/>
      <x:c r="B2" s="60"/>
      <x:c r="C2" s="60"/>
      <x:c r="D2" s="60"/>
      <x:c r="E2" s="60"/>
      <x:c r="F2" s="60"/>
      <x:c r="G2" s="60"/>
      <x:c r="H2" s="60"/>
    </x:row>
    <x:row r="3">
      <x:c r="A3" s="34" t="str">
        <x:v>Terminal bin</x:v>
      </x:c>
      <x:c r="B3" s="35" t="str">
        <x:v>Primary kg</x:v>
      </x:c>
      <x:c r="C3" s="35" t="str">
        <x:v>Replacement kg</x:v>
      </x:c>
      <x:c r="D3" s="35" t="str">
        <x:v>Object total kg</x:v>
      </x:c>
      <x:c r="E3" s="35" t="str">
        <x:v>Limit kg</x:v>
      </x:c>
      <x:c r="F3" s="35" t="str">
        <x:v>Primary ancestry</x:v>
      </x:c>
      <x:c r="G3" s="35" t="str">
        <x:v>Replacement ancestry</x:v>
      </x:c>
      <x:c r="H3" s="36" t="str">
        <x:v>State</x:v>
      </x:c>
    </x:row>
    <x:row r="4">
      <x:c r="A4" s="16" t="str">
        <x:v>Vessel residual</x:v>
      </x:c>
      <x:c r="B4" s="45"/>
      <x:c r="C4" s="45"/>
      <x:c r="D4" s="54" t="str">
        <x:f>IF(COUNT(B4:C4)=0,"",SUM(B4:C4))</x:f>
      </x:c>
      <x:c r="E4" s="54"/>
      <x:c r="F4" s="38"/>
      <x:c r="G4" s="38"/>
      <x:c r="H4" s="16" t="str">
        <x:f>IF(COUNT(B4:C4)=0,"OPEN",IF(AND(E4&lt;&gt;"",D4&gt;E4),"DENY","RECORDED"))</x:f>
        <x:v>OPEN</x:v>
      </x:c>
    </x:row>
    <x:row r="5">
      <x:c r="A5" s="16" t="str">
        <x:v>Metering residual</x:v>
      </x:c>
      <x:c r="B5" s="45"/>
      <x:c r="C5" s="45"/>
      <x:c r="D5" s="54" t="str">
        <x:f>IF(COUNT(B5:C5)=0,"",SUM(B5:C5))</x:f>
      </x:c>
      <x:c r="E5" s="54"/>
      <x:c r="F5" s="38"/>
      <x:c r="G5" s="38"/>
      <x:c r="H5" s="16" t="str">
        <x:f>IF(COUNT(B5:C5)=0,"OPEN",IF(AND(E5&lt;&gt;"",D5&gt;E5),"DENY","RECORDED"))</x:f>
        <x:v>OPEN</x:v>
      </x:c>
    </x:row>
    <x:row r="6">
      <x:c r="A6" s="16" t="str">
        <x:v>Route residual</x:v>
      </x:c>
      <x:c r="B6" s="45"/>
      <x:c r="C6" s="45"/>
      <x:c r="D6" s="54" t="str">
        <x:f>IF(COUNT(B6:C6)=0,"",SUM(B6:C6))</x:f>
      </x:c>
      <x:c r="E6" s="54"/>
      <x:c r="F6" s="38"/>
      <x:c r="G6" s="38"/>
      <x:c r="H6" s="16" t="str">
        <x:f>IF(COUNT(B6:C6)=0,"OPEN",IF(AND(E6&lt;&gt;"",D6&gt;E6),"DENY","RECORDED"))</x:f>
        <x:v>OPEN</x:v>
      </x:c>
    </x:row>
    <x:row r="7">
      <x:c r="A7" s="16" t="str">
        <x:v>Compliance or actuator inventory</x:v>
      </x:c>
      <x:c r="B7" s="45"/>
      <x:c r="C7" s="45"/>
      <x:c r="D7" s="54" t="str">
        <x:f>IF(COUNT(B7:C7)=0,"",SUM(B7:C7))</x:f>
      </x:c>
      <x:c r="E7" s="54"/>
      <x:c r="F7" s="38"/>
      <x:c r="G7" s="38"/>
      <x:c r="H7" s="16" t="str">
        <x:f>IF(COUNT(B7:C7)=0,"OPEN",IF(AND(E7&lt;&gt;"",D7&gt;E7),"DENY","RECORDED"))</x:f>
        <x:v>OPEN</x:v>
      </x:c>
    </x:row>
    <x:row r="8">
      <x:c r="A8" s="16" t="str">
        <x:v>Capture surface</x:v>
      </x:c>
      <x:c r="B8" s="45"/>
      <x:c r="C8" s="45"/>
      <x:c r="D8" s="54" t="str">
        <x:f>IF(COUNT(B8:C8)=0,"",SUM(B8:C8))</x:f>
      </x:c>
      <x:c r="E8" s="54"/>
      <x:c r="F8" s="38"/>
      <x:c r="G8" s="38"/>
      <x:c r="H8" s="16" t="str">
        <x:f>IF(COUNT(B8:C8)=0,"OPEN",IF(AND(E8&lt;&gt;"",D8&gt;E8),"DENY","RECORDED"))</x:f>
        <x:v>OPEN</x:v>
      </x:c>
    </x:row>
    <x:row r="9">
      <x:c r="A9" s="16" t="str">
        <x:v>Normal receiver</x:v>
      </x:c>
      <x:c r="B9" s="45"/>
      <x:c r="C9" s="45"/>
      <x:c r="D9" s="54" t="str">
        <x:f>IF(COUNT(B9:C9)=0,"",SUM(B9:C9))</x:f>
      </x:c>
      <x:c r="E9" s="54"/>
      <x:c r="F9" s="38"/>
      <x:c r="G9" s="38"/>
      <x:c r="H9" s="16" t="str">
        <x:f>IF(COUNT(B9:C9)=0,"OPEN",IF(AND(E9&lt;&gt;"",D9&gt;E9),"DENY","RECORDED"))</x:f>
        <x:v>OPEN</x:v>
      </x:c>
    </x:row>
    <x:row r="10">
      <x:c r="A10" s="16" t="str">
        <x:v>Casualty receiver</x:v>
      </x:c>
      <x:c r="B10" s="45"/>
      <x:c r="C10" s="45"/>
      <x:c r="D10" s="54" t="str">
        <x:f>IF(COUNT(B10:C10)=0,"",SUM(B10:C10))</x:f>
      </x:c>
      <x:c r="E10" s="54"/>
      <x:c r="F10" s="38"/>
      <x:c r="G10" s="38"/>
      <x:c r="H10" s="16" t="str">
        <x:f>IF(COUNT(B10:C10)=0,"OPEN",IF(AND(E10&lt;&gt;"",D10&gt;E10),"DENY","RECORDED"))</x:f>
        <x:v>OPEN</x:v>
      </x:c>
    </x:row>
    <x:row r="11">
      <x:c r="A11" s="16" t="str">
        <x:v>Samples</x:v>
      </x:c>
      <x:c r="B11" s="45"/>
      <x:c r="C11" s="45"/>
      <x:c r="D11" s="54" t="str">
        <x:f>IF(COUNT(B11:C11)=0,"",SUM(B11:C11))</x:f>
      </x:c>
      <x:c r="E11" s="54"/>
      <x:c r="F11" s="38"/>
      <x:c r="G11" s="38"/>
      <x:c r="H11" s="16" t="str">
        <x:f>IF(COUNT(B11:C11)=0,"OPEN",IF(AND(E11&lt;&gt;"",D11&gt;E11),"DENY","RECORDED"))</x:f>
        <x:v>OPEN</x:v>
      </x:c>
    </x:row>
    <x:row r="12">
      <x:c r="A12" s="16" t="str">
        <x:v>Environmental source</x:v>
      </x:c>
      <x:c r="B12" s="45"/>
      <x:c r="C12" s="45"/>
      <x:c r="D12" s="54" t="str">
        <x:f>IF(COUNT(B12:C12)=0,"",SUM(B12:C12))</x:f>
      </x:c>
      <x:c r="E12" s="54" t="n">
        <x:v>0.5</x:v>
      </x:c>
      <x:c r="F12" s="38"/>
      <x:c r="G12" s="38"/>
      <x:c r="H12" s="16" t="str">
        <x:f>IF(COUNT(B12:C12)=0,"OPEN",IF(AND(E12&lt;&gt;"",D12&gt;E12),"DENY","RECORDED"))</x:f>
        <x:v>OPEN</x:v>
      </x:c>
    </x:row>
    <x:row r="13">
      <x:c r="A13" s="16" t="str">
        <x:v>Unaccounted source</x:v>
      </x:c>
      <x:c r="B13" s="45"/>
      <x:c r="C13" s="45"/>
      <x:c r="D13" s="54" t="str">
        <x:f>IF(COUNT(B13:C13)=0,"",SUM(B13:C13))</x:f>
      </x:c>
      <x:c r="E13" s="54" t="n">
        <x:v>3.75</x:v>
      </x:c>
      <x:c r="F13" s="38"/>
      <x:c r="G13" s="38"/>
      <x:c r="H13" s="16" t="str">
        <x:f>IF(COUNT(B13:C13)=0,"OPEN",IF(AND(E13&lt;&gt;"",D13&gt;E13),"DENY","RECORDED"))</x:f>
        <x:v>OPEN</x:v>
      </x:c>
    </x:row>
    <x:row r="14">
      <x:c r="A14" s="16"/>
      <x:c r="B14" s="54"/>
      <x:c r="C14" s="54"/>
      <x:c r="D14" s="54"/>
      <x:c r="E14" s="54"/>
      <x:c r="F14" s="16"/>
      <x:c r="G14" s="16"/>
      <x:c r="H14" s="16"/>
    </x:row>
    <x:row r="15">
      <x:c r="A15" s="16"/>
      <x:c r="B15" s="54"/>
      <x:c r="C15" s="54"/>
      <x:c r="D15" s="54"/>
      <x:c r="E15" s="54"/>
      <x:c r="F15" s="16"/>
      <x:c r="G15" s="16"/>
      <x:c r="H15" s="16"/>
    </x:row>
    <x:row r="16">
      <x:c r="A16" s="12" t="str">
        <x:v>Closure decisions</x:v>
      </x:c>
      <x:c r="B16" s="55" t="str">
        <x:v>Closure decisions</x:v>
      </x:c>
      <x:c r="C16" s="55" t="str">
        <x:v>Closure decisions</x:v>
      </x:c>
      <x:c r="D16" s="55" t="str">
        <x:v>Closure decisions</x:v>
      </x:c>
      <x:c r="E16" s="55" t="str">
        <x:v>Closure decisions</x:v>
      </x:c>
      <x:c r="F16" s="13" t="str">
        <x:v>Closure decisions</x:v>
      </x:c>
      <x:c r="G16" s="13" t="str">
        <x:v>Closure decisions</x:v>
      </x:c>
      <x:c r="H16" s="14" t="str">
        <x:v>Closure decisions</x:v>
      </x:c>
    </x:row>
    <x:row r="17">
      <x:c r="A17" s="16" t="str">
        <x:v>Primary terminal-bin sum kg</x:v>
      </x:c>
      <x:c r="B17" s="54" t="str">
        <x:f>IF(COUNT(B4:B13)=0,"",SUM(B4:B13))</x:f>
      </x:c>
      <x:c r="C17" s="54"/>
      <x:c r="D17" s="54"/>
      <x:c r="E17" s="54"/>
      <x:c r="F17" s="16"/>
      <x:c r="G17" s="16"/>
      <x:c r="H17" s="16"/>
    </x:row>
    <x:row r="18">
      <x:c r="A18" s="16" t="str">
        <x:v>Primary closure difference kg</x:v>
      </x:c>
      <x:c r="B18" s="54" t="str">
        <x:f>IF(B17="","",500-B17)</x:f>
      </x:c>
      <x:c r="C18" s="54"/>
      <x:c r="D18" s="54"/>
      <x:c r="E18" s="54"/>
      <x:c r="F18" s="16"/>
      <x:c r="G18" s="16"/>
      <x:c r="H18" s="16"/>
    </x:row>
    <x:row r="19">
      <x:c r="A19" s="16" t="str">
        <x:v>Replacement issued</x:v>
      </x:c>
      <x:c r="B19" s="54" t="str">
        <x:f>IF(COUNT(C4:C13)=0,"NO","YES")</x:f>
        <x:v>NO</x:v>
      </x:c>
      <x:c r="C19" s="54"/>
      <x:c r="D19" s="54"/>
      <x:c r="E19" s="54"/>
      <x:c r="F19" s="16"/>
      <x:c r="G19" s="16"/>
      <x:c r="H19" s="16"/>
    </x:row>
    <x:row r="20">
      <x:c r="A20" s="16" t="str">
        <x:v>Replacement terminal-bin sum kg</x:v>
      </x:c>
      <x:c r="B20" s="54" t="n">
        <x:f>IF(B19="NO",0,SUM(C4:C13))</x:f>
        <x:v>0</x:v>
      </x:c>
      <x:c r="C20" s="54"/>
      <x:c r="D20" s="54"/>
      <x:c r="E20" s="54"/>
      <x:c r="F20" s="16"/>
      <x:c r="G20" s="16"/>
      <x:c r="H20" s="16"/>
    </x:row>
    <x:row r="21">
      <x:c r="A21" s="16" t="str">
        <x:v>Replacement closure difference kg</x:v>
      </x:c>
      <x:c r="B21" s="54" t="n">
        <x:f>IF(B19="NO",0,500-B20)</x:f>
        <x:v>0</x:v>
      </x:c>
      <x:c r="C21" s="54"/>
      <x:c r="D21" s="54"/>
      <x:c r="E21" s="54"/>
      <x:c r="F21" s="16"/>
      <x:c r="G21" s="16"/>
      <x:c r="H21" s="16"/>
    </x:row>
    <x:row r="22">
      <x:c r="A22" s="16" t="str">
        <x:v>Environmental object total kg</x:v>
      </x:c>
      <x:c r="B22" s="54" t="str">
        <x:f>D12</x:f>
      </x:c>
      <x:c r="C22" s="54"/>
      <x:c r="D22" s="54"/>
      <x:c r="E22" s="54"/>
      <x:c r="F22" s="16"/>
      <x:c r="G22" s="16"/>
      <x:c r="H22" s="16"/>
    </x:row>
    <x:row r="23">
      <x:c r="A23" s="16" t="str">
        <x:v>Unaccounted object total kg</x:v>
      </x:c>
      <x:c r="B23" s="54" t="n">
        <x:f>D13</x:f>
        <x:v>0</x:v>
      </x:c>
      <x:c r="C23" s="54"/>
      <x:c r="D23" s="54"/>
      <x:c r="E23" s="54"/>
      <x:c r="F23" s="16"/>
      <x:c r="G23" s="16"/>
      <x:c r="H23" s="16"/>
    </x:row>
  </x:sheetData>
  <x:mergeCells>
    <x:mergeCell ref="A1:H1"/>
    <x:mergeCell ref="A16:H16"/>
  </x:mergeCells>
  <x:conditionalFormatting sqref="H4:H13">
    <x:cfRule type="containsText" dxfId="36" priority="1" operator="containsText" text="DENY"/>
    <x:cfRule type="containsText" dxfId="37" priority="2" operator="containsText" text="FAIL"/>
    <x:cfRule type="containsText" dxfId="38" priority="3" operator="containsText" text="MISSING"/>
    <x:cfRule type="containsText" dxfId="39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7a4a270eb7d541ad"/>
  </x:tableParts>
</x:worksheet>
</file>

<file path=xl/worksheets/sheet15.xml><?xml version="1.0" encoding="utf-8"?>
<x:worksheet xmlns:x="http://schemas.openxmlformats.org/spreadsheetml/2006/main">
  <x:sheetPr>
    <x:tabColor rgb="FFDDEBF7"/>
  </x:sheetPr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48" hidden="0" customWidth="1"/>
    <x:col min="4" max="4" width="18" hidden="0" customWidth="1"/>
    <x:col min="5" max="5" width="22" hidden="0" customWidth="1"/>
    <x:col min="6" max="6" width="20" hidden="0" customWidth="1"/>
    <x:col min="7" max="7" width="15" hidden="0" customWidth="1"/>
  </x:cols>
  <x:sheetData>
    <x:row r="1" ht="27" customHeight="1">
      <x:c r="A1" s="3" t="str">
        <x:v>First-event causal clock</x:v>
      </x:c>
      <x:c r="B1" s="3" t="str">
        <x:v>First-event causal clock</x:v>
      </x:c>
      <x:c r="C1" s="3" t="str">
        <x:v>First-event causal clock</x:v>
      </x:c>
      <x:c r="D1" s="3" t="str">
        <x:v>First-event causal clock</x:v>
      </x:c>
      <x:c r="E1" s="3" t="str">
        <x:v>First-event causal clock</x:v>
      </x:c>
      <x:c r="F1" s="3" t="str">
        <x:v>First-event causal clock</x:v>
      </x:c>
      <x:c r="G1" s="3" t="str">
        <x:v>First-event causal clock</x:v>
      </x:c>
    </x:row>
    <x:row r="2">
      <x:c r="A2" s="60"/>
      <x:c r="B2" s="60"/>
      <x:c r="C2" s="60"/>
      <x:c r="D2" s="60"/>
      <x:c r="E2" s="60"/>
      <x:c r="F2" s="60"/>
      <x:c r="G2" s="60"/>
    </x:row>
    <x:row r="3">
      <x:c r="A3" s="34" t="str">
        <x:v>Phase</x:v>
      </x:c>
      <x:c r="B3" s="35" t="str">
        <x:v>Relative time</x:v>
      </x:c>
      <x:c r="C3" s="35" t="str">
        <x:v>Required state</x:v>
      </x:c>
      <x:c r="D3" s="35" t="str">
        <x:v>Owner</x:v>
      </x:c>
      <x:c r="E3" s="35" t="str">
        <x:v>Physical timestamp</x:v>
      </x:c>
      <x:c r="F3" s="35" t="str">
        <x:v>Complete original</x:v>
      </x:c>
      <x:c r="G3" s="36" t="str">
        <x:v>Disposition</x:v>
      </x:c>
    </x:row>
    <x:row r="4">
      <x:c r="A4" s="16" t="str">
        <x:v>EC-01</x:v>
      </x:c>
      <x:c r="B4" s="16" t="n">
        <x:v>-72</x:v>
      </x:c>
      <x:c r="C4" s="16" t="str">
        <x:v>Source, article, receiver and evidence freeze</x:v>
      </x:c>
      <x:c r="D4" s="16" t="str">
        <x:v>source</x:v>
      </x:c>
      <x:c r="E4" s="38"/>
      <x:c r="F4" s="38"/>
      <x:c r="G4" s="16" t="str">
        <x:f>IF(COUNTA(E4:F4)&lt;2,"OPEN",IF(F4="YES","RECORDED","DENY"))</x:f>
        <x:v>OPEN</x:v>
      </x:c>
    </x:row>
    <x:row r="5">
      <x:c r="A5" s="16" t="str">
        <x:v>EC-02</x:v>
      </x:c>
      <x:c r="B5" s="16" t="n">
        <x:v>-24</x:v>
      </x:c>
      <x:c r="C5" s="16" t="str">
        <x:v>Package issue and property acceptance</x:v>
      </x:c>
      <x:c r="D5" s="16" t="str">
        <x:v>safety</x:v>
      </x:c>
      <x:c r="E5" s="38"/>
      <x:c r="F5" s="38"/>
      <x:c r="G5" s="16" t="str">
        <x:f>IF(COUNTA(E5:F5)&lt;2,"OPEN",IF(F5="YES","RECORDED","DENY"))</x:f>
        <x:v>OPEN</x:v>
      </x:c>
    </x:row>
    <x:row r="6">
      <x:c r="A6" s="16" t="str">
        <x:v>EC-03</x:v>
      </x:c>
      <x:c r="B6" s="16" t="n">
        <x:v>-6</x:v>
      </x:c>
      <x:c r="C6" s="16" t="str">
        <x:v>Architecture and safeing rehearsal</x:v>
      </x:c>
      <x:c r="D6" s="16" t="str">
        <x:v>evidence</x:v>
      </x:c>
      <x:c r="E6" s="38"/>
      <x:c r="F6" s="38"/>
      <x:c r="G6" s="16" t="str">
        <x:f>IF(COUNTA(E6:F6)&lt;2,"OPEN",IF(F6="YES","RECORDED","DENY"))</x:f>
        <x:v>OPEN</x:v>
      </x:c>
    </x:row>
    <x:row r="7">
      <x:c r="A7" s="16" t="str">
        <x:v>EC-04</x:v>
      </x:c>
      <x:c r="B7" s="16" t="n">
        <x:v>-1</x:v>
      </x:c>
      <x:c r="C7" s="16" t="str">
        <x:v>Final public hold</x:v>
      </x:c>
      <x:c r="D7" s="16" t="str">
        <x:v>return</x:v>
      </x:c>
      <x:c r="E7" s="38"/>
      <x:c r="F7" s="38"/>
      <x:c r="G7" s="16" t="str">
        <x:f>IF(COUNTA(E7:F7)&lt;2,"OPEN",IF(F7="YES","RECORDED","DENY"))</x:f>
        <x:v>OPEN</x:v>
      </x:c>
    </x:row>
    <x:row r="8">
      <x:c r="A8" s="16" t="str">
        <x:v>EC-05</x:v>
      </x:c>
      <x:c r="B8" s="16" t="n">
        <x:v>0</x:v>
      </x:c>
      <x:c r="C8" s="16" t="str">
        <x:v>Target transfer begins</x:v>
      </x:c>
      <x:c r="D8" s="16" t="str">
        <x:v>source</x:v>
      </x:c>
      <x:c r="E8" s="38"/>
      <x:c r="F8" s="38"/>
      <x:c r="G8" s="16" t="str">
        <x:f>IF(COUNTA(E8:F8)&lt;2,"OPEN",IF(F8="YES","RECORDED","DENY"))</x:f>
        <x:v>OPEN</x:v>
      </x:c>
    </x:row>
    <x:row r="9">
      <x:c r="A9" s="16" t="str">
        <x:v>EC-06</x:v>
      </x:c>
      <x:c r="B9" s="16" t="n">
        <x:v>2</x:v>
      </x:c>
      <x:c r="C9" s="16" t="str">
        <x:v>Latest planned transfer end</x:v>
      </x:c>
      <x:c r="D9" s="16" t="str">
        <x:v>safety</x:v>
      </x:c>
      <x:c r="E9" s="38"/>
      <x:c r="F9" s="38"/>
      <x:c r="G9" s="16" t="str">
        <x:f>IF(COUNTA(E9:F9)&lt;2,"OPEN",IF(F9="YES","RECORDED","DENY"))</x:f>
        <x:v>OPEN</x:v>
      </x:c>
    </x:row>
    <x:row r="10">
      <x:c r="A10" s="16" t="str">
        <x:v>EC-07</x:v>
      </x:c>
      <x:c r="B10" s="16" t="n">
        <x:v>2.5</x:v>
      </x:c>
      <x:c r="C10" s="16" t="str">
        <x:v>Terminal-source maximum</x:v>
      </x:c>
      <x:c r="D10" s="16" t="str">
        <x:v>evidence</x:v>
      </x:c>
      <x:c r="E10" s="38"/>
      <x:c r="F10" s="38"/>
      <x:c r="G10" s="16" t="str">
        <x:f>IF(COUNTA(E10:F10)&lt;2,"OPEN",IF(F10="YES","RECORDED","DENY"))</x:f>
        <x:v>OPEN</x:v>
      </x:c>
    </x:row>
    <x:row r="11">
      <x:c r="A11" s="16" t="str">
        <x:v>EC-08</x:v>
      </x:c>
      <x:c r="B11" s="16" t="n">
        <x:v>3</x:v>
      </x:c>
      <x:c r="C11" s="16" t="str">
        <x:v>Immediate custody</x:v>
      </x:c>
      <x:c r="D11" s="16" t="str">
        <x:v>return</x:v>
      </x:c>
      <x:c r="E11" s="38"/>
      <x:c r="F11" s="38"/>
      <x:c r="G11" s="16" t="str">
        <x:f>IF(COUNTA(E11:F11)&lt;2,"OPEN",IF(F11="YES","RECORDED","DENY"))</x:f>
        <x:v>OPEN</x:v>
      </x:c>
    </x:row>
    <x:row r="12">
      <x:c r="A12" s="16" t="str">
        <x:v>EC-09</x:v>
      </x:c>
      <x:c r="B12" s="16" t="n">
        <x:v>6</x:v>
      </x:c>
      <x:c r="C12" s="16" t="str">
        <x:v>Recovery begins</x:v>
      </x:c>
      <x:c r="D12" s="16" t="str">
        <x:v>source</x:v>
      </x:c>
      <x:c r="E12" s="38"/>
      <x:c r="F12" s="38"/>
      <x:c r="G12" s="16" t="str">
        <x:f>IF(COUNTA(E12:F12)&lt;2,"OPEN",IF(F12="YES","RECORDED","DENY"))</x:f>
        <x:v>OPEN</x:v>
      </x:c>
    </x:row>
    <x:row r="13">
      <x:c r="A13" s="16" t="str">
        <x:v>EC-10</x:v>
      </x:c>
      <x:c r="B13" s="16" t="n">
        <x:v>72</x:v>
      </x:c>
      <x:c r="C13" s="16" t="str">
        <x:v>First residue observation</x:v>
      </x:c>
      <x:c r="D13" s="16" t="str">
        <x:v>safety</x:v>
      </x:c>
      <x:c r="E13" s="38"/>
      <x:c r="F13" s="38"/>
      <x:c r="G13" s="16" t="str">
        <x:f>IF(COUNTA(E13:F13)&lt;2,"OPEN",IF(F13="YES","RECORDED","DENY"))</x:f>
        <x:v>OPEN</x:v>
      </x:c>
    </x:row>
    <x:row r="14">
      <x:c r="A14" s="16" t="str">
        <x:v>EC-11</x:v>
      </x:c>
      <x:c r="B14" s="16" t="n">
        <x:v>336</x:v>
      </x:c>
      <x:c r="C14" s="16" t="str">
        <x:v>Second residue observation</x:v>
      </x:c>
      <x:c r="D14" s="16" t="str">
        <x:v>evidence</x:v>
      </x:c>
      <x:c r="E14" s="38"/>
      <x:c r="F14" s="38"/>
      <x:c r="G14" s="16" t="str">
        <x:f>IF(COUNTA(E14:F14)&lt;2,"OPEN",IF(F14="YES","RECORDED","DENY"))</x:f>
        <x:v>OPEN</x:v>
      </x:c>
    </x:row>
    <x:row r="15">
      <x:c r="A15" s="16" t="str">
        <x:v>EC-12</x:v>
      </x:c>
      <x:c r="B15" s="16" t="n">
        <x:v>504</x:v>
      </x:c>
      <x:c r="C15" s="16" t="str">
        <x:v>Third residue observation</x:v>
      </x:c>
      <x:c r="D15" s="16" t="str">
        <x:v>return</x:v>
      </x:c>
      <x:c r="E15" s="38"/>
      <x:c r="F15" s="38"/>
      <x:c r="G15" s="16" t="str">
        <x:f>IF(COUNTA(E15:F15)&lt;2,"OPEN",IF(F15="YES","RECORDED","DENY"))</x:f>
        <x:v>OPEN</x:v>
      </x:c>
    </x:row>
    <x:row r="16">
      <x:c r="A16" s="16" t="str">
        <x:v>EC-13</x:v>
      </x:c>
      <x:c r="B16" s="16" t="n">
        <x:v>672</x:v>
      </x:c>
      <x:c r="C16" s="16" t="str">
        <x:v>Return decision</x:v>
      </x:c>
      <x:c r="D16" s="16" t="str">
        <x:v>source</x:v>
      </x:c>
      <x:c r="E16" s="38"/>
      <x:c r="F16" s="38"/>
      <x:c r="G16" s="16" t="str">
        <x:f>IF(COUNTA(E16:F16)&lt;2,"OPEN",IF(F16="YES","RECORDED","DENY"))</x:f>
        <x:v>OPEN</x:v>
      </x:c>
    </x:row>
    <x:row r="17">
      <x:c r="A17" s="16" t="str">
        <x:v>EC-14</x:v>
      </x:c>
      <x:c r="B17" s="16" t="n">
        <x:v>840</x:v>
      </x:c>
      <x:c r="C17" s="16" t="str">
        <x:v>Independent review boundary</x:v>
      </x:c>
      <x:c r="D17" s="16" t="str">
        <x:v>safety</x:v>
      </x:c>
      <x:c r="E17" s="38"/>
      <x:c r="F17" s="38"/>
      <x:c r="G17" s="16" t="str">
        <x:f>IF(COUNTA(E17:F17)&lt;2,"OPEN",IF(F17="YES","RECORDED","DENY"))</x:f>
        <x:v>OPEN</x:v>
      </x:c>
    </x:row>
  </x:sheetData>
  <x:mergeCells>
    <x:mergeCell ref="A1:G1"/>
  </x:mergeCells>
  <x:conditionalFormatting sqref="G4:G17">
    <x:cfRule type="containsText" dxfId="40" priority="1" operator="containsText" text="DENY"/>
    <x:cfRule type="containsText" dxfId="41" priority="2" operator="containsText" text="FAIL"/>
    <x:cfRule type="containsText" dxfId="42" priority="3" operator="containsText" text="MISSING"/>
    <x:cfRule type="containsText" dxfId="43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34bca26223604799"/>
  </x:tableParts>
</x:worksheet>
</file>

<file path=xl/worksheets/sheet16.xml><?xml version="1.0" encoding="utf-8"?>
<x:worksheet xmlns:x="http://schemas.openxmlformats.org/spreadsheetml/2006/main">
  <x:sheetPr>
    <x:tabColor rgb="FFDDEBF7"/>
  </x:sheetPr>
  <x:sheetViews>
    <x:sheetView showGridLines="0" workbookViewId="0"/>
  </x:sheetViews>
  <x:sheetFormatPr defaultRowHeight="15"/>
  <x:cols>
    <x:col min="1" max="1" width="16" hidden="0" customWidth="1"/>
    <x:col min="2" max="2" width="17" hidden="0" customWidth="1"/>
    <x:col min="3" max="3" width="38" hidden="0" customWidth="1"/>
    <x:col min="4" max="4" width="13" hidden="0" customWidth="1"/>
    <x:col min="5" max="5" width="13" hidden="0" customWidth="1"/>
    <x:col min="6" max="6" width="13" hidden="0" customWidth="1"/>
    <x:col min="7" max="7" width="20" hidden="0" customWidth="1"/>
    <x:col min="8" max="8" width="16" hidden="0" customWidth="1"/>
  </x:cols>
  <x:sheetData>
    <x:row r="1" ht="27" customHeight="1">
      <x:c r="A1" s="3" t="str">
        <x:v>672-hour source-exposed return</x:v>
      </x:c>
      <x:c r="B1" s="3" t="str">
        <x:v>672-hour source-exposed return</x:v>
      </x:c>
      <x:c r="C1" s="3" t="str">
        <x:v>672-hour source-exposed return</x:v>
      </x:c>
      <x:c r="D1" s="3" t="str">
        <x:v>672-hour source-exposed return</x:v>
      </x:c>
      <x:c r="E1" s="3" t="str">
        <x:v>672-hour source-exposed return</x:v>
      </x:c>
      <x:c r="F1" s="3" t="str">
        <x:v>672-hour source-exposed return</x:v>
      </x:c>
      <x:c r="G1" s="3" t="str">
        <x:v>672-hour source-exposed return</x:v>
      </x:c>
      <x:c r="H1" s="3" t="str">
        <x:v>672-hour source-exposed return</x:v>
      </x:c>
    </x:row>
    <x:row r="2">
      <x:c r="A2" s="60"/>
      <x:c r="B2" s="60"/>
      <x:c r="C2" s="60"/>
      <x:c r="D2" s="60"/>
      <x:c r="E2" s="60"/>
      <x:c r="F2" s="60"/>
      <x:c r="G2" s="60"/>
      <x:c r="H2" s="60"/>
    </x:row>
    <x:row r="3">
      <x:c r="A3" s="34" t="str">
        <x:v>Metric</x:v>
      </x:c>
      <x:c r="B3" s="36" t="str">
        <x:v>Value</x:v>
      </x:c>
      <x:c r="C3" s="60"/>
      <x:c r="D3" s="60"/>
      <x:c r="E3" s="60"/>
      <x:c r="F3" s="60"/>
      <x:c r="G3" s="60"/>
      <x:c r="H3" s="60"/>
    </x:row>
    <x:row r="4">
      <x:c r="A4" s="16" t="str">
        <x:v>Minimum elapsed hours</x:v>
      </x:c>
      <x:c r="B4" s="16" t="n">
        <x:v>672</x:v>
      </x:c>
      <x:c r="C4" s="16"/>
      <x:c r="D4" s="16"/>
      <x:c r="E4" s="16"/>
      <x:c r="F4" s="16"/>
      <x:c r="G4" s="16"/>
      <x:c r="H4" s="16"/>
    </x:row>
    <x:row r="5">
      <x:c r="A5" s="16" t="str">
        <x:v>Return state</x:v>
      </x:c>
      <x:c r="B5" s="16" t="str">
        <x:f>IF(COUNTIFS(H8:H27,"ACCEPTED")=20,"BOARD REVIEW OPEN","OPEN")</x:f>
        <x:v>OPEN</x:v>
      </x:c>
      <x:c r="C5" s="16"/>
      <x:c r="D5" s="16"/>
      <x:c r="E5" s="16"/>
      <x:c r="F5" s="16"/>
      <x:c r="G5" s="16"/>
      <x:c r="H5" s="16"/>
    </x:row>
    <x:row r="6">
      <x:c r="A6" s="16"/>
      <x:c r="B6" s="16"/>
      <x:c r="C6" s="16"/>
      <x:c r="D6" s="16"/>
      <x:c r="E6" s="16"/>
      <x:c r="F6" s="16"/>
      <x:c r="G6" s="16"/>
      <x:c r="H6" s="16"/>
    </x:row>
    <x:row r="7">
      <x:c r="A7" s="40" t="str">
        <x:v>Work package</x:v>
      </x:c>
      <x:c r="B7" s="42" t="str">
        <x:v>Domain</x:v>
      </x:c>
      <x:c r="C7" s="42" t="str">
        <x:v>Required evidence</x:v>
      </x:c>
      <x:c r="D7" s="42" t="str">
        <x:v>72 h</x:v>
      </x:c>
      <x:c r="E7" s="42" t="str">
        <x:v>336 h</x:v>
      </x:c>
      <x:c r="F7" s="42" t="str">
        <x:v>504 h</x:v>
      </x:c>
      <x:c r="G7" s="42" t="str">
        <x:v>Board decision</x:v>
      </x:c>
      <x:c r="H7" s="41" t="str">
        <x:v>Disposition</x:v>
      </x:c>
    </x:row>
    <x:row r="8">
      <x:c r="A8" s="16" t="str">
        <x:v>RW-01</x:v>
      </x:c>
      <x:c r="B8" s="16" t="str">
        <x:v>route</x:v>
      </x:c>
      <x:c r="C8" s="16" t="str">
        <x:v>Accepted return evidence 01</x:v>
      </x:c>
      <x:c r="D8" s="38"/>
      <x:c r="E8" s="38"/>
      <x:c r="F8" s="38"/>
      <x:c r="G8" s="38"/>
      <x:c r="H8" s="16" t="str">
        <x:f>IF(COUNTA(D8:G8)&lt;4,"OPEN",IF(AND(D8="PASS",E8="PASS",F8="PASS",G8="ACCEPTED"),"ACCEPTED","DENY"))</x:f>
        <x:v>OPEN</x:v>
      </x:c>
    </x:row>
    <x:row r="9">
      <x:c r="A9" s="16" t="str">
        <x:v>RW-02</x:v>
      </x:c>
      <x:c r="B9" s="16" t="str">
        <x:v>receiver</x:v>
      </x:c>
      <x:c r="C9" s="16" t="str">
        <x:v>Accepted return evidence 02</x:v>
      </x:c>
      <x:c r="D9" s="38"/>
      <x:c r="E9" s="38"/>
      <x:c r="F9" s="38"/>
      <x:c r="G9" s="38"/>
      <x:c r="H9" s="16" t="str">
        <x:f>IF(COUNTA(D9:G9)&lt;4,"OPEN",IF(AND(D9="PASS",E9="PASS",F9="PASS",G9="ACCEPTED"),"ACCEPTED","DENY"))</x:f>
        <x:v>OPEN</x:v>
      </x:c>
    </x:row>
    <x:row r="10">
      <x:c r="A10" s="16" t="str">
        <x:v>RW-03</x:v>
      </x:c>
      <x:c r="B10" s="16" t="str">
        <x:v>capture</x:v>
      </x:c>
      <x:c r="C10" s="16" t="str">
        <x:v>Accepted return evidence 03</x:v>
      </x:c>
      <x:c r="D10" s="38"/>
      <x:c r="E10" s="38"/>
      <x:c r="F10" s="38"/>
      <x:c r="G10" s="38"/>
      <x:c r="H10" s="16" t="str">
        <x:f>IF(COUNTA(D10:G10)&lt;4,"OPEN",IF(AND(D10="PASS",E10="PASS",F10="PASS",G10="ACCEPTED"),"ACCEPTED","DENY"))</x:f>
        <x:v>OPEN</x:v>
      </x:c>
    </x:row>
    <x:row r="11">
      <x:c r="A11" s="16" t="str">
        <x:v>RW-04</x:v>
      </x:c>
      <x:c r="B11" s="16" t="str">
        <x:v>source</x:v>
      </x:c>
      <x:c r="C11" s="16" t="str">
        <x:v>Accepted return evidence 04</x:v>
      </x:c>
      <x:c r="D11" s="38"/>
      <x:c r="E11" s="38"/>
      <x:c r="F11" s="38"/>
      <x:c r="G11" s="38"/>
      <x:c r="H11" s="16" t="str">
        <x:f>IF(COUNTA(D11:G11)&lt;4,"OPEN",IF(AND(D11="PASS",E11="PASS",F11="PASS",G11="ACCEPTED"),"ACCEPTED","DENY"))</x:f>
        <x:v>OPEN</x:v>
      </x:c>
    </x:row>
    <x:row r="12">
      <x:c r="A12" s="16" t="str">
        <x:v>RW-05</x:v>
      </x:c>
      <x:c r="B12" s="16" t="str">
        <x:v>ancestry</x:v>
      </x:c>
      <x:c r="C12" s="16" t="str">
        <x:v>Accepted return evidence 05</x:v>
      </x:c>
      <x:c r="D12" s="38"/>
      <x:c r="E12" s="38"/>
      <x:c r="F12" s="38"/>
      <x:c r="G12" s="38"/>
      <x:c r="H12" s="16" t="str">
        <x:f>IF(COUNTA(D12:G12)&lt;4,"OPEN",IF(AND(D12="PASS",E12="PASS",F12="PASS",G12="ACCEPTED"),"ACCEPTED","DENY"))</x:f>
        <x:v>OPEN</x:v>
      </x:c>
    </x:row>
    <x:row r="13">
      <x:c r="A13" s="16" t="str">
        <x:v>RW-06</x:v>
      </x:c>
      <x:c r="B13" s="16" t="str">
        <x:v>safeing</x:v>
      </x:c>
      <x:c r="C13" s="16" t="str">
        <x:v>Accepted return evidence 06</x:v>
      </x:c>
      <x:c r="D13" s="38"/>
      <x:c r="E13" s="38"/>
      <x:c r="F13" s="38"/>
      <x:c r="G13" s="38"/>
      <x:c r="H13" s="16" t="str">
        <x:f>IF(COUNTA(D13:G13)&lt;4,"OPEN",IF(AND(D13="PASS",E13="PASS",F13="PASS",G13="ACCEPTED"),"ACCEPTED","DENY"))</x:f>
        <x:v>OPEN</x:v>
      </x:c>
    </x:row>
    <x:row r="14">
      <x:c r="A14" s="16" t="str">
        <x:v>RW-07</x:v>
      </x:c>
      <x:c r="B14" s="16" t="str">
        <x:v>metrology</x:v>
      </x:c>
      <x:c r="C14" s="16" t="str">
        <x:v>Accepted return evidence 07</x:v>
      </x:c>
      <x:c r="D14" s="38"/>
      <x:c r="E14" s="38"/>
      <x:c r="F14" s="38"/>
      <x:c r="G14" s="38"/>
      <x:c r="H14" s="16" t="str">
        <x:f>IF(COUNTA(D14:G14)&lt;4,"OPEN",IF(AND(D14="PASS",E14="PASS",F14="PASS",G14="ACCEPTED"),"ACCEPTED","DENY"))</x:f>
        <x:v>OPEN</x:v>
      </x:c>
    </x:row>
    <x:row r="15">
      <x:c r="A15" s="16" t="str">
        <x:v>RW-08</x:v>
      </x:c>
      <x:c r="B15" s="16" t="str">
        <x:v>environment</x:v>
      </x:c>
      <x:c r="C15" s="16" t="str">
        <x:v>Accepted return evidence 08</x:v>
      </x:c>
      <x:c r="D15" s="38"/>
      <x:c r="E15" s="38"/>
      <x:c r="F15" s="38"/>
      <x:c r="G15" s="38"/>
      <x:c r="H15" s="16" t="str">
        <x:f>IF(COUNTA(D15:G15)&lt;4,"OPEN",IF(AND(D15="PASS",E15="PASS",F15="PASS",G15="ACCEPTED"),"ACCEPTED","DENY"))</x:f>
        <x:v>OPEN</x:v>
      </x:c>
    </x:row>
    <x:row r="16">
      <x:c r="A16" s="16" t="str">
        <x:v>RW-09</x:v>
      </x:c>
      <x:c r="B16" s="16" t="str">
        <x:v>waste</x:v>
      </x:c>
      <x:c r="C16" s="16" t="str">
        <x:v>Accepted return evidence 09</x:v>
      </x:c>
      <x:c r="D16" s="38"/>
      <x:c r="E16" s="38"/>
      <x:c r="F16" s="38"/>
      <x:c r="G16" s="38"/>
      <x:c r="H16" s="16" t="str">
        <x:f>IF(COUNTA(D16:G16)&lt;4,"OPEN",IF(AND(D16="PASS",E16="PASS",F16="PASS",G16="ACCEPTED"),"ACCEPTED","DENY"))</x:f>
        <x:v>OPEN</x:v>
      </x:c>
    </x:row>
    <x:row r="17">
      <x:c r="A17" s="16" t="str">
        <x:v>RW-10</x:v>
      </x:c>
      <x:c r="B17" s="16" t="str">
        <x:v>robotics</x:v>
      </x:c>
      <x:c r="C17" s="16" t="str">
        <x:v>Accepted return evidence 10</x:v>
      </x:c>
      <x:c r="D17" s="38"/>
      <x:c r="E17" s="38"/>
      <x:c r="F17" s="38"/>
      <x:c r="G17" s="38"/>
      <x:c r="H17" s="16" t="str">
        <x:f>IF(COUNTA(D17:G17)&lt;4,"OPEN",IF(AND(D17="PASS",E17="PASS",F17="PASS",G17="ACCEPTED"),"ACCEPTED","DENY"))</x:f>
        <x:v>OPEN</x:v>
      </x:c>
    </x:row>
    <x:row r="18">
      <x:c r="A18" s="16" t="str">
        <x:v>RW-11</x:v>
      </x:c>
      <x:c r="B18" s="16" t="str">
        <x:v>route</x:v>
      </x:c>
      <x:c r="C18" s="16" t="str">
        <x:v>Accepted return evidence 11</x:v>
      </x:c>
      <x:c r="D18" s="38"/>
      <x:c r="E18" s="38"/>
      <x:c r="F18" s="38"/>
      <x:c r="G18" s="38"/>
      <x:c r="H18" s="16" t="str">
        <x:f>IF(COUNTA(D18:G18)&lt;4,"OPEN",IF(AND(D18="PASS",E18="PASS",F18="PASS",G18="ACCEPTED"),"ACCEPTED","DENY"))</x:f>
        <x:v>OPEN</x:v>
      </x:c>
    </x:row>
    <x:row r="19">
      <x:c r="A19" s="16" t="str">
        <x:v>RW-12</x:v>
      </x:c>
      <x:c r="B19" s="16" t="str">
        <x:v>receiver</x:v>
      </x:c>
      <x:c r="C19" s="16" t="str">
        <x:v>Accepted return evidence 12</x:v>
      </x:c>
      <x:c r="D19" s="38"/>
      <x:c r="E19" s="38"/>
      <x:c r="F19" s="38"/>
      <x:c r="G19" s="38"/>
      <x:c r="H19" s="16" t="str">
        <x:f>IF(COUNTA(D19:G19)&lt;4,"OPEN",IF(AND(D19="PASS",E19="PASS",F19="PASS",G19="ACCEPTED"),"ACCEPTED","DENY"))</x:f>
        <x:v>OPEN</x:v>
      </x:c>
    </x:row>
    <x:row r="20">
      <x:c r="A20" s="16" t="str">
        <x:v>RW-13</x:v>
      </x:c>
      <x:c r="B20" s="16" t="str">
        <x:v>capture</x:v>
      </x:c>
      <x:c r="C20" s="16" t="str">
        <x:v>Accepted return evidence 13</x:v>
      </x:c>
      <x:c r="D20" s="38"/>
      <x:c r="E20" s="38"/>
      <x:c r="F20" s="38"/>
      <x:c r="G20" s="38"/>
      <x:c r="H20" s="16" t="str">
        <x:f>IF(COUNTA(D20:G20)&lt;4,"OPEN",IF(AND(D20="PASS",E20="PASS",F20="PASS",G20="ACCEPTED"),"ACCEPTED","DENY"))</x:f>
        <x:v>OPEN</x:v>
      </x:c>
    </x:row>
    <x:row r="21">
      <x:c r="A21" s="16" t="str">
        <x:v>RW-14</x:v>
      </x:c>
      <x:c r="B21" s="16" t="str">
        <x:v>source</x:v>
      </x:c>
      <x:c r="C21" s="16" t="str">
        <x:v>Accepted return evidence 14</x:v>
      </x:c>
      <x:c r="D21" s="38"/>
      <x:c r="E21" s="38"/>
      <x:c r="F21" s="38"/>
      <x:c r="G21" s="38"/>
      <x:c r="H21" s="16" t="str">
        <x:f>IF(COUNTA(D21:G21)&lt;4,"OPEN",IF(AND(D21="PASS",E21="PASS",F21="PASS",G21="ACCEPTED"),"ACCEPTED","DENY"))</x:f>
        <x:v>OPEN</x:v>
      </x:c>
    </x:row>
    <x:row r="22">
      <x:c r="A22" s="16" t="str">
        <x:v>RW-15</x:v>
      </x:c>
      <x:c r="B22" s="16" t="str">
        <x:v>ancestry</x:v>
      </x:c>
      <x:c r="C22" s="16" t="str">
        <x:v>Accepted return evidence 15</x:v>
      </x:c>
      <x:c r="D22" s="38"/>
      <x:c r="E22" s="38"/>
      <x:c r="F22" s="38"/>
      <x:c r="G22" s="38"/>
      <x:c r="H22" s="16" t="str">
        <x:f>IF(COUNTA(D22:G22)&lt;4,"OPEN",IF(AND(D22="PASS",E22="PASS",F22="PASS",G22="ACCEPTED"),"ACCEPTED","DENY"))</x:f>
        <x:v>OPEN</x:v>
      </x:c>
    </x:row>
    <x:row r="23">
      <x:c r="A23" s="16" t="str">
        <x:v>RW-16</x:v>
      </x:c>
      <x:c r="B23" s="16" t="str">
        <x:v>safeing</x:v>
      </x:c>
      <x:c r="C23" s="16" t="str">
        <x:v>Accepted return evidence 16</x:v>
      </x:c>
      <x:c r="D23" s="38"/>
      <x:c r="E23" s="38"/>
      <x:c r="F23" s="38"/>
      <x:c r="G23" s="38"/>
      <x:c r="H23" s="16" t="str">
        <x:f>IF(COUNTA(D23:G23)&lt;4,"OPEN",IF(AND(D23="PASS",E23="PASS",F23="PASS",G23="ACCEPTED"),"ACCEPTED","DENY"))</x:f>
        <x:v>OPEN</x:v>
      </x:c>
    </x:row>
    <x:row r="24">
      <x:c r="A24" s="16" t="str">
        <x:v>RW-17</x:v>
      </x:c>
      <x:c r="B24" s="16" t="str">
        <x:v>metrology</x:v>
      </x:c>
      <x:c r="C24" s="16" t="str">
        <x:v>Accepted return evidence 17</x:v>
      </x:c>
      <x:c r="D24" s="38"/>
      <x:c r="E24" s="38"/>
      <x:c r="F24" s="38"/>
      <x:c r="G24" s="38"/>
      <x:c r="H24" s="16" t="str">
        <x:f>IF(COUNTA(D24:G24)&lt;4,"OPEN",IF(AND(D24="PASS",E24="PASS",F24="PASS",G24="ACCEPTED"),"ACCEPTED","DENY"))</x:f>
        <x:v>OPEN</x:v>
      </x:c>
    </x:row>
    <x:row r="25">
      <x:c r="A25" s="16" t="str">
        <x:v>RW-18</x:v>
      </x:c>
      <x:c r="B25" s="16" t="str">
        <x:v>environment</x:v>
      </x:c>
      <x:c r="C25" s="16" t="str">
        <x:v>Accepted return evidence 18</x:v>
      </x:c>
      <x:c r="D25" s="38"/>
      <x:c r="E25" s="38"/>
      <x:c r="F25" s="38"/>
      <x:c r="G25" s="38"/>
      <x:c r="H25" s="16" t="str">
        <x:f>IF(COUNTA(D25:G25)&lt;4,"OPEN",IF(AND(D25="PASS",E25="PASS",F25="PASS",G25="ACCEPTED"),"ACCEPTED","DENY"))</x:f>
        <x:v>OPEN</x:v>
      </x:c>
    </x:row>
    <x:row r="26">
      <x:c r="A26" s="16" t="str">
        <x:v>RW-19</x:v>
      </x:c>
      <x:c r="B26" s="16" t="str">
        <x:v>waste</x:v>
      </x:c>
      <x:c r="C26" s="16" t="str">
        <x:v>Accepted return evidence 19</x:v>
      </x:c>
      <x:c r="D26" s="38"/>
      <x:c r="E26" s="38"/>
      <x:c r="F26" s="38"/>
      <x:c r="G26" s="38"/>
      <x:c r="H26" s="16" t="str">
        <x:f>IF(COUNTA(D26:G26)&lt;4,"OPEN",IF(AND(D26="PASS",E26="PASS",F26="PASS",G26="ACCEPTED"),"ACCEPTED","DENY"))</x:f>
        <x:v>OPEN</x:v>
      </x:c>
    </x:row>
    <x:row r="27">
      <x:c r="A27" s="16" t="str">
        <x:v>RW-20</x:v>
      </x:c>
      <x:c r="B27" s="16" t="str">
        <x:v>robotics</x:v>
      </x:c>
      <x:c r="C27" s="16" t="str">
        <x:v>Accepted return evidence 20</x:v>
      </x:c>
      <x:c r="D27" s="38"/>
      <x:c r="E27" s="38"/>
      <x:c r="F27" s="38"/>
      <x:c r="G27" s="38"/>
      <x:c r="H27" s="16" t="str">
        <x:f>IF(COUNTA(D27:G27)&lt;4,"OPEN",IF(AND(D27="PASS",E27="PASS",F27="PASS",G27="ACCEPTED"),"ACCEPTED","DENY"))</x:f>
        <x:v>OPEN</x:v>
      </x:c>
    </x:row>
  </x:sheetData>
  <x:mergeCells>
    <x:mergeCell ref="A1:H1"/>
  </x:mergeCells>
  <x:conditionalFormatting sqref="H8:H27">
    <x:cfRule type="containsText" dxfId="44" priority="1" operator="containsText" text="DENY"/>
    <x:cfRule type="containsText" dxfId="45" priority="2" operator="containsText" text="FAIL"/>
    <x:cfRule type="containsText" dxfId="46" priority="3" operator="containsText" text="MISSING"/>
    <x:cfRule type="containsText" dxfId="47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76d784fdc4234a62"/>
  </x:tableParts>
</x:worksheet>
</file>

<file path=xl/worksheets/sheet17.xml><?xml version="1.0" encoding="utf-8"?>
<x:worksheet xmlns:x="http://schemas.openxmlformats.org/spreadsheetml/2006/main">
  <x:sheetPr>
    <x:tabColor rgb="FF1E3A5F"/>
  </x:sheetPr>
  <x:sheetViews>
    <x:sheetView showGridLines="0" workbookViewId="0"/>
  </x:sheetViews>
  <x:sheetFormatPr defaultRowHeight="15"/>
  <x:cols>
    <x:col min="1" max="1" width="24" hidden="0" customWidth="1"/>
    <x:col min="2" max="2" width="23" hidden="0" customWidth="1"/>
    <x:col min="3" max="3" width="25" hidden="0" customWidth="1"/>
    <x:col min="4" max="4" width="20" hidden="0" customWidth="1"/>
    <x:col min="5" max="5" width="20" hidden="0" customWidth="1"/>
    <x:col min="6" max="6" width="15" hidden="0" customWidth="1"/>
  </x:cols>
  <x:sheetData>
    <x:row r="1" ht="27" customHeight="1">
      <x:c r="A1" s="3" t="str">
        <x:v>Native evidence and governed capacity</x:v>
      </x:c>
      <x:c r="B1" s="3" t="str">
        <x:v>Native evidence and governed capacity</x:v>
      </x:c>
      <x:c r="C1" s="3" t="str">
        <x:v>Native evidence and governed capacity</x:v>
      </x:c>
      <x:c r="D1" s="3" t="str">
        <x:v>Native evidence and governed capacity</x:v>
      </x:c>
      <x:c r="E1" s="3" t="str">
        <x:v>Native evidence and governed capacity</x:v>
      </x:c>
      <x:c r="F1" s="3" t="str">
        <x:v>Native evidence and governed capacity</x:v>
      </x:c>
    </x:row>
    <x:row r="2">
      <x:c r="A2" s="60"/>
      <x:c r="B2" s="60"/>
      <x:c r="C2" s="60"/>
      <x:c r="D2" s="60"/>
      <x:c r="E2" s="60"/>
      <x:c r="F2" s="60"/>
    </x:row>
    <x:row r="3">
      <x:c r="A3" s="34" t="str">
        <x:v>Metric</x:v>
      </x:c>
      <x:c r="B3" s="36" t="str">
        <x:v>Value</x:v>
      </x:c>
      <x:c r="C3" s="60"/>
      <x:c r="D3" s="60"/>
      <x:c r="E3" s="60"/>
      <x:c r="F3" s="60"/>
    </x:row>
    <x:row r="4">
      <x:c r="A4" s="16" t="str">
        <x:v>Rate MB/s</x:v>
      </x:c>
      <x:c r="B4" s="18" t="n">
        <x:f>'Assumptions'!B26</x:f>
        <x:v>80.10576</x:v>
      </x:c>
      <x:c r="C4" s="16"/>
      <x:c r="D4" s="16"/>
      <x:c r="E4" s="16"/>
      <x:c r="F4" s="16"/>
    </x:row>
    <x:row r="5">
      <x:c r="A5" s="16" t="str">
        <x:v>Full-rate seconds</x:v>
      </x:c>
      <x:c r="B5" s="18" t="n">
        <x:f>'Assumptions'!B27</x:f>
        <x:v>900</x:v>
      </x:c>
      <x:c r="C5" s="16"/>
      <x:c r="D5" s="16"/>
      <x:c r="E5" s="16"/>
      <x:c r="F5" s="16"/>
    </x:row>
    <x:row r="6">
      <x:c r="A6" s="16" t="str">
        <x:v>Tail seconds</x:v>
      </x:c>
      <x:c r="B6" s="18" t="n">
        <x:f>'Assumptions'!B28</x:f>
        <x:v>86400</x:v>
      </x:c>
      <x:c r="C6" s="16"/>
      <x:c r="D6" s="16"/>
      <x:c r="E6" s="16"/>
      <x:c r="F6" s="16"/>
    </x:row>
    <x:row r="7">
      <x:c r="A7" s="16" t="str">
        <x:v>Tail fraction</x:v>
      </x:c>
      <x:c r="B7" s="18" t="n">
        <x:f>'Assumptions'!B29</x:f>
        <x:v>0.01</x:v>
      </x:c>
      <x:c r="C7" s="16"/>
      <x:c r="D7" s="16"/>
      <x:c r="E7" s="16"/>
      <x:c r="F7" s="16"/>
    </x:row>
    <x:row r="8">
      <x:c r="A8" s="16" t="str">
        <x:v>Native retained MB</x:v>
      </x:c>
      <x:c r="B8" s="18" t="n">
        <x:f>B4*B5+B4*B6*B7</x:f>
        <x:v>141306.56064</x:v>
      </x:c>
      <x:c r="C8" s="16"/>
      <x:c r="D8" s="16"/>
      <x:c r="E8" s="16"/>
      <x:c r="F8" s="16"/>
    </x:row>
    <x:row r="9">
      <x:c r="A9" s="16" t="str">
        <x:v>Two originals with custody GB</x:v>
      </x:c>
      <x:c r="B9" s="18" t="n">
        <x:f>B8*'Assumptions'!B30*'Assumptions'!B31/1000</x:f>
        <x:v>381.52771372800004</x:v>
      </x:c>
      <x:c r="C9" s="16"/>
      <x:c r="D9" s="16"/>
      <x:c r="E9" s="16"/>
      <x:c r="F9" s="16"/>
    </x:row>
    <x:row r="10">
      <x:c r="A10" s="16" t="str">
        <x:v>Governed allocation per attempt GB</x:v>
      </x:c>
      <x:c r="B10" s="18" t="n">
        <x:f>B9*'Assumptions'!B32</x:f>
        <x:v>495.9860278464001</x:v>
      </x:c>
      <x:c r="C10" s="16"/>
      <x:c r="D10" s="16"/>
      <x:c r="E10" s="16"/>
      <x:c r="F10" s="16"/>
    </x:row>
    <x:row r="11">
      <x:c r="A11" s="16" t="str">
        <x:v>Two-attempt governed allocation GB</x:v>
      </x:c>
      <x:c r="B11" s="18" t="n">
        <x:f>B10*2</x:f>
        <x:v>991.9720556928002</x:v>
      </x:c>
      <x:c r="C11" s="16"/>
      <x:c r="D11" s="16"/>
      <x:c r="E11" s="16"/>
      <x:c r="F11" s="16"/>
    </x:row>
    <x:row r="12">
      <x:c r="A12" s="16" t="str">
        <x:v>Provisioned capacity GB</x:v>
      </x:c>
      <x:c r="B12" s="18" t="n">
        <x:f>1500</x:f>
        <x:v>1500</x:v>
      </x:c>
      <x:c r="C12" s="16"/>
      <x:c r="D12" s="16"/>
      <x:c r="E12" s="16"/>
      <x:c r="F12" s="16"/>
    </x:row>
    <x:row r="13">
      <x:c r="A13" s="16" t="str">
        <x:v>Capacity margin GB</x:v>
      </x:c>
      <x:c r="B13" s="18" t="n">
        <x:f>B12-B11</x:f>
        <x:v>508.02794430719985</x:v>
      </x:c>
      <x:c r="C13" s="16"/>
      <x:c r="D13" s="16"/>
      <x:c r="E13" s="16"/>
      <x:c r="F13" s="16"/>
    </x:row>
    <x:row r="14">
      <x:c r="A14" s="16"/>
      <x:c r="B14" s="16"/>
      <x:c r="C14" s="16"/>
      <x:c r="D14" s="16"/>
      <x:c r="E14" s="16"/>
      <x:c r="F14" s="16"/>
    </x:row>
    <x:row r="15">
      <x:c r="A15" s="16"/>
      <x:c r="B15" s="16"/>
      <x:c r="C15" s="16"/>
      <x:c r="D15" s="16"/>
      <x:c r="E15" s="16"/>
      <x:c r="F15" s="16"/>
    </x:row>
    <x:row r="16">
      <x:c r="A16" s="12" t="str">
        <x:v>Outside-origin reconstruction</x:v>
      </x:c>
      <x:c r="B16" s="13" t="str">
        <x:v>Outside-origin reconstruction</x:v>
      </x:c>
      <x:c r="C16" s="13" t="str">
        <x:v>Outside-origin reconstruction</x:v>
      </x:c>
      <x:c r="D16" s="13" t="str">
        <x:v>Outside-origin reconstruction</x:v>
      </x:c>
      <x:c r="E16" s="13" t="str">
        <x:v>Outside-origin reconstruction</x:v>
      </x:c>
      <x:c r="F16" s="14" t="str">
        <x:v>Outside-origin reconstruction</x:v>
      </x:c>
    </x:row>
    <x:row r="17">
      <x:c r="A17" s="40" t="str">
        <x:v>Packet class</x:v>
      </x:c>
      <x:c r="B17" s="42" t="str">
        <x:v>Origin service removed</x:v>
      </x:c>
      <x:c r="C17" s="42" t="str">
        <x:v>Candidate service removed</x:v>
      </x:c>
      <x:c r="D17" s="42" t="str">
        <x:v>Campus 2 state</x:v>
      </x:c>
      <x:c r="E17" s="42" t="str">
        <x:v>Campus 3 state</x:v>
      </x:c>
      <x:c r="F17" s="41" t="str">
        <x:v>Disposition</x:v>
      </x:c>
    </x:row>
    <x:row r="18">
      <x:c r="A18" s="16" t="str">
        <x:v>PK-01</x:v>
      </x:c>
      <x:c r="B18" s="16" t="str">
        <x:v>YES</x:v>
      </x:c>
      <x:c r="C18" s="16" t="str">
        <x:v>NO</x:v>
      </x:c>
      <x:c r="D18" s="38"/>
      <x:c r="E18" s="38"/>
      <x:c r="F18" s="16" t="str">
        <x:f>IF(COUNTA(D18:E18)&lt;2,"OPEN",IF(AND(D18="REPRODUCED",E18="REPRODUCED"),"PASS","DENY"))</x:f>
        <x:v>OPEN</x:v>
      </x:c>
    </x:row>
    <x:row r="19">
      <x:c r="A19" s="16" t="str">
        <x:v>PK-02</x:v>
      </x:c>
      <x:c r="B19" s="16" t="str">
        <x:v>NO</x:v>
      </x:c>
      <x:c r="C19" s="16" t="str">
        <x:v>YES</x:v>
      </x:c>
      <x:c r="D19" s="38"/>
      <x:c r="E19" s="38"/>
      <x:c r="F19" s="16" t="str">
        <x:f>IF(COUNTA(D19:E19)&lt;2,"OPEN",IF(AND(D19="REPRODUCED",E19="REPRODUCED"),"PASS","DENY"))</x:f>
        <x:v>OPEN</x:v>
      </x:c>
    </x:row>
    <x:row r="20">
      <x:c r="A20" s="16" t="str">
        <x:v>PK-03</x:v>
      </x:c>
      <x:c r="B20" s="16" t="str">
        <x:v>YES</x:v>
      </x:c>
      <x:c r="C20" s="16" t="str">
        <x:v>NO</x:v>
      </x:c>
      <x:c r="D20" s="38"/>
      <x:c r="E20" s="38"/>
      <x:c r="F20" s="16" t="str">
        <x:f>IF(COUNTA(D20:E20)&lt;2,"OPEN",IF(AND(D20="REPRODUCED",E20="REPRODUCED"),"PASS","DENY"))</x:f>
        <x:v>OPEN</x:v>
      </x:c>
    </x:row>
    <x:row r="21">
      <x:c r="A21" s="16" t="str">
        <x:v>PK-04</x:v>
      </x:c>
      <x:c r="B21" s="16" t="str">
        <x:v>NO</x:v>
      </x:c>
      <x:c r="C21" s="16" t="str">
        <x:v>YES</x:v>
      </x:c>
      <x:c r="D21" s="38"/>
      <x:c r="E21" s="38"/>
      <x:c r="F21" s="16" t="str">
        <x:f>IF(COUNTA(D21:E21)&lt;2,"OPEN",IF(AND(D21="REPRODUCED",E21="REPRODUCED"),"PASS","DENY"))</x:f>
        <x:v>OPEN</x:v>
      </x:c>
    </x:row>
    <x:row r="22">
      <x:c r="A22" s="16" t="str">
        <x:v>PK-05</x:v>
      </x:c>
      <x:c r="B22" s="16" t="str">
        <x:v>YES</x:v>
      </x:c>
      <x:c r="C22" s="16" t="str">
        <x:v>NO</x:v>
      </x:c>
      <x:c r="D22" s="38"/>
      <x:c r="E22" s="38"/>
      <x:c r="F22" s="16" t="str">
        <x:f>IF(COUNTA(D22:E22)&lt;2,"OPEN",IF(AND(D22="REPRODUCED",E22="REPRODUCED"),"PASS","DENY"))</x:f>
        <x:v>OPEN</x:v>
      </x:c>
    </x:row>
    <x:row r="23">
      <x:c r="A23" s="16" t="str">
        <x:v>PK-06</x:v>
      </x:c>
      <x:c r="B23" s="16" t="str">
        <x:v>NO</x:v>
      </x:c>
      <x:c r="C23" s="16" t="str">
        <x:v>YES</x:v>
      </x:c>
      <x:c r="D23" s="38"/>
      <x:c r="E23" s="38"/>
      <x:c r="F23" s="16" t="str">
        <x:f>IF(COUNTA(D23:E23)&lt;2,"OPEN",IF(AND(D23="REPRODUCED",E23="REPRODUCED"),"PASS","DENY"))</x:f>
        <x:v>OPEN</x:v>
      </x:c>
    </x:row>
    <x:row r="24">
      <x:c r="A24" s="16" t="str">
        <x:v>PK-07</x:v>
      </x:c>
      <x:c r="B24" s="16" t="str">
        <x:v>YES</x:v>
      </x:c>
      <x:c r="C24" s="16" t="str">
        <x:v>NO</x:v>
      </x:c>
      <x:c r="D24" s="38"/>
      <x:c r="E24" s="38"/>
      <x:c r="F24" s="16" t="str">
        <x:f>IF(COUNTA(D24:E24)&lt;2,"OPEN",IF(AND(D24="REPRODUCED",E24="REPRODUCED"),"PASS","DENY"))</x:f>
        <x:v>OPEN</x:v>
      </x:c>
    </x:row>
    <x:row r="25">
      <x:c r="A25" s="16" t="str">
        <x:v>PK-08</x:v>
      </x:c>
      <x:c r="B25" s="16" t="str">
        <x:v>NO</x:v>
      </x:c>
      <x:c r="C25" s="16" t="str">
        <x:v>YES</x:v>
      </x:c>
      <x:c r="D25" s="38"/>
      <x:c r="E25" s="38"/>
      <x:c r="F25" s="16" t="str">
        <x:f>IF(COUNTA(D25:E25)&lt;2,"OPEN",IF(AND(D25="REPRODUCED",E25="REPRODUCED"),"PASS","DENY"))</x:f>
        <x:v>OPEN</x:v>
      </x:c>
    </x:row>
    <x:row r="26">
      <x:c r="A26" s="16" t="str">
        <x:v>PK-09</x:v>
      </x:c>
      <x:c r="B26" s="16" t="str">
        <x:v>YES</x:v>
      </x:c>
      <x:c r="C26" s="16" t="str">
        <x:v>NO</x:v>
      </x:c>
      <x:c r="D26" s="38"/>
      <x:c r="E26" s="38"/>
      <x:c r="F26" s="16" t="str">
        <x:f>IF(COUNTA(D26:E26)&lt;2,"OPEN",IF(AND(D26="REPRODUCED",E26="REPRODUCED"),"PASS","DENY"))</x:f>
        <x:v>OPEN</x:v>
      </x:c>
    </x:row>
    <x:row r="27">
      <x:c r="A27" s="16" t="str">
        <x:v>PK-10</x:v>
      </x:c>
      <x:c r="B27" s="16" t="str">
        <x:v>NO</x:v>
      </x:c>
      <x:c r="C27" s="16" t="str">
        <x:v>YES</x:v>
      </x:c>
      <x:c r="D27" s="38"/>
      <x:c r="E27" s="38"/>
      <x:c r="F27" s="16" t="str">
        <x:f>IF(COUNTA(D27:E27)&lt;2,"OPEN",IF(AND(D27="REPRODUCED",E27="REPRODUCED"),"PASS","DENY"))</x:f>
        <x:v>OPEN</x:v>
      </x:c>
    </x:row>
    <x:row r="28">
      <x:c r="A28" s="16" t="str">
        <x:v>PK-11</x:v>
      </x:c>
      <x:c r="B28" s="16" t="str">
        <x:v>YES</x:v>
      </x:c>
      <x:c r="C28" s="16" t="str">
        <x:v>NO</x:v>
      </x:c>
      <x:c r="D28" s="38"/>
      <x:c r="E28" s="38"/>
      <x:c r="F28" s="16" t="str">
        <x:f>IF(COUNTA(D28:E28)&lt;2,"OPEN",IF(AND(D28="REPRODUCED",E28="REPRODUCED"),"PASS","DENY"))</x:f>
        <x:v>OPEN</x:v>
      </x:c>
    </x:row>
    <x:row r="29">
      <x:c r="A29" s="16" t="str">
        <x:v>PK-12</x:v>
      </x:c>
      <x:c r="B29" s="16" t="str">
        <x:v>NO</x:v>
      </x:c>
      <x:c r="C29" s="16" t="str">
        <x:v>YES</x:v>
      </x:c>
      <x:c r="D29" s="38"/>
      <x:c r="E29" s="38"/>
      <x:c r="F29" s="16" t="str">
        <x:f>IF(COUNTA(D29:E29)&lt;2,"OPEN",IF(AND(D29="REPRODUCED",E29="REPRODUCED"),"PASS","DENY"))</x:f>
        <x:v>OPEN</x:v>
      </x:c>
    </x:row>
    <x:row r="30">
      <x:c r="A30" s="16" t="str">
        <x:v>PK-13</x:v>
      </x:c>
      <x:c r="B30" s="16" t="str">
        <x:v>YES</x:v>
      </x:c>
      <x:c r="C30" s="16" t="str">
        <x:v>NO</x:v>
      </x:c>
      <x:c r="D30" s="38"/>
      <x:c r="E30" s="38"/>
      <x:c r="F30" s="16" t="str">
        <x:f>IF(COUNTA(D30:E30)&lt;2,"OPEN",IF(AND(D30="REPRODUCED",E30="REPRODUCED"),"PASS","DENY"))</x:f>
        <x:v>OPEN</x:v>
      </x:c>
    </x:row>
    <x:row r="31">
      <x:c r="A31" s="16" t="str">
        <x:v>PK-14</x:v>
      </x:c>
      <x:c r="B31" s="16" t="str">
        <x:v>NO</x:v>
      </x:c>
      <x:c r="C31" s="16" t="str">
        <x:v>YES</x:v>
      </x:c>
      <x:c r="D31" s="38"/>
      <x:c r="E31" s="38"/>
      <x:c r="F31" s="16" t="str">
        <x:f>IF(COUNTA(D31:E31)&lt;2,"OPEN",IF(AND(D31="REPRODUCED",E31="REPRODUCED"),"PASS","DENY"))</x:f>
        <x:v>OPEN</x:v>
      </x:c>
    </x:row>
    <x:row r="32">
      <x:c r="A32" s="16" t="str">
        <x:v>PK-15</x:v>
      </x:c>
      <x:c r="B32" s="16" t="str">
        <x:v>YES</x:v>
      </x:c>
      <x:c r="C32" s="16" t="str">
        <x:v>NO</x:v>
      </x:c>
      <x:c r="D32" s="38"/>
      <x:c r="E32" s="38"/>
      <x:c r="F32" s="16" t="str">
        <x:f>IF(COUNTA(D32:E32)&lt;2,"OPEN",IF(AND(D32="REPRODUCED",E32="REPRODUCED"),"PASS","DENY"))</x:f>
        <x:v>OPEN</x:v>
      </x:c>
    </x:row>
    <x:row r="33">
      <x:c r="A33" s="16" t="str">
        <x:v>PK-16</x:v>
      </x:c>
      <x:c r="B33" s="16" t="str">
        <x:v>NO</x:v>
      </x:c>
      <x:c r="C33" s="16" t="str">
        <x:v>YES</x:v>
      </x:c>
      <x:c r="D33" s="38"/>
      <x:c r="E33" s="38"/>
      <x:c r="F33" s="16" t="str">
        <x:f>IF(COUNTA(D33:E33)&lt;2,"OPEN",IF(AND(D33="REPRODUCED",E33="REPRODUCED"),"PASS","DENY"))</x:f>
        <x:v>OPEN</x:v>
      </x:c>
    </x:row>
    <x:row r="34">
      <x:c r="A34" s="16" t="str">
        <x:v>PK-17</x:v>
      </x:c>
      <x:c r="B34" s="16" t="str">
        <x:v>YES</x:v>
      </x:c>
      <x:c r="C34" s="16" t="str">
        <x:v>NO</x:v>
      </x:c>
      <x:c r="D34" s="38"/>
      <x:c r="E34" s="38"/>
      <x:c r="F34" s="16" t="str">
        <x:f>IF(COUNTA(D34:E34)&lt;2,"OPEN",IF(AND(D34="REPRODUCED",E34="REPRODUCED"),"PASS","DENY"))</x:f>
        <x:v>OPEN</x:v>
      </x:c>
    </x:row>
    <x:row r="35">
      <x:c r="A35" s="16" t="str">
        <x:v>PK-18</x:v>
      </x:c>
      <x:c r="B35" s="16" t="str">
        <x:v>NO</x:v>
      </x:c>
      <x:c r="C35" s="16" t="str">
        <x:v>YES</x:v>
      </x:c>
      <x:c r="D35" s="38"/>
      <x:c r="E35" s="38"/>
      <x:c r="F35" s="16" t="str">
        <x:f>IF(COUNTA(D35:E35)&lt;2,"OPEN",IF(AND(D35="REPRODUCED",E35="REPRODUCED"),"PASS","DENY"))</x:f>
        <x:v>OPEN</x:v>
      </x:c>
    </x:row>
    <x:row r="36">
      <x:c r="A36" s="16" t="str">
        <x:v>PK-19</x:v>
      </x:c>
      <x:c r="B36" s="16" t="str">
        <x:v>YES</x:v>
      </x:c>
      <x:c r="C36" s="16" t="str">
        <x:v>NO</x:v>
      </x:c>
      <x:c r="D36" s="38"/>
      <x:c r="E36" s="38"/>
      <x:c r="F36" s="16" t="str">
        <x:f>IF(COUNTA(D36:E36)&lt;2,"OPEN",IF(AND(D36="REPRODUCED",E36="REPRODUCED"),"PASS","DENY"))</x:f>
        <x:v>OPEN</x:v>
      </x:c>
    </x:row>
    <x:row r="37">
      <x:c r="A37" s="16" t="str">
        <x:v>PK-20</x:v>
      </x:c>
      <x:c r="B37" s="16" t="str">
        <x:v>NO</x:v>
      </x:c>
      <x:c r="C37" s="16" t="str">
        <x:v>YES</x:v>
      </x:c>
      <x:c r="D37" s="38"/>
      <x:c r="E37" s="38"/>
      <x:c r="F37" s="16" t="str">
        <x:f>IF(COUNTA(D37:E37)&lt;2,"OPEN",IF(AND(D37="REPRODUCED",E37="REPRODUCED"),"PASS","DENY"))</x:f>
        <x:v>OPEN</x:v>
      </x:c>
    </x:row>
    <x:row r="38">
      <x:c r="A38" s="16" t="str">
        <x:v>PK-21</x:v>
      </x:c>
      <x:c r="B38" s="16" t="str">
        <x:v>YES</x:v>
      </x:c>
      <x:c r="C38" s="16" t="str">
        <x:v>NO</x:v>
      </x:c>
      <x:c r="D38" s="38"/>
      <x:c r="E38" s="38"/>
      <x:c r="F38" s="16" t="str">
        <x:f>IF(COUNTA(D38:E38)&lt;2,"OPEN",IF(AND(D38="REPRODUCED",E38="REPRODUCED"),"PASS","DENY"))</x:f>
        <x:v>OPEN</x:v>
      </x:c>
    </x:row>
    <x:row r="39">
      <x:c r="A39" s="16" t="str">
        <x:v>PK-22</x:v>
      </x:c>
      <x:c r="B39" s="16" t="str">
        <x:v>NO</x:v>
      </x:c>
      <x:c r="C39" s="16" t="str">
        <x:v>YES</x:v>
      </x:c>
      <x:c r="D39" s="38"/>
      <x:c r="E39" s="38"/>
      <x:c r="F39" s="16" t="str">
        <x:f>IF(COUNTA(D39:E39)&lt;2,"OPEN",IF(AND(D39="REPRODUCED",E39="REPRODUCED"),"PASS","DENY"))</x:f>
        <x:v>OPEN</x:v>
      </x:c>
    </x:row>
    <x:row r="40">
      <x:c r="A40" s="16" t="str">
        <x:v>PK-23</x:v>
      </x:c>
      <x:c r="B40" s="16" t="str">
        <x:v>YES</x:v>
      </x:c>
      <x:c r="C40" s="16" t="str">
        <x:v>NO</x:v>
      </x:c>
      <x:c r="D40" s="38"/>
      <x:c r="E40" s="38"/>
      <x:c r="F40" s="16" t="str">
        <x:f>IF(COUNTA(D40:E40)&lt;2,"OPEN",IF(AND(D40="REPRODUCED",E40="REPRODUCED"),"PASS","DENY"))</x:f>
        <x:v>OPEN</x:v>
      </x:c>
    </x:row>
    <x:row r="41">
      <x:c r="A41" s="16" t="str">
        <x:v>PK-24</x:v>
      </x:c>
      <x:c r="B41" s="16" t="str">
        <x:v>NO</x:v>
      </x:c>
      <x:c r="C41" s="16" t="str">
        <x:v>YES</x:v>
      </x:c>
      <x:c r="D41" s="38"/>
      <x:c r="E41" s="38"/>
      <x:c r="F41" s="16" t="str">
        <x:f>IF(COUNTA(D41:E41)&lt;2,"OPEN",IF(AND(D41="REPRODUCED",E41="REPRODUCED"),"PASS","DENY"))</x:f>
        <x:v>OPEN</x:v>
      </x:c>
    </x:row>
  </x:sheetData>
  <x:mergeCells>
    <x:mergeCell ref="A1:F1"/>
    <x:mergeCell ref="A16:F16"/>
  </x:mergeCells>
  <x:conditionalFormatting sqref="F18:F41">
    <x:cfRule type="containsText" dxfId="48" priority="1" operator="containsText" text="DENY"/>
    <x:cfRule type="containsText" dxfId="49" priority="2" operator="containsText" text="FAIL"/>
    <x:cfRule type="containsText" dxfId="50" priority="3" operator="containsText" text="MISSING"/>
    <x:cfRule type="containsText" dxfId="51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1769394f20054a4c"/>
  </x:tableParts>
</x:worksheet>
</file>

<file path=xl/worksheets/sheet18.xml><?xml version="1.0" encoding="utf-8"?>
<x:worksheet xmlns:x="http://schemas.openxmlformats.org/spreadsheetml/2006/main">
  <x:sheetPr>
    <x:tabColor rgb="FF1E3A5F"/>
  </x:sheetPr>
  <x:sheetViews>
    <x:sheetView showGridLines="0" workbookViewId="0"/>
  </x:sheetViews>
  <x:sheetFormatPr defaultRowHeight="15"/>
  <x:cols>
    <x:col min="1" max="1" width="42" hidden="0" customWidth="1"/>
    <x:col min="2" max="2" width="15" hidden="0" customWidth="1"/>
    <x:col min="3" max="3" width="35" hidden="0" customWidth="1"/>
    <x:col min="4" max="4" width="18" hidden="0" customWidth="1"/>
    <x:col min="5" max="5" width="17" hidden="0" customWidth="1"/>
  </x:cols>
  <x:sheetData>
    <x:row r="1" ht="27" customHeight="1">
      <x:c r="A1" s="3" t="str">
        <x:v>Public architecture and first-event formation</x:v>
      </x:c>
      <x:c r="B1" s="3" t="str">
        <x:v>Public architecture and first-event formation</x:v>
      </x:c>
      <x:c r="C1" s="3" t="str">
        <x:v>Public architecture and first-event formation</x:v>
      </x:c>
      <x:c r="D1" s="3" t="str">
        <x:v>Public architecture and first-event formation</x:v>
      </x:c>
      <x:c r="E1" s="3" t="str">
        <x:v>Public architecture and first-event formation</x:v>
      </x:c>
    </x:row>
    <x:row r="2">
      <x:c r="A2" s="60"/>
      <x:c r="B2" s="60"/>
      <x:c r="C2" s="60"/>
      <x:c r="D2" s="60"/>
      <x:c r="E2" s="60"/>
    </x:row>
    <x:row r="3">
      <x:c r="A3" s="34" t="str">
        <x:v>Function</x:v>
      </x:c>
      <x:c r="B3" s="35" t="str">
        <x:v>Positions</x:v>
      </x:c>
      <x:c r="C3" s="35" t="str">
        <x:v>Owned capacity</x:v>
      </x:c>
      <x:c r="D3" s="35" t="str">
        <x:v>Parent positions</x:v>
      </x:c>
      <x:c r="E3" s="36" t="str">
        <x:v>Within parent</x:v>
      </x:c>
    </x:row>
    <x:row r="4">
      <x:c r="A4" s="16" t="str">
        <x:v>Three hydraulic trial units</x:v>
      </x:c>
      <x:c r="B4" s="16" t="n">
        <x:v>168</x:v>
      </x:c>
      <x:c r="C4" s="16" t="str">
        <x:v>one complete unit per campus</x:v>
      </x:c>
      <x:c r="D4" s="16" t="n">
        <x:v>512</x:v>
      </x:c>
      <x:c r="E4" s="16" t="str">
        <x:f>IF(SUM($B$4:B4)&lt;=D4,"YES","NO")</x:f>
        <x:v>YES</x:v>
      </x:c>
    </x:row>
    <x:row r="5">
      <x:c r="A5" s="16" t="str">
        <x:v>Candidate article, fixture and receiver cells</x:v>
      </x:c>
      <x:c r="B5" s="16" t="n">
        <x:v>96</x:v>
      </x:c>
      <x:c r="C5" s="16" t="str">
        <x:v>thirty serialized articles</x:v>
      </x:c>
      <x:c r="D5" s="16" t="n">
        <x:v>512</x:v>
      </x:c>
      <x:c r="E5" s="16" t="str">
        <x:f>IF(SUM($B$4:B5)&lt;=D5,"YES","NO")</x:f>
        <x:v>YES</x:v>
      </x:c>
    </x:row>
    <x:row r="6">
      <x:c r="A6" s="16" t="str">
        <x:v>Source bank and laboratories</x:v>
      </x:c>
      <x:c r="B6" s="16" t="n">
        <x:v>48</x:v>
      </x:c>
      <x:c r="C6" s="16" t="str">
        <x:v>package custody and assay</x:v>
      </x:c>
      <x:c r="D6" s="16" t="n">
        <x:v>512</x:v>
      </x:c>
      <x:c r="E6" s="16" t="str">
        <x:f>IF(SUM($B$4:B6)&lt;=D6,"YES","NO")</x:f>
        <x:v>YES</x:v>
      </x:c>
    </x:row>
    <x:row r="7">
      <x:c r="A7" s="16" t="str">
        <x:v>Metrology, evidence and replay</x:v>
      </x:c>
      <x:c r="B7" s="16" t="n">
        <x:v>48</x:v>
      </x:c>
      <x:c r="C7" s="16" t="str">
        <x:v>independent truth</x:v>
      </x:c>
      <x:c r="D7" s="16" t="n">
        <x:v>512</x:v>
      </x:c>
      <x:c r="E7" s="16" t="str">
        <x:f>IF(SUM($B$4:B7)&lt;=D7,"YES","NO")</x:f>
        <x:v>YES</x:v>
      </x:c>
    </x:row>
    <x:row r="8">
      <x:c r="A8" s="16" t="str">
        <x:v>Regeneration, environment and waste</x:v>
      </x:c>
      <x:c r="B8" s="16" t="n">
        <x:v>48</x:v>
      </x:c>
      <x:c r="C8" s="16" t="str">
        <x:v>672-hour return</x:v>
      </x:c>
      <x:c r="D8" s="16" t="n">
        <x:v>512</x:v>
      </x:c>
      <x:c r="E8" s="16" t="str">
        <x:f>IF(SUM($B$4:B8)&lt;=D8,"YES","NO")</x:f>
        <x:v>YES</x:v>
      </x:c>
    </x:row>
    <x:row r="9">
      <x:c r="A9" s="16" t="str">
        <x:v>Safety, selection, schedule and command</x:v>
      </x:c>
      <x:c r="B9" s="16" t="n">
        <x:v>40</x:v>
      </x:c>
      <x:c r="C9" s="16" t="str">
        <x:v>independent authority</x:v>
      </x:c>
      <x:c r="D9" s="16" t="n">
        <x:v>512</x:v>
      </x:c>
      <x:c r="E9" s="16" t="str">
        <x:f>IF(SUM($B$4:B9)&lt;=D9,"YES","NO")</x:f>
        <x:v>YES</x:v>
      </x:c>
    </x:row>
    <x:row r="10">
      <x:c r="A10" s="16"/>
      <x:c r="B10" s="16"/>
      <x:c r="C10" s="16"/>
      <x:c r="D10" s="16"/>
      <x:c r="E10" s="16"/>
    </x:row>
    <x:row r="11">
      <x:c r="A11" s="16" t="str">
        <x:v>Total positions</x:v>
      </x:c>
      <x:c r="B11" s="16" t="n">
        <x:f>SUM(B4:B9)</x:f>
        <x:v>448</x:v>
      </x:c>
      <x:c r="C11" s="16"/>
      <x:c r="D11" s="16"/>
      <x:c r="E11" s="16"/>
    </x:row>
    <x:row r="12">
      <x:c r="A12" s="16" t="str">
        <x:v>RAS-1 establishment</x:v>
      </x:c>
      <x:c r="B12" s="16" t="n">
        <x:v>512</x:v>
      </x:c>
      <x:c r="C12" s="16"/>
      <x:c r="D12" s="16"/>
      <x:c r="E12" s="16"/>
    </x:row>
    <x:row r="13">
      <x:c r="A13" s="16" t="str">
        <x:v>Remaining positions</x:v>
      </x:c>
      <x:c r="B13" s="16" t="n">
        <x:f>B12-B11</x:f>
        <x:v>64</x:v>
      </x:c>
      <x:c r="C13" s="16"/>
      <x:c r="D13" s="16"/>
      <x:c r="E13" s="16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83254ffe7414ccc"/>
  </x:tableParts>
</x:worksheet>
</file>

<file path=xl/worksheets/sheet19.xml><?xml version="1.0" encoding="utf-8"?>
<x:worksheet xmlns:x="http://schemas.openxmlformats.org/spreadsheetml/2006/main">
  <x:sheetPr>
    <x:tabColor rgb="FF1E3A5F"/>
  </x:sheetPr>
  <x:sheetViews>
    <x:sheetView showGridLines="0" workbookViewId="0"/>
  </x:sheetViews>
  <x:sheetFormatPr defaultRowHeight="15"/>
  <x:cols>
    <x:col min="1" max="1" width="36" hidden="0" customWidth="1"/>
    <x:col min="2" max="2" width="18" hidden="0" customWidth="1"/>
    <x:col min="3" max="3" width="3" hidden="0" customWidth="1"/>
    <x:col min="4" max="4" width="36" hidden="0" customWidth="1"/>
    <x:col min="5" max="5" width="15" hidden="0" customWidth="1"/>
    <x:col min="6" max="6" width="3" hidden="0" customWidth="1"/>
    <x:col min="7" max="7" width="31" hidden="0" customWidth="1"/>
    <x:col min="8" max="8" width="15" hidden="0" customWidth="1"/>
  </x:cols>
  <x:sheetData>
    <x:row r="1" ht="27" customHeight="1">
      <x:c r="A1" s="3" t="str">
        <x:v>Fifteen-month fiscal allocation and parent reconciliation</x:v>
      </x:c>
      <x:c r="B1" s="3" t="str">
        <x:v>Fifteen-month fiscal allocation and parent reconciliation</x:v>
      </x:c>
      <x:c r="C1" s="3" t="str">
        <x:v>Fifteen-month fiscal allocation and parent reconciliation</x:v>
      </x:c>
      <x:c r="D1" s="3" t="str">
        <x:v>Fifteen-month fiscal allocation and parent reconciliation</x:v>
      </x:c>
      <x:c r="E1" s="3" t="str">
        <x:v>Fifteen-month fiscal allocation and parent reconciliation</x:v>
      </x:c>
      <x:c r="F1" s="3" t="str">
        <x:v>Fifteen-month fiscal allocation and parent reconciliation</x:v>
      </x:c>
      <x:c r="G1" s="3" t="str">
        <x:v>Fifteen-month fiscal allocation and parent reconciliation</x:v>
      </x:c>
      <x:c r="H1" s="3" t="str">
        <x:v>Fifteen-month fiscal allocation and parent reconciliation</x:v>
      </x:c>
    </x:row>
    <x:row r="2">
      <x:c r="A2" s="60"/>
      <x:c r="B2" s="60"/>
      <x:c r="C2" s="60"/>
      <x:c r="D2" s="60"/>
      <x:c r="E2" s="60"/>
      <x:c r="F2" s="60"/>
      <x:c r="G2" s="60"/>
      <x:c r="H2" s="60"/>
    </x:row>
    <x:row r="3">
      <x:c r="A3" s="34" t="str">
        <x:v>Metric</x:v>
      </x:c>
      <x:c r="B3" s="36" t="str">
        <x:v>Value</x:v>
      </x:c>
      <x:c r="C3" s="60"/>
      <x:c r="D3" s="12" t="str">
        <x:v>Capital allocation USD M</x:v>
      </x:c>
      <x:c r="E3" s="13" t="str">
        <x:v>Capital allocation USD M</x:v>
      </x:c>
      <x:c r="F3" s="13" t="str">
        <x:v>Capital allocation USD M</x:v>
      </x:c>
      <x:c r="G3" s="12" t="str">
        <x:v>Technology USD M</x:v>
      </x:c>
      <x:c r="H3" s="14" t="str">
        <x:v>Technology USD M</x:v>
      </x:c>
    </x:row>
    <x:row r="4">
      <x:c r="A4" s="16" t="str">
        <x:v>Duration months</x:v>
      </x:c>
      <x:c r="B4" s="56" t="n">
        <x:v>15</x:v>
      </x:c>
      <x:c r="C4" s="16"/>
      <x:c r="D4" s="16" t="str">
        <x:v>Thirty candidate systems</x:v>
      </x:c>
      <x:c r="E4" s="56" t="n">
        <x:v>19</x:v>
      </x:c>
      <x:c r="F4" s="16"/>
      <x:c r="G4" s="16" t="str">
        <x:v>Passive stop-energy cells</x:v>
      </x:c>
      <x:c r="H4" s="56" t="n">
        <x:v>14</x:v>
      </x:c>
    </x:row>
    <x:row r="5">
      <x:c r="A5" s="16" t="str">
        <x:v>Capital USD M</x:v>
      </x:c>
      <x:c r="B5" s="56" t="n">
        <x:v>70</x:v>
      </x:c>
      <x:c r="C5" s="16"/>
      <x:c r="D5" s="16" t="str">
        <x:v>Three campus fixtures</x:v>
      </x:c>
      <x:c r="E5" s="56" t="n">
        <x:v>12</x:v>
      </x:c>
      <x:c r="F5" s="16"/>
      <x:c r="G5" s="16" t="str">
        <x:v>Shaped metering</x:v>
      </x:c>
      <x:c r="H5" s="56" t="n">
        <x:v>14</x:v>
      </x:c>
    </x:row>
    <x:row r="6">
      <x:c r="A6" s="16" t="str">
        <x:v>Annual support USD M</x:v>
      </x:c>
      <x:c r="B6" s="56" t="n">
        <x:v>9</x:v>
      </x:c>
      <x:c r="C6" s="16"/>
      <x:c r="D6" s="16" t="str">
        <x:v>Future source bank</x:v>
      </x:c>
      <x:c r="E6" s="56" t="n">
        <x:v>10</x:v>
      </x:c>
      <x:c r="F6" s="16"/>
      <x:c r="G6" s="16" t="str">
        <x:v>Twin-lane safeing</x:v>
      </x:c>
      <x:c r="H6" s="56" t="n">
        <x:v>11</x:v>
      </x:c>
    </x:row>
    <x:row r="7">
      <x:c r="A7" s="16" t="str">
        <x:v>Stage exposure USD M</x:v>
      </x:c>
      <x:c r="B7" s="56" t="n">
        <x:f>B5+B6*B4/12</x:f>
        <x:v>81.25</x:v>
      </x:c>
      <x:c r="C7" s="16"/>
      <x:c r="D7" s="16" t="str">
        <x:v>Receiver and capture conversions</x:v>
      </x:c>
      <x:c r="E7" s="56" t="n">
        <x:v>8</x:v>
      </x:c>
      <x:c r="F7" s="16"/>
      <x:c r="G7" s="16" t="str">
        <x:v>Replaceable route cassette</x:v>
      </x:c>
      <x:c r="H7" s="56" t="n">
        <x:v>10</x:v>
      </x:c>
    </x:row>
    <x:row r="8">
      <x:c r="A8" s="16" t="str">
        <x:v>Cumulative child exposure USD M</x:v>
      </x:c>
      <x:c r="B8" s="56" t="n">
        <x:f>857+B7</x:f>
        <x:v>938.25</x:v>
      </x:c>
      <x:c r="C8" s="16"/>
      <x:c r="D8" s="16" t="str">
        <x:v>Metrology</x:v>
      </x:c>
      <x:c r="E8" s="56" t="n">
        <x:v>7</x:v>
      </x:c>
      <x:c r="F8" s="16"/>
      <x:c r="G8" s="16" t="str">
        <x:v>Receiver tomography</x:v>
      </x:c>
      <x:c r="H8" s="56" t="n">
        <x:v>10</x:v>
      </x:c>
    </x:row>
    <x:row r="9">
      <x:c r="A9" s="16" t="str">
        <x:v>Parent gross exposure USD M</x:v>
      </x:c>
      <x:c r="B9" s="56" t="n">
        <x:v>1207.5</x:v>
      </x:c>
      <x:c r="C9" s="16"/>
      <x:c r="D9" s="16" t="str">
        <x:v>Evidence and replay</x:v>
      </x:c>
      <x:c r="E9" s="56" t="n">
        <x:v>5</x:v>
      </x:c>
      <x:c r="F9" s="16"/>
      <x:c r="G9" s="16" t="str">
        <x:v>Low-retention surfaces</x:v>
      </x:c>
      <x:c r="H9" s="56" t="n">
        <x:v>8</x:v>
      </x:c>
    </x:row>
    <x:row r="10">
      <x:c r="A10" s="16" t="str">
        <x:v>Difference USD M</x:v>
      </x:c>
      <x:c r="B10" s="56" t="n">
        <x:f>B9-B8</x:f>
        <x:v>269.25</x:v>
      </x:c>
      <x:c r="C10" s="16"/>
      <x:c r="D10" s="16" t="str">
        <x:v>Return, environment and waste</x:v>
      </x:c>
      <x:c r="E10" s="56" t="n">
        <x:v>4</x:v>
      </x:c>
      <x:c r="F10" s="16"/>
      <x:c r="G10" s="16" t="str">
        <x:v>Transient tomography</x:v>
      </x:c>
      <x:c r="H10" s="56" t="n">
        <x:v>8</x:v>
      </x:c>
    </x:row>
    <x:row r="11">
      <x:c r="A11" s="16" t="str">
        <x:v>Capital remaining USD M</x:v>
      </x:c>
      <x:c r="B11" s="56" t="n">
        <x:f>'Assumptions'!B35-550-B5</x:f>
        <x:v>0</x:v>
      </x:c>
      <x:c r="C11" s="16"/>
      <x:c r="D11" s="16" t="str">
        <x:v>Rescue and safety</x:v>
      </x:c>
      <x:c r="E11" s="56" t="n">
        <x:v>3</x:v>
      </x:c>
      <x:c r="F11" s="16"/>
      <x:c r="G11" s="16" t="str">
        <x:v>Offline control compiler</x:v>
      </x:c>
      <x:c r="H11" s="56" t="n">
        <x:v>6</x:v>
      </x:c>
    </x:row>
    <x:row r="12">
      <x:c r="A12" s="16" t="str">
        <x:v>Annual support remaining USD M</x:v>
      </x:c>
      <x:c r="B12" s="56" t="n">
        <x:f>'Assumptions'!B36-226-B6</x:f>
        <x:v>0</x:v>
      </x:c>
      <x:c r="C12" s="16"/>
      <x:c r="D12" s="16" t="str">
        <x:v>Controlled contingency</x:v>
      </x:c>
      <x:c r="E12" s="56" t="n">
        <x:v>2</x:v>
      </x:c>
      <x:c r="F12" s="16"/>
      <x:c r="G12" s="16" t="str">
        <x:v>Robotic receiver recovery</x:v>
      </x:c>
      <x:c r="H12" s="56" t="n">
        <x:v>5</x:v>
      </x:c>
    </x:row>
    <x:row r="13">
      <x:c r="A13" s="16" t="str">
        <x:v>Technology remaining USD M</x:v>
      </x:c>
      <x:c r="B13" s="56" t="n">
        <x:f>'Assumptions'!B37-915-90</x:f>
        <x:v>0</x:v>
      </x:c>
      <x:c r="C13" s="16"/>
      <x:c r="D13" s="16" t="str">
        <x:v>Total</x:v>
      </x:c>
      <x:c r="E13" s="56" t="n">
        <x:f>SUM(E4:E12)</x:f>
        <x:v>70</x:v>
      </x:c>
      <x:c r="F13" s="16"/>
      <x:c r="G13" s="16" t="str">
        <x:v>Selection record</x:v>
      </x:c>
      <x:c r="H13" s="56" t="n">
        <x:v>4</x:v>
      </x:c>
    </x:row>
    <x:row r="14">
      <x:c r="A14" s="16" t="str">
        <x:v>Release-aware start month</x:v>
      </x:c>
      <x:c r="B14" s="56" t="n">
        <x:v>111</x:v>
      </x:c>
      <x:c r="C14" s="16"/>
      <x:c r="D14" s="16"/>
      <x:c r="E14" s="56"/>
      <x:c r="F14" s="16"/>
      <x:c r="G14" s="16" t="str">
        <x:v>Total</x:v>
      </x:c>
      <x:c r="H14" s="56" t="n">
        <x:f>SUM(H4:H13)</x:f>
        <x:v>90</x:v>
      </x:c>
    </x:row>
    <x:row r="15">
      <x:c r="A15" s="16" t="str">
        <x:v>Release-aware completion month</x:v>
      </x:c>
      <x:c r="B15" s="56" t="n">
        <x:f>B14+B4</x:f>
        <x:v>126</x:v>
      </x:c>
      <x:c r="C15" s="16"/>
      <x:c r="D15" s="16"/>
      <x:c r="E15" s="56"/>
      <x:c r="F15" s="16"/>
      <x:c r="G15" s="16"/>
      <x:c r="H15" s="16"/>
    </x:row>
    <x:row r="16">
      <x:c r="A16" s="16" t="str">
        <x:v>Full-sequence start month</x:v>
      </x:c>
      <x:c r="B16" s="56" t="n">
        <x:v>135</x:v>
      </x:c>
      <x:c r="C16" s="16"/>
      <x:c r="D16" s="12" t="str">
        <x:v>Annual support allocation USD M</x:v>
      </x:c>
      <x:c r="E16" s="57" t="str">
        <x:v>Annual support allocation USD M</x:v>
      </x:c>
      <x:c r="F16" s="13" t="str">
        <x:v>Annual support allocation USD M</x:v>
      </x:c>
      <x:c r="G16" s="13" t="str">
        <x:v>Annual support allocation USD M</x:v>
      </x:c>
      <x:c r="H16" s="14" t="str">
        <x:v>Annual support allocation USD M</x:v>
      </x:c>
    </x:row>
    <x:row r="17">
      <x:c r="A17" s="16" t="str">
        <x:v>Full-sequence completion month</x:v>
      </x:c>
      <x:c r="B17" s="56" t="n">
        <x:f>B16+B4</x:f>
        <x:v>150</x:v>
      </x:c>
      <x:c r="C17" s="16"/>
      <x:c r="D17" s="16" t="str">
        <x:v>Qualification operations</x:v>
      </x:c>
      <x:c r="E17" s="56" t="n">
        <x:v>2.5</x:v>
      </x:c>
      <x:c r="F17" s="16"/>
      <x:c r="G17" s="16"/>
      <x:c r="H17" s="16"/>
    </x:row>
    <x:row r="18">
      <x:c r="A18" s="16" t="str">
        <x:v>Schedule difference months</x:v>
      </x:c>
      <x:c r="B18" s="56" t="n">
        <x:f>B17-B15</x:f>
        <x:v>24</x:v>
      </x:c>
      <x:c r="C18" s="16"/>
      <x:c r="D18" s="16" t="str">
        <x:v>Source custody</x:v>
      </x:c>
      <x:c r="E18" s="56" t="n">
        <x:v>1.5</x:v>
      </x:c>
      <x:c r="F18" s="16"/>
      <x:c r="G18" s="16"/>
      <x:c r="H18" s="16"/>
    </x:row>
    <x:row r="19">
      <x:c r="A19" s="16"/>
      <x:c r="B19" s="56"/>
      <x:c r="C19" s="16"/>
      <x:c r="D19" s="16" t="str">
        <x:v>Metrology</x:v>
      </x:c>
      <x:c r="E19" s="56" t="n">
        <x:v>1.5</x:v>
      </x:c>
      <x:c r="F19" s="16"/>
      <x:c r="G19" s="16"/>
      <x:c r="H19" s="16"/>
    </x:row>
    <x:row r="20">
      <x:c r="A20" s="16"/>
      <x:c r="B20" s="16"/>
      <x:c r="C20" s="16"/>
      <x:c r="D20" s="16" t="str">
        <x:v>Return, environment and waste</x:v>
      </x:c>
      <x:c r="E20" s="56" t="n">
        <x:v>1.25</x:v>
      </x:c>
      <x:c r="F20" s="16"/>
      <x:c r="G20" s="16"/>
      <x:c r="H20" s="16"/>
    </x:row>
    <x:row r="21">
      <x:c r="A21" s="16"/>
      <x:c r="B21" s="16"/>
      <x:c r="C21" s="16"/>
      <x:c r="D21" s="16" t="str">
        <x:v>Evidence and replay</x:v>
      </x:c>
      <x:c r="E21" s="56" t="n">
        <x:v>1</x:v>
      </x:c>
      <x:c r="F21" s="16"/>
      <x:c r="G21" s="16"/>
      <x:c r="H21" s="16"/>
    </x:row>
    <x:row r="22">
      <x:c r="A22" s="16"/>
      <x:c r="B22" s="16"/>
      <x:c r="C22" s="16"/>
      <x:c r="D22" s="16" t="str">
        <x:v>Safety and boards</x:v>
      </x:c>
      <x:c r="E22" s="56" t="n">
        <x:v>0.75</x:v>
      </x:c>
      <x:c r="F22" s="16"/>
      <x:c r="G22" s="16"/>
      <x:c r="H22" s="16"/>
    </x:row>
    <x:row r="23">
      <x:c r="A23" s="16"/>
      <x:c r="B23" s="16"/>
      <x:c r="C23" s="16"/>
      <x:c r="D23" s="16" t="str">
        <x:v>Schedule and training</x:v>
      </x:c>
      <x:c r="E23" s="56" t="n">
        <x:v>0.5</x:v>
      </x:c>
      <x:c r="F23" s="16"/>
      <x:c r="G23" s="16"/>
      <x:c r="H23" s="16"/>
    </x:row>
    <x:row r="24">
      <x:c r="A24" s="16"/>
      <x:c r="B24" s="16"/>
      <x:c r="C24" s="16"/>
      <x:c r="D24" s="16" t="str">
        <x:v>Total</x:v>
      </x:c>
      <x:c r="E24" s="56" t="n">
        <x:f>SUM(E17:E23)</x:f>
        <x:v>9</x:v>
      </x:c>
      <x:c r="F24" s="16"/>
      <x:c r="G24" s="16"/>
      <x:c r="H24" s="16"/>
    </x:row>
  </x:sheetData>
  <x:mergeCells>
    <x:mergeCell ref="A1:H1"/>
    <x:mergeCell ref="D3:H3"/>
    <x:mergeCell ref="D16:H16"/>
    <x:mergeCell ref="G3:H3"/>
  </x:mergeCells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Pr>
    <x:tabColor rgb="FFDDEBF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30" hidden="0" customWidth="1"/>
    <x:col min="3" max="3" width="16" hidden="0" customWidth="1"/>
    <x:col min="4" max="4" width="16" hidden="0" customWidth="1"/>
    <x:col min="5" max="5" width="16" hidden="0" customWidth="1"/>
    <x:col min="6" max="6" width="14" hidden="0" customWidth="1"/>
    <x:col min="7" max="7" width="14" hidden="0" customWidth="1"/>
    <x:col min="8" max="8" width="12" hidden="0" customWidth="1"/>
  </x:cols>
  <x:sheetData>
    <x:row r="1" ht="27" customHeight="1">
      <x:c r="A1" s="3" t="str">
        <x:v>Ninety executable boundary cases</x:v>
      </x:c>
      <x:c r="B1" s="3" t="str">
        <x:v>Ninety executable boundary cases</x:v>
      </x:c>
      <x:c r="C1" s="3" t="str">
        <x:v>Ninety executable boundary cases</x:v>
      </x:c>
      <x:c r="D1" s="3" t="str">
        <x:v>Ninety executable boundary cases</x:v>
      </x:c>
      <x:c r="E1" s="3" t="str">
        <x:v>Ninety executable boundary cases</x:v>
      </x:c>
      <x:c r="F1" s="3" t="str">
        <x:v>Ninety executable boundary cases</x:v>
      </x:c>
      <x:c r="G1" s="3" t="str">
        <x:v>Ninety executable boundary cases</x:v>
      </x:c>
      <x:c r="H1" s="3" t="str">
        <x:v>Ninety executable boundary cases</x:v>
      </x:c>
    </x:row>
    <x:row r="2">
      <x:c r="A2" s="60"/>
      <x:c r="B2" s="60"/>
      <x:c r="C2" s="60"/>
      <x:c r="D2" s="60"/>
      <x:c r="E2" s="60"/>
      <x:c r="F2" s="60"/>
      <x:c r="G2" s="60"/>
      <x:c r="H2" s="60"/>
    </x:row>
    <x:row r="3">
      <x:c r="A3" s="61" t="str">
        <x:v>Each case applies an explicit inclusive lower and upper bound. Blank and zero remain distinct. Expected results are registered independently from the formula result.</x:v>
      </x:c>
      <x:c r="B3" s="60"/>
      <x:c r="C3" s="60"/>
      <x:c r="D3" s="60"/>
      <x:c r="E3" s="60"/>
      <x:c r="F3" s="60"/>
      <x:c r="G3" s="60"/>
      <x:c r="H3" s="60"/>
    </x:row>
    <x:row r="4">
      <x:c r="A4" s="60"/>
      <x:c r="B4" s="60"/>
      <x:c r="C4" s="60"/>
      <x:c r="D4" s="60"/>
      <x:c r="E4" s="60"/>
      <x:c r="F4" s="60"/>
      <x:c r="G4" s="60"/>
      <x:c r="H4" s="60"/>
    </x:row>
    <x:row r="5">
      <x:c r="A5" s="34" t="str">
        <x:v>Case ID</x:v>
      </x:c>
      <x:c r="B5" s="35" t="str">
        <x:v>Category</x:v>
      </x:c>
      <x:c r="C5" s="35" t="str">
        <x:v>Input</x:v>
      </x:c>
      <x:c r="D5" s="35" t="str">
        <x:v>Lower bound</x:v>
      </x:c>
      <x:c r="E5" s="35" t="str">
        <x:v>Upper bound</x:v>
      </x:c>
      <x:c r="F5" s="35" t="str">
        <x:v>Expected</x:v>
      </x:c>
      <x:c r="G5" s="35" t="str">
        <x:v>Calculated</x:v>
      </x:c>
      <x:c r="H5" s="36" t="str">
        <x:v>Audit</x:v>
      </x:c>
    </x:row>
    <x:row r="6">
      <x:c r="A6" s="16" t="str">
        <x:v>BC-001</x:v>
      </x:c>
      <x:c r="B6" s="16" t="str">
        <x:v>Qualification peak MPa</x:v>
      </x:c>
      <x:c r="C6" s="48" t="n">
        <x:v>0</x:v>
      </x:c>
      <x:c r="D6" s="48" t="n">
        <x:v>0</x:v>
      </x:c>
      <x:c r="E6" s="48" t="n">
        <x:v>1.8</x:v>
      </x:c>
      <x:c r="F6" s="16" t="str">
        <x:v>ADMIT</x:v>
      </x:c>
      <x:c r="G6" s="16" t="str">
        <x:f>IF(COUNT(C6)=0,"MISSING",IF(AND(C6&gt;=D6,C6&lt;=E6),"ADMIT","DENY"))</x:f>
        <x:v>ADMIT</x:v>
      </x:c>
      <x:c r="H6" s="16" t="str">
        <x:f>IF(G6=F6,"PASS","FAIL")</x:f>
        <x:v>PASS</x:v>
      </x:c>
    </x:row>
    <x:row r="7">
      <x:c r="A7" s="16" t="str">
        <x:v>BC-002</x:v>
      </x:c>
      <x:c r="B7" s="16" t="str">
        <x:v>Qualification peak MPa</x:v>
      </x:c>
      <x:c r="C7" s="48" t="n">
        <x:v>1.8</x:v>
      </x:c>
      <x:c r="D7" s="48" t="n">
        <x:v>0</x:v>
      </x:c>
      <x:c r="E7" s="48" t="n">
        <x:v>1.8</x:v>
      </x:c>
      <x:c r="F7" s="16" t="str">
        <x:v>ADMIT</x:v>
      </x:c>
      <x:c r="G7" s="16" t="str">
        <x:f>IF(COUNT(C7)=0,"MISSING",IF(AND(C7&gt;=D7,C7&lt;=E7),"ADMIT","DENY"))</x:f>
        <x:v>ADMIT</x:v>
      </x:c>
      <x:c r="H7" s="16" t="str">
        <x:f>IF(G7=F7,"PASS","FAIL")</x:f>
        <x:v>PASS</x:v>
      </x:c>
    </x:row>
    <x:row r="8">
      <x:c r="A8" s="16" t="str">
        <x:v>BC-003</x:v>
      </x:c>
      <x:c r="B8" s="16" t="str">
        <x:v>Qualification peak MPa</x:v>
      </x:c>
      <x:c r="C8" s="48" t="n">
        <x:v>0.9</x:v>
      </x:c>
      <x:c r="D8" s="48" t="n">
        <x:v>0</x:v>
      </x:c>
      <x:c r="E8" s="48" t="n">
        <x:v>1.8</x:v>
      </x:c>
      <x:c r="F8" s="16" t="str">
        <x:v>ADMIT</x:v>
      </x:c>
      <x:c r="G8" s="16" t="str">
        <x:f>IF(COUNT(C8)=0,"MISSING",IF(AND(C8&gt;=D8,C8&lt;=E8),"ADMIT","DENY"))</x:f>
        <x:v>ADMIT</x:v>
      </x:c>
      <x:c r="H8" s="16" t="str">
        <x:f>IF(G8=F8,"PASS","FAIL")</x:f>
        <x:v>PASS</x:v>
      </x:c>
    </x:row>
    <x:row r="9">
      <x:c r="A9" s="16" t="str">
        <x:v>BC-004</x:v>
      </x:c>
      <x:c r="B9" s="16" t="str">
        <x:v>Qualification peak MPa</x:v>
      </x:c>
      <x:c r="C9" s="48" t="n">
        <x:v>-0.01</x:v>
      </x:c>
      <x:c r="D9" s="48" t="n">
        <x:v>0</x:v>
      </x:c>
      <x:c r="E9" s="48" t="n">
        <x:v>1.8</x:v>
      </x:c>
      <x:c r="F9" s="16" t="str">
        <x:v>DENY</x:v>
      </x:c>
      <x:c r="G9" s="16" t="str">
        <x:f>IF(COUNT(C9)=0,"MISSING",IF(AND(C9&gt;=D9,C9&lt;=E9),"ADMIT","DENY"))</x:f>
        <x:v>DENY</x:v>
      </x:c>
      <x:c r="H9" s="16" t="str">
        <x:f>IF(G9=F9,"PASS","FAIL")</x:f>
        <x:v>PASS</x:v>
      </x:c>
    </x:row>
    <x:row r="10">
      <x:c r="A10" s="16" t="str">
        <x:v>BC-005</x:v>
      </x:c>
      <x:c r="B10" s="16" t="str">
        <x:v>Qualification peak MPa</x:v>
      </x:c>
      <x:c r="C10" s="48" t="n">
        <x:v>1.818</x:v>
      </x:c>
      <x:c r="D10" s="48" t="n">
        <x:v>0</x:v>
      </x:c>
      <x:c r="E10" s="48" t="n">
        <x:v>1.8</x:v>
      </x:c>
      <x:c r="F10" s="16" t="str">
        <x:v>DENY</x:v>
      </x:c>
      <x:c r="G10" s="16" t="str">
        <x:f>IF(COUNT(C10)=0,"MISSING",IF(AND(C10&gt;=D10,C10&lt;=E10),"ADMIT","DENY"))</x:f>
        <x:v>DENY</x:v>
      </x:c>
      <x:c r="H10" s="16" t="str">
        <x:f>IF(G10=F10,"PASS","FAIL")</x:f>
        <x:v>PASS</x:v>
      </x:c>
    </x:row>
    <x:row r="11">
      <x:c r="A11" s="16" t="str">
        <x:v>BC-006</x:v>
      </x:c>
      <x:c r="B11" s="16" t="str">
        <x:v>Qualification peak MPa</x:v>
      </x:c>
      <x:c r="C11" s="48"/>
      <x:c r="D11" s="48" t="n">
        <x:v>0</x:v>
      </x:c>
      <x:c r="E11" s="48" t="n">
        <x:v>1.8</x:v>
      </x:c>
      <x:c r="F11" s="16" t="str">
        <x:v>MISSING</x:v>
      </x:c>
      <x:c r="G11" s="16" t="str">
        <x:f>IF(COUNT(C11)=0,"MISSING",IF(AND(C11&gt;=D11,C11&lt;=E11),"ADMIT","DENY"))</x:f>
        <x:v>MISSING</x:v>
      </x:c>
      <x:c r="H11" s="16" t="str">
        <x:f>IF(G11=F11,"PASS","FAIL")</x:f>
        <x:v>PASS</x:v>
      </x:c>
    </x:row>
    <x:row r="12">
      <x:c r="A12" s="16" t="str">
        <x:v>BC-007</x:v>
      </x:c>
      <x:c r="B12" s="16" t="str">
        <x:v>Qualification peak MPa</x:v>
      </x:c>
      <x:c r="C12" s="48" t="n">
        <x:v>0</x:v>
      </x:c>
      <x:c r="D12" s="48" t="n">
        <x:v>0</x:v>
      </x:c>
      <x:c r="E12" s="48" t="n">
        <x:v>1.8</x:v>
      </x:c>
      <x:c r="F12" s="16" t="str">
        <x:v>ADMIT</x:v>
      </x:c>
      <x:c r="G12" s="16" t="str">
        <x:f>IF(COUNT(C12)=0,"MISSING",IF(AND(C12&gt;=D12,C12&lt;=E12),"ADMIT","DENY"))</x:f>
        <x:v>ADMIT</x:v>
      </x:c>
      <x:c r="H12" s="16" t="str">
        <x:f>IF(G12=F12,"PASS","FAIL")</x:f>
        <x:v>PASS</x:v>
      </x:c>
    </x:row>
    <x:row r="13">
      <x:c r="A13" s="16" t="str">
        <x:v>BC-008</x:v>
      </x:c>
      <x:c r="B13" s="16" t="str">
        <x:v>Qualification peak MPa</x:v>
      </x:c>
      <x:c r="C13" s="48" t="n">
        <x:v>0.0001</x:v>
      </x:c>
      <x:c r="D13" s="48" t="n">
        <x:v>0</x:v>
      </x:c>
      <x:c r="E13" s="48" t="n">
        <x:v>1.8</x:v>
      </x:c>
      <x:c r="F13" s="16" t="str">
        <x:v>ADMIT</x:v>
      </x:c>
      <x:c r="G13" s="16" t="str">
        <x:f>IF(COUNT(C13)=0,"MISSING",IF(AND(C13&gt;=D13,C13&lt;=E13),"ADMIT","DENY"))</x:f>
        <x:v>ADMIT</x:v>
      </x:c>
      <x:c r="H13" s="16" t="str">
        <x:f>IF(G13=F13,"PASS","FAIL")</x:f>
        <x:v>PASS</x:v>
      </x:c>
    </x:row>
    <x:row r="14">
      <x:c r="A14" s="16" t="str">
        <x:v>BC-009</x:v>
      </x:c>
      <x:c r="B14" s="16" t="str">
        <x:v>Qualification peak MPa</x:v>
      </x:c>
      <x:c r="C14" s="48" t="n">
        <x:v>-0.0001</x:v>
      </x:c>
      <x:c r="D14" s="48" t="n">
        <x:v>0</x:v>
      </x:c>
      <x:c r="E14" s="48" t="n">
        <x:v>1.8</x:v>
      </x:c>
      <x:c r="F14" s="16" t="str">
        <x:v>DENY</x:v>
      </x:c>
      <x:c r="G14" s="16" t="str">
        <x:f>IF(COUNT(C14)=0,"MISSING",IF(AND(C14&gt;=D14,C14&lt;=E14),"ADMIT","DENY"))</x:f>
        <x:v>DENY</x:v>
      </x:c>
      <x:c r="H14" s="16" t="str">
        <x:f>IF(G14=F14,"PASS","FAIL")</x:f>
        <x:v>PASS</x:v>
      </x:c>
    </x:row>
    <x:row r="15">
      <x:c r="A15" s="16" t="str">
        <x:v>BC-010</x:v>
      </x:c>
      <x:c r="B15" s="16" t="str">
        <x:v>Qualification peak MPa</x:v>
      </x:c>
      <x:c r="C15" s="48" t="n">
        <x:v>1.782</x:v>
      </x:c>
      <x:c r="D15" s="48" t="n">
        <x:v>0</x:v>
      </x:c>
      <x:c r="E15" s="48" t="n">
        <x:v>1.8</x:v>
      </x:c>
      <x:c r="F15" s="16" t="str">
        <x:v>ADMIT</x:v>
      </x:c>
      <x:c r="G15" s="16" t="str">
        <x:f>IF(COUNT(C15)=0,"MISSING",IF(AND(C15&gt;=D15,C15&lt;=E15),"ADMIT","DENY"))</x:f>
        <x:v>ADMIT</x:v>
      </x:c>
      <x:c r="H15" s="16" t="str">
        <x:f>IF(G15=F15,"PASS","FAIL")</x:f>
        <x:v>PASS</x:v>
      </x:c>
    </x:row>
    <x:row r="16">
      <x:c r="A16" s="16" t="str">
        <x:v>BC-011</x:v>
      </x:c>
      <x:c r="B16" s="16" t="str">
        <x:v>Structural peak MPa</x:v>
      </x:c>
      <x:c r="C16" s="48" t="n">
        <x:v>0</x:v>
      </x:c>
      <x:c r="D16" s="48" t="n">
        <x:v>0</x:v>
      </x:c>
      <x:c r="E16" s="48" t="n">
        <x:v>2</x:v>
      </x:c>
      <x:c r="F16" s="16" t="str">
        <x:v>ADMIT</x:v>
      </x:c>
      <x:c r="G16" s="16" t="str">
        <x:f>IF(COUNT(C16)=0,"MISSING",IF(AND(C16&gt;=D16,C16&lt;=E16),"ADMIT","DENY"))</x:f>
        <x:v>ADMIT</x:v>
      </x:c>
      <x:c r="H16" s="16" t="str">
        <x:f>IF(G16=F16,"PASS","FAIL")</x:f>
        <x:v>PASS</x:v>
      </x:c>
    </x:row>
    <x:row r="17">
      <x:c r="A17" s="16" t="str">
        <x:v>BC-012</x:v>
      </x:c>
      <x:c r="B17" s="16" t="str">
        <x:v>Structural peak MPa</x:v>
      </x:c>
      <x:c r="C17" s="48" t="n">
        <x:v>2</x:v>
      </x:c>
      <x:c r="D17" s="48" t="n">
        <x:v>0</x:v>
      </x:c>
      <x:c r="E17" s="48" t="n">
        <x:v>2</x:v>
      </x:c>
      <x:c r="F17" s="16" t="str">
        <x:v>ADMIT</x:v>
      </x:c>
      <x:c r="G17" s="16" t="str">
        <x:f>IF(COUNT(C17)=0,"MISSING",IF(AND(C17&gt;=D17,C17&lt;=E17),"ADMIT","DENY"))</x:f>
        <x:v>ADMIT</x:v>
      </x:c>
      <x:c r="H17" s="16" t="str">
        <x:f>IF(G17=F17,"PASS","FAIL")</x:f>
        <x:v>PASS</x:v>
      </x:c>
    </x:row>
    <x:row r="18">
      <x:c r="A18" s="16" t="str">
        <x:v>BC-013</x:v>
      </x:c>
      <x:c r="B18" s="16" t="str">
        <x:v>Structural peak MPa</x:v>
      </x:c>
      <x:c r="C18" s="48" t="n">
        <x:v>1</x:v>
      </x:c>
      <x:c r="D18" s="48" t="n">
        <x:v>0</x:v>
      </x:c>
      <x:c r="E18" s="48" t="n">
        <x:v>2</x:v>
      </x:c>
      <x:c r="F18" s="16" t="str">
        <x:v>ADMIT</x:v>
      </x:c>
      <x:c r="G18" s="16" t="str">
        <x:f>IF(COUNT(C18)=0,"MISSING",IF(AND(C18&gt;=D18,C18&lt;=E18),"ADMIT","DENY"))</x:f>
        <x:v>ADMIT</x:v>
      </x:c>
      <x:c r="H18" s="16" t="str">
        <x:f>IF(G18=F18,"PASS","FAIL")</x:f>
        <x:v>PASS</x:v>
      </x:c>
    </x:row>
    <x:row r="19">
      <x:c r="A19" s="16" t="str">
        <x:v>BC-014</x:v>
      </x:c>
      <x:c r="B19" s="16" t="str">
        <x:v>Structural peak MPa</x:v>
      </x:c>
      <x:c r="C19" s="48" t="n">
        <x:v>-0.01</x:v>
      </x:c>
      <x:c r="D19" s="48" t="n">
        <x:v>0</x:v>
      </x:c>
      <x:c r="E19" s="48" t="n">
        <x:v>2</x:v>
      </x:c>
      <x:c r="F19" s="16" t="str">
        <x:v>DENY</x:v>
      </x:c>
      <x:c r="G19" s="16" t="str">
        <x:f>IF(COUNT(C19)=0,"MISSING",IF(AND(C19&gt;=D19,C19&lt;=E19),"ADMIT","DENY"))</x:f>
        <x:v>DENY</x:v>
      </x:c>
      <x:c r="H19" s="16" t="str">
        <x:f>IF(G19=F19,"PASS","FAIL")</x:f>
        <x:v>PASS</x:v>
      </x:c>
    </x:row>
    <x:row r="20">
      <x:c r="A20" s="16" t="str">
        <x:v>BC-015</x:v>
      </x:c>
      <x:c r="B20" s="16" t="str">
        <x:v>Structural peak MPa</x:v>
      </x:c>
      <x:c r="C20" s="48" t="n">
        <x:v>2.02</x:v>
      </x:c>
      <x:c r="D20" s="48" t="n">
        <x:v>0</x:v>
      </x:c>
      <x:c r="E20" s="48" t="n">
        <x:v>2</x:v>
      </x:c>
      <x:c r="F20" s="16" t="str">
        <x:v>DENY</x:v>
      </x:c>
      <x:c r="G20" s="16" t="str">
        <x:f>IF(COUNT(C20)=0,"MISSING",IF(AND(C20&gt;=D20,C20&lt;=E20),"ADMIT","DENY"))</x:f>
        <x:v>DENY</x:v>
      </x:c>
      <x:c r="H20" s="16" t="str">
        <x:f>IF(G20=F20,"PASS","FAIL")</x:f>
        <x:v>PASS</x:v>
      </x:c>
    </x:row>
    <x:row r="21">
      <x:c r="A21" s="16" t="str">
        <x:v>BC-016</x:v>
      </x:c>
      <x:c r="B21" s="16" t="str">
        <x:v>Structural peak MPa</x:v>
      </x:c>
      <x:c r="C21" s="48"/>
      <x:c r="D21" s="48" t="n">
        <x:v>0</x:v>
      </x:c>
      <x:c r="E21" s="48" t="n">
        <x:v>2</x:v>
      </x:c>
      <x:c r="F21" s="16" t="str">
        <x:v>MISSING</x:v>
      </x:c>
      <x:c r="G21" s="16" t="str">
        <x:f>IF(COUNT(C21)=0,"MISSING",IF(AND(C21&gt;=D21,C21&lt;=E21),"ADMIT","DENY"))</x:f>
        <x:v>MISSING</x:v>
      </x:c>
      <x:c r="H21" s="16" t="str">
        <x:f>IF(G21=F21,"PASS","FAIL")</x:f>
        <x:v>PASS</x:v>
      </x:c>
    </x:row>
    <x:row r="22">
      <x:c r="A22" s="16" t="str">
        <x:v>BC-017</x:v>
      </x:c>
      <x:c r="B22" s="16" t="str">
        <x:v>Structural peak MPa</x:v>
      </x:c>
      <x:c r="C22" s="48" t="n">
        <x:v>0</x:v>
      </x:c>
      <x:c r="D22" s="48" t="n">
        <x:v>0</x:v>
      </x:c>
      <x:c r="E22" s="48" t="n">
        <x:v>2</x:v>
      </x:c>
      <x:c r="F22" s="16" t="str">
        <x:v>ADMIT</x:v>
      </x:c>
      <x:c r="G22" s="16" t="str">
        <x:f>IF(COUNT(C22)=0,"MISSING",IF(AND(C22&gt;=D22,C22&lt;=E22),"ADMIT","DENY"))</x:f>
        <x:v>ADMIT</x:v>
      </x:c>
      <x:c r="H22" s="16" t="str">
        <x:f>IF(G22=F22,"PASS","FAIL")</x:f>
        <x:v>PASS</x:v>
      </x:c>
    </x:row>
    <x:row r="23">
      <x:c r="A23" s="16" t="str">
        <x:v>BC-018</x:v>
      </x:c>
      <x:c r="B23" s="16" t="str">
        <x:v>Structural peak MPa</x:v>
      </x:c>
      <x:c r="C23" s="48" t="n">
        <x:v>0.0001</x:v>
      </x:c>
      <x:c r="D23" s="48" t="n">
        <x:v>0</x:v>
      </x:c>
      <x:c r="E23" s="48" t="n">
        <x:v>2</x:v>
      </x:c>
      <x:c r="F23" s="16" t="str">
        <x:v>ADMIT</x:v>
      </x:c>
      <x:c r="G23" s="16" t="str">
        <x:f>IF(COUNT(C23)=0,"MISSING",IF(AND(C23&gt;=D23,C23&lt;=E23),"ADMIT","DENY"))</x:f>
        <x:v>ADMIT</x:v>
      </x:c>
      <x:c r="H23" s="16" t="str">
        <x:f>IF(G23=F23,"PASS","FAIL")</x:f>
        <x:v>PASS</x:v>
      </x:c>
    </x:row>
    <x:row r="24">
      <x:c r="A24" s="16" t="str">
        <x:v>BC-019</x:v>
      </x:c>
      <x:c r="B24" s="16" t="str">
        <x:v>Structural peak MPa</x:v>
      </x:c>
      <x:c r="C24" s="48" t="n">
        <x:v>-0.0001</x:v>
      </x:c>
      <x:c r="D24" s="48" t="n">
        <x:v>0</x:v>
      </x:c>
      <x:c r="E24" s="48" t="n">
        <x:v>2</x:v>
      </x:c>
      <x:c r="F24" s="16" t="str">
        <x:v>DENY</x:v>
      </x:c>
      <x:c r="G24" s="16" t="str">
        <x:f>IF(COUNT(C24)=0,"MISSING",IF(AND(C24&gt;=D24,C24&lt;=E24),"ADMIT","DENY"))</x:f>
        <x:v>DENY</x:v>
      </x:c>
      <x:c r="H24" s="16" t="str">
        <x:f>IF(G24=F24,"PASS","FAIL")</x:f>
        <x:v>PASS</x:v>
      </x:c>
    </x:row>
    <x:row r="25">
      <x:c r="A25" s="16" t="str">
        <x:v>BC-020</x:v>
      </x:c>
      <x:c r="B25" s="16" t="str">
        <x:v>Structural peak MPa</x:v>
      </x:c>
      <x:c r="C25" s="48" t="n">
        <x:v>1.98</x:v>
      </x:c>
      <x:c r="D25" s="48" t="n">
        <x:v>0</x:v>
      </x:c>
      <x:c r="E25" s="48" t="n">
        <x:v>2</x:v>
      </x:c>
      <x:c r="F25" s="16" t="str">
        <x:v>ADMIT</x:v>
      </x:c>
      <x:c r="G25" s="16" t="str">
        <x:f>IF(COUNT(C25)=0,"MISSING",IF(AND(C25&gt;=D25,C25&lt;=E25),"ADMIT","DENY"))</x:f>
        <x:v>ADMIT</x:v>
      </x:c>
      <x:c r="H25" s="16" t="str">
        <x:f>IF(G25=F25,"PASS","FAIL")</x:f>
        <x:v>PASS</x:v>
      </x:c>
    </x:row>
    <x:row r="26">
      <x:c r="A26" s="16" t="str">
        <x:v>BC-021</x:v>
      </x:c>
      <x:c r="B26" s="16" t="str">
        <x:v>Receiver available m³</x:v>
      </x:c>
      <x:c r="C26" s="48" t="n">
        <x:v>0.7176262626</x:v>
      </x:c>
      <x:c r="D26" s="48" t="n">
        <x:v>0.7176262626</x:v>
      </x:c>
      <x:c r="E26" s="48" t="n">
        <x:v>10</x:v>
      </x:c>
      <x:c r="F26" s="16" t="str">
        <x:v>ADMIT</x:v>
      </x:c>
      <x:c r="G26" s="16" t="str">
        <x:f>IF(COUNT(C26)=0,"MISSING",IF(AND(C26&gt;=D26,C26&lt;=E26),"ADMIT","DENY"))</x:f>
        <x:v>ADMIT</x:v>
      </x:c>
      <x:c r="H26" s="16" t="str">
        <x:f>IF(G26=F26,"PASS","FAIL")</x:f>
        <x:v>PASS</x:v>
      </x:c>
    </x:row>
    <x:row r="27">
      <x:c r="A27" s="16" t="str">
        <x:v>BC-022</x:v>
      </x:c>
      <x:c r="B27" s="16" t="str">
        <x:v>Receiver available m³</x:v>
      </x:c>
      <x:c r="C27" s="48" t="n">
        <x:v>10</x:v>
      </x:c>
      <x:c r="D27" s="48" t="n">
        <x:v>0.7176262626</x:v>
      </x:c>
      <x:c r="E27" s="48" t="n">
        <x:v>10</x:v>
      </x:c>
      <x:c r="F27" s="16" t="str">
        <x:v>ADMIT</x:v>
      </x:c>
      <x:c r="G27" s="16" t="str">
        <x:f>IF(COUNT(C27)=0,"MISSING",IF(AND(C27&gt;=D27,C27&lt;=E27),"ADMIT","DENY"))</x:f>
        <x:v>ADMIT</x:v>
      </x:c>
      <x:c r="H27" s="16" t="str">
        <x:f>IF(G27=F27,"PASS","FAIL")</x:f>
        <x:v>PASS</x:v>
      </x:c>
    </x:row>
    <x:row r="28">
      <x:c r="A28" s="16" t="str">
        <x:v>BC-023</x:v>
      </x:c>
      <x:c r="B28" s="16" t="str">
        <x:v>Receiver available m³</x:v>
      </x:c>
      <x:c r="C28" s="48" t="n">
        <x:v>5.3588131313</x:v>
      </x:c>
      <x:c r="D28" s="48" t="n">
        <x:v>0.7176262626</x:v>
      </x:c>
      <x:c r="E28" s="48" t="n">
        <x:v>10</x:v>
      </x:c>
      <x:c r="F28" s="16" t="str">
        <x:v>ADMIT</x:v>
      </x:c>
      <x:c r="G28" s="16" t="str">
        <x:f>IF(COUNT(C28)=0,"MISSING",IF(AND(C28&gt;=D28,C28&lt;=E28),"ADMIT","DENY"))</x:f>
        <x:v>ADMIT</x:v>
      </x:c>
      <x:c r="H28" s="16" t="str">
        <x:f>IF(G28=F28,"PASS","FAIL")</x:f>
        <x:v>PASS</x:v>
      </x:c>
    </x:row>
    <x:row r="29">
      <x:c r="A29" s="16" t="str">
        <x:v>BC-024</x:v>
      </x:c>
      <x:c r="B29" s="16" t="str">
        <x:v>Receiver available m³</x:v>
      </x:c>
      <x:c r="C29" s="48" t="n">
        <x:v>0.7104499999739999</x:v>
      </x:c>
      <x:c r="D29" s="48" t="n">
        <x:v>0.7176262626</x:v>
      </x:c>
      <x:c r="E29" s="48" t="n">
        <x:v>10</x:v>
      </x:c>
      <x:c r="F29" s="16" t="str">
        <x:v>DENY</x:v>
      </x:c>
      <x:c r="G29" s="16" t="str">
        <x:f>IF(COUNT(C29)=0,"MISSING",IF(AND(C29&gt;=D29,C29&lt;=E29),"ADMIT","DENY"))</x:f>
        <x:v>DENY</x:v>
      </x:c>
      <x:c r="H29" s="16" t="str">
        <x:f>IF(G29=F29,"PASS","FAIL")</x:f>
        <x:v>PASS</x:v>
      </x:c>
    </x:row>
    <x:row r="30">
      <x:c r="A30" s="16" t="str">
        <x:v>BC-025</x:v>
      </x:c>
      <x:c r="B30" s="16" t="str">
        <x:v>Receiver available m³</x:v>
      </x:c>
      <x:c r="C30" s="48" t="n">
        <x:v>10.1</x:v>
      </x:c>
      <x:c r="D30" s="48" t="n">
        <x:v>0.7176262626</x:v>
      </x:c>
      <x:c r="E30" s="48" t="n">
        <x:v>10</x:v>
      </x:c>
      <x:c r="F30" s="16" t="str">
        <x:v>DENY</x:v>
      </x:c>
      <x:c r="G30" s="16" t="str">
        <x:f>IF(COUNT(C30)=0,"MISSING",IF(AND(C30&gt;=D30,C30&lt;=E30),"ADMIT","DENY"))</x:f>
        <x:v>DENY</x:v>
      </x:c>
      <x:c r="H30" s="16" t="str">
        <x:f>IF(G30=F30,"PASS","FAIL")</x:f>
        <x:v>PASS</x:v>
      </x:c>
    </x:row>
    <x:row r="31">
      <x:c r="A31" s="16" t="str">
        <x:v>BC-026</x:v>
      </x:c>
      <x:c r="B31" s="16" t="str">
        <x:v>Receiver available m³</x:v>
      </x:c>
      <x:c r="C31" s="48"/>
      <x:c r="D31" s="48" t="n">
        <x:v>0.7176262626</x:v>
      </x:c>
      <x:c r="E31" s="48" t="n">
        <x:v>10</x:v>
      </x:c>
      <x:c r="F31" s="16" t="str">
        <x:v>MISSING</x:v>
      </x:c>
      <x:c r="G31" s="16" t="str">
        <x:f>IF(COUNT(C31)=0,"MISSING",IF(AND(C31&gt;=D31,C31&lt;=E31),"ADMIT","DENY"))</x:f>
        <x:v>MISSING</x:v>
      </x:c>
      <x:c r="H31" s="16" t="str">
        <x:f>IF(G31=F31,"PASS","FAIL")</x:f>
        <x:v>PASS</x:v>
      </x:c>
    </x:row>
    <x:row r="32">
      <x:c r="A32" s="16" t="str">
        <x:v>BC-027</x:v>
      </x:c>
      <x:c r="B32" s="16" t="str">
        <x:v>Receiver available m³</x:v>
      </x:c>
      <x:c r="C32" s="48" t="n">
        <x:v>0</x:v>
      </x:c>
      <x:c r="D32" s="48" t="n">
        <x:v>0.7176262626</x:v>
      </x:c>
      <x:c r="E32" s="48" t="n">
        <x:v>10</x:v>
      </x:c>
      <x:c r="F32" s="16" t="str">
        <x:v>DENY</x:v>
      </x:c>
      <x:c r="G32" s="16" t="str">
        <x:f>IF(COUNT(C32)=0,"MISSING",IF(AND(C32&gt;=D32,C32&lt;=E32),"ADMIT","DENY"))</x:f>
        <x:v>DENY</x:v>
      </x:c>
      <x:c r="H32" s="16" t="str">
        <x:f>IF(G32=F32,"PASS","FAIL")</x:f>
        <x:v>PASS</x:v>
      </x:c>
    </x:row>
    <x:row r="33">
      <x:c r="A33" s="16" t="str">
        <x:v>BC-028</x:v>
      </x:c>
      <x:c r="B33" s="16" t="str">
        <x:v>Receiver available m³</x:v>
      </x:c>
      <x:c r="C33" s="48" t="n">
        <x:v>0.724802525226</x:v>
      </x:c>
      <x:c r="D33" s="48" t="n">
        <x:v>0.7176262626</x:v>
      </x:c>
      <x:c r="E33" s="48" t="n">
        <x:v>10</x:v>
      </x:c>
      <x:c r="F33" s="16" t="str">
        <x:v>ADMIT</x:v>
      </x:c>
      <x:c r="G33" s="16" t="str">
        <x:f>IF(COUNT(C33)=0,"MISSING",IF(AND(C33&gt;=D33,C33&lt;=E33),"ADMIT","DENY"))</x:f>
        <x:v>ADMIT</x:v>
      </x:c>
      <x:c r="H33" s="16" t="str">
        <x:f>IF(G33=F33,"PASS","FAIL")</x:f>
        <x:v>PASS</x:v>
      </x:c>
    </x:row>
    <x:row r="34">
      <x:c r="A34" s="16" t="str">
        <x:v>BC-029</x:v>
      </x:c>
      <x:c r="B34" s="16" t="str">
        <x:v>Receiver available m³</x:v>
      </x:c>
      <x:c r="C34" s="48" t="n">
        <x:v>0.7104499999739999</x:v>
      </x:c>
      <x:c r="D34" s="48" t="n">
        <x:v>0.7176262626</x:v>
      </x:c>
      <x:c r="E34" s="48" t="n">
        <x:v>10</x:v>
      </x:c>
      <x:c r="F34" s="16" t="str">
        <x:v>DENY</x:v>
      </x:c>
      <x:c r="G34" s="16" t="str">
        <x:f>IF(COUNT(C34)=0,"MISSING",IF(AND(C34&gt;=D34,C34&lt;=E34),"ADMIT","DENY"))</x:f>
        <x:v>DENY</x:v>
      </x:c>
      <x:c r="H34" s="16" t="str">
        <x:f>IF(G34=F34,"PASS","FAIL")</x:f>
        <x:v>PASS</x:v>
      </x:c>
    </x:row>
    <x:row r="35">
      <x:c r="A35" s="16" t="str">
        <x:v>BC-030</x:v>
      </x:c>
      <x:c r="B35" s="16" t="str">
        <x:v>Receiver available m³</x:v>
      </x:c>
      <x:c r="C35" s="48" t="n">
        <x:v>9.9</x:v>
      </x:c>
      <x:c r="D35" s="48" t="n">
        <x:v>0.7176262626</x:v>
      </x:c>
      <x:c r="E35" s="48" t="n">
        <x:v>10</x:v>
      </x:c>
      <x:c r="F35" s="16" t="str">
        <x:v>ADMIT</x:v>
      </x:c>
      <x:c r="G35" s="16" t="str">
        <x:f>IF(COUNT(C35)=0,"MISSING",IF(AND(C35&gt;=D35,C35&lt;=E35),"ADMIT","DENY"))</x:f>
        <x:v>ADMIT</x:v>
      </x:c>
      <x:c r="H35" s="16" t="str">
        <x:f>IF(G35=F35,"PASS","FAIL")</x:f>
        <x:v>PASS</x:v>
      </x:c>
    </x:row>
    <x:row r="36">
      <x:c r="A36" s="16" t="str">
        <x:v>BC-031</x:v>
      </x:c>
      <x:c r="B36" s="16" t="str">
        <x:v>Expanded uncertainty kg</x:v>
      </x:c>
      <x:c r="C36" s="48" t="n">
        <x:v>0</x:v>
      </x:c>
      <x:c r="D36" s="48" t="n">
        <x:v>0</x:v>
      </x:c>
      <x:c r="E36" s="48" t="n">
        <x:v>5</x:v>
      </x:c>
      <x:c r="F36" s="16" t="str">
        <x:v>ADMIT</x:v>
      </x:c>
      <x:c r="G36" s="16" t="str">
        <x:f>IF(COUNT(C36)=0,"MISSING",IF(AND(C36&gt;=D36,C36&lt;=E36),"ADMIT","DENY"))</x:f>
        <x:v>ADMIT</x:v>
      </x:c>
      <x:c r="H36" s="16" t="str">
        <x:f>IF(G36=F36,"PASS","FAIL")</x:f>
        <x:v>PASS</x:v>
      </x:c>
    </x:row>
    <x:row r="37">
      <x:c r="A37" s="16" t="str">
        <x:v>BC-032</x:v>
      </x:c>
      <x:c r="B37" s="16" t="str">
        <x:v>Expanded uncertainty kg</x:v>
      </x:c>
      <x:c r="C37" s="48" t="n">
        <x:v>5</x:v>
      </x:c>
      <x:c r="D37" s="48" t="n">
        <x:v>0</x:v>
      </x:c>
      <x:c r="E37" s="48" t="n">
        <x:v>5</x:v>
      </x:c>
      <x:c r="F37" s="16" t="str">
        <x:v>ADMIT</x:v>
      </x:c>
      <x:c r="G37" s="16" t="str">
        <x:f>IF(COUNT(C37)=0,"MISSING",IF(AND(C37&gt;=D37,C37&lt;=E37),"ADMIT","DENY"))</x:f>
        <x:v>ADMIT</x:v>
      </x:c>
      <x:c r="H37" s="16" t="str">
        <x:f>IF(G37=F37,"PASS","FAIL")</x:f>
        <x:v>PASS</x:v>
      </x:c>
    </x:row>
    <x:row r="38">
      <x:c r="A38" s="16" t="str">
        <x:v>BC-033</x:v>
      </x:c>
      <x:c r="B38" s="16" t="str">
        <x:v>Expanded uncertainty kg</x:v>
      </x:c>
      <x:c r="C38" s="48" t="n">
        <x:v>2.5</x:v>
      </x:c>
      <x:c r="D38" s="48" t="n">
        <x:v>0</x:v>
      </x:c>
      <x:c r="E38" s="48" t="n">
        <x:v>5</x:v>
      </x:c>
      <x:c r="F38" s="16" t="str">
        <x:v>ADMIT</x:v>
      </x:c>
      <x:c r="G38" s="16" t="str">
        <x:f>IF(COUNT(C38)=0,"MISSING",IF(AND(C38&gt;=D38,C38&lt;=E38),"ADMIT","DENY"))</x:f>
        <x:v>ADMIT</x:v>
      </x:c>
      <x:c r="H38" s="16" t="str">
        <x:f>IF(G38=F38,"PASS","FAIL")</x:f>
        <x:v>PASS</x:v>
      </x:c>
    </x:row>
    <x:row r="39">
      <x:c r="A39" s="16" t="str">
        <x:v>BC-034</x:v>
      </x:c>
      <x:c r="B39" s="16" t="str">
        <x:v>Expanded uncertainty kg</x:v>
      </x:c>
      <x:c r="C39" s="48" t="n">
        <x:v>-0.01</x:v>
      </x:c>
      <x:c r="D39" s="48" t="n">
        <x:v>0</x:v>
      </x:c>
      <x:c r="E39" s="48" t="n">
        <x:v>5</x:v>
      </x:c>
      <x:c r="F39" s="16" t="str">
        <x:v>DENY</x:v>
      </x:c>
      <x:c r="G39" s="16" t="str">
        <x:f>IF(COUNT(C39)=0,"MISSING",IF(AND(C39&gt;=D39,C39&lt;=E39),"ADMIT","DENY"))</x:f>
        <x:v>DENY</x:v>
      </x:c>
      <x:c r="H39" s="16" t="str">
        <x:f>IF(G39=F39,"PASS","FAIL")</x:f>
        <x:v>PASS</x:v>
      </x:c>
    </x:row>
    <x:row r="40">
      <x:c r="A40" s="16" t="str">
        <x:v>BC-035</x:v>
      </x:c>
      <x:c r="B40" s="16" t="str">
        <x:v>Expanded uncertainty kg</x:v>
      </x:c>
      <x:c r="C40" s="48" t="n">
        <x:v>5.05</x:v>
      </x:c>
      <x:c r="D40" s="48" t="n">
        <x:v>0</x:v>
      </x:c>
      <x:c r="E40" s="48" t="n">
        <x:v>5</x:v>
      </x:c>
      <x:c r="F40" s="16" t="str">
        <x:v>DENY</x:v>
      </x:c>
      <x:c r="G40" s="16" t="str">
        <x:f>IF(COUNT(C40)=0,"MISSING",IF(AND(C40&gt;=D40,C40&lt;=E40),"ADMIT","DENY"))</x:f>
        <x:v>DENY</x:v>
      </x:c>
      <x:c r="H40" s="16" t="str">
        <x:f>IF(G40=F40,"PASS","FAIL")</x:f>
        <x:v>PASS</x:v>
      </x:c>
    </x:row>
    <x:row r="41">
      <x:c r="A41" s="16" t="str">
        <x:v>BC-036</x:v>
      </x:c>
      <x:c r="B41" s="16" t="str">
        <x:v>Expanded uncertainty kg</x:v>
      </x:c>
      <x:c r="C41" s="48"/>
      <x:c r="D41" s="48" t="n">
        <x:v>0</x:v>
      </x:c>
      <x:c r="E41" s="48" t="n">
        <x:v>5</x:v>
      </x:c>
      <x:c r="F41" s="16" t="str">
        <x:v>MISSING</x:v>
      </x:c>
      <x:c r="G41" s="16" t="str">
        <x:f>IF(COUNT(C41)=0,"MISSING",IF(AND(C41&gt;=D41,C41&lt;=E41),"ADMIT","DENY"))</x:f>
        <x:v>MISSING</x:v>
      </x:c>
      <x:c r="H41" s="16" t="str">
        <x:f>IF(G41=F41,"PASS","FAIL")</x:f>
        <x:v>PASS</x:v>
      </x:c>
    </x:row>
    <x:row r="42">
      <x:c r="A42" s="16" t="str">
        <x:v>BC-037</x:v>
      </x:c>
      <x:c r="B42" s="16" t="str">
        <x:v>Expanded uncertainty kg</x:v>
      </x:c>
      <x:c r="C42" s="48" t="n">
        <x:v>0</x:v>
      </x:c>
      <x:c r="D42" s="48" t="n">
        <x:v>0</x:v>
      </x:c>
      <x:c r="E42" s="48" t="n">
        <x:v>5</x:v>
      </x:c>
      <x:c r="F42" s="16" t="str">
        <x:v>ADMIT</x:v>
      </x:c>
      <x:c r="G42" s="16" t="str">
        <x:f>IF(COUNT(C42)=0,"MISSING",IF(AND(C42&gt;=D42,C42&lt;=E42),"ADMIT","DENY"))</x:f>
        <x:v>ADMIT</x:v>
      </x:c>
      <x:c r="H42" s="16" t="str">
        <x:f>IF(G42=F42,"PASS","FAIL")</x:f>
        <x:v>PASS</x:v>
      </x:c>
    </x:row>
    <x:row r="43">
      <x:c r="A43" s="16" t="str">
        <x:v>BC-038</x:v>
      </x:c>
      <x:c r="B43" s="16" t="str">
        <x:v>Expanded uncertainty kg</x:v>
      </x:c>
      <x:c r="C43" s="48" t="n">
        <x:v>0.0001</x:v>
      </x:c>
      <x:c r="D43" s="48" t="n">
        <x:v>0</x:v>
      </x:c>
      <x:c r="E43" s="48" t="n">
        <x:v>5</x:v>
      </x:c>
      <x:c r="F43" s="16" t="str">
        <x:v>ADMIT</x:v>
      </x:c>
      <x:c r="G43" s="16" t="str">
        <x:f>IF(COUNT(C43)=0,"MISSING",IF(AND(C43&gt;=D43,C43&lt;=E43),"ADMIT","DENY"))</x:f>
        <x:v>ADMIT</x:v>
      </x:c>
      <x:c r="H43" s="16" t="str">
        <x:f>IF(G43=F43,"PASS","FAIL")</x:f>
        <x:v>PASS</x:v>
      </x:c>
    </x:row>
    <x:row r="44">
      <x:c r="A44" s="16" t="str">
        <x:v>BC-039</x:v>
      </x:c>
      <x:c r="B44" s="16" t="str">
        <x:v>Expanded uncertainty kg</x:v>
      </x:c>
      <x:c r="C44" s="48" t="n">
        <x:v>-0.0001</x:v>
      </x:c>
      <x:c r="D44" s="48" t="n">
        <x:v>0</x:v>
      </x:c>
      <x:c r="E44" s="48" t="n">
        <x:v>5</x:v>
      </x:c>
      <x:c r="F44" s="16" t="str">
        <x:v>DENY</x:v>
      </x:c>
      <x:c r="G44" s="16" t="str">
        <x:f>IF(COUNT(C44)=0,"MISSING",IF(AND(C44&gt;=D44,C44&lt;=E44),"ADMIT","DENY"))</x:f>
        <x:v>DENY</x:v>
      </x:c>
      <x:c r="H44" s="16" t="str">
        <x:f>IF(G44=F44,"PASS","FAIL")</x:f>
        <x:v>PASS</x:v>
      </x:c>
    </x:row>
    <x:row r="45">
      <x:c r="A45" s="16" t="str">
        <x:v>BC-040</x:v>
      </x:c>
      <x:c r="B45" s="16" t="str">
        <x:v>Expanded uncertainty kg</x:v>
      </x:c>
      <x:c r="C45" s="48" t="n">
        <x:v>4.95</x:v>
      </x:c>
      <x:c r="D45" s="48" t="n">
        <x:v>0</x:v>
      </x:c>
      <x:c r="E45" s="48" t="n">
        <x:v>5</x:v>
      </x:c>
      <x:c r="F45" s="16" t="str">
        <x:v>ADMIT</x:v>
      </x:c>
      <x:c r="G45" s="16" t="str">
        <x:f>IF(COUNT(C45)=0,"MISSING",IF(AND(C45&gt;=D45,C45&lt;=E45),"ADMIT","DENY"))</x:f>
        <x:v>ADMIT</x:v>
      </x:c>
      <x:c r="H45" s="16" t="str">
        <x:f>IF(G45=F45,"PASS","FAIL")</x:f>
        <x:v>PASS</x:v>
      </x:c>
    </x:row>
    <x:row r="46">
      <x:c r="A46" s="16" t="str">
        <x:v>BC-041</x:v>
      </x:c>
      <x:c r="B46" s="16" t="str">
        <x:v>Reserve capacity</x:v>
      </x:c>
      <x:c r="C46" s="48" t="n">
        <x:v>0.95</x:v>
      </x:c>
      <x:c r="D46" s="48" t="n">
        <x:v>0.95</x:v>
      </x:c>
      <x:c r="E46" s="48" t="n">
        <x:v>1</x:v>
      </x:c>
      <x:c r="F46" s="16" t="str">
        <x:v>ADMIT</x:v>
      </x:c>
      <x:c r="G46" s="16" t="str">
        <x:f>IF(COUNT(C46)=0,"MISSING",IF(AND(C46&gt;=D46,C46&lt;=E46),"ADMIT","DENY"))</x:f>
        <x:v>ADMIT</x:v>
      </x:c>
      <x:c r="H46" s="16" t="str">
        <x:f>IF(G46=F46,"PASS","FAIL")</x:f>
        <x:v>PASS</x:v>
      </x:c>
    </x:row>
    <x:row r="47">
      <x:c r="A47" s="16" t="str">
        <x:v>BC-042</x:v>
      </x:c>
      <x:c r="B47" s="16" t="str">
        <x:v>Reserve capacity</x:v>
      </x:c>
      <x:c r="C47" s="48" t="n">
        <x:v>1</x:v>
      </x:c>
      <x:c r="D47" s="48" t="n">
        <x:v>0.95</x:v>
      </x:c>
      <x:c r="E47" s="48" t="n">
        <x:v>1</x:v>
      </x:c>
      <x:c r="F47" s="16" t="str">
        <x:v>ADMIT</x:v>
      </x:c>
      <x:c r="G47" s="16" t="str">
        <x:f>IF(COUNT(C47)=0,"MISSING",IF(AND(C47&gt;=D47,C47&lt;=E47),"ADMIT","DENY"))</x:f>
        <x:v>ADMIT</x:v>
      </x:c>
      <x:c r="H47" s="16" t="str">
        <x:f>IF(G47=F47,"PASS","FAIL")</x:f>
        <x:v>PASS</x:v>
      </x:c>
    </x:row>
    <x:row r="48">
      <x:c r="A48" s="16" t="str">
        <x:v>BC-043</x:v>
      </x:c>
      <x:c r="B48" s="16" t="str">
        <x:v>Reserve capacity</x:v>
      </x:c>
      <x:c r="C48" s="48" t="n">
        <x:v>0.975</x:v>
      </x:c>
      <x:c r="D48" s="48" t="n">
        <x:v>0.95</x:v>
      </x:c>
      <x:c r="E48" s="48" t="n">
        <x:v>1</x:v>
      </x:c>
      <x:c r="F48" s="16" t="str">
        <x:v>ADMIT</x:v>
      </x:c>
      <x:c r="G48" s="16" t="str">
        <x:f>IF(COUNT(C48)=0,"MISSING",IF(AND(C48&gt;=D48,C48&lt;=E48),"ADMIT","DENY"))</x:f>
        <x:v>ADMIT</x:v>
      </x:c>
      <x:c r="H48" s="16" t="str">
        <x:f>IF(G48=F48,"PASS","FAIL")</x:f>
        <x:v>PASS</x:v>
      </x:c>
    </x:row>
    <x:row r="49">
      <x:c r="A49" s="16" t="str">
        <x:v>BC-044</x:v>
      </x:c>
      <x:c r="B49" s="16" t="str">
        <x:v>Reserve capacity</x:v>
      </x:c>
      <x:c r="C49" s="48" t="n">
        <x:v>0.9405</x:v>
      </x:c>
      <x:c r="D49" s="48" t="n">
        <x:v>0.95</x:v>
      </x:c>
      <x:c r="E49" s="48" t="n">
        <x:v>1</x:v>
      </x:c>
      <x:c r="F49" s="16" t="str">
        <x:v>DENY</x:v>
      </x:c>
      <x:c r="G49" s="16" t="str">
        <x:f>IF(COUNT(C49)=0,"MISSING",IF(AND(C49&gt;=D49,C49&lt;=E49),"ADMIT","DENY"))</x:f>
        <x:v>DENY</x:v>
      </x:c>
      <x:c r="H49" s="16" t="str">
        <x:f>IF(G49=F49,"PASS","FAIL")</x:f>
        <x:v>PASS</x:v>
      </x:c>
    </x:row>
    <x:row r="50">
      <x:c r="A50" s="16" t="str">
        <x:v>BC-045</x:v>
      </x:c>
      <x:c r="B50" s="16" t="str">
        <x:v>Reserve capacity</x:v>
      </x:c>
      <x:c r="C50" s="48" t="n">
        <x:v>1.01</x:v>
      </x:c>
      <x:c r="D50" s="48" t="n">
        <x:v>0.95</x:v>
      </x:c>
      <x:c r="E50" s="48" t="n">
        <x:v>1</x:v>
      </x:c>
      <x:c r="F50" s="16" t="str">
        <x:v>DENY</x:v>
      </x:c>
      <x:c r="G50" s="16" t="str">
        <x:f>IF(COUNT(C50)=0,"MISSING",IF(AND(C50&gt;=D50,C50&lt;=E50),"ADMIT","DENY"))</x:f>
        <x:v>DENY</x:v>
      </x:c>
      <x:c r="H50" s="16" t="str">
        <x:f>IF(G50=F50,"PASS","FAIL")</x:f>
        <x:v>PASS</x:v>
      </x:c>
    </x:row>
    <x:row r="51">
      <x:c r="A51" s="16" t="str">
        <x:v>BC-046</x:v>
      </x:c>
      <x:c r="B51" s="16" t="str">
        <x:v>Reserve capacity</x:v>
      </x:c>
      <x:c r="C51" s="48"/>
      <x:c r="D51" s="48" t="n">
        <x:v>0.95</x:v>
      </x:c>
      <x:c r="E51" s="48" t="n">
        <x:v>1</x:v>
      </x:c>
      <x:c r="F51" s="16" t="str">
        <x:v>MISSING</x:v>
      </x:c>
      <x:c r="G51" s="16" t="str">
        <x:f>IF(COUNT(C51)=0,"MISSING",IF(AND(C51&gt;=D51,C51&lt;=E51),"ADMIT","DENY"))</x:f>
        <x:v>MISSING</x:v>
      </x:c>
      <x:c r="H51" s="16" t="str">
        <x:f>IF(G51=F51,"PASS","FAIL")</x:f>
        <x:v>PASS</x:v>
      </x:c>
    </x:row>
    <x:row r="52">
      <x:c r="A52" s="16" t="str">
        <x:v>BC-047</x:v>
      </x:c>
      <x:c r="B52" s="16" t="str">
        <x:v>Reserve capacity</x:v>
      </x:c>
      <x:c r="C52" s="48" t="n">
        <x:v>0</x:v>
      </x:c>
      <x:c r="D52" s="48" t="n">
        <x:v>0.95</x:v>
      </x:c>
      <x:c r="E52" s="48" t="n">
        <x:v>1</x:v>
      </x:c>
      <x:c r="F52" s="16" t="str">
        <x:v>DENY</x:v>
      </x:c>
      <x:c r="G52" s="16" t="str">
        <x:f>IF(COUNT(C52)=0,"MISSING",IF(AND(C52&gt;=D52,C52&lt;=E52),"ADMIT","DENY"))</x:f>
        <x:v>DENY</x:v>
      </x:c>
      <x:c r="H52" s="16" t="str">
        <x:f>IF(G52=F52,"PASS","FAIL")</x:f>
        <x:v>PASS</x:v>
      </x:c>
    </x:row>
    <x:row r="53">
      <x:c r="A53" s="16" t="str">
        <x:v>BC-048</x:v>
      </x:c>
      <x:c r="B53" s="16" t="str">
        <x:v>Reserve capacity</x:v>
      </x:c>
      <x:c r="C53" s="48" t="n">
        <x:v>0.9594999999999999</x:v>
      </x:c>
      <x:c r="D53" s="48" t="n">
        <x:v>0.95</x:v>
      </x:c>
      <x:c r="E53" s="48" t="n">
        <x:v>1</x:v>
      </x:c>
      <x:c r="F53" s="16" t="str">
        <x:v>ADMIT</x:v>
      </x:c>
      <x:c r="G53" s="16" t="str">
        <x:f>IF(COUNT(C53)=0,"MISSING",IF(AND(C53&gt;=D53,C53&lt;=E53),"ADMIT","DENY"))</x:f>
        <x:v>ADMIT</x:v>
      </x:c>
      <x:c r="H53" s="16" t="str">
        <x:f>IF(G53=F53,"PASS","FAIL")</x:f>
        <x:v>PASS</x:v>
      </x:c>
    </x:row>
    <x:row r="54">
      <x:c r="A54" s="16" t="str">
        <x:v>BC-049</x:v>
      </x:c>
      <x:c r="B54" s="16" t="str">
        <x:v>Reserve capacity</x:v>
      </x:c>
      <x:c r="C54" s="48" t="n">
        <x:v>0.9405</x:v>
      </x:c>
      <x:c r="D54" s="48" t="n">
        <x:v>0.95</x:v>
      </x:c>
      <x:c r="E54" s="48" t="n">
        <x:v>1</x:v>
      </x:c>
      <x:c r="F54" s="16" t="str">
        <x:v>DENY</x:v>
      </x:c>
      <x:c r="G54" s="16" t="str">
        <x:f>IF(COUNT(C54)=0,"MISSING",IF(AND(C54&gt;=D54,C54&lt;=E54),"ADMIT","DENY"))</x:f>
        <x:v>DENY</x:v>
      </x:c>
      <x:c r="H54" s="16" t="str">
        <x:f>IF(G54=F54,"PASS","FAIL")</x:f>
        <x:v>PASS</x:v>
      </x:c>
    </x:row>
    <x:row r="55">
      <x:c r="A55" s="16" t="str">
        <x:v>BC-050</x:v>
      </x:c>
      <x:c r="B55" s="16" t="str">
        <x:v>Reserve capacity</x:v>
      </x:c>
      <x:c r="C55" s="48" t="n">
        <x:v>0.99</x:v>
      </x:c>
      <x:c r="D55" s="48" t="n">
        <x:v>0.95</x:v>
      </x:c>
      <x:c r="E55" s="48" t="n">
        <x:v>1</x:v>
      </x:c>
      <x:c r="F55" s="16" t="str">
        <x:v>ADMIT</x:v>
      </x:c>
      <x:c r="G55" s="16" t="str">
        <x:f>IF(COUNT(C55)=0,"MISSING",IF(AND(C55&gt;=D55,C55&lt;=E55),"ADMIT","DENY"))</x:f>
        <x:v>ADMIT</x:v>
      </x:c>
      <x:c r="H55" s="16" t="str">
        <x:f>IF(G55=F55,"PASS","FAIL")</x:f>
        <x:v>PASS</x:v>
      </x:c>
    </x:row>
    <x:row r="56">
      <x:c r="A56" s="16" t="str">
        <x:v>BC-051</x:v>
      </x:c>
      <x:c r="B56" s="16" t="str">
        <x:v>Environmental source kg</x:v>
      </x:c>
      <x:c r="C56" s="48" t="n">
        <x:v>0</x:v>
      </x:c>
      <x:c r="D56" s="48" t="n">
        <x:v>0</x:v>
      </x:c>
      <x:c r="E56" s="48" t="n">
        <x:v>0.5</x:v>
      </x:c>
      <x:c r="F56" s="16" t="str">
        <x:v>ADMIT</x:v>
      </x:c>
      <x:c r="G56" s="16" t="str">
        <x:f>IF(COUNT(C56)=0,"MISSING",IF(AND(C56&gt;=D56,C56&lt;=E56),"ADMIT","DENY"))</x:f>
        <x:v>ADMIT</x:v>
      </x:c>
      <x:c r="H56" s="16" t="str">
        <x:f>IF(G56=F56,"PASS","FAIL")</x:f>
        <x:v>PASS</x:v>
      </x:c>
    </x:row>
    <x:row r="57">
      <x:c r="A57" s="16" t="str">
        <x:v>BC-052</x:v>
      </x:c>
      <x:c r="B57" s="16" t="str">
        <x:v>Environmental source kg</x:v>
      </x:c>
      <x:c r="C57" s="48" t="n">
        <x:v>0.5</x:v>
      </x:c>
      <x:c r="D57" s="48" t="n">
        <x:v>0</x:v>
      </x:c>
      <x:c r="E57" s="48" t="n">
        <x:v>0.5</x:v>
      </x:c>
      <x:c r="F57" s="16" t="str">
        <x:v>ADMIT</x:v>
      </x:c>
      <x:c r="G57" s="16" t="str">
        <x:f>IF(COUNT(C57)=0,"MISSING",IF(AND(C57&gt;=D57,C57&lt;=E57),"ADMIT","DENY"))</x:f>
        <x:v>ADMIT</x:v>
      </x:c>
      <x:c r="H57" s="16" t="str">
        <x:f>IF(G57=F57,"PASS","FAIL")</x:f>
        <x:v>PASS</x:v>
      </x:c>
    </x:row>
    <x:row r="58">
      <x:c r="A58" s="16" t="str">
        <x:v>BC-053</x:v>
      </x:c>
      <x:c r="B58" s="16" t="str">
        <x:v>Environmental source kg</x:v>
      </x:c>
      <x:c r="C58" s="48" t="n">
        <x:v>0.25</x:v>
      </x:c>
      <x:c r="D58" s="48" t="n">
        <x:v>0</x:v>
      </x:c>
      <x:c r="E58" s="48" t="n">
        <x:v>0.5</x:v>
      </x:c>
      <x:c r="F58" s="16" t="str">
        <x:v>ADMIT</x:v>
      </x:c>
      <x:c r="G58" s="16" t="str">
        <x:f>IF(COUNT(C58)=0,"MISSING",IF(AND(C58&gt;=D58,C58&lt;=E58),"ADMIT","DENY"))</x:f>
        <x:v>ADMIT</x:v>
      </x:c>
      <x:c r="H58" s="16" t="str">
        <x:f>IF(G58=F58,"PASS","FAIL")</x:f>
        <x:v>PASS</x:v>
      </x:c>
    </x:row>
    <x:row r="59">
      <x:c r="A59" s="16" t="str">
        <x:v>BC-054</x:v>
      </x:c>
      <x:c r="B59" s="16" t="str">
        <x:v>Environmental source kg</x:v>
      </x:c>
      <x:c r="C59" s="48" t="n">
        <x:v>-0.01</x:v>
      </x:c>
      <x:c r="D59" s="48" t="n">
        <x:v>0</x:v>
      </x:c>
      <x:c r="E59" s="48" t="n">
        <x:v>0.5</x:v>
      </x:c>
      <x:c r="F59" s="16" t="str">
        <x:v>DENY</x:v>
      </x:c>
      <x:c r="G59" s="16" t="str">
        <x:f>IF(COUNT(C59)=0,"MISSING",IF(AND(C59&gt;=D59,C59&lt;=E59),"ADMIT","DENY"))</x:f>
        <x:v>DENY</x:v>
      </x:c>
      <x:c r="H59" s="16" t="str">
        <x:f>IF(G59=F59,"PASS","FAIL")</x:f>
        <x:v>PASS</x:v>
      </x:c>
    </x:row>
    <x:row r="60">
      <x:c r="A60" s="16" t="str">
        <x:v>BC-055</x:v>
      </x:c>
      <x:c r="B60" s="16" t="str">
        <x:v>Environmental source kg</x:v>
      </x:c>
      <x:c r="C60" s="48" t="n">
        <x:v>0.505</x:v>
      </x:c>
      <x:c r="D60" s="48" t="n">
        <x:v>0</x:v>
      </x:c>
      <x:c r="E60" s="48" t="n">
        <x:v>0.5</x:v>
      </x:c>
      <x:c r="F60" s="16" t="str">
        <x:v>DENY</x:v>
      </x:c>
      <x:c r="G60" s="16" t="str">
        <x:f>IF(COUNT(C60)=0,"MISSING",IF(AND(C60&gt;=D60,C60&lt;=E60),"ADMIT","DENY"))</x:f>
        <x:v>DENY</x:v>
      </x:c>
      <x:c r="H60" s="16" t="str">
        <x:f>IF(G60=F60,"PASS","FAIL")</x:f>
        <x:v>PASS</x:v>
      </x:c>
    </x:row>
    <x:row r="61">
      <x:c r="A61" s="16" t="str">
        <x:v>BC-056</x:v>
      </x:c>
      <x:c r="B61" s="16" t="str">
        <x:v>Environmental source kg</x:v>
      </x:c>
      <x:c r="C61" s="48"/>
      <x:c r="D61" s="48" t="n">
        <x:v>0</x:v>
      </x:c>
      <x:c r="E61" s="48" t="n">
        <x:v>0.5</x:v>
      </x:c>
      <x:c r="F61" s="16" t="str">
        <x:v>MISSING</x:v>
      </x:c>
      <x:c r="G61" s="16" t="str">
        <x:f>IF(COUNT(C61)=0,"MISSING",IF(AND(C61&gt;=D61,C61&lt;=E61),"ADMIT","DENY"))</x:f>
        <x:v>MISSING</x:v>
      </x:c>
      <x:c r="H61" s="16" t="str">
        <x:f>IF(G61=F61,"PASS","FAIL")</x:f>
        <x:v>PASS</x:v>
      </x:c>
    </x:row>
    <x:row r="62">
      <x:c r="A62" s="16" t="str">
        <x:v>BC-057</x:v>
      </x:c>
      <x:c r="B62" s="16" t="str">
        <x:v>Environmental source kg</x:v>
      </x:c>
      <x:c r="C62" s="48" t="n">
        <x:v>0</x:v>
      </x:c>
      <x:c r="D62" s="48" t="n">
        <x:v>0</x:v>
      </x:c>
      <x:c r="E62" s="48" t="n">
        <x:v>0.5</x:v>
      </x:c>
      <x:c r="F62" s="16" t="str">
        <x:v>ADMIT</x:v>
      </x:c>
      <x:c r="G62" s="16" t="str">
        <x:f>IF(COUNT(C62)=0,"MISSING",IF(AND(C62&gt;=D62,C62&lt;=E62),"ADMIT","DENY"))</x:f>
        <x:v>ADMIT</x:v>
      </x:c>
      <x:c r="H62" s="16" t="str">
        <x:f>IF(G62=F62,"PASS","FAIL")</x:f>
        <x:v>PASS</x:v>
      </x:c>
    </x:row>
    <x:row r="63">
      <x:c r="A63" s="16" t="str">
        <x:v>BC-058</x:v>
      </x:c>
      <x:c r="B63" s="16" t="str">
        <x:v>Environmental source kg</x:v>
      </x:c>
      <x:c r="C63" s="48" t="n">
        <x:v>0.0001</x:v>
      </x:c>
      <x:c r="D63" s="48" t="n">
        <x:v>0</x:v>
      </x:c>
      <x:c r="E63" s="48" t="n">
        <x:v>0.5</x:v>
      </x:c>
      <x:c r="F63" s="16" t="str">
        <x:v>ADMIT</x:v>
      </x:c>
      <x:c r="G63" s="16" t="str">
        <x:f>IF(COUNT(C63)=0,"MISSING",IF(AND(C63&gt;=D63,C63&lt;=E63),"ADMIT","DENY"))</x:f>
        <x:v>ADMIT</x:v>
      </x:c>
      <x:c r="H63" s="16" t="str">
        <x:f>IF(G63=F63,"PASS","FAIL")</x:f>
        <x:v>PASS</x:v>
      </x:c>
    </x:row>
    <x:row r="64">
      <x:c r="A64" s="16" t="str">
        <x:v>BC-059</x:v>
      </x:c>
      <x:c r="B64" s="16" t="str">
        <x:v>Environmental source kg</x:v>
      </x:c>
      <x:c r="C64" s="48" t="n">
        <x:v>-0.0001</x:v>
      </x:c>
      <x:c r="D64" s="48" t="n">
        <x:v>0</x:v>
      </x:c>
      <x:c r="E64" s="48" t="n">
        <x:v>0.5</x:v>
      </x:c>
      <x:c r="F64" s="16" t="str">
        <x:v>DENY</x:v>
      </x:c>
      <x:c r="G64" s="16" t="str">
        <x:f>IF(COUNT(C64)=0,"MISSING",IF(AND(C64&gt;=D64,C64&lt;=E64),"ADMIT","DENY"))</x:f>
        <x:v>DENY</x:v>
      </x:c>
      <x:c r="H64" s="16" t="str">
        <x:f>IF(G64=F64,"PASS","FAIL")</x:f>
        <x:v>PASS</x:v>
      </x:c>
    </x:row>
    <x:row r="65">
      <x:c r="A65" s="16" t="str">
        <x:v>BC-060</x:v>
      </x:c>
      <x:c r="B65" s="16" t="str">
        <x:v>Environmental source kg</x:v>
      </x:c>
      <x:c r="C65" s="48" t="n">
        <x:v>0.495</x:v>
      </x:c>
      <x:c r="D65" s="48" t="n">
        <x:v>0</x:v>
      </x:c>
      <x:c r="E65" s="48" t="n">
        <x:v>0.5</x:v>
      </x:c>
      <x:c r="F65" s="16" t="str">
        <x:v>ADMIT</x:v>
      </x:c>
      <x:c r="G65" s="16" t="str">
        <x:f>IF(COUNT(C65)=0,"MISSING",IF(AND(C65&gt;=D65,C65&lt;=E65),"ADMIT","DENY"))</x:f>
        <x:v>ADMIT</x:v>
      </x:c>
      <x:c r="H65" s="16" t="str">
        <x:f>IF(G65=F65,"PASS","FAIL")</x:f>
        <x:v>PASS</x:v>
      </x:c>
    </x:row>
    <x:row r="66">
      <x:c r="A66" s="16" t="str">
        <x:v>BC-061</x:v>
      </x:c>
      <x:c r="B66" s="16" t="str">
        <x:v>Unaccounted source kg</x:v>
      </x:c>
      <x:c r="C66" s="48" t="n">
        <x:v>0</x:v>
      </x:c>
      <x:c r="D66" s="48" t="n">
        <x:v>0</x:v>
      </x:c>
      <x:c r="E66" s="48" t="n">
        <x:v>3.75</x:v>
      </x:c>
      <x:c r="F66" s="16" t="str">
        <x:v>ADMIT</x:v>
      </x:c>
      <x:c r="G66" s="16" t="str">
        <x:f>IF(COUNT(C66)=0,"MISSING",IF(AND(C66&gt;=D66,C66&lt;=E66),"ADMIT","DENY"))</x:f>
        <x:v>ADMIT</x:v>
      </x:c>
      <x:c r="H66" s="16" t="str">
        <x:f>IF(G66=F66,"PASS","FAIL")</x:f>
        <x:v>PASS</x:v>
      </x:c>
    </x:row>
    <x:row r="67">
      <x:c r="A67" s="16" t="str">
        <x:v>BC-062</x:v>
      </x:c>
      <x:c r="B67" s="16" t="str">
        <x:v>Unaccounted source kg</x:v>
      </x:c>
      <x:c r="C67" s="48" t="n">
        <x:v>3.75</x:v>
      </x:c>
      <x:c r="D67" s="48" t="n">
        <x:v>0</x:v>
      </x:c>
      <x:c r="E67" s="48" t="n">
        <x:v>3.75</x:v>
      </x:c>
      <x:c r="F67" s="16" t="str">
        <x:v>ADMIT</x:v>
      </x:c>
      <x:c r="G67" s="16" t="str">
        <x:f>IF(COUNT(C67)=0,"MISSING",IF(AND(C67&gt;=D67,C67&lt;=E67),"ADMIT","DENY"))</x:f>
        <x:v>ADMIT</x:v>
      </x:c>
      <x:c r="H67" s="16" t="str">
        <x:f>IF(G67=F67,"PASS","FAIL")</x:f>
        <x:v>PASS</x:v>
      </x:c>
    </x:row>
    <x:row r="68">
      <x:c r="A68" s="16" t="str">
        <x:v>BC-063</x:v>
      </x:c>
      <x:c r="B68" s="16" t="str">
        <x:v>Unaccounted source kg</x:v>
      </x:c>
      <x:c r="C68" s="48" t="n">
        <x:v>1.875</x:v>
      </x:c>
      <x:c r="D68" s="48" t="n">
        <x:v>0</x:v>
      </x:c>
      <x:c r="E68" s="48" t="n">
        <x:v>3.75</x:v>
      </x:c>
      <x:c r="F68" s="16" t="str">
        <x:v>ADMIT</x:v>
      </x:c>
      <x:c r="G68" s="16" t="str">
        <x:f>IF(COUNT(C68)=0,"MISSING",IF(AND(C68&gt;=D68,C68&lt;=E68),"ADMIT","DENY"))</x:f>
        <x:v>ADMIT</x:v>
      </x:c>
      <x:c r="H68" s="16" t="str">
        <x:f>IF(G68=F68,"PASS","FAIL")</x:f>
        <x:v>PASS</x:v>
      </x:c>
    </x:row>
    <x:row r="69">
      <x:c r="A69" s="16" t="str">
        <x:v>BC-064</x:v>
      </x:c>
      <x:c r="B69" s="16" t="str">
        <x:v>Unaccounted source kg</x:v>
      </x:c>
      <x:c r="C69" s="48" t="n">
        <x:v>-0.01</x:v>
      </x:c>
      <x:c r="D69" s="48" t="n">
        <x:v>0</x:v>
      </x:c>
      <x:c r="E69" s="48" t="n">
        <x:v>3.75</x:v>
      </x:c>
      <x:c r="F69" s="16" t="str">
        <x:v>DENY</x:v>
      </x:c>
      <x:c r="G69" s="16" t="str">
        <x:f>IF(COUNT(C69)=0,"MISSING",IF(AND(C69&gt;=D69,C69&lt;=E69),"ADMIT","DENY"))</x:f>
        <x:v>DENY</x:v>
      </x:c>
      <x:c r="H69" s="16" t="str">
        <x:f>IF(G69=F69,"PASS","FAIL")</x:f>
        <x:v>PASS</x:v>
      </x:c>
    </x:row>
    <x:row r="70">
      <x:c r="A70" s="16" t="str">
        <x:v>BC-065</x:v>
      </x:c>
      <x:c r="B70" s="16" t="str">
        <x:v>Unaccounted source kg</x:v>
      </x:c>
      <x:c r="C70" s="48" t="n">
        <x:v>3.7875</x:v>
      </x:c>
      <x:c r="D70" s="48" t="n">
        <x:v>0</x:v>
      </x:c>
      <x:c r="E70" s="48" t="n">
        <x:v>3.75</x:v>
      </x:c>
      <x:c r="F70" s="16" t="str">
        <x:v>DENY</x:v>
      </x:c>
      <x:c r="G70" s="16" t="str">
        <x:f>IF(COUNT(C70)=0,"MISSING",IF(AND(C70&gt;=D70,C70&lt;=E70),"ADMIT","DENY"))</x:f>
        <x:v>DENY</x:v>
      </x:c>
      <x:c r="H70" s="16" t="str">
        <x:f>IF(G70=F70,"PASS","FAIL")</x:f>
        <x:v>PASS</x:v>
      </x:c>
    </x:row>
    <x:row r="71">
      <x:c r="A71" s="16" t="str">
        <x:v>BC-066</x:v>
      </x:c>
      <x:c r="B71" s="16" t="str">
        <x:v>Unaccounted source kg</x:v>
      </x:c>
      <x:c r="C71" s="48"/>
      <x:c r="D71" s="48" t="n">
        <x:v>0</x:v>
      </x:c>
      <x:c r="E71" s="48" t="n">
        <x:v>3.75</x:v>
      </x:c>
      <x:c r="F71" s="16" t="str">
        <x:v>MISSING</x:v>
      </x:c>
      <x:c r="G71" s="16" t="str">
        <x:f>IF(COUNT(C71)=0,"MISSING",IF(AND(C71&gt;=D71,C71&lt;=E71),"ADMIT","DENY"))</x:f>
        <x:v>MISSING</x:v>
      </x:c>
      <x:c r="H71" s="16" t="str">
        <x:f>IF(G71=F71,"PASS","FAIL")</x:f>
        <x:v>PASS</x:v>
      </x:c>
    </x:row>
    <x:row r="72">
      <x:c r="A72" s="16" t="str">
        <x:v>BC-067</x:v>
      </x:c>
      <x:c r="B72" s="16" t="str">
        <x:v>Unaccounted source kg</x:v>
      </x:c>
      <x:c r="C72" s="48" t="n">
        <x:v>0</x:v>
      </x:c>
      <x:c r="D72" s="48" t="n">
        <x:v>0</x:v>
      </x:c>
      <x:c r="E72" s="48" t="n">
        <x:v>3.75</x:v>
      </x:c>
      <x:c r="F72" s="16" t="str">
        <x:v>ADMIT</x:v>
      </x:c>
      <x:c r="G72" s="16" t="str">
        <x:f>IF(COUNT(C72)=0,"MISSING",IF(AND(C72&gt;=D72,C72&lt;=E72),"ADMIT","DENY"))</x:f>
        <x:v>ADMIT</x:v>
      </x:c>
      <x:c r="H72" s="16" t="str">
        <x:f>IF(G72=F72,"PASS","FAIL")</x:f>
        <x:v>PASS</x:v>
      </x:c>
    </x:row>
    <x:row r="73">
      <x:c r="A73" s="16" t="str">
        <x:v>BC-068</x:v>
      </x:c>
      <x:c r="B73" s="16" t="str">
        <x:v>Unaccounted source kg</x:v>
      </x:c>
      <x:c r="C73" s="48" t="n">
        <x:v>0.0001</x:v>
      </x:c>
      <x:c r="D73" s="48" t="n">
        <x:v>0</x:v>
      </x:c>
      <x:c r="E73" s="48" t="n">
        <x:v>3.75</x:v>
      </x:c>
      <x:c r="F73" s="16" t="str">
        <x:v>ADMIT</x:v>
      </x:c>
      <x:c r="G73" s="16" t="str">
        <x:f>IF(COUNT(C73)=0,"MISSING",IF(AND(C73&gt;=D73,C73&lt;=E73),"ADMIT","DENY"))</x:f>
        <x:v>ADMIT</x:v>
      </x:c>
      <x:c r="H73" s="16" t="str">
        <x:f>IF(G73=F73,"PASS","FAIL")</x:f>
        <x:v>PASS</x:v>
      </x:c>
    </x:row>
    <x:row r="74">
      <x:c r="A74" s="16" t="str">
        <x:v>BC-069</x:v>
      </x:c>
      <x:c r="B74" s="16" t="str">
        <x:v>Unaccounted source kg</x:v>
      </x:c>
      <x:c r="C74" s="48" t="n">
        <x:v>-0.0001</x:v>
      </x:c>
      <x:c r="D74" s="48" t="n">
        <x:v>0</x:v>
      </x:c>
      <x:c r="E74" s="48" t="n">
        <x:v>3.75</x:v>
      </x:c>
      <x:c r="F74" s="16" t="str">
        <x:v>DENY</x:v>
      </x:c>
      <x:c r="G74" s="16" t="str">
        <x:f>IF(COUNT(C74)=0,"MISSING",IF(AND(C74&gt;=D74,C74&lt;=E74),"ADMIT","DENY"))</x:f>
        <x:v>DENY</x:v>
      </x:c>
      <x:c r="H74" s="16" t="str">
        <x:f>IF(G74=F74,"PASS","FAIL")</x:f>
        <x:v>PASS</x:v>
      </x:c>
    </x:row>
    <x:row r="75">
      <x:c r="A75" s="16" t="str">
        <x:v>BC-070</x:v>
      </x:c>
      <x:c r="B75" s="16" t="str">
        <x:v>Unaccounted source kg</x:v>
      </x:c>
      <x:c r="C75" s="48" t="n">
        <x:v>3.7125</x:v>
      </x:c>
      <x:c r="D75" s="48" t="n">
        <x:v>0</x:v>
      </x:c>
      <x:c r="E75" s="48" t="n">
        <x:v>3.75</x:v>
      </x:c>
      <x:c r="F75" s="16" t="str">
        <x:v>ADMIT</x:v>
      </x:c>
      <x:c r="G75" s="16" t="str">
        <x:f>IF(COUNT(C75)=0,"MISSING",IF(AND(C75&gt;=D75,C75&lt;=E75),"ADMIT","DENY"))</x:f>
        <x:v>ADMIT</x:v>
      </x:c>
      <x:c r="H75" s="16" t="str">
        <x:f>IF(G75=F75,"PASS","FAIL")</x:f>
        <x:v>PASS</x:v>
      </x:c>
    </x:row>
    <x:row r="76">
      <x:c r="A76" s="16" t="str">
        <x:v>BC-071</x:v>
      </x:c>
      <x:c r="B76" s="16" t="str">
        <x:v>Eligible cell count</x:v>
      </x:c>
      <x:c r="C76" s="48" t="n">
        <x:v>8</x:v>
      </x:c>
      <x:c r="D76" s="48" t="n">
        <x:v>8</x:v>
      </x:c>
      <x:c r="E76" s="48" t="n">
        <x:v>12</x:v>
      </x:c>
      <x:c r="F76" s="16" t="str">
        <x:v>ADMIT</x:v>
      </x:c>
      <x:c r="G76" s="16" t="str">
        <x:f>IF(COUNT(C76)=0,"MISSING",IF(AND(C76&gt;=D76,C76&lt;=E76),"ADMIT","DENY"))</x:f>
        <x:v>ADMIT</x:v>
      </x:c>
      <x:c r="H76" s="16" t="str">
        <x:f>IF(G76=F76,"PASS","FAIL")</x:f>
        <x:v>PASS</x:v>
      </x:c>
    </x:row>
    <x:row r="77">
      <x:c r="A77" s="16" t="str">
        <x:v>BC-072</x:v>
      </x:c>
      <x:c r="B77" s="16" t="str">
        <x:v>Eligible cell count</x:v>
      </x:c>
      <x:c r="C77" s="48" t="n">
        <x:v>12</x:v>
      </x:c>
      <x:c r="D77" s="48" t="n">
        <x:v>8</x:v>
      </x:c>
      <x:c r="E77" s="48" t="n">
        <x:v>12</x:v>
      </x:c>
      <x:c r="F77" s="16" t="str">
        <x:v>ADMIT</x:v>
      </x:c>
      <x:c r="G77" s="16" t="str">
        <x:f>IF(COUNT(C77)=0,"MISSING",IF(AND(C77&gt;=D77,C77&lt;=E77),"ADMIT","DENY"))</x:f>
        <x:v>ADMIT</x:v>
      </x:c>
      <x:c r="H77" s="16" t="str">
        <x:f>IF(G77=F77,"PASS","FAIL")</x:f>
        <x:v>PASS</x:v>
      </x:c>
    </x:row>
    <x:row r="78">
      <x:c r="A78" s="16" t="str">
        <x:v>BC-073</x:v>
      </x:c>
      <x:c r="B78" s="16" t="str">
        <x:v>Eligible cell count</x:v>
      </x:c>
      <x:c r="C78" s="48" t="n">
        <x:v>10</x:v>
      </x:c>
      <x:c r="D78" s="48" t="n">
        <x:v>8</x:v>
      </x:c>
      <x:c r="E78" s="48" t="n">
        <x:v>12</x:v>
      </x:c>
      <x:c r="F78" s="16" t="str">
        <x:v>ADMIT</x:v>
      </x:c>
      <x:c r="G78" s="16" t="str">
        <x:f>IF(COUNT(C78)=0,"MISSING",IF(AND(C78&gt;=D78,C78&lt;=E78),"ADMIT","DENY"))</x:f>
        <x:v>ADMIT</x:v>
      </x:c>
      <x:c r="H78" s="16" t="str">
        <x:f>IF(G78=F78,"PASS","FAIL")</x:f>
        <x:v>PASS</x:v>
      </x:c>
    </x:row>
    <x:row r="79">
      <x:c r="A79" s="16" t="str">
        <x:v>BC-074</x:v>
      </x:c>
      <x:c r="B79" s="16" t="str">
        <x:v>Eligible cell count</x:v>
      </x:c>
      <x:c r="C79" s="48" t="n">
        <x:v>7.92</x:v>
      </x:c>
      <x:c r="D79" s="48" t="n">
        <x:v>8</x:v>
      </x:c>
      <x:c r="E79" s="48" t="n">
        <x:v>12</x:v>
      </x:c>
      <x:c r="F79" s="16" t="str">
        <x:v>DENY</x:v>
      </x:c>
      <x:c r="G79" s="16" t="str">
        <x:f>IF(COUNT(C79)=0,"MISSING",IF(AND(C79&gt;=D79,C79&lt;=E79),"ADMIT","DENY"))</x:f>
        <x:v>DENY</x:v>
      </x:c>
      <x:c r="H79" s="16" t="str">
        <x:f>IF(G79=F79,"PASS","FAIL")</x:f>
        <x:v>PASS</x:v>
      </x:c>
    </x:row>
    <x:row r="80">
      <x:c r="A80" s="16" t="str">
        <x:v>BC-075</x:v>
      </x:c>
      <x:c r="B80" s="16" t="str">
        <x:v>Eligible cell count</x:v>
      </x:c>
      <x:c r="C80" s="48" t="n">
        <x:v>12.12</x:v>
      </x:c>
      <x:c r="D80" s="48" t="n">
        <x:v>8</x:v>
      </x:c>
      <x:c r="E80" s="48" t="n">
        <x:v>12</x:v>
      </x:c>
      <x:c r="F80" s="16" t="str">
        <x:v>DENY</x:v>
      </x:c>
      <x:c r="G80" s="16" t="str">
        <x:f>IF(COUNT(C80)=0,"MISSING",IF(AND(C80&gt;=D80,C80&lt;=E80),"ADMIT","DENY"))</x:f>
        <x:v>DENY</x:v>
      </x:c>
      <x:c r="H80" s="16" t="str">
        <x:f>IF(G80=F80,"PASS","FAIL")</x:f>
        <x:v>PASS</x:v>
      </x:c>
    </x:row>
    <x:row r="81">
      <x:c r="A81" s="16" t="str">
        <x:v>BC-076</x:v>
      </x:c>
      <x:c r="B81" s="16" t="str">
        <x:v>Eligible cell count</x:v>
      </x:c>
      <x:c r="C81" s="48"/>
      <x:c r="D81" s="48" t="n">
        <x:v>8</x:v>
      </x:c>
      <x:c r="E81" s="48" t="n">
        <x:v>12</x:v>
      </x:c>
      <x:c r="F81" s="16" t="str">
        <x:v>MISSING</x:v>
      </x:c>
      <x:c r="G81" s="16" t="str">
        <x:f>IF(COUNT(C81)=0,"MISSING",IF(AND(C81&gt;=D81,C81&lt;=E81),"ADMIT","DENY"))</x:f>
        <x:v>MISSING</x:v>
      </x:c>
      <x:c r="H81" s="16" t="str">
        <x:f>IF(G81=F81,"PASS","FAIL")</x:f>
        <x:v>PASS</x:v>
      </x:c>
    </x:row>
    <x:row r="82">
      <x:c r="A82" s="16" t="str">
        <x:v>BC-077</x:v>
      </x:c>
      <x:c r="B82" s="16" t="str">
        <x:v>Eligible cell count</x:v>
      </x:c>
      <x:c r="C82" s="48" t="n">
        <x:v>0</x:v>
      </x:c>
      <x:c r="D82" s="48" t="n">
        <x:v>8</x:v>
      </x:c>
      <x:c r="E82" s="48" t="n">
        <x:v>12</x:v>
      </x:c>
      <x:c r="F82" s="16" t="str">
        <x:v>DENY</x:v>
      </x:c>
      <x:c r="G82" s="16" t="str">
        <x:f>IF(COUNT(C82)=0,"MISSING",IF(AND(C82&gt;=D82,C82&lt;=E82),"ADMIT","DENY"))</x:f>
        <x:v>DENY</x:v>
      </x:c>
      <x:c r="H82" s="16" t="str">
        <x:f>IF(G82=F82,"PASS","FAIL")</x:f>
        <x:v>PASS</x:v>
      </x:c>
    </x:row>
    <x:row r="83">
      <x:c r="A83" s="16" t="str">
        <x:v>BC-078</x:v>
      </x:c>
      <x:c r="B83" s="16" t="str">
        <x:v>Eligible cell count</x:v>
      </x:c>
      <x:c r="C83" s="48" t="n">
        <x:v>8.08</x:v>
      </x:c>
      <x:c r="D83" s="48" t="n">
        <x:v>8</x:v>
      </x:c>
      <x:c r="E83" s="48" t="n">
        <x:v>12</x:v>
      </x:c>
      <x:c r="F83" s="16" t="str">
        <x:v>ADMIT</x:v>
      </x:c>
      <x:c r="G83" s="16" t="str">
        <x:f>IF(COUNT(C83)=0,"MISSING",IF(AND(C83&gt;=D83,C83&lt;=E83),"ADMIT","DENY"))</x:f>
        <x:v>ADMIT</x:v>
      </x:c>
      <x:c r="H83" s="16" t="str">
        <x:f>IF(G83=F83,"PASS","FAIL")</x:f>
        <x:v>PASS</x:v>
      </x:c>
    </x:row>
    <x:row r="84">
      <x:c r="A84" s="16" t="str">
        <x:v>BC-079</x:v>
      </x:c>
      <x:c r="B84" s="16" t="str">
        <x:v>Eligible cell count</x:v>
      </x:c>
      <x:c r="C84" s="48" t="n">
        <x:v>7.92</x:v>
      </x:c>
      <x:c r="D84" s="48" t="n">
        <x:v>8</x:v>
      </x:c>
      <x:c r="E84" s="48" t="n">
        <x:v>12</x:v>
      </x:c>
      <x:c r="F84" s="16" t="str">
        <x:v>DENY</x:v>
      </x:c>
      <x:c r="G84" s="16" t="str">
        <x:f>IF(COUNT(C84)=0,"MISSING",IF(AND(C84&gt;=D84,C84&lt;=E84),"ADMIT","DENY"))</x:f>
        <x:v>DENY</x:v>
      </x:c>
      <x:c r="H84" s="16" t="str">
        <x:f>IF(G84=F84,"PASS","FAIL")</x:f>
        <x:v>PASS</x:v>
      </x:c>
    </x:row>
    <x:row r="85">
      <x:c r="A85" s="16" t="str">
        <x:v>BC-080</x:v>
      </x:c>
      <x:c r="B85" s="16" t="str">
        <x:v>Eligible cell count</x:v>
      </x:c>
      <x:c r="C85" s="48" t="n">
        <x:v>11.879999999999999</x:v>
      </x:c>
      <x:c r="D85" s="48" t="n">
        <x:v>8</x:v>
      </x:c>
      <x:c r="E85" s="48" t="n">
        <x:v>12</x:v>
      </x:c>
      <x:c r="F85" s="16" t="str">
        <x:v>ADMIT</x:v>
      </x:c>
      <x:c r="G85" s="16" t="str">
        <x:f>IF(COUNT(C85)=0,"MISSING",IF(AND(C85&gt;=D85,C85&lt;=E85),"ADMIT","DENY"))</x:f>
        <x:v>ADMIT</x:v>
      </x:c>
      <x:c r="H85" s="16" t="str">
        <x:f>IF(G85=F85,"PASS","FAIL")</x:f>
        <x:v>PASS</x:v>
      </x:c>
    </x:row>
    <x:row r="86">
      <x:c r="A86" s="16" t="str">
        <x:v>BC-081</x:v>
      </x:c>
      <x:c r="B86" s="16" t="str">
        <x:v>Parent remaining USD M</x:v>
      </x:c>
      <x:c r="C86" s="48" t="n">
        <x:v>0</x:v>
      </x:c>
      <x:c r="D86" s="48" t="n">
        <x:v>0</x:v>
      </x:c>
      <x:c r="E86" s="48" t="n">
        <x:v>0</x:v>
      </x:c>
      <x:c r="F86" s="16" t="str">
        <x:v>ADMIT</x:v>
      </x:c>
      <x:c r="G86" s="16" t="str">
        <x:f>IF(COUNT(C86)=0,"MISSING",IF(AND(C86&gt;=D86,C86&lt;=E86),"ADMIT","DENY"))</x:f>
        <x:v>ADMIT</x:v>
      </x:c>
      <x:c r="H86" s="16" t="str">
        <x:f>IF(G86=F86,"PASS","FAIL")</x:f>
        <x:v>PASS</x:v>
      </x:c>
    </x:row>
    <x:row r="87">
      <x:c r="A87" s="16" t="str">
        <x:v>BC-082</x:v>
      </x:c>
      <x:c r="B87" s="16" t="str">
        <x:v>Parent remaining USD M</x:v>
      </x:c>
      <x:c r="C87" s="48" t="n">
        <x:v>0</x:v>
      </x:c>
      <x:c r="D87" s="48" t="n">
        <x:v>0</x:v>
      </x:c>
      <x:c r="E87" s="48" t="n">
        <x:v>0</x:v>
      </x:c>
      <x:c r="F87" s="16" t="str">
        <x:v>ADMIT</x:v>
      </x:c>
      <x:c r="G87" s="16" t="str">
        <x:f>IF(COUNT(C87)=0,"MISSING",IF(AND(C87&gt;=D87,C87&lt;=E87),"ADMIT","DENY"))</x:f>
        <x:v>ADMIT</x:v>
      </x:c>
      <x:c r="H87" s="16" t="str">
        <x:f>IF(G87=F87,"PASS","FAIL")</x:f>
        <x:v>PASS</x:v>
      </x:c>
    </x:row>
    <x:row r="88">
      <x:c r="A88" s="16" t="str">
        <x:v>BC-083</x:v>
      </x:c>
      <x:c r="B88" s="16" t="str">
        <x:v>Parent remaining USD M</x:v>
      </x:c>
      <x:c r="C88" s="48" t="n">
        <x:v>0</x:v>
      </x:c>
      <x:c r="D88" s="48" t="n">
        <x:v>0</x:v>
      </x:c>
      <x:c r="E88" s="48" t="n">
        <x:v>0</x:v>
      </x:c>
      <x:c r="F88" s="16" t="str">
        <x:v>ADMIT</x:v>
      </x:c>
      <x:c r="G88" s="16" t="str">
        <x:f>IF(COUNT(C88)=0,"MISSING",IF(AND(C88&gt;=D88,C88&lt;=E88),"ADMIT","DENY"))</x:f>
        <x:v>ADMIT</x:v>
      </x:c>
      <x:c r="H88" s="16" t="str">
        <x:f>IF(G88=F88,"PASS","FAIL")</x:f>
        <x:v>PASS</x:v>
      </x:c>
    </x:row>
    <x:row r="89">
      <x:c r="A89" s="16" t="str">
        <x:v>BC-084</x:v>
      </x:c>
      <x:c r="B89" s="16" t="str">
        <x:v>Parent remaining USD M</x:v>
      </x:c>
      <x:c r="C89" s="48" t="n">
        <x:v>-0.01</x:v>
      </x:c>
      <x:c r="D89" s="48" t="n">
        <x:v>0</x:v>
      </x:c>
      <x:c r="E89" s="48" t="n">
        <x:v>0</x:v>
      </x:c>
      <x:c r="F89" s="16" t="str">
        <x:v>DENY</x:v>
      </x:c>
      <x:c r="G89" s="16" t="str">
        <x:f>IF(COUNT(C89)=0,"MISSING",IF(AND(C89&gt;=D89,C89&lt;=E89),"ADMIT","DENY"))</x:f>
        <x:v>DENY</x:v>
      </x:c>
      <x:c r="H89" s="16" t="str">
        <x:f>IF(G89=F89,"PASS","FAIL")</x:f>
        <x:v>PASS</x:v>
      </x:c>
    </x:row>
    <x:row r="90">
      <x:c r="A90" s="16" t="str">
        <x:v>BC-085</x:v>
      </x:c>
      <x:c r="B90" s="16" t="str">
        <x:v>Parent remaining USD M</x:v>
      </x:c>
      <x:c r="C90" s="48" t="n">
        <x:v>0.01</x:v>
      </x:c>
      <x:c r="D90" s="48" t="n">
        <x:v>0</x:v>
      </x:c>
      <x:c r="E90" s="48" t="n">
        <x:v>0</x:v>
      </x:c>
      <x:c r="F90" s="16" t="str">
        <x:v>DENY</x:v>
      </x:c>
      <x:c r="G90" s="16" t="str">
        <x:f>IF(COUNT(C90)=0,"MISSING",IF(AND(C90&gt;=D90,C90&lt;=E90),"ADMIT","DENY"))</x:f>
        <x:v>DENY</x:v>
      </x:c>
      <x:c r="H90" s="16" t="str">
        <x:f>IF(G90=F90,"PASS","FAIL")</x:f>
        <x:v>PASS</x:v>
      </x:c>
    </x:row>
    <x:row r="91">
      <x:c r="A91" s="16" t="str">
        <x:v>BC-086</x:v>
      </x:c>
      <x:c r="B91" s="16" t="str">
        <x:v>Parent remaining USD M</x:v>
      </x:c>
      <x:c r="C91" s="48"/>
      <x:c r="D91" s="48" t="n">
        <x:v>0</x:v>
      </x:c>
      <x:c r="E91" s="48" t="n">
        <x:v>0</x:v>
      </x:c>
      <x:c r="F91" s="16" t="str">
        <x:v>MISSING</x:v>
      </x:c>
      <x:c r="G91" s="16" t="str">
        <x:f>IF(COUNT(C91)=0,"MISSING",IF(AND(C91&gt;=D91,C91&lt;=E91),"ADMIT","DENY"))</x:f>
        <x:v>MISSING</x:v>
      </x:c>
      <x:c r="H91" s="16" t="str">
        <x:f>IF(G91=F91,"PASS","FAIL")</x:f>
        <x:v>PASS</x:v>
      </x:c>
    </x:row>
    <x:row r="92">
      <x:c r="A92" s="16" t="str">
        <x:v>BC-087</x:v>
      </x:c>
      <x:c r="B92" s="16" t="str">
        <x:v>Parent remaining USD M</x:v>
      </x:c>
      <x:c r="C92" s="48" t="n">
        <x:v>0</x:v>
      </x:c>
      <x:c r="D92" s="48" t="n">
        <x:v>0</x:v>
      </x:c>
      <x:c r="E92" s="48" t="n">
        <x:v>0</x:v>
      </x:c>
      <x:c r="F92" s="16" t="str">
        <x:v>ADMIT</x:v>
      </x:c>
      <x:c r="G92" s="16" t="str">
        <x:f>IF(COUNT(C92)=0,"MISSING",IF(AND(C92&gt;=D92,C92&lt;=E92),"ADMIT","DENY"))</x:f>
        <x:v>ADMIT</x:v>
      </x:c>
      <x:c r="H92" s="16" t="str">
        <x:f>IF(G92=F92,"PASS","FAIL")</x:f>
        <x:v>PASS</x:v>
      </x:c>
    </x:row>
    <x:row r="93">
      <x:c r="A93" s="16" t="str">
        <x:v>BC-088</x:v>
      </x:c>
      <x:c r="B93" s="16" t="str">
        <x:v>Parent remaining USD M</x:v>
      </x:c>
      <x:c r="C93" s="48" t="n">
        <x:v>0.0001</x:v>
      </x:c>
      <x:c r="D93" s="48" t="n">
        <x:v>0</x:v>
      </x:c>
      <x:c r="E93" s="48" t="n">
        <x:v>0</x:v>
      </x:c>
      <x:c r="F93" s="16" t="str">
        <x:v>DENY</x:v>
      </x:c>
      <x:c r="G93" s="16" t="str">
        <x:f>IF(COUNT(C93)=0,"MISSING",IF(AND(C93&gt;=D93,C93&lt;=E93),"ADMIT","DENY"))</x:f>
        <x:v>DENY</x:v>
      </x:c>
      <x:c r="H93" s="16" t="str">
        <x:f>IF(G93=F93,"PASS","FAIL")</x:f>
        <x:v>PASS</x:v>
      </x:c>
    </x:row>
    <x:row r="94">
      <x:c r="A94" s="16" t="str">
        <x:v>BC-089</x:v>
      </x:c>
      <x:c r="B94" s="16" t="str">
        <x:v>Parent remaining USD M</x:v>
      </x:c>
      <x:c r="C94" s="48" t="n">
        <x:v>-0.0001</x:v>
      </x:c>
      <x:c r="D94" s="48" t="n">
        <x:v>0</x:v>
      </x:c>
      <x:c r="E94" s="48" t="n">
        <x:v>0</x:v>
      </x:c>
      <x:c r="F94" s="16" t="str">
        <x:v>DENY</x:v>
      </x:c>
      <x:c r="G94" s="16" t="str">
        <x:f>IF(COUNT(C94)=0,"MISSING",IF(AND(C94&gt;=D94,C94&lt;=E94),"ADMIT","DENY"))</x:f>
        <x:v>DENY</x:v>
      </x:c>
      <x:c r="H94" s="16" t="str">
        <x:f>IF(G94=F94,"PASS","FAIL")</x:f>
        <x:v>PASS</x:v>
      </x:c>
    </x:row>
    <x:row r="95">
      <x:c r="A95" s="16" t="str">
        <x:v>BC-090</x:v>
      </x:c>
      <x:c r="B95" s="16" t="str">
        <x:v>Parent remaining USD M</x:v>
      </x:c>
      <x:c r="C95" s="48" t="n">
        <x:v>0.01</x:v>
      </x:c>
      <x:c r="D95" s="48" t="n">
        <x:v>0</x:v>
      </x:c>
      <x:c r="E95" s="48" t="n">
        <x:v>0</x:v>
      </x:c>
      <x:c r="F95" s="16" t="str">
        <x:v>DENY</x:v>
      </x:c>
      <x:c r="G95" s="16" t="str">
        <x:f>IF(COUNT(C95)=0,"MISSING",IF(AND(C95&gt;=D95,C95&lt;=E95),"ADMIT","DENY"))</x:f>
        <x:v>DENY</x:v>
      </x:c>
      <x:c r="H95" s="16" t="str">
        <x:f>IF(G95=F95,"PASS","FAIL")</x:f>
        <x:v>PASS</x:v>
      </x:c>
    </x:row>
  </x:sheetData>
  <x:mergeCells>
    <x:mergeCell ref="A1:H1"/>
  </x:mergeCells>
  <x:conditionalFormatting sqref="G6:H95">
    <x:cfRule type="containsText" dxfId="52" priority="1" operator="containsText" text="DENY"/>
    <x:cfRule type="containsText" dxfId="53" priority="2" operator="containsText" text="FAIL"/>
    <x:cfRule type="containsText" dxfId="54" priority="3" operator="containsText" text="MISSING"/>
    <x:cfRule type="containsText" dxfId="55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fd0fdab61894489c"/>
  </x:tableParts>
</x:worksheet>
</file>

<file path=xl/worksheets/sheet21.xml><?xml version="1.0" encoding="utf-8"?>
<x:worksheet xmlns:x="http://schemas.openxmlformats.org/spreadsheetml/2006/main">
  <x:sheetPr>
    <x:tabColor rgb="FF1E3A5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3" hidden="0" customWidth="1"/>
    <x:col min="2" max="2" width="22" hidden="0" customWidth="1"/>
    <x:col min="3" max="3" width="38" hidden="0" customWidth="1"/>
    <x:col min="4" max="4" width="20" hidden="0" customWidth="1"/>
    <x:col min="5" max="5" width="20" hidden="0" customWidth="1"/>
    <x:col min="6" max="6" width="14" hidden="0" customWidth="1"/>
  </x:cols>
  <x:sheetData>
    <x:row r="1" ht="27" customHeight="1">
      <x:c r="A1" s="3" t="str">
        <x:v>Two hundred ten planning-coherence audits</x:v>
      </x:c>
      <x:c r="B1" s="3" t="str">
        <x:v>Two hundred ten planning-coherence audits</x:v>
      </x:c>
      <x:c r="C1" s="3" t="str">
        <x:v>Two hundred ten planning-coherence audits</x:v>
      </x:c>
      <x:c r="D1" s="3" t="str">
        <x:v>Two hundred ten planning-coherence audits</x:v>
      </x:c>
      <x:c r="E1" s="3" t="str">
        <x:v>Two hundred ten planning-coherence audits</x:v>
      </x:c>
      <x:c r="F1" s="3" t="str">
        <x:v>Two hundred ten planning-coherence audits</x:v>
      </x:c>
    </x:row>
    <x:row r="2">
      <x:c r="A2" s="60"/>
      <x:c r="B2" s="60"/>
      <x:c r="C2" s="60"/>
      <x:c r="D2" s="60"/>
      <x:c r="E2" s="60"/>
      <x:c r="F2" s="60"/>
    </x:row>
    <x:row r="3">
      <x:c r="A3" s="34" t="str">
        <x:v>Audit ID</x:v>
      </x:c>
      <x:c r="B3" s="35" t="str">
        <x:v>Family</x:v>
      </x:c>
      <x:c r="C3" s="35" t="str">
        <x:v>Assertion</x:v>
      </x:c>
      <x:c r="D3" s="35" t="str">
        <x:v>Expected</x:v>
      </x:c>
      <x:c r="E3" s="35" t="str">
        <x:v>Observed</x:v>
      </x:c>
      <x:c r="F3" s="36" t="str">
        <x:v>Disposition</x:v>
      </x:c>
    </x:row>
    <x:row r="4">
      <x:c r="A4" s="16" t="str">
        <x:v>AU-001</x:v>
      </x:c>
      <x:c r="B4" s="16" t="str">
        <x:v>boundary case</x:v>
      </x:c>
      <x:c r="C4" s="16" t="str">
        <x:v>Cases row 6 passes</x:v>
      </x:c>
      <x:c r="D4" s="58" t="str">
        <x:v>PASS</x:v>
      </x:c>
      <x:c r="E4" s="58" t="str">
        <x:f>'Cases'!H6</x:f>
        <x:v>PASS</x:v>
      </x:c>
      <x:c r="F4" s="16" t="str">
        <x:f>IF(E4=D4,"PASS","FAIL")</x:f>
        <x:v>PASS</x:v>
      </x:c>
    </x:row>
    <x:row r="5">
      <x:c r="A5" s="16" t="str">
        <x:v>AU-002</x:v>
      </x:c>
      <x:c r="B5" s="16" t="str">
        <x:v>boundary case</x:v>
      </x:c>
      <x:c r="C5" s="16" t="str">
        <x:v>Cases row 7 passes</x:v>
      </x:c>
      <x:c r="D5" s="58" t="str">
        <x:v>PASS</x:v>
      </x:c>
      <x:c r="E5" s="58" t="str">
        <x:f>'Cases'!H7</x:f>
        <x:v>PASS</x:v>
      </x:c>
      <x:c r="F5" s="16" t="str">
        <x:f>IF(E5=D5,"PASS","FAIL")</x:f>
        <x:v>PASS</x:v>
      </x:c>
    </x:row>
    <x:row r="6">
      <x:c r="A6" s="16" t="str">
        <x:v>AU-003</x:v>
      </x:c>
      <x:c r="B6" s="16" t="str">
        <x:v>boundary case</x:v>
      </x:c>
      <x:c r="C6" s="16" t="str">
        <x:v>Cases row 8 passes</x:v>
      </x:c>
      <x:c r="D6" s="58" t="str">
        <x:v>PASS</x:v>
      </x:c>
      <x:c r="E6" s="58" t="str">
        <x:f>'Cases'!H8</x:f>
        <x:v>PASS</x:v>
      </x:c>
      <x:c r="F6" s="16" t="str">
        <x:f>IF(E6=D6,"PASS","FAIL")</x:f>
        <x:v>PASS</x:v>
      </x:c>
    </x:row>
    <x:row r="7">
      <x:c r="A7" s="16" t="str">
        <x:v>AU-004</x:v>
      </x:c>
      <x:c r="B7" s="16" t="str">
        <x:v>boundary case</x:v>
      </x:c>
      <x:c r="C7" s="16" t="str">
        <x:v>Cases row 9 passes</x:v>
      </x:c>
      <x:c r="D7" s="58" t="str">
        <x:v>PASS</x:v>
      </x:c>
      <x:c r="E7" s="58" t="str">
        <x:f>'Cases'!H9</x:f>
        <x:v>PASS</x:v>
      </x:c>
      <x:c r="F7" s="16" t="str">
        <x:f>IF(E7=D7,"PASS","FAIL")</x:f>
        <x:v>PASS</x:v>
      </x:c>
    </x:row>
    <x:row r="8">
      <x:c r="A8" s="16" t="str">
        <x:v>AU-005</x:v>
      </x:c>
      <x:c r="B8" s="16" t="str">
        <x:v>boundary case</x:v>
      </x:c>
      <x:c r="C8" s="16" t="str">
        <x:v>Cases row 10 passes</x:v>
      </x:c>
      <x:c r="D8" s="58" t="str">
        <x:v>PASS</x:v>
      </x:c>
      <x:c r="E8" s="58" t="str">
        <x:f>'Cases'!H10</x:f>
        <x:v>PASS</x:v>
      </x:c>
      <x:c r="F8" s="16" t="str">
        <x:f>IF(E8=D8,"PASS","FAIL")</x:f>
        <x:v>PASS</x:v>
      </x:c>
    </x:row>
    <x:row r="9">
      <x:c r="A9" s="16" t="str">
        <x:v>AU-006</x:v>
      </x:c>
      <x:c r="B9" s="16" t="str">
        <x:v>boundary case</x:v>
      </x:c>
      <x:c r="C9" s="16" t="str">
        <x:v>Cases row 11 passes</x:v>
      </x:c>
      <x:c r="D9" s="58" t="str">
        <x:v>PASS</x:v>
      </x:c>
      <x:c r="E9" s="58" t="str">
        <x:f>'Cases'!H11</x:f>
        <x:v>PASS</x:v>
      </x:c>
      <x:c r="F9" s="16" t="str">
        <x:f>IF(E9=D9,"PASS","FAIL")</x:f>
        <x:v>PASS</x:v>
      </x:c>
    </x:row>
    <x:row r="10">
      <x:c r="A10" s="16" t="str">
        <x:v>AU-007</x:v>
      </x:c>
      <x:c r="B10" s="16" t="str">
        <x:v>boundary case</x:v>
      </x:c>
      <x:c r="C10" s="16" t="str">
        <x:v>Cases row 12 passes</x:v>
      </x:c>
      <x:c r="D10" s="58" t="str">
        <x:v>PASS</x:v>
      </x:c>
      <x:c r="E10" s="58" t="str">
        <x:f>'Cases'!H12</x:f>
        <x:v>PASS</x:v>
      </x:c>
      <x:c r="F10" s="16" t="str">
        <x:f>IF(E10=D10,"PASS","FAIL")</x:f>
        <x:v>PASS</x:v>
      </x:c>
    </x:row>
    <x:row r="11">
      <x:c r="A11" s="16" t="str">
        <x:v>AU-008</x:v>
      </x:c>
      <x:c r="B11" s="16" t="str">
        <x:v>boundary case</x:v>
      </x:c>
      <x:c r="C11" s="16" t="str">
        <x:v>Cases row 13 passes</x:v>
      </x:c>
      <x:c r="D11" s="58" t="str">
        <x:v>PASS</x:v>
      </x:c>
      <x:c r="E11" s="58" t="str">
        <x:f>'Cases'!H13</x:f>
        <x:v>PASS</x:v>
      </x:c>
      <x:c r="F11" s="16" t="str">
        <x:f>IF(E11=D11,"PASS","FAIL")</x:f>
        <x:v>PASS</x:v>
      </x:c>
    </x:row>
    <x:row r="12">
      <x:c r="A12" s="16" t="str">
        <x:v>AU-009</x:v>
      </x:c>
      <x:c r="B12" s="16" t="str">
        <x:v>boundary case</x:v>
      </x:c>
      <x:c r="C12" s="16" t="str">
        <x:v>Cases row 14 passes</x:v>
      </x:c>
      <x:c r="D12" s="58" t="str">
        <x:v>PASS</x:v>
      </x:c>
      <x:c r="E12" s="58" t="str">
        <x:f>'Cases'!H14</x:f>
        <x:v>PASS</x:v>
      </x:c>
      <x:c r="F12" s="16" t="str">
        <x:f>IF(E12=D12,"PASS","FAIL")</x:f>
        <x:v>PASS</x:v>
      </x:c>
    </x:row>
    <x:row r="13">
      <x:c r="A13" s="16" t="str">
        <x:v>AU-010</x:v>
      </x:c>
      <x:c r="B13" s="16" t="str">
        <x:v>boundary case</x:v>
      </x:c>
      <x:c r="C13" s="16" t="str">
        <x:v>Cases row 15 passes</x:v>
      </x:c>
      <x:c r="D13" s="58" t="str">
        <x:v>PASS</x:v>
      </x:c>
      <x:c r="E13" s="58" t="str">
        <x:f>'Cases'!H15</x:f>
        <x:v>PASS</x:v>
      </x:c>
      <x:c r="F13" s="16" t="str">
        <x:f>IF(E13=D13,"PASS","FAIL")</x:f>
        <x:v>PASS</x:v>
      </x:c>
    </x:row>
    <x:row r="14">
      <x:c r="A14" s="16" t="str">
        <x:v>AU-011</x:v>
      </x:c>
      <x:c r="B14" s="16" t="str">
        <x:v>boundary case</x:v>
      </x:c>
      <x:c r="C14" s="16" t="str">
        <x:v>Cases row 16 passes</x:v>
      </x:c>
      <x:c r="D14" s="58" t="str">
        <x:v>PASS</x:v>
      </x:c>
      <x:c r="E14" s="58" t="str">
        <x:f>'Cases'!H16</x:f>
        <x:v>PASS</x:v>
      </x:c>
      <x:c r="F14" s="16" t="str">
        <x:f>IF(E14=D14,"PASS","FAIL")</x:f>
        <x:v>PASS</x:v>
      </x:c>
    </x:row>
    <x:row r="15">
      <x:c r="A15" s="16" t="str">
        <x:v>AU-012</x:v>
      </x:c>
      <x:c r="B15" s="16" t="str">
        <x:v>boundary case</x:v>
      </x:c>
      <x:c r="C15" s="16" t="str">
        <x:v>Cases row 17 passes</x:v>
      </x:c>
      <x:c r="D15" s="58" t="str">
        <x:v>PASS</x:v>
      </x:c>
      <x:c r="E15" s="58" t="str">
        <x:f>'Cases'!H17</x:f>
        <x:v>PASS</x:v>
      </x:c>
      <x:c r="F15" s="16" t="str">
        <x:f>IF(E15=D15,"PASS","FAIL")</x:f>
        <x:v>PASS</x:v>
      </x:c>
    </x:row>
    <x:row r="16">
      <x:c r="A16" s="16" t="str">
        <x:v>AU-013</x:v>
      </x:c>
      <x:c r="B16" s="16" t="str">
        <x:v>boundary case</x:v>
      </x:c>
      <x:c r="C16" s="16" t="str">
        <x:v>Cases row 18 passes</x:v>
      </x:c>
      <x:c r="D16" s="58" t="str">
        <x:v>PASS</x:v>
      </x:c>
      <x:c r="E16" s="58" t="str">
        <x:f>'Cases'!H18</x:f>
        <x:v>PASS</x:v>
      </x:c>
      <x:c r="F16" s="16" t="str">
        <x:f>IF(E16=D16,"PASS","FAIL")</x:f>
        <x:v>PASS</x:v>
      </x:c>
    </x:row>
    <x:row r="17">
      <x:c r="A17" s="16" t="str">
        <x:v>AU-014</x:v>
      </x:c>
      <x:c r="B17" s="16" t="str">
        <x:v>boundary case</x:v>
      </x:c>
      <x:c r="C17" s="16" t="str">
        <x:v>Cases row 19 passes</x:v>
      </x:c>
      <x:c r="D17" s="58" t="str">
        <x:v>PASS</x:v>
      </x:c>
      <x:c r="E17" s="58" t="str">
        <x:f>'Cases'!H19</x:f>
        <x:v>PASS</x:v>
      </x:c>
      <x:c r="F17" s="16" t="str">
        <x:f>IF(E17=D17,"PASS","FAIL")</x:f>
        <x:v>PASS</x:v>
      </x:c>
    </x:row>
    <x:row r="18">
      <x:c r="A18" s="16" t="str">
        <x:v>AU-015</x:v>
      </x:c>
      <x:c r="B18" s="16" t="str">
        <x:v>boundary case</x:v>
      </x:c>
      <x:c r="C18" s="16" t="str">
        <x:v>Cases row 20 passes</x:v>
      </x:c>
      <x:c r="D18" s="58" t="str">
        <x:v>PASS</x:v>
      </x:c>
      <x:c r="E18" s="58" t="str">
        <x:f>'Cases'!H20</x:f>
        <x:v>PASS</x:v>
      </x:c>
      <x:c r="F18" s="16" t="str">
        <x:f>IF(E18=D18,"PASS","FAIL")</x:f>
        <x:v>PASS</x:v>
      </x:c>
    </x:row>
    <x:row r="19">
      <x:c r="A19" s="16" t="str">
        <x:v>AU-016</x:v>
      </x:c>
      <x:c r="B19" s="16" t="str">
        <x:v>boundary case</x:v>
      </x:c>
      <x:c r="C19" s="16" t="str">
        <x:v>Cases row 21 passes</x:v>
      </x:c>
      <x:c r="D19" s="58" t="str">
        <x:v>PASS</x:v>
      </x:c>
      <x:c r="E19" s="58" t="str">
        <x:f>'Cases'!H21</x:f>
        <x:v>PASS</x:v>
      </x:c>
      <x:c r="F19" s="16" t="str">
        <x:f>IF(E19=D19,"PASS","FAIL")</x:f>
        <x:v>PASS</x:v>
      </x:c>
    </x:row>
    <x:row r="20">
      <x:c r="A20" s="16" t="str">
        <x:v>AU-017</x:v>
      </x:c>
      <x:c r="B20" s="16" t="str">
        <x:v>boundary case</x:v>
      </x:c>
      <x:c r="C20" s="16" t="str">
        <x:v>Cases row 22 passes</x:v>
      </x:c>
      <x:c r="D20" s="58" t="str">
        <x:v>PASS</x:v>
      </x:c>
      <x:c r="E20" s="58" t="str">
        <x:f>'Cases'!H22</x:f>
        <x:v>PASS</x:v>
      </x:c>
      <x:c r="F20" s="16" t="str">
        <x:f>IF(E20=D20,"PASS","FAIL")</x:f>
        <x:v>PASS</x:v>
      </x:c>
    </x:row>
    <x:row r="21">
      <x:c r="A21" s="16" t="str">
        <x:v>AU-018</x:v>
      </x:c>
      <x:c r="B21" s="16" t="str">
        <x:v>boundary case</x:v>
      </x:c>
      <x:c r="C21" s="16" t="str">
        <x:v>Cases row 23 passes</x:v>
      </x:c>
      <x:c r="D21" s="58" t="str">
        <x:v>PASS</x:v>
      </x:c>
      <x:c r="E21" s="58" t="str">
        <x:f>'Cases'!H23</x:f>
        <x:v>PASS</x:v>
      </x:c>
      <x:c r="F21" s="16" t="str">
        <x:f>IF(E21=D21,"PASS","FAIL")</x:f>
        <x:v>PASS</x:v>
      </x:c>
    </x:row>
    <x:row r="22">
      <x:c r="A22" s="16" t="str">
        <x:v>AU-019</x:v>
      </x:c>
      <x:c r="B22" s="16" t="str">
        <x:v>boundary case</x:v>
      </x:c>
      <x:c r="C22" s="16" t="str">
        <x:v>Cases row 24 passes</x:v>
      </x:c>
      <x:c r="D22" s="58" t="str">
        <x:v>PASS</x:v>
      </x:c>
      <x:c r="E22" s="58" t="str">
        <x:f>'Cases'!H24</x:f>
        <x:v>PASS</x:v>
      </x:c>
      <x:c r="F22" s="16" t="str">
        <x:f>IF(E22=D22,"PASS","FAIL")</x:f>
        <x:v>PASS</x:v>
      </x:c>
    </x:row>
    <x:row r="23">
      <x:c r="A23" s="16" t="str">
        <x:v>AU-020</x:v>
      </x:c>
      <x:c r="B23" s="16" t="str">
        <x:v>boundary case</x:v>
      </x:c>
      <x:c r="C23" s="16" t="str">
        <x:v>Cases row 25 passes</x:v>
      </x:c>
      <x:c r="D23" s="58" t="str">
        <x:v>PASS</x:v>
      </x:c>
      <x:c r="E23" s="58" t="str">
        <x:f>'Cases'!H25</x:f>
        <x:v>PASS</x:v>
      </x:c>
      <x:c r="F23" s="16" t="str">
        <x:f>IF(E23=D23,"PASS","FAIL")</x:f>
        <x:v>PASS</x:v>
      </x:c>
    </x:row>
    <x:row r="24">
      <x:c r="A24" s="16" t="str">
        <x:v>AU-021</x:v>
      </x:c>
      <x:c r="B24" s="16" t="str">
        <x:v>boundary case</x:v>
      </x:c>
      <x:c r="C24" s="16" t="str">
        <x:v>Cases row 26 passes</x:v>
      </x:c>
      <x:c r="D24" s="58" t="str">
        <x:v>PASS</x:v>
      </x:c>
      <x:c r="E24" s="58" t="str">
        <x:f>'Cases'!H26</x:f>
        <x:v>PASS</x:v>
      </x:c>
      <x:c r="F24" s="16" t="str">
        <x:f>IF(E24=D24,"PASS","FAIL")</x:f>
        <x:v>PASS</x:v>
      </x:c>
    </x:row>
    <x:row r="25">
      <x:c r="A25" s="16" t="str">
        <x:v>AU-022</x:v>
      </x:c>
      <x:c r="B25" s="16" t="str">
        <x:v>boundary case</x:v>
      </x:c>
      <x:c r="C25" s="16" t="str">
        <x:v>Cases row 27 passes</x:v>
      </x:c>
      <x:c r="D25" s="58" t="str">
        <x:v>PASS</x:v>
      </x:c>
      <x:c r="E25" s="58" t="str">
        <x:f>'Cases'!H27</x:f>
        <x:v>PASS</x:v>
      </x:c>
      <x:c r="F25" s="16" t="str">
        <x:f>IF(E25=D25,"PASS","FAIL")</x:f>
        <x:v>PASS</x:v>
      </x:c>
    </x:row>
    <x:row r="26">
      <x:c r="A26" s="16" t="str">
        <x:v>AU-023</x:v>
      </x:c>
      <x:c r="B26" s="16" t="str">
        <x:v>boundary case</x:v>
      </x:c>
      <x:c r="C26" s="16" t="str">
        <x:v>Cases row 28 passes</x:v>
      </x:c>
      <x:c r="D26" s="58" t="str">
        <x:v>PASS</x:v>
      </x:c>
      <x:c r="E26" s="58" t="str">
        <x:f>'Cases'!H28</x:f>
        <x:v>PASS</x:v>
      </x:c>
      <x:c r="F26" s="16" t="str">
        <x:f>IF(E26=D26,"PASS","FAIL")</x:f>
        <x:v>PASS</x:v>
      </x:c>
    </x:row>
    <x:row r="27">
      <x:c r="A27" s="16" t="str">
        <x:v>AU-024</x:v>
      </x:c>
      <x:c r="B27" s="16" t="str">
        <x:v>boundary case</x:v>
      </x:c>
      <x:c r="C27" s="16" t="str">
        <x:v>Cases row 29 passes</x:v>
      </x:c>
      <x:c r="D27" s="58" t="str">
        <x:v>PASS</x:v>
      </x:c>
      <x:c r="E27" s="58" t="str">
        <x:f>'Cases'!H29</x:f>
        <x:v>PASS</x:v>
      </x:c>
      <x:c r="F27" s="16" t="str">
        <x:f>IF(E27=D27,"PASS","FAIL")</x:f>
        <x:v>PASS</x:v>
      </x:c>
    </x:row>
    <x:row r="28">
      <x:c r="A28" s="16" t="str">
        <x:v>AU-025</x:v>
      </x:c>
      <x:c r="B28" s="16" t="str">
        <x:v>boundary case</x:v>
      </x:c>
      <x:c r="C28" s="16" t="str">
        <x:v>Cases row 30 passes</x:v>
      </x:c>
      <x:c r="D28" s="58" t="str">
        <x:v>PASS</x:v>
      </x:c>
      <x:c r="E28" s="58" t="str">
        <x:f>'Cases'!H30</x:f>
        <x:v>PASS</x:v>
      </x:c>
      <x:c r="F28" s="16" t="str">
        <x:f>IF(E28=D28,"PASS","FAIL")</x:f>
        <x:v>PASS</x:v>
      </x:c>
    </x:row>
    <x:row r="29">
      <x:c r="A29" s="16" t="str">
        <x:v>AU-026</x:v>
      </x:c>
      <x:c r="B29" s="16" t="str">
        <x:v>boundary case</x:v>
      </x:c>
      <x:c r="C29" s="16" t="str">
        <x:v>Cases row 31 passes</x:v>
      </x:c>
      <x:c r="D29" s="58" t="str">
        <x:v>PASS</x:v>
      </x:c>
      <x:c r="E29" s="58" t="str">
        <x:f>'Cases'!H31</x:f>
        <x:v>PASS</x:v>
      </x:c>
      <x:c r="F29" s="16" t="str">
        <x:f>IF(E29=D29,"PASS","FAIL")</x:f>
        <x:v>PASS</x:v>
      </x:c>
    </x:row>
    <x:row r="30">
      <x:c r="A30" s="16" t="str">
        <x:v>AU-027</x:v>
      </x:c>
      <x:c r="B30" s="16" t="str">
        <x:v>boundary case</x:v>
      </x:c>
      <x:c r="C30" s="16" t="str">
        <x:v>Cases row 32 passes</x:v>
      </x:c>
      <x:c r="D30" s="58" t="str">
        <x:v>PASS</x:v>
      </x:c>
      <x:c r="E30" s="58" t="str">
        <x:f>'Cases'!H32</x:f>
        <x:v>PASS</x:v>
      </x:c>
      <x:c r="F30" s="16" t="str">
        <x:f>IF(E30=D30,"PASS","FAIL")</x:f>
        <x:v>PASS</x:v>
      </x:c>
    </x:row>
    <x:row r="31">
      <x:c r="A31" s="16" t="str">
        <x:v>AU-028</x:v>
      </x:c>
      <x:c r="B31" s="16" t="str">
        <x:v>boundary case</x:v>
      </x:c>
      <x:c r="C31" s="16" t="str">
        <x:v>Cases row 33 passes</x:v>
      </x:c>
      <x:c r="D31" s="58" t="str">
        <x:v>PASS</x:v>
      </x:c>
      <x:c r="E31" s="58" t="str">
        <x:f>'Cases'!H33</x:f>
        <x:v>PASS</x:v>
      </x:c>
      <x:c r="F31" s="16" t="str">
        <x:f>IF(E31=D31,"PASS","FAIL")</x:f>
        <x:v>PASS</x:v>
      </x:c>
    </x:row>
    <x:row r="32">
      <x:c r="A32" s="16" t="str">
        <x:v>AU-029</x:v>
      </x:c>
      <x:c r="B32" s="16" t="str">
        <x:v>boundary case</x:v>
      </x:c>
      <x:c r="C32" s="16" t="str">
        <x:v>Cases row 34 passes</x:v>
      </x:c>
      <x:c r="D32" s="58" t="str">
        <x:v>PASS</x:v>
      </x:c>
      <x:c r="E32" s="58" t="str">
        <x:f>'Cases'!H34</x:f>
        <x:v>PASS</x:v>
      </x:c>
      <x:c r="F32" s="16" t="str">
        <x:f>IF(E32=D32,"PASS","FAIL")</x:f>
        <x:v>PASS</x:v>
      </x:c>
    </x:row>
    <x:row r="33">
      <x:c r="A33" s="16" t="str">
        <x:v>AU-030</x:v>
      </x:c>
      <x:c r="B33" s="16" t="str">
        <x:v>boundary case</x:v>
      </x:c>
      <x:c r="C33" s="16" t="str">
        <x:v>Cases row 35 passes</x:v>
      </x:c>
      <x:c r="D33" s="58" t="str">
        <x:v>PASS</x:v>
      </x:c>
      <x:c r="E33" s="58" t="str">
        <x:f>'Cases'!H35</x:f>
        <x:v>PASS</x:v>
      </x:c>
      <x:c r="F33" s="16" t="str">
        <x:f>IF(E33=D33,"PASS","FAIL")</x:f>
        <x:v>PASS</x:v>
      </x:c>
    </x:row>
    <x:row r="34">
      <x:c r="A34" s="16" t="str">
        <x:v>AU-031</x:v>
      </x:c>
      <x:c r="B34" s="16" t="str">
        <x:v>boundary case</x:v>
      </x:c>
      <x:c r="C34" s="16" t="str">
        <x:v>Cases row 36 passes</x:v>
      </x:c>
      <x:c r="D34" s="58" t="str">
        <x:v>PASS</x:v>
      </x:c>
      <x:c r="E34" s="58" t="str">
        <x:f>'Cases'!H36</x:f>
        <x:v>PASS</x:v>
      </x:c>
      <x:c r="F34" s="16" t="str">
        <x:f>IF(E34=D34,"PASS","FAIL")</x:f>
        <x:v>PASS</x:v>
      </x:c>
    </x:row>
    <x:row r="35">
      <x:c r="A35" s="16" t="str">
        <x:v>AU-032</x:v>
      </x:c>
      <x:c r="B35" s="16" t="str">
        <x:v>boundary case</x:v>
      </x:c>
      <x:c r="C35" s="16" t="str">
        <x:v>Cases row 37 passes</x:v>
      </x:c>
      <x:c r="D35" s="58" t="str">
        <x:v>PASS</x:v>
      </x:c>
      <x:c r="E35" s="58" t="str">
        <x:f>'Cases'!H37</x:f>
        <x:v>PASS</x:v>
      </x:c>
      <x:c r="F35" s="16" t="str">
        <x:f>IF(E35=D35,"PASS","FAIL")</x:f>
        <x:v>PASS</x:v>
      </x:c>
    </x:row>
    <x:row r="36">
      <x:c r="A36" s="16" t="str">
        <x:v>AU-033</x:v>
      </x:c>
      <x:c r="B36" s="16" t="str">
        <x:v>boundary case</x:v>
      </x:c>
      <x:c r="C36" s="16" t="str">
        <x:v>Cases row 38 passes</x:v>
      </x:c>
      <x:c r="D36" s="58" t="str">
        <x:v>PASS</x:v>
      </x:c>
      <x:c r="E36" s="58" t="str">
        <x:f>'Cases'!H38</x:f>
        <x:v>PASS</x:v>
      </x:c>
      <x:c r="F36" s="16" t="str">
        <x:f>IF(E36=D36,"PASS","FAIL")</x:f>
        <x:v>PASS</x:v>
      </x:c>
    </x:row>
    <x:row r="37">
      <x:c r="A37" s="16" t="str">
        <x:v>AU-034</x:v>
      </x:c>
      <x:c r="B37" s="16" t="str">
        <x:v>boundary case</x:v>
      </x:c>
      <x:c r="C37" s="16" t="str">
        <x:v>Cases row 39 passes</x:v>
      </x:c>
      <x:c r="D37" s="58" t="str">
        <x:v>PASS</x:v>
      </x:c>
      <x:c r="E37" s="58" t="str">
        <x:f>'Cases'!H39</x:f>
        <x:v>PASS</x:v>
      </x:c>
      <x:c r="F37" s="16" t="str">
        <x:f>IF(E37=D37,"PASS","FAIL")</x:f>
        <x:v>PASS</x:v>
      </x:c>
    </x:row>
    <x:row r="38">
      <x:c r="A38" s="16" t="str">
        <x:v>AU-035</x:v>
      </x:c>
      <x:c r="B38" s="16" t="str">
        <x:v>boundary case</x:v>
      </x:c>
      <x:c r="C38" s="16" t="str">
        <x:v>Cases row 40 passes</x:v>
      </x:c>
      <x:c r="D38" s="58" t="str">
        <x:v>PASS</x:v>
      </x:c>
      <x:c r="E38" s="58" t="str">
        <x:f>'Cases'!H40</x:f>
        <x:v>PASS</x:v>
      </x:c>
      <x:c r="F38" s="16" t="str">
        <x:f>IF(E38=D38,"PASS","FAIL")</x:f>
        <x:v>PASS</x:v>
      </x:c>
    </x:row>
    <x:row r="39">
      <x:c r="A39" s="16" t="str">
        <x:v>AU-036</x:v>
      </x:c>
      <x:c r="B39" s="16" t="str">
        <x:v>boundary case</x:v>
      </x:c>
      <x:c r="C39" s="16" t="str">
        <x:v>Cases row 41 passes</x:v>
      </x:c>
      <x:c r="D39" s="58" t="str">
        <x:v>PASS</x:v>
      </x:c>
      <x:c r="E39" s="58" t="str">
        <x:f>'Cases'!H41</x:f>
        <x:v>PASS</x:v>
      </x:c>
      <x:c r="F39" s="16" t="str">
        <x:f>IF(E39=D39,"PASS","FAIL")</x:f>
        <x:v>PASS</x:v>
      </x:c>
    </x:row>
    <x:row r="40">
      <x:c r="A40" s="16" t="str">
        <x:v>AU-037</x:v>
      </x:c>
      <x:c r="B40" s="16" t="str">
        <x:v>boundary case</x:v>
      </x:c>
      <x:c r="C40" s="16" t="str">
        <x:v>Cases row 42 passes</x:v>
      </x:c>
      <x:c r="D40" s="58" t="str">
        <x:v>PASS</x:v>
      </x:c>
      <x:c r="E40" s="58" t="str">
        <x:f>'Cases'!H42</x:f>
        <x:v>PASS</x:v>
      </x:c>
      <x:c r="F40" s="16" t="str">
        <x:f>IF(E40=D40,"PASS","FAIL")</x:f>
        <x:v>PASS</x:v>
      </x:c>
    </x:row>
    <x:row r="41">
      <x:c r="A41" s="16" t="str">
        <x:v>AU-038</x:v>
      </x:c>
      <x:c r="B41" s="16" t="str">
        <x:v>boundary case</x:v>
      </x:c>
      <x:c r="C41" s="16" t="str">
        <x:v>Cases row 43 passes</x:v>
      </x:c>
      <x:c r="D41" s="58" t="str">
        <x:v>PASS</x:v>
      </x:c>
      <x:c r="E41" s="58" t="str">
        <x:f>'Cases'!H43</x:f>
        <x:v>PASS</x:v>
      </x:c>
      <x:c r="F41" s="16" t="str">
        <x:f>IF(E41=D41,"PASS","FAIL")</x:f>
        <x:v>PASS</x:v>
      </x:c>
    </x:row>
    <x:row r="42">
      <x:c r="A42" s="16" t="str">
        <x:v>AU-039</x:v>
      </x:c>
      <x:c r="B42" s="16" t="str">
        <x:v>boundary case</x:v>
      </x:c>
      <x:c r="C42" s="16" t="str">
        <x:v>Cases row 44 passes</x:v>
      </x:c>
      <x:c r="D42" s="58" t="str">
        <x:v>PASS</x:v>
      </x:c>
      <x:c r="E42" s="58" t="str">
        <x:f>'Cases'!H44</x:f>
        <x:v>PASS</x:v>
      </x:c>
      <x:c r="F42" s="16" t="str">
        <x:f>IF(E42=D42,"PASS","FAIL")</x:f>
        <x:v>PASS</x:v>
      </x:c>
    </x:row>
    <x:row r="43">
      <x:c r="A43" s="16" t="str">
        <x:v>AU-040</x:v>
      </x:c>
      <x:c r="B43" s="16" t="str">
        <x:v>boundary case</x:v>
      </x:c>
      <x:c r="C43" s="16" t="str">
        <x:v>Cases row 45 passes</x:v>
      </x:c>
      <x:c r="D43" s="58" t="str">
        <x:v>PASS</x:v>
      </x:c>
      <x:c r="E43" s="58" t="str">
        <x:f>'Cases'!H45</x:f>
        <x:v>PASS</x:v>
      </x:c>
      <x:c r="F43" s="16" t="str">
        <x:f>IF(E43=D43,"PASS","FAIL")</x:f>
        <x:v>PASS</x:v>
      </x:c>
    </x:row>
    <x:row r="44">
      <x:c r="A44" s="16" t="str">
        <x:v>AU-041</x:v>
      </x:c>
      <x:c r="B44" s="16" t="str">
        <x:v>boundary case</x:v>
      </x:c>
      <x:c r="C44" s="16" t="str">
        <x:v>Cases row 46 passes</x:v>
      </x:c>
      <x:c r="D44" s="58" t="str">
        <x:v>PASS</x:v>
      </x:c>
      <x:c r="E44" s="58" t="str">
        <x:f>'Cases'!H46</x:f>
        <x:v>PASS</x:v>
      </x:c>
      <x:c r="F44" s="16" t="str">
        <x:f>IF(E44=D44,"PASS","FAIL")</x:f>
        <x:v>PASS</x:v>
      </x:c>
    </x:row>
    <x:row r="45">
      <x:c r="A45" s="16" t="str">
        <x:v>AU-042</x:v>
      </x:c>
      <x:c r="B45" s="16" t="str">
        <x:v>boundary case</x:v>
      </x:c>
      <x:c r="C45" s="16" t="str">
        <x:v>Cases row 47 passes</x:v>
      </x:c>
      <x:c r="D45" s="58" t="str">
        <x:v>PASS</x:v>
      </x:c>
      <x:c r="E45" s="58" t="str">
        <x:f>'Cases'!H47</x:f>
        <x:v>PASS</x:v>
      </x:c>
      <x:c r="F45" s="16" t="str">
        <x:f>IF(E45=D45,"PASS","FAIL")</x:f>
        <x:v>PASS</x:v>
      </x:c>
    </x:row>
    <x:row r="46">
      <x:c r="A46" s="16" t="str">
        <x:v>AU-043</x:v>
      </x:c>
      <x:c r="B46" s="16" t="str">
        <x:v>boundary case</x:v>
      </x:c>
      <x:c r="C46" s="16" t="str">
        <x:v>Cases row 48 passes</x:v>
      </x:c>
      <x:c r="D46" s="58" t="str">
        <x:v>PASS</x:v>
      </x:c>
      <x:c r="E46" s="58" t="str">
        <x:f>'Cases'!H48</x:f>
        <x:v>PASS</x:v>
      </x:c>
      <x:c r="F46" s="16" t="str">
        <x:f>IF(E46=D46,"PASS","FAIL")</x:f>
        <x:v>PASS</x:v>
      </x:c>
    </x:row>
    <x:row r="47">
      <x:c r="A47" s="16" t="str">
        <x:v>AU-044</x:v>
      </x:c>
      <x:c r="B47" s="16" t="str">
        <x:v>boundary case</x:v>
      </x:c>
      <x:c r="C47" s="16" t="str">
        <x:v>Cases row 49 passes</x:v>
      </x:c>
      <x:c r="D47" s="58" t="str">
        <x:v>PASS</x:v>
      </x:c>
      <x:c r="E47" s="58" t="str">
        <x:f>'Cases'!H49</x:f>
        <x:v>PASS</x:v>
      </x:c>
      <x:c r="F47" s="16" t="str">
        <x:f>IF(E47=D47,"PASS","FAIL")</x:f>
        <x:v>PASS</x:v>
      </x:c>
    </x:row>
    <x:row r="48">
      <x:c r="A48" s="16" t="str">
        <x:v>AU-045</x:v>
      </x:c>
      <x:c r="B48" s="16" t="str">
        <x:v>boundary case</x:v>
      </x:c>
      <x:c r="C48" s="16" t="str">
        <x:v>Cases row 50 passes</x:v>
      </x:c>
      <x:c r="D48" s="58" t="str">
        <x:v>PASS</x:v>
      </x:c>
      <x:c r="E48" s="58" t="str">
        <x:f>'Cases'!H50</x:f>
        <x:v>PASS</x:v>
      </x:c>
      <x:c r="F48" s="16" t="str">
        <x:f>IF(E48=D48,"PASS","FAIL")</x:f>
        <x:v>PASS</x:v>
      </x:c>
    </x:row>
    <x:row r="49">
      <x:c r="A49" s="16" t="str">
        <x:v>AU-046</x:v>
      </x:c>
      <x:c r="B49" s="16" t="str">
        <x:v>boundary case</x:v>
      </x:c>
      <x:c r="C49" s="16" t="str">
        <x:v>Cases row 51 passes</x:v>
      </x:c>
      <x:c r="D49" s="58" t="str">
        <x:v>PASS</x:v>
      </x:c>
      <x:c r="E49" s="58" t="str">
        <x:f>'Cases'!H51</x:f>
        <x:v>PASS</x:v>
      </x:c>
      <x:c r="F49" s="16" t="str">
        <x:f>IF(E49=D49,"PASS","FAIL")</x:f>
        <x:v>PASS</x:v>
      </x:c>
    </x:row>
    <x:row r="50">
      <x:c r="A50" s="16" t="str">
        <x:v>AU-047</x:v>
      </x:c>
      <x:c r="B50" s="16" t="str">
        <x:v>boundary case</x:v>
      </x:c>
      <x:c r="C50" s="16" t="str">
        <x:v>Cases row 52 passes</x:v>
      </x:c>
      <x:c r="D50" s="58" t="str">
        <x:v>PASS</x:v>
      </x:c>
      <x:c r="E50" s="58" t="str">
        <x:f>'Cases'!H52</x:f>
        <x:v>PASS</x:v>
      </x:c>
      <x:c r="F50" s="16" t="str">
        <x:f>IF(E50=D50,"PASS","FAIL")</x:f>
        <x:v>PASS</x:v>
      </x:c>
    </x:row>
    <x:row r="51">
      <x:c r="A51" s="16" t="str">
        <x:v>AU-048</x:v>
      </x:c>
      <x:c r="B51" s="16" t="str">
        <x:v>boundary case</x:v>
      </x:c>
      <x:c r="C51" s="16" t="str">
        <x:v>Cases row 53 passes</x:v>
      </x:c>
      <x:c r="D51" s="58" t="str">
        <x:v>PASS</x:v>
      </x:c>
      <x:c r="E51" s="58" t="str">
        <x:f>'Cases'!H53</x:f>
        <x:v>PASS</x:v>
      </x:c>
      <x:c r="F51" s="16" t="str">
        <x:f>IF(E51=D51,"PASS","FAIL")</x:f>
        <x:v>PASS</x:v>
      </x:c>
    </x:row>
    <x:row r="52">
      <x:c r="A52" s="16" t="str">
        <x:v>AU-049</x:v>
      </x:c>
      <x:c r="B52" s="16" t="str">
        <x:v>boundary case</x:v>
      </x:c>
      <x:c r="C52" s="16" t="str">
        <x:v>Cases row 54 passes</x:v>
      </x:c>
      <x:c r="D52" s="58" t="str">
        <x:v>PASS</x:v>
      </x:c>
      <x:c r="E52" s="58" t="str">
        <x:f>'Cases'!H54</x:f>
        <x:v>PASS</x:v>
      </x:c>
      <x:c r="F52" s="16" t="str">
        <x:f>IF(E52=D52,"PASS","FAIL")</x:f>
        <x:v>PASS</x:v>
      </x:c>
    </x:row>
    <x:row r="53">
      <x:c r="A53" s="16" t="str">
        <x:v>AU-050</x:v>
      </x:c>
      <x:c r="B53" s="16" t="str">
        <x:v>boundary case</x:v>
      </x:c>
      <x:c r="C53" s="16" t="str">
        <x:v>Cases row 55 passes</x:v>
      </x:c>
      <x:c r="D53" s="58" t="str">
        <x:v>PASS</x:v>
      </x:c>
      <x:c r="E53" s="58" t="str">
        <x:f>'Cases'!H55</x:f>
        <x:v>PASS</x:v>
      </x:c>
      <x:c r="F53" s="16" t="str">
        <x:f>IF(E53=D53,"PASS","FAIL")</x:f>
        <x:v>PASS</x:v>
      </x:c>
    </x:row>
    <x:row r="54">
      <x:c r="A54" s="16" t="str">
        <x:v>AU-051</x:v>
      </x:c>
      <x:c r="B54" s="16" t="str">
        <x:v>boundary case</x:v>
      </x:c>
      <x:c r="C54" s="16" t="str">
        <x:v>Cases row 56 passes</x:v>
      </x:c>
      <x:c r="D54" s="58" t="str">
        <x:v>PASS</x:v>
      </x:c>
      <x:c r="E54" s="58" t="str">
        <x:f>'Cases'!H56</x:f>
        <x:v>PASS</x:v>
      </x:c>
      <x:c r="F54" s="16" t="str">
        <x:f>IF(E54=D54,"PASS","FAIL")</x:f>
        <x:v>PASS</x:v>
      </x:c>
    </x:row>
    <x:row r="55">
      <x:c r="A55" s="16" t="str">
        <x:v>AU-052</x:v>
      </x:c>
      <x:c r="B55" s="16" t="str">
        <x:v>boundary case</x:v>
      </x:c>
      <x:c r="C55" s="16" t="str">
        <x:v>Cases row 57 passes</x:v>
      </x:c>
      <x:c r="D55" s="58" t="str">
        <x:v>PASS</x:v>
      </x:c>
      <x:c r="E55" s="58" t="str">
        <x:f>'Cases'!H57</x:f>
        <x:v>PASS</x:v>
      </x:c>
      <x:c r="F55" s="16" t="str">
        <x:f>IF(E55=D55,"PASS","FAIL")</x:f>
        <x:v>PASS</x:v>
      </x:c>
    </x:row>
    <x:row r="56">
      <x:c r="A56" s="16" t="str">
        <x:v>AU-053</x:v>
      </x:c>
      <x:c r="B56" s="16" t="str">
        <x:v>boundary case</x:v>
      </x:c>
      <x:c r="C56" s="16" t="str">
        <x:v>Cases row 58 passes</x:v>
      </x:c>
      <x:c r="D56" s="58" t="str">
        <x:v>PASS</x:v>
      </x:c>
      <x:c r="E56" s="58" t="str">
        <x:f>'Cases'!H58</x:f>
        <x:v>PASS</x:v>
      </x:c>
      <x:c r="F56" s="16" t="str">
        <x:f>IF(E56=D56,"PASS","FAIL")</x:f>
        <x:v>PASS</x:v>
      </x:c>
    </x:row>
    <x:row r="57">
      <x:c r="A57" s="16" t="str">
        <x:v>AU-054</x:v>
      </x:c>
      <x:c r="B57" s="16" t="str">
        <x:v>boundary case</x:v>
      </x:c>
      <x:c r="C57" s="16" t="str">
        <x:v>Cases row 59 passes</x:v>
      </x:c>
      <x:c r="D57" s="58" t="str">
        <x:v>PASS</x:v>
      </x:c>
      <x:c r="E57" s="58" t="str">
        <x:f>'Cases'!H59</x:f>
        <x:v>PASS</x:v>
      </x:c>
      <x:c r="F57" s="16" t="str">
        <x:f>IF(E57=D57,"PASS","FAIL")</x:f>
        <x:v>PASS</x:v>
      </x:c>
    </x:row>
    <x:row r="58">
      <x:c r="A58" s="16" t="str">
        <x:v>AU-055</x:v>
      </x:c>
      <x:c r="B58" s="16" t="str">
        <x:v>boundary case</x:v>
      </x:c>
      <x:c r="C58" s="16" t="str">
        <x:v>Cases row 60 passes</x:v>
      </x:c>
      <x:c r="D58" s="58" t="str">
        <x:v>PASS</x:v>
      </x:c>
      <x:c r="E58" s="58" t="str">
        <x:f>'Cases'!H60</x:f>
        <x:v>PASS</x:v>
      </x:c>
      <x:c r="F58" s="16" t="str">
        <x:f>IF(E58=D58,"PASS","FAIL")</x:f>
        <x:v>PASS</x:v>
      </x:c>
    </x:row>
    <x:row r="59">
      <x:c r="A59" s="16" t="str">
        <x:v>AU-056</x:v>
      </x:c>
      <x:c r="B59" s="16" t="str">
        <x:v>boundary case</x:v>
      </x:c>
      <x:c r="C59" s="16" t="str">
        <x:v>Cases row 61 passes</x:v>
      </x:c>
      <x:c r="D59" s="58" t="str">
        <x:v>PASS</x:v>
      </x:c>
      <x:c r="E59" s="58" t="str">
        <x:f>'Cases'!H61</x:f>
        <x:v>PASS</x:v>
      </x:c>
      <x:c r="F59" s="16" t="str">
        <x:f>IF(E59=D59,"PASS","FAIL")</x:f>
        <x:v>PASS</x:v>
      </x:c>
    </x:row>
    <x:row r="60">
      <x:c r="A60" s="16" t="str">
        <x:v>AU-057</x:v>
      </x:c>
      <x:c r="B60" s="16" t="str">
        <x:v>boundary case</x:v>
      </x:c>
      <x:c r="C60" s="16" t="str">
        <x:v>Cases row 62 passes</x:v>
      </x:c>
      <x:c r="D60" s="58" t="str">
        <x:v>PASS</x:v>
      </x:c>
      <x:c r="E60" s="58" t="str">
        <x:f>'Cases'!H62</x:f>
        <x:v>PASS</x:v>
      </x:c>
      <x:c r="F60" s="16" t="str">
        <x:f>IF(E60=D60,"PASS","FAIL")</x:f>
        <x:v>PASS</x:v>
      </x:c>
    </x:row>
    <x:row r="61">
      <x:c r="A61" s="16" t="str">
        <x:v>AU-058</x:v>
      </x:c>
      <x:c r="B61" s="16" t="str">
        <x:v>boundary case</x:v>
      </x:c>
      <x:c r="C61" s="16" t="str">
        <x:v>Cases row 63 passes</x:v>
      </x:c>
      <x:c r="D61" s="58" t="str">
        <x:v>PASS</x:v>
      </x:c>
      <x:c r="E61" s="58" t="str">
        <x:f>'Cases'!H63</x:f>
        <x:v>PASS</x:v>
      </x:c>
      <x:c r="F61" s="16" t="str">
        <x:f>IF(E61=D61,"PASS","FAIL")</x:f>
        <x:v>PASS</x:v>
      </x:c>
    </x:row>
    <x:row r="62">
      <x:c r="A62" s="16" t="str">
        <x:v>AU-059</x:v>
      </x:c>
      <x:c r="B62" s="16" t="str">
        <x:v>boundary case</x:v>
      </x:c>
      <x:c r="C62" s="16" t="str">
        <x:v>Cases row 64 passes</x:v>
      </x:c>
      <x:c r="D62" s="58" t="str">
        <x:v>PASS</x:v>
      </x:c>
      <x:c r="E62" s="58" t="str">
        <x:f>'Cases'!H64</x:f>
        <x:v>PASS</x:v>
      </x:c>
      <x:c r="F62" s="16" t="str">
        <x:f>IF(E62=D62,"PASS","FAIL")</x:f>
        <x:v>PASS</x:v>
      </x:c>
    </x:row>
    <x:row r="63">
      <x:c r="A63" s="16" t="str">
        <x:v>AU-060</x:v>
      </x:c>
      <x:c r="B63" s="16" t="str">
        <x:v>boundary case</x:v>
      </x:c>
      <x:c r="C63" s="16" t="str">
        <x:v>Cases row 65 passes</x:v>
      </x:c>
      <x:c r="D63" s="58" t="str">
        <x:v>PASS</x:v>
      </x:c>
      <x:c r="E63" s="58" t="str">
        <x:f>'Cases'!H65</x:f>
        <x:v>PASS</x:v>
      </x:c>
      <x:c r="F63" s="16" t="str">
        <x:f>IF(E63=D63,"PASS","FAIL")</x:f>
        <x:v>PASS</x:v>
      </x:c>
    </x:row>
    <x:row r="64">
      <x:c r="A64" s="16" t="str">
        <x:v>AU-061</x:v>
      </x:c>
      <x:c r="B64" s="16" t="str">
        <x:v>boundary case</x:v>
      </x:c>
      <x:c r="C64" s="16" t="str">
        <x:v>Cases row 66 passes</x:v>
      </x:c>
      <x:c r="D64" s="58" t="str">
        <x:v>PASS</x:v>
      </x:c>
      <x:c r="E64" s="58" t="str">
        <x:f>'Cases'!H66</x:f>
        <x:v>PASS</x:v>
      </x:c>
      <x:c r="F64" s="16" t="str">
        <x:f>IF(E64=D64,"PASS","FAIL")</x:f>
        <x:v>PASS</x:v>
      </x:c>
    </x:row>
    <x:row r="65">
      <x:c r="A65" s="16" t="str">
        <x:v>AU-062</x:v>
      </x:c>
      <x:c r="B65" s="16" t="str">
        <x:v>boundary case</x:v>
      </x:c>
      <x:c r="C65" s="16" t="str">
        <x:v>Cases row 67 passes</x:v>
      </x:c>
      <x:c r="D65" s="58" t="str">
        <x:v>PASS</x:v>
      </x:c>
      <x:c r="E65" s="58" t="str">
        <x:f>'Cases'!H67</x:f>
        <x:v>PASS</x:v>
      </x:c>
      <x:c r="F65" s="16" t="str">
        <x:f>IF(E65=D65,"PASS","FAIL")</x:f>
        <x:v>PASS</x:v>
      </x:c>
    </x:row>
    <x:row r="66">
      <x:c r="A66" s="16" t="str">
        <x:v>AU-063</x:v>
      </x:c>
      <x:c r="B66" s="16" t="str">
        <x:v>boundary case</x:v>
      </x:c>
      <x:c r="C66" s="16" t="str">
        <x:v>Cases row 68 passes</x:v>
      </x:c>
      <x:c r="D66" s="58" t="str">
        <x:v>PASS</x:v>
      </x:c>
      <x:c r="E66" s="58" t="str">
        <x:f>'Cases'!H68</x:f>
        <x:v>PASS</x:v>
      </x:c>
      <x:c r="F66" s="16" t="str">
        <x:f>IF(E66=D66,"PASS","FAIL")</x:f>
        <x:v>PASS</x:v>
      </x:c>
    </x:row>
    <x:row r="67">
      <x:c r="A67" s="16" t="str">
        <x:v>AU-064</x:v>
      </x:c>
      <x:c r="B67" s="16" t="str">
        <x:v>boundary case</x:v>
      </x:c>
      <x:c r="C67" s="16" t="str">
        <x:v>Cases row 69 passes</x:v>
      </x:c>
      <x:c r="D67" s="58" t="str">
        <x:v>PASS</x:v>
      </x:c>
      <x:c r="E67" s="58" t="str">
        <x:f>'Cases'!H69</x:f>
        <x:v>PASS</x:v>
      </x:c>
      <x:c r="F67" s="16" t="str">
        <x:f>IF(E67=D67,"PASS","FAIL")</x:f>
        <x:v>PASS</x:v>
      </x:c>
    </x:row>
    <x:row r="68">
      <x:c r="A68" s="16" t="str">
        <x:v>AU-065</x:v>
      </x:c>
      <x:c r="B68" s="16" t="str">
        <x:v>boundary case</x:v>
      </x:c>
      <x:c r="C68" s="16" t="str">
        <x:v>Cases row 70 passes</x:v>
      </x:c>
      <x:c r="D68" s="58" t="str">
        <x:v>PASS</x:v>
      </x:c>
      <x:c r="E68" s="58" t="str">
        <x:f>'Cases'!H70</x:f>
        <x:v>PASS</x:v>
      </x:c>
      <x:c r="F68" s="16" t="str">
        <x:f>IF(E68=D68,"PASS","FAIL")</x:f>
        <x:v>PASS</x:v>
      </x:c>
    </x:row>
    <x:row r="69">
      <x:c r="A69" s="16" t="str">
        <x:v>AU-066</x:v>
      </x:c>
      <x:c r="B69" s="16" t="str">
        <x:v>boundary case</x:v>
      </x:c>
      <x:c r="C69" s="16" t="str">
        <x:v>Cases row 71 passes</x:v>
      </x:c>
      <x:c r="D69" s="58" t="str">
        <x:v>PASS</x:v>
      </x:c>
      <x:c r="E69" s="58" t="str">
        <x:f>'Cases'!H71</x:f>
        <x:v>PASS</x:v>
      </x:c>
      <x:c r="F69" s="16" t="str">
        <x:f>IF(E69=D69,"PASS","FAIL")</x:f>
        <x:v>PASS</x:v>
      </x:c>
    </x:row>
    <x:row r="70">
      <x:c r="A70" s="16" t="str">
        <x:v>AU-067</x:v>
      </x:c>
      <x:c r="B70" s="16" t="str">
        <x:v>boundary case</x:v>
      </x:c>
      <x:c r="C70" s="16" t="str">
        <x:v>Cases row 72 passes</x:v>
      </x:c>
      <x:c r="D70" s="58" t="str">
        <x:v>PASS</x:v>
      </x:c>
      <x:c r="E70" s="58" t="str">
        <x:f>'Cases'!H72</x:f>
        <x:v>PASS</x:v>
      </x:c>
      <x:c r="F70" s="16" t="str">
        <x:f>IF(E70=D70,"PASS","FAIL")</x:f>
        <x:v>PASS</x:v>
      </x:c>
    </x:row>
    <x:row r="71">
      <x:c r="A71" s="16" t="str">
        <x:v>AU-068</x:v>
      </x:c>
      <x:c r="B71" s="16" t="str">
        <x:v>boundary case</x:v>
      </x:c>
      <x:c r="C71" s="16" t="str">
        <x:v>Cases row 73 passes</x:v>
      </x:c>
      <x:c r="D71" s="58" t="str">
        <x:v>PASS</x:v>
      </x:c>
      <x:c r="E71" s="58" t="str">
        <x:f>'Cases'!H73</x:f>
        <x:v>PASS</x:v>
      </x:c>
      <x:c r="F71" s="16" t="str">
        <x:f>IF(E71=D71,"PASS","FAIL")</x:f>
        <x:v>PASS</x:v>
      </x:c>
    </x:row>
    <x:row r="72">
      <x:c r="A72" s="16" t="str">
        <x:v>AU-069</x:v>
      </x:c>
      <x:c r="B72" s="16" t="str">
        <x:v>boundary case</x:v>
      </x:c>
      <x:c r="C72" s="16" t="str">
        <x:v>Cases row 74 passes</x:v>
      </x:c>
      <x:c r="D72" s="58" t="str">
        <x:v>PASS</x:v>
      </x:c>
      <x:c r="E72" s="58" t="str">
        <x:f>'Cases'!H74</x:f>
        <x:v>PASS</x:v>
      </x:c>
      <x:c r="F72" s="16" t="str">
        <x:f>IF(E72=D72,"PASS","FAIL")</x:f>
        <x:v>PASS</x:v>
      </x:c>
    </x:row>
    <x:row r="73">
      <x:c r="A73" s="16" t="str">
        <x:v>AU-070</x:v>
      </x:c>
      <x:c r="B73" s="16" t="str">
        <x:v>boundary case</x:v>
      </x:c>
      <x:c r="C73" s="16" t="str">
        <x:v>Cases row 75 passes</x:v>
      </x:c>
      <x:c r="D73" s="58" t="str">
        <x:v>PASS</x:v>
      </x:c>
      <x:c r="E73" s="58" t="str">
        <x:f>'Cases'!H75</x:f>
        <x:v>PASS</x:v>
      </x:c>
      <x:c r="F73" s="16" t="str">
        <x:f>IF(E73=D73,"PASS","FAIL")</x:f>
        <x:v>PASS</x:v>
      </x:c>
    </x:row>
    <x:row r="74">
      <x:c r="A74" s="16" t="str">
        <x:v>AU-071</x:v>
      </x:c>
      <x:c r="B74" s="16" t="str">
        <x:v>boundary case</x:v>
      </x:c>
      <x:c r="C74" s="16" t="str">
        <x:v>Cases row 76 passes</x:v>
      </x:c>
      <x:c r="D74" s="58" t="str">
        <x:v>PASS</x:v>
      </x:c>
      <x:c r="E74" s="58" t="str">
        <x:f>'Cases'!H76</x:f>
        <x:v>PASS</x:v>
      </x:c>
      <x:c r="F74" s="16" t="str">
        <x:f>IF(E74=D74,"PASS","FAIL")</x:f>
        <x:v>PASS</x:v>
      </x:c>
    </x:row>
    <x:row r="75">
      <x:c r="A75" s="16" t="str">
        <x:v>AU-072</x:v>
      </x:c>
      <x:c r="B75" s="16" t="str">
        <x:v>boundary case</x:v>
      </x:c>
      <x:c r="C75" s="16" t="str">
        <x:v>Cases row 77 passes</x:v>
      </x:c>
      <x:c r="D75" s="58" t="str">
        <x:v>PASS</x:v>
      </x:c>
      <x:c r="E75" s="58" t="str">
        <x:f>'Cases'!H77</x:f>
        <x:v>PASS</x:v>
      </x:c>
      <x:c r="F75" s="16" t="str">
        <x:f>IF(E75=D75,"PASS","FAIL")</x:f>
        <x:v>PASS</x:v>
      </x:c>
    </x:row>
    <x:row r="76">
      <x:c r="A76" s="16" t="str">
        <x:v>AU-073</x:v>
      </x:c>
      <x:c r="B76" s="16" t="str">
        <x:v>boundary case</x:v>
      </x:c>
      <x:c r="C76" s="16" t="str">
        <x:v>Cases row 78 passes</x:v>
      </x:c>
      <x:c r="D76" s="58" t="str">
        <x:v>PASS</x:v>
      </x:c>
      <x:c r="E76" s="58" t="str">
        <x:f>'Cases'!H78</x:f>
        <x:v>PASS</x:v>
      </x:c>
      <x:c r="F76" s="16" t="str">
        <x:f>IF(E76=D76,"PASS","FAIL")</x:f>
        <x:v>PASS</x:v>
      </x:c>
    </x:row>
    <x:row r="77">
      <x:c r="A77" s="16" t="str">
        <x:v>AU-074</x:v>
      </x:c>
      <x:c r="B77" s="16" t="str">
        <x:v>boundary case</x:v>
      </x:c>
      <x:c r="C77" s="16" t="str">
        <x:v>Cases row 79 passes</x:v>
      </x:c>
      <x:c r="D77" s="58" t="str">
        <x:v>PASS</x:v>
      </x:c>
      <x:c r="E77" s="58" t="str">
        <x:f>'Cases'!H79</x:f>
        <x:v>PASS</x:v>
      </x:c>
      <x:c r="F77" s="16" t="str">
        <x:f>IF(E77=D77,"PASS","FAIL")</x:f>
        <x:v>PASS</x:v>
      </x:c>
    </x:row>
    <x:row r="78">
      <x:c r="A78" s="16" t="str">
        <x:v>AU-075</x:v>
      </x:c>
      <x:c r="B78" s="16" t="str">
        <x:v>boundary case</x:v>
      </x:c>
      <x:c r="C78" s="16" t="str">
        <x:v>Cases row 80 passes</x:v>
      </x:c>
      <x:c r="D78" s="58" t="str">
        <x:v>PASS</x:v>
      </x:c>
      <x:c r="E78" s="58" t="str">
        <x:f>'Cases'!H80</x:f>
        <x:v>PASS</x:v>
      </x:c>
      <x:c r="F78" s="16" t="str">
        <x:f>IF(E78=D78,"PASS","FAIL")</x:f>
        <x:v>PASS</x:v>
      </x:c>
    </x:row>
    <x:row r="79">
      <x:c r="A79" s="16" t="str">
        <x:v>AU-076</x:v>
      </x:c>
      <x:c r="B79" s="16" t="str">
        <x:v>boundary case</x:v>
      </x:c>
      <x:c r="C79" s="16" t="str">
        <x:v>Cases row 81 passes</x:v>
      </x:c>
      <x:c r="D79" s="58" t="str">
        <x:v>PASS</x:v>
      </x:c>
      <x:c r="E79" s="58" t="str">
        <x:f>'Cases'!H81</x:f>
        <x:v>PASS</x:v>
      </x:c>
      <x:c r="F79" s="16" t="str">
        <x:f>IF(E79=D79,"PASS","FAIL")</x:f>
        <x:v>PASS</x:v>
      </x:c>
    </x:row>
    <x:row r="80">
      <x:c r="A80" s="16" t="str">
        <x:v>AU-077</x:v>
      </x:c>
      <x:c r="B80" s="16" t="str">
        <x:v>boundary case</x:v>
      </x:c>
      <x:c r="C80" s="16" t="str">
        <x:v>Cases row 82 passes</x:v>
      </x:c>
      <x:c r="D80" s="58" t="str">
        <x:v>PASS</x:v>
      </x:c>
      <x:c r="E80" s="58" t="str">
        <x:f>'Cases'!H82</x:f>
        <x:v>PASS</x:v>
      </x:c>
      <x:c r="F80" s="16" t="str">
        <x:f>IF(E80=D80,"PASS","FAIL")</x:f>
        <x:v>PASS</x:v>
      </x:c>
    </x:row>
    <x:row r="81">
      <x:c r="A81" s="16" t="str">
        <x:v>AU-078</x:v>
      </x:c>
      <x:c r="B81" s="16" t="str">
        <x:v>boundary case</x:v>
      </x:c>
      <x:c r="C81" s="16" t="str">
        <x:v>Cases row 83 passes</x:v>
      </x:c>
      <x:c r="D81" s="58" t="str">
        <x:v>PASS</x:v>
      </x:c>
      <x:c r="E81" s="58" t="str">
        <x:f>'Cases'!H83</x:f>
        <x:v>PASS</x:v>
      </x:c>
      <x:c r="F81" s="16" t="str">
        <x:f>IF(E81=D81,"PASS","FAIL")</x:f>
        <x:v>PASS</x:v>
      </x:c>
    </x:row>
    <x:row r="82">
      <x:c r="A82" s="16" t="str">
        <x:v>AU-079</x:v>
      </x:c>
      <x:c r="B82" s="16" t="str">
        <x:v>boundary case</x:v>
      </x:c>
      <x:c r="C82" s="16" t="str">
        <x:v>Cases row 84 passes</x:v>
      </x:c>
      <x:c r="D82" s="58" t="str">
        <x:v>PASS</x:v>
      </x:c>
      <x:c r="E82" s="58" t="str">
        <x:f>'Cases'!H84</x:f>
        <x:v>PASS</x:v>
      </x:c>
      <x:c r="F82" s="16" t="str">
        <x:f>IF(E82=D82,"PASS","FAIL")</x:f>
        <x:v>PASS</x:v>
      </x:c>
    </x:row>
    <x:row r="83">
      <x:c r="A83" s="16" t="str">
        <x:v>AU-080</x:v>
      </x:c>
      <x:c r="B83" s="16" t="str">
        <x:v>boundary case</x:v>
      </x:c>
      <x:c r="C83" s="16" t="str">
        <x:v>Cases row 85 passes</x:v>
      </x:c>
      <x:c r="D83" s="58" t="str">
        <x:v>PASS</x:v>
      </x:c>
      <x:c r="E83" s="58" t="str">
        <x:f>'Cases'!H85</x:f>
        <x:v>PASS</x:v>
      </x:c>
      <x:c r="F83" s="16" t="str">
        <x:f>IF(E83=D83,"PASS","FAIL")</x:f>
        <x:v>PASS</x:v>
      </x:c>
    </x:row>
    <x:row r="84">
      <x:c r="A84" s="16" t="str">
        <x:v>AU-081</x:v>
      </x:c>
      <x:c r="B84" s="16" t="str">
        <x:v>boundary case</x:v>
      </x:c>
      <x:c r="C84" s="16" t="str">
        <x:v>Cases row 86 passes</x:v>
      </x:c>
      <x:c r="D84" s="58" t="str">
        <x:v>PASS</x:v>
      </x:c>
      <x:c r="E84" s="58" t="str">
        <x:f>'Cases'!H86</x:f>
        <x:v>PASS</x:v>
      </x:c>
      <x:c r="F84" s="16" t="str">
        <x:f>IF(E84=D84,"PASS","FAIL")</x:f>
        <x:v>PASS</x:v>
      </x:c>
    </x:row>
    <x:row r="85">
      <x:c r="A85" s="16" t="str">
        <x:v>AU-082</x:v>
      </x:c>
      <x:c r="B85" s="16" t="str">
        <x:v>boundary case</x:v>
      </x:c>
      <x:c r="C85" s="16" t="str">
        <x:v>Cases row 87 passes</x:v>
      </x:c>
      <x:c r="D85" s="58" t="str">
        <x:v>PASS</x:v>
      </x:c>
      <x:c r="E85" s="58" t="str">
        <x:f>'Cases'!H87</x:f>
        <x:v>PASS</x:v>
      </x:c>
      <x:c r="F85" s="16" t="str">
        <x:f>IF(E85=D85,"PASS","FAIL")</x:f>
        <x:v>PASS</x:v>
      </x:c>
    </x:row>
    <x:row r="86">
      <x:c r="A86" s="16" t="str">
        <x:v>AU-083</x:v>
      </x:c>
      <x:c r="B86" s="16" t="str">
        <x:v>boundary case</x:v>
      </x:c>
      <x:c r="C86" s="16" t="str">
        <x:v>Cases row 88 passes</x:v>
      </x:c>
      <x:c r="D86" s="58" t="str">
        <x:v>PASS</x:v>
      </x:c>
      <x:c r="E86" s="58" t="str">
        <x:f>'Cases'!H88</x:f>
        <x:v>PASS</x:v>
      </x:c>
      <x:c r="F86" s="16" t="str">
        <x:f>IF(E86=D86,"PASS","FAIL")</x:f>
        <x:v>PASS</x:v>
      </x:c>
    </x:row>
    <x:row r="87">
      <x:c r="A87" s="16" t="str">
        <x:v>AU-084</x:v>
      </x:c>
      <x:c r="B87" s="16" t="str">
        <x:v>boundary case</x:v>
      </x:c>
      <x:c r="C87" s="16" t="str">
        <x:v>Cases row 89 passes</x:v>
      </x:c>
      <x:c r="D87" s="58" t="str">
        <x:v>PASS</x:v>
      </x:c>
      <x:c r="E87" s="58" t="str">
        <x:f>'Cases'!H89</x:f>
        <x:v>PASS</x:v>
      </x:c>
      <x:c r="F87" s="16" t="str">
        <x:f>IF(E87=D87,"PASS","FAIL")</x:f>
        <x:v>PASS</x:v>
      </x:c>
    </x:row>
    <x:row r="88">
      <x:c r="A88" s="16" t="str">
        <x:v>AU-085</x:v>
      </x:c>
      <x:c r="B88" s="16" t="str">
        <x:v>boundary case</x:v>
      </x:c>
      <x:c r="C88" s="16" t="str">
        <x:v>Cases row 90 passes</x:v>
      </x:c>
      <x:c r="D88" s="58" t="str">
        <x:v>PASS</x:v>
      </x:c>
      <x:c r="E88" s="58" t="str">
        <x:f>'Cases'!H90</x:f>
        <x:v>PASS</x:v>
      </x:c>
      <x:c r="F88" s="16" t="str">
        <x:f>IF(E88=D88,"PASS","FAIL")</x:f>
        <x:v>PASS</x:v>
      </x:c>
    </x:row>
    <x:row r="89">
      <x:c r="A89" s="16" t="str">
        <x:v>AU-086</x:v>
      </x:c>
      <x:c r="B89" s="16" t="str">
        <x:v>boundary case</x:v>
      </x:c>
      <x:c r="C89" s="16" t="str">
        <x:v>Cases row 91 passes</x:v>
      </x:c>
      <x:c r="D89" s="58" t="str">
        <x:v>PASS</x:v>
      </x:c>
      <x:c r="E89" s="58" t="str">
        <x:f>'Cases'!H91</x:f>
        <x:v>PASS</x:v>
      </x:c>
      <x:c r="F89" s="16" t="str">
        <x:f>IF(E89=D89,"PASS","FAIL")</x:f>
        <x:v>PASS</x:v>
      </x:c>
    </x:row>
    <x:row r="90">
      <x:c r="A90" s="16" t="str">
        <x:v>AU-087</x:v>
      </x:c>
      <x:c r="B90" s="16" t="str">
        <x:v>boundary case</x:v>
      </x:c>
      <x:c r="C90" s="16" t="str">
        <x:v>Cases row 92 passes</x:v>
      </x:c>
      <x:c r="D90" s="58" t="str">
        <x:v>PASS</x:v>
      </x:c>
      <x:c r="E90" s="58" t="str">
        <x:f>'Cases'!H92</x:f>
        <x:v>PASS</x:v>
      </x:c>
      <x:c r="F90" s="16" t="str">
        <x:f>IF(E90=D90,"PASS","FAIL")</x:f>
        <x:v>PASS</x:v>
      </x:c>
    </x:row>
    <x:row r="91">
      <x:c r="A91" s="16" t="str">
        <x:v>AU-088</x:v>
      </x:c>
      <x:c r="B91" s="16" t="str">
        <x:v>boundary case</x:v>
      </x:c>
      <x:c r="C91" s="16" t="str">
        <x:v>Cases row 93 passes</x:v>
      </x:c>
      <x:c r="D91" s="58" t="str">
        <x:v>PASS</x:v>
      </x:c>
      <x:c r="E91" s="58" t="str">
        <x:f>'Cases'!H93</x:f>
        <x:v>PASS</x:v>
      </x:c>
      <x:c r="F91" s="16" t="str">
        <x:f>IF(E91=D91,"PASS","FAIL")</x:f>
        <x:v>PASS</x:v>
      </x:c>
    </x:row>
    <x:row r="92">
      <x:c r="A92" s="16" t="str">
        <x:v>AU-089</x:v>
      </x:c>
      <x:c r="B92" s="16" t="str">
        <x:v>boundary case</x:v>
      </x:c>
      <x:c r="C92" s="16" t="str">
        <x:v>Cases row 94 passes</x:v>
      </x:c>
      <x:c r="D92" s="58" t="str">
        <x:v>PASS</x:v>
      </x:c>
      <x:c r="E92" s="58" t="str">
        <x:f>'Cases'!H94</x:f>
        <x:v>PASS</x:v>
      </x:c>
      <x:c r="F92" s="16" t="str">
        <x:f>IF(E92=D92,"PASS","FAIL")</x:f>
        <x:v>PASS</x:v>
      </x:c>
    </x:row>
    <x:row r="93">
      <x:c r="A93" s="16" t="str">
        <x:v>AU-090</x:v>
      </x:c>
      <x:c r="B93" s="16" t="str">
        <x:v>boundary case</x:v>
      </x:c>
      <x:c r="C93" s="16" t="str">
        <x:v>Cases row 95 passes</x:v>
      </x:c>
      <x:c r="D93" s="58" t="str">
        <x:v>PASS</x:v>
      </x:c>
      <x:c r="E93" s="58" t="str">
        <x:f>'Cases'!H95</x:f>
        <x:v>PASS</x:v>
      </x:c>
      <x:c r="F93" s="16" t="str">
        <x:f>IF(E93=D93,"PASS","FAIL")</x:f>
        <x:v>PASS</x:v>
      </x:c>
    </x:row>
    <x:row r="94">
      <x:c r="A94" s="16" t="str">
        <x:v>AU-091</x:v>
      </x:c>
      <x:c r="B94" s="16" t="str">
        <x:v>structure</x:v>
      </x:c>
      <x:c r="C94" s="16" t="str">
        <x:v>candidate count</x:v>
      </x:c>
      <x:c r="D94" s="58" t="n">
        <x:v>5</x:v>
      </x:c>
      <x:c r="E94" s="58" t="n">
        <x:f>'Candidate Screens'!B4</x:f>
        <x:v>5</x:v>
      </x:c>
      <x:c r="F94" s="16" t="str">
        <x:f>IF(E94=D94,"PASS","FAIL")</x:f>
        <x:v>PASS</x:v>
      </x:c>
    </x:row>
    <x:row r="95">
      <x:c r="A95" s="16" t="str">
        <x:v>AU-092</x:v>
      </x:c>
      <x:c r="B95" s="16" t="str">
        <x:v>structure</x:v>
      </x:c>
      <x:c r="C95" s="16" t="str">
        <x:v>article count</x:v>
      </x:c>
      <x:c r="D95" s="58" t="n">
        <x:v>30</x:v>
      </x:c>
      <x:c r="E95" s="58" t="n">
        <x:f>'Trial Register'!B3</x:f>
        <x:v>30</x:v>
      </x:c>
      <x:c r="F95" s="16" t="str">
        <x:f>IF(E95=D95,"PASS","FAIL")</x:f>
        <x:v>PASS</x:v>
      </x:c>
    </x:row>
    <x:row r="96">
      <x:c r="A96" s="16" t="str">
        <x:v>AU-093</x:v>
      </x:c>
      <x:c r="B96" s="16" t="str">
        <x:v>structure</x:v>
      </x:c>
      <x:c r="C96" s="16" t="str">
        <x:v>trial count</x:v>
      </x:c>
      <x:c r="D96" s="58" t="n">
        <x:v>180</x:v>
      </x:c>
      <x:c r="E96" s="58" t="n">
        <x:f>'Trial Register'!B4</x:f>
        <x:v>180</x:v>
      </x:c>
      <x:c r="F96" s="16" t="str">
        <x:f>IF(E96=D96,"PASS","FAIL")</x:f>
        <x:v>PASS</x:v>
      </x:c>
    </x:row>
    <x:row r="97">
      <x:c r="A97" s="16" t="str">
        <x:v>AU-094</x:v>
      </x:c>
      <x:c r="B97" s="16" t="str">
        <x:v>structure</x:v>
      </x:c>
      <x:c r="C97" s="16" t="str">
        <x:v>future packages</x:v>
      </x:c>
      <x:c r="D97" s="58" t="n">
        <x:v>30</x:v>
      </x:c>
      <x:c r="E97" s="58" t="n">
        <x:f>'Source Bank'!B4</x:f>
        <x:v>30</x:v>
      </x:c>
      <x:c r="F97" s="16" t="str">
        <x:f>IF(E97=D97,"PASS","FAIL")</x:f>
        <x:v>PASS</x:v>
      </x:c>
    </x:row>
    <x:row r="98">
      <x:c r="A98" s="16" t="str">
        <x:v>AU-095</x:v>
      </x:c>
      <x:c r="B98" s="16" t="str">
        <x:v>structure</x:v>
      </x:c>
      <x:c r="C98" s="16" t="str">
        <x:v>dossier objects</x:v>
      </x:c>
      <x:c r="D98" s="58" t="n">
        <x:v>236</x:v>
      </x:c>
      <x:c r="E98" s="58" t="n">
        <x:f>ROWS('Dossier'!A4:A239)</x:f>
        <x:v>236</x:v>
      </x:c>
      <x:c r="F98" s="16" t="str">
        <x:f>IF(E98=D98,"PASS","FAIL")</x:f>
        <x:v>PASS</x:v>
      </x:c>
    </x:row>
    <x:row r="99">
      <x:c r="A99" s="16" t="str">
        <x:v>AU-096</x:v>
      </x:c>
      <x:c r="B99" s="16" t="str">
        <x:v>structure</x:v>
      </x:c>
      <x:c r="C99" s="16" t="str">
        <x:v>event gates</x:v>
      </x:c>
      <x:c r="D99" s="58" t="n">
        <x:v>48</x:v>
      </x:c>
      <x:c r="E99" s="58" t="n">
        <x:f>ROWS('Event Gates'!A4:A51)</x:f>
        <x:v>48</x:v>
      </x:c>
      <x:c r="F99" s="16" t="str">
        <x:f>IF(E99=D99,"PASS","FAIL")</x:f>
        <x:v>PASS</x:v>
      </x:c>
    </x:row>
    <x:row r="100">
      <x:c r="A100" s="16" t="str">
        <x:v>AU-097</x:v>
      </x:c>
      <x:c r="B100" s="16" t="str">
        <x:v>structure</x:v>
      </x:c>
      <x:c r="C100" s="16" t="str">
        <x:v>return packages</x:v>
      </x:c>
      <x:c r="D100" s="58" t="n">
        <x:v>20</x:v>
      </x:c>
      <x:c r="E100" s="58" t="n">
        <x:f>ROWS('Return'!A8:A27)</x:f>
        <x:v>20</x:v>
      </x:c>
      <x:c r="F100" s="16" t="str">
        <x:f>IF(E100=D100,"PASS","FAIL")</x:f>
        <x:v>PASS</x:v>
      </x:c>
    </x:row>
    <x:row r="101">
      <x:c r="A101" s="16" t="str">
        <x:v>AU-098</x:v>
      </x:c>
      <x:c r="B101" s="16" t="str">
        <x:v>structure</x:v>
      </x:c>
      <x:c r="C101" s="16" t="str">
        <x:v>replay packet classes</x:v>
      </x:c>
      <x:c r="D101" s="58" t="n">
        <x:v>24</x:v>
      </x:c>
      <x:c r="E101" s="58" t="n">
        <x:f>ROWS('Evidence'!A18:A41)</x:f>
        <x:v>24</x:v>
      </x:c>
      <x:c r="F101" s="16" t="str">
        <x:f>IF(E101=D101,"PASS","FAIL")</x:f>
        <x:v>PASS</x:v>
      </x:c>
    </x:row>
    <x:row r="102">
      <x:c r="A102" s="16" t="str">
        <x:v>AU-099</x:v>
      </x:c>
      <x:c r="B102" s="16" t="str">
        <x:v>structure</x:v>
      </x:c>
      <x:c r="C102" s="16" t="str">
        <x:v>workforce</x:v>
      </x:c>
      <x:c r="D102" s="58" t="n">
        <x:v>448</x:v>
      </x:c>
      <x:c r="E102" s="58" t="n">
        <x:f>'Workforce'!B11</x:f>
        <x:v>448</x:v>
      </x:c>
      <x:c r="F102" s="16" t="str">
        <x:f>IF(E102=D102,"PASS","FAIL")</x:f>
        <x:v>PASS</x:v>
      </x:c>
    </x:row>
    <x:row r="103">
      <x:c r="A103" s="16" t="str">
        <x:v>AU-100</x:v>
      </x:c>
      <x:c r="B103" s="16" t="str">
        <x:v>structure</x:v>
      </x:c>
      <x:c r="C103" s="16" t="str">
        <x:v>candidate trials per architecture</x:v>
      </x:c>
      <x:c r="D103" s="58" t="n">
        <x:v>36</x:v>
      </x:c>
      <x:c r="E103" s="58" t="n">
        <x:f>'Candidate Gates'!B4</x:f>
        <x:v>36</x:v>
      </x:c>
      <x:c r="F103" s="16" t="str">
        <x:f>IF(E103=D103,"PASS","FAIL")</x:f>
        <x:v>PASS</x:v>
      </x:c>
    </x:row>
    <x:row r="104">
      <x:c r="A104" s="16" t="str">
        <x:v>AU-101</x:v>
      </x:c>
      <x:c r="B104" s="16" t="str">
        <x:v>structure</x:v>
      </x:c>
      <x:c r="C104" s="16" t="str">
        <x:v>candidate count</x:v>
      </x:c>
      <x:c r="D104" s="58" t="n">
        <x:v>5</x:v>
      </x:c>
      <x:c r="E104" s="58" t="n">
        <x:f>'Candidate Screens'!B4</x:f>
        <x:v>5</x:v>
      </x:c>
      <x:c r="F104" s="16" t="str">
        <x:f>IF(E104=D104,"PASS","FAIL")</x:f>
        <x:v>PASS</x:v>
      </x:c>
    </x:row>
    <x:row r="105">
      <x:c r="A105" s="16" t="str">
        <x:v>AU-102</x:v>
      </x:c>
      <x:c r="B105" s="16" t="str">
        <x:v>structure</x:v>
      </x:c>
      <x:c r="C105" s="16" t="str">
        <x:v>article count</x:v>
      </x:c>
      <x:c r="D105" s="58" t="n">
        <x:v>30</x:v>
      </x:c>
      <x:c r="E105" s="58" t="n">
        <x:f>'Trial Register'!B3</x:f>
        <x:v>30</x:v>
      </x:c>
      <x:c r="F105" s="16" t="str">
        <x:f>IF(E105=D105,"PASS","FAIL")</x:f>
        <x:v>PASS</x:v>
      </x:c>
    </x:row>
    <x:row r="106">
      <x:c r="A106" s="16" t="str">
        <x:v>AU-103</x:v>
      </x:c>
      <x:c r="B106" s="16" t="str">
        <x:v>structure</x:v>
      </x:c>
      <x:c r="C106" s="16" t="str">
        <x:v>trial count</x:v>
      </x:c>
      <x:c r="D106" s="58" t="n">
        <x:v>180</x:v>
      </x:c>
      <x:c r="E106" s="58" t="n">
        <x:f>'Trial Register'!B4</x:f>
        <x:v>180</x:v>
      </x:c>
      <x:c r="F106" s="16" t="str">
        <x:f>IF(E106=D106,"PASS","FAIL")</x:f>
        <x:v>PASS</x:v>
      </x:c>
    </x:row>
    <x:row r="107">
      <x:c r="A107" s="16" t="str">
        <x:v>AU-104</x:v>
      </x:c>
      <x:c r="B107" s="16" t="str">
        <x:v>structure</x:v>
      </x:c>
      <x:c r="C107" s="16" t="str">
        <x:v>future packages</x:v>
      </x:c>
      <x:c r="D107" s="58" t="n">
        <x:v>30</x:v>
      </x:c>
      <x:c r="E107" s="58" t="n">
        <x:f>'Source Bank'!B4</x:f>
        <x:v>30</x:v>
      </x:c>
      <x:c r="F107" s="16" t="str">
        <x:f>IF(E107=D107,"PASS","FAIL")</x:f>
        <x:v>PASS</x:v>
      </x:c>
    </x:row>
    <x:row r="108">
      <x:c r="A108" s="16" t="str">
        <x:v>AU-105</x:v>
      </x:c>
      <x:c r="B108" s="16" t="str">
        <x:v>structure</x:v>
      </x:c>
      <x:c r="C108" s="16" t="str">
        <x:v>dossier objects</x:v>
      </x:c>
      <x:c r="D108" s="58" t="n">
        <x:v>236</x:v>
      </x:c>
      <x:c r="E108" s="58" t="n">
        <x:f>ROWS('Dossier'!A4:A239)</x:f>
        <x:v>236</x:v>
      </x:c>
      <x:c r="F108" s="16" t="str">
        <x:f>IF(E108=D108,"PASS","FAIL")</x:f>
        <x:v>PASS</x:v>
      </x:c>
    </x:row>
    <x:row r="109">
      <x:c r="A109" s="16" t="str">
        <x:v>AU-106</x:v>
      </x:c>
      <x:c r="B109" s="16" t="str">
        <x:v>structure</x:v>
      </x:c>
      <x:c r="C109" s="16" t="str">
        <x:v>event gates</x:v>
      </x:c>
      <x:c r="D109" s="58" t="n">
        <x:v>48</x:v>
      </x:c>
      <x:c r="E109" s="58" t="n">
        <x:f>ROWS('Event Gates'!A4:A51)</x:f>
        <x:v>48</x:v>
      </x:c>
      <x:c r="F109" s="16" t="str">
        <x:f>IF(E109=D109,"PASS","FAIL")</x:f>
        <x:v>PASS</x:v>
      </x:c>
    </x:row>
    <x:row r="110">
      <x:c r="A110" s="16" t="str">
        <x:v>AU-107</x:v>
      </x:c>
      <x:c r="B110" s="16" t="str">
        <x:v>structure</x:v>
      </x:c>
      <x:c r="C110" s="16" t="str">
        <x:v>return packages</x:v>
      </x:c>
      <x:c r="D110" s="58" t="n">
        <x:v>20</x:v>
      </x:c>
      <x:c r="E110" s="58" t="n">
        <x:f>ROWS('Return'!A8:A27)</x:f>
        <x:v>20</x:v>
      </x:c>
      <x:c r="F110" s="16" t="str">
        <x:f>IF(E110=D110,"PASS","FAIL")</x:f>
        <x:v>PASS</x:v>
      </x:c>
    </x:row>
    <x:row r="111">
      <x:c r="A111" s="16" t="str">
        <x:v>AU-108</x:v>
      </x:c>
      <x:c r="B111" s="16" t="str">
        <x:v>structure</x:v>
      </x:c>
      <x:c r="C111" s="16" t="str">
        <x:v>replay packet classes</x:v>
      </x:c>
      <x:c r="D111" s="58" t="n">
        <x:v>24</x:v>
      </x:c>
      <x:c r="E111" s="58" t="n">
        <x:f>ROWS('Evidence'!A18:A41)</x:f>
        <x:v>24</x:v>
      </x:c>
      <x:c r="F111" s="16" t="str">
        <x:f>IF(E111=D111,"PASS","FAIL")</x:f>
        <x:v>PASS</x:v>
      </x:c>
    </x:row>
    <x:row r="112">
      <x:c r="A112" s="16" t="str">
        <x:v>AU-109</x:v>
      </x:c>
      <x:c r="B112" s="16" t="str">
        <x:v>structure</x:v>
      </x:c>
      <x:c r="C112" s="16" t="str">
        <x:v>workforce</x:v>
      </x:c>
      <x:c r="D112" s="58" t="n">
        <x:v>448</x:v>
      </x:c>
      <x:c r="E112" s="58" t="n">
        <x:f>'Workforce'!B11</x:f>
        <x:v>448</x:v>
      </x:c>
      <x:c r="F112" s="16" t="str">
        <x:f>IF(E112=D112,"PASS","FAIL")</x:f>
        <x:v>PASS</x:v>
      </x:c>
    </x:row>
    <x:row r="113">
      <x:c r="A113" s="16" t="str">
        <x:v>AU-110</x:v>
      </x:c>
      <x:c r="B113" s="16" t="str">
        <x:v>structure</x:v>
      </x:c>
      <x:c r="C113" s="16" t="str">
        <x:v>candidate trials per architecture</x:v>
      </x:c>
      <x:c r="D113" s="58" t="n">
        <x:v>36</x:v>
      </x:c>
      <x:c r="E113" s="58" t="n">
        <x:f>'Candidate Gates'!B4</x:f>
        <x:v>36</x:v>
      </x:c>
      <x:c r="F113" s="16" t="str">
        <x:f>IF(E113=D113,"PASS","FAIL")</x:f>
        <x:v>PASS</x:v>
      </x:c>
    </x:row>
    <x:row r="114">
      <x:c r="A114" s="16" t="str">
        <x:v>AU-111</x:v>
      </x:c>
      <x:c r="B114" s="16" t="str">
        <x:v>structure</x:v>
      </x:c>
      <x:c r="C114" s="16" t="str">
        <x:v>candidate count</x:v>
      </x:c>
      <x:c r="D114" s="58" t="n">
        <x:v>5</x:v>
      </x:c>
      <x:c r="E114" s="58" t="n">
        <x:f>'Candidate Screens'!B4</x:f>
        <x:v>5</x:v>
      </x:c>
      <x:c r="F114" s="16" t="str">
        <x:f>IF(E114=D114,"PASS","FAIL")</x:f>
        <x:v>PASS</x:v>
      </x:c>
    </x:row>
    <x:row r="115">
      <x:c r="A115" s="16" t="str">
        <x:v>AU-112</x:v>
      </x:c>
      <x:c r="B115" s="16" t="str">
        <x:v>structure</x:v>
      </x:c>
      <x:c r="C115" s="16" t="str">
        <x:v>article count</x:v>
      </x:c>
      <x:c r="D115" s="58" t="n">
        <x:v>30</x:v>
      </x:c>
      <x:c r="E115" s="58" t="n">
        <x:f>'Trial Register'!B3</x:f>
        <x:v>30</x:v>
      </x:c>
      <x:c r="F115" s="16" t="str">
        <x:f>IF(E115=D115,"PASS","FAIL")</x:f>
        <x:v>PASS</x:v>
      </x:c>
    </x:row>
    <x:row r="116">
      <x:c r="A116" s="16" t="str">
        <x:v>AU-113</x:v>
      </x:c>
      <x:c r="B116" s="16" t="str">
        <x:v>structure</x:v>
      </x:c>
      <x:c r="C116" s="16" t="str">
        <x:v>trial count</x:v>
      </x:c>
      <x:c r="D116" s="58" t="n">
        <x:v>180</x:v>
      </x:c>
      <x:c r="E116" s="58" t="n">
        <x:f>'Trial Register'!B4</x:f>
        <x:v>180</x:v>
      </x:c>
      <x:c r="F116" s="16" t="str">
        <x:f>IF(E116=D116,"PASS","FAIL")</x:f>
        <x:v>PASS</x:v>
      </x:c>
    </x:row>
    <x:row r="117">
      <x:c r="A117" s="16" t="str">
        <x:v>AU-114</x:v>
      </x:c>
      <x:c r="B117" s="16" t="str">
        <x:v>structure</x:v>
      </x:c>
      <x:c r="C117" s="16" t="str">
        <x:v>future packages</x:v>
      </x:c>
      <x:c r="D117" s="58" t="n">
        <x:v>30</x:v>
      </x:c>
      <x:c r="E117" s="58" t="n">
        <x:f>'Source Bank'!B4</x:f>
        <x:v>30</x:v>
      </x:c>
      <x:c r="F117" s="16" t="str">
        <x:f>IF(E117=D117,"PASS","FAIL")</x:f>
        <x:v>PASS</x:v>
      </x:c>
    </x:row>
    <x:row r="118">
      <x:c r="A118" s="16" t="str">
        <x:v>AU-115</x:v>
      </x:c>
      <x:c r="B118" s="16" t="str">
        <x:v>structure</x:v>
      </x:c>
      <x:c r="C118" s="16" t="str">
        <x:v>dossier objects</x:v>
      </x:c>
      <x:c r="D118" s="58" t="n">
        <x:v>236</x:v>
      </x:c>
      <x:c r="E118" s="58" t="n">
        <x:f>ROWS('Dossier'!A4:A239)</x:f>
        <x:v>236</x:v>
      </x:c>
      <x:c r="F118" s="16" t="str">
        <x:f>IF(E118=D118,"PASS","FAIL")</x:f>
        <x:v>PASS</x:v>
      </x:c>
    </x:row>
    <x:row r="119">
      <x:c r="A119" s="16" t="str">
        <x:v>AU-116</x:v>
      </x:c>
      <x:c r="B119" s="16" t="str">
        <x:v>structure</x:v>
      </x:c>
      <x:c r="C119" s="16" t="str">
        <x:v>event gates</x:v>
      </x:c>
      <x:c r="D119" s="58" t="n">
        <x:v>48</x:v>
      </x:c>
      <x:c r="E119" s="58" t="n">
        <x:f>ROWS('Event Gates'!A4:A51)</x:f>
        <x:v>48</x:v>
      </x:c>
      <x:c r="F119" s="16" t="str">
        <x:f>IF(E119=D119,"PASS","FAIL")</x:f>
        <x:v>PASS</x:v>
      </x:c>
    </x:row>
    <x:row r="120">
      <x:c r="A120" s="16" t="str">
        <x:v>AU-117</x:v>
      </x:c>
      <x:c r="B120" s="16" t="str">
        <x:v>structure</x:v>
      </x:c>
      <x:c r="C120" s="16" t="str">
        <x:v>return packages</x:v>
      </x:c>
      <x:c r="D120" s="58" t="n">
        <x:v>20</x:v>
      </x:c>
      <x:c r="E120" s="58" t="n">
        <x:f>ROWS('Return'!A8:A27)</x:f>
        <x:v>20</x:v>
      </x:c>
      <x:c r="F120" s="16" t="str">
        <x:f>IF(E120=D120,"PASS","FAIL")</x:f>
        <x:v>PASS</x:v>
      </x:c>
    </x:row>
    <x:row r="121">
      <x:c r="A121" s="16" t="str">
        <x:v>AU-118</x:v>
      </x:c>
      <x:c r="B121" s="16" t="str">
        <x:v>structure</x:v>
      </x:c>
      <x:c r="C121" s="16" t="str">
        <x:v>replay packet classes</x:v>
      </x:c>
      <x:c r="D121" s="58" t="n">
        <x:v>24</x:v>
      </x:c>
      <x:c r="E121" s="58" t="n">
        <x:f>ROWS('Evidence'!A18:A41)</x:f>
        <x:v>24</x:v>
      </x:c>
      <x:c r="F121" s="16" t="str">
        <x:f>IF(E121=D121,"PASS","FAIL")</x:f>
        <x:v>PASS</x:v>
      </x:c>
    </x:row>
    <x:row r="122">
      <x:c r="A122" s="16" t="str">
        <x:v>AU-119</x:v>
      </x:c>
      <x:c r="B122" s="16" t="str">
        <x:v>structure</x:v>
      </x:c>
      <x:c r="C122" s="16" t="str">
        <x:v>workforce</x:v>
      </x:c>
      <x:c r="D122" s="58" t="n">
        <x:v>448</x:v>
      </x:c>
      <x:c r="E122" s="58" t="n">
        <x:f>'Workforce'!B11</x:f>
        <x:v>448</x:v>
      </x:c>
      <x:c r="F122" s="16" t="str">
        <x:f>IF(E122=D122,"PASS","FAIL")</x:f>
        <x:v>PASS</x:v>
      </x:c>
    </x:row>
    <x:row r="123">
      <x:c r="A123" s="16" t="str">
        <x:v>AU-120</x:v>
      </x:c>
      <x:c r="B123" s="16" t="str">
        <x:v>structure</x:v>
      </x:c>
      <x:c r="C123" s="16" t="str">
        <x:v>candidate trials per architecture</x:v>
      </x:c>
      <x:c r="D123" s="58" t="n">
        <x:v>36</x:v>
      </x:c>
      <x:c r="E123" s="58" t="n">
        <x:f>'Candidate Gates'!B4</x:f>
        <x:v>36</x:v>
      </x:c>
      <x:c r="F123" s="16" t="str">
        <x:f>IF(E123=D123,"PASS","FAIL")</x:f>
        <x:v>PASS</x:v>
      </x:c>
    </x:row>
    <x:row r="124">
      <x:c r="A124" s="16" t="str">
        <x:v>AU-121</x:v>
      </x:c>
      <x:c r="B124" s="16" t="str">
        <x:v>reconciliation</x:v>
      </x:c>
      <x:c r="C124" s="16" t="str">
        <x:v>capital total</x:v>
      </x:c>
      <x:c r="D124" s="58" t="n">
        <x:v>70</x:v>
      </x:c>
      <x:c r="E124" s="58" t="n">
        <x:f>'Finance'!E13</x:f>
        <x:v>70</x:v>
      </x:c>
      <x:c r="F124" s="16" t="str">
        <x:f>IF(ABS(E124-D124)&lt;=0.000001,"PASS","FAIL")</x:f>
        <x:v>PASS</x:v>
      </x:c>
    </x:row>
    <x:row r="125">
      <x:c r="A125" s="16" t="str">
        <x:v>AU-122</x:v>
      </x:c>
      <x:c r="B125" s="16" t="str">
        <x:v>reconciliation</x:v>
      </x:c>
      <x:c r="C125" s="16" t="str">
        <x:v>support total</x:v>
      </x:c>
      <x:c r="D125" s="58" t="n">
        <x:v>9</x:v>
      </x:c>
      <x:c r="E125" s="58" t="n">
        <x:f>'Finance'!E24</x:f>
        <x:v>9</x:v>
      </x:c>
      <x:c r="F125" s="16" t="str">
        <x:f>IF(ABS(E125-D125)&lt;=0.000001,"PASS","FAIL")</x:f>
        <x:v>PASS</x:v>
      </x:c>
    </x:row>
    <x:row r="126">
      <x:c r="A126" s="16" t="str">
        <x:v>AU-123</x:v>
      </x:c>
      <x:c r="B126" s="16" t="str">
        <x:v>reconciliation</x:v>
      </x:c>
      <x:c r="C126" s="16" t="str">
        <x:v>technology total</x:v>
      </x:c>
      <x:c r="D126" s="58" t="n">
        <x:v>90</x:v>
      </x:c>
      <x:c r="E126" s="58" t="n">
        <x:f>'Finance'!H14</x:f>
        <x:v>90</x:v>
      </x:c>
      <x:c r="F126" s="16" t="str">
        <x:f>IF(ABS(E126-D126)&lt;=0.000001,"PASS","FAIL")</x:f>
        <x:v>PASS</x:v>
      </x:c>
    </x:row>
    <x:row r="127">
      <x:c r="A127" s="16" t="str">
        <x:v>AU-124</x:v>
      </x:c>
      <x:c r="B127" s="16" t="str">
        <x:v>reconciliation</x:v>
      </x:c>
      <x:c r="C127" s="16" t="str">
        <x:v>stage exposure</x:v>
      </x:c>
      <x:c r="D127" s="58" t="n">
        <x:v>81.25</x:v>
      </x:c>
      <x:c r="E127" s="58" t="n">
        <x:f>'Finance'!B7</x:f>
        <x:v>81.25</x:v>
      </x:c>
      <x:c r="F127" s="16" t="str">
        <x:f>IF(ABS(E127-D127)&lt;=0.000001,"PASS","FAIL")</x:f>
        <x:v>PASS</x:v>
      </x:c>
    </x:row>
    <x:row r="128">
      <x:c r="A128" s="16" t="str">
        <x:v>AU-125</x:v>
      </x:c>
      <x:c r="B128" s="16" t="str">
        <x:v>reconciliation</x:v>
      </x:c>
      <x:c r="C128" s="16" t="str">
        <x:v>cumulative exposure</x:v>
      </x:c>
      <x:c r="D128" s="58" t="n">
        <x:v>938.25</x:v>
      </x:c>
      <x:c r="E128" s="58" t="n">
        <x:f>'Finance'!B8</x:f>
        <x:v>938.25</x:v>
      </x:c>
      <x:c r="F128" s="16" t="str">
        <x:f>IF(ABS(E128-D128)&lt;=0.000001,"PASS","FAIL")</x:f>
        <x:v>PASS</x:v>
      </x:c>
    </x:row>
    <x:row r="129">
      <x:c r="A129" s="16" t="str">
        <x:v>AU-126</x:v>
      </x:c>
      <x:c r="B129" s="16" t="str">
        <x:v>reconciliation</x:v>
      </x:c>
      <x:c r="C129" s="16" t="str">
        <x:v>parent difference</x:v>
      </x:c>
      <x:c r="D129" s="58" t="n">
        <x:v>269.25</x:v>
      </x:c>
      <x:c r="E129" s="58" t="n">
        <x:f>'Finance'!B10</x:f>
        <x:v>269.25</x:v>
      </x:c>
      <x:c r="F129" s="16" t="str">
        <x:f>IF(ABS(E129-D129)&lt;=0.000001,"PASS","FAIL")</x:f>
        <x:v>PASS</x:v>
      </x:c>
    </x:row>
    <x:row r="130">
      <x:c r="A130" s="16" t="str">
        <x:v>AU-127</x:v>
      </x:c>
      <x:c r="B130" s="16" t="str">
        <x:v>reconciliation</x:v>
      </x:c>
      <x:c r="C130" s="16" t="str">
        <x:v>receiver target</x:v>
      </x:c>
      <x:c r="D130" s="58" t="n">
        <x:v>0.8</x:v>
      </x:c>
      <x:c r="E130" s="58" t="n">
        <x:f>'Receiver'!B10</x:f>
        <x:v>0.8</x:v>
      </x:c>
      <x:c r="F130" s="16" t="str">
        <x:f>IF(ABS(E130-D130)&lt;=0.000001,"PASS","FAIL")</x:f>
        <x:v>PASS</x:v>
      </x:c>
    </x:row>
    <x:row r="131">
      <x:c r="A131" s="16" t="str">
        <x:v>AU-128</x:v>
      </x:c>
      <x:c r="B131" s="16" t="str">
        <x:v>reconciliation</x:v>
      </x:c>
      <x:c r="C131" s="16" t="str">
        <x:v>expanded uncertainty</x:v>
      </x:c>
      <x:c r="D131" s="58" t="n">
        <x:v>3.67831483155</x:v>
      </x:c>
      <x:c r="E131" s="58" t="n">
        <x:f>'Uncertainty'!B15</x:f>
        <x:v>3.6783148315499044</x:v>
      </x:c>
      <x:c r="F131" s="16" t="str">
        <x:f>IF(ABS(E131-D131)&lt;=0.000001,"PASS","FAIL")</x:f>
        <x:v>PASS</x:v>
      </x:c>
    </x:row>
    <x:row r="132">
      <x:c r="A132" s="16" t="str">
        <x:v>AU-129</x:v>
      </x:c>
      <x:c r="B132" s="16" t="str">
        <x:v>reconciliation</x:v>
      </x:c>
      <x:c r="C132" s="16" t="str">
        <x:v>two-attempt evidence</x:v>
      </x:c>
      <x:c r="D132" s="58" t="n">
        <x:v>991.972055693</x:v>
      </x:c>
      <x:c r="E132" s="58" t="n">
        <x:f>'Evidence'!B11</x:f>
        <x:v>991.9720556928002</x:v>
      </x:c>
      <x:c r="F132" s="16" t="str">
        <x:f>IF(ABS(E132-D132)&lt;=0.000001,"PASS","FAIL")</x:f>
        <x:v>PASS</x:v>
      </x:c>
    </x:row>
    <x:row r="133">
      <x:c r="A133" s="16" t="str">
        <x:v>AU-130</x:v>
      </x:c>
      <x:c r="B133" s="16" t="str">
        <x:v>reconciliation</x:v>
      </x:c>
      <x:c r="C133" s="16" t="str">
        <x:v>reserve selection</x:v>
      </x:c>
      <x:c r="D133" s="58" t="n">
        <x:v>8</x:v>
      </x:c>
      <x:c r="E133" s="58" t="n">
        <x:f>'Reserve Capacity'!B14</x:f>
        <x:v>8</x:v>
      </x:c>
      <x:c r="F133" s="16" t="str">
        <x:f>IF(ABS(E133-D133)&lt;=0.000001,"PASS","FAIL")</x:f>
        <x:v>PASS</x:v>
      </x:c>
    </x:row>
    <x:row r="134">
      <x:c r="A134" s="16" t="str">
        <x:v>AU-131</x:v>
      </x:c>
      <x:c r="B134" s="16" t="str">
        <x:v>reconciliation</x:v>
      </x:c>
      <x:c r="C134" s="16" t="str">
        <x:v>capital total</x:v>
      </x:c>
      <x:c r="D134" s="58" t="n">
        <x:v>70</x:v>
      </x:c>
      <x:c r="E134" s="58" t="n">
        <x:f>'Finance'!E13</x:f>
        <x:v>70</x:v>
      </x:c>
      <x:c r="F134" s="16" t="str">
        <x:f>IF(ABS(E134-D134)&lt;=0.000001,"PASS","FAIL")</x:f>
        <x:v>PASS</x:v>
      </x:c>
    </x:row>
    <x:row r="135">
      <x:c r="A135" s="16" t="str">
        <x:v>AU-132</x:v>
      </x:c>
      <x:c r="B135" s="16" t="str">
        <x:v>reconciliation</x:v>
      </x:c>
      <x:c r="C135" s="16" t="str">
        <x:v>support total</x:v>
      </x:c>
      <x:c r="D135" s="58" t="n">
        <x:v>9</x:v>
      </x:c>
      <x:c r="E135" s="58" t="n">
        <x:f>'Finance'!E24</x:f>
        <x:v>9</x:v>
      </x:c>
      <x:c r="F135" s="16" t="str">
        <x:f>IF(ABS(E135-D135)&lt;=0.000001,"PASS","FAIL")</x:f>
        <x:v>PASS</x:v>
      </x:c>
    </x:row>
    <x:row r="136">
      <x:c r="A136" s="16" t="str">
        <x:v>AU-133</x:v>
      </x:c>
      <x:c r="B136" s="16" t="str">
        <x:v>reconciliation</x:v>
      </x:c>
      <x:c r="C136" s="16" t="str">
        <x:v>technology total</x:v>
      </x:c>
      <x:c r="D136" s="58" t="n">
        <x:v>90</x:v>
      </x:c>
      <x:c r="E136" s="58" t="n">
        <x:f>'Finance'!H14</x:f>
        <x:v>90</x:v>
      </x:c>
      <x:c r="F136" s="16" t="str">
        <x:f>IF(ABS(E136-D136)&lt;=0.000001,"PASS","FAIL")</x:f>
        <x:v>PASS</x:v>
      </x:c>
    </x:row>
    <x:row r="137">
      <x:c r="A137" s="16" t="str">
        <x:v>AU-134</x:v>
      </x:c>
      <x:c r="B137" s="16" t="str">
        <x:v>reconciliation</x:v>
      </x:c>
      <x:c r="C137" s="16" t="str">
        <x:v>stage exposure</x:v>
      </x:c>
      <x:c r="D137" s="58" t="n">
        <x:v>81.25</x:v>
      </x:c>
      <x:c r="E137" s="58" t="n">
        <x:f>'Finance'!B7</x:f>
        <x:v>81.25</x:v>
      </x:c>
      <x:c r="F137" s="16" t="str">
        <x:f>IF(ABS(E137-D137)&lt;=0.000001,"PASS","FAIL")</x:f>
        <x:v>PASS</x:v>
      </x:c>
    </x:row>
    <x:row r="138">
      <x:c r="A138" s="16" t="str">
        <x:v>AU-135</x:v>
      </x:c>
      <x:c r="B138" s="16" t="str">
        <x:v>reconciliation</x:v>
      </x:c>
      <x:c r="C138" s="16" t="str">
        <x:v>cumulative exposure</x:v>
      </x:c>
      <x:c r="D138" s="58" t="n">
        <x:v>938.25</x:v>
      </x:c>
      <x:c r="E138" s="58" t="n">
        <x:f>'Finance'!B8</x:f>
        <x:v>938.25</x:v>
      </x:c>
      <x:c r="F138" s="16" t="str">
        <x:f>IF(ABS(E138-D138)&lt;=0.000001,"PASS","FAIL")</x:f>
        <x:v>PASS</x:v>
      </x:c>
    </x:row>
    <x:row r="139">
      <x:c r="A139" s="16" t="str">
        <x:v>AU-136</x:v>
      </x:c>
      <x:c r="B139" s="16" t="str">
        <x:v>reconciliation</x:v>
      </x:c>
      <x:c r="C139" s="16" t="str">
        <x:v>parent difference</x:v>
      </x:c>
      <x:c r="D139" s="58" t="n">
        <x:v>269.25</x:v>
      </x:c>
      <x:c r="E139" s="58" t="n">
        <x:f>'Finance'!B10</x:f>
        <x:v>269.25</x:v>
      </x:c>
      <x:c r="F139" s="16" t="str">
        <x:f>IF(ABS(E139-D139)&lt;=0.000001,"PASS","FAIL")</x:f>
        <x:v>PASS</x:v>
      </x:c>
    </x:row>
    <x:row r="140">
      <x:c r="A140" s="16" t="str">
        <x:v>AU-137</x:v>
      </x:c>
      <x:c r="B140" s="16" t="str">
        <x:v>reconciliation</x:v>
      </x:c>
      <x:c r="C140" s="16" t="str">
        <x:v>receiver target</x:v>
      </x:c>
      <x:c r="D140" s="58" t="n">
        <x:v>0.8</x:v>
      </x:c>
      <x:c r="E140" s="58" t="n">
        <x:f>'Receiver'!B10</x:f>
        <x:v>0.8</x:v>
      </x:c>
      <x:c r="F140" s="16" t="str">
        <x:f>IF(ABS(E140-D140)&lt;=0.000001,"PASS","FAIL")</x:f>
        <x:v>PASS</x:v>
      </x:c>
    </x:row>
    <x:row r="141">
      <x:c r="A141" s="16" t="str">
        <x:v>AU-138</x:v>
      </x:c>
      <x:c r="B141" s="16" t="str">
        <x:v>reconciliation</x:v>
      </x:c>
      <x:c r="C141" s="16" t="str">
        <x:v>expanded uncertainty</x:v>
      </x:c>
      <x:c r="D141" s="58" t="n">
        <x:v>3.67831483155</x:v>
      </x:c>
      <x:c r="E141" s="58" t="n">
        <x:f>'Uncertainty'!B15</x:f>
        <x:v>3.6783148315499044</x:v>
      </x:c>
      <x:c r="F141" s="16" t="str">
        <x:f>IF(ABS(E141-D141)&lt;=0.000001,"PASS","FAIL")</x:f>
        <x:v>PASS</x:v>
      </x:c>
    </x:row>
    <x:row r="142">
      <x:c r="A142" s="16" t="str">
        <x:v>AU-139</x:v>
      </x:c>
      <x:c r="B142" s="16" t="str">
        <x:v>reconciliation</x:v>
      </x:c>
      <x:c r="C142" s="16" t="str">
        <x:v>two-attempt evidence</x:v>
      </x:c>
      <x:c r="D142" s="58" t="n">
        <x:v>991.972055693</x:v>
      </x:c>
      <x:c r="E142" s="58" t="n">
        <x:f>'Evidence'!B11</x:f>
        <x:v>991.9720556928002</x:v>
      </x:c>
      <x:c r="F142" s="16" t="str">
        <x:f>IF(ABS(E142-D142)&lt;=0.000001,"PASS","FAIL")</x:f>
        <x:v>PASS</x:v>
      </x:c>
    </x:row>
    <x:row r="143">
      <x:c r="A143" s="16" t="str">
        <x:v>AU-140</x:v>
      </x:c>
      <x:c r="B143" s="16" t="str">
        <x:v>reconciliation</x:v>
      </x:c>
      <x:c r="C143" s="16" t="str">
        <x:v>reserve selection</x:v>
      </x:c>
      <x:c r="D143" s="58" t="n">
        <x:v>8</x:v>
      </x:c>
      <x:c r="E143" s="58" t="n">
        <x:f>'Reserve Capacity'!B14</x:f>
        <x:v>8</x:v>
      </x:c>
      <x:c r="F143" s="16" t="str">
        <x:f>IF(ABS(E143-D143)&lt;=0.000001,"PASS","FAIL")</x:f>
        <x:v>PASS</x:v>
      </x:c>
    </x:row>
    <x:row r="144">
      <x:c r="A144" s="16" t="str">
        <x:v>AU-141</x:v>
      </x:c>
      <x:c r="B144" s="16" t="str">
        <x:v>reconciliation</x:v>
      </x:c>
      <x:c r="C144" s="16" t="str">
        <x:v>capital total</x:v>
      </x:c>
      <x:c r="D144" s="58" t="n">
        <x:v>70</x:v>
      </x:c>
      <x:c r="E144" s="58" t="n">
        <x:f>'Finance'!E13</x:f>
        <x:v>70</x:v>
      </x:c>
      <x:c r="F144" s="16" t="str">
        <x:f>IF(ABS(E144-D144)&lt;=0.000001,"PASS","FAIL")</x:f>
        <x:v>PASS</x:v>
      </x:c>
    </x:row>
    <x:row r="145">
      <x:c r="A145" s="16" t="str">
        <x:v>AU-142</x:v>
      </x:c>
      <x:c r="B145" s="16" t="str">
        <x:v>reconciliation</x:v>
      </x:c>
      <x:c r="C145" s="16" t="str">
        <x:v>support total</x:v>
      </x:c>
      <x:c r="D145" s="58" t="n">
        <x:v>9</x:v>
      </x:c>
      <x:c r="E145" s="58" t="n">
        <x:f>'Finance'!E24</x:f>
        <x:v>9</x:v>
      </x:c>
      <x:c r="F145" s="16" t="str">
        <x:f>IF(ABS(E145-D145)&lt;=0.000001,"PASS","FAIL")</x:f>
        <x:v>PASS</x:v>
      </x:c>
    </x:row>
    <x:row r="146">
      <x:c r="A146" s="16" t="str">
        <x:v>AU-143</x:v>
      </x:c>
      <x:c r="B146" s="16" t="str">
        <x:v>reconciliation</x:v>
      </x:c>
      <x:c r="C146" s="16" t="str">
        <x:v>technology total</x:v>
      </x:c>
      <x:c r="D146" s="58" t="n">
        <x:v>90</x:v>
      </x:c>
      <x:c r="E146" s="58" t="n">
        <x:f>'Finance'!H14</x:f>
        <x:v>90</x:v>
      </x:c>
      <x:c r="F146" s="16" t="str">
        <x:f>IF(ABS(E146-D146)&lt;=0.000001,"PASS","FAIL")</x:f>
        <x:v>PASS</x:v>
      </x:c>
    </x:row>
    <x:row r="147">
      <x:c r="A147" s="16" t="str">
        <x:v>AU-144</x:v>
      </x:c>
      <x:c r="B147" s="16" t="str">
        <x:v>reconciliation</x:v>
      </x:c>
      <x:c r="C147" s="16" t="str">
        <x:v>stage exposure</x:v>
      </x:c>
      <x:c r="D147" s="58" t="n">
        <x:v>81.25</x:v>
      </x:c>
      <x:c r="E147" s="58" t="n">
        <x:f>'Finance'!B7</x:f>
        <x:v>81.25</x:v>
      </x:c>
      <x:c r="F147" s="16" t="str">
        <x:f>IF(ABS(E147-D147)&lt;=0.000001,"PASS","FAIL")</x:f>
        <x:v>PASS</x:v>
      </x:c>
    </x:row>
    <x:row r="148">
      <x:c r="A148" s="16" t="str">
        <x:v>AU-145</x:v>
      </x:c>
      <x:c r="B148" s="16" t="str">
        <x:v>reconciliation</x:v>
      </x:c>
      <x:c r="C148" s="16" t="str">
        <x:v>cumulative exposure</x:v>
      </x:c>
      <x:c r="D148" s="58" t="n">
        <x:v>938.25</x:v>
      </x:c>
      <x:c r="E148" s="58" t="n">
        <x:f>'Finance'!B8</x:f>
        <x:v>938.25</x:v>
      </x:c>
      <x:c r="F148" s="16" t="str">
        <x:f>IF(ABS(E148-D148)&lt;=0.000001,"PASS","FAIL")</x:f>
        <x:v>PASS</x:v>
      </x:c>
    </x:row>
    <x:row r="149">
      <x:c r="A149" s="16" t="str">
        <x:v>AU-146</x:v>
      </x:c>
      <x:c r="B149" s="16" t="str">
        <x:v>reconciliation</x:v>
      </x:c>
      <x:c r="C149" s="16" t="str">
        <x:v>parent difference</x:v>
      </x:c>
      <x:c r="D149" s="58" t="n">
        <x:v>269.25</x:v>
      </x:c>
      <x:c r="E149" s="58" t="n">
        <x:f>'Finance'!B10</x:f>
        <x:v>269.25</x:v>
      </x:c>
      <x:c r="F149" s="16" t="str">
        <x:f>IF(ABS(E149-D149)&lt;=0.000001,"PASS","FAIL")</x:f>
        <x:v>PASS</x:v>
      </x:c>
    </x:row>
    <x:row r="150">
      <x:c r="A150" s="16" t="str">
        <x:v>AU-147</x:v>
      </x:c>
      <x:c r="B150" s="16" t="str">
        <x:v>reconciliation</x:v>
      </x:c>
      <x:c r="C150" s="16" t="str">
        <x:v>receiver target</x:v>
      </x:c>
      <x:c r="D150" s="58" t="n">
        <x:v>0.8</x:v>
      </x:c>
      <x:c r="E150" s="58" t="n">
        <x:f>'Receiver'!B10</x:f>
        <x:v>0.8</x:v>
      </x:c>
      <x:c r="F150" s="16" t="str">
        <x:f>IF(ABS(E150-D150)&lt;=0.000001,"PASS","FAIL")</x:f>
        <x:v>PASS</x:v>
      </x:c>
    </x:row>
    <x:row r="151">
      <x:c r="A151" s="16" t="str">
        <x:v>AU-148</x:v>
      </x:c>
      <x:c r="B151" s="16" t="str">
        <x:v>reconciliation</x:v>
      </x:c>
      <x:c r="C151" s="16" t="str">
        <x:v>expanded uncertainty</x:v>
      </x:c>
      <x:c r="D151" s="58" t="n">
        <x:v>3.67831483155</x:v>
      </x:c>
      <x:c r="E151" s="58" t="n">
        <x:f>'Uncertainty'!B15</x:f>
        <x:v>3.6783148315499044</x:v>
      </x:c>
      <x:c r="F151" s="16" t="str">
        <x:f>IF(ABS(E151-D151)&lt;=0.000001,"PASS","FAIL")</x:f>
        <x:v>PASS</x:v>
      </x:c>
    </x:row>
    <x:row r="152">
      <x:c r="A152" s="16" t="str">
        <x:v>AU-149</x:v>
      </x:c>
      <x:c r="B152" s="16" t="str">
        <x:v>reconciliation</x:v>
      </x:c>
      <x:c r="C152" s="16" t="str">
        <x:v>two-attempt evidence</x:v>
      </x:c>
      <x:c r="D152" s="58" t="n">
        <x:v>991.972055693</x:v>
      </x:c>
      <x:c r="E152" s="58" t="n">
        <x:f>'Evidence'!B11</x:f>
        <x:v>991.9720556928002</x:v>
      </x:c>
      <x:c r="F152" s="16" t="str">
        <x:f>IF(ABS(E152-D152)&lt;=0.000001,"PASS","FAIL")</x:f>
        <x:v>PASS</x:v>
      </x:c>
    </x:row>
    <x:row r="153">
      <x:c r="A153" s="16" t="str">
        <x:v>AU-150</x:v>
      </x:c>
      <x:c r="B153" s="16" t="str">
        <x:v>reconciliation</x:v>
      </x:c>
      <x:c r="C153" s="16" t="str">
        <x:v>reserve selection</x:v>
      </x:c>
      <x:c r="D153" s="58" t="n">
        <x:v>8</x:v>
      </x:c>
      <x:c r="E153" s="58" t="n">
        <x:f>'Reserve Capacity'!B14</x:f>
        <x:v>8</x:v>
      </x:c>
      <x:c r="F153" s="16" t="str">
        <x:f>IF(ABS(E153-D153)&lt;=0.000001,"PASS","FAIL")</x:f>
        <x:v>PASS</x:v>
      </x:c>
    </x:row>
    <x:row r="154">
      <x:c r="A154" s="16" t="str">
        <x:v>AU-151</x:v>
      </x:c>
      <x:c r="B154" s="16" t="str">
        <x:v>open physical state</x:v>
      </x:c>
      <x:c r="C154" s="16" t="str">
        <x:v>unexecuted field remains open</x:v>
      </x:c>
      <x:c r="D154" s="58" t="str">
        <x:v>OPEN</x:v>
      </x:c>
      <x:c r="E154" s="58" t="str">
        <x:f>'Candidate Gates'!L4</x:f>
        <x:v>OPEN</x:v>
      </x:c>
      <x:c r="F154" s="16" t="str">
        <x:f>IF(E154=D154,"PASS","FAIL")</x:f>
        <x:v>PASS</x:v>
      </x:c>
    </x:row>
    <x:row r="155">
      <x:c r="A155" s="16" t="str">
        <x:v>AU-152</x:v>
      </x:c>
      <x:c r="B155" s="16" t="str">
        <x:v>open physical state</x:v>
      </x:c>
      <x:c r="C155" s="16" t="str">
        <x:v>unexecuted field remains open</x:v>
      </x:c>
      <x:c r="D155" s="58" t="str">
        <x:v>OPEN</x:v>
      </x:c>
      <x:c r="E155" s="58" t="str">
        <x:f>'Candidate Gates'!L5</x:f>
        <x:v>OPEN</x:v>
      </x:c>
      <x:c r="F155" s="16" t="str">
        <x:f>IF(E155=D155,"PASS","FAIL")</x:f>
        <x:v>PASS</x:v>
      </x:c>
    </x:row>
    <x:row r="156">
      <x:c r="A156" s="16" t="str">
        <x:v>AU-153</x:v>
      </x:c>
      <x:c r="B156" s="16" t="str">
        <x:v>open physical state</x:v>
      </x:c>
      <x:c r="C156" s="16" t="str">
        <x:v>unexecuted field remains open</x:v>
      </x:c>
      <x:c r="D156" s="58" t="str">
        <x:v>OPEN</x:v>
      </x:c>
      <x:c r="E156" s="58" t="str">
        <x:f>'Candidate Gates'!L6</x:f>
        <x:v>OPEN</x:v>
      </x:c>
      <x:c r="F156" s="16" t="str">
        <x:f>IF(E156=D156,"PASS","FAIL")</x:f>
        <x:v>PASS</x:v>
      </x:c>
    </x:row>
    <x:row r="157">
      <x:c r="A157" s="16" t="str">
        <x:v>AU-154</x:v>
      </x:c>
      <x:c r="B157" s="16" t="str">
        <x:v>open physical state</x:v>
      </x:c>
      <x:c r="C157" s="16" t="str">
        <x:v>unexecuted field remains open</x:v>
      </x:c>
      <x:c r="D157" s="58" t="str">
        <x:v>OPEN</x:v>
      </x:c>
      <x:c r="E157" s="58" t="str">
        <x:f>'Candidate Gates'!L7</x:f>
        <x:v>OPEN</x:v>
      </x:c>
      <x:c r="F157" s="16" t="str">
        <x:f>IF(E157=D157,"PASS","FAIL")</x:f>
        <x:v>PASS</x:v>
      </x:c>
    </x:row>
    <x:row r="158">
      <x:c r="A158" s="16" t="str">
        <x:v>AU-155</x:v>
      </x:c>
      <x:c r="B158" s="16" t="str">
        <x:v>open physical state</x:v>
      </x:c>
      <x:c r="C158" s="16" t="str">
        <x:v>unexecuted field remains open</x:v>
      </x:c>
      <x:c r="D158" s="58" t="str">
        <x:v>OPEN</x:v>
      </x:c>
      <x:c r="E158" s="58" t="str">
        <x:f>'Candidate Gates'!L8</x:f>
        <x:v>OPEN</x:v>
      </x:c>
      <x:c r="F158" s="16" t="str">
        <x:f>IF(E158=D158,"PASS","FAIL")</x:f>
        <x:v>PASS</x:v>
      </x:c>
    </x:row>
    <x:row r="159">
      <x:c r="A159" s="16" t="str">
        <x:v>AU-156</x:v>
      </x:c>
      <x:c r="B159" s="16" t="str">
        <x:v>open physical state</x:v>
      </x:c>
      <x:c r="C159" s="16" t="str">
        <x:v>unexecuted field remains open</x:v>
      </x:c>
      <x:c r="D159" s="58" t="str">
        <x:v>OPEN</x:v>
      </x:c>
      <x:c r="E159" s="58" t="str">
        <x:f>'Trial Register'!P7</x:f>
        <x:v>OPEN</x:v>
      </x:c>
      <x:c r="F159" s="16" t="str">
        <x:f>IF(E159=D159,"PASS","FAIL")</x:f>
        <x:v>PASS</x:v>
      </x:c>
    </x:row>
    <x:row r="160">
      <x:c r="A160" s="16" t="str">
        <x:v>AU-157</x:v>
      </x:c>
      <x:c r="B160" s="16" t="str">
        <x:v>open physical state</x:v>
      </x:c>
      <x:c r="C160" s="16" t="str">
        <x:v>unexecuted field remains open</x:v>
      </x:c>
      <x:c r="D160" s="58" t="str">
        <x:v>OPEN</x:v>
      </x:c>
      <x:c r="E160" s="58" t="str">
        <x:f>'Cell Eligibility'!J8</x:f>
        <x:v>OPEN</x:v>
      </x:c>
      <x:c r="F160" s="16" t="str">
        <x:f>IF(E160=D160,"PASS","FAIL")</x:f>
        <x:v>PASS</x:v>
      </x:c>
    </x:row>
    <x:row r="161">
      <x:c r="A161" s="16" t="str">
        <x:v>AU-158</x:v>
      </x:c>
      <x:c r="B161" s="16" t="str">
        <x:v>open physical state</x:v>
      </x:c>
      <x:c r="C161" s="16" t="str">
        <x:v>unexecuted field remains open</x:v>
      </x:c>
      <x:c r="D161" s="58" t="str">
        <x:v>OPEN</x:v>
      </x:c>
      <x:c r="E161" s="58" t="str">
        <x:f>'Event Gates'!G4</x:f>
        <x:v>OPEN</x:v>
      </x:c>
      <x:c r="F161" s="16" t="str">
        <x:f>IF(E161=D161,"PASS","FAIL")</x:f>
        <x:v>PASS</x:v>
      </x:c>
    </x:row>
    <x:row r="162">
      <x:c r="A162" s="16" t="str">
        <x:v>AU-159</x:v>
      </x:c>
      <x:c r="B162" s="16" t="str">
        <x:v>open physical state</x:v>
      </x:c>
      <x:c r="C162" s="16" t="str">
        <x:v>unexecuted field remains open</x:v>
      </x:c>
      <x:c r="D162" s="58" t="str">
        <x:v>OPEN</x:v>
      </x:c>
      <x:c r="E162" s="58" t="str">
        <x:f>'Dossier'!H4</x:f>
        <x:v>OPEN</x:v>
      </x:c>
      <x:c r="F162" s="16" t="str">
        <x:f>IF(E162=D162,"PASS","FAIL")</x:f>
        <x:v>PASS</x:v>
      </x:c>
    </x:row>
    <x:row r="163">
      <x:c r="A163" s="16" t="str">
        <x:v>AU-160</x:v>
      </x:c>
      <x:c r="B163" s="16" t="str">
        <x:v>open physical state</x:v>
      </x:c>
      <x:c r="C163" s="16" t="str">
        <x:v>unexecuted field remains open</x:v>
      </x:c>
      <x:c r="D163" s="58" t="str">
        <x:v>OPEN</x:v>
      </x:c>
      <x:c r="E163" s="58" t="str">
        <x:f>'Return'!H8</x:f>
        <x:v>OPEN</x:v>
      </x:c>
      <x:c r="F163" s="16" t="str">
        <x:f>IF(E163=D163,"PASS","FAIL")</x:f>
        <x:v>PASS</x:v>
      </x:c>
    </x:row>
    <x:row r="164">
      <x:c r="A164" s="16" t="str">
        <x:v>AU-161</x:v>
      </x:c>
      <x:c r="B164" s="16" t="str">
        <x:v>open physical state</x:v>
      </x:c>
      <x:c r="C164" s="16" t="str">
        <x:v>unexecuted field remains open</x:v>
      </x:c>
      <x:c r="D164" s="58" t="str">
        <x:v>OPEN</x:v>
      </x:c>
      <x:c r="E164" s="58" t="str">
        <x:f>'Candidate Gates'!L4</x:f>
        <x:v>OPEN</x:v>
      </x:c>
      <x:c r="F164" s="16" t="str">
        <x:f>IF(E164=D164,"PASS","FAIL")</x:f>
        <x:v>PASS</x:v>
      </x:c>
    </x:row>
    <x:row r="165">
      <x:c r="A165" s="16" t="str">
        <x:v>AU-162</x:v>
      </x:c>
      <x:c r="B165" s="16" t="str">
        <x:v>open physical state</x:v>
      </x:c>
      <x:c r="C165" s="16" t="str">
        <x:v>unexecuted field remains open</x:v>
      </x:c>
      <x:c r="D165" s="58" t="str">
        <x:v>OPEN</x:v>
      </x:c>
      <x:c r="E165" s="58" t="str">
        <x:f>'Candidate Gates'!L5</x:f>
        <x:v>OPEN</x:v>
      </x:c>
      <x:c r="F165" s="16" t="str">
        <x:f>IF(E165=D165,"PASS","FAIL")</x:f>
        <x:v>PASS</x:v>
      </x:c>
    </x:row>
    <x:row r="166">
      <x:c r="A166" s="16" t="str">
        <x:v>AU-163</x:v>
      </x:c>
      <x:c r="B166" s="16" t="str">
        <x:v>open physical state</x:v>
      </x:c>
      <x:c r="C166" s="16" t="str">
        <x:v>unexecuted field remains open</x:v>
      </x:c>
      <x:c r="D166" s="58" t="str">
        <x:v>OPEN</x:v>
      </x:c>
      <x:c r="E166" s="58" t="str">
        <x:f>'Candidate Gates'!L6</x:f>
        <x:v>OPEN</x:v>
      </x:c>
      <x:c r="F166" s="16" t="str">
        <x:f>IF(E166=D166,"PASS","FAIL")</x:f>
        <x:v>PASS</x:v>
      </x:c>
    </x:row>
    <x:row r="167">
      <x:c r="A167" s="16" t="str">
        <x:v>AU-164</x:v>
      </x:c>
      <x:c r="B167" s="16" t="str">
        <x:v>open physical state</x:v>
      </x:c>
      <x:c r="C167" s="16" t="str">
        <x:v>unexecuted field remains open</x:v>
      </x:c>
      <x:c r="D167" s="58" t="str">
        <x:v>OPEN</x:v>
      </x:c>
      <x:c r="E167" s="58" t="str">
        <x:f>'Candidate Gates'!L7</x:f>
        <x:v>OPEN</x:v>
      </x:c>
      <x:c r="F167" s="16" t="str">
        <x:f>IF(E167=D167,"PASS","FAIL")</x:f>
        <x:v>PASS</x:v>
      </x:c>
    </x:row>
    <x:row r="168">
      <x:c r="A168" s="16" t="str">
        <x:v>AU-165</x:v>
      </x:c>
      <x:c r="B168" s="16" t="str">
        <x:v>open physical state</x:v>
      </x:c>
      <x:c r="C168" s="16" t="str">
        <x:v>unexecuted field remains open</x:v>
      </x:c>
      <x:c r="D168" s="58" t="str">
        <x:v>OPEN</x:v>
      </x:c>
      <x:c r="E168" s="58" t="str">
        <x:f>'Candidate Gates'!L8</x:f>
        <x:v>OPEN</x:v>
      </x:c>
      <x:c r="F168" s="16" t="str">
        <x:f>IF(E168=D168,"PASS","FAIL")</x:f>
        <x:v>PASS</x:v>
      </x:c>
    </x:row>
    <x:row r="169">
      <x:c r="A169" s="16" t="str">
        <x:v>AU-166</x:v>
      </x:c>
      <x:c r="B169" s="16" t="str">
        <x:v>open physical state</x:v>
      </x:c>
      <x:c r="C169" s="16" t="str">
        <x:v>unexecuted field remains open</x:v>
      </x:c>
      <x:c r="D169" s="58" t="str">
        <x:v>OPEN</x:v>
      </x:c>
      <x:c r="E169" s="58" t="str">
        <x:f>'Trial Register'!P7</x:f>
        <x:v>OPEN</x:v>
      </x:c>
      <x:c r="F169" s="16" t="str">
        <x:f>IF(E169=D169,"PASS","FAIL")</x:f>
        <x:v>PASS</x:v>
      </x:c>
    </x:row>
    <x:row r="170">
      <x:c r="A170" s="16" t="str">
        <x:v>AU-167</x:v>
      </x:c>
      <x:c r="B170" s="16" t="str">
        <x:v>open physical state</x:v>
      </x:c>
      <x:c r="C170" s="16" t="str">
        <x:v>unexecuted field remains open</x:v>
      </x:c>
      <x:c r="D170" s="58" t="str">
        <x:v>OPEN</x:v>
      </x:c>
      <x:c r="E170" s="58" t="str">
        <x:f>'Cell Eligibility'!J8</x:f>
        <x:v>OPEN</x:v>
      </x:c>
      <x:c r="F170" s="16" t="str">
        <x:f>IF(E170=D170,"PASS","FAIL")</x:f>
        <x:v>PASS</x:v>
      </x:c>
    </x:row>
    <x:row r="171">
      <x:c r="A171" s="16" t="str">
        <x:v>AU-168</x:v>
      </x:c>
      <x:c r="B171" s="16" t="str">
        <x:v>open physical state</x:v>
      </x:c>
      <x:c r="C171" s="16" t="str">
        <x:v>unexecuted field remains open</x:v>
      </x:c>
      <x:c r="D171" s="58" t="str">
        <x:v>OPEN</x:v>
      </x:c>
      <x:c r="E171" s="58" t="str">
        <x:f>'Event Gates'!G4</x:f>
        <x:v>OPEN</x:v>
      </x:c>
      <x:c r="F171" s="16" t="str">
        <x:f>IF(E171=D171,"PASS","FAIL")</x:f>
        <x:v>PASS</x:v>
      </x:c>
    </x:row>
    <x:row r="172">
      <x:c r="A172" s="16" t="str">
        <x:v>AU-169</x:v>
      </x:c>
      <x:c r="B172" s="16" t="str">
        <x:v>open physical state</x:v>
      </x:c>
      <x:c r="C172" s="16" t="str">
        <x:v>unexecuted field remains open</x:v>
      </x:c>
      <x:c r="D172" s="58" t="str">
        <x:v>OPEN</x:v>
      </x:c>
      <x:c r="E172" s="58" t="str">
        <x:f>'Dossier'!H4</x:f>
        <x:v>OPEN</x:v>
      </x:c>
      <x:c r="F172" s="16" t="str">
        <x:f>IF(E172=D172,"PASS","FAIL")</x:f>
        <x:v>PASS</x:v>
      </x:c>
    </x:row>
    <x:row r="173">
      <x:c r="A173" s="16" t="str">
        <x:v>AU-170</x:v>
      </x:c>
      <x:c r="B173" s="16" t="str">
        <x:v>open physical state</x:v>
      </x:c>
      <x:c r="C173" s="16" t="str">
        <x:v>unexecuted field remains open</x:v>
      </x:c>
      <x:c r="D173" s="58" t="str">
        <x:v>OPEN</x:v>
      </x:c>
      <x:c r="E173" s="58" t="str">
        <x:f>'Return'!H8</x:f>
        <x:v>OPEN</x:v>
      </x:c>
      <x:c r="F173" s="16" t="str">
        <x:f>IF(E173=D173,"PASS","FAIL")</x:f>
        <x:v>PASS</x:v>
      </x:c>
    </x:row>
    <x:row r="174">
      <x:c r="A174" s="16" t="str">
        <x:v>AU-171</x:v>
      </x:c>
      <x:c r="B174" s="16" t="str">
        <x:v>open physical state</x:v>
      </x:c>
      <x:c r="C174" s="16" t="str">
        <x:v>unexecuted field remains open</x:v>
      </x:c>
      <x:c r="D174" s="58" t="str">
        <x:v>OPEN</x:v>
      </x:c>
      <x:c r="E174" s="58" t="str">
        <x:f>'Candidate Gates'!L4</x:f>
        <x:v>OPEN</x:v>
      </x:c>
      <x:c r="F174" s="16" t="str">
        <x:f>IF(E174=D174,"PASS","FAIL")</x:f>
        <x:v>PASS</x:v>
      </x:c>
    </x:row>
    <x:row r="175">
      <x:c r="A175" s="16" t="str">
        <x:v>AU-172</x:v>
      </x:c>
      <x:c r="B175" s="16" t="str">
        <x:v>open physical state</x:v>
      </x:c>
      <x:c r="C175" s="16" t="str">
        <x:v>unexecuted field remains open</x:v>
      </x:c>
      <x:c r="D175" s="58" t="str">
        <x:v>OPEN</x:v>
      </x:c>
      <x:c r="E175" s="58" t="str">
        <x:f>'Candidate Gates'!L5</x:f>
        <x:v>OPEN</x:v>
      </x:c>
      <x:c r="F175" s="16" t="str">
        <x:f>IF(E175=D175,"PASS","FAIL")</x:f>
        <x:v>PASS</x:v>
      </x:c>
    </x:row>
    <x:row r="176">
      <x:c r="A176" s="16" t="str">
        <x:v>AU-173</x:v>
      </x:c>
      <x:c r="B176" s="16" t="str">
        <x:v>open physical state</x:v>
      </x:c>
      <x:c r="C176" s="16" t="str">
        <x:v>unexecuted field remains open</x:v>
      </x:c>
      <x:c r="D176" s="58" t="str">
        <x:v>OPEN</x:v>
      </x:c>
      <x:c r="E176" s="58" t="str">
        <x:f>'Candidate Gates'!L6</x:f>
        <x:v>OPEN</x:v>
      </x:c>
      <x:c r="F176" s="16" t="str">
        <x:f>IF(E176=D176,"PASS","FAIL")</x:f>
        <x:v>PASS</x:v>
      </x:c>
    </x:row>
    <x:row r="177">
      <x:c r="A177" s="16" t="str">
        <x:v>AU-174</x:v>
      </x:c>
      <x:c r="B177" s="16" t="str">
        <x:v>open physical state</x:v>
      </x:c>
      <x:c r="C177" s="16" t="str">
        <x:v>unexecuted field remains open</x:v>
      </x:c>
      <x:c r="D177" s="58" t="str">
        <x:v>OPEN</x:v>
      </x:c>
      <x:c r="E177" s="58" t="str">
        <x:f>'Candidate Gates'!L7</x:f>
        <x:v>OPEN</x:v>
      </x:c>
      <x:c r="F177" s="16" t="str">
        <x:f>IF(E177=D177,"PASS","FAIL")</x:f>
        <x:v>PASS</x:v>
      </x:c>
    </x:row>
    <x:row r="178">
      <x:c r="A178" s="16" t="str">
        <x:v>AU-175</x:v>
      </x:c>
      <x:c r="B178" s="16" t="str">
        <x:v>open physical state</x:v>
      </x:c>
      <x:c r="C178" s="16" t="str">
        <x:v>unexecuted field remains open</x:v>
      </x:c>
      <x:c r="D178" s="58" t="str">
        <x:v>OPEN</x:v>
      </x:c>
      <x:c r="E178" s="58" t="str">
        <x:f>'Candidate Gates'!L8</x:f>
        <x:v>OPEN</x:v>
      </x:c>
      <x:c r="F178" s="16" t="str">
        <x:f>IF(E178=D178,"PASS","FAIL")</x:f>
        <x:v>PASS</x:v>
      </x:c>
    </x:row>
    <x:row r="179">
      <x:c r="A179" s="16" t="str">
        <x:v>AU-176</x:v>
      </x:c>
      <x:c r="B179" s="16" t="str">
        <x:v>open physical state</x:v>
      </x:c>
      <x:c r="C179" s="16" t="str">
        <x:v>unexecuted field remains open</x:v>
      </x:c>
      <x:c r="D179" s="58" t="str">
        <x:v>OPEN</x:v>
      </x:c>
      <x:c r="E179" s="58" t="str">
        <x:f>'Trial Register'!P7</x:f>
        <x:v>OPEN</x:v>
      </x:c>
      <x:c r="F179" s="16" t="str">
        <x:f>IF(E179=D179,"PASS","FAIL")</x:f>
        <x:v>PASS</x:v>
      </x:c>
    </x:row>
    <x:row r="180">
      <x:c r="A180" s="16" t="str">
        <x:v>AU-177</x:v>
      </x:c>
      <x:c r="B180" s="16" t="str">
        <x:v>open physical state</x:v>
      </x:c>
      <x:c r="C180" s="16" t="str">
        <x:v>unexecuted field remains open</x:v>
      </x:c>
      <x:c r="D180" s="58" t="str">
        <x:v>OPEN</x:v>
      </x:c>
      <x:c r="E180" s="58" t="str">
        <x:f>'Cell Eligibility'!J8</x:f>
        <x:v>OPEN</x:v>
      </x:c>
      <x:c r="F180" s="16" t="str">
        <x:f>IF(E180=D180,"PASS","FAIL")</x:f>
        <x:v>PASS</x:v>
      </x:c>
    </x:row>
    <x:row r="181">
      <x:c r="A181" s="16" t="str">
        <x:v>AU-178</x:v>
      </x:c>
      <x:c r="B181" s="16" t="str">
        <x:v>open physical state</x:v>
      </x:c>
      <x:c r="C181" s="16" t="str">
        <x:v>unexecuted field remains open</x:v>
      </x:c>
      <x:c r="D181" s="58" t="str">
        <x:v>OPEN</x:v>
      </x:c>
      <x:c r="E181" s="58" t="str">
        <x:f>'Event Gates'!G4</x:f>
        <x:v>OPEN</x:v>
      </x:c>
      <x:c r="F181" s="16" t="str">
        <x:f>IF(E181=D181,"PASS","FAIL")</x:f>
        <x:v>PASS</x:v>
      </x:c>
    </x:row>
    <x:row r="182">
      <x:c r="A182" s="16" t="str">
        <x:v>AU-179</x:v>
      </x:c>
      <x:c r="B182" s="16" t="str">
        <x:v>open physical state</x:v>
      </x:c>
      <x:c r="C182" s="16" t="str">
        <x:v>unexecuted field remains open</x:v>
      </x:c>
      <x:c r="D182" s="58" t="str">
        <x:v>OPEN</x:v>
      </x:c>
      <x:c r="E182" s="58" t="str">
        <x:f>'Dossier'!H4</x:f>
        <x:v>OPEN</x:v>
      </x:c>
      <x:c r="F182" s="16" t="str">
        <x:f>IF(E182=D182,"PASS","FAIL")</x:f>
        <x:v>PASS</x:v>
      </x:c>
    </x:row>
    <x:row r="183">
      <x:c r="A183" s="16" t="str">
        <x:v>AU-180</x:v>
      </x:c>
      <x:c r="B183" s="16" t="str">
        <x:v>open physical state</x:v>
      </x:c>
      <x:c r="C183" s="16" t="str">
        <x:v>unexecuted field remains open</x:v>
      </x:c>
      <x:c r="D183" s="58" t="str">
        <x:v>OPEN</x:v>
      </x:c>
      <x:c r="E183" s="58" t="str">
        <x:f>'Return'!H8</x:f>
        <x:v>OPEN</x:v>
      </x:c>
      <x:c r="F183" s="16" t="str">
        <x:f>IF(E183=D183,"PASS","FAIL")</x:f>
        <x:v>PASS</x:v>
      </x:c>
    </x:row>
    <x:row r="184">
      <x:c r="A184" s="16" t="str">
        <x:v>AU-181</x:v>
      </x:c>
      <x:c r="B184" s="16" t="str">
        <x:v>authority</x:v>
      </x:c>
      <x:c r="C184" s="16" t="str">
        <x:v>capital remaining</x:v>
      </x:c>
      <x:c r="D184" s="58" t="n">
        <x:v>0</x:v>
      </x:c>
      <x:c r="E184" s="58" t="n">
        <x:f>'Finance'!B11</x:f>
        <x:v>0</x:v>
      </x:c>
      <x:c r="F184" s="16" t="str">
        <x:f>IF(E184=D184,"PASS","FAIL")</x:f>
        <x:v>PASS</x:v>
      </x:c>
    </x:row>
    <x:row r="185">
      <x:c r="A185" s="16" t="str">
        <x:v>AU-182</x:v>
      </x:c>
      <x:c r="B185" s="16" t="str">
        <x:v>authority</x:v>
      </x:c>
      <x:c r="C185" s="16" t="str">
        <x:v>support remaining</x:v>
      </x:c>
      <x:c r="D185" s="58" t="n">
        <x:v>0</x:v>
      </x:c>
      <x:c r="E185" s="58" t="n">
        <x:f>'Finance'!B12</x:f>
        <x:v>0</x:v>
      </x:c>
      <x:c r="F185" s="16" t="str">
        <x:f>IF(E185=D185,"PASS","FAIL")</x:f>
        <x:v>PASS</x:v>
      </x:c>
    </x:row>
    <x:row r="186">
      <x:c r="A186" s="16" t="str">
        <x:v>AU-183</x:v>
      </x:c>
      <x:c r="B186" s="16" t="str">
        <x:v>authority</x:v>
      </x:c>
      <x:c r="C186" s="16" t="str">
        <x:v>technology remaining</x:v>
      </x:c>
      <x:c r="D186" s="58" t="n">
        <x:v>0</x:v>
      </x:c>
      <x:c r="E186" s="58" t="n">
        <x:f>'Finance'!B13</x:f>
        <x:v>0</x:v>
      </x:c>
      <x:c r="F186" s="16" t="str">
        <x:f>IF(E186=D186,"PASS","FAIL")</x:f>
        <x:v>PASS</x:v>
      </x:c>
    </x:row>
    <x:row r="187">
      <x:c r="A187" s="16" t="str">
        <x:v>AU-184</x:v>
      </x:c>
      <x:c r="B187" s="16" t="str">
        <x:v>authority</x:v>
      </x:c>
      <x:c r="C187" s="16" t="str">
        <x:v>schedule difference</x:v>
      </x:c>
      <x:c r="D187" s="58" t="n">
        <x:v>24</x:v>
      </x:c>
      <x:c r="E187" s="58" t="n">
        <x:f>'Finance'!B18</x:f>
        <x:v>24</x:v>
      </x:c>
      <x:c r="F187" s="16" t="str">
        <x:f>IF(E187=D187,"PASS","FAIL")</x:f>
        <x:v>PASS</x:v>
      </x:c>
    </x:row>
    <x:row r="188">
      <x:c r="A188" s="16" t="str">
        <x:v>AU-185</x:v>
      </x:c>
      <x:c r="B188" s="16" t="str">
        <x:v>authority</x:v>
      </x:c>
      <x:c r="C188" s="16" t="str">
        <x:v>gross custody</x:v>
      </x:c>
      <x:c r="D188" s="58" t="n">
        <x:v>18000</x:v>
      </x:c>
      <x:c r="E188" s="58" t="n">
        <x:f>'Source Bank'!B6</x:f>
        <x:v>18000</x:v>
      </x:c>
      <x:c r="F188" s="16" t="str">
        <x:f>IF(E188=D188,"PASS","FAIL")</x:f>
        <x:v>PASS</x:v>
      </x:c>
    </x:row>
    <x:row r="189">
      <x:c r="A189" s="16" t="str">
        <x:v>AU-186</x:v>
      </x:c>
      <x:c r="B189" s="16" t="str">
        <x:v>authority</x:v>
      </x:c>
      <x:c r="C189" s="16" t="str">
        <x:v>maximum future event issue</x:v>
      </x:c>
      <x:c r="D189" s="58" t="n">
        <x:v>14000</x:v>
      </x:c>
      <x:c r="E189" s="58" t="n">
        <x:f>'Source Bank'!B7</x:f>
        <x:v>14000</x:v>
      </x:c>
      <x:c r="F189" s="16" t="str">
        <x:f>IF(E189=D189,"PASS","FAIL")</x:f>
        <x:v>PASS</x:v>
      </x:c>
    </x:row>
    <x:row r="190">
      <x:c r="A190" s="16" t="str">
        <x:v>AU-187</x:v>
      </x:c>
      <x:c r="B190" s="16" t="str">
        <x:v>authority</x:v>
      </x:c>
      <x:c r="C190" s="16" t="str">
        <x:v>first-event issue</x:v>
      </x:c>
      <x:c r="D190" s="58" t="n">
        <x:v>1000</x:v>
      </x:c>
      <x:c r="E190" s="58" t="n">
        <x:f>'Source Bank'!B8</x:f>
        <x:v>1000</x:v>
      </x:c>
      <x:c r="F190" s="16" t="str">
        <x:f>IF(E190=D190,"PASS","FAIL")</x:f>
        <x:v>PASS</x:v>
      </x:c>
    </x:row>
    <x:row r="191">
      <x:c r="A191" s="16" t="str">
        <x:v>AU-188</x:v>
      </x:c>
      <x:c r="B191" s="16" t="str">
        <x:v>authority</x:v>
      </x:c>
      <x:c r="C191" s="16" t="str">
        <x:v>receiver planning state</x:v>
      </x:c>
      <x:c r="D191" s="58" t="str">
        <x:v>PLANNING CAPACITY CLOSES</x:v>
      </x:c>
      <x:c r="E191" s="58" t="str">
        <x:f>'Receiver'!B12</x:f>
        <x:v>PLANNING CAPACITY CLOSES</x:v>
      </x:c>
      <x:c r="F191" s="16" t="str">
        <x:f>IF(E191=D191,"PASS","FAIL")</x:f>
        <x:v>PASS</x:v>
      </x:c>
    </x:row>
    <x:row r="192">
      <x:c r="A192" s="16" t="str">
        <x:v>AU-189</x:v>
      </x:c>
      <x:c r="B192" s="16" t="str">
        <x:v>authority</x:v>
      </x:c>
      <x:c r="C192" s="16" t="str">
        <x:v>reserve minimum</x:v>
      </x:c>
      <x:c r="D192" s="58" t="str">
        <x:v>YES</x:v>
      </x:c>
      <x:c r="E192" s="58" t="str">
        <x:f>'Reserve Capacity'!B17</x:f>
        <x:v>YES</x:v>
      </x:c>
      <x:c r="F192" s="16" t="str">
        <x:f>IF(E192=D192,"PASS","FAIL")</x:f>
        <x:v>PASS</x:v>
      </x:c>
    </x:row>
    <x:row r="193">
      <x:c r="A193" s="16" t="str">
        <x:v>AU-190</x:v>
      </x:c>
      <x:c r="B193" s="16" t="str">
        <x:v>authority</x:v>
      </x:c>
      <x:c r="C193" s="16" t="str">
        <x:v>workforce remaining</x:v>
      </x:c>
      <x:c r="D193" s="58" t="n">
        <x:v>64</x:v>
      </x:c>
      <x:c r="E193" s="58" t="n">
        <x:f>'Workforce'!B13</x:f>
        <x:v>64</x:v>
      </x:c>
      <x:c r="F193" s="16" t="str">
        <x:f>IF(E193=D193,"PASS","FAIL")</x:f>
        <x:v>PASS</x:v>
      </x:c>
    </x:row>
    <x:row r="194">
      <x:c r="A194" s="16" t="str">
        <x:v>AU-191</x:v>
      </x:c>
      <x:c r="B194" s="16" t="str">
        <x:v>authority</x:v>
      </x:c>
      <x:c r="C194" s="16" t="str">
        <x:v>capital remaining</x:v>
      </x:c>
      <x:c r="D194" s="58" t="n">
        <x:v>0</x:v>
      </x:c>
      <x:c r="E194" s="58" t="n">
        <x:f>'Finance'!B11</x:f>
        <x:v>0</x:v>
      </x:c>
      <x:c r="F194" s="16" t="str">
        <x:f>IF(E194=D194,"PASS","FAIL")</x:f>
        <x:v>PASS</x:v>
      </x:c>
    </x:row>
    <x:row r="195">
      <x:c r="A195" s="16" t="str">
        <x:v>AU-192</x:v>
      </x:c>
      <x:c r="B195" s="16" t="str">
        <x:v>authority</x:v>
      </x:c>
      <x:c r="C195" s="16" t="str">
        <x:v>support remaining</x:v>
      </x:c>
      <x:c r="D195" s="58" t="n">
        <x:v>0</x:v>
      </x:c>
      <x:c r="E195" s="58" t="n">
        <x:f>'Finance'!B12</x:f>
        <x:v>0</x:v>
      </x:c>
      <x:c r="F195" s="16" t="str">
        <x:f>IF(E195=D195,"PASS","FAIL")</x:f>
        <x:v>PASS</x:v>
      </x:c>
    </x:row>
    <x:row r="196">
      <x:c r="A196" s="16" t="str">
        <x:v>AU-193</x:v>
      </x:c>
      <x:c r="B196" s="16" t="str">
        <x:v>authority</x:v>
      </x:c>
      <x:c r="C196" s="16" t="str">
        <x:v>technology remaining</x:v>
      </x:c>
      <x:c r="D196" s="58" t="n">
        <x:v>0</x:v>
      </x:c>
      <x:c r="E196" s="58" t="n">
        <x:f>'Finance'!B13</x:f>
        <x:v>0</x:v>
      </x:c>
      <x:c r="F196" s="16" t="str">
        <x:f>IF(E196=D196,"PASS","FAIL")</x:f>
        <x:v>PASS</x:v>
      </x:c>
    </x:row>
    <x:row r="197">
      <x:c r="A197" s="16" t="str">
        <x:v>AU-194</x:v>
      </x:c>
      <x:c r="B197" s="16" t="str">
        <x:v>authority</x:v>
      </x:c>
      <x:c r="C197" s="16" t="str">
        <x:v>schedule difference</x:v>
      </x:c>
      <x:c r="D197" s="58" t="n">
        <x:v>24</x:v>
      </x:c>
      <x:c r="E197" s="58" t="n">
        <x:f>'Finance'!B18</x:f>
        <x:v>24</x:v>
      </x:c>
      <x:c r="F197" s="16" t="str">
        <x:f>IF(E197=D197,"PASS","FAIL")</x:f>
        <x:v>PASS</x:v>
      </x:c>
    </x:row>
    <x:row r="198">
      <x:c r="A198" s="16" t="str">
        <x:v>AU-195</x:v>
      </x:c>
      <x:c r="B198" s="16" t="str">
        <x:v>authority</x:v>
      </x:c>
      <x:c r="C198" s="16" t="str">
        <x:v>gross custody</x:v>
      </x:c>
      <x:c r="D198" s="58" t="n">
        <x:v>18000</x:v>
      </x:c>
      <x:c r="E198" s="58" t="n">
        <x:f>'Source Bank'!B6</x:f>
        <x:v>18000</x:v>
      </x:c>
      <x:c r="F198" s="16" t="str">
        <x:f>IF(E198=D198,"PASS","FAIL")</x:f>
        <x:v>PASS</x:v>
      </x:c>
    </x:row>
    <x:row r="199">
      <x:c r="A199" s="16" t="str">
        <x:v>AU-196</x:v>
      </x:c>
      <x:c r="B199" s="16" t="str">
        <x:v>authority</x:v>
      </x:c>
      <x:c r="C199" s="16" t="str">
        <x:v>maximum future event issue</x:v>
      </x:c>
      <x:c r="D199" s="58" t="n">
        <x:v>14000</x:v>
      </x:c>
      <x:c r="E199" s="58" t="n">
        <x:f>'Source Bank'!B7</x:f>
        <x:v>14000</x:v>
      </x:c>
      <x:c r="F199" s="16" t="str">
        <x:f>IF(E199=D199,"PASS","FAIL")</x:f>
        <x:v>PASS</x:v>
      </x:c>
    </x:row>
    <x:row r="200">
      <x:c r="A200" s="16" t="str">
        <x:v>AU-197</x:v>
      </x:c>
      <x:c r="B200" s="16" t="str">
        <x:v>authority</x:v>
      </x:c>
      <x:c r="C200" s="16" t="str">
        <x:v>first-event issue</x:v>
      </x:c>
      <x:c r="D200" s="58" t="n">
        <x:v>1000</x:v>
      </x:c>
      <x:c r="E200" s="58" t="n">
        <x:f>'Source Bank'!B8</x:f>
        <x:v>1000</x:v>
      </x:c>
      <x:c r="F200" s="16" t="str">
        <x:f>IF(E200=D200,"PASS","FAIL")</x:f>
        <x:v>PASS</x:v>
      </x:c>
    </x:row>
    <x:row r="201">
      <x:c r="A201" s="16" t="str">
        <x:v>AU-198</x:v>
      </x:c>
      <x:c r="B201" s="16" t="str">
        <x:v>authority</x:v>
      </x:c>
      <x:c r="C201" s="16" t="str">
        <x:v>receiver planning state</x:v>
      </x:c>
      <x:c r="D201" s="58" t="str">
        <x:v>PLANNING CAPACITY CLOSES</x:v>
      </x:c>
      <x:c r="E201" s="58" t="str">
        <x:f>'Receiver'!B12</x:f>
        <x:v>PLANNING CAPACITY CLOSES</x:v>
      </x:c>
      <x:c r="F201" s="16" t="str">
        <x:f>IF(E201=D201,"PASS","FAIL")</x:f>
        <x:v>PASS</x:v>
      </x:c>
    </x:row>
    <x:row r="202">
      <x:c r="A202" s="16" t="str">
        <x:v>AU-199</x:v>
      </x:c>
      <x:c r="B202" s="16" t="str">
        <x:v>authority</x:v>
      </x:c>
      <x:c r="C202" s="16" t="str">
        <x:v>reserve minimum</x:v>
      </x:c>
      <x:c r="D202" s="58" t="str">
        <x:v>YES</x:v>
      </x:c>
      <x:c r="E202" s="58" t="str">
        <x:f>'Reserve Capacity'!B17</x:f>
        <x:v>YES</x:v>
      </x:c>
      <x:c r="F202" s="16" t="str">
        <x:f>IF(E202=D202,"PASS","FAIL")</x:f>
        <x:v>PASS</x:v>
      </x:c>
    </x:row>
    <x:row r="203">
      <x:c r="A203" s="16" t="str">
        <x:v>AU-200</x:v>
      </x:c>
      <x:c r="B203" s="16" t="str">
        <x:v>authority</x:v>
      </x:c>
      <x:c r="C203" s="16" t="str">
        <x:v>workforce remaining</x:v>
      </x:c>
      <x:c r="D203" s="58" t="n">
        <x:v>64</x:v>
      </x:c>
      <x:c r="E203" s="58" t="n">
        <x:f>'Workforce'!B13</x:f>
        <x:v>64</x:v>
      </x:c>
      <x:c r="F203" s="16" t="str">
        <x:f>IF(E203=D203,"PASS","FAIL")</x:f>
        <x:v>PASS</x:v>
      </x:c>
    </x:row>
    <x:row r="204">
      <x:c r="A204" s="16" t="str">
        <x:v>AU-201</x:v>
      </x:c>
      <x:c r="B204" s="16" t="str">
        <x:v>authority</x:v>
      </x:c>
      <x:c r="C204" s="16" t="str">
        <x:v>capital remaining</x:v>
      </x:c>
      <x:c r="D204" s="58" t="n">
        <x:v>0</x:v>
      </x:c>
      <x:c r="E204" s="58" t="n">
        <x:f>'Finance'!B11</x:f>
        <x:v>0</x:v>
      </x:c>
      <x:c r="F204" s="16" t="str">
        <x:f>IF(E204=D204,"PASS","FAIL")</x:f>
        <x:v>PASS</x:v>
      </x:c>
    </x:row>
    <x:row r="205">
      <x:c r="A205" s="16" t="str">
        <x:v>AU-202</x:v>
      </x:c>
      <x:c r="B205" s="16" t="str">
        <x:v>authority</x:v>
      </x:c>
      <x:c r="C205" s="16" t="str">
        <x:v>support remaining</x:v>
      </x:c>
      <x:c r="D205" s="58" t="n">
        <x:v>0</x:v>
      </x:c>
      <x:c r="E205" s="58" t="n">
        <x:f>'Finance'!B12</x:f>
        <x:v>0</x:v>
      </x:c>
      <x:c r="F205" s="16" t="str">
        <x:f>IF(E205=D205,"PASS","FAIL")</x:f>
        <x:v>PASS</x:v>
      </x:c>
    </x:row>
    <x:row r="206">
      <x:c r="A206" s="16" t="str">
        <x:v>AU-203</x:v>
      </x:c>
      <x:c r="B206" s="16" t="str">
        <x:v>authority</x:v>
      </x:c>
      <x:c r="C206" s="16" t="str">
        <x:v>technology remaining</x:v>
      </x:c>
      <x:c r="D206" s="58" t="n">
        <x:v>0</x:v>
      </x:c>
      <x:c r="E206" s="58" t="n">
        <x:f>'Finance'!B13</x:f>
        <x:v>0</x:v>
      </x:c>
      <x:c r="F206" s="16" t="str">
        <x:f>IF(E206=D206,"PASS","FAIL")</x:f>
        <x:v>PASS</x:v>
      </x:c>
    </x:row>
    <x:row r="207">
      <x:c r="A207" s="16" t="str">
        <x:v>AU-204</x:v>
      </x:c>
      <x:c r="B207" s="16" t="str">
        <x:v>authority</x:v>
      </x:c>
      <x:c r="C207" s="16" t="str">
        <x:v>schedule difference</x:v>
      </x:c>
      <x:c r="D207" s="58" t="n">
        <x:v>24</x:v>
      </x:c>
      <x:c r="E207" s="58" t="n">
        <x:f>'Finance'!B18</x:f>
        <x:v>24</x:v>
      </x:c>
      <x:c r="F207" s="16" t="str">
        <x:f>IF(E207=D207,"PASS","FAIL")</x:f>
        <x:v>PASS</x:v>
      </x:c>
    </x:row>
    <x:row r="208">
      <x:c r="A208" s="16" t="str">
        <x:v>AU-205</x:v>
      </x:c>
      <x:c r="B208" s="16" t="str">
        <x:v>authority</x:v>
      </x:c>
      <x:c r="C208" s="16" t="str">
        <x:v>gross custody</x:v>
      </x:c>
      <x:c r="D208" s="58" t="n">
        <x:v>18000</x:v>
      </x:c>
      <x:c r="E208" s="58" t="n">
        <x:f>'Source Bank'!B6</x:f>
        <x:v>18000</x:v>
      </x:c>
      <x:c r="F208" s="16" t="str">
        <x:f>IF(E208=D208,"PASS","FAIL")</x:f>
        <x:v>PASS</x:v>
      </x:c>
    </x:row>
    <x:row r="209">
      <x:c r="A209" s="16" t="str">
        <x:v>AU-206</x:v>
      </x:c>
      <x:c r="B209" s="16" t="str">
        <x:v>authority</x:v>
      </x:c>
      <x:c r="C209" s="16" t="str">
        <x:v>maximum future event issue</x:v>
      </x:c>
      <x:c r="D209" s="58" t="n">
        <x:v>14000</x:v>
      </x:c>
      <x:c r="E209" s="58" t="n">
        <x:f>'Source Bank'!B7</x:f>
        <x:v>14000</x:v>
      </x:c>
      <x:c r="F209" s="16" t="str">
        <x:f>IF(E209=D209,"PASS","FAIL")</x:f>
        <x:v>PASS</x:v>
      </x:c>
    </x:row>
    <x:row r="210">
      <x:c r="A210" s="16" t="str">
        <x:v>AU-207</x:v>
      </x:c>
      <x:c r="B210" s="16" t="str">
        <x:v>authority</x:v>
      </x:c>
      <x:c r="C210" s="16" t="str">
        <x:v>first-event issue</x:v>
      </x:c>
      <x:c r="D210" s="58" t="n">
        <x:v>1000</x:v>
      </x:c>
      <x:c r="E210" s="58" t="n">
        <x:f>'Source Bank'!B8</x:f>
        <x:v>1000</x:v>
      </x:c>
      <x:c r="F210" s="16" t="str">
        <x:f>IF(E210=D210,"PASS","FAIL")</x:f>
        <x:v>PASS</x:v>
      </x:c>
    </x:row>
    <x:row r="211">
      <x:c r="A211" s="16" t="str">
        <x:v>AU-208</x:v>
      </x:c>
      <x:c r="B211" s="16" t="str">
        <x:v>authority</x:v>
      </x:c>
      <x:c r="C211" s="16" t="str">
        <x:v>receiver planning state</x:v>
      </x:c>
      <x:c r="D211" s="58" t="str">
        <x:v>PLANNING CAPACITY CLOSES</x:v>
      </x:c>
      <x:c r="E211" s="58" t="str">
        <x:f>'Receiver'!B12</x:f>
        <x:v>PLANNING CAPACITY CLOSES</x:v>
      </x:c>
      <x:c r="F211" s="16" t="str">
        <x:f>IF(E211=D211,"PASS","FAIL")</x:f>
        <x:v>PASS</x:v>
      </x:c>
    </x:row>
    <x:row r="212">
      <x:c r="A212" s="16" t="str">
        <x:v>AU-209</x:v>
      </x:c>
      <x:c r="B212" s="16" t="str">
        <x:v>authority</x:v>
      </x:c>
      <x:c r="C212" s="16" t="str">
        <x:v>reserve minimum</x:v>
      </x:c>
      <x:c r="D212" s="58" t="str">
        <x:v>YES</x:v>
      </x:c>
      <x:c r="E212" s="58" t="str">
        <x:f>'Reserve Capacity'!B17</x:f>
        <x:v>YES</x:v>
      </x:c>
      <x:c r="F212" s="16" t="str">
        <x:f>IF(E212=D212,"PASS","FAIL")</x:f>
        <x:v>PASS</x:v>
      </x:c>
    </x:row>
    <x:row r="213">
      <x:c r="A213" s="16" t="str">
        <x:v>AU-210</x:v>
      </x:c>
      <x:c r="B213" s="16" t="str">
        <x:v>authority</x:v>
      </x:c>
      <x:c r="C213" s="16" t="str">
        <x:v>workforce remaining</x:v>
      </x:c>
      <x:c r="D213" s="58" t="n">
        <x:v>64</x:v>
      </x:c>
      <x:c r="E213" s="58" t="n">
        <x:f>'Workforce'!B13</x:f>
        <x:v>64</x:v>
      </x:c>
      <x:c r="F213" s="16" t="str">
        <x:f>IF(E213=D213,"PASS","FAIL")</x:f>
        <x:v>PASS</x:v>
      </x:c>
    </x:row>
  </x:sheetData>
  <x:mergeCells>
    <x:mergeCell ref="A1:F1"/>
  </x:mergeCells>
  <x:conditionalFormatting sqref="F4:F213">
    <x:cfRule type="containsText" dxfId="56" priority="1" operator="containsText" text="DENY"/>
    <x:cfRule type="containsText" dxfId="57" priority="2" operator="containsText" text="FAIL"/>
    <x:cfRule type="containsText" dxfId="58" priority="3" operator="containsText" text="MISSING"/>
    <x:cfRule type="containsText" dxfId="59" priority="4" operator="containsText" text="OPEN"/>
  </x:conditionalFormatting>
  <x:pageMargins left="0.7" right="0.7" top="0.75" bottom="0.75" header="0.3" footer="0.3"/>
  <x:tableParts count="1">
    <x:tablePart xmlns:r="http://schemas.openxmlformats.org/officeDocument/2006/relationships" r:id="Rb7c8346d76b34190"/>
  </x:tableParts>
</x:worksheet>
</file>