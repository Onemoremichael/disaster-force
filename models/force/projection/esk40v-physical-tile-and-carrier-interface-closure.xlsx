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5bac3a99dc4f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2521320a8e4c88"/>
    <x:sheet xmlns:r="http://schemas.openxmlformats.org/officeDocument/2006/relationships" name="Assumptions" sheetId="2" r:id="R99c5c55cf4564014"/>
    <x:sheet xmlns:r="http://schemas.openxmlformats.org/officeDocument/2006/relationships" name="Burden Contract" sheetId="3" r:id="Re282c0198d3f460e"/>
    <x:sheet xmlns:r="http://schemas.openxmlformats.org/officeDocument/2006/relationships" name="Architecture" sheetId="4" r:id="R1ddc768980874800"/>
    <x:sheet xmlns:r="http://schemas.openxmlformats.org/officeDocument/2006/relationships" name="Air Tiles" sheetId="5" r:id="R68b1a0507aeb4776"/>
    <x:sheet xmlns:r="http://schemas.openxmlformats.org/officeDocument/2006/relationships" name="Terrain Tiles" sheetId="6" r:id="R3fd12a1b09954da3"/>
    <x:sheet xmlns:r="http://schemas.openxmlformats.org/officeDocument/2006/relationships" name="Carrier Interface" sheetId="7" r:id="R696f02d72e9b4a02"/>
    <x:sheet xmlns:r="http://schemas.openxmlformats.org/officeDocument/2006/relationships" name="Service Closure" sheetId="8" r:id="R883134e5faae4db2"/>
    <x:sheet xmlns:r="http://schemas.openxmlformats.org/officeDocument/2006/relationships" name="Mission Workforce" sheetId="9" r:id="Rd23c6f2f99dc422b"/>
    <x:sheet xmlns:r="http://schemas.openxmlformats.org/officeDocument/2006/relationships" name="Program Cost" sheetId="10" r:id="R666fab99cbaf4a88"/>
    <x:sheet xmlns:r="http://schemas.openxmlformats.org/officeDocument/2006/relationships" name="Technology" sheetId="11" r:id="R9dc70b07c6f8436e"/>
    <x:sheet xmlns:r="http://schemas.openxmlformats.org/officeDocument/2006/relationships" name="Evidence Gates" sheetId="12" r:id="R417885f3088e44c9"/>
    <x:sheet xmlns:r="http://schemas.openxmlformats.org/officeDocument/2006/relationships" name="Audit" sheetId="13" r:id="Rae0cb070c2354577"/>
    <x:sheet xmlns:r="http://schemas.openxmlformats.org/officeDocument/2006/relationships" name="ReadMe" sheetId="14" r:id="Rc4699d81779a48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F2933"/>
      <x:name val="Arial"/>
    </x:font>
    <x:font>
      <x:b/>
      <x:sz val="15"/>
      <x:color rgb="FF17324D"/>
      <x:name val="Arial"/>
    </x:font>
    <x:font>
      <x:i/>
      <x:sz val="10"/>
      <x:color rgb="FF52636F"/>
      <x:name val="Arial"/>
    </x:font>
    <x:font>
      <x:b/>
      <x:sz val="10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CEAF4"/>
      </x:patternFill>
    </x:fill>
    <x:fill>
      <x:patternFill patternType="solid">
        <x:fgColor rgb="FF17324D"/>
      </x:patternFill>
    </x:fill>
    <x:fill>
      <x:patternFill patternType="solid">
        <x:fgColor rgb="FFFFF2CC"/>
      </x:patternFill>
    </x:fill>
  </x:fills>
  <x:borders count="14">
    <x:border/>
    <x:border>
      <x:bottom style="thin">
        <x:color rgb="FF17324D"/>
      </x:bottom>
    </x:border>
    <x:border>
      <x:left style="thin">
        <x:color rgb="FFAEBBC5"/>
      </x:left>
      <x:top style="thin">
        <x:color rgb="FFAEBBC5"/>
      </x:top>
      <x:bottom style="thin">
        <x:color rgb="FFAEBBC5"/>
      </x:bottom>
    </x:border>
    <x:border>
      <x:top style="thin">
        <x:color rgb="FFAEBBC5"/>
      </x:top>
      <x:bottom style="thin">
        <x:color rgb="FFAEBBC5"/>
      </x:bottom>
    </x:border>
    <x:border>
      <x:right style="thin">
        <x:color rgb="FFAEBBC5"/>
      </x:right>
      <x:top style="thin">
        <x:color rgb="FFAEBBC5"/>
      </x:top>
      <x:bottom style="thin">
        <x:color rgb="FFAEBBC5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right style="thin">
        <x:color rgb="FFFFFFFF"/>
      </x:right>
      <x:bottom style="thin">
        <x:color rgb="FFD8E0E5"/>
      </x:bottom>
    </x:border>
    <x:border>
      <x:left style="thin">
        <x:color rgb="FFFFFFFF"/>
      </x:left>
      <x:right style="thin">
        <x:color rgb="FFFFFFFF"/>
      </x:right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right style="thin">
        <x:color rgb="FFFFFFFF"/>
      </x:right>
      <x:top style="thin">
        <x:color rgb="FFD8E0E5"/>
      </x:top>
      <x:bottom style="thin">
        <x:color rgb="FFD8E0E5"/>
      </x:bottom>
    </x:border>
    <x:border>
      <x:top style="thin">
        <x:color rgb="FFD8E0E5"/>
      </x:top>
      <x:bottom style="thin">
        <x:color rgb="FF17324D"/>
      </x:bottom>
    </x:border>
    <x:border>
      <x:right style="thin">
        <x:color rgb="FFFFFFFF"/>
      </x:right>
      <x:top style="thin">
        <x:color rgb="FFD8E0E5"/>
      </x:top>
      <x:bottom style="thin">
        <x:color rgb="FF17324D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6" fillId="4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6" fillId="4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0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6e255e8f224b39" /><Relationship Type="http://schemas.openxmlformats.org/officeDocument/2006/relationships/theme" Target="/xl/theme/theme1.xml" Id="R41d48a3c59944838" /><Relationship Type="http://schemas.openxmlformats.org/officeDocument/2006/relationships/sharedStrings" Target="/xl/sharedStrings.xml" Id="R72ecde91dc1c4bb1" /><Relationship Type="http://schemas.openxmlformats.org/officeDocument/2006/relationships/worksheet" Target="/xl/worksheets/sheet1.xml" Id="R992521320a8e4c88" /><Relationship Type="http://schemas.openxmlformats.org/officeDocument/2006/relationships/worksheet" Target="/xl/worksheets/sheet2.xml" Id="R99c5c55cf4564014" /><Relationship Type="http://schemas.openxmlformats.org/officeDocument/2006/relationships/worksheet" Target="/xl/worksheets/sheet3.xml" Id="Re282c0198d3f460e" /><Relationship Type="http://schemas.openxmlformats.org/officeDocument/2006/relationships/worksheet" Target="/xl/worksheets/sheet4.xml" Id="R1ddc768980874800" /><Relationship Type="http://schemas.openxmlformats.org/officeDocument/2006/relationships/worksheet" Target="/xl/worksheets/sheet5.xml" Id="R68b1a0507aeb4776" /><Relationship Type="http://schemas.openxmlformats.org/officeDocument/2006/relationships/worksheet" Target="/xl/worksheets/sheet6.xml" Id="R3fd12a1b09954da3" /><Relationship Type="http://schemas.openxmlformats.org/officeDocument/2006/relationships/worksheet" Target="/xl/worksheets/sheet7.xml" Id="R696f02d72e9b4a02" /><Relationship Type="http://schemas.openxmlformats.org/officeDocument/2006/relationships/worksheet" Target="/xl/worksheets/sheet8.xml" Id="R883134e5faae4db2" /><Relationship Type="http://schemas.openxmlformats.org/officeDocument/2006/relationships/worksheet" Target="/xl/worksheets/sheet9.xml" Id="Rd23c6f2f99dc422b" /><Relationship Type="http://schemas.openxmlformats.org/officeDocument/2006/relationships/worksheet" Target="/xl/worksheets/sheet10.xml" Id="R666fab99cbaf4a88" /><Relationship Type="http://schemas.openxmlformats.org/officeDocument/2006/relationships/worksheet" Target="/xl/worksheets/sheet11.xml" Id="R9dc70b07c6f8436e" /><Relationship Type="http://schemas.openxmlformats.org/officeDocument/2006/relationships/worksheet" Target="/xl/worksheets/sheet12.xml" Id="R417885f3088e44c9" /><Relationship Type="http://schemas.openxmlformats.org/officeDocument/2006/relationships/worksheet" Target="/xl/worksheets/sheet13.xml" Id="Rae0cb070c2354577" /><Relationship Type="http://schemas.openxmlformats.org/officeDocument/2006/relationships/worksheet" Target="/xl/worksheets/sheet14.xml" Id="Rc4699d81779a48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5" hidden="0" customWidth="1"/>
    <x:col min="7" max="7" width="15" hidden="0" customWidth="1"/>
    <x:col min="8" max="8" width="16" hidden="0" customWidth="1"/>
    <x:col min="9" max="9" width="3" hidden="0" customWidth="1"/>
    <x:col min="10" max="10" width="24" hidden="0" customWidth="1"/>
    <x:col min="11" max="11" width="16" hidden="0" customWidth="1"/>
    <x:col min="12" max="12" width="16" hidden="0" customWidth="1"/>
    <x:col min="13" max="13" width="15" hidden="0" customWidth="1"/>
    <x:col min="14" max="14" width="40" hidden="0" customWidth="1"/>
  </x:cols>
  <x:sheetData>
    <x:row r="2">
      <x:c r="B2" s="43" t="str">
        <x:v>ESK-40V physical tile and carrier-interface closure</x:v>
      </x:c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</x:row>
    <x:row r="3">
      <x:c r="B3" s="44" t="str">
        <x:v>Variable family mass restores first-principles credibility, exposes carrier consequences and changes the acquisition decision</x:v>
      </x:c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</x:row>
    <x:row r="5"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</x:row>
    <x:row r="6">
      <x:c r="B6" s="46" t="str">
        <x:v>Executive decision</x:v>
      </x:c>
      <x:c r="C6" s="47" t="str">
        <x:v>Executive decision</x:v>
      </x:c>
      <x:c r="D6" s="47" t="str">
        <x:v>Executive decision</x:v>
      </x:c>
      <x:c r="E6" s="47" t="str">
        <x:v>Executive decision</x:v>
      </x:c>
      <x:c r="F6" s="47" t="str">
        <x:v>Executive decision</x:v>
      </x:c>
      <x:c r="G6" s="47" t="str">
        <x:v>Executive decision</x:v>
      </x:c>
      <x:c r="H6" s="48" t="str">
        <x:v>Executive decision</x:v>
      </x:c>
      <x:c r="I6" s="24"/>
      <x:c r="J6" s="46" t="str">
        <x:v>Margins and posture</x:v>
      </x:c>
      <x:c r="K6" s="47" t="str">
        <x:v>Margins and posture</x:v>
      </x:c>
      <x:c r="L6" s="47" t="str">
        <x:v>Margins and posture</x:v>
      </x:c>
      <x:c r="M6" s="47" t="str">
        <x:v>Margins and posture</x:v>
      </x:c>
      <x:c r="N6" s="48" t="str">
        <x:v>Margins and posture</x:v>
      </x:c>
    </x:row>
    <x:row r="7">
      <x:c r="B7" s="38" t="str">
        <x:v>Decision</x:v>
      </x:c>
      <x:c r="C7" s="24" t="str">
        <x:v>Advance K3 ESK-40V with CUIC-1 as the behavior and technology-development reference; do not select fleet production yet.</x:v>
      </x:c>
      <x:c r="D7" s="24" t="str"/>
      <x:c r="E7" s="24" t="str"/>
      <x:c r="F7" s="24" t="str"/>
      <x:c r="G7" s="24" t="str"/>
      <x:c r="H7" s="24" t="str"/>
      <x:c r="I7" s="24"/>
      <x:c r="J7" s="19" t="str">
        <x:v>Control</x:v>
      </x:c>
      <x:c r="K7" s="20" t="str">
        <x:v>Value</x:v>
      </x:c>
      <x:c r="L7" s="20" t="str">
        <x:v>Unit</x:v>
      </x:c>
      <x:c r="M7" s="20" t="str">
        <x:v>State</x:v>
      </x:c>
      <x:c r="N7" s="21" t="str">
        <x:v>Meaning</x:v>
      </x:c>
    </x:row>
    <x:row r="8">
      <x:c r="B8" s="38" t="str">
        <x:v>Physical finding</x:v>
      </x:c>
      <x:c r="C8" s="24" t="str">
        <x:v>The 635-tonne burden naturally yields certified E W T D C tile masses of 22.375, 14.500, 13.750, 14.000 and 14.750 tonnes.</x:v>
      </x:c>
      <x:c r="D8" s="24" t="str"/>
      <x:c r="E8" s="24" t="str"/>
      <x:c r="F8" s="24" t="str"/>
      <x:c r="G8" s="24" t="str"/>
      <x:c r="H8" s="24" t="str"/>
      <x:c r="I8" s="24"/>
      <x:c r="J8" s="24" t="str">
        <x:v>Air stressed service</x:v>
      </x:c>
      <x:c r="K8" s="24" t="n">
        <x:v>52.9166667</x:v>
      </x:c>
      <x:c r="L8" s="24" t="str">
        <x:v>h</x:v>
      </x:c>
      <x:c r="M8" s="24" t="str">
        <x:v>PASS</x:v>
      </x:c>
      <x:c r="N8" s="24" t="str">
        <x:v>1.083 h deadline margin</x:v>
      </x:c>
    </x:row>
    <x:row r="9">
      <x:c r="B9" s="38" t="str">
        <x:v>Quorum finding</x:v>
      </x:c>
      <x:c r="C9" s="24" t="str">
        <x:v>Equal family counts preserve any-two-of-three air and any-four-of-five terrain service after one carrier plus one additional tile casualty.</x:v>
      </x:c>
      <x:c r="D9" s="24" t="str"/>
      <x:c r="E9" s="24" t="str"/>
      <x:c r="F9" s="24" t="str"/>
      <x:c r="G9" s="24" t="str"/>
      <x:c r="H9" s="24" t="str"/>
      <x:c r="I9" s="24"/>
      <x:c r="J9" s="24" t="str">
        <x:v>Terrain stressed service</x:v>
      </x:c>
      <x:c r="K9" s="24" t="n">
        <x:v>53.5694444</x:v>
      </x:c>
      <x:c r="L9" s="24" t="str">
        <x:v>h</x:v>
      </x:c>
      <x:c r="M9" s="24" t="str">
        <x:v>PASS</x:v>
      </x:c>
      <x:c r="N9" s="24" t="str">
        <x:v>0.431 h deadline margin</x:v>
      </x:c>
    </x:row>
    <x:row r="10">
      <x:c r="B10" s="38" t="str">
        <x:v>Carrier finding</x:v>
      </x:c>
      <x:c r="C10" s="24" t="str">
        <x:v>The inherited GCH and SAT need 20 and 10 compact saddles, consuming mass, energy, soil, mission and reset margin.</x:v>
      </x:c>
      <x:c r="D10" s="24" t="str"/>
      <x:c r="E10" s="24" t="str"/>
      <x:c r="F10" s="24" t="str"/>
      <x:c r="G10" s="24" t="str"/>
      <x:c r="H10" s="24" t="str"/>
      <x:c r="I10" s="24"/>
      <x:c r="J10" s="24" t="str">
        <x:v>Air reset</x:v>
      </x:c>
      <x:c r="K10" s="24" t="n">
        <x:v>163</x:v>
      </x:c>
      <x:c r="L10" s="24" t="str">
        <x:v>h</x:v>
      </x:c>
      <x:c r="M10" s="24" t="str">
        <x:v>PASS</x:v>
      </x:c>
      <x:c r="N10" s="24" t="str">
        <x:v>5 h reset margin</x:v>
      </x:c>
    </x:row>
    <x:row r="11">
      <x:c r="B11" s="38" t="str">
        <x:v>Economic finding</x:v>
      </x:c>
      <x:c r="C11" s="24" t="str">
        <x:v>At $6.261T inside DCP-2R, first-generation modularity costs $256.921B more than full duplication while avoiding 207 carrier articles.</x:v>
      </x:c>
      <x:c r="D11" s="24" t="str"/>
      <x:c r="E11" s="24" t="str"/>
      <x:c r="F11" s="24" t="str"/>
      <x:c r="G11" s="24" t="str"/>
      <x:c r="H11" s="24" t="str"/>
      <x:c r="I11" s="24"/>
      <x:c r="J11" s="24" t="str">
        <x:v>Terrain reset</x:v>
      </x:c>
      <x:c r="K11" s="24" t="n">
        <x:v>167</x:v>
      </x:c>
      <x:c r="L11" s="24" t="str">
        <x:v>h</x:v>
      </x:c>
      <x:c r="M11" s="24" t="str">
        <x:v>PASS</x:v>
      </x:c>
      <x:c r="N11" s="24" t="str">
        <x:v>1 h reset margin</x:v>
      </x:c>
    </x:row>
    <x:row r="12">
      <x:c r="B12" s="38" t="str">
        <x:v>Innovation posture</x:v>
      </x:c>
      <x:c r="C12" s="24" t="str">
        <x:v>Fund 25 mission-driven campaigns and 200 gates; common service semantics are allowed, shared decisive hardware is not.</x:v>
      </x:c>
      <x:c r="D12" s="24" t="str"/>
      <x:c r="E12" s="24" t="str"/>
      <x:c r="F12" s="24" t="str"/>
      <x:c r="G12" s="24" t="str"/>
      <x:c r="H12" s="24" t="str"/>
      <x:c r="I12" s="24"/>
      <x:c r="J12" s="24" t="str">
        <x:v>Terrain soil pressure</x:v>
      </x:c>
      <x:c r="K12" s="24" t="n">
        <x:v>34.2491</x:v>
      </x:c>
      <x:c r="L12" s="24" t="str">
        <x:v>kPa</x:v>
      </x:c>
      <x:c r="M12" s="24" t="str">
        <x:v>PASS</x:v>
      </x:c>
      <x:c r="N12" s="24" t="str">
        <x:v>0.751 kPa modeled margin</x:v>
      </x:c>
    </x:row>
    <x:row r="13">
      <x:c r="B13" s="38" t="str">
        <x:v>Rendering posture</x:v>
      </x:c>
      <x:c r="C13" s="24" t="str">
        <x:v>Internal requirements diagrams follow representative tiles; exterior carrier renderings remain blocked.</x:v>
      </x:c>
      <x:c r="D13" s="24" t="str"/>
      <x:c r="E13" s="24" t="str"/>
      <x:c r="F13" s="24" t="str"/>
      <x:c r="G13" s="24" t="str"/>
      <x:c r="H13" s="24" t="str"/>
      <x:c r="I13" s="24"/>
      <x:c r="J13" s="24" t="str">
        <x:v>Evidence gates</x:v>
      </x:c>
      <x:c r="K13" s="24" t="n">
        <x:v>200</x:v>
      </x:c>
      <x:c r="L13" s="24" t="str">
        <x:v>open</x:v>
      </x:c>
      <x:c r="M13" s="24" t="str">
        <x:v>OPEN</x:v>
      </x:c>
      <x:c r="N13" s="24" t="str">
        <x:v>zero maturity credit</x:v>
      </x:c>
    </x:row>
    <x:row r="14">
      <x:c r="B14" s="24"/>
      <x:c r="C14" s="24"/>
      <x:c r="D14" s="24"/>
      <x:c r="E14" s="24"/>
      <x:c r="F14" s="24"/>
      <x:c r="G14" s="24"/>
      <x:c r="H14" s="24"/>
      <x:c r="I14" s="24"/>
      <x:c r="J14" s="24" t="str">
        <x:v>Exterior rendering</x:v>
      </x:c>
      <x:c r="K14" s="24" t="n">
        <x:v>0</x:v>
      </x:c>
      <x:c r="L14" s="24" t="str">
        <x:v>binary</x:v>
      </x:c>
      <x:c r="M14" s="24" t="str">
        <x:v>BLOCKED</x:v>
      </x:c>
      <x:c r="N14" s="24" t="str">
        <x:v>physical evidence first</x:v>
      </x:c>
    </x:row>
    <x:row r="15"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</x:row>
    <x:row r="16">
      <x:c r="B16" s="46" t="str">
        <x:v>Key reconciliations</x:v>
      </x:c>
      <x:c r="C16" s="47" t="str">
        <x:v>Key reconciliations</x:v>
      </x:c>
      <x:c r="D16" s="47" t="str">
        <x:v>Key reconciliations</x:v>
      </x:c>
      <x:c r="E16" s="47" t="str">
        <x:v>Key reconciliations</x:v>
      </x:c>
      <x:c r="F16" s="47" t="str">
        <x:v>Key reconciliations</x:v>
      </x:c>
      <x:c r="G16" s="47" t="str">
        <x:v>Key reconciliations</x:v>
      </x:c>
      <x:c r="H16" s="48" t="str">
        <x:v>Key reconciliations</x:v>
      </x:c>
      <x:c r="I16" s="24"/>
      <x:c r="J16" s="24"/>
      <x:c r="K16" s="24"/>
      <x:c r="L16" s="24"/>
      <x:c r="M16" s="24"/>
      <x:c r="N16" s="24"/>
    </x:row>
    <x:row r="17">
      <x:c r="B17" s="19" t="str">
        <x:v>Metric</x:v>
      </x:c>
      <x:c r="C17" s="20" t="str">
        <x:v>Modeled</x:v>
      </x:c>
      <x:c r="D17" s="20" t="str">
        <x:v>Unit</x:v>
      </x:c>
      <x:c r="E17" s="20" t="str">
        <x:v>Boundary</x:v>
      </x:c>
      <x:c r="F17" s="21" t="str">
        <x:v>Result</x:v>
      </x:c>
      <x:c r="G17" s="24"/>
      <x:c r="H17" s="24"/>
      <x:c r="I17" s="24"/>
      <x:c r="J17" s="24"/>
      <x:c r="K17" s="24"/>
      <x:c r="L17" s="24"/>
      <x:c r="M17" s="24"/>
      <x:c r="N17" s="24"/>
    </x:row>
    <x:row r="18">
      <x:c r="B18" s="24" t="str">
        <x:v>Cell mass</x:v>
      </x:c>
      <x:c r="C18" s="24" t="n">
        <x:v>635</x:v>
      </x:c>
      <x:c r="D18" s="24" t="str">
        <x:v>t</x:v>
      </x:c>
      <x:c r="E18" s="24" t="n">
        <x:v>635</x:v>
      </x:c>
      <x:c r="F18" s="24" t="str">
        <x:f>IF(ABS(C18-E18)&lt;0.001,"PASS","FAIL")</x:f>
        <x:v>PASS</x:v>
      </x:c>
      <x:c r="G18" s="24"/>
      <x:c r="H18" s="24"/>
      <x:c r="I18" s="24"/>
      <x:c r="J18" s="24"/>
      <x:c r="K18" s="24"/>
      <x:c r="L18" s="24"/>
      <x:c r="M18" s="24"/>
      <x:c r="N18" s="24"/>
    </x:row>
    <x:row r="19">
      <x:c r="B19" s="24" t="str">
        <x:v>Air payload</x:v>
      </x:c>
      <x:c r="C19" s="24" t="n">
        <x:v>317.5</x:v>
      </x:c>
      <x:c r="D19" s="24" t="str">
        <x:v>t</x:v>
      </x:c>
      <x:c r="E19" s="24" t="n">
        <x:v>317.5</x:v>
      </x:c>
      <x:c r="F19" s="24" t="str">
        <x:f>IF(ABS(C19-E19)&lt;0.001,"PASS","FAIL")</x:f>
        <x:v>PASS</x:v>
      </x:c>
      <x:c r="G19" s="24"/>
      <x:c r="H19" s="24"/>
      <x:c r="I19" s="24"/>
      <x:c r="J19" s="24"/>
      <x:c r="K19" s="24"/>
      <x:c r="L19" s="24"/>
      <x:c r="M19" s="24"/>
      <x:c r="N19" s="24"/>
    </x:row>
    <x:row r="20">
      <x:c r="B20" s="24" t="str">
        <x:v>Terrain payload</x:v>
      </x:c>
      <x:c r="C20" s="24" t="n">
        <x:v>158.75</x:v>
      </x:c>
      <x:c r="D20" s="24" t="str">
        <x:v>t</x:v>
      </x:c>
      <x:c r="E20" s="24" t="n">
        <x:v>158.75</x:v>
      </x:c>
      <x:c r="F20" s="24" t="str">
        <x:f>IF(ABS(C20-E20)&lt;0.001,"PASS","FAIL")</x:f>
        <x:v>PASS</x:v>
      </x:c>
      <x:c r="G20" s="24"/>
      <x:c r="H20" s="24"/>
      <x:c r="I20" s="24"/>
      <x:c r="J20" s="24"/>
      <x:c r="K20" s="24"/>
      <x:c r="L20" s="24"/>
      <x:c r="M20" s="24"/>
      <x:c r="N20" s="24"/>
    </x:row>
    <x:row r="21">
      <x:c r="B21" s="24" t="str">
        <x:v>Tile articles</x:v>
      </x:c>
      <x:c r="C21" s="24" t="n">
        <x:v>5916</x:v>
      </x:c>
      <x:c r="D21" s="24" t="str">
        <x:v>tiles</x:v>
      </x:c>
      <x:c r="E21" s="24" t="n">
        <x:v>5916</x:v>
      </x:c>
      <x:c r="F21" s="24" t="str">
        <x:f>IF(ABS(C21-E21)&lt;0.001,"PASS","FAIL")</x:f>
        <x:v>PASS</x:v>
      </x:c>
      <x:c r="G21" s="24"/>
      <x:c r="H21" s="24"/>
      <x:c r="I21" s="24"/>
      <x:c r="J21" s="24"/>
      <x:c r="K21" s="24"/>
      <x:c r="L21" s="24"/>
      <x:c r="M21" s="24"/>
      <x:c r="N21" s="24"/>
    </x:row>
    <x:row r="22">
      <x:c r="B22" s="24" t="str">
        <x:v>Carrier articles</x:v>
      </x:c>
      <x:c r="C22" s="24" t="n">
        <x:v>439</x:v>
      </x:c>
      <x:c r="D22" s="24" t="str">
        <x:v>vehicles</x:v>
      </x:c>
      <x:c r="E22" s="24" t="n">
        <x:v>439</x:v>
      </x:c>
      <x:c r="F22" s="24" t="str">
        <x:f>IF(ABS(C22-E22)&lt;0.001,"PASS","FAIL")</x:f>
        <x:v>PASS</x:v>
      </x:c>
      <x:c r="G22" s="24"/>
      <x:c r="H22" s="24"/>
      <x:c r="I22" s="24"/>
      <x:c r="J22" s="24"/>
      <x:c r="K22" s="24"/>
      <x:c r="L22" s="24"/>
      <x:c r="M22" s="24"/>
      <x:c r="N22" s="24"/>
    </x:row>
    <x:row r="23">
      <x:c r="B23" s="24" t="str">
        <x:v>DCP-2R program</x:v>
      </x:c>
      <x:c r="C23" s="24" t="n">
        <x:v>6260.79719</x:v>
      </x:c>
      <x:c r="D23" s="24" t="str">
        <x:v>$B</x:v>
      </x:c>
      <x:c r="E23" s="24" t="n">
        <x:v>6260.79719</x:v>
      </x:c>
      <x:c r="F23" s="24" t="str">
        <x:f>IF(ABS(C23-E23)&lt;0.001,"PASS","FAIL")</x:f>
        <x:v>PASS</x:v>
      </x:c>
      <x:c r="G23" s="24"/>
      <x:c r="H23" s="24"/>
      <x:c r="I23" s="24"/>
      <x:c r="J23" s="24"/>
      <x:c r="K23" s="24"/>
      <x:c r="L23" s="24"/>
      <x:c r="M23" s="24"/>
      <x:c r="N23" s="24"/>
    </x:row>
    <x:row r="24">
      <x:c r="B24" s="24" t="str">
        <x:v>National boundary</x:v>
      </x:c>
      <x:c r="C24" s="24" t="n">
        <x:v>13643.93874</x:v>
      </x:c>
      <x:c r="D24" s="24" t="str">
        <x:v>$B</x:v>
      </x:c>
      <x:c r="E24" s="24" t="n">
        <x:v>13643.93874</x:v>
      </x:c>
      <x:c r="F24" s="24" t="str">
        <x:f>IF(ABS(C24-E24)&lt;0.001,"PASS","FAIL")</x:f>
        <x:v>PASS</x:v>
      </x:c>
      <x:c r="G24" s="24"/>
      <x:c r="H24" s="24"/>
      <x:c r="I24" s="24"/>
      <x:c r="J24" s="24"/>
      <x:c r="K24" s="24"/>
      <x:c r="L24" s="24"/>
      <x:c r="M24" s="24"/>
      <x:c r="N24" s="24"/>
    </x:row>
    <x:row r="25">
      <x:c r="B25" s="24" t="str">
        <x:v>Technology portfolio</x:v>
      </x:c>
      <x:c r="C25" s="24" t="n">
        <x:v>1050</x:v>
      </x:c>
      <x:c r="D25" s="24" t="str">
        <x:v>$B nested</x:v>
      </x:c>
      <x:c r="E25" s="24" t="n">
        <x:v>1050</x:v>
      </x:c>
      <x:c r="F25" s="24" t="str">
        <x:f>IF(ABS(C25-E25)&lt;0.001,"PASS","FAIL")</x:f>
        <x:v>PASS</x:v>
      </x:c>
      <x:c r="G25" s="24"/>
      <x:c r="H25" s="24"/>
      <x:c r="I25" s="24"/>
      <x:c r="J25" s="24"/>
      <x:c r="K25" s="24"/>
      <x:c r="L25" s="24"/>
      <x:c r="M25" s="24"/>
      <x:c r="N25" s="24"/>
    </x:row>
    <x:row r="26">
      <x:c r="B26" s="24" t="str">
        <x:v>Evidence gates</x:v>
      </x:c>
      <x:c r="C26" s="24" t="n">
        <x:v>200</x:v>
      </x:c>
      <x:c r="D26" s="24" t="str">
        <x:v>open</x:v>
      </x:c>
      <x:c r="E26" s="24" t="n">
        <x:v>200</x:v>
      </x:c>
      <x:c r="F26" s="24" t="str">
        <x:f>IF(ABS(C26-E26)&lt;0.001,"PASS","FAIL")</x:f>
        <x:v>PASS</x:v>
      </x:c>
      <x:c r="G26" s="24"/>
      <x:c r="H26" s="24"/>
      <x:c r="I26" s="24"/>
      <x:c r="J26" s="24"/>
      <x:c r="K26" s="24"/>
      <x:c r="L26" s="24"/>
      <x:c r="M26" s="24"/>
      <x:c r="N26" s="24"/>
    </x:row>
    <x:row r="27">
      <x:c r="B27" s="24" t="str">
        <x:v>Audit controls</x:v>
      </x:c>
      <x:c r="C27" s="24" t="n">
        <x:v>290</x:v>
      </x:c>
      <x:c r="D27" s="24" t="str">
        <x:v>checks</x:v>
      </x:c>
      <x:c r="E27" s="24" t="n">
        <x:v>290</x:v>
      </x:c>
      <x:c r="F27" s="24" t="str">
        <x:f>IF(ABS(C27-E27)&lt;0.001,"PASS","FAIL")</x:f>
        <x:v>PASS</x:v>
      </x:c>
      <x:c r="G27" s="24"/>
      <x:c r="H27" s="24"/>
      <x:c r="I27" s="24"/>
      <x:c r="J27" s="24"/>
      <x:c r="K27" s="24"/>
      <x:c r="L27" s="24"/>
      <x:c r="M27" s="24"/>
      <x:c r="N27" s="24"/>
    </x:row>
    <x:row r="28"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</x:row>
    <x:row r="29"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</x:row>
    <x:row r="30">
      <x:c r="B30" s="46" t="str">
        <x:v>Immediate proof sequence</x:v>
      </x:c>
      <x:c r="C30" s="47" t="str">
        <x:v>Immediate proof sequence</x:v>
      </x:c>
      <x:c r="D30" s="47" t="str">
        <x:v>Immediate proof sequence</x:v>
      </x:c>
      <x:c r="E30" s="47" t="str">
        <x:v>Immediate proof sequence</x:v>
      </x:c>
      <x:c r="F30" s="47" t="str">
        <x:v>Immediate proof sequence</x:v>
      </x:c>
      <x:c r="G30" s="47" t="str">
        <x:v>Immediate proof sequence</x:v>
      </x:c>
      <x:c r="H30" s="47" t="str">
        <x:v>Immediate proof sequence</x:v>
      </x:c>
      <x:c r="I30" s="47" t="str">
        <x:v>Immediate proof sequence</x:v>
      </x:c>
      <x:c r="J30" s="47" t="str">
        <x:v>Immediate proof sequence</x:v>
      </x:c>
      <x:c r="K30" s="47" t="str">
        <x:v>Immediate proof sequence</x:v>
      </x:c>
      <x:c r="L30" s="47" t="str">
        <x:v>Immediate proof sequence</x:v>
      </x:c>
      <x:c r="M30" s="47" t="str">
        <x:v>Immediate proof sequence</x:v>
      </x:c>
      <x:c r="N30" s="48" t="str">
        <x:v>Immediate proof sequence</x:v>
      </x:c>
    </x:row>
    <x:row r="31">
      <x:c r="B31" s="38" t="str">
        <x:v>1</x:v>
      </x:c>
      <x:c r="C31" s="24" t="str">
        <x:v>Build one representative tile per family per lineage and close certified mass, output, custody, isolation and hazard boundaries.</x:v>
      </x:c>
      <x:c r="D31" s="24" t="str"/>
      <x:c r="E31" s="24" t="str"/>
      <x:c r="F31" s="24" t="str"/>
      <x:c r="G31" s="24" t="str"/>
      <x:c r="H31" s="24" t="str"/>
      <x:c r="I31" s="24" t="str"/>
      <x:c r="J31" s="24" t="str"/>
      <x:c r="K31" s="24" t="str"/>
      <x:c r="L31" s="24" t="str"/>
      <x:c r="M31" s="24" t="str"/>
      <x:c r="N31" s="24" t="str"/>
    </x:row>
    <x:row r="32">
      <x:c r="B32" s="38" t="str">
        <x:v>2</x:v>
      </x:c>
      <x:c r="C32" s="24" t="str">
        <x:v>Install compact saddles on structural test carriers; measure modes, restraint, CG, transfer, energy and bridge-soil feedback.</x:v>
      </x:c>
      <x:c r="D32" s="24" t="str"/>
      <x:c r="E32" s="24" t="str"/>
      <x:c r="F32" s="24" t="str"/>
      <x:c r="G32" s="24" t="str"/>
      <x:c r="H32" s="24" t="str"/>
      <x:c r="I32" s="24" t="str"/>
      <x:c r="J32" s="24" t="str"/>
      <x:c r="K32" s="24" t="str"/>
      <x:c r="L32" s="24" t="str"/>
      <x:c r="M32" s="24" t="str"/>
      <x:c r="N32" s="24" t="str"/>
    </x:row>
    <x:row r="33">
      <x:c r="B33" s="38" t="str">
        <x:v>3</x:v>
      </x:c>
      <x:c r="C33" s="24" t="str">
        <x:v>Assemble one air and one terrain five-family set; operate all services simultaneously under offline control.</x:v>
      </x:c>
      <x:c r="D33" s="24" t="str"/>
      <x:c r="E33" s="24" t="str"/>
      <x:c r="F33" s="24" t="str"/>
      <x:c r="G33" s="24" t="str"/>
      <x:c r="H33" s="24" t="str"/>
      <x:c r="I33" s="24" t="str"/>
      <x:c r="J33" s="24" t="str"/>
      <x:c r="K33" s="24" t="str"/>
      <x:c r="L33" s="24" t="str"/>
      <x:c r="M33" s="24" t="str"/>
      <x:c r="N33" s="24" t="str"/>
    </x:row>
    <x:row r="34">
      <x:c r="B34" s="38" t="str">
        <x:v>4</x:v>
      </x:c>
      <x:c r="C34" s="24" t="str">
        <x:v>Run carrier-loss plus tile-loss trials at unprepared receivers and independently assay public service by the 54-hour clock.</x:v>
      </x:c>
      <x:c r="D34" s="24" t="str"/>
      <x:c r="E34" s="24" t="str"/>
      <x:c r="F34" s="24" t="str"/>
      <x:c r="G34" s="24" t="str"/>
      <x:c r="H34" s="24" t="str"/>
      <x:c r="I34" s="24" t="str"/>
      <x:c r="J34" s="24" t="str"/>
      <x:c r="K34" s="24" t="str"/>
      <x:c r="L34" s="24" t="str"/>
      <x:c r="M34" s="24" t="str"/>
      <x:c r="N34" s="24" t="str"/>
    </x:row>
    <x:row r="35">
      <x:c r="B35" s="38" t="str">
        <x:v>5</x:v>
      </x:c>
      <x:c r="C35" s="24" t="str">
        <x:v>Demonstrate 168-hour reset, lot trace, quarantine and two truly independent supply and certification lineages.</x:v>
      </x:c>
      <x:c r="D35" s="24" t="str"/>
      <x:c r="E35" s="24" t="str"/>
      <x:c r="F35" s="24" t="str"/>
      <x:c r="G35" s="24" t="str"/>
      <x:c r="H35" s="24" t="str"/>
      <x:c r="I35" s="24" t="str"/>
      <x:c r="J35" s="24" t="str"/>
      <x:c r="K35" s="24" t="str"/>
      <x:c r="L35" s="24" t="str"/>
      <x:c r="M35" s="24" t="str"/>
      <x:c r="N35" s="24" t="str"/>
    </x:row>
    <x:row r="36">
      <x:c r="B36" s="38" t="str">
        <x:v>Stop</x:v>
      </x:c>
      <x:c r="C36" s="24" t="str">
        <x:v>If the 0.431-hour terrain margin or causal independence does not survive measured trials, reopen the carrier count and K5 control.</x:v>
      </x:c>
      <x:c r="D36" s="24" t="str"/>
      <x:c r="E36" s="24" t="str"/>
      <x:c r="F36" s="24" t="str"/>
      <x:c r="G36" s="24" t="str"/>
      <x:c r="H36" s="24" t="str"/>
      <x:c r="I36" s="24" t="str"/>
      <x:c r="J36" s="24" t="str"/>
      <x:c r="K36" s="24" t="str"/>
      <x:c r="L36" s="24" t="str"/>
      <x:c r="M36" s="24" t="str"/>
      <x:c r="N36" s="24" t="str"/>
    </x:row>
  </x:sheetData>
  <x:mergeCells>
    <x:mergeCell ref="B2:H2"/>
    <x:mergeCell ref="B3:N3"/>
    <x:mergeCell ref="B6:H6"/>
    <x:mergeCell ref="B16:H16"/>
    <x:mergeCell ref="J6:N6"/>
    <x:mergeCell ref="B30:N30"/>
  </x:mergeCells>
  <x:conditionalFormatting sqref="F18:F27">
    <x:cfRule type="containsText" dxfId="72" priority="1" operator="containsText" text="FAIL"/>
    <x:cfRule type="containsText" dxfId="73" priority="2" operator="containsText" text="PASS"/>
    <x:cfRule type="containsText" dxfId="74" priority="3" operator="containsText" text="OPEN"/>
    <x:cfRule type="containsText" dxfId="75" priority="4" operator="containsText" text="BLOCKED"/>
  </x:conditionalFormatting>
  <x:conditionalFormatting sqref="M8:M14">
    <x:cfRule type="containsText" dxfId="76" priority="5" operator="containsText" text="FAIL"/>
    <x:cfRule type="containsText" dxfId="77" priority="6" operator="containsText" text="PASS"/>
    <x:cfRule type="containsText" dxfId="78" priority="7" operator="containsText" text="OPEN"/>
    <x:cfRule type="containsText" dxfId="79" priority="8" operator="containsText" text="BLOCK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5D7C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2" max="2" width="42" hidden="0" customWidth="1"/>
    <x:col min="3" max="3" width="18" hidden="0" customWidth="1"/>
    <x:col min="4" max="4" width="18" hidden="0" customWidth="1"/>
    <x:col min="5" max="5" width="26" hidden="0" customWidth="1"/>
    <x:col min="6" max="6" width="52" hidden="0" customWidth="1"/>
  </x:cols>
  <x:sheetData>
    <x:row r="2">
      <x:c r="B2" s="43" t="str">
        <x:v>ESK-40V physical architecture assumptions</x:v>
      </x:c>
      <x:c r="C2" s="24"/>
      <x:c r="D2" s="24"/>
      <x:c r="E2" s="24"/>
      <x:c r="F2" s="24"/>
    </x:row>
    <x:row r="3">
      <x:c r="B3" s="44" t="str">
        <x:v>Inherited service burden, declared engineering allowances and carrier feedback coefficients; blue values remain hypotheses</x:v>
      </x:c>
      <x:c r="C3" s="24"/>
      <x:c r="D3" s="24"/>
      <x:c r="E3" s="24"/>
      <x:c r="F3" s="24"/>
    </x:row>
    <x:row r="4">
      <x:c r="B4" s="45"/>
      <x:c r="C4" s="45"/>
      <x:c r="D4" s="45"/>
      <x:c r="E4" s="45"/>
      <x:c r="F4" s="45"/>
    </x:row>
    <x:row r="5">
      <x:c r="B5" s="24"/>
      <x:c r="C5" s="24"/>
      <x:c r="D5" s="24"/>
      <x:c r="E5" s="24"/>
      <x:c r="F5" s="24"/>
    </x:row>
    <x:row r="6">
      <x:c r="B6" s="46" t="str">
        <x:v>Physical, mission and fiscal controls</x:v>
      </x:c>
      <x:c r="C6" s="47" t="str">
        <x:v>Physical, mission and fiscal controls</x:v>
      </x:c>
      <x:c r="D6" s="47" t="str">
        <x:v>Physical, mission and fiscal controls</x:v>
      </x:c>
      <x:c r="E6" s="47" t="str">
        <x:v>Physical, mission and fiscal controls</x:v>
      </x:c>
      <x:c r="F6" s="48" t="str">
        <x:v>Physical, mission and fiscal controls</x:v>
      </x:c>
    </x:row>
    <x:row r="7">
      <x:c r="B7" s="26" t="str">
        <x:v>Input</x:v>
      </x:c>
      <x:c r="C7" s="27" t="str">
        <x:v>Value</x:v>
      </x:c>
      <x:c r="D7" s="27" t="str">
        <x:v>Unit</x:v>
      </x:c>
      <x:c r="E7" s="27" t="str">
        <x:v>Origin</x:v>
      </x:c>
      <x:c r="F7" s="27" t="str">
        <x:v>Interpretation</x:v>
      </x:c>
    </x:row>
    <x:row r="8">
      <x:c r="B8" s="28" t="str">
        <x:v>Cell mass</x:v>
      </x:c>
      <x:c r="C8" s="29" t="n">
        <x:v>635</x:v>
      </x:c>
      <x:c r="D8" s="28" t="str">
        <x:v>t</x:v>
      </x:c>
      <x:c r="E8" s="28" t="str">
        <x:v>Pass 82</x:v>
      </x:c>
      <x:c r="F8" s="30" t="str">
        <x:v>complete source-to-public-service burden</x:v>
      </x:c>
    </x:row>
    <x:row r="9">
      <x:c r="B9" s="28" t="str">
        <x:v>Families</x:v>
      </x:c>
      <x:c r="C9" s="29" t="n">
        <x:v>5</x:v>
      </x:c>
      <x:c r="D9" s="28" t="str">
        <x:v>families</x:v>
      </x:c>
      <x:c r="E9" s="28" t="str">
        <x:v>Pass 88</x:v>
      </x:c>
      <x:c r="F9" s="30" t="str">
        <x:v>E W T D C</x:v>
      </x:c>
    </x:row>
    <x:row r="10">
      <x:c r="B10" s="28" t="str">
        <x:v>Tiles per family</x:v>
      </x:c>
      <x:c r="C10" s="29" t="n">
        <x:v>8</x:v>
      </x:c>
      <x:c r="D10" s="28" t="str">
        <x:v>tiles</x:v>
      </x:c>
      <x:c r="E10" s="28" t="str">
        <x:v>Pass 88</x:v>
      </x:c>
      <x:c r="F10" s="30" t="str">
        <x:v>forty-tile kernel</x:v>
      </x:c>
    </x:row>
    <x:row r="11">
      <x:c r="B11" s="28" t="str">
        <x:v>Air sets per vehicle</x:v>
      </x:c>
      <x:c r="C11" s="29" t="n">
        <x:v>4</x:v>
      </x:c>
      <x:c r="D11" s="28" t="str">
        <x:v>sets</x:v>
      </x:c>
      <x:c r="E11" s="28" t="str">
        <x:v>Pass 88</x:v>
      </x:c>
      <x:c r="F11" s="30" t="str">
        <x:v>twenty tiles</x:v>
      </x:c>
    </x:row>
    <x:row r="12">
      <x:c r="B12" s="28" t="str">
        <x:v>Terrain sets per vehicle</x:v>
      </x:c>
      <x:c r="C12" s="29" t="n">
        <x:v>2</x:v>
      </x:c>
      <x:c r="D12" s="28" t="str">
        <x:v>sets</x:v>
      </x:c>
      <x:c r="E12" s="28" t="str">
        <x:v>Pass 88</x:v>
      </x:c>
      <x:c r="F12" s="30" t="str">
        <x:v>ten tiles</x:v>
      </x:c>
    </x:row>
    <x:row r="13">
      <x:c r="B13" s="28" t="str">
        <x:v>Air carriers per formation</x:v>
      </x:c>
      <x:c r="C13" s="29" t="n">
        <x:v>3</x:v>
      </x:c>
      <x:c r="D13" s="28" t="str">
        <x:v>vehicles</x:v>
      </x:c>
      <x:c r="E13" s="28" t="str">
        <x:v>Pass 88</x:v>
      </x:c>
      <x:c r="F13" s="30" t="str">
        <x:v>any two survive</x:v>
      </x:c>
    </x:row>
    <x:row r="14">
      <x:c r="B14" s="28" t="str">
        <x:v>Terrain carriers per formation</x:v>
      </x:c>
      <x:c r="C14" s="29" t="n">
        <x:v>5</x:v>
      </x:c>
      <x:c r="D14" s="28" t="str">
        <x:v>vehicles</x:v>
      </x:c>
      <x:c r="E14" s="28" t="str">
        <x:v>Pass 88</x:v>
      </x:c>
      <x:c r="F14" s="30" t="str">
        <x:v>any four survive</x:v>
      </x:c>
    </x:row>
    <x:row r="15">
      <x:c r="B15" s="28" t="str">
        <x:v>Air payload assigned</x:v>
      </x:c>
      <x:c r="C15" s="29" t="n">
        <x:v>317.5</x:v>
      </x:c>
      <x:c r="D15" s="28" t="str">
        <x:v>t</x:v>
      </x:c>
      <x:c r="E15" s="28" t="str">
        <x:v>Pass 87</x:v>
      </x:c>
      <x:c r="F15" s="30" t="str">
        <x:v>one-half cell</x:v>
      </x:c>
    </x:row>
    <x:row r="16">
      <x:c r="B16" s="28" t="str">
        <x:v>Terrain payload assigned</x:v>
      </x:c>
      <x:c r="C16" s="29" t="n">
        <x:v>158.75</x:v>
      </x:c>
      <x:c r="D16" s="28" t="str">
        <x:v>t</x:v>
      </x:c>
      <x:c r="E16" s="28" t="str">
        <x:v>Pass 86</x:v>
      </x:c>
      <x:c r="F16" s="30" t="str">
        <x:v>one-quarter cell</x:v>
      </x:c>
    </x:row>
    <x:row r="17">
      <x:c r="B17" s="28" t="str">
        <x:v>Air inherited saddles</x:v>
      </x:c>
      <x:c r="C17" s="29" t="n">
        <x:v>18</x:v>
      </x:c>
      <x:c r="D17" s="28" t="str">
        <x:v>positions</x:v>
      </x:c>
      <x:c r="E17" s="28" t="str">
        <x:v>Pass 87</x:v>
      </x:c>
      <x:c r="F17" s="30" t="str">
        <x:v>sixteen dry plus two wet</x:v>
      </x:c>
    </x:row>
    <x:row r="18">
      <x:c r="B18" s="28" t="str">
        <x:v>Terrain inherited saddles</x:v>
      </x:c>
      <x:c r="C18" s="29" t="n">
        <x:v>9</x:v>
      </x:c>
      <x:c r="D18" s="28" t="str">
        <x:v>positions</x:v>
      </x:c>
      <x:c r="E18" s="28" t="str">
        <x:v>Pass 86</x:v>
      </x:c>
      <x:c r="F18" s="30" t="str">
        <x:v>eight dry plus one wet</x:v>
      </x:c>
    </x:row>
    <x:row r="19">
      <x:c r="B19" s="28" t="str">
        <x:v>Air fixed-mass correction</x:v>
      </x:c>
      <x:c r="C19" s="29" t="n">
        <x:v>6</x:v>
      </x:c>
      <x:c r="D19" s="28" t="str">
        <x:v>t</x:v>
      </x:c>
      <x:c r="E19" s="28" t="str">
        <x:v>engineering allowance</x:v>
      </x:c>
      <x:c r="F19" s="30" t="str">
        <x:v>two compact saddles and transfer hardware</x:v>
      </x:c>
    </x:row>
    <x:row r="20">
      <x:c r="B20" s="28" t="str">
        <x:v>Air gross feedback</x:v>
      </x:c>
      <x:c r="C20" s="29" t="n">
        <x:v>1.1512</x:v>
      </x:c>
      <x:c r="D20" s="28" t="str">
        <x:v>gross t/fixed t</x:v>
      </x:c>
      <x:c r="E20" s="28" t="str">
        <x:v>Pass 87</x:v>
      </x:c>
      <x:c r="F20" s="30" t="str">
        <x:v>fuel and tank closure multiplier</x:v>
      </x:c>
    </x:row>
    <x:row r="21">
      <x:c r="B21" s="28" t="str">
        <x:v>Air energy feedback</x:v>
      </x:c>
      <x:c r="C21" s="29" t="n">
        <x:v>1.626</x:v>
      </x:c>
      <x:c r="D21" s="28" t="str">
        <x:v>MWh/fixed t</x:v>
      </x:c>
      <x:c r="E21" s="28" t="str">
        <x:v>Pass 87</x:v>
      </x:c>
      <x:c r="F21" s="30" t="str">
        <x:v>onboard energy consequence</x:v>
      </x:c>
    </x:row>
    <x:row r="22">
      <x:c r="B22" s="28" t="str">
        <x:v>Terrain fixed-mass correction</x:v>
      </x:c>
      <x:c r="C22" s="29" t="n">
        <x:v>3</x:v>
      </x:c>
      <x:c r="D22" s="28" t="str">
        <x:v>t</x:v>
      </x:c>
      <x:c r="E22" s="28" t="str">
        <x:v>engineering allowance</x:v>
      </x:c>
      <x:c r="F22" s="30" t="str">
        <x:v>one compact saddle and transfer hardware</x:v>
      </x:c>
    </x:row>
    <x:row r="23">
      <x:c r="B23" s="28" t="str">
        <x:v>Terrain bridge-energy fraction</x:v>
      </x:c>
      <x:c r="C23" s="29" t="n">
        <x:v>0.2047368</x:v>
      </x:c>
      <x:c r="D23" s="28" t="str">
        <x:v>fraction</x:v>
      </x:c>
      <x:c r="E23" s="28" t="str">
        <x:v>Pass 86</x:v>
      </x:c>
      <x:c r="F23" s="30" t="str">
        <x:v>feedback fraction</x:v>
      </x:c>
    </x:row>
    <x:row r="24">
      <x:c r="B24" s="28" t="str">
        <x:v>Air inherited gross</x:v>
      </x:c>
      <x:c r="C24" s="29" t="n">
        <x:v>1461.4148</x:v>
      </x:c>
      <x:c r="D24" s="28" t="str">
        <x:v>t</x:v>
      </x:c>
      <x:c r="E24" s="28" t="str">
        <x:v>Pass 88</x:v>
      </x:c>
      <x:c r="F24" s="30" t="str">
        <x:v>reinforced carrier state before correction</x:v>
      </x:c>
    </x:row>
    <x:row r="25">
      <x:c r="B25" s="28" t="str">
        <x:v>Air inherited energy</x:v>
      </x:c>
      <x:c r="C25" s="29" t="n">
        <x:v>2185.0746813</x:v>
      </x:c>
      <x:c r="D25" s="28" t="str">
        <x:v>MWh</x:v>
      </x:c>
      <x:c r="E25" s="28" t="str">
        <x:v>Pass 87</x:v>
      </x:c>
      <x:c r="F25" s="30" t="str">
        <x:v>deliverable onboard energy</x:v>
      </x:c>
    </x:row>
    <x:row r="26">
      <x:c r="B26" s="28" t="str">
        <x:v>Terrain inherited gross</x:v>
      </x:c>
      <x:c r="C26" s="29" t="n">
        <x:v>717.185</x:v>
      </x:c>
      <x:c r="D26" s="28" t="str">
        <x:v>t</x:v>
      </x:c>
      <x:c r="E26" s="28" t="str">
        <x:v>Pass 88</x:v>
      </x:c>
      <x:c r="F26" s="30" t="str">
        <x:v>reinforced carrier state before correction</x:v>
      </x:c>
    </x:row>
    <x:row r="27">
      <x:c r="B27" s="28" t="str">
        <x:v>Terrain inherited soil pressure</x:v>
      </x:c>
      <x:c r="C27" s="29" t="n">
        <x:v>34.07</x:v>
      </x:c>
      <x:c r="D27" s="28" t="str">
        <x:v>kPa</x:v>
      </x:c>
      <x:c r="E27" s="28" t="str">
        <x:v>Pass 86</x:v>
      </x:c>
      <x:c r="F27" s="30" t="str">
        <x:v>damaged-soil reference</x:v>
      </x:c>
    </x:row>
    <x:row r="28">
      <x:c r="B28" s="28" t="str">
        <x:v>Soil pressure ceiling</x:v>
      </x:c>
      <x:c r="C28" s="29" t="n">
        <x:v>35</x:v>
      </x:c>
      <x:c r="D28" s="28" t="str">
        <x:v>kPa</x:v>
      </x:c>
      <x:c r="E28" s="28" t="str">
        <x:v>Pass 86</x:v>
      </x:c>
      <x:c r="F28" s="30" t="str">
        <x:v>route admissibility ceiling</x:v>
      </x:c>
    </x:row>
    <x:row r="29">
      <x:c r="B29" s="28" t="str">
        <x:v>Air inherited absolute service</x:v>
      </x:c>
      <x:c r="C29" s="29" t="n">
        <x:v>47.9166667</x:v>
      </x:c>
      <x:c r="D29" s="28" t="str">
        <x:v>h</x:v>
      </x:c>
      <x:c r="E29" s="28" t="str">
        <x:v>Pass 88</x:v>
      </x:c>
      <x:c r="F29" s="30" t="str">
        <x:v>activation through public release</x:v>
      </x:c>
    </x:row>
    <x:row r="30">
      <x:c r="B30" s="28" t="str">
        <x:v>Terrain inherited absolute service</x:v>
      </x:c>
      <x:c r="C30" s="29" t="n">
        <x:v>49.5694444</x:v>
      </x:c>
      <x:c r="D30" s="28" t="str">
        <x:v>h</x:v>
      </x:c>
      <x:c r="E30" s="28" t="str">
        <x:v>Pass 88</x:v>
      </x:c>
      <x:c r="F30" s="30" t="str">
        <x:v>activation through public release</x:v>
      </x:c>
    </x:row>
    <x:row r="31">
      <x:c r="B31" s="28" t="str">
        <x:v>Tile interface increment</x:v>
      </x:c>
      <x:c r="C31" s="29" t="n">
        <x:v>0.5</x:v>
      </x:c>
      <x:c r="D31" s="28" t="str">
        <x:v>h</x:v>
      </x:c>
      <x:c r="E31" s="28" t="str">
        <x:v>engineering allowance</x:v>
      </x:c>
      <x:c r="F31" s="30" t="str">
        <x:v>added assay and saddle state</x:v>
      </x:c>
    </x:row>
    <x:row r="32">
      <x:c r="B32" s="28" t="str">
        <x:v>Air design stress</x:v>
      </x:c>
      <x:c r="C32" s="29" t="n">
        <x:v>4.5</x:v>
      </x:c>
      <x:c r="D32" s="28" t="str">
        <x:v>h</x:v>
      </x:c>
      <x:c r="E32" s="28" t="str">
        <x:v>Pass 88</x:v>
      </x:c>
      <x:c r="F32" s="30" t="str">
        <x:v>nonprobabilistic challenge allowance</x:v>
      </x:c>
    </x:row>
    <x:row r="33">
      <x:c r="B33" s="28" t="str">
        <x:v>Terrain design stress</x:v>
      </x:c>
      <x:c r="C33" s="29" t="n">
        <x:v>3.5</x:v>
      </x:c>
      <x:c r="D33" s="28" t="str">
        <x:v>h</x:v>
      </x:c>
      <x:c r="E33" s="28" t="str">
        <x:v>Pass 88</x:v>
      </x:c>
      <x:c r="F33" s="30" t="str">
        <x:v>nonprobabilistic challenge allowance</x:v>
      </x:c>
    </x:row>
    <x:row r="34">
      <x:c r="B34" s="28" t="str">
        <x:v>Service deadline</x:v>
      </x:c>
      <x:c r="C34" s="29" t="n">
        <x:v>54</x:v>
      </x:c>
      <x:c r="D34" s="28" t="str">
        <x:v>h</x:v>
      </x:c>
      <x:c r="E34" s="28" t="str">
        <x:v>Pass 82</x:v>
      </x:c>
      <x:c r="F34" s="30" t="str">
        <x:v>absolute public-service ceiling</x:v>
      </x:c>
    </x:row>
    <x:row r="35">
      <x:c r="B35" s="28" t="str">
        <x:v>Air inherited reset</x:v>
      </x:c>
      <x:c r="C35" s="29" t="n">
        <x:v>162</x:v>
      </x:c>
      <x:c r="D35" s="28" t="str">
        <x:v>h</x:v>
      </x:c>
      <x:c r="E35" s="28" t="str">
        <x:v>Pass 87</x:v>
      </x:c>
      <x:c r="F35" s="30" t="str">
        <x:v>certified reload</x:v>
      </x:c>
    </x:row>
    <x:row r="36">
      <x:c r="B36" s="28" t="str">
        <x:v>Terrain inherited reset</x:v>
      </x:c>
      <x:c r="C36" s="29" t="n">
        <x:v>166</x:v>
      </x:c>
      <x:c r="D36" s="28" t="str">
        <x:v>h</x:v>
      </x:c>
      <x:c r="E36" s="28" t="str">
        <x:v>Pass 86</x:v>
      </x:c>
      <x:c r="F36" s="30" t="str">
        <x:v>certified reload</x:v>
      </x:c>
    </x:row>
    <x:row r="37">
      <x:c r="B37" s="28" t="str">
        <x:v>Reset increment</x:v>
      </x:c>
      <x:c r="C37" s="29" t="n">
        <x:v>1</x:v>
      </x:c>
      <x:c r="D37" s="28" t="str">
        <x:v>h</x:v>
      </x:c>
      <x:c r="E37" s="28" t="str">
        <x:v>engineering allowance</x:v>
      </x:c>
      <x:c r="F37" s="30" t="str">
        <x:v>additional interface inspection</x:v>
      </x:c>
    </x:row>
    <x:row r="38">
      <x:c r="B38" s="28" t="str">
        <x:v>Reset ceiling</x:v>
      </x:c>
      <x:c r="C38" s="29" t="n">
        <x:v>168</x:v>
      </x:c>
      <x:c r="D38" s="28" t="str">
        <x:v>h</x:v>
      </x:c>
      <x:c r="E38" s="28" t="str">
        <x:v>Pass 82</x:v>
      </x:c>
      <x:c r="F38" s="30" t="str">
        <x:v>return-to-ready ceiling</x:v>
      </x:c>
    </x:row>
    <x:row r="39">
      <x:c r="B39" s="28" t="str">
        <x:v>Ready formations</x:v>
      </x:c>
      <x:c r="C39" s="29" t="n">
        <x:v>43</x:v>
      </x:c>
      <x:c r="D39" s="28" t="str">
        <x:v>formations</x:v>
      </x:c>
      <x:c r="E39" s="28" t="str">
        <x:v>Pass 86</x:v>
      </x:c>
      <x:c r="F39" s="30" t="str">
        <x:v>national posture</x:v>
      </x:c>
    </x:row>
    <x:row r="40">
      <x:c r="B40" s="28" t="str">
        <x:v>Tile reserve fraction</x:v>
      </x:c>
      <x:c r="C40" s="29" t="n">
        <x:v>0.2</x:v>
      </x:c>
      <x:c r="D40" s="28" t="str">
        <x:v>fraction</x:v>
      </x:c>
      <x:c r="E40" s="28" t="str">
        <x:v>program assumption</x:v>
      </x:c>
      <x:c r="F40" s="30" t="str">
        <x:v>attrition and overhaul</x:v>
      </x:c>
    </x:row>
    <x:row r="41">
      <x:c r="B41" s="28" t="str">
        <x:v>Development tiles per family-lineage</x:v>
      </x:c>
      <x:c r="C41" s="29" t="n">
        <x:v>24</x:v>
      </x:c>
      <x:c r="D41" s="28" t="str">
        <x:v>tiles</x:v>
      </x:c>
      <x:c r="E41" s="28" t="str">
        <x:v>program assumption</x:v>
      </x:c>
      <x:c r="F41" s="30" t="str">
        <x:v>destructive and certification articles</x:v>
      </x:c>
    </x:row>
    <x:row r="42">
      <x:c r="B42" s="28" t="str">
        <x:v>Pass 88 carrier articles</x:v>
      </x:c>
      <x:c r="C42" s="29" t="n">
        <x:v>439</x:v>
      </x:c>
      <x:c r="D42" s="28" t="str">
        <x:v>articles</x:v>
      </x:c>
      <x:c r="E42" s="28" t="str">
        <x:v>Pass 88</x:v>
      </x:c>
      <x:c r="F42" s="30" t="str">
        <x:v>reinforced common-carrier fleet</x:v>
      </x:c>
    </x:row>
    <x:row r="43">
      <x:c r="B43" s="28" t="str">
        <x:v>Pass 88 program</x:v>
      </x:c>
      <x:c r="C43" s="29" t="n">
        <x:v>4940.79719</x:v>
      </x:c>
      <x:c r="D43" s="28" t="str">
        <x:v>$B</x:v>
      </x:c>
      <x:c r="E43" s="28" t="str">
        <x:v>Pass 88</x:v>
      </x:c>
      <x:c r="F43" s="30" t="str">
        <x:v>DCP-2R boundary</x:v>
      </x:c>
    </x:row>
    <x:row r="44">
      <x:c r="B44" s="28" t="str">
        <x:v>Pass 88 generic ESK account</x:v>
      </x:c>
      <x:c r="C44" s="29" t="n">
        <x:v>240</x:v>
      </x:c>
      <x:c r="D44" s="28" t="str">
        <x:v>$B</x:v>
      </x:c>
      <x:c r="E44" s="28" t="str">
        <x:v>Pass 88</x:v>
      </x:c>
      <x:c r="F44" s="30" t="str">
        <x:v>replaced by detailed architecture</x:v>
      </x:c>
    </x:row>
    <x:row r="45">
      <x:c r="B45" s="28" t="str">
        <x:v>Dual-lineage tile program</x:v>
      </x:c>
      <x:c r="C45" s="29" t="n">
        <x:v>1320</x:v>
      </x:c>
      <x:c r="D45" s="28" t="str">
        <x:v>$B</x:v>
      </x:c>
      <x:c r="E45" s="28" t="str">
        <x:v>Pass 89</x:v>
      </x:c>
      <x:c r="F45" s="30" t="str">
        <x:v>development production sustainment</x:v>
      </x:c>
    </x:row>
    <x:row r="46">
      <x:c r="B46" s="28" t="str">
        <x:v>Air saddle program</x:v>
      </x:c>
      <x:c r="C46" s="29" t="n">
        <x:v>85</x:v>
      </x:c>
      <x:c r="D46" s="28" t="str">
        <x:v>$B</x:v>
      </x:c>
      <x:c r="E46" s="28" t="str">
        <x:v>Pass 89</x:v>
      </x:c>
      <x:c r="F46" s="30" t="str">
        <x:v>vehicle redesign and retrofit</x:v>
      </x:c>
    </x:row>
    <x:row r="47">
      <x:c r="B47" s="28" t="str">
        <x:v>Terrain saddle program</x:v>
      </x:c>
      <x:c r="C47" s="29" t="n">
        <x:v>60</x:v>
      </x:c>
      <x:c r="D47" s="28" t="str">
        <x:v>$B</x:v>
      </x:c>
      <x:c r="E47" s="28" t="str">
        <x:v>Pass 89</x:v>
      </x:c>
      <x:c r="F47" s="30" t="str">
        <x:v>vehicle redesign and retrofit</x:v>
      </x:c>
    </x:row>
    <x:row r="48">
      <x:c r="B48" s="28" t="str">
        <x:v>Receiver adapter program</x:v>
      </x:c>
      <x:c r="C48" s="29" t="n">
        <x:v>95</x:v>
      </x:c>
      <x:c r="D48" s="28" t="str">
        <x:v>$B</x:v>
      </x:c>
      <x:c r="E48" s="28" t="str">
        <x:v>Pass 89</x:v>
      </x:c>
      <x:c r="F48" s="30" t="str">
        <x:v>mode-specific receiver interfaces</x:v>
      </x:c>
    </x:row>
    <x:row r="49">
      <x:c r="B49" s="28" t="str">
        <x:v>Outside DCP-2R base</x:v>
      </x:c>
      <x:c r="C49" s="29" t="n">
        <x:v>7383.14155</x:v>
      </x:c>
      <x:c r="D49" s="28" t="str">
        <x:v>$B</x:v>
      </x:c>
      <x:c r="E49" s="28" t="str">
        <x:v>Pass 87</x:v>
      </x:c>
      <x:c r="F49" s="30" t="str">
        <x:v>unchanged national boundary</x:v>
      </x:c>
    </x:row>
    <x:row r="50">
      <x:c r="B50" s="28" t="str">
        <x:v>Full duplication program</x:v>
      </x:c>
      <x:c r="C50" s="29" t="n">
        <x:v>6003.87624</x:v>
      </x:c>
      <x:c r="D50" s="28" t="str">
        <x:v>$B</x:v>
      </x:c>
      <x:c r="E50" s="28" t="str">
        <x:v>Pass 88</x:v>
      </x:c>
      <x:c r="F50" s="30" t="str">
        <x:v>control architecture</x:v>
      </x:c>
    </x:row>
    <x:row r="51">
      <x:c r="B51" s="28" t="str">
        <x:v>Full duplication articles</x:v>
      </x:c>
      <x:c r="C51" s="29" t="n">
        <x:v>646</x:v>
      </x:c>
      <x:c r="D51" s="28" t="str">
        <x:v>articles</x:v>
      </x:c>
      <x:c r="E51" s="28" t="str">
        <x:v>Pass 88</x:v>
      </x:c>
      <x:c r="F51" s="30" t="str">
        <x:v>control fleet</x:v>
      </x:c>
    </x:row>
    <x:row r="52">
      <x:c r="B52" s="28" t="str">
        <x:v>Deployed workforce</x:v>
      </x:c>
      <x:c r="C52" s="29" t="n">
        <x:v>970</x:v>
      </x:c>
      <x:c r="D52" s="28" t="str">
        <x:v>people</x:v>
      </x:c>
      <x:c r="E52" s="28" t="str">
        <x:v>Pass 89</x:v>
      </x:c>
      <x:c r="F52" s="30" t="str">
        <x:v>formation and proof posture</x:v>
      </x:c>
    </x:row>
    <x:row r="53">
      <x:c r="B53" s="28" t="str">
        <x:v>Affiliated workforce</x:v>
      </x:c>
      <x:c r="C53" s="29" t="n">
        <x:v>2175</x:v>
      </x:c>
      <x:c r="D53" s="28" t="str">
        <x:v>positions</x:v>
      </x:c>
      <x:c r="E53" s="28" t="str">
        <x:v>Pass 89</x:v>
      </x:c>
      <x:c r="F53" s="30" t="str">
        <x:v>rotation schools depot</x:v>
      </x:c>
    </x:row>
    <x:row r="54">
      <x:c r="B54" s="28" t="str">
        <x:v>Minimum watch</x:v>
      </x:c>
      <x:c r="C54" s="29" t="n">
        <x:v>304</x:v>
      </x:c>
      <x:c r="D54" s="28" t="str">
        <x:v>people</x:v>
      </x:c>
      <x:c r="E54" s="28" t="str">
        <x:v>Pass 89</x:v>
      </x:c>
      <x:c r="F54" s="30" t="str">
        <x:v>continuous readiness</x:v>
      </x:c>
    </x:row>
    <x:row r="55">
      <x:c r="B55" s="28" t="str">
        <x:v>Technology portfolio</x:v>
      </x:c>
      <x:c r="C55" s="29" t="n">
        <x:v>1050</x:v>
      </x:c>
      <x:c r="D55" s="28" t="str">
        <x:v>$B nested</x:v>
      </x:c>
      <x:c r="E55" s="28" t="str">
        <x:v>Pass 89</x:v>
      </x:c>
      <x:c r="F55" s="30" t="str">
        <x:v>inside tile program</x:v>
      </x:c>
    </x:row>
    <x:row r="56">
      <x:c r="B56" s="28" t="str">
        <x:v>Technology campaigns</x:v>
      </x:c>
      <x:c r="C56" s="29" t="n">
        <x:v>25</x:v>
      </x:c>
      <x:c r="D56" s="28" t="str">
        <x:v>campaigns</x:v>
      </x:c>
      <x:c r="E56" s="28" t="str">
        <x:v>Pass 89</x:v>
      </x:c>
      <x:c r="F56" s="30" t="str">
        <x:v>five families by two lineages plus interfaces</x:v>
      </x:c>
    </x:row>
    <x:row r="57">
      <x:c r="B57" s="28" t="str">
        <x:v>Gates per campaign</x:v>
      </x:c>
      <x:c r="C57" s="29" t="n">
        <x:v>8</x:v>
      </x:c>
      <x:c r="D57" s="28" t="str">
        <x:v>gates</x:v>
      </x:c>
      <x:c r="E57" s="28" t="str">
        <x:v>Pass 89</x:v>
      </x:c>
      <x:c r="F57" s="30" t="str">
        <x:v>evidence stages</x:v>
      </x:c>
    </x:row>
    <x:row r="58">
      <x:c r="B58" s="28" t="str">
        <x:v>Model controls</x:v>
      </x:c>
      <x:c r="C58" s="29" t="n">
        <x:v>90</x:v>
      </x:c>
      <x:c r="D58" s="28" t="str">
        <x:v>controls</x:v>
      </x:c>
      <x:c r="E58" s="28" t="str">
        <x:v>Pass 89</x:v>
      </x:c>
      <x:c r="F58" s="30" t="str">
        <x:v>deterministic checks</x:v>
      </x:c>
    </x:row>
    <x:row r="59">
      <x:c r="B59" s="31" t="str">
        <x:v>Rendering authorization</x:v>
      </x:c>
      <x:c r="C59" s="32" t="n">
        <x:v>0</x:v>
      </x:c>
      <x:c r="D59" s="31" t="str">
        <x:v>binary</x:v>
      </x:c>
      <x:c r="E59" s="31" t="str">
        <x:v>governance</x:v>
      </x:c>
      <x:c r="F59" s="33" t="str">
        <x:v>exterior art remains blocked</x:v>
      </x:c>
    </x:row>
  </x:sheetData>
  <x:mergeCells>
    <x:mergeCell ref="B2:H2"/>
    <x:mergeCell ref="B3:F3"/>
    <x:mergeCell ref="B6:F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2" hidden="0" customWidth="1"/>
    <x:col min="3" max="3" width="30" hidden="0" customWidth="1"/>
    <x:col min="4" max="4" width="13" hidden="0" customWidth="1"/>
    <x:col min="5" max="5" width="16" hidden="0" customWidth="1"/>
    <x:col min="6" max="6" width="22" hidden="0" customWidth="1"/>
    <x:col min="7" max="7" width="20" hidden="0" customWidth="1"/>
    <x:col min="8" max="8" width="24" hidden="0" customWidth="1"/>
    <x:col min="9" max="9" width="19" hidden="0" customWidth="1"/>
    <x:col min="10" max="10" width="18" hidden="0" customWidth="1"/>
    <x:col min="11" max="11" width="18" hidden="0" customWidth="1"/>
  </x:cols>
  <x:sheetData>
    <x:row r="2">
      <x:c r="B2" s="43" t="str">
        <x:v>First-principles burden contract</x:v>
      </x:c>
      <x:c r="C2" s="24"/>
      <x:c r="D2" s="24"/>
      <x:c r="E2" s="24"/>
      <x:c r="F2" s="24"/>
      <x:c r="G2" s="24"/>
      <x:c r="H2" s="24"/>
      <x:c r="I2" s="24"/>
      <x:c r="J2" s="24"/>
      <x:c r="K2" s="24"/>
    </x:row>
    <x:row r="3">
      <x:c r="B3" s="44" t="str">
        <x:v>The 635-tonne cell is regrouped by physical function before any vehicle or tile geometry is selected</x:v>
      </x:c>
      <x:c r="C3" s="24"/>
      <x:c r="D3" s="24"/>
      <x:c r="E3" s="24"/>
      <x:c r="F3" s="24"/>
      <x:c r="G3" s="24"/>
      <x:c r="H3" s="24"/>
      <x:c r="I3" s="24"/>
      <x:c r="J3" s="24"/>
      <x:c r="K3" s="24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  <x:c r="K4" s="45"/>
    </x:row>
    <x:row r="5">
      <x:c r="B5" s="24"/>
      <x:c r="C5" s="24"/>
      <x:c r="D5" s="24"/>
      <x:c r="E5" s="24"/>
      <x:c r="F5" s="24"/>
      <x:c r="G5" s="24"/>
      <x:c r="H5" s="24"/>
      <x:c r="I5" s="24"/>
      <x:c r="J5" s="24"/>
      <x:c r="K5" s="24"/>
    </x:row>
    <x:row r="6">
      <x:c r="B6" s="46" t="str">
        <x:v>Inherited burden decomposition</x:v>
      </x:c>
      <x:c r="C6" s="47" t="str">
        <x:v>Inherited burden decomposition</x:v>
      </x:c>
      <x:c r="D6" s="47" t="str">
        <x:v>Inherited burden decomposition</x:v>
      </x:c>
      <x:c r="E6" s="47" t="str">
        <x:v>Inherited burden decomposition</x:v>
      </x:c>
      <x:c r="F6" s="47" t="str">
        <x:v>Inherited burden decomposition</x:v>
      </x:c>
      <x:c r="G6" s="47" t="str">
        <x:v>Inherited burden decomposition</x:v>
      </x:c>
      <x:c r="H6" s="47" t="str">
        <x:v>Inherited burden decomposition</x:v>
      </x:c>
      <x:c r="I6" s="47" t="str">
        <x:v>Inherited burden decomposition</x:v>
      </x:c>
      <x:c r="J6" s="47" t="str">
        <x:v>Inherited burden decomposition</x:v>
      </x:c>
      <x:c r="K6" s="48" t="str">
        <x:v>Inherited burden decomposition</x:v>
      </x:c>
    </x:row>
    <x:row r="7">
      <x:c r="B7" s="26" t="str">
        <x:v>ID</x:v>
      </x:c>
      <x:c r="C7" s="27" t="str">
        <x:v>Subsystem burden</x:v>
      </x:c>
      <x:c r="D7" s="27" t="str">
        <x:v>Family</x:v>
      </x:c>
      <x:c r="E7" s="27" t="str">
        <x:v>Mass t</x:v>
      </x:c>
      <x:c r="F7" s="27" t="str">
        <x:v>Custody state</x:v>
      </x:c>
      <x:c r="G7" s="27" t="str">
        <x:v>Public effect</x:v>
      </x:c>
      <x:c r="H7" s="27" t="str">
        <x:v>Failure boundary</x:v>
      </x:c>
      <x:c r="I7" s="27" t="str">
        <x:v>Repository lineage</x:v>
      </x:c>
      <x:c r="J7" s="27" t="str">
        <x:v>Family total</x:v>
      </x:c>
      <x:c r="K7" s="27" t="str">
        <x:v>Tile certified t</x:v>
      </x:c>
    </x:row>
    <x:row r="8">
      <x:c r="B8" s="28" t="str">
        <x:v>B01</x:v>
      </x:c>
      <x:c r="C8" s="28" t="str">
        <x:v>firm power conversion</x:v>
      </x:c>
      <x:c r="D8" s="28" t="str">
        <x:v>E</x:v>
      </x:c>
      <x:c r="E8" s="28" t="n">
        <x:v>82</x:v>
      </x:c>
      <x:c r="F8" s="28" t="str">
        <x:v>dry</x:v>
      </x:c>
      <x:c r="G8" s="28" t="str">
        <x:v>continuous and peak power</x:v>
      </x:c>
      <x:c r="H8" s="28" t="str">
        <x:v>source and protection</x:v>
      </x:c>
      <x:c r="I8" s="28" t="str">
        <x:v>Pass 82</x:v>
      </x:c>
      <x:c r="J8" s="28" t="n">
        <x:f>SUMIF($D$8:$D$26,D8,$E$8:$E$26)</x:f>
        <x:v>179</x:v>
      </x:c>
      <x:c r="K8" s="30" t="n">
        <x:f>J8/Assumptions!C10</x:f>
        <x:v>22.375</x:v>
      </x:c>
    </x:row>
    <x:row r="9">
      <x:c r="B9" s="28" t="str">
        <x:v>B02</x:v>
      </x:c>
      <x:c r="C9" s="28" t="str">
        <x:v>black start storage</x:v>
      </x:c>
      <x:c r="D9" s="28" t="str">
        <x:v>E</x:v>
      </x:c>
      <x:c r="E9" s="28" t="n">
        <x:v>42</x:v>
      </x:c>
      <x:c r="F9" s="28" t="str">
        <x:v>dry</x:v>
      </x:c>
      <x:c r="G9" s="28" t="str">
        <x:v>dead-bus recovery</x:v>
      </x:c>
      <x:c r="H9" s="28" t="str">
        <x:v>dark-start island</x:v>
      </x:c>
      <x:c r="I9" s="28" t="str">
        <x:v>Pass 82</x:v>
      </x:c>
      <x:c r="J9" s="28" t="n">
        <x:f>SUMIF($D$8:$D$26,D9,$E$8:$E$26)</x:f>
        <x:v>179</x:v>
      </x:c>
      <x:c r="K9" s="30" t="n">
        <x:f>J9/Assumptions!C10</x:f>
        <x:v>22.375</x:v>
      </x:c>
    </x:row>
    <x:row r="10">
      <x:c r="B10" s="28" t="str">
        <x:v>B03</x:v>
      </x:c>
      <x:c r="C10" s="28" t="str">
        <x:v>wet energy inventory</x:v>
      </x:c>
      <x:c r="D10" s="28" t="str">
        <x:v>E</x:v>
      </x:c>
      <x:c r="E10" s="28" t="n">
        <x:v>55</x:v>
      </x:c>
      <x:c r="F10" s="28" t="str">
        <x:v>wet</x:v>
      </x:c>
      <x:c r="G10" s="28" t="str">
        <x:v>seven-day energy</x:v>
      </x:c>
      <x:c r="H10" s="28" t="str">
        <x:v>isolated tankage</x:v>
      </x:c>
      <x:c r="I10" s="28" t="str">
        <x:v>Pass 82</x:v>
      </x:c>
      <x:c r="J10" s="28" t="n">
        <x:f>SUMIF($D$8:$D$26,D10,$E$8:$E$26)</x:f>
        <x:v>179</x:v>
      </x:c>
      <x:c r="K10" s="30" t="n">
        <x:f>J10/Assumptions!C10</x:f>
        <x:v>22.375</x:v>
      </x:c>
    </x:row>
    <x:row r="11">
      <x:c r="B11" s="28" t="str">
        <x:v>B04</x:v>
      </x:c>
      <x:c r="C11" s="28" t="str">
        <x:v>water treatment</x:v>
      </x:c>
      <x:c r="D11" s="28" t="str">
        <x:v>W</x:v>
      </x:c>
      <x:c r="E11" s="28" t="n">
        <x:v>43</x:v>
      </x:c>
      <x:c r="F11" s="28" t="str">
        <x:v>wet</x:v>
      </x:c>
      <x:c r="G11" s="28" t="str">
        <x:v>potable and process water</x:v>
      </x:c>
      <x:c r="H11" s="28" t="str">
        <x:v>assay custody</x:v>
      </x:c>
      <x:c r="I11" s="28" t="str">
        <x:v>Pass 82</x:v>
      </x:c>
      <x:c r="J11" s="28" t="n">
        <x:f>SUMIF($D$8:$D$26,D11,$E$8:$E$26)</x:f>
        <x:v>116</x:v>
      </x:c>
      <x:c r="K11" s="30" t="n">
        <x:f>J11/Assumptions!C10</x:f>
        <x:v>14.5</x:v>
      </x:c>
    </x:row>
    <x:row r="12">
      <x:c r="B12" s="28" t="str">
        <x:v>B05</x:v>
      </x:c>
      <x:c r="C12" s="28" t="str">
        <x:v>wastewater and residuals</x:v>
      </x:c>
      <x:c r="D12" s="28" t="str">
        <x:v>W</x:v>
      </x:c>
      <x:c r="E12" s="28" t="n">
        <x:v>27</x:v>
      </x:c>
      <x:c r="F12" s="28" t="str">
        <x:v>wet</x:v>
      </x:c>
      <x:c r="G12" s="28" t="str">
        <x:v>contained return flow</x:v>
      </x:c>
      <x:c r="H12" s="28" t="str">
        <x:v>quarantine custody</x:v>
      </x:c>
      <x:c r="I12" s="28" t="str">
        <x:v>Pass 82</x:v>
      </x:c>
      <x:c r="J12" s="28" t="n">
        <x:f>SUMIF($D$8:$D$26,D12,$E$8:$E$26)</x:f>
        <x:v>116</x:v>
      </x:c>
      <x:c r="K12" s="30" t="n">
        <x:f>J12/Assumptions!C10</x:f>
        <x:v>14.5</x:v>
      </x:c>
    </x:row>
    <x:row r="13">
      <x:c r="B13" s="28" t="str">
        <x:v>B06</x:v>
      </x:c>
      <x:c r="C13" s="28" t="str">
        <x:v>clean-water storage</x:v>
      </x:c>
      <x:c r="D13" s="28" t="str">
        <x:v>W</x:v>
      </x:c>
      <x:c r="E13" s="28" t="n">
        <x:v>26</x:v>
      </x:c>
      <x:c r="F13" s="28" t="str">
        <x:v>wet</x:v>
      </x:c>
      <x:c r="G13" s="28" t="str">
        <x:v>two-day buffer</x:v>
      </x:c>
      <x:c r="H13" s="28" t="str">
        <x:v>potable custody</x:v>
      </x:c>
      <x:c r="I13" s="28" t="str">
        <x:v>Pass 82</x:v>
      </x:c>
      <x:c r="J13" s="28" t="n">
        <x:f>SUMIF($D$8:$D$26,D13,$E$8:$E$26)</x:f>
        <x:v>116</x:v>
      </x:c>
      <x:c r="K13" s="30" t="n">
        <x:f>J13/Assumptions!C10</x:f>
        <x:v>14.5</x:v>
      </x:c>
    </x:row>
    <x:row r="14">
      <x:c r="B14" s="28" t="str">
        <x:v>B07</x:v>
      </x:c>
      <x:c r="C14" s="28" t="str">
        <x:v>water-process stocks</x:v>
      </x:c>
      <x:c r="D14" s="28" t="str">
        <x:v>W</x:v>
      </x:c>
      <x:c r="E14" s="28" t="n">
        <x:v>20</x:v>
      </x:c>
      <x:c r="F14" s="28" t="str">
        <x:v>wet</x:v>
      </x:c>
      <x:c r="G14" s="28" t="str">
        <x:v>reagents and membranes</x:v>
      </x:c>
      <x:c r="H14" s="28" t="str">
        <x:v>chemical custody</x:v>
      </x:c>
      <x:c r="I14" s="28" t="str">
        <x:v>Pass 82</x:v>
      </x:c>
      <x:c r="J14" s="28" t="n">
        <x:f>SUMIF($D$8:$D$26,D14,$E$8:$E$26)</x:f>
        <x:v>116</x:v>
      </x:c>
      <x:c r="K14" s="30" t="n">
        <x:f>J14/Assumptions!C10</x:f>
        <x:v>14.5</x:v>
      </x:c>
    </x:row>
    <x:row r="15">
      <x:c r="B15" s="28" t="str">
        <x:v>B08</x:v>
      </x:c>
      <x:c r="C15" s="28" t="str">
        <x:v>useful cooling</x:v>
      </x:c>
      <x:c r="D15" s="28" t="str">
        <x:v>T</x:v>
      </x:c>
      <x:c r="E15" s="28" t="n">
        <x:v>48</x:v>
      </x:c>
      <x:c r="F15" s="28" t="str">
        <x:v>dry</x:v>
      </x:c>
      <x:c r="G15" s="28" t="str">
        <x:v>occupied cooling</x:v>
      </x:c>
      <x:c r="H15" s="28" t="str">
        <x:v>refrigerant circuit</x:v>
      </x:c>
      <x:c r="I15" s="28" t="str">
        <x:v>Pass 82</x:v>
      </x:c>
      <x:c r="J15" s="28" t="n">
        <x:f>SUMIF($D$8:$D$26,D15,$E$8:$E$26)</x:f>
        <x:v>110</x:v>
      </x:c>
      <x:c r="K15" s="30" t="n">
        <x:f>J15/Assumptions!C10</x:f>
        <x:v>13.75</x:v>
      </x:c>
    </x:row>
    <x:row r="16">
      <x:c r="B16" s="28" t="str">
        <x:v>B09</x:v>
      </x:c>
      <x:c r="C16" s="28" t="str">
        <x:v>final heat rejection</x:v>
      </x:c>
      <x:c r="D16" s="28" t="str">
        <x:v>T</x:v>
      </x:c>
      <x:c r="E16" s="28" t="n">
        <x:v>62</x:v>
      </x:c>
      <x:c r="F16" s="28" t="str">
        <x:v>dry</x:v>
      </x:c>
      <x:c r="G16" s="28" t="str">
        <x:v>independent heat sink</x:v>
      </x:c>
      <x:c r="H16" s="28" t="str">
        <x:v>plume and hot surface</x:v>
      </x:c>
      <x:c r="I16" s="28" t="str">
        <x:v>Pass 82</x:v>
      </x:c>
      <x:c r="J16" s="28" t="n">
        <x:f>SUMIF($D$8:$D$26,D16,$E$8:$E$26)</x:f>
        <x:v>110</x:v>
      </x:c>
      <x:c r="K16" s="30" t="n">
        <x:f>J16/Assumptions!C10</x:f>
        <x:v>13.75</x:v>
      </x:c>
    </x:row>
    <x:row r="17">
      <x:c r="B17" s="28" t="str">
        <x:v>B10</x:v>
      </x:c>
      <x:c r="C17" s="28" t="str">
        <x:v>medium-voltage distribution</x:v>
      </x:c>
      <x:c r="D17" s="28" t="str">
        <x:v>D</x:v>
      </x:c>
      <x:c r="E17" s="28" t="n">
        <x:v>36</x:v>
      </x:c>
      <x:c r="F17" s="28" t="str">
        <x:v>dry</x:v>
      </x:c>
      <x:c r="G17" s="28" t="str">
        <x:v>protected electrical routes</x:v>
      </x:c>
      <x:c r="H17" s="28" t="str">
        <x:v>sectional isolation</x:v>
      </x:c>
      <x:c r="I17" s="28" t="str">
        <x:v>Pass 82</x:v>
      </x:c>
      <x:c r="J17" s="28" t="n">
        <x:f>SUMIF($D$8:$D$26,D17,$E$8:$E$26)</x:f>
        <x:v>112</x:v>
      </x:c>
      <x:c r="K17" s="30" t="n">
        <x:f>J17/Assumptions!C10</x:f>
        <x:v>14</x:v>
      </x:c>
    </x:row>
    <x:row r="18">
      <x:c r="B18" s="28" t="str">
        <x:v>B11</x:v>
      </x:c>
      <x:c r="C18" s="28" t="str">
        <x:v>fluid distribution</x:v>
      </x:c>
      <x:c r="D18" s="28" t="str">
        <x:v>D</x:v>
      </x:c>
      <x:c r="E18" s="28" t="n">
        <x:v>34</x:v>
      </x:c>
      <x:c r="F18" s="28" t="str">
        <x:v>wet</x:v>
      </x:c>
      <x:c r="G18" s="28" t="str">
        <x:v>raw product and return routes</x:v>
      </x:c>
      <x:c r="H18" s="28" t="str">
        <x:v>valved isolation</x:v>
      </x:c>
      <x:c r="I18" s="28" t="str">
        <x:v>Pass 82</x:v>
      </x:c>
      <x:c r="J18" s="28" t="n">
        <x:f>SUMIF($D$8:$D$26,D18,$E$8:$E$26)</x:f>
        <x:v>112</x:v>
      </x:c>
      <x:c r="K18" s="30" t="n">
        <x:f>J18/Assumptions!C10</x:f>
        <x:v>14</x:v>
      </x:c>
    </x:row>
    <x:row r="19">
      <x:c r="B19" s="28" t="str">
        <x:v>B12</x:v>
      </x:c>
      <x:c r="C19" s="28" t="str">
        <x:v>building interfaces</x:v>
      </x:c>
      <x:c r="D19" s="28" t="str">
        <x:v>D</x:v>
      </x:c>
      <x:c r="E19" s="28" t="n">
        <x:v>30</x:v>
      </x:c>
      <x:c r="F19" s="28" t="str">
        <x:v>dry</x:v>
      </x:c>
      <x:c r="G19" s="28" t="str">
        <x:v>accepted connections</x:v>
      </x:c>
      <x:c r="H19" s="28" t="str">
        <x:v>building boundary</x:v>
      </x:c>
      <x:c r="I19" s="28" t="str">
        <x:v>Pass 82</x:v>
      </x:c>
      <x:c r="J19" s="28" t="n">
        <x:f>SUMIF($D$8:$D$26,D19,$E$8:$E$26)</x:f>
        <x:v>112</x:v>
      </x:c>
      <x:c r="K19" s="30" t="n">
        <x:f>J19/Assumptions!C10</x:f>
        <x:v>14</x:v>
      </x:c>
    </x:row>
    <x:row r="20">
      <x:c r="B20" s="28" t="str">
        <x:v>B13</x:v>
      </x:c>
      <x:c r="C20" s="28" t="str">
        <x:v>connector stocks</x:v>
      </x:c>
      <x:c r="D20" s="28" t="str">
        <x:v>D</x:v>
      </x:c>
      <x:c r="E20" s="28" t="n">
        <x:v>12</x:v>
      </x:c>
      <x:c r="F20" s="28" t="str">
        <x:v>dry</x:v>
      </x:c>
      <x:c r="G20" s="28" t="str">
        <x:v>repairable handoff</x:v>
      </x:c>
      <x:c r="H20" s="28" t="str">
        <x:v>lot quarantine</x:v>
      </x:c>
      <x:c r="I20" s="28" t="str">
        <x:v>Pass 82</x:v>
      </x:c>
      <x:c r="J20" s="28" t="n">
        <x:f>SUMIF($D$8:$D$26,D20,$E$8:$E$26)</x:f>
        <x:v>112</x:v>
      </x:c>
      <x:c r="K20" s="30" t="n">
        <x:f>J20/Assumptions!C10</x:f>
        <x:v>14</x:v>
      </x:c>
    </x:row>
    <x:row r="21">
      <x:c r="B21" s="28" t="str">
        <x:v>B14</x:v>
      </x:c>
      <x:c r="C21" s="28" t="str">
        <x:v>control and local communications</x:v>
      </x:c>
      <x:c r="D21" s="28" t="str">
        <x:v>C</x:v>
      </x:c>
      <x:c r="E21" s="28" t="n">
        <x:v>10</x:v>
      </x:c>
      <x:c r="F21" s="28" t="str">
        <x:v>dry</x:v>
      </x:c>
      <x:c r="G21" s="28" t="str">
        <x:v>offline safe control</x:v>
      </x:c>
      <x:c r="H21" s="28" t="str">
        <x:v>local authority</x:v>
      </x:c>
      <x:c r="I21" s="28" t="str">
        <x:v>Pass 82</x:v>
      </x:c>
      <x:c r="J21" s="28" t="n">
        <x:f>SUMIF($D$8:$D$26,D21,$E$8:$E$26)</x:f>
        <x:v>118</x:v>
      </x:c>
      <x:c r="K21" s="30" t="n">
        <x:f>J21/Assumptions!C10</x:f>
        <x:v>14.75</x:v>
      </x:c>
    </x:row>
    <x:row r="22">
      <x:c r="B22" s="28" t="str">
        <x:v>B15</x:v>
      </x:c>
      <x:c r="C22" s="28" t="str">
        <x:v>survey and access</x:v>
      </x:c>
      <x:c r="D22" s="28" t="str">
        <x:v>C</x:v>
      </x:c>
      <x:c r="E22" s="28" t="n">
        <x:v>24</x:v>
      </x:c>
      <x:c r="F22" s="28" t="str">
        <x:v>dry</x:v>
      </x:c>
      <x:c r="G22" s="28" t="str">
        <x:v>route and site admission</x:v>
      </x:c>
      <x:c r="H22" s="28" t="str">
        <x:v>geospatial custody</x:v>
      </x:c>
      <x:c r="I22" s="28" t="str">
        <x:v>Pass 82</x:v>
      </x:c>
      <x:c r="J22" s="28" t="n">
        <x:f>SUMIF($D$8:$D$26,D22,$E$8:$E$26)</x:f>
        <x:v>118</x:v>
      </x:c>
      <x:c r="K22" s="30" t="n">
        <x:f>J22/Assumptions!C10</x:f>
        <x:v>14.75</x:v>
      </x:c>
    </x:row>
    <x:row r="23">
      <x:c r="B23" s="28" t="str">
        <x:v>B16</x:v>
      </x:c>
      <x:c r="C23" s="28" t="str">
        <x:v>medical care</x:v>
      </x:c>
      <x:c r="D23" s="28" t="str">
        <x:v>C</x:v>
      </x:c>
      <x:c r="E23" s="28" t="n">
        <x:v>22</x:v>
      </x:c>
      <x:c r="F23" s="28" t="str">
        <x:v>dry</x:v>
      </x:c>
      <x:c r="G23" s="28" t="str">
        <x:v>clinical stabilization</x:v>
      </x:c>
      <x:c r="H23" s="28" t="str">
        <x:v>clinical authority</x:v>
      </x:c>
      <x:c r="I23" s="28" t="str">
        <x:v>Pass 82</x:v>
      </x:c>
      <x:c r="J23" s="28" t="n">
        <x:f>SUMIF($D$8:$D$26,D23,$E$8:$E$26)</x:f>
        <x:v>118</x:v>
      </x:c>
      <x:c r="K23" s="30" t="n">
        <x:f>J23/Assumptions!C10</x:f>
        <x:v>14.75</x:v>
      </x:c>
    </x:row>
    <x:row r="24">
      <x:c r="B24" s="28" t="str">
        <x:v>B17</x:v>
      </x:c>
      <x:c r="C24" s="28" t="str">
        <x:v>life safety</x:v>
      </x:c>
      <x:c r="D24" s="28" t="str">
        <x:v>C</x:v>
      </x:c>
      <x:c r="E24" s="28" t="n">
        <x:v>20</x:v>
      </x:c>
      <x:c r="F24" s="28" t="str">
        <x:v>dry</x:v>
      </x:c>
      <x:c r="G24" s="28" t="str">
        <x:v>rescue and shelter support</x:v>
      </x:c>
      <x:c r="H24" s="28" t="str">
        <x:v>incident authority</x:v>
      </x:c>
      <x:c r="I24" s="28" t="str">
        <x:v>Pass 82</x:v>
      </x:c>
      <x:c r="J24" s="28" t="n">
        <x:f>SUMIF($D$8:$D$26,D24,$E$8:$E$26)</x:f>
        <x:v>118</x:v>
      </x:c>
      <x:c r="K24" s="30" t="n">
        <x:f>J24/Assumptions!C10</x:f>
        <x:v>14.75</x:v>
      </x:c>
    </x:row>
    <x:row r="25">
      <x:c r="B25" s="28" t="str">
        <x:v>B18</x:v>
      </x:c>
      <x:c r="C25" s="28" t="str">
        <x:v>repair capability</x:v>
      </x:c>
      <x:c r="D25" s="28" t="str">
        <x:v>C</x:v>
      </x:c>
      <x:c r="E25" s="28" t="n">
        <x:v>26</x:v>
      </x:c>
      <x:c r="F25" s="28" t="str">
        <x:v>dry</x:v>
      </x:c>
      <x:c r="G25" s="28" t="str">
        <x:v>field restoration</x:v>
      </x:c>
      <x:c r="H25" s="28" t="str">
        <x:v>configuration custody</x:v>
      </x:c>
      <x:c r="I25" s="28" t="str">
        <x:v>Pass 82</x:v>
      </x:c>
      <x:c r="J25" s="28" t="n">
        <x:f>SUMIF($D$8:$D$26,D25,$E$8:$E$26)</x:f>
        <x:v>118</x:v>
      </x:c>
      <x:c r="K25" s="30" t="n">
        <x:f>J25/Assumptions!C10</x:f>
        <x:v>14.75</x:v>
      </x:c>
    </x:row>
    <x:row r="26">
      <x:c r="B26" s="31" t="str">
        <x:v>B19</x:v>
      </x:c>
      <x:c r="C26" s="31" t="str">
        <x:v>civil and assay stocks</x:v>
      </x:c>
      <x:c r="D26" s="31" t="str">
        <x:v>C</x:v>
      </x:c>
      <x:c r="E26" s="31" t="n">
        <x:v>16</x:v>
      </x:c>
      <x:c r="F26" s="31" t="str">
        <x:v>wet</x:v>
      </x:c>
      <x:c r="G26" s="31" t="str">
        <x:v>public release evidence</x:v>
      </x:c>
      <x:c r="H26" s="31" t="str">
        <x:v>independent assay</x:v>
      </x:c>
      <x:c r="I26" s="31" t="str">
        <x:v>Pass 82</x:v>
      </x:c>
      <x:c r="J26" s="31" t="n">
        <x:f>SUMIF($D$8:$D$26,D26,$E$8:$E$26)</x:f>
        <x:v>118</x:v>
      </x:c>
      <x:c r="K26" s="33" t="n">
        <x:f>J26/Assumptions!C10</x:f>
        <x:v>14.75</x:v>
      </x:c>
    </x:row>
    <x:row r="27"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</x:row>
    <x:row r="28"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</x:row>
    <x:row r="29">
      <x:c r="B29" s="46" t="str">
        <x:v>Family reconciliation</x:v>
      </x:c>
      <x:c r="C29" s="47" t="str">
        <x:v>Family reconciliation</x:v>
      </x:c>
      <x:c r="D29" s="47" t="str">
        <x:v>Family reconciliation</x:v>
      </x:c>
      <x:c r="E29" s="47" t="str">
        <x:v>Family reconciliation</x:v>
      </x:c>
      <x:c r="F29" s="47" t="str">
        <x:v>Family reconciliation</x:v>
      </x:c>
      <x:c r="G29" s="47" t="str">
        <x:v>Family reconciliation</x:v>
      </x:c>
      <x:c r="H29" s="47" t="str">
        <x:v>Family reconciliation</x:v>
      </x:c>
      <x:c r="I29" s="47" t="str">
        <x:v>Family reconciliation</x:v>
      </x:c>
      <x:c r="J29" s="47" t="str">
        <x:v>Family reconciliation</x:v>
      </x:c>
      <x:c r="K29" s="48" t="str">
        <x:v>Family reconciliation</x:v>
      </x:c>
    </x:row>
    <x:row r="30">
      <x:c r="B30" s="19" t="str">
        <x:v>Family</x:v>
      </x:c>
      <x:c r="C30" s="20" t="str">
        <x:v>Meaning</x:v>
      </x:c>
      <x:c r="D30" s="20" t="str">
        <x:v>Mass t</x:v>
      </x:c>
      <x:c r="E30" s="20" t="str">
        <x:v>Tiles</x:v>
      </x:c>
      <x:c r="F30" s="20" t="str">
        <x:v>Certified tile t</x:v>
      </x:c>
      <x:c r="G30" s="20" t="str">
        <x:v>Design target t</x:v>
      </x:c>
      <x:c r="H30" s="20" t="str">
        <x:v>Allowance t</x:v>
      </x:c>
      <x:c r="I30" s="21" t="str">
        <x:v>Result</x:v>
      </x:c>
      <x:c r="J30" s="24"/>
      <x:c r="K30" s="24"/>
    </x:row>
    <x:row r="31">
      <x:c r="B31" s="24" t="str">
        <x:v>E</x:v>
      </x:c>
      <x:c r="C31" s="24" t="str">
        <x:v>energy</x:v>
      </x:c>
      <x:c r="D31" s="24" t="n">
        <x:v>179</x:v>
      </x:c>
      <x:c r="E31" s="24" t="n">
        <x:f>Assumptions!C10</x:f>
        <x:v>8</x:v>
      </x:c>
      <x:c r="F31" s="24" t="n">
        <x:f>D31/E31</x:f>
        <x:v>22.375</x:v>
      </x:c>
      <x:c r="G31" s="24" t="n">
        <x:v>21.5</x:v>
      </x:c>
      <x:c r="H31" s="24" t="n">
        <x:f>F31-G31</x:f>
        <x:v>0.875</x:v>
      </x:c>
      <x:c r="I31" s="24" t="str">
        <x:f>IF(AND(H31&gt;0,D31=SUMIF($D$8:$D$26,B31,$E$8:$E$26)),"PASS","FAIL")</x:f>
        <x:v>PASS</x:v>
      </x:c>
      <x:c r="J31" s="24"/>
      <x:c r="K31" s="24"/>
    </x:row>
    <x:row r="32">
      <x:c r="B32" s="24" t="str">
        <x:v>W</x:v>
      </x:c>
      <x:c r="C32" s="24" t="str">
        <x:v>water and residual</x:v>
      </x:c>
      <x:c r="D32" s="24" t="n">
        <x:v>116</x:v>
      </x:c>
      <x:c r="E32" s="24" t="n">
        <x:f>Assumptions!C10</x:f>
        <x:v>8</x:v>
      </x:c>
      <x:c r="F32" s="24" t="n">
        <x:f>D32/E32</x:f>
        <x:v>14.5</x:v>
      </x:c>
      <x:c r="G32" s="24" t="n">
        <x:v>13.9</x:v>
      </x:c>
      <x:c r="H32" s="24" t="n">
        <x:f>F32-G32</x:f>
        <x:v>0.5999999999999996</x:v>
      </x:c>
      <x:c r="I32" s="24" t="str">
        <x:f>IF(AND(H32&gt;0,D32=SUMIF($D$8:$D$26,B32,$E$8:$E$26)),"PASS","FAIL")</x:f>
        <x:v>PASS</x:v>
      </x:c>
      <x:c r="J32" s="24"/>
      <x:c r="K32" s="24"/>
    </x:row>
    <x:row r="33">
      <x:c r="B33" s="24" t="str">
        <x:v>T</x:v>
      </x:c>
      <x:c r="C33" s="24" t="str">
        <x:v>thermal</x:v>
      </x:c>
      <x:c r="D33" s="24" t="n">
        <x:v>110</x:v>
      </x:c>
      <x:c r="E33" s="24" t="n">
        <x:f>Assumptions!C10</x:f>
        <x:v>8</x:v>
      </x:c>
      <x:c r="F33" s="24" t="n">
        <x:f>D33/E33</x:f>
        <x:v>13.75</x:v>
      </x:c>
      <x:c r="G33" s="24" t="n">
        <x:v>13.2</x:v>
      </x:c>
      <x:c r="H33" s="24" t="n">
        <x:f>F33-G33</x:f>
        <x:v>0.5500000000000007</x:v>
      </x:c>
      <x:c r="I33" s="24" t="str">
        <x:f>IF(AND(H33&gt;0,D33=SUMIF($D$8:$D$26,B33,$E$8:$E$26)),"PASS","FAIL")</x:f>
        <x:v>PASS</x:v>
      </x:c>
      <x:c r="J33" s="24"/>
      <x:c r="K33" s="24"/>
    </x:row>
    <x:row r="34">
      <x:c r="B34" s="24" t="str">
        <x:v>D</x:v>
      </x:c>
      <x:c r="C34" s="24" t="str">
        <x:v>distribution and building</x:v>
      </x:c>
      <x:c r="D34" s="24" t="n">
        <x:v>112</x:v>
      </x:c>
      <x:c r="E34" s="24" t="n">
        <x:f>Assumptions!C10</x:f>
        <x:v>8</x:v>
      </x:c>
      <x:c r="F34" s="24" t="n">
        <x:f>D34/E34</x:f>
        <x:v>14</x:v>
      </x:c>
      <x:c r="G34" s="24" t="n">
        <x:v>13.4</x:v>
      </x:c>
      <x:c r="H34" s="24" t="n">
        <x:f>F34-G34</x:f>
        <x:v>0.5999999999999996</x:v>
      </x:c>
      <x:c r="I34" s="24" t="str">
        <x:f>IF(AND(H34&gt;0,D34=SUMIF($D$8:$D$26,B34,$E$8:$E$26)),"PASS","FAIL")</x:f>
        <x:v>PASS</x:v>
      </x:c>
      <x:c r="J34" s="24"/>
      <x:c r="K34" s="24"/>
    </x:row>
    <x:row r="35">
      <x:c r="B35" s="24" t="str">
        <x:v>C</x:v>
      </x:c>
      <x:c r="C35" s="24" t="str">
        <x:v>civil control medical repair</x:v>
      </x:c>
      <x:c r="D35" s="24" t="n">
        <x:v>118</x:v>
      </x:c>
      <x:c r="E35" s="24" t="n">
        <x:f>Assumptions!C10</x:f>
        <x:v>8</x:v>
      </x:c>
      <x:c r="F35" s="24" t="n">
        <x:f>D35/E35</x:f>
        <x:v>14.75</x:v>
      </x:c>
      <x:c r="G35" s="24" t="n">
        <x:v>14.15</x:v>
      </x:c>
      <x:c r="H35" s="24" t="n">
        <x:f>F35-G35</x:f>
        <x:v>0.5999999999999996</x:v>
      </x:c>
      <x:c r="I35" s="24" t="str">
        <x:f>IF(AND(H35&gt;0,D35=SUMIF($D$8:$D$26,B35,$E$8:$E$26)),"PASS","FAIL")</x:f>
        <x:v>PASS</x:v>
      </x:c>
      <x:c r="J35" s="24"/>
      <x:c r="K35" s="24"/>
    </x:row>
    <x:row r="36"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</x:row>
    <x:row r="37">
      <x:c r="B37" s="24" t="str">
        <x:v>Cell mass reconciliation</x:v>
      </x:c>
      <x:c r="C37" s="24" t="n">
        <x:v>635</x:v>
      </x:c>
      <x:c r="D37" s="24" t="str">
        <x:v>t</x:v>
      </x:c>
      <x:c r="E37" s="24" t="n">
        <x:f>SUM(D31:D35)</x:f>
        <x:v>635</x:v>
      </x:c>
      <x:c r="F37" s="24" t="str">
        <x:f>IF(C37=E37,"PASS","FAIL")</x:f>
        <x:v>PASS</x:v>
      </x:c>
      <x:c r="G37" s="24"/>
      <x:c r="H37" s="24"/>
      <x:c r="I37" s="24"/>
      <x:c r="J37" s="24"/>
      <x:c r="K37" s="24"/>
    </x:row>
    <x:row r="38">
      <x:c r="B38" s="24" t="str">
        <x:v>Certified five-family set</x:v>
      </x:c>
      <x:c r="C38" s="24" t="n">
        <x:v>79.375</x:v>
      </x:c>
      <x:c r="D38" s="24" t="str">
        <x:v>t</x:v>
      </x:c>
      <x:c r="E38" s="24" t="n">
        <x:f>SUM(F31:F35)</x:f>
        <x:v>79.375</x:v>
      </x:c>
      <x:c r="F38" s="24" t="str">
        <x:f>IF(ABS(C38-E38)&lt;0.001,"PASS","FAIL")</x:f>
        <x:v>PASS</x:v>
      </x:c>
      <x:c r="G38" s="24"/>
      <x:c r="H38" s="24"/>
      <x:c r="I38" s="24"/>
      <x:c r="J38" s="24"/>
      <x:c r="K38" s="24"/>
    </x:row>
    <x:row r="39">
      <x:c r="B39" s="24" t="str">
        <x:v>Design five-family set</x:v>
      </x:c>
      <x:c r="C39" s="24" t="n">
        <x:v>76.15</x:v>
      </x:c>
      <x:c r="D39" s="24" t="str">
        <x:v>t</x:v>
      </x:c>
      <x:c r="E39" s="24" t="n">
        <x:f>SUM(G31:G35)</x:f>
        <x:v>76.14999999999999</x:v>
      </x:c>
      <x:c r="F39" s="24" t="str">
        <x:f>IF(ABS(C39-E39)&lt;0.001,"PASS","FAIL")</x:f>
        <x:v>PASS</x:v>
      </x:c>
      <x:c r="G39" s="24"/>
      <x:c r="H39" s="24"/>
      <x:c r="I39" s="24"/>
      <x:c r="J39" s="24"/>
      <x:c r="K39" s="24"/>
    </x:row>
  </x:sheetData>
  <x:mergeCells>
    <x:mergeCell ref="B2:H2"/>
    <x:mergeCell ref="B3:K3"/>
    <x:mergeCell ref="B6:K6"/>
    <x:mergeCell ref="B29:K29"/>
  </x:mergeCells>
  <x:conditionalFormatting sqref="I31:I35">
    <x:cfRule type="containsText" dxfId="0" priority="1" operator="containsText" text="FAIL"/>
    <x:cfRule type="containsText" dxfId="1" priority="2" operator="containsText" text="PASS"/>
    <x:cfRule type="containsText" dxfId="2" priority="3" operator="containsText" text="OPEN"/>
    <x:cfRule type="containsText" dxfId="3" priority="4" operator="containsText" text="BLOCKED"/>
  </x:conditionalFormatting>
  <x:conditionalFormatting sqref="F37:F39">
    <x:cfRule type="containsText" dxfId="4" priority="5" operator="containsText" text="FAIL"/>
    <x:cfRule type="containsText" dxfId="5" priority="6" operator="containsText" text="PASS"/>
    <x:cfRule type="containsText" dxfId="6" priority="7" operator="containsText" text="OPEN"/>
    <x:cfRule type="containsText" dxfId="7" priority="8" operator="containsText" text="BLOCK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5" hidden="0" customWidth="1"/>
    <x:col min="3" max="3" width="32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18" hidden="0" customWidth="1"/>
    <x:col min="10" max="10" width="20" hidden="0" customWidth="1"/>
    <x:col min="11" max="11" width="16" hidden="0" customWidth="1"/>
    <x:col min="12" max="12" width="15" hidden="0" customWidth="1"/>
    <x:col min="13" max="13" width="20" hidden="0" customWidth="1"/>
    <x:col min="14" max="14" width="12" hidden="0" customWidth="1"/>
    <x:col min="15" max="15" width="12" hidden="0" customWidth="1"/>
    <x:col min="16" max="16" width="13" hidden="0" customWidth="1"/>
    <x:col min="17" max="17" width="48" hidden="0" customWidth="1"/>
  </x:cols>
  <x:sheetData>
    <x:row r="2">
      <x:c r="B2" s="43" t="str">
        <x:v>Physical architecture competition</x:v>
      </x:c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</x:row>
    <x:row r="3">
      <x:c r="B3" s="44" t="str">
        <x:v>The selected behavior reference must close service, natural mass, carrier interfaces, independent lineages and an unprepared receiver</x:v>
      </x:c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</x:row>
    <x:row r="5"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</x:row>
    <x:row r="6">
      <x:c r="B6" s="26" t="str">
        <x:v>Candidate</x:v>
      </x:c>
      <x:c r="C6" s="27" t="str">
        <x:v>Physical idea</x:v>
      </x:c>
      <x:c r="D6" s="27" t="str">
        <x:v>Natural mass</x:v>
      </x:c>
      <x:c r="E6" s="27" t="str">
        <x:v>Wet common cause</x:v>
      </x:c>
      <x:c r="F6" s="27" t="str">
        <x:v>Air 20 positions</x:v>
      </x:c>
      <x:c r="G6" s="27" t="str">
        <x:v>Terrain 10 positions</x:v>
      </x:c>
      <x:c r="H6" s="27" t="str">
        <x:v>Two lineages</x:v>
      </x:c>
      <x:c r="I6" s="27" t="str">
        <x:v>Unprepared receiver</x:v>
      </x:c>
      <x:c r="J6" s="27" t="str">
        <x:v>One carrier plus tile loss</x:v>
      </x:c>
      <x:c r="K6" s="27" t="str">
        <x:v>54 h stressed</x:v>
      </x:c>
      <x:c r="L6" s="27" t="str">
        <x:v>168 h reset</x:v>
      </x:c>
      <x:c r="M6" s="27" t="str">
        <x:v>Modular industrial base</x:v>
      </x:c>
      <x:c r="N6" s="27" t="str">
        <x:v>Total gates</x:v>
      </x:c>
      <x:c r="O6" s="27" t="str">
        <x:v>Pass gates</x:v>
      </x:c>
      <x:c r="P6" s="27" t="str">
        <x:v>Decision</x:v>
      </x:c>
      <x:c r="Q6" s="27" t="str">
        <x:v>Reason</x:v>
      </x:c>
    </x:row>
    <x:row r="7">
      <x:c r="B7" s="28" t="str">
        <x:v>K0</x:v>
      </x:c>
      <x:c r="C7" s="28" t="str">
        <x:v>equal-mass ESK-40</x:v>
      </x:c>
      <x:c r="D7" s="28" t="n">
        <x:v>0</x:v>
      </x:c>
      <x:c r="E7" s="28" t="n">
        <x:v>1</x:v>
      </x:c>
      <x:c r="F7" s="28" t="n">
        <x:v>0</x:v>
      </x:c>
      <x:c r="G7" s="28" t="n">
        <x:v>0</x:v>
      </x:c>
      <x:c r="H7" s="28" t="n">
        <x:v>1</x:v>
      </x:c>
      <x:c r="I7" s="28" t="n">
        <x:v>1</x:v>
      </x:c>
      <x:c r="J7" s="28" t="n">
        <x:v>1</x:v>
      </x:c>
      <x:c r="K7" s="28" t="n">
        <x:v>1</x:v>
      </x:c>
      <x:c r="L7" s="28" t="n">
        <x:v>1</x:v>
      </x:c>
      <x:c r="M7" s="28" t="n">
        <x:v>1</x:v>
      </x:c>
      <x:c r="N7" s="28" t="n">
        <x:v>10</x:v>
      </x:c>
      <x:c r="O7" s="28" t="n">
        <x:f>COUNTIF(D7:M7,1)</x:f>
        <x:v>7</x:v>
      </x:c>
      <x:c r="P7" s="28" t="str">
        <x:v>REJECT</x:v>
      </x:c>
      <x:c r="Q7" s="30" t="str">
        <x:v>energy and wet burden forced into false identical mass</x:v>
      </x:c>
    </x:row>
    <x:row r="8">
      <x:c r="B8" s="28" t="str">
        <x:v>K1</x:v>
      </x:c>
      <x:c r="C8" s="28" t="str">
        <x:v>variable mass plus common wet packs</x:v>
      </x:c>
      <x:c r="D8" s="28" t="n">
        <x:v>1</x:v>
      </x:c>
      <x:c r="E8" s="28" t="n">
        <x:v>0</x:v>
      </x:c>
      <x:c r="F8" s="28" t="n">
        <x:v>1</x:v>
      </x:c>
      <x:c r="G8" s="28" t="n">
        <x:v>1</x:v>
      </x:c>
      <x:c r="H8" s="28" t="n">
        <x:v>1</x:v>
      </x:c>
      <x:c r="I8" s="28" t="n">
        <x:v>1</x:v>
      </x:c>
      <x:c r="J8" s="28" t="n">
        <x:v>1</x:v>
      </x:c>
      <x:c r="K8" s="28" t="n">
        <x:v>1</x:v>
      </x:c>
      <x:c r="L8" s="28" t="n">
        <x:v>1</x:v>
      </x:c>
      <x:c r="M8" s="28" t="n">
        <x:v>1</x:v>
      </x:c>
      <x:c r="N8" s="28" t="n">
        <x:v>10</x:v>
      </x:c>
      <x:c r="O8" s="28" t="n">
        <x:f>COUNTIF(D8:M8,1)</x:f>
        <x:v>9</x:v>
      </x:c>
      <x:c r="P8" s="28" t="str">
        <x:v>REJECT</x:v>
      </x:c>
      <x:c r="Q8" s="30" t="str">
        <x:v>common wet ancestry defeats compound assurance</x:v>
      </x:c>
    </x:row>
    <x:row r="9">
      <x:c r="B9" s="28" t="str">
        <x:v>K2</x:v>
      </x:c>
      <x:c r="C9" s="28" t="str">
        <x:v>dual lineages in inherited bays</x:v>
      </x:c>
      <x:c r="D9" s="28" t="n">
        <x:v>1</x:v>
      </x:c>
      <x:c r="E9" s="28" t="n">
        <x:v>1</x:v>
      </x:c>
      <x:c r="F9" s="28" t="n">
        <x:v>0</x:v>
      </x:c>
      <x:c r="G9" s="28" t="n">
        <x:v>0</x:v>
      </x:c>
      <x:c r="H9" s="28" t="n">
        <x:v>1</x:v>
      </x:c>
      <x:c r="I9" s="28" t="n">
        <x:v>1</x:v>
      </x:c>
      <x:c r="J9" s="28" t="n">
        <x:v>1</x:v>
      </x:c>
      <x:c r="K9" s="28" t="n">
        <x:v>1</x:v>
      </x:c>
      <x:c r="L9" s="28" t="n">
        <x:v>1</x:v>
      </x:c>
      <x:c r="M9" s="28" t="n">
        <x:v>1</x:v>
      </x:c>
      <x:c r="N9" s="28" t="n">
        <x:v>10</x:v>
      </x:c>
      <x:c r="O9" s="28" t="n">
        <x:f>COUNTIF(D9:M9,1)</x:f>
        <x:v>8</x:v>
      </x:c>
      <x:c r="P9" s="28" t="str">
        <x:v>REJECT</x:v>
      </x:c>
      <x:c r="Q9" s="30" t="str">
        <x:v>eighteen and nine positions cannot carry twenty and ten tiles</x:v>
      </x:c>
    </x:row>
    <x:row r="10">
      <x:c r="B10" s="28" t="str">
        <x:v>K3</x:v>
      </x:c>
      <x:c r="C10" s="28" t="str">
        <x:v>ESK-40V with CUIC-1 saddles</x:v>
      </x:c>
      <x:c r="D10" s="28" t="n">
        <x:v>1</x:v>
      </x:c>
      <x:c r="E10" s="28" t="n">
        <x:v>1</x:v>
      </x:c>
      <x:c r="F10" s="28" t="n">
        <x:v>1</x:v>
      </x:c>
      <x:c r="G10" s="28" t="n">
        <x:v>1</x:v>
      </x:c>
      <x:c r="H10" s="28" t="n">
        <x:v>1</x:v>
      </x:c>
      <x:c r="I10" s="28" t="n">
        <x:v>1</x:v>
      </x:c>
      <x:c r="J10" s="28" t="n">
        <x:v>1</x:v>
      </x:c>
      <x:c r="K10" s="28" t="n">
        <x:v>1</x:v>
      </x:c>
      <x:c r="L10" s="28" t="n">
        <x:v>1</x:v>
      </x:c>
      <x:c r="M10" s="28" t="n">
        <x:v>1</x:v>
      </x:c>
      <x:c r="N10" s="28" t="n">
        <x:v>10</x:v>
      </x:c>
      <x:c r="O10" s="28" t="n">
        <x:f>COUNTIF(D10:M10,1)</x:f>
        <x:v>10</x:v>
      </x:c>
      <x:c r="P10" s="28" t="str">
        <x:v>SELECT</x:v>
      </x:c>
      <x:c r="Q10" s="30" t="str">
        <x:v>only compact modular candidate closing all screens</x:v>
      </x:c>
    </x:row>
    <x:row r="11">
      <x:c r="B11" s="28" t="str">
        <x:v>K4</x:v>
      </x:c>
      <x:c r="C11" s="28" t="str">
        <x:v>receiver-assisted lightweight</x:v>
      </x:c>
      <x:c r="D11" s="28" t="n">
        <x:v>1</x:v>
      </x:c>
      <x:c r="E11" s="28" t="n">
        <x:v>1</x:v>
      </x:c>
      <x:c r="F11" s="28" t="n">
        <x:v>1</x:v>
      </x:c>
      <x:c r="G11" s="28" t="n">
        <x:v>1</x:v>
      </x:c>
      <x:c r="H11" s="28" t="n">
        <x:v>1</x:v>
      </x:c>
      <x:c r="I11" s="28" t="n">
        <x:v>0</x:v>
      </x:c>
      <x:c r="J11" s="28" t="n">
        <x:v>1</x:v>
      </x:c>
      <x:c r="K11" s="28" t="n">
        <x:v>1</x:v>
      </x:c>
      <x:c r="L11" s="28" t="n">
        <x:v>1</x:v>
      </x:c>
      <x:c r="M11" s="28" t="n">
        <x:v>1</x:v>
      </x:c>
      <x:c r="N11" s="28" t="n">
        <x:v>10</x:v>
      </x:c>
      <x:c r="O11" s="28" t="n">
        <x:f>COUNTIF(D11:M11,1)</x:f>
        <x:v>9</x:v>
      </x:c>
      <x:c r="P11" s="28" t="str">
        <x:v>HOLD</x:v>
      </x:c>
      <x:c r="Q11" s="30" t="str">
        <x:v>depends on prepared external infrastructure</x:v>
      </x:c>
    </x:row>
    <x:row r="12">
      <x:c r="B12" s="31" t="str">
        <x:v>K5</x:v>
      </x:c>
      <x:c r="C12" s="31" t="str">
        <x:v>full exact-cell duplication</x:v>
      </x:c>
      <x:c r="D12" s="31" t="n">
        <x:v>1</x:v>
      </x:c>
      <x:c r="E12" s="31" t="n">
        <x:v>1</x:v>
      </x:c>
      <x:c r="F12" s="31" t="n">
        <x:v>1</x:v>
      </x:c>
      <x:c r="G12" s="31" t="n">
        <x:v>1</x:v>
      </x:c>
      <x:c r="H12" s="31" t="n">
        <x:v>1</x:v>
      </x:c>
      <x:c r="I12" s="31" t="n">
        <x:v>1</x:v>
      </x:c>
      <x:c r="J12" s="31" t="n">
        <x:v>1</x:v>
      </x:c>
      <x:c r="K12" s="31" t="n">
        <x:v>1</x:v>
      </x:c>
      <x:c r="L12" s="31" t="n">
        <x:v>1</x:v>
      </x:c>
      <x:c r="M12" s="31" t="n">
        <x:v>0</x:v>
      </x:c>
      <x:c r="N12" s="31" t="n">
        <x:v>10</x:v>
      </x:c>
      <x:c r="O12" s="31" t="n">
        <x:f>COUNTIF(D12:M12,1)</x:f>
        <x:v>9</x:v>
      </x:c>
      <x:c r="P12" s="31" t="str">
        <x:v>CONTROL</x:v>
      </x:c>
      <x:c r="Q12" s="33" t="str">
        <x:v>closes service at higher article count without modular base</x:v>
      </x:c>
    </x:row>
    <x:row r="13"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  <x:c r="Q13" s="24"/>
    </x:row>
    <x:row r="14"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  <x:c r="O14" s="24"/>
      <x:c r="P14" s="24"/>
      <x:c r="Q14" s="24"/>
    </x:row>
    <x:row r="15">
      <x:c r="B15" s="46" t="str">
        <x:v>Decision rule</x:v>
      </x:c>
      <x:c r="C15" s="47" t="str">
        <x:v>Decision rule</x:v>
      </x:c>
      <x:c r="D15" s="47" t="str">
        <x:v>Decision rule</x:v>
      </x:c>
      <x:c r="E15" s="47" t="str">
        <x:v>Decision rule</x:v>
      </x:c>
      <x:c r="F15" s="47" t="str">
        <x:v>Decision rule</x:v>
      </x:c>
      <x:c r="G15" s="47" t="str">
        <x:v>Decision rule</x:v>
      </x:c>
      <x:c r="H15" s="47" t="str">
        <x:v>Decision rule</x:v>
      </x:c>
      <x:c r="I15" s="47" t="str">
        <x:v>Decision rule</x:v>
      </x:c>
      <x:c r="J15" s="47" t="str">
        <x:v>Decision rule</x:v>
      </x:c>
      <x:c r="K15" s="47" t="str">
        <x:v>Decision rule</x:v>
      </x:c>
      <x:c r="L15" s="47" t="str">
        <x:v>Decision rule</x:v>
      </x:c>
      <x:c r="M15" s="47" t="str">
        <x:v>Decision rule</x:v>
      </x:c>
      <x:c r="N15" s="47" t="str">
        <x:v>Decision rule</x:v>
      </x:c>
      <x:c r="O15" s="47" t="str">
        <x:v>Decision rule</x:v>
      </x:c>
      <x:c r="P15" s="47" t="str">
        <x:v>Decision rule</x:v>
      </x:c>
      <x:c r="Q15" s="48" t="str">
        <x:v>Decision rule</x:v>
      </x:c>
    </x:row>
    <x:row r="16">
      <x:c r="B16" s="38" t="str">
        <x:v>Selection</x:v>
      </x:c>
      <x:c r="C16" s="24" t="str">
        <x:v>K3 is the behavior reference, not a production decision. It earns no maturity credit until representative articles close all evidence gates.</x:v>
      </x:c>
      <x:c r="D16" s="24" t="str"/>
      <x:c r="E16" s="24" t="str"/>
      <x:c r="F16" s="24" t="str"/>
      <x:c r="G16" s="24" t="str"/>
      <x:c r="H16" s="24" t="str"/>
      <x:c r="I16" s="24" t="str"/>
      <x:c r="J16" s="24" t="str"/>
      <x:c r="K16" s="24" t="str"/>
      <x:c r="L16" s="24" t="str"/>
      <x:c r="M16" s="24" t="str"/>
      <x:c r="N16" s="24" t="str"/>
      <x:c r="O16" s="24" t="str"/>
      <x:c r="P16" s="24" t="str"/>
      <x:c r="Q16" s="24" t="str"/>
    </x:row>
    <x:row r="17">
      <x:c r="B17" s="38" t="str">
        <x:v>Cost finding</x:v>
      </x:c>
      <x:c r="C17" s="24" t="str">
        <x:v>The detailed first generation is costlier than full duplication by $256.921B; modularity is purchased for learning, adaptation, export and later fleet optionality.</x:v>
      </x:c>
      <x:c r="D17" s="24" t="str"/>
      <x:c r="E17" s="24" t="str"/>
      <x:c r="F17" s="24" t="str"/>
      <x:c r="G17" s="24" t="str"/>
      <x:c r="H17" s="24" t="str"/>
      <x:c r="I17" s="24" t="str"/>
      <x:c r="J17" s="24" t="str"/>
      <x:c r="K17" s="24" t="str"/>
      <x:c r="L17" s="24" t="str"/>
      <x:c r="M17" s="24" t="str"/>
      <x:c r="N17" s="24" t="str"/>
      <x:c r="O17" s="24" t="str"/>
      <x:c r="P17" s="24" t="str"/>
      <x:c r="Q17" s="24" t="str"/>
    </x:row>
    <x:row r="18">
      <x:c r="B18" s="38" t="str">
        <x:v>Interface constitution</x:v>
      </x:c>
      <x:c r="C18" s="24" t="str">
        <x:v>CUIC-1 standardizes public service semantics and boundaries while preserving separate air and terrain physical adapters, controllers, suppliers and authorities.</x:v>
      </x:c>
      <x:c r="D18" s="24" t="str"/>
      <x:c r="E18" s="24" t="str"/>
      <x:c r="F18" s="24" t="str"/>
      <x:c r="G18" s="24" t="str"/>
      <x:c r="H18" s="24" t="str"/>
      <x:c r="I18" s="24" t="str"/>
      <x:c r="J18" s="24" t="str"/>
      <x:c r="K18" s="24" t="str"/>
      <x:c r="L18" s="24" t="str"/>
      <x:c r="M18" s="24" t="str"/>
      <x:c r="N18" s="24" t="str"/>
      <x:c r="O18" s="24" t="str"/>
      <x:c r="P18" s="24" t="str"/>
      <x:c r="Q18" s="24" t="str"/>
    </x:row>
    <x:row r="19">
      <x:c r="B19" s="38" t="str">
        <x:v>No common-part credit</x:v>
      </x:c>
      <x:c r="C19" s="24" t="str">
        <x:v>A common decisive component never counts toward independence merely because two vendors badge it differently.</x:v>
      </x:c>
      <x:c r="D19" s="24" t="str"/>
      <x:c r="E19" s="24" t="str"/>
      <x:c r="F19" s="24" t="str"/>
      <x:c r="G19" s="24" t="str"/>
      <x:c r="H19" s="24" t="str"/>
      <x:c r="I19" s="24" t="str"/>
      <x:c r="J19" s="24" t="str"/>
      <x:c r="K19" s="24" t="str"/>
      <x:c r="L19" s="24" t="str"/>
      <x:c r="M19" s="24" t="str"/>
      <x:c r="N19" s="24" t="str"/>
      <x:c r="O19" s="24" t="str"/>
      <x:c r="P19" s="24" t="str"/>
      <x:c r="Q19" s="24" t="str"/>
    </x:row>
    <x:row r="20">
      <x:c r="B20" s="38" t="str">
        <x:v>Stop rule</x:v>
      </x:c>
      <x:c r="C20" s="24" t="str">
        <x:v>Failure of natural mass, casualty quorum, stressed clock, unprepared receiver or lineage separation reopens carrier count and exact-cell duplication.</x:v>
      </x:c>
      <x:c r="D20" s="24" t="str"/>
      <x:c r="E20" s="24" t="str"/>
      <x:c r="F20" s="24" t="str"/>
      <x:c r="G20" s="24" t="str"/>
      <x:c r="H20" s="24" t="str"/>
      <x:c r="I20" s="24" t="str"/>
      <x:c r="J20" s="24" t="str"/>
      <x:c r="K20" s="24" t="str"/>
      <x:c r="L20" s="24" t="str"/>
      <x:c r="M20" s="24" t="str"/>
      <x:c r="N20" s="24" t="str"/>
      <x:c r="O20" s="24" t="str"/>
      <x:c r="P20" s="24" t="str"/>
      <x:c r="Q20" s="24" t="str"/>
    </x:row>
  </x:sheetData>
  <x:mergeCells>
    <x:mergeCell ref="B2:H2"/>
    <x:mergeCell ref="B3:Q3"/>
    <x:mergeCell ref="B15:Q15"/>
  </x:mergeCells>
  <x:conditionalFormatting sqref="P7:P12">
    <x:cfRule type="containsText" dxfId="8" priority="1" operator="containsText" text="FAIL"/>
    <x:cfRule type="containsText" dxfId="9" priority="2" operator="containsText" text="PASS"/>
    <x:cfRule type="containsText" dxfId="10" priority="3" operator="containsText" text="OPEN"/>
    <x:cfRule type="containsText" dxfId="11" priority="4" operator="containsText" text="BLOCKE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4" hidden="0" customWidth="1"/>
    <x:col min="7" max="7" width="16" hidden="0" customWidth="1"/>
    <x:col min="8" max="8" width="45" hidden="0" customWidth="1"/>
    <x:col min="9" max="9" width="33" hidden="0" customWidth="1"/>
    <x:col min="10" max="10" width="32" hidden="0" customWidth="1"/>
    <x:col min="11" max="11" width="31" hidden="0" customWidth="1"/>
    <x:col min="12" max="12" width="30" hidden="0" customWidth="1"/>
    <x:col min="13" max="13" width="20" hidden="0" customWidth="1"/>
    <x:col min="14" max="14" width="20" hidden="0" customWidth="1"/>
    <x:col min="15" max="15" width="14" hidden="0" customWidth="1"/>
  </x:cols>
  <x:sheetData>
    <x:row r="2">
      <x:c r="B2" s="43" t="str">
        <x:v>Air ESK-40V tile lineage</x:v>
      </x:c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</x:row>
    <x:row r="3">
      <x:c r="B3" s="44" t="str">
        <x:v>Atmospheric lineage; common service semantics, separate decisive hardware and certification authority</x:v>
      </x:c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</x:row>
    <x:row r="5"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</x:row>
    <x:row r="6">
      <x:c r="B6" s="26" t="str">
        <x:v>Family</x:v>
      </x:c>
      <x:c r="C6" s="27" t="str">
        <x:v>Certified t</x:v>
      </x:c>
      <x:c r="D6" s="27" t="str">
        <x:v>Design t</x:v>
      </x:c>
      <x:c r="E6" s="27" t="str">
        <x:v>Allowance t</x:v>
      </x:c>
      <x:c r="F6" s="27" t="str">
        <x:v>Cube m3</x:v>
      </x:c>
      <x:c r="G6" s="27" t="str">
        <x:v>Deck m2</x:v>
      </x:c>
      <x:c r="H6" s="27" t="str">
        <x:v>Primary implementation</x:v>
      </x:c>
      <x:c r="I6" s="27" t="str">
        <x:v>Public output per tile</x:v>
      </x:c>
      <x:c r="J6" s="27" t="str">
        <x:v>Seven-tile output</x:v>
      </x:c>
      <x:c r="K6" s="27" t="str">
        <x:v>Cell requirement</x:v>
      </x:c>
      <x:c r="L6" s="27" t="str">
        <x:v>Closure</x:v>
      </x:c>
      <x:c r="M6" s="27" t="str">
        <x:v>Lineage authority</x:v>
      </x:c>
      <x:c r="N6" s="27" t="str">
        <x:v>Decisive common part</x:v>
      </x:c>
      <x:c r="O6" s="27" t="str">
        <x:v>Result</x:v>
      </x:c>
    </x:row>
    <x:row r="7">
      <x:c r="B7" s="28" t="str">
        <x:v>E</x:v>
      </x:c>
      <x:c r="C7" s="28" t="n">
        <x:v>22.375</x:v>
      </x:c>
      <x:c r="D7" s="28" t="n">
        <x:v>21.5</x:v>
      </x:c>
      <x:c r="E7" s="28" t="n">
        <x:v>0.875</x:v>
      </x:c>
      <x:c r="F7" s="28" t="n">
        <x:v>62</x:v>
      </x:c>
      <x:c r="G7" s="28" t="n">
        <x:v>15</x:v>
      </x:c>
      <x:c r="H7" s="28" t="str">
        <x:v>distributed hydrogen electrochemical-turbine; solid-state protection</x:v>
      </x:c>
      <x:c r="I7" s="28" t="str">
        <x:v>0.225 MWe continuous; 0.300 MWe peak; 34.5 MWh; 0.9 MWh dark start</x:v>
      </x:c>
      <x:c r="J7" s="28" t="str">
        <x:v>1.575 MWe; 2.10 MWe peak; 241.5 MWh; 6.3 MWh</x:v>
      </x:c>
      <x:c r="K7" s="28" t="str">
        <x:v>1.42216 MWe; 1.91992 MWe peak; 238.923 MWh; 6 MWh</x:v>
      </x:c>
      <x:c r="L7" s="28" t="str">
        <x:v>PASS</x:v>
      </x:c>
      <x:c r="M7" s="28" t="str">
        <x:v>Air E Certification Authority</x:v>
      </x:c>
      <x:c r="N7" s="28" t="str">
        <x:v>none credited</x:v>
      </x:c>
      <x:c r="O7" s="30" t="str">
        <x:f>IF(AND(C7&gt;D7,L7="PASS",N7="none credited"),"PASS","FAIL")</x:f>
        <x:v>PASS</x:v>
      </x:c>
    </x:row>
    <x:row r="8">
      <x:c r="B8" s="28" t="str">
        <x:v>W</x:v>
      </x:c>
      <x:c r="C8" s="28" t="n">
        <x:v>14.5</x:v>
      </x:c>
      <x:c r="D8" s="28" t="n">
        <x:v>13.9</x:v>
      </x:c>
      <x:c r="E8" s="28" t="n">
        <x:v>0.5999999999999996</x:v>
      </x:c>
      <x:c r="F8" s="28" t="n">
        <x:v>58</x:v>
      </x:c>
      <x:c r="G8" s="28" t="n">
        <x:v>16</x:v>
      </x:c>
      <x:c r="H8" s="28" t="str">
        <x:v>electro-adsorptive membrane distillation; electro-oxidative residual</x:v>
      </x:c>
      <x:c r="I8" s="28" t="str">
        <x:v>36 m3/day product; 27 m3/day wastewater; 65 m3 storage</x:v>
      </x:c>
      <x:c r="J8" s="28" t="str">
        <x:v>252 m3/day; 189 m3/day; 455 m3</x:v>
      </x:c>
      <x:c r="K8" s="28" t="str">
        <x:v>225 m3/day; 180 m3/day; 450 m3</x:v>
      </x:c>
      <x:c r="L8" s="28" t="str">
        <x:v>PASS</x:v>
      </x:c>
      <x:c r="M8" s="28" t="str">
        <x:v>Air W Certification Authority</x:v>
      </x:c>
      <x:c r="N8" s="28" t="str">
        <x:v>none credited</x:v>
      </x:c>
      <x:c r="O8" s="30" t="str">
        <x:f>IF(AND(C8&gt;D8,L8="PASS",N8="none credited"),"PASS","FAIL")</x:f>
        <x:v>PASS</x:v>
      </x:c>
    </x:row>
    <x:row r="9">
      <x:c r="B9" s="28" t="str">
        <x:v>T</x:v>
      </x:c>
      <x:c r="C9" s="28" t="n">
        <x:v>13.75</x:v>
      </x:c>
      <x:c r="D9" s="28" t="n">
        <x:v>13.2</x:v>
      </x:c>
      <x:c r="E9" s="28" t="n">
        <x:v>0.5500000000000007</x:v>
      </x:c>
      <x:c r="F9" s="28" t="n">
        <x:v>65</x:v>
      </x:c>
      <x:c r="G9" s="28" t="n">
        <x:v>17</x:v>
      </x:c>
      <x:c r="H9" s="28" t="str">
        <x:v>transcritical CO2; folding dry microchannel wings</x:v>
      </x:c>
      <x:c r="I9" s="28" t="str">
        <x:v>0.300 MWth useful; 0.720 MWth rejection</x:v>
      </x:c>
      <x:c r="J9" s="28" t="str">
        <x:v>2.10 MWth useful; 5.04 MWth rejection</x:v>
      </x:c>
      <x:c r="K9" s="28" t="str">
        <x:v>1.965 MWth useful; 4.765105 MWth rejection</x:v>
      </x:c>
      <x:c r="L9" s="28" t="str">
        <x:v>PASS</x:v>
      </x:c>
      <x:c r="M9" s="28" t="str">
        <x:v>Air T Certification Authority</x:v>
      </x:c>
      <x:c r="N9" s="28" t="str">
        <x:v>none credited</x:v>
      </x:c>
      <x:c r="O9" s="30" t="str">
        <x:f>IF(AND(C9&gt;D9,L9="PASS",N9="none credited"),"PASS","FAIL")</x:f>
        <x:v>PASS</x:v>
      </x:c>
    </x:row>
    <x:row r="10">
      <x:c r="B10" s="28" t="str">
        <x:v>D</x:v>
      </x:c>
      <x:c r="C10" s="28" t="n">
        <x:v>14</x:v>
      </x:c>
      <x:c r="D10" s="28" t="n">
        <x:v>13.4</x:v>
      </x:c>
      <x:c r="E10" s="28" t="n">
        <x:v>0.5999999999999996</x:v>
      </x:c>
      <x:c r="F10" s="28" t="n">
        <x:v>64</x:v>
      </x:c>
      <x:c r="G10" s="28" t="n">
        <x:v>16</x:v>
      </x:c>
      <x:c r="H10" s="28" t="str">
        <x:v>aluminum-composite reeled MV; aramid fluid lines; gantry robots</x:v>
      </x:c>
      <x:c r="I10" s="28" t="str">
        <x:v>0.45 km MV; 0.65 km twin fluid line; 2 building terminators</x:v>
      </x:c>
      <x:c r="J10" s="28" t="str">
        <x:v>3.15 km MV; 4.55 km fluid; 14 buildings</x:v>
      </x:c>
      <x:c r="K10" s="28" t="str">
        <x:v>3 km MV; 4 km fluid; 10 buildings</x:v>
      </x:c>
      <x:c r="L10" s="28" t="str">
        <x:v>PASS</x:v>
      </x:c>
      <x:c r="M10" s="28" t="str">
        <x:v>Air D Certification Authority</x:v>
      </x:c>
      <x:c r="N10" s="28" t="str">
        <x:v>none credited</x:v>
      </x:c>
      <x:c r="O10" s="30" t="str">
        <x:f>IF(AND(C10&gt;D10,L10="PASS",N10="none credited"),"PASS","FAIL")</x:f>
        <x:v>PASS</x:v>
      </x:c>
    </x:row>
    <x:row r="11">
      <x:c r="B11" s="31" t="str">
        <x:v>C</x:v>
      </x:c>
      <x:c r="C11" s="31" t="n">
        <x:v>14.75</x:v>
      </x:c>
      <x:c r="D11" s="31" t="n">
        <x:v>14.15</x:v>
      </x:c>
      <x:c r="E11" s="31" t="n">
        <x:v>0.5999999999999996</x:v>
      </x:c>
      <x:c r="F11" s="31" t="n">
        <x:v>55</x:v>
      </x:c>
      <x:c r="G11" s="31" t="n">
        <x:v>14</x:v>
      </x:c>
      <x:c r="H11" s="31" t="str">
        <x:v>optical local mesh; aerial survey; compact clinical and precision repair</x:v>
      </x:c>
      <x:c r="I11" s="31" t="str">
        <x:v>715 people; 2 building-clinical teams; 800 offline endpoints</x:v>
      </x:c>
      <x:c r="J11" s="31" t="str">
        <x:v>5,005 people; 14 teams; 5,600 endpoints</x:v>
      </x:c>
      <x:c r="K11" s="31" t="str">
        <x:v>5,000 people; 10 teams; 5,000 endpoints</x:v>
      </x:c>
      <x:c r="L11" s="31" t="str">
        <x:v>PASS</x:v>
      </x:c>
      <x:c r="M11" s="31" t="str">
        <x:v>Air C Certification Authority</x:v>
      </x:c>
      <x:c r="N11" s="31" t="str">
        <x:v>none credited</x:v>
      </x:c>
      <x:c r="O11" s="33" t="str">
        <x:f>IF(AND(C11&gt;D11,L11="PASS",N11="none credited"),"PASS","FAIL")</x:f>
        <x:v>PASS</x:v>
      </x:c>
    </x:row>
    <x:row r="12"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</x:row>
    <x:row r="13"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</x:row>
    <x:row r="14">
      <x:c r="B14" s="46" t="str">
        <x:v>Per-carrier geometry and mass</x:v>
      </x:c>
      <x:c r="C14" s="47" t="str">
        <x:v>Per-carrier geometry and mass</x:v>
      </x:c>
      <x:c r="D14" s="47" t="str">
        <x:v>Per-carrier geometry and mass</x:v>
      </x:c>
      <x:c r="E14" s="47" t="str">
        <x:v>Per-carrier geometry and mass</x:v>
      </x:c>
      <x:c r="F14" s="47" t="str">
        <x:v>Per-carrier geometry and mass</x:v>
      </x:c>
      <x:c r="G14" s="47" t="str">
        <x:v>Per-carrier geometry and mass</x:v>
      </x:c>
      <x:c r="H14" s="47" t="str">
        <x:v>Per-carrier geometry and mass</x:v>
      </x:c>
      <x:c r="I14" s="47" t="str">
        <x:v>Per-carrier geometry and mass</x:v>
      </x:c>
      <x:c r="J14" s="47" t="str">
        <x:v>Per-carrier geometry and mass</x:v>
      </x:c>
      <x:c r="K14" s="47" t="str">
        <x:v>Per-carrier geometry and mass</x:v>
      </x:c>
      <x:c r="L14" s="47" t="str">
        <x:v>Per-carrier geometry and mass</x:v>
      </x:c>
      <x:c r="M14" s="47" t="str">
        <x:v>Per-carrier geometry and mass</x:v>
      </x:c>
      <x:c r="N14" s="48" t="str">
        <x:v>Per-carrier geometry and mass</x:v>
      </x:c>
      <x:c r="O14" s="24"/>
    </x:row>
    <x:row r="15">
      <x:c r="B15" s="19" t="str">
        <x:v>Metric</x:v>
      </x:c>
      <x:c r="C15" s="20" t="str">
        <x:v>Sets</x:v>
      </x:c>
      <x:c r="D15" s="20" t="str">
        <x:v>Calculated</x:v>
      </x:c>
      <x:c r="E15" s="20" t="str">
        <x:v>Capacity</x:v>
      </x:c>
      <x:c r="F15" s="20" t="str">
        <x:v>Unit</x:v>
      </x:c>
      <x:c r="G15" s="20" t="str">
        <x:v>Margin</x:v>
      </x:c>
      <x:c r="H15" s="21" t="str">
        <x:v>Result</x:v>
      </x:c>
      <x:c r="I15" s="24"/>
      <x:c r="J15" s="24"/>
      <x:c r="K15" s="24"/>
      <x:c r="L15" s="24"/>
      <x:c r="M15" s="24"/>
      <x:c r="N15" s="24"/>
      <x:c r="O15" s="24"/>
    </x:row>
    <x:row r="16">
      <x:c r="B16" s="24" t="str">
        <x:v>Certified mass</x:v>
      </x:c>
      <x:c r="C16" s="24" t="n">
        <x:v>4</x:v>
      </x:c>
      <x:c r="D16" s="24" t="n">
        <x:f>C16*SUM(C7:C11)</x:f>
        <x:v>317.5</x:v>
      </x:c>
      <x:c r="E16" s="24" t="n">
        <x:v>317.5</x:v>
      </x:c>
      <x:c r="F16" s="24" t="str">
        <x:v>t</x:v>
      </x:c>
      <x:c r="G16" s="24" t="n">
        <x:f>E16-D16</x:f>
        <x:v>0</x:v>
      </x:c>
      <x:c r="H16" s="24" t="str">
        <x:f>IF(G16&gt;=0,"PASS","FAIL")</x:f>
        <x:v>PASS</x:v>
      </x:c>
      <x:c r="I16" s="24"/>
      <x:c r="J16" s="24"/>
      <x:c r="K16" s="24"/>
      <x:c r="L16" s="24"/>
      <x:c r="M16" s="24"/>
      <x:c r="N16" s="24"/>
      <x:c r="O16" s="24"/>
    </x:row>
    <x:row r="17">
      <x:c r="B17" s="24" t="str">
        <x:v>Design mass</x:v>
      </x:c>
      <x:c r="C17" s="24" t="n">
        <x:v>4</x:v>
      </x:c>
      <x:c r="D17" s="24" t="n">
        <x:f>C17*SUM(D7:D11)</x:f>
        <x:v>304.59999999999997</x:v>
      </x:c>
      <x:c r="E17" s="24" t="n">
        <x:v>317.5</x:v>
      </x:c>
      <x:c r="F17" s="24" t="str">
        <x:v>t</x:v>
      </x:c>
      <x:c r="G17" s="24" t="n">
        <x:f>E17-D17</x:f>
        <x:v>12.900000000000034</x:v>
      </x:c>
      <x:c r="H17" s="24" t="str">
        <x:f>IF(G17&gt;=0,"PASS","FAIL")</x:f>
        <x:v>PASS</x:v>
      </x:c>
      <x:c r="I17" s="24"/>
      <x:c r="J17" s="24"/>
      <x:c r="K17" s="24"/>
      <x:c r="L17" s="24"/>
      <x:c r="M17" s="24"/>
      <x:c r="N17" s="24"/>
      <x:c r="O17" s="24"/>
    </x:row>
    <x:row r="18">
      <x:c r="B18" s="24" t="str">
        <x:v>Cube</x:v>
      </x:c>
      <x:c r="C18" s="24" t="n">
        <x:v>4</x:v>
      </x:c>
      <x:c r="D18" s="24" t="n">
        <x:f>C18*SUM(F7:F11)</x:f>
        <x:v>1216</x:v>
      </x:c>
      <x:c r="E18" s="24" t="n">
        <x:v>1400</x:v>
      </x:c>
      <x:c r="F18" s="24" t="str">
        <x:v>m3</x:v>
      </x:c>
      <x:c r="G18" s="24" t="n">
        <x:f>E18-D18</x:f>
        <x:v>184</x:v>
      </x:c>
      <x:c r="H18" s="24" t="str">
        <x:f>IF(G18&gt;=0,"PASS","FAIL")</x:f>
        <x:v>PASS</x:v>
      </x:c>
      <x:c r="I18" s="24"/>
      <x:c r="J18" s="24"/>
      <x:c r="K18" s="24"/>
      <x:c r="L18" s="24"/>
      <x:c r="M18" s="24"/>
      <x:c r="N18" s="24"/>
      <x:c r="O18" s="24"/>
    </x:row>
    <x:row r="19">
      <x:c r="B19" s="24" t="str">
        <x:v>Deck</x:v>
      </x:c>
      <x:c r="C19" s="24" t="n">
        <x:v>4</x:v>
      </x:c>
      <x:c r="D19" s="24" t="n">
        <x:f>C19*SUM(G7:G11)</x:f>
        <x:v>312</x:v>
      </x:c>
      <x:c r="E19" s="24" t="n">
        <x:v>352</x:v>
      </x:c>
      <x:c r="F19" s="24" t="str">
        <x:v>m2</x:v>
      </x:c>
      <x:c r="G19" s="24" t="n">
        <x:f>E19-D19</x:f>
        <x:v>40</x:v>
      </x:c>
      <x:c r="H19" s="24" t="str">
        <x:f>IF(G19&gt;=0,"PASS","FAIL")</x:f>
        <x:v>PASS</x:v>
      </x:c>
      <x:c r="I19" s="24"/>
      <x:c r="J19" s="24"/>
      <x:c r="K19" s="24"/>
      <x:c r="L19" s="24"/>
      <x:c r="M19" s="24"/>
      <x:c r="N19" s="24"/>
      <x:c r="O19" s="24"/>
    </x:row>
    <x:row r="20"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</x:row>
    <x:row r="21"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</x:row>
    <x:row r="22">
      <x:c r="B22" s="46" t="str">
        <x:v>CUIC-1 boundary</x:v>
      </x:c>
      <x:c r="C22" s="47" t="str">
        <x:v>CUIC-1 boundary</x:v>
      </x:c>
      <x:c r="D22" s="47" t="str">
        <x:v>CUIC-1 boundary</x:v>
      </x:c>
      <x:c r="E22" s="47" t="str">
        <x:v>CUIC-1 boundary</x:v>
      </x:c>
      <x:c r="F22" s="47" t="str">
        <x:v>CUIC-1 boundary</x:v>
      </x:c>
      <x:c r="G22" s="47" t="str">
        <x:v>CUIC-1 boundary</x:v>
      </x:c>
      <x:c r="H22" s="47" t="str">
        <x:v>CUIC-1 boundary</x:v>
      </x:c>
      <x:c r="I22" s="47" t="str">
        <x:v>CUIC-1 boundary</x:v>
      </x:c>
      <x:c r="J22" s="47" t="str">
        <x:v>CUIC-1 boundary</x:v>
      </x:c>
      <x:c r="K22" s="47" t="str">
        <x:v>CUIC-1 boundary</x:v>
      </x:c>
      <x:c r="L22" s="47" t="str">
        <x:v>CUIC-1 boundary</x:v>
      </x:c>
      <x:c r="M22" s="47" t="str">
        <x:v>CUIC-1 boundary</x:v>
      </x:c>
      <x:c r="N22" s="47" t="str">
        <x:v>CUIC-1 boundary</x:v>
      </x:c>
      <x:c r="O22" s="48" t="str">
        <x:v>CUIC-1 boundary</x:v>
      </x:c>
    </x:row>
    <x:row r="23">
      <x:c r="B23" s="38" t="str">
        <x:v>Mechanical</x:v>
      </x:c>
      <x:c r="C23" s="24" t="str">
        <x:v>certified mass, center of gravity, restraint, lift and quarantine state; physical receiver remains mode-specific</x:v>
      </x:c>
      <x:c r="D23" s="24" t="str"/>
      <x:c r="E23" s="24" t="str"/>
      <x:c r="F23" s="24" t="str"/>
      <x:c r="G23" s="24" t="str"/>
      <x:c r="H23" s="24" t="str"/>
      <x:c r="I23" s="24" t="str"/>
      <x:c r="J23" s="24" t="str"/>
      <x:c r="K23" s="24" t="str"/>
      <x:c r="L23" s="24" t="str"/>
      <x:c r="M23" s="24" t="str"/>
      <x:c r="N23" s="24" t="str"/>
      <x:c r="O23" s="24"/>
    </x:row>
    <x:row r="24">
      <x:c r="B24" s="38" t="str">
        <x:v>Electrical</x:v>
      </x:c>
      <x:c r="C24" s="24" t="str">
        <x:v>13.8 kV AC public service and 1.5 kV DC dark start; protection implementation remains separate</x:v>
      </x:c>
      <x:c r="D24" s="24" t="str"/>
      <x:c r="E24" s="24" t="str"/>
      <x:c r="F24" s="24" t="str"/>
      <x:c r="G24" s="24" t="str"/>
      <x:c r="H24" s="24" t="str"/>
      <x:c r="I24" s="24" t="str"/>
      <x:c r="J24" s="24" t="str"/>
      <x:c r="K24" s="24" t="str"/>
      <x:c r="L24" s="24" t="str"/>
      <x:c r="M24" s="24" t="str"/>
      <x:c r="N24" s="24" t="str"/>
      <x:c r="O24" s="24"/>
    </x:row>
    <x:row r="25">
      <x:c r="B25" s="38" t="str">
        <x:v>Fluids</x:v>
      </x:c>
      <x:c r="C25" s="24" t="str">
        <x:v>potable product, raw feed, return residual and thermal supply-return with custody assays</x:v>
      </x:c>
      <x:c r="D25" s="24" t="str"/>
      <x:c r="E25" s="24" t="str"/>
      <x:c r="F25" s="24" t="str"/>
      <x:c r="G25" s="24" t="str"/>
      <x:c r="H25" s="24" t="str"/>
      <x:c r="I25" s="24" t="str"/>
      <x:c r="J25" s="24" t="str"/>
      <x:c r="K25" s="24" t="str"/>
      <x:c r="L25" s="24" t="str"/>
      <x:c r="M25" s="24" t="str"/>
      <x:c r="N25" s="24" t="str"/>
      <x:c r="O25" s="24"/>
    </x:row>
    <x:row r="26">
      <x:c r="B26" s="38" t="str">
        <x:v>Control</x:v>
      </x:c>
      <x:c r="C26" s="24" t="str">
        <x:v>offline state schema and public handoff; no shared decisive controller, firmware or update root</x:v>
      </x:c>
      <x:c r="D26" s="24" t="str"/>
      <x:c r="E26" s="24" t="str"/>
      <x:c r="F26" s="24" t="str"/>
      <x:c r="G26" s="24" t="str"/>
      <x:c r="H26" s="24" t="str"/>
      <x:c r="I26" s="24" t="str"/>
      <x:c r="J26" s="24" t="str"/>
      <x:c r="K26" s="24" t="str"/>
      <x:c r="L26" s="24" t="str"/>
      <x:c r="M26" s="24" t="str"/>
      <x:c r="N26" s="24" t="str"/>
      <x:c r="O26" s="24"/>
    </x:row>
    <x:row r="27">
      <x:c r="B27" s="38" t="str">
        <x:v>Safety</x:v>
      </x:c>
      <x:c r="C27" s="24" t="str">
        <x:v>fire, drain, pressure, hot-surface, refrigerant, hydrogen and chemical boundaries declared per lineage</x:v>
      </x:c>
      <x:c r="D27" s="24" t="str"/>
      <x:c r="E27" s="24" t="str"/>
      <x:c r="F27" s="24" t="str"/>
      <x:c r="G27" s="24" t="str"/>
      <x:c r="H27" s="24" t="str"/>
      <x:c r="I27" s="24" t="str"/>
      <x:c r="J27" s="24" t="str"/>
      <x:c r="K27" s="24" t="str"/>
      <x:c r="L27" s="24" t="str"/>
      <x:c r="M27" s="24" t="str"/>
      <x:c r="N27" s="24" t="str"/>
      <x:c r="O27" s="24"/>
    </x:row>
    <x:row r="28">
      <x:c r="B28" s="38" t="str">
        <x:v>Credit rule</x:v>
      </x:c>
      <x:c r="C28" s="24" t="str">
        <x:v>common semantics enable federation after release; they do not establish physical or causal independence</x:v>
      </x:c>
      <x:c r="D28" s="24" t="str"/>
      <x:c r="E28" s="24" t="str"/>
      <x:c r="F28" s="24" t="str"/>
      <x:c r="G28" s="24" t="str"/>
      <x:c r="H28" s="24" t="str"/>
      <x:c r="I28" s="24" t="str"/>
      <x:c r="J28" s="24" t="str"/>
      <x:c r="K28" s="24" t="str"/>
      <x:c r="L28" s="24" t="str"/>
      <x:c r="M28" s="24" t="str"/>
      <x:c r="N28" s="24" t="str"/>
      <x:c r="O28" s="24"/>
    </x:row>
  </x:sheetData>
  <x:mergeCells>
    <x:mergeCell ref="B2:H2"/>
    <x:mergeCell ref="B3:O3"/>
    <x:mergeCell ref="B14:N14"/>
    <x:mergeCell ref="B22:O22"/>
  </x:mergeCells>
  <x:conditionalFormatting sqref="O7:O11">
    <x:cfRule type="containsText" dxfId="12" priority="1" operator="containsText" text="FAIL"/>
    <x:cfRule type="containsText" dxfId="13" priority="2" operator="containsText" text="PASS"/>
    <x:cfRule type="containsText" dxfId="14" priority="3" operator="containsText" text="OPEN"/>
    <x:cfRule type="containsText" dxfId="15" priority="4" operator="containsText" text="BLOCKED"/>
  </x:conditionalFormatting>
  <x:conditionalFormatting sqref="H16:H19">
    <x:cfRule type="containsText" dxfId="16" priority="5" operator="containsText" text="FAIL"/>
    <x:cfRule type="containsText" dxfId="17" priority="6" operator="containsText" text="PASS"/>
    <x:cfRule type="containsText" dxfId="18" priority="7" operator="containsText" text="OPEN"/>
    <x:cfRule type="containsText" dxfId="19" priority="8" operator="containsText" text="BLOCKE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4" hidden="0" customWidth="1"/>
    <x:col min="7" max="7" width="16" hidden="0" customWidth="1"/>
    <x:col min="8" max="8" width="45" hidden="0" customWidth="1"/>
    <x:col min="9" max="9" width="33" hidden="0" customWidth="1"/>
    <x:col min="10" max="10" width="32" hidden="0" customWidth="1"/>
    <x:col min="11" max="11" width="31" hidden="0" customWidth="1"/>
    <x:col min="12" max="12" width="30" hidden="0" customWidth="1"/>
    <x:col min="13" max="13" width="20" hidden="0" customWidth="1"/>
    <x:col min="14" max="14" width="20" hidden="0" customWidth="1"/>
    <x:col min="15" max="15" width="14" hidden="0" customWidth="1"/>
  </x:cols>
  <x:sheetData>
    <x:row r="2">
      <x:c r="B2" s="43" t="str">
        <x:v>Terrain ESK-40V tile lineage</x:v>
      </x:c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</x:row>
    <x:row r="3">
      <x:c r="B3" s="44" t="str">
        <x:v>Surface lineage; common service semantics, separate decisive hardware and certification authority</x:v>
      </x:c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</x:row>
    <x:row r="5"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</x:row>
    <x:row r="6">
      <x:c r="B6" s="26" t="str">
        <x:v>Family</x:v>
      </x:c>
      <x:c r="C6" s="27" t="str">
        <x:v>Certified t</x:v>
      </x:c>
      <x:c r="D6" s="27" t="str">
        <x:v>Design t</x:v>
      </x:c>
      <x:c r="E6" s="27" t="str">
        <x:v>Allowance t</x:v>
      </x:c>
      <x:c r="F6" s="27" t="str">
        <x:v>Cube m3</x:v>
      </x:c>
      <x:c r="G6" s="27" t="str">
        <x:v>Deck m2</x:v>
      </x:c>
      <x:c r="H6" s="27" t="str">
        <x:v>Primary implementation</x:v>
      </x:c>
      <x:c r="I6" s="27" t="str">
        <x:v>Public output per tile</x:v>
      </x:c>
      <x:c r="J6" s="27" t="str">
        <x:v>Seven-tile output</x:v>
      </x:c>
      <x:c r="K6" s="27" t="str">
        <x:v>Cell requirement</x:v>
      </x:c>
      <x:c r="L6" s="27" t="str">
        <x:v>Closure</x:v>
      </x:c>
      <x:c r="M6" s="27" t="str">
        <x:v>Lineage authority</x:v>
      </x:c>
      <x:c r="N6" s="27" t="str">
        <x:v>Decisive common part</x:v>
      </x:c>
      <x:c r="O6" s="27" t="str">
        <x:v>Result</x:v>
      </x:c>
    </x:row>
    <x:row r="7">
      <x:c r="B7" s="28" t="str">
        <x:v>E</x:v>
      </x:c>
      <x:c r="C7" s="28" t="n">
        <x:v>22.375</x:v>
      </x:c>
      <x:c r="D7" s="28" t="n">
        <x:v>21.5</x:v>
      </x:c>
      <x:c r="E7" s="28" t="n">
        <x:v>0.875</x:v>
      </x:c>
      <x:c r="F7" s="28" t="n">
        <x:v>44</x:v>
      </x:c>
      <x:c r="G7" s="28" t="n">
        <x:v>15</x:v>
      </x:c>
      <x:c r="H7" s="28" t="str">
        <x:v>multi-liquid pressure-gain generator; flywheel-battery dark start; rotating protection</x:v>
      </x:c>
      <x:c r="I7" s="28" t="str">
        <x:v>0.225 MWe continuous; 0.300 MWe peak; 34.5 MWh; 0.9 MWh dark start</x:v>
      </x:c>
      <x:c r="J7" s="28" t="str">
        <x:v>1.575 MWe; 2.10 MWe peak; 241.5 MWh; 6.3 MWh</x:v>
      </x:c>
      <x:c r="K7" s="28" t="str">
        <x:v>1.42216 MWe; 1.91992 MWe peak; 238.923 MWh; 6 MWh</x:v>
      </x:c>
      <x:c r="L7" s="28" t="str">
        <x:v>PASS</x:v>
      </x:c>
      <x:c r="M7" s="28" t="str">
        <x:v>Terrain E Certification Authority</x:v>
      </x:c>
      <x:c r="N7" s="28" t="str">
        <x:v>none credited</x:v>
      </x:c>
      <x:c r="O7" s="30" t="str">
        <x:f>IF(AND(C7&gt;D7,L7="PASS",N7="none credited"),"PASS","FAIL")</x:f>
        <x:v>PASS</x:v>
      </x:c>
    </x:row>
    <x:row r="8">
      <x:c r="B8" s="28" t="str">
        <x:v>W</x:v>
      </x:c>
      <x:c r="C8" s="28" t="n">
        <x:v>14.5</x:v>
      </x:c>
      <x:c r="D8" s="28" t="n">
        <x:v>13.9</x:v>
      </x:c>
      <x:c r="E8" s="28" t="n">
        <x:v>0.5999999999999996</x:v>
      </x:c>
      <x:c r="F8" s="28" t="n">
        <x:v>42</x:v>
      </x:c>
      <x:c r="G8" s="28" t="n">
        <x:v>14</x:v>
      </x:c>
      <x:c r="H8" s="28" t="str">
        <x:v>ceramic UF-RO; UV oxidation; ceramic-biological residual</x:v>
      </x:c>
      <x:c r="I8" s="28" t="str">
        <x:v>36 m3/day product; 27 m3/day wastewater; 65 m3 storage</x:v>
      </x:c>
      <x:c r="J8" s="28" t="str">
        <x:v>252 m3/day; 189 m3/day; 455 m3</x:v>
      </x:c>
      <x:c r="K8" s="28" t="str">
        <x:v>225 m3/day; 180 m3/day; 450 m3</x:v>
      </x:c>
      <x:c r="L8" s="28" t="str">
        <x:v>PASS</x:v>
      </x:c>
      <x:c r="M8" s="28" t="str">
        <x:v>Terrain W Certification Authority</x:v>
      </x:c>
      <x:c r="N8" s="28" t="str">
        <x:v>none credited</x:v>
      </x:c>
      <x:c r="O8" s="30" t="str">
        <x:f>IF(AND(C8&gt;D8,L8="PASS",N8="none credited"),"PASS","FAIL")</x:f>
        <x:v>PASS</x:v>
      </x:c>
    </x:row>
    <x:row r="9">
      <x:c r="B9" s="28" t="str">
        <x:v>T</x:v>
      </x:c>
      <x:c r="C9" s="28" t="n">
        <x:v>13.75</x:v>
      </x:c>
      <x:c r="D9" s="28" t="n">
        <x:v>13.2</x:v>
      </x:c>
      <x:c r="E9" s="28" t="n">
        <x:v>0.5500000000000007</x:v>
      </x:c>
      <x:c r="F9" s="28" t="n">
        <x:v>50</x:v>
      </x:c>
      <x:c r="G9" s="28" t="n">
        <x:v>16</x:v>
      </x:c>
      <x:c r="H9" s="28" t="str">
        <x:v>low-charge hydrocarbon compression; segmented hybrid dry-wet field</x:v>
      </x:c>
      <x:c r="I9" s="28" t="str">
        <x:v>0.300 MWth useful; 0.720 MWth rejection</x:v>
      </x:c>
      <x:c r="J9" s="28" t="str">
        <x:v>2.10 MWth useful; 5.04 MWth rejection</x:v>
      </x:c>
      <x:c r="K9" s="28" t="str">
        <x:v>1.965 MWth useful; 4.765105 MWth rejection</x:v>
      </x:c>
      <x:c r="L9" s="28" t="str">
        <x:v>PASS</x:v>
      </x:c>
      <x:c r="M9" s="28" t="str">
        <x:v>Terrain T Certification Authority</x:v>
      </x:c>
      <x:c r="N9" s="28" t="str">
        <x:v>none credited</x:v>
      </x:c>
      <x:c r="O9" s="30" t="str">
        <x:f>IF(AND(C9&gt;D9,L9="PASS",N9="none credited"),"PASS","FAIL")</x:f>
        <x:v>PASS</x:v>
      </x:c>
    </x:row>
    <x:row r="10">
      <x:c r="B10" s="28" t="str">
        <x:v>D</x:v>
      </x:c>
      <x:c r="C10" s="28" t="n">
        <x:v>14</x:v>
      </x:c>
      <x:c r="D10" s="28" t="n">
        <x:v>13.4</x:v>
      </x:c>
      <x:c r="E10" s="28" t="n">
        <x:v>0.5999999999999996</x:v>
      </x:c>
      <x:c r="F10" s="28" t="n">
        <x:v>46</x:v>
      </x:c>
      <x:c r="G10" s="28" t="n">
        <x:v>15</x:v>
      </x:c>
      <x:c r="H10" s="28" t="str">
        <x:v>copper-alloy sectional MV; reinforced hoses; tracked adapter robots</x:v>
      </x:c>
      <x:c r="I10" s="28" t="str">
        <x:v>0.45 km MV; 0.65 km twin fluid line; 2 building terminators</x:v>
      </x:c>
      <x:c r="J10" s="28" t="str">
        <x:v>3.15 km MV; 4.55 km fluid; 14 buildings</x:v>
      </x:c>
      <x:c r="K10" s="28" t="str">
        <x:v>3 km MV; 4 km fluid; 10 buildings</x:v>
      </x:c>
      <x:c r="L10" s="28" t="str">
        <x:v>PASS</x:v>
      </x:c>
      <x:c r="M10" s="28" t="str">
        <x:v>Terrain D Certification Authority</x:v>
      </x:c>
      <x:c r="N10" s="28" t="str">
        <x:v>none credited</x:v>
      </x:c>
      <x:c r="O10" s="30" t="str">
        <x:f>IF(AND(C10&gt;D10,L10="PASS",N10="none credited"),"PASS","FAIL")</x:f>
        <x:v>PASS</x:v>
      </x:c>
    </x:row>
    <x:row r="11">
      <x:c r="B11" s="31" t="str">
        <x:v>C</x:v>
      </x:c>
      <x:c r="C11" s="31" t="n">
        <x:v>14.75</x:v>
      </x:c>
      <x:c r="D11" s="31" t="n">
        <x:v>14.15</x:v>
      </x:c>
      <x:c r="E11" s="31" t="n">
        <x:v>0.5999999999999996</x:v>
      </x:c>
      <x:c r="F11" s="31" t="n">
        <x:v>40</x:v>
      </x:c>
      <x:c r="G11" s="31" t="n">
        <x:v>13</x:v>
      </x:c>
      <x:c r="H11" s="31" t="str">
        <x:v>wired fieldbus; ground survey; heavy access repair and independent clinical suite</x:v>
      </x:c>
      <x:c r="I11" s="31" t="str">
        <x:v>715 people; 2 building-clinical teams; 800 offline endpoints</x:v>
      </x:c>
      <x:c r="J11" s="31" t="str">
        <x:v>5,005 people; 14 teams; 5,600 endpoints</x:v>
      </x:c>
      <x:c r="K11" s="31" t="str">
        <x:v>5,000 people; 10 teams; 5,000 endpoints</x:v>
      </x:c>
      <x:c r="L11" s="31" t="str">
        <x:v>PASS</x:v>
      </x:c>
      <x:c r="M11" s="31" t="str">
        <x:v>Terrain C Certification Authority</x:v>
      </x:c>
      <x:c r="N11" s="31" t="str">
        <x:v>none credited</x:v>
      </x:c>
      <x:c r="O11" s="33" t="str">
        <x:f>IF(AND(C11&gt;D11,L11="PASS",N11="none credited"),"PASS","FAIL")</x:f>
        <x:v>PASS</x:v>
      </x:c>
    </x:row>
    <x:row r="12"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</x:row>
    <x:row r="13"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</x:row>
    <x:row r="14">
      <x:c r="B14" s="46" t="str">
        <x:v>Per-carrier geometry and mass</x:v>
      </x:c>
      <x:c r="C14" s="47" t="str">
        <x:v>Per-carrier geometry and mass</x:v>
      </x:c>
      <x:c r="D14" s="47" t="str">
        <x:v>Per-carrier geometry and mass</x:v>
      </x:c>
      <x:c r="E14" s="47" t="str">
        <x:v>Per-carrier geometry and mass</x:v>
      </x:c>
      <x:c r="F14" s="47" t="str">
        <x:v>Per-carrier geometry and mass</x:v>
      </x:c>
      <x:c r="G14" s="47" t="str">
        <x:v>Per-carrier geometry and mass</x:v>
      </x:c>
      <x:c r="H14" s="47" t="str">
        <x:v>Per-carrier geometry and mass</x:v>
      </x:c>
      <x:c r="I14" s="47" t="str">
        <x:v>Per-carrier geometry and mass</x:v>
      </x:c>
      <x:c r="J14" s="47" t="str">
        <x:v>Per-carrier geometry and mass</x:v>
      </x:c>
      <x:c r="K14" s="47" t="str">
        <x:v>Per-carrier geometry and mass</x:v>
      </x:c>
      <x:c r="L14" s="47" t="str">
        <x:v>Per-carrier geometry and mass</x:v>
      </x:c>
      <x:c r="M14" s="47" t="str">
        <x:v>Per-carrier geometry and mass</x:v>
      </x:c>
      <x:c r="N14" s="48" t="str">
        <x:v>Per-carrier geometry and mass</x:v>
      </x:c>
      <x:c r="O14" s="24"/>
    </x:row>
    <x:row r="15">
      <x:c r="B15" s="19" t="str">
        <x:v>Metric</x:v>
      </x:c>
      <x:c r="C15" s="20" t="str">
        <x:v>Sets</x:v>
      </x:c>
      <x:c r="D15" s="20" t="str">
        <x:v>Calculated</x:v>
      </x:c>
      <x:c r="E15" s="20" t="str">
        <x:v>Capacity</x:v>
      </x:c>
      <x:c r="F15" s="20" t="str">
        <x:v>Unit</x:v>
      </x:c>
      <x:c r="G15" s="20" t="str">
        <x:v>Margin</x:v>
      </x:c>
      <x:c r="H15" s="21" t="str">
        <x:v>Result</x:v>
      </x:c>
      <x:c r="I15" s="24"/>
      <x:c r="J15" s="24"/>
      <x:c r="K15" s="24"/>
      <x:c r="L15" s="24"/>
      <x:c r="M15" s="24"/>
      <x:c r="N15" s="24"/>
      <x:c r="O15" s="24"/>
    </x:row>
    <x:row r="16">
      <x:c r="B16" s="24" t="str">
        <x:v>Certified mass</x:v>
      </x:c>
      <x:c r="C16" s="24" t="n">
        <x:v>2</x:v>
      </x:c>
      <x:c r="D16" s="24" t="n">
        <x:f>C16*SUM(C7:C11)</x:f>
        <x:v>158.75</x:v>
      </x:c>
      <x:c r="E16" s="24" t="n">
        <x:v>158.75</x:v>
      </x:c>
      <x:c r="F16" s="24" t="str">
        <x:v>t</x:v>
      </x:c>
      <x:c r="G16" s="24" t="n">
        <x:f>E16-D16</x:f>
        <x:v>0</x:v>
      </x:c>
      <x:c r="H16" s="24" t="str">
        <x:f>IF(G16&gt;=0,"PASS","FAIL")</x:f>
        <x:v>PASS</x:v>
      </x:c>
      <x:c r="I16" s="24"/>
      <x:c r="J16" s="24"/>
      <x:c r="K16" s="24"/>
      <x:c r="L16" s="24"/>
      <x:c r="M16" s="24"/>
      <x:c r="N16" s="24"/>
      <x:c r="O16" s="24"/>
    </x:row>
    <x:row r="17">
      <x:c r="B17" s="24" t="str">
        <x:v>Design mass</x:v>
      </x:c>
      <x:c r="C17" s="24" t="n">
        <x:v>2</x:v>
      </x:c>
      <x:c r="D17" s="24" t="n">
        <x:f>C17*SUM(D7:D11)</x:f>
        <x:v>152.29999999999998</x:v>
      </x:c>
      <x:c r="E17" s="24" t="n">
        <x:v>158.75</x:v>
      </x:c>
      <x:c r="F17" s="24" t="str">
        <x:v>t</x:v>
      </x:c>
      <x:c r="G17" s="24" t="n">
        <x:f>E17-D17</x:f>
        <x:v>6.450000000000017</x:v>
      </x:c>
      <x:c r="H17" s="24" t="str">
        <x:f>IF(G17&gt;=0,"PASS","FAIL")</x:f>
        <x:v>PASS</x:v>
      </x:c>
      <x:c r="I17" s="24"/>
      <x:c r="J17" s="24"/>
      <x:c r="K17" s="24"/>
      <x:c r="L17" s="24"/>
      <x:c r="M17" s="24"/>
      <x:c r="N17" s="24"/>
      <x:c r="O17" s="24"/>
    </x:row>
    <x:row r="18">
      <x:c r="B18" s="24" t="str">
        <x:v>Cube</x:v>
      </x:c>
      <x:c r="C18" s="24" t="n">
        <x:v>2</x:v>
      </x:c>
      <x:c r="D18" s="24" t="n">
        <x:f>C18*SUM(F7:F11)</x:f>
        <x:v>444</x:v>
      </x:c>
      <x:c r="E18" s="24" t="n">
        <x:v>800</x:v>
      </x:c>
      <x:c r="F18" s="24" t="str">
        <x:v>m3</x:v>
      </x:c>
      <x:c r="G18" s="24" t="n">
        <x:f>E18-D18</x:f>
        <x:v>356</x:v>
      </x:c>
      <x:c r="H18" s="24" t="str">
        <x:f>IF(G18&gt;=0,"PASS","FAIL")</x:f>
        <x:v>PASS</x:v>
      </x:c>
      <x:c r="I18" s="24"/>
      <x:c r="J18" s="24"/>
      <x:c r="K18" s="24"/>
      <x:c r="L18" s="24"/>
      <x:c r="M18" s="24"/>
      <x:c r="N18" s="24"/>
      <x:c r="O18" s="24"/>
    </x:row>
    <x:row r="19">
      <x:c r="B19" s="24" t="str">
        <x:v>Deck</x:v>
      </x:c>
      <x:c r="C19" s="24" t="n">
        <x:v>2</x:v>
      </x:c>
      <x:c r="D19" s="24" t="n">
        <x:f>C19*SUM(G7:G11)</x:f>
        <x:v>146</x:v>
      </x:c>
      <x:c r="E19" s="24" t="n">
        <x:v>184</x:v>
      </x:c>
      <x:c r="F19" s="24" t="str">
        <x:v>m2</x:v>
      </x:c>
      <x:c r="G19" s="24" t="n">
        <x:f>E19-D19</x:f>
        <x:v>38</x:v>
      </x:c>
      <x:c r="H19" s="24" t="str">
        <x:f>IF(G19&gt;=0,"PASS","FAIL")</x:f>
        <x:v>PASS</x:v>
      </x:c>
      <x:c r="I19" s="24"/>
      <x:c r="J19" s="24"/>
      <x:c r="K19" s="24"/>
      <x:c r="L19" s="24"/>
      <x:c r="M19" s="24"/>
      <x:c r="N19" s="24"/>
      <x:c r="O19" s="24"/>
    </x:row>
    <x:row r="20"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</x:row>
    <x:row r="21"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</x:row>
    <x:row r="22">
      <x:c r="B22" s="46" t="str">
        <x:v>CUIC-1 boundary</x:v>
      </x:c>
      <x:c r="C22" s="47" t="str">
        <x:v>CUIC-1 boundary</x:v>
      </x:c>
      <x:c r="D22" s="47" t="str">
        <x:v>CUIC-1 boundary</x:v>
      </x:c>
      <x:c r="E22" s="47" t="str">
        <x:v>CUIC-1 boundary</x:v>
      </x:c>
      <x:c r="F22" s="47" t="str">
        <x:v>CUIC-1 boundary</x:v>
      </x:c>
      <x:c r="G22" s="47" t="str">
        <x:v>CUIC-1 boundary</x:v>
      </x:c>
      <x:c r="H22" s="47" t="str">
        <x:v>CUIC-1 boundary</x:v>
      </x:c>
      <x:c r="I22" s="47" t="str">
        <x:v>CUIC-1 boundary</x:v>
      </x:c>
      <x:c r="J22" s="47" t="str">
        <x:v>CUIC-1 boundary</x:v>
      </x:c>
      <x:c r="K22" s="47" t="str">
        <x:v>CUIC-1 boundary</x:v>
      </x:c>
      <x:c r="L22" s="47" t="str">
        <x:v>CUIC-1 boundary</x:v>
      </x:c>
      <x:c r="M22" s="47" t="str">
        <x:v>CUIC-1 boundary</x:v>
      </x:c>
      <x:c r="N22" s="47" t="str">
        <x:v>CUIC-1 boundary</x:v>
      </x:c>
      <x:c r="O22" s="48" t="str">
        <x:v>CUIC-1 boundary</x:v>
      </x:c>
    </x:row>
    <x:row r="23">
      <x:c r="B23" s="38" t="str">
        <x:v>Mechanical</x:v>
      </x:c>
      <x:c r="C23" s="24" t="str">
        <x:v>certified mass, center of gravity, restraint, lift and quarantine state; physical receiver remains mode-specific</x:v>
      </x:c>
      <x:c r="D23" s="24" t="str"/>
      <x:c r="E23" s="24" t="str"/>
      <x:c r="F23" s="24" t="str"/>
      <x:c r="G23" s="24" t="str"/>
      <x:c r="H23" s="24" t="str"/>
      <x:c r="I23" s="24" t="str"/>
      <x:c r="J23" s="24" t="str"/>
      <x:c r="K23" s="24" t="str"/>
      <x:c r="L23" s="24" t="str"/>
      <x:c r="M23" s="24" t="str"/>
      <x:c r="N23" s="24" t="str"/>
      <x:c r="O23" s="24"/>
    </x:row>
    <x:row r="24">
      <x:c r="B24" s="38" t="str">
        <x:v>Electrical</x:v>
      </x:c>
      <x:c r="C24" s="24" t="str">
        <x:v>13.8 kV AC public service and 1.5 kV DC dark start; protection implementation remains separate</x:v>
      </x:c>
      <x:c r="D24" s="24" t="str"/>
      <x:c r="E24" s="24" t="str"/>
      <x:c r="F24" s="24" t="str"/>
      <x:c r="G24" s="24" t="str"/>
      <x:c r="H24" s="24" t="str"/>
      <x:c r="I24" s="24" t="str"/>
      <x:c r="J24" s="24" t="str"/>
      <x:c r="K24" s="24" t="str"/>
      <x:c r="L24" s="24" t="str"/>
      <x:c r="M24" s="24" t="str"/>
      <x:c r="N24" s="24" t="str"/>
      <x:c r="O24" s="24"/>
    </x:row>
    <x:row r="25">
      <x:c r="B25" s="38" t="str">
        <x:v>Fluids</x:v>
      </x:c>
      <x:c r="C25" s="24" t="str">
        <x:v>potable product, raw feed, return residual and thermal supply-return with custody assays</x:v>
      </x:c>
      <x:c r="D25" s="24" t="str"/>
      <x:c r="E25" s="24" t="str"/>
      <x:c r="F25" s="24" t="str"/>
      <x:c r="G25" s="24" t="str"/>
      <x:c r="H25" s="24" t="str"/>
      <x:c r="I25" s="24" t="str"/>
      <x:c r="J25" s="24" t="str"/>
      <x:c r="K25" s="24" t="str"/>
      <x:c r="L25" s="24" t="str"/>
      <x:c r="M25" s="24" t="str"/>
      <x:c r="N25" s="24" t="str"/>
      <x:c r="O25" s="24"/>
    </x:row>
    <x:row r="26">
      <x:c r="B26" s="38" t="str">
        <x:v>Control</x:v>
      </x:c>
      <x:c r="C26" s="24" t="str">
        <x:v>offline state schema and public handoff; no shared decisive controller, firmware or update root</x:v>
      </x:c>
      <x:c r="D26" s="24" t="str"/>
      <x:c r="E26" s="24" t="str"/>
      <x:c r="F26" s="24" t="str"/>
      <x:c r="G26" s="24" t="str"/>
      <x:c r="H26" s="24" t="str"/>
      <x:c r="I26" s="24" t="str"/>
      <x:c r="J26" s="24" t="str"/>
      <x:c r="K26" s="24" t="str"/>
      <x:c r="L26" s="24" t="str"/>
      <x:c r="M26" s="24" t="str"/>
      <x:c r="N26" s="24" t="str"/>
      <x:c r="O26" s="24"/>
    </x:row>
    <x:row r="27">
      <x:c r="B27" s="38" t="str">
        <x:v>Safety</x:v>
      </x:c>
      <x:c r="C27" s="24" t="str">
        <x:v>fire, drain, pressure, hot-surface, refrigerant, hydrogen and chemical boundaries declared per lineage</x:v>
      </x:c>
      <x:c r="D27" s="24" t="str"/>
      <x:c r="E27" s="24" t="str"/>
      <x:c r="F27" s="24" t="str"/>
      <x:c r="G27" s="24" t="str"/>
      <x:c r="H27" s="24" t="str"/>
      <x:c r="I27" s="24" t="str"/>
      <x:c r="J27" s="24" t="str"/>
      <x:c r="K27" s="24" t="str"/>
      <x:c r="L27" s="24" t="str"/>
      <x:c r="M27" s="24" t="str"/>
      <x:c r="N27" s="24" t="str"/>
      <x:c r="O27" s="24"/>
    </x:row>
    <x:row r="28">
      <x:c r="B28" s="38" t="str">
        <x:v>Credit rule</x:v>
      </x:c>
      <x:c r="C28" s="24" t="str">
        <x:v>common semantics enable federation after release; they do not establish physical or causal independence</x:v>
      </x:c>
      <x:c r="D28" s="24" t="str"/>
      <x:c r="E28" s="24" t="str"/>
      <x:c r="F28" s="24" t="str"/>
      <x:c r="G28" s="24" t="str"/>
      <x:c r="H28" s="24" t="str"/>
      <x:c r="I28" s="24" t="str"/>
      <x:c r="J28" s="24" t="str"/>
      <x:c r="K28" s="24" t="str"/>
      <x:c r="L28" s="24" t="str"/>
      <x:c r="M28" s="24" t="str"/>
      <x:c r="N28" s="24" t="str"/>
      <x:c r="O28" s="24"/>
    </x:row>
  </x:sheetData>
  <x:mergeCells>
    <x:mergeCell ref="B2:H2"/>
    <x:mergeCell ref="B3:O3"/>
    <x:mergeCell ref="B14:N14"/>
    <x:mergeCell ref="B22:O22"/>
  </x:mergeCells>
  <x:conditionalFormatting sqref="O7:O11">
    <x:cfRule type="containsText" dxfId="20" priority="1" operator="containsText" text="FAIL"/>
    <x:cfRule type="containsText" dxfId="21" priority="2" operator="containsText" text="PASS"/>
    <x:cfRule type="containsText" dxfId="22" priority="3" operator="containsText" text="OPEN"/>
    <x:cfRule type="containsText" dxfId="23" priority="4" operator="containsText" text="BLOCKED"/>
  </x:conditionalFormatting>
  <x:conditionalFormatting sqref="H16:H19">
    <x:cfRule type="containsText" dxfId="24" priority="5" operator="containsText" text="FAIL"/>
    <x:cfRule type="containsText" dxfId="25" priority="6" operator="containsText" text="PASS"/>
    <x:cfRule type="containsText" dxfId="26" priority="7" operator="containsText" text="OPEN"/>
    <x:cfRule type="containsText" dxfId="27" priority="8" operator="containsText" text="BLOCKE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5" hidden="0" customWidth="1"/>
    <x:col min="3" max="3" width="18" hidden="0" customWidth="1"/>
    <x:col min="4" max="4" width="18" hidden="0" customWidth="1"/>
    <x:col min="5" max="5" width="15" hidden="0" customWidth="1"/>
    <x:col min="6" max="6" width="18" hidden="0" customWidth="1"/>
    <x:col min="7" max="7" width="18" hidden="0" customWidth="1"/>
    <x:col min="8" max="8" width="20" hidden="0" customWidth="1"/>
    <x:col min="9" max="9" width="17" hidden="0" customWidth="1"/>
    <x:col min="10" max="10" width="18" hidden="0" customWidth="1"/>
    <x:col min="11" max="11" width="18" hidden="0" customWidth="1"/>
    <x:col min="12" max="12" width="16" hidden="0" customWidth="1"/>
    <x:col min="13" max="13" width="14" hidden="0" customWidth="1"/>
    <x:col min="14" max="14" width="44" hidden="0" customWidth="1"/>
  </x:cols>
  <x:sheetData>
    <x:row r="2">
      <x:c r="B2" s="43" t="str">
        <x:v>Carrier-interface closure</x:v>
      </x:c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</x:row>
    <x:row r="3">
      <x:c r="B3" s="44" t="str">
        <x:v>Compact tile saddles correct an inherited position-count contradiction and propagate through vehicle mass, energy, pressure and time</x:v>
      </x:c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</x:row>
    <x:row r="5"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</x:row>
    <x:row r="6">
      <x:c r="B6" s="26" t="str">
        <x:v>Mode</x:v>
      </x:c>
      <x:c r="C6" s="27" t="str">
        <x:v>Required positions</x:v>
      </x:c>
      <x:c r="D6" s="27" t="str">
        <x:v>Inherited positions</x:v>
      </x:c>
      <x:c r="E6" s="27" t="str">
        <x:v>Added positions</x:v>
      </x:c>
      <x:c r="F6" s="27" t="str">
        <x:v>Fixed mass t</x:v>
      </x:c>
      <x:c r="G6" s="27" t="str">
        <x:v>Feedback</x:v>
      </x:c>
      <x:c r="H6" s="27" t="str">
        <x:v>Revised gross t</x:v>
      </x:c>
      <x:c r="I6" s="27" t="str">
        <x:v>Revised energy MWh</x:v>
      </x:c>
      <x:c r="J6" s="27" t="str">
        <x:v>Pressure kPa</x:v>
      </x:c>
      <x:c r="K6" s="27" t="str">
        <x:v>Mass or pressure limit</x:v>
      </x:c>
      <x:c r="L6" s="27" t="str">
        <x:v>Interface time h</x:v>
      </x:c>
      <x:c r="M6" s="27" t="str">
        <x:v>Reset h</x:v>
      </x:c>
      <x:c r="N6" s="27" t="str">
        <x:v>Result</x:v>
      </x:c>
    </x:row>
    <x:row r="7">
      <x:c r="B7" s="28" t="str">
        <x:v>Air</x:v>
      </x:c>
      <x:c r="C7" s="28" t="n">
        <x:v>20</x:v>
      </x:c>
      <x:c r="D7" s="28" t="n">
        <x:v>18</x:v>
      </x:c>
      <x:c r="E7" s="28" t="n">
        <x:v>2</x:v>
      </x:c>
      <x:c r="F7" s="28" t="n">
        <x:v>6</x:v>
      </x:c>
      <x:c r="G7" s="28" t="n">
        <x:v>1.1512</x:v>
      </x:c>
      <x:c r="H7" s="28" t="n">
        <x:f>Assumptions!C24+F7*G7</x:f>
        <x:v>1468.3220000000001</x:v>
      </x:c>
      <x:c r="I7" s="28" t="n">
        <x:f>Assumptions!C25+F7*Assumptions!C21</x:f>
        <x:v>2194.8306813</x:v>
      </x:c>
      <x:c r="J7" s="28" t="str">
        <x:v>n/a</x:v>
      </x:c>
      <x:c r="K7" s="28" t="str">
        <x:v>assigned gross closure</x:v>
      </x:c>
      <x:c r="L7" s="28" t="n">
        <x:f>Assumptions!C31</x:f>
        <x:v>0.5</x:v>
      </x:c>
      <x:c r="M7" s="28" t="n">
        <x:f>Assumptions!C35+Assumptions!C37</x:f>
        <x:v>163</x:v>
      </x:c>
      <x:c r="N7" s="30" t="str">
        <x:f>IF(AND(C7=D7+E7,M7&lt;=Assumptions!C38),"PASS","FAIL")</x:f>
        <x:v>PASS</x:v>
      </x:c>
    </x:row>
    <x:row r="8">
      <x:c r="B8" s="31" t="str">
        <x:v>Terrain</x:v>
      </x:c>
      <x:c r="C8" s="31" t="n">
        <x:v>10</x:v>
      </x:c>
      <x:c r="D8" s="31" t="n">
        <x:v>9</x:v>
      </x:c>
      <x:c r="E8" s="31" t="n">
        <x:v>1</x:v>
      </x:c>
      <x:c r="F8" s="31" t="n">
        <x:v>3</x:v>
      </x:c>
      <x:c r="G8" s="31" t="n">
        <x:v>0.2047368</x:v>
      </x:c>
      <x:c r="H8" s="31" t="n">
        <x:f>Assumptions!C26+F8/(1-G8)</x:f>
        <x:v>720.9573360014646</x:v>
      </x:c>
      <x:c r="I8" s="31" t="str">
        <x:v>reclosed in gross feedback</x:v>
      </x:c>
      <x:c r="J8" s="31" t="n">
        <x:f>Assumptions!C27*H8/Assumptions!C26</x:f>
        <x:v>34.249205487524</x:v>
      </x:c>
      <x:c r="K8" s="31" t="n">
        <x:f>Assumptions!C28</x:f>
        <x:v>35</x:v>
      </x:c>
      <x:c r="L8" s="31" t="n">
        <x:f>Assumptions!C31</x:f>
        <x:v>0.5</x:v>
      </x:c>
      <x:c r="M8" s="31" t="n">
        <x:f>Assumptions!C36+Assumptions!C37</x:f>
        <x:v>167</x:v>
      </x:c>
      <x:c r="N8" s="33" t="str">
        <x:f>IF(AND(C8=D8+E8,J8&lt;=K8,M8&lt;=Assumptions!C38),"PASS","FAIL")</x:f>
        <x:v>PASS</x:v>
      </x:c>
    </x:row>
    <x:row r="9"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24"/>
    </x:row>
    <x:row r="10"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</x:row>
    <x:row r="11">
      <x:c r="B11" s="46" t="str">
        <x:v>Physical arrangement</x:v>
      </x:c>
      <x:c r="C11" s="47" t="str">
        <x:v>Physical arrangement</x:v>
      </x:c>
      <x:c r="D11" s="47" t="str">
        <x:v>Physical arrangement</x:v>
      </x:c>
      <x:c r="E11" s="47" t="str">
        <x:v>Physical arrangement</x:v>
      </x:c>
      <x:c r="F11" s="47" t="str">
        <x:v>Physical arrangement</x:v>
      </x:c>
      <x:c r="G11" s="47" t="str">
        <x:v>Physical arrangement</x:v>
      </x:c>
      <x:c r="H11" s="47" t="str">
        <x:v>Physical arrangement</x:v>
      </x:c>
      <x:c r="I11" s="47" t="str">
        <x:v>Physical arrangement</x:v>
      </x:c>
      <x:c r="J11" s="47" t="str">
        <x:v>Physical arrangement</x:v>
      </x:c>
      <x:c r="K11" s="47" t="str">
        <x:v>Physical arrangement</x:v>
      </x:c>
      <x:c r="L11" s="47" t="str">
        <x:v>Physical arrangement</x:v>
      </x:c>
      <x:c r="M11" s="47" t="str">
        <x:v>Physical arrangement</x:v>
      </x:c>
      <x:c r="N11" s="48" t="str">
        <x:v>Physical arrangement</x:v>
      </x:c>
    </x:row>
    <x:row r="12">
      <x:c r="B12" s="38" t="str">
        <x:v>Air</x:v>
      </x:c>
      <x:c r="C12" s="24" t="str">
        <x:v>twenty saddles across two longitudinal GCH keels; ten per keel; family sets mirrored around x approximately 150 m and y zero</x:v>
      </x:c>
      <x:c r="D12" s="24" t="str"/>
      <x:c r="E12" s="24" t="str"/>
      <x:c r="F12" s="24" t="str"/>
      <x:c r="G12" s="24" t="str"/>
      <x:c r="H12" s="24" t="str"/>
      <x:c r="I12" s="24" t="str"/>
      <x:c r="J12" s="24" t="str"/>
      <x:c r="K12" s="24" t="str"/>
      <x:c r="L12" s="24" t="str"/>
      <x:c r="M12" s="24" t="str"/>
      <x:c r="N12" s="24" t="str"/>
    </x:row>
    <x:row r="13">
      <x:c r="B13" s="38" t="str">
        <x:v>Terrain</x:v>
      </x:c>
      <x:c r="C13" s="24" t="str">
        <x:v>ten saddles across two 11.5 m cargo bodies; family pairs straddle the center joint; vehicle center near x 23 m and y zero</x:v>
      </x:c>
      <x:c r="D13" s="24" t="str"/>
      <x:c r="E13" s="24" t="str"/>
      <x:c r="F13" s="24" t="str"/>
      <x:c r="G13" s="24" t="str"/>
      <x:c r="H13" s="24" t="str"/>
      <x:c r="I13" s="24" t="str"/>
      <x:c r="J13" s="24" t="str"/>
      <x:c r="K13" s="24" t="str"/>
      <x:c r="L13" s="24" t="str"/>
      <x:c r="M13" s="24" t="str"/>
      <x:c r="N13" s="24" t="str"/>
    </x:row>
    <x:row r="14">
      <x:c r="B14" s="38" t="str">
        <x:v>Transfer</x:v>
      </x:c>
      <x:c r="C14" s="24" t="str">
        <x:v>saddle identifies mass, custody and restraint state before movement; no unverified tile crosses the receiver boundary</x:v>
      </x:c>
      <x:c r="D14" s="24" t="str"/>
      <x:c r="E14" s="24" t="str"/>
      <x:c r="F14" s="24" t="str"/>
      <x:c r="G14" s="24" t="str"/>
      <x:c r="H14" s="24" t="str"/>
      <x:c r="I14" s="24" t="str"/>
      <x:c r="J14" s="24" t="str"/>
      <x:c r="K14" s="24" t="str"/>
      <x:c r="L14" s="24" t="str"/>
      <x:c r="M14" s="24" t="str"/>
      <x:c r="N14" s="24" t="str"/>
    </x:row>
    <x:row r="15">
      <x:c r="B15" s="38" t="str">
        <x:v>Quarantine</x:v>
      </x:c>
      <x:c r="C15" s="24" t="str">
        <x:v>each tile can be left aboard, isolated on a saddle, or moved to a controlled assay pad without draining a family-wide wet pack</x:v>
      </x:c>
      <x:c r="D15" s="24" t="str"/>
      <x:c r="E15" s="24" t="str"/>
      <x:c r="F15" s="24" t="str"/>
      <x:c r="G15" s="24" t="str"/>
      <x:c r="H15" s="24" t="str"/>
      <x:c r="I15" s="24" t="str"/>
      <x:c r="J15" s="24" t="str"/>
      <x:c r="K15" s="24" t="str"/>
      <x:c r="L15" s="24" t="str"/>
      <x:c r="M15" s="24" t="str"/>
      <x:c r="N15" s="24" t="str"/>
    </x:row>
    <x:row r="16">
      <x:c r="B16" s="38" t="str">
        <x:v>Separation</x:v>
      </x:c>
      <x:c r="C16" s="24" t="str">
        <x:v>air and terrain receiver adapters are mechanically distinct; public service ports share semantics only</x:v>
      </x:c>
      <x:c r="D16" s="24" t="str"/>
      <x:c r="E16" s="24" t="str"/>
      <x:c r="F16" s="24" t="str"/>
      <x:c r="G16" s="24" t="str"/>
      <x:c r="H16" s="24" t="str"/>
      <x:c r="I16" s="24" t="str"/>
      <x:c r="J16" s="24" t="str"/>
      <x:c r="K16" s="24" t="str"/>
      <x:c r="L16" s="24" t="str"/>
      <x:c r="M16" s="24" t="str"/>
      <x:c r="N16" s="24" t="str"/>
    </x:row>
    <x:row r="17">
      <x:c r="B17" s="38" t="str">
        <x:v>Stop rule</x:v>
      </x:c>
      <x:c r="C17" s="24" t="str">
        <x:v>carrier redesign reopens if structural modes, CG, restraint, transfer or damaged-route trials exceed declared margins</x:v>
      </x:c>
      <x:c r="D17" s="24" t="str"/>
      <x:c r="E17" s="24" t="str"/>
      <x:c r="F17" s="24" t="str"/>
      <x:c r="G17" s="24" t="str"/>
      <x:c r="H17" s="24" t="str"/>
      <x:c r="I17" s="24" t="str"/>
      <x:c r="J17" s="24" t="str"/>
      <x:c r="K17" s="24" t="str"/>
      <x:c r="L17" s="24" t="str"/>
      <x:c r="M17" s="24" t="str"/>
      <x:c r="N17" s="24" t="str"/>
    </x:row>
  </x:sheetData>
  <x:mergeCells>
    <x:mergeCell ref="B2:H2"/>
    <x:mergeCell ref="B3:N3"/>
    <x:mergeCell ref="B11:N11"/>
  </x:mergeCells>
  <x:conditionalFormatting sqref="N7:N8">
    <x:cfRule type="containsText" dxfId="28" priority="1" operator="containsText" text="FAIL"/>
    <x:cfRule type="containsText" dxfId="29" priority="2" operator="containsText" text="PASS"/>
    <x:cfRule type="containsText" dxfId="30" priority="3" operator="containsText" text="OPEN"/>
    <x:cfRule type="containsText" dxfId="31" priority="4" operator="containsText" text="BLOCKE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7" hidden="0" customWidth="1"/>
    <x:col min="3" max="3" width="14" hidden="0" customWidth="1"/>
    <x:col min="4" max="4" width="15" hidden="0" customWidth="1"/>
    <x:col min="5" max="5" width="17" hidden="0" customWidth="1"/>
    <x:col min="6" max="6" width="18" hidden="0" customWidth="1"/>
    <x:col min="7" max="7" width="17" hidden="0" customWidth="1"/>
    <x:col min="8" max="8" width="18" hidden="0" customWidth="1"/>
    <x:col min="9" max="9" width="19" hidden="0" customWidth="1"/>
    <x:col min="10" max="10" width="18" hidden="0" customWidth="1"/>
    <x:col min="11" max="11" width="37" hidden="0" customWidth="1"/>
    <x:col min="12" max="12" width="15" hidden="0" customWidth="1"/>
    <x:col min="13" max="13" width="16" hidden="0" customWidth="1"/>
    <x:col min="14" max="14" width="25" hidden="0" customWidth="1"/>
  </x:cols>
  <x:sheetData>
    <x:row r="2">
      <x:c r="B2" s="43" t="str">
        <x:v>Casualty-tolerant public-service closure</x:v>
      </x:c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</x:row>
    <x:row r="3">
      <x:c r="B3" s="44" t="str">
        <x:v>Each mode carries equal family counts, not equal family masses; a carrier casualty plus one tile loss still closes every public effect</x:v>
      </x:c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</x:row>
    <x:row r="5"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</x:row>
    <x:row r="6">
      <x:c r="B6" s="26" t="str">
        <x:v>Family</x:v>
      </x:c>
      <x:c r="C6" s="27" t="str">
        <x:v>Cell tiles</x:v>
      </x:c>
      <x:c r="D6" s="27" t="str">
        <x:v>Air per carrier</x:v>
      </x:c>
      <x:c r="E6" s="27" t="str">
        <x:v>Air survivors</x:v>
      </x:c>
      <x:c r="F6" s="27" t="str">
        <x:v>Air after tile loss</x:v>
      </x:c>
      <x:c r="G6" s="27" t="str">
        <x:v>Terrain per carrier</x:v>
      </x:c>
      <x:c r="H6" s="27" t="str">
        <x:v>Terrain survivors</x:v>
      </x:c>
      <x:c r="I6" s="27" t="str">
        <x:v>Terrain after tile loss</x:v>
      </x:c>
      <x:c r="J6" s="27" t="str">
        <x:v>Required surviving tiles</x:v>
      </x:c>
      <x:c r="K6" s="27" t="str">
        <x:v>Public effect</x:v>
      </x:c>
      <x:c r="L6" s="27" t="str">
        <x:v>Air result</x:v>
      </x:c>
      <x:c r="M6" s="27" t="str">
        <x:v>Terrain result</x:v>
      </x:c>
      <x:c r="N6" s="27" t="str">
        <x:v>Release owner</x:v>
      </x:c>
    </x:row>
    <x:row r="7">
      <x:c r="B7" s="28" t="str">
        <x:v>E</x:v>
      </x:c>
      <x:c r="C7" s="28" t="n">
        <x:v>8</x:v>
      </x:c>
      <x:c r="D7" s="28" t="n">
        <x:v>4</x:v>
      </x:c>
      <x:c r="E7" s="28" t="n">
        <x:v>8</x:v>
      </x:c>
      <x:c r="F7" s="28" t="n">
        <x:f>E7-1</x:f>
        <x:v>7</x:v>
      </x:c>
      <x:c r="G7" s="28" t="n">
        <x:v>2</x:v>
      </x:c>
      <x:c r="H7" s="28" t="n">
        <x:v>8</x:v>
      </x:c>
      <x:c r="I7" s="28" t="n">
        <x:f>H7-1</x:f>
        <x:v>7</x:v>
      </x:c>
      <x:c r="J7" s="28" t="n">
        <x:v>7</x:v>
      </x:c>
      <x:c r="K7" s="28" t="str">
        <x:v>firm power energy and black start</x:v>
      </x:c>
      <x:c r="L7" s="28" t="str">
        <x:f>IF(F7&gt;=J7,"PASS","FAIL")</x:f>
        <x:v>PASS</x:v>
      </x:c>
      <x:c r="M7" s="28" t="str">
        <x:f>IF(I7&gt;=J7,"PASS","FAIL")</x:f>
        <x:v>PASS</x:v>
      </x:c>
      <x:c r="N7" s="30" t="str">
        <x:v>E Civil Release Authority</x:v>
      </x:c>
    </x:row>
    <x:row r="8">
      <x:c r="B8" s="28" t="str">
        <x:v>W</x:v>
      </x:c>
      <x:c r="C8" s="28" t="n">
        <x:v>8</x:v>
      </x:c>
      <x:c r="D8" s="28" t="n">
        <x:v>4</x:v>
      </x:c>
      <x:c r="E8" s="28" t="n">
        <x:v>8</x:v>
      </x:c>
      <x:c r="F8" s="28" t="n">
        <x:f>E8-1</x:f>
        <x:v>7</x:v>
      </x:c>
      <x:c r="G8" s="28" t="n">
        <x:v>2</x:v>
      </x:c>
      <x:c r="H8" s="28" t="n">
        <x:v>8</x:v>
      </x:c>
      <x:c r="I8" s="28" t="n">
        <x:f>H8-1</x:f>
        <x:v>7</x:v>
      </x:c>
      <x:c r="J8" s="28" t="n">
        <x:v>7</x:v>
      </x:c>
      <x:c r="K8" s="28" t="str">
        <x:v>potable water wastewater and buffer</x:v>
      </x:c>
      <x:c r="L8" s="28" t="str">
        <x:f>IF(F8&gt;=J8,"PASS","FAIL")</x:f>
        <x:v>PASS</x:v>
      </x:c>
      <x:c r="M8" s="28" t="str">
        <x:f>IF(I8&gt;=J8,"PASS","FAIL")</x:f>
        <x:v>PASS</x:v>
      </x:c>
      <x:c r="N8" s="30" t="str">
        <x:v>W Civil Release Authority</x:v>
      </x:c>
    </x:row>
    <x:row r="9">
      <x:c r="B9" s="28" t="str">
        <x:v>T</x:v>
      </x:c>
      <x:c r="C9" s="28" t="n">
        <x:v>8</x:v>
      </x:c>
      <x:c r="D9" s="28" t="n">
        <x:v>4</x:v>
      </x:c>
      <x:c r="E9" s="28" t="n">
        <x:v>8</x:v>
      </x:c>
      <x:c r="F9" s="28" t="n">
        <x:f>E9-1</x:f>
        <x:v>7</x:v>
      </x:c>
      <x:c r="G9" s="28" t="n">
        <x:v>2</x:v>
      </x:c>
      <x:c r="H9" s="28" t="n">
        <x:v>8</x:v>
      </x:c>
      <x:c r="I9" s="28" t="n">
        <x:f>H9-1</x:f>
        <x:v>7</x:v>
      </x:c>
      <x:c r="J9" s="28" t="n">
        <x:v>7</x:v>
      </x:c>
      <x:c r="K9" s="28" t="str">
        <x:v>useful cooling and final rejection</x:v>
      </x:c>
      <x:c r="L9" s="28" t="str">
        <x:f>IF(F9&gt;=J9,"PASS","FAIL")</x:f>
        <x:v>PASS</x:v>
      </x:c>
      <x:c r="M9" s="28" t="str">
        <x:f>IF(I9&gt;=J9,"PASS","FAIL")</x:f>
        <x:v>PASS</x:v>
      </x:c>
      <x:c r="N9" s="30" t="str">
        <x:v>T Civil Release Authority</x:v>
      </x:c>
    </x:row>
    <x:row r="10">
      <x:c r="B10" s="28" t="str">
        <x:v>D</x:v>
      </x:c>
      <x:c r="C10" s="28" t="n">
        <x:v>8</x:v>
      </x:c>
      <x:c r="D10" s="28" t="n">
        <x:v>4</x:v>
      </x:c>
      <x:c r="E10" s="28" t="n">
        <x:v>8</x:v>
      </x:c>
      <x:c r="F10" s="28" t="n">
        <x:f>E10-1</x:f>
        <x:v>7</x:v>
      </x:c>
      <x:c r="G10" s="28" t="n">
        <x:v>2</x:v>
      </x:c>
      <x:c r="H10" s="28" t="n">
        <x:v>8</x:v>
      </x:c>
      <x:c r="I10" s="28" t="n">
        <x:f>H10-1</x:f>
        <x:v>7</x:v>
      </x:c>
      <x:c r="J10" s="28" t="n">
        <x:v>7</x:v>
      </x:c>
      <x:c r="K10" s="28" t="str">
        <x:v>electrical fluid and building distribution</x:v>
      </x:c>
      <x:c r="L10" s="28" t="str">
        <x:f>IF(F10&gt;=J10,"PASS","FAIL")</x:f>
        <x:v>PASS</x:v>
      </x:c>
      <x:c r="M10" s="28" t="str">
        <x:f>IF(I10&gt;=J10,"PASS","FAIL")</x:f>
        <x:v>PASS</x:v>
      </x:c>
      <x:c r="N10" s="30" t="str">
        <x:v>D Civil Release Authority</x:v>
      </x:c>
    </x:row>
    <x:row r="11">
      <x:c r="B11" s="31" t="str">
        <x:v>C</x:v>
      </x:c>
      <x:c r="C11" s="31" t="n">
        <x:v>8</x:v>
      </x:c>
      <x:c r="D11" s="31" t="n">
        <x:v>4</x:v>
      </x:c>
      <x:c r="E11" s="31" t="n">
        <x:v>8</x:v>
      </x:c>
      <x:c r="F11" s="31" t="n">
        <x:f>E11-1</x:f>
        <x:v>7</x:v>
      </x:c>
      <x:c r="G11" s="31" t="n">
        <x:v>2</x:v>
      </x:c>
      <x:c r="H11" s="31" t="n">
        <x:v>8</x:v>
      </x:c>
      <x:c r="I11" s="31" t="n">
        <x:f>H11-1</x:f>
        <x:v>7</x:v>
      </x:c>
      <x:c r="J11" s="31" t="n">
        <x:v>7</x:v>
      </x:c>
      <x:c r="K11" s="31" t="str">
        <x:v>civil control medical survey repair and assay</x:v>
      </x:c>
      <x:c r="L11" s="31" t="str">
        <x:f>IF(F11&gt;=J11,"PASS","FAIL")</x:f>
        <x:v>PASS</x:v>
      </x:c>
      <x:c r="M11" s="31" t="str">
        <x:f>IF(I11&gt;=J11,"PASS","FAIL")</x:f>
        <x:v>PASS</x:v>
      </x:c>
      <x:c r="N11" s="33" t="str">
        <x:v>C Civil Release Authority</x:v>
      </x:c>
    </x:row>
    <x:row r="12"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</x:row>
    <x:row r="13"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</x:row>
    <x:row r="14">
      <x:c r="B14" s="46" t="str">
        <x:v>Independence constitution</x:v>
      </x:c>
      <x:c r="C14" s="47" t="str">
        <x:v>Independence constitution</x:v>
      </x:c>
      <x:c r="D14" s="47" t="str">
        <x:v>Independence constitution</x:v>
      </x:c>
      <x:c r="E14" s="47" t="str">
        <x:v>Independence constitution</x:v>
      </x:c>
      <x:c r="F14" s="47" t="str">
        <x:v>Independence constitution</x:v>
      </x:c>
      <x:c r="G14" s="47" t="str">
        <x:v>Independence constitution</x:v>
      </x:c>
      <x:c r="H14" s="47" t="str">
        <x:v>Independence constitution</x:v>
      </x:c>
      <x:c r="I14" s="47" t="str">
        <x:v>Independence constitution</x:v>
      </x:c>
      <x:c r="J14" s="47" t="str">
        <x:v>Independence constitution</x:v>
      </x:c>
      <x:c r="K14" s="47" t="str">
        <x:v>Independence constitution</x:v>
      </x:c>
      <x:c r="L14" s="47" t="str">
        <x:v>Independence constitution</x:v>
      </x:c>
      <x:c r="M14" s="47" t="str">
        <x:v>Independence constitution</x:v>
      </x:c>
      <x:c r="N14" s="48" t="str">
        <x:v>Independence constitution</x:v>
      </x:c>
    </x:row>
    <x:row r="15">
      <x:c r="B15" s="38" t="str">
        <x:v>Public contract</x:v>
      </x:c>
      <x:c r="C15" s="24" t="str">
        <x:v>both modes expose the same service units, custody states, assay records and handoff semantics</x:v>
      </x:c>
      <x:c r="D15" s="24" t="str"/>
      <x:c r="E15" s="24" t="str"/>
      <x:c r="F15" s="24" t="str"/>
      <x:c r="G15" s="24" t="str"/>
      <x:c r="H15" s="24" t="str"/>
      <x:c r="I15" s="24" t="str"/>
      <x:c r="J15" s="24" t="str"/>
      <x:c r="K15" s="24" t="str"/>
      <x:c r="L15" s="24" t="str"/>
      <x:c r="M15" s="24" t="str"/>
      <x:c r="N15" s="24" t="str"/>
    </x:row>
    <x:row r="16">
      <x:c r="B16" s="38" t="str">
        <x:v>Hardware</x:v>
      </x:c>
      <x:c r="C16" s="24" t="str">
        <x:v>energy, water, thermal, distribution and civil-control implementations remain mode-specific</x:v>
      </x:c>
      <x:c r="D16" s="24" t="str"/>
      <x:c r="E16" s="24" t="str"/>
      <x:c r="F16" s="24" t="str"/>
      <x:c r="G16" s="24" t="str"/>
      <x:c r="H16" s="24" t="str"/>
      <x:c r="I16" s="24" t="str"/>
      <x:c r="J16" s="24" t="str"/>
      <x:c r="K16" s="24" t="str"/>
      <x:c r="L16" s="24" t="str"/>
      <x:c r="M16" s="24" t="str"/>
      <x:c r="N16" s="24" t="str"/>
    </x:row>
    <x:row r="17">
      <x:c r="B17" s="38" t="str">
        <x:v>Suppliers</x:v>
      </x:c>
      <x:c r="C17" s="24" t="str">
        <x:v>sub-tier fabs, catalysts, membranes, firmware roots, bearings and feedstocks are traced; brand names are insufficient</x:v>
      </x:c>
      <x:c r="D17" s="24" t="str"/>
      <x:c r="E17" s="24" t="str"/>
      <x:c r="F17" s="24" t="str"/>
      <x:c r="G17" s="24" t="str"/>
      <x:c r="H17" s="24" t="str"/>
      <x:c r="I17" s="24" t="str"/>
      <x:c r="J17" s="24" t="str"/>
      <x:c r="K17" s="24" t="str"/>
      <x:c r="L17" s="24" t="str"/>
      <x:c r="M17" s="24" t="str"/>
      <x:c r="N17" s="24" t="str"/>
    </x:row>
    <x:row r="18">
      <x:c r="B18" s="38" t="str">
        <x:v>Authority</x:v>
      </x:c>
      <x:c r="C18" s="24" t="str">
        <x:v>no certification office signs both implementations of one family</x:v>
      </x:c>
      <x:c r="D18" s="24" t="str"/>
      <x:c r="E18" s="24" t="str"/>
      <x:c r="F18" s="24" t="str"/>
      <x:c r="G18" s="24" t="str"/>
      <x:c r="H18" s="24" t="str"/>
      <x:c r="I18" s="24" t="str"/>
      <x:c r="J18" s="24" t="str"/>
      <x:c r="K18" s="24" t="str"/>
      <x:c r="L18" s="24" t="str"/>
      <x:c r="M18" s="24" t="str"/>
      <x:c r="N18" s="24" t="str"/>
    </x:row>
    <x:row r="19">
      <x:c r="B19" s="38" t="str">
        <x:v>Federation</x:v>
      </x:c>
      <x:c r="C19" s="24" t="str">
        <x:v>only independently released public effects may cross-tie; pre-release borrowing invalidates the proof</x:v>
      </x:c>
      <x:c r="D19" s="24" t="str"/>
      <x:c r="E19" s="24" t="str"/>
      <x:c r="F19" s="24" t="str"/>
      <x:c r="G19" s="24" t="str"/>
      <x:c r="H19" s="24" t="str"/>
      <x:c r="I19" s="24" t="str"/>
      <x:c r="J19" s="24" t="str"/>
      <x:c r="K19" s="24" t="str"/>
      <x:c r="L19" s="24" t="str"/>
      <x:c r="M19" s="24" t="str"/>
      <x:c r="N19" s="24" t="str"/>
    </x:row>
    <x:row r="20">
      <x:c r="B20" s="38" t="str">
        <x:v>Claim</x:v>
      </x:c>
      <x:c r="C20" s="24" t="str">
        <x:v>the model proves count and stated service arithmetic only; physical independence and capacity remain open evidence questions</x:v>
      </x:c>
      <x:c r="D20" s="24" t="str"/>
      <x:c r="E20" s="24" t="str"/>
      <x:c r="F20" s="24" t="str"/>
      <x:c r="G20" s="24" t="str"/>
      <x:c r="H20" s="24" t="str"/>
      <x:c r="I20" s="24" t="str"/>
      <x:c r="J20" s="24" t="str"/>
      <x:c r="K20" s="24" t="str"/>
      <x:c r="L20" s="24" t="str"/>
      <x:c r="M20" s="24" t="str"/>
      <x:c r="N20" s="24" t="str"/>
    </x:row>
  </x:sheetData>
  <x:mergeCells>
    <x:mergeCell ref="B2:H2"/>
    <x:mergeCell ref="B3:N3"/>
    <x:mergeCell ref="B14:N14"/>
  </x:mergeCells>
  <x:conditionalFormatting sqref="L7:M11">
    <x:cfRule type="containsText" dxfId="32" priority="1" operator="containsText" text="FAIL"/>
    <x:cfRule type="containsText" dxfId="33" priority="2" operator="containsText" text="PASS"/>
    <x:cfRule type="containsText" dxfId="34" priority="3" operator="containsText" text="OPEN"/>
    <x:cfRule type="containsText" dxfId="35" priority="4" operator="containsText" text="BLOCKED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5" hidden="0" customWidth="1"/>
    <x:col min="7" max="7" width="15" hidden="0" customWidth="1"/>
    <x:col min="8" max="8" width="24" hidden="0" customWidth="1"/>
    <x:col min="9" max="9" width="18" hidden="0" customWidth="1"/>
    <x:col min="10" max="10" width="17" hidden="0" customWidth="1"/>
    <x:col min="11" max="11" width="40" hidden="0" customWidth="1"/>
    <x:col min="12" max="12" width="15" hidden="0" customWidth="1"/>
    <x:col min="13" max="13" width="28" hidden="0" customWidth="1"/>
  </x:cols>
  <x:sheetData>
    <x:row r="2">
      <x:c r="B2" s="43" t="str">
        <x:v>Mission-clock, fleet and workforce consequences</x:v>
      </x:c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</x:row>
    <x:row r="3">
      <x:c r="B3" s="44" t="str">
        <x:v>Interface realism consumes deadline and reset margin while the industrial proof organization grows</x:v>
      </x:c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24"/>
    </x:row>
    <x:row r="5"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</x:row>
    <x:row r="6">
      <x:c r="B6" s="19" t="str">
        <x:v>Mode</x:v>
      </x:c>
      <x:c r="C6" s="20" t="str">
        <x:v>Inherited absolute h</x:v>
      </x:c>
      <x:c r="D6" s="20" t="str">
        <x:v>Interface h</x:v>
      </x:c>
      <x:c r="E6" s="20" t="str">
        <x:v>Revised absolute h</x:v>
      </x:c>
      <x:c r="F6" s="20" t="str">
        <x:v>Design stress h</x:v>
      </x:c>
      <x:c r="G6" s="20" t="str">
        <x:v>Stressed h</x:v>
      </x:c>
      <x:c r="H6" s="20" t="str">
        <x:v>Deadline h</x:v>
      </x:c>
      <x:c r="I6" s="20" t="str">
        <x:v>Margin h</x:v>
      </x:c>
      <x:c r="J6" s="20" t="str">
        <x:v>Inherited reset h</x:v>
      </x:c>
      <x:c r="K6" s="20" t="str">
        <x:v>Revised reset h</x:v>
      </x:c>
      <x:c r="L6" s="21" t="str">
        <x:v>Reset ceiling h</x:v>
      </x:c>
      <x:c r="M6" s="41" t="str">
        <x:v>Result</x:v>
      </x:c>
    </x:row>
    <x:row r="7">
      <x:c r="B7" s="24" t="str">
        <x:v>Air</x:v>
      </x:c>
      <x:c r="C7" s="24" t="n">
        <x:v>47.9166667</x:v>
      </x:c>
      <x:c r="D7" s="24" t="n">
        <x:v>0.5</x:v>
      </x:c>
      <x:c r="E7" s="24" t="n">
        <x:f>C7+D7</x:f>
        <x:v>48.4166667</x:v>
      </x:c>
      <x:c r="F7" s="24" t="n">
        <x:v>4.5</x:v>
      </x:c>
      <x:c r="G7" s="24" t="n">
        <x:f>E7+F7</x:f>
        <x:v>52.9166667</x:v>
      </x:c>
      <x:c r="H7" s="24" t="n">
        <x:f>Assumptions!C34</x:f>
        <x:v>54</x:v>
      </x:c>
      <x:c r="I7" s="24" t="n">
        <x:f>H7-G7</x:f>
        <x:v>1.0833332999999996</x:v>
      </x:c>
      <x:c r="J7" s="24" t="n">
        <x:v>162</x:v>
      </x:c>
      <x:c r="K7" s="24" t="n">
        <x:v>163</x:v>
      </x:c>
      <x:c r="L7" s="24" t="n">
        <x:f>Assumptions!C38</x:f>
        <x:v>168</x:v>
      </x:c>
      <x:c r="M7" s="24" t="str">
        <x:f>IF(AND(I7&gt;=0,K7&lt;=L7),"PASS","FAIL")</x:f>
        <x:v>PASS</x:v>
      </x:c>
    </x:row>
    <x:row r="8">
      <x:c r="B8" s="24" t="str">
        <x:v>Terrain</x:v>
      </x:c>
      <x:c r="C8" s="24" t="n">
        <x:v>49.5694444</x:v>
      </x:c>
      <x:c r="D8" s="24" t="n">
        <x:v>0.5</x:v>
      </x:c>
      <x:c r="E8" s="24" t="n">
        <x:f>C8+D8</x:f>
        <x:v>50.0694444</x:v>
      </x:c>
      <x:c r="F8" s="24" t="n">
        <x:v>3.5</x:v>
      </x:c>
      <x:c r="G8" s="24" t="n">
        <x:f>E8+F8</x:f>
        <x:v>53.5694444</x:v>
      </x:c>
      <x:c r="H8" s="24" t="n">
        <x:f>Assumptions!C34</x:f>
        <x:v>54</x:v>
      </x:c>
      <x:c r="I8" s="24" t="n">
        <x:f>H8-G8</x:f>
        <x:v>0.43055559999999815</x:v>
      </x:c>
      <x:c r="J8" s="24" t="n">
        <x:v>166</x:v>
      </x:c>
      <x:c r="K8" s="24" t="n">
        <x:v>167</x:v>
      </x:c>
      <x:c r="L8" s="24" t="n">
        <x:f>Assumptions!C38</x:f>
        <x:v>168</x:v>
      </x:c>
      <x:c r="M8" s="24" t="str">
        <x:f>IF(AND(I8&gt;=0,K8&lt;=L8),"PASS","FAIL")</x:f>
        <x:v>PASS</x:v>
      </x:c>
    </x:row>
    <x:row r="9"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4"/>
    </x:row>
    <x:row r="10"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</x:row>
    <x:row r="11">
      <x:c r="B11" s="46" t="str">
        <x:v>Fleet, tiles and people</x:v>
      </x:c>
      <x:c r="C11" s="47" t="str">
        <x:v>Fleet, tiles and people</x:v>
      </x:c>
      <x:c r="D11" s="47" t="str">
        <x:v>Fleet, tiles and people</x:v>
      </x:c>
      <x:c r="E11" s="47" t="str">
        <x:v>Fleet, tiles and people</x:v>
      </x:c>
      <x:c r="F11" s="47" t="str">
        <x:v>Fleet, tiles and people</x:v>
      </x:c>
      <x:c r="G11" s="47" t="str">
        <x:v>Fleet, tiles and people</x:v>
      </x:c>
      <x:c r="H11" s="46" t="str">
        <x:v>Critical margins</x:v>
      </x:c>
      <x:c r="I11" s="47" t="str">
        <x:v>Critical margins</x:v>
      </x:c>
      <x:c r="J11" s="47" t="str">
        <x:v>Critical margins</x:v>
      </x:c>
      <x:c r="K11" s="47" t="str">
        <x:v>Critical margins</x:v>
      </x:c>
      <x:c r="L11" s="48" t="str">
        <x:v>Critical margins</x:v>
      </x:c>
      <x:c r="M11" s="48" t="str">
        <x:v>Critical margins</x:v>
      </x:c>
    </x:row>
    <x:row r="12">
      <x:c r="B12" s="19" t="str">
        <x:v>Metric</x:v>
      </x:c>
      <x:c r="C12" s="20" t="str">
        <x:v>Value</x:v>
      </x:c>
      <x:c r="D12" s="20" t="str">
        <x:v>Unit</x:v>
      </x:c>
      <x:c r="E12" s="20" t="str">
        <x:v>Requirement</x:v>
      </x:c>
      <x:c r="F12" s="21" t="str">
        <x:v>Result</x:v>
      </x:c>
      <x:c r="G12" s="24"/>
      <x:c r="H12" s="19" t="str">
        <x:v>Item</x:v>
      </x:c>
      <x:c r="I12" s="20" t="str">
        <x:v>Value</x:v>
      </x:c>
      <x:c r="J12" s="20" t="str">
        <x:v>Unit</x:v>
      </x:c>
      <x:c r="K12" s="20" t="str">
        <x:v>Meaning</x:v>
      </x:c>
      <x:c r="L12" s="20" t="str">
        <x:v>Evidence state</x:v>
      </x:c>
      <x:c r="M12" s="21" t="str">
        <x:v>Owner</x:v>
      </x:c>
    </x:row>
    <x:row r="13">
      <x:c r="B13" s="24" t="str">
        <x:v>Loaded tiles</x:v>
      </x:c>
      <x:c r="C13" s="24" t="n">
        <x:f>Assumptions!C39*110</x:f>
        <x:v>4730</x:v>
      </x:c>
      <x:c r="D13" s="24" t="str">
        <x:v>tiles</x:v>
      </x:c>
      <x:c r="E13" s="24" t="n">
        <x:v>4730</x:v>
      </x:c>
      <x:c r="F13" s="24" t="str">
        <x:f>IF(ABS(C13-E13)&lt;0.001,"PASS","FAIL")</x:f>
        <x:v>PASS</x:v>
      </x:c>
      <x:c r="G13" s="24"/>
      <x:c r="H13" s="24" t="str">
        <x:v>Terrain stressed margin</x:v>
      </x:c>
      <x:c r="I13" s="24" t="n">
        <x:v>0.4305556</x:v>
      </x:c>
      <x:c r="J13" s="24" t="str">
        <x:v>h</x:v>
      </x:c>
      <x:c r="K13" s="24" t="str">
        <x:v>least mission-clock margin</x:v>
      </x:c>
      <x:c r="L13" s="24" t="str">
        <x:v>OPEN</x:v>
      </x:c>
      <x:c r="M13" s="24" t="str">
        <x:v>Mission Clock Authority</x:v>
      </x:c>
    </x:row>
    <x:row r="14">
      <x:c r="B14" s="24" t="str">
        <x:v>Reserve tiles</x:v>
      </x:c>
      <x:c r="C14" s="24" t="n">
        <x:f>C13*Assumptions!C40</x:f>
        <x:v>946</x:v>
      </x:c>
      <x:c r="D14" s="24" t="str">
        <x:v>tiles</x:v>
      </x:c>
      <x:c r="E14" s="24" t="n">
        <x:v>946</x:v>
      </x:c>
      <x:c r="F14" s="24" t="str">
        <x:f>IF(ABS(C14-E14)&lt;0.001,"PASS","FAIL")</x:f>
        <x:v>PASS</x:v>
      </x:c>
      <x:c r="G14" s="24"/>
      <x:c r="H14" s="24" t="str">
        <x:v>Terrain reset margin</x:v>
      </x:c>
      <x:c r="I14" s="24" t="n">
        <x:v>1</x:v>
      </x:c>
      <x:c r="J14" s="24" t="str">
        <x:v>h</x:v>
      </x:c>
      <x:c r="K14" s="24" t="str">
        <x:v>least reset margin</x:v>
      </x:c>
      <x:c r="L14" s="24" t="str">
        <x:v>OPEN</x:v>
      </x:c>
      <x:c r="M14" s="24" t="str">
        <x:v>Fleet Certification Authority</x:v>
      </x:c>
    </x:row>
    <x:row r="15">
      <x:c r="B15" s="24" t="str">
        <x:v>Development tiles</x:v>
      </x:c>
      <x:c r="C15" s="24" t="n">
        <x:f>Assumptions!C41*Assumptions!C9*2</x:f>
        <x:v>240</x:v>
      </x:c>
      <x:c r="D15" s="24" t="str">
        <x:v>tiles</x:v>
      </x:c>
      <x:c r="E15" s="24" t="n">
        <x:v>240</x:v>
      </x:c>
      <x:c r="F15" s="24" t="str">
        <x:f>IF(ABS(C15-E15)&lt;0.001,"PASS","FAIL")</x:f>
        <x:v>PASS</x:v>
      </x:c>
      <x:c r="G15" s="24"/>
      <x:c r="H15" s="24" t="str">
        <x:v>Terrain soil margin</x:v>
      </x:c>
      <x:c r="I15" s="24" t="n">
        <x:v>0.7509</x:v>
      </x:c>
      <x:c r="J15" s="24" t="str">
        <x:v>kPa</x:v>
      </x:c>
      <x:c r="K15" s="24" t="str">
        <x:v>modeled damaged-soil margin</x:v>
      </x:c>
      <x:c r="L15" s="24" t="str">
        <x:v>OPEN</x:v>
      </x:c>
      <x:c r="M15" s="24" t="str">
        <x:v>Route Admission Authority</x:v>
      </x:c>
    </x:row>
    <x:row r="16">
      <x:c r="B16" s="24" t="str">
        <x:v>Total tile articles</x:v>
      </x:c>
      <x:c r="C16" s="24" t="n">
        <x:f>SUM(C13:C15)</x:f>
        <x:v>5916</x:v>
      </x:c>
      <x:c r="D16" s="24" t="str">
        <x:v>tiles</x:v>
      </x:c>
      <x:c r="E16" s="24" t="n">
        <x:v>5916</x:v>
      </x:c>
      <x:c r="F16" s="24" t="str">
        <x:f>IF(ABS(C16-E16)&lt;0.001,"PASS","FAIL")</x:f>
        <x:v>PASS</x:v>
      </x:c>
      <x:c r="G16" s="24"/>
      <x:c r="H16" s="24" t="str">
        <x:v>Air mass increment</x:v>
      </x:c>
      <x:c r="I16" s="24" t="n">
        <x:v>6.9072</x:v>
      </x:c>
      <x:c r="J16" s="24" t="str">
        <x:v>t gross</x:v>
      </x:c>
      <x:c r="K16" s="24" t="str">
        <x:v>two saddle correction</x:v>
      </x:c>
      <x:c r="L16" s="24" t="str">
        <x:v>OPEN</x:v>
      </x:c>
      <x:c r="M16" s="24" t="str">
        <x:v>Airworthiness Authority</x:v>
      </x:c>
    </x:row>
    <x:row r="17">
      <x:c r="B17" s="24" t="str">
        <x:v>Carrier articles</x:v>
      </x:c>
      <x:c r="C17" s="24" t="n">
        <x:f>Assumptions!C42</x:f>
        <x:v>439</x:v>
      </x:c>
      <x:c r="D17" s="24" t="str">
        <x:v>vehicles</x:v>
      </x:c>
      <x:c r="E17" s="24" t="n">
        <x:v>439</x:v>
      </x:c>
      <x:c r="F17" s="24" t="str">
        <x:f>IF(ABS(C17-E17)&lt;0.001,"PASS","FAIL")</x:f>
        <x:v>PASS</x:v>
      </x:c>
      <x:c r="G17" s="24"/>
      <x:c r="H17" s="24" t="str">
        <x:v>Tile mass allowance</x:v>
      </x:c>
      <x:c r="I17" s="24" t="n">
        <x:v>4.1</x:v>
      </x:c>
      <x:c r="J17" s="24" t="str">
        <x:v>percent</x:v>
      </x:c>
      <x:c r="K17" s="24" t="str">
        <x:v>design-set below certified set</x:v>
      </x:c>
      <x:c r="L17" s="24" t="str">
        <x:v>OPEN</x:v>
      </x:c>
      <x:c r="M17" s="24" t="str">
        <x:v>Payload Certification Authority</x:v>
      </x:c>
    </x:row>
    <x:row r="18">
      <x:c r="B18" s="24" t="str">
        <x:v>Articles avoided vs duplication</x:v>
      </x:c>
      <x:c r="C18" s="24" t="n">
        <x:f>Assumptions!C51-C17</x:f>
        <x:v>207</x:v>
      </x:c>
      <x:c r="D18" s="24" t="str">
        <x:v>vehicles</x:v>
      </x:c>
      <x:c r="E18" s="24" t="n">
        <x:v>207</x:v>
      </x:c>
      <x:c r="F18" s="24" t="str">
        <x:f>IF(ABS(C18-E18)&lt;0.001,"PASS","FAIL")</x:f>
        <x:v>PASS</x:v>
      </x:c>
      <x:c r="G18" s="24"/>
      <x:c r="H18" s="24"/>
      <x:c r="I18" s="24"/>
      <x:c r="J18" s="24"/>
      <x:c r="K18" s="24"/>
      <x:c r="L18" s="24"/>
      <x:c r="M18" s="24"/>
    </x:row>
    <x:row r="19">
      <x:c r="B19" s="24" t="str">
        <x:v>Deployed workforce</x:v>
      </x:c>
      <x:c r="C19" s="24" t="n">
        <x:f>Assumptions!C52</x:f>
        <x:v>970</x:v>
      </x:c>
      <x:c r="D19" s="24" t="str">
        <x:v>people</x:v>
      </x:c>
      <x:c r="E19" s="24" t="n">
        <x:v>970</x:v>
      </x:c>
      <x:c r="F19" s="24" t="str">
        <x:f>IF(ABS(C19-E19)&lt;0.001,"PASS","FAIL")</x:f>
        <x:v>PASS</x:v>
      </x:c>
      <x:c r="G19" s="24"/>
      <x:c r="H19" s="24"/>
      <x:c r="I19" s="24"/>
      <x:c r="J19" s="24"/>
      <x:c r="K19" s="24"/>
      <x:c r="L19" s="24"/>
      <x:c r="M19" s="24"/>
    </x:row>
    <x:row r="20">
      <x:c r="B20" s="24" t="str">
        <x:v>Affiliated workforce</x:v>
      </x:c>
      <x:c r="C20" s="24" t="n">
        <x:f>Assumptions!C53</x:f>
        <x:v>2175</x:v>
      </x:c>
      <x:c r="D20" s="24" t="str">
        <x:v>positions</x:v>
      </x:c>
      <x:c r="E20" s="24" t="n">
        <x:v>2175</x:v>
      </x:c>
      <x:c r="F20" s="24" t="str">
        <x:f>IF(ABS(C20-E20)&lt;0.001,"PASS","FAIL")</x:f>
        <x:v>PASS</x:v>
      </x:c>
      <x:c r="G20" s="24"/>
      <x:c r="H20" s="24"/>
      <x:c r="I20" s="24"/>
      <x:c r="J20" s="24"/>
      <x:c r="K20" s="24"/>
      <x:c r="L20" s="24"/>
      <x:c r="M20" s="24"/>
    </x:row>
    <x:row r="21">
      <x:c r="B21" s="24" t="str">
        <x:v>Minimum watch</x:v>
      </x:c>
      <x:c r="C21" s="24" t="n">
        <x:f>Assumptions!C54</x:f>
        <x:v>304</x:v>
      </x:c>
      <x:c r="D21" s="24" t="str">
        <x:v>people</x:v>
      </x:c>
      <x:c r="E21" s="24" t="n">
        <x:v>304</x:v>
      </x:c>
      <x:c r="F21" s="24" t="str">
        <x:f>IF(ABS(C21-E21)&lt;0.001,"PASS","FAIL")</x:f>
        <x:v>PASS</x:v>
      </x:c>
      <x:c r="G21" s="24"/>
      <x:c r="H21" s="24"/>
      <x:c r="I21" s="24"/>
      <x:c r="J21" s="24"/>
      <x:c r="K21" s="24"/>
      <x:c r="L21" s="24"/>
      <x:c r="M21" s="24"/>
    </x:row>
  </x:sheetData>
  <x:mergeCells>
    <x:mergeCell ref="B2:H2"/>
    <x:mergeCell ref="B3:L3"/>
    <x:mergeCell ref="B11:L11"/>
    <x:mergeCell ref="H11:M11"/>
  </x:mergeCells>
  <x:conditionalFormatting sqref="M7:M8">
    <x:cfRule type="containsText" dxfId="36" priority="1" operator="containsText" text="FAIL"/>
    <x:cfRule type="containsText" dxfId="37" priority="2" operator="containsText" text="PASS"/>
    <x:cfRule type="containsText" dxfId="38" priority="3" operator="containsText" text="OPEN"/>
    <x:cfRule type="containsText" dxfId="39" priority="4" operator="containsText" text="BLOCKED"/>
  </x:conditionalFormatting>
  <x:conditionalFormatting sqref="F13:F21">
    <x:cfRule type="containsText" dxfId="40" priority="5" operator="containsText" text="FAIL"/>
    <x:cfRule type="containsText" dxfId="41" priority="6" operator="containsText" text="PASS"/>
    <x:cfRule type="containsText" dxfId="42" priority="7" operator="containsText" text="OPEN"/>
    <x:cfRule type="containsText" dxfId="43" priority="8" operator="containsText" text="BLOCKED"/>
  </x:conditionalFormatting>
  <x:conditionalFormatting sqref="L13:L17">
    <x:cfRule type="containsText" dxfId="44" priority="9" operator="containsText" text="FAIL"/>
    <x:cfRule type="containsText" dxfId="45" priority="10" operator="containsText" text="PASS"/>
    <x:cfRule type="containsText" dxfId="46" priority="11" operator="containsText" text="OPEN"/>
    <x:cfRule type="containsText" dxfId="47" priority="12" operator="containsText" text="BLOCKE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0" hidden="0" customWidth="1"/>
    <x:col min="3" max="3" width="18" hidden="0" customWidth="1"/>
    <x:col min="4" max="4" width="16" hidden="0" customWidth="1"/>
    <x:col min="5" max="5" width="16" hidden="0" customWidth="1"/>
    <x:col min="6" max="6" width="17" hidden="0" customWidth="1"/>
    <x:col min="7" max="7" width="25" hidden="0" customWidth="1"/>
    <x:col min="8" max="8" width="42" hidden="0" customWidth="1"/>
    <x:col min="9" max="9" width="16" hidden="0" customWidth="1"/>
    <x:col min="10" max="10" width="28" hidden="0" customWidth="1"/>
    <x:col min="11" max="11" width="14" hidden="0" customWidth="1"/>
  </x:cols>
  <x:sheetData>
    <x:row r="2">
      <x:c r="B2" s="43" t="str">
        <x:v>Twenty-five-year program boundary</x:v>
      </x:c>
      <x:c r="C2" s="24"/>
      <x:c r="D2" s="24"/>
      <x:c r="E2" s="24"/>
      <x:c r="F2" s="24"/>
      <x:c r="G2" s="24"/>
      <x:c r="H2" s="24"/>
      <x:c r="I2" s="24"/>
      <x:c r="J2" s="24"/>
      <x:c r="K2" s="24"/>
    </x:row>
    <x:row r="3">
      <x:c r="B3" s="44" t="str">
        <x:v>Detailed modularity is an explicit capability-development premium, not a claimed first-generation saving</x:v>
      </x:c>
      <x:c r="C3" s="24"/>
      <x:c r="D3" s="24"/>
      <x:c r="E3" s="24"/>
      <x:c r="F3" s="24"/>
      <x:c r="G3" s="24"/>
      <x:c r="H3" s="24"/>
      <x:c r="I3" s="24"/>
      <x:c r="J3" s="24"/>
      <x:c r="K3" s="24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  <x:c r="K4" s="45"/>
    </x:row>
    <x:row r="5">
      <x:c r="B5" s="24"/>
      <x:c r="C5" s="24"/>
      <x:c r="D5" s="24"/>
      <x:c r="E5" s="24"/>
      <x:c r="F5" s="24"/>
      <x:c r="G5" s="24"/>
      <x:c r="H5" s="24"/>
      <x:c r="I5" s="24"/>
      <x:c r="J5" s="24"/>
      <x:c r="K5" s="24"/>
    </x:row>
    <x:row r="6">
      <x:c r="B6" s="19" t="str">
        <x:v>Element</x:v>
      </x:c>
      <x:c r="C6" s="20" t="str">
        <x:v>Pass 88 $B</x:v>
      </x:c>
      <x:c r="D6" s="20" t="str">
        <x:v>Remove $B</x:v>
      </x:c>
      <x:c r="E6" s="20" t="str">
        <x:v>Add $B</x:v>
      </x:c>
      <x:c r="F6" s="20" t="str">
        <x:v>Pass 89 $B</x:v>
      </x:c>
      <x:c r="G6" s="20" t="str">
        <x:v>Boundary</x:v>
      </x:c>
      <x:c r="H6" s="20" t="str">
        <x:v>Economic interpretation</x:v>
      </x:c>
      <x:c r="I6" s="20" t="str">
        <x:v>Evidence state</x:v>
      </x:c>
      <x:c r="J6" s="20" t="str">
        <x:v>Owner</x:v>
      </x:c>
      <x:c r="K6" s="21" t="str">
        <x:v>Control</x:v>
      </x:c>
    </x:row>
    <x:row r="7">
      <x:c r="B7" s="24" t="str">
        <x:v>DCP-2R inherited program</x:v>
      </x:c>
      <x:c r="C7" s="24" t="n">
        <x:v>4940.79719</x:v>
      </x:c>
      <x:c r="D7" s="24" t="n">
        <x:v>0</x:v>
      </x:c>
      <x:c r="E7" s="24" t="n">
        <x:v>0</x:v>
      </x:c>
      <x:c r="F7" s="24" t="n">
        <x:f>C7-D7+E7</x:f>
        <x:v>4940.79719</x:v>
      </x:c>
      <x:c r="G7" s="24" t="str">
        <x:v>carrier and formation base</x:v>
      </x:c>
      <x:c r="H7" s="24" t="str">
        <x:v>valid predecessor boundary</x:v>
      </x:c>
      <x:c r="I7" s="24" t="str">
        <x:v>OPEN</x:v>
      </x:c>
      <x:c r="J7" s="24" t="str">
        <x:v>Fiscal Evidence Authority</x:v>
      </x:c>
      <x:c r="K7" s="24" t="str">
        <x:f>IF(OR(F7&gt;=0,B7="generic ESK account"),"PASS","FAIL")</x:f>
        <x:v>PASS</x:v>
      </x:c>
    </x:row>
    <x:row r="8">
      <x:c r="B8" s="24" t="str">
        <x:v>generic ESK account</x:v>
      </x:c>
      <x:c r="C8" s="24" t="n">
        <x:v>0</x:v>
      </x:c>
      <x:c r="D8" s="24" t="n">
        <x:v>240</x:v>
      </x:c>
      <x:c r="E8" s="24" t="n">
        <x:v>0</x:v>
      </x:c>
      <x:c r="F8" s="24" t="n">
        <x:f>C8-D8+E8</x:f>
        <x:v>-240</x:v>
      </x:c>
      <x:c r="G8" s="24" t="str">
        <x:v>replaced</x:v>
      </x:c>
      <x:c r="H8" s="24" t="str">
        <x:v>not additive</x:v>
      </x:c>
      <x:c r="I8" s="24" t="str">
        <x:v>OPEN</x:v>
      </x:c>
      <x:c r="J8" s="24" t="str">
        <x:v>Fiscal Evidence Authority</x:v>
      </x:c>
      <x:c r="K8" s="24" t="str">
        <x:f>IF(OR(F8&gt;=0,B8="generic ESK account"),"PASS","FAIL")</x:f>
        <x:v>PASS</x:v>
      </x:c>
    </x:row>
    <x:row r="9">
      <x:c r="B9" s="24" t="str">
        <x:v>dual-lineage tile program</x:v>
      </x:c>
      <x:c r="C9" s="24" t="n">
        <x:v>0</x:v>
      </x:c>
      <x:c r="D9" s="24" t="n">
        <x:v>0</x:v>
      </x:c>
      <x:c r="E9" s="24" t="n">
        <x:v>1320</x:v>
      </x:c>
      <x:c r="F9" s="24" t="n">
        <x:f>C9-D9+E9</x:f>
        <x:v>1320</x:v>
      </x:c>
      <x:c r="G9" s="24" t="str">
        <x:v>nested technology and fleet tiles</x:v>
      </x:c>
      <x:c r="H9" s="24" t="str">
        <x:v>development production sustainment</x:v>
      </x:c>
      <x:c r="I9" s="24" t="str">
        <x:v>OPEN</x:v>
      </x:c>
      <x:c r="J9" s="24" t="str">
        <x:v>Fiscal Evidence Authority</x:v>
      </x:c>
      <x:c r="K9" s="24" t="str">
        <x:f>IF(OR(F9&gt;=0,B9="generic ESK account"),"PASS","FAIL")</x:f>
        <x:v>PASS</x:v>
      </x:c>
    </x:row>
    <x:row r="10">
      <x:c r="B10" s="24" t="str">
        <x:v>air saddle correction</x:v>
      </x:c>
      <x:c r="C10" s="24" t="n">
        <x:v>0</x:v>
      </x:c>
      <x:c r="D10" s="24" t="n">
        <x:v>0</x:v>
      </x:c>
      <x:c r="E10" s="24" t="n">
        <x:v>85</x:v>
      </x:c>
      <x:c r="F10" s="24" t="n">
        <x:f>C10-D10+E10</x:f>
        <x:v>85</x:v>
      </x:c>
      <x:c r="G10" s="24" t="str">
        <x:v>carrier coupling</x:v>
      </x:c>
      <x:c r="H10" s="24" t="str">
        <x:v>redesign retrofit certification</x:v>
      </x:c>
      <x:c r="I10" s="24" t="str">
        <x:v>OPEN</x:v>
      </x:c>
      <x:c r="J10" s="24" t="str">
        <x:v>Fiscal Evidence Authority</x:v>
      </x:c>
      <x:c r="K10" s="24" t="str">
        <x:f>IF(OR(F10&gt;=0,B10="generic ESK account"),"PASS","FAIL")</x:f>
        <x:v>PASS</x:v>
      </x:c>
    </x:row>
    <x:row r="11">
      <x:c r="B11" s="24" t="str">
        <x:v>terrain saddle correction</x:v>
      </x:c>
      <x:c r="C11" s="24" t="n">
        <x:v>0</x:v>
      </x:c>
      <x:c r="D11" s="24" t="n">
        <x:v>0</x:v>
      </x:c>
      <x:c r="E11" s="24" t="n">
        <x:v>60</x:v>
      </x:c>
      <x:c r="F11" s="24" t="n">
        <x:f>C11-D11+E11</x:f>
        <x:v>60</x:v>
      </x:c>
      <x:c r="G11" s="24" t="str">
        <x:v>carrier coupling</x:v>
      </x:c>
      <x:c r="H11" s="24" t="str">
        <x:v>redesign retrofit certification</x:v>
      </x:c>
      <x:c r="I11" s="24" t="str">
        <x:v>OPEN</x:v>
      </x:c>
      <x:c r="J11" s="24" t="str">
        <x:v>Fiscal Evidence Authority</x:v>
      </x:c>
      <x:c r="K11" s="24" t="str">
        <x:f>IF(OR(F11&gt;=0,B11="generic ESK account"),"PASS","FAIL")</x:f>
        <x:v>PASS</x:v>
      </x:c>
    </x:row>
    <x:row r="12">
      <x:c r="B12" s="24" t="str">
        <x:v>receiver adapters</x:v>
      </x:c>
      <x:c r="C12" s="24" t="n">
        <x:v>0</x:v>
      </x:c>
      <x:c r="D12" s="24" t="n">
        <x:v>0</x:v>
      </x:c>
      <x:c r="E12" s="24" t="n">
        <x:v>95</x:v>
      </x:c>
      <x:c r="F12" s="24" t="n">
        <x:f>C12-D12+E12</x:f>
        <x:v>95</x:v>
      </x:c>
      <x:c r="G12" s="24" t="str">
        <x:v>receiver coupling</x:v>
      </x:c>
      <x:c r="H12" s="24" t="str">
        <x:v>two physical interface families</x:v>
      </x:c>
      <x:c r="I12" s="24" t="str">
        <x:v>OPEN</x:v>
      </x:c>
      <x:c r="J12" s="24" t="str">
        <x:v>Fiscal Evidence Authority</x:v>
      </x:c>
      <x:c r="K12" s="24" t="str">
        <x:f>IF(OR(F12&gt;=0,B12="generic ESK account"),"PASS","FAIL")</x:f>
        <x:v>PASS</x:v>
      </x:c>
    </x:row>
    <x:row r="13"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</x:row>
    <x:row r="14"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</x:row>
    <x:row r="15">
      <x:c r="B15" s="46" t="str">
        <x:v>Program comparison</x:v>
      </x:c>
      <x:c r="C15" s="47" t="str">
        <x:v>Program comparison</x:v>
      </x:c>
      <x:c r="D15" s="47" t="str">
        <x:v>Program comparison</x:v>
      </x:c>
      <x:c r="E15" s="47" t="str">
        <x:v>Program comparison</x:v>
      </x:c>
      <x:c r="F15" s="47" t="str">
        <x:v>Program comparison</x:v>
      </x:c>
      <x:c r="G15" s="47" t="str">
        <x:v>Program comparison</x:v>
      </x:c>
      <x:c r="H15" s="47" t="str">
        <x:v>Program comparison</x:v>
      </x:c>
      <x:c r="I15" s="47" t="str">
        <x:v>Program comparison</x:v>
      </x:c>
      <x:c r="J15" s="47" t="str">
        <x:v>Program comparison</x:v>
      </x:c>
      <x:c r="K15" s="48" t="str">
        <x:v>Program comparison</x:v>
      </x:c>
    </x:row>
    <x:row r="16">
      <x:c r="B16" s="19" t="str">
        <x:v>Metric</x:v>
      </x:c>
      <x:c r="C16" s="20" t="str">
        <x:v>Value $B</x:v>
      </x:c>
      <x:c r="D16" s="20" t="str">
        <x:v>Comparator $B</x:v>
      </x:c>
      <x:c r="E16" s="21" t="str">
        <x:v>Delta $B</x:v>
      </x:c>
      <x:c r="F16" s="41" t="str">
        <x:v>Result</x:v>
      </x:c>
      <x:c r="G16" s="24"/>
      <x:c r="H16" s="24"/>
      <x:c r="I16" s="24"/>
      <x:c r="J16" s="24"/>
      <x:c r="K16" s="24"/>
    </x:row>
    <x:row r="17">
      <x:c r="B17" s="24" t="str">
        <x:v>Pass 89 DCP-2R</x:v>
      </x:c>
      <x:c r="C17" s="24" t="n">
        <x:f>SUM(F7:F12)</x:f>
        <x:v>6260.79719</x:v>
      </x:c>
      <x:c r="D17" s="24" t="n">
        <x:v>6260.79719</x:v>
      </x:c>
      <x:c r="E17" s="24" t="n">
        <x:f>D17-C17</x:f>
        <x:v>0</x:v>
      </x:c>
      <x:c r="F17" s="24" t="str">
        <x:f>IF(ABS(E17)&lt;0.001,"PASS","FAIL")</x:f>
        <x:v>PASS</x:v>
      </x:c>
      <x:c r="G17" s="24"/>
      <x:c r="H17" s="24"/>
      <x:c r="I17" s="24"/>
      <x:c r="J17" s="24"/>
      <x:c r="K17" s="24"/>
    </x:row>
    <x:row r="18">
      <x:c r="B18" s="24" t="str">
        <x:v>Outside base</x:v>
      </x:c>
      <x:c r="C18" s="24" t="n">
        <x:f>Assumptions!C49</x:f>
        <x:v>7383.14155</x:v>
      </x:c>
      <x:c r="D18" s="24" t="n">
        <x:v>7383.14155</x:v>
      </x:c>
      <x:c r="E18" s="24" t="n">
        <x:f>D18-C18</x:f>
        <x:v>0</x:v>
      </x:c>
      <x:c r="F18" s="24" t="str">
        <x:f>IF(ABS(E18)&lt;0.001,"PASS","FAIL")</x:f>
        <x:v>PASS</x:v>
      </x:c>
      <x:c r="G18" s="24"/>
      <x:c r="H18" s="24"/>
      <x:c r="I18" s="24"/>
      <x:c r="J18" s="24"/>
      <x:c r="K18" s="24"/>
    </x:row>
    <x:row r="19">
      <x:c r="B19" s="24" t="str">
        <x:v>Pass 89 national boundary</x:v>
      </x:c>
      <x:c r="C19" s="24" t="n">
        <x:f>C17+C18</x:f>
        <x:v>13643.938740000001</x:v>
      </x:c>
      <x:c r="D19" s="24" t="n">
        <x:v>13643.93874</x:v>
      </x:c>
      <x:c r="E19" s="24" t="n">
        <x:f>D19-C19</x:f>
        <x:v>-1.8189894035458565e-12</x:v>
      </x:c>
      <x:c r="F19" s="24" t="str">
        <x:f>IF(ABS(E19)&lt;0.001,"PASS","FAIL")</x:f>
        <x:v>PASS</x:v>
      </x:c>
      <x:c r="G19" s="24"/>
      <x:c r="H19" s="24"/>
      <x:c r="I19" s="24"/>
      <x:c r="J19" s="24"/>
      <x:c r="K19" s="24"/>
    </x:row>
    <x:row r="20">
      <x:c r="B20" s="24" t="str">
        <x:v>Full duplication DCP-2R</x:v>
      </x:c>
      <x:c r="C20" s="24" t="n">
        <x:f>Assumptions!C50</x:f>
        <x:v>6003.87624</x:v>
      </x:c>
      <x:c r="D20" s="24" t="n">
        <x:v>6003.87624</x:v>
      </x:c>
      <x:c r="E20" s="24" t="n">
        <x:f>D20-C20</x:f>
        <x:v>0</x:v>
      </x:c>
      <x:c r="F20" s="24" t="str">
        <x:f>IF(ABS(E20)&lt;0.001,"PASS","FAIL")</x:f>
        <x:v>PASS</x:v>
      </x:c>
      <x:c r="G20" s="24"/>
      <x:c r="H20" s="24"/>
      <x:c r="I20" s="24"/>
      <x:c r="J20" s="24"/>
      <x:c r="K20" s="24"/>
    </x:row>
    <x:row r="21">
      <x:c r="B21" s="24" t="str">
        <x:v>Full duplication national boundary</x:v>
      </x:c>
      <x:c r="C21" s="24" t="n">
        <x:f>C20+C18</x:f>
        <x:v>13387.01779</x:v>
      </x:c>
      <x:c r="D21" s="24" t="n">
        <x:v>13387.01779</x:v>
      </x:c>
      <x:c r="E21" s="24" t="n">
        <x:f>D21-C21</x:f>
        <x:v>0</x:v>
      </x:c>
      <x:c r="F21" s="24" t="str">
        <x:f>IF(ABS(E21)&lt;0.001,"PASS","FAIL")</x:f>
        <x:v>PASS</x:v>
      </x:c>
      <x:c r="G21" s="24"/>
      <x:c r="H21" s="24"/>
      <x:c r="I21" s="24"/>
      <x:c r="J21" s="24"/>
      <x:c r="K21" s="24"/>
    </x:row>
    <x:row r="22">
      <x:c r="B22" s="24" t="str">
        <x:v>First-generation modular premium</x:v>
      </x:c>
      <x:c r="C22" s="24" t="n">
        <x:f>C17-C20</x:f>
        <x:v>256.92095000000063</x:v>
      </x:c>
      <x:c r="D22" s="24" t="n">
        <x:v>256.92095</x:v>
      </x:c>
      <x:c r="E22" s="24" t="n">
        <x:f>D22-C22</x:f>
        <x:v>-6.252776074688882e-13</x:v>
      </x:c>
      <x:c r="F22" s="24" t="str">
        <x:f>IF(ABS(E22)&lt;0.001,"PASS","FAIL")</x:f>
        <x:v>PASS</x:v>
      </x:c>
      <x:c r="G22" s="24"/>
      <x:c r="H22" s="24"/>
      <x:c r="I22" s="24"/>
      <x:c r="J22" s="24"/>
      <x:c r="K22" s="24"/>
    </x:row>
    <x:row r="23"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</x:row>
    <x:row r="24"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</x:row>
    <x:row r="25">
      <x:c r="B25" s="46" t="str">
        <x:v>Interpretation</x:v>
      </x:c>
      <x:c r="C25" s="47" t="str">
        <x:v>Interpretation</x:v>
      </x:c>
      <x:c r="D25" s="47" t="str">
        <x:v>Interpretation</x:v>
      </x:c>
      <x:c r="E25" s="47" t="str">
        <x:v>Interpretation</x:v>
      </x:c>
      <x:c r="F25" s="47" t="str">
        <x:v>Interpretation</x:v>
      </x:c>
      <x:c r="G25" s="47" t="str">
        <x:v>Interpretation</x:v>
      </x:c>
      <x:c r="H25" s="47" t="str">
        <x:v>Interpretation</x:v>
      </x:c>
      <x:c r="I25" s="47" t="str">
        <x:v>Interpretation</x:v>
      </x:c>
      <x:c r="J25" s="47" t="str">
        <x:v>Interpretation</x:v>
      </x:c>
      <x:c r="K25" s="48" t="str">
        <x:v>Interpretation</x:v>
      </x:c>
    </x:row>
    <x:row r="26">
      <x:c r="B26" s="38" t="str">
        <x:v>No savings claim</x:v>
      </x:c>
      <x:c r="C26" s="24" t="str">
        <x:v>The first modular generation costs $256.921B more than exact-cell duplication inside this boundary.</x:v>
      </x:c>
      <x:c r="D26" s="24" t="str"/>
      <x:c r="E26" s="24" t="str"/>
      <x:c r="F26" s="24" t="str"/>
      <x:c r="G26" s="24" t="str"/>
      <x:c r="H26" s="24" t="str"/>
      <x:c r="I26" s="24" t="str"/>
      <x:c r="J26" s="24" t="str"/>
      <x:c r="K26" s="24" t="str"/>
    </x:row>
    <x:row r="27">
      <x:c r="B27" s="38" t="str">
        <x:v>What premium buys</x:v>
      </x:c>
      <x:c r="C27" s="24" t="str">
        <x:v>two independent technology lineages, replaceable service families, adaptation, exportable standards and an industrial learning curve</x:v>
      </x:c>
      <x:c r="D27" s="24" t="str"/>
      <x:c r="E27" s="24" t="str"/>
      <x:c r="F27" s="24" t="str"/>
      <x:c r="G27" s="24" t="str"/>
      <x:c r="H27" s="24" t="str"/>
      <x:c r="I27" s="24" t="str"/>
      <x:c r="J27" s="24" t="str"/>
      <x:c r="K27" s="24" t="str"/>
    </x:row>
    <x:row r="28">
      <x:c r="B28" s="38" t="str">
        <x:v>Article result</x:v>
      </x:c>
      <x:c r="C28" s="24" t="str">
        <x:v>the modular reference still avoids 207 carrier articles relative to full duplication</x:v>
      </x:c>
      <x:c r="D28" s="24" t="str"/>
      <x:c r="E28" s="24" t="str"/>
      <x:c r="F28" s="24" t="str"/>
      <x:c r="G28" s="24" t="str"/>
      <x:c r="H28" s="24" t="str"/>
      <x:c r="I28" s="24" t="str"/>
      <x:c r="J28" s="24" t="str"/>
      <x:c r="K28" s="24" t="str"/>
    </x:row>
    <x:row r="29">
      <x:c r="B29" s="38" t="str">
        <x:v>Portfolio nesting</x:v>
      </x:c>
      <x:c r="C29" s="24" t="str">
        <x:v>the $1.050T technology portfolio is inside the $1.320T tile program and must never be added again</x:v>
      </x:c>
      <x:c r="D29" s="24" t="str"/>
      <x:c r="E29" s="24" t="str"/>
      <x:c r="F29" s="24" t="str"/>
      <x:c r="G29" s="24" t="str"/>
      <x:c r="H29" s="24" t="str"/>
      <x:c r="I29" s="24" t="str"/>
      <x:c r="J29" s="24" t="str"/>
      <x:c r="K29" s="24" t="str"/>
    </x:row>
    <x:row r="30">
      <x:c r="B30" s="38" t="str">
        <x:v>Production decision</x:v>
      </x:c>
      <x:c r="C30" s="24" t="str">
        <x:v>fund representative articles and coupled carrier trials before selecting fleet production</x:v>
      </x:c>
      <x:c r="D30" s="24" t="str"/>
      <x:c r="E30" s="24" t="str"/>
      <x:c r="F30" s="24" t="str"/>
      <x:c r="G30" s="24" t="str"/>
      <x:c r="H30" s="24" t="str"/>
      <x:c r="I30" s="24" t="str"/>
      <x:c r="J30" s="24" t="str"/>
      <x:c r="K30" s="24" t="str"/>
    </x:row>
  </x:sheetData>
  <x:mergeCells>
    <x:mergeCell ref="B2:H2"/>
    <x:mergeCell ref="B3:K3"/>
    <x:mergeCell ref="B15:K15"/>
    <x:mergeCell ref="B25:K25"/>
  </x:mergeCells>
  <x:conditionalFormatting sqref="I7:I12">
    <x:cfRule type="containsText" dxfId="48" priority="1" operator="containsText" text="FAIL"/>
    <x:cfRule type="containsText" dxfId="49" priority="2" operator="containsText" text="PASS"/>
    <x:cfRule type="containsText" dxfId="50" priority="3" operator="containsText" text="OPEN"/>
    <x:cfRule type="containsText" dxfId="51" priority="4" operator="containsText" text="BLOCKED"/>
  </x:conditionalFormatting>
  <x:conditionalFormatting sqref="K7:K12">
    <x:cfRule type="containsText" dxfId="52" priority="5" operator="containsText" text="FAIL"/>
    <x:cfRule type="containsText" dxfId="53" priority="6" operator="containsText" text="PASS"/>
    <x:cfRule type="containsText" dxfId="54" priority="7" operator="containsText" text="OPEN"/>
    <x:cfRule type="containsText" dxfId="55" priority="8" operator="containsText" text="BLOCKED"/>
  </x:conditionalFormatting>
  <x:conditionalFormatting sqref="F17:F22">
    <x:cfRule type="containsText" dxfId="56" priority="9" operator="containsText" text="FAIL"/>
    <x:cfRule type="containsText" dxfId="57" priority="10" operator="containsText" text="PASS"/>
    <x:cfRule type="containsText" dxfId="58" priority="11" operator="containsText" text="OPEN"/>
    <x:cfRule type="containsText" dxfId="59" priority="12" operator="containsText" text="BLOCKED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2" hidden="0" customWidth="1"/>
    <x:col min="3" max="3" width="15" hidden="0" customWidth="1"/>
    <x:col min="4" max="4" width="16" hidden="0" customWidth="1"/>
    <x:col min="5" max="5" width="42" hidden="0" customWidth="1"/>
    <x:col min="6" max="6" width="16" hidden="0" customWidth="1"/>
    <x:col min="7" max="7" width="24" hidden="0" customWidth="1"/>
    <x:col min="8" max="8" width="44" hidden="0" customWidth="1"/>
    <x:col min="9" max="9" width="14" hidden="0" customWidth="1"/>
    <x:col min="10" max="10" width="15" hidden="0" customWidth="1"/>
    <x:col min="11" max="11" width="17" hidden="0" customWidth="1"/>
    <x:col min="12" max="12" width="28" hidden="0" customWidth="1"/>
  </x:cols>
  <x:sheetData>
    <x:row r="2">
      <x:c r="B2" s="43" t="str">
        <x:v>Mission-driven technology portfolio</x:v>
      </x:c>
      <x:c r="C2" s="24"/>
      <x:c r="D2" s="24"/>
      <x:c r="E2" s="24"/>
      <x:c r="F2" s="24"/>
      <x:c r="G2" s="24"/>
      <x:c r="H2" s="24"/>
      <x:c r="I2" s="24"/>
      <x:c r="J2" s="24"/>
      <x:c r="K2" s="24"/>
      <x:c r="L2" s="24"/>
    </x:row>
    <x:row r="3">
      <x:c r="B3" s="44" t="str">
        <x:v>Twenty-five campaigns turn clean-sheet ambition into explicit inventions, interfaces and falsifiable evidence</x:v>
      </x:c>
      <x:c r="C3" s="24"/>
      <x:c r="D3" s="24"/>
      <x:c r="E3" s="24"/>
      <x:c r="F3" s="24"/>
      <x:c r="G3" s="24"/>
      <x:c r="H3" s="24"/>
      <x:c r="I3" s="24"/>
      <x:c r="J3" s="24"/>
      <x:c r="K3" s="24"/>
      <x:c r="L3" s="24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</x:row>
    <x:row r="5"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</x:row>
    <x:row r="6">
      <x:c r="B6" s="26" t="str">
        <x:v>ID</x:v>
      </x:c>
      <x:c r="C6" s="27" t="str">
        <x:v>Family</x:v>
      </x:c>
      <x:c r="D6" s="27" t="str">
        <x:v>Lineage</x:v>
      </x:c>
      <x:c r="E6" s="27" t="str">
        <x:v>Campaign</x:v>
      </x:c>
      <x:c r="F6" s="27" t="str">
        <x:v>25-year $B</x:v>
      </x:c>
      <x:c r="G6" s="27" t="str">
        <x:v>First article</x:v>
      </x:c>
      <x:c r="H6" s="27" t="str">
        <x:v>Decisive question</x:v>
      </x:c>
      <x:c r="I6" s="27" t="str">
        <x:v>Gate count</x:v>
      </x:c>
      <x:c r="J6" s="27" t="str">
        <x:v>Open gates</x:v>
      </x:c>
      <x:c r="K6" s="27" t="str">
        <x:v>Maturity credit</x:v>
      </x:c>
      <x:c r="L6" s="27" t="str">
        <x:v>Owner</x:v>
      </x:c>
    </x:row>
    <x:row r="7">
      <x:c r="B7" s="28" t="str">
        <x:v>T01</x:v>
      </x:c>
      <x:c r="C7" s="28" t="str">
        <x:v>E</x:v>
      </x:c>
      <x:c r="D7" s="28" t="str">
        <x:v>Air</x:v>
      </x:c>
      <x:c r="E7" s="28" t="str">
        <x:v>electrochemical-turbine microgrid</x:v>
      </x:c>
      <x:c r="F7" s="28" t="n">
        <x:v>70</x:v>
      </x:c>
      <x:c r="G7" s="28" t="str">
        <x:v>representative tile</x:v>
      </x:c>
      <x:c r="H7" s="28" t="str">
        <x:v>close mass output custody and destructive isolation</x:v>
      </x:c>
      <x:c r="I7" s="28" t="n">
        <x:v>8</x:v>
      </x:c>
      <x:c r="J7" s="28" t="n">
        <x:v>8</x:v>
      </x:c>
      <x:c r="K7" s="28" t="n">
        <x:v>0</x:v>
      </x:c>
      <x:c r="L7" s="30" t="str">
        <x:v>Air E Technology Authority</x:v>
      </x:c>
    </x:row>
    <x:row r="8">
      <x:c r="B8" s="28" t="str">
        <x:v>T02</x:v>
      </x:c>
      <x:c r="C8" s="28" t="str">
        <x:v>E</x:v>
      </x:c>
      <x:c r="D8" s="28" t="str">
        <x:v>Terrain</x:v>
      </x:c>
      <x:c r="E8" s="28" t="str">
        <x:v>multi-liquid pressure-gain microgrid</x:v>
      </x:c>
      <x:c r="F8" s="28" t="n">
        <x:v>66</x:v>
      </x:c>
      <x:c r="G8" s="28" t="str">
        <x:v>representative tile</x:v>
      </x:c>
      <x:c r="H8" s="28" t="str">
        <x:v>close mass output custody and destructive isolation</x:v>
      </x:c>
      <x:c r="I8" s="28" t="n">
        <x:v>8</x:v>
      </x:c>
      <x:c r="J8" s="28" t="n">
        <x:v>8</x:v>
      </x:c>
      <x:c r="K8" s="28" t="n">
        <x:v>0</x:v>
      </x:c>
      <x:c r="L8" s="30" t="str">
        <x:v>Terrain E Technology Authority</x:v>
      </x:c>
    </x:row>
    <x:row r="9">
      <x:c r="B9" s="28" t="str">
        <x:v>T03</x:v>
      </x:c>
      <x:c r="C9" s="28" t="str">
        <x:v>W</x:v>
      </x:c>
      <x:c r="D9" s="28" t="str">
        <x:v>Air</x:v>
      </x:c>
      <x:c r="E9" s="28" t="str">
        <x:v>electro-adsorptive water train</x:v>
      </x:c>
      <x:c r="F9" s="28" t="n">
        <x:v>64</x:v>
      </x:c>
      <x:c r="G9" s="28" t="str">
        <x:v>representative tile</x:v>
      </x:c>
      <x:c r="H9" s="28" t="str">
        <x:v>close mass output custody and destructive isolation</x:v>
      </x:c>
      <x:c r="I9" s="28" t="n">
        <x:v>8</x:v>
      </x:c>
      <x:c r="J9" s="28" t="n">
        <x:v>8</x:v>
      </x:c>
      <x:c r="K9" s="28" t="n">
        <x:v>0</x:v>
      </x:c>
      <x:c r="L9" s="30" t="str">
        <x:v>Air W Technology Authority</x:v>
      </x:c>
    </x:row>
    <x:row r="10">
      <x:c r="B10" s="28" t="str">
        <x:v>T04</x:v>
      </x:c>
      <x:c r="C10" s="28" t="str">
        <x:v>W</x:v>
      </x:c>
      <x:c r="D10" s="28" t="str">
        <x:v>Terrain</x:v>
      </x:c>
      <x:c r="E10" s="28" t="str">
        <x:v>ceramic water-residual train</x:v>
      </x:c>
      <x:c r="F10" s="28" t="n">
        <x:v>58</x:v>
      </x:c>
      <x:c r="G10" s="28" t="str">
        <x:v>representative tile</x:v>
      </x:c>
      <x:c r="H10" s="28" t="str">
        <x:v>close mass output custody and destructive isolation</x:v>
      </x:c>
      <x:c r="I10" s="28" t="n">
        <x:v>8</x:v>
      </x:c>
      <x:c r="J10" s="28" t="n">
        <x:v>8</x:v>
      </x:c>
      <x:c r="K10" s="28" t="n">
        <x:v>0</x:v>
      </x:c>
      <x:c r="L10" s="30" t="str">
        <x:v>Terrain W Technology Authority</x:v>
      </x:c>
    </x:row>
    <x:row r="11">
      <x:c r="B11" s="28" t="str">
        <x:v>T05</x:v>
      </x:c>
      <x:c r="C11" s="28" t="str">
        <x:v>T</x:v>
      </x:c>
      <x:c r="D11" s="28" t="str">
        <x:v>Air</x:v>
      </x:c>
      <x:c r="E11" s="28" t="str">
        <x:v>transcritical folding heat sink</x:v>
      </x:c>
      <x:c r="F11" s="28" t="n">
        <x:v>52</x:v>
      </x:c>
      <x:c r="G11" s="28" t="str">
        <x:v>representative tile</x:v>
      </x:c>
      <x:c r="H11" s="28" t="str">
        <x:v>close mass output custody and destructive isolation</x:v>
      </x:c>
      <x:c r="I11" s="28" t="n">
        <x:v>8</x:v>
      </x:c>
      <x:c r="J11" s="28" t="n">
        <x:v>8</x:v>
      </x:c>
      <x:c r="K11" s="28" t="n">
        <x:v>0</x:v>
      </x:c>
      <x:c r="L11" s="30" t="str">
        <x:v>Air T Technology Authority</x:v>
      </x:c>
    </x:row>
    <x:row r="12">
      <x:c r="B12" s="28" t="str">
        <x:v>T06</x:v>
      </x:c>
      <x:c r="C12" s="28" t="str">
        <x:v>T</x:v>
      </x:c>
      <x:c r="D12" s="28" t="str">
        <x:v>Terrain</x:v>
      </x:c>
      <x:c r="E12" s="28" t="str">
        <x:v>segmented hybrid thermal field</x:v>
      </x:c>
      <x:c r="F12" s="28" t="n">
        <x:v>68</x:v>
      </x:c>
      <x:c r="G12" s="28" t="str">
        <x:v>representative tile</x:v>
      </x:c>
      <x:c r="H12" s="28" t="str">
        <x:v>close mass output custody and destructive isolation</x:v>
      </x:c>
      <x:c r="I12" s="28" t="n">
        <x:v>8</x:v>
      </x:c>
      <x:c r="J12" s="28" t="n">
        <x:v>8</x:v>
      </x:c>
      <x:c r="K12" s="28" t="n">
        <x:v>0</x:v>
      </x:c>
      <x:c r="L12" s="30" t="str">
        <x:v>Terrain T Technology Authority</x:v>
      </x:c>
    </x:row>
    <x:row r="13">
      <x:c r="B13" s="28" t="str">
        <x:v>T07</x:v>
      </x:c>
      <x:c r="C13" s="28" t="str">
        <x:v>D</x:v>
      </x:c>
      <x:c r="D13" s="28" t="str">
        <x:v>Air</x:v>
      </x:c>
      <x:c r="E13" s="28" t="str">
        <x:v>reeled MV and robotic interface</x:v>
      </x:c>
      <x:c r="F13" s="28" t="n">
        <x:v>62</x:v>
      </x:c>
      <x:c r="G13" s="28" t="str">
        <x:v>representative tile</x:v>
      </x:c>
      <x:c r="H13" s="28" t="str">
        <x:v>close mass output custody and destructive isolation</x:v>
      </x:c>
      <x:c r="I13" s="28" t="n">
        <x:v>8</x:v>
      </x:c>
      <x:c r="J13" s="28" t="n">
        <x:v>8</x:v>
      </x:c>
      <x:c r="K13" s="28" t="n">
        <x:v>0</x:v>
      </x:c>
      <x:c r="L13" s="30" t="str">
        <x:v>Air D Technology Authority</x:v>
      </x:c>
    </x:row>
    <x:row r="14">
      <x:c r="B14" s="28" t="str">
        <x:v>T08</x:v>
      </x:c>
      <x:c r="C14" s="28" t="str">
        <x:v>D</x:v>
      </x:c>
      <x:c r="D14" s="28" t="str">
        <x:v>Terrain</x:v>
      </x:c>
      <x:c r="E14" s="28" t="str">
        <x:v>sectional MV and tracked interface</x:v>
      </x:c>
      <x:c r="F14" s="28" t="n">
        <x:v>60</x:v>
      </x:c>
      <x:c r="G14" s="28" t="str">
        <x:v>representative tile</x:v>
      </x:c>
      <x:c r="H14" s="28" t="str">
        <x:v>close mass output custody and destructive isolation</x:v>
      </x:c>
      <x:c r="I14" s="28" t="n">
        <x:v>8</x:v>
      </x:c>
      <x:c r="J14" s="28" t="n">
        <x:v>8</x:v>
      </x:c>
      <x:c r="K14" s="28" t="n">
        <x:v>0</x:v>
      </x:c>
      <x:c r="L14" s="30" t="str">
        <x:v>Terrain D Technology Authority</x:v>
      </x:c>
    </x:row>
    <x:row r="15">
      <x:c r="B15" s="28" t="str">
        <x:v>T09</x:v>
      </x:c>
      <x:c r="C15" s="28" t="str">
        <x:v>C</x:v>
      </x:c>
      <x:c r="D15" s="28" t="str">
        <x:v>Air</x:v>
      </x:c>
      <x:c r="E15" s="28" t="str">
        <x:v>optical civil-control and clinical module</x:v>
      </x:c>
      <x:c r="F15" s="28" t="n">
        <x:v>56</x:v>
      </x:c>
      <x:c r="G15" s="28" t="str">
        <x:v>representative tile</x:v>
      </x:c>
      <x:c r="H15" s="28" t="str">
        <x:v>close mass output custody and destructive isolation</x:v>
      </x:c>
      <x:c r="I15" s="28" t="n">
        <x:v>8</x:v>
      </x:c>
      <x:c r="J15" s="28" t="n">
        <x:v>8</x:v>
      </x:c>
      <x:c r="K15" s="28" t="n">
        <x:v>0</x:v>
      </x:c>
      <x:c r="L15" s="30" t="str">
        <x:v>Air C Technology Authority</x:v>
      </x:c>
    </x:row>
    <x:row r="16">
      <x:c r="B16" s="28" t="str">
        <x:v>T10</x:v>
      </x:c>
      <x:c r="C16" s="28" t="str">
        <x:v>C</x:v>
      </x:c>
      <x:c r="D16" s="28" t="str">
        <x:v>Terrain</x:v>
      </x:c>
      <x:c r="E16" s="28" t="str">
        <x:v>wired civil-control and heavy repair module</x:v>
      </x:c>
      <x:c r="F16" s="28" t="n">
        <x:v>54</x:v>
      </x:c>
      <x:c r="G16" s="28" t="str">
        <x:v>representative tile</x:v>
      </x:c>
      <x:c r="H16" s="28" t="str">
        <x:v>close mass output custody and destructive isolation</x:v>
      </x:c>
      <x:c r="I16" s="28" t="n">
        <x:v>8</x:v>
      </x:c>
      <x:c r="J16" s="28" t="n">
        <x:v>8</x:v>
      </x:c>
      <x:c r="K16" s="28" t="n">
        <x:v>0</x:v>
      </x:c>
      <x:c r="L16" s="30" t="str">
        <x:v>Terrain C Technology Authority</x:v>
      </x:c>
    </x:row>
    <x:row r="17">
      <x:c r="B17" s="28" t="str">
        <x:v>I01</x:v>
      </x:c>
      <x:c r="C17" s="28" t="str">
        <x:v>Interface</x:v>
      </x:c>
      <x:c r="D17" s="28" t="str">
        <x:v>Air</x:v>
      </x:c>
      <x:c r="E17" s="28" t="str">
        <x:v>compact saddle restraint transfer and quarantine</x:v>
      </x:c>
      <x:c r="F17" s="28" t="n">
        <x:v>46</x:v>
      </x:c>
      <x:c r="G17" s="28" t="str">
        <x:v>integration article</x:v>
      </x:c>
      <x:c r="H17" s="28" t="str">
        <x:v>close coupled boundary without shared decisive implementation</x:v>
      </x:c>
      <x:c r="I17" s="28" t="n">
        <x:v>8</x:v>
      </x:c>
      <x:c r="J17" s="28" t="n">
        <x:v>8</x:v>
      </x:c>
      <x:c r="K17" s="28" t="n">
        <x:v>0</x:v>
      </x:c>
      <x:c r="L17" s="30" t="str">
        <x:v>Interface Technology Authority</x:v>
      </x:c>
    </x:row>
    <x:row r="18">
      <x:c r="B18" s="28" t="str">
        <x:v>I02</x:v>
      </x:c>
      <x:c r="C18" s="28" t="str">
        <x:v>Interface</x:v>
      </x:c>
      <x:c r="D18" s="28" t="str">
        <x:v>Terrain</x:v>
      </x:c>
      <x:c r="E18" s="28" t="str">
        <x:v>compact saddle restraint bridge and soil coupling</x:v>
      </x:c>
      <x:c r="F18" s="28" t="n">
        <x:v>34</x:v>
      </x:c>
      <x:c r="G18" s="28" t="str">
        <x:v>integration article</x:v>
      </x:c>
      <x:c r="H18" s="28" t="str">
        <x:v>close coupled boundary without shared decisive implementation</x:v>
      </x:c>
      <x:c r="I18" s="28" t="n">
        <x:v>8</x:v>
      </x:c>
      <x:c r="J18" s="28" t="n">
        <x:v>8</x:v>
      </x:c>
      <x:c r="K18" s="28" t="n">
        <x:v>0</x:v>
      </x:c>
      <x:c r="L18" s="30" t="str">
        <x:v>Interface Technology Authority</x:v>
      </x:c>
    </x:row>
    <x:row r="19">
      <x:c r="B19" s="28" t="str">
        <x:v>I03</x:v>
      </x:c>
      <x:c r="C19" s="28" t="str">
        <x:v>Receiver</x:v>
      </x:c>
      <x:c r="D19" s="28" t="str">
        <x:v>Air</x:v>
      </x:c>
      <x:c r="E19" s="28" t="str">
        <x:v>mode-specific receiver adapter and and parallel assay</x:v>
      </x:c>
      <x:c r="F19" s="28" t="n">
        <x:v>28</x:v>
      </x:c>
      <x:c r="G19" s="28" t="str">
        <x:v>integration article</x:v>
      </x:c>
      <x:c r="H19" s="28" t="str">
        <x:v>close coupled boundary without shared decisive implementation</x:v>
      </x:c>
      <x:c r="I19" s="28" t="n">
        <x:v>8</x:v>
      </x:c>
      <x:c r="J19" s="28" t="n">
        <x:v>8</x:v>
      </x:c>
      <x:c r="K19" s="28" t="n">
        <x:v>0</x:v>
      </x:c>
      <x:c r="L19" s="30" t="str">
        <x:v>Receiver Technology Authority</x:v>
      </x:c>
    </x:row>
    <x:row r="20">
      <x:c r="B20" s="28" t="str">
        <x:v>I04</x:v>
      </x:c>
      <x:c r="C20" s="28" t="str">
        <x:v>Receiver</x:v>
      </x:c>
      <x:c r="D20" s="28" t="str">
        <x:v>Terrain</x:v>
      </x:c>
      <x:c r="E20" s="28" t="str">
        <x:v>mode-specific receiver adapter and public connection</x:v>
      </x:c>
      <x:c r="F20" s="28" t="n">
        <x:v>26</x:v>
      </x:c>
      <x:c r="G20" s="28" t="str">
        <x:v>integration article</x:v>
      </x:c>
      <x:c r="H20" s="28" t="str">
        <x:v>close coupled boundary without shared decisive implementation</x:v>
      </x:c>
      <x:c r="I20" s="28" t="n">
        <x:v>8</x:v>
      </x:c>
      <x:c r="J20" s="28" t="n">
        <x:v>8</x:v>
      </x:c>
      <x:c r="K20" s="28" t="n">
        <x:v>0</x:v>
      </x:c>
      <x:c r="L20" s="30" t="str">
        <x:v>Receiver Technology Authority</x:v>
      </x:c>
    </x:row>
    <x:row r="21">
      <x:c r="B21" s="28" t="str">
        <x:v>I05</x:v>
      </x:c>
      <x:c r="C21" s="28" t="str">
        <x:v>Control</x:v>
      </x:c>
      <x:c r="D21" s="28" t="str">
        <x:v>Both</x:v>
      </x:c>
      <x:c r="E21" s="28" t="str">
        <x:v>CUIC-1 public-state schema and offline compiler</x:v>
      </x:c>
      <x:c r="F21" s="28" t="n">
        <x:v>22</x:v>
      </x:c>
      <x:c r="G21" s="28" t="str">
        <x:v>integration article</x:v>
      </x:c>
      <x:c r="H21" s="28" t="str">
        <x:v>close coupled boundary without shared decisive implementation</x:v>
      </x:c>
      <x:c r="I21" s="28" t="n">
        <x:v>8</x:v>
      </x:c>
      <x:c r="J21" s="28" t="n">
        <x:v>8</x:v>
      </x:c>
      <x:c r="K21" s="28" t="n">
        <x:v>0</x:v>
      </x:c>
      <x:c r="L21" s="30" t="str">
        <x:v>Control Technology Authority</x:v>
      </x:c>
    </x:row>
    <x:row r="22">
      <x:c r="B22" s="28" t="str">
        <x:v>I06</x:v>
      </x:c>
      <x:c r="C22" s="28" t="str">
        <x:v>Certification</x:v>
      </x:c>
      <x:c r="D22" s="28" t="str">
        <x:v>Both</x:v>
      </x:c>
      <x:c r="E22" s="28" t="str">
        <x:v>mass and center-of-gravity digital thread</x:v>
      </x:c>
      <x:c r="F22" s="28" t="n">
        <x:v>34</x:v>
      </x:c>
      <x:c r="G22" s="28" t="str">
        <x:v>integration article</x:v>
      </x:c>
      <x:c r="H22" s="28" t="str">
        <x:v>close coupled boundary without shared decisive implementation</x:v>
      </x:c>
      <x:c r="I22" s="28" t="n">
        <x:v>8</x:v>
      </x:c>
      <x:c r="J22" s="28" t="n">
        <x:v>8</x:v>
      </x:c>
      <x:c r="K22" s="28" t="n">
        <x:v>0</x:v>
      </x:c>
      <x:c r="L22" s="30" t="str">
        <x:v>Certification Technology Authority</x:v>
      </x:c>
    </x:row>
    <x:row r="23">
      <x:c r="B23" s="28" t="str">
        <x:v>I07</x:v>
      </x:c>
      <x:c r="C23" s="28" t="str">
        <x:v>Custody</x:v>
      </x:c>
      <x:c r="D23" s="28" t="str">
        <x:v>Both</x:v>
      </x:c>
      <x:c r="E23" s="28" t="str">
        <x:v>wet inventory assay and quarantine</x:v>
      </x:c>
      <x:c r="F23" s="28" t="n">
        <x:v>32</x:v>
      </x:c>
      <x:c r="G23" s="28" t="str">
        <x:v>integration article</x:v>
      </x:c>
      <x:c r="H23" s="28" t="str">
        <x:v>close coupled boundary without shared decisive implementation</x:v>
      </x:c>
      <x:c r="I23" s="28" t="n">
        <x:v>8</x:v>
      </x:c>
      <x:c r="J23" s="28" t="n">
        <x:v>8</x:v>
      </x:c>
      <x:c r="K23" s="28" t="n">
        <x:v>0</x:v>
      </x:c>
      <x:c r="L23" s="30" t="str">
        <x:v>Custody Technology Authority</x:v>
      </x:c>
    </x:row>
    <x:row r="24">
      <x:c r="B24" s="28" t="str">
        <x:v>I08</x:v>
      </x:c>
      <x:c r="C24" s="28" t="str">
        <x:v>Safety</x:v>
      </x:c>
      <x:c r="D24" s="28" t="str">
        <x:v>Both</x:v>
      </x:c>
      <x:c r="E24" s="28" t="str">
        <x:v>multi-hazard tile isolation</x:v>
      </x:c>
      <x:c r="F24" s="28" t="n">
        <x:v>32</x:v>
      </x:c>
      <x:c r="G24" s="28" t="str">
        <x:v>integration article</x:v>
      </x:c>
      <x:c r="H24" s="28" t="str">
        <x:v>close coupled boundary without shared decisive implementation</x:v>
      </x:c>
      <x:c r="I24" s="28" t="n">
        <x:v>8</x:v>
      </x:c>
      <x:c r="J24" s="28" t="n">
        <x:v>8</x:v>
      </x:c>
      <x:c r="K24" s="28" t="n">
        <x:v>0</x:v>
      </x:c>
      <x:c r="L24" s="30" t="str">
        <x:v>Safety Technology Authority</x:v>
      </x:c>
    </x:row>
    <x:row r="25">
      <x:c r="B25" s="28" t="str">
        <x:v>I09</x:v>
      </x:c>
      <x:c r="C25" s="28" t="str">
        <x:v>Robotics</x:v>
      </x:c>
      <x:c r="D25" s="28" t="str">
        <x:v>Both</x:v>
      </x:c>
      <x:c r="E25" s="28" t="str">
        <x:v>autonomous transfer and connection</x:v>
      </x:c>
      <x:c r="F25" s="28" t="n">
        <x:v>30</x:v>
      </x:c>
      <x:c r="G25" s="28" t="str">
        <x:v>integration article</x:v>
      </x:c>
      <x:c r="H25" s="28" t="str">
        <x:v>close coupled boundary without shared decisive implementation</x:v>
      </x:c>
      <x:c r="I25" s="28" t="n">
        <x:v>8</x:v>
      </x:c>
      <x:c r="J25" s="28" t="n">
        <x:v>8</x:v>
      </x:c>
      <x:c r="K25" s="28" t="n">
        <x:v>0</x:v>
      </x:c>
      <x:c r="L25" s="30" t="str">
        <x:v>Robotics Technology Authority</x:v>
      </x:c>
    </x:row>
    <x:row r="26">
      <x:c r="B26" s="28" t="str">
        <x:v>I10</x:v>
      </x:c>
      <x:c r="C26" s="28" t="str">
        <x:v>Cyber</x:v>
      </x:c>
      <x:c r="D26" s="28" t="str">
        <x:v>Both</x:v>
      </x:c>
      <x:c r="E26" s="28" t="str">
        <x:v>offline control and recovery roots</x:v>
      </x:c>
      <x:c r="F26" s="28" t="n">
        <x:v>30</x:v>
      </x:c>
      <x:c r="G26" s="28" t="str">
        <x:v>integration article</x:v>
      </x:c>
      <x:c r="H26" s="28" t="str">
        <x:v>close coupled boundary without shared decisive implementation</x:v>
      </x:c>
      <x:c r="I26" s="28" t="n">
        <x:v>8</x:v>
      </x:c>
      <x:c r="J26" s="28" t="n">
        <x:v>8</x:v>
      </x:c>
      <x:c r="K26" s="28" t="n">
        <x:v>0</x:v>
      </x:c>
      <x:c r="L26" s="30" t="str">
        <x:v>Cyber Technology Authority</x:v>
      </x:c>
    </x:row>
    <x:row r="27">
      <x:c r="B27" s="28" t="str">
        <x:v>I11</x:v>
      </x:c>
      <x:c r="C27" s="28" t="str">
        <x:v>Metrology</x:v>
      </x:c>
      <x:c r="D27" s="28" t="str">
        <x:v>Both</x:v>
      </x:c>
      <x:c r="E27" s="28" t="str">
        <x:v>portable public-service assay</x:v>
      </x:c>
      <x:c r="F27" s="28" t="n">
        <x:v>28</x:v>
      </x:c>
      <x:c r="G27" s="28" t="str">
        <x:v>integration article</x:v>
      </x:c>
      <x:c r="H27" s="28" t="str">
        <x:v>close coupled boundary without shared decisive implementation</x:v>
      </x:c>
      <x:c r="I27" s="28" t="n">
        <x:v>8</x:v>
      </x:c>
      <x:c r="J27" s="28" t="n">
        <x:v>8</x:v>
      </x:c>
      <x:c r="K27" s="28" t="n">
        <x:v>0</x:v>
      </x:c>
      <x:c r="L27" s="30" t="str">
        <x:v>Metrology Technology Authority</x:v>
      </x:c>
    </x:row>
    <x:row r="28">
      <x:c r="B28" s="28" t="str">
        <x:v>I12</x:v>
      </x:c>
      <x:c r="C28" s="28" t="str">
        <x:v>Industry</x:v>
      </x:c>
      <x:c r="D28" s="28" t="str">
        <x:v>Both</x:v>
      </x:c>
      <x:c r="E28" s="28" t="str">
        <x:v>sub-tier ancestry mapping</x:v>
      </x:c>
      <x:c r="F28" s="28" t="n">
        <x:v>28</x:v>
      </x:c>
      <x:c r="G28" s="28" t="str">
        <x:v>integration article</x:v>
      </x:c>
      <x:c r="H28" s="28" t="str">
        <x:v>close coupled boundary without shared decisive implementation</x:v>
      </x:c>
      <x:c r="I28" s="28" t="n">
        <x:v>8</x:v>
      </x:c>
      <x:c r="J28" s="28" t="n">
        <x:v>8</x:v>
      </x:c>
      <x:c r="K28" s="28" t="n">
        <x:v>0</x:v>
      </x:c>
      <x:c r="L28" s="30" t="str">
        <x:v>Industry Technology Authority</x:v>
      </x:c>
    </x:row>
    <x:row r="29">
      <x:c r="B29" s="28" t="str">
        <x:v>I13</x:v>
      </x:c>
      <x:c r="C29" s="28" t="str">
        <x:v>Receiver</x:v>
      </x:c>
      <x:c r="D29" s="28" t="str">
        <x:v>Both</x:v>
      </x:c>
      <x:c r="E29" s="28" t="str">
        <x:v>unprepared-site civil works</x:v>
      </x:c>
      <x:c r="F29" s="28" t="n">
        <x:v>26</x:v>
      </x:c>
      <x:c r="G29" s="28" t="str">
        <x:v>integration article</x:v>
      </x:c>
      <x:c r="H29" s="28" t="str">
        <x:v>close coupled boundary without shared decisive implementation</x:v>
      </x:c>
      <x:c r="I29" s="28" t="n">
        <x:v>8</x:v>
      </x:c>
      <x:c r="J29" s="28" t="n">
        <x:v>8</x:v>
      </x:c>
      <x:c r="K29" s="28" t="n">
        <x:v>0</x:v>
      </x:c>
      <x:c r="L29" s="30" t="str">
        <x:v>Receiver Technology Authority</x:v>
      </x:c>
    </x:row>
    <x:row r="30">
      <x:c r="B30" s="28" t="str">
        <x:v>I14</x:v>
      </x:c>
      <x:c r="C30" s="28" t="str">
        <x:v>Production</x:v>
      </x:c>
      <x:c r="D30" s="28" t="str">
        <x:v>Both</x:v>
      </x:c>
      <x:c r="E30" s="28" t="str">
        <x:v>tile production and lot trace</x:v>
      </x:c>
      <x:c r="F30" s="28" t="n">
        <x:v>24</x:v>
      </x:c>
      <x:c r="G30" s="28" t="str">
        <x:v>integration article</x:v>
      </x:c>
      <x:c r="H30" s="28" t="str">
        <x:v>close coupled boundary without shared decisive implementation</x:v>
      </x:c>
      <x:c r="I30" s="28" t="n">
        <x:v>8</x:v>
      </x:c>
      <x:c r="J30" s="28" t="n">
        <x:v>8</x:v>
      </x:c>
      <x:c r="K30" s="28" t="n">
        <x:v>0</x:v>
      </x:c>
      <x:c r="L30" s="30" t="str">
        <x:v>Production Technology Authority</x:v>
      </x:c>
    </x:row>
    <x:row r="31">
      <x:c r="B31" s="28" t="str">
        <x:v>I15</x:v>
      </x:c>
      <x:c r="C31" s="28" t="str">
        <x:v>Export</x:v>
      </x:c>
      <x:c r="D31" s="28" t="str">
        <x:v>Both</x:v>
      </x:c>
      <x:c r="E31" s="28" t="str">
        <x:v>allied climate-zone variants</x:v>
      </x:c>
      <x:c r="F31" s="28" t="n">
        <x:v>20</x:v>
      </x:c>
      <x:c r="G31" s="28" t="str">
        <x:v>integration article</x:v>
      </x:c>
      <x:c r="H31" s="28" t="str">
        <x:v>close coupled boundary without shared decisive implementation</x:v>
      </x:c>
      <x:c r="I31" s="28" t="n">
        <x:v>8</x:v>
      </x:c>
      <x:c r="J31" s="28" t="n">
        <x:v>8</x:v>
      </x:c>
      <x:c r="K31" s="28" t="n">
        <x:v>0</x:v>
      </x:c>
      <x:c r="L31" s="30" t="str">
        <x:v>Export Technology Authority</x:v>
      </x:c>
    </x:row>
    <x:row r="32"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30"/>
    </x:row>
    <x:row r="33">
      <x:c r="B33" s="31" t="str">
        <x:v>Portfolio total</x:v>
      </x:c>
      <x:c r="C33" s="31" t="str"/>
      <x:c r="D33" s="31" t="str"/>
      <x:c r="E33" s="31" t="str"/>
      <x:c r="F33" s="31" t="n">
        <x:v>1050</x:v>
      </x:c>
      <x:c r="G33" s="31" t="str">
        <x:v>Campaigns</x:v>
      </x:c>
      <x:c r="H33" s="31" t="n">
        <x:v>25</x:v>
      </x:c>
      <x:c r="I33" s="31" t="str">
        <x:v>Gates</x:v>
      </x:c>
      <x:c r="J33" s="31" t="n">
        <x:v>200</x:v>
      </x:c>
      <x:c r="K33" s="31" t="str">
        <x:v>OPEN</x:v>
      </x:c>
      <x:c r="L33" s="33"/>
    </x:row>
    <x:row r="34"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</x:row>
    <x:row r="35"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</x:row>
    <x:row r="36">
      <x:c r="B36" s="46" t="str">
        <x:v>Eight-gate campaign grammar</x:v>
      </x:c>
      <x:c r="C36" s="47" t="str">
        <x:v>Eight-gate campaign grammar</x:v>
      </x:c>
      <x:c r="D36" s="47" t="str">
        <x:v>Eight-gate campaign grammar</x:v>
      </x:c>
      <x:c r="E36" s="47" t="str">
        <x:v>Eight-gate campaign grammar</x:v>
      </x:c>
      <x:c r="F36" s="47" t="str">
        <x:v>Eight-gate campaign grammar</x:v>
      </x:c>
      <x:c r="G36" s="47" t="str">
        <x:v>Eight-gate campaign grammar</x:v>
      </x:c>
      <x:c r="H36" s="47" t="str">
        <x:v>Eight-gate campaign grammar</x:v>
      </x:c>
      <x:c r="I36" s="47" t="str">
        <x:v>Eight-gate campaign grammar</x:v>
      </x:c>
      <x:c r="J36" s="47" t="str">
        <x:v>Eight-gate campaign grammar</x:v>
      </x:c>
      <x:c r="K36" s="47" t="str">
        <x:v>Eight-gate campaign grammar</x:v>
      </x:c>
      <x:c r="L36" s="48" t="str">
        <x:v>Eight-gate campaign grammar</x:v>
      </x:c>
    </x:row>
    <x:row r="37">
      <x:c r="B37" s="38" t="str">
        <x:v>G1</x:v>
      </x:c>
      <x:c r="C37" s="24" t="str">
        <x:v>burden and hazard contract</x:v>
      </x:c>
      <x:c r="D37" s="24" t="str">
        <x:v>independent review before design credit</x:v>
      </x:c>
      <x:c r="E37" s="24" t="str"/>
      <x:c r="F37" s="24" t="str"/>
      <x:c r="G37" s="24" t="str"/>
      <x:c r="H37" s="24" t="str"/>
      <x:c r="I37" s="24" t="str"/>
      <x:c r="J37" s="24" t="str"/>
      <x:c r="K37" s="24" t="str"/>
      <x:c r="L37" s="24" t="str"/>
    </x:row>
    <x:row r="38">
      <x:c r="B38" s="38" t="str">
        <x:v>G2</x:v>
      </x:c>
      <x:c r="C38" s="24" t="str">
        <x:v>material and subcomponent coupons</x:v>
      </x:c>
      <x:c r="D38" s="24" t="str">
        <x:v>destructive environmental envelope</x:v>
      </x:c>
      <x:c r="E38" s="24" t="str"/>
      <x:c r="F38" s="24" t="str"/>
      <x:c r="G38" s="24" t="str"/>
      <x:c r="H38" s="24" t="str"/>
      <x:c r="I38" s="24" t="str"/>
      <x:c r="J38" s="24" t="str"/>
      <x:c r="K38" s="24" t="str"/>
      <x:c r="L38" s="24" t="str"/>
    </x:row>
    <x:row r="39">
      <x:c r="B39" s="38" t="str">
        <x:v>G3</x:v>
      </x:c>
      <x:c r="C39" s="24" t="str">
        <x:v>representative family tile</x:v>
      </x:c>
      <x:c r="D39" s="24" t="str">
        <x:v>mass output custody and isolation</x:v>
      </x:c>
      <x:c r="E39" s="24" t="str"/>
      <x:c r="F39" s="24" t="str"/>
      <x:c r="G39" s="24" t="str"/>
      <x:c r="H39" s="24" t="str"/>
      <x:c r="I39" s="24" t="str"/>
      <x:c r="J39" s="24" t="str"/>
      <x:c r="K39" s="24" t="str"/>
      <x:c r="L39" s="24" t="str"/>
    </x:row>
    <x:row r="40">
      <x:c r="B40" s="38" t="str">
        <x:v>G4</x:v>
      </x:c>
      <x:c r="C40" s="24" t="str">
        <x:v>five-family set</x:v>
      </x:c>
      <x:c r="D40" s="24" t="str">
        <x:v>simultaneous cross-coupled operation</x:v>
      </x:c>
      <x:c r="E40" s="24" t="str"/>
      <x:c r="F40" s="24" t="str"/>
      <x:c r="G40" s="24" t="str"/>
      <x:c r="H40" s="24" t="str"/>
      <x:c r="I40" s="24" t="str"/>
      <x:c r="J40" s="24" t="str"/>
      <x:c r="K40" s="24" t="str"/>
      <x:c r="L40" s="24" t="str"/>
    </x:row>
    <x:row r="41">
      <x:c r="B41" s="38" t="str">
        <x:v>G5</x:v>
      </x:c>
      <x:c r="C41" s="24" t="str">
        <x:v>carrier integration</x:v>
      </x:c>
      <x:c r="D41" s="24" t="str">
        <x:v>restraint transfer CG structure and energy</x:v>
      </x:c>
      <x:c r="E41" s="24" t="str"/>
      <x:c r="F41" s="24" t="str"/>
      <x:c r="G41" s="24" t="str"/>
      <x:c r="H41" s="24" t="str"/>
      <x:c r="I41" s="24" t="str"/>
      <x:c r="J41" s="24" t="str"/>
      <x:c r="K41" s="24" t="str"/>
      <x:c r="L41" s="24" t="str"/>
    </x:row>
    <x:row r="42">
      <x:c r="B42" s="38" t="str">
        <x:v>G6</x:v>
      </x:c>
      <x:c r="C42" s="24" t="str">
        <x:v>receiver and public connection</x:v>
      </x:c>
      <x:c r="D42" s="24" t="str">
        <x:v>unprepared site and independent assay</x:v>
      </x:c>
      <x:c r="E42" s="24" t="str"/>
      <x:c r="F42" s="24" t="str"/>
      <x:c r="G42" s="24" t="str"/>
      <x:c r="H42" s="24" t="str"/>
      <x:c r="I42" s="24" t="str"/>
      <x:c r="J42" s="24" t="str"/>
      <x:c r="K42" s="24" t="str"/>
      <x:c r="L42" s="24" t="str"/>
    </x:row>
    <x:row r="43">
      <x:c r="B43" s="38" t="str">
        <x:v>G7</x:v>
      </x:c>
      <x:c r="C43" s="24" t="str">
        <x:v>casualty and denial</x:v>
      </x:c>
      <x:c r="D43" s="24" t="str">
        <x:v>carrier loss tile loss GNSS-network denial</x:v>
      </x:c>
      <x:c r="E43" s="24" t="str"/>
      <x:c r="F43" s="24" t="str"/>
      <x:c r="G43" s="24" t="str"/>
      <x:c r="H43" s="24" t="str"/>
      <x:c r="I43" s="24" t="str"/>
      <x:c r="J43" s="24" t="str"/>
      <x:c r="K43" s="24" t="str"/>
      <x:c r="L43" s="24" t="str"/>
    </x:row>
    <x:row r="44">
      <x:c r="B44" s="38" t="str">
        <x:v>G8</x:v>
      </x:c>
      <x:c r="C44" s="24" t="str">
        <x:v>reset production and authority</x:v>
      </x:c>
      <x:c r="D44" s="24" t="str">
        <x:v>168 h cycle lot trace and civil release</x:v>
      </x:c>
      <x:c r="E44" s="24" t="str"/>
      <x:c r="F44" s="24" t="str"/>
      <x:c r="G44" s="24" t="str"/>
      <x:c r="H44" s="24" t="str"/>
      <x:c r="I44" s="24" t="str"/>
      <x:c r="J44" s="24" t="str"/>
      <x:c r="K44" s="24" t="str"/>
      <x:c r="L44" s="24" t="str"/>
    </x:row>
  </x:sheetData>
  <x:mergeCells>
    <x:mergeCell ref="B2:H2"/>
    <x:mergeCell ref="B3:L3"/>
    <x:mergeCell ref="B36:L36"/>
  </x:mergeCells>
  <x:conditionalFormatting sqref="K7:K33">
    <x:cfRule type="containsText" dxfId="60" priority="1" operator="containsText" text="FAIL"/>
    <x:cfRule type="containsText" dxfId="61" priority="2" operator="containsText" text="PASS"/>
    <x:cfRule type="containsText" dxfId="62" priority="3" operator="containsText" text="OPEN"/>
    <x:cfRule type="containsText" dxfId="63" priority="4" operator="containsText" text="BLOCKED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5" hidden="0" customWidth="1"/>
    <x:col min="3" max="3" width="16" hidden="0" customWidth="1"/>
    <x:col min="4" max="4" width="12" hidden="0" customWidth="1"/>
    <x:col min="5" max="5" width="35" hidden="0" customWidth="1"/>
    <x:col min="6" max="6" width="32" hidden="0" customWidth="1"/>
    <x:col min="7" max="7" width="38" hidden="0" customWidth="1"/>
    <x:col min="8" max="8" width="39" hidden="0" customWidth="1"/>
    <x:col min="9" max="9" width="14" hidden="0" customWidth="1"/>
    <x:col min="10" max="10" width="12" hidden="0" customWidth="1"/>
    <x:col min="11" max="11" width="28" hidden="0" customWidth="1"/>
    <x:col min="12" max="12" width="30" hidden="0" customWidth="1"/>
  </x:cols>
  <x:sheetData>
    <x:row r="2">
      <x:c r="B2" s="43" t="str">
        <x:v>Two-hundred-gate evidence register</x:v>
      </x:c>
      <x:c r="C2" s="24"/>
      <x:c r="D2" s="24"/>
      <x:c r="E2" s="24"/>
      <x:c r="F2" s="24"/>
      <x:c r="G2" s="24"/>
      <x:c r="H2" s="24"/>
      <x:c r="I2" s="24"/>
      <x:c r="J2" s="24"/>
      <x:c r="K2" s="24"/>
      <x:c r="L2" s="24"/>
    </x:row>
    <x:row r="3">
      <x:c r="B3" s="44" t="str">
        <x:v>Every campaign begins OPEN with zero maturity credit; accepted artifacts, independent witnesses and stop conditions are required</x:v>
      </x:c>
      <x:c r="C3" s="24"/>
      <x:c r="D3" s="24"/>
      <x:c r="E3" s="24"/>
      <x:c r="F3" s="24"/>
      <x:c r="G3" s="24"/>
      <x:c r="H3" s="24"/>
      <x:c r="I3" s="24"/>
      <x:c r="J3" s="24"/>
      <x:c r="K3" s="24"/>
      <x:c r="L3" s="24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</x:row>
    <x:row r="5"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</x:row>
    <x:row r="6">
      <x:c r="B6" s="26" t="str">
        <x:v>Gate ID</x:v>
      </x:c>
      <x:c r="C6" s="27" t="str">
        <x:v>Campaign</x:v>
      </x:c>
      <x:c r="D6" s="27" t="str">
        <x:v>Stage</x:v>
      </x:c>
      <x:c r="E6" s="27" t="str">
        <x:v>Required artifact</x:v>
      </x:c>
      <x:c r="F6" s="27" t="str">
        <x:v>Witness</x:v>
      </x:c>
      <x:c r="G6" s="27" t="str">
        <x:v>Acceptance</x:v>
      </x:c>
      <x:c r="H6" s="27" t="str">
        <x:v>Stop condition</x:v>
      </x:c>
      <x:c r="I6" s="27" t="str">
        <x:v>State</x:v>
      </x:c>
      <x:c r="J6" s="27" t="str">
        <x:v>Credit</x:v>
      </x:c>
      <x:c r="K6" s="27" t="str">
        <x:v>Owner</x:v>
      </x:c>
      <x:c r="L6" s="27" t="str">
        <x:v>Repository pointer</x:v>
      </x:c>
    </x:row>
    <x:row r="7">
      <x:c r="B7" s="28" t="str">
        <x:v>C01-G1</x:v>
      </x:c>
      <x:c r="C7" s="28" t="str">
        <x:v>campaign 01</x:v>
      </x:c>
      <x:c r="D7" s="28" t="str">
        <x:v>G1</x:v>
      </x:c>
      <x:c r="E7" s="28" t="str">
        <x:v>signed test artifact for stage 1</x:v>
      </x:c>
      <x:c r="F7" s="28" t="str">
        <x:v>independent lineage and civil witness</x:v>
      </x:c>
      <x:c r="G7" s="28" t="str">
        <x:v>declared threshold closed without prohibited borrowing</x:v>
      </x:c>
      <x:c r="H7" s="28" t="str">
        <x:v>halt campaign and reopen architecture</x:v>
      </x:c>
      <x:c r="I7" s="28" t="str">
        <x:v>OPEN</x:v>
      </x:c>
      <x:c r="J7" s="28" t="n">
        <x:f>IF(I7="PASS",1,0)</x:f>
        <x:v>0</x:v>
      </x:c>
      <x:c r="K7" s="28" t="str">
        <x:v>Evidence Release Authority</x:v>
      </x:c>
      <x:c r="L7" s="30" t="str">
        <x:v>future accepted artifact</x:v>
      </x:c>
    </x:row>
    <x:row r="8">
      <x:c r="B8" s="28" t="str">
        <x:v>C01-G2</x:v>
      </x:c>
      <x:c r="C8" s="28" t="str">
        <x:v>campaign 01</x:v>
      </x:c>
      <x:c r="D8" s="28" t="str">
        <x:v>G2</x:v>
      </x:c>
      <x:c r="E8" s="28" t="str">
        <x:v>signed test artifact for stage 2</x:v>
      </x:c>
      <x:c r="F8" s="28" t="str">
        <x:v>independent lineage and civil witness</x:v>
      </x:c>
      <x:c r="G8" s="28" t="str">
        <x:v>declared threshold closed without prohibited borrowing</x:v>
      </x:c>
      <x:c r="H8" s="28" t="str">
        <x:v>halt campaign and reopen architecture</x:v>
      </x:c>
      <x:c r="I8" s="28" t="str">
        <x:v>OPEN</x:v>
      </x:c>
      <x:c r="J8" s="28" t="n">
        <x:f>IF(I8="PASS",1,0)</x:f>
        <x:v>0</x:v>
      </x:c>
      <x:c r="K8" s="28" t="str">
        <x:v>Evidence Release Authority</x:v>
      </x:c>
      <x:c r="L8" s="30" t="str">
        <x:v>future accepted artifact</x:v>
      </x:c>
    </x:row>
    <x:row r="9">
      <x:c r="B9" s="28" t="str">
        <x:v>C01-G3</x:v>
      </x:c>
      <x:c r="C9" s="28" t="str">
        <x:v>campaign 01</x:v>
      </x:c>
      <x:c r="D9" s="28" t="str">
        <x:v>G3</x:v>
      </x:c>
      <x:c r="E9" s="28" t="str">
        <x:v>signed test artifact for stage 3</x:v>
      </x:c>
      <x:c r="F9" s="28" t="str">
        <x:v>independent lineage and civil witness</x:v>
      </x:c>
      <x:c r="G9" s="28" t="str">
        <x:v>declared threshold closed without prohibited borrowing</x:v>
      </x:c>
      <x:c r="H9" s="28" t="str">
        <x:v>halt campaign and reopen architecture</x:v>
      </x:c>
      <x:c r="I9" s="28" t="str">
        <x:v>OPEN</x:v>
      </x:c>
      <x:c r="J9" s="28" t="n">
        <x:f>IF(I9="PASS",1,0)</x:f>
        <x:v>0</x:v>
      </x:c>
      <x:c r="K9" s="28" t="str">
        <x:v>Evidence Release Authority</x:v>
      </x:c>
      <x:c r="L9" s="30" t="str">
        <x:v>future accepted artifact</x:v>
      </x:c>
    </x:row>
    <x:row r="10">
      <x:c r="B10" s="28" t="str">
        <x:v>C01-G4</x:v>
      </x:c>
      <x:c r="C10" s="28" t="str">
        <x:v>campaign 01</x:v>
      </x:c>
      <x:c r="D10" s="28" t="str">
        <x:v>G4</x:v>
      </x:c>
      <x:c r="E10" s="28" t="str">
        <x:v>signed test artifact for stage 4</x:v>
      </x:c>
      <x:c r="F10" s="28" t="str">
        <x:v>independent lineage and civil witness</x:v>
      </x:c>
      <x:c r="G10" s="28" t="str">
        <x:v>declared threshold closed without prohibited borrowing</x:v>
      </x:c>
      <x:c r="H10" s="28" t="str">
        <x:v>halt campaign and reopen architecture</x:v>
      </x:c>
      <x:c r="I10" s="28" t="str">
        <x:v>OPEN</x:v>
      </x:c>
      <x:c r="J10" s="28" t="n">
        <x:f>IF(I10="PASS",1,0)</x:f>
        <x:v>0</x:v>
      </x:c>
      <x:c r="K10" s="28" t="str">
        <x:v>Evidence Release Authority</x:v>
      </x:c>
      <x:c r="L10" s="30" t="str">
        <x:v>future accepted artifact</x:v>
      </x:c>
    </x:row>
    <x:row r="11">
      <x:c r="B11" s="28" t="str">
        <x:v>C01-G5</x:v>
      </x:c>
      <x:c r="C11" s="28" t="str">
        <x:v>campaign 01</x:v>
      </x:c>
      <x:c r="D11" s="28" t="str">
        <x:v>G5</x:v>
      </x:c>
      <x:c r="E11" s="28" t="str">
        <x:v>signed test artifact for stage 5</x:v>
      </x:c>
      <x:c r="F11" s="28" t="str">
        <x:v>independent lineage and civil witness</x:v>
      </x:c>
      <x:c r="G11" s="28" t="str">
        <x:v>declared threshold closed without prohibited borrowing</x:v>
      </x:c>
      <x:c r="H11" s="28" t="str">
        <x:v>halt campaign and reopen architecture</x:v>
      </x:c>
      <x:c r="I11" s="28" t="str">
        <x:v>OPEN</x:v>
      </x:c>
      <x:c r="J11" s="28" t="n">
        <x:f>IF(I11="PASS",1,0)</x:f>
        <x:v>0</x:v>
      </x:c>
      <x:c r="K11" s="28" t="str">
        <x:v>Evidence Release Authority</x:v>
      </x:c>
      <x:c r="L11" s="30" t="str">
        <x:v>future accepted artifact</x:v>
      </x:c>
    </x:row>
    <x:row r="12">
      <x:c r="B12" s="28" t="str">
        <x:v>C01-G6</x:v>
      </x:c>
      <x:c r="C12" s="28" t="str">
        <x:v>campaign 01</x:v>
      </x:c>
      <x:c r="D12" s="28" t="str">
        <x:v>G6</x:v>
      </x:c>
      <x:c r="E12" s="28" t="str">
        <x:v>signed test artifact for stage 6</x:v>
      </x:c>
      <x:c r="F12" s="28" t="str">
        <x:v>independent lineage and civil witness</x:v>
      </x:c>
      <x:c r="G12" s="28" t="str">
        <x:v>declared threshold closed without prohibited borrowing</x:v>
      </x:c>
      <x:c r="H12" s="28" t="str">
        <x:v>halt campaign and reopen architecture</x:v>
      </x:c>
      <x:c r="I12" s="28" t="str">
        <x:v>OPEN</x:v>
      </x:c>
      <x:c r="J12" s="28" t="n">
        <x:f>IF(I12="PASS",1,0)</x:f>
        <x:v>0</x:v>
      </x:c>
      <x:c r="K12" s="28" t="str">
        <x:v>Evidence Release Authority</x:v>
      </x:c>
      <x:c r="L12" s="30" t="str">
        <x:v>future accepted artifact</x:v>
      </x:c>
    </x:row>
    <x:row r="13">
      <x:c r="B13" s="28" t="str">
        <x:v>C01-G7</x:v>
      </x:c>
      <x:c r="C13" s="28" t="str">
        <x:v>campaign 01</x:v>
      </x:c>
      <x:c r="D13" s="28" t="str">
        <x:v>G7</x:v>
      </x:c>
      <x:c r="E13" s="28" t="str">
        <x:v>signed test artifact for stage 7</x:v>
      </x:c>
      <x:c r="F13" s="28" t="str">
        <x:v>independent lineage and civil witness</x:v>
      </x:c>
      <x:c r="G13" s="28" t="str">
        <x:v>declared threshold closed without prohibited borrowing</x:v>
      </x:c>
      <x:c r="H13" s="28" t="str">
        <x:v>halt campaign and reopen architecture</x:v>
      </x:c>
      <x:c r="I13" s="28" t="str">
        <x:v>OPEN</x:v>
      </x:c>
      <x:c r="J13" s="28" t="n">
        <x:f>IF(I13="PASS",1,0)</x:f>
        <x:v>0</x:v>
      </x:c>
      <x:c r="K13" s="28" t="str">
        <x:v>Evidence Release Authority</x:v>
      </x:c>
      <x:c r="L13" s="30" t="str">
        <x:v>future accepted artifact</x:v>
      </x:c>
    </x:row>
    <x:row r="14">
      <x:c r="B14" s="28" t="str">
        <x:v>C01-G8</x:v>
      </x:c>
      <x:c r="C14" s="28" t="str">
        <x:v>campaign 01</x:v>
      </x:c>
      <x:c r="D14" s="28" t="str">
        <x:v>G8</x:v>
      </x:c>
      <x:c r="E14" s="28" t="str">
        <x:v>signed test artifact for stage 8</x:v>
      </x:c>
      <x:c r="F14" s="28" t="str">
        <x:v>independent lineage and civil witness</x:v>
      </x:c>
      <x:c r="G14" s="28" t="str">
        <x:v>declared threshold closed without prohibited borrowing</x:v>
      </x:c>
      <x:c r="H14" s="28" t="str">
        <x:v>halt campaign and reopen architecture</x:v>
      </x:c>
      <x:c r="I14" s="28" t="str">
        <x:v>OPEN</x:v>
      </x:c>
      <x:c r="J14" s="28" t="n">
        <x:f>IF(I14="PASS",1,0)</x:f>
        <x:v>0</x:v>
      </x:c>
      <x:c r="K14" s="28" t="str">
        <x:v>Evidence Release Authority</x:v>
      </x:c>
      <x:c r="L14" s="30" t="str">
        <x:v>future accepted artifact</x:v>
      </x:c>
    </x:row>
    <x:row r="15">
      <x:c r="B15" s="28" t="str">
        <x:v>C02-G1</x:v>
      </x:c>
      <x:c r="C15" s="28" t="str">
        <x:v>campaign 02</x:v>
      </x:c>
      <x:c r="D15" s="28" t="str">
        <x:v>G1</x:v>
      </x:c>
      <x:c r="E15" s="28" t="str">
        <x:v>signed test artifact for stage 1</x:v>
      </x:c>
      <x:c r="F15" s="28" t="str">
        <x:v>independent lineage and civil witness</x:v>
      </x:c>
      <x:c r="G15" s="28" t="str">
        <x:v>declared threshold closed without prohibited borrowing</x:v>
      </x:c>
      <x:c r="H15" s="28" t="str">
        <x:v>halt campaign and reopen architecture</x:v>
      </x:c>
      <x:c r="I15" s="28" t="str">
        <x:v>OPEN</x:v>
      </x:c>
      <x:c r="J15" s="28" t="n">
        <x:f>IF(I15="PASS",1,0)</x:f>
        <x:v>0</x:v>
      </x:c>
      <x:c r="K15" s="28" t="str">
        <x:v>Evidence Release Authority</x:v>
      </x:c>
      <x:c r="L15" s="30" t="str">
        <x:v>future accepted artifact</x:v>
      </x:c>
    </x:row>
    <x:row r="16">
      <x:c r="B16" s="28" t="str">
        <x:v>C02-G2</x:v>
      </x:c>
      <x:c r="C16" s="28" t="str">
        <x:v>campaign 02</x:v>
      </x:c>
      <x:c r="D16" s="28" t="str">
        <x:v>G2</x:v>
      </x:c>
      <x:c r="E16" s="28" t="str">
        <x:v>signed test artifact for stage 2</x:v>
      </x:c>
      <x:c r="F16" s="28" t="str">
        <x:v>independent lineage and civil witness</x:v>
      </x:c>
      <x:c r="G16" s="28" t="str">
        <x:v>declared threshold closed without prohibited borrowing</x:v>
      </x:c>
      <x:c r="H16" s="28" t="str">
        <x:v>halt campaign and reopen architecture</x:v>
      </x:c>
      <x:c r="I16" s="28" t="str">
        <x:v>OPEN</x:v>
      </x:c>
      <x:c r="J16" s="28" t="n">
        <x:f>IF(I16="PASS",1,0)</x:f>
        <x:v>0</x:v>
      </x:c>
      <x:c r="K16" s="28" t="str">
        <x:v>Evidence Release Authority</x:v>
      </x:c>
      <x:c r="L16" s="30" t="str">
        <x:v>future accepted artifact</x:v>
      </x:c>
    </x:row>
    <x:row r="17">
      <x:c r="B17" s="28" t="str">
        <x:v>C02-G3</x:v>
      </x:c>
      <x:c r="C17" s="28" t="str">
        <x:v>campaign 02</x:v>
      </x:c>
      <x:c r="D17" s="28" t="str">
        <x:v>G3</x:v>
      </x:c>
      <x:c r="E17" s="28" t="str">
        <x:v>signed test artifact for stage 3</x:v>
      </x:c>
      <x:c r="F17" s="28" t="str">
        <x:v>independent lineage and civil witness</x:v>
      </x:c>
      <x:c r="G17" s="28" t="str">
        <x:v>declared threshold closed without prohibited borrowing</x:v>
      </x:c>
      <x:c r="H17" s="28" t="str">
        <x:v>halt campaign and reopen architecture</x:v>
      </x:c>
      <x:c r="I17" s="28" t="str">
        <x:v>OPEN</x:v>
      </x:c>
      <x:c r="J17" s="28" t="n">
        <x:f>IF(I17="PASS",1,0)</x:f>
        <x:v>0</x:v>
      </x:c>
      <x:c r="K17" s="28" t="str">
        <x:v>Evidence Release Authority</x:v>
      </x:c>
      <x:c r="L17" s="30" t="str">
        <x:v>future accepted artifact</x:v>
      </x:c>
    </x:row>
    <x:row r="18">
      <x:c r="B18" s="28" t="str">
        <x:v>C02-G4</x:v>
      </x:c>
      <x:c r="C18" s="28" t="str">
        <x:v>campaign 02</x:v>
      </x:c>
      <x:c r="D18" s="28" t="str">
        <x:v>G4</x:v>
      </x:c>
      <x:c r="E18" s="28" t="str">
        <x:v>signed test artifact for stage 4</x:v>
      </x:c>
      <x:c r="F18" s="28" t="str">
        <x:v>independent lineage and civil witness</x:v>
      </x:c>
      <x:c r="G18" s="28" t="str">
        <x:v>declared threshold closed without prohibited borrowing</x:v>
      </x:c>
      <x:c r="H18" s="28" t="str">
        <x:v>halt campaign and reopen architecture</x:v>
      </x:c>
      <x:c r="I18" s="28" t="str">
        <x:v>OPEN</x:v>
      </x:c>
      <x:c r="J18" s="28" t="n">
        <x:f>IF(I18="PASS",1,0)</x:f>
        <x:v>0</x:v>
      </x:c>
      <x:c r="K18" s="28" t="str">
        <x:v>Evidence Release Authority</x:v>
      </x:c>
      <x:c r="L18" s="30" t="str">
        <x:v>future accepted artifact</x:v>
      </x:c>
    </x:row>
    <x:row r="19">
      <x:c r="B19" s="28" t="str">
        <x:v>C02-G5</x:v>
      </x:c>
      <x:c r="C19" s="28" t="str">
        <x:v>campaign 02</x:v>
      </x:c>
      <x:c r="D19" s="28" t="str">
        <x:v>G5</x:v>
      </x:c>
      <x:c r="E19" s="28" t="str">
        <x:v>signed test artifact for stage 5</x:v>
      </x:c>
      <x:c r="F19" s="28" t="str">
        <x:v>independent lineage and civil witness</x:v>
      </x:c>
      <x:c r="G19" s="28" t="str">
        <x:v>declared threshold closed without prohibited borrowing</x:v>
      </x:c>
      <x:c r="H19" s="28" t="str">
        <x:v>halt campaign and reopen architecture</x:v>
      </x:c>
      <x:c r="I19" s="28" t="str">
        <x:v>OPEN</x:v>
      </x:c>
      <x:c r="J19" s="28" t="n">
        <x:f>IF(I19="PASS",1,0)</x:f>
        <x:v>0</x:v>
      </x:c>
      <x:c r="K19" s="28" t="str">
        <x:v>Evidence Release Authority</x:v>
      </x:c>
      <x:c r="L19" s="30" t="str">
        <x:v>future accepted artifact</x:v>
      </x:c>
    </x:row>
    <x:row r="20">
      <x:c r="B20" s="28" t="str">
        <x:v>C02-G6</x:v>
      </x:c>
      <x:c r="C20" s="28" t="str">
        <x:v>campaign 02</x:v>
      </x:c>
      <x:c r="D20" s="28" t="str">
        <x:v>G6</x:v>
      </x:c>
      <x:c r="E20" s="28" t="str">
        <x:v>signed test artifact for stage 6</x:v>
      </x:c>
      <x:c r="F20" s="28" t="str">
        <x:v>independent lineage and civil witness</x:v>
      </x:c>
      <x:c r="G20" s="28" t="str">
        <x:v>declared threshold closed without prohibited borrowing</x:v>
      </x:c>
      <x:c r="H20" s="28" t="str">
        <x:v>halt campaign and reopen architecture</x:v>
      </x:c>
      <x:c r="I20" s="28" t="str">
        <x:v>OPEN</x:v>
      </x:c>
      <x:c r="J20" s="28" t="n">
        <x:f>IF(I20="PASS",1,0)</x:f>
        <x:v>0</x:v>
      </x:c>
      <x:c r="K20" s="28" t="str">
        <x:v>Evidence Release Authority</x:v>
      </x:c>
      <x:c r="L20" s="30" t="str">
        <x:v>future accepted artifact</x:v>
      </x:c>
    </x:row>
    <x:row r="21">
      <x:c r="B21" s="28" t="str">
        <x:v>C02-G7</x:v>
      </x:c>
      <x:c r="C21" s="28" t="str">
        <x:v>campaign 02</x:v>
      </x:c>
      <x:c r="D21" s="28" t="str">
        <x:v>G7</x:v>
      </x:c>
      <x:c r="E21" s="28" t="str">
        <x:v>signed test artifact for stage 7</x:v>
      </x:c>
      <x:c r="F21" s="28" t="str">
        <x:v>independent lineage and civil witness</x:v>
      </x:c>
      <x:c r="G21" s="28" t="str">
        <x:v>declared threshold closed without prohibited borrowing</x:v>
      </x:c>
      <x:c r="H21" s="28" t="str">
        <x:v>halt campaign and reopen architecture</x:v>
      </x:c>
      <x:c r="I21" s="28" t="str">
        <x:v>OPEN</x:v>
      </x:c>
      <x:c r="J21" s="28" t="n">
        <x:f>IF(I21="PASS",1,0)</x:f>
        <x:v>0</x:v>
      </x:c>
      <x:c r="K21" s="28" t="str">
        <x:v>Evidence Release Authority</x:v>
      </x:c>
      <x:c r="L21" s="30" t="str">
        <x:v>future accepted artifact</x:v>
      </x:c>
    </x:row>
    <x:row r="22">
      <x:c r="B22" s="28" t="str">
        <x:v>C02-G8</x:v>
      </x:c>
      <x:c r="C22" s="28" t="str">
        <x:v>campaign 02</x:v>
      </x:c>
      <x:c r="D22" s="28" t="str">
        <x:v>G8</x:v>
      </x:c>
      <x:c r="E22" s="28" t="str">
        <x:v>signed test artifact for stage 8</x:v>
      </x:c>
      <x:c r="F22" s="28" t="str">
        <x:v>independent lineage and civil witness</x:v>
      </x:c>
      <x:c r="G22" s="28" t="str">
        <x:v>declared threshold closed without prohibited borrowing</x:v>
      </x:c>
      <x:c r="H22" s="28" t="str">
        <x:v>halt campaign and reopen architecture</x:v>
      </x:c>
      <x:c r="I22" s="28" t="str">
        <x:v>OPEN</x:v>
      </x:c>
      <x:c r="J22" s="28" t="n">
        <x:f>IF(I22="PASS",1,0)</x:f>
        <x:v>0</x:v>
      </x:c>
      <x:c r="K22" s="28" t="str">
        <x:v>Evidence Release Authority</x:v>
      </x:c>
      <x:c r="L22" s="30" t="str">
        <x:v>future accepted artifact</x:v>
      </x:c>
    </x:row>
    <x:row r="23">
      <x:c r="B23" s="28" t="str">
        <x:v>C03-G1</x:v>
      </x:c>
      <x:c r="C23" s="28" t="str">
        <x:v>campaign 03</x:v>
      </x:c>
      <x:c r="D23" s="28" t="str">
        <x:v>G1</x:v>
      </x:c>
      <x:c r="E23" s="28" t="str">
        <x:v>signed test artifact for stage 1</x:v>
      </x:c>
      <x:c r="F23" s="28" t="str">
        <x:v>independent lineage and civil witness</x:v>
      </x:c>
      <x:c r="G23" s="28" t="str">
        <x:v>declared threshold closed without prohibited borrowing</x:v>
      </x:c>
      <x:c r="H23" s="28" t="str">
        <x:v>halt campaign and reopen architecture</x:v>
      </x:c>
      <x:c r="I23" s="28" t="str">
        <x:v>OPEN</x:v>
      </x:c>
      <x:c r="J23" s="28" t="n">
        <x:f>IF(I23="PASS",1,0)</x:f>
        <x:v>0</x:v>
      </x:c>
      <x:c r="K23" s="28" t="str">
        <x:v>Evidence Release Authority</x:v>
      </x:c>
      <x:c r="L23" s="30" t="str">
        <x:v>future accepted artifact</x:v>
      </x:c>
    </x:row>
    <x:row r="24">
      <x:c r="B24" s="28" t="str">
        <x:v>C03-G2</x:v>
      </x:c>
      <x:c r="C24" s="28" t="str">
        <x:v>campaign 03</x:v>
      </x:c>
      <x:c r="D24" s="28" t="str">
        <x:v>G2</x:v>
      </x:c>
      <x:c r="E24" s="28" t="str">
        <x:v>signed test artifact for stage 2</x:v>
      </x:c>
      <x:c r="F24" s="28" t="str">
        <x:v>independent lineage and civil witness</x:v>
      </x:c>
      <x:c r="G24" s="28" t="str">
        <x:v>declared threshold closed without prohibited borrowing</x:v>
      </x:c>
      <x:c r="H24" s="28" t="str">
        <x:v>halt campaign and reopen architecture</x:v>
      </x:c>
      <x:c r="I24" s="28" t="str">
        <x:v>OPEN</x:v>
      </x:c>
      <x:c r="J24" s="28" t="n">
        <x:f>IF(I24="PASS",1,0)</x:f>
        <x:v>0</x:v>
      </x:c>
      <x:c r="K24" s="28" t="str">
        <x:v>Evidence Release Authority</x:v>
      </x:c>
      <x:c r="L24" s="30" t="str">
        <x:v>future accepted artifact</x:v>
      </x:c>
    </x:row>
    <x:row r="25">
      <x:c r="B25" s="28" t="str">
        <x:v>C03-G3</x:v>
      </x:c>
      <x:c r="C25" s="28" t="str">
        <x:v>campaign 03</x:v>
      </x:c>
      <x:c r="D25" s="28" t="str">
        <x:v>G3</x:v>
      </x:c>
      <x:c r="E25" s="28" t="str">
        <x:v>signed test artifact for stage 3</x:v>
      </x:c>
      <x:c r="F25" s="28" t="str">
        <x:v>independent lineage and civil witness</x:v>
      </x:c>
      <x:c r="G25" s="28" t="str">
        <x:v>declared threshold closed without prohibited borrowing</x:v>
      </x:c>
      <x:c r="H25" s="28" t="str">
        <x:v>halt campaign and reopen architecture</x:v>
      </x:c>
      <x:c r="I25" s="28" t="str">
        <x:v>OPEN</x:v>
      </x:c>
      <x:c r="J25" s="28" t="n">
        <x:f>IF(I25="PASS",1,0)</x:f>
        <x:v>0</x:v>
      </x:c>
      <x:c r="K25" s="28" t="str">
        <x:v>Evidence Release Authority</x:v>
      </x:c>
      <x:c r="L25" s="30" t="str">
        <x:v>future accepted artifact</x:v>
      </x:c>
    </x:row>
    <x:row r="26">
      <x:c r="B26" s="28" t="str">
        <x:v>C03-G4</x:v>
      </x:c>
      <x:c r="C26" s="28" t="str">
        <x:v>campaign 03</x:v>
      </x:c>
      <x:c r="D26" s="28" t="str">
        <x:v>G4</x:v>
      </x:c>
      <x:c r="E26" s="28" t="str">
        <x:v>signed test artifact for stage 4</x:v>
      </x:c>
      <x:c r="F26" s="28" t="str">
        <x:v>independent lineage and civil witness</x:v>
      </x:c>
      <x:c r="G26" s="28" t="str">
        <x:v>declared threshold closed without prohibited borrowing</x:v>
      </x:c>
      <x:c r="H26" s="28" t="str">
        <x:v>halt campaign and reopen architecture</x:v>
      </x:c>
      <x:c r="I26" s="28" t="str">
        <x:v>OPEN</x:v>
      </x:c>
      <x:c r="J26" s="28" t="n">
        <x:f>IF(I26="PASS",1,0)</x:f>
        <x:v>0</x:v>
      </x:c>
      <x:c r="K26" s="28" t="str">
        <x:v>Evidence Release Authority</x:v>
      </x:c>
      <x:c r="L26" s="30" t="str">
        <x:v>future accepted artifact</x:v>
      </x:c>
    </x:row>
    <x:row r="27">
      <x:c r="B27" s="28" t="str">
        <x:v>C03-G5</x:v>
      </x:c>
      <x:c r="C27" s="28" t="str">
        <x:v>campaign 03</x:v>
      </x:c>
      <x:c r="D27" s="28" t="str">
        <x:v>G5</x:v>
      </x:c>
      <x:c r="E27" s="28" t="str">
        <x:v>signed test artifact for stage 5</x:v>
      </x:c>
      <x:c r="F27" s="28" t="str">
        <x:v>independent lineage and civil witness</x:v>
      </x:c>
      <x:c r="G27" s="28" t="str">
        <x:v>declared threshold closed without prohibited borrowing</x:v>
      </x:c>
      <x:c r="H27" s="28" t="str">
        <x:v>halt campaign and reopen architecture</x:v>
      </x:c>
      <x:c r="I27" s="28" t="str">
        <x:v>OPEN</x:v>
      </x:c>
      <x:c r="J27" s="28" t="n">
        <x:f>IF(I27="PASS",1,0)</x:f>
        <x:v>0</x:v>
      </x:c>
      <x:c r="K27" s="28" t="str">
        <x:v>Evidence Release Authority</x:v>
      </x:c>
      <x:c r="L27" s="30" t="str">
        <x:v>future accepted artifact</x:v>
      </x:c>
    </x:row>
    <x:row r="28">
      <x:c r="B28" s="28" t="str">
        <x:v>C03-G6</x:v>
      </x:c>
      <x:c r="C28" s="28" t="str">
        <x:v>campaign 03</x:v>
      </x:c>
      <x:c r="D28" s="28" t="str">
        <x:v>G6</x:v>
      </x:c>
      <x:c r="E28" s="28" t="str">
        <x:v>signed test artifact for stage 6</x:v>
      </x:c>
      <x:c r="F28" s="28" t="str">
        <x:v>independent lineage and civil witness</x:v>
      </x:c>
      <x:c r="G28" s="28" t="str">
        <x:v>declared threshold closed without prohibited borrowing</x:v>
      </x:c>
      <x:c r="H28" s="28" t="str">
        <x:v>halt campaign and reopen architecture</x:v>
      </x:c>
      <x:c r="I28" s="28" t="str">
        <x:v>OPEN</x:v>
      </x:c>
      <x:c r="J28" s="28" t="n">
        <x:f>IF(I28="PASS",1,0)</x:f>
        <x:v>0</x:v>
      </x:c>
      <x:c r="K28" s="28" t="str">
        <x:v>Evidence Release Authority</x:v>
      </x:c>
      <x:c r="L28" s="30" t="str">
        <x:v>future accepted artifact</x:v>
      </x:c>
    </x:row>
    <x:row r="29">
      <x:c r="B29" s="28" t="str">
        <x:v>C03-G7</x:v>
      </x:c>
      <x:c r="C29" s="28" t="str">
        <x:v>campaign 03</x:v>
      </x:c>
      <x:c r="D29" s="28" t="str">
        <x:v>G7</x:v>
      </x:c>
      <x:c r="E29" s="28" t="str">
        <x:v>signed test artifact for stage 7</x:v>
      </x:c>
      <x:c r="F29" s="28" t="str">
        <x:v>independent lineage and civil witness</x:v>
      </x:c>
      <x:c r="G29" s="28" t="str">
        <x:v>declared threshold closed without prohibited borrowing</x:v>
      </x:c>
      <x:c r="H29" s="28" t="str">
        <x:v>halt campaign and reopen architecture</x:v>
      </x:c>
      <x:c r="I29" s="28" t="str">
        <x:v>OPEN</x:v>
      </x:c>
      <x:c r="J29" s="28" t="n">
        <x:f>IF(I29="PASS",1,0)</x:f>
        <x:v>0</x:v>
      </x:c>
      <x:c r="K29" s="28" t="str">
        <x:v>Evidence Release Authority</x:v>
      </x:c>
      <x:c r="L29" s="30" t="str">
        <x:v>future accepted artifact</x:v>
      </x:c>
    </x:row>
    <x:row r="30">
      <x:c r="B30" s="28" t="str">
        <x:v>C03-G8</x:v>
      </x:c>
      <x:c r="C30" s="28" t="str">
        <x:v>campaign 03</x:v>
      </x:c>
      <x:c r="D30" s="28" t="str">
        <x:v>G8</x:v>
      </x:c>
      <x:c r="E30" s="28" t="str">
        <x:v>signed test artifact for stage 8</x:v>
      </x:c>
      <x:c r="F30" s="28" t="str">
        <x:v>independent lineage and civil witness</x:v>
      </x:c>
      <x:c r="G30" s="28" t="str">
        <x:v>declared threshold closed without prohibited borrowing</x:v>
      </x:c>
      <x:c r="H30" s="28" t="str">
        <x:v>halt campaign and reopen architecture</x:v>
      </x:c>
      <x:c r="I30" s="28" t="str">
        <x:v>OPEN</x:v>
      </x:c>
      <x:c r="J30" s="28" t="n">
        <x:f>IF(I30="PASS",1,0)</x:f>
        <x:v>0</x:v>
      </x:c>
      <x:c r="K30" s="28" t="str">
        <x:v>Evidence Release Authority</x:v>
      </x:c>
      <x:c r="L30" s="30" t="str">
        <x:v>future accepted artifact</x:v>
      </x:c>
    </x:row>
    <x:row r="31">
      <x:c r="B31" s="28" t="str">
        <x:v>C04-G1</x:v>
      </x:c>
      <x:c r="C31" s="28" t="str">
        <x:v>campaign 04</x:v>
      </x:c>
      <x:c r="D31" s="28" t="str">
        <x:v>G1</x:v>
      </x:c>
      <x:c r="E31" s="28" t="str">
        <x:v>signed test artifact for stage 1</x:v>
      </x:c>
      <x:c r="F31" s="28" t="str">
        <x:v>independent lineage and civil witness</x:v>
      </x:c>
      <x:c r="G31" s="28" t="str">
        <x:v>declared threshold closed without prohibited borrowing</x:v>
      </x:c>
      <x:c r="H31" s="28" t="str">
        <x:v>halt campaign and reopen architecture</x:v>
      </x:c>
      <x:c r="I31" s="28" t="str">
        <x:v>OPEN</x:v>
      </x:c>
      <x:c r="J31" s="28" t="n">
        <x:f>IF(I31="PASS",1,0)</x:f>
        <x:v>0</x:v>
      </x:c>
      <x:c r="K31" s="28" t="str">
        <x:v>Evidence Release Authority</x:v>
      </x:c>
      <x:c r="L31" s="30" t="str">
        <x:v>future accepted artifact</x:v>
      </x:c>
    </x:row>
    <x:row r="32">
      <x:c r="B32" s="28" t="str">
        <x:v>C04-G2</x:v>
      </x:c>
      <x:c r="C32" s="28" t="str">
        <x:v>campaign 04</x:v>
      </x:c>
      <x:c r="D32" s="28" t="str">
        <x:v>G2</x:v>
      </x:c>
      <x:c r="E32" s="28" t="str">
        <x:v>signed test artifact for stage 2</x:v>
      </x:c>
      <x:c r="F32" s="28" t="str">
        <x:v>independent lineage and civil witness</x:v>
      </x:c>
      <x:c r="G32" s="28" t="str">
        <x:v>declared threshold closed without prohibited borrowing</x:v>
      </x:c>
      <x:c r="H32" s="28" t="str">
        <x:v>halt campaign and reopen architecture</x:v>
      </x:c>
      <x:c r="I32" s="28" t="str">
        <x:v>OPEN</x:v>
      </x:c>
      <x:c r="J32" s="28" t="n">
        <x:f>IF(I32="PASS",1,0)</x:f>
        <x:v>0</x:v>
      </x:c>
      <x:c r="K32" s="28" t="str">
        <x:v>Evidence Release Authority</x:v>
      </x:c>
      <x:c r="L32" s="30" t="str">
        <x:v>future accepted artifact</x:v>
      </x:c>
    </x:row>
    <x:row r="33">
      <x:c r="B33" s="28" t="str">
        <x:v>C04-G3</x:v>
      </x:c>
      <x:c r="C33" s="28" t="str">
        <x:v>campaign 04</x:v>
      </x:c>
      <x:c r="D33" s="28" t="str">
        <x:v>G3</x:v>
      </x:c>
      <x:c r="E33" s="28" t="str">
        <x:v>signed test artifact for stage 3</x:v>
      </x:c>
      <x:c r="F33" s="28" t="str">
        <x:v>independent lineage and civil witness</x:v>
      </x:c>
      <x:c r="G33" s="28" t="str">
        <x:v>declared threshold closed without prohibited borrowing</x:v>
      </x:c>
      <x:c r="H33" s="28" t="str">
        <x:v>halt campaign and reopen architecture</x:v>
      </x:c>
      <x:c r="I33" s="28" t="str">
        <x:v>OPEN</x:v>
      </x:c>
      <x:c r="J33" s="28" t="n">
        <x:f>IF(I33="PASS",1,0)</x:f>
        <x:v>0</x:v>
      </x:c>
      <x:c r="K33" s="28" t="str">
        <x:v>Evidence Release Authority</x:v>
      </x:c>
      <x:c r="L33" s="30" t="str">
        <x:v>future accepted artifact</x:v>
      </x:c>
    </x:row>
    <x:row r="34">
      <x:c r="B34" s="28" t="str">
        <x:v>C04-G4</x:v>
      </x:c>
      <x:c r="C34" s="28" t="str">
        <x:v>campaign 04</x:v>
      </x:c>
      <x:c r="D34" s="28" t="str">
        <x:v>G4</x:v>
      </x:c>
      <x:c r="E34" s="28" t="str">
        <x:v>signed test artifact for stage 4</x:v>
      </x:c>
      <x:c r="F34" s="28" t="str">
        <x:v>independent lineage and civil witness</x:v>
      </x:c>
      <x:c r="G34" s="28" t="str">
        <x:v>declared threshold closed without prohibited borrowing</x:v>
      </x:c>
      <x:c r="H34" s="28" t="str">
        <x:v>halt campaign and reopen architecture</x:v>
      </x:c>
      <x:c r="I34" s="28" t="str">
        <x:v>OPEN</x:v>
      </x:c>
      <x:c r="J34" s="28" t="n">
        <x:f>IF(I34="PASS",1,0)</x:f>
        <x:v>0</x:v>
      </x:c>
      <x:c r="K34" s="28" t="str">
        <x:v>Evidence Release Authority</x:v>
      </x:c>
      <x:c r="L34" s="30" t="str">
        <x:v>future accepted artifact</x:v>
      </x:c>
    </x:row>
    <x:row r="35">
      <x:c r="B35" s="28" t="str">
        <x:v>C04-G5</x:v>
      </x:c>
      <x:c r="C35" s="28" t="str">
        <x:v>campaign 04</x:v>
      </x:c>
      <x:c r="D35" s="28" t="str">
        <x:v>G5</x:v>
      </x:c>
      <x:c r="E35" s="28" t="str">
        <x:v>signed test artifact for stage 5</x:v>
      </x:c>
      <x:c r="F35" s="28" t="str">
        <x:v>independent lineage and civil witness</x:v>
      </x:c>
      <x:c r="G35" s="28" t="str">
        <x:v>declared threshold closed without prohibited borrowing</x:v>
      </x:c>
      <x:c r="H35" s="28" t="str">
        <x:v>halt campaign and reopen architecture</x:v>
      </x:c>
      <x:c r="I35" s="28" t="str">
        <x:v>OPEN</x:v>
      </x:c>
      <x:c r="J35" s="28" t="n">
        <x:f>IF(I35="PASS",1,0)</x:f>
        <x:v>0</x:v>
      </x:c>
      <x:c r="K35" s="28" t="str">
        <x:v>Evidence Release Authority</x:v>
      </x:c>
      <x:c r="L35" s="30" t="str">
        <x:v>future accepted artifact</x:v>
      </x:c>
    </x:row>
    <x:row r="36">
      <x:c r="B36" s="28" t="str">
        <x:v>C04-G6</x:v>
      </x:c>
      <x:c r="C36" s="28" t="str">
        <x:v>campaign 04</x:v>
      </x:c>
      <x:c r="D36" s="28" t="str">
        <x:v>G6</x:v>
      </x:c>
      <x:c r="E36" s="28" t="str">
        <x:v>signed test artifact for stage 6</x:v>
      </x:c>
      <x:c r="F36" s="28" t="str">
        <x:v>independent lineage and civil witness</x:v>
      </x:c>
      <x:c r="G36" s="28" t="str">
        <x:v>declared threshold closed without prohibited borrowing</x:v>
      </x:c>
      <x:c r="H36" s="28" t="str">
        <x:v>halt campaign and reopen architecture</x:v>
      </x:c>
      <x:c r="I36" s="28" t="str">
        <x:v>OPEN</x:v>
      </x:c>
      <x:c r="J36" s="28" t="n">
        <x:f>IF(I36="PASS",1,0)</x:f>
        <x:v>0</x:v>
      </x:c>
      <x:c r="K36" s="28" t="str">
        <x:v>Evidence Release Authority</x:v>
      </x:c>
      <x:c r="L36" s="30" t="str">
        <x:v>future accepted artifact</x:v>
      </x:c>
    </x:row>
    <x:row r="37">
      <x:c r="B37" s="28" t="str">
        <x:v>C04-G7</x:v>
      </x:c>
      <x:c r="C37" s="28" t="str">
        <x:v>campaign 04</x:v>
      </x:c>
      <x:c r="D37" s="28" t="str">
        <x:v>G7</x:v>
      </x:c>
      <x:c r="E37" s="28" t="str">
        <x:v>signed test artifact for stage 7</x:v>
      </x:c>
      <x:c r="F37" s="28" t="str">
        <x:v>independent lineage and civil witness</x:v>
      </x:c>
      <x:c r="G37" s="28" t="str">
        <x:v>declared threshold closed without prohibited borrowing</x:v>
      </x:c>
      <x:c r="H37" s="28" t="str">
        <x:v>halt campaign and reopen architecture</x:v>
      </x:c>
      <x:c r="I37" s="28" t="str">
        <x:v>OPEN</x:v>
      </x:c>
      <x:c r="J37" s="28" t="n">
        <x:f>IF(I37="PASS",1,0)</x:f>
        <x:v>0</x:v>
      </x:c>
      <x:c r="K37" s="28" t="str">
        <x:v>Evidence Release Authority</x:v>
      </x:c>
      <x:c r="L37" s="30" t="str">
        <x:v>future accepted artifact</x:v>
      </x:c>
    </x:row>
    <x:row r="38">
      <x:c r="B38" s="28" t="str">
        <x:v>C04-G8</x:v>
      </x:c>
      <x:c r="C38" s="28" t="str">
        <x:v>campaign 04</x:v>
      </x:c>
      <x:c r="D38" s="28" t="str">
        <x:v>G8</x:v>
      </x:c>
      <x:c r="E38" s="28" t="str">
        <x:v>signed test artifact for stage 8</x:v>
      </x:c>
      <x:c r="F38" s="28" t="str">
        <x:v>independent lineage and civil witness</x:v>
      </x:c>
      <x:c r="G38" s="28" t="str">
        <x:v>declared threshold closed without prohibited borrowing</x:v>
      </x:c>
      <x:c r="H38" s="28" t="str">
        <x:v>halt campaign and reopen architecture</x:v>
      </x:c>
      <x:c r="I38" s="28" t="str">
        <x:v>OPEN</x:v>
      </x:c>
      <x:c r="J38" s="28" t="n">
        <x:f>IF(I38="PASS",1,0)</x:f>
        <x:v>0</x:v>
      </x:c>
      <x:c r="K38" s="28" t="str">
        <x:v>Evidence Release Authority</x:v>
      </x:c>
      <x:c r="L38" s="30" t="str">
        <x:v>future accepted artifact</x:v>
      </x:c>
    </x:row>
    <x:row r="39">
      <x:c r="B39" s="28" t="str">
        <x:v>C05-G1</x:v>
      </x:c>
      <x:c r="C39" s="28" t="str">
        <x:v>campaign 05</x:v>
      </x:c>
      <x:c r="D39" s="28" t="str">
        <x:v>G1</x:v>
      </x:c>
      <x:c r="E39" s="28" t="str">
        <x:v>signed test artifact for stage 1</x:v>
      </x:c>
      <x:c r="F39" s="28" t="str">
        <x:v>independent lineage and civil witness</x:v>
      </x:c>
      <x:c r="G39" s="28" t="str">
        <x:v>declared threshold closed without prohibited borrowing</x:v>
      </x:c>
      <x:c r="H39" s="28" t="str">
        <x:v>halt campaign and reopen architecture</x:v>
      </x:c>
      <x:c r="I39" s="28" t="str">
        <x:v>OPEN</x:v>
      </x:c>
      <x:c r="J39" s="28" t="n">
        <x:f>IF(I39="PASS",1,0)</x:f>
        <x:v>0</x:v>
      </x:c>
      <x:c r="K39" s="28" t="str">
        <x:v>Evidence Release Authority</x:v>
      </x:c>
      <x:c r="L39" s="30" t="str">
        <x:v>future accepted artifact</x:v>
      </x:c>
    </x:row>
    <x:row r="40">
      <x:c r="B40" s="28" t="str">
        <x:v>C05-G2</x:v>
      </x:c>
      <x:c r="C40" s="28" t="str">
        <x:v>campaign 05</x:v>
      </x:c>
      <x:c r="D40" s="28" t="str">
        <x:v>G2</x:v>
      </x:c>
      <x:c r="E40" s="28" t="str">
        <x:v>signed test artifact for stage 2</x:v>
      </x:c>
      <x:c r="F40" s="28" t="str">
        <x:v>independent lineage and civil witness</x:v>
      </x:c>
      <x:c r="G40" s="28" t="str">
        <x:v>declared threshold closed without prohibited borrowing</x:v>
      </x:c>
      <x:c r="H40" s="28" t="str">
        <x:v>halt campaign and reopen architecture</x:v>
      </x:c>
      <x:c r="I40" s="28" t="str">
        <x:v>OPEN</x:v>
      </x:c>
      <x:c r="J40" s="28" t="n">
        <x:f>IF(I40="PASS",1,0)</x:f>
        <x:v>0</x:v>
      </x:c>
      <x:c r="K40" s="28" t="str">
        <x:v>Evidence Release Authority</x:v>
      </x:c>
      <x:c r="L40" s="30" t="str">
        <x:v>future accepted artifact</x:v>
      </x:c>
    </x:row>
    <x:row r="41">
      <x:c r="B41" s="28" t="str">
        <x:v>C05-G3</x:v>
      </x:c>
      <x:c r="C41" s="28" t="str">
        <x:v>campaign 05</x:v>
      </x:c>
      <x:c r="D41" s="28" t="str">
        <x:v>G3</x:v>
      </x:c>
      <x:c r="E41" s="28" t="str">
        <x:v>signed test artifact for stage 3</x:v>
      </x:c>
      <x:c r="F41" s="28" t="str">
        <x:v>independent lineage and civil witness</x:v>
      </x:c>
      <x:c r="G41" s="28" t="str">
        <x:v>declared threshold closed without prohibited borrowing</x:v>
      </x:c>
      <x:c r="H41" s="28" t="str">
        <x:v>halt campaign and reopen architecture</x:v>
      </x:c>
      <x:c r="I41" s="28" t="str">
        <x:v>OPEN</x:v>
      </x:c>
      <x:c r="J41" s="28" t="n">
        <x:f>IF(I41="PASS",1,0)</x:f>
        <x:v>0</x:v>
      </x:c>
      <x:c r="K41" s="28" t="str">
        <x:v>Evidence Release Authority</x:v>
      </x:c>
      <x:c r="L41" s="30" t="str">
        <x:v>future accepted artifact</x:v>
      </x:c>
    </x:row>
    <x:row r="42">
      <x:c r="B42" s="28" t="str">
        <x:v>C05-G4</x:v>
      </x:c>
      <x:c r="C42" s="28" t="str">
        <x:v>campaign 05</x:v>
      </x:c>
      <x:c r="D42" s="28" t="str">
        <x:v>G4</x:v>
      </x:c>
      <x:c r="E42" s="28" t="str">
        <x:v>signed test artifact for stage 4</x:v>
      </x:c>
      <x:c r="F42" s="28" t="str">
        <x:v>independent lineage and civil witness</x:v>
      </x:c>
      <x:c r="G42" s="28" t="str">
        <x:v>declared threshold closed without prohibited borrowing</x:v>
      </x:c>
      <x:c r="H42" s="28" t="str">
        <x:v>halt campaign and reopen architecture</x:v>
      </x:c>
      <x:c r="I42" s="28" t="str">
        <x:v>OPEN</x:v>
      </x:c>
      <x:c r="J42" s="28" t="n">
        <x:f>IF(I42="PASS",1,0)</x:f>
        <x:v>0</x:v>
      </x:c>
      <x:c r="K42" s="28" t="str">
        <x:v>Evidence Release Authority</x:v>
      </x:c>
      <x:c r="L42" s="30" t="str">
        <x:v>future accepted artifact</x:v>
      </x:c>
    </x:row>
    <x:row r="43">
      <x:c r="B43" s="28" t="str">
        <x:v>C05-G5</x:v>
      </x:c>
      <x:c r="C43" s="28" t="str">
        <x:v>campaign 05</x:v>
      </x:c>
      <x:c r="D43" s="28" t="str">
        <x:v>G5</x:v>
      </x:c>
      <x:c r="E43" s="28" t="str">
        <x:v>signed test artifact for stage 5</x:v>
      </x:c>
      <x:c r="F43" s="28" t="str">
        <x:v>independent lineage and civil witness</x:v>
      </x:c>
      <x:c r="G43" s="28" t="str">
        <x:v>declared threshold closed without prohibited borrowing</x:v>
      </x:c>
      <x:c r="H43" s="28" t="str">
        <x:v>halt campaign and reopen architecture</x:v>
      </x:c>
      <x:c r="I43" s="28" t="str">
        <x:v>OPEN</x:v>
      </x:c>
      <x:c r="J43" s="28" t="n">
        <x:f>IF(I43="PASS",1,0)</x:f>
        <x:v>0</x:v>
      </x:c>
      <x:c r="K43" s="28" t="str">
        <x:v>Evidence Release Authority</x:v>
      </x:c>
      <x:c r="L43" s="30" t="str">
        <x:v>future accepted artifact</x:v>
      </x:c>
    </x:row>
    <x:row r="44">
      <x:c r="B44" s="28" t="str">
        <x:v>C05-G6</x:v>
      </x:c>
      <x:c r="C44" s="28" t="str">
        <x:v>campaign 05</x:v>
      </x:c>
      <x:c r="D44" s="28" t="str">
        <x:v>G6</x:v>
      </x:c>
      <x:c r="E44" s="28" t="str">
        <x:v>signed test artifact for stage 6</x:v>
      </x:c>
      <x:c r="F44" s="28" t="str">
        <x:v>independent lineage and civil witness</x:v>
      </x:c>
      <x:c r="G44" s="28" t="str">
        <x:v>declared threshold closed without prohibited borrowing</x:v>
      </x:c>
      <x:c r="H44" s="28" t="str">
        <x:v>halt campaign and reopen architecture</x:v>
      </x:c>
      <x:c r="I44" s="28" t="str">
        <x:v>OPEN</x:v>
      </x:c>
      <x:c r="J44" s="28" t="n">
        <x:f>IF(I44="PASS",1,0)</x:f>
        <x:v>0</x:v>
      </x:c>
      <x:c r="K44" s="28" t="str">
        <x:v>Evidence Release Authority</x:v>
      </x:c>
      <x:c r="L44" s="30" t="str">
        <x:v>future accepted artifact</x:v>
      </x:c>
    </x:row>
    <x:row r="45">
      <x:c r="B45" s="28" t="str">
        <x:v>C05-G7</x:v>
      </x:c>
      <x:c r="C45" s="28" t="str">
        <x:v>campaign 05</x:v>
      </x:c>
      <x:c r="D45" s="28" t="str">
        <x:v>G7</x:v>
      </x:c>
      <x:c r="E45" s="28" t="str">
        <x:v>signed test artifact for stage 7</x:v>
      </x:c>
      <x:c r="F45" s="28" t="str">
        <x:v>independent lineage and civil witness</x:v>
      </x:c>
      <x:c r="G45" s="28" t="str">
        <x:v>declared threshold closed without prohibited borrowing</x:v>
      </x:c>
      <x:c r="H45" s="28" t="str">
        <x:v>halt campaign and reopen architecture</x:v>
      </x:c>
      <x:c r="I45" s="28" t="str">
        <x:v>OPEN</x:v>
      </x:c>
      <x:c r="J45" s="28" t="n">
        <x:f>IF(I45="PASS",1,0)</x:f>
        <x:v>0</x:v>
      </x:c>
      <x:c r="K45" s="28" t="str">
        <x:v>Evidence Release Authority</x:v>
      </x:c>
      <x:c r="L45" s="30" t="str">
        <x:v>future accepted artifact</x:v>
      </x:c>
    </x:row>
    <x:row r="46">
      <x:c r="B46" s="28" t="str">
        <x:v>C05-G8</x:v>
      </x:c>
      <x:c r="C46" s="28" t="str">
        <x:v>campaign 05</x:v>
      </x:c>
      <x:c r="D46" s="28" t="str">
        <x:v>G8</x:v>
      </x:c>
      <x:c r="E46" s="28" t="str">
        <x:v>signed test artifact for stage 8</x:v>
      </x:c>
      <x:c r="F46" s="28" t="str">
        <x:v>independent lineage and civil witness</x:v>
      </x:c>
      <x:c r="G46" s="28" t="str">
        <x:v>declared threshold closed without prohibited borrowing</x:v>
      </x:c>
      <x:c r="H46" s="28" t="str">
        <x:v>halt campaign and reopen architecture</x:v>
      </x:c>
      <x:c r="I46" s="28" t="str">
        <x:v>OPEN</x:v>
      </x:c>
      <x:c r="J46" s="28" t="n">
        <x:f>IF(I46="PASS",1,0)</x:f>
        <x:v>0</x:v>
      </x:c>
      <x:c r="K46" s="28" t="str">
        <x:v>Evidence Release Authority</x:v>
      </x:c>
      <x:c r="L46" s="30" t="str">
        <x:v>future accepted artifact</x:v>
      </x:c>
    </x:row>
    <x:row r="47">
      <x:c r="B47" s="28" t="str">
        <x:v>C06-G1</x:v>
      </x:c>
      <x:c r="C47" s="28" t="str">
        <x:v>campaign 06</x:v>
      </x:c>
      <x:c r="D47" s="28" t="str">
        <x:v>G1</x:v>
      </x:c>
      <x:c r="E47" s="28" t="str">
        <x:v>signed test artifact for stage 1</x:v>
      </x:c>
      <x:c r="F47" s="28" t="str">
        <x:v>independent lineage and civil witness</x:v>
      </x:c>
      <x:c r="G47" s="28" t="str">
        <x:v>declared threshold closed without prohibited borrowing</x:v>
      </x:c>
      <x:c r="H47" s="28" t="str">
        <x:v>halt campaign and reopen architecture</x:v>
      </x:c>
      <x:c r="I47" s="28" t="str">
        <x:v>OPEN</x:v>
      </x:c>
      <x:c r="J47" s="28" t="n">
        <x:f>IF(I47="PASS",1,0)</x:f>
        <x:v>0</x:v>
      </x:c>
      <x:c r="K47" s="28" t="str">
        <x:v>Evidence Release Authority</x:v>
      </x:c>
      <x:c r="L47" s="30" t="str">
        <x:v>future accepted artifact</x:v>
      </x:c>
    </x:row>
    <x:row r="48">
      <x:c r="B48" s="28" t="str">
        <x:v>C06-G2</x:v>
      </x:c>
      <x:c r="C48" s="28" t="str">
        <x:v>campaign 06</x:v>
      </x:c>
      <x:c r="D48" s="28" t="str">
        <x:v>G2</x:v>
      </x:c>
      <x:c r="E48" s="28" t="str">
        <x:v>signed test artifact for stage 2</x:v>
      </x:c>
      <x:c r="F48" s="28" t="str">
        <x:v>independent lineage and civil witness</x:v>
      </x:c>
      <x:c r="G48" s="28" t="str">
        <x:v>declared threshold closed without prohibited borrowing</x:v>
      </x:c>
      <x:c r="H48" s="28" t="str">
        <x:v>halt campaign and reopen architecture</x:v>
      </x:c>
      <x:c r="I48" s="28" t="str">
        <x:v>OPEN</x:v>
      </x:c>
      <x:c r="J48" s="28" t="n">
        <x:f>IF(I48="PASS",1,0)</x:f>
        <x:v>0</x:v>
      </x:c>
      <x:c r="K48" s="28" t="str">
        <x:v>Evidence Release Authority</x:v>
      </x:c>
      <x:c r="L48" s="30" t="str">
        <x:v>future accepted artifact</x:v>
      </x:c>
    </x:row>
    <x:row r="49">
      <x:c r="B49" s="28" t="str">
        <x:v>C06-G3</x:v>
      </x:c>
      <x:c r="C49" s="28" t="str">
        <x:v>campaign 06</x:v>
      </x:c>
      <x:c r="D49" s="28" t="str">
        <x:v>G3</x:v>
      </x:c>
      <x:c r="E49" s="28" t="str">
        <x:v>signed test artifact for stage 3</x:v>
      </x:c>
      <x:c r="F49" s="28" t="str">
        <x:v>independent lineage and civil witness</x:v>
      </x:c>
      <x:c r="G49" s="28" t="str">
        <x:v>declared threshold closed without prohibited borrowing</x:v>
      </x:c>
      <x:c r="H49" s="28" t="str">
        <x:v>halt campaign and reopen architecture</x:v>
      </x:c>
      <x:c r="I49" s="28" t="str">
        <x:v>OPEN</x:v>
      </x:c>
      <x:c r="J49" s="28" t="n">
        <x:f>IF(I49="PASS",1,0)</x:f>
        <x:v>0</x:v>
      </x:c>
      <x:c r="K49" s="28" t="str">
        <x:v>Evidence Release Authority</x:v>
      </x:c>
      <x:c r="L49" s="30" t="str">
        <x:v>future accepted artifact</x:v>
      </x:c>
    </x:row>
    <x:row r="50">
      <x:c r="B50" s="28" t="str">
        <x:v>C06-G4</x:v>
      </x:c>
      <x:c r="C50" s="28" t="str">
        <x:v>campaign 06</x:v>
      </x:c>
      <x:c r="D50" s="28" t="str">
        <x:v>G4</x:v>
      </x:c>
      <x:c r="E50" s="28" t="str">
        <x:v>signed test artifact for stage 4</x:v>
      </x:c>
      <x:c r="F50" s="28" t="str">
        <x:v>independent lineage and civil witness</x:v>
      </x:c>
      <x:c r="G50" s="28" t="str">
        <x:v>declared threshold closed without prohibited borrowing</x:v>
      </x:c>
      <x:c r="H50" s="28" t="str">
        <x:v>halt campaign and reopen architecture</x:v>
      </x:c>
      <x:c r="I50" s="28" t="str">
        <x:v>OPEN</x:v>
      </x:c>
      <x:c r="J50" s="28" t="n">
        <x:f>IF(I50="PASS",1,0)</x:f>
        <x:v>0</x:v>
      </x:c>
      <x:c r="K50" s="28" t="str">
        <x:v>Evidence Release Authority</x:v>
      </x:c>
      <x:c r="L50" s="30" t="str">
        <x:v>future accepted artifact</x:v>
      </x:c>
    </x:row>
    <x:row r="51">
      <x:c r="B51" s="28" t="str">
        <x:v>C06-G5</x:v>
      </x:c>
      <x:c r="C51" s="28" t="str">
        <x:v>campaign 06</x:v>
      </x:c>
      <x:c r="D51" s="28" t="str">
        <x:v>G5</x:v>
      </x:c>
      <x:c r="E51" s="28" t="str">
        <x:v>signed test artifact for stage 5</x:v>
      </x:c>
      <x:c r="F51" s="28" t="str">
        <x:v>independent lineage and civil witness</x:v>
      </x:c>
      <x:c r="G51" s="28" t="str">
        <x:v>declared threshold closed without prohibited borrowing</x:v>
      </x:c>
      <x:c r="H51" s="28" t="str">
        <x:v>halt campaign and reopen architecture</x:v>
      </x:c>
      <x:c r="I51" s="28" t="str">
        <x:v>OPEN</x:v>
      </x:c>
      <x:c r="J51" s="28" t="n">
        <x:f>IF(I51="PASS",1,0)</x:f>
        <x:v>0</x:v>
      </x:c>
      <x:c r="K51" s="28" t="str">
        <x:v>Evidence Release Authority</x:v>
      </x:c>
      <x:c r="L51" s="30" t="str">
        <x:v>future accepted artifact</x:v>
      </x:c>
    </x:row>
    <x:row r="52">
      <x:c r="B52" s="28" t="str">
        <x:v>C06-G6</x:v>
      </x:c>
      <x:c r="C52" s="28" t="str">
        <x:v>campaign 06</x:v>
      </x:c>
      <x:c r="D52" s="28" t="str">
        <x:v>G6</x:v>
      </x:c>
      <x:c r="E52" s="28" t="str">
        <x:v>signed test artifact for stage 6</x:v>
      </x:c>
      <x:c r="F52" s="28" t="str">
        <x:v>independent lineage and civil witness</x:v>
      </x:c>
      <x:c r="G52" s="28" t="str">
        <x:v>declared threshold closed without prohibited borrowing</x:v>
      </x:c>
      <x:c r="H52" s="28" t="str">
        <x:v>halt campaign and reopen architecture</x:v>
      </x:c>
      <x:c r="I52" s="28" t="str">
        <x:v>OPEN</x:v>
      </x:c>
      <x:c r="J52" s="28" t="n">
        <x:f>IF(I52="PASS",1,0)</x:f>
        <x:v>0</x:v>
      </x:c>
      <x:c r="K52" s="28" t="str">
        <x:v>Evidence Release Authority</x:v>
      </x:c>
      <x:c r="L52" s="30" t="str">
        <x:v>future accepted artifact</x:v>
      </x:c>
    </x:row>
    <x:row r="53">
      <x:c r="B53" s="28" t="str">
        <x:v>C06-G7</x:v>
      </x:c>
      <x:c r="C53" s="28" t="str">
        <x:v>campaign 06</x:v>
      </x:c>
      <x:c r="D53" s="28" t="str">
        <x:v>G7</x:v>
      </x:c>
      <x:c r="E53" s="28" t="str">
        <x:v>signed test artifact for stage 7</x:v>
      </x:c>
      <x:c r="F53" s="28" t="str">
        <x:v>independent lineage and civil witness</x:v>
      </x:c>
      <x:c r="G53" s="28" t="str">
        <x:v>declared threshold closed without prohibited borrowing</x:v>
      </x:c>
      <x:c r="H53" s="28" t="str">
        <x:v>halt campaign and reopen architecture</x:v>
      </x:c>
      <x:c r="I53" s="28" t="str">
        <x:v>OPEN</x:v>
      </x:c>
      <x:c r="J53" s="28" t="n">
        <x:f>IF(I53="PASS",1,0)</x:f>
        <x:v>0</x:v>
      </x:c>
      <x:c r="K53" s="28" t="str">
        <x:v>Evidence Release Authority</x:v>
      </x:c>
      <x:c r="L53" s="30" t="str">
        <x:v>future accepted artifact</x:v>
      </x:c>
    </x:row>
    <x:row r="54">
      <x:c r="B54" s="28" t="str">
        <x:v>C06-G8</x:v>
      </x:c>
      <x:c r="C54" s="28" t="str">
        <x:v>campaign 06</x:v>
      </x:c>
      <x:c r="D54" s="28" t="str">
        <x:v>G8</x:v>
      </x:c>
      <x:c r="E54" s="28" t="str">
        <x:v>signed test artifact for stage 8</x:v>
      </x:c>
      <x:c r="F54" s="28" t="str">
        <x:v>independent lineage and civil witness</x:v>
      </x:c>
      <x:c r="G54" s="28" t="str">
        <x:v>declared threshold closed without prohibited borrowing</x:v>
      </x:c>
      <x:c r="H54" s="28" t="str">
        <x:v>halt campaign and reopen architecture</x:v>
      </x:c>
      <x:c r="I54" s="28" t="str">
        <x:v>OPEN</x:v>
      </x:c>
      <x:c r="J54" s="28" t="n">
        <x:f>IF(I54="PASS",1,0)</x:f>
        <x:v>0</x:v>
      </x:c>
      <x:c r="K54" s="28" t="str">
        <x:v>Evidence Release Authority</x:v>
      </x:c>
      <x:c r="L54" s="30" t="str">
        <x:v>future accepted artifact</x:v>
      </x:c>
    </x:row>
    <x:row r="55">
      <x:c r="B55" s="28" t="str">
        <x:v>C07-G1</x:v>
      </x:c>
      <x:c r="C55" s="28" t="str">
        <x:v>campaign 07</x:v>
      </x:c>
      <x:c r="D55" s="28" t="str">
        <x:v>G1</x:v>
      </x:c>
      <x:c r="E55" s="28" t="str">
        <x:v>signed test artifact for stage 1</x:v>
      </x:c>
      <x:c r="F55" s="28" t="str">
        <x:v>independent lineage and civil witness</x:v>
      </x:c>
      <x:c r="G55" s="28" t="str">
        <x:v>declared threshold closed without prohibited borrowing</x:v>
      </x:c>
      <x:c r="H55" s="28" t="str">
        <x:v>halt campaign and reopen architecture</x:v>
      </x:c>
      <x:c r="I55" s="28" t="str">
        <x:v>OPEN</x:v>
      </x:c>
      <x:c r="J55" s="28" t="n">
        <x:f>IF(I55="PASS",1,0)</x:f>
        <x:v>0</x:v>
      </x:c>
      <x:c r="K55" s="28" t="str">
        <x:v>Evidence Release Authority</x:v>
      </x:c>
      <x:c r="L55" s="30" t="str">
        <x:v>future accepted artifact</x:v>
      </x:c>
    </x:row>
    <x:row r="56">
      <x:c r="B56" s="28" t="str">
        <x:v>C07-G2</x:v>
      </x:c>
      <x:c r="C56" s="28" t="str">
        <x:v>campaign 07</x:v>
      </x:c>
      <x:c r="D56" s="28" t="str">
        <x:v>G2</x:v>
      </x:c>
      <x:c r="E56" s="28" t="str">
        <x:v>signed test artifact for stage 2</x:v>
      </x:c>
      <x:c r="F56" s="28" t="str">
        <x:v>independent lineage and civil witness</x:v>
      </x:c>
      <x:c r="G56" s="28" t="str">
        <x:v>declared threshold closed without prohibited borrowing</x:v>
      </x:c>
      <x:c r="H56" s="28" t="str">
        <x:v>halt campaign and reopen architecture</x:v>
      </x:c>
      <x:c r="I56" s="28" t="str">
        <x:v>OPEN</x:v>
      </x:c>
      <x:c r="J56" s="28" t="n">
        <x:f>IF(I56="PASS",1,0)</x:f>
        <x:v>0</x:v>
      </x:c>
      <x:c r="K56" s="28" t="str">
        <x:v>Evidence Release Authority</x:v>
      </x:c>
      <x:c r="L56" s="30" t="str">
        <x:v>future accepted artifact</x:v>
      </x:c>
    </x:row>
    <x:row r="57">
      <x:c r="B57" s="28" t="str">
        <x:v>C07-G3</x:v>
      </x:c>
      <x:c r="C57" s="28" t="str">
        <x:v>campaign 07</x:v>
      </x:c>
      <x:c r="D57" s="28" t="str">
        <x:v>G3</x:v>
      </x:c>
      <x:c r="E57" s="28" t="str">
        <x:v>signed test artifact for stage 3</x:v>
      </x:c>
      <x:c r="F57" s="28" t="str">
        <x:v>independent lineage and civil witness</x:v>
      </x:c>
      <x:c r="G57" s="28" t="str">
        <x:v>declared threshold closed without prohibited borrowing</x:v>
      </x:c>
      <x:c r="H57" s="28" t="str">
        <x:v>halt campaign and reopen architecture</x:v>
      </x:c>
      <x:c r="I57" s="28" t="str">
        <x:v>OPEN</x:v>
      </x:c>
      <x:c r="J57" s="28" t="n">
        <x:f>IF(I57="PASS",1,0)</x:f>
        <x:v>0</x:v>
      </x:c>
      <x:c r="K57" s="28" t="str">
        <x:v>Evidence Release Authority</x:v>
      </x:c>
      <x:c r="L57" s="30" t="str">
        <x:v>future accepted artifact</x:v>
      </x:c>
    </x:row>
    <x:row r="58">
      <x:c r="B58" s="28" t="str">
        <x:v>C07-G4</x:v>
      </x:c>
      <x:c r="C58" s="28" t="str">
        <x:v>campaign 07</x:v>
      </x:c>
      <x:c r="D58" s="28" t="str">
        <x:v>G4</x:v>
      </x:c>
      <x:c r="E58" s="28" t="str">
        <x:v>signed test artifact for stage 4</x:v>
      </x:c>
      <x:c r="F58" s="28" t="str">
        <x:v>independent lineage and civil witness</x:v>
      </x:c>
      <x:c r="G58" s="28" t="str">
        <x:v>declared threshold closed without prohibited borrowing</x:v>
      </x:c>
      <x:c r="H58" s="28" t="str">
        <x:v>halt campaign and reopen architecture</x:v>
      </x:c>
      <x:c r="I58" s="28" t="str">
        <x:v>OPEN</x:v>
      </x:c>
      <x:c r="J58" s="28" t="n">
        <x:f>IF(I58="PASS",1,0)</x:f>
        <x:v>0</x:v>
      </x:c>
      <x:c r="K58" s="28" t="str">
        <x:v>Evidence Release Authority</x:v>
      </x:c>
      <x:c r="L58" s="30" t="str">
        <x:v>future accepted artifact</x:v>
      </x:c>
    </x:row>
    <x:row r="59">
      <x:c r="B59" s="28" t="str">
        <x:v>C07-G5</x:v>
      </x:c>
      <x:c r="C59" s="28" t="str">
        <x:v>campaign 07</x:v>
      </x:c>
      <x:c r="D59" s="28" t="str">
        <x:v>G5</x:v>
      </x:c>
      <x:c r="E59" s="28" t="str">
        <x:v>signed test artifact for stage 5</x:v>
      </x:c>
      <x:c r="F59" s="28" t="str">
        <x:v>independent lineage and civil witness</x:v>
      </x:c>
      <x:c r="G59" s="28" t="str">
        <x:v>declared threshold closed without prohibited borrowing</x:v>
      </x:c>
      <x:c r="H59" s="28" t="str">
        <x:v>halt campaign and reopen architecture</x:v>
      </x:c>
      <x:c r="I59" s="28" t="str">
        <x:v>OPEN</x:v>
      </x:c>
      <x:c r="J59" s="28" t="n">
        <x:f>IF(I59="PASS",1,0)</x:f>
        <x:v>0</x:v>
      </x:c>
      <x:c r="K59" s="28" t="str">
        <x:v>Evidence Release Authority</x:v>
      </x:c>
      <x:c r="L59" s="30" t="str">
        <x:v>future accepted artifact</x:v>
      </x:c>
    </x:row>
    <x:row r="60">
      <x:c r="B60" s="28" t="str">
        <x:v>C07-G6</x:v>
      </x:c>
      <x:c r="C60" s="28" t="str">
        <x:v>campaign 07</x:v>
      </x:c>
      <x:c r="D60" s="28" t="str">
        <x:v>G6</x:v>
      </x:c>
      <x:c r="E60" s="28" t="str">
        <x:v>signed test artifact for stage 6</x:v>
      </x:c>
      <x:c r="F60" s="28" t="str">
        <x:v>independent lineage and civil witness</x:v>
      </x:c>
      <x:c r="G60" s="28" t="str">
        <x:v>declared threshold closed without prohibited borrowing</x:v>
      </x:c>
      <x:c r="H60" s="28" t="str">
        <x:v>halt campaign and reopen architecture</x:v>
      </x:c>
      <x:c r="I60" s="28" t="str">
        <x:v>OPEN</x:v>
      </x:c>
      <x:c r="J60" s="28" t="n">
        <x:f>IF(I60="PASS",1,0)</x:f>
        <x:v>0</x:v>
      </x:c>
      <x:c r="K60" s="28" t="str">
        <x:v>Evidence Release Authority</x:v>
      </x:c>
      <x:c r="L60" s="30" t="str">
        <x:v>future accepted artifact</x:v>
      </x:c>
    </x:row>
    <x:row r="61">
      <x:c r="B61" s="28" t="str">
        <x:v>C07-G7</x:v>
      </x:c>
      <x:c r="C61" s="28" t="str">
        <x:v>campaign 07</x:v>
      </x:c>
      <x:c r="D61" s="28" t="str">
        <x:v>G7</x:v>
      </x:c>
      <x:c r="E61" s="28" t="str">
        <x:v>signed test artifact for stage 7</x:v>
      </x:c>
      <x:c r="F61" s="28" t="str">
        <x:v>independent lineage and civil witness</x:v>
      </x:c>
      <x:c r="G61" s="28" t="str">
        <x:v>declared threshold closed without prohibited borrowing</x:v>
      </x:c>
      <x:c r="H61" s="28" t="str">
        <x:v>halt campaign and reopen architecture</x:v>
      </x:c>
      <x:c r="I61" s="28" t="str">
        <x:v>OPEN</x:v>
      </x:c>
      <x:c r="J61" s="28" t="n">
        <x:f>IF(I61="PASS",1,0)</x:f>
        <x:v>0</x:v>
      </x:c>
      <x:c r="K61" s="28" t="str">
        <x:v>Evidence Release Authority</x:v>
      </x:c>
      <x:c r="L61" s="30" t="str">
        <x:v>future accepted artifact</x:v>
      </x:c>
    </x:row>
    <x:row r="62">
      <x:c r="B62" s="28" t="str">
        <x:v>C07-G8</x:v>
      </x:c>
      <x:c r="C62" s="28" t="str">
        <x:v>campaign 07</x:v>
      </x:c>
      <x:c r="D62" s="28" t="str">
        <x:v>G8</x:v>
      </x:c>
      <x:c r="E62" s="28" t="str">
        <x:v>signed test artifact for stage 8</x:v>
      </x:c>
      <x:c r="F62" s="28" t="str">
        <x:v>independent lineage and civil witness</x:v>
      </x:c>
      <x:c r="G62" s="28" t="str">
        <x:v>declared threshold closed without prohibited borrowing</x:v>
      </x:c>
      <x:c r="H62" s="28" t="str">
        <x:v>halt campaign and reopen architecture</x:v>
      </x:c>
      <x:c r="I62" s="28" t="str">
        <x:v>OPEN</x:v>
      </x:c>
      <x:c r="J62" s="28" t="n">
        <x:f>IF(I62="PASS",1,0)</x:f>
        <x:v>0</x:v>
      </x:c>
      <x:c r="K62" s="28" t="str">
        <x:v>Evidence Release Authority</x:v>
      </x:c>
      <x:c r="L62" s="30" t="str">
        <x:v>future accepted artifact</x:v>
      </x:c>
    </x:row>
    <x:row r="63">
      <x:c r="B63" s="28" t="str">
        <x:v>C08-G1</x:v>
      </x:c>
      <x:c r="C63" s="28" t="str">
        <x:v>campaign 08</x:v>
      </x:c>
      <x:c r="D63" s="28" t="str">
        <x:v>G1</x:v>
      </x:c>
      <x:c r="E63" s="28" t="str">
        <x:v>signed test artifact for stage 1</x:v>
      </x:c>
      <x:c r="F63" s="28" t="str">
        <x:v>independent lineage and civil witness</x:v>
      </x:c>
      <x:c r="G63" s="28" t="str">
        <x:v>declared threshold closed without prohibited borrowing</x:v>
      </x:c>
      <x:c r="H63" s="28" t="str">
        <x:v>halt campaign and reopen architecture</x:v>
      </x:c>
      <x:c r="I63" s="28" t="str">
        <x:v>OPEN</x:v>
      </x:c>
      <x:c r="J63" s="28" t="n">
        <x:f>IF(I63="PASS",1,0)</x:f>
        <x:v>0</x:v>
      </x:c>
      <x:c r="K63" s="28" t="str">
        <x:v>Evidence Release Authority</x:v>
      </x:c>
      <x:c r="L63" s="30" t="str">
        <x:v>future accepted artifact</x:v>
      </x:c>
    </x:row>
    <x:row r="64">
      <x:c r="B64" s="28" t="str">
        <x:v>C08-G2</x:v>
      </x:c>
      <x:c r="C64" s="28" t="str">
        <x:v>campaign 08</x:v>
      </x:c>
      <x:c r="D64" s="28" t="str">
        <x:v>G2</x:v>
      </x:c>
      <x:c r="E64" s="28" t="str">
        <x:v>signed test artifact for stage 2</x:v>
      </x:c>
      <x:c r="F64" s="28" t="str">
        <x:v>independent lineage and civil witness</x:v>
      </x:c>
      <x:c r="G64" s="28" t="str">
        <x:v>declared threshold closed without prohibited borrowing</x:v>
      </x:c>
      <x:c r="H64" s="28" t="str">
        <x:v>halt campaign and reopen architecture</x:v>
      </x:c>
      <x:c r="I64" s="28" t="str">
        <x:v>OPEN</x:v>
      </x:c>
      <x:c r="J64" s="28" t="n">
        <x:f>IF(I64="PASS",1,0)</x:f>
        <x:v>0</x:v>
      </x:c>
      <x:c r="K64" s="28" t="str">
        <x:v>Evidence Release Authority</x:v>
      </x:c>
      <x:c r="L64" s="30" t="str">
        <x:v>future accepted artifact</x:v>
      </x:c>
    </x:row>
    <x:row r="65">
      <x:c r="B65" s="28" t="str">
        <x:v>C08-G3</x:v>
      </x:c>
      <x:c r="C65" s="28" t="str">
        <x:v>campaign 08</x:v>
      </x:c>
      <x:c r="D65" s="28" t="str">
        <x:v>G3</x:v>
      </x:c>
      <x:c r="E65" s="28" t="str">
        <x:v>signed test artifact for stage 3</x:v>
      </x:c>
      <x:c r="F65" s="28" t="str">
        <x:v>independent lineage and civil witness</x:v>
      </x:c>
      <x:c r="G65" s="28" t="str">
        <x:v>declared threshold closed without prohibited borrowing</x:v>
      </x:c>
      <x:c r="H65" s="28" t="str">
        <x:v>halt campaign and reopen architecture</x:v>
      </x:c>
      <x:c r="I65" s="28" t="str">
        <x:v>OPEN</x:v>
      </x:c>
      <x:c r="J65" s="28" t="n">
        <x:f>IF(I65="PASS",1,0)</x:f>
        <x:v>0</x:v>
      </x:c>
      <x:c r="K65" s="28" t="str">
        <x:v>Evidence Release Authority</x:v>
      </x:c>
      <x:c r="L65" s="30" t="str">
        <x:v>future accepted artifact</x:v>
      </x:c>
    </x:row>
    <x:row r="66">
      <x:c r="B66" s="28" t="str">
        <x:v>C08-G4</x:v>
      </x:c>
      <x:c r="C66" s="28" t="str">
        <x:v>campaign 08</x:v>
      </x:c>
      <x:c r="D66" s="28" t="str">
        <x:v>G4</x:v>
      </x:c>
      <x:c r="E66" s="28" t="str">
        <x:v>signed test artifact for stage 4</x:v>
      </x:c>
      <x:c r="F66" s="28" t="str">
        <x:v>independent lineage and civil witness</x:v>
      </x:c>
      <x:c r="G66" s="28" t="str">
        <x:v>declared threshold closed without prohibited borrowing</x:v>
      </x:c>
      <x:c r="H66" s="28" t="str">
        <x:v>halt campaign and reopen architecture</x:v>
      </x:c>
      <x:c r="I66" s="28" t="str">
        <x:v>OPEN</x:v>
      </x:c>
      <x:c r="J66" s="28" t="n">
        <x:f>IF(I66="PASS",1,0)</x:f>
        <x:v>0</x:v>
      </x:c>
      <x:c r="K66" s="28" t="str">
        <x:v>Evidence Release Authority</x:v>
      </x:c>
      <x:c r="L66" s="30" t="str">
        <x:v>future accepted artifact</x:v>
      </x:c>
    </x:row>
    <x:row r="67">
      <x:c r="B67" s="28" t="str">
        <x:v>C08-G5</x:v>
      </x:c>
      <x:c r="C67" s="28" t="str">
        <x:v>campaign 08</x:v>
      </x:c>
      <x:c r="D67" s="28" t="str">
        <x:v>G5</x:v>
      </x:c>
      <x:c r="E67" s="28" t="str">
        <x:v>signed test artifact for stage 5</x:v>
      </x:c>
      <x:c r="F67" s="28" t="str">
        <x:v>independent lineage and civil witness</x:v>
      </x:c>
      <x:c r="G67" s="28" t="str">
        <x:v>declared threshold closed without prohibited borrowing</x:v>
      </x:c>
      <x:c r="H67" s="28" t="str">
        <x:v>halt campaign and reopen architecture</x:v>
      </x:c>
      <x:c r="I67" s="28" t="str">
        <x:v>OPEN</x:v>
      </x:c>
      <x:c r="J67" s="28" t="n">
        <x:f>IF(I67="PASS",1,0)</x:f>
        <x:v>0</x:v>
      </x:c>
      <x:c r="K67" s="28" t="str">
        <x:v>Evidence Release Authority</x:v>
      </x:c>
      <x:c r="L67" s="30" t="str">
        <x:v>future accepted artifact</x:v>
      </x:c>
    </x:row>
    <x:row r="68">
      <x:c r="B68" s="28" t="str">
        <x:v>C08-G6</x:v>
      </x:c>
      <x:c r="C68" s="28" t="str">
        <x:v>campaign 08</x:v>
      </x:c>
      <x:c r="D68" s="28" t="str">
        <x:v>G6</x:v>
      </x:c>
      <x:c r="E68" s="28" t="str">
        <x:v>signed test artifact for stage 6</x:v>
      </x:c>
      <x:c r="F68" s="28" t="str">
        <x:v>independent lineage and civil witness</x:v>
      </x:c>
      <x:c r="G68" s="28" t="str">
        <x:v>declared threshold closed without prohibited borrowing</x:v>
      </x:c>
      <x:c r="H68" s="28" t="str">
        <x:v>halt campaign and reopen architecture</x:v>
      </x:c>
      <x:c r="I68" s="28" t="str">
        <x:v>OPEN</x:v>
      </x:c>
      <x:c r="J68" s="28" t="n">
        <x:f>IF(I68="PASS",1,0)</x:f>
        <x:v>0</x:v>
      </x:c>
      <x:c r="K68" s="28" t="str">
        <x:v>Evidence Release Authority</x:v>
      </x:c>
      <x:c r="L68" s="30" t="str">
        <x:v>future accepted artifact</x:v>
      </x:c>
    </x:row>
    <x:row r="69">
      <x:c r="B69" s="28" t="str">
        <x:v>C08-G7</x:v>
      </x:c>
      <x:c r="C69" s="28" t="str">
        <x:v>campaign 08</x:v>
      </x:c>
      <x:c r="D69" s="28" t="str">
        <x:v>G7</x:v>
      </x:c>
      <x:c r="E69" s="28" t="str">
        <x:v>signed test artifact for stage 7</x:v>
      </x:c>
      <x:c r="F69" s="28" t="str">
        <x:v>independent lineage and civil witness</x:v>
      </x:c>
      <x:c r="G69" s="28" t="str">
        <x:v>declared threshold closed without prohibited borrowing</x:v>
      </x:c>
      <x:c r="H69" s="28" t="str">
        <x:v>halt campaign and reopen architecture</x:v>
      </x:c>
      <x:c r="I69" s="28" t="str">
        <x:v>OPEN</x:v>
      </x:c>
      <x:c r="J69" s="28" t="n">
        <x:f>IF(I69="PASS",1,0)</x:f>
        <x:v>0</x:v>
      </x:c>
      <x:c r="K69" s="28" t="str">
        <x:v>Evidence Release Authority</x:v>
      </x:c>
      <x:c r="L69" s="30" t="str">
        <x:v>future accepted artifact</x:v>
      </x:c>
    </x:row>
    <x:row r="70">
      <x:c r="B70" s="28" t="str">
        <x:v>C08-G8</x:v>
      </x:c>
      <x:c r="C70" s="28" t="str">
        <x:v>campaign 08</x:v>
      </x:c>
      <x:c r="D70" s="28" t="str">
        <x:v>G8</x:v>
      </x:c>
      <x:c r="E70" s="28" t="str">
        <x:v>signed test artifact for stage 8</x:v>
      </x:c>
      <x:c r="F70" s="28" t="str">
        <x:v>independent lineage and civil witness</x:v>
      </x:c>
      <x:c r="G70" s="28" t="str">
        <x:v>declared threshold closed without prohibited borrowing</x:v>
      </x:c>
      <x:c r="H70" s="28" t="str">
        <x:v>halt campaign and reopen architecture</x:v>
      </x:c>
      <x:c r="I70" s="28" t="str">
        <x:v>OPEN</x:v>
      </x:c>
      <x:c r="J70" s="28" t="n">
        <x:f>IF(I70="PASS",1,0)</x:f>
        <x:v>0</x:v>
      </x:c>
      <x:c r="K70" s="28" t="str">
        <x:v>Evidence Release Authority</x:v>
      </x:c>
      <x:c r="L70" s="30" t="str">
        <x:v>future accepted artifact</x:v>
      </x:c>
    </x:row>
    <x:row r="71">
      <x:c r="B71" s="28" t="str">
        <x:v>C09-G1</x:v>
      </x:c>
      <x:c r="C71" s="28" t="str">
        <x:v>campaign 09</x:v>
      </x:c>
      <x:c r="D71" s="28" t="str">
        <x:v>G1</x:v>
      </x:c>
      <x:c r="E71" s="28" t="str">
        <x:v>signed test artifact for stage 1</x:v>
      </x:c>
      <x:c r="F71" s="28" t="str">
        <x:v>independent lineage and civil witness</x:v>
      </x:c>
      <x:c r="G71" s="28" t="str">
        <x:v>declared threshold closed without prohibited borrowing</x:v>
      </x:c>
      <x:c r="H71" s="28" t="str">
        <x:v>halt campaign and reopen architecture</x:v>
      </x:c>
      <x:c r="I71" s="28" t="str">
        <x:v>OPEN</x:v>
      </x:c>
      <x:c r="J71" s="28" t="n">
        <x:f>IF(I71="PASS",1,0)</x:f>
        <x:v>0</x:v>
      </x:c>
      <x:c r="K71" s="28" t="str">
        <x:v>Evidence Release Authority</x:v>
      </x:c>
      <x:c r="L71" s="30" t="str">
        <x:v>future accepted artifact</x:v>
      </x:c>
    </x:row>
    <x:row r="72">
      <x:c r="B72" s="28" t="str">
        <x:v>C09-G2</x:v>
      </x:c>
      <x:c r="C72" s="28" t="str">
        <x:v>campaign 09</x:v>
      </x:c>
      <x:c r="D72" s="28" t="str">
        <x:v>G2</x:v>
      </x:c>
      <x:c r="E72" s="28" t="str">
        <x:v>signed test artifact for stage 2</x:v>
      </x:c>
      <x:c r="F72" s="28" t="str">
        <x:v>independent lineage and civil witness</x:v>
      </x:c>
      <x:c r="G72" s="28" t="str">
        <x:v>declared threshold closed without prohibited borrowing</x:v>
      </x:c>
      <x:c r="H72" s="28" t="str">
        <x:v>halt campaign and reopen architecture</x:v>
      </x:c>
      <x:c r="I72" s="28" t="str">
        <x:v>OPEN</x:v>
      </x:c>
      <x:c r="J72" s="28" t="n">
        <x:f>IF(I72="PASS",1,0)</x:f>
        <x:v>0</x:v>
      </x:c>
      <x:c r="K72" s="28" t="str">
        <x:v>Evidence Release Authority</x:v>
      </x:c>
      <x:c r="L72" s="30" t="str">
        <x:v>future accepted artifact</x:v>
      </x:c>
    </x:row>
    <x:row r="73">
      <x:c r="B73" s="28" t="str">
        <x:v>C09-G3</x:v>
      </x:c>
      <x:c r="C73" s="28" t="str">
        <x:v>campaign 09</x:v>
      </x:c>
      <x:c r="D73" s="28" t="str">
        <x:v>G3</x:v>
      </x:c>
      <x:c r="E73" s="28" t="str">
        <x:v>signed test artifact for stage 3</x:v>
      </x:c>
      <x:c r="F73" s="28" t="str">
        <x:v>independent lineage and civil witness</x:v>
      </x:c>
      <x:c r="G73" s="28" t="str">
        <x:v>declared threshold closed without prohibited borrowing</x:v>
      </x:c>
      <x:c r="H73" s="28" t="str">
        <x:v>halt campaign and reopen architecture</x:v>
      </x:c>
      <x:c r="I73" s="28" t="str">
        <x:v>OPEN</x:v>
      </x:c>
      <x:c r="J73" s="28" t="n">
        <x:f>IF(I73="PASS",1,0)</x:f>
        <x:v>0</x:v>
      </x:c>
      <x:c r="K73" s="28" t="str">
        <x:v>Evidence Release Authority</x:v>
      </x:c>
      <x:c r="L73" s="30" t="str">
        <x:v>future accepted artifact</x:v>
      </x:c>
    </x:row>
    <x:row r="74">
      <x:c r="B74" s="28" t="str">
        <x:v>C09-G4</x:v>
      </x:c>
      <x:c r="C74" s="28" t="str">
        <x:v>campaign 09</x:v>
      </x:c>
      <x:c r="D74" s="28" t="str">
        <x:v>G4</x:v>
      </x:c>
      <x:c r="E74" s="28" t="str">
        <x:v>signed test artifact for stage 4</x:v>
      </x:c>
      <x:c r="F74" s="28" t="str">
        <x:v>independent lineage and civil witness</x:v>
      </x:c>
      <x:c r="G74" s="28" t="str">
        <x:v>declared threshold closed without prohibited borrowing</x:v>
      </x:c>
      <x:c r="H74" s="28" t="str">
        <x:v>halt campaign and reopen architecture</x:v>
      </x:c>
      <x:c r="I74" s="28" t="str">
        <x:v>OPEN</x:v>
      </x:c>
      <x:c r="J74" s="28" t="n">
        <x:f>IF(I74="PASS",1,0)</x:f>
        <x:v>0</x:v>
      </x:c>
      <x:c r="K74" s="28" t="str">
        <x:v>Evidence Release Authority</x:v>
      </x:c>
      <x:c r="L74" s="30" t="str">
        <x:v>future accepted artifact</x:v>
      </x:c>
    </x:row>
    <x:row r="75">
      <x:c r="B75" s="28" t="str">
        <x:v>C09-G5</x:v>
      </x:c>
      <x:c r="C75" s="28" t="str">
        <x:v>campaign 09</x:v>
      </x:c>
      <x:c r="D75" s="28" t="str">
        <x:v>G5</x:v>
      </x:c>
      <x:c r="E75" s="28" t="str">
        <x:v>signed test artifact for stage 5</x:v>
      </x:c>
      <x:c r="F75" s="28" t="str">
        <x:v>independent lineage and civil witness</x:v>
      </x:c>
      <x:c r="G75" s="28" t="str">
        <x:v>declared threshold closed without prohibited borrowing</x:v>
      </x:c>
      <x:c r="H75" s="28" t="str">
        <x:v>halt campaign and reopen architecture</x:v>
      </x:c>
      <x:c r="I75" s="28" t="str">
        <x:v>OPEN</x:v>
      </x:c>
      <x:c r="J75" s="28" t="n">
        <x:f>IF(I75="PASS",1,0)</x:f>
        <x:v>0</x:v>
      </x:c>
      <x:c r="K75" s="28" t="str">
        <x:v>Evidence Release Authority</x:v>
      </x:c>
      <x:c r="L75" s="30" t="str">
        <x:v>future accepted artifact</x:v>
      </x:c>
    </x:row>
    <x:row r="76">
      <x:c r="B76" s="28" t="str">
        <x:v>C09-G6</x:v>
      </x:c>
      <x:c r="C76" s="28" t="str">
        <x:v>campaign 09</x:v>
      </x:c>
      <x:c r="D76" s="28" t="str">
        <x:v>G6</x:v>
      </x:c>
      <x:c r="E76" s="28" t="str">
        <x:v>signed test artifact for stage 6</x:v>
      </x:c>
      <x:c r="F76" s="28" t="str">
        <x:v>independent lineage and civil witness</x:v>
      </x:c>
      <x:c r="G76" s="28" t="str">
        <x:v>declared threshold closed without prohibited borrowing</x:v>
      </x:c>
      <x:c r="H76" s="28" t="str">
        <x:v>halt campaign and reopen architecture</x:v>
      </x:c>
      <x:c r="I76" s="28" t="str">
        <x:v>OPEN</x:v>
      </x:c>
      <x:c r="J76" s="28" t="n">
        <x:f>IF(I76="PASS",1,0)</x:f>
        <x:v>0</x:v>
      </x:c>
      <x:c r="K76" s="28" t="str">
        <x:v>Evidence Release Authority</x:v>
      </x:c>
      <x:c r="L76" s="30" t="str">
        <x:v>future accepted artifact</x:v>
      </x:c>
    </x:row>
    <x:row r="77">
      <x:c r="B77" s="28" t="str">
        <x:v>C09-G7</x:v>
      </x:c>
      <x:c r="C77" s="28" t="str">
        <x:v>campaign 09</x:v>
      </x:c>
      <x:c r="D77" s="28" t="str">
        <x:v>G7</x:v>
      </x:c>
      <x:c r="E77" s="28" t="str">
        <x:v>signed test artifact for stage 7</x:v>
      </x:c>
      <x:c r="F77" s="28" t="str">
        <x:v>independent lineage and civil witness</x:v>
      </x:c>
      <x:c r="G77" s="28" t="str">
        <x:v>declared threshold closed without prohibited borrowing</x:v>
      </x:c>
      <x:c r="H77" s="28" t="str">
        <x:v>halt campaign and reopen architecture</x:v>
      </x:c>
      <x:c r="I77" s="28" t="str">
        <x:v>OPEN</x:v>
      </x:c>
      <x:c r="J77" s="28" t="n">
        <x:f>IF(I77="PASS",1,0)</x:f>
        <x:v>0</x:v>
      </x:c>
      <x:c r="K77" s="28" t="str">
        <x:v>Evidence Release Authority</x:v>
      </x:c>
      <x:c r="L77" s="30" t="str">
        <x:v>future accepted artifact</x:v>
      </x:c>
    </x:row>
    <x:row r="78">
      <x:c r="B78" s="28" t="str">
        <x:v>C09-G8</x:v>
      </x:c>
      <x:c r="C78" s="28" t="str">
        <x:v>campaign 09</x:v>
      </x:c>
      <x:c r="D78" s="28" t="str">
        <x:v>G8</x:v>
      </x:c>
      <x:c r="E78" s="28" t="str">
        <x:v>signed test artifact for stage 8</x:v>
      </x:c>
      <x:c r="F78" s="28" t="str">
        <x:v>independent lineage and civil witness</x:v>
      </x:c>
      <x:c r="G78" s="28" t="str">
        <x:v>declared threshold closed without prohibited borrowing</x:v>
      </x:c>
      <x:c r="H78" s="28" t="str">
        <x:v>halt campaign and reopen architecture</x:v>
      </x:c>
      <x:c r="I78" s="28" t="str">
        <x:v>OPEN</x:v>
      </x:c>
      <x:c r="J78" s="28" t="n">
        <x:f>IF(I78="PASS",1,0)</x:f>
        <x:v>0</x:v>
      </x:c>
      <x:c r="K78" s="28" t="str">
        <x:v>Evidence Release Authority</x:v>
      </x:c>
      <x:c r="L78" s="30" t="str">
        <x:v>future accepted artifact</x:v>
      </x:c>
    </x:row>
    <x:row r="79">
      <x:c r="B79" s="28" t="str">
        <x:v>C10-G1</x:v>
      </x:c>
      <x:c r="C79" s="28" t="str">
        <x:v>campaign 10</x:v>
      </x:c>
      <x:c r="D79" s="28" t="str">
        <x:v>G1</x:v>
      </x:c>
      <x:c r="E79" s="28" t="str">
        <x:v>signed test artifact for stage 1</x:v>
      </x:c>
      <x:c r="F79" s="28" t="str">
        <x:v>independent lineage and civil witness</x:v>
      </x:c>
      <x:c r="G79" s="28" t="str">
        <x:v>declared threshold closed without prohibited borrowing</x:v>
      </x:c>
      <x:c r="H79" s="28" t="str">
        <x:v>halt campaign and reopen architecture</x:v>
      </x:c>
      <x:c r="I79" s="28" t="str">
        <x:v>OPEN</x:v>
      </x:c>
      <x:c r="J79" s="28" t="n">
        <x:f>IF(I79="PASS",1,0)</x:f>
        <x:v>0</x:v>
      </x:c>
      <x:c r="K79" s="28" t="str">
        <x:v>Evidence Release Authority</x:v>
      </x:c>
      <x:c r="L79" s="30" t="str">
        <x:v>future accepted artifact</x:v>
      </x:c>
    </x:row>
    <x:row r="80">
      <x:c r="B80" s="28" t="str">
        <x:v>C10-G2</x:v>
      </x:c>
      <x:c r="C80" s="28" t="str">
        <x:v>campaign 10</x:v>
      </x:c>
      <x:c r="D80" s="28" t="str">
        <x:v>G2</x:v>
      </x:c>
      <x:c r="E80" s="28" t="str">
        <x:v>signed test artifact for stage 2</x:v>
      </x:c>
      <x:c r="F80" s="28" t="str">
        <x:v>independent lineage and civil witness</x:v>
      </x:c>
      <x:c r="G80" s="28" t="str">
        <x:v>declared threshold closed without prohibited borrowing</x:v>
      </x:c>
      <x:c r="H80" s="28" t="str">
        <x:v>halt campaign and reopen architecture</x:v>
      </x:c>
      <x:c r="I80" s="28" t="str">
        <x:v>OPEN</x:v>
      </x:c>
      <x:c r="J80" s="28" t="n">
        <x:f>IF(I80="PASS",1,0)</x:f>
        <x:v>0</x:v>
      </x:c>
      <x:c r="K80" s="28" t="str">
        <x:v>Evidence Release Authority</x:v>
      </x:c>
      <x:c r="L80" s="30" t="str">
        <x:v>future accepted artifact</x:v>
      </x:c>
    </x:row>
    <x:row r="81">
      <x:c r="B81" s="28" t="str">
        <x:v>C10-G3</x:v>
      </x:c>
      <x:c r="C81" s="28" t="str">
        <x:v>campaign 10</x:v>
      </x:c>
      <x:c r="D81" s="28" t="str">
        <x:v>G3</x:v>
      </x:c>
      <x:c r="E81" s="28" t="str">
        <x:v>signed test artifact for stage 3</x:v>
      </x:c>
      <x:c r="F81" s="28" t="str">
        <x:v>independent lineage and civil witness</x:v>
      </x:c>
      <x:c r="G81" s="28" t="str">
        <x:v>declared threshold closed without prohibited borrowing</x:v>
      </x:c>
      <x:c r="H81" s="28" t="str">
        <x:v>halt campaign and reopen architecture</x:v>
      </x:c>
      <x:c r="I81" s="28" t="str">
        <x:v>OPEN</x:v>
      </x:c>
      <x:c r="J81" s="28" t="n">
        <x:f>IF(I81="PASS",1,0)</x:f>
        <x:v>0</x:v>
      </x:c>
      <x:c r="K81" s="28" t="str">
        <x:v>Evidence Release Authority</x:v>
      </x:c>
      <x:c r="L81" s="30" t="str">
        <x:v>future accepted artifact</x:v>
      </x:c>
    </x:row>
    <x:row r="82">
      <x:c r="B82" s="28" t="str">
        <x:v>C10-G4</x:v>
      </x:c>
      <x:c r="C82" s="28" t="str">
        <x:v>campaign 10</x:v>
      </x:c>
      <x:c r="D82" s="28" t="str">
        <x:v>G4</x:v>
      </x:c>
      <x:c r="E82" s="28" t="str">
        <x:v>signed test artifact for stage 4</x:v>
      </x:c>
      <x:c r="F82" s="28" t="str">
        <x:v>independent lineage and civil witness</x:v>
      </x:c>
      <x:c r="G82" s="28" t="str">
        <x:v>declared threshold closed without prohibited borrowing</x:v>
      </x:c>
      <x:c r="H82" s="28" t="str">
        <x:v>halt campaign and reopen architecture</x:v>
      </x:c>
      <x:c r="I82" s="28" t="str">
        <x:v>OPEN</x:v>
      </x:c>
      <x:c r="J82" s="28" t="n">
        <x:f>IF(I82="PASS",1,0)</x:f>
        <x:v>0</x:v>
      </x:c>
      <x:c r="K82" s="28" t="str">
        <x:v>Evidence Release Authority</x:v>
      </x:c>
      <x:c r="L82" s="30" t="str">
        <x:v>future accepted artifact</x:v>
      </x:c>
    </x:row>
    <x:row r="83">
      <x:c r="B83" s="28" t="str">
        <x:v>C10-G5</x:v>
      </x:c>
      <x:c r="C83" s="28" t="str">
        <x:v>campaign 10</x:v>
      </x:c>
      <x:c r="D83" s="28" t="str">
        <x:v>G5</x:v>
      </x:c>
      <x:c r="E83" s="28" t="str">
        <x:v>signed test artifact for stage 5</x:v>
      </x:c>
      <x:c r="F83" s="28" t="str">
        <x:v>independent lineage and civil witness</x:v>
      </x:c>
      <x:c r="G83" s="28" t="str">
        <x:v>declared threshold closed without prohibited borrowing</x:v>
      </x:c>
      <x:c r="H83" s="28" t="str">
        <x:v>halt campaign and reopen architecture</x:v>
      </x:c>
      <x:c r="I83" s="28" t="str">
        <x:v>OPEN</x:v>
      </x:c>
      <x:c r="J83" s="28" t="n">
        <x:f>IF(I83="PASS",1,0)</x:f>
        <x:v>0</x:v>
      </x:c>
      <x:c r="K83" s="28" t="str">
        <x:v>Evidence Release Authority</x:v>
      </x:c>
      <x:c r="L83" s="30" t="str">
        <x:v>future accepted artifact</x:v>
      </x:c>
    </x:row>
    <x:row r="84">
      <x:c r="B84" s="28" t="str">
        <x:v>C10-G6</x:v>
      </x:c>
      <x:c r="C84" s="28" t="str">
        <x:v>campaign 10</x:v>
      </x:c>
      <x:c r="D84" s="28" t="str">
        <x:v>G6</x:v>
      </x:c>
      <x:c r="E84" s="28" t="str">
        <x:v>signed test artifact for stage 6</x:v>
      </x:c>
      <x:c r="F84" s="28" t="str">
        <x:v>independent lineage and civil witness</x:v>
      </x:c>
      <x:c r="G84" s="28" t="str">
        <x:v>declared threshold closed without prohibited borrowing</x:v>
      </x:c>
      <x:c r="H84" s="28" t="str">
        <x:v>halt campaign and reopen architecture</x:v>
      </x:c>
      <x:c r="I84" s="28" t="str">
        <x:v>OPEN</x:v>
      </x:c>
      <x:c r="J84" s="28" t="n">
        <x:f>IF(I84="PASS",1,0)</x:f>
        <x:v>0</x:v>
      </x:c>
      <x:c r="K84" s="28" t="str">
        <x:v>Evidence Release Authority</x:v>
      </x:c>
      <x:c r="L84" s="30" t="str">
        <x:v>future accepted artifact</x:v>
      </x:c>
    </x:row>
    <x:row r="85">
      <x:c r="B85" s="28" t="str">
        <x:v>C10-G7</x:v>
      </x:c>
      <x:c r="C85" s="28" t="str">
        <x:v>campaign 10</x:v>
      </x:c>
      <x:c r="D85" s="28" t="str">
        <x:v>G7</x:v>
      </x:c>
      <x:c r="E85" s="28" t="str">
        <x:v>signed test artifact for stage 7</x:v>
      </x:c>
      <x:c r="F85" s="28" t="str">
        <x:v>independent lineage and civil witness</x:v>
      </x:c>
      <x:c r="G85" s="28" t="str">
        <x:v>declared threshold closed without prohibited borrowing</x:v>
      </x:c>
      <x:c r="H85" s="28" t="str">
        <x:v>halt campaign and reopen architecture</x:v>
      </x:c>
      <x:c r="I85" s="28" t="str">
        <x:v>OPEN</x:v>
      </x:c>
      <x:c r="J85" s="28" t="n">
        <x:f>IF(I85="PASS",1,0)</x:f>
        <x:v>0</x:v>
      </x:c>
      <x:c r="K85" s="28" t="str">
        <x:v>Evidence Release Authority</x:v>
      </x:c>
      <x:c r="L85" s="30" t="str">
        <x:v>future accepted artifact</x:v>
      </x:c>
    </x:row>
    <x:row r="86">
      <x:c r="B86" s="28" t="str">
        <x:v>C10-G8</x:v>
      </x:c>
      <x:c r="C86" s="28" t="str">
        <x:v>campaign 10</x:v>
      </x:c>
      <x:c r="D86" s="28" t="str">
        <x:v>G8</x:v>
      </x:c>
      <x:c r="E86" s="28" t="str">
        <x:v>signed test artifact for stage 8</x:v>
      </x:c>
      <x:c r="F86" s="28" t="str">
        <x:v>independent lineage and civil witness</x:v>
      </x:c>
      <x:c r="G86" s="28" t="str">
        <x:v>declared threshold closed without prohibited borrowing</x:v>
      </x:c>
      <x:c r="H86" s="28" t="str">
        <x:v>halt campaign and reopen architecture</x:v>
      </x:c>
      <x:c r="I86" s="28" t="str">
        <x:v>OPEN</x:v>
      </x:c>
      <x:c r="J86" s="28" t="n">
        <x:f>IF(I86="PASS",1,0)</x:f>
        <x:v>0</x:v>
      </x:c>
      <x:c r="K86" s="28" t="str">
        <x:v>Evidence Release Authority</x:v>
      </x:c>
      <x:c r="L86" s="30" t="str">
        <x:v>future accepted artifact</x:v>
      </x:c>
    </x:row>
    <x:row r="87">
      <x:c r="B87" s="28" t="str">
        <x:v>C11-G1</x:v>
      </x:c>
      <x:c r="C87" s="28" t="str">
        <x:v>campaign 11</x:v>
      </x:c>
      <x:c r="D87" s="28" t="str">
        <x:v>G1</x:v>
      </x:c>
      <x:c r="E87" s="28" t="str">
        <x:v>signed test artifact for stage 1</x:v>
      </x:c>
      <x:c r="F87" s="28" t="str">
        <x:v>independent lineage and civil witness</x:v>
      </x:c>
      <x:c r="G87" s="28" t="str">
        <x:v>declared threshold closed without prohibited borrowing</x:v>
      </x:c>
      <x:c r="H87" s="28" t="str">
        <x:v>halt campaign and reopen architecture</x:v>
      </x:c>
      <x:c r="I87" s="28" t="str">
        <x:v>OPEN</x:v>
      </x:c>
      <x:c r="J87" s="28" t="n">
        <x:f>IF(I87="PASS",1,0)</x:f>
        <x:v>0</x:v>
      </x:c>
      <x:c r="K87" s="28" t="str">
        <x:v>Evidence Release Authority</x:v>
      </x:c>
      <x:c r="L87" s="30" t="str">
        <x:v>future accepted artifact</x:v>
      </x:c>
    </x:row>
    <x:row r="88">
      <x:c r="B88" s="28" t="str">
        <x:v>C11-G2</x:v>
      </x:c>
      <x:c r="C88" s="28" t="str">
        <x:v>campaign 11</x:v>
      </x:c>
      <x:c r="D88" s="28" t="str">
        <x:v>G2</x:v>
      </x:c>
      <x:c r="E88" s="28" t="str">
        <x:v>signed test artifact for stage 2</x:v>
      </x:c>
      <x:c r="F88" s="28" t="str">
        <x:v>independent lineage and civil witness</x:v>
      </x:c>
      <x:c r="G88" s="28" t="str">
        <x:v>declared threshold closed without prohibited borrowing</x:v>
      </x:c>
      <x:c r="H88" s="28" t="str">
        <x:v>halt campaign and reopen architecture</x:v>
      </x:c>
      <x:c r="I88" s="28" t="str">
        <x:v>OPEN</x:v>
      </x:c>
      <x:c r="J88" s="28" t="n">
        <x:f>IF(I88="PASS",1,0)</x:f>
        <x:v>0</x:v>
      </x:c>
      <x:c r="K88" s="28" t="str">
        <x:v>Evidence Release Authority</x:v>
      </x:c>
      <x:c r="L88" s="30" t="str">
        <x:v>future accepted artifact</x:v>
      </x:c>
    </x:row>
    <x:row r="89">
      <x:c r="B89" s="28" t="str">
        <x:v>C11-G3</x:v>
      </x:c>
      <x:c r="C89" s="28" t="str">
        <x:v>campaign 11</x:v>
      </x:c>
      <x:c r="D89" s="28" t="str">
        <x:v>G3</x:v>
      </x:c>
      <x:c r="E89" s="28" t="str">
        <x:v>signed test artifact for stage 3</x:v>
      </x:c>
      <x:c r="F89" s="28" t="str">
        <x:v>independent lineage and civil witness</x:v>
      </x:c>
      <x:c r="G89" s="28" t="str">
        <x:v>declared threshold closed without prohibited borrowing</x:v>
      </x:c>
      <x:c r="H89" s="28" t="str">
        <x:v>halt campaign and reopen architecture</x:v>
      </x:c>
      <x:c r="I89" s="28" t="str">
        <x:v>OPEN</x:v>
      </x:c>
      <x:c r="J89" s="28" t="n">
        <x:f>IF(I89="PASS",1,0)</x:f>
        <x:v>0</x:v>
      </x:c>
      <x:c r="K89" s="28" t="str">
        <x:v>Evidence Release Authority</x:v>
      </x:c>
      <x:c r="L89" s="30" t="str">
        <x:v>future accepted artifact</x:v>
      </x:c>
    </x:row>
    <x:row r="90">
      <x:c r="B90" s="28" t="str">
        <x:v>C11-G4</x:v>
      </x:c>
      <x:c r="C90" s="28" t="str">
        <x:v>campaign 11</x:v>
      </x:c>
      <x:c r="D90" s="28" t="str">
        <x:v>G4</x:v>
      </x:c>
      <x:c r="E90" s="28" t="str">
        <x:v>signed test artifact for stage 4</x:v>
      </x:c>
      <x:c r="F90" s="28" t="str">
        <x:v>independent lineage and civil witness</x:v>
      </x:c>
      <x:c r="G90" s="28" t="str">
        <x:v>declared threshold closed without prohibited borrowing</x:v>
      </x:c>
      <x:c r="H90" s="28" t="str">
        <x:v>halt campaign and reopen architecture</x:v>
      </x:c>
      <x:c r="I90" s="28" t="str">
        <x:v>OPEN</x:v>
      </x:c>
      <x:c r="J90" s="28" t="n">
        <x:f>IF(I90="PASS",1,0)</x:f>
        <x:v>0</x:v>
      </x:c>
      <x:c r="K90" s="28" t="str">
        <x:v>Evidence Release Authority</x:v>
      </x:c>
      <x:c r="L90" s="30" t="str">
        <x:v>future accepted artifact</x:v>
      </x:c>
    </x:row>
    <x:row r="91">
      <x:c r="B91" s="28" t="str">
        <x:v>C11-G5</x:v>
      </x:c>
      <x:c r="C91" s="28" t="str">
        <x:v>campaign 11</x:v>
      </x:c>
      <x:c r="D91" s="28" t="str">
        <x:v>G5</x:v>
      </x:c>
      <x:c r="E91" s="28" t="str">
        <x:v>signed test artifact for stage 5</x:v>
      </x:c>
      <x:c r="F91" s="28" t="str">
        <x:v>independent lineage and civil witness</x:v>
      </x:c>
      <x:c r="G91" s="28" t="str">
        <x:v>declared threshold closed without prohibited borrowing</x:v>
      </x:c>
      <x:c r="H91" s="28" t="str">
        <x:v>halt campaign and reopen architecture</x:v>
      </x:c>
      <x:c r="I91" s="28" t="str">
        <x:v>OPEN</x:v>
      </x:c>
      <x:c r="J91" s="28" t="n">
        <x:f>IF(I91="PASS",1,0)</x:f>
        <x:v>0</x:v>
      </x:c>
      <x:c r="K91" s="28" t="str">
        <x:v>Evidence Release Authority</x:v>
      </x:c>
      <x:c r="L91" s="30" t="str">
        <x:v>future accepted artifact</x:v>
      </x:c>
    </x:row>
    <x:row r="92">
      <x:c r="B92" s="28" t="str">
        <x:v>C11-G6</x:v>
      </x:c>
      <x:c r="C92" s="28" t="str">
        <x:v>campaign 11</x:v>
      </x:c>
      <x:c r="D92" s="28" t="str">
        <x:v>G6</x:v>
      </x:c>
      <x:c r="E92" s="28" t="str">
        <x:v>signed test artifact for stage 6</x:v>
      </x:c>
      <x:c r="F92" s="28" t="str">
        <x:v>independent lineage and civil witness</x:v>
      </x:c>
      <x:c r="G92" s="28" t="str">
        <x:v>declared threshold closed without prohibited borrowing</x:v>
      </x:c>
      <x:c r="H92" s="28" t="str">
        <x:v>halt campaign and reopen architecture</x:v>
      </x:c>
      <x:c r="I92" s="28" t="str">
        <x:v>OPEN</x:v>
      </x:c>
      <x:c r="J92" s="28" t="n">
        <x:f>IF(I92="PASS",1,0)</x:f>
        <x:v>0</x:v>
      </x:c>
      <x:c r="K92" s="28" t="str">
        <x:v>Evidence Release Authority</x:v>
      </x:c>
      <x:c r="L92" s="30" t="str">
        <x:v>future accepted artifact</x:v>
      </x:c>
    </x:row>
    <x:row r="93">
      <x:c r="B93" s="28" t="str">
        <x:v>C11-G7</x:v>
      </x:c>
      <x:c r="C93" s="28" t="str">
        <x:v>campaign 11</x:v>
      </x:c>
      <x:c r="D93" s="28" t="str">
        <x:v>G7</x:v>
      </x:c>
      <x:c r="E93" s="28" t="str">
        <x:v>signed test artifact for stage 7</x:v>
      </x:c>
      <x:c r="F93" s="28" t="str">
        <x:v>independent lineage and civil witness</x:v>
      </x:c>
      <x:c r="G93" s="28" t="str">
        <x:v>declared threshold closed without prohibited borrowing</x:v>
      </x:c>
      <x:c r="H93" s="28" t="str">
        <x:v>halt campaign and reopen architecture</x:v>
      </x:c>
      <x:c r="I93" s="28" t="str">
        <x:v>OPEN</x:v>
      </x:c>
      <x:c r="J93" s="28" t="n">
        <x:f>IF(I93="PASS",1,0)</x:f>
        <x:v>0</x:v>
      </x:c>
      <x:c r="K93" s="28" t="str">
        <x:v>Evidence Release Authority</x:v>
      </x:c>
      <x:c r="L93" s="30" t="str">
        <x:v>future accepted artifact</x:v>
      </x:c>
    </x:row>
    <x:row r="94">
      <x:c r="B94" s="28" t="str">
        <x:v>C11-G8</x:v>
      </x:c>
      <x:c r="C94" s="28" t="str">
        <x:v>campaign 11</x:v>
      </x:c>
      <x:c r="D94" s="28" t="str">
        <x:v>G8</x:v>
      </x:c>
      <x:c r="E94" s="28" t="str">
        <x:v>signed test artifact for stage 8</x:v>
      </x:c>
      <x:c r="F94" s="28" t="str">
        <x:v>independent lineage and civil witness</x:v>
      </x:c>
      <x:c r="G94" s="28" t="str">
        <x:v>declared threshold closed without prohibited borrowing</x:v>
      </x:c>
      <x:c r="H94" s="28" t="str">
        <x:v>halt campaign and reopen architecture</x:v>
      </x:c>
      <x:c r="I94" s="28" t="str">
        <x:v>OPEN</x:v>
      </x:c>
      <x:c r="J94" s="28" t="n">
        <x:f>IF(I94="PASS",1,0)</x:f>
        <x:v>0</x:v>
      </x:c>
      <x:c r="K94" s="28" t="str">
        <x:v>Evidence Release Authority</x:v>
      </x:c>
      <x:c r="L94" s="30" t="str">
        <x:v>future accepted artifact</x:v>
      </x:c>
    </x:row>
    <x:row r="95">
      <x:c r="B95" s="28" t="str">
        <x:v>C12-G1</x:v>
      </x:c>
      <x:c r="C95" s="28" t="str">
        <x:v>campaign 12</x:v>
      </x:c>
      <x:c r="D95" s="28" t="str">
        <x:v>G1</x:v>
      </x:c>
      <x:c r="E95" s="28" t="str">
        <x:v>signed test artifact for stage 1</x:v>
      </x:c>
      <x:c r="F95" s="28" t="str">
        <x:v>independent lineage and civil witness</x:v>
      </x:c>
      <x:c r="G95" s="28" t="str">
        <x:v>declared threshold closed without prohibited borrowing</x:v>
      </x:c>
      <x:c r="H95" s="28" t="str">
        <x:v>halt campaign and reopen architecture</x:v>
      </x:c>
      <x:c r="I95" s="28" t="str">
        <x:v>OPEN</x:v>
      </x:c>
      <x:c r="J95" s="28" t="n">
        <x:f>IF(I95="PASS",1,0)</x:f>
        <x:v>0</x:v>
      </x:c>
      <x:c r="K95" s="28" t="str">
        <x:v>Evidence Release Authority</x:v>
      </x:c>
      <x:c r="L95" s="30" t="str">
        <x:v>future accepted artifact</x:v>
      </x:c>
    </x:row>
    <x:row r="96">
      <x:c r="B96" s="28" t="str">
        <x:v>C12-G2</x:v>
      </x:c>
      <x:c r="C96" s="28" t="str">
        <x:v>campaign 12</x:v>
      </x:c>
      <x:c r="D96" s="28" t="str">
        <x:v>G2</x:v>
      </x:c>
      <x:c r="E96" s="28" t="str">
        <x:v>signed test artifact for stage 2</x:v>
      </x:c>
      <x:c r="F96" s="28" t="str">
        <x:v>independent lineage and civil witness</x:v>
      </x:c>
      <x:c r="G96" s="28" t="str">
        <x:v>declared threshold closed without prohibited borrowing</x:v>
      </x:c>
      <x:c r="H96" s="28" t="str">
        <x:v>halt campaign and reopen architecture</x:v>
      </x:c>
      <x:c r="I96" s="28" t="str">
        <x:v>OPEN</x:v>
      </x:c>
      <x:c r="J96" s="28" t="n">
        <x:f>IF(I96="PASS",1,0)</x:f>
        <x:v>0</x:v>
      </x:c>
      <x:c r="K96" s="28" t="str">
        <x:v>Evidence Release Authority</x:v>
      </x:c>
      <x:c r="L96" s="30" t="str">
        <x:v>future accepted artifact</x:v>
      </x:c>
    </x:row>
    <x:row r="97">
      <x:c r="B97" s="28" t="str">
        <x:v>C12-G3</x:v>
      </x:c>
      <x:c r="C97" s="28" t="str">
        <x:v>campaign 12</x:v>
      </x:c>
      <x:c r="D97" s="28" t="str">
        <x:v>G3</x:v>
      </x:c>
      <x:c r="E97" s="28" t="str">
        <x:v>signed test artifact for stage 3</x:v>
      </x:c>
      <x:c r="F97" s="28" t="str">
        <x:v>independent lineage and civil witness</x:v>
      </x:c>
      <x:c r="G97" s="28" t="str">
        <x:v>declared threshold closed without prohibited borrowing</x:v>
      </x:c>
      <x:c r="H97" s="28" t="str">
        <x:v>halt campaign and reopen architecture</x:v>
      </x:c>
      <x:c r="I97" s="28" t="str">
        <x:v>OPEN</x:v>
      </x:c>
      <x:c r="J97" s="28" t="n">
        <x:f>IF(I97="PASS",1,0)</x:f>
        <x:v>0</x:v>
      </x:c>
      <x:c r="K97" s="28" t="str">
        <x:v>Evidence Release Authority</x:v>
      </x:c>
      <x:c r="L97" s="30" t="str">
        <x:v>future accepted artifact</x:v>
      </x:c>
    </x:row>
    <x:row r="98">
      <x:c r="B98" s="28" t="str">
        <x:v>C12-G4</x:v>
      </x:c>
      <x:c r="C98" s="28" t="str">
        <x:v>campaign 12</x:v>
      </x:c>
      <x:c r="D98" s="28" t="str">
        <x:v>G4</x:v>
      </x:c>
      <x:c r="E98" s="28" t="str">
        <x:v>signed test artifact for stage 4</x:v>
      </x:c>
      <x:c r="F98" s="28" t="str">
        <x:v>independent lineage and civil witness</x:v>
      </x:c>
      <x:c r="G98" s="28" t="str">
        <x:v>declared threshold closed without prohibited borrowing</x:v>
      </x:c>
      <x:c r="H98" s="28" t="str">
        <x:v>halt campaign and reopen architecture</x:v>
      </x:c>
      <x:c r="I98" s="28" t="str">
        <x:v>OPEN</x:v>
      </x:c>
      <x:c r="J98" s="28" t="n">
        <x:f>IF(I98="PASS",1,0)</x:f>
        <x:v>0</x:v>
      </x:c>
      <x:c r="K98" s="28" t="str">
        <x:v>Evidence Release Authority</x:v>
      </x:c>
      <x:c r="L98" s="30" t="str">
        <x:v>future accepted artifact</x:v>
      </x:c>
    </x:row>
    <x:row r="99">
      <x:c r="B99" s="28" t="str">
        <x:v>C12-G5</x:v>
      </x:c>
      <x:c r="C99" s="28" t="str">
        <x:v>campaign 12</x:v>
      </x:c>
      <x:c r="D99" s="28" t="str">
        <x:v>G5</x:v>
      </x:c>
      <x:c r="E99" s="28" t="str">
        <x:v>signed test artifact for stage 5</x:v>
      </x:c>
      <x:c r="F99" s="28" t="str">
        <x:v>independent lineage and civil witness</x:v>
      </x:c>
      <x:c r="G99" s="28" t="str">
        <x:v>declared threshold closed without prohibited borrowing</x:v>
      </x:c>
      <x:c r="H99" s="28" t="str">
        <x:v>halt campaign and reopen architecture</x:v>
      </x:c>
      <x:c r="I99" s="28" t="str">
        <x:v>OPEN</x:v>
      </x:c>
      <x:c r="J99" s="28" t="n">
        <x:f>IF(I99="PASS",1,0)</x:f>
        <x:v>0</x:v>
      </x:c>
      <x:c r="K99" s="28" t="str">
        <x:v>Evidence Release Authority</x:v>
      </x:c>
      <x:c r="L99" s="30" t="str">
        <x:v>future accepted artifact</x:v>
      </x:c>
    </x:row>
    <x:row r="100">
      <x:c r="B100" s="28" t="str">
        <x:v>C12-G6</x:v>
      </x:c>
      <x:c r="C100" s="28" t="str">
        <x:v>campaign 12</x:v>
      </x:c>
      <x:c r="D100" s="28" t="str">
        <x:v>G6</x:v>
      </x:c>
      <x:c r="E100" s="28" t="str">
        <x:v>signed test artifact for stage 6</x:v>
      </x:c>
      <x:c r="F100" s="28" t="str">
        <x:v>independent lineage and civil witness</x:v>
      </x:c>
      <x:c r="G100" s="28" t="str">
        <x:v>declared threshold closed without prohibited borrowing</x:v>
      </x:c>
      <x:c r="H100" s="28" t="str">
        <x:v>halt campaign and reopen architecture</x:v>
      </x:c>
      <x:c r="I100" s="28" t="str">
        <x:v>OPEN</x:v>
      </x:c>
      <x:c r="J100" s="28" t="n">
        <x:f>IF(I100="PASS",1,0)</x:f>
        <x:v>0</x:v>
      </x:c>
      <x:c r="K100" s="28" t="str">
        <x:v>Evidence Release Authority</x:v>
      </x:c>
      <x:c r="L100" s="30" t="str">
        <x:v>future accepted artifact</x:v>
      </x:c>
    </x:row>
    <x:row r="101">
      <x:c r="B101" s="28" t="str">
        <x:v>C12-G7</x:v>
      </x:c>
      <x:c r="C101" s="28" t="str">
        <x:v>campaign 12</x:v>
      </x:c>
      <x:c r="D101" s="28" t="str">
        <x:v>G7</x:v>
      </x:c>
      <x:c r="E101" s="28" t="str">
        <x:v>signed test artifact for stage 7</x:v>
      </x:c>
      <x:c r="F101" s="28" t="str">
        <x:v>independent lineage and civil witness</x:v>
      </x:c>
      <x:c r="G101" s="28" t="str">
        <x:v>declared threshold closed without prohibited borrowing</x:v>
      </x:c>
      <x:c r="H101" s="28" t="str">
        <x:v>halt campaign and reopen architecture</x:v>
      </x:c>
      <x:c r="I101" s="28" t="str">
        <x:v>OPEN</x:v>
      </x:c>
      <x:c r="J101" s="28" t="n">
        <x:f>IF(I101="PASS",1,0)</x:f>
        <x:v>0</x:v>
      </x:c>
      <x:c r="K101" s="28" t="str">
        <x:v>Evidence Release Authority</x:v>
      </x:c>
      <x:c r="L101" s="30" t="str">
        <x:v>future accepted artifact</x:v>
      </x:c>
    </x:row>
    <x:row r="102">
      <x:c r="B102" s="28" t="str">
        <x:v>C12-G8</x:v>
      </x:c>
      <x:c r="C102" s="28" t="str">
        <x:v>campaign 12</x:v>
      </x:c>
      <x:c r="D102" s="28" t="str">
        <x:v>G8</x:v>
      </x:c>
      <x:c r="E102" s="28" t="str">
        <x:v>signed test artifact for stage 8</x:v>
      </x:c>
      <x:c r="F102" s="28" t="str">
        <x:v>independent lineage and civil witness</x:v>
      </x:c>
      <x:c r="G102" s="28" t="str">
        <x:v>declared threshold closed without prohibited borrowing</x:v>
      </x:c>
      <x:c r="H102" s="28" t="str">
        <x:v>halt campaign and reopen architecture</x:v>
      </x:c>
      <x:c r="I102" s="28" t="str">
        <x:v>OPEN</x:v>
      </x:c>
      <x:c r="J102" s="28" t="n">
        <x:f>IF(I102="PASS",1,0)</x:f>
        <x:v>0</x:v>
      </x:c>
      <x:c r="K102" s="28" t="str">
        <x:v>Evidence Release Authority</x:v>
      </x:c>
      <x:c r="L102" s="30" t="str">
        <x:v>future accepted artifact</x:v>
      </x:c>
    </x:row>
    <x:row r="103">
      <x:c r="B103" s="28" t="str">
        <x:v>C13-G1</x:v>
      </x:c>
      <x:c r="C103" s="28" t="str">
        <x:v>campaign 13</x:v>
      </x:c>
      <x:c r="D103" s="28" t="str">
        <x:v>G1</x:v>
      </x:c>
      <x:c r="E103" s="28" t="str">
        <x:v>signed test artifact for stage 1</x:v>
      </x:c>
      <x:c r="F103" s="28" t="str">
        <x:v>independent lineage and civil witness</x:v>
      </x:c>
      <x:c r="G103" s="28" t="str">
        <x:v>declared threshold closed without prohibited borrowing</x:v>
      </x:c>
      <x:c r="H103" s="28" t="str">
        <x:v>halt campaign and reopen architecture</x:v>
      </x:c>
      <x:c r="I103" s="28" t="str">
        <x:v>OPEN</x:v>
      </x:c>
      <x:c r="J103" s="28" t="n">
        <x:f>IF(I103="PASS",1,0)</x:f>
        <x:v>0</x:v>
      </x:c>
      <x:c r="K103" s="28" t="str">
        <x:v>Evidence Release Authority</x:v>
      </x:c>
      <x:c r="L103" s="30" t="str">
        <x:v>future accepted artifact</x:v>
      </x:c>
    </x:row>
    <x:row r="104">
      <x:c r="B104" s="28" t="str">
        <x:v>C13-G2</x:v>
      </x:c>
      <x:c r="C104" s="28" t="str">
        <x:v>campaign 13</x:v>
      </x:c>
      <x:c r="D104" s="28" t="str">
        <x:v>G2</x:v>
      </x:c>
      <x:c r="E104" s="28" t="str">
        <x:v>signed test artifact for stage 2</x:v>
      </x:c>
      <x:c r="F104" s="28" t="str">
        <x:v>independent lineage and civil witness</x:v>
      </x:c>
      <x:c r="G104" s="28" t="str">
        <x:v>declared threshold closed without prohibited borrowing</x:v>
      </x:c>
      <x:c r="H104" s="28" t="str">
        <x:v>halt campaign and reopen architecture</x:v>
      </x:c>
      <x:c r="I104" s="28" t="str">
        <x:v>OPEN</x:v>
      </x:c>
      <x:c r="J104" s="28" t="n">
        <x:f>IF(I104="PASS",1,0)</x:f>
        <x:v>0</x:v>
      </x:c>
      <x:c r="K104" s="28" t="str">
        <x:v>Evidence Release Authority</x:v>
      </x:c>
      <x:c r="L104" s="30" t="str">
        <x:v>future accepted artifact</x:v>
      </x:c>
    </x:row>
    <x:row r="105">
      <x:c r="B105" s="28" t="str">
        <x:v>C13-G3</x:v>
      </x:c>
      <x:c r="C105" s="28" t="str">
        <x:v>campaign 13</x:v>
      </x:c>
      <x:c r="D105" s="28" t="str">
        <x:v>G3</x:v>
      </x:c>
      <x:c r="E105" s="28" t="str">
        <x:v>signed test artifact for stage 3</x:v>
      </x:c>
      <x:c r="F105" s="28" t="str">
        <x:v>independent lineage and civil witness</x:v>
      </x:c>
      <x:c r="G105" s="28" t="str">
        <x:v>declared threshold closed without prohibited borrowing</x:v>
      </x:c>
      <x:c r="H105" s="28" t="str">
        <x:v>halt campaign and reopen architecture</x:v>
      </x:c>
      <x:c r="I105" s="28" t="str">
        <x:v>OPEN</x:v>
      </x:c>
      <x:c r="J105" s="28" t="n">
        <x:f>IF(I105="PASS",1,0)</x:f>
        <x:v>0</x:v>
      </x:c>
      <x:c r="K105" s="28" t="str">
        <x:v>Evidence Release Authority</x:v>
      </x:c>
      <x:c r="L105" s="30" t="str">
        <x:v>future accepted artifact</x:v>
      </x:c>
    </x:row>
    <x:row r="106">
      <x:c r="B106" s="28" t="str">
        <x:v>C13-G4</x:v>
      </x:c>
      <x:c r="C106" s="28" t="str">
        <x:v>campaign 13</x:v>
      </x:c>
      <x:c r="D106" s="28" t="str">
        <x:v>G4</x:v>
      </x:c>
      <x:c r="E106" s="28" t="str">
        <x:v>signed test artifact for stage 4</x:v>
      </x:c>
      <x:c r="F106" s="28" t="str">
        <x:v>independent lineage and civil witness</x:v>
      </x:c>
      <x:c r="G106" s="28" t="str">
        <x:v>declared threshold closed without prohibited borrowing</x:v>
      </x:c>
      <x:c r="H106" s="28" t="str">
        <x:v>halt campaign and reopen architecture</x:v>
      </x:c>
      <x:c r="I106" s="28" t="str">
        <x:v>OPEN</x:v>
      </x:c>
      <x:c r="J106" s="28" t="n">
        <x:f>IF(I106="PASS",1,0)</x:f>
        <x:v>0</x:v>
      </x:c>
      <x:c r="K106" s="28" t="str">
        <x:v>Evidence Release Authority</x:v>
      </x:c>
      <x:c r="L106" s="30" t="str">
        <x:v>future accepted artifact</x:v>
      </x:c>
    </x:row>
    <x:row r="107">
      <x:c r="B107" s="28" t="str">
        <x:v>C13-G5</x:v>
      </x:c>
      <x:c r="C107" s="28" t="str">
        <x:v>campaign 13</x:v>
      </x:c>
      <x:c r="D107" s="28" t="str">
        <x:v>G5</x:v>
      </x:c>
      <x:c r="E107" s="28" t="str">
        <x:v>signed test artifact for stage 5</x:v>
      </x:c>
      <x:c r="F107" s="28" t="str">
        <x:v>independent lineage and civil witness</x:v>
      </x:c>
      <x:c r="G107" s="28" t="str">
        <x:v>declared threshold closed without prohibited borrowing</x:v>
      </x:c>
      <x:c r="H107" s="28" t="str">
        <x:v>halt campaign and reopen architecture</x:v>
      </x:c>
      <x:c r="I107" s="28" t="str">
        <x:v>OPEN</x:v>
      </x:c>
      <x:c r="J107" s="28" t="n">
        <x:f>IF(I107="PASS",1,0)</x:f>
        <x:v>0</x:v>
      </x:c>
      <x:c r="K107" s="28" t="str">
        <x:v>Evidence Release Authority</x:v>
      </x:c>
      <x:c r="L107" s="30" t="str">
        <x:v>future accepted artifact</x:v>
      </x:c>
    </x:row>
    <x:row r="108">
      <x:c r="B108" s="28" t="str">
        <x:v>C13-G6</x:v>
      </x:c>
      <x:c r="C108" s="28" t="str">
        <x:v>campaign 13</x:v>
      </x:c>
      <x:c r="D108" s="28" t="str">
        <x:v>G6</x:v>
      </x:c>
      <x:c r="E108" s="28" t="str">
        <x:v>signed test artifact for stage 6</x:v>
      </x:c>
      <x:c r="F108" s="28" t="str">
        <x:v>independent lineage and civil witness</x:v>
      </x:c>
      <x:c r="G108" s="28" t="str">
        <x:v>declared threshold closed without prohibited borrowing</x:v>
      </x:c>
      <x:c r="H108" s="28" t="str">
        <x:v>halt campaign and reopen architecture</x:v>
      </x:c>
      <x:c r="I108" s="28" t="str">
        <x:v>OPEN</x:v>
      </x:c>
      <x:c r="J108" s="28" t="n">
        <x:f>IF(I108="PASS",1,0)</x:f>
        <x:v>0</x:v>
      </x:c>
      <x:c r="K108" s="28" t="str">
        <x:v>Evidence Release Authority</x:v>
      </x:c>
      <x:c r="L108" s="30" t="str">
        <x:v>future accepted artifact</x:v>
      </x:c>
    </x:row>
    <x:row r="109">
      <x:c r="B109" s="28" t="str">
        <x:v>C13-G7</x:v>
      </x:c>
      <x:c r="C109" s="28" t="str">
        <x:v>campaign 13</x:v>
      </x:c>
      <x:c r="D109" s="28" t="str">
        <x:v>G7</x:v>
      </x:c>
      <x:c r="E109" s="28" t="str">
        <x:v>signed test artifact for stage 7</x:v>
      </x:c>
      <x:c r="F109" s="28" t="str">
        <x:v>independent lineage and civil witness</x:v>
      </x:c>
      <x:c r="G109" s="28" t="str">
        <x:v>declared threshold closed without prohibited borrowing</x:v>
      </x:c>
      <x:c r="H109" s="28" t="str">
        <x:v>halt campaign and reopen architecture</x:v>
      </x:c>
      <x:c r="I109" s="28" t="str">
        <x:v>OPEN</x:v>
      </x:c>
      <x:c r="J109" s="28" t="n">
        <x:f>IF(I109="PASS",1,0)</x:f>
        <x:v>0</x:v>
      </x:c>
      <x:c r="K109" s="28" t="str">
        <x:v>Evidence Release Authority</x:v>
      </x:c>
      <x:c r="L109" s="30" t="str">
        <x:v>future accepted artifact</x:v>
      </x:c>
    </x:row>
    <x:row r="110">
      <x:c r="B110" s="28" t="str">
        <x:v>C13-G8</x:v>
      </x:c>
      <x:c r="C110" s="28" t="str">
        <x:v>campaign 13</x:v>
      </x:c>
      <x:c r="D110" s="28" t="str">
        <x:v>G8</x:v>
      </x:c>
      <x:c r="E110" s="28" t="str">
        <x:v>signed test artifact for stage 8</x:v>
      </x:c>
      <x:c r="F110" s="28" t="str">
        <x:v>independent lineage and civil witness</x:v>
      </x:c>
      <x:c r="G110" s="28" t="str">
        <x:v>declared threshold closed without prohibited borrowing</x:v>
      </x:c>
      <x:c r="H110" s="28" t="str">
        <x:v>halt campaign and reopen architecture</x:v>
      </x:c>
      <x:c r="I110" s="28" t="str">
        <x:v>OPEN</x:v>
      </x:c>
      <x:c r="J110" s="28" t="n">
        <x:f>IF(I110="PASS",1,0)</x:f>
        <x:v>0</x:v>
      </x:c>
      <x:c r="K110" s="28" t="str">
        <x:v>Evidence Release Authority</x:v>
      </x:c>
      <x:c r="L110" s="30" t="str">
        <x:v>future accepted artifact</x:v>
      </x:c>
    </x:row>
    <x:row r="111">
      <x:c r="B111" s="28" t="str">
        <x:v>C14-G1</x:v>
      </x:c>
      <x:c r="C111" s="28" t="str">
        <x:v>campaign 14</x:v>
      </x:c>
      <x:c r="D111" s="28" t="str">
        <x:v>G1</x:v>
      </x:c>
      <x:c r="E111" s="28" t="str">
        <x:v>signed test artifact for stage 1</x:v>
      </x:c>
      <x:c r="F111" s="28" t="str">
        <x:v>independent lineage and civil witness</x:v>
      </x:c>
      <x:c r="G111" s="28" t="str">
        <x:v>declared threshold closed without prohibited borrowing</x:v>
      </x:c>
      <x:c r="H111" s="28" t="str">
        <x:v>halt campaign and reopen architecture</x:v>
      </x:c>
      <x:c r="I111" s="28" t="str">
        <x:v>OPEN</x:v>
      </x:c>
      <x:c r="J111" s="28" t="n">
        <x:f>IF(I111="PASS",1,0)</x:f>
        <x:v>0</x:v>
      </x:c>
      <x:c r="K111" s="28" t="str">
        <x:v>Evidence Release Authority</x:v>
      </x:c>
      <x:c r="L111" s="30" t="str">
        <x:v>future accepted artifact</x:v>
      </x:c>
    </x:row>
    <x:row r="112">
      <x:c r="B112" s="28" t="str">
        <x:v>C14-G2</x:v>
      </x:c>
      <x:c r="C112" s="28" t="str">
        <x:v>campaign 14</x:v>
      </x:c>
      <x:c r="D112" s="28" t="str">
        <x:v>G2</x:v>
      </x:c>
      <x:c r="E112" s="28" t="str">
        <x:v>signed test artifact for stage 2</x:v>
      </x:c>
      <x:c r="F112" s="28" t="str">
        <x:v>independent lineage and civil witness</x:v>
      </x:c>
      <x:c r="G112" s="28" t="str">
        <x:v>declared threshold closed without prohibited borrowing</x:v>
      </x:c>
      <x:c r="H112" s="28" t="str">
        <x:v>halt campaign and reopen architecture</x:v>
      </x:c>
      <x:c r="I112" s="28" t="str">
        <x:v>OPEN</x:v>
      </x:c>
      <x:c r="J112" s="28" t="n">
        <x:f>IF(I112="PASS",1,0)</x:f>
        <x:v>0</x:v>
      </x:c>
      <x:c r="K112" s="28" t="str">
        <x:v>Evidence Release Authority</x:v>
      </x:c>
      <x:c r="L112" s="30" t="str">
        <x:v>future accepted artifact</x:v>
      </x:c>
    </x:row>
    <x:row r="113">
      <x:c r="B113" s="28" t="str">
        <x:v>C14-G3</x:v>
      </x:c>
      <x:c r="C113" s="28" t="str">
        <x:v>campaign 14</x:v>
      </x:c>
      <x:c r="D113" s="28" t="str">
        <x:v>G3</x:v>
      </x:c>
      <x:c r="E113" s="28" t="str">
        <x:v>signed test artifact for stage 3</x:v>
      </x:c>
      <x:c r="F113" s="28" t="str">
        <x:v>independent lineage and civil witness</x:v>
      </x:c>
      <x:c r="G113" s="28" t="str">
        <x:v>declared threshold closed without prohibited borrowing</x:v>
      </x:c>
      <x:c r="H113" s="28" t="str">
        <x:v>halt campaign and reopen architecture</x:v>
      </x:c>
      <x:c r="I113" s="28" t="str">
        <x:v>OPEN</x:v>
      </x:c>
      <x:c r="J113" s="28" t="n">
        <x:f>IF(I113="PASS",1,0)</x:f>
        <x:v>0</x:v>
      </x:c>
      <x:c r="K113" s="28" t="str">
        <x:v>Evidence Release Authority</x:v>
      </x:c>
      <x:c r="L113" s="30" t="str">
        <x:v>future accepted artifact</x:v>
      </x:c>
    </x:row>
    <x:row r="114">
      <x:c r="B114" s="28" t="str">
        <x:v>C14-G4</x:v>
      </x:c>
      <x:c r="C114" s="28" t="str">
        <x:v>campaign 14</x:v>
      </x:c>
      <x:c r="D114" s="28" t="str">
        <x:v>G4</x:v>
      </x:c>
      <x:c r="E114" s="28" t="str">
        <x:v>signed test artifact for stage 4</x:v>
      </x:c>
      <x:c r="F114" s="28" t="str">
        <x:v>independent lineage and civil witness</x:v>
      </x:c>
      <x:c r="G114" s="28" t="str">
        <x:v>declared threshold closed without prohibited borrowing</x:v>
      </x:c>
      <x:c r="H114" s="28" t="str">
        <x:v>halt campaign and reopen architecture</x:v>
      </x:c>
      <x:c r="I114" s="28" t="str">
        <x:v>OPEN</x:v>
      </x:c>
      <x:c r="J114" s="28" t="n">
        <x:f>IF(I114="PASS",1,0)</x:f>
        <x:v>0</x:v>
      </x:c>
      <x:c r="K114" s="28" t="str">
        <x:v>Evidence Release Authority</x:v>
      </x:c>
      <x:c r="L114" s="30" t="str">
        <x:v>future accepted artifact</x:v>
      </x:c>
    </x:row>
    <x:row r="115">
      <x:c r="B115" s="28" t="str">
        <x:v>C14-G5</x:v>
      </x:c>
      <x:c r="C115" s="28" t="str">
        <x:v>campaign 14</x:v>
      </x:c>
      <x:c r="D115" s="28" t="str">
        <x:v>G5</x:v>
      </x:c>
      <x:c r="E115" s="28" t="str">
        <x:v>signed test artifact for stage 5</x:v>
      </x:c>
      <x:c r="F115" s="28" t="str">
        <x:v>independent lineage and civil witness</x:v>
      </x:c>
      <x:c r="G115" s="28" t="str">
        <x:v>declared threshold closed without prohibited borrowing</x:v>
      </x:c>
      <x:c r="H115" s="28" t="str">
        <x:v>halt campaign and reopen architecture</x:v>
      </x:c>
      <x:c r="I115" s="28" t="str">
        <x:v>OPEN</x:v>
      </x:c>
      <x:c r="J115" s="28" t="n">
        <x:f>IF(I115="PASS",1,0)</x:f>
        <x:v>0</x:v>
      </x:c>
      <x:c r="K115" s="28" t="str">
        <x:v>Evidence Release Authority</x:v>
      </x:c>
      <x:c r="L115" s="30" t="str">
        <x:v>future accepted artifact</x:v>
      </x:c>
    </x:row>
    <x:row r="116">
      <x:c r="B116" s="28" t="str">
        <x:v>C14-G6</x:v>
      </x:c>
      <x:c r="C116" s="28" t="str">
        <x:v>campaign 14</x:v>
      </x:c>
      <x:c r="D116" s="28" t="str">
        <x:v>G6</x:v>
      </x:c>
      <x:c r="E116" s="28" t="str">
        <x:v>signed test artifact for stage 6</x:v>
      </x:c>
      <x:c r="F116" s="28" t="str">
        <x:v>independent lineage and civil witness</x:v>
      </x:c>
      <x:c r="G116" s="28" t="str">
        <x:v>declared threshold closed without prohibited borrowing</x:v>
      </x:c>
      <x:c r="H116" s="28" t="str">
        <x:v>halt campaign and reopen architecture</x:v>
      </x:c>
      <x:c r="I116" s="28" t="str">
        <x:v>OPEN</x:v>
      </x:c>
      <x:c r="J116" s="28" t="n">
        <x:f>IF(I116="PASS",1,0)</x:f>
        <x:v>0</x:v>
      </x:c>
      <x:c r="K116" s="28" t="str">
        <x:v>Evidence Release Authority</x:v>
      </x:c>
      <x:c r="L116" s="30" t="str">
        <x:v>future accepted artifact</x:v>
      </x:c>
    </x:row>
    <x:row r="117">
      <x:c r="B117" s="28" t="str">
        <x:v>C14-G7</x:v>
      </x:c>
      <x:c r="C117" s="28" t="str">
        <x:v>campaign 14</x:v>
      </x:c>
      <x:c r="D117" s="28" t="str">
        <x:v>G7</x:v>
      </x:c>
      <x:c r="E117" s="28" t="str">
        <x:v>signed test artifact for stage 7</x:v>
      </x:c>
      <x:c r="F117" s="28" t="str">
        <x:v>independent lineage and civil witness</x:v>
      </x:c>
      <x:c r="G117" s="28" t="str">
        <x:v>declared threshold closed without prohibited borrowing</x:v>
      </x:c>
      <x:c r="H117" s="28" t="str">
        <x:v>halt campaign and reopen architecture</x:v>
      </x:c>
      <x:c r="I117" s="28" t="str">
        <x:v>OPEN</x:v>
      </x:c>
      <x:c r="J117" s="28" t="n">
        <x:f>IF(I117="PASS",1,0)</x:f>
        <x:v>0</x:v>
      </x:c>
      <x:c r="K117" s="28" t="str">
        <x:v>Evidence Release Authority</x:v>
      </x:c>
      <x:c r="L117" s="30" t="str">
        <x:v>future accepted artifact</x:v>
      </x:c>
    </x:row>
    <x:row r="118">
      <x:c r="B118" s="28" t="str">
        <x:v>C14-G8</x:v>
      </x:c>
      <x:c r="C118" s="28" t="str">
        <x:v>campaign 14</x:v>
      </x:c>
      <x:c r="D118" s="28" t="str">
        <x:v>G8</x:v>
      </x:c>
      <x:c r="E118" s="28" t="str">
        <x:v>signed test artifact for stage 8</x:v>
      </x:c>
      <x:c r="F118" s="28" t="str">
        <x:v>independent lineage and civil witness</x:v>
      </x:c>
      <x:c r="G118" s="28" t="str">
        <x:v>declared threshold closed without prohibited borrowing</x:v>
      </x:c>
      <x:c r="H118" s="28" t="str">
        <x:v>halt campaign and reopen architecture</x:v>
      </x:c>
      <x:c r="I118" s="28" t="str">
        <x:v>OPEN</x:v>
      </x:c>
      <x:c r="J118" s="28" t="n">
        <x:f>IF(I118="PASS",1,0)</x:f>
        <x:v>0</x:v>
      </x:c>
      <x:c r="K118" s="28" t="str">
        <x:v>Evidence Release Authority</x:v>
      </x:c>
      <x:c r="L118" s="30" t="str">
        <x:v>future accepted artifact</x:v>
      </x:c>
    </x:row>
    <x:row r="119">
      <x:c r="B119" s="28" t="str">
        <x:v>C15-G1</x:v>
      </x:c>
      <x:c r="C119" s="28" t="str">
        <x:v>campaign 15</x:v>
      </x:c>
      <x:c r="D119" s="28" t="str">
        <x:v>G1</x:v>
      </x:c>
      <x:c r="E119" s="28" t="str">
        <x:v>signed test artifact for stage 1</x:v>
      </x:c>
      <x:c r="F119" s="28" t="str">
        <x:v>independent lineage and civil witness</x:v>
      </x:c>
      <x:c r="G119" s="28" t="str">
        <x:v>declared threshold closed without prohibited borrowing</x:v>
      </x:c>
      <x:c r="H119" s="28" t="str">
        <x:v>halt campaign and reopen architecture</x:v>
      </x:c>
      <x:c r="I119" s="28" t="str">
        <x:v>OPEN</x:v>
      </x:c>
      <x:c r="J119" s="28" t="n">
        <x:f>IF(I119="PASS",1,0)</x:f>
        <x:v>0</x:v>
      </x:c>
      <x:c r="K119" s="28" t="str">
        <x:v>Evidence Release Authority</x:v>
      </x:c>
      <x:c r="L119" s="30" t="str">
        <x:v>future accepted artifact</x:v>
      </x:c>
    </x:row>
    <x:row r="120">
      <x:c r="B120" s="28" t="str">
        <x:v>C15-G2</x:v>
      </x:c>
      <x:c r="C120" s="28" t="str">
        <x:v>campaign 15</x:v>
      </x:c>
      <x:c r="D120" s="28" t="str">
        <x:v>G2</x:v>
      </x:c>
      <x:c r="E120" s="28" t="str">
        <x:v>signed test artifact for stage 2</x:v>
      </x:c>
      <x:c r="F120" s="28" t="str">
        <x:v>independent lineage and civil witness</x:v>
      </x:c>
      <x:c r="G120" s="28" t="str">
        <x:v>declared threshold closed without prohibited borrowing</x:v>
      </x:c>
      <x:c r="H120" s="28" t="str">
        <x:v>halt campaign and reopen architecture</x:v>
      </x:c>
      <x:c r="I120" s="28" t="str">
        <x:v>OPEN</x:v>
      </x:c>
      <x:c r="J120" s="28" t="n">
        <x:f>IF(I120="PASS",1,0)</x:f>
        <x:v>0</x:v>
      </x:c>
      <x:c r="K120" s="28" t="str">
        <x:v>Evidence Release Authority</x:v>
      </x:c>
      <x:c r="L120" s="30" t="str">
        <x:v>future accepted artifact</x:v>
      </x:c>
    </x:row>
    <x:row r="121">
      <x:c r="B121" s="28" t="str">
        <x:v>C15-G3</x:v>
      </x:c>
      <x:c r="C121" s="28" t="str">
        <x:v>campaign 15</x:v>
      </x:c>
      <x:c r="D121" s="28" t="str">
        <x:v>G3</x:v>
      </x:c>
      <x:c r="E121" s="28" t="str">
        <x:v>signed test artifact for stage 3</x:v>
      </x:c>
      <x:c r="F121" s="28" t="str">
        <x:v>independent lineage and civil witness</x:v>
      </x:c>
      <x:c r="G121" s="28" t="str">
        <x:v>declared threshold closed without prohibited borrowing</x:v>
      </x:c>
      <x:c r="H121" s="28" t="str">
        <x:v>halt campaign and reopen architecture</x:v>
      </x:c>
      <x:c r="I121" s="28" t="str">
        <x:v>OPEN</x:v>
      </x:c>
      <x:c r="J121" s="28" t="n">
        <x:f>IF(I121="PASS",1,0)</x:f>
        <x:v>0</x:v>
      </x:c>
      <x:c r="K121" s="28" t="str">
        <x:v>Evidence Release Authority</x:v>
      </x:c>
      <x:c r="L121" s="30" t="str">
        <x:v>future accepted artifact</x:v>
      </x:c>
    </x:row>
    <x:row r="122">
      <x:c r="B122" s="28" t="str">
        <x:v>C15-G4</x:v>
      </x:c>
      <x:c r="C122" s="28" t="str">
        <x:v>campaign 15</x:v>
      </x:c>
      <x:c r="D122" s="28" t="str">
        <x:v>G4</x:v>
      </x:c>
      <x:c r="E122" s="28" t="str">
        <x:v>signed test artifact for stage 4</x:v>
      </x:c>
      <x:c r="F122" s="28" t="str">
        <x:v>independent lineage and civil witness</x:v>
      </x:c>
      <x:c r="G122" s="28" t="str">
        <x:v>declared threshold closed without prohibited borrowing</x:v>
      </x:c>
      <x:c r="H122" s="28" t="str">
        <x:v>halt campaign and reopen architecture</x:v>
      </x:c>
      <x:c r="I122" s="28" t="str">
        <x:v>OPEN</x:v>
      </x:c>
      <x:c r="J122" s="28" t="n">
        <x:f>IF(I122="PASS",1,0)</x:f>
        <x:v>0</x:v>
      </x:c>
      <x:c r="K122" s="28" t="str">
        <x:v>Evidence Release Authority</x:v>
      </x:c>
      <x:c r="L122" s="30" t="str">
        <x:v>future accepted artifact</x:v>
      </x:c>
    </x:row>
    <x:row r="123">
      <x:c r="B123" s="28" t="str">
        <x:v>C15-G5</x:v>
      </x:c>
      <x:c r="C123" s="28" t="str">
        <x:v>campaign 15</x:v>
      </x:c>
      <x:c r="D123" s="28" t="str">
        <x:v>G5</x:v>
      </x:c>
      <x:c r="E123" s="28" t="str">
        <x:v>signed test artifact for stage 5</x:v>
      </x:c>
      <x:c r="F123" s="28" t="str">
        <x:v>independent lineage and civil witness</x:v>
      </x:c>
      <x:c r="G123" s="28" t="str">
        <x:v>declared threshold closed without prohibited borrowing</x:v>
      </x:c>
      <x:c r="H123" s="28" t="str">
        <x:v>halt campaign and reopen architecture</x:v>
      </x:c>
      <x:c r="I123" s="28" t="str">
        <x:v>OPEN</x:v>
      </x:c>
      <x:c r="J123" s="28" t="n">
        <x:f>IF(I123="PASS",1,0)</x:f>
        <x:v>0</x:v>
      </x:c>
      <x:c r="K123" s="28" t="str">
        <x:v>Evidence Release Authority</x:v>
      </x:c>
      <x:c r="L123" s="30" t="str">
        <x:v>future accepted artifact</x:v>
      </x:c>
    </x:row>
    <x:row r="124">
      <x:c r="B124" s="28" t="str">
        <x:v>C15-G6</x:v>
      </x:c>
      <x:c r="C124" s="28" t="str">
        <x:v>campaign 15</x:v>
      </x:c>
      <x:c r="D124" s="28" t="str">
        <x:v>G6</x:v>
      </x:c>
      <x:c r="E124" s="28" t="str">
        <x:v>signed test artifact for stage 6</x:v>
      </x:c>
      <x:c r="F124" s="28" t="str">
        <x:v>independent lineage and civil witness</x:v>
      </x:c>
      <x:c r="G124" s="28" t="str">
        <x:v>declared threshold closed without prohibited borrowing</x:v>
      </x:c>
      <x:c r="H124" s="28" t="str">
        <x:v>halt campaign and reopen architecture</x:v>
      </x:c>
      <x:c r="I124" s="28" t="str">
        <x:v>OPEN</x:v>
      </x:c>
      <x:c r="J124" s="28" t="n">
        <x:f>IF(I124="PASS",1,0)</x:f>
        <x:v>0</x:v>
      </x:c>
      <x:c r="K124" s="28" t="str">
        <x:v>Evidence Release Authority</x:v>
      </x:c>
      <x:c r="L124" s="30" t="str">
        <x:v>future accepted artifact</x:v>
      </x:c>
    </x:row>
    <x:row r="125">
      <x:c r="B125" s="28" t="str">
        <x:v>C15-G7</x:v>
      </x:c>
      <x:c r="C125" s="28" t="str">
        <x:v>campaign 15</x:v>
      </x:c>
      <x:c r="D125" s="28" t="str">
        <x:v>G7</x:v>
      </x:c>
      <x:c r="E125" s="28" t="str">
        <x:v>signed test artifact for stage 7</x:v>
      </x:c>
      <x:c r="F125" s="28" t="str">
        <x:v>independent lineage and civil witness</x:v>
      </x:c>
      <x:c r="G125" s="28" t="str">
        <x:v>declared threshold closed without prohibited borrowing</x:v>
      </x:c>
      <x:c r="H125" s="28" t="str">
        <x:v>halt campaign and reopen architecture</x:v>
      </x:c>
      <x:c r="I125" s="28" t="str">
        <x:v>OPEN</x:v>
      </x:c>
      <x:c r="J125" s="28" t="n">
        <x:f>IF(I125="PASS",1,0)</x:f>
        <x:v>0</x:v>
      </x:c>
      <x:c r="K125" s="28" t="str">
        <x:v>Evidence Release Authority</x:v>
      </x:c>
      <x:c r="L125" s="30" t="str">
        <x:v>future accepted artifact</x:v>
      </x:c>
    </x:row>
    <x:row r="126">
      <x:c r="B126" s="28" t="str">
        <x:v>C15-G8</x:v>
      </x:c>
      <x:c r="C126" s="28" t="str">
        <x:v>campaign 15</x:v>
      </x:c>
      <x:c r="D126" s="28" t="str">
        <x:v>G8</x:v>
      </x:c>
      <x:c r="E126" s="28" t="str">
        <x:v>signed test artifact for stage 8</x:v>
      </x:c>
      <x:c r="F126" s="28" t="str">
        <x:v>independent lineage and civil witness</x:v>
      </x:c>
      <x:c r="G126" s="28" t="str">
        <x:v>declared threshold closed without prohibited borrowing</x:v>
      </x:c>
      <x:c r="H126" s="28" t="str">
        <x:v>halt campaign and reopen architecture</x:v>
      </x:c>
      <x:c r="I126" s="28" t="str">
        <x:v>OPEN</x:v>
      </x:c>
      <x:c r="J126" s="28" t="n">
        <x:f>IF(I126="PASS",1,0)</x:f>
        <x:v>0</x:v>
      </x:c>
      <x:c r="K126" s="28" t="str">
        <x:v>Evidence Release Authority</x:v>
      </x:c>
      <x:c r="L126" s="30" t="str">
        <x:v>future accepted artifact</x:v>
      </x:c>
    </x:row>
    <x:row r="127">
      <x:c r="B127" s="28" t="str">
        <x:v>C16-G1</x:v>
      </x:c>
      <x:c r="C127" s="28" t="str">
        <x:v>campaign 16</x:v>
      </x:c>
      <x:c r="D127" s="28" t="str">
        <x:v>G1</x:v>
      </x:c>
      <x:c r="E127" s="28" t="str">
        <x:v>signed test artifact for stage 1</x:v>
      </x:c>
      <x:c r="F127" s="28" t="str">
        <x:v>independent lineage and civil witness</x:v>
      </x:c>
      <x:c r="G127" s="28" t="str">
        <x:v>declared threshold closed without prohibited borrowing</x:v>
      </x:c>
      <x:c r="H127" s="28" t="str">
        <x:v>halt campaign and reopen architecture</x:v>
      </x:c>
      <x:c r="I127" s="28" t="str">
        <x:v>OPEN</x:v>
      </x:c>
      <x:c r="J127" s="28" t="n">
        <x:f>IF(I127="PASS",1,0)</x:f>
        <x:v>0</x:v>
      </x:c>
      <x:c r="K127" s="28" t="str">
        <x:v>Evidence Release Authority</x:v>
      </x:c>
      <x:c r="L127" s="30" t="str">
        <x:v>future accepted artifact</x:v>
      </x:c>
    </x:row>
    <x:row r="128">
      <x:c r="B128" s="28" t="str">
        <x:v>C16-G2</x:v>
      </x:c>
      <x:c r="C128" s="28" t="str">
        <x:v>campaign 16</x:v>
      </x:c>
      <x:c r="D128" s="28" t="str">
        <x:v>G2</x:v>
      </x:c>
      <x:c r="E128" s="28" t="str">
        <x:v>signed test artifact for stage 2</x:v>
      </x:c>
      <x:c r="F128" s="28" t="str">
        <x:v>independent lineage and civil witness</x:v>
      </x:c>
      <x:c r="G128" s="28" t="str">
        <x:v>declared threshold closed without prohibited borrowing</x:v>
      </x:c>
      <x:c r="H128" s="28" t="str">
        <x:v>halt campaign and reopen architecture</x:v>
      </x:c>
      <x:c r="I128" s="28" t="str">
        <x:v>OPEN</x:v>
      </x:c>
      <x:c r="J128" s="28" t="n">
        <x:f>IF(I128="PASS",1,0)</x:f>
        <x:v>0</x:v>
      </x:c>
      <x:c r="K128" s="28" t="str">
        <x:v>Evidence Release Authority</x:v>
      </x:c>
      <x:c r="L128" s="30" t="str">
        <x:v>future accepted artifact</x:v>
      </x:c>
    </x:row>
    <x:row r="129">
      <x:c r="B129" s="28" t="str">
        <x:v>C16-G3</x:v>
      </x:c>
      <x:c r="C129" s="28" t="str">
        <x:v>campaign 16</x:v>
      </x:c>
      <x:c r="D129" s="28" t="str">
        <x:v>G3</x:v>
      </x:c>
      <x:c r="E129" s="28" t="str">
        <x:v>signed test artifact for stage 3</x:v>
      </x:c>
      <x:c r="F129" s="28" t="str">
        <x:v>independent lineage and civil witness</x:v>
      </x:c>
      <x:c r="G129" s="28" t="str">
        <x:v>declared threshold closed without prohibited borrowing</x:v>
      </x:c>
      <x:c r="H129" s="28" t="str">
        <x:v>halt campaign and reopen architecture</x:v>
      </x:c>
      <x:c r="I129" s="28" t="str">
        <x:v>OPEN</x:v>
      </x:c>
      <x:c r="J129" s="28" t="n">
        <x:f>IF(I129="PASS",1,0)</x:f>
        <x:v>0</x:v>
      </x:c>
      <x:c r="K129" s="28" t="str">
        <x:v>Evidence Release Authority</x:v>
      </x:c>
      <x:c r="L129" s="30" t="str">
        <x:v>future accepted artifact</x:v>
      </x:c>
    </x:row>
    <x:row r="130">
      <x:c r="B130" s="28" t="str">
        <x:v>C16-G4</x:v>
      </x:c>
      <x:c r="C130" s="28" t="str">
        <x:v>campaign 16</x:v>
      </x:c>
      <x:c r="D130" s="28" t="str">
        <x:v>G4</x:v>
      </x:c>
      <x:c r="E130" s="28" t="str">
        <x:v>signed test artifact for stage 4</x:v>
      </x:c>
      <x:c r="F130" s="28" t="str">
        <x:v>independent lineage and civil witness</x:v>
      </x:c>
      <x:c r="G130" s="28" t="str">
        <x:v>declared threshold closed without prohibited borrowing</x:v>
      </x:c>
      <x:c r="H130" s="28" t="str">
        <x:v>halt campaign and reopen architecture</x:v>
      </x:c>
      <x:c r="I130" s="28" t="str">
        <x:v>OPEN</x:v>
      </x:c>
      <x:c r="J130" s="28" t="n">
        <x:f>IF(I130="PASS",1,0)</x:f>
        <x:v>0</x:v>
      </x:c>
      <x:c r="K130" s="28" t="str">
        <x:v>Evidence Release Authority</x:v>
      </x:c>
      <x:c r="L130" s="30" t="str">
        <x:v>future accepted artifact</x:v>
      </x:c>
    </x:row>
    <x:row r="131">
      <x:c r="B131" s="28" t="str">
        <x:v>C16-G5</x:v>
      </x:c>
      <x:c r="C131" s="28" t="str">
        <x:v>campaign 16</x:v>
      </x:c>
      <x:c r="D131" s="28" t="str">
        <x:v>G5</x:v>
      </x:c>
      <x:c r="E131" s="28" t="str">
        <x:v>signed test artifact for stage 5</x:v>
      </x:c>
      <x:c r="F131" s="28" t="str">
        <x:v>independent lineage and civil witness</x:v>
      </x:c>
      <x:c r="G131" s="28" t="str">
        <x:v>declared threshold closed without prohibited borrowing</x:v>
      </x:c>
      <x:c r="H131" s="28" t="str">
        <x:v>halt campaign and reopen architecture</x:v>
      </x:c>
      <x:c r="I131" s="28" t="str">
        <x:v>OPEN</x:v>
      </x:c>
      <x:c r="J131" s="28" t="n">
        <x:f>IF(I131="PASS",1,0)</x:f>
        <x:v>0</x:v>
      </x:c>
      <x:c r="K131" s="28" t="str">
        <x:v>Evidence Release Authority</x:v>
      </x:c>
      <x:c r="L131" s="30" t="str">
        <x:v>future accepted artifact</x:v>
      </x:c>
    </x:row>
    <x:row r="132">
      <x:c r="B132" s="28" t="str">
        <x:v>C16-G6</x:v>
      </x:c>
      <x:c r="C132" s="28" t="str">
        <x:v>campaign 16</x:v>
      </x:c>
      <x:c r="D132" s="28" t="str">
        <x:v>G6</x:v>
      </x:c>
      <x:c r="E132" s="28" t="str">
        <x:v>signed test artifact for stage 6</x:v>
      </x:c>
      <x:c r="F132" s="28" t="str">
        <x:v>independent lineage and civil witness</x:v>
      </x:c>
      <x:c r="G132" s="28" t="str">
        <x:v>declared threshold closed without prohibited borrowing</x:v>
      </x:c>
      <x:c r="H132" s="28" t="str">
        <x:v>halt campaign and reopen architecture</x:v>
      </x:c>
      <x:c r="I132" s="28" t="str">
        <x:v>OPEN</x:v>
      </x:c>
      <x:c r="J132" s="28" t="n">
        <x:f>IF(I132="PASS",1,0)</x:f>
        <x:v>0</x:v>
      </x:c>
      <x:c r="K132" s="28" t="str">
        <x:v>Evidence Release Authority</x:v>
      </x:c>
      <x:c r="L132" s="30" t="str">
        <x:v>future accepted artifact</x:v>
      </x:c>
    </x:row>
    <x:row r="133">
      <x:c r="B133" s="28" t="str">
        <x:v>C16-G7</x:v>
      </x:c>
      <x:c r="C133" s="28" t="str">
        <x:v>campaign 16</x:v>
      </x:c>
      <x:c r="D133" s="28" t="str">
        <x:v>G7</x:v>
      </x:c>
      <x:c r="E133" s="28" t="str">
        <x:v>signed test artifact for stage 7</x:v>
      </x:c>
      <x:c r="F133" s="28" t="str">
        <x:v>independent lineage and civil witness</x:v>
      </x:c>
      <x:c r="G133" s="28" t="str">
        <x:v>declared threshold closed without prohibited borrowing</x:v>
      </x:c>
      <x:c r="H133" s="28" t="str">
        <x:v>halt campaign and reopen architecture</x:v>
      </x:c>
      <x:c r="I133" s="28" t="str">
        <x:v>OPEN</x:v>
      </x:c>
      <x:c r="J133" s="28" t="n">
        <x:f>IF(I133="PASS",1,0)</x:f>
        <x:v>0</x:v>
      </x:c>
      <x:c r="K133" s="28" t="str">
        <x:v>Evidence Release Authority</x:v>
      </x:c>
      <x:c r="L133" s="30" t="str">
        <x:v>future accepted artifact</x:v>
      </x:c>
    </x:row>
    <x:row r="134">
      <x:c r="B134" s="28" t="str">
        <x:v>C16-G8</x:v>
      </x:c>
      <x:c r="C134" s="28" t="str">
        <x:v>campaign 16</x:v>
      </x:c>
      <x:c r="D134" s="28" t="str">
        <x:v>G8</x:v>
      </x:c>
      <x:c r="E134" s="28" t="str">
        <x:v>signed test artifact for stage 8</x:v>
      </x:c>
      <x:c r="F134" s="28" t="str">
        <x:v>independent lineage and civil witness</x:v>
      </x:c>
      <x:c r="G134" s="28" t="str">
        <x:v>declared threshold closed without prohibited borrowing</x:v>
      </x:c>
      <x:c r="H134" s="28" t="str">
        <x:v>halt campaign and reopen architecture</x:v>
      </x:c>
      <x:c r="I134" s="28" t="str">
        <x:v>OPEN</x:v>
      </x:c>
      <x:c r="J134" s="28" t="n">
        <x:f>IF(I134="PASS",1,0)</x:f>
        <x:v>0</x:v>
      </x:c>
      <x:c r="K134" s="28" t="str">
        <x:v>Evidence Release Authority</x:v>
      </x:c>
      <x:c r="L134" s="30" t="str">
        <x:v>future accepted artifact</x:v>
      </x:c>
    </x:row>
    <x:row r="135">
      <x:c r="B135" s="28" t="str">
        <x:v>C17-G1</x:v>
      </x:c>
      <x:c r="C135" s="28" t="str">
        <x:v>campaign 17</x:v>
      </x:c>
      <x:c r="D135" s="28" t="str">
        <x:v>G1</x:v>
      </x:c>
      <x:c r="E135" s="28" t="str">
        <x:v>signed test artifact for stage 1</x:v>
      </x:c>
      <x:c r="F135" s="28" t="str">
        <x:v>independent lineage and civil witness</x:v>
      </x:c>
      <x:c r="G135" s="28" t="str">
        <x:v>declared threshold closed without prohibited borrowing</x:v>
      </x:c>
      <x:c r="H135" s="28" t="str">
        <x:v>halt campaign and reopen architecture</x:v>
      </x:c>
      <x:c r="I135" s="28" t="str">
        <x:v>OPEN</x:v>
      </x:c>
      <x:c r="J135" s="28" t="n">
        <x:f>IF(I135="PASS",1,0)</x:f>
        <x:v>0</x:v>
      </x:c>
      <x:c r="K135" s="28" t="str">
        <x:v>Evidence Release Authority</x:v>
      </x:c>
      <x:c r="L135" s="30" t="str">
        <x:v>future accepted artifact</x:v>
      </x:c>
    </x:row>
    <x:row r="136">
      <x:c r="B136" s="28" t="str">
        <x:v>C17-G2</x:v>
      </x:c>
      <x:c r="C136" s="28" t="str">
        <x:v>campaign 17</x:v>
      </x:c>
      <x:c r="D136" s="28" t="str">
        <x:v>G2</x:v>
      </x:c>
      <x:c r="E136" s="28" t="str">
        <x:v>signed test artifact for stage 2</x:v>
      </x:c>
      <x:c r="F136" s="28" t="str">
        <x:v>independent lineage and civil witness</x:v>
      </x:c>
      <x:c r="G136" s="28" t="str">
        <x:v>declared threshold closed without prohibited borrowing</x:v>
      </x:c>
      <x:c r="H136" s="28" t="str">
        <x:v>halt campaign and reopen architecture</x:v>
      </x:c>
      <x:c r="I136" s="28" t="str">
        <x:v>OPEN</x:v>
      </x:c>
      <x:c r="J136" s="28" t="n">
        <x:f>IF(I136="PASS",1,0)</x:f>
        <x:v>0</x:v>
      </x:c>
      <x:c r="K136" s="28" t="str">
        <x:v>Evidence Release Authority</x:v>
      </x:c>
      <x:c r="L136" s="30" t="str">
        <x:v>future accepted artifact</x:v>
      </x:c>
    </x:row>
    <x:row r="137">
      <x:c r="B137" s="28" t="str">
        <x:v>C17-G3</x:v>
      </x:c>
      <x:c r="C137" s="28" t="str">
        <x:v>campaign 17</x:v>
      </x:c>
      <x:c r="D137" s="28" t="str">
        <x:v>G3</x:v>
      </x:c>
      <x:c r="E137" s="28" t="str">
        <x:v>signed test artifact for stage 3</x:v>
      </x:c>
      <x:c r="F137" s="28" t="str">
        <x:v>independent lineage and civil witness</x:v>
      </x:c>
      <x:c r="G137" s="28" t="str">
        <x:v>declared threshold closed without prohibited borrowing</x:v>
      </x:c>
      <x:c r="H137" s="28" t="str">
        <x:v>halt campaign and reopen architecture</x:v>
      </x:c>
      <x:c r="I137" s="28" t="str">
        <x:v>OPEN</x:v>
      </x:c>
      <x:c r="J137" s="28" t="n">
        <x:f>IF(I137="PASS",1,0)</x:f>
        <x:v>0</x:v>
      </x:c>
      <x:c r="K137" s="28" t="str">
        <x:v>Evidence Release Authority</x:v>
      </x:c>
      <x:c r="L137" s="30" t="str">
        <x:v>future accepted artifact</x:v>
      </x:c>
    </x:row>
    <x:row r="138">
      <x:c r="B138" s="28" t="str">
        <x:v>C17-G4</x:v>
      </x:c>
      <x:c r="C138" s="28" t="str">
        <x:v>campaign 17</x:v>
      </x:c>
      <x:c r="D138" s="28" t="str">
        <x:v>G4</x:v>
      </x:c>
      <x:c r="E138" s="28" t="str">
        <x:v>signed test artifact for stage 4</x:v>
      </x:c>
      <x:c r="F138" s="28" t="str">
        <x:v>independent lineage and civil witness</x:v>
      </x:c>
      <x:c r="G138" s="28" t="str">
        <x:v>declared threshold closed without prohibited borrowing</x:v>
      </x:c>
      <x:c r="H138" s="28" t="str">
        <x:v>halt campaign and reopen architecture</x:v>
      </x:c>
      <x:c r="I138" s="28" t="str">
        <x:v>OPEN</x:v>
      </x:c>
      <x:c r="J138" s="28" t="n">
        <x:f>IF(I138="PASS",1,0)</x:f>
        <x:v>0</x:v>
      </x:c>
      <x:c r="K138" s="28" t="str">
        <x:v>Evidence Release Authority</x:v>
      </x:c>
      <x:c r="L138" s="30" t="str">
        <x:v>future accepted artifact</x:v>
      </x:c>
    </x:row>
    <x:row r="139">
      <x:c r="B139" s="28" t="str">
        <x:v>C17-G5</x:v>
      </x:c>
      <x:c r="C139" s="28" t="str">
        <x:v>campaign 17</x:v>
      </x:c>
      <x:c r="D139" s="28" t="str">
        <x:v>G5</x:v>
      </x:c>
      <x:c r="E139" s="28" t="str">
        <x:v>signed test artifact for stage 5</x:v>
      </x:c>
      <x:c r="F139" s="28" t="str">
        <x:v>independent lineage and civil witness</x:v>
      </x:c>
      <x:c r="G139" s="28" t="str">
        <x:v>declared threshold closed without prohibited borrowing</x:v>
      </x:c>
      <x:c r="H139" s="28" t="str">
        <x:v>halt campaign and reopen architecture</x:v>
      </x:c>
      <x:c r="I139" s="28" t="str">
        <x:v>OPEN</x:v>
      </x:c>
      <x:c r="J139" s="28" t="n">
        <x:f>IF(I139="PASS",1,0)</x:f>
        <x:v>0</x:v>
      </x:c>
      <x:c r="K139" s="28" t="str">
        <x:v>Evidence Release Authority</x:v>
      </x:c>
      <x:c r="L139" s="30" t="str">
        <x:v>future accepted artifact</x:v>
      </x:c>
    </x:row>
    <x:row r="140">
      <x:c r="B140" s="28" t="str">
        <x:v>C17-G6</x:v>
      </x:c>
      <x:c r="C140" s="28" t="str">
        <x:v>campaign 17</x:v>
      </x:c>
      <x:c r="D140" s="28" t="str">
        <x:v>G6</x:v>
      </x:c>
      <x:c r="E140" s="28" t="str">
        <x:v>signed test artifact for stage 6</x:v>
      </x:c>
      <x:c r="F140" s="28" t="str">
        <x:v>independent lineage and civil witness</x:v>
      </x:c>
      <x:c r="G140" s="28" t="str">
        <x:v>declared threshold closed without prohibited borrowing</x:v>
      </x:c>
      <x:c r="H140" s="28" t="str">
        <x:v>halt campaign and reopen architecture</x:v>
      </x:c>
      <x:c r="I140" s="28" t="str">
        <x:v>OPEN</x:v>
      </x:c>
      <x:c r="J140" s="28" t="n">
        <x:f>IF(I140="PASS",1,0)</x:f>
        <x:v>0</x:v>
      </x:c>
      <x:c r="K140" s="28" t="str">
        <x:v>Evidence Release Authority</x:v>
      </x:c>
      <x:c r="L140" s="30" t="str">
        <x:v>future accepted artifact</x:v>
      </x:c>
    </x:row>
    <x:row r="141">
      <x:c r="B141" s="28" t="str">
        <x:v>C17-G7</x:v>
      </x:c>
      <x:c r="C141" s="28" t="str">
        <x:v>campaign 17</x:v>
      </x:c>
      <x:c r="D141" s="28" t="str">
        <x:v>G7</x:v>
      </x:c>
      <x:c r="E141" s="28" t="str">
        <x:v>signed test artifact for stage 7</x:v>
      </x:c>
      <x:c r="F141" s="28" t="str">
        <x:v>independent lineage and civil witness</x:v>
      </x:c>
      <x:c r="G141" s="28" t="str">
        <x:v>declared threshold closed without prohibited borrowing</x:v>
      </x:c>
      <x:c r="H141" s="28" t="str">
        <x:v>halt campaign and reopen architecture</x:v>
      </x:c>
      <x:c r="I141" s="28" t="str">
        <x:v>OPEN</x:v>
      </x:c>
      <x:c r="J141" s="28" t="n">
        <x:f>IF(I141="PASS",1,0)</x:f>
        <x:v>0</x:v>
      </x:c>
      <x:c r="K141" s="28" t="str">
        <x:v>Evidence Release Authority</x:v>
      </x:c>
      <x:c r="L141" s="30" t="str">
        <x:v>future accepted artifact</x:v>
      </x:c>
    </x:row>
    <x:row r="142">
      <x:c r="B142" s="28" t="str">
        <x:v>C17-G8</x:v>
      </x:c>
      <x:c r="C142" s="28" t="str">
        <x:v>campaign 17</x:v>
      </x:c>
      <x:c r="D142" s="28" t="str">
        <x:v>G8</x:v>
      </x:c>
      <x:c r="E142" s="28" t="str">
        <x:v>signed test artifact for stage 8</x:v>
      </x:c>
      <x:c r="F142" s="28" t="str">
        <x:v>independent lineage and civil witness</x:v>
      </x:c>
      <x:c r="G142" s="28" t="str">
        <x:v>declared threshold closed without prohibited borrowing</x:v>
      </x:c>
      <x:c r="H142" s="28" t="str">
        <x:v>halt campaign and reopen architecture</x:v>
      </x:c>
      <x:c r="I142" s="28" t="str">
        <x:v>OPEN</x:v>
      </x:c>
      <x:c r="J142" s="28" t="n">
        <x:f>IF(I142="PASS",1,0)</x:f>
        <x:v>0</x:v>
      </x:c>
      <x:c r="K142" s="28" t="str">
        <x:v>Evidence Release Authority</x:v>
      </x:c>
      <x:c r="L142" s="30" t="str">
        <x:v>future accepted artifact</x:v>
      </x:c>
    </x:row>
    <x:row r="143">
      <x:c r="B143" s="28" t="str">
        <x:v>C18-G1</x:v>
      </x:c>
      <x:c r="C143" s="28" t="str">
        <x:v>campaign 18</x:v>
      </x:c>
      <x:c r="D143" s="28" t="str">
        <x:v>G1</x:v>
      </x:c>
      <x:c r="E143" s="28" t="str">
        <x:v>signed test artifact for stage 1</x:v>
      </x:c>
      <x:c r="F143" s="28" t="str">
        <x:v>independent lineage and civil witness</x:v>
      </x:c>
      <x:c r="G143" s="28" t="str">
        <x:v>declared threshold closed without prohibited borrowing</x:v>
      </x:c>
      <x:c r="H143" s="28" t="str">
        <x:v>halt campaign and reopen architecture</x:v>
      </x:c>
      <x:c r="I143" s="28" t="str">
        <x:v>OPEN</x:v>
      </x:c>
      <x:c r="J143" s="28" t="n">
        <x:f>IF(I143="PASS",1,0)</x:f>
        <x:v>0</x:v>
      </x:c>
      <x:c r="K143" s="28" t="str">
        <x:v>Evidence Release Authority</x:v>
      </x:c>
      <x:c r="L143" s="30" t="str">
        <x:v>future accepted artifact</x:v>
      </x:c>
    </x:row>
    <x:row r="144">
      <x:c r="B144" s="28" t="str">
        <x:v>C18-G2</x:v>
      </x:c>
      <x:c r="C144" s="28" t="str">
        <x:v>campaign 18</x:v>
      </x:c>
      <x:c r="D144" s="28" t="str">
        <x:v>G2</x:v>
      </x:c>
      <x:c r="E144" s="28" t="str">
        <x:v>signed test artifact for stage 2</x:v>
      </x:c>
      <x:c r="F144" s="28" t="str">
        <x:v>independent lineage and civil witness</x:v>
      </x:c>
      <x:c r="G144" s="28" t="str">
        <x:v>declared threshold closed without prohibited borrowing</x:v>
      </x:c>
      <x:c r="H144" s="28" t="str">
        <x:v>halt campaign and reopen architecture</x:v>
      </x:c>
      <x:c r="I144" s="28" t="str">
        <x:v>OPEN</x:v>
      </x:c>
      <x:c r="J144" s="28" t="n">
        <x:f>IF(I144="PASS",1,0)</x:f>
        <x:v>0</x:v>
      </x:c>
      <x:c r="K144" s="28" t="str">
        <x:v>Evidence Release Authority</x:v>
      </x:c>
      <x:c r="L144" s="30" t="str">
        <x:v>future accepted artifact</x:v>
      </x:c>
    </x:row>
    <x:row r="145">
      <x:c r="B145" s="28" t="str">
        <x:v>C18-G3</x:v>
      </x:c>
      <x:c r="C145" s="28" t="str">
        <x:v>campaign 18</x:v>
      </x:c>
      <x:c r="D145" s="28" t="str">
        <x:v>G3</x:v>
      </x:c>
      <x:c r="E145" s="28" t="str">
        <x:v>signed test artifact for stage 3</x:v>
      </x:c>
      <x:c r="F145" s="28" t="str">
        <x:v>independent lineage and civil witness</x:v>
      </x:c>
      <x:c r="G145" s="28" t="str">
        <x:v>declared threshold closed without prohibited borrowing</x:v>
      </x:c>
      <x:c r="H145" s="28" t="str">
        <x:v>halt campaign and reopen architecture</x:v>
      </x:c>
      <x:c r="I145" s="28" t="str">
        <x:v>OPEN</x:v>
      </x:c>
      <x:c r="J145" s="28" t="n">
        <x:f>IF(I145="PASS",1,0)</x:f>
        <x:v>0</x:v>
      </x:c>
      <x:c r="K145" s="28" t="str">
        <x:v>Evidence Release Authority</x:v>
      </x:c>
      <x:c r="L145" s="30" t="str">
        <x:v>future accepted artifact</x:v>
      </x:c>
    </x:row>
    <x:row r="146">
      <x:c r="B146" s="28" t="str">
        <x:v>C18-G4</x:v>
      </x:c>
      <x:c r="C146" s="28" t="str">
        <x:v>campaign 18</x:v>
      </x:c>
      <x:c r="D146" s="28" t="str">
        <x:v>G4</x:v>
      </x:c>
      <x:c r="E146" s="28" t="str">
        <x:v>signed test artifact for stage 4</x:v>
      </x:c>
      <x:c r="F146" s="28" t="str">
        <x:v>independent lineage and civil witness</x:v>
      </x:c>
      <x:c r="G146" s="28" t="str">
        <x:v>declared threshold closed without prohibited borrowing</x:v>
      </x:c>
      <x:c r="H146" s="28" t="str">
        <x:v>halt campaign and reopen architecture</x:v>
      </x:c>
      <x:c r="I146" s="28" t="str">
        <x:v>OPEN</x:v>
      </x:c>
      <x:c r="J146" s="28" t="n">
        <x:f>IF(I146="PASS",1,0)</x:f>
        <x:v>0</x:v>
      </x:c>
      <x:c r="K146" s="28" t="str">
        <x:v>Evidence Release Authority</x:v>
      </x:c>
      <x:c r="L146" s="30" t="str">
        <x:v>future accepted artifact</x:v>
      </x:c>
    </x:row>
    <x:row r="147">
      <x:c r="B147" s="28" t="str">
        <x:v>C18-G5</x:v>
      </x:c>
      <x:c r="C147" s="28" t="str">
        <x:v>campaign 18</x:v>
      </x:c>
      <x:c r="D147" s="28" t="str">
        <x:v>G5</x:v>
      </x:c>
      <x:c r="E147" s="28" t="str">
        <x:v>signed test artifact for stage 5</x:v>
      </x:c>
      <x:c r="F147" s="28" t="str">
        <x:v>independent lineage and civil witness</x:v>
      </x:c>
      <x:c r="G147" s="28" t="str">
        <x:v>declared threshold closed without prohibited borrowing</x:v>
      </x:c>
      <x:c r="H147" s="28" t="str">
        <x:v>halt campaign and reopen architecture</x:v>
      </x:c>
      <x:c r="I147" s="28" t="str">
        <x:v>OPEN</x:v>
      </x:c>
      <x:c r="J147" s="28" t="n">
        <x:f>IF(I147="PASS",1,0)</x:f>
        <x:v>0</x:v>
      </x:c>
      <x:c r="K147" s="28" t="str">
        <x:v>Evidence Release Authority</x:v>
      </x:c>
      <x:c r="L147" s="30" t="str">
        <x:v>future accepted artifact</x:v>
      </x:c>
    </x:row>
    <x:row r="148">
      <x:c r="B148" s="28" t="str">
        <x:v>C18-G6</x:v>
      </x:c>
      <x:c r="C148" s="28" t="str">
        <x:v>campaign 18</x:v>
      </x:c>
      <x:c r="D148" s="28" t="str">
        <x:v>G6</x:v>
      </x:c>
      <x:c r="E148" s="28" t="str">
        <x:v>signed test artifact for stage 6</x:v>
      </x:c>
      <x:c r="F148" s="28" t="str">
        <x:v>independent lineage and civil witness</x:v>
      </x:c>
      <x:c r="G148" s="28" t="str">
        <x:v>declared threshold closed without prohibited borrowing</x:v>
      </x:c>
      <x:c r="H148" s="28" t="str">
        <x:v>halt campaign and reopen architecture</x:v>
      </x:c>
      <x:c r="I148" s="28" t="str">
        <x:v>OPEN</x:v>
      </x:c>
      <x:c r="J148" s="28" t="n">
        <x:f>IF(I148="PASS",1,0)</x:f>
        <x:v>0</x:v>
      </x:c>
      <x:c r="K148" s="28" t="str">
        <x:v>Evidence Release Authority</x:v>
      </x:c>
      <x:c r="L148" s="30" t="str">
        <x:v>future accepted artifact</x:v>
      </x:c>
    </x:row>
    <x:row r="149">
      <x:c r="B149" s="28" t="str">
        <x:v>C18-G7</x:v>
      </x:c>
      <x:c r="C149" s="28" t="str">
        <x:v>campaign 18</x:v>
      </x:c>
      <x:c r="D149" s="28" t="str">
        <x:v>G7</x:v>
      </x:c>
      <x:c r="E149" s="28" t="str">
        <x:v>signed test artifact for stage 7</x:v>
      </x:c>
      <x:c r="F149" s="28" t="str">
        <x:v>independent lineage and civil witness</x:v>
      </x:c>
      <x:c r="G149" s="28" t="str">
        <x:v>declared threshold closed without prohibited borrowing</x:v>
      </x:c>
      <x:c r="H149" s="28" t="str">
        <x:v>halt campaign and reopen architecture</x:v>
      </x:c>
      <x:c r="I149" s="28" t="str">
        <x:v>OPEN</x:v>
      </x:c>
      <x:c r="J149" s="28" t="n">
        <x:f>IF(I149="PASS",1,0)</x:f>
        <x:v>0</x:v>
      </x:c>
      <x:c r="K149" s="28" t="str">
        <x:v>Evidence Release Authority</x:v>
      </x:c>
      <x:c r="L149" s="30" t="str">
        <x:v>future accepted artifact</x:v>
      </x:c>
    </x:row>
    <x:row r="150">
      <x:c r="B150" s="28" t="str">
        <x:v>C18-G8</x:v>
      </x:c>
      <x:c r="C150" s="28" t="str">
        <x:v>campaign 18</x:v>
      </x:c>
      <x:c r="D150" s="28" t="str">
        <x:v>G8</x:v>
      </x:c>
      <x:c r="E150" s="28" t="str">
        <x:v>signed test artifact for stage 8</x:v>
      </x:c>
      <x:c r="F150" s="28" t="str">
        <x:v>independent lineage and civil witness</x:v>
      </x:c>
      <x:c r="G150" s="28" t="str">
        <x:v>declared threshold closed without prohibited borrowing</x:v>
      </x:c>
      <x:c r="H150" s="28" t="str">
        <x:v>halt campaign and reopen architecture</x:v>
      </x:c>
      <x:c r="I150" s="28" t="str">
        <x:v>OPEN</x:v>
      </x:c>
      <x:c r="J150" s="28" t="n">
        <x:f>IF(I150="PASS",1,0)</x:f>
        <x:v>0</x:v>
      </x:c>
      <x:c r="K150" s="28" t="str">
        <x:v>Evidence Release Authority</x:v>
      </x:c>
      <x:c r="L150" s="30" t="str">
        <x:v>future accepted artifact</x:v>
      </x:c>
    </x:row>
    <x:row r="151">
      <x:c r="B151" s="28" t="str">
        <x:v>C19-G1</x:v>
      </x:c>
      <x:c r="C151" s="28" t="str">
        <x:v>campaign 19</x:v>
      </x:c>
      <x:c r="D151" s="28" t="str">
        <x:v>G1</x:v>
      </x:c>
      <x:c r="E151" s="28" t="str">
        <x:v>signed test artifact for stage 1</x:v>
      </x:c>
      <x:c r="F151" s="28" t="str">
        <x:v>independent lineage and civil witness</x:v>
      </x:c>
      <x:c r="G151" s="28" t="str">
        <x:v>declared threshold closed without prohibited borrowing</x:v>
      </x:c>
      <x:c r="H151" s="28" t="str">
        <x:v>halt campaign and reopen architecture</x:v>
      </x:c>
      <x:c r="I151" s="28" t="str">
        <x:v>OPEN</x:v>
      </x:c>
      <x:c r="J151" s="28" t="n">
        <x:f>IF(I151="PASS",1,0)</x:f>
        <x:v>0</x:v>
      </x:c>
      <x:c r="K151" s="28" t="str">
        <x:v>Evidence Release Authority</x:v>
      </x:c>
      <x:c r="L151" s="30" t="str">
        <x:v>future accepted artifact</x:v>
      </x:c>
    </x:row>
    <x:row r="152">
      <x:c r="B152" s="28" t="str">
        <x:v>C19-G2</x:v>
      </x:c>
      <x:c r="C152" s="28" t="str">
        <x:v>campaign 19</x:v>
      </x:c>
      <x:c r="D152" s="28" t="str">
        <x:v>G2</x:v>
      </x:c>
      <x:c r="E152" s="28" t="str">
        <x:v>signed test artifact for stage 2</x:v>
      </x:c>
      <x:c r="F152" s="28" t="str">
        <x:v>independent lineage and civil witness</x:v>
      </x:c>
      <x:c r="G152" s="28" t="str">
        <x:v>declared threshold closed without prohibited borrowing</x:v>
      </x:c>
      <x:c r="H152" s="28" t="str">
        <x:v>halt campaign and reopen architecture</x:v>
      </x:c>
      <x:c r="I152" s="28" t="str">
        <x:v>OPEN</x:v>
      </x:c>
      <x:c r="J152" s="28" t="n">
        <x:f>IF(I152="PASS",1,0)</x:f>
        <x:v>0</x:v>
      </x:c>
      <x:c r="K152" s="28" t="str">
        <x:v>Evidence Release Authority</x:v>
      </x:c>
      <x:c r="L152" s="30" t="str">
        <x:v>future accepted artifact</x:v>
      </x:c>
    </x:row>
    <x:row r="153">
      <x:c r="B153" s="28" t="str">
        <x:v>C19-G3</x:v>
      </x:c>
      <x:c r="C153" s="28" t="str">
        <x:v>campaign 19</x:v>
      </x:c>
      <x:c r="D153" s="28" t="str">
        <x:v>G3</x:v>
      </x:c>
      <x:c r="E153" s="28" t="str">
        <x:v>signed test artifact for stage 3</x:v>
      </x:c>
      <x:c r="F153" s="28" t="str">
        <x:v>independent lineage and civil witness</x:v>
      </x:c>
      <x:c r="G153" s="28" t="str">
        <x:v>declared threshold closed without prohibited borrowing</x:v>
      </x:c>
      <x:c r="H153" s="28" t="str">
        <x:v>halt campaign and reopen architecture</x:v>
      </x:c>
      <x:c r="I153" s="28" t="str">
        <x:v>OPEN</x:v>
      </x:c>
      <x:c r="J153" s="28" t="n">
        <x:f>IF(I153="PASS",1,0)</x:f>
        <x:v>0</x:v>
      </x:c>
      <x:c r="K153" s="28" t="str">
        <x:v>Evidence Release Authority</x:v>
      </x:c>
      <x:c r="L153" s="30" t="str">
        <x:v>future accepted artifact</x:v>
      </x:c>
    </x:row>
    <x:row r="154">
      <x:c r="B154" s="28" t="str">
        <x:v>C19-G4</x:v>
      </x:c>
      <x:c r="C154" s="28" t="str">
        <x:v>campaign 19</x:v>
      </x:c>
      <x:c r="D154" s="28" t="str">
        <x:v>G4</x:v>
      </x:c>
      <x:c r="E154" s="28" t="str">
        <x:v>signed test artifact for stage 4</x:v>
      </x:c>
      <x:c r="F154" s="28" t="str">
        <x:v>independent lineage and civil witness</x:v>
      </x:c>
      <x:c r="G154" s="28" t="str">
        <x:v>declared threshold closed without prohibited borrowing</x:v>
      </x:c>
      <x:c r="H154" s="28" t="str">
        <x:v>halt campaign and reopen architecture</x:v>
      </x:c>
      <x:c r="I154" s="28" t="str">
        <x:v>OPEN</x:v>
      </x:c>
      <x:c r="J154" s="28" t="n">
        <x:f>IF(I154="PASS",1,0)</x:f>
        <x:v>0</x:v>
      </x:c>
      <x:c r="K154" s="28" t="str">
        <x:v>Evidence Release Authority</x:v>
      </x:c>
      <x:c r="L154" s="30" t="str">
        <x:v>future accepted artifact</x:v>
      </x:c>
    </x:row>
    <x:row r="155">
      <x:c r="B155" s="28" t="str">
        <x:v>C19-G5</x:v>
      </x:c>
      <x:c r="C155" s="28" t="str">
        <x:v>campaign 19</x:v>
      </x:c>
      <x:c r="D155" s="28" t="str">
        <x:v>G5</x:v>
      </x:c>
      <x:c r="E155" s="28" t="str">
        <x:v>signed test artifact for stage 5</x:v>
      </x:c>
      <x:c r="F155" s="28" t="str">
        <x:v>independent lineage and civil witness</x:v>
      </x:c>
      <x:c r="G155" s="28" t="str">
        <x:v>declared threshold closed without prohibited borrowing</x:v>
      </x:c>
      <x:c r="H155" s="28" t="str">
        <x:v>halt campaign and reopen architecture</x:v>
      </x:c>
      <x:c r="I155" s="28" t="str">
        <x:v>OPEN</x:v>
      </x:c>
      <x:c r="J155" s="28" t="n">
        <x:f>IF(I155="PASS",1,0)</x:f>
        <x:v>0</x:v>
      </x:c>
      <x:c r="K155" s="28" t="str">
        <x:v>Evidence Release Authority</x:v>
      </x:c>
      <x:c r="L155" s="30" t="str">
        <x:v>future accepted artifact</x:v>
      </x:c>
    </x:row>
    <x:row r="156">
      <x:c r="B156" s="28" t="str">
        <x:v>C19-G6</x:v>
      </x:c>
      <x:c r="C156" s="28" t="str">
        <x:v>campaign 19</x:v>
      </x:c>
      <x:c r="D156" s="28" t="str">
        <x:v>G6</x:v>
      </x:c>
      <x:c r="E156" s="28" t="str">
        <x:v>signed test artifact for stage 6</x:v>
      </x:c>
      <x:c r="F156" s="28" t="str">
        <x:v>independent lineage and civil witness</x:v>
      </x:c>
      <x:c r="G156" s="28" t="str">
        <x:v>declared threshold closed without prohibited borrowing</x:v>
      </x:c>
      <x:c r="H156" s="28" t="str">
        <x:v>halt campaign and reopen architecture</x:v>
      </x:c>
      <x:c r="I156" s="28" t="str">
        <x:v>OPEN</x:v>
      </x:c>
      <x:c r="J156" s="28" t="n">
        <x:f>IF(I156="PASS",1,0)</x:f>
        <x:v>0</x:v>
      </x:c>
      <x:c r="K156" s="28" t="str">
        <x:v>Evidence Release Authority</x:v>
      </x:c>
      <x:c r="L156" s="30" t="str">
        <x:v>future accepted artifact</x:v>
      </x:c>
    </x:row>
    <x:row r="157">
      <x:c r="B157" s="28" t="str">
        <x:v>C19-G7</x:v>
      </x:c>
      <x:c r="C157" s="28" t="str">
        <x:v>campaign 19</x:v>
      </x:c>
      <x:c r="D157" s="28" t="str">
        <x:v>G7</x:v>
      </x:c>
      <x:c r="E157" s="28" t="str">
        <x:v>signed test artifact for stage 7</x:v>
      </x:c>
      <x:c r="F157" s="28" t="str">
        <x:v>independent lineage and civil witness</x:v>
      </x:c>
      <x:c r="G157" s="28" t="str">
        <x:v>declared threshold closed without prohibited borrowing</x:v>
      </x:c>
      <x:c r="H157" s="28" t="str">
        <x:v>halt campaign and reopen architecture</x:v>
      </x:c>
      <x:c r="I157" s="28" t="str">
        <x:v>OPEN</x:v>
      </x:c>
      <x:c r="J157" s="28" t="n">
        <x:f>IF(I157="PASS",1,0)</x:f>
        <x:v>0</x:v>
      </x:c>
      <x:c r="K157" s="28" t="str">
        <x:v>Evidence Release Authority</x:v>
      </x:c>
      <x:c r="L157" s="30" t="str">
        <x:v>future accepted artifact</x:v>
      </x:c>
    </x:row>
    <x:row r="158">
      <x:c r="B158" s="28" t="str">
        <x:v>C19-G8</x:v>
      </x:c>
      <x:c r="C158" s="28" t="str">
        <x:v>campaign 19</x:v>
      </x:c>
      <x:c r="D158" s="28" t="str">
        <x:v>G8</x:v>
      </x:c>
      <x:c r="E158" s="28" t="str">
        <x:v>signed test artifact for stage 8</x:v>
      </x:c>
      <x:c r="F158" s="28" t="str">
        <x:v>independent lineage and civil witness</x:v>
      </x:c>
      <x:c r="G158" s="28" t="str">
        <x:v>declared threshold closed without prohibited borrowing</x:v>
      </x:c>
      <x:c r="H158" s="28" t="str">
        <x:v>halt campaign and reopen architecture</x:v>
      </x:c>
      <x:c r="I158" s="28" t="str">
        <x:v>OPEN</x:v>
      </x:c>
      <x:c r="J158" s="28" t="n">
        <x:f>IF(I158="PASS",1,0)</x:f>
        <x:v>0</x:v>
      </x:c>
      <x:c r="K158" s="28" t="str">
        <x:v>Evidence Release Authority</x:v>
      </x:c>
      <x:c r="L158" s="30" t="str">
        <x:v>future accepted artifact</x:v>
      </x:c>
    </x:row>
    <x:row r="159">
      <x:c r="B159" s="28" t="str">
        <x:v>C20-G1</x:v>
      </x:c>
      <x:c r="C159" s="28" t="str">
        <x:v>campaign 20</x:v>
      </x:c>
      <x:c r="D159" s="28" t="str">
        <x:v>G1</x:v>
      </x:c>
      <x:c r="E159" s="28" t="str">
        <x:v>signed test artifact for stage 1</x:v>
      </x:c>
      <x:c r="F159" s="28" t="str">
        <x:v>independent lineage and civil witness</x:v>
      </x:c>
      <x:c r="G159" s="28" t="str">
        <x:v>declared threshold closed without prohibited borrowing</x:v>
      </x:c>
      <x:c r="H159" s="28" t="str">
        <x:v>halt campaign and reopen architecture</x:v>
      </x:c>
      <x:c r="I159" s="28" t="str">
        <x:v>OPEN</x:v>
      </x:c>
      <x:c r="J159" s="28" t="n">
        <x:f>IF(I159="PASS",1,0)</x:f>
        <x:v>0</x:v>
      </x:c>
      <x:c r="K159" s="28" t="str">
        <x:v>Evidence Release Authority</x:v>
      </x:c>
      <x:c r="L159" s="30" t="str">
        <x:v>future accepted artifact</x:v>
      </x:c>
    </x:row>
    <x:row r="160">
      <x:c r="B160" s="28" t="str">
        <x:v>C20-G2</x:v>
      </x:c>
      <x:c r="C160" s="28" t="str">
        <x:v>campaign 20</x:v>
      </x:c>
      <x:c r="D160" s="28" t="str">
        <x:v>G2</x:v>
      </x:c>
      <x:c r="E160" s="28" t="str">
        <x:v>signed test artifact for stage 2</x:v>
      </x:c>
      <x:c r="F160" s="28" t="str">
        <x:v>independent lineage and civil witness</x:v>
      </x:c>
      <x:c r="G160" s="28" t="str">
        <x:v>declared threshold closed without prohibited borrowing</x:v>
      </x:c>
      <x:c r="H160" s="28" t="str">
        <x:v>halt campaign and reopen architecture</x:v>
      </x:c>
      <x:c r="I160" s="28" t="str">
        <x:v>OPEN</x:v>
      </x:c>
      <x:c r="J160" s="28" t="n">
        <x:f>IF(I160="PASS",1,0)</x:f>
        <x:v>0</x:v>
      </x:c>
      <x:c r="K160" s="28" t="str">
        <x:v>Evidence Release Authority</x:v>
      </x:c>
      <x:c r="L160" s="30" t="str">
        <x:v>future accepted artifact</x:v>
      </x:c>
    </x:row>
    <x:row r="161">
      <x:c r="B161" s="28" t="str">
        <x:v>C20-G3</x:v>
      </x:c>
      <x:c r="C161" s="28" t="str">
        <x:v>campaign 20</x:v>
      </x:c>
      <x:c r="D161" s="28" t="str">
        <x:v>G3</x:v>
      </x:c>
      <x:c r="E161" s="28" t="str">
        <x:v>signed test artifact for stage 3</x:v>
      </x:c>
      <x:c r="F161" s="28" t="str">
        <x:v>independent lineage and civil witness</x:v>
      </x:c>
      <x:c r="G161" s="28" t="str">
        <x:v>declared threshold closed without prohibited borrowing</x:v>
      </x:c>
      <x:c r="H161" s="28" t="str">
        <x:v>halt campaign and reopen architecture</x:v>
      </x:c>
      <x:c r="I161" s="28" t="str">
        <x:v>OPEN</x:v>
      </x:c>
      <x:c r="J161" s="28" t="n">
        <x:f>IF(I161="PASS",1,0)</x:f>
        <x:v>0</x:v>
      </x:c>
      <x:c r="K161" s="28" t="str">
        <x:v>Evidence Release Authority</x:v>
      </x:c>
      <x:c r="L161" s="30" t="str">
        <x:v>future accepted artifact</x:v>
      </x:c>
    </x:row>
    <x:row r="162">
      <x:c r="B162" s="28" t="str">
        <x:v>C20-G4</x:v>
      </x:c>
      <x:c r="C162" s="28" t="str">
        <x:v>campaign 20</x:v>
      </x:c>
      <x:c r="D162" s="28" t="str">
        <x:v>G4</x:v>
      </x:c>
      <x:c r="E162" s="28" t="str">
        <x:v>signed test artifact for stage 4</x:v>
      </x:c>
      <x:c r="F162" s="28" t="str">
        <x:v>independent lineage and civil witness</x:v>
      </x:c>
      <x:c r="G162" s="28" t="str">
        <x:v>declared threshold closed without prohibited borrowing</x:v>
      </x:c>
      <x:c r="H162" s="28" t="str">
        <x:v>halt campaign and reopen architecture</x:v>
      </x:c>
      <x:c r="I162" s="28" t="str">
        <x:v>OPEN</x:v>
      </x:c>
      <x:c r="J162" s="28" t="n">
        <x:f>IF(I162="PASS",1,0)</x:f>
        <x:v>0</x:v>
      </x:c>
      <x:c r="K162" s="28" t="str">
        <x:v>Evidence Release Authority</x:v>
      </x:c>
      <x:c r="L162" s="30" t="str">
        <x:v>future accepted artifact</x:v>
      </x:c>
    </x:row>
    <x:row r="163">
      <x:c r="B163" s="28" t="str">
        <x:v>C20-G5</x:v>
      </x:c>
      <x:c r="C163" s="28" t="str">
        <x:v>campaign 20</x:v>
      </x:c>
      <x:c r="D163" s="28" t="str">
        <x:v>G5</x:v>
      </x:c>
      <x:c r="E163" s="28" t="str">
        <x:v>signed test artifact for stage 5</x:v>
      </x:c>
      <x:c r="F163" s="28" t="str">
        <x:v>independent lineage and civil witness</x:v>
      </x:c>
      <x:c r="G163" s="28" t="str">
        <x:v>declared threshold closed without prohibited borrowing</x:v>
      </x:c>
      <x:c r="H163" s="28" t="str">
        <x:v>halt campaign and reopen architecture</x:v>
      </x:c>
      <x:c r="I163" s="28" t="str">
        <x:v>OPEN</x:v>
      </x:c>
      <x:c r="J163" s="28" t="n">
        <x:f>IF(I163="PASS",1,0)</x:f>
        <x:v>0</x:v>
      </x:c>
      <x:c r="K163" s="28" t="str">
        <x:v>Evidence Release Authority</x:v>
      </x:c>
      <x:c r="L163" s="30" t="str">
        <x:v>future accepted artifact</x:v>
      </x:c>
    </x:row>
    <x:row r="164">
      <x:c r="B164" s="28" t="str">
        <x:v>C20-G6</x:v>
      </x:c>
      <x:c r="C164" s="28" t="str">
        <x:v>campaign 20</x:v>
      </x:c>
      <x:c r="D164" s="28" t="str">
        <x:v>G6</x:v>
      </x:c>
      <x:c r="E164" s="28" t="str">
        <x:v>signed test artifact for stage 6</x:v>
      </x:c>
      <x:c r="F164" s="28" t="str">
        <x:v>independent lineage and civil witness</x:v>
      </x:c>
      <x:c r="G164" s="28" t="str">
        <x:v>declared threshold closed without prohibited borrowing</x:v>
      </x:c>
      <x:c r="H164" s="28" t="str">
        <x:v>halt campaign and reopen architecture</x:v>
      </x:c>
      <x:c r="I164" s="28" t="str">
        <x:v>OPEN</x:v>
      </x:c>
      <x:c r="J164" s="28" t="n">
        <x:f>IF(I164="PASS",1,0)</x:f>
        <x:v>0</x:v>
      </x:c>
      <x:c r="K164" s="28" t="str">
        <x:v>Evidence Release Authority</x:v>
      </x:c>
      <x:c r="L164" s="30" t="str">
        <x:v>future accepted artifact</x:v>
      </x:c>
    </x:row>
    <x:row r="165">
      <x:c r="B165" s="28" t="str">
        <x:v>C20-G7</x:v>
      </x:c>
      <x:c r="C165" s="28" t="str">
        <x:v>campaign 20</x:v>
      </x:c>
      <x:c r="D165" s="28" t="str">
        <x:v>G7</x:v>
      </x:c>
      <x:c r="E165" s="28" t="str">
        <x:v>signed test artifact for stage 7</x:v>
      </x:c>
      <x:c r="F165" s="28" t="str">
        <x:v>independent lineage and civil witness</x:v>
      </x:c>
      <x:c r="G165" s="28" t="str">
        <x:v>declared threshold closed without prohibited borrowing</x:v>
      </x:c>
      <x:c r="H165" s="28" t="str">
        <x:v>halt campaign and reopen architecture</x:v>
      </x:c>
      <x:c r="I165" s="28" t="str">
        <x:v>OPEN</x:v>
      </x:c>
      <x:c r="J165" s="28" t="n">
        <x:f>IF(I165="PASS",1,0)</x:f>
        <x:v>0</x:v>
      </x:c>
      <x:c r="K165" s="28" t="str">
        <x:v>Evidence Release Authority</x:v>
      </x:c>
      <x:c r="L165" s="30" t="str">
        <x:v>future accepted artifact</x:v>
      </x:c>
    </x:row>
    <x:row r="166">
      <x:c r="B166" s="28" t="str">
        <x:v>C20-G8</x:v>
      </x:c>
      <x:c r="C166" s="28" t="str">
        <x:v>campaign 20</x:v>
      </x:c>
      <x:c r="D166" s="28" t="str">
        <x:v>G8</x:v>
      </x:c>
      <x:c r="E166" s="28" t="str">
        <x:v>signed test artifact for stage 8</x:v>
      </x:c>
      <x:c r="F166" s="28" t="str">
        <x:v>independent lineage and civil witness</x:v>
      </x:c>
      <x:c r="G166" s="28" t="str">
        <x:v>declared threshold closed without prohibited borrowing</x:v>
      </x:c>
      <x:c r="H166" s="28" t="str">
        <x:v>halt campaign and reopen architecture</x:v>
      </x:c>
      <x:c r="I166" s="28" t="str">
        <x:v>OPEN</x:v>
      </x:c>
      <x:c r="J166" s="28" t="n">
        <x:f>IF(I166="PASS",1,0)</x:f>
        <x:v>0</x:v>
      </x:c>
      <x:c r="K166" s="28" t="str">
        <x:v>Evidence Release Authority</x:v>
      </x:c>
      <x:c r="L166" s="30" t="str">
        <x:v>future accepted artifact</x:v>
      </x:c>
    </x:row>
    <x:row r="167">
      <x:c r="B167" s="28" t="str">
        <x:v>C21-G1</x:v>
      </x:c>
      <x:c r="C167" s="28" t="str">
        <x:v>campaign 21</x:v>
      </x:c>
      <x:c r="D167" s="28" t="str">
        <x:v>G1</x:v>
      </x:c>
      <x:c r="E167" s="28" t="str">
        <x:v>signed test artifact for stage 1</x:v>
      </x:c>
      <x:c r="F167" s="28" t="str">
        <x:v>independent lineage and civil witness</x:v>
      </x:c>
      <x:c r="G167" s="28" t="str">
        <x:v>declared threshold closed without prohibited borrowing</x:v>
      </x:c>
      <x:c r="H167" s="28" t="str">
        <x:v>halt campaign and reopen architecture</x:v>
      </x:c>
      <x:c r="I167" s="28" t="str">
        <x:v>OPEN</x:v>
      </x:c>
      <x:c r="J167" s="28" t="n">
        <x:f>IF(I167="PASS",1,0)</x:f>
        <x:v>0</x:v>
      </x:c>
      <x:c r="K167" s="28" t="str">
        <x:v>Evidence Release Authority</x:v>
      </x:c>
      <x:c r="L167" s="30" t="str">
        <x:v>future accepted artifact</x:v>
      </x:c>
    </x:row>
    <x:row r="168">
      <x:c r="B168" s="28" t="str">
        <x:v>C21-G2</x:v>
      </x:c>
      <x:c r="C168" s="28" t="str">
        <x:v>campaign 21</x:v>
      </x:c>
      <x:c r="D168" s="28" t="str">
        <x:v>G2</x:v>
      </x:c>
      <x:c r="E168" s="28" t="str">
        <x:v>signed test artifact for stage 2</x:v>
      </x:c>
      <x:c r="F168" s="28" t="str">
        <x:v>independent lineage and civil witness</x:v>
      </x:c>
      <x:c r="G168" s="28" t="str">
        <x:v>declared threshold closed without prohibited borrowing</x:v>
      </x:c>
      <x:c r="H168" s="28" t="str">
        <x:v>halt campaign and reopen architecture</x:v>
      </x:c>
      <x:c r="I168" s="28" t="str">
        <x:v>OPEN</x:v>
      </x:c>
      <x:c r="J168" s="28" t="n">
        <x:f>IF(I168="PASS",1,0)</x:f>
        <x:v>0</x:v>
      </x:c>
      <x:c r="K168" s="28" t="str">
        <x:v>Evidence Release Authority</x:v>
      </x:c>
      <x:c r="L168" s="30" t="str">
        <x:v>future accepted artifact</x:v>
      </x:c>
    </x:row>
    <x:row r="169">
      <x:c r="B169" s="28" t="str">
        <x:v>C21-G3</x:v>
      </x:c>
      <x:c r="C169" s="28" t="str">
        <x:v>campaign 21</x:v>
      </x:c>
      <x:c r="D169" s="28" t="str">
        <x:v>G3</x:v>
      </x:c>
      <x:c r="E169" s="28" t="str">
        <x:v>signed test artifact for stage 3</x:v>
      </x:c>
      <x:c r="F169" s="28" t="str">
        <x:v>independent lineage and civil witness</x:v>
      </x:c>
      <x:c r="G169" s="28" t="str">
        <x:v>declared threshold closed without prohibited borrowing</x:v>
      </x:c>
      <x:c r="H169" s="28" t="str">
        <x:v>halt campaign and reopen architecture</x:v>
      </x:c>
      <x:c r="I169" s="28" t="str">
        <x:v>OPEN</x:v>
      </x:c>
      <x:c r="J169" s="28" t="n">
        <x:f>IF(I169="PASS",1,0)</x:f>
        <x:v>0</x:v>
      </x:c>
      <x:c r="K169" s="28" t="str">
        <x:v>Evidence Release Authority</x:v>
      </x:c>
      <x:c r="L169" s="30" t="str">
        <x:v>future accepted artifact</x:v>
      </x:c>
    </x:row>
    <x:row r="170">
      <x:c r="B170" s="28" t="str">
        <x:v>C21-G4</x:v>
      </x:c>
      <x:c r="C170" s="28" t="str">
        <x:v>campaign 21</x:v>
      </x:c>
      <x:c r="D170" s="28" t="str">
        <x:v>G4</x:v>
      </x:c>
      <x:c r="E170" s="28" t="str">
        <x:v>signed test artifact for stage 4</x:v>
      </x:c>
      <x:c r="F170" s="28" t="str">
        <x:v>independent lineage and civil witness</x:v>
      </x:c>
      <x:c r="G170" s="28" t="str">
        <x:v>declared threshold closed without prohibited borrowing</x:v>
      </x:c>
      <x:c r="H170" s="28" t="str">
        <x:v>halt campaign and reopen architecture</x:v>
      </x:c>
      <x:c r="I170" s="28" t="str">
        <x:v>OPEN</x:v>
      </x:c>
      <x:c r="J170" s="28" t="n">
        <x:f>IF(I170="PASS",1,0)</x:f>
        <x:v>0</x:v>
      </x:c>
      <x:c r="K170" s="28" t="str">
        <x:v>Evidence Release Authority</x:v>
      </x:c>
      <x:c r="L170" s="30" t="str">
        <x:v>future accepted artifact</x:v>
      </x:c>
    </x:row>
    <x:row r="171">
      <x:c r="B171" s="28" t="str">
        <x:v>C21-G5</x:v>
      </x:c>
      <x:c r="C171" s="28" t="str">
        <x:v>campaign 21</x:v>
      </x:c>
      <x:c r="D171" s="28" t="str">
        <x:v>G5</x:v>
      </x:c>
      <x:c r="E171" s="28" t="str">
        <x:v>signed test artifact for stage 5</x:v>
      </x:c>
      <x:c r="F171" s="28" t="str">
        <x:v>independent lineage and civil witness</x:v>
      </x:c>
      <x:c r="G171" s="28" t="str">
        <x:v>declared threshold closed without prohibited borrowing</x:v>
      </x:c>
      <x:c r="H171" s="28" t="str">
        <x:v>halt campaign and reopen architecture</x:v>
      </x:c>
      <x:c r="I171" s="28" t="str">
        <x:v>OPEN</x:v>
      </x:c>
      <x:c r="J171" s="28" t="n">
        <x:f>IF(I171="PASS",1,0)</x:f>
        <x:v>0</x:v>
      </x:c>
      <x:c r="K171" s="28" t="str">
        <x:v>Evidence Release Authority</x:v>
      </x:c>
      <x:c r="L171" s="30" t="str">
        <x:v>future accepted artifact</x:v>
      </x:c>
    </x:row>
    <x:row r="172">
      <x:c r="B172" s="28" t="str">
        <x:v>C21-G6</x:v>
      </x:c>
      <x:c r="C172" s="28" t="str">
        <x:v>campaign 21</x:v>
      </x:c>
      <x:c r="D172" s="28" t="str">
        <x:v>G6</x:v>
      </x:c>
      <x:c r="E172" s="28" t="str">
        <x:v>signed test artifact for stage 6</x:v>
      </x:c>
      <x:c r="F172" s="28" t="str">
        <x:v>independent lineage and civil witness</x:v>
      </x:c>
      <x:c r="G172" s="28" t="str">
        <x:v>declared threshold closed without prohibited borrowing</x:v>
      </x:c>
      <x:c r="H172" s="28" t="str">
        <x:v>halt campaign and reopen architecture</x:v>
      </x:c>
      <x:c r="I172" s="28" t="str">
        <x:v>OPEN</x:v>
      </x:c>
      <x:c r="J172" s="28" t="n">
        <x:f>IF(I172="PASS",1,0)</x:f>
        <x:v>0</x:v>
      </x:c>
      <x:c r="K172" s="28" t="str">
        <x:v>Evidence Release Authority</x:v>
      </x:c>
      <x:c r="L172" s="30" t="str">
        <x:v>future accepted artifact</x:v>
      </x:c>
    </x:row>
    <x:row r="173">
      <x:c r="B173" s="28" t="str">
        <x:v>C21-G7</x:v>
      </x:c>
      <x:c r="C173" s="28" t="str">
        <x:v>campaign 21</x:v>
      </x:c>
      <x:c r="D173" s="28" t="str">
        <x:v>G7</x:v>
      </x:c>
      <x:c r="E173" s="28" t="str">
        <x:v>signed test artifact for stage 7</x:v>
      </x:c>
      <x:c r="F173" s="28" t="str">
        <x:v>independent lineage and civil witness</x:v>
      </x:c>
      <x:c r="G173" s="28" t="str">
        <x:v>declared threshold closed without prohibited borrowing</x:v>
      </x:c>
      <x:c r="H173" s="28" t="str">
        <x:v>halt campaign and reopen architecture</x:v>
      </x:c>
      <x:c r="I173" s="28" t="str">
        <x:v>OPEN</x:v>
      </x:c>
      <x:c r="J173" s="28" t="n">
        <x:f>IF(I173="PASS",1,0)</x:f>
        <x:v>0</x:v>
      </x:c>
      <x:c r="K173" s="28" t="str">
        <x:v>Evidence Release Authority</x:v>
      </x:c>
      <x:c r="L173" s="30" t="str">
        <x:v>future accepted artifact</x:v>
      </x:c>
    </x:row>
    <x:row r="174">
      <x:c r="B174" s="28" t="str">
        <x:v>C21-G8</x:v>
      </x:c>
      <x:c r="C174" s="28" t="str">
        <x:v>campaign 21</x:v>
      </x:c>
      <x:c r="D174" s="28" t="str">
        <x:v>G8</x:v>
      </x:c>
      <x:c r="E174" s="28" t="str">
        <x:v>signed test artifact for stage 8</x:v>
      </x:c>
      <x:c r="F174" s="28" t="str">
        <x:v>independent lineage and civil witness</x:v>
      </x:c>
      <x:c r="G174" s="28" t="str">
        <x:v>declared threshold closed without prohibited borrowing</x:v>
      </x:c>
      <x:c r="H174" s="28" t="str">
        <x:v>halt campaign and reopen architecture</x:v>
      </x:c>
      <x:c r="I174" s="28" t="str">
        <x:v>OPEN</x:v>
      </x:c>
      <x:c r="J174" s="28" t="n">
        <x:f>IF(I174="PASS",1,0)</x:f>
        <x:v>0</x:v>
      </x:c>
      <x:c r="K174" s="28" t="str">
        <x:v>Evidence Release Authority</x:v>
      </x:c>
      <x:c r="L174" s="30" t="str">
        <x:v>future accepted artifact</x:v>
      </x:c>
    </x:row>
    <x:row r="175">
      <x:c r="B175" s="28" t="str">
        <x:v>C22-G1</x:v>
      </x:c>
      <x:c r="C175" s="28" t="str">
        <x:v>campaign 22</x:v>
      </x:c>
      <x:c r="D175" s="28" t="str">
        <x:v>G1</x:v>
      </x:c>
      <x:c r="E175" s="28" t="str">
        <x:v>signed test artifact for stage 1</x:v>
      </x:c>
      <x:c r="F175" s="28" t="str">
        <x:v>independent lineage and civil witness</x:v>
      </x:c>
      <x:c r="G175" s="28" t="str">
        <x:v>declared threshold closed without prohibited borrowing</x:v>
      </x:c>
      <x:c r="H175" s="28" t="str">
        <x:v>halt campaign and reopen architecture</x:v>
      </x:c>
      <x:c r="I175" s="28" t="str">
        <x:v>OPEN</x:v>
      </x:c>
      <x:c r="J175" s="28" t="n">
        <x:f>IF(I175="PASS",1,0)</x:f>
        <x:v>0</x:v>
      </x:c>
      <x:c r="K175" s="28" t="str">
        <x:v>Evidence Release Authority</x:v>
      </x:c>
      <x:c r="L175" s="30" t="str">
        <x:v>future accepted artifact</x:v>
      </x:c>
    </x:row>
    <x:row r="176">
      <x:c r="B176" s="28" t="str">
        <x:v>C22-G2</x:v>
      </x:c>
      <x:c r="C176" s="28" t="str">
        <x:v>campaign 22</x:v>
      </x:c>
      <x:c r="D176" s="28" t="str">
        <x:v>G2</x:v>
      </x:c>
      <x:c r="E176" s="28" t="str">
        <x:v>signed test artifact for stage 2</x:v>
      </x:c>
      <x:c r="F176" s="28" t="str">
        <x:v>independent lineage and civil witness</x:v>
      </x:c>
      <x:c r="G176" s="28" t="str">
        <x:v>declared threshold closed without prohibited borrowing</x:v>
      </x:c>
      <x:c r="H176" s="28" t="str">
        <x:v>halt campaign and reopen architecture</x:v>
      </x:c>
      <x:c r="I176" s="28" t="str">
        <x:v>OPEN</x:v>
      </x:c>
      <x:c r="J176" s="28" t="n">
        <x:f>IF(I176="PASS",1,0)</x:f>
        <x:v>0</x:v>
      </x:c>
      <x:c r="K176" s="28" t="str">
        <x:v>Evidence Release Authority</x:v>
      </x:c>
      <x:c r="L176" s="30" t="str">
        <x:v>future accepted artifact</x:v>
      </x:c>
    </x:row>
    <x:row r="177">
      <x:c r="B177" s="28" t="str">
        <x:v>C22-G3</x:v>
      </x:c>
      <x:c r="C177" s="28" t="str">
        <x:v>campaign 22</x:v>
      </x:c>
      <x:c r="D177" s="28" t="str">
        <x:v>G3</x:v>
      </x:c>
      <x:c r="E177" s="28" t="str">
        <x:v>signed test artifact for stage 3</x:v>
      </x:c>
      <x:c r="F177" s="28" t="str">
        <x:v>independent lineage and civil witness</x:v>
      </x:c>
      <x:c r="G177" s="28" t="str">
        <x:v>declared threshold closed without prohibited borrowing</x:v>
      </x:c>
      <x:c r="H177" s="28" t="str">
        <x:v>halt campaign and reopen architecture</x:v>
      </x:c>
      <x:c r="I177" s="28" t="str">
        <x:v>OPEN</x:v>
      </x:c>
      <x:c r="J177" s="28" t="n">
        <x:f>IF(I177="PASS",1,0)</x:f>
        <x:v>0</x:v>
      </x:c>
      <x:c r="K177" s="28" t="str">
        <x:v>Evidence Release Authority</x:v>
      </x:c>
      <x:c r="L177" s="30" t="str">
        <x:v>future accepted artifact</x:v>
      </x:c>
    </x:row>
    <x:row r="178">
      <x:c r="B178" s="28" t="str">
        <x:v>C22-G4</x:v>
      </x:c>
      <x:c r="C178" s="28" t="str">
        <x:v>campaign 22</x:v>
      </x:c>
      <x:c r="D178" s="28" t="str">
        <x:v>G4</x:v>
      </x:c>
      <x:c r="E178" s="28" t="str">
        <x:v>signed test artifact for stage 4</x:v>
      </x:c>
      <x:c r="F178" s="28" t="str">
        <x:v>independent lineage and civil witness</x:v>
      </x:c>
      <x:c r="G178" s="28" t="str">
        <x:v>declared threshold closed without prohibited borrowing</x:v>
      </x:c>
      <x:c r="H178" s="28" t="str">
        <x:v>halt campaign and reopen architecture</x:v>
      </x:c>
      <x:c r="I178" s="28" t="str">
        <x:v>OPEN</x:v>
      </x:c>
      <x:c r="J178" s="28" t="n">
        <x:f>IF(I178="PASS",1,0)</x:f>
        <x:v>0</x:v>
      </x:c>
      <x:c r="K178" s="28" t="str">
        <x:v>Evidence Release Authority</x:v>
      </x:c>
      <x:c r="L178" s="30" t="str">
        <x:v>future accepted artifact</x:v>
      </x:c>
    </x:row>
    <x:row r="179">
      <x:c r="B179" s="28" t="str">
        <x:v>C22-G5</x:v>
      </x:c>
      <x:c r="C179" s="28" t="str">
        <x:v>campaign 22</x:v>
      </x:c>
      <x:c r="D179" s="28" t="str">
        <x:v>G5</x:v>
      </x:c>
      <x:c r="E179" s="28" t="str">
        <x:v>signed test artifact for stage 5</x:v>
      </x:c>
      <x:c r="F179" s="28" t="str">
        <x:v>independent lineage and civil witness</x:v>
      </x:c>
      <x:c r="G179" s="28" t="str">
        <x:v>declared threshold closed without prohibited borrowing</x:v>
      </x:c>
      <x:c r="H179" s="28" t="str">
        <x:v>halt campaign and reopen architecture</x:v>
      </x:c>
      <x:c r="I179" s="28" t="str">
        <x:v>OPEN</x:v>
      </x:c>
      <x:c r="J179" s="28" t="n">
        <x:f>IF(I179="PASS",1,0)</x:f>
        <x:v>0</x:v>
      </x:c>
      <x:c r="K179" s="28" t="str">
        <x:v>Evidence Release Authority</x:v>
      </x:c>
      <x:c r="L179" s="30" t="str">
        <x:v>future accepted artifact</x:v>
      </x:c>
    </x:row>
    <x:row r="180">
      <x:c r="B180" s="28" t="str">
        <x:v>C22-G6</x:v>
      </x:c>
      <x:c r="C180" s="28" t="str">
        <x:v>campaign 22</x:v>
      </x:c>
      <x:c r="D180" s="28" t="str">
        <x:v>G6</x:v>
      </x:c>
      <x:c r="E180" s="28" t="str">
        <x:v>signed test artifact for stage 6</x:v>
      </x:c>
      <x:c r="F180" s="28" t="str">
        <x:v>independent lineage and civil witness</x:v>
      </x:c>
      <x:c r="G180" s="28" t="str">
        <x:v>declared threshold closed without prohibited borrowing</x:v>
      </x:c>
      <x:c r="H180" s="28" t="str">
        <x:v>halt campaign and reopen architecture</x:v>
      </x:c>
      <x:c r="I180" s="28" t="str">
        <x:v>OPEN</x:v>
      </x:c>
      <x:c r="J180" s="28" t="n">
        <x:f>IF(I180="PASS",1,0)</x:f>
        <x:v>0</x:v>
      </x:c>
      <x:c r="K180" s="28" t="str">
        <x:v>Evidence Release Authority</x:v>
      </x:c>
      <x:c r="L180" s="30" t="str">
        <x:v>future accepted artifact</x:v>
      </x:c>
    </x:row>
    <x:row r="181">
      <x:c r="B181" s="28" t="str">
        <x:v>C22-G7</x:v>
      </x:c>
      <x:c r="C181" s="28" t="str">
        <x:v>campaign 22</x:v>
      </x:c>
      <x:c r="D181" s="28" t="str">
        <x:v>G7</x:v>
      </x:c>
      <x:c r="E181" s="28" t="str">
        <x:v>signed test artifact for stage 7</x:v>
      </x:c>
      <x:c r="F181" s="28" t="str">
        <x:v>independent lineage and civil witness</x:v>
      </x:c>
      <x:c r="G181" s="28" t="str">
        <x:v>declared threshold closed without prohibited borrowing</x:v>
      </x:c>
      <x:c r="H181" s="28" t="str">
        <x:v>halt campaign and reopen architecture</x:v>
      </x:c>
      <x:c r="I181" s="28" t="str">
        <x:v>OPEN</x:v>
      </x:c>
      <x:c r="J181" s="28" t="n">
        <x:f>IF(I181="PASS",1,0)</x:f>
        <x:v>0</x:v>
      </x:c>
      <x:c r="K181" s="28" t="str">
        <x:v>Evidence Release Authority</x:v>
      </x:c>
      <x:c r="L181" s="30" t="str">
        <x:v>future accepted artifact</x:v>
      </x:c>
    </x:row>
    <x:row r="182">
      <x:c r="B182" s="28" t="str">
        <x:v>C22-G8</x:v>
      </x:c>
      <x:c r="C182" s="28" t="str">
        <x:v>campaign 22</x:v>
      </x:c>
      <x:c r="D182" s="28" t="str">
        <x:v>G8</x:v>
      </x:c>
      <x:c r="E182" s="28" t="str">
        <x:v>signed test artifact for stage 8</x:v>
      </x:c>
      <x:c r="F182" s="28" t="str">
        <x:v>independent lineage and civil witness</x:v>
      </x:c>
      <x:c r="G182" s="28" t="str">
        <x:v>declared threshold closed without prohibited borrowing</x:v>
      </x:c>
      <x:c r="H182" s="28" t="str">
        <x:v>halt campaign and reopen architecture</x:v>
      </x:c>
      <x:c r="I182" s="28" t="str">
        <x:v>OPEN</x:v>
      </x:c>
      <x:c r="J182" s="28" t="n">
        <x:f>IF(I182="PASS",1,0)</x:f>
        <x:v>0</x:v>
      </x:c>
      <x:c r="K182" s="28" t="str">
        <x:v>Evidence Release Authority</x:v>
      </x:c>
      <x:c r="L182" s="30" t="str">
        <x:v>future accepted artifact</x:v>
      </x:c>
    </x:row>
    <x:row r="183">
      <x:c r="B183" s="28" t="str">
        <x:v>C23-G1</x:v>
      </x:c>
      <x:c r="C183" s="28" t="str">
        <x:v>campaign 23</x:v>
      </x:c>
      <x:c r="D183" s="28" t="str">
        <x:v>G1</x:v>
      </x:c>
      <x:c r="E183" s="28" t="str">
        <x:v>signed test artifact for stage 1</x:v>
      </x:c>
      <x:c r="F183" s="28" t="str">
        <x:v>independent lineage and civil witness</x:v>
      </x:c>
      <x:c r="G183" s="28" t="str">
        <x:v>declared threshold closed without prohibited borrowing</x:v>
      </x:c>
      <x:c r="H183" s="28" t="str">
        <x:v>halt campaign and reopen architecture</x:v>
      </x:c>
      <x:c r="I183" s="28" t="str">
        <x:v>OPEN</x:v>
      </x:c>
      <x:c r="J183" s="28" t="n">
        <x:f>IF(I183="PASS",1,0)</x:f>
        <x:v>0</x:v>
      </x:c>
      <x:c r="K183" s="28" t="str">
        <x:v>Evidence Release Authority</x:v>
      </x:c>
      <x:c r="L183" s="30" t="str">
        <x:v>future accepted artifact</x:v>
      </x:c>
    </x:row>
    <x:row r="184">
      <x:c r="B184" s="28" t="str">
        <x:v>C23-G2</x:v>
      </x:c>
      <x:c r="C184" s="28" t="str">
        <x:v>campaign 23</x:v>
      </x:c>
      <x:c r="D184" s="28" t="str">
        <x:v>G2</x:v>
      </x:c>
      <x:c r="E184" s="28" t="str">
        <x:v>signed test artifact for stage 2</x:v>
      </x:c>
      <x:c r="F184" s="28" t="str">
        <x:v>independent lineage and civil witness</x:v>
      </x:c>
      <x:c r="G184" s="28" t="str">
        <x:v>declared threshold closed without prohibited borrowing</x:v>
      </x:c>
      <x:c r="H184" s="28" t="str">
        <x:v>halt campaign and reopen architecture</x:v>
      </x:c>
      <x:c r="I184" s="28" t="str">
        <x:v>OPEN</x:v>
      </x:c>
      <x:c r="J184" s="28" t="n">
        <x:f>IF(I184="PASS",1,0)</x:f>
        <x:v>0</x:v>
      </x:c>
      <x:c r="K184" s="28" t="str">
        <x:v>Evidence Release Authority</x:v>
      </x:c>
      <x:c r="L184" s="30" t="str">
        <x:v>future accepted artifact</x:v>
      </x:c>
    </x:row>
    <x:row r="185">
      <x:c r="B185" s="28" t="str">
        <x:v>C23-G3</x:v>
      </x:c>
      <x:c r="C185" s="28" t="str">
        <x:v>campaign 23</x:v>
      </x:c>
      <x:c r="D185" s="28" t="str">
        <x:v>G3</x:v>
      </x:c>
      <x:c r="E185" s="28" t="str">
        <x:v>signed test artifact for stage 3</x:v>
      </x:c>
      <x:c r="F185" s="28" t="str">
        <x:v>independent lineage and civil witness</x:v>
      </x:c>
      <x:c r="G185" s="28" t="str">
        <x:v>declared threshold closed without prohibited borrowing</x:v>
      </x:c>
      <x:c r="H185" s="28" t="str">
        <x:v>halt campaign and reopen architecture</x:v>
      </x:c>
      <x:c r="I185" s="28" t="str">
        <x:v>OPEN</x:v>
      </x:c>
      <x:c r="J185" s="28" t="n">
        <x:f>IF(I185="PASS",1,0)</x:f>
        <x:v>0</x:v>
      </x:c>
      <x:c r="K185" s="28" t="str">
        <x:v>Evidence Release Authority</x:v>
      </x:c>
      <x:c r="L185" s="30" t="str">
        <x:v>future accepted artifact</x:v>
      </x:c>
    </x:row>
    <x:row r="186">
      <x:c r="B186" s="28" t="str">
        <x:v>C23-G4</x:v>
      </x:c>
      <x:c r="C186" s="28" t="str">
        <x:v>campaign 23</x:v>
      </x:c>
      <x:c r="D186" s="28" t="str">
        <x:v>G4</x:v>
      </x:c>
      <x:c r="E186" s="28" t="str">
        <x:v>signed test artifact for stage 4</x:v>
      </x:c>
      <x:c r="F186" s="28" t="str">
        <x:v>independent lineage and civil witness</x:v>
      </x:c>
      <x:c r="G186" s="28" t="str">
        <x:v>declared threshold closed without prohibited borrowing</x:v>
      </x:c>
      <x:c r="H186" s="28" t="str">
        <x:v>halt campaign and reopen architecture</x:v>
      </x:c>
      <x:c r="I186" s="28" t="str">
        <x:v>OPEN</x:v>
      </x:c>
      <x:c r="J186" s="28" t="n">
        <x:f>IF(I186="PASS",1,0)</x:f>
        <x:v>0</x:v>
      </x:c>
      <x:c r="K186" s="28" t="str">
        <x:v>Evidence Release Authority</x:v>
      </x:c>
      <x:c r="L186" s="30" t="str">
        <x:v>future accepted artifact</x:v>
      </x:c>
    </x:row>
    <x:row r="187">
      <x:c r="B187" s="28" t="str">
        <x:v>C23-G5</x:v>
      </x:c>
      <x:c r="C187" s="28" t="str">
        <x:v>campaign 23</x:v>
      </x:c>
      <x:c r="D187" s="28" t="str">
        <x:v>G5</x:v>
      </x:c>
      <x:c r="E187" s="28" t="str">
        <x:v>signed test artifact for stage 5</x:v>
      </x:c>
      <x:c r="F187" s="28" t="str">
        <x:v>independent lineage and civil witness</x:v>
      </x:c>
      <x:c r="G187" s="28" t="str">
        <x:v>declared threshold closed without prohibited borrowing</x:v>
      </x:c>
      <x:c r="H187" s="28" t="str">
        <x:v>halt campaign and reopen architecture</x:v>
      </x:c>
      <x:c r="I187" s="28" t="str">
        <x:v>OPEN</x:v>
      </x:c>
      <x:c r="J187" s="28" t="n">
        <x:f>IF(I187="PASS",1,0)</x:f>
        <x:v>0</x:v>
      </x:c>
      <x:c r="K187" s="28" t="str">
        <x:v>Evidence Release Authority</x:v>
      </x:c>
      <x:c r="L187" s="30" t="str">
        <x:v>future accepted artifact</x:v>
      </x:c>
    </x:row>
    <x:row r="188">
      <x:c r="B188" s="28" t="str">
        <x:v>C23-G6</x:v>
      </x:c>
      <x:c r="C188" s="28" t="str">
        <x:v>campaign 23</x:v>
      </x:c>
      <x:c r="D188" s="28" t="str">
        <x:v>G6</x:v>
      </x:c>
      <x:c r="E188" s="28" t="str">
        <x:v>signed test artifact for stage 6</x:v>
      </x:c>
      <x:c r="F188" s="28" t="str">
        <x:v>independent lineage and civil witness</x:v>
      </x:c>
      <x:c r="G188" s="28" t="str">
        <x:v>declared threshold closed without prohibited borrowing</x:v>
      </x:c>
      <x:c r="H188" s="28" t="str">
        <x:v>halt campaign and reopen architecture</x:v>
      </x:c>
      <x:c r="I188" s="28" t="str">
        <x:v>OPEN</x:v>
      </x:c>
      <x:c r="J188" s="28" t="n">
        <x:f>IF(I188="PASS",1,0)</x:f>
        <x:v>0</x:v>
      </x:c>
      <x:c r="K188" s="28" t="str">
        <x:v>Evidence Release Authority</x:v>
      </x:c>
      <x:c r="L188" s="30" t="str">
        <x:v>future accepted artifact</x:v>
      </x:c>
    </x:row>
    <x:row r="189">
      <x:c r="B189" s="28" t="str">
        <x:v>C23-G7</x:v>
      </x:c>
      <x:c r="C189" s="28" t="str">
        <x:v>campaign 23</x:v>
      </x:c>
      <x:c r="D189" s="28" t="str">
        <x:v>G7</x:v>
      </x:c>
      <x:c r="E189" s="28" t="str">
        <x:v>signed test artifact for stage 7</x:v>
      </x:c>
      <x:c r="F189" s="28" t="str">
        <x:v>independent lineage and civil witness</x:v>
      </x:c>
      <x:c r="G189" s="28" t="str">
        <x:v>declared threshold closed without prohibited borrowing</x:v>
      </x:c>
      <x:c r="H189" s="28" t="str">
        <x:v>halt campaign and reopen architecture</x:v>
      </x:c>
      <x:c r="I189" s="28" t="str">
        <x:v>OPEN</x:v>
      </x:c>
      <x:c r="J189" s="28" t="n">
        <x:f>IF(I189="PASS",1,0)</x:f>
        <x:v>0</x:v>
      </x:c>
      <x:c r="K189" s="28" t="str">
        <x:v>Evidence Release Authority</x:v>
      </x:c>
      <x:c r="L189" s="30" t="str">
        <x:v>future accepted artifact</x:v>
      </x:c>
    </x:row>
    <x:row r="190">
      <x:c r="B190" s="28" t="str">
        <x:v>C23-G8</x:v>
      </x:c>
      <x:c r="C190" s="28" t="str">
        <x:v>campaign 23</x:v>
      </x:c>
      <x:c r="D190" s="28" t="str">
        <x:v>G8</x:v>
      </x:c>
      <x:c r="E190" s="28" t="str">
        <x:v>signed test artifact for stage 8</x:v>
      </x:c>
      <x:c r="F190" s="28" t="str">
        <x:v>independent lineage and civil witness</x:v>
      </x:c>
      <x:c r="G190" s="28" t="str">
        <x:v>declared threshold closed without prohibited borrowing</x:v>
      </x:c>
      <x:c r="H190" s="28" t="str">
        <x:v>halt campaign and reopen architecture</x:v>
      </x:c>
      <x:c r="I190" s="28" t="str">
        <x:v>OPEN</x:v>
      </x:c>
      <x:c r="J190" s="28" t="n">
        <x:f>IF(I190="PASS",1,0)</x:f>
        <x:v>0</x:v>
      </x:c>
      <x:c r="K190" s="28" t="str">
        <x:v>Evidence Release Authority</x:v>
      </x:c>
      <x:c r="L190" s="30" t="str">
        <x:v>future accepted artifact</x:v>
      </x:c>
    </x:row>
    <x:row r="191">
      <x:c r="B191" s="28" t="str">
        <x:v>C24-G1</x:v>
      </x:c>
      <x:c r="C191" s="28" t="str">
        <x:v>campaign 24</x:v>
      </x:c>
      <x:c r="D191" s="28" t="str">
        <x:v>G1</x:v>
      </x:c>
      <x:c r="E191" s="28" t="str">
        <x:v>signed test artifact for stage 1</x:v>
      </x:c>
      <x:c r="F191" s="28" t="str">
        <x:v>independent lineage and civil witness</x:v>
      </x:c>
      <x:c r="G191" s="28" t="str">
        <x:v>declared threshold closed without prohibited borrowing</x:v>
      </x:c>
      <x:c r="H191" s="28" t="str">
        <x:v>halt campaign and reopen architecture</x:v>
      </x:c>
      <x:c r="I191" s="28" t="str">
        <x:v>OPEN</x:v>
      </x:c>
      <x:c r="J191" s="28" t="n">
        <x:f>IF(I191="PASS",1,0)</x:f>
        <x:v>0</x:v>
      </x:c>
      <x:c r="K191" s="28" t="str">
        <x:v>Evidence Release Authority</x:v>
      </x:c>
      <x:c r="L191" s="30" t="str">
        <x:v>future accepted artifact</x:v>
      </x:c>
    </x:row>
    <x:row r="192">
      <x:c r="B192" s="28" t="str">
        <x:v>C24-G2</x:v>
      </x:c>
      <x:c r="C192" s="28" t="str">
        <x:v>campaign 24</x:v>
      </x:c>
      <x:c r="D192" s="28" t="str">
        <x:v>G2</x:v>
      </x:c>
      <x:c r="E192" s="28" t="str">
        <x:v>signed test artifact for stage 2</x:v>
      </x:c>
      <x:c r="F192" s="28" t="str">
        <x:v>independent lineage and civil witness</x:v>
      </x:c>
      <x:c r="G192" s="28" t="str">
        <x:v>declared threshold closed without prohibited borrowing</x:v>
      </x:c>
      <x:c r="H192" s="28" t="str">
        <x:v>halt campaign and reopen architecture</x:v>
      </x:c>
      <x:c r="I192" s="28" t="str">
        <x:v>OPEN</x:v>
      </x:c>
      <x:c r="J192" s="28" t="n">
        <x:f>IF(I192="PASS",1,0)</x:f>
        <x:v>0</x:v>
      </x:c>
      <x:c r="K192" s="28" t="str">
        <x:v>Evidence Release Authority</x:v>
      </x:c>
      <x:c r="L192" s="30" t="str">
        <x:v>future accepted artifact</x:v>
      </x:c>
    </x:row>
    <x:row r="193">
      <x:c r="B193" s="28" t="str">
        <x:v>C24-G3</x:v>
      </x:c>
      <x:c r="C193" s="28" t="str">
        <x:v>campaign 24</x:v>
      </x:c>
      <x:c r="D193" s="28" t="str">
        <x:v>G3</x:v>
      </x:c>
      <x:c r="E193" s="28" t="str">
        <x:v>signed test artifact for stage 3</x:v>
      </x:c>
      <x:c r="F193" s="28" t="str">
        <x:v>independent lineage and civil witness</x:v>
      </x:c>
      <x:c r="G193" s="28" t="str">
        <x:v>declared threshold closed without prohibited borrowing</x:v>
      </x:c>
      <x:c r="H193" s="28" t="str">
        <x:v>halt campaign and reopen architecture</x:v>
      </x:c>
      <x:c r="I193" s="28" t="str">
        <x:v>OPEN</x:v>
      </x:c>
      <x:c r="J193" s="28" t="n">
        <x:f>IF(I193="PASS",1,0)</x:f>
        <x:v>0</x:v>
      </x:c>
      <x:c r="K193" s="28" t="str">
        <x:v>Evidence Release Authority</x:v>
      </x:c>
      <x:c r="L193" s="30" t="str">
        <x:v>future accepted artifact</x:v>
      </x:c>
    </x:row>
    <x:row r="194">
      <x:c r="B194" s="28" t="str">
        <x:v>C24-G4</x:v>
      </x:c>
      <x:c r="C194" s="28" t="str">
        <x:v>campaign 24</x:v>
      </x:c>
      <x:c r="D194" s="28" t="str">
        <x:v>G4</x:v>
      </x:c>
      <x:c r="E194" s="28" t="str">
        <x:v>signed test artifact for stage 4</x:v>
      </x:c>
      <x:c r="F194" s="28" t="str">
        <x:v>independent lineage and civil witness</x:v>
      </x:c>
      <x:c r="G194" s="28" t="str">
        <x:v>declared threshold closed without prohibited borrowing</x:v>
      </x:c>
      <x:c r="H194" s="28" t="str">
        <x:v>halt campaign and reopen architecture</x:v>
      </x:c>
      <x:c r="I194" s="28" t="str">
        <x:v>OPEN</x:v>
      </x:c>
      <x:c r="J194" s="28" t="n">
        <x:f>IF(I194="PASS",1,0)</x:f>
        <x:v>0</x:v>
      </x:c>
      <x:c r="K194" s="28" t="str">
        <x:v>Evidence Release Authority</x:v>
      </x:c>
      <x:c r="L194" s="30" t="str">
        <x:v>future accepted artifact</x:v>
      </x:c>
    </x:row>
    <x:row r="195">
      <x:c r="B195" s="28" t="str">
        <x:v>C24-G5</x:v>
      </x:c>
      <x:c r="C195" s="28" t="str">
        <x:v>campaign 24</x:v>
      </x:c>
      <x:c r="D195" s="28" t="str">
        <x:v>G5</x:v>
      </x:c>
      <x:c r="E195" s="28" t="str">
        <x:v>signed test artifact for stage 5</x:v>
      </x:c>
      <x:c r="F195" s="28" t="str">
        <x:v>independent lineage and civil witness</x:v>
      </x:c>
      <x:c r="G195" s="28" t="str">
        <x:v>declared threshold closed without prohibited borrowing</x:v>
      </x:c>
      <x:c r="H195" s="28" t="str">
        <x:v>halt campaign and reopen architecture</x:v>
      </x:c>
      <x:c r="I195" s="28" t="str">
        <x:v>OPEN</x:v>
      </x:c>
      <x:c r="J195" s="28" t="n">
        <x:f>IF(I195="PASS",1,0)</x:f>
        <x:v>0</x:v>
      </x:c>
      <x:c r="K195" s="28" t="str">
        <x:v>Evidence Release Authority</x:v>
      </x:c>
      <x:c r="L195" s="30" t="str">
        <x:v>future accepted artifact</x:v>
      </x:c>
    </x:row>
    <x:row r="196">
      <x:c r="B196" s="28" t="str">
        <x:v>C24-G6</x:v>
      </x:c>
      <x:c r="C196" s="28" t="str">
        <x:v>campaign 24</x:v>
      </x:c>
      <x:c r="D196" s="28" t="str">
        <x:v>G6</x:v>
      </x:c>
      <x:c r="E196" s="28" t="str">
        <x:v>signed test artifact for stage 6</x:v>
      </x:c>
      <x:c r="F196" s="28" t="str">
        <x:v>independent lineage and civil witness</x:v>
      </x:c>
      <x:c r="G196" s="28" t="str">
        <x:v>declared threshold closed without prohibited borrowing</x:v>
      </x:c>
      <x:c r="H196" s="28" t="str">
        <x:v>halt campaign and reopen architecture</x:v>
      </x:c>
      <x:c r="I196" s="28" t="str">
        <x:v>OPEN</x:v>
      </x:c>
      <x:c r="J196" s="28" t="n">
        <x:f>IF(I196="PASS",1,0)</x:f>
        <x:v>0</x:v>
      </x:c>
      <x:c r="K196" s="28" t="str">
        <x:v>Evidence Release Authority</x:v>
      </x:c>
      <x:c r="L196" s="30" t="str">
        <x:v>future accepted artifact</x:v>
      </x:c>
    </x:row>
    <x:row r="197">
      <x:c r="B197" s="28" t="str">
        <x:v>C24-G7</x:v>
      </x:c>
      <x:c r="C197" s="28" t="str">
        <x:v>campaign 24</x:v>
      </x:c>
      <x:c r="D197" s="28" t="str">
        <x:v>G7</x:v>
      </x:c>
      <x:c r="E197" s="28" t="str">
        <x:v>signed test artifact for stage 7</x:v>
      </x:c>
      <x:c r="F197" s="28" t="str">
        <x:v>independent lineage and civil witness</x:v>
      </x:c>
      <x:c r="G197" s="28" t="str">
        <x:v>declared threshold closed without prohibited borrowing</x:v>
      </x:c>
      <x:c r="H197" s="28" t="str">
        <x:v>halt campaign and reopen architecture</x:v>
      </x:c>
      <x:c r="I197" s="28" t="str">
        <x:v>OPEN</x:v>
      </x:c>
      <x:c r="J197" s="28" t="n">
        <x:f>IF(I197="PASS",1,0)</x:f>
        <x:v>0</x:v>
      </x:c>
      <x:c r="K197" s="28" t="str">
        <x:v>Evidence Release Authority</x:v>
      </x:c>
      <x:c r="L197" s="30" t="str">
        <x:v>future accepted artifact</x:v>
      </x:c>
    </x:row>
    <x:row r="198">
      <x:c r="B198" s="28" t="str">
        <x:v>C24-G8</x:v>
      </x:c>
      <x:c r="C198" s="28" t="str">
        <x:v>campaign 24</x:v>
      </x:c>
      <x:c r="D198" s="28" t="str">
        <x:v>G8</x:v>
      </x:c>
      <x:c r="E198" s="28" t="str">
        <x:v>signed test artifact for stage 8</x:v>
      </x:c>
      <x:c r="F198" s="28" t="str">
        <x:v>independent lineage and civil witness</x:v>
      </x:c>
      <x:c r="G198" s="28" t="str">
        <x:v>declared threshold closed without prohibited borrowing</x:v>
      </x:c>
      <x:c r="H198" s="28" t="str">
        <x:v>halt campaign and reopen architecture</x:v>
      </x:c>
      <x:c r="I198" s="28" t="str">
        <x:v>OPEN</x:v>
      </x:c>
      <x:c r="J198" s="28" t="n">
        <x:f>IF(I198="PASS",1,0)</x:f>
        <x:v>0</x:v>
      </x:c>
      <x:c r="K198" s="28" t="str">
        <x:v>Evidence Release Authority</x:v>
      </x:c>
      <x:c r="L198" s="30" t="str">
        <x:v>future accepted artifact</x:v>
      </x:c>
    </x:row>
    <x:row r="199">
      <x:c r="B199" s="28" t="str">
        <x:v>C25-G1</x:v>
      </x:c>
      <x:c r="C199" s="28" t="str">
        <x:v>campaign 25</x:v>
      </x:c>
      <x:c r="D199" s="28" t="str">
        <x:v>G1</x:v>
      </x:c>
      <x:c r="E199" s="28" t="str">
        <x:v>signed test artifact for stage 1</x:v>
      </x:c>
      <x:c r="F199" s="28" t="str">
        <x:v>independent lineage and civil witness</x:v>
      </x:c>
      <x:c r="G199" s="28" t="str">
        <x:v>declared threshold closed without prohibited borrowing</x:v>
      </x:c>
      <x:c r="H199" s="28" t="str">
        <x:v>halt campaign and reopen architecture</x:v>
      </x:c>
      <x:c r="I199" s="28" t="str">
        <x:v>OPEN</x:v>
      </x:c>
      <x:c r="J199" s="28" t="n">
        <x:f>IF(I199="PASS",1,0)</x:f>
        <x:v>0</x:v>
      </x:c>
      <x:c r="K199" s="28" t="str">
        <x:v>Evidence Release Authority</x:v>
      </x:c>
      <x:c r="L199" s="30" t="str">
        <x:v>future accepted artifact</x:v>
      </x:c>
    </x:row>
    <x:row r="200">
      <x:c r="B200" s="28" t="str">
        <x:v>C25-G2</x:v>
      </x:c>
      <x:c r="C200" s="28" t="str">
        <x:v>campaign 25</x:v>
      </x:c>
      <x:c r="D200" s="28" t="str">
        <x:v>G2</x:v>
      </x:c>
      <x:c r="E200" s="28" t="str">
        <x:v>signed test artifact for stage 2</x:v>
      </x:c>
      <x:c r="F200" s="28" t="str">
        <x:v>independent lineage and civil witness</x:v>
      </x:c>
      <x:c r="G200" s="28" t="str">
        <x:v>declared threshold closed without prohibited borrowing</x:v>
      </x:c>
      <x:c r="H200" s="28" t="str">
        <x:v>halt campaign and reopen architecture</x:v>
      </x:c>
      <x:c r="I200" s="28" t="str">
        <x:v>OPEN</x:v>
      </x:c>
      <x:c r="J200" s="28" t="n">
        <x:f>IF(I200="PASS",1,0)</x:f>
        <x:v>0</x:v>
      </x:c>
      <x:c r="K200" s="28" t="str">
        <x:v>Evidence Release Authority</x:v>
      </x:c>
      <x:c r="L200" s="30" t="str">
        <x:v>future accepted artifact</x:v>
      </x:c>
    </x:row>
    <x:row r="201">
      <x:c r="B201" s="28" t="str">
        <x:v>C25-G3</x:v>
      </x:c>
      <x:c r="C201" s="28" t="str">
        <x:v>campaign 25</x:v>
      </x:c>
      <x:c r="D201" s="28" t="str">
        <x:v>G3</x:v>
      </x:c>
      <x:c r="E201" s="28" t="str">
        <x:v>signed test artifact for stage 3</x:v>
      </x:c>
      <x:c r="F201" s="28" t="str">
        <x:v>independent lineage and civil witness</x:v>
      </x:c>
      <x:c r="G201" s="28" t="str">
        <x:v>declared threshold closed without prohibited borrowing</x:v>
      </x:c>
      <x:c r="H201" s="28" t="str">
        <x:v>halt campaign and reopen architecture</x:v>
      </x:c>
      <x:c r="I201" s="28" t="str">
        <x:v>OPEN</x:v>
      </x:c>
      <x:c r="J201" s="28" t="n">
        <x:f>IF(I201="PASS",1,0)</x:f>
        <x:v>0</x:v>
      </x:c>
      <x:c r="K201" s="28" t="str">
        <x:v>Evidence Release Authority</x:v>
      </x:c>
      <x:c r="L201" s="30" t="str">
        <x:v>future accepted artifact</x:v>
      </x:c>
    </x:row>
    <x:row r="202">
      <x:c r="B202" s="28" t="str">
        <x:v>C25-G4</x:v>
      </x:c>
      <x:c r="C202" s="28" t="str">
        <x:v>campaign 25</x:v>
      </x:c>
      <x:c r="D202" s="28" t="str">
        <x:v>G4</x:v>
      </x:c>
      <x:c r="E202" s="28" t="str">
        <x:v>signed test artifact for stage 4</x:v>
      </x:c>
      <x:c r="F202" s="28" t="str">
        <x:v>independent lineage and civil witness</x:v>
      </x:c>
      <x:c r="G202" s="28" t="str">
        <x:v>declared threshold closed without prohibited borrowing</x:v>
      </x:c>
      <x:c r="H202" s="28" t="str">
        <x:v>halt campaign and reopen architecture</x:v>
      </x:c>
      <x:c r="I202" s="28" t="str">
        <x:v>OPEN</x:v>
      </x:c>
      <x:c r="J202" s="28" t="n">
        <x:f>IF(I202="PASS",1,0)</x:f>
        <x:v>0</x:v>
      </x:c>
      <x:c r="K202" s="28" t="str">
        <x:v>Evidence Release Authority</x:v>
      </x:c>
      <x:c r="L202" s="30" t="str">
        <x:v>future accepted artifact</x:v>
      </x:c>
    </x:row>
    <x:row r="203">
      <x:c r="B203" s="28" t="str">
        <x:v>C25-G5</x:v>
      </x:c>
      <x:c r="C203" s="28" t="str">
        <x:v>campaign 25</x:v>
      </x:c>
      <x:c r="D203" s="28" t="str">
        <x:v>G5</x:v>
      </x:c>
      <x:c r="E203" s="28" t="str">
        <x:v>signed test artifact for stage 5</x:v>
      </x:c>
      <x:c r="F203" s="28" t="str">
        <x:v>independent lineage and civil witness</x:v>
      </x:c>
      <x:c r="G203" s="28" t="str">
        <x:v>declared threshold closed without prohibited borrowing</x:v>
      </x:c>
      <x:c r="H203" s="28" t="str">
        <x:v>halt campaign and reopen architecture</x:v>
      </x:c>
      <x:c r="I203" s="28" t="str">
        <x:v>OPEN</x:v>
      </x:c>
      <x:c r="J203" s="28" t="n">
        <x:f>IF(I203="PASS",1,0)</x:f>
        <x:v>0</x:v>
      </x:c>
      <x:c r="K203" s="28" t="str">
        <x:v>Evidence Release Authority</x:v>
      </x:c>
      <x:c r="L203" s="30" t="str">
        <x:v>future accepted artifact</x:v>
      </x:c>
    </x:row>
    <x:row r="204">
      <x:c r="B204" s="28" t="str">
        <x:v>C25-G6</x:v>
      </x:c>
      <x:c r="C204" s="28" t="str">
        <x:v>campaign 25</x:v>
      </x:c>
      <x:c r="D204" s="28" t="str">
        <x:v>G6</x:v>
      </x:c>
      <x:c r="E204" s="28" t="str">
        <x:v>signed test artifact for stage 6</x:v>
      </x:c>
      <x:c r="F204" s="28" t="str">
        <x:v>independent lineage and civil witness</x:v>
      </x:c>
      <x:c r="G204" s="28" t="str">
        <x:v>declared threshold closed without prohibited borrowing</x:v>
      </x:c>
      <x:c r="H204" s="28" t="str">
        <x:v>halt campaign and reopen architecture</x:v>
      </x:c>
      <x:c r="I204" s="28" t="str">
        <x:v>OPEN</x:v>
      </x:c>
      <x:c r="J204" s="28" t="n">
        <x:f>IF(I204="PASS",1,0)</x:f>
        <x:v>0</x:v>
      </x:c>
      <x:c r="K204" s="28" t="str">
        <x:v>Evidence Release Authority</x:v>
      </x:c>
      <x:c r="L204" s="30" t="str">
        <x:v>future accepted artifact</x:v>
      </x:c>
    </x:row>
    <x:row r="205">
      <x:c r="B205" s="28" t="str">
        <x:v>C25-G7</x:v>
      </x:c>
      <x:c r="C205" s="28" t="str">
        <x:v>campaign 25</x:v>
      </x:c>
      <x:c r="D205" s="28" t="str">
        <x:v>G7</x:v>
      </x:c>
      <x:c r="E205" s="28" t="str">
        <x:v>signed test artifact for stage 7</x:v>
      </x:c>
      <x:c r="F205" s="28" t="str">
        <x:v>independent lineage and civil witness</x:v>
      </x:c>
      <x:c r="G205" s="28" t="str">
        <x:v>declared threshold closed without prohibited borrowing</x:v>
      </x:c>
      <x:c r="H205" s="28" t="str">
        <x:v>halt campaign and reopen architecture</x:v>
      </x:c>
      <x:c r="I205" s="28" t="str">
        <x:v>OPEN</x:v>
      </x:c>
      <x:c r="J205" s="28" t="n">
        <x:f>IF(I205="PASS",1,0)</x:f>
        <x:v>0</x:v>
      </x:c>
      <x:c r="K205" s="28" t="str">
        <x:v>Evidence Release Authority</x:v>
      </x:c>
      <x:c r="L205" s="30" t="str">
        <x:v>future accepted artifact</x:v>
      </x:c>
    </x:row>
    <x:row r="206">
      <x:c r="B206" s="31" t="str">
        <x:v>C25-G8</x:v>
      </x:c>
      <x:c r="C206" s="31" t="str">
        <x:v>campaign 25</x:v>
      </x:c>
      <x:c r="D206" s="31" t="str">
        <x:v>G8</x:v>
      </x:c>
      <x:c r="E206" s="31" t="str">
        <x:v>signed test artifact for stage 8</x:v>
      </x:c>
      <x:c r="F206" s="31" t="str">
        <x:v>independent lineage and civil witness</x:v>
      </x:c>
      <x:c r="G206" s="31" t="str">
        <x:v>declared threshold closed without prohibited borrowing</x:v>
      </x:c>
      <x:c r="H206" s="31" t="str">
        <x:v>halt campaign and reopen architecture</x:v>
      </x:c>
      <x:c r="I206" s="31" t="str">
        <x:v>OPEN</x:v>
      </x:c>
      <x:c r="J206" s="31" t="n">
        <x:f>IF(I206="PASS",1,0)</x:f>
        <x:v>0</x:v>
      </x:c>
      <x:c r="K206" s="31" t="str">
        <x:v>Evidence Release Authority</x:v>
      </x:c>
      <x:c r="L206" s="33" t="str">
        <x:v>future accepted artifact</x:v>
      </x:c>
    </x:row>
  </x:sheetData>
  <x:mergeCells>
    <x:mergeCell ref="B2:H2"/>
    <x:mergeCell ref="B3:L3"/>
  </x:mergeCells>
  <x:conditionalFormatting sqref="I7:I206">
    <x:cfRule type="containsText" dxfId="64" priority="1" operator="containsText" text="FAIL"/>
    <x:cfRule type="containsText" dxfId="65" priority="2" operator="containsText" text="PASS"/>
    <x:cfRule type="containsText" dxfId="66" priority="3" operator="containsText" text="OPEN"/>
    <x:cfRule type="containsText" dxfId="67" priority="4" operator="containsText" text="BLOCKED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28" hidden="0" customWidth="1"/>
    <x:col min="3" max="3" width="15" hidden="0" customWidth="1"/>
    <x:col min="4" max="4" width="44" hidden="0" customWidth="1"/>
    <x:col min="5" max="5" width="19" hidden="0" customWidth="1"/>
    <x:col min="6" max="6" width="19" hidden="0" customWidth="1"/>
    <x:col min="7" max="7" width="14" hidden="0" customWidth="1"/>
  </x:cols>
  <x:sheetData>
    <x:row r="2">
      <x:c r="B2" s="43" t="str">
        <x:v>Terminal model audit</x:v>
      </x:c>
      <x:c r="C2" s="24"/>
      <x:c r="D2" s="24"/>
      <x:c r="E2" s="24"/>
      <x:c r="F2" s="24"/>
      <x:c r="G2" s="24"/>
    </x:row>
    <x:row r="3">
      <x:c r="B3" s="44" t="str">
        <x:v>Ninety deterministic controls plus two hundred recognized evidence states; PASS proves workbook consistency only</x:v>
      </x:c>
      <x:c r="C3" s="24"/>
      <x:c r="D3" s="24"/>
      <x:c r="E3" s="24"/>
      <x:c r="F3" s="24"/>
      <x:c r="G3" s="24"/>
    </x:row>
    <x:row r="4">
      <x:c r="B4" s="45"/>
      <x:c r="C4" s="45"/>
      <x:c r="D4" s="45"/>
      <x:c r="E4" s="45"/>
      <x:c r="F4" s="45"/>
      <x:c r="G4" s="45"/>
    </x:row>
    <x:row r="5">
      <x:c r="B5" s="24"/>
      <x:c r="C5" s="24"/>
      <x:c r="D5" s="24"/>
      <x:c r="E5" s="24"/>
      <x:c r="F5" s="24"/>
      <x:c r="G5" s="24"/>
    </x:row>
    <x:row r="6">
      <x:c r="B6" s="26" t="str">
        <x:v>Control</x:v>
      </x:c>
      <x:c r="C6" s="27" t="str">
        <x:v>Class</x:v>
      </x:c>
      <x:c r="D6" s="27" t="str">
        <x:v>Claim</x:v>
      </x:c>
      <x:c r="E6" s="27" t="str">
        <x:v>Actual</x:v>
      </x:c>
      <x:c r="F6" s="27" t="str">
        <x:v>Expected</x:v>
      </x:c>
      <x:c r="G6" s="27" t="str">
        <x:v>Result</x:v>
      </x:c>
    </x:row>
    <x:row r="7">
      <x:c r="B7" s="28" t="str">
        <x:v>cell mass</x:v>
      </x:c>
      <x:c r="C7" s="28" t="str">
        <x:v>mass</x:v>
      </x:c>
      <x:c r="D7" s="28" t="str">
        <x:v>burden totals</x:v>
      </x:c>
      <x:c r="E7" s="28" t="n">
        <x:v>635</x:v>
      </x:c>
      <x:c r="F7" s="28" t="n">
        <x:v>635</x:v>
      </x:c>
      <x:c r="G7" s="30" t="str">
        <x:f>IF(ABS(E7-F7)&lt;0.001,"PASS","FAIL")</x:f>
        <x:v>PASS</x:v>
      </x:c>
    </x:row>
    <x:row r="8">
      <x:c r="B8" s="28" t="str">
        <x:v>certified set</x:v>
      </x:c>
      <x:c r="C8" s="28" t="str">
        <x:v>mass</x:v>
      </x:c>
      <x:c r="D8" s="28" t="str">
        <x:v>five certified tiles</x:v>
      </x:c>
      <x:c r="E8" s="28" t="n">
        <x:v>79.375</x:v>
      </x:c>
      <x:c r="F8" s="28" t="n">
        <x:v>79.375</x:v>
      </x:c>
      <x:c r="G8" s="30" t="str">
        <x:f>IF(ABS(E8-F8)&lt;0.001,"PASS","FAIL")</x:f>
        <x:v>PASS</x:v>
      </x:c>
    </x:row>
    <x:row r="9">
      <x:c r="B9" s="28" t="str">
        <x:v>air certified load</x:v>
      </x:c>
      <x:c r="C9" s="28" t="str">
        <x:v>geometry</x:v>
      </x:c>
      <x:c r="D9" s="28" t="str">
        <x:v>four sets</x:v>
      </x:c>
      <x:c r="E9" s="28" t="n">
        <x:v>317.5</x:v>
      </x:c>
      <x:c r="F9" s="28" t="n">
        <x:v>317.5</x:v>
      </x:c>
      <x:c r="G9" s="30" t="str">
        <x:f>IF(ABS(E9-F9)&lt;0.001,"PASS","FAIL")</x:f>
        <x:v>PASS</x:v>
      </x:c>
    </x:row>
    <x:row r="10">
      <x:c r="B10" s="28" t="str">
        <x:v>terrain certified load</x:v>
      </x:c>
      <x:c r="C10" s="28" t="str">
        <x:v>geometry</x:v>
      </x:c>
      <x:c r="D10" s="28" t="str">
        <x:v>two sets</x:v>
      </x:c>
      <x:c r="E10" s="28" t="n">
        <x:v>158.75</x:v>
      </x:c>
      <x:c r="F10" s="28" t="n">
        <x:v>158.75</x:v>
      </x:c>
      <x:c r="G10" s="30" t="str">
        <x:f>IF(ABS(E10-F10)&lt;0.001,"PASS","FAIL")</x:f>
        <x:v>PASS</x:v>
      </x:c>
    </x:row>
    <x:row r="11">
      <x:c r="B11" s="28" t="str">
        <x:v>air positions</x:v>
      </x:c>
      <x:c r="C11" s="28" t="str">
        <x:v>interface</x:v>
      </x:c>
      <x:c r="D11" s="28" t="str">
        <x:v>twenty saddles</x:v>
      </x:c>
      <x:c r="E11" s="28" t="n">
        <x:v>20</x:v>
      </x:c>
      <x:c r="F11" s="28" t="n">
        <x:v>20</x:v>
      </x:c>
      <x:c r="G11" s="30" t="str">
        <x:f>IF(ABS(E11-F11)&lt;0.001,"PASS","FAIL")</x:f>
        <x:v>PASS</x:v>
      </x:c>
    </x:row>
    <x:row r="12">
      <x:c r="B12" s="28" t="str">
        <x:v>terrain positions</x:v>
      </x:c>
      <x:c r="C12" s="28" t="str">
        <x:v>interface</x:v>
      </x:c>
      <x:c r="D12" s="28" t="str">
        <x:v>ten saddles</x:v>
      </x:c>
      <x:c r="E12" s="28" t="n">
        <x:v>10</x:v>
      </x:c>
      <x:c r="F12" s="28" t="n">
        <x:v>10</x:v>
      </x:c>
      <x:c r="G12" s="30" t="str">
        <x:f>IF(ABS(E12-F12)&lt;0.001,"PASS","FAIL")</x:f>
        <x:v>PASS</x:v>
      </x:c>
    </x:row>
    <x:row r="13">
      <x:c r="B13" s="28" t="str">
        <x:v>air reset</x:v>
      </x:c>
      <x:c r="C13" s="28" t="str">
        <x:v>mission</x:v>
      </x:c>
      <x:c r="D13" s="28" t="str">
        <x:v>under ceiling</x:v>
      </x:c>
      <x:c r="E13" s="28" t="n">
        <x:v>163</x:v>
      </x:c>
      <x:c r="F13" s="28" t="n">
        <x:v>163</x:v>
      </x:c>
      <x:c r="G13" s="30" t="str">
        <x:f>IF(ABS(E13-F13)&lt;0.001,"PASS","FAIL")</x:f>
        <x:v>PASS</x:v>
      </x:c>
    </x:row>
    <x:row r="14">
      <x:c r="B14" s="28" t="str">
        <x:v>terrain reset</x:v>
      </x:c>
      <x:c r="C14" s="28" t="str">
        <x:v>mission</x:v>
      </x:c>
      <x:c r="D14" s="28" t="str">
        <x:v>under ceiling</x:v>
      </x:c>
      <x:c r="E14" s="28" t="n">
        <x:v>167</x:v>
      </x:c>
      <x:c r="F14" s="28" t="n">
        <x:v>167</x:v>
      </x:c>
      <x:c r="G14" s="30" t="str">
        <x:f>IF(ABS(E14-F14)&lt;0.001,"PASS","FAIL")</x:f>
        <x:v>PASS</x:v>
      </x:c>
    </x:row>
    <x:row r="15">
      <x:c r="B15" s="28" t="str">
        <x:v>tile articles</x:v>
      </x:c>
      <x:c r="C15" s="28" t="str">
        <x:v>fleet</x:v>
      </x:c>
      <x:c r="D15" s="28" t="str">
        <x:v>production boundary</x:v>
      </x:c>
      <x:c r="E15" s="28" t="n">
        <x:v>5916</x:v>
      </x:c>
      <x:c r="F15" s="28" t="n">
        <x:v>5916</x:v>
      </x:c>
      <x:c r="G15" s="30" t="str">
        <x:f>IF(ABS(E15-F15)&lt;0.001,"PASS","FAIL")</x:f>
        <x:v>PASS</x:v>
      </x:c>
    </x:row>
    <x:row r="16">
      <x:c r="B16" s="28" t="str">
        <x:v>carrier articles</x:v>
      </x:c>
      <x:c r="C16" s="28" t="str">
        <x:v>fleet</x:v>
      </x:c>
      <x:c r="D16" s="28" t="str">
        <x:v>selected boundary</x:v>
      </x:c>
      <x:c r="E16" s="28" t="n">
        <x:v>439</x:v>
      </x:c>
      <x:c r="F16" s="28" t="n">
        <x:v>439</x:v>
      </x:c>
      <x:c r="G16" s="30" t="str">
        <x:f>IF(ABS(E16-F16)&lt;0.001,"PASS","FAIL")</x:f>
        <x:v>PASS</x:v>
      </x:c>
    </x:row>
    <x:row r="17">
      <x:c r="B17" s="28" t="str">
        <x:v>program</x:v>
      </x:c>
      <x:c r="C17" s="28" t="str">
        <x:v>fiscal</x:v>
      </x:c>
      <x:c r="D17" s="28" t="str">
        <x:v>Pass 89 DCP-2R</x:v>
      </x:c>
      <x:c r="E17" s="28" t="n">
        <x:v>6260.79719</x:v>
      </x:c>
      <x:c r="F17" s="28" t="n">
        <x:v>6260.79719</x:v>
      </x:c>
      <x:c r="G17" s="30" t="str">
        <x:f>IF(ABS(E17-F17)&lt;0.001,"PASS","FAIL")</x:f>
        <x:v>PASS</x:v>
      </x:c>
    </x:row>
    <x:row r="18">
      <x:c r="B18" s="28" t="str">
        <x:v>national</x:v>
      </x:c>
      <x:c r="C18" s="28" t="str">
        <x:v>fiscal</x:v>
      </x:c>
      <x:c r="D18" s="28" t="str">
        <x:v>Pass 89 national</x:v>
      </x:c>
      <x:c r="E18" s="28" t="n">
        <x:v>13643.93874</x:v>
      </x:c>
      <x:c r="F18" s="28" t="n">
        <x:v>13643.93874</x:v>
      </x:c>
      <x:c r="G18" s="30" t="str">
        <x:f>IF(ABS(E18-F18)&lt;0.001,"PASS","FAIL")</x:f>
        <x:v>PASS</x:v>
      </x:c>
    </x:row>
    <x:row r="19">
      <x:c r="B19" s="28" t="str">
        <x:v>premium</x:v>
      </x:c>
      <x:c r="C19" s="28" t="str">
        <x:v>fiscal</x:v>
      </x:c>
      <x:c r="D19" s="28" t="str">
        <x:v>vs duplication</x:v>
      </x:c>
      <x:c r="E19" s="28" t="n">
        <x:v>256.92095</x:v>
      </x:c>
      <x:c r="F19" s="28" t="n">
        <x:v>256.92095</x:v>
      </x:c>
      <x:c r="G19" s="30" t="str">
        <x:f>IF(ABS(E19-F19)&lt;0.001,"PASS","FAIL")</x:f>
        <x:v>PASS</x:v>
      </x:c>
    </x:row>
    <x:row r="20">
      <x:c r="B20" s="28" t="str">
        <x:v>technology</x:v>
      </x:c>
      <x:c r="C20" s="28" t="str">
        <x:v>fiscal</x:v>
      </x:c>
      <x:c r="D20" s="28" t="str">
        <x:v>nested portfolio</x:v>
      </x:c>
      <x:c r="E20" s="28" t="n">
        <x:v>1050</x:v>
      </x:c>
      <x:c r="F20" s="28" t="n">
        <x:v>1050</x:v>
      </x:c>
      <x:c r="G20" s="30" t="str">
        <x:f>IF(ABS(E20-F20)&lt;0.001,"PASS","FAIL")</x:f>
        <x:v>PASS</x:v>
      </x:c>
    </x:row>
    <x:row r="21">
      <x:c r="B21" s="28" t="str">
        <x:v>gate count</x:v>
      </x:c>
      <x:c r="C21" s="28" t="str">
        <x:v>evidence</x:v>
      </x:c>
      <x:c r="D21" s="28" t="str">
        <x:v>campaign lattice</x:v>
      </x:c>
      <x:c r="E21" s="28" t="n">
        <x:v>200</x:v>
      </x:c>
      <x:c r="F21" s="28" t="n">
        <x:v>200</x:v>
      </x:c>
      <x:c r="G21" s="30" t="str">
        <x:f>IF(ABS(E21-F21)&lt;0.001,"PASS","FAIL")</x:f>
        <x:v>PASS</x:v>
      </x:c>
    </x:row>
    <x:row r="22">
      <x:c r="B22" s="28" t="str">
        <x:v>control 16</x:v>
      </x:c>
      <x:c r="C22" s="28" t="str">
        <x:v>model</x:v>
      </x:c>
      <x:c r="D22" s="28" t="str">
        <x:v>recognized deterministic boundary</x:v>
      </x:c>
      <x:c r="E22" s="28" t="n">
        <x:v>1</x:v>
      </x:c>
      <x:c r="F22" s="28" t="n">
        <x:v>1</x:v>
      </x:c>
      <x:c r="G22" s="30" t="str">
        <x:f>IF(E22=F22,"PASS","FAIL")</x:f>
        <x:v>PASS</x:v>
      </x:c>
    </x:row>
    <x:row r="23">
      <x:c r="B23" s="28" t="str">
        <x:v>control 17</x:v>
      </x:c>
      <x:c r="C23" s="28" t="str">
        <x:v>model</x:v>
      </x:c>
      <x:c r="D23" s="28" t="str">
        <x:v>recognized deterministic boundary</x:v>
      </x:c>
      <x:c r="E23" s="28" t="n">
        <x:v>1</x:v>
      </x:c>
      <x:c r="F23" s="28" t="n">
        <x:v>1</x:v>
      </x:c>
      <x:c r="G23" s="30" t="str">
        <x:f>IF(E23=F23,"PASS","FAIL")</x:f>
        <x:v>PASS</x:v>
      </x:c>
    </x:row>
    <x:row r="24">
      <x:c r="B24" s="28" t="str">
        <x:v>control 18</x:v>
      </x:c>
      <x:c r="C24" s="28" t="str">
        <x:v>model</x:v>
      </x:c>
      <x:c r="D24" s="28" t="str">
        <x:v>recognized deterministic boundary</x:v>
      </x:c>
      <x:c r="E24" s="28" t="n">
        <x:v>1</x:v>
      </x:c>
      <x:c r="F24" s="28" t="n">
        <x:v>1</x:v>
      </x:c>
      <x:c r="G24" s="30" t="str">
        <x:f>IF(E24=F24,"PASS","FAIL")</x:f>
        <x:v>PASS</x:v>
      </x:c>
    </x:row>
    <x:row r="25">
      <x:c r="B25" s="28" t="str">
        <x:v>control 19</x:v>
      </x:c>
      <x:c r="C25" s="28" t="str">
        <x:v>model</x:v>
      </x:c>
      <x:c r="D25" s="28" t="str">
        <x:v>recognized deterministic boundary</x:v>
      </x:c>
      <x:c r="E25" s="28" t="n">
        <x:v>1</x:v>
      </x:c>
      <x:c r="F25" s="28" t="n">
        <x:v>1</x:v>
      </x:c>
      <x:c r="G25" s="30" t="str">
        <x:f>IF(E25=F25,"PASS","FAIL")</x:f>
        <x:v>PASS</x:v>
      </x:c>
    </x:row>
    <x:row r="26">
      <x:c r="B26" s="28" t="str">
        <x:v>control 20</x:v>
      </x:c>
      <x:c r="C26" s="28" t="str">
        <x:v>model</x:v>
      </x:c>
      <x:c r="D26" s="28" t="str">
        <x:v>recognized deterministic boundary</x:v>
      </x:c>
      <x:c r="E26" s="28" t="n">
        <x:v>1</x:v>
      </x:c>
      <x:c r="F26" s="28" t="n">
        <x:v>1</x:v>
      </x:c>
      <x:c r="G26" s="30" t="str">
        <x:f>IF(E26=F26,"PASS","FAIL")</x:f>
        <x:v>PASS</x:v>
      </x:c>
    </x:row>
    <x:row r="27">
      <x:c r="B27" s="28" t="str">
        <x:v>control 21</x:v>
      </x:c>
      <x:c r="C27" s="28" t="str">
        <x:v>model</x:v>
      </x:c>
      <x:c r="D27" s="28" t="str">
        <x:v>recognized deterministic boundary</x:v>
      </x:c>
      <x:c r="E27" s="28" t="n">
        <x:v>1</x:v>
      </x:c>
      <x:c r="F27" s="28" t="n">
        <x:v>1</x:v>
      </x:c>
      <x:c r="G27" s="30" t="str">
        <x:f>IF(E27=F27,"PASS","FAIL")</x:f>
        <x:v>PASS</x:v>
      </x:c>
    </x:row>
    <x:row r="28">
      <x:c r="B28" s="28" t="str">
        <x:v>control 22</x:v>
      </x:c>
      <x:c r="C28" s="28" t="str">
        <x:v>model</x:v>
      </x:c>
      <x:c r="D28" s="28" t="str">
        <x:v>recognized deterministic boundary</x:v>
      </x:c>
      <x:c r="E28" s="28" t="n">
        <x:v>1</x:v>
      </x:c>
      <x:c r="F28" s="28" t="n">
        <x:v>1</x:v>
      </x:c>
      <x:c r="G28" s="30" t="str">
        <x:f>IF(E28=F28,"PASS","FAIL")</x:f>
        <x:v>PASS</x:v>
      </x:c>
    </x:row>
    <x:row r="29">
      <x:c r="B29" s="28" t="str">
        <x:v>control 23</x:v>
      </x:c>
      <x:c r="C29" s="28" t="str">
        <x:v>model</x:v>
      </x:c>
      <x:c r="D29" s="28" t="str">
        <x:v>recognized deterministic boundary</x:v>
      </x:c>
      <x:c r="E29" s="28" t="n">
        <x:v>1</x:v>
      </x:c>
      <x:c r="F29" s="28" t="n">
        <x:v>1</x:v>
      </x:c>
      <x:c r="G29" s="30" t="str">
        <x:f>IF(E29=F29,"PASS","FAIL")</x:f>
        <x:v>PASS</x:v>
      </x:c>
    </x:row>
    <x:row r="30">
      <x:c r="B30" s="28" t="str">
        <x:v>control 24</x:v>
      </x:c>
      <x:c r="C30" s="28" t="str">
        <x:v>model</x:v>
      </x:c>
      <x:c r="D30" s="28" t="str">
        <x:v>recognized deterministic boundary</x:v>
      </x:c>
      <x:c r="E30" s="28" t="n">
        <x:v>1</x:v>
      </x:c>
      <x:c r="F30" s="28" t="n">
        <x:v>1</x:v>
      </x:c>
      <x:c r="G30" s="30" t="str">
        <x:f>IF(E30=F30,"PASS","FAIL")</x:f>
        <x:v>PASS</x:v>
      </x:c>
    </x:row>
    <x:row r="31">
      <x:c r="B31" s="28" t="str">
        <x:v>control 25</x:v>
      </x:c>
      <x:c r="C31" s="28" t="str">
        <x:v>model</x:v>
      </x:c>
      <x:c r="D31" s="28" t="str">
        <x:v>recognized deterministic boundary</x:v>
      </x:c>
      <x:c r="E31" s="28" t="n">
        <x:v>1</x:v>
      </x:c>
      <x:c r="F31" s="28" t="n">
        <x:v>1</x:v>
      </x:c>
      <x:c r="G31" s="30" t="str">
        <x:f>IF(E31=F31,"PASS","FAIL")</x:f>
        <x:v>PASS</x:v>
      </x:c>
    </x:row>
    <x:row r="32">
      <x:c r="B32" s="28" t="str">
        <x:v>control 26</x:v>
      </x:c>
      <x:c r="C32" s="28" t="str">
        <x:v>model</x:v>
      </x:c>
      <x:c r="D32" s="28" t="str">
        <x:v>recognized deterministic boundary</x:v>
      </x:c>
      <x:c r="E32" s="28" t="n">
        <x:v>1</x:v>
      </x:c>
      <x:c r="F32" s="28" t="n">
        <x:v>1</x:v>
      </x:c>
      <x:c r="G32" s="30" t="str">
        <x:f>IF(E32=F32,"PASS","FAIL")</x:f>
        <x:v>PASS</x:v>
      </x:c>
    </x:row>
    <x:row r="33">
      <x:c r="B33" s="28" t="str">
        <x:v>control 27</x:v>
      </x:c>
      <x:c r="C33" s="28" t="str">
        <x:v>model</x:v>
      </x:c>
      <x:c r="D33" s="28" t="str">
        <x:v>recognized deterministic boundary</x:v>
      </x:c>
      <x:c r="E33" s="28" t="n">
        <x:v>1</x:v>
      </x:c>
      <x:c r="F33" s="28" t="n">
        <x:v>1</x:v>
      </x:c>
      <x:c r="G33" s="30" t="str">
        <x:f>IF(E33=F33,"PASS","FAIL")</x:f>
        <x:v>PASS</x:v>
      </x:c>
    </x:row>
    <x:row r="34">
      <x:c r="B34" s="28" t="str">
        <x:v>control 28</x:v>
      </x:c>
      <x:c r="C34" s="28" t="str">
        <x:v>model</x:v>
      </x:c>
      <x:c r="D34" s="28" t="str">
        <x:v>recognized deterministic boundary</x:v>
      </x:c>
      <x:c r="E34" s="28" t="n">
        <x:v>1</x:v>
      </x:c>
      <x:c r="F34" s="28" t="n">
        <x:v>1</x:v>
      </x:c>
      <x:c r="G34" s="30" t="str">
        <x:f>IF(E34=F34,"PASS","FAIL")</x:f>
        <x:v>PASS</x:v>
      </x:c>
    </x:row>
    <x:row r="35">
      <x:c r="B35" s="28" t="str">
        <x:v>control 29</x:v>
      </x:c>
      <x:c r="C35" s="28" t="str">
        <x:v>model</x:v>
      </x:c>
      <x:c r="D35" s="28" t="str">
        <x:v>recognized deterministic boundary</x:v>
      </x:c>
      <x:c r="E35" s="28" t="n">
        <x:v>1</x:v>
      </x:c>
      <x:c r="F35" s="28" t="n">
        <x:v>1</x:v>
      </x:c>
      <x:c r="G35" s="30" t="str">
        <x:f>IF(E35=F35,"PASS","FAIL")</x:f>
        <x:v>PASS</x:v>
      </x:c>
    </x:row>
    <x:row r="36">
      <x:c r="B36" s="28" t="str">
        <x:v>control 30</x:v>
      </x:c>
      <x:c r="C36" s="28" t="str">
        <x:v>model</x:v>
      </x:c>
      <x:c r="D36" s="28" t="str">
        <x:v>recognized deterministic boundary</x:v>
      </x:c>
      <x:c r="E36" s="28" t="n">
        <x:v>1</x:v>
      </x:c>
      <x:c r="F36" s="28" t="n">
        <x:v>1</x:v>
      </x:c>
      <x:c r="G36" s="30" t="str">
        <x:f>IF(E36=F36,"PASS","FAIL")</x:f>
        <x:v>PASS</x:v>
      </x:c>
    </x:row>
    <x:row r="37">
      <x:c r="B37" s="28" t="str">
        <x:v>control 31</x:v>
      </x:c>
      <x:c r="C37" s="28" t="str">
        <x:v>model</x:v>
      </x:c>
      <x:c r="D37" s="28" t="str">
        <x:v>recognized deterministic boundary</x:v>
      </x:c>
      <x:c r="E37" s="28" t="n">
        <x:v>1</x:v>
      </x:c>
      <x:c r="F37" s="28" t="n">
        <x:v>1</x:v>
      </x:c>
      <x:c r="G37" s="30" t="str">
        <x:f>IF(E37=F37,"PASS","FAIL")</x:f>
        <x:v>PASS</x:v>
      </x:c>
    </x:row>
    <x:row r="38">
      <x:c r="B38" s="28" t="str">
        <x:v>control 32</x:v>
      </x:c>
      <x:c r="C38" s="28" t="str">
        <x:v>model</x:v>
      </x:c>
      <x:c r="D38" s="28" t="str">
        <x:v>recognized deterministic boundary</x:v>
      </x:c>
      <x:c r="E38" s="28" t="n">
        <x:v>1</x:v>
      </x:c>
      <x:c r="F38" s="28" t="n">
        <x:v>1</x:v>
      </x:c>
      <x:c r="G38" s="30" t="str">
        <x:f>IF(E38=F38,"PASS","FAIL")</x:f>
        <x:v>PASS</x:v>
      </x:c>
    </x:row>
    <x:row r="39">
      <x:c r="B39" s="28" t="str">
        <x:v>control 33</x:v>
      </x:c>
      <x:c r="C39" s="28" t="str">
        <x:v>model</x:v>
      </x:c>
      <x:c r="D39" s="28" t="str">
        <x:v>recognized deterministic boundary</x:v>
      </x:c>
      <x:c r="E39" s="28" t="n">
        <x:v>1</x:v>
      </x:c>
      <x:c r="F39" s="28" t="n">
        <x:v>1</x:v>
      </x:c>
      <x:c r="G39" s="30" t="str">
        <x:f>IF(E39=F39,"PASS","FAIL")</x:f>
        <x:v>PASS</x:v>
      </x:c>
    </x:row>
    <x:row r="40">
      <x:c r="B40" s="28" t="str">
        <x:v>control 34</x:v>
      </x:c>
      <x:c r="C40" s="28" t="str">
        <x:v>model</x:v>
      </x:c>
      <x:c r="D40" s="28" t="str">
        <x:v>recognized deterministic boundary</x:v>
      </x:c>
      <x:c r="E40" s="28" t="n">
        <x:v>1</x:v>
      </x:c>
      <x:c r="F40" s="28" t="n">
        <x:v>1</x:v>
      </x:c>
      <x:c r="G40" s="30" t="str">
        <x:f>IF(E40=F40,"PASS","FAIL")</x:f>
        <x:v>PASS</x:v>
      </x:c>
    </x:row>
    <x:row r="41">
      <x:c r="B41" s="28" t="str">
        <x:v>control 35</x:v>
      </x:c>
      <x:c r="C41" s="28" t="str">
        <x:v>model</x:v>
      </x:c>
      <x:c r="D41" s="28" t="str">
        <x:v>recognized deterministic boundary</x:v>
      </x:c>
      <x:c r="E41" s="28" t="n">
        <x:v>1</x:v>
      </x:c>
      <x:c r="F41" s="28" t="n">
        <x:v>1</x:v>
      </x:c>
      <x:c r="G41" s="30" t="str">
        <x:f>IF(E41=F41,"PASS","FAIL")</x:f>
        <x:v>PASS</x:v>
      </x:c>
    </x:row>
    <x:row r="42">
      <x:c r="B42" s="28" t="str">
        <x:v>control 36</x:v>
      </x:c>
      <x:c r="C42" s="28" t="str">
        <x:v>model</x:v>
      </x:c>
      <x:c r="D42" s="28" t="str">
        <x:v>recognized deterministic boundary</x:v>
      </x:c>
      <x:c r="E42" s="28" t="n">
        <x:v>1</x:v>
      </x:c>
      <x:c r="F42" s="28" t="n">
        <x:v>1</x:v>
      </x:c>
      <x:c r="G42" s="30" t="str">
        <x:f>IF(E42=F42,"PASS","FAIL")</x:f>
        <x:v>PASS</x:v>
      </x:c>
    </x:row>
    <x:row r="43">
      <x:c r="B43" s="28" t="str">
        <x:v>control 37</x:v>
      </x:c>
      <x:c r="C43" s="28" t="str">
        <x:v>model</x:v>
      </x:c>
      <x:c r="D43" s="28" t="str">
        <x:v>recognized deterministic boundary</x:v>
      </x:c>
      <x:c r="E43" s="28" t="n">
        <x:v>1</x:v>
      </x:c>
      <x:c r="F43" s="28" t="n">
        <x:v>1</x:v>
      </x:c>
      <x:c r="G43" s="30" t="str">
        <x:f>IF(E43=F43,"PASS","FAIL")</x:f>
        <x:v>PASS</x:v>
      </x:c>
    </x:row>
    <x:row r="44">
      <x:c r="B44" s="28" t="str">
        <x:v>control 38</x:v>
      </x:c>
      <x:c r="C44" s="28" t="str">
        <x:v>model</x:v>
      </x:c>
      <x:c r="D44" s="28" t="str">
        <x:v>recognized deterministic boundary</x:v>
      </x:c>
      <x:c r="E44" s="28" t="n">
        <x:v>1</x:v>
      </x:c>
      <x:c r="F44" s="28" t="n">
        <x:v>1</x:v>
      </x:c>
      <x:c r="G44" s="30" t="str">
        <x:f>IF(E44=F44,"PASS","FAIL")</x:f>
        <x:v>PASS</x:v>
      </x:c>
    </x:row>
    <x:row r="45">
      <x:c r="B45" s="28" t="str">
        <x:v>control 39</x:v>
      </x:c>
      <x:c r="C45" s="28" t="str">
        <x:v>model</x:v>
      </x:c>
      <x:c r="D45" s="28" t="str">
        <x:v>recognized deterministic boundary</x:v>
      </x:c>
      <x:c r="E45" s="28" t="n">
        <x:v>1</x:v>
      </x:c>
      <x:c r="F45" s="28" t="n">
        <x:v>1</x:v>
      </x:c>
      <x:c r="G45" s="30" t="str">
        <x:f>IF(E45=F45,"PASS","FAIL")</x:f>
        <x:v>PASS</x:v>
      </x:c>
    </x:row>
    <x:row r="46">
      <x:c r="B46" s="28" t="str">
        <x:v>control 40</x:v>
      </x:c>
      <x:c r="C46" s="28" t="str">
        <x:v>model</x:v>
      </x:c>
      <x:c r="D46" s="28" t="str">
        <x:v>recognized deterministic boundary</x:v>
      </x:c>
      <x:c r="E46" s="28" t="n">
        <x:v>1</x:v>
      </x:c>
      <x:c r="F46" s="28" t="n">
        <x:v>1</x:v>
      </x:c>
      <x:c r="G46" s="30" t="str">
        <x:f>IF(E46=F46,"PASS","FAIL")</x:f>
        <x:v>PASS</x:v>
      </x:c>
    </x:row>
    <x:row r="47">
      <x:c r="B47" s="28" t="str">
        <x:v>control 41</x:v>
      </x:c>
      <x:c r="C47" s="28" t="str">
        <x:v>model</x:v>
      </x:c>
      <x:c r="D47" s="28" t="str">
        <x:v>recognized deterministic boundary</x:v>
      </x:c>
      <x:c r="E47" s="28" t="n">
        <x:v>1</x:v>
      </x:c>
      <x:c r="F47" s="28" t="n">
        <x:v>1</x:v>
      </x:c>
      <x:c r="G47" s="30" t="str">
        <x:f>IF(E47=F47,"PASS","FAIL")</x:f>
        <x:v>PASS</x:v>
      </x:c>
    </x:row>
    <x:row r="48">
      <x:c r="B48" s="28" t="str">
        <x:v>control 42</x:v>
      </x:c>
      <x:c r="C48" s="28" t="str">
        <x:v>model</x:v>
      </x:c>
      <x:c r="D48" s="28" t="str">
        <x:v>recognized deterministic boundary</x:v>
      </x:c>
      <x:c r="E48" s="28" t="n">
        <x:v>1</x:v>
      </x:c>
      <x:c r="F48" s="28" t="n">
        <x:v>1</x:v>
      </x:c>
      <x:c r="G48" s="30" t="str">
        <x:f>IF(E48=F48,"PASS","FAIL")</x:f>
        <x:v>PASS</x:v>
      </x:c>
    </x:row>
    <x:row r="49">
      <x:c r="B49" s="28" t="str">
        <x:v>control 43</x:v>
      </x:c>
      <x:c r="C49" s="28" t="str">
        <x:v>model</x:v>
      </x:c>
      <x:c r="D49" s="28" t="str">
        <x:v>recognized deterministic boundary</x:v>
      </x:c>
      <x:c r="E49" s="28" t="n">
        <x:v>1</x:v>
      </x:c>
      <x:c r="F49" s="28" t="n">
        <x:v>1</x:v>
      </x:c>
      <x:c r="G49" s="30" t="str">
        <x:f>IF(E49=F49,"PASS","FAIL")</x:f>
        <x:v>PASS</x:v>
      </x:c>
    </x:row>
    <x:row r="50">
      <x:c r="B50" s="28" t="str">
        <x:v>control 44</x:v>
      </x:c>
      <x:c r="C50" s="28" t="str">
        <x:v>model</x:v>
      </x:c>
      <x:c r="D50" s="28" t="str">
        <x:v>recognized deterministic boundary</x:v>
      </x:c>
      <x:c r="E50" s="28" t="n">
        <x:v>1</x:v>
      </x:c>
      <x:c r="F50" s="28" t="n">
        <x:v>1</x:v>
      </x:c>
      <x:c r="G50" s="30" t="str">
        <x:f>IF(E50=F50,"PASS","FAIL")</x:f>
        <x:v>PASS</x:v>
      </x:c>
    </x:row>
    <x:row r="51">
      <x:c r="B51" s="28" t="str">
        <x:v>control 45</x:v>
      </x:c>
      <x:c r="C51" s="28" t="str">
        <x:v>model</x:v>
      </x:c>
      <x:c r="D51" s="28" t="str">
        <x:v>recognized deterministic boundary</x:v>
      </x:c>
      <x:c r="E51" s="28" t="n">
        <x:v>1</x:v>
      </x:c>
      <x:c r="F51" s="28" t="n">
        <x:v>1</x:v>
      </x:c>
      <x:c r="G51" s="30" t="str">
        <x:f>IF(E51=F51,"PASS","FAIL")</x:f>
        <x:v>PASS</x:v>
      </x:c>
    </x:row>
    <x:row r="52">
      <x:c r="B52" s="28" t="str">
        <x:v>control 46</x:v>
      </x:c>
      <x:c r="C52" s="28" t="str">
        <x:v>model</x:v>
      </x:c>
      <x:c r="D52" s="28" t="str">
        <x:v>recognized deterministic boundary</x:v>
      </x:c>
      <x:c r="E52" s="28" t="n">
        <x:v>1</x:v>
      </x:c>
      <x:c r="F52" s="28" t="n">
        <x:v>1</x:v>
      </x:c>
      <x:c r="G52" s="30" t="str">
        <x:f>IF(E52=F52,"PASS","FAIL")</x:f>
        <x:v>PASS</x:v>
      </x:c>
    </x:row>
    <x:row r="53">
      <x:c r="B53" s="28" t="str">
        <x:v>control 47</x:v>
      </x:c>
      <x:c r="C53" s="28" t="str">
        <x:v>model</x:v>
      </x:c>
      <x:c r="D53" s="28" t="str">
        <x:v>recognized deterministic boundary</x:v>
      </x:c>
      <x:c r="E53" s="28" t="n">
        <x:v>1</x:v>
      </x:c>
      <x:c r="F53" s="28" t="n">
        <x:v>1</x:v>
      </x:c>
      <x:c r="G53" s="30" t="str">
        <x:f>IF(E53=F53,"PASS","FAIL")</x:f>
        <x:v>PASS</x:v>
      </x:c>
    </x:row>
    <x:row r="54">
      <x:c r="B54" s="28" t="str">
        <x:v>control 48</x:v>
      </x:c>
      <x:c r="C54" s="28" t="str">
        <x:v>model</x:v>
      </x:c>
      <x:c r="D54" s="28" t="str">
        <x:v>recognized deterministic boundary</x:v>
      </x:c>
      <x:c r="E54" s="28" t="n">
        <x:v>1</x:v>
      </x:c>
      <x:c r="F54" s="28" t="n">
        <x:v>1</x:v>
      </x:c>
      <x:c r="G54" s="30" t="str">
        <x:f>IF(E54=F54,"PASS","FAIL")</x:f>
        <x:v>PASS</x:v>
      </x:c>
    </x:row>
    <x:row r="55">
      <x:c r="B55" s="28" t="str">
        <x:v>control 49</x:v>
      </x:c>
      <x:c r="C55" s="28" t="str">
        <x:v>model</x:v>
      </x:c>
      <x:c r="D55" s="28" t="str">
        <x:v>recognized deterministic boundary</x:v>
      </x:c>
      <x:c r="E55" s="28" t="n">
        <x:v>1</x:v>
      </x:c>
      <x:c r="F55" s="28" t="n">
        <x:v>1</x:v>
      </x:c>
      <x:c r="G55" s="30" t="str">
        <x:f>IF(E55=F55,"PASS","FAIL")</x:f>
        <x:v>PASS</x:v>
      </x:c>
    </x:row>
    <x:row r="56">
      <x:c r="B56" s="28" t="str">
        <x:v>control 50</x:v>
      </x:c>
      <x:c r="C56" s="28" t="str">
        <x:v>model</x:v>
      </x:c>
      <x:c r="D56" s="28" t="str">
        <x:v>recognized deterministic boundary</x:v>
      </x:c>
      <x:c r="E56" s="28" t="n">
        <x:v>1</x:v>
      </x:c>
      <x:c r="F56" s="28" t="n">
        <x:v>1</x:v>
      </x:c>
      <x:c r="G56" s="30" t="str">
        <x:f>IF(E56=F56,"PASS","FAIL")</x:f>
        <x:v>PASS</x:v>
      </x:c>
    </x:row>
    <x:row r="57">
      <x:c r="B57" s="28" t="str">
        <x:v>control 51</x:v>
      </x:c>
      <x:c r="C57" s="28" t="str">
        <x:v>model</x:v>
      </x:c>
      <x:c r="D57" s="28" t="str">
        <x:v>recognized deterministic boundary</x:v>
      </x:c>
      <x:c r="E57" s="28" t="n">
        <x:v>1</x:v>
      </x:c>
      <x:c r="F57" s="28" t="n">
        <x:v>1</x:v>
      </x:c>
      <x:c r="G57" s="30" t="str">
        <x:f>IF(E57=F57,"PASS","FAIL")</x:f>
        <x:v>PASS</x:v>
      </x:c>
    </x:row>
    <x:row r="58">
      <x:c r="B58" s="28" t="str">
        <x:v>control 52</x:v>
      </x:c>
      <x:c r="C58" s="28" t="str">
        <x:v>model</x:v>
      </x:c>
      <x:c r="D58" s="28" t="str">
        <x:v>recognized deterministic boundary</x:v>
      </x:c>
      <x:c r="E58" s="28" t="n">
        <x:v>1</x:v>
      </x:c>
      <x:c r="F58" s="28" t="n">
        <x:v>1</x:v>
      </x:c>
      <x:c r="G58" s="30" t="str">
        <x:f>IF(E58=F58,"PASS","FAIL")</x:f>
        <x:v>PASS</x:v>
      </x:c>
    </x:row>
    <x:row r="59">
      <x:c r="B59" s="28" t="str">
        <x:v>control 53</x:v>
      </x:c>
      <x:c r="C59" s="28" t="str">
        <x:v>model</x:v>
      </x:c>
      <x:c r="D59" s="28" t="str">
        <x:v>recognized deterministic boundary</x:v>
      </x:c>
      <x:c r="E59" s="28" t="n">
        <x:v>1</x:v>
      </x:c>
      <x:c r="F59" s="28" t="n">
        <x:v>1</x:v>
      </x:c>
      <x:c r="G59" s="30" t="str">
        <x:f>IF(E59=F59,"PASS","FAIL")</x:f>
        <x:v>PASS</x:v>
      </x:c>
    </x:row>
    <x:row r="60">
      <x:c r="B60" s="28" t="str">
        <x:v>control 54</x:v>
      </x:c>
      <x:c r="C60" s="28" t="str">
        <x:v>model</x:v>
      </x:c>
      <x:c r="D60" s="28" t="str">
        <x:v>recognized deterministic boundary</x:v>
      </x:c>
      <x:c r="E60" s="28" t="n">
        <x:v>1</x:v>
      </x:c>
      <x:c r="F60" s="28" t="n">
        <x:v>1</x:v>
      </x:c>
      <x:c r="G60" s="30" t="str">
        <x:f>IF(E60=F60,"PASS","FAIL")</x:f>
        <x:v>PASS</x:v>
      </x:c>
    </x:row>
    <x:row r="61">
      <x:c r="B61" s="28" t="str">
        <x:v>control 55</x:v>
      </x:c>
      <x:c r="C61" s="28" t="str">
        <x:v>model</x:v>
      </x:c>
      <x:c r="D61" s="28" t="str">
        <x:v>recognized deterministic boundary</x:v>
      </x:c>
      <x:c r="E61" s="28" t="n">
        <x:v>1</x:v>
      </x:c>
      <x:c r="F61" s="28" t="n">
        <x:v>1</x:v>
      </x:c>
      <x:c r="G61" s="30" t="str">
        <x:f>IF(E61=F61,"PASS","FAIL")</x:f>
        <x:v>PASS</x:v>
      </x:c>
    </x:row>
    <x:row r="62">
      <x:c r="B62" s="28" t="str">
        <x:v>control 56</x:v>
      </x:c>
      <x:c r="C62" s="28" t="str">
        <x:v>model</x:v>
      </x:c>
      <x:c r="D62" s="28" t="str">
        <x:v>recognized deterministic boundary</x:v>
      </x:c>
      <x:c r="E62" s="28" t="n">
        <x:v>1</x:v>
      </x:c>
      <x:c r="F62" s="28" t="n">
        <x:v>1</x:v>
      </x:c>
      <x:c r="G62" s="30" t="str">
        <x:f>IF(E62=F62,"PASS","FAIL")</x:f>
        <x:v>PASS</x:v>
      </x:c>
    </x:row>
    <x:row r="63">
      <x:c r="B63" s="28" t="str">
        <x:v>control 57</x:v>
      </x:c>
      <x:c r="C63" s="28" t="str">
        <x:v>model</x:v>
      </x:c>
      <x:c r="D63" s="28" t="str">
        <x:v>recognized deterministic boundary</x:v>
      </x:c>
      <x:c r="E63" s="28" t="n">
        <x:v>1</x:v>
      </x:c>
      <x:c r="F63" s="28" t="n">
        <x:v>1</x:v>
      </x:c>
      <x:c r="G63" s="30" t="str">
        <x:f>IF(E63=F63,"PASS","FAIL")</x:f>
        <x:v>PASS</x:v>
      </x:c>
    </x:row>
    <x:row r="64">
      <x:c r="B64" s="28" t="str">
        <x:v>control 58</x:v>
      </x:c>
      <x:c r="C64" s="28" t="str">
        <x:v>model</x:v>
      </x:c>
      <x:c r="D64" s="28" t="str">
        <x:v>recognized deterministic boundary</x:v>
      </x:c>
      <x:c r="E64" s="28" t="n">
        <x:v>1</x:v>
      </x:c>
      <x:c r="F64" s="28" t="n">
        <x:v>1</x:v>
      </x:c>
      <x:c r="G64" s="30" t="str">
        <x:f>IF(E64=F64,"PASS","FAIL")</x:f>
        <x:v>PASS</x:v>
      </x:c>
    </x:row>
    <x:row r="65">
      <x:c r="B65" s="28" t="str">
        <x:v>control 59</x:v>
      </x:c>
      <x:c r="C65" s="28" t="str">
        <x:v>model</x:v>
      </x:c>
      <x:c r="D65" s="28" t="str">
        <x:v>recognized deterministic boundary</x:v>
      </x:c>
      <x:c r="E65" s="28" t="n">
        <x:v>1</x:v>
      </x:c>
      <x:c r="F65" s="28" t="n">
        <x:v>1</x:v>
      </x:c>
      <x:c r="G65" s="30" t="str">
        <x:f>IF(E65=F65,"PASS","FAIL")</x:f>
        <x:v>PASS</x:v>
      </x:c>
    </x:row>
    <x:row r="66">
      <x:c r="B66" s="28" t="str">
        <x:v>control 60</x:v>
      </x:c>
      <x:c r="C66" s="28" t="str">
        <x:v>model</x:v>
      </x:c>
      <x:c r="D66" s="28" t="str">
        <x:v>recognized deterministic boundary</x:v>
      </x:c>
      <x:c r="E66" s="28" t="n">
        <x:v>1</x:v>
      </x:c>
      <x:c r="F66" s="28" t="n">
        <x:v>1</x:v>
      </x:c>
      <x:c r="G66" s="30" t="str">
        <x:f>IF(E66=F66,"PASS","FAIL")</x:f>
        <x:v>PASS</x:v>
      </x:c>
    </x:row>
    <x:row r="67">
      <x:c r="B67" s="28" t="str">
        <x:v>control 61</x:v>
      </x:c>
      <x:c r="C67" s="28" t="str">
        <x:v>model</x:v>
      </x:c>
      <x:c r="D67" s="28" t="str">
        <x:v>recognized deterministic boundary</x:v>
      </x:c>
      <x:c r="E67" s="28" t="n">
        <x:v>1</x:v>
      </x:c>
      <x:c r="F67" s="28" t="n">
        <x:v>1</x:v>
      </x:c>
      <x:c r="G67" s="30" t="str">
        <x:f>IF(E67=F67,"PASS","FAIL")</x:f>
        <x:v>PASS</x:v>
      </x:c>
    </x:row>
    <x:row r="68">
      <x:c r="B68" s="28" t="str">
        <x:v>control 62</x:v>
      </x:c>
      <x:c r="C68" s="28" t="str">
        <x:v>model</x:v>
      </x:c>
      <x:c r="D68" s="28" t="str">
        <x:v>recognized deterministic boundary</x:v>
      </x:c>
      <x:c r="E68" s="28" t="n">
        <x:v>1</x:v>
      </x:c>
      <x:c r="F68" s="28" t="n">
        <x:v>1</x:v>
      </x:c>
      <x:c r="G68" s="30" t="str">
        <x:f>IF(E68=F68,"PASS","FAIL")</x:f>
        <x:v>PASS</x:v>
      </x:c>
    </x:row>
    <x:row r="69">
      <x:c r="B69" s="28" t="str">
        <x:v>control 63</x:v>
      </x:c>
      <x:c r="C69" s="28" t="str">
        <x:v>model</x:v>
      </x:c>
      <x:c r="D69" s="28" t="str">
        <x:v>recognized deterministic boundary</x:v>
      </x:c>
      <x:c r="E69" s="28" t="n">
        <x:v>1</x:v>
      </x:c>
      <x:c r="F69" s="28" t="n">
        <x:v>1</x:v>
      </x:c>
      <x:c r="G69" s="30" t="str">
        <x:f>IF(E69=F69,"PASS","FAIL")</x:f>
        <x:v>PASS</x:v>
      </x:c>
    </x:row>
    <x:row r="70">
      <x:c r="B70" s="28" t="str">
        <x:v>control 64</x:v>
      </x:c>
      <x:c r="C70" s="28" t="str">
        <x:v>model</x:v>
      </x:c>
      <x:c r="D70" s="28" t="str">
        <x:v>recognized deterministic boundary</x:v>
      </x:c>
      <x:c r="E70" s="28" t="n">
        <x:v>1</x:v>
      </x:c>
      <x:c r="F70" s="28" t="n">
        <x:v>1</x:v>
      </x:c>
      <x:c r="G70" s="30" t="str">
        <x:f>IF(E70=F70,"PASS","FAIL")</x:f>
        <x:v>PASS</x:v>
      </x:c>
    </x:row>
    <x:row r="71">
      <x:c r="B71" s="28" t="str">
        <x:v>control 65</x:v>
      </x:c>
      <x:c r="C71" s="28" t="str">
        <x:v>model</x:v>
      </x:c>
      <x:c r="D71" s="28" t="str">
        <x:v>recognized deterministic boundary</x:v>
      </x:c>
      <x:c r="E71" s="28" t="n">
        <x:v>1</x:v>
      </x:c>
      <x:c r="F71" s="28" t="n">
        <x:v>1</x:v>
      </x:c>
      <x:c r="G71" s="30" t="str">
        <x:f>IF(E71=F71,"PASS","FAIL")</x:f>
        <x:v>PASS</x:v>
      </x:c>
    </x:row>
    <x:row r="72">
      <x:c r="B72" s="28" t="str">
        <x:v>control 66</x:v>
      </x:c>
      <x:c r="C72" s="28" t="str">
        <x:v>model</x:v>
      </x:c>
      <x:c r="D72" s="28" t="str">
        <x:v>recognized deterministic boundary</x:v>
      </x:c>
      <x:c r="E72" s="28" t="n">
        <x:v>1</x:v>
      </x:c>
      <x:c r="F72" s="28" t="n">
        <x:v>1</x:v>
      </x:c>
      <x:c r="G72" s="30" t="str">
        <x:f>IF(E72=F72,"PASS","FAIL")</x:f>
        <x:v>PASS</x:v>
      </x:c>
    </x:row>
    <x:row r="73">
      <x:c r="B73" s="28" t="str">
        <x:v>control 67</x:v>
      </x:c>
      <x:c r="C73" s="28" t="str">
        <x:v>model</x:v>
      </x:c>
      <x:c r="D73" s="28" t="str">
        <x:v>recognized deterministic boundary</x:v>
      </x:c>
      <x:c r="E73" s="28" t="n">
        <x:v>1</x:v>
      </x:c>
      <x:c r="F73" s="28" t="n">
        <x:v>1</x:v>
      </x:c>
      <x:c r="G73" s="30" t="str">
        <x:f>IF(E73=F73,"PASS","FAIL")</x:f>
        <x:v>PASS</x:v>
      </x:c>
    </x:row>
    <x:row r="74">
      <x:c r="B74" s="28" t="str">
        <x:v>control 68</x:v>
      </x:c>
      <x:c r="C74" s="28" t="str">
        <x:v>model</x:v>
      </x:c>
      <x:c r="D74" s="28" t="str">
        <x:v>recognized deterministic boundary</x:v>
      </x:c>
      <x:c r="E74" s="28" t="n">
        <x:v>1</x:v>
      </x:c>
      <x:c r="F74" s="28" t="n">
        <x:v>1</x:v>
      </x:c>
      <x:c r="G74" s="30" t="str">
        <x:f>IF(E74=F74,"PASS","FAIL")</x:f>
        <x:v>PASS</x:v>
      </x:c>
    </x:row>
    <x:row r="75">
      <x:c r="B75" s="28" t="str">
        <x:v>control 69</x:v>
      </x:c>
      <x:c r="C75" s="28" t="str">
        <x:v>model</x:v>
      </x:c>
      <x:c r="D75" s="28" t="str">
        <x:v>recognized deterministic boundary</x:v>
      </x:c>
      <x:c r="E75" s="28" t="n">
        <x:v>1</x:v>
      </x:c>
      <x:c r="F75" s="28" t="n">
        <x:v>1</x:v>
      </x:c>
      <x:c r="G75" s="30" t="str">
        <x:f>IF(E75=F75,"PASS","FAIL")</x:f>
        <x:v>PASS</x:v>
      </x:c>
    </x:row>
    <x:row r="76">
      <x:c r="B76" s="28" t="str">
        <x:v>control 70</x:v>
      </x:c>
      <x:c r="C76" s="28" t="str">
        <x:v>model</x:v>
      </x:c>
      <x:c r="D76" s="28" t="str">
        <x:v>recognized deterministic boundary</x:v>
      </x:c>
      <x:c r="E76" s="28" t="n">
        <x:v>1</x:v>
      </x:c>
      <x:c r="F76" s="28" t="n">
        <x:v>1</x:v>
      </x:c>
      <x:c r="G76" s="30" t="str">
        <x:f>IF(E76=F76,"PASS","FAIL")</x:f>
        <x:v>PASS</x:v>
      </x:c>
    </x:row>
    <x:row r="77">
      <x:c r="B77" s="28" t="str">
        <x:v>control 71</x:v>
      </x:c>
      <x:c r="C77" s="28" t="str">
        <x:v>model</x:v>
      </x:c>
      <x:c r="D77" s="28" t="str">
        <x:v>recognized deterministic boundary</x:v>
      </x:c>
      <x:c r="E77" s="28" t="n">
        <x:v>1</x:v>
      </x:c>
      <x:c r="F77" s="28" t="n">
        <x:v>1</x:v>
      </x:c>
      <x:c r="G77" s="30" t="str">
        <x:f>IF(E77=F77,"PASS","FAIL")</x:f>
        <x:v>PASS</x:v>
      </x:c>
    </x:row>
    <x:row r="78">
      <x:c r="B78" s="28" t="str">
        <x:v>control 72</x:v>
      </x:c>
      <x:c r="C78" s="28" t="str">
        <x:v>model</x:v>
      </x:c>
      <x:c r="D78" s="28" t="str">
        <x:v>recognized deterministic boundary</x:v>
      </x:c>
      <x:c r="E78" s="28" t="n">
        <x:v>1</x:v>
      </x:c>
      <x:c r="F78" s="28" t="n">
        <x:v>1</x:v>
      </x:c>
      <x:c r="G78" s="30" t="str">
        <x:f>IF(E78=F78,"PASS","FAIL")</x:f>
        <x:v>PASS</x:v>
      </x:c>
    </x:row>
    <x:row r="79">
      <x:c r="B79" s="28" t="str">
        <x:v>control 73</x:v>
      </x:c>
      <x:c r="C79" s="28" t="str">
        <x:v>model</x:v>
      </x:c>
      <x:c r="D79" s="28" t="str">
        <x:v>recognized deterministic boundary</x:v>
      </x:c>
      <x:c r="E79" s="28" t="n">
        <x:v>1</x:v>
      </x:c>
      <x:c r="F79" s="28" t="n">
        <x:v>1</x:v>
      </x:c>
      <x:c r="G79" s="30" t="str">
        <x:f>IF(E79=F79,"PASS","FAIL")</x:f>
        <x:v>PASS</x:v>
      </x:c>
    </x:row>
    <x:row r="80">
      <x:c r="B80" s="28" t="str">
        <x:v>control 74</x:v>
      </x:c>
      <x:c r="C80" s="28" t="str">
        <x:v>model</x:v>
      </x:c>
      <x:c r="D80" s="28" t="str">
        <x:v>recognized deterministic boundary</x:v>
      </x:c>
      <x:c r="E80" s="28" t="n">
        <x:v>1</x:v>
      </x:c>
      <x:c r="F80" s="28" t="n">
        <x:v>1</x:v>
      </x:c>
      <x:c r="G80" s="30" t="str">
        <x:f>IF(E80=F80,"PASS","FAIL")</x:f>
        <x:v>PASS</x:v>
      </x:c>
    </x:row>
    <x:row r="81">
      <x:c r="B81" s="28" t="str">
        <x:v>control 75</x:v>
      </x:c>
      <x:c r="C81" s="28" t="str">
        <x:v>model</x:v>
      </x:c>
      <x:c r="D81" s="28" t="str">
        <x:v>recognized deterministic boundary</x:v>
      </x:c>
      <x:c r="E81" s="28" t="n">
        <x:v>1</x:v>
      </x:c>
      <x:c r="F81" s="28" t="n">
        <x:v>1</x:v>
      </x:c>
      <x:c r="G81" s="30" t="str">
        <x:f>IF(E81=F81,"PASS","FAIL")</x:f>
        <x:v>PASS</x:v>
      </x:c>
    </x:row>
    <x:row r="82">
      <x:c r="B82" s="28" t="str">
        <x:v>control 76</x:v>
      </x:c>
      <x:c r="C82" s="28" t="str">
        <x:v>model</x:v>
      </x:c>
      <x:c r="D82" s="28" t="str">
        <x:v>recognized deterministic boundary</x:v>
      </x:c>
      <x:c r="E82" s="28" t="n">
        <x:v>1</x:v>
      </x:c>
      <x:c r="F82" s="28" t="n">
        <x:v>1</x:v>
      </x:c>
      <x:c r="G82" s="30" t="str">
        <x:f>IF(E82=F82,"PASS","FAIL")</x:f>
        <x:v>PASS</x:v>
      </x:c>
    </x:row>
    <x:row r="83">
      <x:c r="B83" s="28" t="str">
        <x:v>control 77</x:v>
      </x:c>
      <x:c r="C83" s="28" t="str">
        <x:v>model</x:v>
      </x:c>
      <x:c r="D83" s="28" t="str">
        <x:v>recognized deterministic boundary</x:v>
      </x:c>
      <x:c r="E83" s="28" t="n">
        <x:v>1</x:v>
      </x:c>
      <x:c r="F83" s="28" t="n">
        <x:v>1</x:v>
      </x:c>
      <x:c r="G83" s="30" t="str">
        <x:f>IF(E83=F83,"PASS","FAIL")</x:f>
        <x:v>PASS</x:v>
      </x:c>
    </x:row>
    <x:row r="84">
      <x:c r="B84" s="28" t="str">
        <x:v>control 78</x:v>
      </x:c>
      <x:c r="C84" s="28" t="str">
        <x:v>model</x:v>
      </x:c>
      <x:c r="D84" s="28" t="str">
        <x:v>recognized deterministic boundary</x:v>
      </x:c>
      <x:c r="E84" s="28" t="n">
        <x:v>1</x:v>
      </x:c>
      <x:c r="F84" s="28" t="n">
        <x:v>1</x:v>
      </x:c>
      <x:c r="G84" s="30" t="str">
        <x:f>IF(E84=F84,"PASS","FAIL")</x:f>
        <x:v>PASS</x:v>
      </x:c>
    </x:row>
    <x:row r="85">
      <x:c r="B85" s="28" t="str">
        <x:v>control 79</x:v>
      </x:c>
      <x:c r="C85" s="28" t="str">
        <x:v>model</x:v>
      </x:c>
      <x:c r="D85" s="28" t="str">
        <x:v>recognized deterministic boundary</x:v>
      </x:c>
      <x:c r="E85" s="28" t="n">
        <x:v>1</x:v>
      </x:c>
      <x:c r="F85" s="28" t="n">
        <x:v>1</x:v>
      </x:c>
      <x:c r="G85" s="30" t="str">
        <x:f>IF(E85=F85,"PASS","FAIL")</x:f>
        <x:v>PASS</x:v>
      </x:c>
    </x:row>
    <x:row r="86">
      <x:c r="B86" s="28" t="str">
        <x:v>control 80</x:v>
      </x:c>
      <x:c r="C86" s="28" t="str">
        <x:v>model</x:v>
      </x:c>
      <x:c r="D86" s="28" t="str">
        <x:v>recognized deterministic boundary</x:v>
      </x:c>
      <x:c r="E86" s="28" t="n">
        <x:v>1</x:v>
      </x:c>
      <x:c r="F86" s="28" t="n">
        <x:v>1</x:v>
      </x:c>
      <x:c r="G86" s="30" t="str">
        <x:f>IF(E86=F86,"PASS","FAIL")</x:f>
        <x:v>PASS</x:v>
      </x:c>
    </x:row>
    <x:row r="87">
      <x:c r="B87" s="28" t="str">
        <x:v>control 81</x:v>
      </x:c>
      <x:c r="C87" s="28" t="str">
        <x:v>model</x:v>
      </x:c>
      <x:c r="D87" s="28" t="str">
        <x:v>recognized deterministic boundary</x:v>
      </x:c>
      <x:c r="E87" s="28" t="n">
        <x:v>1</x:v>
      </x:c>
      <x:c r="F87" s="28" t="n">
        <x:v>1</x:v>
      </x:c>
      <x:c r="G87" s="30" t="str">
        <x:f>IF(E87=F87,"PASS","FAIL")</x:f>
        <x:v>PASS</x:v>
      </x:c>
    </x:row>
    <x:row r="88">
      <x:c r="B88" s="28" t="str">
        <x:v>control 82</x:v>
      </x:c>
      <x:c r="C88" s="28" t="str">
        <x:v>model</x:v>
      </x:c>
      <x:c r="D88" s="28" t="str">
        <x:v>recognized deterministic boundary</x:v>
      </x:c>
      <x:c r="E88" s="28" t="n">
        <x:v>1</x:v>
      </x:c>
      <x:c r="F88" s="28" t="n">
        <x:v>1</x:v>
      </x:c>
      <x:c r="G88" s="30" t="str">
        <x:f>IF(E88=F88,"PASS","FAIL")</x:f>
        <x:v>PASS</x:v>
      </x:c>
    </x:row>
    <x:row r="89">
      <x:c r="B89" s="28" t="str">
        <x:v>control 83</x:v>
      </x:c>
      <x:c r="C89" s="28" t="str">
        <x:v>model</x:v>
      </x:c>
      <x:c r="D89" s="28" t="str">
        <x:v>recognized deterministic boundary</x:v>
      </x:c>
      <x:c r="E89" s="28" t="n">
        <x:v>1</x:v>
      </x:c>
      <x:c r="F89" s="28" t="n">
        <x:v>1</x:v>
      </x:c>
      <x:c r="G89" s="30" t="str">
        <x:f>IF(E89=F89,"PASS","FAIL")</x:f>
        <x:v>PASS</x:v>
      </x:c>
    </x:row>
    <x:row r="90">
      <x:c r="B90" s="28" t="str">
        <x:v>control 84</x:v>
      </x:c>
      <x:c r="C90" s="28" t="str">
        <x:v>model</x:v>
      </x:c>
      <x:c r="D90" s="28" t="str">
        <x:v>recognized deterministic boundary</x:v>
      </x:c>
      <x:c r="E90" s="28" t="n">
        <x:v>1</x:v>
      </x:c>
      <x:c r="F90" s="28" t="n">
        <x:v>1</x:v>
      </x:c>
      <x:c r="G90" s="30" t="str">
        <x:f>IF(E90=F90,"PASS","FAIL")</x:f>
        <x:v>PASS</x:v>
      </x:c>
    </x:row>
    <x:row r="91">
      <x:c r="B91" s="28" t="str">
        <x:v>control 85</x:v>
      </x:c>
      <x:c r="C91" s="28" t="str">
        <x:v>model</x:v>
      </x:c>
      <x:c r="D91" s="28" t="str">
        <x:v>recognized deterministic boundary</x:v>
      </x:c>
      <x:c r="E91" s="28" t="n">
        <x:v>1</x:v>
      </x:c>
      <x:c r="F91" s="28" t="n">
        <x:v>1</x:v>
      </x:c>
      <x:c r="G91" s="30" t="str">
        <x:f>IF(E91=F91,"PASS","FAIL")</x:f>
        <x:v>PASS</x:v>
      </x:c>
    </x:row>
    <x:row r="92">
      <x:c r="B92" s="28" t="str">
        <x:v>control 86</x:v>
      </x:c>
      <x:c r="C92" s="28" t="str">
        <x:v>model</x:v>
      </x:c>
      <x:c r="D92" s="28" t="str">
        <x:v>recognized deterministic boundary</x:v>
      </x:c>
      <x:c r="E92" s="28" t="n">
        <x:v>1</x:v>
      </x:c>
      <x:c r="F92" s="28" t="n">
        <x:v>1</x:v>
      </x:c>
      <x:c r="G92" s="30" t="str">
        <x:f>IF(E92=F92,"PASS","FAIL")</x:f>
        <x:v>PASS</x:v>
      </x:c>
    </x:row>
    <x:row r="93">
      <x:c r="B93" s="28" t="str">
        <x:v>control 87</x:v>
      </x:c>
      <x:c r="C93" s="28" t="str">
        <x:v>model</x:v>
      </x:c>
      <x:c r="D93" s="28" t="str">
        <x:v>recognized deterministic boundary</x:v>
      </x:c>
      <x:c r="E93" s="28" t="n">
        <x:v>1</x:v>
      </x:c>
      <x:c r="F93" s="28" t="n">
        <x:v>1</x:v>
      </x:c>
      <x:c r="G93" s="30" t="str">
        <x:f>IF(E93=F93,"PASS","FAIL")</x:f>
        <x:v>PASS</x:v>
      </x:c>
    </x:row>
    <x:row r="94">
      <x:c r="B94" s="28" t="str">
        <x:v>control 88</x:v>
      </x:c>
      <x:c r="C94" s="28" t="str">
        <x:v>model</x:v>
      </x:c>
      <x:c r="D94" s="28" t="str">
        <x:v>recognized deterministic boundary</x:v>
      </x:c>
      <x:c r="E94" s="28" t="n">
        <x:v>1</x:v>
      </x:c>
      <x:c r="F94" s="28" t="n">
        <x:v>1</x:v>
      </x:c>
      <x:c r="G94" s="30" t="str">
        <x:f>IF(E94=F94,"PASS","FAIL")</x:f>
        <x:v>PASS</x:v>
      </x:c>
    </x:row>
    <x:row r="95">
      <x:c r="B95" s="28" t="str">
        <x:v>control 89</x:v>
      </x:c>
      <x:c r="C95" s="28" t="str">
        <x:v>model</x:v>
      </x:c>
      <x:c r="D95" s="28" t="str">
        <x:v>recognized deterministic boundary</x:v>
      </x:c>
      <x:c r="E95" s="28" t="n">
        <x:v>1</x:v>
      </x:c>
      <x:c r="F95" s="28" t="n">
        <x:v>1</x:v>
      </x:c>
      <x:c r="G95" s="30" t="str">
        <x:f>IF(E95=F95,"PASS","FAIL")</x:f>
        <x:v>PASS</x:v>
      </x:c>
    </x:row>
    <x:row r="96">
      <x:c r="B96" s="28" t="str">
        <x:v>control 90</x:v>
      </x:c>
      <x:c r="C96" s="28" t="str">
        <x:v>model</x:v>
      </x:c>
      <x:c r="D96" s="28" t="str">
        <x:v>recognized deterministic boundary</x:v>
      </x:c>
      <x:c r="E96" s="28" t="n">
        <x:v>1</x:v>
      </x:c>
      <x:c r="F96" s="28" t="n">
        <x:v>1</x:v>
      </x:c>
      <x:c r="G96" s="30" t="str">
        <x:f>IF(E96=F96,"PASS","FAIL")</x:f>
        <x:v>PASS</x:v>
      </x:c>
    </x:row>
    <x:row r="97">
      <x:c r="B97" s="28" t="str">
        <x:v>evidence 001</x:v>
      </x:c>
      <x:c r="C97" s="28" t="str">
        <x:v>evidence</x:v>
      </x:c>
      <x:c r="D97" s="28" t="str">
        <x:v>state recognized without maturity credit</x:v>
      </x:c>
      <x:c r="E97" s="28" t="n">
        <x:f>IF(OR('Evidence Gates'!I7="OPEN",'Evidence Gates'!I7="PASS",'Evidence Gates'!I7="FAIL"),1,0)</x:f>
        <x:v>1</x:v>
      </x:c>
      <x:c r="F97" s="28" t="n">
        <x:v>1</x:v>
      </x:c>
      <x:c r="G97" s="30" t="str">
        <x:f>IF(E97=F97,"PASS","FAIL")</x:f>
        <x:v>PASS</x:v>
      </x:c>
    </x:row>
    <x:row r="98">
      <x:c r="B98" s="28" t="str">
        <x:v>evidence 002</x:v>
      </x:c>
      <x:c r="C98" s="28" t="str">
        <x:v>evidence</x:v>
      </x:c>
      <x:c r="D98" s="28" t="str">
        <x:v>state recognized without maturity credit</x:v>
      </x:c>
      <x:c r="E98" s="28" t="n">
        <x:f>IF(OR('Evidence Gates'!I8="OPEN",'Evidence Gates'!I8="PASS",'Evidence Gates'!I8="FAIL"),1,0)</x:f>
        <x:v>1</x:v>
      </x:c>
      <x:c r="F98" s="28" t="n">
        <x:v>1</x:v>
      </x:c>
      <x:c r="G98" s="30" t="str">
        <x:f>IF(E98=F98,"PASS","FAIL")</x:f>
        <x:v>PASS</x:v>
      </x:c>
    </x:row>
    <x:row r="99">
      <x:c r="B99" s="28" t="str">
        <x:v>evidence 003</x:v>
      </x:c>
      <x:c r="C99" s="28" t="str">
        <x:v>evidence</x:v>
      </x:c>
      <x:c r="D99" s="28" t="str">
        <x:v>state recognized without maturity credit</x:v>
      </x:c>
      <x:c r="E99" s="28" t="n">
        <x:f>IF(OR('Evidence Gates'!I9="OPEN",'Evidence Gates'!I9="PASS",'Evidence Gates'!I9="FAIL"),1,0)</x:f>
        <x:v>1</x:v>
      </x:c>
      <x:c r="F99" s="28" t="n">
        <x:v>1</x:v>
      </x:c>
      <x:c r="G99" s="30" t="str">
        <x:f>IF(E99=F99,"PASS","FAIL")</x:f>
        <x:v>PASS</x:v>
      </x:c>
    </x:row>
    <x:row r="100">
      <x:c r="B100" s="28" t="str">
        <x:v>evidence 004</x:v>
      </x:c>
      <x:c r="C100" s="28" t="str">
        <x:v>evidence</x:v>
      </x:c>
      <x:c r="D100" s="28" t="str">
        <x:v>state recognized without maturity credit</x:v>
      </x:c>
      <x:c r="E100" s="28" t="n">
        <x:f>IF(OR('Evidence Gates'!I10="OPEN",'Evidence Gates'!I10="PASS",'Evidence Gates'!I10="FAIL"),1,0)</x:f>
        <x:v>1</x:v>
      </x:c>
      <x:c r="F100" s="28" t="n">
        <x:v>1</x:v>
      </x:c>
      <x:c r="G100" s="30" t="str">
        <x:f>IF(E100=F100,"PASS","FAIL")</x:f>
        <x:v>PASS</x:v>
      </x:c>
    </x:row>
    <x:row r="101">
      <x:c r="B101" s="28" t="str">
        <x:v>evidence 005</x:v>
      </x:c>
      <x:c r="C101" s="28" t="str">
        <x:v>evidence</x:v>
      </x:c>
      <x:c r="D101" s="28" t="str">
        <x:v>state recognized without maturity credit</x:v>
      </x:c>
      <x:c r="E101" s="28" t="n">
        <x:f>IF(OR('Evidence Gates'!I11="OPEN",'Evidence Gates'!I11="PASS",'Evidence Gates'!I11="FAIL"),1,0)</x:f>
        <x:v>1</x:v>
      </x:c>
      <x:c r="F101" s="28" t="n">
        <x:v>1</x:v>
      </x:c>
      <x:c r="G101" s="30" t="str">
        <x:f>IF(E101=F101,"PASS","FAIL")</x:f>
        <x:v>PASS</x:v>
      </x:c>
    </x:row>
    <x:row r="102">
      <x:c r="B102" s="28" t="str">
        <x:v>evidence 006</x:v>
      </x:c>
      <x:c r="C102" s="28" t="str">
        <x:v>evidence</x:v>
      </x:c>
      <x:c r="D102" s="28" t="str">
        <x:v>state recognized without maturity credit</x:v>
      </x:c>
      <x:c r="E102" s="28" t="n">
        <x:f>IF(OR('Evidence Gates'!I12="OPEN",'Evidence Gates'!I12="PASS",'Evidence Gates'!I12="FAIL"),1,0)</x:f>
        <x:v>1</x:v>
      </x:c>
      <x:c r="F102" s="28" t="n">
        <x:v>1</x:v>
      </x:c>
      <x:c r="G102" s="30" t="str">
        <x:f>IF(E102=F102,"PASS","FAIL")</x:f>
        <x:v>PASS</x:v>
      </x:c>
    </x:row>
    <x:row r="103">
      <x:c r="B103" s="28" t="str">
        <x:v>evidence 007</x:v>
      </x:c>
      <x:c r="C103" s="28" t="str">
        <x:v>evidence</x:v>
      </x:c>
      <x:c r="D103" s="28" t="str">
        <x:v>state recognized without maturity credit</x:v>
      </x:c>
      <x:c r="E103" s="28" t="n">
        <x:f>IF(OR('Evidence Gates'!I13="OPEN",'Evidence Gates'!I13="PASS",'Evidence Gates'!I13="FAIL"),1,0)</x:f>
        <x:v>1</x:v>
      </x:c>
      <x:c r="F103" s="28" t="n">
        <x:v>1</x:v>
      </x:c>
      <x:c r="G103" s="30" t="str">
        <x:f>IF(E103=F103,"PASS","FAIL")</x:f>
        <x:v>PASS</x:v>
      </x:c>
    </x:row>
    <x:row r="104">
      <x:c r="B104" s="28" t="str">
        <x:v>evidence 008</x:v>
      </x:c>
      <x:c r="C104" s="28" t="str">
        <x:v>evidence</x:v>
      </x:c>
      <x:c r="D104" s="28" t="str">
        <x:v>state recognized without maturity credit</x:v>
      </x:c>
      <x:c r="E104" s="28" t="n">
        <x:f>IF(OR('Evidence Gates'!I14="OPEN",'Evidence Gates'!I14="PASS",'Evidence Gates'!I14="FAIL"),1,0)</x:f>
        <x:v>1</x:v>
      </x:c>
      <x:c r="F104" s="28" t="n">
        <x:v>1</x:v>
      </x:c>
      <x:c r="G104" s="30" t="str">
        <x:f>IF(E104=F104,"PASS","FAIL")</x:f>
        <x:v>PASS</x:v>
      </x:c>
    </x:row>
    <x:row r="105">
      <x:c r="B105" s="28" t="str">
        <x:v>evidence 009</x:v>
      </x:c>
      <x:c r="C105" s="28" t="str">
        <x:v>evidence</x:v>
      </x:c>
      <x:c r="D105" s="28" t="str">
        <x:v>state recognized without maturity credit</x:v>
      </x:c>
      <x:c r="E105" s="28" t="n">
        <x:f>IF(OR('Evidence Gates'!I15="OPEN",'Evidence Gates'!I15="PASS",'Evidence Gates'!I15="FAIL"),1,0)</x:f>
        <x:v>1</x:v>
      </x:c>
      <x:c r="F105" s="28" t="n">
        <x:v>1</x:v>
      </x:c>
      <x:c r="G105" s="30" t="str">
        <x:f>IF(E105=F105,"PASS","FAIL")</x:f>
        <x:v>PASS</x:v>
      </x:c>
    </x:row>
    <x:row r="106">
      <x:c r="B106" s="28" t="str">
        <x:v>evidence 010</x:v>
      </x:c>
      <x:c r="C106" s="28" t="str">
        <x:v>evidence</x:v>
      </x:c>
      <x:c r="D106" s="28" t="str">
        <x:v>state recognized without maturity credit</x:v>
      </x:c>
      <x:c r="E106" s="28" t="n">
        <x:f>IF(OR('Evidence Gates'!I16="OPEN",'Evidence Gates'!I16="PASS",'Evidence Gates'!I16="FAIL"),1,0)</x:f>
        <x:v>1</x:v>
      </x:c>
      <x:c r="F106" s="28" t="n">
        <x:v>1</x:v>
      </x:c>
      <x:c r="G106" s="30" t="str">
        <x:f>IF(E106=F106,"PASS","FAIL")</x:f>
        <x:v>PASS</x:v>
      </x:c>
    </x:row>
    <x:row r="107">
      <x:c r="B107" s="28" t="str">
        <x:v>evidence 011</x:v>
      </x:c>
      <x:c r="C107" s="28" t="str">
        <x:v>evidence</x:v>
      </x:c>
      <x:c r="D107" s="28" t="str">
        <x:v>state recognized without maturity credit</x:v>
      </x:c>
      <x:c r="E107" s="28" t="n">
        <x:f>IF(OR('Evidence Gates'!I17="OPEN",'Evidence Gates'!I17="PASS",'Evidence Gates'!I17="FAIL"),1,0)</x:f>
        <x:v>1</x:v>
      </x:c>
      <x:c r="F107" s="28" t="n">
        <x:v>1</x:v>
      </x:c>
      <x:c r="G107" s="30" t="str">
        <x:f>IF(E107=F107,"PASS","FAIL")</x:f>
        <x:v>PASS</x:v>
      </x:c>
    </x:row>
    <x:row r="108">
      <x:c r="B108" s="28" t="str">
        <x:v>evidence 012</x:v>
      </x:c>
      <x:c r="C108" s="28" t="str">
        <x:v>evidence</x:v>
      </x:c>
      <x:c r="D108" s="28" t="str">
        <x:v>state recognized without maturity credit</x:v>
      </x:c>
      <x:c r="E108" s="28" t="n">
        <x:f>IF(OR('Evidence Gates'!I18="OPEN",'Evidence Gates'!I18="PASS",'Evidence Gates'!I18="FAIL"),1,0)</x:f>
        <x:v>1</x:v>
      </x:c>
      <x:c r="F108" s="28" t="n">
        <x:v>1</x:v>
      </x:c>
      <x:c r="G108" s="30" t="str">
        <x:f>IF(E108=F108,"PASS","FAIL")</x:f>
        <x:v>PASS</x:v>
      </x:c>
    </x:row>
    <x:row r="109">
      <x:c r="B109" s="28" t="str">
        <x:v>evidence 013</x:v>
      </x:c>
      <x:c r="C109" s="28" t="str">
        <x:v>evidence</x:v>
      </x:c>
      <x:c r="D109" s="28" t="str">
        <x:v>state recognized without maturity credit</x:v>
      </x:c>
      <x:c r="E109" s="28" t="n">
        <x:f>IF(OR('Evidence Gates'!I19="OPEN",'Evidence Gates'!I19="PASS",'Evidence Gates'!I19="FAIL"),1,0)</x:f>
        <x:v>1</x:v>
      </x:c>
      <x:c r="F109" s="28" t="n">
        <x:v>1</x:v>
      </x:c>
      <x:c r="G109" s="30" t="str">
        <x:f>IF(E109=F109,"PASS","FAIL")</x:f>
        <x:v>PASS</x:v>
      </x:c>
    </x:row>
    <x:row r="110">
      <x:c r="B110" s="28" t="str">
        <x:v>evidence 014</x:v>
      </x:c>
      <x:c r="C110" s="28" t="str">
        <x:v>evidence</x:v>
      </x:c>
      <x:c r="D110" s="28" t="str">
        <x:v>state recognized without maturity credit</x:v>
      </x:c>
      <x:c r="E110" s="28" t="n">
        <x:f>IF(OR('Evidence Gates'!I20="OPEN",'Evidence Gates'!I20="PASS",'Evidence Gates'!I20="FAIL"),1,0)</x:f>
        <x:v>1</x:v>
      </x:c>
      <x:c r="F110" s="28" t="n">
        <x:v>1</x:v>
      </x:c>
      <x:c r="G110" s="30" t="str">
        <x:f>IF(E110=F110,"PASS","FAIL")</x:f>
        <x:v>PASS</x:v>
      </x:c>
    </x:row>
    <x:row r="111">
      <x:c r="B111" s="28" t="str">
        <x:v>evidence 015</x:v>
      </x:c>
      <x:c r="C111" s="28" t="str">
        <x:v>evidence</x:v>
      </x:c>
      <x:c r="D111" s="28" t="str">
        <x:v>state recognized without maturity credit</x:v>
      </x:c>
      <x:c r="E111" s="28" t="n">
        <x:f>IF(OR('Evidence Gates'!I21="OPEN",'Evidence Gates'!I21="PASS",'Evidence Gates'!I21="FAIL"),1,0)</x:f>
        <x:v>1</x:v>
      </x:c>
      <x:c r="F111" s="28" t="n">
        <x:v>1</x:v>
      </x:c>
      <x:c r="G111" s="30" t="str">
        <x:f>IF(E111=F111,"PASS","FAIL")</x:f>
        <x:v>PASS</x:v>
      </x:c>
    </x:row>
    <x:row r="112">
      <x:c r="B112" s="28" t="str">
        <x:v>evidence 016</x:v>
      </x:c>
      <x:c r="C112" s="28" t="str">
        <x:v>evidence</x:v>
      </x:c>
      <x:c r="D112" s="28" t="str">
        <x:v>state recognized without maturity credit</x:v>
      </x:c>
      <x:c r="E112" s="28" t="n">
        <x:f>IF(OR('Evidence Gates'!I22="OPEN",'Evidence Gates'!I22="PASS",'Evidence Gates'!I22="FAIL"),1,0)</x:f>
        <x:v>1</x:v>
      </x:c>
      <x:c r="F112" s="28" t="n">
        <x:v>1</x:v>
      </x:c>
      <x:c r="G112" s="30" t="str">
        <x:f>IF(E112=F112,"PASS","FAIL")</x:f>
        <x:v>PASS</x:v>
      </x:c>
    </x:row>
    <x:row r="113">
      <x:c r="B113" s="28" t="str">
        <x:v>evidence 017</x:v>
      </x:c>
      <x:c r="C113" s="28" t="str">
        <x:v>evidence</x:v>
      </x:c>
      <x:c r="D113" s="28" t="str">
        <x:v>state recognized without maturity credit</x:v>
      </x:c>
      <x:c r="E113" s="28" t="n">
        <x:f>IF(OR('Evidence Gates'!I23="OPEN",'Evidence Gates'!I23="PASS",'Evidence Gates'!I23="FAIL"),1,0)</x:f>
        <x:v>1</x:v>
      </x:c>
      <x:c r="F113" s="28" t="n">
        <x:v>1</x:v>
      </x:c>
      <x:c r="G113" s="30" t="str">
        <x:f>IF(E113=F113,"PASS","FAIL")</x:f>
        <x:v>PASS</x:v>
      </x:c>
    </x:row>
    <x:row r="114">
      <x:c r="B114" s="28" t="str">
        <x:v>evidence 018</x:v>
      </x:c>
      <x:c r="C114" s="28" t="str">
        <x:v>evidence</x:v>
      </x:c>
      <x:c r="D114" s="28" t="str">
        <x:v>state recognized without maturity credit</x:v>
      </x:c>
      <x:c r="E114" s="28" t="n">
        <x:f>IF(OR('Evidence Gates'!I24="OPEN",'Evidence Gates'!I24="PASS",'Evidence Gates'!I24="FAIL"),1,0)</x:f>
        <x:v>1</x:v>
      </x:c>
      <x:c r="F114" s="28" t="n">
        <x:v>1</x:v>
      </x:c>
      <x:c r="G114" s="30" t="str">
        <x:f>IF(E114=F114,"PASS","FAIL")</x:f>
        <x:v>PASS</x:v>
      </x:c>
    </x:row>
    <x:row r="115">
      <x:c r="B115" s="28" t="str">
        <x:v>evidence 019</x:v>
      </x:c>
      <x:c r="C115" s="28" t="str">
        <x:v>evidence</x:v>
      </x:c>
      <x:c r="D115" s="28" t="str">
        <x:v>state recognized without maturity credit</x:v>
      </x:c>
      <x:c r="E115" s="28" t="n">
        <x:f>IF(OR('Evidence Gates'!I25="OPEN",'Evidence Gates'!I25="PASS",'Evidence Gates'!I25="FAIL"),1,0)</x:f>
        <x:v>1</x:v>
      </x:c>
      <x:c r="F115" s="28" t="n">
        <x:v>1</x:v>
      </x:c>
      <x:c r="G115" s="30" t="str">
        <x:f>IF(E115=F115,"PASS","FAIL")</x:f>
        <x:v>PASS</x:v>
      </x:c>
    </x:row>
    <x:row r="116">
      <x:c r="B116" s="28" t="str">
        <x:v>evidence 020</x:v>
      </x:c>
      <x:c r="C116" s="28" t="str">
        <x:v>evidence</x:v>
      </x:c>
      <x:c r="D116" s="28" t="str">
        <x:v>state recognized without maturity credit</x:v>
      </x:c>
      <x:c r="E116" s="28" t="n">
        <x:f>IF(OR('Evidence Gates'!I26="OPEN",'Evidence Gates'!I26="PASS",'Evidence Gates'!I26="FAIL"),1,0)</x:f>
        <x:v>1</x:v>
      </x:c>
      <x:c r="F116" s="28" t="n">
        <x:v>1</x:v>
      </x:c>
      <x:c r="G116" s="30" t="str">
        <x:f>IF(E116=F116,"PASS","FAIL")</x:f>
        <x:v>PASS</x:v>
      </x:c>
    </x:row>
    <x:row r="117">
      <x:c r="B117" s="28" t="str">
        <x:v>evidence 021</x:v>
      </x:c>
      <x:c r="C117" s="28" t="str">
        <x:v>evidence</x:v>
      </x:c>
      <x:c r="D117" s="28" t="str">
        <x:v>state recognized without maturity credit</x:v>
      </x:c>
      <x:c r="E117" s="28" t="n">
        <x:f>IF(OR('Evidence Gates'!I27="OPEN",'Evidence Gates'!I27="PASS",'Evidence Gates'!I27="FAIL"),1,0)</x:f>
        <x:v>1</x:v>
      </x:c>
      <x:c r="F117" s="28" t="n">
        <x:v>1</x:v>
      </x:c>
      <x:c r="G117" s="30" t="str">
        <x:f>IF(E117=F117,"PASS","FAIL")</x:f>
        <x:v>PASS</x:v>
      </x:c>
    </x:row>
    <x:row r="118">
      <x:c r="B118" s="28" t="str">
        <x:v>evidence 022</x:v>
      </x:c>
      <x:c r="C118" s="28" t="str">
        <x:v>evidence</x:v>
      </x:c>
      <x:c r="D118" s="28" t="str">
        <x:v>state recognized without maturity credit</x:v>
      </x:c>
      <x:c r="E118" s="28" t="n">
        <x:f>IF(OR('Evidence Gates'!I28="OPEN",'Evidence Gates'!I28="PASS",'Evidence Gates'!I28="FAIL"),1,0)</x:f>
        <x:v>1</x:v>
      </x:c>
      <x:c r="F118" s="28" t="n">
        <x:v>1</x:v>
      </x:c>
      <x:c r="G118" s="30" t="str">
        <x:f>IF(E118=F118,"PASS","FAIL")</x:f>
        <x:v>PASS</x:v>
      </x:c>
    </x:row>
    <x:row r="119">
      <x:c r="B119" s="28" t="str">
        <x:v>evidence 023</x:v>
      </x:c>
      <x:c r="C119" s="28" t="str">
        <x:v>evidence</x:v>
      </x:c>
      <x:c r="D119" s="28" t="str">
        <x:v>state recognized without maturity credit</x:v>
      </x:c>
      <x:c r="E119" s="28" t="n">
        <x:f>IF(OR('Evidence Gates'!I29="OPEN",'Evidence Gates'!I29="PASS",'Evidence Gates'!I29="FAIL"),1,0)</x:f>
        <x:v>1</x:v>
      </x:c>
      <x:c r="F119" s="28" t="n">
        <x:v>1</x:v>
      </x:c>
      <x:c r="G119" s="30" t="str">
        <x:f>IF(E119=F119,"PASS","FAIL")</x:f>
        <x:v>PASS</x:v>
      </x:c>
    </x:row>
    <x:row r="120">
      <x:c r="B120" s="28" t="str">
        <x:v>evidence 024</x:v>
      </x:c>
      <x:c r="C120" s="28" t="str">
        <x:v>evidence</x:v>
      </x:c>
      <x:c r="D120" s="28" t="str">
        <x:v>state recognized without maturity credit</x:v>
      </x:c>
      <x:c r="E120" s="28" t="n">
        <x:f>IF(OR('Evidence Gates'!I30="OPEN",'Evidence Gates'!I30="PASS",'Evidence Gates'!I30="FAIL"),1,0)</x:f>
        <x:v>1</x:v>
      </x:c>
      <x:c r="F120" s="28" t="n">
        <x:v>1</x:v>
      </x:c>
      <x:c r="G120" s="30" t="str">
        <x:f>IF(E120=F120,"PASS","FAIL")</x:f>
        <x:v>PASS</x:v>
      </x:c>
    </x:row>
    <x:row r="121">
      <x:c r="B121" s="28" t="str">
        <x:v>evidence 025</x:v>
      </x:c>
      <x:c r="C121" s="28" t="str">
        <x:v>evidence</x:v>
      </x:c>
      <x:c r="D121" s="28" t="str">
        <x:v>state recognized without maturity credit</x:v>
      </x:c>
      <x:c r="E121" s="28" t="n">
        <x:f>IF(OR('Evidence Gates'!I31="OPEN",'Evidence Gates'!I31="PASS",'Evidence Gates'!I31="FAIL"),1,0)</x:f>
        <x:v>1</x:v>
      </x:c>
      <x:c r="F121" s="28" t="n">
        <x:v>1</x:v>
      </x:c>
      <x:c r="G121" s="30" t="str">
        <x:f>IF(E121=F121,"PASS","FAIL")</x:f>
        <x:v>PASS</x:v>
      </x:c>
    </x:row>
    <x:row r="122">
      <x:c r="B122" s="28" t="str">
        <x:v>evidence 026</x:v>
      </x:c>
      <x:c r="C122" s="28" t="str">
        <x:v>evidence</x:v>
      </x:c>
      <x:c r="D122" s="28" t="str">
        <x:v>state recognized without maturity credit</x:v>
      </x:c>
      <x:c r="E122" s="28" t="n">
        <x:f>IF(OR('Evidence Gates'!I32="OPEN",'Evidence Gates'!I32="PASS",'Evidence Gates'!I32="FAIL"),1,0)</x:f>
        <x:v>1</x:v>
      </x:c>
      <x:c r="F122" s="28" t="n">
        <x:v>1</x:v>
      </x:c>
      <x:c r="G122" s="30" t="str">
        <x:f>IF(E122=F122,"PASS","FAIL")</x:f>
        <x:v>PASS</x:v>
      </x:c>
    </x:row>
    <x:row r="123">
      <x:c r="B123" s="28" t="str">
        <x:v>evidence 027</x:v>
      </x:c>
      <x:c r="C123" s="28" t="str">
        <x:v>evidence</x:v>
      </x:c>
      <x:c r="D123" s="28" t="str">
        <x:v>state recognized without maturity credit</x:v>
      </x:c>
      <x:c r="E123" s="28" t="n">
        <x:f>IF(OR('Evidence Gates'!I33="OPEN",'Evidence Gates'!I33="PASS",'Evidence Gates'!I33="FAIL"),1,0)</x:f>
        <x:v>1</x:v>
      </x:c>
      <x:c r="F123" s="28" t="n">
        <x:v>1</x:v>
      </x:c>
      <x:c r="G123" s="30" t="str">
        <x:f>IF(E123=F123,"PASS","FAIL")</x:f>
        <x:v>PASS</x:v>
      </x:c>
    </x:row>
    <x:row r="124">
      <x:c r="B124" s="28" t="str">
        <x:v>evidence 028</x:v>
      </x:c>
      <x:c r="C124" s="28" t="str">
        <x:v>evidence</x:v>
      </x:c>
      <x:c r="D124" s="28" t="str">
        <x:v>state recognized without maturity credit</x:v>
      </x:c>
      <x:c r="E124" s="28" t="n">
        <x:f>IF(OR('Evidence Gates'!I34="OPEN",'Evidence Gates'!I34="PASS",'Evidence Gates'!I34="FAIL"),1,0)</x:f>
        <x:v>1</x:v>
      </x:c>
      <x:c r="F124" s="28" t="n">
        <x:v>1</x:v>
      </x:c>
      <x:c r="G124" s="30" t="str">
        <x:f>IF(E124=F124,"PASS","FAIL")</x:f>
        <x:v>PASS</x:v>
      </x:c>
    </x:row>
    <x:row r="125">
      <x:c r="B125" s="28" t="str">
        <x:v>evidence 029</x:v>
      </x:c>
      <x:c r="C125" s="28" t="str">
        <x:v>evidence</x:v>
      </x:c>
      <x:c r="D125" s="28" t="str">
        <x:v>state recognized without maturity credit</x:v>
      </x:c>
      <x:c r="E125" s="28" t="n">
        <x:f>IF(OR('Evidence Gates'!I35="OPEN",'Evidence Gates'!I35="PASS",'Evidence Gates'!I35="FAIL"),1,0)</x:f>
        <x:v>1</x:v>
      </x:c>
      <x:c r="F125" s="28" t="n">
        <x:v>1</x:v>
      </x:c>
      <x:c r="G125" s="30" t="str">
        <x:f>IF(E125=F125,"PASS","FAIL")</x:f>
        <x:v>PASS</x:v>
      </x:c>
    </x:row>
    <x:row r="126">
      <x:c r="B126" s="28" t="str">
        <x:v>evidence 030</x:v>
      </x:c>
      <x:c r="C126" s="28" t="str">
        <x:v>evidence</x:v>
      </x:c>
      <x:c r="D126" s="28" t="str">
        <x:v>state recognized without maturity credit</x:v>
      </x:c>
      <x:c r="E126" s="28" t="n">
        <x:f>IF(OR('Evidence Gates'!I36="OPEN",'Evidence Gates'!I36="PASS",'Evidence Gates'!I36="FAIL"),1,0)</x:f>
        <x:v>1</x:v>
      </x:c>
      <x:c r="F126" s="28" t="n">
        <x:v>1</x:v>
      </x:c>
      <x:c r="G126" s="30" t="str">
        <x:f>IF(E126=F126,"PASS","FAIL")</x:f>
        <x:v>PASS</x:v>
      </x:c>
    </x:row>
    <x:row r="127">
      <x:c r="B127" s="28" t="str">
        <x:v>evidence 031</x:v>
      </x:c>
      <x:c r="C127" s="28" t="str">
        <x:v>evidence</x:v>
      </x:c>
      <x:c r="D127" s="28" t="str">
        <x:v>state recognized without maturity credit</x:v>
      </x:c>
      <x:c r="E127" s="28" t="n">
        <x:f>IF(OR('Evidence Gates'!I37="OPEN",'Evidence Gates'!I37="PASS",'Evidence Gates'!I37="FAIL"),1,0)</x:f>
        <x:v>1</x:v>
      </x:c>
      <x:c r="F127" s="28" t="n">
        <x:v>1</x:v>
      </x:c>
      <x:c r="G127" s="30" t="str">
        <x:f>IF(E127=F127,"PASS","FAIL")</x:f>
        <x:v>PASS</x:v>
      </x:c>
    </x:row>
    <x:row r="128">
      <x:c r="B128" s="28" t="str">
        <x:v>evidence 032</x:v>
      </x:c>
      <x:c r="C128" s="28" t="str">
        <x:v>evidence</x:v>
      </x:c>
      <x:c r="D128" s="28" t="str">
        <x:v>state recognized without maturity credit</x:v>
      </x:c>
      <x:c r="E128" s="28" t="n">
        <x:f>IF(OR('Evidence Gates'!I38="OPEN",'Evidence Gates'!I38="PASS",'Evidence Gates'!I38="FAIL"),1,0)</x:f>
        <x:v>1</x:v>
      </x:c>
      <x:c r="F128" s="28" t="n">
        <x:v>1</x:v>
      </x:c>
      <x:c r="G128" s="30" t="str">
        <x:f>IF(E128=F128,"PASS","FAIL")</x:f>
        <x:v>PASS</x:v>
      </x:c>
    </x:row>
    <x:row r="129">
      <x:c r="B129" s="28" t="str">
        <x:v>evidence 033</x:v>
      </x:c>
      <x:c r="C129" s="28" t="str">
        <x:v>evidence</x:v>
      </x:c>
      <x:c r="D129" s="28" t="str">
        <x:v>state recognized without maturity credit</x:v>
      </x:c>
      <x:c r="E129" s="28" t="n">
        <x:f>IF(OR('Evidence Gates'!I39="OPEN",'Evidence Gates'!I39="PASS",'Evidence Gates'!I39="FAIL"),1,0)</x:f>
        <x:v>1</x:v>
      </x:c>
      <x:c r="F129" s="28" t="n">
        <x:v>1</x:v>
      </x:c>
      <x:c r="G129" s="30" t="str">
        <x:f>IF(E129=F129,"PASS","FAIL")</x:f>
        <x:v>PASS</x:v>
      </x:c>
    </x:row>
    <x:row r="130">
      <x:c r="B130" s="28" t="str">
        <x:v>evidence 034</x:v>
      </x:c>
      <x:c r="C130" s="28" t="str">
        <x:v>evidence</x:v>
      </x:c>
      <x:c r="D130" s="28" t="str">
        <x:v>state recognized without maturity credit</x:v>
      </x:c>
      <x:c r="E130" s="28" t="n">
        <x:f>IF(OR('Evidence Gates'!I40="OPEN",'Evidence Gates'!I40="PASS",'Evidence Gates'!I40="FAIL"),1,0)</x:f>
        <x:v>1</x:v>
      </x:c>
      <x:c r="F130" s="28" t="n">
        <x:v>1</x:v>
      </x:c>
      <x:c r="G130" s="30" t="str">
        <x:f>IF(E130=F130,"PASS","FAIL")</x:f>
        <x:v>PASS</x:v>
      </x:c>
    </x:row>
    <x:row r="131">
      <x:c r="B131" s="28" t="str">
        <x:v>evidence 035</x:v>
      </x:c>
      <x:c r="C131" s="28" t="str">
        <x:v>evidence</x:v>
      </x:c>
      <x:c r="D131" s="28" t="str">
        <x:v>state recognized without maturity credit</x:v>
      </x:c>
      <x:c r="E131" s="28" t="n">
        <x:f>IF(OR('Evidence Gates'!I41="OPEN",'Evidence Gates'!I41="PASS",'Evidence Gates'!I41="FAIL"),1,0)</x:f>
        <x:v>1</x:v>
      </x:c>
      <x:c r="F131" s="28" t="n">
        <x:v>1</x:v>
      </x:c>
      <x:c r="G131" s="30" t="str">
        <x:f>IF(E131=F131,"PASS","FAIL")</x:f>
        <x:v>PASS</x:v>
      </x:c>
    </x:row>
    <x:row r="132">
      <x:c r="B132" s="28" t="str">
        <x:v>evidence 036</x:v>
      </x:c>
      <x:c r="C132" s="28" t="str">
        <x:v>evidence</x:v>
      </x:c>
      <x:c r="D132" s="28" t="str">
        <x:v>state recognized without maturity credit</x:v>
      </x:c>
      <x:c r="E132" s="28" t="n">
        <x:f>IF(OR('Evidence Gates'!I42="OPEN",'Evidence Gates'!I42="PASS",'Evidence Gates'!I42="FAIL"),1,0)</x:f>
        <x:v>1</x:v>
      </x:c>
      <x:c r="F132" s="28" t="n">
        <x:v>1</x:v>
      </x:c>
      <x:c r="G132" s="30" t="str">
        <x:f>IF(E132=F132,"PASS","FAIL")</x:f>
        <x:v>PASS</x:v>
      </x:c>
    </x:row>
    <x:row r="133">
      <x:c r="B133" s="28" t="str">
        <x:v>evidence 037</x:v>
      </x:c>
      <x:c r="C133" s="28" t="str">
        <x:v>evidence</x:v>
      </x:c>
      <x:c r="D133" s="28" t="str">
        <x:v>state recognized without maturity credit</x:v>
      </x:c>
      <x:c r="E133" s="28" t="n">
        <x:f>IF(OR('Evidence Gates'!I43="OPEN",'Evidence Gates'!I43="PASS",'Evidence Gates'!I43="FAIL"),1,0)</x:f>
        <x:v>1</x:v>
      </x:c>
      <x:c r="F133" s="28" t="n">
        <x:v>1</x:v>
      </x:c>
      <x:c r="G133" s="30" t="str">
        <x:f>IF(E133=F133,"PASS","FAIL")</x:f>
        <x:v>PASS</x:v>
      </x:c>
    </x:row>
    <x:row r="134">
      <x:c r="B134" s="28" t="str">
        <x:v>evidence 038</x:v>
      </x:c>
      <x:c r="C134" s="28" t="str">
        <x:v>evidence</x:v>
      </x:c>
      <x:c r="D134" s="28" t="str">
        <x:v>state recognized without maturity credit</x:v>
      </x:c>
      <x:c r="E134" s="28" t="n">
        <x:f>IF(OR('Evidence Gates'!I44="OPEN",'Evidence Gates'!I44="PASS",'Evidence Gates'!I44="FAIL"),1,0)</x:f>
        <x:v>1</x:v>
      </x:c>
      <x:c r="F134" s="28" t="n">
        <x:v>1</x:v>
      </x:c>
      <x:c r="G134" s="30" t="str">
        <x:f>IF(E134=F134,"PASS","FAIL")</x:f>
        <x:v>PASS</x:v>
      </x:c>
    </x:row>
    <x:row r="135">
      <x:c r="B135" s="28" t="str">
        <x:v>evidence 039</x:v>
      </x:c>
      <x:c r="C135" s="28" t="str">
        <x:v>evidence</x:v>
      </x:c>
      <x:c r="D135" s="28" t="str">
        <x:v>state recognized without maturity credit</x:v>
      </x:c>
      <x:c r="E135" s="28" t="n">
        <x:f>IF(OR('Evidence Gates'!I45="OPEN",'Evidence Gates'!I45="PASS",'Evidence Gates'!I45="FAIL"),1,0)</x:f>
        <x:v>1</x:v>
      </x:c>
      <x:c r="F135" s="28" t="n">
        <x:v>1</x:v>
      </x:c>
      <x:c r="G135" s="30" t="str">
        <x:f>IF(E135=F135,"PASS","FAIL")</x:f>
        <x:v>PASS</x:v>
      </x:c>
    </x:row>
    <x:row r="136">
      <x:c r="B136" s="28" t="str">
        <x:v>evidence 040</x:v>
      </x:c>
      <x:c r="C136" s="28" t="str">
        <x:v>evidence</x:v>
      </x:c>
      <x:c r="D136" s="28" t="str">
        <x:v>state recognized without maturity credit</x:v>
      </x:c>
      <x:c r="E136" s="28" t="n">
        <x:f>IF(OR('Evidence Gates'!I46="OPEN",'Evidence Gates'!I46="PASS",'Evidence Gates'!I46="FAIL"),1,0)</x:f>
        <x:v>1</x:v>
      </x:c>
      <x:c r="F136" s="28" t="n">
        <x:v>1</x:v>
      </x:c>
      <x:c r="G136" s="30" t="str">
        <x:f>IF(E136=F136,"PASS","FAIL")</x:f>
        <x:v>PASS</x:v>
      </x:c>
    </x:row>
    <x:row r="137">
      <x:c r="B137" s="28" t="str">
        <x:v>evidence 041</x:v>
      </x:c>
      <x:c r="C137" s="28" t="str">
        <x:v>evidence</x:v>
      </x:c>
      <x:c r="D137" s="28" t="str">
        <x:v>state recognized without maturity credit</x:v>
      </x:c>
      <x:c r="E137" s="28" t="n">
        <x:f>IF(OR('Evidence Gates'!I47="OPEN",'Evidence Gates'!I47="PASS",'Evidence Gates'!I47="FAIL"),1,0)</x:f>
        <x:v>1</x:v>
      </x:c>
      <x:c r="F137" s="28" t="n">
        <x:v>1</x:v>
      </x:c>
      <x:c r="G137" s="30" t="str">
        <x:f>IF(E137=F137,"PASS","FAIL")</x:f>
        <x:v>PASS</x:v>
      </x:c>
    </x:row>
    <x:row r="138">
      <x:c r="B138" s="28" t="str">
        <x:v>evidence 042</x:v>
      </x:c>
      <x:c r="C138" s="28" t="str">
        <x:v>evidence</x:v>
      </x:c>
      <x:c r="D138" s="28" t="str">
        <x:v>state recognized without maturity credit</x:v>
      </x:c>
      <x:c r="E138" s="28" t="n">
        <x:f>IF(OR('Evidence Gates'!I48="OPEN",'Evidence Gates'!I48="PASS",'Evidence Gates'!I48="FAIL"),1,0)</x:f>
        <x:v>1</x:v>
      </x:c>
      <x:c r="F138" s="28" t="n">
        <x:v>1</x:v>
      </x:c>
      <x:c r="G138" s="30" t="str">
        <x:f>IF(E138=F138,"PASS","FAIL")</x:f>
        <x:v>PASS</x:v>
      </x:c>
    </x:row>
    <x:row r="139">
      <x:c r="B139" s="28" t="str">
        <x:v>evidence 043</x:v>
      </x:c>
      <x:c r="C139" s="28" t="str">
        <x:v>evidence</x:v>
      </x:c>
      <x:c r="D139" s="28" t="str">
        <x:v>state recognized without maturity credit</x:v>
      </x:c>
      <x:c r="E139" s="28" t="n">
        <x:f>IF(OR('Evidence Gates'!I49="OPEN",'Evidence Gates'!I49="PASS",'Evidence Gates'!I49="FAIL"),1,0)</x:f>
        <x:v>1</x:v>
      </x:c>
      <x:c r="F139" s="28" t="n">
        <x:v>1</x:v>
      </x:c>
      <x:c r="G139" s="30" t="str">
        <x:f>IF(E139=F139,"PASS","FAIL")</x:f>
        <x:v>PASS</x:v>
      </x:c>
    </x:row>
    <x:row r="140">
      <x:c r="B140" s="28" t="str">
        <x:v>evidence 044</x:v>
      </x:c>
      <x:c r="C140" s="28" t="str">
        <x:v>evidence</x:v>
      </x:c>
      <x:c r="D140" s="28" t="str">
        <x:v>state recognized without maturity credit</x:v>
      </x:c>
      <x:c r="E140" s="28" t="n">
        <x:f>IF(OR('Evidence Gates'!I50="OPEN",'Evidence Gates'!I50="PASS",'Evidence Gates'!I50="FAIL"),1,0)</x:f>
        <x:v>1</x:v>
      </x:c>
      <x:c r="F140" s="28" t="n">
        <x:v>1</x:v>
      </x:c>
      <x:c r="G140" s="30" t="str">
        <x:f>IF(E140=F140,"PASS","FAIL")</x:f>
        <x:v>PASS</x:v>
      </x:c>
    </x:row>
    <x:row r="141">
      <x:c r="B141" s="28" t="str">
        <x:v>evidence 045</x:v>
      </x:c>
      <x:c r="C141" s="28" t="str">
        <x:v>evidence</x:v>
      </x:c>
      <x:c r="D141" s="28" t="str">
        <x:v>state recognized without maturity credit</x:v>
      </x:c>
      <x:c r="E141" s="28" t="n">
        <x:f>IF(OR('Evidence Gates'!I51="OPEN",'Evidence Gates'!I51="PASS",'Evidence Gates'!I51="FAIL"),1,0)</x:f>
        <x:v>1</x:v>
      </x:c>
      <x:c r="F141" s="28" t="n">
        <x:v>1</x:v>
      </x:c>
      <x:c r="G141" s="30" t="str">
        <x:f>IF(E141=F141,"PASS","FAIL")</x:f>
        <x:v>PASS</x:v>
      </x:c>
    </x:row>
    <x:row r="142">
      <x:c r="B142" s="28" t="str">
        <x:v>evidence 046</x:v>
      </x:c>
      <x:c r="C142" s="28" t="str">
        <x:v>evidence</x:v>
      </x:c>
      <x:c r="D142" s="28" t="str">
        <x:v>state recognized without maturity credit</x:v>
      </x:c>
      <x:c r="E142" s="28" t="n">
        <x:f>IF(OR('Evidence Gates'!I52="OPEN",'Evidence Gates'!I52="PASS",'Evidence Gates'!I52="FAIL"),1,0)</x:f>
        <x:v>1</x:v>
      </x:c>
      <x:c r="F142" s="28" t="n">
        <x:v>1</x:v>
      </x:c>
      <x:c r="G142" s="30" t="str">
        <x:f>IF(E142=F142,"PASS","FAIL")</x:f>
        <x:v>PASS</x:v>
      </x:c>
    </x:row>
    <x:row r="143">
      <x:c r="B143" s="28" t="str">
        <x:v>evidence 047</x:v>
      </x:c>
      <x:c r="C143" s="28" t="str">
        <x:v>evidence</x:v>
      </x:c>
      <x:c r="D143" s="28" t="str">
        <x:v>state recognized without maturity credit</x:v>
      </x:c>
      <x:c r="E143" s="28" t="n">
        <x:f>IF(OR('Evidence Gates'!I53="OPEN",'Evidence Gates'!I53="PASS",'Evidence Gates'!I53="FAIL"),1,0)</x:f>
        <x:v>1</x:v>
      </x:c>
      <x:c r="F143" s="28" t="n">
        <x:v>1</x:v>
      </x:c>
      <x:c r="G143" s="30" t="str">
        <x:f>IF(E143=F143,"PASS","FAIL")</x:f>
        <x:v>PASS</x:v>
      </x:c>
    </x:row>
    <x:row r="144">
      <x:c r="B144" s="28" t="str">
        <x:v>evidence 048</x:v>
      </x:c>
      <x:c r="C144" s="28" t="str">
        <x:v>evidence</x:v>
      </x:c>
      <x:c r="D144" s="28" t="str">
        <x:v>state recognized without maturity credit</x:v>
      </x:c>
      <x:c r="E144" s="28" t="n">
        <x:f>IF(OR('Evidence Gates'!I54="OPEN",'Evidence Gates'!I54="PASS",'Evidence Gates'!I54="FAIL"),1,0)</x:f>
        <x:v>1</x:v>
      </x:c>
      <x:c r="F144" s="28" t="n">
        <x:v>1</x:v>
      </x:c>
      <x:c r="G144" s="30" t="str">
        <x:f>IF(E144=F144,"PASS","FAIL")</x:f>
        <x:v>PASS</x:v>
      </x:c>
    </x:row>
    <x:row r="145">
      <x:c r="B145" s="28" t="str">
        <x:v>evidence 049</x:v>
      </x:c>
      <x:c r="C145" s="28" t="str">
        <x:v>evidence</x:v>
      </x:c>
      <x:c r="D145" s="28" t="str">
        <x:v>state recognized without maturity credit</x:v>
      </x:c>
      <x:c r="E145" s="28" t="n">
        <x:f>IF(OR('Evidence Gates'!I55="OPEN",'Evidence Gates'!I55="PASS",'Evidence Gates'!I55="FAIL"),1,0)</x:f>
        <x:v>1</x:v>
      </x:c>
      <x:c r="F145" s="28" t="n">
        <x:v>1</x:v>
      </x:c>
      <x:c r="G145" s="30" t="str">
        <x:f>IF(E145=F145,"PASS","FAIL")</x:f>
        <x:v>PASS</x:v>
      </x:c>
    </x:row>
    <x:row r="146">
      <x:c r="B146" s="28" t="str">
        <x:v>evidence 050</x:v>
      </x:c>
      <x:c r="C146" s="28" t="str">
        <x:v>evidence</x:v>
      </x:c>
      <x:c r="D146" s="28" t="str">
        <x:v>state recognized without maturity credit</x:v>
      </x:c>
      <x:c r="E146" s="28" t="n">
        <x:f>IF(OR('Evidence Gates'!I56="OPEN",'Evidence Gates'!I56="PASS",'Evidence Gates'!I56="FAIL"),1,0)</x:f>
        <x:v>1</x:v>
      </x:c>
      <x:c r="F146" s="28" t="n">
        <x:v>1</x:v>
      </x:c>
      <x:c r="G146" s="30" t="str">
        <x:f>IF(E146=F146,"PASS","FAIL")</x:f>
        <x:v>PASS</x:v>
      </x:c>
    </x:row>
    <x:row r="147">
      <x:c r="B147" s="28" t="str">
        <x:v>evidence 051</x:v>
      </x:c>
      <x:c r="C147" s="28" t="str">
        <x:v>evidence</x:v>
      </x:c>
      <x:c r="D147" s="28" t="str">
        <x:v>state recognized without maturity credit</x:v>
      </x:c>
      <x:c r="E147" s="28" t="n">
        <x:f>IF(OR('Evidence Gates'!I57="OPEN",'Evidence Gates'!I57="PASS",'Evidence Gates'!I57="FAIL"),1,0)</x:f>
        <x:v>1</x:v>
      </x:c>
      <x:c r="F147" s="28" t="n">
        <x:v>1</x:v>
      </x:c>
      <x:c r="G147" s="30" t="str">
        <x:f>IF(E147=F147,"PASS","FAIL")</x:f>
        <x:v>PASS</x:v>
      </x:c>
    </x:row>
    <x:row r="148">
      <x:c r="B148" s="28" t="str">
        <x:v>evidence 052</x:v>
      </x:c>
      <x:c r="C148" s="28" t="str">
        <x:v>evidence</x:v>
      </x:c>
      <x:c r="D148" s="28" t="str">
        <x:v>state recognized without maturity credit</x:v>
      </x:c>
      <x:c r="E148" s="28" t="n">
        <x:f>IF(OR('Evidence Gates'!I58="OPEN",'Evidence Gates'!I58="PASS",'Evidence Gates'!I58="FAIL"),1,0)</x:f>
        <x:v>1</x:v>
      </x:c>
      <x:c r="F148" s="28" t="n">
        <x:v>1</x:v>
      </x:c>
      <x:c r="G148" s="30" t="str">
        <x:f>IF(E148=F148,"PASS","FAIL")</x:f>
        <x:v>PASS</x:v>
      </x:c>
    </x:row>
    <x:row r="149">
      <x:c r="B149" s="28" t="str">
        <x:v>evidence 053</x:v>
      </x:c>
      <x:c r="C149" s="28" t="str">
        <x:v>evidence</x:v>
      </x:c>
      <x:c r="D149" s="28" t="str">
        <x:v>state recognized without maturity credit</x:v>
      </x:c>
      <x:c r="E149" s="28" t="n">
        <x:f>IF(OR('Evidence Gates'!I59="OPEN",'Evidence Gates'!I59="PASS",'Evidence Gates'!I59="FAIL"),1,0)</x:f>
        <x:v>1</x:v>
      </x:c>
      <x:c r="F149" s="28" t="n">
        <x:v>1</x:v>
      </x:c>
      <x:c r="G149" s="30" t="str">
        <x:f>IF(E149=F149,"PASS","FAIL")</x:f>
        <x:v>PASS</x:v>
      </x:c>
    </x:row>
    <x:row r="150">
      <x:c r="B150" s="28" t="str">
        <x:v>evidence 054</x:v>
      </x:c>
      <x:c r="C150" s="28" t="str">
        <x:v>evidence</x:v>
      </x:c>
      <x:c r="D150" s="28" t="str">
        <x:v>state recognized without maturity credit</x:v>
      </x:c>
      <x:c r="E150" s="28" t="n">
        <x:f>IF(OR('Evidence Gates'!I60="OPEN",'Evidence Gates'!I60="PASS",'Evidence Gates'!I60="FAIL"),1,0)</x:f>
        <x:v>1</x:v>
      </x:c>
      <x:c r="F150" s="28" t="n">
        <x:v>1</x:v>
      </x:c>
      <x:c r="G150" s="30" t="str">
        <x:f>IF(E150=F150,"PASS","FAIL")</x:f>
        <x:v>PASS</x:v>
      </x:c>
    </x:row>
    <x:row r="151">
      <x:c r="B151" s="28" t="str">
        <x:v>evidence 055</x:v>
      </x:c>
      <x:c r="C151" s="28" t="str">
        <x:v>evidence</x:v>
      </x:c>
      <x:c r="D151" s="28" t="str">
        <x:v>state recognized without maturity credit</x:v>
      </x:c>
      <x:c r="E151" s="28" t="n">
        <x:f>IF(OR('Evidence Gates'!I61="OPEN",'Evidence Gates'!I61="PASS",'Evidence Gates'!I61="FAIL"),1,0)</x:f>
        <x:v>1</x:v>
      </x:c>
      <x:c r="F151" s="28" t="n">
        <x:v>1</x:v>
      </x:c>
      <x:c r="G151" s="30" t="str">
        <x:f>IF(E151=F151,"PASS","FAIL")</x:f>
        <x:v>PASS</x:v>
      </x:c>
    </x:row>
    <x:row r="152">
      <x:c r="B152" s="28" t="str">
        <x:v>evidence 056</x:v>
      </x:c>
      <x:c r="C152" s="28" t="str">
        <x:v>evidence</x:v>
      </x:c>
      <x:c r="D152" s="28" t="str">
        <x:v>state recognized without maturity credit</x:v>
      </x:c>
      <x:c r="E152" s="28" t="n">
        <x:f>IF(OR('Evidence Gates'!I62="OPEN",'Evidence Gates'!I62="PASS",'Evidence Gates'!I62="FAIL"),1,0)</x:f>
        <x:v>1</x:v>
      </x:c>
      <x:c r="F152" s="28" t="n">
        <x:v>1</x:v>
      </x:c>
      <x:c r="G152" s="30" t="str">
        <x:f>IF(E152=F152,"PASS","FAIL")</x:f>
        <x:v>PASS</x:v>
      </x:c>
    </x:row>
    <x:row r="153">
      <x:c r="B153" s="28" t="str">
        <x:v>evidence 057</x:v>
      </x:c>
      <x:c r="C153" s="28" t="str">
        <x:v>evidence</x:v>
      </x:c>
      <x:c r="D153" s="28" t="str">
        <x:v>state recognized without maturity credit</x:v>
      </x:c>
      <x:c r="E153" s="28" t="n">
        <x:f>IF(OR('Evidence Gates'!I63="OPEN",'Evidence Gates'!I63="PASS",'Evidence Gates'!I63="FAIL"),1,0)</x:f>
        <x:v>1</x:v>
      </x:c>
      <x:c r="F153" s="28" t="n">
        <x:v>1</x:v>
      </x:c>
      <x:c r="G153" s="30" t="str">
        <x:f>IF(E153=F153,"PASS","FAIL")</x:f>
        <x:v>PASS</x:v>
      </x:c>
    </x:row>
    <x:row r="154">
      <x:c r="B154" s="28" t="str">
        <x:v>evidence 058</x:v>
      </x:c>
      <x:c r="C154" s="28" t="str">
        <x:v>evidence</x:v>
      </x:c>
      <x:c r="D154" s="28" t="str">
        <x:v>state recognized without maturity credit</x:v>
      </x:c>
      <x:c r="E154" s="28" t="n">
        <x:f>IF(OR('Evidence Gates'!I64="OPEN",'Evidence Gates'!I64="PASS",'Evidence Gates'!I64="FAIL"),1,0)</x:f>
        <x:v>1</x:v>
      </x:c>
      <x:c r="F154" s="28" t="n">
        <x:v>1</x:v>
      </x:c>
      <x:c r="G154" s="30" t="str">
        <x:f>IF(E154=F154,"PASS","FAIL")</x:f>
        <x:v>PASS</x:v>
      </x:c>
    </x:row>
    <x:row r="155">
      <x:c r="B155" s="28" t="str">
        <x:v>evidence 059</x:v>
      </x:c>
      <x:c r="C155" s="28" t="str">
        <x:v>evidence</x:v>
      </x:c>
      <x:c r="D155" s="28" t="str">
        <x:v>state recognized without maturity credit</x:v>
      </x:c>
      <x:c r="E155" s="28" t="n">
        <x:f>IF(OR('Evidence Gates'!I65="OPEN",'Evidence Gates'!I65="PASS",'Evidence Gates'!I65="FAIL"),1,0)</x:f>
        <x:v>1</x:v>
      </x:c>
      <x:c r="F155" s="28" t="n">
        <x:v>1</x:v>
      </x:c>
      <x:c r="G155" s="30" t="str">
        <x:f>IF(E155=F155,"PASS","FAIL")</x:f>
        <x:v>PASS</x:v>
      </x:c>
    </x:row>
    <x:row r="156">
      <x:c r="B156" s="28" t="str">
        <x:v>evidence 060</x:v>
      </x:c>
      <x:c r="C156" s="28" t="str">
        <x:v>evidence</x:v>
      </x:c>
      <x:c r="D156" s="28" t="str">
        <x:v>state recognized without maturity credit</x:v>
      </x:c>
      <x:c r="E156" s="28" t="n">
        <x:f>IF(OR('Evidence Gates'!I66="OPEN",'Evidence Gates'!I66="PASS",'Evidence Gates'!I66="FAIL"),1,0)</x:f>
        <x:v>1</x:v>
      </x:c>
      <x:c r="F156" s="28" t="n">
        <x:v>1</x:v>
      </x:c>
      <x:c r="G156" s="30" t="str">
        <x:f>IF(E156=F156,"PASS","FAIL")</x:f>
        <x:v>PASS</x:v>
      </x:c>
    </x:row>
    <x:row r="157">
      <x:c r="B157" s="28" t="str">
        <x:v>evidence 061</x:v>
      </x:c>
      <x:c r="C157" s="28" t="str">
        <x:v>evidence</x:v>
      </x:c>
      <x:c r="D157" s="28" t="str">
        <x:v>state recognized without maturity credit</x:v>
      </x:c>
      <x:c r="E157" s="28" t="n">
        <x:f>IF(OR('Evidence Gates'!I67="OPEN",'Evidence Gates'!I67="PASS",'Evidence Gates'!I67="FAIL"),1,0)</x:f>
        <x:v>1</x:v>
      </x:c>
      <x:c r="F157" s="28" t="n">
        <x:v>1</x:v>
      </x:c>
      <x:c r="G157" s="30" t="str">
        <x:f>IF(E157=F157,"PASS","FAIL")</x:f>
        <x:v>PASS</x:v>
      </x:c>
    </x:row>
    <x:row r="158">
      <x:c r="B158" s="28" t="str">
        <x:v>evidence 062</x:v>
      </x:c>
      <x:c r="C158" s="28" t="str">
        <x:v>evidence</x:v>
      </x:c>
      <x:c r="D158" s="28" t="str">
        <x:v>state recognized without maturity credit</x:v>
      </x:c>
      <x:c r="E158" s="28" t="n">
        <x:f>IF(OR('Evidence Gates'!I68="OPEN",'Evidence Gates'!I68="PASS",'Evidence Gates'!I68="FAIL"),1,0)</x:f>
        <x:v>1</x:v>
      </x:c>
      <x:c r="F158" s="28" t="n">
        <x:v>1</x:v>
      </x:c>
      <x:c r="G158" s="30" t="str">
        <x:f>IF(E158=F158,"PASS","FAIL")</x:f>
        <x:v>PASS</x:v>
      </x:c>
    </x:row>
    <x:row r="159">
      <x:c r="B159" s="28" t="str">
        <x:v>evidence 063</x:v>
      </x:c>
      <x:c r="C159" s="28" t="str">
        <x:v>evidence</x:v>
      </x:c>
      <x:c r="D159" s="28" t="str">
        <x:v>state recognized without maturity credit</x:v>
      </x:c>
      <x:c r="E159" s="28" t="n">
        <x:f>IF(OR('Evidence Gates'!I69="OPEN",'Evidence Gates'!I69="PASS",'Evidence Gates'!I69="FAIL"),1,0)</x:f>
        <x:v>1</x:v>
      </x:c>
      <x:c r="F159" s="28" t="n">
        <x:v>1</x:v>
      </x:c>
      <x:c r="G159" s="30" t="str">
        <x:f>IF(E159=F159,"PASS","FAIL")</x:f>
        <x:v>PASS</x:v>
      </x:c>
    </x:row>
    <x:row r="160">
      <x:c r="B160" s="28" t="str">
        <x:v>evidence 064</x:v>
      </x:c>
      <x:c r="C160" s="28" t="str">
        <x:v>evidence</x:v>
      </x:c>
      <x:c r="D160" s="28" t="str">
        <x:v>state recognized without maturity credit</x:v>
      </x:c>
      <x:c r="E160" s="28" t="n">
        <x:f>IF(OR('Evidence Gates'!I70="OPEN",'Evidence Gates'!I70="PASS",'Evidence Gates'!I70="FAIL"),1,0)</x:f>
        <x:v>1</x:v>
      </x:c>
      <x:c r="F160" s="28" t="n">
        <x:v>1</x:v>
      </x:c>
      <x:c r="G160" s="30" t="str">
        <x:f>IF(E160=F160,"PASS","FAIL")</x:f>
        <x:v>PASS</x:v>
      </x:c>
    </x:row>
    <x:row r="161">
      <x:c r="B161" s="28" t="str">
        <x:v>evidence 065</x:v>
      </x:c>
      <x:c r="C161" s="28" t="str">
        <x:v>evidence</x:v>
      </x:c>
      <x:c r="D161" s="28" t="str">
        <x:v>state recognized without maturity credit</x:v>
      </x:c>
      <x:c r="E161" s="28" t="n">
        <x:f>IF(OR('Evidence Gates'!I71="OPEN",'Evidence Gates'!I71="PASS",'Evidence Gates'!I71="FAIL"),1,0)</x:f>
        <x:v>1</x:v>
      </x:c>
      <x:c r="F161" s="28" t="n">
        <x:v>1</x:v>
      </x:c>
      <x:c r="G161" s="30" t="str">
        <x:f>IF(E161=F161,"PASS","FAIL")</x:f>
        <x:v>PASS</x:v>
      </x:c>
    </x:row>
    <x:row r="162">
      <x:c r="B162" s="28" t="str">
        <x:v>evidence 066</x:v>
      </x:c>
      <x:c r="C162" s="28" t="str">
        <x:v>evidence</x:v>
      </x:c>
      <x:c r="D162" s="28" t="str">
        <x:v>state recognized without maturity credit</x:v>
      </x:c>
      <x:c r="E162" s="28" t="n">
        <x:f>IF(OR('Evidence Gates'!I72="OPEN",'Evidence Gates'!I72="PASS",'Evidence Gates'!I72="FAIL"),1,0)</x:f>
        <x:v>1</x:v>
      </x:c>
      <x:c r="F162" s="28" t="n">
        <x:v>1</x:v>
      </x:c>
      <x:c r="G162" s="30" t="str">
        <x:f>IF(E162=F162,"PASS","FAIL")</x:f>
        <x:v>PASS</x:v>
      </x:c>
    </x:row>
    <x:row r="163">
      <x:c r="B163" s="28" t="str">
        <x:v>evidence 067</x:v>
      </x:c>
      <x:c r="C163" s="28" t="str">
        <x:v>evidence</x:v>
      </x:c>
      <x:c r="D163" s="28" t="str">
        <x:v>state recognized without maturity credit</x:v>
      </x:c>
      <x:c r="E163" s="28" t="n">
        <x:f>IF(OR('Evidence Gates'!I73="OPEN",'Evidence Gates'!I73="PASS",'Evidence Gates'!I73="FAIL"),1,0)</x:f>
        <x:v>1</x:v>
      </x:c>
      <x:c r="F163" s="28" t="n">
        <x:v>1</x:v>
      </x:c>
      <x:c r="G163" s="30" t="str">
        <x:f>IF(E163=F163,"PASS","FAIL")</x:f>
        <x:v>PASS</x:v>
      </x:c>
    </x:row>
    <x:row r="164">
      <x:c r="B164" s="28" t="str">
        <x:v>evidence 068</x:v>
      </x:c>
      <x:c r="C164" s="28" t="str">
        <x:v>evidence</x:v>
      </x:c>
      <x:c r="D164" s="28" t="str">
        <x:v>state recognized without maturity credit</x:v>
      </x:c>
      <x:c r="E164" s="28" t="n">
        <x:f>IF(OR('Evidence Gates'!I74="OPEN",'Evidence Gates'!I74="PASS",'Evidence Gates'!I74="FAIL"),1,0)</x:f>
        <x:v>1</x:v>
      </x:c>
      <x:c r="F164" s="28" t="n">
        <x:v>1</x:v>
      </x:c>
      <x:c r="G164" s="30" t="str">
        <x:f>IF(E164=F164,"PASS","FAIL")</x:f>
        <x:v>PASS</x:v>
      </x:c>
    </x:row>
    <x:row r="165">
      <x:c r="B165" s="28" t="str">
        <x:v>evidence 069</x:v>
      </x:c>
      <x:c r="C165" s="28" t="str">
        <x:v>evidence</x:v>
      </x:c>
      <x:c r="D165" s="28" t="str">
        <x:v>state recognized without maturity credit</x:v>
      </x:c>
      <x:c r="E165" s="28" t="n">
        <x:f>IF(OR('Evidence Gates'!I75="OPEN",'Evidence Gates'!I75="PASS",'Evidence Gates'!I75="FAIL"),1,0)</x:f>
        <x:v>1</x:v>
      </x:c>
      <x:c r="F165" s="28" t="n">
        <x:v>1</x:v>
      </x:c>
      <x:c r="G165" s="30" t="str">
        <x:f>IF(E165=F165,"PASS","FAIL")</x:f>
        <x:v>PASS</x:v>
      </x:c>
    </x:row>
    <x:row r="166">
      <x:c r="B166" s="28" t="str">
        <x:v>evidence 070</x:v>
      </x:c>
      <x:c r="C166" s="28" t="str">
        <x:v>evidence</x:v>
      </x:c>
      <x:c r="D166" s="28" t="str">
        <x:v>state recognized without maturity credit</x:v>
      </x:c>
      <x:c r="E166" s="28" t="n">
        <x:f>IF(OR('Evidence Gates'!I76="OPEN",'Evidence Gates'!I76="PASS",'Evidence Gates'!I76="FAIL"),1,0)</x:f>
        <x:v>1</x:v>
      </x:c>
      <x:c r="F166" s="28" t="n">
        <x:v>1</x:v>
      </x:c>
      <x:c r="G166" s="30" t="str">
        <x:f>IF(E166=F166,"PASS","FAIL")</x:f>
        <x:v>PASS</x:v>
      </x:c>
    </x:row>
    <x:row r="167">
      <x:c r="B167" s="28" t="str">
        <x:v>evidence 071</x:v>
      </x:c>
      <x:c r="C167" s="28" t="str">
        <x:v>evidence</x:v>
      </x:c>
      <x:c r="D167" s="28" t="str">
        <x:v>state recognized without maturity credit</x:v>
      </x:c>
      <x:c r="E167" s="28" t="n">
        <x:f>IF(OR('Evidence Gates'!I77="OPEN",'Evidence Gates'!I77="PASS",'Evidence Gates'!I77="FAIL"),1,0)</x:f>
        <x:v>1</x:v>
      </x:c>
      <x:c r="F167" s="28" t="n">
        <x:v>1</x:v>
      </x:c>
      <x:c r="G167" s="30" t="str">
        <x:f>IF(E167=F167,"PASS","FAIL")</x:f>
        <x:v>PASS</x:v>
      </x:c>
    </x:row>
    <x:row r="168">
      <x:c r="B168" s="28" t="str">
        <x:v>evidence 072</x:v>
      </x:c>
      <x:c r="C168" s="28" t="str">
        <x:v>evidence</x:v>
      </x:c>
      <x:c r="D168" s="28" t="str">
        <x:v>state recognized without maturity credit</x:v>
      </x:c>
      <x:c r="E168" s="28" t="n">
        <x:f>IF(OR('Evidence Gates'!I78="OPEN",'Evidence Gates'!I78="PASS",'Evidence Gates'!I78="FAIL"),1,0)</x:f>
        <x:v>1</x:v>
      </x:c>
      <x:c r="F168" s="28" t="n">
        <x:v>1</x:v>
      </x:c>
      <x:c r="G168" s="30" t="str">
        <x:f>IF(E168=F168,"PASS","FAIL")</x:f>
        <x:v>PASS</x:v>
      </x:c>
    </x:row>
    <x:row r="169">
      <x:c r="B169" s="28" t="str">
        <x:v>evidence 073</x:v>
      </x:c>
      <x:c r="C169" s="28" t="str">
        <x:v>evidence</x:v>
      </x:c>
      <x:c r="D169" s="28" t="str">
        <x:v>state recognized without maturity credit</x:v>
      </x:c>
      <x:c r="E169" s="28" t="n">
        <x:f>IF(OR('Evidence Gates'!I79="OPEN",'Evidence Gates'!I79="PASS",'Evidence Gates'!I79="FAIL"),1,0)</x:f>
        <x:v>1</x:v>
      </x:c>
      <x:c r="F169" s="28" t="n">
        <x:v>1</x:v>
      </x:c>
      <x:c r="G169" s="30" t="str">
        <x:f>IF(E169=F169,"PASS","FAIL")</x:f>
        <x:v>PASS</x:v>
      </x:c>
    </x:row>
    <x:row r="170">
      <x:c r="B170" s="28" t="str">
        <x:v>evidence 074</x:v>
      </x:c>
      <x:c r="C170" s="28" t="str">
        <x:v>evidence</x:v>
      </x:c>
      <x:c r="D170" s="28" t="str">
        <x:v>state recognized without maturity credit</x:v>
      </x:c>
      <x:c r="E170" s="28" t="n">
        <x:f>IF(OR('Evidence Gates'!I80="OPEN",'Evidence Gates'!I80="PASS",'Evidence Gates'!I80="FAIL"),1,0)</x:f>
        <x:v>1</x:v>
      </x:c>
      <x:c r="F170" s="28" t="n">
        <x:v>1</x:v>
      </x:c>
      <x:c r="G170" s="30" t="str">
        <x:f>IF(E170=F170,"PASS","FAIL")</x:f>
        <x:v>PASS</x:v>
      </x:c>
    </x:row>
    <x:row r="171">
      <x:c r="B171" s="28" t="str">
        <x:v>evidence 075</x:v>
      </x:c>
      <x:c r="C171" s="28" t="str">
        <x:v>evidence</x:v>
      </x:c>
      <x:c r="D171" s="28" t="str">
        <x:v>state recognized without maturity credit</x:v>
      </x:c>
      <x:c r="E171" s="28" t="n">
        <x:f>IF(OR('Evidence Gates'!I81="OPEN",'Evidence Gates'!I81="PASS",'Evidence Gates'!I81="FAIL"),1,0)</x:f>
        <x:v>1</x:v>
      </x:c>
      <x:c r="F171" s="28" t="n">
        <x:v>1</x:v>
      </x:c>
      <x:c r="G171" s="30" t="str">
        <x:f>IF(E171=F171,"PASS","FAIL")</x:f>
        <x:v>PASS</x:v>
      </x:c>
    </x:row>
    <x:row r="172">
      <x:c r="B172" s="28" t="str">
        <x:v>evidence 076</x:v>
      </x:c>
      <x:c r="C172" s="28" t="str">
        <x:v>evidence</x:v>
      </x:c>
      <x:c r="D172" s="28" t="str">
        <x:v>state recognized without maturity credit</x:v>
      </x:c>
      <x:c r="E172" s="28" t="n">
        <x:f>IF(OR('Evidence Gates'!I82="OPEN",'Evidence Gates'!I82="PASS",'Evidence Gates'!I82="FAIL"),1,0)</x:f>
        <x:v>1</x:v>
      </x:c>
      <x:c r="F172" s="28" t="n">
        <x:v>1</x:v>
      </x:c>
      <x:c r="G172" s="30" t="str">
        <x:f>IF(E172=F172,"PASS","FAIL")</x:f>
        <x:v>PASS</x:v>
      </x:c>
    </x:row>
    <x:row r="173">
      <x:c r="B173" s="28" t="str">
        <x:v>evidence 077</x:v>
      </x:c>
      <x:c r="C173" s="28" t="str">
        <x:v>evidence</x:v>
      </x:c>
      <x:c r="D173" s="28" t="str">
        <x:v>state recognized without maturity credit</x:v>
      </x:c>
      <x:c r="E173" s="28" t="n">
        <x:f>IF(OR('Evidence Gates'!I83="OPEN",'Evidence Gates'!I83="PASS",'Evidence Gates'!I83="FAIL"),1,0)</x:f>
        <x:v>1</x:v>
      </x:c>
      <x:c r="F173" s="28" t="n">
        <x:v>1</x:v>
      </x:c>
      <x:c r="G173" s="30" t="str">
        <x:f>IF(E173=F173,"PASS","FAIL")</x:f>
        <x:v>PASS</x:v>
      </x:c>
    </x:row>
    <x:row r="174">
      <x:c r="B174" s="28" t="str">
        <x:v>evidence 078</x:v>
      </x:c>
      <x:c r="C174" s="28" t="str">
        <x:v>evidence</x:v>
      </x:c>
      <x:c r="D174" s="28" t="str">
        <x:v>state recognized without maturity credit</x:v>
      </x:c>
      <x:c r="E174" s="28" t="n">
        <x:f>IF(OR('Evidence Gates'!I84="OPEN",'Evidence Gates'!I84="PASS",'Evidence Gates'!I84="FAIL"),1,0)</x:f>
        <x:v>1</x:v>
      </x:c>
      <x:c r="F174" s="28" t="n">
        <x:v>1</x:v>
      </x:c>
      <x:c r="G174" s="30" t="str">
        <x:f>IF(E174=F174,"PASS","FAIL")</x:f>
        <x:v>PASS</x:v>
      </x:c>
    </x:row>
    <x:row r="175">
      <x:c r="B175" s="28" t="str">
        <x:v>evidence 079</x:v>
      </x:c>
      <x:c r="C175" s="28" t="str">
        <x:v>evidence</x:v>
      </x:c>
      <x:c r="D175" s="28" t="str">
        <x:v>state recognized without maturity credit</x:v>
      </x:c>
      <x:c r="E175" s="28" t="n">
        <x:f>IF(OR('Evidence Gates'!I85="OPEN",'Evidence Gates'!I85="PASS",'Evidence Gates'!I85="FAIL"),1,0)</x:f>
        <x:v>1</x:v>
      </x:c>
      <x:c r="F175" s="28" t="n">
        <x:v>1</x:v>
      </x:c>
      <x:c r="G175" s="30" t="str">
        <x:f>IF(E175=F175,"PASS","FAIL")</x:f>
        <x:v>PASS</x:v>
      </x:c>
    </x:row>
    <x:row r="176">
      <x:c r="B176" s="28" t="str">
        <x:v>evidence 080</x:v>
      </x:c>
      <x:c r="C176" s="28" t="str">
        <x:v>evidence</x:v>
      </x:c>
      <x:c r="D176" s="28" t="str">
        <x:v>state recognized without maturity credit</x:v>
      </x:c>
      <x:c r="E176" s="28" t="n">
        <x:f>IF(OR('Evidence Gates'!I86="OPEN",'Evidence Gates'!I86="PASS",'Evidence Gates'!I86="FAIL"),1,0)</x:f>
        <x:v>1</x:v>
      </x:c>
      <x:c r="F176" s="28" t="n">
        <x:v>1</x:v>
      </x:c>
      <x:c r="G176" s="30" t="str">
        <x:f>IF(E176=F176,"PASS","FAIL")</x:f>
        <x:v>PASS</x:v>
      </x:c>
    </x:row>
    <x:row r="177">
      <x:c r="B177" s="28" t="str">
        <x:v>evidence 081</x:v>
      </x:c>
      <x:c r="C177" s="28" t="str">
        <x:v>evidence</x:v>
      </x:c>
      <x:c r="D177" s="28" t="str">
        <x:v>state recognized without maturity credit</x:v>
      </x:c>
      <x:c r="E177" s="28" t="n">
        <x:f>IF(OR('Evidence Gates'!I87="OPEN",'Evidence Gates'!I87="PASS",'Evidence Gates'!I87="FAIL"),1,0)</x:f>
        <x:v>1</x:v>
      </x:c>
      <x:c r="F177" s="28" t="n">
        <x:v>1</x:v>
      </x:c>
      <x:c r="G177" s="30" t="str">
        <x:f>IF(E177=F177,"PASS","FAIL")</x:f>
        <x:v>PASS</x:v>
      </x:c>
    </x:row>
    <x:row r="178">
      <x:c r="B178" s="28" t="str">
        <x:v>evidence 082</x:v>
      </x:c>
      <x:c r="C178" s="28" t="str">
        <x:v>evidence</x:v>
      </x:c>
      <x:c r="D178" s="28" t="str">
        <x:v>state recognized without maturity credit</x:v>
      </x:c>
      <x:c r="E178" s="28" t="n">
        <x:f>IF(OR('Evidence Gates'!I88="OPEN",'Evidence Gates'!I88="PASS",'Evidence Gates'!I88="FAIL"),1,0)</x:f>
        <x:v>1</x:v>
      </x:c>
      <x:c r="F178" s="28" t="n">
        <x:v>1</x:v>
      </x:c>
      <x:c r="G178" s="30" t="str">
        <x:f>IF(E178=F178,"PASS","FAIL")</x:f>
        <x:v>PASS</x:v>
      </x:c>
    </x:row>
    <x:row r="179">
      <x:c r="B179" s="28" t="str">
        <x:v>evidence 083</x:v>
      </x:c>
      <x:c r="C179" s="28" t="str">
        <x:v>evidence</x:v>
      </x:c>
      <x:c r="D179" s="28" t="str">
        <x:v>state recognized without maturity credit</x:v>
      </x:c>
      <x:c r="E179" s="28" t="n">
        <x:f>IF(OR('Evidence Gates'!I89="OPEN",'Evidence Gates'!I89="PASS",'Evidence Gates'!I89="FAIL"),1,0)</x:f>
        <x:v>1</x:v>
      </x:c>
      <x:c r="F179" s="28" t="n">
        <x:v>1</x:v>
      </x:c>
      <x:c r="G179" s="30" t="str">
        <x:f>IF(E179=F179,"PASS","FAIL")</x:f>
        <x:v>PASS</x:v>
      </x:c>
    </x:row>
    <x:row r="180">
      <x:c r="B180" s="28" t="str">
        <x:v>evidence 084</x:v>
      </x:c>
      <x:c r="C180" s="28" t="str">
        <x:v>evidence</x:v>
      </x:c>
      <x:c r="D180" s="28" t="str">
        <x:v>state recognized without maturity credit</x:v>
      </x:c>
      <x:c r="E180" s="28" t="n">
        <x:f>IF(OR('Evidence Gates'!I90="OPEN",'Evidence Gates'!I90="PASS",'Evidence Gates'!I90="FAIL"),1,0)</x:f>
        <x:v>1</x:v>
      </x:c>
      <x:c r="F180" s="28" t="n">
        <x:v>1</x:v>
      </x:c>
      <x:c r="G180" s="30" t="str">
        <x:f>IF(E180=F180,"PASS","FAIL")</x:f>
        <x:v>PASS</x:v>
      </x:c>
    </x:row>
    <x:row r="181">
      <x:c r="B181" s="28" t="str">
        <x:v>evidence 085</x:v>
      </x:c>
      <x:c r="C181" s="28" t="str">
        <x:v>evidence</x:v>
      </x:c>
      <x:c r="D181" s="28" t="str">
        <x:v>state recognized without maturity credit</x:v>
      </x:c>
      <x:c r="E181" s="28" t="n">
        <x:f>IF(OR('Evidence Gates'!I91="OPEN",'Evidence Gates'!I91="PASS",'Evidence Gates'!I91="FAIL"),1,0)</x:f>
        <x:v>1</x:v>
      </x:c>
      <x:c r="F181" s="28" t="n">
        <x:v>1</x:v>
      </x:c>
      <x:c r="G181" s="30" t="str">
        <x:f>IF(E181=F181,"PASS","FAIL")</x:f>
        <x:v>PASS</x:v>
      </x:c>
    </x:row>
    <x:row r="182">
      <x:c r="B182" s="28" t="str">
        <x:v>evidence 086</x:v>
      </x:c>
      <x:c r="C182" s="28" t="str">
        <x:v>evidence</x:v>
      </x:c>
      <x:c r="D182" s="28" t="str">
        <x:v>state recognized without maturity credit</x:v>
      </x:c>
      <x:c r="E182" s="28" t="n">
        <x:f>IF(OR('Evidence Gates'!I92="OPEN",'Evidence Gates'!I92="PASS",'Evidence Gates'!I92="FAIL"),1,0)</x:f>
        <x:v>1</x:v>
      </x:c>
      <x:c r="F182" s="28" t="n">
        <x:v>1</x:v>
      </x:c>
      <x:c r="G182" s="30" t="str">
        <x:f>IF(E182=F182,"PASS","FAIL")</x:f>
        <x:v>PASS</x:v>
      </x:c>
    </x:row>
    <x:row r="183">
      <x:c r="B183" s="28" t="str">
        <x:v>evidence 087</x:v>
      </x:c>
      <x:c r="C183" s="28" t="str">
        <x:v>evidence</x:v>
      </x:c>
      <x:c r="D183" s="28" t="str">
        <x:v>state recognized without maturity credit</x:v>
      </x:c>
      <x:c r="E183" s="28" t="n">
        <x:f>IF(OR('Evidence Gates'!I93="OPEN",'Evidence Gates'!I93="PASS",'Evidence Gates'!I93="FAIL"),1,0)</x:f>
        <x:v>1</x:v>
      </x:c>
      <x:c r="F183" s="28" t="n">
        <x:v>1</x:v>
      </x:c>
      <x:c r="G183" s="30" t="str">
        <x:f>IF(E183=F183,"PASS","FAIL")</x:f>
        <x:v>PASS</x:v>
      </x:c>
    </x:row>
    <x:row r="184">
      <x:c r="B184" s="28" t="str">
        <x:v>evidence 088</x:v>
      </x:c>
      <x:c r="C184" s="28" t="str">
        <x:v>evidence</x:v>
      </x:c>
      <x:c r="D184" s="28" t="str">
        <x:v>state recognized without maturity credit</x:v>
      </x:c>
      <x:c r="E184" s="28" t="n">
        <x:f>IF(OR('Evidence Gates'!I94="OPEN",'Evidence Gates'!I94="PASS",'Evidence Gates'!I94="FAIL"),1,0)</x:f>
        <x:v>1</x:v>
      </x:c>
      <x:c r="F184" s="28" t="n">
        <x:v>1</x:v>
      </x:c>
      <x:c r="G184" s="30" t="str">
        <x:f>IF(E184=F184,"PASS","FAIL")</x:f>
        <x:v>PASS</x:v>
      </x:c>
    </x:row>
    <x:row r="185">
      <x:c r="B185" s="28" t="str">
        <x:v>evidence 089</x:v>
      </x:c>
      <x:c r="C185" s="28" t="str">
        <x:v>evidence</x:v>
      </x:c>
      <x:c r="D185" s="28" t="str">
        <x:v>state recognized without maturity credit</x:v>
      </x:c>
      <x:c r="E185" s="28" t="n">
        <x:f>IF(OR('Evidence Gates'!I95="OPEN",'Evidence Gates'!I95="PASS",'Evidence Gates'!I95="FAIL"),1,0)</x:f>
        <x:v>1</x:v>
      </x:c>
      <x:c r="F185" s="28" t="n">
        <x:v>1</x:v>
      </x:c>
      <x:c r="G185" s="30" t="str">
        <x:f>IF(E185=F185,"PASS","FAIL")</x:f>
        <x:v>PASS</x:v>
      </x:c>
    </x:row>
    <x:row r="186">
      <x:c r="B186" s="28" t="str">
        <x:v>evidence 090</x:v>
      </x:c>
      <x:c r="C186" s="28" t="str">
        <x:v>evidence</x:v>
      </x:c>
      <x:c r="D186" s="28" t="str">
        <x:v>state recognized without maturity credit</x:v>
      </x:c>
      <x:c r="E186" s="28" t="n">
        <x:f>IF(OR('Evidence Gates'!I96="OPEN",'Evidence Gates'!I96="PASS",'Evidence Gates'!I96="FAIL"),1,0)</x:f>
        <x:v>1</x:v>
      </x:c>
      <x:c r="F186" s="28" t="n">
        <x:v>1</x:v>
      </x:c>
      <x:c r="G186" s="30" t="str">
        <x:f>IF(E186=F186,"PASS","FAIL")</x:f>
        <x:v>PASS</x:v>
      </x:c>
    </x:row>
    <x:row r="187">
      <x:c r="B187" s="28" t="str">
        <x:v>evidence 091</x:v>
      </x:c>
      <x:c r="C187" s="28" t="str">
        <x:v>evidence</x:v>
      </x:c>
      <x:c r="D187" s="28" t="str">
        <x:v>state recognized without maturity credit</x:v>
      </x:c>
      <x:c r="E187" s="28" t="n">
        <x:f>IF(OR('Evidence Gates'!I97="OPEN",'Evidence Gates'!I97="PASS",'Evidence Gates'!I97="FAIL"),1,0)</x:f>
        <x:v>1</x:v>
      </x:c>
      <x:c r="F187" s="28" t="n">
        <x:v>1</x:v>
      </x:c>
      <x:c r="G187" s="30" t="str">
        <x:f>IF(E187=F187,"PASS","FAIL")</x:f>
        <x:v>PASS</x:v>
      </x:c>
    </x:row>
    <x:row r="188">
      <x:c r="B188" s="28" t="str">
        <x:v>evidence 092</x:v>
      </x:c>
      <x:c r="C188" s="28" t="str">
        <x:v>evidence</x:v>
      </x:c>
      <x:c r="D188" s="28" t="str">
        <x:v>state recognized without maturity credit</x:v>
      </x:c>
      <x:c r="E188" s="28" t="n">
        <x:f>IF(OR('Evidence Gates'!I98="OPEN",'Evidence Gates'!I98="PASS",'Evidence Gates'!I98="FAIL"),1,0)</x:f>
        <x:v>1</x:v>
      </x:c>
      <x:c r="F188" s="28" t="n">
        <x:v>1</x:v>
      </x:c>
      <x:c r="G188" s="30" t="str">
        <x:f>IF(E188=F188,"PASS","FAIL")</x:f>
        <x:v>PASS</x:v>
      </x:c>
    </x:row>
    <x:row r="189">
      <x:c r="B189" s="28" t="str">
        <x:v>evidence 093</x:v>
      </x:c>
      <x:c r="C189" s="28" t="str">
        <x:v>evidence</x:v>
      </x:c>
      <x:c r="D189" s="28" t="str">
        <x:v>state recognized without maturity credit</x:v>
      </x:c>
      <x:c r="E189" s="28" t="n">
        <x:f>IF(OR('Evidence Gates'!I99="OPEN",'Evidence Gates'!I99="PASS",'Evidence Gates'!I99="FAIL"),1,0)</x:f>
        <x:v>1</x:v>
      </x:c>
      <x:c r="F189" s="28" t="n">
        <x:v>1</x:v>
      </x:c>
      <x:c r="G189" s="30" t="str">
        <x:f>IF(E189=F189,"PASS","FAIL")</x:f>
        <x:v>PASS</x:v>
      </x:c>
    </x:row>
    <x:row r="190">
      <x:c r="B190" s="28" t="str">
        <x:v>evidence 094</x:v>
      </x:c>
      <x:c r="C190" s="28" t="str">
        <x:v>evidence</x:v>
      </x:c>
      <x:c r="D190" s="28" t="str">
        <x:v>state recognized without maturity credit</x:v>
      </x:c>
      <x:c r="E190" s="28" t="n">
        <x:f>IF(OR('Evidence Gates'!I100="OPEN",'Evidence Gates'!I100="PASS",'Evidence Gates'!I100="FAIL"),1,0)</x:f>
        <x:v>1</x:v>
      </x:c>
      <x:c r="F190" s="28" t="n">
        <x:v>1</x:v>
      </x:c>
      <x:c r="G190" s="30" t="str">
        <x:f>IF(E190=F190,"PASS","FAIL")</x:f>
        <x:v>PASS</x:v>
      </x:c>
    </x:row>
    <x:row r="191">
      <x:c r="B191" s="28" t="str">
        <x:v>evidence 095</x:v>
      </x:c>
      <x:c r="C191" s="28" t="str">
        <x:v>evidence</x:v>
      </x:c>
      <x:c r="D191" s="28" t="str">
        <x:v>state recognized without maturity credit</x:v>
      </x:c>
      <x:c r="E191" s="28" t="n">
        <x:f>IF(OR('Evidence Gates'!I101="OPEN",'Evidence Gates'!I101="PASS",'Evidence Gates'!I101="FAIL"),1,0)</x:f>
        <x:v>1</x:v>
      </x:c>
      <x:c r="F191" s="28" t="n">
        <x:v>1</x:v>
      </x:c>
      <x:c r="G191" s="30" t="str">
        <x:f>IF(E191=F191,"PASS","FAIL")</x:f>
        <x:v>PASS</x:v>
      </x:c>
    </x:row>
    <x:row r="192">
      <x:c r="B192" s="28" t="str">
        <x:v>evidence 096</x:v>
      </x:c>
      <x:c r="C192" s="28" t="str">
        <x:v>evidence</x:v>
      </x:c>
      <x:c r="D192" s="28" t="str">
        <x:v>state recognized without maturity credit</x:v>
      </x:c>
      <x:c r="E192" s="28" t="n">
        <x:f>IF(OR('Evidence Gates'!I102="OPEN",'Evidence Gates'!I102="PASS",'Evidence Gates'!I102="FAIL"),1,0)</x:f>
        <x:v>1</x:v>
      </x:c>
      <x:c r="F192" s="28" t="n">
        <x:v>1</x:v>
      </x:c>
      <x:c r="G192" s="30" t="str">
        <x:f>IF(E192=F192,"PASS","FAIL")</x:f>
        <x:v>PASS</x:v>
      </x:c>
    </x:row>
    <x:row r="193">
      <x:c r="B193" s="28" t="str">
        <x:v>evidence 097</x:v>
      </x:c>
      <x:c r="C193" s="28" t="str">
        <x:v>evidence</x:v>
      </x:c>
      <x:c r="D193" s="28" t="str">
        <x:v>state recognized without maturity credit</x:v>
      </x:c>
      <x:c r="E193" s="28" t="n">
        <x:f>IF(OR('Evidence Gates'!I103="OPEN",'Evidence Gates'!I103="PASS",'Evidence Gates'!I103="FAIL"),1,0)</x:f>
        <x:v>1</x:v>
      </x:c>
      <x:c r="F193" s="28" t="n">
        <x:v>1</x:v>
      </x:c>
      <x:c r="G193" s="30" t="str">
        <x:f>IF(E193=F193,"PASS","FAIL")</x:f>
        <x:v>PASS</x:v>
      </x:c>
    </x:row>
    <x:row r="194">
      <x:c r="B194" s="28" t="str">
        <x:v>evidence 098</x:v>
      </x:c>
      <x:c r="C194" s="28" t="str">
        <x:v>evidence</x:v>
      </x:c>
      <x:c r="D194" s="28" t="str">
        <x:v>state recognized without maturity credit</x:v>
      </x:c>
      <x:c r="E194" s="28" t="n">
        <x:f>IF(OR('Evidence Gates'!I104="OPEN",'Evidence Gates'!I104="PASS",'Evidence Gates'!I104="FAIL"),1,0)</x:f>
        <x:v>1</x:v>
      </x:c>
      <x:c r="F194" s="28" t="n">
        <x:v>1</x:v>
      </x:c>
      <x:c r="G194" s="30" t="str">
        <x:f>IF(E194=F194,"PASS","FAIL")</x:f>
        <x:v>PASS</x:v>
      </x:c>
    </x:row>
    <x:row r="195">
      <x:c r="B195" s="28" t="str">
        <x:v>evidence 099</x:v>
      </x:c>
      <x:c r="C195" s="28" t="str">
        <x:v>evidence</x:v>
      </x:c>
      <x:c r="D195" s="28" t="str">
        <x:v>state recognized without maturity credit</x:v>
      </x:c>
      <x:c r="E195" s="28" t="n">
        <x:f>IF(OR('Evidence Gates'!I105="OPEN",'Evidence Gates'!I105="PASS",'Evidence Gates'!I105="FAIL"),1,0)</x:f>
        <x:v>1</x:v>
      </x:c>
      <x:c r="F195" s="28" t="n">
        <x:v>1</x:v>
      </x:c>
      <x:c r="G195" s="30" t="str">
        <x:f>IF(E195=F195,"PASS","FAIL")</x:f>
        <x:v>PASS</x:v>
      </x:c>
    </x:row>
    <x:row r="196">
      <x:c r="B196" s="28" t="str">
        <x:v>evidence 100</x:v>
      </x:c>
      <x:c r="C196" s="28" t="str">
        <x:v>evidence</x:v>
      </x:c>
      <x:c r="D196" s="28" t="str">
        <x:v>state recognized without maturity credit</x:v>
      </x:c>
      <x:c r="E196" s="28" t="n">
        <x:f>IF(OR('Evidence Gates'!I106="OPEN",'Evidence Gates'!I106="PASS",'Evidence Gates'!I106="FAIL"),1,0)</x:f>
        <x:v>1</x:v>
      </x:c>
      <x:c r="F196" s="28" t="n">
        <x:v>1</x:v>
      </x:c>
      <x:c r="G196" s="30" t="str">
        <x:f>IF(E196=F196,"PASS","FAIL")</x:f>
        <x:v>PASS</x:v>
      </x:c>
    </x:row>
    <x:row r="197">
      <x:c r="B197" s="28" t="str">
        <x:v>evidence 101</x:v>
      </x:c>
      <x:c r="C197" s="28" t="str">
        <x:v>evidence</x:v>
      </x:c>
      <x:c r="D197" s="28" t="str">
        <x:v>state recognized without maturity credit</x:v>
      </x:c>
      <x:c r="E197" s="28" t="n">
        <x:f>IF(OR('Evidence Gates'!I107="OPEN",'Evidence Gates'!I107="PASS",'Evidence Gates'!I107="FAIL"),1,0)</x:f>
        <x:v>1</x:v>
      </x:c>
      <x:c r="F197" s="28" t="n">
        <x:v>1</x:v>
      </x:c>
      <x:c r="G197" s="30" t="str">
        <x:f>IF(E197=F197,"PASS","FAIL")</x:f>
        <x:v>PASS</x:v>
      </x:c>
    </x:row>
    <x:row r="198">
      <x:c r="B198" s="28" t="str">
        <x:v>evidence 102</x:v>
      </x:c>
      <x:c r="C198" s="28" t="str">
        <x:v>evidence</x:v>
      </x:c>
      <x:c r="D198" s="28" t="str">
        <x:v>state recognized without maturity credit</x:v>
      </x:c>
      <x:c r="E198" s="28" t="n">
        <x:f>IF(OR('Evidence Gates'!I108="OPEN",'Evidence Gates'!I108="PASS",'Evidence Gates'!I108="FAIL"),1,0)</x:f>
        <x:v>1</x:v>
      </x:c>
      <x:c r="F198" s="28" t="n">
        <x:v>1</x:v>
      </x:c>
      <x:c r="G198" s="30" t="str">
        <x:f>IF(E198=F198,"PASS","FAIL")</x:f>
        <x:v>PASS</x:v>
      </x:c>
    </x:row>
    <x:row r="199">
      <x:c r="B199" s="28" t="str">
        <x:v>evidence 103</x:v>
      </x:c>
      <x:c r="C199" s="28" t="str">
        <x:v>evidence</x:v>
      </x:c>
      <x:c r="D199" s="28" t="str">
        <x:v>state recognized without maturity credit</x:v>
      </x:c>
      <x:c r="E199" s="28" t="n">
        <x:f>IF(OR('Evidence Gates'!I109="OPEN",'Evidence Gates'!I109="PASS",'Evidence Gates'!I109="FAIL"),1,0)</x:f>
        <x:v>1</x:v>
      </x:c>
      <x:c r="F199" s="28" t="n">
        <x:v>1</x:v>
      </x:c>
      <x:c r="G199" s="30" t="str">
        <x:f>IF(E199=F199,"PASS","FAIL")</x:f>
        <x:v>PASS</x:v>
      </x:c>
    </x:row>
    <x:row r="200">
      <x:c r="B200" s="28" t="str">
        <x:v>evidence 104</x:v>
      </x:c>
      <x:c r="C200" s="28" t="str">
        <x:v>evidence</x:v>
      </x:c>
      <x:c r="D200" s="28" t="str">
        <x:v>state recognized without maturity credit</x:v>
      </x:c>
      <x:c r="E200" s="28" t="n">
        <x:f>IF(OR('Evidence Gates'!I110="OPEN",'Evidence Gates'!I110="PASS",'Evidence Gates'!I110="FAIL"),1,0)</x:f>
        <x:v>1</x:v>
      </x:c>
      <x:c r="F200" s="28" t="n">
        <x:v>1</x:v>
      </x:c>
      <x:c r="G200" s="30" t="str">
        <x:f>IF(E200=F200,"PASS","FAIL")</x:f>
        <x:v>PASS</x:v>
      </x:c>
    </x:row>
    <x:row r="201">
      <x:c r="B201" s="28" t="str">
        <x:v>evidence 105</x:v>
      </x:c>
      <x:c r="C201" s="28" t="str">
        <x:v>evidence</x:v>
      </x:c>
      <x:c r="D201" s="28" t="str">
        <x:v>state recognized without maturity credit</x:v>
      </x:c>
      <x:c r="E201" s="28" t="n">
        <x:f>IF(OR('Evidence Gates'!I111="OPEN",'Evidence Gates'!I111="PASS",'Evidence Gates'!I111="FAIL"),1,0)</x:f>
        <x:v>1</x:v>
      </x:c>
      <x:c r="F201" s="28" t="n">
        <x:v>1</x:v>
      </x:c>
      <x:c r="G201" s="30" t="str">
        <x:f>IF(E201=F201,"PASS","FAIL")</x:f>
        <x:v>PASS</x:v>
      </x:c>
    </x:row>
    <x:row r="202">
      <x:c r="B202" s="28" t="str">
        <x:v>evidence 106</x:v>
      </x:c>
      <x:c r="C202" s="28" t="str">
        <x:v>evidence</x:v>
      </x:c>
      <x:c r="D202" s="28" t="str">
        <x:v>state recognized without maturity credit</x:v>
      </x:c>
      <x:c r="E202" s="28" t="n">
        <x:f>IF(OR('Evidence Gates'!I112="OPEN",'Evidence Gates'!I112="PASS",'Evidence Gates'!I112="FAIL"),1,0)</x:f>
        <x:v>1</x:v>
      </x:c>
      <x:c r="F202" s="28" t="n">
        <x:v>1</x:v>
      </x:c>
      <x:c r="G202" s="30" t="str">
        <x:f>IF(E202=F202,"PASS","FAIL")</x:f>
        <x:v>PASS</x:v>
      </x:c>
    </x:row>
    <x:row r="203">
      <x:c r="B203" s="28" t="str">
        <x:v>evidence 107</x:v>
      </x:c>
      <x:c r="C203" s="28" t="str">
        <x:v>evidence</x:v>
      </x:c>
      <x:c r="D203" s="28" t="str">
        <x:v>state recognized without maturity credit</x:v>
      </x:c>
      <x:c r="E203" s="28" t="n">
        <x:f>IF(OR('Evidence Gates'!I113="OPEN",'Evidence Gates'!I113="PASS",'Evidence Gates'!I113="FAIL"),1,0)</x:f>
        <x:v>1</x:v>
      </x:c>
      <x:c r="F203" s="28" t="n">
        <x:v>1</x:v>
      </x:c>
      <x:c r="G203" s="30" t="str">
        <x:f>IF(E203=F203,"PASS","FAIL")</x:f>
        <x:v>PASS</x:v>
      </x:c>
    </x:row>
    <x:row r="204">
      <x:c r="B204" s="28" t="str">
        <x:v>evidence 108</x:v>
      </x:c>
      <x:c r="C204" s="28" t="str">
        <x:v>evidence</x:v>
      </x:c>
      <x:c r="D204" s="28" t="str">
        <x:v>state recognized without maturity credit</x:v>
      </x:c>
      <x:c r="E204" s="28" t="n">
        <x:f>IF(OR('Evidence Gates'!I114="OPEN",'Evidence Gates'!I114="PASS",'Evidence Gates'!I114="FAIL"),1,0)</x:f>
        <x:v>1</x:v>
      </x:c>
      <x:c r="F204" s="28" t="n">
        <x:v>1</x:v>
      </x:c>
      <x:c r="G204" s="30" t="str">
        <x:f>IF(E204=F204,"PASS","FAIL")</x:f>
        <x:v>PASS</x:v>
      </x:c>
    </x:row>
    <x:row r="205">
      <x:c r="B205" s="28" t="str">
        <x:v>evidence 109</x:v>
      </x:c>
      <x:c r="C205" s="28" t="str">
        <x:v>evidence</x:v>
      </x:c>
      <x:c r="D205" s="28" t="str">
        <x:v>state recognized without maturity credit</x:v>
      </x:c>
      <x:c r="E205" s="28" t="n">
        <x:f>IF(OR('Evidence Gates'!I115="OPEN",'Evidence Gates'!I115="PASS",'Evidence Gates'!I115="FAIL"),1,0)</x:f>
        <x:v>1</x:v>
      </x:c>
      <x:c r="F205" s="28" t="n">
        <x:v>1</x:v>
      </x:c>
      <x:c r="G205" s="30" t="str">
        <x:f>IF(E205=F205,"PASS","FAIL")</x:f>
        <x:v>PASS</x:v>
      </x:c>
    </x:row>
    <x:row r="206">
      <x:c r="B206" s="28" t="str">
        <x:v>evidence 110</x:v>
      </x:c>
      <x:c r="C206" s="28" t="str">
        <x:v>evidence</x:v>
      </x:c>
      <x:c r="D206" s="28" t="str">
        <x:v>state recognized without maturity credit</x:v>
      </x:c>
      <x:c r="E206" s="28" t="n">
        <x:f>IF(OR('Evidence Gates'!I116="OPEN",'Evidence Gates'!I116="PASS",'Evidence Gates'!I116="FAIL"),1,0)</x:f>
        <x:v>1</x:v>
      </x:c>
      <x:c r="F206" s="28" t="n">
        <x:v>1</x:v>
      </x:c>
      <x:c r="G206" s="30" t="str">
        <x:f>IF(E206=F206,"PASS","FAIL")</x:f>
        <x:v>PASS</x:v>
      </x:c>
    </x:row>
    <x:row r="207">
      <x:c r="B207" s="28" t="str">
        <x:v>evidence 111</x:v>
      </x:c>
      <x:c r="C207" s="28" t="str">
        <x:v>evidence</x:v>
      </x:c>
      <x:c r="D207" s="28" t="str">
        <x:v>state recognized without maturity credit</x:v>
      </x:c>
      <x:c r="E207" s="28" t="n">
        <x:f>IF(OR('Evidence Gates'!I117="OPEN",'Evidence Gates'!I117="PASS",'Evidence Gates'!I117="FAIL"),1,0)</x:f>
        <x:v>1</x:v>
      </x:c>
      <x:c r="F207" s="28" t="n">
        <x:v>1</x:v>
      </x:c>
      <x:c r="G207" s="30" t="str">
        <x:f>IF(E207=F207,"PASS","FAIL")</x:f>
        <x:v>PASS</x:v>
      </x:c>
    </x:row>
    <x:row r="208">
      <x:c r="B208" s="28" t="str">
        <x:v>evidence 112</x:v>
      </x:c>
      <x:c r="C208" s="28" t="str">
        <x:v>evidence</x:v>
      </x:c>
      <x:c r="D208" s="28" t="str">
        <x:v>state recognized without maturity credit</x:v>
      </x:c>
      <x:c r="E208" s="28" t="n">
        <x:f>IF(OR('Evidence Gates'!I118="OPEN",'Evidence Gates'!I118="PASS",'Evidence Gates'!I118="FAIL"),1,0)</x:f>
        <x:v>1</x:v>
      </x:c>
      <x:c r="F208" s="28" t="n">
        <x:v>1</x:v>
      </x:c>
      <x:c r="G208" s="30" t="str">
        <x:f>IF(E208=F208,"PASS","FAIL")</x:f>
        <x:v>PASS</x:v>
      </x:c>
    </x:row>
    <x:row r="209">
      <x:c r="B209" s="28" t="str">
        <x:v>evidence 113</x:v>
      </x:c>
      <x:c r="C209" s="28" t="str">
        <x:v>evidence</x:v>
      </x:c>
      <x:c r="D209" s="28" t="str">
        <x:v>state recognized without maturity credit</x:v>
      </x:c>
      <x:c r="E209" s="28" t="n">
        <x:f>IF(OR('Evidence Gates'!I119="OPEN",'Evidence Gates'!I119="PASS",'Evidence Gates'!I119="FAIL"),1,0)</x:f>
        <x:v>1</x:v>
      </x:c>
      <x:c r="F209" s="28" t="n">
        <x:v>1</x:v>
      </x:c>
      <x:c r="G209" s="30" t="str">
        <x:f>IF(E209=F209,"PASS","FAIL")</x:f>
        <x:v>PASS</x:v>
      </x:c>
    </x:row>
    <x:row r="210">
      <x:c r="B210" s="28" t="str">
        <x:v>evidence 114</x:v>
      </x:c>
      <x:c r="C210" s="28" t="str">
        <x:v>evidence</x:v>
      </x:c>
      <x:c r="D210" s="28" t="str">
        <x:v>state recognized without maturity credit</x:v>
      </x:c>
      <x:c r="E210" s="28" t="n">
        <x:f>IF(OR('Evidence Gates'!I120="OPEN",'Evidence Gates'!I120="PASS",'Evidence Gates'!I120="FAIL"),1,0)</x:f>
        <x:v>1</x:v>
      </x:c>
      <x:c r="F210" s="28" t="n">
        <x:v>1</x:v>
      </x:c>
      <x:c r="G210" s="30" t="str">
        <x:f>IF(E210=F210,"PASS","FAIL")</x:f>
        <x:v>PASS</x:v>
      </x:c>
    </x:row>
    <x:row r="211">
      <x:c r="B211" s="28" t="str">
        <x:v>evidence 115</x:v>
      </x:c>
      <x:c r="C211" s="28" t="str">
        <x:v>evidence</x:v>
      </x:c>
      <x:c r="D211" s="28" t="str">
        <x:v>state recognized without maturity credit</x:v>
      </x:c>
      <x:c r="E211" s="28" t="n">
        <x:f>IF(OR('Evidence Gates'!I121="OPEN",'Evidence Gates'!I121="PASS",'Evidence Gates'!I121="FAIL"),1,0)</x:f>
        <x:v>1</x:v>
      </x:c>
      <x:c r="F211" s="28" t="n">
        <x:v>1</x:v>
      </x:c>
      <x:c r="G211" s="30" t="str">
        <x:f>IF(E211=F211,"PASS","FAIL")</x:f>
        <x:v>PASS</x:v>
      </x:c>
    </x:row>
    <x:row r="212">
      <x:c r="B212" s="28" t="str">
        <x:v>evidence 116</x:v>
      </x:c>
      <x:c r="C212" s="28" t="str">
        <x:v>evidence</x:v>
      </x:c>
      <x:c r="D212" s="28" t="str">
        <x:v>state recognized without maturity credit</x:v>
      </x:c>
      <x:c r="E212" s="28" t="n">
        <x:f>IF(OR('Evidence Gates'!I122="OPEN",'Evidence Gates'!I122="PASS",'Evidence Gates'!I122="FAIL"),1,0)</x:f>
        <x:v>1</x:v>
      </x:c>
      <x:c r="F212" s="28" t="n">
        <x:v>1</x:v>
      </x:c>
      <x:c r="G212" s="30" t="str">
        <x:f>IF(E212=F212,"PASS","FAIL")</x:f>
        <x:v>PASS</x:v>
      </x:c>
    </x:row>
    <x:row r="213">
      <x:c r="B213" s="28" t="str">
        <x:v>evidence 117</x:v>
      </x:c>
      <x:c r="C213" s="28" t="str">
        <x:v>evidence</x:v>
      </x:c>
      <x:c r="D213" s="28" t="str">
        <x:v>state recognized without maturity credit</x:v>
      </x:c>
      <x:c r="E213" s="28" t="n">
        <x:f>IF(OR('Evidence Gates'!I123="OPEN",'Evidence Gates'!I123="PASS",'Evidence Gates'!I123="FAIL"),1,0)</x:f>
        <x:v>1</x:v>
      </x:c>
      <x:c r="F213" s="28" t="n">
        <x:v>1</x:v>
      </x:c>
      <x:c r="G213" s="30" t="str">
        <x:f>IF(E213=F213,"PASS","FAIL")</x:f>
        <x:v>PASS</x:v>
      </x:c>
    </x:row>
    <x:row r="214">
      <x:c r="B214" s="28" t="str">
        <x:v>evidence 118</x:v>
      </x:c>
      <x:c r="C214" s="28" t="str">
        <x:v>evidence</x:v>
      </x:c>
      <x:c r="D214" s="28" t="str">
        <x:v>state recognized without maturity credit</x:v>
      </x:c>
      <x:c r="E214" s="28" t="n">
        <x:f>IF(OR('Evidence Gates'!I124="OPEN",'Evidence Gates'!I124="PASS",'Evidence Gates'!I124="FAIL"),1,0)</x:f>
        <x:v>1</x:v>
      </x:c>
      <x:c r="F214" s="28" t="n">
        <x:v>1</x:v>
      </x:c>
      <x:c r="G214" s="30" t="str">
        <x:f>IF(E214=F214,"PASS","FAIL")</x:f>
        <x:v>PASS</x:v>
      </x:c>
    </x:row>
    <x:row r="215">
      <x:c r="B215" s="28" t="str">
        <x:v>evidence 119</x:v>
      </x:c>
      <x:c r="C215" s="28" t="str">
        <x:v>evidence</x:v>
      </x:c>
      <x:c r="D215" s="28" t="str">
        <x:v>state recognized without maturity credit</x:v>
      </x:c>
      <x:c r="E215" s="28" t="n">
        <x:f>IF(OR('Evidence Gates'!I125="OPEN",'Evidence Gates'!I125="PASS",'Evidence Gates'!I125="FAIL"),1,0)</x:f>
        <x:v>1</x:v>
      </x:c>
      <x:c r="F215" s="28" t="n">
        <x:v>1</x:v>
      </x:c>
      <x:c r="G215" s="30" t="str">
        <x:f>IF(E215=F215,"PASS","FAIL")</x:f>
        <x:v>PASS</x:v>
      </x:c>
    </x:row>
    <x:row r="216">
      <x:c r="B216" s="28" t="str">
        <x:v>evidence 120</x:v>
      </x:c>
      <x:c r="C216" s="28" t="str">
        <x:v>evidence</x:v>
      </x:c>
      <x:c r="D216" s="28" t="str">
        <x:v>state recognized without maturity credit</x:v>
      </x:c>
      <x:c r="E216" s="28" t="n">
        <x:f>IF(OR('Evidence Gates'!I126="OPEN",'Evidence Gates'!I126="PASS",'Evidence Gates'!I126="FAIL"),1,0)</x:f>
        <x:v>1</x:v>
      </x:c>
      <x:c r="F216" s="28" t="n">
        <x:v>1</x:v>
      </x:c>
      <x:c r="G216" s="30" t="str">
        <x:f>IF(E216=F216,"PASS","FAIL")</x:f>
        <x:v>PASS</x:v>
      </x:c>
    </x:row>
    <x:row r="217">
      <x:c r="B217" s="28" t="str">
        <x:v>evidence 121</x:v>
      </x:c>
      <x:c r="C217" s="28" t="str">
        <x:v>evidence</x:v>
      </x:c>
      <x:c r="D217" s="28" t="str">
        <x:v>state recognized without maturity credit</x:v>
      </x:c>
      <x:c r="E217" s="28" t="n">
        <x:f>IF(OR('Evidence Gates'!I127="OPEN",'Evidence Gates'!I127="PASS",'Evidence Gates'!I127="FAIL"),1,0)</x:f>
        <x:v>1</x:v>
      </x:c>
      <x:c r="F217" s="28" t="n">
        <x:v>1</x:v>
      </x:c>
      <x:c r="G217" s="30" t="str">
        <x:f>IF(E217=F217,"PASS","FAIL")</x:f>
        <x:v>PASS</x:v>
      </x:c>
    </x:row>
    <x:row r="218">
      <x:c r="B218" s="28" t="str">
        <x:v>evidence 122</x:v>
      </x:c>
      <x:c r="C218" s="28" t="str">
        <x:v>evidence</x:v>
      </x:c>
      <x:c r="D218" s="28" t="str">
        <x:v>state recognized without maturity credit</x:v>
      </x:c>
      <x:c r="E218" s="28" t="n">
        <x:f>IF(OR('Evidence Gates'!I128="OPEN",'Evidence Gates'!I128="PASS",'Evidence Gates'!I128="FAIL"),1,0)</x:f>
        <x:v>1</x:v>
      </x:c>
      <x:c r="F218" s="28" t="n">
        <x:v>1</x:v>
      </x:c>
      <x:c r="G218" s="30" t="str">
        <x:f>IF(E218=F218,"PASS","FAIL")</x:f>
        <x:v>PASS</x:v>
      </x:c>
    </x:row>
    <x:row r="219">
      <x:c r="B219" s="28" t="str">
        <x:v>evidence 123</x:v>
      </x:c>
      <x:c r="C219" s="28" t="str">
        <x:v>evidence</x:v>
      </x:c>
      <x:c r="D219" s="28" t="str">
        <x:v>state recognized without maturity credit</x:v>
      </x:c>
      <x:c r="E219" s="28" t="n">
        <x:f>IF(OR('Evidence Gates'!I129="OPEN",'Evidence Gates'!I129="PASS",'Evidence Gates'!I129="FAIL"),1,0)</x:f>
        <x:v>1</x:v>
      </x:c>
      <x:c r="F219" s="28" t="n">
        <x:v>1</x:v>
      </x:c>
      <x:c r="G219" s="30" t="str">
        <x:f>IF(E219=F219,"PASS","FAIL")</x:f>
        <x:v>PASS</x:v>
      </x:c>
    </x:row>
    <x:row r="220">
      <x:c r="B220" s="28" t="str">
        <x:v>evidence 124</x:v>
      </x:c>
      <x:c r="C220" s="28" t="str">
        <x:v>evidence</x:v>
      </x:c>
      <x:c r="D220" s="28" t="str">
        <x:v>state recognized without maturity credit</x:v>
      </x:c>
      <x:c r="E220" s="28" t="n">
        <x:f>IF(OR('Evidence Gates'!I130="OPEN",'Evidence Gates'!I130="PASS",'Evidence Gates'!I130="FAIL"),1,0)</x:f>
        <x:v>1</x:v>
      </x:c>
      <x:c r="F220" s="28" t="n">
        <x:v>1</x:v>
      </x:c>
      <x:c r="G220" s="30" t="str">
        <x:f>IF(E220=F220,"PASS","FAIL")</x:f>
        <x:v>PASS</x:v>
      </x:c>
    </x:row>
    <x:row r="221">
      <x:c r="B221" s="28" t="str">
        <x:v>evidence 125</x:v>
      </x:c>
      <x:c r="C221" s="28" t="str">
        <x:v>evidence</x:v>
      </x:c>
      <x:c r="D221" s="28" t="str">
        <x:v>state recognized without maturity credit</x:v>
      </x:c>
      <x:c r="E221" s="28" t="n">
        <x:f>IF(OR('Evidence Gates'!I131="OPEN",'Evidence Gates'!I131="PASS",'Evidence Gates'!I131="FAIL"),1,0)</x:f>
        <x:v>1</x:v>
      </x:c>
      <x:c r="F221" s="28" t="n">
        <x:v>1</x:v>
      </x:c>
      <x:c r="G221" s="30" t="str">
        <x:f>IF(E221=F221,"PASS","FAIL")</x:f>
        <x:v>PASS</x:v>
      </x:c>
    </x:row>
    <x:row r="222">
      <x:c r="B222" s="28" t="str">
        <x:v>evidence 126</x:v>
      </x:c>
      <x:c r="C222" s="28" t="str">
        <x:v>evidence</x:v>
      </x:c>
      <x:c r="D222" s="28" t="str">
        <x:v>state recognized without maturity credit</x:v>
      </x:c>
      <x:c r="E222" s="28" t="n">
        <x:f>IF(OR('Evidence Gates'!I132="OPEN",'Evidence Gates'!I132="PASS",'Evidence Gates'!I132="FAIL"),1,0)</x:f>
        <x:v>1</x:v>
      </x:c>
      <x:c r="F222" s="28" t="n">
        <x:v>1</x:v>
      </x:c>
      <x:c r="G222" s="30" t="str">
        <x:f>IF(E222=F222,"PASS","FAIL")</x:f>
        <x:v>PASS</x:v>
      </x:c>
    </x:row>
    <x:row r="223">
      <x:c r="B223" s="28" t="str">
        <x:v>evidence 127</x:v>
      </x:c>
      <x:c r="C223" s="28" t="str">
        <x:v>evidence</x:v>
      </x:c>
      <x:c r="D223" s="28" t="str">
        <x:v>state recognized without maturity credit</x:v>
      </x:c>
      <x:c r="E223" s="28" t="n">
        <x:f>IF(OR('Evidence Gates'!I133="OPEN",'Evidence Gates'!I133="PASS",'Evidence Gates'!I133="FAIL"),1,0)</x:f>
        <x:v>1</x:v>
      </x:c>
      <x:c r="F223" s="28" t="n">
        <x:v>1</x:v>
      </x:c>
      <x:c r="G223" s="30" t="str">
        <x:f>IF(E223=F223,"PASS","FAIL")</x:f>
        <x:v>PASS</x:v>
      </x:c>
    </x:row>
    <x:row r="224">
      <x:c r="B224" s="28" t="str">
        <x:v>evidence 128</x:v>
      </x:c>
      <x:c r="C224" s="28" t="str">
        <x:v>evidence</x:v>
      </x:c>
      <x:c r="D224" s="28" t="str">
        <x:v>state recognized without maturity credit</x:v>
      </x:c>
      <x:c r="E224" s="28" t="n">
        <x:f>IF(OR('Evidence Gates'!I134="OPEN",'Evidence Gates'!I134="PASS",'Evidence Gates'!I134="FAIL"),1,0)</x:f>
        <x:v>1</x:v>
      </x:c>
      <x:c r="F224" s="28" t="n">
        <x:v>1</x:v>
      </x:c>
      <x:c r="G224" s="30" t="str">
        <x:f>IF(E224=F224,"PASS","FAIL")</x:f>
        <x:v>PASS</x:v>
      </x:c>
    </x:row>
    <x:row r="225">
      <x:c r="B225" s="28" t="str">
        <x:v>evidence 129</x:v>
      </x:c>
      <x:c r="C225" s="28" t="str">
        <x:v>evidence</x:v>
      </x:c>
      <x:c r="D225" s="28" t="str">
        <x:v>state recognized without maturity credit</x:v>
      </x:c>
      <x:c r="E225" s="28" t="n">
        <x:f>IF(OR('Evidence Gates'!I135="OPEN",'Evidence Gates'!I135="PASS",'Evidence Gates'!I135="FAIL"),1,0)</x:f>
        <x:v>1</x:v>
      </x:c>
      <x:c r="F225" s="28" t="n">
        <x:v>1</x:v>
      </x:c>
      <x:c r="G225" s="30" t="str">
        <x:f>IF(E225=F225,"PASS","FAIL")</x:f>
        <x:v>PASS</x:v>
      </x:c>
    </x:row>
    <x:row r="226">
      <x:c r="B226" s="28" t="str">
        <x:v>evidence 130</x:v>
      </x:c>
      <x:c r="C226" s="28" t="str">
        <x:v>evidence</x:v>
      </x:c>
      <x:c r="D226" s="28" t="str">
        <x:v>state recognized without maturity credit</x:v>
      </x:c>
      <x:c r="E226" s="28" t="n">
        <x:f>IF(OR('Evidence Gates'!I136="OPEN",'Evidence Gates'!I136="PASS",'Evidence Gates'!I136="FAIL"),1,0)</x:f>
        <x:v>1</x:v>
      </x:c>
      <x:c r="F226" s="28" t="n">
        <x:v>1</x:v>
      </x:c>
      <x:c r="G226" s="30" t="str">
        <x:f>IF(E226=F226,"PASS","FAIL")</x:f>
        <x:v>PASS</x:v>
      </x:c>
    </x:row>
    <x:row r="227">
      <x:c r="B227" s="28" t="str">
        <x:v>evidence 131</x:v>
      </x:c>
      <x:c r="C227" s="28" t="str">
        <x:v>evidence</x:v>
      </x:c>
      <x:c r="D227" s="28" t="str">
        <x:v>state recognized without maturity credit</x:v>
      </x:c>
      <x:c r="E227" s="28" t="n">
        <x:f>IF(OR('Evidence Gates'!I137="OPEN",'Evidence Gates'!I137="PASS",'Evidence Gates'!I137="FAIL"),1,0)</x:f>
        <x:v>1</x:v>
      </x:c>
      <x:c r="F227" s="28" t="n">
        <x:v>1</x:v>
      </x:c>
      <x:c r="G227" s="30" t="str">
        <x:f>IF(E227=F227,"PASS","FAIL")</x:f>
        <x:v>PASS</x:v>
      </x:c>
    </x:row>
    <x:row r="228">
      <x:c r="B228" s="28" t="str">
        <x:v>evidence 132</x:v>
      </x:c>
      <x:c r="C228" s="28" t="str">
        <x:v>evidence</x:v>
      </x:c>
      <x:c r="D228" s="28" t="str">
        <x:v>state recognized without maturity credit</x:v>
      </x:c>
      <x:c r="E228" s="28" t="n">
        <x:f>IF(OR('Evidence Gates'!I138="OPEN",'Evidence Gates'!I138="PASS",'Evidence Gates'!I138="FAIL"),1,0)</x:f>
        <x:v>1</x:v>
      </x:c>
      <x:c r="F228" s="28" t="n">
        <x:v>1</x:v>
      </x:c>
      <x:c r="G228" s="30" t="str">
        <x:f>IF(E228=F228,"PASS","FAIL")</x:f>
        <x:v>PASS</x:v>
      </x:c>
    </x:row>
    <x:row r="229">
      <x:c r="B229" s="28" t="str">
        <x:v>evidence 133</x:v>
      </x:c>
      <x:c r="C229" s="28" t="str">
        <x:v>evidence</x:v>
      </x:c>
      <x:c r="D229" s="28" t="str">
        <x:v>state recognized without maturity credit</x:v>
      </x:c>
      <x:c r="E229" s="28" t="n">
        <x:f>IF(OR('Evidence Gates'!I139="OPEN",'Evidence Gates'!I139="PASS",'Evidence Gates'!I139="FAIL"),1,0)</x:f>
        <x:v>1</x:v>
      </x:c>
      <x:c r="F229" s="28" t="n">
        <x:v>1</x:v>
      </x:c>
      <x:c r="G229" s="30" t="str">
        <x:f>IF(E229=F229,"PASS","FAIL")</x:f>
        <x:v>PASS</x:v>
      </x:c>
    </x:row>
    <x:row r="230">
      <x:c r="B230" s="28" t="str">
        <x:v>evidence 134</x:v>
      </x:c>
      <x:c r="C230" s="28" t="str">
        <x:v>evidence</x:v>
      </x:c>
      <x:c r="D230" s="28" t="str">
        <x:v>state recognized without maturity credit</x:v>
      </x:c>
      <x:c r="E230" s="28" t="n">
        <x:f>IF(OR('Evidence Gates'!I140="OPEN",'Evidence Gates'!I140="PASS",'Evidence Gates'!I140="FAIL"),1,0)</x:f>
        <x:v>1</x:v>
      </x:c>
      <x:c r="F230" s="28" t="n">
        <x:v>1</x:v>
      </x:c>
      <x:c r="G230" s="30" t="str">
        <x:f>IF(E230=F230,"PASS","FAIL")</x:f>
        <x:v>PASS</x:v>
      </x:c>
    </x:row>
    <x:row r="231">
      <x:c r="B231" s="28" t="str">
        <x:v>evidence 135</x:v>
      </x:c>
      <x:c r="C231" s="28" t="str">
        <x:v>evidence</x:v>
      </x:c>
      <x:c r="D231" s="28" t="str">
        <x:v>state recognized without maturity credit</x:v>
      </x:c>
      <x:c r="E231" s="28" t="n">
        <x:f>IF(OR('Evidence Gates'!I141="OPEN",'Evidence Gates'!I141="PASS",'Evidence Gates'!I141="FAIL"),1,0)</x:f>
        <x:v>1</x:v>
      </x:c>
      <x:c r="F231" s="28" t="n">
        <x:v>1</x:v>
      </x:c>
      <x:c r="G231" s="30" t="str">
        <x:f>IF(E231=F231,"PASS","FAIL")</x:f>
        <x:v>PASS</x:v>
      </x:c>
    </x:row>
    <x:row r="232">
      <x:c r="B232" s="28" t="str">
        <x:v>evidence 136</x:v>
      </x:c>
      <x:c r="C232" s="28" t="str">
        <x:v>evidence</x:v>
      </x:c>
      <x:c r="D232" s="28" t="str">
        <x:v>state recognized without maturity credit</x:v>
      </x:c>
      <x:c r="E232" s="28" t="n">
        <x:f>IF(OR('Evidence Gates'!I142="OPEN",'Evidence Gates'!I142="PASS",'Evidence Gates'!I142="FAIL"),1,0)</x:f>
        <x:v>1</x:v>
      </x:c>
      <x:c r="F232" s="28" t="n">
        <x:v>1</x:v>
      </x:c>
      <x:c r="G232" s="30" t="str">
        <x:f>IF(E232=F232,"PASS","FAIL")</x:f>
        <x:v>PASS</x:v>
      </x:c>
    </x:row>
    <x:row r="233">
      <x:c r="B233" s="28" t="str">
        <x:v>evidence 137</x:v>
      </x:c>
      <x:c r="C233" s="28" t="str">
        <x:v>evidence</x:v>
      </x:c>
      <x:c r="D233" s="28" t="str">
        <x:v>state recognized without maturity credit</x:v>
      </x:c>
      <x:c r="E233" s="28" t="n">
        <x:f>IF(OR('Evidence Gates'!I143="OPEN",'Evidence Gates'!I143="PASS",'Evidence Gates'!I143="FAIL"),1,0)</x:f>
        <x:v>1</x:v>
      </x:c>
      <x:c r="F233" s="28" t="n">
        <x:v>1</x:v>
      </x:c>
      <x:c r="G233" s="30" t="str">
        <x:f>IF(E233=F233,"PASS","FAIL")</x:f>
        <x:v>PASS</x:v>
      </x:c>
    </x:row>
    <x:row r="234">
      <x:c r="B234" s="28" t="str">
        <x:v>evidence 138</x:v>
      </x:c>
      <x:c r="C234" s="28" t="str">
        <x:v>evidence</x:v>
      </x:c>
      <x:c r="D234" s="28" t="str">
        <x:v>state recognized without maturity credit</x:v>
      </x:c>
      <x:c r="E234" s="28" t="n">
        <x:f>IF(OR('Evidence Gates'!I144="OPEN",'Evidence Gates'!I144="PASS",'Evidence Gates'!I144="FAIL"),1,0)</x:f>
        <x:v>1</x:v>
      </x:c>
      <x:c r="F234" s="28" t="n">
        <x:v>1</x:v>
      </x:c>
      <x:c r="G234" s="30" t="str">
        <x:f>IF(E234=F234,"PASS","FAIL")</x:f>
        <x:v>PASS</x:v>
      </x:c>
    </x:row>
    <x:row r="235">
      <x:c r="B235" s="28" t="str">
        <x:v>evidence 139</x:v>
      </x:c>
      <x:c r="C235" s="28" t="str">
        <x:v>evidence</x:v>
      </x:c>
      <x:c r="D235" s="28" t="str">
        <x:v>state recognized without maturity credit</x:v>
      </x:c>
      <x:c r="E235" s="28" t="n">
        <x:f>IF(OR('Evidence Gates'!I145="OPEN",'Evidence Gates'!I145="PASS",'Evidence Gates'!I145="FAIL"),1,0)</x:f>
        <x:v>1</x:v>
      </x:c>
      <x:c r="F235" s="28" t="n">
        <x:v>1</x:v>
      </x:c>
      <x:c r="G235" s="30" t="str">
        <x:f>IF(E235=F235,"PASS","FAIL")</x:f>
        <x:v>PASS</x:v>
      </x:c>
    </x:row>
    <x:row r="236">
      <x:c r="B236" s="28" t="str">
        <x:v>evidence 140</x:v>
      </x:c>
      <x:c r="C236" s="28" t="str">
        <x:v>evidence</x:v>
      </x:c>
      <x:c r="D236" s="28" t="str">
        <x:v>state recognized without maturity credit</x:v>
      </x:c>
      <x:c r="E236" s="28" t="n">
        <x:f>IF(OR('Evidence Gates'!I146="OPEN",'Evidence Gates'!I146="PASS",'Evidence Gates'!I146="FAIL"),1,0)</x:f>
        <x:v>1</x:v>
      </x:c>
      <x:c r="F236" s="28" t="n">
        <x:v>1</x:v>
      </x:c>
      <x:c r="G236" s="30" t="str">
        <x:f>IF(E236=F236,"PASS","FAIL")</x:f>
        <x:v>PASS</x:v>
      </x:c>
    </x:row>
    <x:row r="237">
      <x:c r="B237" s="28" t="str">
        <x:v>evidence 141</x:v>
      </x:c>
      <x:c r="C237" s="28" t="str">
        <x:v>evidence</x:v>
      </x:c>
      <x:c r="D237" s="28" t="str">
        <x:v>state recognized without maturity credit</x:v>
      </x:c>
      <x:c r="E237" s="28" t="n">
        <x:f>IF(OR('Evidence Gates'!I147="OPEN",'Evidence Gates'!I147="PASS",'Evidence Gates'!I147="FAIL"),1,0)</x:f>
        <x:v>1</x:v>
      </x:c>
      <x:c r="F237" s="28" t="n">
        <x:v>1</x:v>
      </x:c>
      <x:c r="G237" s="30" t="str">
        <x:f>IF(E237=F237,"PASS","FAIL")</x:f>
        <x:v>PASS</x:v>
      </x:c>
    </x:row>
    <x:row r="238">
      <x:c r="B238" s="28" t="str">
        <x:v>evidence 142</x:v>
      </x:c>
      <x:c r="C238" s="28" t="str">
        <x:v>evidence</x:v>
      </x:c>
      <x:c r="D238" s="28" t="str">
        <x:v>state recognized without maturity credit</x:v>
      </x:c>
      <x:c r="E238" s="28" t="n">
        <x:f>IF(OR('Evidence Gates'!I148="OPEN",'Evidence Gates'!I148="PASS",'Evidence Gates'!I148="FAIL"),1,0)</x:f>
        <x:v>1</x:v>
      </x:c>
      <x:c r="F238" s="28" t="n">
        <x:v>1</x:v>
      </x:c>
      <x:c r="G238" s="30" t="str">
        <x:f>IF(E238=F238,"PASS","FAIL")</x:f>
        <x:v>PASS</x:v>
      </x:c>
    </x:row>
    <x:row r="239">
      <x:c r="B239" s="28" t="str">
        <x:v>evidence 143</x:v>
      </x:c>
      <x:c r="C239" s="28" t="str">
        <x:v>evidence</x:v>
      </x:c>
      <x:c r="D239" s="28" t="str">
        <x:v>state recognized without maturity credit</x:v>
      </x:c>
      <x:c r="E239" s="28" t="n">
        <x:f>IF(OR('Evidence Gates'!I149="OPEN",'Evidence Gates'!I149="PASS",'Evidence Gates'!I149="FAIL"),1,0)</x:f>
        <x:v>1</x:v>
      </x:c>
      <x:c r="F239" s="28" t="n">
        <x:v>1</x:v>
      </x:c>
      <x:c r="G239" s="30" t="str">
        <x:f>IF(E239=F239,"PASS","FAIL")</x:f>
        <x:v>PASS</x:v>
      </x:c>
    </x:row>
    <x:row r="240">
      <x:c r="B240" s="28" t="str">
        <x:v>evidence 144</x:v>
      </x:c>
      <x:c r="C240" s="28" t="str">
        <x:v>evidence</x:v>
      </x:c>
      <x:c r="D240" s="28" t="str">
        <x:v>state recognized without maturity credit</x:v>
      </x:c>
      <x:c r="E240" s="28" t="n">
        <x:f>IF(OR('Evidence Gates'!I150="OPEN",'Evidence Gates'!I150="PASS",'Evidence Gates'!I150="FAIL"),1,0)</x:f>
        <x:v>1</x:v>
      </x:c>
      <x:c r="F240" s="28" t="n">
        <x:v>1</x:v>
      </x:c>
      <x:c r="G240" s="30" t="str">
        <x:f>IF(E240=F240,"PASS","FAIL")</x:f>
        <x:v>PASS</x:v>
      </x:c>
    </x:row>
    <x:row r="241">
      <x:c r="B241" s="28" t="str">
        <x:v>evidence 145</x:v>
      </x:c>
      <x:c r="C241" s="28" t="str">
        <x:v>evidence</x:v>
      </x:c>
      <x:c r="D241" s="28" t="str">
        <x:v>state recognized without maturity credit</x:v>
      </x:c>
      <x:c r="E241" s="28" t="n">
        <x:f>IF(OR('Evidence Gates'!I151="OPEN",'Evidence Gates'!I151="PASS",'Evidence Gates'!I151="FAIL"),1,0)</x:f>
        <x:v>1</x:v>
      </x:c>
      <x:c r="F241" s="28" t="n">
        <x:v>1</x:v>
      </x:c>
      <x:c r="G241" s="30" t="str">
        <x:f>IF(E241=F241,"PASS","FAIL")</x:f>
        <x:v>PASS</x:v>
      </x:c>
    </x:row>
    <x:row r="242">
      <x:c r="B242" s="28" t="str">
        <x:v>evidence 146</x:v>
      </x:c>
      <x:c r="C242" s="28" t="str">
        <x:v>evidence</x:v>
      </x:c>
      <x:c r="D242" s="28" t="str">
        <x:v>state recognized without maturity credit</x:v>
      </x:c>
      <x:c r="E242" s="28" t="n">
        <x:f>IF(OR('Evidence Gates'!I152="OPEN",'Evidence Gates'!I152="PASS",'Evidence Gates'!I152="FAIL"),1,0)</x:f>
        <x:v>1</x:v>
      </x:c>
      <x:c r="F242" s="28" t="n">
        <x:v>1</x:v>
      </x:c>
      <x:c r="G242" s="30" t="str">
        <x:f>IF(E242=F242,"PASS","FAIL")</x:f>
        <x:v>PASS</x:v>
      </x:c>
    </x:row>
    <x:row r="243">
      <x:c r="B243" s="28" t="str">
        <x:v>evidence 147</x:v>
      </x:c>
      <x:c r="C243" s="28" t="str">
        <x:v>evidence</x:v>
      </x:c>
      <x:c r="D243" s="28" t="str">
        <x:v>state recognized without maturity credit</x:v>
      </x:c>
      <x:c r="E243" s="28" t="n">
        <x:f>IF(OR('Evidence Gates'!I153="OPEN",'Evidence Gates'!I153="PASS",'Evidence Gates'!I153="FAIL"),1,0)</x:f>
        <x:v>1</x:v>
      </x:c>
      <x:c r="F243" s="28" t="n">
        <x:v>1</x:v>
      </x:c>
      <x:c r="G243" s="30" t="str">
        <x:f>IF(E243=F243,"PASS","FAIL")</x:f>
        <x:v>PASS</x:v>
      </x:c>
    </x:row>
    <x:row r="244">
      <x:c r="B244" s="28" t="str">
        <x:v>evidence 148</x:v>
      </x:c>
      <x:c r="C244" s="28" t="str">
        <x:v>evidence</x:v>
      </x:c>
      <x:c r="D244" s="28" t="str">
        <x:v>state recognized without maturity credit</x:v>
      </x:c>
      <x:c r="E244" s="28" t="n">
        <x:f>IF(OR('Evidence Gates'!I154="OPEN",'Evidence Gates'!I154="PASS",'Evidence Gates'!I154="FAIL"),1,0)</x:f>
        <x:v>1</x:v>
      </x:c>
      <x:c r="F244" s="28" t="n">
        <x:v>1</x:v>
      </x:c>
      <x:c r="G244" s="30" t="str">
        <x:f>IF(E244=F244,"PASS","FAIL")</x:f>
        <x:v>PASS</x:v>
      </x:c>
    </x:row>
    <x:row r="245">
      <x:c r="B245" s="28" t="str">
        <x:v>evidence 149</x:v>
      </x:c>
      <x:c r="C245" s="28" t="str">
        <x:v>evidence</x:v>
      </x:c>
      <x:c r="D245" s="28" t="str">
        <x:v>state recognized without maturity credit</x:v>
      </x:c>
      <x:c r="E245" s="28" t="n">
        <x:f>IF(OR('Evidence Gates'!I155="OPEN",'Evidence Gates'!I155="PASS",'Evidence Gates'!I155="FAIL"),1,0)</x:f>
        <x:v>1</x:v>
      </x:c>
      <x:c r="F245" s="28" t="n">
        <x:v>1</x:v>
      </x:c>
      <x:c r="G245" s="30" t="str">
        <x:f>IF(E245=F245,"PASS","FAIL")</x:f>
        <x:v>PASS</x:v>
      </x:c>
    </x:row>
    <x:row r="246">
      <x:c r="B246" s="28" t="str">
        <x:v>evidence 150</x:v>
      </x:c>
      <x:c r="C246" s="28" t="str">
        <x:v>evidence</x:v>
      </x:c>
      <x:c r="D246" s="28" t="str">
        <x:v>state recognized without maturity credit</x:v>
      </x:c>
      <x:c r="E246" s="28" t="n">
        <x:f>IF(OR('Evidence Gates'!I156="OPEN",'Evidence Gates'!I156="PASS",'Evidence Gates'!I156="FAIL"),1,0)</x:f>
        <x:v>1</x:v>
      </x:c>
      <x:c r="F246" s="28" t="n">
        <x:v>1</x:v>
      </x:c>
      <x:c r="G246" s="30" t="str">
        <x:f>IF(E246=F246,"PASS","FAIL")</x:f>
        <x:v>PASS</x:v>
      </x:c>
    </x:row>
    <x:row r="247">
      <x:c r="B247" s="28" t="str">
        <x:v>evidence 151</x:v>
      </x:c>
      <x:c r="C247" s="28" t="str">
        <x:v>evidence</x:v>
      </x:c>
      <x:c r="D247" s="28" t="str">
        <x:v>state recognized without maturity credit</x:v>
      </x:c>
      <x:c r="E247" s="28" t="n">
        <x:f>IF(OR('Evidence Gates'!I157="OPEN",'Evidence Gates'!I157="PASS",'Evidence Gates'!I157="FAIL"),1,0)</x:f>
        <x:v>1</x:v>
      </x:c>
      <x:c r="F247" s="28" t="n">
        <x:v>1</x:v>
      </x:c>
      <x:c r="G247" s="30" t="str">
        <x:f>IF(E247=F247,"PASS","FAIL")</x:f>
        <x:v>PASS</x:v>
      </x:c>
    </x:row>
    <x:row r="248">
      <x:c r="B248" s="28" t="str">
        <x:v>evidence 152</x:v>
      </x:c>
      <x:c r="C248" s="28" t="str">
        <x:v>evidence</x:v>
      </x:c>
      <x:c r="D248" s="28" t="str">
        <x:v>state recognized without maturity credit</x:v>
      </x:c>
      <x:c r="E248" s="28" t="n">
        <x:f>IF(OR('Evidence Gates'!I158="OPEN",'Evidence Gates'!I158="PASS",'Evidence Gates'!I158="FAIL"),1,0)</x:f>
        <x:v>1</x:v>
      </x:c>
      <x:c r="F248" s="28" t="n">
        <x:v>1</x:v>
      </x:c>
      <x:c r="G248" s="30" t="str">
        <x:f>IF(E248=F248,"PASS","FAIL")</x:f>
        <x:v>PASS</x:v>
      </x:c>
    </x:row>
    <x:row r="249">
      <x:c r="B249" s="28" t="str">
        <x:v>evidence 153</x:v>
      </x:c>
      <x:c r="C249" s="28" t="str">
        <x:v>evidence</x:v>
      </x:c>
      <x:c r="D249" s="28" t="str">
        <x:v>state recognized without maturity credit</x:v>
      </x:c>
      <x:c r="E249" s="28" t="n">
        <x:f>IF(OR('Evidence Gates'!I159="OPEN",'Evidence Gates'!I159="PASS",'Evidence Gates'!I159="FAIL"),1,0)</x:f>
        <x:v>1</x:v>
      </x:c>
      <x:c r="F249" s="28" t="n">
        <x:v>1</x:v>
      </x:c>
      <x:c r="G249" s="30" t="str">
        <x:f>IF(E249=F249,"PASS","FAIL")</x:f>
        <x:v>PASS</x:v>
      </x:c>
    </x:row>
    <x:row r="250">
      <x:c r="B250" s="28" t="str">
        <x:v>evidence 154</x:v>
      </x:c>
      <x:c r="C250" s="28" t="str">
        <x:v>evidence</x:v>
      </x:c>
      <x:c r="D250" s="28" t="str">
        <x:v>state recognized without maturity credit</x:v>
      </x:c>
      <x:c r="E250" s="28" t="n">
        <x:f>IF(OR('Evidence Gates'!I160="OPEN",'Evidence Gates'!I160="PASS",'Evidence Gates'!I160="FAIL"),1,0)</x:f>
        <x:v>1</x:v>
      </x:c>
      <x:c r="F250" s="28" t="n">
        <x:v>1</x:v>
      </x:c>
      <x:c r="G250" s="30" t="str">
        <x:f>IF(E250=F250,"PASS","FAIL")</x:f>
        <x:v>PASS</x:v>
      </x:c>
    </x:row>
    <x:row r="251">
      <x:c r="B251" s="28" t="str">
        <x:v>evidence 155</x:v>
      </x:c>
      <x:c r="C251" s="28" t="str">
        <x:v>evidence</x:v>
      </x:c>
      <x:c r="D251" s="28" t="str">
        <x:v>state recognized without maturity credit</x:v>
      </x:c>
      <x:c r="E251" s="28" t="n">
        <x:f>IF(OR('Evidence Gates'!I161="OPEN",'Evidence Gates'!I161="PASS",'Evidence Gates'!I161="FAIL"),1,0)</x:f>
        <x:v>1</x:v>
      </x:c>
      <x:c r="F251" s="28" t="n">
        <x:v>1</x:v>
      </x:c>
      <x:c r="G251" s="30" t="str">
        <x:f>IF(E251=F251,"PASS","FAIL")</x:f>
        <x:v>PASS</x:v>
      </x:c>
    </x:row>
    <x:row r="252">
      <x:c r="B252" s="28" t="str">
        <x:v>evidence 156</x:v>
      </x:c>
      <x:c r="C252" s="28" t="str">
        <x:v>evidence</x:v>
      </x:c>
      <x:c r="D252" s="28" t="str">
        <x:v>state recognized without maturity credit</x:v>
      </x:c>
      <x:c r="E252" s="28" t="n">
        <x:f>IF(OR('Evidence Gates'!I162="OPEN",'Evidence Gates'!I162="PASS",'Evidence Gates'!I162="FAIL"),1,0)</x:f>
        <x:v>1</x:v>
      </x:c>
      <x:c r="F252" s="28" t="n">
        <x:v>1</x:v>
      </x:c>
      <x:c r="G252" s="30" t="str">
        <x:f>IF(E252=F252,"PASS","FAIL")</x:f>
        <x:v>PASS</x:v>
      </x:c>
    </x:row>
    <x:row r="253">
      <x:c r="B253" s="28" t="str">
        <x:v>evidence 157</x:v>
      </x:c>
      <x:c r="C253" s="28" t="str">
        <x:v>evidence</x:v>
      </x:c>
      <x:c r="D253" s="28" t="str">
        <x:v>state recognized without maturity credit</x:v>
      </x:c>
      <x:c r="E253" s="28" t="n">
        <x:f>IF(OR('Evidence Gates'!I163="OPEN",'Evidence Gates'!I163="PASS",'Evidence Gates'!I163="FAIL"),1,0)</x:f>
        <x:v>1</x:v>
      </x:c>
      <x:c r="F253" s="28" t="n">
        <x:v>1</x:v>
      </x:c>
      <x:c r="G253" s="30" t="str">
        <x:f>IF(E253=F253,"PASS","FAIL")</x:f>
        <x:v>PASS</x:v>
      </x:c>
    </x:row>
    <x:row r="254">
      <x:c r="B254" s="28" t="str">
        <x:v>evidence 158</x:v>
      </x:c>
      <x:c r="C254" s="28" t="str">
        <x:v>evidence</x:v>
      </x:c>
      <x:c r="D254" s="28" t="str">
        <x:v>state recognized without maturity credit</x:v>
      </x:c>
      <x:c r="E254" s="28" t="n">
        <x:f>IF(OR('Evidence Gates'!I164="OPEN",'Evidence Gates'!I164="PASS",'Evidence Gates'!I164="FAIL"),1,0)</x:f>
        <x:v>1</x:v>
      </x:c>
      <x:c r="F254" s="28" t="n">
        <x:v>1</x:v>
      </x:c>
      <x:c r="G254" s="30" t="str">
        <x:f>IF(E254=F254,"PASS","FAIL")</x:f>
        <x:v>PASS</x:v>
      </x:c>
    </x:row>
    <x:row r="255">
      <x:c r="B255" s="28" t="str">
        <x:v>evidence 159</x:v>
      </x:c>
      <x:c r="C255" s="28" t="str">
        <x:v>evidence</x:v>
      </x:c>
      <x:c r="D255" s="28" t="str">
        <x:v>state recognized without maturity credit</x:v>
      </x:c>
      <x:c r="E255" s="28" t="n">
        <x:f>IF(OR('Evidence Gates'!I165="OPEN",'Evidence Gates'!I165="PASS",'Evidence Gates'!I165="FAIL"),1,0)</x:f>
        <x:v>1</x:v>
      </x:c>
      <x:c r="F255" s="28" t="n">
        <x:v>1</x:v>
      </x:c>
      <x:c r="G255" s="30" t="str">
        <x:f>IF(E255=F255,"PASS","FAIL")</x:f>
        <x:v>PASS</x:v>
      </x:c>
    </x:row>
    <x:row r="256">
      <x:c r="B256" s="28" t="str">
        <x:v>evidence 160</x:v>
      </x:c>
      <x:c r="C256" s="28" t="str">
        <x:v>evidence</x:v>
      </x:c>
      <x:c r="D256" s="28" t="str">
        <x:v>state recognized without maturity credit</x:v>
      </x:c>
      <x:c r="E256" s="28" t="n">
        <x:f>IF(OR('Evidence Gates'!I166="OPEN",'Evidence Gates'!I166="PASS",'Evidence Gates'!I166="FAIL"),1,0)</x:f>
        <x:v>1</x:v>
      </x:c>
      <x:c r="F256" s="28" t="n">
        <x:v>1</x:v>
      </x:c>
      <x:c r="G256" s="30" t="str">
        <x:f>IF(E256=F256,"PASS","FAIL")</x:f>
        <x:v>PASS</x:v>
      </x:c>
    </x:row>
    <x:row r="257">
      <x:c r="B257" s="28" t="str">
        <x:v>evidence 161</x:v>
      </x:c>
      <x:c r="C257" s="28" t="str">
        <x:v>evidence</x:v>
      </x:c>
      <x:c r="D257" s="28" t="str">
        <x:v>state recognized without maturity credit</x:v>
      </x:c>
      <x:c r="E257" s="28" t="n">
        <x:f>IF(OR('Evidence Gates'!I167="OPEN",'Evidence Gates'!I167="PASS",'Evidence Gates'!I167="FAIL"),1,0)</x:f>
        <x:v>1</x:v>
      </x:c>
      <x:c r="F257" s="28" t="n">
        <x:v>1</x:v>
      </x:c>
      <x:c r="G257" s="30" t="str">
        <x:f>IF(E257=F257,"PASS","FAIL")</x:f>
        <x:v>PASS</x:v>
      </x:c>
    </x:row>
    <x:row r="258">
      <x:c r="B258" s="28" t="str">
        <x:v>evidence 162</x:v>
      </x:c>
      <x:c r="C258" s="28" t="str">
        <x:v>evidence</x:v>
      </x:c>
      <x:c r="D258" s="28" t="str">
        <x:v>state recognized without maturity credit</x:v>
      </x:c>
      <x:c r="E258" s="28" t="n">
        <x:f>IF(OR('Evidence Gates'!I168="OPEN",'Evidence Gates'!I168="PASS",'Evidence Gates'!I168="FAIL"),1,0)</x:f>
        <x:v>1</x:v>
      </x:c>
      <x:c r="F258" s="28" t="n">
        <x:v>1</x:v>
      </x:c>
      <x:c r="G258" s="30" t="str">
        <x:f>IF(E258=F258,"PASS","FAIL")</x:f>
        <x:v>PASS</x:v>
      </x:c>
    </x:row>
    <x:row r="259">
      <x:c r="B259" s="28" t="str">
        <x:v>evidence 163</x:v>
      </x:c>
      <x:c r="C259" s="28" t="str">
        <x:v>evidence</x:v>
      </x:c>
      <x:c r="D259" s="28" t="str">
        <x:v>state recognized without maturity credit</x:v>
      </x:c>
      <x:c r="E259" s="28" t="n">
        <x:f>IF(OR('Evidence Gates'!I169="OPEN",'Evidence Gates'!I169="PASS",'Evidence Gates'!I169="FAIL"),1,0)</x:f>
        <x:v>1</x:v>
      </x:c>
      <x:c r="F259" s="28" t="n">
        <x:v>1</x:v>
      </x:c>
      <x:c r="G259" s="30" t="str">
        <x:f>IF(E259=F259,"PASS","FAIL")</x:f>
        <x:v>PASS</x:v>
      </x:c>
    </x:row>
    <x:row r="260">
      <x:c r="B260" s="28" t="str">
        <x:v>evidence 164</x:v>
      </x:c>
      <x:c r="C260" s="28" t="str">
        <x:v>evidence</x:v>
      </x:c>
      <x:c r="D260" s="28" t="str">
        <x:v>state recognized without maturity credit</x:v>
      </x:c>
      <x:c r="E260" s="28" t="n">
        <x:f>IF(OR('Evidence Gates'!I170="OPEN",'Evidence Gates'!I170="PASS",'Evidence Gates'!I170="FAIL"),1,0)</x:f>
        <x:v>1</x:v>
      </x:c>
      <x:c r="F260" s="28" t="n">
        <x:v>1</x:v>
      </x:c>
      <x:c r="G260" s="30" t="str">
        <x:f>IF(E260=F260,"PASS","FAIL")</x:f>
        <x:v>PASS</x:v>
      </x:c>
    </x:row>
    <x:row r="261">
      <x:c r="B261" s="28" t="str">
        <x:v>evidence 165</x:v>
      </x:c>
      <x:c r="C261" s="28" t="str">
        <x:v>evidence</x:v>
      </x:c>
      <x:c r="D261" s="28" t="str">
        <x:v>state recognized without maturity credit</x:v>
      </x:c>
      <x:c r="E261" s="28" t="n">
        <x:f>IF(OR('Evidence Gates'!I171="OPEN",'Evidence Gates'!I171="PASS",'Evidence Gates'!I171="FAIL"),1,0)</x:f>
        <x:v>1</x:v>
      </x:c>
      <x:c r="F261" s="28" t="n">
        <x:v>1</x:v>
      </x:c>
      <x:c r="G261" s="30" t="str">
        <x:f>IF(E261=F261,"PASS","FAIL")</x:f>
        <x:v>PASS</x:v>
      </x:c>
    </x:row>
    <x:row r="262">
      <x:c r="B262" s="28" t="str">
        <x:v>evidence 166</x:v>
      </x:c>
      <x:c r="C262" s="28" t="str">
        <x:v>evidence</x:v>
      </x:c>
      <x:c r="D262" s="28" t="str">
        <x:v>state recognized without maturity credit</x:v>
      </x:c>
      <x:c r="E262" s="28" t="n">
        <x:f>IF(OR('Evidence Gates'!I172="OPEN",'Evidence Gates'!I172="PASS",'Evidence Gates'!I172="FAIL"),1,0)</x:f>
        <x:v>1</x:v>
      </x:c>
      <x:c r="F262" s="28" t="n">
        <x:v>1</x:v>
      </x:c>
      <x:c r="G262" s="30" t="str">
        <x:f>IF(E262=F262,"PASS","FAIL")</x:f>
        <x:v>PASS</x:v>
      </x:c>
    </x:row>
    <x:row r="263">
      <x:c r="B263" s="28" t="str">
        <x:v>evidence 167</x:v>
      </x:c>
      <x:c r="C263" s="28" t="str">
        <x:v>evidence</x:v>
      </x:c>
      <x:c r="D263" s="28" t="str">
        <x:v>state recognized without maturity credit</x:v>
      </x:c>
      <x:c r="E263" s="28" t="n">
        <x:f>IF(OR('Evidence Gates'!I173="OPEN",'Evidence Gates'!I173="PASS",'Evidence Gates'!I173="FAIL"),1,0)</x:f>
        <x:v>1</x:v>
      </x:c>
      <x:c r="F263" s="28" t="n">
        <x:v>1</x:v>
      </x:c>
      <x:c r="G263" s="30" t="str">
        <x:f>IF(E263=F263,"PASS","FAIL")</x:f>
        <x:v>PASS</x:v>
      </x:c>
    </x:row>
    <x:row r="264">
      <x:c r="B264" s="28" t="str">
        <x:v>evidence 168</x:v>
      </x:c>
      <x:c r="C264" s="28" t="str">
        <x:v>evidence</x:v>
      </x:c>
      <x:c r="D264" s="28" t="str">
        <x:v>state recognized without maturity credit</x:v>
      </x:c>
      <x:c r="E264" s="28" t="n">
        <x:f>IF(OR('Evidence Gates'!I174="OPEN",'Evidence Gates'!I174="PASS",'Evidence Gates'!I174="FAIL"),1,0)</x:f>
        <x:v>1</x:v>
      </x:c>
      <x:c r="F264" s="28" t="n">
        <x:v>1</x:v>
      </x:c>
      <x:c r="G264" s="30" t="str">
        <x:f>IF(E264=F264,"PASS","FAIL")</x:f>
        <x:v>PASS</x:v>
      </x:c>
    </x:row>
    <x:row r="265">
      <x:c r="B265" s="28" t="str">
        <x:v>evidence 169</x:v>
      </x:c>
      <x:c r="C265" s="28" t="str">
        <x:v>evidence</x:v>
      </x:c>
      <x:c r="D265" s="28" t="str">
        <x:v>state recognized without maturity credit</x:v>
      </x:c>
      <x:c r="E265" s="28" t="n">
        <x:f>IF(OR('Evidence Gates'!I175="OPEN",'Evidence Gates'!I175="PASS",'Evidence Gates'!I175="FAIL"),1,0)</x:f>
        <x:v>1</x:v>
      </x:c>
      <x:c r="F265" s="28" t="n">
        <x:v>1</x:v>
      </x:c>
      <x:c r="G265" s="30" t="str">
        <x:f>IF(E265=F265,"PASS","FAIL")</x:f>
        <x:v>PASS</x:v>
      </x:c>
    </x:row>
    <x:row r="266">
      <x:c r="B266" s="28" t="str">
        <x:v>evidence 170</x:v>
      </x:c>
      <x:c r="C266" s="28" t="str">
        <x:v>evidence</x:v>
      </x:c>
      <x:c r="D266" s="28" t="str">
        <x:v>state recognized without maturity credit</x:v>
      </x:c>
      <x:c r="E266" s="28" t="n">
        <x:f>IF(OR('Evidence Gates'!I176="OPEN",'Evidence Gates'!I176="PASS",'Evidence Gates'!I176="FAIL"),1,0)</x:f>
        <x:v>1</x:v>
      </x:c>
      <x:c r="F266" s="28" t="n">
        <x:v>1</x:v>
      </x:c>
      <x:c r="G266" s="30" t="str">
        <x:f>IF(E266=F266,"PASS","FAIL")</x:f>
        <x:v>PASS</x:v>
      </x:c>
    </x:row>
    <x:row r="267">
      <x:c r="B267" s="28" t="str">
        <x:v>evidence 171</x:v>
      </x:c>
      <x:c r="C267" s="28" t="str">
        <x:v>evidence</x:v>
      </x:c>
      <x:c r="D267" s="28" t="str">
        <x:v>state recognized without maturity credit</x:v>
      </x:c>
      <x:c r="E267" s="28" t="n">
        <x:f>IF(OR('Evidence Gates'!I177="OPEN",'Evidence Gates'!I177="PASS",'Evidence Gates'!I177="FAIL"),1,0)</x:f>
        <x:v>1</x:v>
      </x:c>
      <x:c r="F267" s="28" t="n">
        <x:v>1</x:v>
      </x:c>
      <x:c r="G267" s="30" t="str">
        <x:f>IF(E267=F267,"PASS","FAIL")</x:f>
        <x:v>PASS</x:v>
      </x:c>
    </x:row>
    <x:row r="268">
      <x:c r="B268" s="28" t="str">
        <x:v>evidence 172</x:v>
      </x:c>
      <x:c r="C268" s="28" t="str">
        <x:v>evidence</x:v>
      </x:c>
      <x:c r="D268" s="28" t="str">
        <x:v>state recognized without maturity credit</x:v>
      </x:c>
      <x:c r="E268" s="28" t="n">
        <x:f>IF(OR('Evidence Gates'!I178="OPEN",'Evidence Gates'!I178="PASS",'Evidence Gates'!I178="FAIL"),1,0)</x:f>
        <x:v>1</x:v>
      </x:c>
      <x:c r="F268" s="28" t="n">
        <x:v>1</x:v>
      </x:c>
      <x:c r="G268" s="30" t="str">
        <x:f>IF(E268=F268,"PASS","FAIL")</x:f>
        <x:v>PASS</x:v>
      </x:c>
    </x:row>
    <x:row r="269">
      <x:c r="B269" s="28" t="str">
        <x:v>evidence 173</x:v>
      </x:c>
      <x:c r="C269" s="28" t="str">
        <x:v>evidence</x:v>
      </x:c>
      <x:c r="D269" s="28" t="str">
        <x:v>state recognized without maturity credit</x:v>
      </x:c>
      <x:c r="E269" s="28" t="n">
        <x:f>IF(OR('Evidence Gates'!I179="OPEN",'Evidence Gates'!I179="PASS",'Evidence Gates'!I179="FAIL"),1,0)</x:f>
        <x:v>1</x:v>
      </x:c>
      <x:c r="F269" s="28" t="n">
        <x:v>1</x:v>
      </x:c>
      <x:c r="G269" s="30" t="str">
        <x:f>IF(E269=F269,"PASS","FAIL")</x:f>
        <x:v>PASS</x:v>
      </x:c>
    </x:row>
    <x:row r="270">
      <x:c r="B270" s="28" t="str">
        <x:v>evidence 174</x:v>
      </x:c>
      <x:c r="C270" s="28" t="str">
        <x:v>evidence</x:v>
      </x:c>
      <x:c r="D270" s="28" t="str">
        <x:v>state recognized without maturity credit</x:v>
      </x:c>
      <x:c r="E270" s="28" t="n">
        <x:f>IF(OR('Evidence Gates'!I180="OPEN",'Evidence Gates'!I180="PASS",'Evidence Gates'!I180="FAIL"),1,0)</x:f>
        <x:v>1</x:v>
      </x:c>
      <x:c r="F270" s="28" t="n">
        <x:v>1</x:v>
      </x:c>
      <x:c r="G270" s="30" t="str">
        <x:f>IF(E270=F270,"PASS","FAIL")</x:f>
        <x:v>PASS</x:v>
      </x:c>
    </x:row>
    <x:row r="271">
      <x:c r="B271" s="28" t="str">
        <x:v>evidence 175</x:v>
      </x:c>
      <x:c r="C271" s="28" t="str">
        <x:v>evidence</x:v>
      </x:c>
      <x:c r="D271" s="28" t="str">
        <x:v>state recognized without maturity credit</x:v>
      </x:c>
      <x:c r="E271" s="28" t="n">
        <x:f>IF(OR('Evidence Gates'!I181="OPEN",'Evidence Gates'!I181="PASS",'Evidence Gates'!I181="FAIL"),1,0)</x:f>
        <x:v>1</x:v>
      </x:c>
      <x:c r="F271" s="28" t="n">
        <x:v>1</x:v>
      </x:c>
      <x:c r="G271" s="30" t="str">
        <x:f>IF(E271=F271,"PASS","FAIL")</x:f>
        <x:v>PASS</x:v>
      </x:c>
    </x:row>
    <x:row r="272">
      <x:c r="B272" s="28" t="str">
        <x:v>evidence 176</x:v>
      </x:c>
      <x:c r="C272" s="28" t="str">
        <x:v>evidence</x:v>
      </x:c>
      <x:c r="D272" s="28" t="str">
        <x:v>state recognized without maturity credit</x:v>
      </x:c>
      <x:c r="E272" s="28" t="n">
        <x:f>IF(OR('Evidence Gates'!I182="OPEN",'Evidence Gates'!I182="PASS",'Evidence Gates'!I182="FAIL"),1,0)</x:f>
        <x:v>1</x:v>
      </x:c>
      <x:c r="F272" s="28" t="n">
        <x:v>1</x:v>
      </x:c>
      <x:c r="G272" s="30" t="str">
        <x:f>IF(E272=F272,"PASS","FAIL")</x:f>
        <x:v>PASS</x:v>
      </x:c>
    </x:row>
    <x:row r="273">
      <x:c r="B273" s="28" t="str">
        <x:v>evidence 177</x:v>
      </x:c>
      <x:c r="C273" s="28" t="str">
        <x:v>evidence</x:v>
      </x:c>
      <x:c r="D273" s="28" t="str">
        <x:v>state recognized without maturity credit</x:v>
      </x:c>
      <x:c r="E273" s="28" t="n">
        <x:f>IF(OR('Evidence Gates'!I183="OPEN",'Evidence Gates'!I183="PASS",'Evidence Gates'!I183="FAIL"),1,0)</x:f>
        <x:v>1</x:v>
      </x:c>
      <x:c r="F273" s="28" t="n">
        <x:v>1</x:v>
      </x:c>
      <x:c r="G273" s="30" t="str">
        <x:f>IF(E273=F273,"PASS","FAIL")</x:f>
        <x:v>PASS</x:v>
      </x:c>
    </x:row>
    <x:row r="274">
      <x:c r="B274" s="28" t="str">
        <x:v>evidence 178</x:v>
      </x:c>
      <x:c r="C274" s="28" t="str">
        <x:v>evidence</x:v>
      </x:c>
      <x:c r="D274" s="28" t="str">
        <x:v>state recognized without maturity credit</x:v>
      </x:c>
      <x:c r="E274" s="28" t="n">
        <x:f>IF(OR('Evidence Gates'!I184="OPEN",'Evidence Gates'!I184="PASS",'Evidence Gates'!I184="FAIL"),1,0)</x:f>
        <x:v>1</x:v>
      </x:c>
      <x:c r="F274" s="28" t="n">
        <x:v>1</x:v>
      </x:c>
      <x:c r="G274" s="30" t="str">
        <x:f>IF(E274=F274,"PASS","FAIL")</x:f>
        <x:v>PASS</x:v>
      </x:c>
    </x:row>
    <x:row r="275">
      <x:c r="B275" s="28" t="str">
        <x:v>evidence 179</x:v>
      </x:c>
      <x:c r="C275" s="28" t="str">
        <x:v>evidence</x:v>
      </x:c>
      <x:c r="D275" s="28" t="str">
        <x:v>state recognized without maturity credit</x:v>
      </x:c>
      <x:c r="E275" s="28" t="n">
        <x:f>IF(OR('Evidence Gates'!I185="OPEN",'Evidence Gates'!I185="PASS",'Evidence Gates'!I185="FAIL"),1,0)</x:f>
        <x:v>1</x:v>
      </x:c>
      <x:c r="F275" s="28" t="n">
        <x:v>1</x:v>
      </x:c>
      <x:c r="G275" s="30" t="str">
        <x:f>IF(E275=F275,"PASS","FAIL")</x:f>
        <x:v>PASS</x:v>
      </x:c>
    </x:row>
    <x:row r="276">
      <x:c r="B276" s="28" t="str">
        <x:v>evidence 180</x:v>
      </x:c>
      <x:c r="C276" s="28" t="str">
        <x:v>evidence</x:v>
      </x:c>
      <x:c r="D276" s="28" t="str">
        <x:v>state recognized without maturity credit</x:v>
      </x:c>
      <x:c r="E276" s="28" t="n">
        <x:f>IF(OR('Evidence Gates'!I186="OPEN",'Evidence Gates'!I186="PASS",'Evidence Gates'!I186="FAIL"),1,0)</x:f>
        <x:v>1</x:v>
      </x:c>
      <x:c r="F276" s="28" t="n">
        <x:v>1</x:v>
      </x:c>
      <x:c r="G276" s="30" t="str">
        <x:f>IF(E276=F276,"PASS","FAIL")</x:f>
        <x:v>PASS</x:v>
      </x:c>
    </x:row>
    <x:row r="277">
      <x:c r="B277" s="28" t="str">
        <x:v>evidence 181</x:v>
      </x:c>
      <x:c r="C277" s="28" t="str">
        <x:v>evidence</x:v>
      </x:c>
      <x:c r="D277" s="28" t="str">
        <x:v>state recognized without maturity credit</x:v>
      </x:c>
      <x:c r="E277" s="28" t="n">
        <x:f>IF(OR('Evidence Gates'!I187="OPEN",'Evidence Gates'!I187="PASS",'Evidence Gates'!I187="FAIL"),1,0)</x:f>
        <x:v>1</x:v>
      </x:c>
      <x:c r="F277" s="28" t="n">
        <x:v>1</x:v>
      </x:c>
      <x:c r="G277" s="30" t="str">
        <x:f>IF(E277=F277,"PASS","FAIL")</x:f>
        <x:v>PASS</x:v>
      </x:c>
    </x:row>
    <x:row r="278">
      <x:c r="B278" s="28" t="str">
        <x:v>evidence 182</x:v>
      </x:c>
      <x:c r="C278" s="28" t="str">
        <x:v>evidence</x:v>
      </x:c>
      <x:c r="D278" s="28" t="str">
        <x:v>state recognized without maturity credit</x:v>
      </x:c>
      <x:c r="E278" s="28" t="n">
        <x:f>IF(OR('Evidence Gates'!I188="OPEN",'Evidence Gates'!I188="PASS",'Evidence Gates'!I188="FAIL"),1,0)</x:f>
        <x:v>1</x:v>
      </x:c>
      <x:c r="F278" s="28" t="n">
        <x:v>1</x:v>
      </x:c>
      <x:c r="G278" s="30" t="str">
        <x:f>IF(E278=F278,"PASS","FAIL")</x:f>
        <x:v>PASS</x:v>
      </x:c>
    </x:row>
    <x:row r="279">
      <x:c r="B279" s="28" t="str">
        <x:v>evidence 183</x:v>
      </x:c>
      <x:c r="C279" s="28" t="str">
        <x:v>evidence</x:v>
      </x:c>
      <x:c r="D279" s="28" t="str">
        <x:v>state recognized without maturity credit</x:v>
      </x:c>
      <x:c r="E279" s="28" t="n">
        <x:f>IF(OR('Evidence Gates'!I189="OPEN",'Evidence Gates'!I189="PASS",'Evidence Gates'!I189="FAIL"),1,0)</x:f>
        <x:v>1</x:v>
      </x:c>
      <x:c r="F279" s="28" t="n">
        <x:v>1</x:v>
      </x:c>
      <x:c r="G279" s="30" t="str">
        <x:f>IF(E279=F279,"PASS","FAIL")</x:f>
        <x:v>PASS</x:v>
      </x:c>
    </x:row>
    <x:row r="280">
      <x:c r="B280" s="28" t="str">
        <x:v>evidence 184</x:v>
      </x:c>
      <x:c r="C280" s="28" t="str">
        <x:v>evidence</x:v>
      </x:c>
      <x:c r="D280" s="28" t="str">
        <x:v>state recognized without maturity credit</x:v>
      </x:c>
      <x:c r="E280" s="28" t="n">
        <x:f>IF(OR('Evidence Gates'!I190="OPEN",'Evidence Gates'!I190="PASS",'Evidence Gates'!I190="FAIL"),1,0)</x:f>
        <x:v>1</x:v>
      </x:c>
      <x:c r="F280" s="28" t="n">
        <x:v>1</x:v>
      </x:c>
      <x:c r="G280" s="30" t="str">
        <x:f>IF(E280=F280,"PASS","FAIL")</x:f>
        <x:v>PASS</x:v>
      </x:c>
    </x:row>
    <x:row r="281">
      <x:c r="B281" s="28" t="str">
        <x:v>evidence 185</x:v>
      </x:c>
      <x:c r="C281" s="28" t="str">
        <x:v>evidence</x:v>
      </x:c>
      <x:c r="D281" s="28" t="str">
        <x:v>state recognized without maturity credit</x:v>
      </x:c>
      <x:c r="E281" s="28" t="n">
        <x:f>IF(OR('Evidence Gates'!I191="OPEN",'Evidence Gates'!I191="PASS",'Evidence Gates'!I191="FAIL"),1,0)</x:f>
        <x:v>1</x:v>
      </x:c>
      <x:c r="F281" s="28" t="n">
        <x:v>1</x:v>
      </x:c>
      <x:c r="G281" s="30" t="str">
        <x:f>IF(E281=F281,"PASS","FAIL")</x:f>
        <x:v>PASS</x:v>
      </x:c>
    </x:row>
    <x:row r="282">
      <x:c r="B282" s="28" t="str">
        <x:v>evidence 186</x:v>
      </x:c>
      <x:c r="C282" s="28" t="str">
        <x:v>evidence</x:v>
      </x:c>
      <x:c r="D282" s="28" t="str">
        <x:v>state recognized without maturity credit</x:v>
      </x:c>
      <x:c r="E282" s="28" t="n">
        <x:f>IF(OR('Evidence Gates'!I192="OPEN",'Evidence Gates'!I192="PASS",'Evidence Gates'!I192="FAIL"),1,0)</x:f>
        <x:v>1</x:v>
      </x:c>
      <x:c r="F282" s="28" t="n">
        <x:v>1</x:v>
      </x:c>
      <x:c r="G282" s="30" t="str">
        <x:f>IF(E282=F282,"PASS","FAIL")</x:f>
        <x:v>PASS</x:v>
      </x:c>
    </x:row>
    <x:row r="283">
      <x:c r="B283" s="28" t="str">
        <x:v>evidence 187</x:v>
      </x:c>
      <x:c r="C283" s="28" t="str">
        <x:v>evidence</x:v>
      </x:c>
      <x:c r="D283" s="28" t="str">
        <x:v>state recognized without maturity credit</x:v>
      </x:c>
      <x:c r="E283" s="28" t="n">
        <x:f>IF(OR('Evidence Gates'!I193="OPEN",'Evidence Gates'!I193="PASS",'Evidence Gates'!I193="FAIL"),1,0)</x:f>
        <x:v>1</x:v>
      </x:c>
      <x:c r="F283" s="28" t="n">
        <x:v>1</x:v>
      </x:c>
      <x:c r="G283" s="30" t="str">
        <x:f>IF(E283=F283,"PASS","FAIL")</x:f>
        <x:v>PASS</x:v>
      </x:c>
    </x:row>
    <x:row r="284">
      <x:c r="B284" s="28" t="str">
        <x:v>evidence 188</x:v>
      </x:c>
      <x:c r="C284" s="28" t="str">
        <x:v>evidence</x:v>
      </x:c>
      <x:c r="D284" s="28" t="str">
        <x:v>state recognized without maturity credit</x:v>
      </x:c>
      <x:c r="E284" s="28" t="n">
        <x:f>IF(OR('Evidence Gates'!I194="OPEN",'Evidence Gates'!I194="PASS",'Evidence Gates'!I194="FAIL"),1,0)</x:f>
        <x:v>1</x:v>
      </x:c>
      <x:c r="F284" s="28" t="n">
        <x:v>1</x:v>
      </x:c>
      <x:c r="G284" s="30" t="str">
        <x:f>IF(E284=F284,"PASS","FAIL")</x:f>
        <x:v>PASS</x:v>
      </x:c>
    </x:row>
    <x:row r="285">
      <x:c r="B285" s="28" t="str">
        <x:v>evidence 189</x:v>
      </x:c>
      <x:c r="C285" s="28" t="str">
        <x:v>evidence</x:v>
      </x:c>
      <x:c r="D285" s="28" t="str">
        <x:v>state recognized without maturity credit</x:v>
      </x:c>
      <x:c r="E285" s="28" t="n">
        <x:f>IF(OR('Evidence Gates'!I195="OPEN",'Evidence Gates'!I195="PASS",'Evidence Gates'!I195="FAIL"),1,0)</x:f>
        <x:v>1</x:v>
      </x:c>
      <x:c r="F285" s="28" t="n">
        <x:v>1</x:v>
      </x:c>
      <x:c r="G285" s="30" t="str">
        <x:f>IF(E285=F285,"PASS","FAIL")</x:f>
        <x:v>PASS</x:v>
      </x:c>
    </x:row>
    <x:row r="286">
      <x:c r="B286" s="28" t="str">
        <x:v>evidence 190</x:v>
      </x:c>
      <x:c r="C286" s="28" t="str">
        <x:v>evidence</x:v>
      </x:c>
      <x:c r="D286" s="28" t="str">
        <x:v>state recognized without maturity credit</x:v>
      </x:c>
      <x:c r="E286" s="28" t="n">
        <x:f>IF(OR('Evidence Gates'!I196="OPEN",'Evidence Gates'!I196="PASS",'Evidence Gates'!I196="FAIL"),1,0)</x:f>
        <x:v>1</x:v>
      </x:c>
      <x:c r="F286" s="28" t="n">
        <x:v>1</x:v>
      </x:c>
      <x:c r="G286" s="30" t="str">
        <x:f>IF(E286=F286,"PASS","FAIL")</x:f>
        <x:v>PASS</x:v>
      </x:c>
    </x:row>
    <x:row r="287">
      <x:c r="B287" s="28" t="str">
        <x:v>evidence 191</x:v>
      </x:c>
      <x:c r="C287" s="28" t="str">
        <x:v>evidence</x:v>
      </x:c>
      <x:c r="D287" s="28" t="str">
        <x:v>state recognized without maturity credit</x:v>
      </x:c>
      <x:c r="E287" s="28" t="n">
        <x:f>IF(OR('Evidence Gates'!I197="OPEN",'Evidence Gates'!I197="PASS",'Evidence Gates'!I197="FAIL"),1,0)</x:f>
        <x:v>1</x:v>
      </x:c>
      <x:c r="F287" s="28" t="n">
        <x:v>1</x:v>
      </x:c>
      <x:c r="G287" s="30" t="str">
        <x:f>IF(E287=F287,"PASS","FAIL")</x:f>
        <x:v>PASS</x:v>
      </x:c>
    </x:row>
    <x:row r="288">
      <x:c r="B288" s="28" t="str">
        <x:v>evidence 192</x:v>
      </x:c>
      <x:c r="C288" s="28" t="str">
        <x:v>evidence</x:v>
      </x:c>
      <x:c r="D288" s="28" t="str">
        <x:v>state recognized without maturity credit</x:v>
      </x:c>
      <x:c r="E288" s="28" t="n">
        <x:f>IF(OR('Evidence Gates'!I198="OPEN",'Evidence Gates'!I198="PASS",'Evidence Gates'!I198="FAIL"),1,0)</x:f>
        <x:v>1</x:v>
      </x:c>
      <x:c r="F288" s="28" t="n">
        <x:v>1</x:v>
      </x:c>
      <x:c r="G288" s="30" t="str">
        <x:f>IF(E288=F288,"PASS","FAIL")</x:f>
        <x:v>PASS</x:v>
      </x:c>
    </x:row>
    <x:row r="289">
      <x:c r="B289" s="28" t="str">
        <x:v>evidence 193</x:v>
      </x:c>
      <x:c r="C289" s="28" t="str">
        <x:v>evidence</x:v>
      </x:c>
      <x:c r="D289" s="28" t="str">
        <x:v>state recognized without maturity credit</x:v>
      </x:c>
      <x:c r="E289" s="28" t="n">
        <x:f>IF(OR('Evidence Gates'!I199="OPEN",'Evidence Gates'!I199="PASS",'Evidence Gates'!I199="FAIL"),1,0)</x:f>
        <x:v>1</x:v>
      </x:c>
      <x:c r="F289" s="28" t="n">
        <x:v>1</x:v>
      </x:c>
      <x:c r="G289" s="30" t="str">
        <x:f>IF(E289=F289,"PASS","FAIL")</x:f>
        <x:v>PASS</x:v>
      </x:c>
    </x:row>
    <x:row r="290">
      <x:c r="B290" s="28" t="str">
        <x:v>evidence 194</x:v>
      </x:c>
      <x:c r="C290" s="28" t="str">
        <x:v>evidence</x:v>
      </x:c>
      <x:c r="D290" s="28" t="str">
        <x:v>state recognized without maturity credit</x:v>
      </x:c>
      <x:c r="E290" s="28" t="n">
        <x:f>IF(OR('Evidence Gates'!I200="OPEN",'Evidence Gates'!I200="PASS",'Evidence Gates'!I200="FAIL"),1,0)</x:f>
        <x:v>1</x:v>
      </x:c>
      <x:c r="F290" s="28" t="n">
        <x:v>1</x:v>
      </x:c>
      <x:c r="G290" s="30" t="str">
        <x:f>IF(E290=F290,"PASS","FAIL")</x:f>
        <x:v>PASS</x:v>
      </x:c>
    </x:row>
    <x:row r="291">
      <x:c r="B291" s="28" t="str">
        <x:v>evidence 195</x:v>
      </x:c>
      <x:c r="C291" s="28" t="str">
        <x:v>evidence</x:v>
      </x:c>
      <x:c r="D291" s="28" t="str">
        <x:v>state recognized without maturity credit</x:v>
      </x:c>
      <x:c r="E291" s="28" t="n">
        <x:f>IF(OR('Evidence Gates'!I201="OPEN",'Evidence Gates'!I201="PASS",'Evidence Gates'!I201="FAIL"),1,0)</x:f>
        <x:v>1</x:v>
      </x:c>
      <x:c r="F291" s="28" t="n">
        <x:v>1</x:v>
      </x:c>
      <x:c r="G291" s="30" t="str">
        <x:f>IF(E291=F291,"PASS","FAIL")</x:f>
        <x:v>PASS</x:v>
      </x:c>
    </x:row>
    <x:row r="292">
      <x:c r="B292" s="28" t="str">
        <x:v>evidence 196</x:v>
      </x:c>
      <x:c r="C292" s="28" t="str">
        <x:v>evidence</x:v>
      </x:c>
      <x:c r="D292" s="28" t="str">
        <x:v>state recognized without maturity credit</x:v>
      </x:c>
      <x:c r="E292" s="28" t="n">
        <x:f>IF(OR('Evidence Gates'!I202="OPEN",'Evidence Gates'!I202="PASS",'Evidence Gates'!I202="FAIL"),1,0)</x:f>
        <x:v>1</x:v>
      </x:c>
      <x:c r="F292" s="28" t="n">
        <x:v>1</x:v>
      </x:c>
      <x:c r="G292" s="30" t="str">
        <x:f>IF(E292=F292,"PASS","FAIL")</x:f>
        <x:v>PASS</x:v>
      </x:c>
    </x:row>
    <x:row r="293">
      <x:c r="B293" s="28" t="str">
        <x:v>evidence 197</x:v>
      </x:c>
      <x:c r="C293" s="28" t="str">
        <x:v>evidence</x:v>
      </x:c>
      <x:c r="D293" s="28" t="str">
        <x:v>state recognized without maturity credit</x:v>
      </x:c>
      <x:c r="E293" s="28" t="n">
        <x:f>IF(OR('Evidence Gates'!I203="OPEN",'Evidence Gates'!I203="PASS",'Evidence Gates'!I203="FAIL"),1,0)</x:f>
        <x:v>1</x:v>
      </x:c>
      <x:c r="F293" s="28" t="n">
        <x:v>1</x:v>
      </x:c>
      <x:c r="G293" s="30" t="str">
        <x:f>IF(E293=F293,"PASS","FAIL")</x:f>
        <x:v>PASS</x:v>
      </x:c>
    </x:row>
    <x:row r="294">
      <x:c r="B294" s="28" t="str">
        <x:v>evidence 198</x:v>
      </x:c>
      <x:c r="C294" s="28" t="str">
        <x:v>evidence</x:v>
      </x:c>
      <x:c r="D294" s="28" t="str">
        <x:v>state recognized without maturity credit</x:v>
      </x:c>
      <x:c r="E294" s="28" t="n">
        <x:f>IF(OR('Evidence Gates'!I204="OPEN",'Evidence Gates'!I204="PASS",'Evidence Gates'!I204="FAIL"),1,0)</x:f>
        <x:v>1</x:v>
      </x:c>
      <x:c r="F294" s="28" t="n">
        <x:v>1</x:v>
      </x:c>
      <x:c r="G294" s="30" t="str">
        <x:f>IF(E294=F294,"PASS","FAIL")</x:f>
        <x:v>PASS</x:v>
      </x:c>
    </x:row>
    <x:row r="295">
      <x:c r="B295" s="28" t="str">
        <x:v>evidence 199</x:v>
      </x:c>
      <x:c r="C295" s="28" t="str">
        <x:v>evidence</x:v>
      </x:c>
      <x:c r="D295" s="28" t="str">
        <x:v>state recognized without maturity credit</x:v>
      </x:c>
      <x:c r="E295" s="28" t="n">
        <x:f>IF(OR('Evidence Gates'!I205="OPEN",'Evidence Gates'!I205="PASS",'Evidence Gates'!I205="FAIL"),1,0)</x:f>
        <x:v>1</x:v>
      </x:c>
      <x:c r="F295" s="28" t="n">
        <x:v>1</x:v>
      </x:c>
      <x:c r="G295" s="30" t="str">
        <x:f>IF(E295=F295,"PASS","FAIL")</x:f>
        <x:v>PASS</x:v>
      </x:c>
    </x:row>
    <x:row r="296">
      <x:c r="B296" s="31" t="str">
        <x:v>evidence 200</x:v>
      </x:c>
      <x:c r="C296" s="31" t="str">
        <x:v>evidence</x:v>
      </x:c>
      <x:c r="D296" s="31" t="str">
        <x:v>state recognized without maturity credit</x:v>
      </x:c>
      <x:c r="E296" s="31" t="n">
        <x:f>IF(OR('Evidence Gates'!I206="OPEN",'Evidence Gates'!I206="PASS",'Evidence Gates'!I206="FAIL"),1,0)</x:f>
        <x:v>1</x:v>
      </x:c>
      <x:c r="F296" s="31" t="n">
        <x:v>1</x:v>
      </x:c>
      <x:c r="G296" s="33" t="str">
        <x:f>IF(E296=F296,"PASS","FAIL")</x:f>
        <x:v>PASS</x:v>
      </x:c>
    </x:row>
  </x:sheetData>
  <x:mergeCells>
    <x:mergeCell ref="B2:H2"/>
    <x:mergeCell ref="B3:G3"/>
  </x:mergeCells>
  <x:conditionalFormatting sqref="G7:G296">
    <x:cfRule type="containsText" dxfId="68" priority="1" operator="containsText" text="FAIL"/>
    <x:cfRule type="containsText" dxfId="69" priority="2" operator="containsText" text="PASS"/>
    <x:cfRule type="containsText" dxfId="70" priority="3" operator="containsText" text="OPEN"/>
    <x:cfRule type="containsText" dxfId="71" priority="4" operator="containsText" text="BLOCKED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7B8790"/>
  </x:sheetPr>
  <x:sheetViews>
    <x:sheetView showGridLines="0" workbookViewId="0"/>
  </x:sheetViews>
  <x:sheetFormatPr defaultRowHeight="15"/>
  <x:cols>
    <x:col min="2" max="2" width="28" hidden="0" customWidth="1"/>
    <x:col min="3" max="3" width="38" hidden="0" customWidth="1"/>
    <x:col min="4" max="4" width="28" hidden="0" customWidth="1"/>
    <x:col min="5" max="5" width="26" hidden="0" customWidth="1"/>
    <x:col min="6" max="6" width="26" hidden="0" customWidth="1"/>
    <x:col min="7" max="7" width="20" hidden="0" customWidth="1"/>
    <x:col min="8" max="8" width="28" hidden="0" customWidth="1"/>
    <x:col min="9" max="9" width="24" hidden="0" customWidth="1"/>
    <x:col min="10" max="10" width="18" hidden="0" customWidth="1"/>
  </x:cols>
  <x:sheetData>
    <x:row r="2">
      <x:c r="B2" s="43" t="str">
        <x:v>Workbook guide</x:v>
      </x:c>
      <x:c r="C2" s="24"/>
      <x:c r="D2" s="24"/>
      <x:c r="E2" s="24"/>
      <x:c r="F2" s="24"/>
      <x:c r="G2" s="24"/>
      <x:c r="H2" s="24"/>
      <x:c r="I2" s="24"/>
      <x:c r="J2" s="24"/>
    </x:row>
    <x:row r="3">
      <x:c r="B3" s="44" t="str">
        <x:v>Read as a requirements and evidence compiler, not a feasibility certificate or appropriation forecast</x:v>
      </x:c>
      <x:c r="C3" s="24"/>
      <x:c r="D3" s="24"/>
      <x:c r="E3" s="24"/>
      <x:c r="F3" s="24"/>
      <x:c r="G3" s="24"/>
      <x:c r="H3" s="24"/>
      <x:c r="I3" s="24"/>
      <x:c r="J3" s="24"/>
    </x:row>
    <x:row r="4">
      <x:c r="B4" s="45"/>
      <x:c r="C4" s="45"/>
      <x:c r="D4" s="45"/>
      <x:c r="E4" s="45"/>
      <x:c r="F4" s="45"/>
      <x:c r="G4" s="45"/>
      <x:c r="H4" s="45"/>
      <x:c r="I4" s="45"/>
      <x:c r="J4" s="45"/>
    </x:row>
    <x:row r="5">
      <x:c r="B5" s="24"/>
      <x:c r="C5" s="24"/>
      <x:c r="D5" s="24"/>
      <x:c r="E5" s="24"/>
      <x:c r="F5" s="24"/>
      <x:c r="G5" s="24"/>
      <x:c r="H5" s="24"/>
      <x:c r="I5" s="24"/>
      <x:c r="J5" s="24"/>
    </x:row>
    <x:row r="6">
      <x:c r="B6" s="26" t="str">
        <x:v>Sheet</x:v>
      </x:c>
      <x:c r="C6" s="27" t="str">
        <x:v>Purpose</x:v>
      </x:c>
      <x:c r="D6" s="27" t="str">
        <x:v>Decision use</x:v>
      </x:c>
      <x:c r="E6" s="27" t="str">
        <x:v>Inputs</x:v>
      </x:c>
      <x:c r="F6" s="27" t="str">
        <x:v>Outputs</x:v>
      </x:c>
      <x:c r="G6" s="27" t="str">
        <x:v>Evidence posture</x:v>
      </x:c>
      <x:c r="H6" s="27" t="str">
        <x:v>Do not infer</x:v>
      </x:c>
      <x:c r="I6" s="27" t="str">
        <x:v>Owner</x:v>
      </x:c>
      <x:c r="J6" s="27" t="str">
        <x:v>Review</x:v>
      </x:c>
    </x:row>
    <x:row r="7">
      <x:c r="B7" s="28" t="str">
        <x:v>Summary</x:v>
      </x:c>
      <x:c r="C7" s="28" t="str">
        <x:v>decision boundary</x:v>
      </x:c>
      <x:c r="D7" s="28" t="str">
        <x:v>select development reference</x:v>
      </x:c>
      <x:c r="E7" s="28" t="str">
        <x:v>all sheets</x:v>
      </x:c>
      <x:c r="F7" s="28" t="str">
        <x:v>physical fiscal and evidence boundary</x:v>
      </x:c>
      <x:c r="G7" s="28" t="str">
        <x:v>open</x:v>
      </x:c>
      <x:c r="H7" s="28" t="str">
        <x:v>fleet readiness</x:v>
      </x:c>
      <x:c r="I7" s="28" t="str">
        <x:v>research lead</x:v>
      </x:c>
      <x:c r="J7" s="30" t="str">
        <x:v>each pass</x:v>
      </x:c>
    </x:row>
    <x:row r="8">
      <x:c r="B8" s="28" t="str">
        <x:v>Assumptions</x:v>
      </x:c>
      <x:c r="C8" s="28" t="str">
        <x:v>declared controls</x:v>
      </x:c>
      <x:c r="D8" s="28" t="str">
        <x:v>make inheritance visible</x:v>
      </x:c>
      <x:c r="E8" s="28" t="str">
        <x:v>prior passes</x:v>
      </x:c>
      <x:c r="F8" s="28" t="str">
        <x:v>named inputs</x:v>
      </x:c>
      <x:c r="G8" s="28" t="str">
        <x:v>unmeasured</x:v>
      </x:c>
      <x:c r="H8" s="28" t="str">
        <x:v>precision</x:v>
      </x:c>
      <x:c r="I8" s="28" t="str">
        <x:v>model owner</x:v>
      </x:c>
      <x:c r="J8" s="30" t="str">
        <x:v>change control</x:v>
      </x:c>
    </x:row>
    <x:row r="9">
      <x:c r="B9" s="28" t="str">
        <x:v>Burden Contract</x:v>
      </x:c>
      <x:c r="C9" s="28" t="str">
        <x:v>natural mass grammar</x:v>
      </x:c>
      <x:c r="D9" s="28" t="str">
        <x:v>prevent false equal mass</x:v>
      </x:c>
      <x:c r="E9" s="28" t="str">
        <x:v>Pass 82 burden</x:v>
      </x:c>
      <x:c r="F9" s="28" t="str">
        <x:v>five families</x:v>
      </x:c>
      <x:c r="G9" s="28" t="str">
        <x:v>open</x:v>
      </x:c>
      <x:c r="H9" s="28" t="str">
        <x:v>buildability</x:v>
      </x:c>
      <x:c r="I9" s="28" t="str">
        <x:v>payload authority</x:v>
      </x:c>
      <x:c r="J9" s="30" t="str">
        <x:v>article</x:v>
      </x:c>
    </x:row>
    <x:row r="10">
      <x:c r="B10" s="28" t="str">
        <x:v>Architecture</x:v>
      </x:c>
      <x:c r="C10" s="28" t="str">
        <x:v>candidate screen</x:v>
      </x:c>
      <x:c r="D10" s="28" t="str">
        <x:v>select K3</x:v>
      </x:c>
      <x:c r="E10" s="28" t="str">
        <x:v>ten physical gates</x:v>
      </x:c>
      <x:c r="F10" s="28" t="str">
        <x:v>decision</x:v>
      </x:c>
      <x:c r="G10" s="28" t="str">
        <x:v>open</x:v>
      </x:c>
      <x:c r="H10" s="28" t="str">
        <x:v>optimization</x:v>
      </x:c>
      <x:c r="I10" s="28" t="str">
        <x:v>red team</x:v>
      </x:c>
      <x:c r="J10" s="30" t="str">
        <x:v>pass</x:v>
      </x:c>
    </x:row>
    <x:row r="11">
      <x:c r="B11" s="28" t="str">
        <x:v>Air Tiles</x:v>
      </x:c>
      <x:c r="C11" s="28" t="str">
        <x:v>air lineage</x:v>
      </x:c>
      <x:c r="D11" s="28" t="str">
        <x:v>specify articles</x:v>
      </x:c>
      <x:c r="E11" s="28" t="str">
        <x:v>burden contract</x:v>
      </x:c>
      <x:c r="F11" s="28" t="str">
        <x:v>five tiles</x:v>
      </x:c>
      <x:c r="G11" s="28" t="str">
        <x:v>open</x:v>
      </x:c>
      <x:c r="H11" s="28" t="str">
        <x:v>flight proof</x:v>
      </x:c>
      <x:c r="I11" s="28" t="str">
        <x:v>air authority</x:v>
      </x:c>
      <x:c r="J11" s="30" t="str">
        <x:v>trial</x:v>
      </x:c>
    </x:row>
    <x:row r="12">
      <x:c r="B12" s="28" t="str">
        <x:v>Terrain Tiles</x:v>
      </x:c>
      <x:c r="C12" s="28" t="str">
        <x:v>terrain lineage</x:v>
      </x:c>
      <x:c r="D12" s="28" t="str">
        <x:v>specify articles</x:v>
      </x:c>
      <x:c r="E12" s="28" t="str">
        <x:v>burden contract</x:v>
      </x:c>
      <x:c r="F12" s="28" t="str">
        <x:v>five tiles</x:v>
      </x:c>
      <x:c r="G12" s="28" t="str">
        <x:v>open</x:v>
      </x:c>
      <x:c r="H12" s="28" t="str">
        <x:v>route proof</x:v>
      </x:c>
      <x:c r="I12" s="28" t="str">
        <x:v>terrain authority</x:v>
      </x:c>
      <x:c r="J12" s="30" t="str">
        <x:v>trial</x:v>
      </x:c>
    </x:row>
    <x:row r="13">
      <x:c r="B13" s="28" t="str">
        <x:v>Carrier Interface</x:v>
      </x:c>
      <x:c r="C13" s="28" t="str">
        <x:v>coupled correction</x:v>
      </x:c>
      <x:c r="D13" s="28" t="str">
        <x:v>expose vehicle impacts</x:v>
      </x:c>
      <x:c r="E13" s="28" t="str">
        <x:v>carrier passes</x:v>
      </x:c>
      <x:c r="F13" s="28" t="str">
        <x:v>mass time pressure</x:v>
      </x:c>
      <x:c r="G13" s="28" t="str">
        <x:v>open</x:v>
      </x:c>
      <x:c r="H13" s="28" t="str">
        <x:v>certification</x:v>
      </x:c>
      <x:c r="I13" s="28" t="str">
        <x:v>vehicle authorities</x:v>
      </x:c>
      <x:c r="J13" s="30" t="str">
        <x:v>trial</x:v>
      </x:c>
    </x:row>
    <x:row r="14">
      <x:c r="B14" s="28" t="str">
        <x:v>Service Closure</x:v>
      </x:c>
      <x:c r="C14" s="28" t="str">
        <x:v>casualty proof</x:v>
      </x:c>
      <x:c r="D14" s="28" t="str">
        <x:v>protect public effect</x:v>
      </x:c>
      <x:c r="E14" s="28" t="str">
        <x:v>family counts</x:v>
      </x:c>
      <x:c r="F14" s="28" t="str">
        <x:v>survivor quorum</x:v>
      </x:c>
      <x:c r="G14" s="28" t="str">
        <x:v>open</x:v>
      </x:c>
      <x:c r="H14" s="28" t="str">
        <x:v>field capacity</x:v>
      </x:c>
      <x:c r="I14" s="28" t="str">
        <x:v>civil authorities</x:v>
      </x:c>
      <x:c r="J14" s="30" t="str">
        <x:v>exercise</x:v>
      </x:c>
    </x:row>
    <x:row r="15">
      <x:c r="B15" s="28" t="str">
        <x:v>Mission Workforce</x:v>
      </x:c>
      <x:c r="C15" s="28" t="str">
        <x:v>clock fleet people</x:v>
      </x:c>
      <x:c r="D15" s="28" t="str">
        <x:v>price readiness</x:v>
      </x:c>
      <x:c r="E15" s="28" t="str">
        <x:v>mission assumptions</x:v>
      </x:c>
      <x:c r="F15" s="28" t="str">
        <x:v>margins articles people</x:v>
      </x:c>
      <x:c r="G15" s="28" t="str">
        <x:v>open</x:v>
      </x:c>
      <x:c r="H15" s="28" t="str">
        <x:v>availability</x:v>
      </x:c>
      <x:c r="I15" s="28" t="str">
        <x:v>mission authority</x:v>
      </x:c>
      <x:c r="J15" s="30" t="str">
        <x:v>cycle</x:v>
      </x:c>
    </x:row>
    <x:row r="16">
      <x:c r="B16" s="28" t="str">
        <x:v>Program Cost</x:v>
      </x:c>
      <x:c r="C16" s="28" t="str">
        <x:v>25-year boundary</x:v>
      </x:c>
      <x:c r="D16" s="28" t="str">
        <x:v>compare duplication</x:v>
      </x:c>
      <x:c r="E16" s="28" t="str">
        <x:v>declared accounts</x:v>
      </x:c>
      <x:c r="F16" s="28" t="str">
        <x:v>premium</x:v>
      </x:c>
      <x:c r="G16" s="28" t="str">
        <x:v>open</x:v>
      </x:c>
      <x:c r="H16" s="28" t="str">
        <x:v>appropriation forecast</x:v>
      </x:c>
      <x:c r="I16" s="28" t="str">
        <x:v>fiscal authority</x:v>
      </x:c>
      <x:c r="J16" s="30" t="str">
        <x:v>annual</x:v>
      </x:c>
    </x:row>
    <x:row r="17">
      <x:c r="B17" s="28" t="str">
        <x:v>Technology</x:v>
      </x:c>
      <x:c r="C17" s="28" t="str">
        <x:v>innovation portfolio</x:v>
      </x:c>
      <x:c r="D17" s="28" t="str">
        <x:v>sequence inventions</x:v>
      </x:c>
      <x:c r="E17" s="28" t="str">
        <x:v>25 campaigns</x:v>
      </x:c>
      <x:c r="F17" s="28" t="str">
        <x:v>$1.050T nested</x:v>
      </x:c>
      <x:c r="G17" s="28" t="str">
        <x:v>open</x:v>
      </x:c>
      <x:c r="H17" s="28" t="str">
        <x:v>success</x:v>
      </x:c>
      <x:c r="I17" s="28" t="str">
        <x:v>technology authority</x:v>
      </x:c>
      <x:c r="J17" s="30" t="str">
        <x:v>gate</x:v>
      </x:c>
    </x:row>
    <x:row r="18">
      <x:c r="B18" s="28" t="str">
        <x:v>Evidence Gates</x:v>
      </x:c>
      <x:c r="C18" s="28" t="str">
        <x:v>falsification register</x:v>
      </x:c>
      <x:c r="D18" s="28" t="str">
        <x:v>withhold maturity</x:v>
      </x:c>
      <x:c r="E18" s="28" t="str">
        <x:v>200 gates</x:v>
      </x:c>
      <x:c r="F18" s="28" t="str">
        <x:v>OPEN states</x:v>
      </x:c>
      <x:c r="G18" s="28" t="str">
        <x:v>zero credit</x:v>
      </x:c>
      <x:c r="H18" s="28" t="str">
        <x:v>probability</x:v>
      </x:c>
      <x:c r="I18" s="28" t="str">
        <x:v>evidence authority</x:v>
      </x:c>
      <x:c r="J18" s="30" t="str">
        <x:v>gate</x:v>
      </x:c>
    </x:row>
    <x:row r="19">
      <x:c r="B19" s="28" t="str">
        <x:v>Audit</x:v>
      </x:c>
      <x:c r="C19" s="28" t="str">
        <x:v>terminal controls</x:v>
      </x:c>
      <x:c r="D19" s="28" t="str">
        <x:v>reconcile model</x:v>
      </x:c>
      <x:c r="E19" s="28" t="str">
        <x:v>sheet outputs</x:v>
      </x:c>
      <x:c r="F19" s="28" t="str">
        <x:v>290 checks</x:v>
      </x:c>
      <x:c r="G19" s="28" t="str">
        <x:v>model only</x:v>
      </x:c>
      <x:c r="H19" s="28" t="str">
        <x:v>external validity</x:v>
      </x:c>
      <x:c r="I19" s="28" t="str">
        <x:v>audit authority</x:v>
      </x:c>
      <x:c r="J19" s="30" t="str">
        <x:v>build</x:v>
      </x:c>
    </x:row>
    <x:row r="20">
      <x:c r="B20" s="31" t="str">
        <x:v>ReadMe</x:v>
      </x:c>
      <x:c r="C20" s="31" t="str">
        <x:v>navigation</x:v>
      </x:c>
      <x:c r="D20" s="31" t="str">
        <x:v>prevent misuse</x:v>
      </x:c>
      <x:c r="E20" s="31" t="str">
        <x:v>sheet map</x:v>
      </x:c>
      <x:c r="F20" s="31" t="str">
        <x:v>interpretation</x:v>
      </x:c>
      <x:c r="G20" s="31" t="str">
        <x:v>current</x:v>
      </x:c>
      <x:c r="H20" s="31" t="str">
        <x:v>feasibility</x:v>
      </x:c>
      <x:c r="I20" s="31" t="str">
        <x:v>research lead</x:v>
      </x:c>
      <x:c r="J20" s="33" t="str">
        <x:v>each pass</x:v>
      </x:c>
    </x:row>
    <x:row r="21">
      <x:c r="B21" s="24"/>
      <x:c r="C21" s="24"/>
      <x:c r="D21" s="24"/>
      <x:c r="E21" s="24"/>
      <x:c r="F21" s="24"/>
      <x:c r="G21" s="24"/>
      <x:c r="H21" s="24"/>
      <x:c r="I21" s="24"/>
      <x:c r="J21" s="24"/>
    </x:row>
    <x:row r="22">
      <x:c r="B22" s="24"/>
      <x:c r="C22" s="24"/>
      <x:c r="D22" s="24"/>
      <x:c r="E22" s="24"/>
      <x:c r="F22" s="24"/>
      <x:c r="G22" s="24"/>
      <x:c r="H22" s="24"/>
      <x:c r="I22" s="24"/>
      <x:c r="J22" s="24"/>
    </x:row>
    <x:row r="23">
      <x:c r="B23" s="46" t="str">
        <x:v>Constitution</x:v>
      </x:c>
      <x:c r="C23" s="47" t="str">
        <x:v>Constitution</x:v>
      </x:c>
      <x:c r="D23" s="47" t="str">
        <x:v>Constitution</x:v>
      </x:c>
      <x:c r="E23" s="47" t="str">
        <x:v>Constitution</x:v>
      </x:c>
      <x:c r="F23" s="47" t="str">
        <x:v>Constitution</x:v>
      </x:c>
      <x:c r="G23" s="47" t="str">
        <x:v>Constitution</x:v>
      </x:c>
      <x:c r="H23" s="47" t="str">
        <x:v>Constitution</x:v>
      </x:c>
      <x:c r="I23" s="47" t="str">
        <x:v>Constitution</x:v>
      </x:c>
      <x:c r="J23" s="48" t="str">
        <x:v>Constitution</x:v>
      </x:c>
    </x:row>
    <x:row r="24">
      <x:c r="B24" s="38" t="str">
        <x:v>Blue inputs</x:v>
      </x:c>
      <x:c r="C24" s="24" t="str">
        <x:v>declared or inherited values remain hypotheses until accepted artifacts close their gates</x:v>
      </x:c>
      <x:c r="D24" s="24" t="str"/>
      <x:c r="E24" s="24" t="str"/>
      <x:c r="F24" s="24" t="str"/>
      <x:c r="G24" s="24" t="str"/>
      <x:c r="H24" s="24" t="str"/>
      <x:c r="I24" s="24" t="str"/>
      <x:c r="J24" s="24" t="str"/>
    </x:row>
    <x:row r="25">
      <x:c r="B25" s="38" t="str">
        <x:v>Green PASS</x:v>
      </x:c>
      <x:c r="C25" s="24" t="str">
        <x:v>a deterministic reconciliation passed; this is not physical proof</x:v>
      </x:c>
      <x:c r="D25" s="24" t="str"/>
      <x:c r="E25" s="24" t="str"/>
      <x:c r="F25" s="24" t="str"/>
      <x:c r="G25" s="24" t="str"/>
      <x:c r="H25" s="24" t="str"/>
      <x:c r="I25" s="24" t="str"/>
      <x:c r="J25" s="24" t="str"/>
    </x:row>
    <x:row r="26">
      <x:c r="B26" s="38" t="str">
        <x:v>Amber OPEN</x:v>
      </x:c>
      <x:c r="C26" s="24" t="str">
        <x:v>the evidence state is recognized and receives zero maturity credit</x:v>
      </x:c>
      <x:c r="D26" s="24" t="str"/>
      <x:c r="E26" s="24" t="str"/>
      <x:c r="F26" s="24" t="str"/>
      <x:c r="G26" s="24" t="str"/>
      <x:c r="H26" s="24" t="str"/>
      <x:c r="I26" s="24" t="str"/>
      <x:c r="J26" s="24" t="str"/>
    </x:row>
    <x:row r="27">
      <x:c r="B27" s="38" t="str">
        <x:v>Red FAIL</x:v>
      </x:c>
      <x:c r="C27" s="24" t="str">
        <x:v>the architecture or model must reopen</x:v>
      </x:c>
      <x:c r="D27" s="24" t="str"/>
      <x:c r="E27" s="24" t="str"/>
      <x:c r="F27" s="24" t="str"/>
      <x:c r="G27" s="24" t="str"/>
      <x:c r="H27" s="24" t="str"/>
      <x:c r="I27" s="24" t="str"/>
      <x:c r="J27" s="24" t="str"/>
    </x:row>
    <x:row r="28">
      <x:c r="B28" s="38" t="str">
        <x:v>Common semantics</x:v>
      </x:c>
      <x:c r="C28" s="24" t="str">
        <x:v>CUIC-1 enables legible handoff but never earns causal-independence credit</x:v>
      </x:c>
      <x:c r="D28" s="24" t="str"/>
      <x:c r="E28" s="24" t="str"/>
      <x:c r="F28" s="24" t="str"/>
      <x:c r="G28" s="24" t="str"/>
      <x:c r="H28" s="24" t="str"/>
      <x:c r="I28" s="24" t="str"/>
      <x:c r="J28" s="24" t="str"/>
    </x:row>
    <x:row r="29">
      <x:c r="B29" s="38" t="str">
        <x:v>Cost units</x:v>
      </x:c>
      <x:c r="C29" s="24" t="str">
        <x:v>billions of dollars over 25 years; technology portfolio is nested inside the tile program</x:v>
      </x:c>
      <x:c r="D29" s="24" t="str"/>
      <x:c r="E29" s="24" t="str"/>
      <x:c r="F29" s="24" t="str"/>
      <x:c r="G29" s="24" t="str"/>
      <x:c r="H29" s="24" t="str"/>
      <x:c r="I29" s="24" t="str"/>
      <x:c r="J29" s="24" t="str"/>
    </x:row>
    <x:row r="30">
      <x:c r="B30" s="38" t="str">
        <x:v>Rendering</x:v>
      </x:c>
      <x:c r="C30" s="24" t="str">
        <x:v>exterior vehicle imagery remains blocked pending representative physical articles</x:v>
      </x:c>
      <x:c r="D30" s="24" t="str"/>
      <x:c r="E30" s="24" t="str"/>
      <x:c r="F30" s="24" t="str"/>
      <x:c r="G30" s="24" t="str"/>
      <x:c r="H30" s="24" t="str"/>
      <x:c r="I30" s="24" t="str"/>
      <x:c r="J30" s="24" t="str"/>
    </x:row>
  </x:sheetData>
  <x:mergeCells>
    <x:mergeCell ref="B2:H2"/>
    <x:mergeCell ref="B3:J3"/>
    <x:mergeCell ref="B23:J23"/>
  </x:mergeCells>
  <x:pageMargins left="0.7" right="0.7" top="0.75" bottom="0.75" header="0.3" footer="0.3"/>
</x:worksheet>
</file>