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8c2c4c071949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Decision" sheetId="1" r:id="Rc5361f8cfd464adf"/>
    <x:sheet xmlns:r="http://schemas.openxmlformats.org/officeDocument/2006/relationships" name="01 Controls" sheetId="2" r:id="R34e8d84aec5242c6"/>
    <x:sheet xmlns:r="http://schemas.openxmlformats.org/officeDocument/2006/relationships" name="02 Architectures" sheetId="3" r:id="R691fe90747de4564"/>
    <x:sheet xmlns:r="http://schemas.openxmlformats.org/officeDocument/2006/relationships" name="03 Failure Worlds" sheetId="4" r:id="R3a24fb012fcb4c60"/>
    <x:sheet xmlns:r="http://schemas.openxmlformats.org/officeDocument/2006/relationships" name="04 Release Logic" sheetId="5" r:id="R1c3a43db40304e8e"/>
    <x:sheet xmlns:r="http://schemas.openxmlformats.org/officeDocument/2006/relationships" name="05 Cost &amp; Mass" sheetId="6" r:id="R966eddbe95df457c"/>
    <x:sheet xmlns:r="http://schemas.openxmlformats.org/officeDocument/2006/relationships" name="06 Test Contract" sheetId="7" r:id="Rf84c036edf52479a"/>
    <x:sheet xmlns:r="http://schemas.openxmlformats.org/officeDocument/2006/relationships" name="07 Evidence" sheetId="8" r:id="Rd58369cf4db84a65"/>
    <x:sheet xmlns:r="http://schemas.openxmlformats.org/officeDocument/2006/relationships" name="08 Integrity" sheetId="9" r:id="R431ed4f2934949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#,##0.00"/>
    <x:numFmt numFmtId="201" formatCode="#,##0"/>
    <x:numFmt numFmtId="202" formatCode="0.0%"/>
    <x:numFmt numFmtId="203" formatCode="0"/>
    <x:numFmt numFmtId="204" formatCode="#,##0.0"/>
    <x:numFmt numFmtId="205" formatCode="$#,##0.00"/>
    <x:numFmt numFmtId="206" formatCode="$#,##0.0"/>
    <x:numFmt numFmtId="207" formatCode="0.00"/>
    <x:numFmt numFmtId="208" formatCode="#,##0.000000"/>
  </x:numFmts>
  <x:fonts count="6">
    <x:font>
      <x:sz val="11"/>
      <x:name val="Carlito"/>
    </x:font>
    <x:font>
      <x:b/>
      <x:sz val="15"/>
      <x:color rgb="FF17212B"/>
      <x:name val="Arial"/>
    </x:font>
    <x:font>
      <x:i/>
      <x:sz val="10"/>
      <x:color rgb="FF5C6873"/>
      <x:name val="Arial"/>
    </x:font>
    <x:font>
      <x:b/>
      <x:sz val="10"/>
      <x:color rgb="FFFFFFFF"/>
      <x:name val="Arial"/>
    </x:font>
    <x:font>
      <x:sz val="10"/>
      <x:color rgb="FF17212B"/>
      <x:name val="Arial"/>
    </x:font>
    <x:font>
      <x:sz val="10"/>
      <x:color rgb="FF0000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1CC"/>
      </x:patternFill>
    </x:fill>
  </x:fills>
  <x:borders count="3">
    <x:border/>
    <x:border>
      <x:bottom style="medium">
        <x:color rgb="FF17324D"/>
      </x:bottom>
    </x:border>
    <x:border>
      <x:bottom style="medium">
        <x:color rgb="FFFFFFFF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/>
    </x:xf>
    <x:xf numFmtId="0" fontId="5" fillId="3" borderId="0" xfId="0" applyNumberFormat="1" applyFont="1" applyFill="1" applyBorder="1" applyAlignment="1">
      <x:alignment vertical="top"/>
    </x:xf>
    <x:xf numFmtId="200" fontId="5" fillId="3" borderId="0" xfId="0" applyNumberFormat="1" applyFont="1" applyFill="1" applyBorder="1" applyAlignment="1">
      <x:alignment vertical="top"/>
    </x:xf>
    <x:xf numFmtId="201" fontId="5" fillId="3" borderId="0" xfId="0" applyNumberFormat="1" applyFont="1" applyFill="1" applyBorder="1" applyAlignment="1">
      <x:alignment vertical="top"/>
    </x:xf>
    <x:xf numFmtId="202" fontId="5" fillId="3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203" fontId="5" fillId="3" borderId="0" xfId="0" applyNumberFormat="1" applyFont="1" applyFill="1" applyBorder="1" applyAlignment="1">
      <x:alignment vertical="top"/>
    </x:xf>
    <x:xf numFmtId="204" fontId="5" fillId="3" borderId="0" xfId="0" applyNumberFormat="1" applyFont="1" applyFill="1" applyBorder="1" applyAlignment="1">
      <x:alignment vertical="top"/>
    </x:xf>
    <x:xf numFmtId="205" fontId="5" fillId="3" borderId="0" xfId="0" applyNumberFormat="1" applyFont="1" applyFill="1" applyBorder="1" applyAlignment="1">
      <x:alignment vertical="top"/>
    </x:xf>
    <x:xf numFmtId="204" fontId="4" fillId="0" borderId="0" xfId="0" applyNumberFormat="1" applyFont="1" applyFill="1" applyBorder="1" applyAlignment="1">
      <x:alignment vertical="top"/>
    </x:xf>
    <x:xf numFmtId="206" fontId="4" fillId="0" borderId="0" xfId="0" applyNumberFormat="1" applyFont="1" applyFill="1" applyBorder="1" applyAlignment="1">
      <x:alignment vertical="top"/>
    </x:xf>
    <x:xf numFmtId="203" fontId="4" fillId="0" borderId="0" xfId="0" applyNumberFormat="1" applyFont="1" applyFill="1" applyBorder="1" applyAlignment="1">
      <x:alignment vertical="top" wrapText="1"/>
    </x:xf>
    <x:xf numFmtId="202" fontId="4" fillId="0" borderId="0" xfId="0" applyNumberFormat="1" applyFont="1" applyFill="1" applyBorder="1" applyAlignment="1">
      <x:alignment vertical="top" wrapText="1"/>
    </x:xf>
    <x:xf numFmtId="207" fontId="4" fillId="0" borderId="0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top"/>
    </x:xf>
    <x:xf numFmtId="202" fontId="4" fillId="0" borderId="0" xfId="0" applyNumberFormat="1" applyFont="1" applyFill="1" applyBorder="1" applyAlignment="1">
      <x:alignment vertical="top"/>
    </x:xf>
    <x:xf numFmtId="205" fontId="4" fillId="0" borderId="0" xfId="0" applyNumberFormat="1" applyFont="1" applyFill="1" applyBorder="1" applyAlignment="1">
      <x:alignment vertical="top"/>
    </x:xf>
    <x:xf numFmtId="208" fontId="4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99"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2D5F8B"/>
      </x:font>
      <x:fill>
        <x:patternFill patternType="solid">
          <x:bgColor rgb="FFDCEAF5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2D5F8B"/>
      </x:font>
      <x:fill>
        <x:patternFill patternType="solid">
          <x:bgColor rgb="FFDCEAF5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2D5F8B"/>
      </x:font>
      <x:fill>
        <x:patternFill patternType="solid">
          <x:bgColor rgb="FFDCEAF5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2D5F8B"/>
      </x:font>
      <x:fill>
        <x:patternFill patternType="solid">
          <x:bgColor rgb="FFDCEAF5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2D5F8B"/>
      </x:font>
      <x:fill>
        <x:patternFill patternType="solid">
          <x:bgColor rgb="FFDCEAF5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2D5F8B"/>
      </x:font>
      <x:fill>
        <x:patternFill patternType="solid">
          <x:bgColor rgb="FFDCEAF5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2D5F8B"/>
      </x:font>
      <x:fill>
        <x:patternFill patternType="solid">
          <x:bgColor rgb="FFDCEAF5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2D5F8B"/>
      </x:font>
      <x:fill>
        <x:patternFill patternType="solid">
          <x:bgColor rgb="FFDCEAF5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2D5F8B"/>
      </x:font>
      <x:fill>
        <x:patternFill patternType="solid">
          <x:bgColor rgb="FFDCEAF5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2D5F8B"/>
      </x:font>
      <x:fill>
        <x:patternFill patternType="solid">
          <x:bgColor rgb="FFDCEAF5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2D5F8B"/>
      </x:font>
      <x:fill>
        <x:patternFill patternType="solid">
          <x:bgColor rgb="FFDCEAF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5eb1504b3740ce" /><Relationship Type="http://schemas.openxmlformats.org/officeDocument/2006/relationships/theme" Target="/xl/theme/theme1.xml" Id="R332317bf599c413a" /><Relationship Type="http://schemas.openxmlformats.org/officeDocument/2006/relationships/sharedStrings" Target="/xl/sharedStrings.xml" Id="R55d105b1aa0b4e9e" /><Relationship Type="http://schemas.openxmlformats.org/officeDocument/2006/relationships/worksheet" Target="/xl/worksheets/sheet1.xml" Id="Rc5361f8cfd464adf" /><Relationship Type="http://schemas.openxmlformats.org/officeDocument/2006/relationships/worksheet" Target="/xl/worksheets/sheet2.xml" Id="R34e8d84aec5242c6" /><Relationship Type="http://schemas.openxmlformats.org/officeDocument/2006/relationships/worksheet" Target="/xl/worksheets/sheet3.xml" Id="R691fe90747de4564" /><Relationship Type="http://schemas.openxmlformats.org/officeDocument/2006/relationships/worksheet" Target="/xl/worksheets/sheet4.xml" Id="R3a24fb012fcb4c60" /><Relationship Type="http://schemas.openxmlformats.org/officeDocument/2006/relationships/worksheet" Target="/xl/worksheets/sheet5.xml" Id="R1c3a43db40304e8e" /><Relationship Type="http://schemas.openxmlformats.org/officeDocument/2006/relationships/worksheet" Target="/xl/worksheets/sheet6.xml" Id="R966eddbe95df457c" /><Relationship Type="http://schemas.openxmlformats.org/officeDocument/2006/relationships/worksheet" Target="/xl/worksheets/sheet7.xml" Id="Rf84c036edf52479a" /><Relationship Type="http://schemas.openxmlformats.org/officeDocument/2006/relationships/worksheet" Target="/xl/worksheets/sheet8.xml" Id="Rd58369cf4db84a65" /><Relationship Type="http://schemas.openxmlformats.org/officeDocument/2006/relationships/worksheet" Target="/xl/worksheets/sheet9.xml" Id="R431ed4f29349497a" /></Relationships>
</file>

<file path=xl/tables/table1.xml><?xml version="1.0" encoding="utf-8"?>
<x:table xmlns:x="http://schemas.openxmlformats.org/spreadsheetml/2006/main" id="1" name="UnknownAgentControlTable" displayName="UnknownAgentControlTable" ref="C5:G28" headerRowCount="1" totalsRowCount="0" totalsRowShown="0">
  <x:tableColumns count="5">
    <x:tableColumn id="1" name="Control"/>
    <x:tableColumn id="2" name="Value"/>
    <x:tableColumn id="3" name="Unit"/>
    <x:tableColumn id="4" name="Use"/>
    <x:tableColumn id="5" name="St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nknownAgentArchitectureTable" displayName="UnknownAgentArchitectureTable" ref="C5:AH9" headerRowCount="1" totalsRowCount="0" totalsRowShown="0">
  <x:tableColumns count="32">
    <x:tableColumn id="1" name="ID"/>
    <x:tableColumn id="2" name="Architecture"/>
    <x:tableColumn id="3" name="Central release required"/>
    <x:tableColumn id="4" name="Local release domains"/>
    <x:tableColumn id="5" name="Negative field screen qualifies primary"/>
    <x:tableColumn id="6" name="Known-agent panel"/>
    <x:tableColumn id="7" name="Assurance A qualified"/>
    <x:tableColumn id="8" name="Assurance A capacity"/>
    <x:tableColumn id="9" name="Assurance B qualified"/>
    <x:tableColumn id="10" name="Assurance B capacity"/>
    <x:tableColumn id="11" name="Sealed reserve qualified"/>
    <x:tableColumn id="12" name="Reserve issue share"/>
    <x:tableColumn id="13" name="Reserve endurance h"/>
    <x:tableColumn id="14" name="Decision time h"/>
    <x:tableColumn id="15" name="Assurance workcells"/>
    <x:tableColumn id="16" name="Extra gross storage m³"/>
    <x:tableColumn id="17" name="Equipment $B/set"/>
    <x:tableColumn id="18" name="Receiver $B/node"/>
    <x:tableColumn id="19" name="Extra storage dry t"/>
    <x:tableColumn id="20" name="Workcell dry t"/>
    <x:tableColumn id="21" name="Second source dry t"/>
    <x:tableColumn id="22" name="System dry t"/>
    <x:tableColumn id="23" name="System chargeable t"/>
    <x:tableColumn id="24" name="Surface positions"/>
    <x:tableColumn id="25" name="Revised program $B"/>
    <x:tableColumn id="26" name="Safety worlds"/>
    <x:tableColumn id="27" name="Continuity worlds"/>
    <x:tableColumn id="28" name="Declared passes"/>
    <x:tableColumn id="29" name="Unsafe worlds"/>
    <x:tableColumn id="30" name="Safe stops"/>
    <x:tableColumn id="31" name="Evidence"/>
    <x:tableColumn id="32" name="Renderin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nknownAgentWorldTable" displayName="UnknownAgentWorldTable" ref="C5:R17" headerRowCount="1" totalsRowCount="0" totalsRowShown="0">
  <x:tableColumns count="16">
    <x:tableColumn id="1" name="World"/>
    <x:tableColumn id="2" name="Condition"/>
    <x:tableColumn id="3" name="Horizon h"/>
    <x:tableColumn id="4" name="Primary clean"/>
    <x:tableColumn id="5" name="Assurance A clean"/>
    <x:tableColumn id="6" name="Assurance B clean"/>
    <x:tableColumn id="7" name="Reserve clean"/>
    <x:tableColumn id="8" name="Central release available"/>
    <x:tableColumn id="9" name="Local domains lost"/>
    <x:tableColumn id="10" name="National policy"/>
    <x:tableColumn id="11" name="Known-agent challenge"/>
    <x:tableColumn id="12" name="Outside field panel"/>
    <x:tableColumn id="13" name="Receiver service ceiling"/>
    <x:tableColumn id="14" name="Safe-service floor"/>
    <x:tableColumn id="15" name="Decision target h"/>
    <x:tableColumn id="16" name="Required behavio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UnknownAgentResultTable" displayName="UnknownAgentResultTable" ref="C19:V67" headerRowCount="1" totalsRowCount="0" totalsRowShown="0">
  <x:tableColumns count="20">
    <x:tableColumn id="1" name="Architecture"/>
    <x:tableColumn id="2" name="World"/>
    <x:tableColumn id="3" name="Release path"/>
    <x:tableColumn id="4" name="Primary issued"/>
    <x:tableColumn id="5" name="Unsafe issue"/>
    <x:tableColumn id="6" name="Safe primary"/>
    <x:tableColumn id="7" name="Assurance A"/>
    <x:tableColumn id="8" name="Assurance B"/>
    <x:tableColumn id="9" name="Sealed reserve"/>
    <x:tableColumn id="10" name="Safe service"/>
    <x:tableColumn id="11" name="Gross issued"/>
    <x:tableColumn id="12" name="Decision time h"/>
    <x:tableColumn id="13" name="Target h"/>
    <x:tableColumn id="14" name="Safety"/>
    <x:tableColumn id="15" name="Continuity"/>
    <x:tableColumn id="16" name="Timing"/>
    <x:tableColumn id="17" name="Declared result"/>
    <x:tableColumn id="18" name="Evidence"/>
    <x:tableColumn id="19" name="Binding factor"/>
    <x:tableColumn id="20" name="Strict admiss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UnknownAgentCostTable" displayName="UnknownAgentCostTable" ref="C5:O9" headerRowCount="1" totalsRowCount="0" totalsRowShown="0">
  <x:tableColumns count="13">
    <x:tableColumn id="1" name="ID"/>
    <x:tableColumn id="2" name="Assurance workcells"/>
    <x:tableColumn id="3" name="Extra gross storage m³"/>
    <x:tableColumn id="4" name="Continuous assurance sources"/>
    <x:tableColumn id="5" name="Reserve issue share"/>
    <x:tableColumn id="6" name="Reserve endurance h"/>
    <x:tableColumn id="7" name="Dry mass t/set"/>
    <x:tableColumn id="8" name="Chargeable t/set"/>
    <x:tableColumn id="9" name="Surface positions"/>
    <x:tableColumn id="10" name="Equipment $B/set"/>
    <x:tableColumn id="11" name="Receiver $B/node"/>
    <x:tableColumn id="12" name="Revised program $B"/>
    <x:tableColumn id="13" name="Declared increment $B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UnknownAgentGateTable" displayName="UnknownAgentGateTable" ref="C5:J22" headerRowCount="1" totalsRowCount="0" totalsRowShown="0">
  <x:tableColumns count="8">
    <x:tableColumn id="1" name="Gate"/>
    <x:tableColumn id="2" name="Required demonstration"/>
    <x:tableColumn id="3" name="Measure"/>
    <x:tableColumn id="4" name="Threshold"/>
    <x:tableColumn id="5" name="Applies"/>
    <x:tableColumn id="6" name="Authority"/>
    <x:tableColumn id="7" name="Evidence"/>
    <x:tableColumn id="8" name="Sta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UnknownAgentIntegrityTable" displayName="UnknownAgentIntegrityTable" ref="C5:H44" headerRowCount="1" totalsRowCount="0" totalsRowShown="0">
  <x:tableColumns count="6">
    <x:tableColumn id="1" name="Check"/>
    <x:tableColumn id="2" name="Observed"/>
    <x:tableColumn id="3" name="Expected"/>
    <x:tableColumn id="4" name="Difference"/>
    <x:tableColumn id="5" name="Tolerance"/>
    <x:tableColumn id="6" name="Resul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8aae59609584b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498422d1dd34e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d4f1bb360594cf9" /><Relationship Type="http://schemas.openxmlformats.org/officeDocument/2006/relationships/table" Target="/xl/tables/table4.xml" Id="Rc35c5ada56074ce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9bed55a13dc492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18ad402b60b4cb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bef65e63dc5c455a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3" max="3" width="39" hidden="0" customWidth="1"/>
    <x:col min="4" max="4" width="21" hidden="0" customWidth="1"/>
    <x:col min="5" max="5" width="18" hidden="0" customWidth="1"/>
    <x:col min="6" max="6" width="58" hidden="0" customWidth="1"/>
    <x:col min="7" max="7" width="4" hidden="0" customWidth="1"/>
    <x:col min="8" max="8" width="40" hidden="0" customWidth="1"/>
    <x:col min="9" max="9" width="40" hidden="0" customWidth="1"/>
    <x:col min="10" max="10" width="41" hidden="0" customWidth="1"/>
    <x:col min="11" max="11" width="40" hidden="0" customWidth="1"/>
    <x:col min="12" max="12" width="40" hidden="0" customWidth="1"/>
    <x:col min="13" max="13" width="40" hidden="0" customWidth="1"/>
    <x:col min="14" max="14" width="34" hidden="0" customWidth="1"/>
    <x:col min="15" max="15" width="18" hidden="0" customWidth="1"/>
    <x:col min="16" max="16" width="43" hidden="0" customWidth="1"/>
    <x:col min="17" max="17" width="18" hidden="0" customWidth="1"/>
  </x:cols>
  <x:sheetData>
    <x:row r="2">
      <x:c r="C2" s="2" t="str">
        <x:v>Safe water assurance under unknown agents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C3" s="3" t="str">
        <x:v>Pass 67 asks what can lawfully replace a universal receiver hold without treating nondetection as proof of safety.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5">
      <x:c r="C5" s="9" t="str">
        <x:v>Measure</x:v>
      </x:c>
      <x:c r="D5" s="9" t="str">
        <x:v>Result</x:v>
      </x:c>
      <x:c r="E5" s="9" t="str">
        <x:v>Unit</x:v>
      </x:c>
      <x:c r="F5" s="9" t="str">
        <x:v>Decision meaning</x:v>
      </x:c>
      <x:c r="H5" s="9" t="str">
        <x:v>Judgment</x:v>
      </x:c>
      <x:c r="I5" s="9" t="str">
        <x:v>Evidence</x:v>
      </x:c>
      <x:c r="J5" s="9" t="str">
        <x:v>Correction</x:v>
      </x:c>
      <x:c r="K5" s="9" t="str">
        <x:v>Force consequence</x:v>
      </x:c>
      <x:c r="L5" s="9" t="str">
        <x:v>Technology consequence</x:v>
      </x:c>
      <x:c r="M5" s="9" t="str">
        <x:v>Receiver consequence</x:v>
      </x:c>
      <x:c r="N5" s="9" t="str">
        <x:v>Authority</x:v>
      </x:c>
      <x:c r="O5" s="9" t="str">
        <x:v>State</x:v>
      </x:c>
      <x:c r="P5" s="9" t="str">
        <x:v>Next proof</x:v>
      </x:c>
      <x:c r="Q5" s="9" t="str">
        <x:v>Rendering</x:v>
      </x:c>
    </x:row>
    <x:row r="6" ht="112" customHeight="1">
      <x:c r="C6" s="11" t="str">
        <x:v>Architectures</x:v>
      </x:c>
      <x:c r="D6" s="21" t="n">
        <x:f>ROWS('02 Architectures'!C6:C9)</x:f>
        <x:v>4</x:v>
      </x:c>
      <x:c r="E6" s="11" t="str">
        <x:v>rivals</x:v>
      </x:c>
      <x:c r="F6" s="17" t="str">
        <x:v>Four release and provenance mechanisms on one physical receiver</x:v>
      </x:c>
      <x:c r="H6" s="17" t="str">
        <x:v>A negative screen cannot release an unknown agent.</x:v>
      </x:c>
      <x:c r="I6" s="17" t="str">
        <x:v>A2 issues affected primary water in seven outside-panel worlds.</x:v>
      </x:c>
      <x:c r="J6" s="17" t="str">
        <x:v>Nondetection is bounded evidence, not positive safety.</x:v>
      </x:c>
      <x:c r="K6" s="17" t="str">
        <x:v>Field sensors trigger isolation and sampling; they do not own the release envelope.</x:v>
      </x:c>
      <x:c r="L6" s="17" t="str">
        <x:v>Acquisition must publish target panels, limits and escape challenges.</x:v>
      </x:c>
      <x:c r="M6" s="17" t="str">
        <x:v>Receivers preserve quarantine even when service is scarce.</x:v>
      </x:c>
      <x:c r="N6" s="17" t="str">
        <x:v>Public-health authority</x:v>
      </x:c>
      <x:c r="O6" s="17" t="str">
        <x:v>DENIED</x:v>
      </x:c>
      <x:c r="P6" s="17" t="str">
        <x:v>Blind open-world panel challenge</x:v>
      </x:c>
      <x:c r="Q6" s="17" t="str">
        <x:v>BLOCKED</x:v>
      </x:c>
    </x:row>
    <x:row r="7" ht="112" customHeight="1">
      <x:c r="C7" s="11" t="str">
        <x:v>Failure worlds</x:v>
      </x:c>
      <x:c r="D7" s="21" t="n">
        <x:f>ROWS('03 Failure Worlds'!C6:C17)</x:f>
        <x:v>12</x:v>
      </x:c>
      <x:c r="E7" s="11" t="str">
        <x:v>worlds</x:v>
      </x:c>
      <x:c r="F7" s="17" t="str">
        <x:v>No probabilities assigned</x:v>
      </x:c>
      <x:c r="H7" s="17" t="str">
        <x:v>Positive provenance can preserve scoped service.</x:v>
      </x:c>
      <x:c r="I7" s="17" t="str">
        <x:v>A3 uses a qualified half-demand source and sealed reserve to pass ten worlds.</x:v>
      </x:c>
      <x:c r="J7" s="17" t="str">
        <x:v>The protected object is the complete source and custody chain.</x:v>
      </x:c>
      <x:c r="K7" s="17" t="str">
        <x:v>The water service generates assurance-source packages as formations.</x:v>
      </x:c>
      <x:c r="L7" s="17" t="str">
        <x:v>Intake, process, power, residual and release custody must be anti-correlated.</x:v>
      </x:c>
      <x:c r="M7" s="17" t="str">
        <x:v>Prepared nodes maintain keyed, isolated landing paths.</x:v>
      </x:c>
      <x:c r="N7" s="17" t="str">
        <x:v>Source quality authority</x:v>
      </x:c>
      <x:c r="O7" s="17" t="str">
        <x:v>OPEN</x:v>
      </x:c>
      <x:c r="P7" s="17" t="str">
        <x:v>Configure and contaminate one complete source</x:v>
      </x:c>
      <x:c r="Q7" s="17" t="str">
        <x:v>BLOCKED</x:v>
      </x:c>
    </x:row>
    <x:row r="8" ht="112" customHeight="1">
      <x:c r="C8" s="11" t="str">
        <x:v>Required safe service</x:v>
      </x:c>
      <x:c r="D8" s="27" t="n">
        <x:f>'01 Controls'!D8</x:f>
        <x:v>0.5</x:v>
      </x:c>
      <x:c r="E8" s="11" t="str">
        <x:v>share</x:v>
      </x:c>
      <x:c r="F8" s="17" t="str">
        <x:v>Authorized uncontaminated water only</x:v>
      </x:c>
      <x:c r="H8" s="17" t="str">
        <x:v>A reserve is a bridge, not continuous capacity.</x:v>
      </x:c>
      <x:c r="I8" s="17" t="str">
        <x:v>A3 fails when primary and Assurance A remain held for 72 hours.</x:v>
      </x:c>
      <x:c r="J8" s="17" t="str">
        <x:v>Inventory receives credit only through its endurance.</x:v>
      </x:c>
      <x:c r="K8" s="17" t="str">
        <x:v>Readiness reports clean volume and depletion time.</x:v>
      </x:c>
      <x:c r="L8" s="17" t="str">
        <x:v>Turnover, seal health and automated replenishment become mission systems.</x:v>
      </x:c>
      <x:c r="M8" s="17" t="str">
        <x:v>Receiver plans rationing and replenishment before exhaustion.</x:v>
      </x:c>
      <x:c r="N8" s="17" t="str">
        <x:v>Custody authority</x:v>
      </x:c>
      <x:c r="O8" s="17" t="str">
        <x:v>FAIL</x:v>
      </x:c>
      <x:c r="P8" s="17" t="str">
        <x:v>Run 24-to-72-hour exhaustion trial</x:v>
      </x:c>
      <x:c r="Q8" s="17" t="str">
        <x:v>BLOCKED</x:v>
      </x:c>
    </x:row>
    <x:row r="9" ht="112" customHeight="1">
      <x:c r="C9" s="11" t="str">
        <x:v>A1 declared passes</x:v>
      </x:c>
      <x:c r="D9" s="21" t="n">
        <x:f>'03 Failure Worlds'!G72</x:f>
        <x:v>2</x:v>
      </x:c>
      <x:c r="E9" s="11" t="str">
        <x:v>of 12</x:v>
      </x:c>
      <x:c r="F9" s="17" t="str">
        <x:v>Safe central confirmation is too dependent and slow</x:v>
      </x:c>
      <x:c r="H9" s="17" t="str">
        <x:v>Two continuous provenances remove the registered endurance common mode.</x:v>
      </x:c>
      <x:c r="I9" s="17" t="str">
        <x:v>A4 retains 50% service from Assurance B after primary and A are held.</x:v>
      </x:c>
      <x:c r="J9" s="17" t="str">
        <x:v>Source count requires independent process and supply lineages.</x:v>
      </x:c>
      <x:c r="K9" s="17" t="str">
        <x:v>A second complete chain adds deployable and fixed capital.</x:v>
      </x:c>
      <x:c r="L9" s="17" t="str">
        <x:v>Clean-sheet compact source trains and common-mode sensing become a major program.</x:v>
      </x:c>
      <x:c r="M9" s="17" t="str">
        <x:v>Separate source landing and residual paths are required.</x:v>
      </x:c>
      <x:c r="N9" s="17" t="str">
        <x:v>Mission assurance</x:v>
      </x:c>
      <x:c r="O9" s="17" t="str">
        <x:v>OPEN</x:v>
      </x:c>
      <x:c r="P9" s="17" t="str">
        <x:v>Seed a correlated loss across both sources</x:v>
      </x:c>
      <x:c r="Q9" s="17" t="str">
        <x:v>BLOCKED</x:v>
      </x:c>
    </x:row>
    <x:row r="10" ht="112" customHeight="1">
      <x:c r="C10" s="11" t="str">
        <x:v>A2 declared passes</x:v>
      </x:c>
      <x:c r="D10" s="21" t="n">
        <x:f>'03 Failure Worlds'!G73</x:f>
        <x:v>3</x:v>
      </x:c>
      <x:c r="E10" s="11" t="str">
        <x:v>of 12</x:v>
      </x:c>
      <x:c r="F10" s="17" t="str">
        <x:v>Fast negative-screen release creates seven unsafe worlds</x:v>
      </x:c>
      <x:c r="H10" s="17" t="str">
        <x:v>A universal stop remains part of a safe force.</x:v>
      </x:c>
      <x:c r="I10" s="17" t="str">
        <x:v>Every architecture issues zero water in W12.</x:v>
      </x:c>
      <x:c r="J10" s="17" t="str">
        <x:v>A service failure can be the correct safety decision.</x:v>
      </x:c>
      <x:c r="K10" s="17" t="str">
        <x:v>Commands preserve evidence, substitution and recovery without self-release.</x:v>
      </x:c>
      <x:c r="L10" s="17" t="str">
        <x:v>Faster characterization should shorten uncertainty, not erase authority.</x:v>
      </x:c>
      <x:c r="M10" s="17" t="str">
        <x:v>Public communication and protected non-water services continue.</x:v>
      </x:c>
      <x:c r="N10" s="17" t="str">
        <x:v>National public-health authority</x:v>
      </x:c>
      <x:c r="O10" s="17" t="str">
        <x:v>SAFE STOP</x:v>
      </x:c>
      <x:c r="P10" s="17" t="str">
        <x:v>Exercise the bounded recovery ladder</x:v>
      </x:c>
      <x:c r="Q10" s="17" t="str">
        <x:v>BLOCKED</x:v>
      </x:c>
    </x:row>
    <x:row r="11" ht="112" customHeight="1">
      <x:c r="C11" s="11" t="str">
        <x:v>A3 declared passes</x:v>
      </x:c>
      <x:c r="D11" s="21" t="n">
        <x:f>'03 Failure Worlds'!G74</x:f>
        <x:v>10</x:v>
      </x:c>
      <x:c r="E11" s="11" t="str">
        <x:v>of 12</x:v>
      </x:c>
      <x:c r="F11" s="17" t="str">
        <x:v>Qualified source and reserve bridge ten worlds</x:v>
      </x:c>
      <x:c r="H11" s="17" t="str">
        <x:v>Assurance has visible capital and lift consequence.</x:v>
      </x:c>
      <x:c r="I11" s="17" t="str">
        <x:v>A1–A4 span about 5,579–6,871 dry tonnes and $156.0–204.0B.</x:v>
      </x:c>
      <x:c r="J11" s="17" t="str">
        <x:v>Knowledge claims require configured sources, custody and workcells.</x:v>
      </x:c>
      <x:c r="K11" s="17" t="str">
        <x:v>Programs budget assurance as force capacity.</x:v>
      </x:c>
      <x:c r="L11" s="17" t="str">
        <x:v>Sensors, laboratories, sealed storage and source chains enter sustained production.</x:v>
      </x:c>
      <x:c r="M11" s="17" t="str">
        <x:v>Prepared node allowance rises with independent release infrastructure.</x:v>
      </x:c>
      <x:c r="N11" s="17" t="str">
        <x:v>Resilience Acquisition Executive</x:v>
      </x:c>
      <x:c r="O11" s="17" t="str">
        <x:v>OPEN</x:v>
      </x:c>
      <x:c r="P11" s="17" t="str">
        <x:v>Release serialized bills of material</x:v>
      </x:c>
      <x:c r="Q11" s="17" t="str">
        <x:v>BLOCKED</x:v>
      </x:c>
    </x:row>
    <x:row r="12" ht="34" customHeight="1">
      <x:c r="C12" s="11" t="str">
        <x:v>A4 declared passes</x:v>
      </x:c>
      <x:c r="D12" s="21" t="n">
        <x:f>'03 Failure Worlds'!G75</x:f>
        <x:v>11</x:v>
      </x:c>
      <x:c r="E12" s="11" t="str">
        <x:v>of 12</x:v>
      </x:c>
      <x:c r="F12" s="17" t="str">
        <x:v>Second continuous provenance survives the 72-hour compound hold</x:v>
      </x:c>
    </x:row>
    <x:row r="13" ht="34" customHeight="1">
      <x:c r="C13" s="11" t="str">
        <x:v>A2 unsafe worlds</x:v>
      </x:c>
      <x:c r="D13" s="21" t="n">
        <x:f>'03 Failure Worlds'!H73</x:f>
        <x:v>7</x:v>
      </x:c>
      <x:c r="E13" s="11" t="str">
        <x:v>of 12</x:v>
      </x:c>
      <x:c r="F13" s="17" t="str">
        <x:v>Nondetection cannot qualify the unknown</x:v>
      </x:c>
    </x:row>
    <x:row r="14" ht="34" customHeight="1">
      <x:c r="C14" s="11" t="str">
        <x:v>A3 72-hour compound</x:v>
      </x:c>
      <x:c r="D14" s="21" t="str">
        <x:f>'03 Failure Worlds'!L74</x:f>
        <x:v>FAIL</x:v>
      </x:c>
      <x:c r="E14" s="11" t="str">
        <x:v>state</x:v>
      </x:c>
      <x:c r="F14" s="17" t="str">
        <x:v>The 24-hour reserve exhausts while both continuous paths are held</x:v>
      </x:c>
    </x:row>
    <x:row r="15" ht="34" customHeight="1">
      <x:c r="C15" s="11" t="str">
        <x:v>A4 72-hour compound</x:v>
      </x:c>
      <x:c r="D15" s="21" t="str">
        <x:f>'03 Failure Worlds'!L75</x:f>
        <x:v>PASS</x:v>
      </x:c>
      <x:c r="E15" s="11" t="str">
        <x:v>state</x:v>
      </x:c>
      <x:c r="F15" s="17" t="str">
        <x:v>The second continuous source preserves half service</x:v>
      </x:c>
    </x:row>
    <x:row r="16" ht="34" customHeight="1">
      <x:c r="C16" s="11" t="str">
        <x:v>Minimum dry mass</x:v>
      </x:c>
      <x:c r="D16" s="21" t="n">
        <x:f>MIN('02 Architectures'!X6:X9)</x:f>
        <x:v>5579.242428308064</x:v>
      </x:c>
      <x:c r="E16" s="11" t="str">
        <x:v>t</x:v>
      </x:c>
      <x:c r="F16" s="17" t="str">
        <x:v>Pass 66 physical baseline</x:v>
      </x:c>
    </x:row>
    <x:row r="17" ht="34" customHeight="1">
      <x:c r="C17" s="11" t="str">
        <x:v>Maximum dry mass</x:v>
      </x:c>
      <x:c r="D17" s="21" t="n">
        <x:f>MAX('02 Architectures'!X6:X9)</x:f>
        <x:v>6871.007134190417</x:v>
      </x:c>
      <x:c r="E17" s="11" t="str">
        <x:v>t</x:v>
      </x:c>
      <x:c r="F17" s="17" t="str">
        <x:v>Dual-continuous assurance comparator</x:v>
      </x:c>
    </x:row>
    <x:row r="18" ht="34" customHeight="1">
      <x:c r="C18" s="11" t="str">
        <x:v>Minimum revised program</x:v>
      </x:c>
      <x:c r="D18" s="21" t="n">
        <x:f>MIN('02 Architectures'!AA6:AA9)</x:f>
        <x:v>156</x:v>
      </x:c>
      <x:c r="E18" s="11" t="str">
        <x:v>$B/25 years</x:v>
      </x:c>
      <x:c r="F18" s="17" t="str">
        <x:v>Declared comparator</x:v>
      </x:c>
    </x:row>
    <x:row r="19" ht="34" customHeight="1">
      <x:c r="C19" s="11" t="str">
        <x:v>Maximum revised program</x:v>
      </x:c>
      <x:c r="D19" s="21" t="n">
        <x:f>MAX('02 Architectures'!AA6:AA9)</x:f>
        <x:v>204</x:v>
      </x:c>
      <x:c r="E19" s="11" t="str">
        <x:v>$B/25 years</x:v>
      </x:c>
      <x:c r="F19" s="17" t="str">
        <x:v>Declared comparator</x:v>
      </x:c>
    </x:row>
    <x:row r="20" ht="34" customHeight="1">
      <x:c r="C20" s="11" t="str">
        <x:v>Strict admissions</x:v>
      </x:c>
      <x:c r="D20" s="21" t="n">
        <x:f>COUNTIFS('03 Failure Worlds'!M72:M75,"ADMITTED")</x:f>
        <x:v>0</x:v>
      </x:c>
      <x:c r="E20" s="11" t="str">
        <x:v>of 4</x:v>
      </x:c>
      <x:c r="F20" s="17" t="str">
        <x:v>No representative assurance evidence</x:v>
      </x:c>
    </x:row>
    <x:row r="21" ht="34" customHeight="1">
      <x:c r="C21" s="11" t="str">
        <x:v>Selected architecture</x:v>
      </x:c>
      <x:c r="D21" s="21" t="str">
        <x:v>NONE</x:v>
      </x:c>
      <x:c r="E21" s="11" t="str">
        <x:v>state</x:v>
      </x:c>
      <x:c r="F21" s="17" t="str">
        <x:v>A4 is the test leader only</x:v>
      </x:c>
    </x:row>
    <x:row r="22" ht="34" customHeight="1">
      <x:c r="C22" s="11" t="str">
        <x:v>Universal stop</x:v>
      </x:c>
      <x:c r="D22" s="21" t="str">
        <x:v>RETAINED</x:v>
      </x:c>
      <x:c r="E22" s="11" t="str">
        <x:v>state</x:v>
      </x:c>
      <x:c r="F22" s="17" t="str">
        <x:v>No service target authorizes unsafe issue</x:v>
      </x:c>
    </x:row>
    <x:row r="23" ht="34" customHeight="1">
      <x:c r="C23" s="11" t="str">
        <x:v>Rendering</x:v>
      </x:c>
      <x:c r="D23" s="21" t="str">
        <x:v>BLOCKED</x:v>
      </x:c>
      <x:c r="E23" s="11" t="str">
        <x:v>state</x:v>
      </x:c>
      <x:c r="F23" s="17" t="str">
        <x:v>No assurance architecture has R3 evidence</x:v>
      </x:c>
    </x:row>
  </x:sheetData>
  <x:conditionalFormatting sqref="D6:D23">
    <x:cfRule type="containsText" dxfId="63" priority="1" operator="containsText" text="FAIL"/>
    <x:cfRule type="containsText" dxfId="64" priority="2" operator="containsText" text="DENIED"/>
    <x:cfRule type="containsText" dxfId="65" priority="3" operator="containsText" text="BLOCKED"/>
    <x:cfRule type="containsText" dxfId="66" priority="4" operator="containsText" text="UNSAFE"/>
    <x:cfRule type="containsText" dxfId="67" priority="5" operator="containsText" text="OPEN"/>
    <x:cfRule type="containsText" dxfId="68" priority="6" operator="containsText" text="UNTESTED"/>
    <x:cfRule type="containsText" dxfId="69" priority="7" operator="containsText" text="DECLARED"/>
    <x:cfRule type="containsText" dxfId="70" priority="8" operator="containsText" text="PASS"/>
    <x:cfRule type="containsText" dxfId="71" priority="9" operator="containsText" text="SAFE STOP"/>
  </x:conditionalFormatting>
  <x:conditionalFormatting sqref="O6:O11">
    <x:cfRule type="containsText" dxfId="72" priority="10" operator="containsText" text="FAIL"/>
    <x:cfRule type="containsText" dxfId="73" priority="11" operator="containsText" text="DENIED"/>
    <x:cfRule type="containsText" dxfId="74" priority="12" operator="containsText" text="BLOCKED"/>
    <x:cfRule type="containsText" dxfId="75" priority="13" operator="containsText" text="UNSAFE"/>
    <x:cfRule type="containsText" dxfId="76" priority="14" operator="containsText" text="OPEN"/>
    <x:cfRule type="containsText" dxfId="77" priority="15" operator="containsText" text="UNTESTED"/>
    <x:cfRule type="containsText" dxfId="78" priority="16" operator="containsText" text="DECLARED"/>
    <x:cfRule type="containsText" dxfId="79" priority="17" operator="containsText" text="PASS"/>
    <x:cfRule type="containsText" dxfId="80" priority="18" operator="containsText" text="SAFE STOP"/>
  </x:conditionalFormatting>
  <x:conditionalFormatting sqref="Q6:Q11">
    <x:cfRule type="containsText" dxfId="81" priority="19" operator="containsText" text="FAIL"/>
    <x:cfRule type="containsText" dxfId="82" priority="20" operator="containsText" text="DENIED"/>
    <x:cfRule type="containsText" dxfId="83" priority="21" operator="containsText" text="BLOCKED"/>
    <x:cfRule type="containsText" dxfId="84" priority="22" operator="containsText" text="UNSAFE"/>
    <x:cfRule type="containsText" dxfId="85" priority="23" operator="containsText" text="OPEN"/>
    <x:cfRule type="containsText" dxfId="86" priority="24" operator="containsText" text="UNTESTED"/>
    <x:cfRule type="containsText" dxfId="87" priority="25" operator="containsText" text="DECLARED"/>
    <x:cfRule type="containsText" dxfId="88" priority="26" operator="containsText" text="PASS"/>
    <x:cfRule type="containsText" dxfId="89" priority="27" operator="containsText" text="SAFE STOP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D5F8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43" hidden="0" customWidth="1"/>
    <x:col min="4" max="4" width="21" hidden="0" customWidth="1"/>
    <x:col min="5" max="5" width="25" hidden="0" customWidth="1"/>
    <x:col min="6" max="6" width="59" hidden="0" customWidth="1"/>
    <x:col min="7" max="7" width="20" hidden="0" customWidth="1"/>
  </x:cols>
  <x:sheetData>
    <x:row r="2">
      <x:c r="C2" s="2" t="str">
        <x:v>Unknown-agent water-assurance controls</x:v>
      </x:c>
      <x:c r="D2" s="1"/>
      <x:c r="E2" s="1"/>
      <x:c r="F2" s="1"/>
      <x:c r="G2" s="1"/>
      <x:c r="H2" s="1"/>
      <x:c r="I2" s="1"/>
      <x:c r="J2" s="1"/>
    </x:row>
    <x:row r="3">
      <x:c r="C3" s="3" t="str">
        <x:v>Blue cells are declared or inherited inputs. A negative field screen never qualifies an unknown agent unless a doctrine explicitly and visibly makes that unsafe claim.</x:v>
      </x:c>
      <x:c r="D3" s="3"/>
      <x:c r="E3" s="3"/>
      <x:c r="F3" s="3"/>
      <x:c r="G3" s="3"/>
      <x:c r="H3" s="3"/>
      <x:c r="I3" s="3"/>
      <x:c r="J3" s="3"/>
    </x:row>
    <x:row r="5">
      <x:c r="C5" s="9" t="str">
        <x:v>Control</x:v>
      </x:c>
      <x:c r="D5" s="9" t="str">
        <x:v>Value</x:v>
      </x:c>
      <x:c r="E5" s="9" t="str">
        <x:v>Unit</x:v>
      </x:c>
      <x:c r="F5" s="9" t="str">
        <x:v>Use</x:v>
      </x:c>
      <x:c r="G5" s="9" t="str">
        <x:v>State</x:v>
      </x:c>
    </x:row>
    <x:row r="6" ht="31" customHeight="1">
      <x:c r="C6" s="11" t="str">
        <x:v>Normal product-water demand</x:v>
      </x:c>
      <x:c r="D6" s="15" t="n">
        <x:v>10000</x:v>
      </x:c>
      <x:c r="E6" s="17" t="str">
        <x:v>m³/day</x:v>
      </x:c>
      <x:c r="F6" s="17" t="str">
        <x:v>Pass 66 first-reach service</x:v>
      </x:c>
      <x:c r="G6" s="17" t="str">
        <x:v>SOURCE VALUE</x:v>
      </x:c>
    </x:row>
    <x:row r="7" ht="31" customHeight="1">
      <x:c r="C7" s="11" t="str">
        <x:v>Service population</x:v>
      </x:c>
      <x:c r="D7" s="15" t="n">
        <x:v>200000</x:v>
      </x:c>
      <x:c r="E7" s="17" t="str">
        <x:v>people</x:v>
      </x:c>
      <x:c r="F7" s="17" t="str">
        <x:v>Fifty litres per person-day</x:v>
      </x:c>
      <x:c r="G7" s="17" t="str">
        <x:v>SOURCE VALUE</x:v>
      </x:c>
    </x:row>
    <x:row r="8" ht="31" customHeight="1">
      <x:c r="C8" s="11" t="str">
        <x:v>Safe-service floor</x:v>
      </x:c>
      <x:c r="D8" s="16" t="n">
        <x:v>0.5</x:v>
      </x:c>
      <x:c r="E8" s="17" t="str">
        <x:v>share</x:v>
      </x:c>
      <x:c r="F8" s="17" t="str">
        <x:v>Minimum authorized uncontaminated issue</x:v>
      </x:c>
      <x:c r="G8" s="17" t="str">
        <x:v>DECLARED</x:v>
      </x:c>
    </x:row>
    <x:row r="9" ht="31" customHeight="1">
      <x:c r="C9" s="11" t="str">
        <x:v>Storage usable share</x:v>
      </x:c>
      <x:c r="D9" s="16" t="n">
        <x:v>0.85</x:v>
      </x:c>
      <x:c r="E9" s="17" t="str">
        <x:v>share</x:v>
      </x:c>
      <x:c r="F9" s="17" t="str">
        <x:v>Sanitary and operational drawdown</x:v>
      </x:c>
      <x:c r="G9" s="17" t="str">
        <x:v>SOURCE VALUE</x:v>
      </x:c>
    </x:row>
    <x:row r="10" ht="31" customHeight="1">
      <x:c r="C10" s="11" t="str">
        <x:v>Known-agent decision target</x:v>
      </x:c>
      <x:c r="D10" s="14" t="n">
        <x:v>6</x:v>
      </x:c>
      <x:c r="E10" s="17" t="str">
        <x:v>hours</x:v>
      </x:c>
      <x:c r="F10" s="17" t="str">
        <x:v>Bounded validated method</x:v>
      </x:c>
      <x:c r="G10" s="17" t="str">
        <x:v>TARGET</x:v>
      </x:c>
    </x:row>
    <x:row r="11" ht="31" customHeight="1">
      <x:c r="C11" s="11" t="str">
        <x:v>Unknown-agent scoped decision target</x:v>
      </x:c>
      <x:c r="D11" s="14" t="n">
        <x:v>2</x:v>
      </x:c>
      <x:c r="E11" s="17" t="str">
        <x:v>hours</x:v>
      </x:c>
      <x:c r="F11" s="17" t="str">
        <x:v>Quarantine through assurance-source issue</x:v>
      </x:c>
      <x:c r="G11" s="17" t="str">
        <x:v>TARGET</x:v>
      </x:c>
    </x:row>
    <x:row r="12" ht="31" customHeight="1">
      <x:c r="C12" s="11" t="str">
        <x:v>Pass 66 R4 dry mass</x:v>
      </x:c>
      <x:c r="D12" s="14" t="n">
        <x:v>5579.242428308064</x:v>
      </x:c>
      <x:c r="E12" s="17" t="str">
        <x:v>t</x:v>
      </x:c>
      <x:c r="F12" s="17" t="str">
        <x:v>Dual-provenance four-island baseline</x:v>
      </x:c>
      <x:c r="G12" s="17" t="str">
        <x:v>SOURCE VALUE</x:v>
      </x:c>
    </x:row>
    <x:row r="13" ht="31" customHeight="1">
      <x:c r="C13" s="11" t="str">
        <x:v>Pass 66 R4 chargeable burden</x:v>
      </x:c>
      <x:c r="D13" s="14" t="n">
        <x:v>5914.105443557698</x:v>
      </x:c>
      <x:c r="E13" s="17" t="str">
        <x:v>t</x:v>
      </x:c>
      <x:c r="F13" s="17" t="str">
        <x:v>Complete planning configuration</x:v>
      </x:c>
      <x:c r="G13" s="17" t="str">
        <x:v>SOURCE VALUE</x:v>
      </x:c>
    </x:row>
    <x:row r="14" ht="31" customHeight="1">
      <x:c r="C14" s="11" t="str">
        <x:v>Pass 66 R4 program</x:v>
      </x:c>
      <x:c r="D14" s="14" t="n">
        <x:v>156</x:v>
      </x:c>
      <x:c r="E14" s="17" t="str">
        <x:v>$B/25 years</x:v>
      </x:c>
      <x:c r="F14" s="17" t="str">
        <x:v>Common predecessor program</x:v>
      </x:c>
      <x:c r="G14" s="17" t="str">
        <x:v>SOURCE VALUE</x:v>
      </x:c>
    </x:row>
    <x:row r="15" ht="31" customHeight="1">
      <x:c r="C15" s="11" t="str">
        <x:v>Initial operational sets</x:v>
      </x:c>
      <x:c r="D15" s="14" t="n">
        <x:v>24</x:v>
      </x:c>
      <x:c r="E15" s="17" t="str">
        <x:v>sets</x:v>
      </x:c>
      <x:c r="F15" s="17" t="str">
        <x:v>Pass 66 fielding placeholder</x:v>
      </x:c>
      <x:c r="G15" s="17" t="str">
        <x:v>SOURCE VALUE</x:v>
      </x:c>
    </x:row>
    <x:row r="16" ht="31" customHeight="1">
      <x:c r="C16" s="11" t="str">
        <x:v>Prepared receiver nodes</x:v>
      </x:c>
      <x:c r="D16" s="14" t="n">
        <x:v>12</x:v>
      </x:c>
      <x:c r="E16" s="17" t="str">
        <x:v>nodes</x:v>
      </x:c>
      <x:c r="F16" s="17" t="str">
        <x:v>Pass 66 fielding placeholder</x:v>
      </x:c>
      <x:c r="G16" s="17" t="str">
        <x:v>SOURCE VALUE</x:v>
      </x:c>
    </x:row>
    <x:row r="17" ht="31" customHeight="1">
      <x:c r="C17" s="11" t="str">
        <x:v>Baseline equipment unit</x:v>
      </x:c>
      <x:c r="D17" s="14" t="n">
        <x:v>2.3</x:v>
      </x:c>
      <x:c r="E17" s="17" t="str">
        <x:v>$B/set</x:v>
      </x:c>
      <x:c r="F17" s="17" t="str">
        <x:v>Removed before assurance replacement</x:v>
      </x:c>
      <x:c r="G17" s="17" t="str">
        <x:v>SOURCE VALUE</x:v>
      </x:c>
    </x:row>
    <x:row r="18" ht="31" customHeight="1">
      <x:c r="C18" s="11" t="str">
        <x:v>Baseline receiver unit</x:v>
      </x:c>
      <x:c r="D18" s="14" t="n">
        <x:v>2.2</x:v>
      </x:c>
      <x:c r="E18" s="17" t="str">
        <x:v>$B/node</x:v>
      </x:c>
      <x:c r="F18" s="17" t="str">
        <x:v>Removed before assurance replacement</x:v>
      </x:c>
      <x:c r="G18" s="17" t="str">
        <x:v>SOURCE VALUE</x:v>
      </x:c>
    </x:row>
    <x:row r="19" ht="31" customHeight="1">
      <x:c r="C19" s="11" t="str">
        <x:v>Assurance workcell dry mass</x:v>
      </x:c>
      <x:c r="D19" s="14" t="n">
        <x:v>45</x:v>
      </x:c>
      <x:c r="E19" s="17" t="str">
        <x:v>t/cell</x:v>
      </x:c>
      <x:c r="F19" s="17" t="str">
        <x:v>Independent sampling, custody and decision cell</x:v>
      </x:c>
      <x:c r="G19" s="17" t="str">
        <x:v>DECLARED</x:v>
      </x:c>
    </x:row>
    <x:row r="20" ht="31" customHeight="1">
      <x:c r="C20" s="11" t="str">
        <x:v>Assurance workcell packed cube</x:v>
      </x:c>
      <x:c r="D20" s="14" t="n">
        <x:v>150</x:v>
      </x:c>
      <x:c r="E20" s="17" t="str">
        <x:v>m³/cell</x:v>
      </x:c>
      <x:c r="F20" s="17" t="str">
        <x:v>Chargeable-burden screen</x:v>
      </x:c>
      <x:c r="G20" s="17" t="str">
        <x:v>DECLARED</x:v>
      </x:c>
    </x:row>
    <x:row r="21" ht="31" customHeight="1">
      <x:c r="C21" s="11" t="str">
        <x:v>Storage hardware dry mass</x:v>
      </x:c>
      <x:c r="D21" s="14" t="n">
        <x:v>36</x:v>
      </x:c>
      <x:c r="E21" s="17" t="str">
        <x:v>t/1,000 m³</x:v>
      </x:c>
      <x:c r="F21" s="17" t="str">
        <x:v>Pass 65 first-order coefficient</x:v>
      </x:c>
      <x:c r="G21" s="17" t="str">
        <x:v>SOURCE VALUE</x:v>
      </x:c>
    </x:row>
    <x:row r="22" ht="31" customHeight="1">
      <x:c r="C22" s="11" t="str">
        <x:v>Storage hardware packed cube</x:v>
      </x:c>
      <x:c r="D22" s="14" t="n">
        <x:v>200</x:v>
      </x:c>
      <x:c r="E22" s="17" t="str">
        <x:v>m³/1,000 m³</x:v>
      </x:c>
      <x:c r="F22" s="17" t="str">
        <x:v>Pass 65 first-order coefficient</x:v>
      </x:c>
      <x:c r="G22" s="17" t="str">
        <x:v>SOURCE VALUE</x:v>
      </x:c>
    </x:row>
    <x:row r="23" ht="31" customHeight="1">
      <x:c r="C23" s="11" t="str">
        <x:v>Surface density floor</x:v>
      </x:c>
      <x:c r="D23" s="14" t="n">
        <x:v>0.2</x:v>
      </x:c>
      <x:c r="E23" s="17" t="str">
        <x:v>t/m³</x:v>
      </x:c>
      <x:c r="F23" s="17" t="str">
        <x:v>Chargeable-burden screen</x:v>
      </x:c>
      <x:c r="G23" s="17" t="str">
        <x:v>SOURCE VALUE</x:v>
      </x:c>
    </x:row>
    <x:row r="24" ht="31" customHeight="1">
      <x:c r="C24" s="11" t="str">
        <x:v>Second assurance-source dry mass</x:v>
      </x:c>
      <x:c r="D24" s="14" t="n">
        <x:v>900</x:v>
      </x:c>
      <x:c r="E24" s="17" t="str">
        <x:v>t/set</x:v>
      </x:c>
      <x:c r="F24" s="17" t="str">
        <x:v>Half-demand source, process, power and residual chain</x:v>
      </x:c>
      <x:c r="G24" s="17" t="str">
        <x:v>DECLARED</x:v>
      </x:c>
    </x:row>
    <x:row r="25" ht="31" customHeight="1">
      <x:c r="C25" s="11" t="str">
        <x:v>Second assurance-source chargeable</x:v>
      </x:c>
      <x:c r="D25" s="14" t="n">
        <x:v>1050</x:v>
      </x:c>
      <x:c r="E25" s="17" t="str">
        <x:v>t/set</x:v>
      </x:c>
      <x:c r="F25" s="17" t="str">
        <x:v>Independent continuous provenance</x:v>
      </x:c>
      <x:c r="G25" s="17" t="str">
        <x:v>DECLARED</x:v>
      </x:c>
    </x:row>
    <x:row r="26" ht="31" customHeight="1">
      <x:c r="C26" s="11" t="str">
        <x:v>Surface position target</x:v>
      </x:c>
      <x:c r="D26" s="14" t="n">
        <x:v>40</x:v>
      </x:c>
      <x:c r="E26" s="17" t="str">
        <x:v>t/position</x:v>
      </x:c>
      <x:c r="F26" s="17" t="str">
        <x:v>Position-equivalent comparator</x:v>
      </x:c>
      <x:c r="G26" s="17" t="str">
        <x:v>SOURCE VALUE</x:v>
      </x:c>
    </x:row>
    <x:row r="27" ht="31" customHeight="1">
      <x:c r="C27" s="11" t="str">
        <x:v>Existing alternate-source capacity</x:v>
      </x:c>
      <x:c r="D27" s="16" t="n">
        <x:v>0.5</x:v>
      </x:c>
      <x:c r="E27" s="17" t="str">
        <x:v>share</x:v>
      </x:c>
      <x:c r="F27" s="17" t="str">
        <x:v>Pass 66 R4 source chain</x:v>
      </x:c>
      <x:c r="G27" s="17" t="str">
        <x:v>SOURCE VALUE</x:v>
      </x:c>
    </x:row>
    <x:row r="28" ht="31" customHeight="1">
      <x:c r="C28" s="11" t="str">
        <x:v>Receiver islands</x:v>
      </x:c>
      <x:c r="D28" s="14" t="n">
        <x:v>4</x:v>
      </x:c>
      <x:c r="E28" s="17" t="str">
        <x:v>islands</x:v>
      </x:c>
      <x:c r="F28" s="17" t="str">
        <x:v>Pass 66 R4 physical federation</x:v>
      </x:c>
      <x:c r="G28" s="17" t="str">
        <x:v>SOURCE VALUE</x:v>
      </x:c>
    </x:row>
  </x:sheetData>
  <x:conditionalFormatting sqref="G6:G28">
    <x:cfRule type="containsText" dxfId="0" priority="1" operator="containsText" text="FAIL"/>
    <x:cfRule type="containsText" dxfId="1" priority="2" operator="containsText" text="DENIED"/>
    <x:cfRule type="containsText" dxfId="2" priority="3" operator="containsText" text="BLOCKED"/>
    <x:cfRule type="containsText" dxfId="3" priority="4" operator="containsText" text="UNSAFE"/>
    <x:cfRule type="containsText" dxfId="4" priority="5" operator="containsText" text="OPEN"/>
    <x:cfRule type="containsText" dxfId="5" priority="6" operator="containsText" text="UNTESTED"/>
    <x:cfRule type="containsText" dxfId="6" priority="7" operator="containsText" text="DECLARED"/>
    <x:cfRule type="containsText" dxfId="7" priority="8" operator="containsText" text="PASS"/>
    <x:cfRule type="containsText" dxfId="8" priority="9" operator="containsText" text="SAFE STOP"/>
  </x:conditionalFormatting>
  <x:pageMargins left="0.7" right="0.7" top="0.75" bottom="0.75" header="0.3" footer="0.3"/>
  <x:tableParts count="1">
    <x:tablePart xmlns:r="http://schemas.openxmlformats.org/officeDocument/2006/relationships" r:id="Rc8aae59609584b3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RowHeight="15"/>
  <x:cols>
    <x:col min="3" max="3" width="10" hidden="0" customWidth="1"/>
    <x:col min="4" max="4" width="39" hidden="0" customWidth="1"/>
    <x:col min="5" max="5" width="20" hidden="0" customWidth="1"/>
    <x:col min="6" max="6" width="19" hidden="0" customWidth="1"/>
    <x:col min="7" max="7" width="28" hidden="0" customWidth="1"/>
    <x:col min="8" max="8" width="18" hidden="0" customWidth="1"/>
    <x:col min="9" max="9" width="22" hidden="0" customWidth="1"/>
    <x:col min="10" max="10" width="21" hidden="0" customWidth="1"/>
    <x:col min="11" max="11" width="22" hidden="0" customWidth="1"/>
    <x:col min="12" max="12" width="21" hidden="0" customWidth="1"/>
    <x:col min="13" max="13" width="22" hidden="0" customWidth="1"/>
    <x:col min="14" max="14" width="20" hidden="0" customWidth="1"/>
    <x:col min="15" max="15" width="19" hidden="0" customWidth="1"/>
    <x:col min="16" max="16" width="18" hidden="0" customWidth="1"/>
    <x:col min="17" max="17" width="20" hidden="0" customWidth="1"/>
    <x:col min="18" max="18" width="22" hidden="0" customWidth="1"/>
    <x:col min="19" max="19" width="20" hidden="0" customWidth="1"/>
    <x:col min="20" max="20" width="20" hidden="0" customWidth="1"/>
    <x:col min="21" max="21" width="20" hidden="0" customWidth="1"/>
    <x:col min="22" max="22" width="18" hidden="0" customWidth="1"/>
    <x:col min="23" max="23" width="20" hidden="0" customWidth="1"/>
    <x:col min="24" max="24" width="18" hidden="0" customWidth="1"/>
    <x:col min="25" max="25" width="22" hidden="0" customWidth="1"/>
    <x:col min="26" max="26" width="18" hidden="0" customWidth="1"/>
    <x:col min="27" max="27" width="22" hidden="0" customWidth="1"/>
    <x:col min="28" max="28" width="18" hidden="0" customWidth="1"/>
    <x:col min="29" max="29" width="20" hidden="0" customWidth="1"/>
    <x:col min="30" max="30" width="18" hidden="0" customWidth="1"/>
    <x:col min="31" max="31" width="18" hidden="0" customWidth="1"/>
    <x:col min="32" max="32" width="16" hidden="0" customWidth="1"/>
    <x:col min="33" max="33" width="18" hidden="0" customWidth="1"/>
    <x:col min="34" max="34" width="18" hidden="0" customWidth="1"/>
  </x:cols>
  <x:sheetData>
    <x:row r="2">
      <x:c r="C2" s="2" t="str">
        <x:v>Water-assurance architectures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</x:row>
    <x:row r="3">
      <x:c r="C3" s="3" t="str">
        <x:v>All four overlays begin with the Pass 66 R4 physical receiver. They differ in what evidence can authorize issue during unknown-agent conditions.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  <x:c r="AC3" s="3"/>
      <x:c r="AD3" s="3"/>
      <x:c r="AE3" s="3"/>
      <x:c r="AF3" s="3"/>
      <x:c r="AG3" s="3"/>
      <x:c r="AH3" s="3"/>
    </x:row>
    <x:row r="5">
      <x:c r="C5" s="9" t="str">
        <x:v>ID</x:v>
      </x:c>
      <x:c r="D5" s="9" t="str">
        <x:v>Architecture</x:v>
      </x:c>
      <x:c r="E5" s="9" t="str">
        <x:v>Central release required</x:v>
      </x:c>
      <x:c r="F5" s="9" t="str">
        <x:v>Local release domains</x:v>
      </x:c>
      <x:c r="G5" s="9" t="str">
        <x:v>Negative field screen qualifies primary</x:v>
      </x:c>
      <x:c r="H5" s="9" t="str">
        <x:v>Known-agent panel</x:v>
      </x:c>
      <x:c r="I5" s="9" t="str">
        <x:v>Assurance A qualified</x:v>
      </x:c>
      <x:c r="J5" s="9" t="str">
        <x:v>Assurance A capacity</x:v>
      </x:c>
      <x:c r="K5" s="9" t="str">
        <x:v>Assurance B qualified</x:v>
      </x:c>
      <x:c r="L5" s="9" t="str">
        <x:v>Assurance B capacity</x:v>
      </x:c>
      <x:c r="M5" s="9" t="str">
        <x:v>Sealed reserve qualified</x:v>
      </x:c>
      <x:c r="N5" s="9" t="str">
        <x:v>Reserve issue share</x:v>
      </x:c>
      <x:c r="O5" s="9" t="str">
        <x:v>Reserve endurance h</x:v>
      </x:c>
      <x:c r="P5" s="9" t="str">
        <x:v>Decision time h</x:v>
      </x:c>
      <x:c r="Q5" s="9" t="str">
        <x:v>Assurance workcells</x:v>
      </x:c>
      <x:c r="R5" s="9" t="str">
        <x:v>Extra gross storage m³</x:v>
      </x:c>
      <x:c r="S5" s="9" t="str">
        <x:v>Equipment $B/set</x:v>
      </x:c>
      <x:c r="T5" s="9" t="str">
        <x:v>Receiver $B/node</x:v>
      </x:c>
      <x:c r="U5" s="9" t="str">
        <x:v>Extra storage dry t</x:v>
      </x:c>
      <x:c r="V5" s="9" t="str">
        <x:v>Workcell dry t</x:v>
      </x:c>
      <x:c r="W5" s="9" t="str">
        <x:v>Second source dry t</x:v>
      </x:c>
      <x:c r="X5" s="9" t="str">
        <x:v>System dry t</x:v>
      </x:c>
      <x:c r="Y5" s="9" t="str">
        <x:v>System chargeable t</x:v>
      </x:c>
      <x:c r="Z5" s="9" t="str">
        <x:v>Surface positions</x:v>
      </x:c>
      <x:c r="AA5" s="9" t="str">
        <x:v>Revised program $B</x:v>
      </x:c>
      <x:c r="AB5" s="9" t="str">
        <x:v>Safety worlds</x:v>
      </x:c>
      <x:c r="AC5" s="9" t="str">
        <x:v>Continuity worlds</x:v>
      </x:c>
      <x:c r="AD5" s="9" t="str">
        <x:v>Declared passes</x:v>
      </x:c>
      <x:c r="AE5" s="9" t="str">
        <x:v>Unsafe worlds</x:v>
      </x:c>
      <x:c r="AF5" s="9" t="str">
        <x:v>Safe stops</x:v>
      </x:c>
      <x:c r="AG5" s="9" t="str">
        <x:v>Evidence</x:v>
      </x:c>
      <x:c r="AH5" s="9" t="str">
        <x:v>Rendering</x:v>
      </x:c>
    </x:row>
    <x:row r="6" ht="54" customHeight="1">
      <x:c r="C6" s="11" t="str">
        <x:v>A1</x:v>
      </x:c>
      <x:c r="D6" s="17" t="str">
        <x:v>Central confirmatory hold</x:v>
      </x:c>
      <x:c r="E6" s="18" t="n">
        <x:v>1</x:v>
      </x:c>
      <x:c r="F6" s="18" t="n">
        <x:v>0</x:v>
      </x:c>
      <x:c r="G6" s="18" t="n">
        <x:v>0</x:v>
      </x:c>
      <x:c r="H6" s="18" t="n">
        <x:v>0</x:v>
      </x:c>
      <x:c r="I6" s="18" t="n">
        <x:v>0</x:v>
      </x:c>
      <x:c r="J6" s="16" t="n">
        <x:v>0.5</x:v>
      </x:c>
      <x:c r="K6" s="18" t="n">
        <x:v>0</x:v>
      </x:c>
      <x:c r="L6" s="16" t="n">
        <x:v>0</x:v>
      </x:c>
      <x:c r="M6" s="18" t="n">
        <x:v>0</x:v>
      </x:c>
      <x:c r="N6" s="16" t="n">
        <x:v>0</x:v>
      </x:c>
      <x:c r="O6" s="13" t="n">
        <x:v>0</x:v>
      </x:c>
      <x:c r="P6" s="13" t="n">
        <x:v>6</x:v>
      </x:c>
      <x:c r="Q6" s="13" t="n">
        <x:v>0</x:v>
      </x:c>
      <x:c r="R6" s="19" t="n">
        <x:v>0</x:v>
      </x:c>
      <x:c r="S6" s="20" t="n">
        <x:v>2.3</x:v>
      </x:c>
      <x:c r="T6" s="20" t="n">
        <x:v>2.2</x:v>
      </x:c>
      <x:c r="U6" s="11" t="n">
        <x:f>R6/1000*'01 Controls'!$D$21</x:f>
        <x:v>0</x:v>
      </x:c>
      <x:c r="V6" s="11" t="n">
        <x:f>Q6*'01 Controls'!$D$19</x:f>
        <x:v>0</x:v>
      </x:c>
      <x:c r="W6" s="11" t="n">
        <x:f>IF(L6&gt;0,'01 Controls'!$D$24,0)</x:f>
        <x:v>0</x:v>
      </x:c>
      <x:c r="X6" s="21" t="n">
        <x:f>'01 Controls'!$D$12+U6+V6+W6</x:f>
        <x:v>5579.242428308064</x:v>
      </x:c>
      <x:c r="Y6" s="21" t="n">
        <x:f>'01 Controls'!$D$13+MAX(U6,R6/1000*'01 Controls'!$D$22*'01 Controls'!$D$23)+Q6*MAX('01 Controls'!$D$19,'01 Controls'!$D$20*'01 Controls'!$D$23)+IF(L6&gt;0,'01 Controls'!$D$25,0)</x:f>
        <x:v>5914.105443557698</x:v>
      </x:c>
      <x:c r="Z6" s="11" t="n">
        <x:f>ROUNDUP(Y6/'01 Controls'!$D$26,0)</x:f>
        <x:v>148</x:v>
      </x:c>
      <x:c r="AA6" s="22" t="n">
        <x:f>'01 Controls'!$D$14-'01 Controls'!$D$15*'01 Controls'!$D$17-'01 Controls'!$D$16*'01 Controls'!$D$18+'01 Controls'!$D$15*S6+'01 Controls'!$D$16*T6</x:f>
        <x:v>156</x:v>
      </x:c>
      <x:c r="AB6" s="11" t="n">
        <x:f>COUNTIFS('03 Failure Worlds'!$P$20:$P$31,"PASS")</x:f>
        <x:v>12</x:v>
      </x:c>
      <x:c r="AC6" s="11" t="n">
        <x:f>COUNTIFS('03 Failure Worlds'!$Q$20:$Q$31,"PASS")</x:f>
        <x:v>2</x:v>
      </x:c>
      <x:c r="AD6" s="11" t="n">
        <x:f>COUNTIFS('03 Failure Worlds'!$S$20:$S$31,"PASS")</x:f>
        <x:v>2</x:v>
      </x:c>
      <x:c r="AE6" s="11" t="n">
        <x:f>COUNTIFS('03 Failure Worlds'!$G$20:$G$31,"&gt;0")</x:f>
        <x:v>0</x:v>
      </x:c>
      <x:c r="AF6" s="11" t="n">
        <x:f>COUNTIFS('03 Failure Worlds'!$S$20:$S$31,"SAFE STOP")</x:f>
        <x:v>1</x:v>
      </x:c>
      <x:c r="AG6" s="11" t="str">
        <x:v>UNTESTED</x:v>
      </x:c>
      <x:c r="AH6" s="11" t="str">
        <x:v>BLOCKED</x:v>
      </x:c>
    </x:row>
    <x:row r="7" ht="54" customHeight="1">
      <x:c r="C7" s="11" t="str">
        <x:v>A2</x:v>
      </x:c>
      <x:c r="D7" s="17" t="str">
        <x:v>Sensor-negative local release</x:v>
      </x:c>
      <x:c r="E7" s="18" t="n">
        <x:v>0</x:v>
      </x:c>
      <x:c r="F7" s="18" t="n">
        <x:v>1</x:v>
      </x:c>
      <x:c r="G7" s="18" t="n">
        <x:v>1</x:v>
      </x:c>
      <x:c r="H7" s="18" t="n">
        <x:v>1</x:v>
      </x:c>
      <x:c r="I7" s="18" t="n">
        <x:v>0</x:v>
      </x:c>
      <x:c r="J7" s="16" t="n">
        <x:v>0.5</x:v>
      </x:c>
      <x:c r="K7" s="18" t="n">
        <x:v>0</x:v>
      </x:c>
      <x:c r="L7" s="16" t="n">
        <x:v>0</x:v>
      </x:c>
      <x:c r="M7" s="18" t="n">
        <x:v>0</x:v>
      </x:c>
      <x:c r="N7" s="16" t="n">
        <x:v>0</x:v>
      </x:c>
      <x:c r="O7" s="13" t="n">
        <x:v>0</x:v>
      </x:c>
      <x:c r="P7" s="13" t="n">
        <x:v>0.5</x:v>
      </x:c>
      <x:c r="Q7" s="13" t="n">
        <x:v>1</x:v>
      </x:c>
      <x:c r="R7" s="19" t="n">
        <x:v>0</x:v>
      </x:c>
      <x:c r="S7" s="20" t="n">
        <x:v>2.45</x:v>
      </x:c>
      <x:c r="T7" s="20" t="n">
        <x:v>2.35</x:v>
      </x:c>
      <x:c r="U7" s="11" t="n">
        <x:f>R7/1000*'01 Controls'!$D$21</x:f>
        <x:v>0</x:v>
      </x:c>
      <x:c r="V7" s="11" t="n">
        <x:f>Q7*'01 Controls'!$D$19</x:f>
        <x:v>45</x:v>
      </x:c>
      <x:c r="W7" s="11" t="n">
        <x:f>IF(L7&gt;0,'01 Controls'!$D$24,0)</x:f>
        <x:v>0</x:v>
      </x:c>
      <x:c r="X7" s="21" t="n">
        <x:f>'01 Controls'!$D$12+U7+V7+W7</x:f>
        <x:v>5624.242428308064</x:v>
      </x:c>
      <x:c r="Y7" s="21" t="n">
        <x:f>'01 Controls'!$D$13+MAX(U7,R7/1000*'01 Controls'!$D$22*'01 Controls'!$D$23)+Q7*MAX('01 Controls'!$D$19,'01 Controls'!$D$20*'01 Controls'!$D$23)+IF(L7&gt;0,'01 Controls'!$D$25,0)</x:f>
        <x:v>5959.105443557698</x:v>
      </x:c>
      <x:c r="Z7" s="11" t="n">
        <x:f>ROUNDUP(Y7/'01 Controls'!$D$26,0)</x:f>
        <x:v>149</x:v>
      </x:c>
      <x:c r="AA7" s="22" t="n">
        <x:f>'01 Controls'!$D$14-'01 Controls'!$D$15*'01 Controls'!$D$17-'01 Controls'!$D$16*'01 Controls'!$D$18+'01 Controls'!$D$15*S7+'01 Controls'!$D$16*T7</x:f>
        <x:v>161.40000000000003</x:v>
      </x:c>
      <x:c r="AB7" s="11" t="n">
        <x:f>COUNTIFS('03 Failure Worlds'!$P$32:$P$43,"PASS")</x:f>
        <x:v>5</x:v>
      </x:c>
      <x:c r="AC7" s="11" t="n">
        <x:f>COUNTIFS('03 Failure Worlds'!$Q$32:$Q$43,"PASS")</x:f>
        <x:v>3</x:v>
      </x:c>
      <x:c r="AD7" s="11" t="n">
        <x:f>COUNTIFS('03 Failure Worlds'!$S$32:$S$43,"PASS")</x:f>
        <x:v>3</x:v>
      </x:c>
      <x:c r="AE7" s="11" t="n">
        <x:f>COUNTIFS('03 Failure Worlds'!$G$32:$G$43,"&gt;0")</x:f>
        <x:v>7</x:v>
      </x:c>
      <x:c r="AF7" s="11" t="n">
        <x:f>COUNTIFS('03 Failure Worlds'!$S$32:$S$43,"SAFE STOP")</x:f>
        <x:v>1</x:v>
      </x:c>
      <x:c r="AG7" s="11" t="str">
        <x:v>UNTESTED</x:v>
      </x:c>
      <x:c r="AH7" s="11" t="str">
        <x:v>BLOCKED</x:v>
      </x:c>
    </x:row>
    <x:row r="8" ht="54" customHeight="1">
      <x:c r="C8" s="11" t="str">
        <x:v>A3</x:v>
      </x:c>
      <x:c r="D8" s="17" t="str">
        <x:v>Sealed 24-hour assurance reserve</x:v>
      </x:c>
      <x:c r="E8" s="18" t="n">
        <x:v>0</x:v>
      </x:c>
      <x:c r="F8" s="18" t="n">
        <x:v>2</x:v>
      </x:c>
      <x:c r="G8" s="18" t="n">
        <x:v>0</x:v>
      </x:c>
      <x:c r="H8" s="18" t="n">
        <x:v>1</x:v>
      </x:c>
      <x:c r="I8" s="18" t="n">
        <x:v>1</x:v>
      </x:c>
      <x:c r="J8" s="16" t="n">
        <x:v>0.5</x:v>
      </x:c>
      <x:c r="K8" s="18" t="n">
        <x:v>0</x:v>
      </x:c>
      <x:c r="L8" s="16" t="n">
        <x:v>0</x:v>
      </x:c>
      <x:c r="M8" s="18" t="n">
        <x:v>1</x:v>
      </x:c>
      <x:c r="N8" s="16" t="n">
        <x:v>0.5</x:v>
      </x:c>
      <x:c r="O8" s="13" t="n">
        <x:v>24</x:v>
      </x:c>
      <x:c r="P8" s="13" t="n">
        <x:v>2</x:v>
      </x:c>
      <x:c r="Q8" s="13" t="n">
        <x:v>2</x:v>
      </x:c>
      <x:c r="R8" s="19" t="n">
        <x:v>5882.352941176471</x:v>
      </x:c>
      <x:c r="S8" s="20" t="n">
        <x:v>2.75</x:v>
      </x:c>
      <x:c r="T8" s="20" t="n">
        <x:v>2.75</x:v>
      </x:c>
      <x:c r="U8" s="11" t="n">
        <x:f>R8/1000*'01 Controls'!$D$21</x:f>
        <x:v>211.76470588235296</x:v>
      </x:c>
      <x:c r="V8" s="11" t="n">
        <x:f>Q8*'01 Controls'!$D$19</x:f>
        <x:v>90</x:v>
      </x:c>
      <x:c r="W8" s="11" t="n">
        <x:f>IF(L8&gt;0,'01 Controls'!$D$24,0)</x:f>
        <x:v>0</x:v>
      </x:c>
      <x:c r="X8" s="21" t="n">
        <x:f>'01 Controls'!$D$12+U8+V8+W8</x:f>
        <x:v>5881.007134190417</x:v>
      </x:c>
      <x:c r="Y8" s="21" t="n">
        <x:f>'01 Controls'!$D$13+MAX(U8,R8/1000*'01 Controls'!$D$22*'01 Controls'!$D$23)+Q8*MAX('01 Controls'!$D$19,'01 Controls'!$D$20*'01 Controls'!$D$23)+IF(L8&gt;0,'01 Controls'!$D$25,0)</x:f>
        <x:v>6239.3995612047565</x:v>
      </x:c>
      <x:c r="Z8" s="11" t="n">
        <x:f>ROUNDUP(Y8/'01 Controls'!$D$26,0)</x:f>
        <x:v>156</x:v>
      </x:c>
      <x:c r="AA8" s="22" t="n">
        <x:f>'01 Controls'!$D$14-'01 Controls'!$D$15*'01 Controls'!$D$17-'01 Controls'!$D$16*'01 Controls'!$D$18+'01 Controls'!$D$15*S8+'01 Controls'!$D$16*T8</x:f>
        <x:v>173.4</x:v>
      </x:c>
      <x:c r="AB8" s="11" t="n">
        <x:f>COUNTIFS('03 Failure Worlds'!$P$44:$P$55,"PASS")</x:f>
        <x:v>12</x:v>
      </x:c>
      <x:c r="AC8" s="11" t="n">
        <x:f>COUNTIFS('03 Failure Worlds'!$Q$44:$Q$55,"PASS")</x:f>
        <x:v>10</x:v>
      </x:c>
      <x:c r="AD8" s="11" t="n">
        <x:f>COUNTIFS('03 Failure Worlds'!$S$44:$S$55,"PASS")</x:f>
        <x:v>10</x:v>
      </x:c>
      <x:c r="AE8" s="11" t="n">
        <x:f>COUNTIFS('03 Failure Worlds'!$G$44:$G$55,"&gt;0")</x:f>
        <x:v>0</x:v>
      </x:c>
      <x:c r="AF8" s="11" t="n">
        <x:f>COUNTIFS('03 Failure Worlds'!$S$44:$S$55,"SAFE STOP")</x:f>
        <x:v>1</x:v>
      </x:c>
      <x:c r="AG8" s="11" t="str">
        <x:v>UNTESTED</x:v>
      </x:c>
      <x:c r="AH8" s="11" t="str">
        <x:v>BLOCKED</x:v>
      </x:c>
    </x:row>
    <x:row r="9" ht="54" customHeight="1">
      <x:c r="C9" s="11" t="str">
        <x:v>A4</x:v>
      </x:c>
      <x:c r="D9" s="17" t="str">
        <x:v>Dual-continuous assurance lattice</x:v>
      </x:c>
      <x:c r="E9" s="18" t="n">
        <x:v>0</x:v>
      </x:c>
      <x:c r="F9" s="18" t="n">
        <x:v>4</x:v>
      </x:c>
      <x:c r="G9" s="18" t="n">
        <x:v>0</x:v>
      </x:c>
      <x:c r="H9" s="18" t="n">
        <x:v>1</x:v>
      </x:c>
      <x:c r="I9" s="18" t="n">
        <x:v>1</x:v>
      </x:c>
      <x:c r="J9" s="16" t="n">
        <x:v>0.5</x:v>
      </x:c>
      <x:c r="K9" s="18" t="n">
        <x:v>1</x:v>
      </x:c>
      <x:c r="L9" s="16" t="n">
        <x:v>0.5</x:v>
      </x:c>
      <x:c r="M9" s="18" t="n">
        <x:v>1</x:v>
      </x:c>
      <x:c r="N9" s="16" t="n">
        <x:v>0.5</x:v>
      </x:c>
      <x:c r="O9" s="13" t="n">
        <x:v>24</x:v>
      </x:c>
      <x:c r="P9" s="13" t="n">
        <x:v>2</x:v>
      </x:c>
      <x:c r="Q9" s="13" t="n">
        <x:v>4</x:v>
      </x:c>
      <x:c r="R9" s="19" t="n">
        <x:v>5882.352941176471</x:v>
      </x:c>
      <x:c r="S9" s="20" t="n">
        <x:v>3.6</x:v>
      </x:c>
      <x:c r="T9" s="20" t="n">
        <x:v>3.6</x:v>
      </x:c>
      <x:c r="U9" s="11" t="n">
        <x:f>R9/1000*'01 Controls'!$D$21</x:f>
        <x:v>211.76470588235296</x:v>
      </x:c>
      <x:c r="V9" s="11" t="n">
        <x:f>Q9*'01 Controls'!$D$19</x:f>
        <x:v>180</x:v>
      </x:c>
      <x:c r="W9" s="11" t="n">
        <x:f>IF(L9&gt;0,'01 Controls'!$D$24,0)</x:f>
        <x:v>900</x:v>
      </x:c>
      <x:c r="X9" s="21" t="n">
        <x:f>'01 Controls'!$D$12+U9+V9+W9</x:f>
        <x:v>6871.007134190417</x:v>
      </x:c>
      <x:c r="Y9" s="21" t="n">
        <x:f>'01 Controls'!$D$13+MAX(U9,R9/1000*'01 Controls'!$D$22*'01 Controls'!$D$23)+Q9*MAX('01 Controls'!$D$19,'01 Controls'!$D$20*'01 Controls'!$D$23)+IF(L9&gt;0,'01 Controls'!$D$25,0)</x:f>
        <x:v>7379.3995612047565</x:v>
      </x:c>
      <x:c r="Z9" s="11" t="n">
        <x:f>ROUNDUP(Y9/'01 Controls'!$D$26,0)</x:f>
        <x:v>185</x:v>
      </x:c>
      <x:c r="AA9" s="22" t="n">
        <x:f>'01 Controls'!$D$14-'01 Controls'!$D$15*'01 Controls'!$D$17-'01 Controls'!$D$16*'01 Controls'!$D$18+'01 Controls'!$D$15*S9+'01 Controls'!$D$16*T9</x:f>
        <x:v>204</x:v>
      </x:c>
      <x:c r="AB9" s="11" t="n">
        <x:f>COUNTIFS('03 Failure Worlds'!$P$56:$P$67,"PASS")</x:f>
        <x:v>12</x:v>
      </x:c>
      <x:c r="AC9" s="11" t="n">
        <x:f>COUNTIFS('03 Failure Worlds'!$Q$56:$Q$67,"PASS")</x:f>
        <x:v>11</x:v>
      </x:c>
      <x:c r="AD9" s="11" t="n">
        <x:f>COUNTIFS('03 Failure Worlds'!$S$56:$S$67,"PASS")</x:f>
        <x:v>11</x:v>
      </x:c>
      <x:c r="AE9" s="11" t="n">
        <x:f>COUNTIFS('03 Failure Worlds'!$G$56:$G$67,"&gt;0")</x:f>
        <x:v>0</x:v>
      </x:c>
      <x:c r="AF9" s="11" t="n">
        <x:f>COUNTIFS('03 Failure Worlds'!$S$56:$S$67,"SAFE STOP")</x:f>
        <x:v>1</x:v>
      </x:c>
      <x:c r="AG9" s="11" t="str">
        <x:v>UNTESTED</x:v>
      </x:c>
      <x:c r="AH9" s="11" t="str">
        <x:v>BLOCKED</x:v>
      </x:c>
    </x:row>
  </x:sheetData>
  <x:conditionalFormatting sqref="AG6:AH9">
    <x:cfRule type="containsText" dxfId="9" priority="1" operator="containsText" text="FAIL"/>
    <x:cfRule type="containsText" dxfId="10" priority="2" operator="containsText" text="DENIED"/>
    <x:cfRule type="containsText" dxfId="11" priority="3" operator="containsText" text="BLOCKED"/>
    <x:cfRule type="containsText" dxfId="12" priority="4" operator="containsText" text="UNSAFE"/>
    <x:cfRule type="containsText" dxfId="13" priority="5" operator="containsText" text="OPEN"/>
    <x:cfRule type="containsText" dxfId="14" priority="6" operator="containsText" text="UNTESTED"/>
    <x:cfRule type="containsText" dxfId="15" priority="7" operator="containsText" text="DECLARED"/>
    <x:cfRule type="containsText" dxfId="16" priority="8" operator="containsText" text="PASS"/>
    <x:cfRule type="containsText" dxfId="17" priority="9" operator="containsText" text="SAFE STOP"/>
  </x:conditionalFormatting>
  <x:pageMargins left="0.7" right="0.7" top="0.75" bottom="0.75" header="0.3" footer="0.3"/>
  <x:tableParts count="1">
    <x:tablePart xmlns:r="http://schemas.openxmlformats.org/officeDocument/2006/relationships" r:id="R4498422d1dd34e7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19" topLeftCell="E20" activePane="bottomRight" state="frozen"/>
    </x:sheetView>
  </x:sheetViews>
  <x:sheetFormatPr defaultRowHeight="15"/>
  <x:cols>
    <x:col min="3" max="3" width="13" hidden="0" customWidth="1"/>
    <x:col min="4" max="4" width="47" hidden="0" customWidth="1"/>
    <x:col min="5" max="5" width="16" hidden="0" customWidth="1"/>
    <x:col min="6" max="6" width="18" hidden="0" customWidth="1"/>
    <x:col min="7" max="7" width="20" hidden="0" customWidth="1"/>
    <x:col min="8" max="8" width="20" hidden="0" customWidth="1"/>
    <x:col min="9" max="9" width="17" hidden="0" customWidth="1"/>
    <x:col min="10" max="10" width="23" hidden="0" customWidth="1"/>
    <x:col min="11" max="11" width="19" hidden="0" customWidth="1"/>
    <x:col min="12" max="12" width="22" hidden="0" customWidth="1"/>
    <x:col min="13" max="13" width="21" hidden="0" customWidth="1"/>
    <x:col min="14" max="14" width="20" hidden="0" customWidth="1"/>
    <x:col min="15" max="15" width="23" hidden="0" customWidth="1"/>
    <x:col min="16" max="16" width="20" hidden="0" customWidth="1"/>
    <x:col min="17" max="17" width="19" hidden="0" customWidth="1"/>
    <x:col min="18" max="18" width="4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</x:cols>
  <x:sheetData>
    <x:row r="2">
      <x:c r="C2" s="2" t="str">
        <x:v>Unknown-agent failure worlds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</x:row>
    <x:row r="3">
      <x:c r="C3" s="3" t="str">
        <x:v>Twelve deterministic worlds separate source cleanliness, evidence, authority, release topology, endurance and public service. No probabilities are assigned.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</x:row>
    <x:row r="5">
      <x:c r="C5" s="9" t="str">
        <x:v>World</x:v>
      </x:c>
      <x:c r="D5" s="9" t="str">
        <x:v>Condition</x:v>
      </x:c>
      <x:c r="E5" s="9" t="str">
        <x:v>Horizon h</x:v>
      </x:c>
      <x:c r="F5" s="9" t="str">
        <x:v>Primary clean</x:v>
      </x:c>
      <x:c r="G5" s="9" t="str">
        <x:v>Assurance A clean</x:v>
      </x:c>
      <x:c r="H5" s="9" t="str">
        <x:v>Assurance B clean</x:v>
      </x:c>
      <x:c r="I5" s="9" t="str">
        <x:v>Reserve clean</x:v>
      </x:c>
      <x:c r="J5" s="9" t="str">
        <x:v>Central release available</x:v>
      </x:c>
      <x:c r="K5" s="9" t="str">
        <x:v>Local domains lost</x:v>
      </x:c>
      <x:c r="L5" s="9" t="str">
        <x:v>National policy</x:v>
      </x:c>
      <x:c r="M5" s="9" t="str">
        <x:v>Known-agent challenge</x:v>
      </x:c>
      <x:c r="N5" s="9" t="str">
        <x:v>Outside field panel</x:v>
      </x:c>
      <x:c r="O5" s="9" t="str">
        <x:v>Receiver service ceiling</x:v>
      </x:c>
      <x:c r="P5" s="9" t="str">
        <x:v>Safe-service floor</x:v>
      </x:c>
      <x:c r="Q5" s="9" t="str">
        <x:v>Decision target h</x:v>
      </x:c>
      <x:c r="R5" s="9" t="str">
        <x:v>Required behavior</x:v>
      </x:c>
    </x:row>
    <x:row r="6" ht="49" customHeight="1">
      <x:c r="C6" s="11" t="str">
        <x:v>W1</x:v>
      </x:c>
      <x:c r="D6" s="17" t="str">
        <x:v>Known chemical in primary source</x:v>
      </x:c>
      <x:c r="E6" s="17" t="n">
        <x:v>24</x:v>
      </x:c>
      <x:c r="F6" s="23" t="n">
        <x:v>0</x:v>
      </x:c>
      <x:c r="G6" s="23" t="n">
        <x:v>1</x:v>
      </x:c>
      <x:c r="H6" s="23" t="n">
        <x:v>1</x:v>
      </x:c>
      <x:c r="I6" s="23" t="n">
        <x:v>1</x:v>
      </x:c>
      <x:c r="J6" s="23" t="n">
        <x:v>1</x:v>
      </x:c>
      <x:c r="K6" s="17" t="n">
        <x:v>0</x:v>
      </x:c>
      <x:c r="L6" s="17" t="str">
        <x:v>NORMAL</x:v>
      </x:c>
      <x:c r="M6" s="23" t="n">
        <x:v>1</x:v>
      </x:c>
      <x:c r="N6" s="23" t="n">
        <x:v>0</x:v>
      </x:c>
      <x:c r="O6" s="24" t="n">
        <x:v>1</x:v>
      </x:c>
      <x:c r="P6" s="24" t="n">
        <x:v>0.5</x:v>
      </x:c>
      <x:c r="Q6" s="25" t="n">
        <x:v>6</x:v>
      </x:c>
      <x:c r="R6" s="17" t="str">
        <x:v>Hold primary; issue verified alternate water</x:v>
      </x:c>
    </x:row>
    <x:row r="7" ht="49" customHeight="1">
      <x:c r="C7" s="11" t="str">
        <x:v>W2</x:v>
      </x:c>
      <x:c r="D7" s="17" t="str">
        <x:v>Known biological agent in primary source</x:v>
      </x:c>
      <x:c r="E7" s="17" t="n">
        <x:v>24</x:v>
      </x:c>
      <x:c r="F7" s="23" t="n">
        <x:v>0</x:v>
      </x:c>
      <x:c r="G7" s="23" t="n">
        <x:v>1</x:v>
      </x:c>
      <x:c r="H7" s="23" t="n">
        <x:v>1</x:v>
      </x:c>
      <x:c r="I7" s="23" t="n">
        <x:v>1</x:v>
      </x:c>
      <x:c r="J7" s="23" t="n">
        <x:v>1</x:v>
      </x:c>
      <x:c r="K7" s="17" t="n">
        <x:v>0</x:v>
      </x:c>
      <x:c r="L7" s="17" t="str">
        <x:v>NORMAL</x:v>
      </x:c>
      <x:c r="M7" s="23" t="n">
        <x:v>1</x:v>
      </x:c>
      <x:c r="N7" s="23" t="n">
        <x:v>0</x:v>
      </x:c>
      <x:c r="O7" s="24" t="n">
        <x:v>1</x:v>
      </x:c>
      <x:c r="P7" s="24" t="n">
        <x:v>0.5</x:v>
      </x:c>
      <x:c r="Q7" s="25" t="n">
        <x:v>6</x:v>
      </x:c>
      <x:c r="R7" s="17" t="str">
        <x:v>Hold primary; issue verified alternate water</x:v>
      </x:c>
    </x:row>
    <x:row r="8" ht="49" customHeight="1">
      <x:c r="C8" s="11" t="str">
        <x:v>W3</x:v>
      </x:c>
      <x:c r="D8" s="17" t="str">
        <x:v>Unknown chemical outside field panel</x:v>
      </x:c>
      <x:c r="E8" s="17" t="n">
        <x:v>24</x:v>
      </x:c>
      <x:c r="F8" s="23" t="n">
        <x:v>0</x:v>
      </x:c>
      <x:c r="G8" s="23" t="n">
        <x:v>1</x:v>
      </x:c>
      <x:c r="H8" s="23" t="n">
        <x:v>1</x:v>
      </x:c>
      <x:c r="I8" s="23" t="n">
        <x:v>1</x:v>
      </x:c>
      <x:c r="J8" s="23" t="n">
        <x:v>1</x:v>
      </x:c>
      <x:c r="K8" s="17" t="n">
        <x:v>0</x:v>
      </x:c>
      <x:c r="L8" s="17" t="str">
        <x:v>ASSURANCE ONLY</x:v>
      </x:c>
      <x:c r="M8" s="23" t="n">
        <x:v>0</x:v>
      </x:c>
      <x:c r="N8" s="23" t="n">
        <x:v>1</x:v>
      </x:c>
      <x:c r="O8" s="24" t="n">
        <x:v>1</x:v>
      </x:c>
      <x:c r="P8" s="24" t="n">
        <x:v>0.5</x:v>
      </x:c>
      <x:c r="Q8" s="25" t="n">
        <x:v>2</x:v>
      </x:c>
      <x:c r="R8" s="17" t="str">
        <x:v>Quarantine primary; issue assured provenance only</x:v>
      </x:c>
    </x:row>
    <x:row r="9" ht="49" customHeight="1">
      <x:c r="C9" s="11" t="str">
        <x:v>W4</x:v>
      </x:c>
      <x:c r="D9" s="17" t="str">
        <x:v>Unknown biological agent or toxin outside panel</x:v>
      </x:c>
      <x:c r="E9" s="17" t="n">
        <x:v>24</x:v>
      </x:c>
      <x:c r="F9" s="23" t="n">
        <x:v>0</x:v>
      </x:c>
      <x:c r="G9" s="23" t="n">
        <x:v>1</x:v>
      </x:c>
      <x:c r="H9" s="23" t="n">
        <x:v>1</x:v>
      </x:c>
      <x:c r="I9" s="23" t="n">
        <x:v>1</x:v>
      </x:c>
      <x:c r="J9" s="23" t="n">
        <x:v>1</x:v>
      </x:c>
      <x:c r="K9" s="17" t="n">
        <x:v>0</x:v>
      </x:c>
      <x:c r="L9" s="17" t="str">
        <x:v>ASSURANCE ONLY</x:v>
      </x:c>
      <x:c r="M9" s="23" t="n">
        <x:v>0</x:v>
      </x:c>
      <x:c r="N9" s="23" t="n">
        <x:v>1</x:v>
      </x:c>
      <x:c r="O9" s="24" t="n">
        <x:v>1</x:v>
      </x:c>
      <x:c r="P9" s="24" t="n">
        <x:v>0.5</x:v>
      </x:c>
      <x:c r="Q9" s="25" t="n">
        <x:v>2</x:v>
      </x:c>
      <x:c r="R9" s="17" t="str">
        <x:v>Quarantine primary; issue assured provenance only</x:v>
      </x:c>
    </x:row>
    <x:row r="10" ht="49" customHeight="1">
      <x:c r="C10" s="11" t="str">
        <x:v>W5</x:v>
      </x:c>
      <x:c r="D10" s="17" t="str">
        <x:v>Central laboratory and data network unavailable</x:v>
      </x:c>
      <x:c r="E10" s="17" t="n">
        <x:v>24</x:v>
      </x:c>
      <x:c r="F10" s="23" t="n">
        <x:v>1</x:v>
      </x:c>
      <x:c r="G10" s="23" t="n">
        <x:v>1</x:v>
      </x:c>
      <x:c r="H10" s="23" t="n">
        <x:v>1</x:v>
      </x:c>
      <x:c r="I10" s="23" t="n">
        <x:v>1</x:v>
      </x:c>
      <x:c r="J10" s="23" t="n">
        <x:v>0</x:v>
      </x:c>
      <x:c r="K10" s="17" t="n">
        <x:v>0</x:v>
      </x:c>
      <x:c r="L10" s="17" t="str">
        <x:v>NORMAL</x:v>
      </x:c>
      <x:c r="M10" s="23" t="n">
        <x:v>0</x:v>
      </x:c>
      <x:c r="N10" s="23" t="n">
        <x:v>0</x:v>
      </x:c>
      <x:c r="O10" s="24" t="n">
        <x:v>1</x:v>
      </x:c>
      <x:c r="P10" s="24" t="n">
        <x:v>0.5</x:v>
      </x:c>
      <x:c r="Q10" s="25" t="n">
        <x:v>2</x:v>
      </x:c>
      <x:c r="R10" s="17" t="str">
        <x:v>Continue from a lawful local release domain</x:v>
      </x:c>
    </x:row>
    <x:row r="11" ht="49" customHeight="1">
      <x:c r="C11" s="11" t="str">
        <x:v>W6</x:v>
      </x:c>
      <x:c r="D11" s="17" t="str">
        <x:v>Central network unavailable and one local release cell lost</x:v>
      </x:c>
      <x:c r="E11" s="17" t="n">
        <x:v>24</x:v>
      </x:c>
      <x:c r="F11" s="23" t="n">
        <x:v>1</x:v>
      </x:c>
      <x:c r="G11" s="23" t="n">
        <x:v>1</x:v>
      </x:c>
      <x:c r="H11" s="23" t="n">
        <x:v>1</x:v>
      </x:c>
      <x:c r="I11" s="23" t="n">
        <x:v>1</x:v>
      </x:c>
      <x:c r="J11" s="23" t="n">
        <x:v>0</x:v>
      </x:c>
      <x:c r="K11" s="17" t="n">
        <x:v>1</x:v>
      </x:c>
      <x:c r="L11" s="17" t="str">
        <x:v>NORMAL</x:v>
      </x:c>
      <x:c r="M11" s="23" t="n">
        <x:v>0</x:v>
      </x:c>
      <x:c r="N11" s="23" t="n">
        <x:v>0</x:v>
      </x:c>
      <x:c r="O11" s="24" t="n">
        <x:v>1</x:v>
      </x:c>
      <x:c r="P11" s="24" t="n">
        <x:v>0.5</x:v>
      </x:c>
      <x:c r="Q11" s="25" t="n">
        <x:v>2</x:v>
      </x:c>
      <x:c r="R11" s="17" t="str">
        <x:v>A separate local domain preserves safe issue</x:v>
      </x:c>
    </x:row>
    <x:row r="12" ht="49" customHeight="1">
      <x:c r="C12" s="11" t="str">
        <x:v>W7</x:v>
      </x:c>
      <x:c r="D12" s="17" t="str">
        <x:v>Assurance A custody breach during unknown primary hold</x:v>
      </x:c>
      <x:c r="E12" s="17" t="n">
        <x:v>24</x:v>
      </x:c>
      <x:c r="F12" s="23" t="n">
        <x:v>0</x:v>
      </x:c>
      <x:c r="G12" s="23" t="n">
        <x:v>0</x:v>
      </x:c>
      <x:c r="H12" s="23" t="n">
        <x:v>1</x:v>
      </x:c>
      <x:c r="I12" s="23" t="n">
        <x:v>1</x:v>
      </x:c>
      <x:c r="J12" s="23" t="n">
        <x:v>1</x:v>
      </x:c>
      <x:c r="K12" s="17" t="n">
        <x:v>0</x:v>
      </x:c>
      <x:c r="L12" s="17" t="str">
        <x:v>ASSURANCE ONLY</x:v>
      </x:c>
      <x:c r="M12" s="23" t="n">
        <x:v>0</x:v>
      </x:c>
      <x:c r="N12" s="23" t="n">
        <x:v>1</x:v>
      </x:c>
      <x:c r="O12" s="24" t="n">
        <x:v>1</x:v>
      </x:c>
      <x:c r="P12" s="24" t="n">
        <x:v>0.5</x:v>
      </x:c>
      <x:c r="Q12" s="25" t="n">
        <x:v>2</x:v>
      </x:c>
      <x:c r="R12" s="17" t="str">
        <x:v>Exclude breached source; preserve half service</x:v>
      </x:c>
    </x:row>
    <x:row r="13" ht="49" customHeight="1">
      <x:c r="C13" s="11" t="str">
        <x:v>W8</x:v>
      </x:c>
      <x:c r="D13" s="17" t="str">
        <x:v>Assurance A consumable lineage invalidated</x:v>
      </x:c>
      <x:c r="E13" s="17" t="n">
        <x:v>24</x:v>
      </x:c>
      <x:c r="F13" s="23" t="n">
        <x:v>0</x:v>
      </x:c>
      <x:c r="G13" s="23" t="n">
        <x:v>0</x:v>
      </x:c>
      <x:c r="H13" s="23" t="n">
        <x:v>1</x:v>
      </x:c>
      <x:c r="I13" s="23" t="n">
        <x:v>1</x:v>
      </x:c>
      <x:c r="J13" s="23" t="n">
        <x:v>1</x:v>
      </x:c>
      <x:c r="K13" s="17" t="n">
        <x:v>0</x:v>
      </x:c>
      <x:c r="L13" s="17" t="str">
        <x:v>ASSURANCE ONLY</x:v>
      </x:c>
      <x:c r="M13" s="23" t="n">
        <x:v>0</x:v>
      </x:c>
      <x:c r="N13" s="23" t="n">
        <x:v>1</x:v>
      </x:c>
      <x:c r="O13" s="24" t="n">
        <x:v>1</x:v>
      </x:c>
      <x:c r="P13" s="24" t="n">
        <x:v>0.5</x:v>
      </x:c>
      <x:c r="Q13" s="25" t="n">
        <x:v>2</x:v>
      </x:c>
      <x:c r="R13" s="17" t="str">
        <x:v>Independent source or reserve preserves service</x:v>
      </x:c>
    </x:row>
    <x:row r="14" ht="49" customHeight="1">
      <x:c r="C14" s="11" t="str">
        <x:v>W9</x:v>
      </x:c>
      <x:c r="D14" s="17" t="str">
        <x:v>One receiver island and primary source held</x:v>
      </x:c>
      <x:c r="E14" s="17" t="n">
        <x:v>24</x:v>
      </x:c>
      <x:c r="F14" s="23" t="n">
        <x:v>0</x:v>
      </x:c>
      <x:c r="G14" s="23" t="n">
        <x:v>1</x:v>
      </x:c>
      <x:c r="H14" s="23" t="n">
        <x:v>1</x:v>
      </x:c>
      <x:c r="I14" s="23" t="n">
        <x:v>1</x:v>
      </x:c>
      <x:c r="J14" s="23" t="n">
        <x:v>1</x:v>
      </x:c>
      <x:c r="K14" s="17" t="n">
        <x:v>0</x:v>
      </x:c>
      <x:c r="L14" s="17" t="str">
        <x:v>ASSURANCE ONLY</x:v>
      </x:c>
      <x:c r="M14" s="23" t="n">
        <x:v>0</x:v>
      </x:c>
      <x:c r="N14" s="23" t="n">
        <x:v>1</x:v>
      </x:c>
      <x:c r="O14" s="24" t="n">
        <x:v>0.875</x:v>
      </x:c>
      <x:c r="P14" s="24" t="n">
        <x:v>0.5</x:v>
      </x:c>
      <x:c r="Q14" s="25" t="n">
        <x:v>2</x:v>
      </x:c>
      <x:c r="R14" s="17" t="str">
        <x:v>Safe service remains accessible outside held island</x:v>
      </x:c>
    </x:row>
    <x:row r="15" ht="49" customHeight="1">
      <x:c r="C15" s="11" t="str">
        <x:v>W10</x:v>
      </x:c>
      <x:c r="D15" s="17" t="str">
        <x:v>Primary and Assurance A held for 72 hours</x:v>
      </x:c>
      <x:c r="E15" s="17" t="n">
        <x:v>72</x:v>
      </x:c>
      <x:c r="F15" s="23" t="n">
        <x:v>0</x:v>
      </x:c>
      <x:c r="G15" s="23" t="n">
        <x:v>0</x:v>
      </x:c>
      <x:c r="H15" s="23" t="n">
        <x:v>1</x:v>
      </x:c>
      <x:c r="I15" s="23" t="n">
        <x:v>1</x:v>
      </x:c>
      <x:c r="J15" s="23" t="n">
        <x:v>1</x:v>
      </x:c>
      <x:c r="K15" s="17" t="n">
        <x:v>0</x:v>
      </x:c>
      <x:c r="L15" s="17" t="str">
        <x:v>ASSURANCE ONLY</x:v>
      </x:c>
      <x:c r="M15" s="23" t="n">
        <x:v>0</x:v>
      </x:c>
      <x:c r="N15" s="23" t="n">
        <x:v>1</x:v>
      </x:c>
      <x:c r="O15" s="24" t="n">
        <x:v>1</x:v>
      </x:c>
      <x:c r="P15" s="24" t="n">
        <x:v>0.5</x:v>
      </x:c>
      <x:c r="Q15" s="25" t="n">
        <x:v>2</x:v>
      </x:c>
      <x:c r="R15" s="17" t="str">
        <x:v>Continuous second provenance survives reserve exhaustion</x:v>
      </x:c>
    </x:row>
    <x:row r="16" ht="49" customHeight="1">
      <x:c r="C16" s="11" t="str">
        <x:v>W11</x:v>
      </x:c>
      <x:c r="D16" s="17" t="str">
        <x:v>Field-negative screen conflicts with provenance hold</x:v>
      </x:c>
      <x:c r="E16" s="17" t="n">
        <x:v>24</x:v>
      </x:c>
      <x:c r="F16" s="23" t="n">
        <x:v>0</x:v>
      </x:c>
      <x:c r="G16" s="23" t="n">
        <x:v>1</x:v>
      </x:c>
      <x:c r="H16" s="23" t="n">
        <x:v>1</x:v>
      </x:c>
      <x:c r="I16" s="23" t="n">
        <x:v>1</x:v>
      </x:c>
      <x:c r="J16" s="23" t="n">
        <x:v>1</x:v>
      </x:c>
      <x:c r="K16" s="17" t="n">
        <x:v>0</x:v>
      </x:c>
      <x:c r="L16" s="17" t="str">
        <x:v>ASSURANCE ONLY</x:v>
      </x:c>
      <x:c r="M16" s="23" t="n">
        <x:v>0</x:v>
      </x:c>
      <x:c r="N16" s="23" t="n">
        <x:v>1</x:v>
      </x:c>
      <x:c r="O16" s="24" t="n">
        <x:v>1</x:v>
      </x:c>
      <x:c r="P16" s="24" t="n">
        <x:v>0.5</x:v>
      </x:c>
      <x:c r="Q16" s="25" t="n">
        <x:v>2</x:v>
      </x:c>
      <x:c r="R16" s="17" t="str">
        <x:v>Provenance hold controls; negative screen cannot release</x:v>
      </x:c>
    </x:row>
    <x:row r="17" ht="49" customHeight="1">
      <x:c r="C17" s="11" t="str">
        <x:v>W12</x:v>
      </x:c>
      <x:c r="D17" s="17" t="str">
        <x:v>Universal national no-issue order</x:v>
      </x:c>
      <x:c r="E17" s="17" t="n">
        <x:v>24</x:v>
      </x:c>
      <x:c r="F17" s="23" t="n">
        <x:v>0</x:v>
      </x:c>
      <x:c r="G17" s="23" t="n">
        <x:v>1</x:v>
      </x:c>
      <x:c r="H17" s="23" t="n">
        <x:v>1</x:v>
      </x:c>
      <x:c r="I17" s="23" t="n">
        <x:v>1</x:v>
      </x:c>
      <x:c r="J17" s="23" t="n">
        <x:v>1</x:v>
      </x:c>
      <x:c r="K17" s="17" t="n">
        <x:v>0</x:v>
      </x:c>
      <x:c r="L17" s="17" t="str">
        <x:v>ALL STOP</x:v>
      </x:c>
      <x:c r="M17" s="23" t="n">
        <x:v>0</x:v>
      </x:c>
      <x:c r="N17" s="23" t="n">
        <x:v>1</x:v>
      </x:c>
      <x:c r="O17" s="24" t="n">
        <x:v>1</x:v>
      </x:c>
      <x:c r="P17" s="24" t="n">
        <x:v>0.5</x:v>
      </x:c>
      <x:c r="Q17" s="25" t="n">
        <x:v>0.25</x:v>
      </x:c>
      <x:c r="R17" s="17" t="str">
        <x:v>Stop all issue; preserve evidence and prepare recovery</x:v>
      </x:c>
    </x:row>
    <x:row r="19">
      <x:c r="C19" s="9" t="str">
        <x:v>Architecture</x:v>
      </x:c>
      <x:c r="D19" s="9" t="str">
        <x:v>World</x:v>
      </x:c>
      <x:c r="E19" s="9" t="str">
        <x:v>Release path</x:v>
      </x:c>
      <x:c r="F19" s="9" t="str">
        <x:v>Primary issued</x:v>
      </x:c>
      <x:c r="G19" s="9" t="str">
        <x:v>Unsafe issue</x:v>
      </x:c>
      <x:c r="H19" s="9" t="str">
        <x:v>Safe primary</x:v>
      </x:c>
      <x:c r="I19" s="9" t="str">
        <x:v>Assurance A</x:v>
      </x:c>
      <x:c r="J19" s="9" t="str">
        <x:v>Assurance B</x:v>
      </x:c>
      <x:c r="K19" s="9" t="str">
        <x:v>Sealed reserve</x:v>
      </x:c>
      <x:c r="L19" s="9" t="str">
        <x:v>Safe service</x:v>
      </x:c>
      <x:c r="M19" s="9" t="str">
        <x:v>Gross issued</x:v>
      </x:c>
      <x:c r="N19" s="9" t="str">
        <x:v>Decision time h</x:v>
      </x:c>
      <x:c r="O19" s="9" t="str">
        <x:v>Target h</x:v>
      </x:c>
      <x:c r="P19" s="9" t="str">
        <x:v>Safety</x:v>
      </x:c>
      <x:c r="Q19" s="9" t="str">
        <x:v>Continuity</x:v>
      </x:c>
      <x:c r="R19" s="9" t="str">
        <x:v>Timing</x:v>
      </x:c>
      <x:c r="S19" s="9" t="str">
        <x:v>Declared result</x:v>
      </x:c>
      <x:c r="T19" s="9" t="str">
        <x:v>Evidence</x:v>
      </x:c>
      <x:c r="U19" s="9" t="str">
        <x:v>Binding factor</x:v>
      </x:c>
      <x:c r="V19" s="9" t="str">
        <x:v>Strict admission</x:v>
      </x:c>
    </x:row>
    <x:row r="20" ht="43" customHeight="1">
      <x:c r="C20" s="11" t="str">
        <x:f>'02 Architectures'!C6</x:f>
        <x:v>A1</x:v>
      </x:c>
      <x:c r="D20" s="17" t="str">
        <x:f>C6</x:f>
        <x:v>W1</x:v>
      </x:c>
      <x:c r="E20" s="24" t="n">
        <x:f>IF('02 Architectures'!E6=1,J6,IF('02 Architectures'!F6&gt;K6,1,0))</x:f>
        <x:v>1</x:v>
      </x:c>
      <x:c r="F20" s="24" t="n">
        <x:f>IF(L6="ALL STOP",0,IF(F6=1,IF(L6="NORMAL",E20,0),IF(AND(M6=1,'02 Architectures'!H6=1),0,IF(AND(N6=1,'02 Architectures'!G6=1),E20,0))))</x:f>
        <x:v>0</x:v>
      </x:c>
      <x:c r="G20" s="24" t="n">
        <x:f>F20*(1-F6)</x:f>
        <x:v>0</x:v>
      </x:c>
      <x:c r="H20" s="24" t="n">
        <x:f>F20*F6</x:f>
        <x:v>0</x:v>
      </x:c>
      <x:c r="I20" s="24" t="n">
        <x:f>IF(OR(L6="ALL STOP",E20=0,G6=0),0,IF(OR(L6="NORMAL",'02 Architectures'!I6=1),'02 Architectures'!J6,0))</x:f>
        <x:v>0.5</x:v>
      </x:c>
      <x:c r="J20" s="24" t="n">
        <x:f>IF(OR(L6="ALL STOP",E20=0,H6=0),0,IF(OR(L6="NORMAL",'02 Architectures'!K6=1),'02 Architectures'!L6,0))</x:f>
        <x:v>0</x:v>
      </x:c>
      <x:c r="K20" s="24" t="n">
        <x:f>IF(OR(L6="ALL STOP",E20=0,I6=0,'02 Architectures'!O6&lt;E6),0,IF(OR(L6="NORMAL",'02 Architectures'!M6=1),'02 Architectures'!N6,0))</x:f>
        <x:v>0</x:v>
      </x:c>
      <x:c r="L20" s="24" t="n">
        <x:f>MIN(O6,H20+I20+J20+K20,1)</x:f>
        <x:v>0.5</x:v>
      </x:c>
      <x:c r="M20" s="24" t="n">
        <x:f>MIN(O6,F20+I20+J20+K20,1)</x:f>
        <x:v>0.5</x:v>
      </x:c>
      <x:c r="N20" s="17" t="n">
        <x:f>'02 Architectures'!P6</x:f>
        <x:v>6</x:v>
      </x:c>
      <x:c r="O20" s="17" t="n">
        <x:f>Q6</x:f>
        <x:v>6</x:v>
      </x:c>
      <x:c r="P20" s="17" t="str">
        <x:f>IF(G20=0,"PASS","FAIL")</x:f>
        <x:v>PASS</x:v>
      </x:c>
      <x:c r="Q20" s="17" t="str">
        <x:f>IF(L20&gt;=P6,"PASS","FAIL")</x:f>
        <x:v>PASS</x:v>
      </x:c>
      <x:c r="R20" s="17" t="str">
        <x:f>IF(L6="ALL STOP","n.a.",IF(N20&lt;=O20,"PASS","FAIL"))</x:f>
        <x:v>PASS</x:v>
      </x:c>
      <x:c r="S20" s="17" t="str">
        <x:f>IF(L6="ALL STOP","SAFE STOP",IF(AND(P20="PASS",Q20="PASS",R20="PASS"),"PASS","FAIL"))</x:f>
        <x:v>PASS</x:v>
      </x:c>
      <x:c r="T20" s="17" t="str">
        <x:v>UNTESTED</x:v>
      </x:c>
      <x:c r="U20" s="17" t="str">
        <x:f>IF(L6="ALL STOP","CIVIL STOP",IF(G20&gt;0,"UNSAFE PRIMARY",IF(E20=0,"RELEASE PATH",IF(L20&lt;P6,IF(AND(E6&gt;'02 Architectures'!O6,'02 Architectures'!N6&gt;0),"ENDURANCE","SAFE CAPACITY"),IF(N20&gt;O20,"DECISION TIME","NONE")))))</x:f>
        <x:v>NONE</x:v>
      </x:c>
      <x:c r="V20" s="17" t="str">
        <x:v>DENIED</x:v>
      </x:c>
    </x:row>
    <x:row r="21" ht="43" customHeight="1">
      <x:c r="C21" s="11" t="str">
        <x:f>'02 Architectures'!C6</x:f>
        <x:v>A1</x:v>
      </x:c>
      <x:c r="D21" s="17" t="str">
        <x:f>C7</x:f>
        <x:v>W2</x:v>
      </x:c>
      <x:c r="E21" s="24" t="n">
        <x:f>IF('02 Architectures'!E6=1,J7,IF('02 Architectures'!F6&gt;K7,1,0))</x:f>
        <x:v>1</x:v>
      </x:c>
      <x:c r="F21" s="24" t="n">
        <x:f>IF(L7="ALL STOP",0,IF(F7=1,IF(L7="NORMAL",E21,0),IF(AND(M7=1,'02 Architectures'!H6=1),0,IF(AND(N7=1,'02 Architectures'!G6=1),E21,0))))</x:f>
        <x:v>0</x:v>
      </x:c>
      <x:c r="G21" s="24" t="n">
        <x:f>F21*(1-F7)</x:f>
        <x:v>0</x:v>
      </x:c>
      <x:c r="H21" s="24" t="n">
        <x:f>F21*F7</x:f>
        <x:v>0</x:v>
      </x:c>
      <x:c r="I21" s="24" t="n">
        <x:f>IF(OR(L7="ALL STOP",E21=0,G7=0),0,IF(OR(L7="NORMAL",'02 Architectures'!I6=1),'02 Architectures'!J6,0))</x:f>
        <x:v>0.5</x:v>
      </x:c>
      <x:c r="J21" s="24" t="n">
        <x:f>IF(OR(L7="ALL STOP",E21=0,H7=0),0,IF(OR(L7="NORMAL",'02 Architectures'!K6=1),'02 Architectures'!L6,0))</x:f>
        <x:v>0</x:v>
      </x:c>
      <x:c r="K21" s="24" t="n">
        <x:f>IF(OR(L7="ALL STOP",E21=0,I7=0,'02 Architectures'!O6&lt;E7),0,IF(OR(L7="NORMAL",'02 Architectures'!M6=1),'02 Architectures'!N6,0))</x:f>
        <x:v>0</x:v>
      </x:c>
      <x:c r="L21" s="24" t="n">
        <x:f>MIN(O7,H21+I21+J21+K21,1)</x:f>
        <x:v>0.5</x:v>
      </x:c>
      <x:c r="M21" s="24" t="n">
        <x:f>MIN(O7,F21+I21+J21+K21,1)</x:f>
        <x:v>0.5</x:v>
      </x:c>
      <x:c r="N21" s="17" t="n">
        <x:f>'02 Architectures'!P6</x:f>
        <x:v>6</x:v>
      </x:c>
      <x:c r="O21" s="17" t="n">
        <x:f>Q7</x:f>
        <x:v>6</x:v>
      </x:c>
      <x:c r="P21" s="17" t="str">
        <x:f>IF(G21=0,"PASS","FAIL")</x:f>
        <x:v>PASS</x:v>
      </x:c>
      <x:c r="Q21" s="17" t="str">
        <x:f>IF(L21&gt;=P7,"PASS","FAIL")</x:f>
        <x:v>PASS</x:v>
      </x:c>
      <x:c r="R21" s="17" t="str">
        <x:f>IF(L7="ALL STOP","n.a.",IF(N21&lt;=O21,"PASS","FAIL"))</x:f>
        <x:v>PASS</x:v>
      </x:c>
      <x:c r="S21" s="17" t="str">
        <x:f>IF(L7="ALL STOP","SAFE STOP",IF(AND(P21="PASS",Q21="PASS",R21="PASS"),"PASS","FAIL"))</x:f>
        <x:v>PASS</x:v>
      </x:c>
      <x:c r="T21" s="17" t="str">
        <x:v>UNTESTED</x:v>
      </x:c>
      <x:c r="U21" s="17" t="str">
        <x:f>IF(L7="ALL STOP","CIVIL STOP",IF(G21&gt;0,"UNSAFE PRIMARY",IF(E21=0,"RELEASE PATH",IF(L21&lt;P7,IF(AND(E7&gt;'02 Architectures'!O6,'02 Architectures'!N6&gt;0),"ENDURANCE","SAFE CAPACITY"),IF(N21&gt;O21,"DECISION TIME","NONE")))))</x:f>
        <x:v>NONE</x:v>
      </x:c>
      <x:c r="V21" s="17" t="str">
        <x:v>DENIED</x:v>
      </x:c>
    </x:row>
    <x:row r="22" ht="43" customHeight="1">
      <x:c r="C22" s="11" t="str">
        <x:f>'02 Architectures'!C6</x:f>
        <x:v>A1</x:v>
      </x:c>
      <x:c r="D22" s="17" t="str">
        <x:f>C8</x:f>
        <x:v>W3</x:v>
      </x:c>
      <x:c r="E22" s="24" t="n">
        <x:f>IF('02 Architectures'!E6=1,J8,IF('02 Architectures'!F6&gt;K8,1,0))</x:f>
        <x:v>1</x:v>
      </x:c>
      <x:c r="F22" s="24" t="n">
        <x:f>IF(L8="ALL STOP",0,IF(F8=1,IF(L8="NORMAL",E22,0),IF(AND(M8=1,'02 Architectures'!H6=1),0,IF(AND(N8=1,'02 Architectures'!G6=1),E22,0))))</x:f>
        <x:v>0</x:v>
      </x:c>
      <x:c r="G22" s="24" t="n">
        <x:f>F22*(1-F8)</x:f>
        <x:v>0</x:v>
      </x:c>
      <x:c r="H22" s="24" t="n">
        <x:f>F22*F8</x:f>
        <x:v>0</x:v>
      </x:c>
      <x:c r="I22" s="24" t="n">
        <x:f>IF(OR(L8="ALL STOP",E22=0,G8=0),0,IF(OR(L8="NORMAL",'02 Architectures'!I6=1),'02 Architectures'!J6,0))</x:f>
        <x:v>0</x:v>
      </x:c>
      <x:c r="J22" s="24" t="n">
        <x:f>IF(OR(L8="ALL STOP",E22=0,H8=0),0,IF(OR(L8="NORMAL",'02 Architectures'!K6=1),'02 Architectures'!L6,0))</x:f>
        <x:v>0</x:v>
      </x:c>
      <x:c r="K22" s="24" t="n">
        <x:f>IF(OR(L8="ALL STOP",E22=0,I8=0,'02 Architectures'!O6&lt;E8),0,IF(OR(L8="NORMAL",'02 Architectures'!M6=1),'02 Architectures'!N6,0))</x:f>
        <x:v>0</x:v>
      </x:c>
      <x:c r="L22" s="24" t="n">
        <x:f>MIN(O8,H22+I22+J22+K22,1)</x:f>
        <x:v>0</x:v>
      </x:c>
      <x:c r="M22" s="24" t="n">
        <x:f>MIN(O8,F22+I22+J22+K22,1)</x:f>
        <x:v>0</x:v>
      </x:c>
      <x:c r="N22" s="17" t="n">
        <x:f>'02 Architectures'!P6</x:f>
        <x:v>6</x:v>
      </x:c>
      <x:c r="O22" s="17" t="n">
        <x:f>Q8</x:f>
        <x:v>2</x:v>
      </x:c>
      <x:c r="P22" s="17" t="str">
        <x:f>IF(G22=0,"PASS","FAIL")</x:f>
        <x:v>PASS</x:v>
      </x:c>
      <x:c r="Q22" s="17" t="str">
        <x:f>IF(L22&gt;=P8,"PASS","FAIL")</x:f>
        <x:v>FAIL</x:v>
      </x:c>
      <x:c r="R22" s="17" t="str">
        <x:f>IF(L8="ALL STOP","n.a.",IF(N22&lt;=O22,"PASS","FAIL"))</x:f>
        <x:v>FAIL</x:v>
      </x:c>
      <x:c r="S22" s="17" t="str">
        <x:f>IF(L8="ALL STOP","SAFE STOP",IF(AND(P22="PASS",Q22="PASS",R22="PASS"),"PASS","FAIL"))</x:f>
        <x:v>FAIL</x:v>
      </x:c>
      <x:c r="T22" s="17" t="str">
        <x:v>UNTESTED</x:v>
      </x:c>
      <x:c r="U22" s="17" t="str">
        <x:f>IF(L8="ALL STOP","CIVIL STOP",IF(G22&gt;0,"UNSAFE PRIMARY",IF(E22=0,"RELEASE PATH",IF(L22&lt;P8,IF(AND(E8&gt;'02 Architectures'!O6,'02 Architectures'!N6&gt;0),"ENDURANCE","SAFE CAPACITY"),IF(N22&gt;O22,"DECISION TIME","NONE")))))</x:f>
        <x:v>SAFE CAPACITY</x:v>
      </x:c>
      <x:c r="V22" s="17" t="str">
        <x:v>DENIED</x:v>
      </x:c>
    </x:row>
    <x:row r="23" ht="43" customHeight="1">
      <x:c r="C23" s="11" t="str">
        <x:f>'02 Architectures'!C6</x:f>
        <x:v>A1</x:v>
      </x:c>
      <x:c r="D23" s="17" t="str">
        <x:f>C9</x:f>
        <x:v>W4</x:v>
      </x:c>
      <x:c r="E23" s="24" t="n">
        <x:f>IF('02 Architectures'!E6=1,J9,IF('02 Architectures'!F6&gt;K9,1,0))</x:f>
        <x:v>1</x:v>
      </x:c>
      <x:c r="F23" s="24" t="n">
        <x:f>IF(L9="ALL STOP",0,IF(F9=1,IF(L9="NORMAL",E23,0),IF(AND(M9=1,'02 Architectures'!H6=1),0,IF(AND(N9=1,'02 Architectures'!G6=1),E23,0))))</x:f>
        <x:v>0</x:v>
      </x:c>
      <x:c r="G23" s="24" t="n">
        <x:f>F23*(1-F9)</x:f>
        <x:v>0</x:v>
      </x:c>
      <x:c r="H23" s="24" t="n">
        <x:f>F23*F9</x:f>
        <x:v>0</x:v>
      </x:c>
      <x:c r="I23" s="24" t="n">
        <x:f>IF(OR(L9="ALL STOP",E23=0,G9=0),0,IF(OR(L9="NORMAL",'02 Architectures'!I6=1),'02 Architectures'!J6,0))</x:f>
        <x:v>0</x:v>
      </x:c>
      <x:c r="J23" s="24" t="n">
        <x:f>IF(OR(L9="ALL STOP",E23=0,H9=0),0,IF(OR(L9="NORMAL",'02 Architectures'!K6=1),'02 Architectures'!L6,0))</x:f>
        <x:v>0</x:v>
      </x:c>
      <x:c r="K23" s="24" t="n">
        <x:f>IF(OR(L9="ALL STOP",E23=0,I9=0,'02 Architectures'!O6&lt;E9),0,IF(OR(L9="NORMAL",'02 Architectures'!M6=1),'02 Architectures'!N6,0))</x:f>
        <x:v>0</x:v>
      </x:c>
      <x:c r="L23" s="24" t="n">
        <x:f>MIN(O9,H23+I23+J23+K23,1)</x:f>
        <x:v>0</x:v>
      </x:c>
      <x:c r="M23" s="24" t="n">
        <x:f>MIN(O9,F23+I23+J23+K23,1)</x:f>
        <x:v>0</x:v>
      </x:c>
      <x:c r="N23" s="17" t="n">
        <x:f>'02 Architectures'!P6</x:f>
        <x:v>6</x:v>
      </x:c>
      <x:c r="O23" s="17" t="n">
        <x:f>Q9</x:f>
        <x:v>2</x:v>
      </x:c>
      <x:c r="P23" s="17" t="str">
        <x:f>IF(G23=0,"PASS","FAIL")</x:f>
        <x:v>PASS</x:v>
      </x:c>
      <x:c r="Q23" s="17" t="str">
        <x:f>IF(L23&gt;=P9,"PASS","FAIL")</x:f>
        <x:v>FAIL</x:v>
      </x:c>
      <x:c r="R23" s="17" t="str">
        <x:f>IF(L9="ALL STOP","n.a.",IF(N23&lt;=O23,"PASS","FAIL"))</x:f>
        <x:v>FAIL</x:v>
      </x:c>
      <x:c r="S23" s="17" t="str">
        <x:f>IF(L9="ALL STOP","SAFE STOP",IF(AND(P23="PASS",Q23="PASS",R23="PASS"),"PASS","FAIL"))</x:f>
        <x:v>FAIL</x:v>
      </x:c>
      <x:c r="T23" s="17" t="str">
        <x:v>UNTESTED</x:v>
      </x:c>
      <x:c r="U23" s="17" t="str">
        <x:f>IF(L9="ALL STOP","CIVIL STOP",IF(G23&gt;0,"UNSAFE PRIMARY",IF(E23=0,"RELEASE PATH",IF(L23&lt;P9,IF(AND(E9&gt;'02 Architectures'!O6,'02 Architectures'!N6&gt;0),"ENDURANCE","SAFE CAPACITY"),IF(N23&gt;O23,"DECISION TIME","NONE")))))</x:f>
        <x:v>SAFE CAPACITY</x:v>
      </x:c>
      <x:c r="V23" s="17" t="str">
        <x:v>DENIED</x:v>
      </x:c>
    </x:row>
    <x:row r="24" ht="43" customHeight="1">
      <x:c r="C24" s="11" t="str">
        <x:f>'02 Architectures'!C6</x:f>
        <x:v>A1</x:v>
      </x:c>
      <x:c r="D24" s="17" t="str">
        <x:f>C10</x:f>
        <x:v>W5</x:v>
      </x:c>
      <x:c r="E24" s="24" t="n">
        <x:f>IF('02 Architectures'!E6=1,J10,IF('02 Architectures'!F6&gt;K10,1,0))</x:f>
        <x:v>0</x:v>
      </x:c>
      <x:c r="F24" s="24" t="n">
        <x:f>IF(L10="ALL STOP",0,IF(F10=1,IF(L10="NORMAL",E24,0),IF(AND(M10=1,'02 Architectures'!H6=1),0,IF(AND(N10=1,'02 Architectures'!G6=1),E24,0))))</x:f>
        <x:v>0</x:v>
      </x:c>
      <x:c r="G24" s="24" t="n">
        <x:f>F24*(1-F10)</x:f>
        <x:v>0</x:v>
      </x:c>
      <x:c r="H24" s="24" t="n">
        <x:f>F24*F10</x:f>
        <x:v>0</x:v>
      </x:c>
      <x:c r="I24" s="24" t="n">
        <x:f>IF(OR(L10="ALL STOP",E24=0,G10=0),0,IF(OR(L10="NORMAL",'02 Architectures'!I6=1),'02 Architectures'!J6,0))</x:f>
        <x:v>0</x:v>
      </x:c>
      <x:c r="J24" s="24" t="n">
        <x:f>IF(OR(L10="ALL STOP",E24=0,H10=0),0,IF(OR(L10="NORMAL",'02 Architectures'!K6=1),'02 Architectures'!L6,0))</x:f>
        <x:v>0</x:v>
      </x:c>
      <x:c r="K24" s="24" t="n">
        <x:f>IF(OR(L10="ALL STOP",E24=0,I10=0,'02 Architectures'!O6&lt;E10),0,IF(OR(L10="NORMAL",'02 Architectures'!M6=1),'02 Architectures'!N6,0))</x:f>
        <x:v>0</x:v>
      </x:c>
      <x:c r="L24" s="24" t="n">
        <x:f>MIN(O10,H24+I24+J24+K24,1)</x:f>
        <x:v>0</x:v>
      </x:c>
      <x:c r="M24" s="24" t="n">
        <x:f>MIN(O10,F24+I24+J24+K24,1)</x:f>
        <x:v>0</x:v>
      </x:c>
      <x:c r="N24" s="17" t="n">
        <x:f>'02 Architectures'!P6</x:f>
        <x:v>6</x:v>
      </x:c>
      <x:c r="O24" s="17" t="n">
        <x:f>Q10</x:f>
        <x:v>2</x:v>
      </x:c>
      <x:c r="P24" s="17" t="str">
        <x:f>IF(G24=0,"PASS","FAIL")</x:f>
        <x:v>PASS</x:v>
      </x:c>
      <x:c r="Q24" s="17" t="str">
        <x:f>IF(L24&gt;=P10,"PASS","FAIL")</x:f>
        <x:v>FAIL</x:v>
      </x:c>
      <x:c r="R24" s="17" t="str">
        <x:f>IF(L10="ALL STOP","n.a.",IF(N24&lt;=O24,"PASS","FAIL"))</x:f>
        <x:v>FAIL</x:v>
      </x:c>
      <x:c r="S24" s="17" t="str">
        <x:f>IF(L10="ALL STOP","SAFE STOP",IF(AND(P24="PASS",Q24="PASS",R24="PASS"),"PASS","FAIL"))</x:f>
        <x:v>FAIL</x:v>
      </x:c>
      <x:c r="T24" s="17" t="str">
        <x:v>UNTESTED</x:v>
      </x:c>
      <x:c r="U24" s="17" t="str">
        <x:f>IF(L10="ALL STOP","CIVIL STOP",IF(G24&gt;0,"UNSAFE PRIMARY",IF(E24=0,"RELEASE PATH",IF(L24&lt;P10,IF(AND(E10&gt;'02 Architectures'!O6,'02 Architectures'!N6&gt;0),"ENDURANCE","SAFE CAPACITY"),IF(N24&gt;O24,"DECISION TIME","NONE")))))</x:f>
        <x:v>RELEASE PATH</x:v>
      </x:c>
      <x:c r="V24" s="17" t="str">
        <x:v>DENIED</x:v>
      </x:c>
    </x:row>
    <x:row r="25" ht="43" customHeight="1">
      <x:c r="C25" s="11" t="str">
        <x:f>'02 Architectures'!C6</x:f>
        <x:v>A1</x:v>
      </x:c>
      <x:c r="D25" s="17" t="str">
        <x:f>C11</x:f>
        <x:v>W6</x:v>
      </x:c>
      <x:c r="E25" s="24" t="n">
        <x:f>IF('02 Architectures'!E6=1,J11,IF('02 Architectures'!F6&gt;K11,1,0))</x:f>
        <x:v>0</x:v>
      </x:c>
      <x:c r="F25" s="24" t="n">
        <x:f>IF(L11="ALL STOP",0,IF(F11=1,IF(L11="NORMAL",E25,0),IF(AND(M11=1,'02 Architectures'!H6=1),0,IF(AND(N11=1,'02 Architectures'!G6=1),E25,0))))</x:f>
        <x:v>0</x:v>
      </x:c>
      <x:c r="G25" s="24" t="n">
        <x:f>F25*(1-F11)</x:f>
        <x:v>0</x:v>
      </x:c>
      <x:c r="H25" s="24" t="n">
        <x:f>F25*F11</x:f>
        <x:v>0</x:v>
      </x:c>
      <x:c r="I25" s="24" t="n">
        <x:f>IF(OR(L11="ALL STOP",E25=0,G11=0),0,IF(OR(L11="NORMAL",'02 Architectures'!I6=1),'02 Architectures'!J6,0))</x:f>
        <x:v>0</x:v>
      </x:c>
      <x:c r="J25" s="24" t="n">
        <x:f>IF(OR(L11="ALL STOP",E25=0,H11=0),0,IF(OR(L11="NORMAL",'02 Architectures'!K6=1),'02 Architectures'!L6,0))</x:f>
        <x:v>0</x:v>
      </x:c>
      <x:c r="K25" s="24" t="n">
        <x:f>IF(OR(L11="ALL STOP",E25=0,I11=0,'02 Architectures'!O6&lt;E11),0,IF(OR(L11="NORMAL",'02 Architectures'!M6=1),'02 Architectures'!N6,0))</x:f>
        <x:v>0</x:v>
      </x:c>
      <x:c r="L25" s="24" t="n">
        <x:f>MIN(O11,H25+I25+J25+K25,1)</x:f>
        <x:v>0</x:v>
      </x:c>
      <x:c r="M25" s="24" t="n">
        <x:f>MIN(O11,F25+I25+J25+K25,1)</x:f>
        <x:v>0</x:v>
      </x:c>
      <x:c r="N25" s="17" t="n">
        <x:f>'02 Architectures'!P6</x:f>
        <x:v>6</x:v>
      </x:c>
      <x:c r="O25" s="17" t="n">
        <x:f>Q11</x:f>
        <x:v>2</x:v>
      </x:c>
      <x:c r="P25" s="17" t="str">
        <x:f>IF(G25=0,"PASS","FAIL")</x:f>
        <x:v>PASS</x:v>
      </x:c>
      <x:c r="Q25" s="17" t="str">
        <x:f>IF(L25&gt;=P11,"PASS","FAIL")</x:f>
        <x:v>FAIL</x:v>
      </x:c>
      <x:c r="R25" s="17" t="str">
        <x:f>IF(L11="ALL STOP","n.a.",IF(N25&lt;=O25,"PASS","FAIL"))</x:f>
        <x:v>FAIL</x:v>
      </x:c>
      <x:c r="S25" s="17" t="str">
        <x:f>IF(L11="ALL STOP","SAFE STOP",IF(AND(P25="PASS",Q25="PASS",R25="PASS"),"PASS","FAIL"))</x:f>
        <x:v>FAIL</x:v>
      </x:c>
      <x:c r="T25" s="17" t="str">
        <x:v>UNTESTED</x:v>
      </x:c>
      <x:c r="U25" s="17" t="str">
        <x:f>IF(L11="ALL STOP","CIVIL STOP",IF(G25&gt;0,"UNSAFE PRIMARY",IF(E25=0,"RELEASE PATH",IF(L25&lt;P11,IF(AND(E11&gt;'02 Architectures'!O6,'02 Architectures'!N6&gt;0),"ENDURANCE","SAFE CAPACITY"),IF(N25&gt;O25,"DECISION TIME","NONE")))))</x:f>
        <x:v>RELEASE PATH</x:v>
      </x:c>
      <x:c r="V25" s="17" t="str">
        <x:v>DENIED</x:v>
      </x:c>
    </x:row>
    <x:row r="26" ht="43" customHeight="1">
      <x:c r="C26" s="11" t="str">
        <x:f>'02 Architectures'!C6</x:f>
        <x:v>A1</x:v>
      </x:c>
      <x:c r="D26" s="17" t="str">
        <x:f>C12</x:f>
        <x:v>W7</x:v>
      </x:c>
      <x:c r="E26" s="24" t="n">
        <x:f>IF('02 Architectures'!E6=1,J12,IF('02 Architectures'!F6&gt;K12,1,0))</x:f>
        <x:v>1</x:v>
      </x:c>
      <x:c r="F26" s="24" t="n">
        <x:f>IF(L12="ALL STOP",0,IF(F12=1,IF(L12="NORMAL",E26,0),IF(AND(M12=1,'02 Architectures'!H6=1),0,IF(AND(N12=1,'02 Architectures'!G6=1),E26,0))))</x:f>
        <x:v>0</x:v>
      </x:c>
      <x:c r="G26" s="24" t="n">
        <x:f>F26*(1-F12)</x:f>
        <x:v>0</x:v>
      </x:c>
      <x:c r="H26" s="24" t="n">
        <x:f>F26*F12</x:f>
        <x:v>0</x:v>
      </x:c>
      <x:c r="I26" s="24" t="n">
        <x:f>IF(OR(L12="ALL STOP",E26=0,G12=0),0,IF(OR(L12="NORMAL",'02 Architectures'!I6=1),'02 Architectures'!J6,0))</x:f>
        <x:v>0</x:v>
      </x:c>
      <x:c r="J26" s="24" t="n">
        <x:f>IF(OR(L12="ALL STOP",E26=0,H12=0),0,IF(OR(L12="NORMAL",'02 Architectures'!K6=1),'02 Architectures'!L6,0))</x:f>
        <x:v>0</x:v>
      </x:c>
      <x:c r="K26" s="24" t="n">
        <x:f>IF(OR(L12="ALL STOP",E26=0,I12=0,'02 Architectures'!O6&lt;E12),0,IF(OR(L12="NORMAL",'02 Architectures'!M6=1),'02 Architectures'!N6,0))</x:f>
        <x:v>0</x:v>
      </x:c>
      <x:c r="L26" s="24" t="n">
        <x:f>MIN(O12,H26+I26+J26+K26,1)</x:f>
        <x:v>0</x:v>
      </x:c>
      <x:c r="M26" s="24" t="n">
        <x:f>MIN(O12,F26+I26+J26+K26,1)</x:f>
        <x:v>0</x:v>
      </x:c>
      <x:c r="N26" s="17" t="n">
        <x:f>'02 Architectures'!P6</x:f>
        <x:v>6</x:v>
      </x:c>
      <x:c r="O26" s="17" t="n">
        <x:f>Q12</x:f>
        <x:v>2</x:v>
      </x:c>
      <x:c r="P26" s="17" t="str">
        <x:f>IF(G26=0,"PASS","FAIL")</x:f>
        <x:v>PASS</x:v>
      </x:c>
      <x:c r="Q26" s="17" t="str">
        <x:f>IF(L26&gt;=P12,"PASS","FAIL")</x:f>
        <x:v>FAIL</x:v>
      </x:c>
      <x:c r="R26" s="17" t="str">
        <x:f>IF(L12="ALL STOP","n.a.",IF(N26&lt;=O26,"PASS","FAIL"))</x:f>
        <x:v>FAIL</x:v>
      </x:c>
      <x:c r="S26" s="17" t="str">
        <x:f>IF(L12="ALL STOP","SAFE STOP",IF(AND(P26="PASS",Q26="PASS",R26="PASS"),"PASS","FAIL"))</x:f>
        <x:v>FAIL</x:v>
      </x:c>
      <x:c r="T26" s="17" t="str">
        <x:v>UNTESTED</x:v>
      </x:c>
      <x:c r="U26" s="17" t="str">
        <x:f>IF(L12="ALL STOP","CIVIL STOP",IF(G26&gt;0,"UNSAFE PRIMARY",IF(E26=0,"RELEASE PATH",IF(L26&lt;P12,IF(AND(E12&gt;'02 Architectures'!O6,'02 Architectures'!N6&gt;0),"ENDURANCE","SAFE CAPACITY"),IF(N26&gt;O26,"DECISION TIME","NONE")))))</x:f>
        <x:v>SAFE CAPACITY</x:v>
      </x:c>
      <x:c r="V26" s="17" t="str">
        <x:v>DENIED</x:v>
      </x:c>
    </x:row>
    <x:row r="27" ht="43" customHeight="1">
      <x:c r="C27" s="11" t="str">
        <x:f>'02 Architectures'!C6</x:f>
        <x:v>A1</x:v>
      </x:c>
      <x:c r="D27" s="17" t="str">
        <x:f>C13</x:f>
        <x:v>W8</x:v>
      </x:c>
      <x:c r="E27" s="24" t="n">
        <x:f>IF('02 Architectures'!E6=1,J13,IF('02 Architectures'!F6&gt;K13,1,0))</x:f>
        <x:v>1</x:v>
      </x:c>
      <x:c r="F27" s="24" t="n">
        <x:f>IF(L13="ALL STOP",0,IF(F13=1,IF(L13="NORMAL",E27,0),IF(AND(M13=1,'02 Architectures'!H6=1),0,IF(AND(N13=1,'02 Architectures'!G6=1),E27,0))))</x:f>
        <x:v>0</x:v>
      </x:c>
      <x:c r="G27" s="24" t="n">
        <x:f>F27*(1-F13)</x:f>
        <x:v>0</x:v>
      </x:c>
      <x:c r="H27" s="24" t="n">
        <x:f>F27*F13</x:f>
        <x:v>0</x:v>
      </x:c>
      <x:c r="I27" s="24" t="n">
        <x:f>IF(OR(L13="ALL STOP",E27=0,G13=0),0,IF(OR(L13="NORMAL",'02 Architectures'!I6=1),'02 Architectures'!J6,0))</x:f>
        <x:v>0</x:v>
      </x:c>
      <x:c r="J27" s="24" t="n">
        <x:f>IF(OR(L13="ALL STOP",E27=0,H13=0),0,IF(OR(L13="NORMAL",'02 Architectures'!K6=1),'02 Architectures'!L6,0))</x:f>
        <x:v>0</x:v>
      </x:c>
      <x:c r="K27" s="24" t="n">
        <x:f>IF(OR(L13="ALL STOP",E27=0,I13=0,'02 Architectures'!O6&lt;E13),0,IF(OR(L13="NORMAL",'02 Architectures'!M6=1),'02 Architectures'!N6,0))</x:f>
        <x:v>0</x:v>
      </x:c>
      <x:c r="L27" s="24" t="n">
        <x:f>MIN(O13,H27+I27+J27+K27,1)</x:f>
        <x:v>0</x:v>
      </x:c>
      <x:c r="M27" s="24" t="n">
        <x:f>MIN(O13,F27+I27+J27+K27,1)</x:f>
        <x:v>0</x:v>
      </x:c>
      <x:c r="N27" s="17" t="n">
        <x:f>'02 Architectures'!P6</x:f>
        <x:v>6</x:v>
      </x:c>
      <x:c r="O27" s="17" t="n">
        <x:f>Q13</x:f>
        <x:v>2</x:v>
      </x:c>
      <x:c r="P27" s="17" t="str">
        <x:f>IF(G27=0,"PASS","FAIL")</x:f>
        <x:v>PASS</x:v>
      </x:c>
      <x:c r="Q27" s="17" t="str">
        <x:f>IF(L27&gt;=P13,"PASS","FAIL")</x:f>
        <x:v>FAIL</x:v>
      </x:c>
      <x:c r="R27" s="17" t="str">
        <x:f>IF(L13="ALL STOP","n.a.",IF(N27&lt;=O27,"PASS","FAIL"))</x:f>
        <x:v>FAIL</x:v>
      </x:c>
      <x:c r="S27" s="17" t="str">
        <x:f>IF(L13="ALL STOP","SAFE STOP",IF(AND(P27="PASS",Q27="PASS",R27="PASS"),"PASS","FAIL"))</x:f>
        <x:v>FAIL</x:v>
      </x:c>
      <x:c r="T27" s="17" t="str">
        <x:v>UNTESTED</x:v>
      </x:c>
      <x:c r="U27" s="17" t="str">
        <x:f>IF(L13="ALL STOP","CIVIL STOP",IF(G27&gt;0,"UNSAFE PRIMARY",IF(E27=0,"RELEASE PATH",IF(L27&lt;P13,IF(AND(E13&gt;'02 Architectures'!O6,'02 Architectures'!N6&gt;0),"ENDURANCE","SAFE CAPACITY"),IF(N27&gt;O27,"DECISION TIME","NONE")))))</x:f>
        <x:v>SAFE CAPACITY</x:v>
      </x:c>
      <x:c r="V27" s="17" t="str">
        <x:v>DENIED</x:v>
      </x:c>
    </x:row>
    <x:row r="28" ht="43" customHeight="1">
      <x:c r="C28" s="11" t="str">
        <x:f>'02 Architectures'!C6</x:f>
        <x:v>A1</x:v>
      </x:c>
      <x:c r="D28" s="17" t="str">
        <x:f>C14</x:f>
        <x:v>W9</x:v>
      </x:c>
      <x:c r="E28" s="24" t="n">
        <x:f>IF('02 Architectures'!E6=1,J14,IF('02 Architectures'!F6&gt;K14,1,0))</x:f>
        <x:v>1</x:v>
      </x:c>
      <x:c r="F28" s="24" t="n">
        <x:f>IF(L14="ALL STOP",0,IF(F14=1,IF(L14="NORMAL",E28,0),IF(AND(M14=1,'02 Architectures'!H6=1),0,IF(AND(N14=1,'02 Architectures'!G6=1),E28,0))))</x:f>
        <x:v>0</x:v>
      </x:c>
      <x:c r="G28" s="24" t="n">
        <x:f>F28*(1-F14)</x:f>
        <x:v>0</x:v>
      </x:c>
      <x:c r="H28" s="24" t="n">
        <x:f>F28*F14</x:f>
        <x:v>0</x:v>
      </x:c>
      <x:c r="I28" s="24" t="n">
        <x:f>IF(OR(L14="ALL STOP",E28=0,G14=0),0,IF(OR(L14="NORMAL",'02 Architectures'!I6=1),'02 Architectures'!J6,0))</x:f>
        <x:v>0</x:v>
      </x:c>
      <x:c r="J28" s="24" t="n">
        <x:f>IF(OR(L14="ALL STOP",E28=0,H14=0),0,IF(OR(L14="NORMAL",'02 Architectures'!K6=1),'02 Architectures'!L6,0))</x:f>
        <x:v>0</x:v>
      </x:c>
      <x:c r="K28" s="24" t="n">
        <x:f>IF(OR(L14="ALL STOP",E28=0,I14=0,'02 Architectures'!O6&lt;E14),0,IF(OR(L14="NORMAL",'02 Architectures'!M6=1),'02 Architectures'!N6,0))</x:f>
        <x:v>0</x:v>
      </x:c>
      <x:c r="L28" s="24" t="n">
        <x:f>MIN(O14,H28+I28+J28+K28,1)</x:f>
        <x:v>0</x:v>
      </x:c>
      <x:c r="M28" s="24" t="n">
        <x:f>MIN(O14,F28+I28+J28+K28,1)</x:f>
        <x:v>0</x:v>
      </x:c>
      <x:c r="N28" s="17" t="n">
        <x:f>'02 Architectures'!P6</x:f>
        <x:v>6</x:v>
      </x:c>
      <x:c r="O28" s="17" t="n">
        <x:f>Q14</x:f>
        <x:v>2</x:v>
      </x:c>
      <x:c r="P28" s="17" t="str">
        <x:f>IF(G28=0,"PASS","FAIL")</x:f>
        <x:v>PASS</x:v>
      </x:c>
      <x:c r="Q28" s="17" t="str">
        <x:f>IF(L28&gt;=P14,"PASS","FAIL")</x:f>
        <x:v>FAIL</x:v>
      </x:c>
      <x:c r="R28" s="17" t="str">
        <x:f>IF(L14="ALL STOP","n.a.",IF(N28&lt;=O28,"PASS","FAIL"))</x:f>
        <x:v>FAIL</x:v>
      </x:c>
      <x:c r="S28" s="17" t="str">
        <x:f>IF(L14="ALL STOP","SAFE STOP",IF(AND(P28="PASS",Q28="PASS",R28="PASS"),"PASS","FAIL"))</x:f>
        <x:v>FAIL</x:v>
      </x:c>
      <x:c r="T28" s="17" t="str">
        <x:v>UNTESTED</x:v>
      </x:c>
      <x:c r="U28" s="17" t="str">
        <x:f>IF(L14="ALL STOP","CIVIL STOP",IF(G28&gt;0,"UNSAFE PRIMARY",IF(E28=0,"RELEASE PATH",IF(L28&lt;P14,IF(AND(E14&gt;'02 Architectures'!O6,'02 Architectures'!N6&gt;0),"ENDURANCE","SAFE CAPACITY"),IF(N28&gt;O28,"DECISION TIME","NONE")))))</x:f>
        <x:v>SAFE CAPACITY</x:v>
      </x:c>
      <x:c r="V28" s="17" t="str">
        <x:v>DENIED</x:v>
      </x:c>
    </x:row>
    <x:row r="29" ht="43" customHeight="1">
      <x:c r="C29" s="11" t="str">
        <x:f>'02 Architectures'!C6</x:f>
        <x:v>A1</x:v>
      </x:c>
      <x:c r="D29" s="17" t="str">
        <x:f>C15</x:f>
        <x:v>W10</x:v>
      </x:c>
      <x:c r="E29" s="24" t="n">
        <x:f>IF('02 Architectures'!E6=1,J15,IF('02 Architectures'!F6&gt;K15,1,0))</x:f>
        <x:v>1</x:v>
      </x:c>
      <x:c r="F29" s="24" t="n">
        <x:f>IF(L15="ALL STOP",0,IF(F15=1,IF(L15="NORMAL",E29,0),IF(AND(M15=1,'02 Architectures'!H6=1),0,IF(AND(N15=1,'02 Architectures'!G6=1),E29,0))))</x:f>
        <x:v>0</x:v>
      </x:c>
      <x:c r="G29" s="24" t="n">
        <x:f>F29*(1-F15)</x:f>
        <x:v>0</x:v>
      </x:c>
      <x:c r="H29" s="24" t="n">
        <x:f>F29*F15</x:f>
        <x:v>0</x:v>
      </x:c>
      <x:c r="I29" s="24" t="n">
        <x:f>IF(OR(L15="ALL STOP",E29=0,G15=0),0,IF(OR(L15="NORMAL",'02 Architectures'!I6=1),'02 Architectures'!J6,0))</x:f>
        <x:v>0</x:v>
      </x:c>
      <x:c r="J29" s="24" t="n">
        <x:f>IF(OR(L15="ALL STOP",E29=0,H15=0),0,IF(OR(L15="NORMAL",'02 Architectures'!K6=1),'02 Architectures'!L6,0))</x:f>
        <x:v>0</x:v>
      </x:c>
      <x:c r="K29" s="24" t="n">
        <x:f>IF(OR(L15="ALL STOP",E29=0,I15=0,'02 Architectures'!O6&lt;E15),0,IF(OR(L15="NORMAL",'02 Architectures'!M6=1),'02 Architectures'!N6,0))</x:f>
        <x:v>0</x:v>
      </x:c>
      <x:c r="L29" s="24" t="n">
        <x:f>MIN(O15,H29+I29+J29+K29,1)</x:f>
        <x:v>0</x:v>
      </x:c>
      <x:c r="M29" s="24" t="n">
        <x:f>MIN(O15,F29+I29+J29+K29,1)</x:f>
        <x:v>0</x:v>
      </x:c>
      <x:c r="N29" s="17" t="n">
        <x:f>'02 Architectures'!P6</x:f>
        <x:v>6</x:v>
      </x:c>
      <x:c r="O29" s="17" t="n">
        <x:f>Q15</x:f>
        <x:v>2</x:v>
      </x:c>
      <x:c r="P29" s="17" t="str">
        <x:f>IF(G29=0,"PASS","FAIL")</x:f>
        <x:v>PASS</x:v>
      </x:c>
      <x:c r="Q29" s="17" t="str">
        <x:f>IF(L29&gt;=P15,"PASS","FAIL")</x:f>
        <x:v>FAIL</x:v>
      </x:c>
      <x:c r="R29" s="17" t="str">
        <x:f>IF(L15="ALL STOP","n.a.",IF(N29&lt;=O29,"PASS","FAIL"))</x:f>
        <x:v>FAIL</x:v>
      </x:c>
      <x:c r="S29" s="17" t="str">
        <x:f>IF(L15="ALL STOP","SAFE STOP",IF(AND(P29="PASS",Q29="PASS",R29="PASS"),"PASS","FAIL"))</x:f>
        <x:v>FAIL</x:v>
      </x:c>
      <x:c r="T29" s="17" t="str">
        <x:v>UNTESTED</x:v>
      </x:c>
      <x:c r="U29" s="17" t="str">
        <x:f>IF(L15="ALL STOP","CIVIL STOP",IF(G29&gt;0,"UNSAFE PRIMARY",IF(E29=0,"RELEASE PATH",IF(L29&lt;P15,IF(AND(E15&gt;'02 Architectures'!O6,'02 Architectures'!N6&gt;0),"ENDURANCE","SAFE CAPACITY"),IF(N29&gt;O29,"DECISION TIME","NONE")))))</x:f>
        <x:v>SAFE CAPACITY</x:v>
      </x:c>
      <x:c r="V29" s="17" t="str">
        <x:v>DENIED</x:v>
      </x:c>
    </x:row>
    <x:row r="30" ht="43" customHeight="1">
      <x:c r="C30" s="11" t="str">
        <x:f>'02 Architectures'!C6</x:f>
        <x:v>A1</x:v>
      </x:c>
      <x:c r="D30" s="17" t="str">
        <x:f>C16</x:f>
        <x:v>W11</x:v>
      </x:c>
      <x:c r="E30" s="24" t="n">
        <x:f>IF('02 Architectures'!E6=1,J16,IF('02 Architectures'!F6&gt;K16,1,0))</x:f>
        <x:v>1</x:v>
      </x:c>
      <x:c r="F30" s="24" t="n">
        <x:f>IF(L16="ALL STOP",0,IF(F16=1,IF(L16="NORMAL",E30,0),IF(AND(M16=1,'02 Architectures'!H6=1),0,IF(AND(N16=1,'02 Architectures'!G6=1),E30,0))))</x:f>
        <x:v>0</x:v>
      </x:c>
      <x:c r="G30" s="24" t="n">
        <x:f>F30*(1-F16)</x:f>
        <x:v>0</x:v>
      </x:c>
      <x:c r="H30" s="24" t="n">
        <x:f>F30*F16</x:f>
        <x:v>0</x:v>
      </x:c>
      <x:c r="I30" s="24" t="n">
        <x:f>IF(OR(L16="ALL STOP",E30=0,G16=0),0,IF(OR(L16="NORMAL",'02 Architectures'!I6=1),'02 Architectures'!J6,0))</x:f>
        <x:v>0</x:v>
      </x:c>
      <x:c r="J30" s="24" t="n">
        <x:f>IF(OR(L16="ALL STOP",E30=0,H16=0),0,IF(OR(L16="NORMAL",'02 Architectures'!K6=1),'02 Architectures'!L6,0))</x:f>
        <x:v>0</x:v>
      </x:c>
      <x:c r="K30" s="24" t="n">
        <x:f>IF(OR(L16="ALL STOP",E30=0,I16=0,'02 Architectures'!O6&lt;E16),0,IF(OR(L16="NORMAL",'02 Architectures'!M6=1),'02 Architectures'!N6,0))</x:f>
        <x:v>0</x:v>
      </x:c>
      <x:c r="L30" s="24" t="n">
        <x:f>MIN(O16,H30+I30+J30+K30,1)</x:f>
        <x:v>0</x:v>
      </x:c>
      <x:c r="M30" s="24" t="n">
        <x:f>MIN(O16,F30+I30+J30+K30,1)</x:f>
        <x:v>0</x:v>
      </x:c>
      <x:c r="N30" s="17" t="n">
        <x:f>'02 Architectures'!P6</x:f>
        <x:v>6</x:v>
      </x:c>
      <x:c r="O30" s="17" t="n">
        <x:f>Q16</x:f>
        <x:v>2</x:v>
      </x:c>
      <x:c r="P30" s="17" t="str">
        <x:f>IF(G30=0,"PASS","FAIL")</x:f>
        <x:v>PASS</x:v>
      </x:c>
      <x:c r="Q30" s="17" t="str">
        <x:f>IF(L30&gt;=P16,"PASS","FAIL")</x:f>
        <x:v>FAIL</x:v>
      </x:c>
      <x:c r="R30" s="17" t="str">
        <x:f>IF(L16="ALL STOP","n.a.",IF(N30&lt;=O30,"PASS","FAIL"))</x:f>
        <x:v>FAIL</x:v>
      </x:c>
      <x:c r="S30" s="17" t="str">
        <x:f>IF(L16="ALL STOP","SAFE STOP",IF(AND(P30="PASS",Q30="PASS",R30="PASS"),"PASS","FAIL"))</x:f>
        <x:v>FAIL</x:v>
      </x:c>
      <x:c r="T30" s="17" t="str">
        <x:v>UNTESTED</x:v>
      </x:c>
      <x:c r="U30" s="17" t="str">
        <x:f>IF(L16="ALL STOP","CIVIL STOP",IF(G30&gt;0,"UNSAFE PRIMARY",IF(E30=0,"RELEASE PATH",IF(L30&lt;P16,IF(AND(E16&gt;'02 Architectures'!O6,'02 Architectures'!N6&gt;0),"ENDURANCE","SAFE CAPACITY"),IF(N30&gt;O30,"DECISION TIME","NONE")))))</x:f>
        <x:v>SAFE CAPACITY</x:v>
      </x:c>
      <x:c r="V30" s="17" t="str">
        <x:v>DENIED</x:v>
      </x:c>
    </x:row>
    <x:row r="31" ht="43" customHeight="1">
      <x:c r="C31" s="11" t="str">
        <x:f>'02 Architectures'!C6</x:f>
        <x:v>A1</x:v>
      </x:c>
      <x:c r="D31" s="17" t="str">
        <x:f>C17</x:f>
        <x:v>W12</x:v>
      </x:c>
      <x:c r="E31" s="24" t="n">
        <x:f>IF('02 Architectures'!E6=1,J17,IF('02 Architectures'!F6&gt;K17,1,0))</x:f>
        <x:v>1</x:v>
      </x:c>
      <x:c r="F31" s="24" t="n">
        <x:f>IF(L17="ALL STOP",0,IF(F17=1,IF(L17="NORMAL",E31,0),IF(AND(M17=1,'02 Architectures'!H6=1),0,IF(AND(N17=1,'02 Architectures'!G6=1),E31,0))))</x:f>
        <x:v>0</x:v>
      </x:c>
      <x:c r="G31" s="24" t="n">
        <x:f>F31*(1-F17)</x:f>
        <x:v>0</x:v>
      </x:c>
      <x:c r="H31" s="24" t="n">
        <x:f>F31*F17</x:f>
        <x:v>0</x:v>
      </x:c>
      <x:c r="I31" s="24" t="n">
        <x:f>IF(OR(L17="ALL STOP",E31=0,G17=0),0,IF(OR(L17="NORMAL",'02 Architectures'!I6=1),'02 Architectures'!J6,0))</x:f>
        <x:v>0</x:v>
      </x:c>
      <x:c r="J31" s="24" t="n">
        <x:f>IF(OR(L17="ALL STOP",E31=0,H17=0),0,IF(OR(L17="NORMAL",'02 Architectures'!K6=1),'02 Architectures'!L6,0))</x:f>
        <x:v>0</x:v>
      </x:c>
      <x:c r="K31" s="24" t="n">
        <x:f>IF(OR(L17="ALL STOP",E31=0,I17=0,'02 Architectures'!O6&lt;E17),0,IF(OR(L17="NORMAL",'02 Architectures'!M6=1),'02 Architectures'!N6,0))</x:f>
        <x:v>0</x:v>
      </x:c>
      <x:c r="L31" s="24" t="n">
        <x:f>MIN(O17,H31+I31+J31+K31,1)</x:f>
        <x:v>0</x:v>
      </x:c>
      <x:c r="M31" s="24" t="n">
        <x:f>MIN(O17,F31+I31+J31+K31,1)</x:f>
        <x:v>0</x:v>
      </x:c>
      <x:c r="N31" s="17" t="n">
        <x:f>'02 Architectures'!P6</x:f>
        <x:v>6</x:v>
      </x:c>
      <x:c r="O31" s="17" t="n">
        <x:f>Q17</x:f>
        <x:v>0.25</x:v>
      </x:c>
      <x:c r="P31" s="17" t="str">
        <x:f>IF(G31=0,"PASS","FAIL")</x:f>
        <x:v>PASS</x:v>
      </x:c>
      <x:c r="Q31" s="17" t="str">
        <x:f>IF(L31&gt;=P17,"PASS","FAIL")</x:f>
        <x:v>FAIL</x:v>
      </x:c>
      <x:c r="R31" s="17" t="str">
        <x:f>IF(L17="ALL STOP","n.a.",IF(N31&lt;=O31,"PASS","FAIL"))</x:f>
        <x:v>n.a.</x:v>
      </x:c>
      <x:c r="S31" s="17" t="str">
        <x:f>IF(L17="ALL STOP","SAFE STOP",IF(AND(P31="PASS",Q31="PASS",R31="PASS"),"PASS","FAIL"))</x:f>
        <x:v>SAFE STOP</x:v>
      </x:c>
      <x:c r="T31" s="17" t="str">
        <x:v>UNTESTED</x:v>
      </x:c>
      <x:c r="U31" s="17" t="str">
        <x:f>IF(L17="ALL STOP","CIVIL STOP",IF(G31&gt;0,"UNSAFE PRIMARY",IF(E31=0,"RELEASE PATH",IF(L31&lt;P17,IF(AND(E17&gt;'02 Architectures'!O6,'02 Architectures'!N6&gt;0),"ENDURANCE","SAFE CAPACITY"),IF(N31&gt;O31,"DECISION TIME","NONE")))))</x:f>
        <x:v>CIVIL STOP</x:v>
      </x:c>
      <x:c r="V31" s="17" t="str">
        <x:v>DENIED</x:v>
      </x:c>
    </x:row>
    <x:row r="32" ht="43" customHeight="1">
      <x:c r="C32" s="11" t="str">
        <x:f>'02 Architectures'!C7</x:f>
        <x:v>A2</x:v>
      </x:c>
      <x:c r="D32" s="17" t="str">
        <x:f>C6</x:f>
        <x:v>W1</x:v>
      </x:c>
      <x:c r="E32" s="24" t="n">
        <x:f>IF('02 Architectures'!E7=1,J6,IF('02 Architectures'!F7&gt;K6,1,0))</x:f>
        <x:v>1</x:v>
      </x:c>
      <x:c r="F32" s="24" t="n">
        <x:f>IF(L6="ALL STOP",0,IF(F6=1,IF(L6="NORMAL",E32,0),IF(AND(M6=1,'02 Architectures'!H7=1),0,IF(AND(N6=1,'02 Architectures'!G7=1),E32,0))))</x:f>
        <x:v>0</x:v>
      </x:c>
      <x:c r="G32" s="24" t="n">
        <x:f>F32*(1-F6)</x:f>
        <x:v>0</x:v>
      </x:c>
      <x:c r="H32" s="24" t="n">
        <x:f>F32*F6</x:f>
        <x:v>0</x:v>
      </x:c>
      <x:c r="I32" s="24" t="n">
        <x:f>IF(OR(L6="ALL STOP",E32=0,G6=0),0,IF(OR(L6="NORMAL",'02 Architectures'!I7=1),'02 Architectures'!J7,0))</x:f>
        <x:v>0.5</x:v>
      </x:c>
      <x:c r="J32" s="24" t="n">
        <x:f>IF(OR(L6="ALL STOP",E32=0,H6=0),0,IF(OR(L6="NORMAL",'02 Architectures'!K7=1),'02 Architectures'!L7,0))</x:f>
        <x:v>0</x:v>
      </x:c>
      <x:c r="K32" s="24" t="n">
        <x:f>IF(OR(L6="ALL STOP",E32=0,I6=0,'02 Architectures'!O7&lt;E6),0,IF(OR(L6="NORMAL",'02 Architectures'!M7=1),'02 Architectures'!N7,0))</x:f>
        <x:v>0</x:v>
      </x:c>
      <x:c r="L32" s="24" t="n">
        <x:f>MIN(O6,H32+I32+J32+K32,1)</x:f>
        <x:v>0.5</x:v>
      </x:c>
      <x:c r="M32" s="24" t="n">
        <x:f>MIN(O6,F32+I32+J32+K32,1)</x:f>
        <x:v>0.5</x:v>
      </x:c>
      <x:c r="N32" s="17" t="n">
        <x:f>'02 Architectures'!P7</x:f>
        <x:v>0.5</x:v>
      </x:c>
      <x:c r="O32" s="17" t="n">
        <x:f>Q6</x:f>
        <x:v>6</x:v>
      </x:c>
      <x:c r="P32" s="17" t="str">
        <x:f>IF(G32=0,"PASS","FAIL")</x:f>
        <x:v>PASS</x:v>
      </x:c>
      <x:c r="Q32" s="17" t="str">
        <x:f>IF(L32&gt;=P6,"PASS","FAIL")</x:f>
        <x:v>PASS</x:v>
      </x:c>
      <x:c r="R32" s="17" t="str">
        <x:f>IF(L6="ALL STOP","n.a.",IF(N32&lt;=O32,"PASS","FAIL"))</x:f>
        <x:v>PASS</x:v>
      </x:c>
      <x:c r="S32" s="17" t="str">
        <x:f>IF(L6="ALL STOP","SAFE STOP",IF(AND(P32="PASS",Q32="PASS",R32="PASS"),"PASS","FAIL"))</x:f>
        <x:v>PASS</x:v>
      </x:c>
      <x:c r="T32" s="17" t="str">
        <x:v>UNTESTED</x:v>
      </x:c>
      <x:c r="U32" s="17" t="str">
        <x:f>IF(L6="ALL STOP","CIVIL STOP",IF(G32&gt;0,"UNSAFE PRIMARY",IF(E32=0,"RELEASE PATH",IF(L32&lt;P6,IF(AND(E6&gt;'02 Architectures'!O7,'02 Architectures'!N7&gt;0),"ENDURANCE","SAFE CAPACITY"),IF(N32&gt;O32,"DECISION TIME","NONE")))))</x:f>
        <x:v>NONE</x:v>
      </x:c>
      <x:c r="V32" s="17" t="str">
        <x:v>DENIED</x:v>
      </x:c>
    </x:row>
    <x:row r="33" ht="43" customHeight="1">
      <x:c r="C33" s="11" t="str">
        <x:f>'02 Architectures'!C7</x:f>
        <x:v>A2</x:v>
      </x:c>
      <x:c r="D33" s="17" t="str">
        <x:f>C7</x:f>
        <x:v>W2</x:v>
      </x:c>
      <x:c r="E33" s="24" t="n">
        <x:f>IF('02 Architectures'!E7=1,J7,IF('02 Architectures'!F7&gt;K7,1,0))</x:f>
        <x:v>1</x:v>
      </x:c>
      <x:c r="F33" s="24" t="n">
        <x:f>IF(L7="ALL STOP",0,IF(F7=1,IF(L7="NORMAL",E33,0),IF(AND(M7=1,'02 Architectures'!H7=1),0,IF(AND(N7=1,'02 Architectures'!G7=1),E33,0))))</x:f>
        <x:v>0</x:v>
      </x:c>
      <x:c r="G33" s="24" t="n">
        <x:f>F33*(1-F7)</x:f>
        <x:v>0</x:v>
      </x:c>
      <x:c r="H33" s="24" t="n">
        <x:f>F33*F7</x:f>
        <x:v>0</x:v>
      </x:c>
      <x:c r="I33" s="24" t="n">
        <x:f>IF(OR(L7="ALL STOP",E33=0,G7=0),0,IF(OR(L7="NORMAL",'02 Architectures'!I7=1),'02 Architectures'!J7,0))</x:f>
        <x:v>0.5</x:v>
      </x:c>
      <x:c r="J33" s="24" t="n">
        <x:f>IF(OR(L7="ALL STOP",E33=0,H7=0),0,IF(OR(L7="NORMAL",'02 Architectures'!K7=1),'02 Architectures'!L7,0))</x:f>
        <x:v>0</x:v>
      </x:c>
      <x:c r="K33" s="24" t="n">
        <x:f>IF(OR(L7="ALL STOP",E33=0,I7=0,'02 Architectures'!O7&lt;E7),0,IF(OR(L7="NORMAL",'02 Architectures'!M7=1),'02 Architectures'!N7,0))</x:f>
        <x:v>0</x:v>
      </x:c>
      <x:c r="L33" s="24" t="n">
        <x:f>MIN(O7,H33+I33+J33+K33,1)</x:f>
        <x:v>0.5</x:v>
      </x:c>
      <x:c r="M33" s="24" t="n">
        <x:f>MIN(O7,F33+I33+J33+K33,1)</x:f>
        <x:v>0.5</x:v>
      </x:c>
      <x:c r="N33" s="17" t="n">
        <x:f>'02 Architectures'!P7</x:f>
        <x:v>0.5</x:v>
      </x:c>
      <x:c r="O33" s="17" t="n">
        <x:f>Q7</x:f>
        <x:v>6</x:v>
      </x:c>
      <x:c r="P33" s="17" t="str">
        <x:f>IF(G33=0,"PASS","FAIL")</x:f>
        <x:v>PASS</x:v>
      </x:c>
      <x:c r="Q33" s="17" t="str">
        <x:f>IF(L33&gt;=P7,"PASS","FAIL")</x:f>
        <x:v>PASS</x:v>
      </x:c>
      <x:c r="R33" s="17" t="str">
        <x:f>IF(L7="ALL STOP","n.a.",IF(N33&lt;=O33,"PASS","FAIL"))</x:f>
        <x:v>PASS</x:v>
      </x:c>
      <x:c r="S33" s="17" t="str">
        <x:f>IF(L7="ALL STOP","SAFE STOP",IF(AND(P33="PASS",Q33="PASS",R33="PASS"),"PASS","FAIL"))</x:f>
        <x:v>PASS</x:v>
      </x:c>
      <x:c r="T33" s="17" t="str">
        <x:v>UNTESTED</x:v>
      </x:c>
      <x:c r="U33" s="17" t="str">
        <x:f>IF(L7="ALL STOP","CIVIL STOP",IF(G33&gt;0,"UNSAFE PRIMARY",IF(E33=0,"RELEASE PATH",IF(L33&lt;P7,IF(AND(E7&gt;'02 Architectures'!O7,'02 Architectures'!N7&gt;0),"ENDURANCE","SAFE CAPACITY"),IF(N33&gt;O33,"DECISION TIME","NONE")))))</x:f>
        <x:v>NONE</x:v>
      </x:c>
      <x:c r="V33" s="17" t="str">
        <x:v>DENIED</x:v>
      </x:c>
    </x:row>
    <x:row r="34" ht="43" customHeight="1">
      <x:c r="C34" s="11" t="str">
        <x:f>'02 Architectures'!C7</x:f>
        <x:v>A2</x:v>
      </x:c>
      <x:c r="D34" s="17" t="str">
        <x:f>C8</x:f>
        <x:v>W3</x:v>
      </x:c>
      <x:c r="E34" s="24" t="n">
        <x:f>IF('02 Architectures'!E7=1,J8,IF('02 Architectures'!F7&gt;K8,1,0))</x:f>
        <x:v>1</x:v>
      </x:c>
      <x:c r="F34" s="24" t="n">
        <x:f>IF(L8="ALL STOP",0,IF(F8=1,IF(L8="NORMAL",E34,0),IF(AND(M8=1,'02 Architectures'!H7=1),0,IF(AND(N8=1,'02 Architectures'!G7=1),E34,0))))</x:f>
        <x:v>1</x:v>
      </x:c>
      <x:c r="G34" s="24" t="n">
        <x:f>F34*(1-F8)</x:f>
        <x:v>1</x:v>
      </x:c>
      <x:c r="H34" s="24" t="n">
        <x:f>F34*F8</x:f>
        <x:v>0</x:v>
      </x:c>
      <x:c r="I34" s="24" t="n">
        <x:f>IF(OR(L8="ALL STOP",E34=0,G8=0),0,IF(OR(L8="NORMAL",'02 Architectures'!I7=1),'02 Architectures'!J7,0))</x:f>
        <x:v>0</x:v>
      </x:c>
      <x:c r="J34" s="24" t="n">
        <x:f>IF(OR(L8="ALL STOP",E34=0,H8=0),0,IF(OR(L8="NORMAL",'02 Architectures'!K7=1),'02 Architectures'!L7,0))</x:f>
        <x:v>0</x:v>
      </x:c>
      <x:c r="K34" s="24" t="n">
        <x:f>IF(OR(L8="ALL STOP",E34=0,I8=0,'02 Architectures'!O7&lt;E8),0,IF(OR(L8="NORMAL",'02 Architectures'!M7=1),'02 Architectures'!N7,0))</x:f>
        <x:v>0</x:v>
      </x:c>
      <x:c r="L34" s="24" t="n">
        <x:f>MIN(O8,H34+I34+J34+K34,1)</x:f>
        <x:v>0</x:v>
      </x:c>
      <x:c r="M34" s="24" t="n">
        <x:f>MIN(O8,F34+I34+J34+K34,1)</x:f>
        <x:v>1</x:v>
      </x:c>
      <x:c r="N34" s="17" t="n">
        <x:f>'02 Architectures'!P7</x:f>
        <x:v>0.5</x:v>
      </x:c>
      <x:c r="O34" s="17" t="n">
        <x:f>Q8</x:f>
        <x:v>2</x:v>
      </x:c>
      <x:c r="P34" s="17" t="str">
        <x:f>IF(G34=0,"PASS","FAIL")</x:f>
        <x:v>FAIL</x:v>
      </x:c>
      <x:c r="Q34" s="17" t="str">
        <x:f>IF(L34&gt;=P8,"PASS","FAIL")</x:f>
        <x:v>FAIL</x:v>
      </x:c>
      <x:c r="R34" s="17" t="str">
        <x:f>IF(L8="ALL STOP","n.a.",IF(N34&lt;=O34,"PASS","FAIL"))</x:f>
        <x:v>PASS</x:v>
      </x:c>
      <x:c r="S34" s="17" t="str">
        <x:f>IF(L8="ALL STOP","SAFE STOP",IF(AND(P34="PASS",Q34="PASS",R34="PASS"),"PASS","FAIL"))</x:f>
        <x:v>FAIL</x:v>
      </x:c>
      <x:c r="T34" s="17" t="str">
        <x:v>UNTESTED</x:v>
      </x:c>
      <x:c r="U34" s="17" t="str">
        <x:f>IF(L8="ALL STOP","CIVIL STOP",IF(G34&gt;0,"UNSAFE PRIMARY",IF(E34=0,"RELEASE PATH",IF(L34&lt;P8,IF(AND(E8&gt;'02 Architectures'!O7,'02 Architectures'!N7&gt;0),"ENDURANCE","SAFE CAPACITY"),IF(N34&gt;O34,"DECISION TIME","NONE")))))</x:f>
        <x:v>UNSAFE PRIMARY</x:v>
      </x:c>
      <x:c r="V34" s="17" t="str">
        <x:v>DENIED</x:v>
      </x:c>
    </x:row>
    <x:row r="35" ht="43" customHeight="1">
      <x:c r="C35" s="11" t="str">
        <x:f>'02 Architectures'!C7</x:f>
        <x:v>A2</x:v>
      </x:c>
      <x:c r="D35" s="17" t="str">
        <x:f>C9</x:f>
        <x:v>W4</x:v>
      </x:c>
      <x:c r="E35" s="24" t="n">
        <x:f>IF('02 Architectures'!E7=1,J9,IF('02 Architectures'!F7&gt;K9,1,0))</x:f>
        <x:v>1</x:v>
      </x:c>
      <x:c r="F35" s="24" t="n">
        <x:f>IF(L9="ALL STOP",0,IF(F9=1,IF(L9="NORMAL",E35,0),IF(AND(M9=1,'02 Architectures'!H7=1),0,IF(AND(N9=1,'02 Architectures'!G7=1),E35,0))))</x:f>
        <x:v>1</x:v>
      </x:c>
      <x:c r="G35" s="24" t="n">
        <x:f>F35*(1-F9)</x:f>
        <x:v>1</x:v>
      </x:c>
      <x:c r="H35" s="24" t="n">
        <x:f>F35*F9</x:f>
        <x:v>0</x:v>
      </x:c>
      <x:c r="I35" s="24" t="n">
        <x:f>IF(OR(L9="ALL STOP",E35=0,G9=0),0,IF(OR(L9="NORMAL",'02 Architectures'!I7=1),'02 Architectures'!J7,0))</x:f>
        <x:v>0</x:v>
      </x:c>
      <x:c r="J35" s="24" t="n">
        <x:f>IF(OR(L9="ALL STOP",E35=0,H9=0),0,IF(OR(L9="NORMAL",'02 Architectures'!K7=1),'02 Architectures'!L7,0))</x:f>
        <x:v>0</x:v>
      </x:c>
      <x:c r="K35" s="24" t="n">
        <x:f>IF(OR(L9="ALL STOP",E35=0,I9=0,'02 Architectures'!O7&lt;E9),0,IF(OR(L9="NORMAL",'02 Architectures'!M7=1),'02 Architectures'!N7,0))</x:f>
        <x:v>0</x:v>
      </x:c>
      <x:c r="L35" s="24" t="n">
        <x:f>MIN(O9,H35+I35+J35+K35,1)</x:f>
        <x:v>0</x:v>
      </x:c>
      <x:c r="M35" s="24" t="n">
        <x:f>MIN(O9,F35+I35+J35+K35,1)</x:f>
        <x:v>1</x:v>
      </x:c>
      <x:c r="N35" s="17" t="n">
        <x:f>'02 Architectures'!P7</x:f>
        <x:v>0.5</x:v>
      </x:c>
      <x:c r="O35" s="17" t="n">
        <x:f>Q9</x:f>
        <x:v>2</x:v>
      </x:c>
      <x:c r="P35" s="17" t="str">
        <x:f>IF(G35=0,"PASS","FAIL")</x:f>
        <x:v>FAIL</x:v>
      </x:c>
      <x:c r="Q35" s="17" t="str">
        <x:f>IF(L35&gt;=P9,"PASS","FAIL")</x:f>
        <x:v>FAIL</x:v>
      </x:c>
      <x:c r="R35" s="17" t="str">
        <x:f>IF(L9="ALL STOP","n.a.",IF(N35&lt;=O35,"PASS","FAIL"))</x:f>
        <x:v>PASS</x:v>
      </x:c>
      <x:c r="S35" s="17" t="str">
        <x:f>IF(L9="ALL STOP","SAFE STOP",IF(AND(P35="PASS",Q35="PASS",R35="PASS"),"PASS","FAIL"))</x:f>
        <x:v>FAIL</x:v>
      </x:c>
      <x:c r="T35" s="17" t="str">
        <x:v>UNTESTED</x:v>
      </x:c>
      <x:c r="U35" s="17" t="str">
        <x:f>IF(L9="ALL STOP","CIVIL STOP",IF(G35&gt;0,"UNSAFE PRIMARY",IF(E35=0,"RELEASE PATH",IF(L35&lt;P9,IF(AND(E9&gt;'02 Architectures'!O7,'02 Architectures'!N7&gt;0),"ENDURANCE","SAFE CAPACITY"),IF(N35&gt;O35,"DECISION TIME","NONE")))))</x:f>
        <x:v>UNSAFE PRIMARY</x:v>
      </x:c>
      <x:c r="V35" s="17" t="str">
        <x:v>DENIED</x:v>
      </x:c>
    </x:row>
    <x:row r="36" ht="43" customHeight="1">
      <x:c r="C36" s="11" t="str">
        <x:f>'02 Architectures'!C7</x:f>
        <x:v>A2</x:v>
      </x:c>
      <x:c r="D36" s="17" t="str">
        <x:f>C10</x:f>
        <x:v>W5</x:v>
      </x:c>
      <x:c r="E36" s="24" t="n">
        <x:f>IF('02 Architectures'!E7=1,J10,IF('02 Architectures'!F7&gt;K10,1,0))</x:f>
        <x:v>1</x:v>
      </x:c>
      <x:c r="F36" s="24" t="n">
        <x:f>IF(L10="ALL STOP",0,IF(F10=1,IF(L10="NORMAL",E36,0),IF(AND(M10=1,'02 Architectures'!H7=1),0,IF(AND(N10=1,'02 Architectures'!G7=1),E36,0))))</x:f>
        <x:v>1</x:v>
      </x:c>
      <x:c r="G36" s="24" t="n">
        <x:f>F36*(1-F10)</x:f>
        <x:v>0</x:v>
      </x:c>
      <x:c r="H36" s="24" t="n">
        <x:f>F36*F10</x:f>
        <x:v>1</x:v>
      </x:c>
      <x:c r="I36" s="24" t="n">
        <x:f>IF(OR(L10="ALL STOP",E36=0,G10=0),0,IF(OR(L10="NORMAL",'02 Architectures'!I7=1),'02 Architectures'!J7,0))</x:f>
        <x:v>0.5</x:v>
      </x:c>
      <x:c r="J36" s="24" t="n">
        <x:f>IF(OR(L10="ALL STOP",E36=0,H10=0),0,IF(OR(L10="NORMAL",'02 Architectures'!K7=1),'02 Architectures'!L7,0))</x:f>
        <x:v>0</x:v>
      </x:c>
      <x:c r="K36" s="24" t="n">
        <x:f>IF(OR(L10="ALL STOP",E36=0,I10=0,'02 Architectures'!O7&lt;E10),0,IF(OR(L10="NORMAL",'02 Architectures'!M7=1),'02 Architectures'!N7,0))</x:f>
        <x:v>0</x:v>
      </x:c>
      <x:c r="L36" s="24" t="n">
        <x:f>MIN(O10,H36+I36+J36+K36,1)</x:f>
        <x:v>1</x:v>
      </x:c>
      <x:c r="M36" s="24" t="n">
        <x:f>MIN(O10,F36+I36+J36+K36,1)</x:f>
        <x:v>1</x:v>
      </x:c>
      <x:c r="N36" s="17" t="n">
        <x:f>'02 Architectures'!P7</x:f>
        <x:v>0.5</x:v>
      </x:c>
      <x:c r="O36" s="17" t="n">
        <x:f>Q10</x:f>
        <x:v>2</x:v>
      </x:c>
      <x:c r="P36" s="17" t="str">
        <x:f>IF(G36=0,"PASS","FAIL")</x:f>
        <x:v>PASS</x:v>
      </x:c>
      <x:c r="Q36" s="17" t="str">
        <x:f>IF(L36&gt;=P10,"PASS","FAIL")</x:f>
        <x:v>PASS</x:v>
      </x:c>
      <x:c r="R36" s="17" t="str">
        <x:f>IF(L10="ALL STOP","n.a.",IF(N36&lt;=O36,"PASS","FAIL"))</x:f>
        <x:v>PASS</x:v>
      </x:c>
      <x:c r="S36" s="17" t="str">
        <x:f>IF(L10="ALL STOP","SAFE STOP",IF(AND(P36="PASS",Q36="PASS",R36="PASS"),"PASS","FAIL"))</x:f>
        <x:v>PASS</x:v>
      </x:c>
      <x:c r="T36" s="17" t="str">
        <x:v>UNTESTED</x:v>
      </x:c>
      <x:c r="U36" s="17" t="str">
        <x:f>IF(L10="ALL STOP","CIVIL STOP",IF(G36&gt;0,"UNSAFE PRIMARY",IF(E36=0,"RELEASE PATH",IF(L36&lt;P10,IF(AND(E10&gt;'02 Architectures'!O7,'02 Architectures'!N7&gt;0),"ENDURANCE","SAFE CAPACITY"),IF(N36&gt;O36,"DECISION TIME","NONE")))))</x:f>
        <x:v>NONE</x:v>
      </x:c>
      <x:c r="V36" s="17" t="str">
        <x:v>DENIED</x:v>
      </x:c>
    </x:row>
    <x:row r="37" ht="43" customHeight="1">
      <x:c r="C37" s="11" t="str">
        <x:f>'02 Architectures'!C7</x:f>
        <x:v>A2</x:v>
      </x:c>
      <x:c r="D37" s="17" t="str">
        <x:f>C11</x:f>
        <x:v>W6</x:v>
      </x:c>
      <x:c r="E37" s="24" t="n">
        <x:f>IF('02 Architectures'!E7=1,J11,IF('02 Architectures'!F7&gt;K11,1,0))</x:f>
        <x:v>0</x:v>
      </x:c>
      <x:c r="F37" s="24" t="n">
        <x:f>IF(L11="ALL STOP",0,IF(F11=1,IF(L11="NORMAL",E37,0),IF(AND(M11=1,'02 Architectures'!H7=1),0,IF(AND(N11=1,'02 Architectures'!G7=1),E37,0))))</x:f>
        <x:v>0</x:v>
      </x:c>
      <x:c r="G37" s="24" t="n">
        <x:f>F37*(1-F11)</x:f>
        <x:v>0</x:v>
      </x:c>
      <x:c r="H37" s="24" t="n">
        <x:f>F37*F11</x:f>
        <x:v>0</x:v>
      </x:c>
      <x:c r="I37" s="24" t="n">
        <x:f>IF(OR(L11="ALL STOP",E37=0,G11=0),0,IF(OR(L11="NORMAL",'02 Architectures'!I7=1),'02 Architectures'!J7,0))</x:f>
        <x:v>0</x:v>
      </x:c>
      <x:c r="J37" s="24" t="n">
        <x:f>IF(OR(L11="ALL STOP",E37=0,H11=0),0,IF(OR(L11="NORMAL",'02 Architectures'!K7=1),'02 Architectures'!L7,0))</x:f>
        <x:v>0</x:v>
      </x:c>
      <x:c r="K37" s="24" t="n">
        <x:f>IF(OR(L11="ALL STOP",E37=0,I11=0,'02 Architectures'!O7&lt;E11),0,IF(OR(L11="NORMAL",'02 Architectures'!M7=1),'02 Architectures'!N7,0))</x:f>
        <x:v>0</x:v>
      </x:c>
      <x:c r="L37" s="24" t="n">
        <x:f>MIN(O11,H37+I37+J37+K37,1)</x:f>
        <x:v>0</x:v>
      </x:c>
      <x:c r="M37" s="24" t="n">
        <x:f>MIN(O11,F37+I37+J37+K37,1)</x:f>
        <x:v>0</x:v>
      </x:c>
      <x:c r="N37" s="17" t="n">
        <x:f>'02 Architectures'!P7</x:f>
        <x:v>0.5</x:v>
      </x:c>
      <x:c r="O37" s="17" t="n">
        <x:f>Q11</x:f>
        <x:v>2</x:v>
      </x:c>
      <x:c r="P37" s="17" t="str">
        <x:f>IF(G37=0,"PASS","FAIL")</x:f>
        <x:v>PASS</x:v>
      </x:c>
      <x:c r="Q37" s="17" t="str">
        <x:f>IF(L37&gt;=P11,"PASS","FAIL")</x:f>
        <x:v>FAIL</x:v>
      </x:c>
      <x:c r="R37" s="17" t="str">
        <x:f>IF(L11="ALL STOP","n.a.",IF(N37&lt;=O37,"PASS","FAIL"))</x:f>
        <x:v>PASS</x:v>
      </x:c>
      <x:c r="S37" s="17" t="str">
        <x:f>IF(L11="ALL STOP","SAFE STOP",IF(AND(P37="PASS",Q37="PASS",R37="PASS"),"PASS","FAIL"))</x:f>
        <x:v>FAIL</x:v>
      </x:c>
      <x:c r="T37" s="17" t="str">
        <x:v>UNTESTED</x:v>
      </x:c>
      <x:c r="U37" s="17" t="str">
        <x:f>IF(L11="ALL STOP","CIVIL STOP",IF(G37&gt;0,"UNSAFE PRIMARY",IF(E37=0,"RELEASE PATH",IF(L37&lt;P11,IF(AND(E11&gt;'02 Architectures'!O7,'02 Architectures'!N7&gt;0),"ENDURANCE","SAFE CAPACITY"),IF(N37&gt;O37,"DECISION TIME","NONE")))))</x:f>
        <x:v>RELEASE PATH</x:v>
      </x:c>
      <x:c r="V37" s="17" t="str">
        <x:v>DENIED</x:v>
      </x:c>
    </x:row>
    <x:row r="38" ht="43" customHeight="1">
      <x:c r="C38" s="11" t="str">
        <x:f>'02 Architectures'!C7</x:f>
        <x:v>A2</x:v>
      </x:c>
      <x:c r="D38" s="17" t="str">
        <x:f>C12</x:f>
        <x:v>W7</x:v>
      </x:c>
      <x:c r="E38" s="24" t="n">
        <x:f>IF('02 Architectures'!E7=1,J12,IF('02 Architectures'!F7&gt;K12,1,0))</x:f>
        <x:v>1</x:v>
      </x:c>
      <x:c r="F38" s="24" t="n">
        <x:f>IF(L12="ALL STOP",0,IF(F12=1,IF(L12="NORMAL",E38,0),IF(AND(M12=1,'02 Architectures'!H7=1),0,IF(AND(N12=1,'02 Architectures'!G7=1),E38,0))))</x:f>
        <x:v>1</x:v>
      </x:c>
      <x:c r="G38" s="24" t="n">
        <x:f>F38*(1-F12)</x:f>
        <x:v>1</x:v>
      </x:c>
      <x:c r="H38" s="24" t="n">
        <x:f>F38*F12</x:f>
        <x:v>0</x:v>
      </x:c>
      <x:c r="I38" s="24" t="n">
        <x:f>IF(OR(L12="ALL STOP",E38=0,G12=0),0,IF(OR(L12="NORMAL",'02 Architectures'!I7=1),'02 Architectures'!J7,0))</x:f>
        <x:v>0</x:v>
      </x:c>
      <x:c r="J38" s="24" t="n">
        <x:f>IF(OR(L12="ALL STOP",E38=0,H12=0),0,IF(OR(L12="NORMAL",'02 Architectures'!K7=1),'02 Architectures'!L7,0))</x:f>
        <x:v>0</x:v>
      </x:c>
      <x:c r="K38" s="24" t="n">
        <x:f>IF(OR(L12="ALL STOP",E38=0,I12=0,'02 Architectures'!O7&lt;E12),0,IF(OR(L12="NORMAL",'02 Architectures'!M7=1),'02 Architectures'!N7,0))</x:f>
        <x:v>0</x:v>
      </x:c>
      <x:c r="L38" s="24" t="n">
        <x:f>MIN(O12,H38+I38+J38+K38,1)</x:f>
        <x:v>0</x:v>
      </x:c>
      <x:c r="M38" s="24" t="n">
        <x:f>MIN(O12,F38+I38+J38+K38,1)</x:f>
        <x:v>1</x:v>
      </x:c>
      <x:c r="N38" s="17" t="n">
        <x:f>'02 Architectures'!P7</x:f>
        <x:v>0.5</x:v>
      </x:c>
      <x:c r="O38" s="17" t="n">
        <x:f>Q12</x:f>
        <x:v>2</x:v>
      </x:c>
      <x:c r="P38" s="17" t="str">
        <x:f>IF(G38=0,"PASS","FAIL")</x:f>
        <x:v>FAIL</x:v>
      </x:c>
      <x:c r="Q38" s="17" t="str">
        <x:f>IF(L38&gt;=P12,"PASS","FAIL")</x:f>
        <x:v>FAIL</x:v>
      </x:c>
      <x:c r="R38" s="17" t="str">
        <x:f>IF(L12="ALL STOP","n.a.",IF(N38&lt;=O38,"PASS","FAIL"))</x:f>
        <x:v>PASS</x:v>
      </x:c>
      <x:c r="S38" s="17" t="str">
        <x:f>IF(L12="ALL STOP","SAFE STOP",IF(AND(P38="PASS",Q38="PASS",R38="PASS"),"PASS","FAIL"))</x:f>
        <x:v>FAIL</x:v>
      </x:c>
      <x:c r="T38" s="17" t="str">
        <x:v>UNTESTED</x:v>
      </x:c>
      <x:c r="U38" s="17" t="str">
        <x:f>IF(L12="ALL STOP","CIVIL STOP",IF(G38&gt;0,"UNSAFE PRIMARY",IF(E38=0,"RELEASE PATH",IF(L38&lt;P12,IF(AND(E12&gt;'02 Architectures'!O7,'02 Architectures'!N7&gt;0),"ENDURANCE","SAFE CAPACITY"),IF(N38&gt;O38,"DECISION TIME","NONE")))))</x:f>
        <x:v>UNSAFE PRIMARY</x:v>
      </x:c>
      <x:c r="V38" s="17" t="str">
        <x:v>DENIED</x:v>
      </x:c>
    </x:row>
    <x:row r="39" ht="43" customHeight="1">
      <x:c r="C39" s="11" t="str">
        <x:f>'02 Architectures'!C7</x:f>
        <x:v>A2</x:v>
      </x:c>
      <x:c r="D39" s="17" t="str">
        <x:f>C13</x:f>
        <x:v>W8</x:v>
      </x:c>
      <x:c r="E39" s="24" t="n">
        <x:f>IF('02 Architectures'!E7=1,J13,IF('02 Architectures'!F7&gt;K13,1,0))</x:f>
        <x:v>1</x:v>
      </x:c>
      <x:c r="F39" s="24" t="n">
        <x:f>IF(L13="ALL STOP",0,IF(F13=1,IF(L13="NORMAL",E39,0),IF(AND(M13=1,'02 Architectures'!H7=1),0,IF(AND(N13=1,'02 Architectures'!G7=1),E39,0))))</x:f>
        <x:v>1</x:v>
      </x:c>
      <x:c r="G39" s="24" t="n">
        <x:f>F39*(1-F13)</x:f>
        <x:v>1</x:v>
      </x:c>
      <x:c r="H39" s="24" t="n">
        <x:f>F39*F13</x:f>
        <x:v>0</x:v>
      </x:c>
      <x:c r="I39" s="24" t="n">
        <x:f>IF(OR(L13="ALL STOP",E39=0,G13=0),0,IF(OR(L13="NORMAL",'02 Architectures'!I7=1),'02 Architectures'!J7,0))</x:f>
        <x:v>0</x:v>
      </x:c>
      <x:c r="J39" s="24" t="n">
        <x:f>IF(OR(L13="ALL STOP",E39=0,H13=0),0,IF(OR(L13="NORMAL",'02 Architectures'!K7=1),'02 Architectures'!L7,0))</x:f>
        <x:v>0</x:v>
      </x:c>
      <x:c r="K39" s="24" t="n">
        <x:f>IF(OR(L13="ALL STOP",E39=0,I13=0,'02 Architectures'!O7&lt;E13),0,IF(OR(L13="NORMAL",'02 Architectures'!M7=1),'02 Architectures'!N7,0))</x:f>
        <x:v>0</x:v>
      </x:c>
      <x:c r="L39" s="24" t="n">
        <x:f>MIN(O13,H39+I39+J39+K39,1)</x:f>
        <x:v>0</x:v>
      </x:c>
      <x:c r="M39" s="24" t="n">
        <x:f>MIN(O13,F39+I39+J39+K39,1)</x:f>
        <x:v>1</x:v>
      </x:c>
      <x:c r="N39" s="17" t="n">
        <x:f>'02 Architectures'!P7</x:f>
        <x:v>0.5</x:v>
      </x:c>
      <x:c r="O39" s="17" t="n">
        <x:f>Q13</x:f>
        <x:v>2</x:v>
      </x:c>
      <x:c r="P39" s="17" t="str">
        <x:f>IF(G39=0,"PASS","FAIL")</x:f>
        <x:v>FAIL</x:v>
      </x:c>
      <x:c r="Q39" s="17" t="str">
        <x:f>IF(L39&gt;=P13,"PASS","FAIL")</x:f>
        <x:v>FAIL</x:v>
      </x:c>
      <x:c r="R39" s="17" t="str">
        <x:f>IF(L13="ALL STOP","n.a.",IF(N39&lt;=O39,"PASS","FAIL"))</x:f>
        <x:v>PASS</x:v>
      </x:c>
      <x:c r="S39" s="17" t="str">
        <x:f>IF(L13="ALL STOP","SAFE STOP",IF(AND(P39="PASS",Q39="PASS",R39="PASS"),"PASS","FAIL"))</x:f>
        <x:v>FAIL</x:v>
      </x:c>
      <x:c r="T39" s="17" t="str">
        <x:v>UNTESTED</x:v>
      </x:c>
      <x:c r="U39" s="17" t="str">
        <x:f>IF(L13="ALL STOP","CIVIL STOP",IF(G39&gt;0,"UNSAFE PRIMARY",IF(E39=0,"RELEASE PATH",IF(L39&lt;P13,IF(AND(E13&gt;'02 Architectures'!O7,'02 Architectures'!N7&gt;0),"ENDURANCE","SAFE CAPACITY"),IF(N39&gt;O39,"DECISION TIME","NONE")))))</x:f>
        <x:v>UNSAFE PRIMARY</x:v>
      </x:c>
      <x:c r="V39" s="17" t="str">
        <x:v>DENIED</x:v>
      </x:c>
    </x:row>
    <x:row r="40" ht="43" customHeight="1">
      <x:c r="C40" s="11" t="str">
        <x:f>'02 Architectures'!C7</x:f>
        <x:v>A2</x:v>
      </x:c>
      <x:c r="D40" s="17" t="str">
        <x:f>C14</x:f>
        <x:v>W9</x:v>
      </x:c>
      <x:c r="E40" s="24" t="n">
        <x:f>IF('02 Architectures'!E7=1,J14,IF('02 Architectures'!F7&gt;K14,1,0))</x:f>
        <x:v>1</x:v>
      </x:c>
      <x:c r="F40" s="24" t="n">
        <x:f>IF(L14="ALL STOP",0,IF(F14=1,IF(L14="NORMAL",E40,0),IF(AND(M14=1,'02 Architectures'!H7=1),0,IF(AND(N14=1,'02 Architectures'!G7=1),E40,0))))</x:f>
        <x:v>1</x:v>
      </x:c>
      <x:c r="G40" s="24" t="n">
        <x:f>F40*(1-F14)</x:f>
        <x:v>1</x:v>
      </x:c>
      <x:c r="H40" s="24" t="n">
        <x:f>F40*F14</x:f>
        <x:v>0</x:v>
      </x:c>
      <x:c r="I40" s="24" t="n">
        <x:f>IF(OR(L14="ALL STOP",E40=0,G14=0),0,IF(OR(L14="NORMAL",'02 Architectures'!I7=1),'02 Architectures'!J7,0))</x:f>
        <x:v>0</x:v>
      </x:c>
      <x:c r="J40" s="24" t="n">
        <x:f>IF(OR(L14="ALL STOP",E40=0,H14=0),0,IF(OR(L14="NORMAL",'02 Architectures'!K7=1),'02 Architectures'!L7,0))</x:f>
        <x:v>0</x:v>
      </x:c>
      <x:c r="K40" s="24" t="n">
        <x:f>IF(OR(L14="ALL STOP",E40=0,I14=0,'02 Architectures'!O7&lt;E14),0,IF(OR(L14="NORMAL",'02 Architectures'!M7=1),'02 Architectures'!N7,0))</x:f>
        <x:v>0</x:v>
      </x:c>
      <x:c r="L40" s="24" t="n">
        <x:f>MIN(O14,H40+I40+J40+K40,1)</x:f>
        <x:v>0</x:v>
      </x:c>
      <x:c r="M40" s="24" t="n">
        <x:f>MIN(O14,F40+I40+J40+K40,1)</x:f>
        <x:v>0.875</x:v>
      </x:c>
      <x:c r="N40" s="17" t="n">
        <x:f>'02 Architectures'!P7</x:f>
        <x:v>0.5</x:v>
      </x:c>
      <x:c r="O40" s="17" t="n">
        <x:f>Q14</x:f>
        <x:v>2</x:v>
      </x:c>
      <x:c r="P40" s="17" t="str">
        <x:f>IF(G40=0,"PASS","FAIL")</x:f>
        <x:v>FAIL</x:v>
      </x:c>
      <x:c r="Q40" s="17" t="str">
        <x:f>IF(L40&gt;=P14,"PASS","FAIL")</x:f>
        <x:v>FAIL</x:v>
      </x:c>
      <x:c r="R40" s="17" t="str">
        <x:f>IF(L14="ALL STOP","n.a.",IF(N40&lt;=O40,"PASS","FAIL"))</x:f>
        <x:v>PASS</x:v>
      </x:c>
      <x:c r="S40" s="17" t="str">
        <x:f>IF(L14="ALL STOP","SAFE STOP",IF(AND(P40="PASS",Q40="PASS",R40="PASS"),"PASS","FAIL"))</x:f>
        <x:v>FAIL</x:v>
      </x:c>
      <x:c r="T40" s="17" t="str">
        <x:v>UNTESTED</x:v>
      </x:c>
      <x:c r="U40" s="17" t="str">
        <x:f>IF(L14="ALL STOP","CIVIL STOP",IF(G40&gt;0,"UNSAFE PRIMARY",IF(E40=0,"RELEASE PATH",IF(L40&lt;P14,IF(AND(E14&gt;'02 Architectures'!O7,'02 Architectures'!N7&gt;0),"ENDURANCE","SAFE CAPACITY"),IF(N40&gt;O40,"DECISION TIME","NONE")))))</x:f>
        <x:v>UNSAFE PRIMARY</x:v>
      </x:c>
      <x:c r="V40" s="17" t="str">
        <x:v>DENIED</x:v>
      </x:c>
    </x:row>
    <x:row r="41" ht="43" customHeight="1">
      <x:c r="C41" s="11" t="str">
        <x:f>'02 Architectures'!C7</x:f>
        <x:v>A2</x:v>
      </x:c>
      <x:c r="D41" s="17" t="str">
        <x:f>C15</x:f>
        <x:v>W10</x:v>
      </x:c>
      <x:c r="E41" s="24" t="n">
        <x:f>IF('02 Architectures'!E7=1,J15,IF('02 Architectures'!F7&gt;K15,1,0))</x:f>
        <x:v>1</x:v>
      </x:c>
      <x:c r="F41" s="24" t="n">
        <x:f>IF(L15="ALL STOP",0,IF(F15=1,IF(L15="NORMAL",E41,0),IF(AND(M15=1,'02 Architectures'!H7=1),0,IF(AND(N15=1,'02 Architectures'!G7=1),E41,0))))</x:f>
        <x:v>1</x:v>
      </x:c>
      <x:c r="G41" s="24" t="n">
        <x:f>F41*(1-F15)</x:f>
        <x:v>1</x:v>
      </x:c>
      <x:c r="H41" s="24" t="n">
        <x:f>F41*F15</x:f>
        <x:v>0</x:v>
      </x:c>
      <x:c r="I41" s="24" t="n">
        <x:f>IF(OR(L15="ALL STOP",E41=0,G15=0),0,IF(OR(L15="NORMAL",'02 Architectures'!I7=1),'02 Architectures'!J7,0))</x:f>
        <x:v>0</x:v>
      </x:c>
      <x:c r="J41" s="24" t="n">
        <x:f>IF(OR(L15="ALL STOP",E41=0,H15=0),0,IF(OR(L15="NORMAL",'02 Architectures'!K7=1),'02 Architectures'!L7,0))</x:f>
        <x:v>0</x:v>
      </x:c>
      <x:c r="K41" s="24" t="n">
        <x:f>IF(OR(L15="ALL STOP",E41=0,I15=0,'02 Architectures'!O7&lt;E15),0,IF(OR(L15="NORMAL",'02 Architectures'!M7=1),'02 Architectures'!N7,0))</x:f>
        <x:v>0</x:v>
      </x:c>
      <x:c r="L41" s="24" t="n">
        <x:f>MIN(O15,H41+I41+J41+K41,1)</x:f>
        <x:v>0</x:v>
      </x:c>
      <x:c r="M41" s="24" t="n">
        <x:f>MIN(O15,F41+I41+J41+K41,1)</x:f>
        <x:v>1</x:v>
      </x:c>
      <x:c r="N41" s="17" t="n">
        <x:f>'02 Architectures'!P7</x:f>
        <x:v>0.5</x:v>
      </x:c>
      <x:c r="O41" s="17" t="n">
        <x:f>Q15</x:f>
        <x:v>2</x:v>
      </x:c>
      <x:c r="P41" s="17" t="str">
        <x:f>IF(G41=0,"PASS","FAIL")</x:f>
        <x:v>FAIL</x:v>
      </x:c>
      <x:c r="Q41" s="17" t="str">
        <x:f>IF(L41&gt;=P15,"PASS","FAIL")</x:f>
        <x:v>FAIL</x:v>
      </x:c>
      <x:c r="R41" s="17" t="str">
        <x:f>IF(L15="ALL STOP","n.a.",IF(N41&lt;=O41,"PASS","FAIL"))</x:f>
        <x:v>PASS</x:v>
      </x:c>
      <x:c r="S41" s="17" t="str">
        <x:f>IF(L15="ALL STOP","SAFE STOP",IF(AND(P41="PASS",Q41="PASS",R41="PASS"),"PASS","FAIL"))</x:f>
        <x:v>FAIL</x:v>
      </x:c>
      <x:c r="T41" s="17" t="str">
        <x:v>UNTESTED</x:v>
      </x:c>
      <x:c r="U41" s="17" t="str">
        <x:f>IF(L15="ALL STOP","CIVIL STOP",IF(G41&gt;0,"UNSAFE PRIMARY",IF(E41=0,"RELEASE PATH",IF(L41&lt;P15,IF(AND(E15&gt;'02 Architectures'!O7,'02 Architectures'!N7&gt;0),"ENDURANCE","SAFE CAPACITY"),IF(N41&gt;O41,"DECISION TIME","NONE")))))</x:f>
        <x:v>UNSAFE PRIMARY</x:v>
      </x:c>
      <x:c r="V41" s="17" t="str">
        <x:v>DENIED</x:v>
      </x:c>
    </x:row>
    <x:row r="42" ht="43" customHeight="1">
      <x:c r="C42" s="11" t="str">
        <x:f>'02 Architectures'!C7</x:f>
        <x:v>A2</x:v>
      </x:c>
      <x:c r="D42" s="17" t="str">
        <x:f>C16</x:f>
        <x:v>W11</x:v>
      </x:c>
      <x:c r="E42" s="24" t="n">
        <x:f>IF('02 Architectures'!E7=1,J16,IF('02 Architectures'!F7&gt;K16,1,0))</x:f>
        <x:v>1</x:v>
      </x:c>
      <x:c r="F42" s="24" t="n">
        <x:f>IF(L16="ALL STOP",0,IF(F16=1,IF(L16="NORMAL",E42,0),IF(AND(M16=1,'02 Architectures'!H7=1),0,IF(AND(N16=1,'02 Architectures'!G7=1),E42,0))))</x:f>
        <x:v>1</x:v>
      </x:c>
      <x:c r="G42" s="24" t="n">
        <x:f>F42*(1-F16)</x:f>
        <x:v>1</x:v>
      </x:c>
      <x:c r="H42" s="24" t="n">
        <x:f>F42*F16</x:f>
        <x:v>0</x:v>
      </x:c>
      <x:c r="I42" s="24" t="n">
        <x:f>IF(OR(L16="ALL STOP",E42=0,G16=0),0,IF(OR(L16="NORMAL",'02 Architectures'!I7=1),'02 Architectures'!J7,0))</x:f>
        <x:v>0</x:v>
      </x:c>
      <x:c r="J42" s="24" t="n">
        <x:f>IF(OR(L16="ALL STOP",E42=0,H16=0),0,IF(OR(L16="NORMAL",'02 Architectures'!K7=1),'02 Architectures'!L7,0))</x:f>
        <x:v>0</x:v>
      </x:c>
      <x:c r="K42" s="24" t="n">
        <x:f>IF(OR(L16="ALL STOP",E42=0,I16=0,'02 Architectures'!O7&lt;E16),0,IF(OR(L16="NORMAL",'02 Architectures'!M7=1),'02 Architectures'!N7,0))</x:f>
        <x:v>0</x:v>
      </x:c>
      <x:c r="L42" s="24" t="n">
        <x:f>MIN(O16,H42+I42+J42+K42,1)</x:f>
        <x:v>0</x:v>
      </x:c>
      <x:c r="M42" s="24" t="n">
        <x:f>MIN(O16,F42+I42+J42+K42,1)</x:f>
        <x:v>1</x:v>
      </x:c>
      <x:c r="N42" s="17" t="n">
        <x:f>'02 Architectures'!P7</x:f>
        <x:v>0.5</x:v>
      </x:c>
      <x:c r="O42" s="17" t="n">
        <x:f>Q16</x:f>
        <x:v>2</x:v>
      </x:c>
      <x:c r="P42" s="17" t="str">
        <x:f>IF(G42=0,"PASS","FAIL")</x:f>
        <x:v>FAIL</x:v>
      </x:c>
      <x:c r="Q42" s="17" t="str">
        <x:f>IF(L42&gt;=P16,"PASS","FAIL")</x:f>
        <x:v>FAIL</x:v>
      </x:c>
      <x:c r="R42" s="17" t="str">
        <x:f>IF(L16="ALL STOP","n.a.",IF(N42&lt;=O42,"PASS","FAIL"))</x:f>
        <x:v>PASS</x:v>
      </x:c>
      <x:c r="S42" s="17" t="str">
        <x:f>IF(L16="ALL STOP","SAFE STOP",IF(AND(P42="PASS",Q42="PASS",R42="PASS"),"PASS","FAIL"))</x:f>
        <x:v>FAIL</x:v>
      </x:c>
      <x:c r="T42" s="17" t="str">
        <x:v>UNTESTED</x:v>
      </x:c>
      <x:c r="U42" s="17" t="str">
        <x:f>IF(L16="ALL STOP","CIVIL STOP",IF(G42&gt;0,"UNSAFE PRIMARY",IF(E42=0,"RELEASE PATH",IF(L42&lt;P16,IF(AND(E16&gt;'02 Architectures'!O7,'02 Architectures'!N7&gt;0),"ENDURANCE","SAFE CAPACITY"),IF(N42&gt;O42,"DECISION TIME","NONE")))))</x:f>
        <x:v>UNSAFE PRIMARY</x:v>
      </x:c>
      <x:c r="V42" s="17" t="str">
        <x:v>DENIED</x:v>
      </x:c>
    </x:row>
    <x:row r="43" ht="43" customHeight="1">
      <x:c r="C43" s="11" t="str">
        <x:f>'02 Architectures'!C7</x:f>
        <x:v>A2</x:v>
      </x:c>
      <x:c r="D43" s="17" t="str">
        <x:f>C17</x:f>
        <x:v>W12</x:v>
      </x:c>
      <x:c r="E43" s="24" t="n">
        <x:f>IF('02 Architectures'!E7=1,J17,IF('02 Architectures'!F7&gt;K17,1,0))</x:f>
        <x:v>1</x:v>
      </x:c>
      <x:c r="F43" s="24" t="n">
        <x:f>IF(L17="ALL STOP",0,IF(F17=1,IF(L17="NORMAL",E43,0),IF(AND(M17=1,'02 Architectures'!H7=1),0,IF(AND(N17=1,'02 Architectures'!G7=1),E43,0))))</x:f>
        <x:v>0</x:v>
      </x:c>
      <x:c r="G43" s="24" t="n">
        <x:f>F43*(1-F17)</x:f>
        <x:v>0</x:v>
      </x:c>
      <x:c r="H43" s="24" t="n">
        <x:f>F43*F17</x:f>
        <x:v>0</x:v>
      </x:c>
      <x:c r="I43" s="24" t="n">
        <x:f>IF(OR(L17="ALL STOP",E43=0,G17=0),0,IF(OR(L17="NORMAL",'02 Architectures'!I7=1),'02 Architectures'!J7,0))</x:f>
        <x:v>0</x:v>
      </x:c>
      <x:c r="J43" s="24" t="n">
        <x:f>IF(OR(L17="ALL STOP",E43=0,H17=0),0,IF(OR(L17="NORMAL",'02 Architectures'!K7=1),'02 Architectures'!L7,0))</x:f>
        <x:v>0</x:v>
      </x:c>
      <x:c r="K43" s="24" t="n">
        <x:f>IF(OR(L17="ALL STOP",E43=0,I17=0,'02 Architectures'!O7&lt;E17),0,IF(OR(L17="NORMAL",'02 Architectures'!M7=1),'02 Architectures'!N7,0))</x:f>
        <x:v>0</x:v>
      </x:c>
      <x:c r="L43" s="24" t="n">
        <x:f>MIN(O17,H43+I43+J43+K43,1)</x:f>
        <x:v>0</x:v>
      </x:c>
      <x:c r="M43" s="24" t="n">
        <x:f>MIN(O17,F43+I43+J43+K43,1)</x:f>
        <x:v>0</x:v>
      </x:c>
      <x:c r="N43" s="17" t="n">
        <x:f>'02 Architectures'!P7</x:f>
        <x:v>0.5</x:v>
      </x:c>
      <x:c r="O43" s="17" t="n">
        <x:f>Q17</x:f>
        <x:v>0.25</x:v>
      </x:c>
      <x:c r="P43" s="17" t="str">
        <x:f>IF(G43=0,"PASS","FAIL")</x:f>
        <x:v>PASS</x:v>
      </x:c>
      <x:c r="Q43" s="17" t="str">
        <x:f>IF(L43&gt;=P17,"PASS","FAIL")</x:f>
        <x:v>FAIL</x:v>
      </x:c>
      <x:c r="R43" s="17" t="str">
        <x:f>IF(L17="ALL STOP","n.a.",IF(N43&lt;=O43,"PASS","FAIL"))</x:f>
        <x:v>n.a.</x:v>
      </x:c>
      <x:c r="S43" s="17" t="str">
        <x:f>IF(L17="ALL STOP","SAFE STOP",IF(AND(P43="PASS",Q43="PASS",R43="PASS"),"PASS","FAIL"))</x:f>
        <x:v>SAFE STOP</x:v>
      </x:c>
      <x:c r="T43" s="17" t="str">
        <x:v>UNTESTED</x:v>
      </x:c>
      <x:c r="U43" s="17" t="str">
        <x:f>IF(L17="ALL STOP","CIVIL STOP",IF(G43&gt;0,"UNSAFE PRIMARY",IF(E43=0,"RELEASE PATH",IF(L43&lt;P17,IF(AND(E17&gt;'02 Architectures'!O7,'02 Architectures'!N7&gt;0),"ENDURANCE","SAFE CAPACITY"),IF(N43&gt;O43,"DECISION TIME","NONE")))))</x:f>
        <x:v>CIVIL STOP</x:v>
      </x:c>
      <x:c r="V43" s="17" t="str">
        <x:v>DENIED</x:v>
      </x:c>
    </x:row>
    <x:row r="44" ht="43" customHeight="1">
      <x:c r="C44" s="11" t="str">
        <x:f>'02 Architectures'!C8</x:f>
        <x:v>A3</x:v>
      </x:c>
      <x:c r="D44" s="17" t="str">
        <x:f>C6</x:f>
        <x:v>W1</x:v>
      </x:c>
      <x:c r="E44" s="24" t="n">
        <x:f>IF('02 Architectures'!E8=1,J6,IF('02 Architectures'!F8&gt;K6,1,0))</x:f>
        <x:v>1</x:v>
      </x:c>
      <x:c r="F44" s="24" t="n">
        <x:f>IF(L6="ALL STOP",0,IF(F6=1,IF(L6="NORMAL",E44,0),IF(AND(M6=1,'02 Architectures'!H8=1),0,IF(AND(N6=1,'02 Architectures'!G8=1),E44,0))))</x:f>
        <x:v>0</x:v>
      </x:c>
      <x:c r="G44" s="24" t="n">
        <x:f>F44*(1-F6)</x:f>
        <x:v>0</x:v>
      </x:c>
      <x:c r="H44" s="24" t="n">
        <x:f>F44*F6</x:f>
        <x:v>0</x:v>
      </x:c>
      <x:c r="I44" s="24" t="n">
        <x:f>IF(OR(L6="ALL STOP",E44=0,G6=0),0,IF(OR(L6="NORMAL",'02 Architectures'!I8=1),'02 Architectures'!J8,0))</x:f>
        <x:v>0.5</x:v>
      </x:c>
      <x:c r="J44" s="24" t="n">
        <x:f>IF(OR(L6="ALL STOP",E44=0,H6=0),0,IF(OR(L6="NORMAL",'02 Architectures'!K8=1),'02 Architectures'!L8,0))</x:f>
        <x:v>0</x:v>
      </x:c>
      <x:c r="K44" s="24" t="n">
        <x:f>IF(OR(L6="ALL STOP",E44=0,I6=0,'02 Architectures'!O8&lt;E6),0,IF(OR(L6="NORMAL",'02 Architectures'!M8=1),'02 Architectures'!N8,0))</x:f>
        <x:v>0.5</x:v>
      </x:c>
      <x:c r="L44" s="24" t="n">
        <x:f>MIN(O6,H44+I44+J44+K44,1)</x:f>
        <x:v>1</x:v>
      </x:c>
      <x:c r="M44" s="24" t="n">
        <x:f>MIN(O6,F44+I44+J44+K44,1)</x:f>
        <x:v>1</x:v>
      </x:c>
      <x:c r="N44" s="17" t="n">
        <x:f>'02 Architectures'!P8</x:f>
        <x:v>2</x:v>
      </x:c>
      <x:c r="O44" s="17" t="n">
        <x:f>Q6</x:f>
        <x:v>6</x:v>
      </x:c>
      <x:c r="P44" s="17" t="str">
        <x:f>IF(G44=0,"PASS","FAIL")</x:f>
        <x:v>PASS</x:v>
      </x:c>
      <x:c r="Q44" s="17" t="str">
        <x:f>IF(L44&gt;=P6,"PASS","FAIL")</x:f>
        <x:v>PASS</x:v>
      </x:c>
      <x:c r="R44" s="17" t="str">
        <x:f>IF(L6="ALL STOP","n.a.",IF(N44&lt;=O44,"PASS","FAIL"))</x:f>
        <x:v>PASS</x:v>
      </x:c>
      <x:c r="S44" s="17" t="str">
        <x:f>IF(L6="ALL STOP","SAFE STOP",IF(AND(P44="PASS",Q44="PASS",R44="PASS"),"PASS","FAIL"))</x:f>
        <x:v>PASS</x:v>
      </x:c>
      <x:c r="T44" s="17" t="str">
        <x:v>UNTESTED</x:v>
      </x:c>
      <x:c r="U44" s="17" t="str">
        <x:f>IF(L6="ALL STOP","CIVIL STOP",IF(G44&gt;0,"UNSAFE PRIMARY",IF(E44=0,"RELEASE PATH",IF(L44&lt;P6,IF(AND(E6&gt;'02 Architectures'!O8,'02 Architectures'!N8&gt;0),"ENDURANCE","SAFE CAPACITY"),IF(N44&gt;O44,"DECISION TIME","NONE")))))</x:f>
        <x:v>NONE</x:v>
      </x:c>
      <x:c r="V44" s="17" t="str">
        <x:v>DENIED</x:v>
      </x:c>
    </x:row>
    <x:row r="45" ht="43" customHeight="1">
      <x:c r="C45" s="11" t="str">
        <x:f>'02 Architectures'!C8</x:f>
        <x:v>A3</x:v>
      </x:c>
      <x:c r="D45" s="17" t="str">
        <x:f>C7</x:f>
        <x:v>W2</x:v>
      </x:c>
      <x:c r="E45" s="24" t="n">
        <x:f>IF('02 Architectures'!E8=1,J7,IF('02 Architectures'!F8&gt;K7,1,0))</x:f>
        <x:v>1</x:v>
      </x:c>
      <x:c r="F45" s="24" t="n">
        <x:f>IF(L7="ALL STOP",0,IF(F7=1,IF(L7="NORMAL",E45,0),IF(AND(M7=1,'02 Architectures'!H8=1),0,IF(AND(N7=1,'02 Architectures'!G8=1),E45,0))))</x:f>
        <x:v>0</x:v>
      </x:c>
      <x:c r="G45" s="24" t="n">
        <x:f>F45*(1-F7)</x:f>
        <x:v>0</x:v>
      </x:c>
      <x:c r="H45" s="24" t="n">
        <x:f>F45*F7</x:f>
        <x:v>0</x:v>
      </x:c>
      <x:c r="I45" s="24" t="n">
        <x:f>IF(OR(L7="ALL STOP",E45=0,G7=0),0,IF(OR(L7="NORMAL",'02 Architectures'!I8=1),'02 Architectures'!J8,0))</x:f>
        <x:v>0.5</x:v>
      </x:c>
      <x:c r="J45" s="24" t="n">
        <x:f>IF(OR(L7="ALL STOP",E45=0,H7=0),0,IF(OR(L7="NORMAL",'02 Architectures'!K8=1),'02 Architectures'!L8,0))</x:f>
        <x:v>0</x:v>
      </x:c>
      <x:c r="K45" s="24" t="n">
        <x:f>IF(OR(L7="ALL STOP",E45=0,I7=0,'02 Architectures'!O8&lt;E7),0,IF(OR(L7="NORMAL",'02 Architectures'!M8=1),'02 Architectures'!N8,0))</x:f>
        <x:v>0.5</x:v>
      </x:c>
      <x:c r="L45" s="24" t="n">
        <x:f>MIN(O7,H45+I45+J45+K45,1)</x:f>
        <x:v>1</x:v>
      </x:c>
      <x:c r="M45" s="24" t="n">
        <x:f>MIN(O7,F45+I45+J45+K45,1)</x:f>
        <x:v>1</x:v>
      </x:c>
      <x:c r="N45" s="17" t="n">
        <x:f>'02 Architectures'!P8</x:f>
        <x:v>2</x:v>
      </x:c>
      <x:c r="O45" s="17" t="n">
        <x:f>Q7</x:f>
        <x:v>6</x:v>
      </x:c>
      <x:c r="P45" s="17" t="str">
        <x:f>IF(G45=0,"PASS","FAIL")</x:f>
        <x:v>PASS</x:v>
      </x:c>
      <x:c r="Q45" s="17" t="str">
        <x:f>IF(L45&gt;=P7,"PASS","FAIL")</x:f>
        <x:v>PASS</x:v>
      </x:c>
      <x:c r="R45" s="17" t="str">
        <x:f>IF(L7="ALL STOP","n.a.",IF(N45&lt;=O45,"PASS","FAIL"))</x:f>
        <x:v>PASS</x:v>
      </x:c>
      <x:c r="S45" s="17" t="str">
        <x:f>IF(L7="ALL STOP","SAFE STOP",IF(AND(P45="PASS",Q45="PASS",R45="PASS"),"PASS","FAIL"))</x:f>
        <x:v>PASS</x:v>
      </x:c>
      <x:c r="T45" s="17" t="str">
        <x:v>UNTESTED</x:v>
      </x:c>
      <x:c r="U45" s="17" t="str">
        <x:f>IF(L7="ALL STOP","CIVIL STOP",IF(G45&gt;0,"UNSAFE PRIMARY",IF(E45=0,"RELEASE PATH",IF(L45&lt;P7,IF(AND(E7&gt;'02 Architectures'!O8,'02 Architectures'!N8&gt;0),"ENDURANCE","SAFE CAPACITY"),IF(N45&gt;O45,"DECISION TIME","NONE")))))</x:f>
        <x:v>NONE</x:v>
      </x:c>
      <x:c r="V45" s="17" t="str">
        <x:v>DENIED</x:v>
      </x:c>
    </x:row>
    <x:row r="46" ht="43" customHeight="1">
      <x:c r="C46" s="11" t="str">
        <x:f>'02 Architectures'!C8</x:f>
        <x:v>A3</x:v>
      </x:c>
      <x:c r="D46" s="17" t="str">
        <x:f>C8</x:f>
        <x:v>W3</x:v>
      </x:c>
      <x:c r="E46" s="24" t="n">
        <x:f>IF('02 Architectures'!E8=1,J8,IF('02 Architectures'!F8&gt;K8,1,0))</x:f>
        <x:v>1</x:v>
      </x:c>
      <x:c r="F46" s="24" t="n">
        <x:f>IF(L8="ALL STOP",0,IF(F8=1,IF(L8="NORMAL",E46,0),IF(AND(M8=1,'02 Architectures'!H8=1),0,IF(AND(N8=1,'02 Architectures'!G8=1),E46,0))))</x:f>
        <x:v>0</x:v>
      </x:c>
      <x:c r="G46" s="24" t="n">
        <x:f>F46*(1-F8)</x:f>
        <x:v>0</x:v>
      </x:c>
      <x:c r="H46" s="24" t="n">
        <x:f>F46*F8</x:f>
        <x:v>0</x:v>
      </x:c>
      <x:c r="I46" s="24" t="n">
        <x:f>IF(OR(L8="ALL STOP",E46=0,G8=0),0,IF(OR(L8="NORMAL",'02 Architectures'!I8=1),'02 Architectures'!J8,0))</x:f>
        <x:v>0.5</x:v>
      </x:c>
      <x:c r="J46" s="24" t="n">
        <x:f>IF(OR(L8="ALL STOP",E46=0,H8=0),0,IF(OR(L8="NORMAL",'02 Architectures'!K8=1),'02 Architectures'!L8,0))</x:f>
        <x:v>0</x:v>
      </x:c>
      <x:c r="K46" s="24" t="n">
        <x:f>IF(OR(L8="ALL STOP",E46=0,I8=0,'02 Architectures'!O8&lt;E8),0,IF(OR(L8="NORMAL",'02 Architectures'!M8=1),'02 Architectures'!N8,0))</x:f>
        <x:v>0.5</x:v>
      </x:c>
      <x:c r="L46" s="24" t="n">
        <x:f>MIN(O8,H46+I46+J46+K46,1)</x:f>
        <x:v>1</x:v>
      </x:c>
      <x:c r="M46" s="24" t="n">
        <x:f>MIN(O8,F46+I46+J46+K46,1)</x:f>
        <x:v>1</x:v>
      </x:c>
      <x:c r="N46" s="17" t="n">
        <x:f>'02 Architectures'!P8</x:f>
        <x:v>2</x:v>
      </x:c>
      <x:c r="O46" s="17" t="n">
        <x:f>Q8</x:f>
        <x:v>2</x:v>
      </x:c>
      <x:c r="P46" s="17" t="str">
        <x:f>IF(G46=0,"PASS","FAIL")</x:f>
        <x:v>PASS</x:v>
      </x:c>
      <x:c r="Q46" s="17" t="str">
        <x:f>IF(L46&gt;=P8,"PASS","FAIL")</x:f>
        <x:v>PASS</x:v>
      </x:c>
      <x:c r="R46" s="17" t="str">
        <x:f>IF(L8="ALL STOP","n.a.",IF(N46&lt;=O46,"PASS","FAIL"))</x:f>
        <x:v>PASS</x:v>
      </x:c>
      <x:c r="S46" s="17" t="str">
        <x:f>IF(L8="ALL STOP","SAFE STOP",IF(AND(P46="PASS",Q46="PASS",R46="PASS"),"PASS","FAIL"))</x:f>
        <x:v>PASS</x:v>
      </x:c>
      <x:c r="T46" s="17" t="str">
        <x:v>UNTESTED</x:v>
      </x:c>
      <x:c r="U46" s="17" t="str">
        <x:f>IF(L8="ALL STOP","CIVIL STOP",IF(G46&gt;0,"UNSAFE PRIMARY",IF(E46=0,"RELEASE PATH",IF(L46&lt;P8,IF(AND(E8&gt;'02 Architectures'!O8,'02 Architectures'!N8&gt;0),"ENDURANCE","SAFE CAPACITY"),IF(N46&gt;O46,"DECISION TIME","NONE")))))</x:f>
        <x:v>NONE</x:v>
      </x:c>
      <x:c r="V46" s="17" t="str">
        <x:v>DENIED</x:v>
      </x:c>
    </x:row>
    <x:row r="47" ht="43" customHeight="1">
      <x:c r="C47" s="11" t="str">
        <x:f>'02 Architectures'!C8</x:f>
        <x:v>A3</x:v>
      </x:c>
      <x:c r="D47" s="17" t="str">
        <x:f>C9</x:f>
        <x:v>W4</x:v>
      </x:c>
      <x:c r="E47" s="24" t="n">
        <x:f>IF('02 Architectures'!E8=1,J9,IF('02 Architectures'!F8&gt;K9,1,0))</x:f>
        <x:v>1</x:v>
      </x:c>
      <x:c r="F47" s="24" t="n">
        <x:f>IF(L9="ALL STOP",0,IF(F9=1,IF(L9="NORMAL",E47,0),IF(AND(M9=1,'02 Architectures'!H8=1),0,IF(AND(N9=1,'02 Architectures'!G8=1),E47,0))))</x:f>
        <x:v>0</x:v>
      </x:c>
      <x:c r="G47" s="24" t="n">
        <x:f>F47*(1-F9)</x:f>
        <x:v>0</x:v>
      </x:c>
      <x:c r="H47" s="24" t="n">
        <x:f>F47*F9</x:f>
        <x:v>0</x:v>
      </x:c>
      <x:c r="I47" s="24" t="n">
        <x:f>IF(OR(L9="ALL STOP",E47=0,G9=0),0,IF(OR(L9="NORMAL",'02 Architectures'!I8=1),'02 Architectures'!J8,0))</x:f>
        <x:v>0.5</x:v>
      </x:c>
      <x:c r="J47" s="24" t="n">
        <x:f>IF(OR(L9="ALL STOP",E47=0,H9=0),0,IF(OR(L9="NORMAL",'02 Architectures'!K8=1),'02 Architectures'!L8,0))</x:f>
        <x:v>0</x:v>
      </x:c>
      <x:c r="K47" s="24" t="n">
        <x:f>IF(OR(L9="ALL STOP",E47=0,I9=0,'02 Architectures'!O8&lt;E9),0,IF(OR(L9="NORMAL",'02 Architectures'!M8=1),'02 Architectures'!N8,0))</x:f>
        <x:v>0.5</x:v>
      </x:c>
      <x:c r="L47" s="24" t="n">
        <x:f>MIN(O9,H47+I47+J47+K47,1)</x:f>
        <x:v>1</x:v>
      </x:c>
      <x:c r="M47" s="24" t="n">
        <x:f>MIN(O9,F47+I47+J47+K47,1)</x:f>
        <x:v>1</x:v>
      </x:c>
      <x:c r="N47" s="17" t="n">
        <x:f>'02 Architectures'!P8</x:f>
        <x:v>2</x:v>
      </x:c>
      <x:c r="O47" s="17" t="n">
        <x:f>Q9</x:f>
        <x:v>2</x:v>
      </x:c>
      <x:c r="P47" s="17" t="str">
        <x:f>IF(G47=0,"PASS","FAIL")</x:f>
        <x:v>PASS</x:v>
      </x:c>
      <x:c r="Q47" s="17" t="str">
        <x:f>IF(L47&gt;=P9,"PASS","FAIL")</x:f>
        <x:v>PASS</x:v>
      </x:c>
      <x:c r="R47" s="17" t="str">
        <x:f>IF(L9="ALL STOP","n.a.",IF(N47&lt;=O47,"PASS","FAIL"))</x:f>
        <x:v>PASS</x:v>
      </x:c>
      <x:c r="S47" s="17" t="str">
        <x:f>IF(L9="ALL STOP","SAFE STOP",IF(AND(P47="PASS",Q47="PASS",R47="PASS"),"PASS","FAIL"))</x:f>
        <x:v>PASS</x:v>
      </x:c>
      <x:c r="T47" s="17" t="str">
        <x:v>UNTESTED</x:v>
      </x:c>
      <x:c r="U47" s="17" t="str">
        <x:f>IF(L9="ALL STOP","CIVIL STOP",IF(G47&gt;0,"UNSAFE PRIMARY",IF(E47=0,"RELEASE PATH",IF(L47&lt;P9,IF(AND(E9&gt;'02 Architectures'!O8,'02 Architectures'!N8&gt;0),"ENDURANCE","SAFE CAPACITY"),IF(N47&gt;O47,"DECISION TIME","NONE")))))</x:f>
        <x:v>NONE</x:v>
      </x:c>
      <x:c r="V47" s="17" t="str">
        <x:v>DENIED</x:v>
      </x:c>
    </x:row>
    <x:row r="48" ht="43" customHeight="1">
      <x:c r="C48" s="11" t="str">
        <x:f>'02 Architectures'!C8</x:f>
        <x:v>A3</x:v>
      </x:c>
      <x:c r="D48" s="17" t="str">
        <x:f>C10</x:f>
        <x:v>W5</x:v>
      </x:c>
      <x:c r="E48" s="24" t="n">
        <x:f>IF('02 Architectures'!E8=1,J10,IF('02 Architectures'!F8&gt;K10,1,0))</x:f>
        <x:v>1</x:v>
      </x:c>
      <x:c r="F48" s="24" t="n">
        <x:f>IF(L10="ALL STOP",0,IF(F10=1,IF(L10="NORMAL",E48,0),IF(AND(M10=1,'02 Architectures'!H8=1),0,IF(AND(N10=1,'02 Architectures'!G8=1),E48,0))))</x:f>
        <x:v>1</x:v>
      </x:c>
      <x:c r="G48" s="24" t="n">
        <x:f>F48*(1-F10)</x:f>
        <x:v>0</x:v>
      </x:c>
      <x:c r="H48" s="24" t="n">
        <x:f>F48*F10</x:f>
        <x:v>1</x:v>
      </x:c>
      <x:c r="I48" s="24" t="n">
        <x:f>IF(OR(L10="ALL STOP",E48=0,G10=0),0,IF(OR(L10="NORMAL",'02 Architectures'!I8=1),'02 Architectures'!J8,0))</x:f>
        <x:v>0.5</x:v>
      </x:c>
      <x:c r="J48" s="24" t="n">
        <x:f>IF(OR(L10="ALL STOP",E48=0,H10=0),0,IF(OR(L10="NORMAL",'02 Architectures'!K8=1),'02 Architectures'!L8,0))</x:f>
        <x:v>0</x:v>
      </x:c>
      <x:c r="K48" s="24" t="n">
        <x:f>IF(OR(L10="ALL STOP",E48=0,I10=0,'02 Architectures'!O8&lt;E10),0,IF(OR(L10="NORMAL",'02 Architectures'!M8=1),'02 Architectures'!N8,0))</x:f>
        <x:v>0.5</x:v>
      </x:c>
      <x:c r="L48" s="24" t="n">
        <x:f>MIN(O10,H48+I48+J48+K48,1)</x:f>
        <x:v>1</x:v>
      </x:c>
      <x:c r="M48" s="24" t="n">
        <x:f>MIN(O10,F48+I48+J48+K48,1)</x:f>
        <x:v>1</x:v>
      </x:c>
      <x:c r="N48" s="17" t="n">
        <x:f>'02 Architectures'!P8</x:f>
        <x:v>2</x:v>
      </x:c>
      <x:c r="O48" s="17" t="n">
        <x:f>Q10</x:f>
        <x:v>2</x:v>
      </x:c>
      <x:c r="P48" s="17" t="str">
        <x:f>IF(G48=0,"PASS","FAIL")</x:f>
        <x:v>PASS</x:v>
      </x:c>
      <x:c r="Q48" s="17" t="str">
        <x:f>IF(L48&gt;=P10,"PASS","FAIL")</x:f>
        <x:v>PASS</x:v>
      </x:c>
      <x:c r="R48" s="17" t="str">
        <x:f>IF(L10="ALL STOP","n.a.",IF(N48&lt;=O48,"PASS","FAIL"))</x:f>
        <x:v>PASS</x:v>
      </x:c>
      <x:c r="S48" s="17" t="str">
        <x:f>IF(L10="ALL STOP","SAFE STOP",IF(AND(P48="PASS",Q48="PASS",R48="PASS"),"PASS","FAIL"))</x:f>
        <x:v>PASS</x:v>
      </x:c>
      <x:c r="T48" s="17" t="str">
        <x:v>UNTESTED</x:v>
      </x:c>
      <x:c r="U48" s="17" t="str">
        <x:f>IF(L10="ALL STOP","CIVIL STOP",IF(G48&gt;0,"UNSAFE PRIMARY",IF(E48=0,"RELEASE PATH",IF(L48&lt;P10,IF(AND(E10&gt;'02 Architectures'!O8,'02 Architectures'!N8&gt;0),"ENDURANCE","SAFE CAPACITY"),IF(N48&gt;O48,"DECISION TIME","NONE")))))</x:f>
        <x:v>NONE</x:v>
      </x:c>
      <x:c r="V48" s="17" t="str">
        <x:v>DENIED</x:v>
      </x:c>
    </x:row>
    <x:row r="49" ht="43" customHeight="1">
      <x:c r="C49" s="11" t="str">
        <x:f>'02 Architectures'!C8</x:f>
        <x:v>A3</x:v>
      </x:c>
      <x:c r="D49" s="17" t="str">
        <x:f>C11</x:f>
        <x:v>W6</x:v>
      </x:c>
      <x:c r="E49" s="24" t="n">
        <x:f>IF('02 Architectures'!E8=1,J11,IF('02 Architectures'!F8&gt;K11,1,0))</x:f>
        <x:v>1</x:v>
      </x:c>
      <x:c r="F49" s="24" t="n">
        <x:f>IF(L11="ALL STOP",0,IF(F11=1,IF(L11="NORMAL",E49,0),IF(AND(M11=1,'02 Architectures'!H8=1),0,IF(AND(N11=1,'02 Architectures'!G8=1),E49,0))))</x:f>
        <x:v>1</x:v>
      </x:c>
      <x:c r="G49" s="24" t="n">
        <x:f>F49*(1-F11)</x:f>
        <x:v>0</x:v>
      </x:c>
      <x:c r="H49" s="24" t="n">
        <x:f>F49*F11</x:f>
        <x:v>1</x:v>
      </x:c>
      <x:c r="I49" s="24" t="n">
        <x:f>IF(OR(L11="ALL STOP",E49=0,G11=0),0,IF(OR(L11="NORMAL",'02 Architectures'!I8=1),'02 Architectures'!J8,0))</x:f>
        <x:v>0.5</x:v>
      </x:c>
      <x:c r="J49" s="24" t="n">
        <x:f>IF(OR(L11="ALL STOP",E49=0,H11=0),0,IF(OR(L11="NORMAL",'02 Architectures'!K8=1),'02 Architectures'!L8,0))</x:f>
        <x:v>0</x:v>
      </x:c>
      <x:c r="K49" s="24" t="n">
        <x:f>IF(OR(L11="ALL STOP",E49=0,I11=0,'02 Architectures'!O8&lt;E11),0,IF(OR(L11="NORMAL",'02 Architectures'!M8=1),'02 Architectures'!N8,0))</x:f>
        <x:v>0.5</x:v>
      </x:c>
      <x:c r="L49" s="24" t="n">
        <x:f>MIN(O11,H49+I49+J49+K49,1)</x:f>
        <x:v>1</x:v>
      </x:c>
      <x:c r="M49" s="24" t="n">
        <x:f>MIN(O11,F49+I49+J49+K49,1)</x:f>
        <x:v>1</x:v>
      </x:c>
      <x:c r="N49" s="17" t="n">
        <x:f>'02 Architectures'!P8</x:f>
        <x:v>2</x:v>
      </x:c>
      <x:c r="O49" s="17" t="n">
        <x:f>Q11</x:f>
        <x:v>2</x:v>
      </x:c>
      <x:c r="P49" s="17" t="str">
        <x:f>IF(G49=0,"PASS","FAIL")</x:f>
        <x:v>PASS</x:v>
      </x:c>
      <x:c r="Q49" s="17" t="str">
        <x:f>IF(L49&gt;=P11,"PASS","FAIL")</x:f>
        <x:v>PASS</x:v>
      </x:c>
      <x:c r="R49" s="17" t="str">
        <x:f>IF(L11="ALL STOP","n.a.",IF(N49&lt;=O49,"PASS","FAIL"))</x:f>
        <x:v>PASS</x:v>
      </x:c>
      <x:c r="S49" s="17" t="str">
        <x:f>IF(L11="ALL STOP","SAFE STOP",IF(AND(P49="PASS",Q49="PASS",R49="PASS"),"PASS","FAIL"))</x:f>
        <x:v>PASS</x:v>
      </x:c>
      <x:c r="T49" s="17" t="str">
        <x:v>UNTESTED</x:v>
      </x:c>
      <x:c r="U49" s="17" t="str">
        <x:f>IF(L11="ALL STOP","CIVIL STOP",IF(G49&gt;0,"UNSAFE PRIMARY",IF(E49=0,"RELEASE PATH",IF(L49&lt;P11,IF(AND(E11&gt;'02 Architectures'!O8,'02 Architectures'!N8&gt;0),"ENDURANCE","SAFE CAPACITY"),IF(N49&gt;O49,"DECISION TIME","NONE")))))</x:f>
        <x:v>NONE</x:v>
      </x:c>
      <x:c r="V49" s="17" t="str">
        <x:v>DENIED</x:v>
      </x:c>
    </x:row>
    <x:row r="50" ht="43" customHeight="1">
      <x:c r="C50" s="11" t="str">
        <x:f>'02 Architectures'!C8</x:f>
        <x:v>A3</x:v>
      </x:c>
      <x:c r="D50" s="17" t="str">
        <x:f>C12</x:f>
        <x:v>W7</x:v>
      </x:c>
      <x:c r="E50" s="24" t="n">
        <x:f>IF('02 Architectures'!E8=1,J12,IF('02 Architectures'!F8&gt;K12,1,0))</x:f>
        <x:v>1</x:v>
      </x:c>
      <x:c r="F50" s="24" t="n">
        <x:f>IF(L12="ALL STOP",0,IF(F12=1,IF(L12="NORMAL",E50,0),IF(AND(M12=1,'02 Architectures'!H8=1),0,IF(AND(N12=1,'02 Architectures'!G8=1),E50,0))))</x:f>
        <x:v>0</x:v>
      </x:c>
      <x:c r="G50" s="24" t="n">
        <x:f>F50*(1-F12)</x:f>
        <x:v>0</x:v>
      </x:c>
      <x:c r="H50" s="24" t="n">
        <x:f>F50*F12</x:f>
        <x:v>0</x:v>
      </x:c>
      <x:c r="I50" s="24" t="n">
        <x:f>IF(OR(L12="ALL STOP",E50=0,G12=0),0,IF(OR(L12="NORMAL",'02 Architectures'!I8=1),'02 Architectures'!J8,0))</x:f>
        <x:v>0</x:v>
      </x:c>
      <x:c r="J50" s="24" t="n">
        <x:f>IF(OR(L12="ALL STOP",E50=0,H12=0),0,IF(OR(L12="NORMAL",'02 Architectures'!K8=1),'02 Architectures'!L8,0))</x:f>
        <x:v>0</x:v>
      </x:c>
      <x:c r="K50" s="24" t="n">
        <x:f>IF(OR(L12="ALL STOP",E50=0,I12=0,'02 Architectures'!O8&lt;E12),0,IF(OR(L12="NORMAL",'02 Architectures'!M8=1),'02 Architectures'!N8,0))</x:f>
        <x:v>0.5</x:v>
      </x:c>
      <x:c r="L50" s="24" t="n">
        <x:f>MIN(O12,H50+I50+J50+K50,1)</x:f>
        <x:v>0.5</x:v>
      </x:c>
      <x:c r="M50" s="24" t="n">
        <x:f>MIN(O12,F50+I50+J50+K50,1)</x:f>
        <x:v>0.5</x:v>
      </x:c>
      <x:c r="N50" s="17" t="n">
        <x:f>'02 Architectures'!P8</x:f>
        <x:v>2</x:v>
      </x:c>
      <x:c r="O50" s="17" t="n">
        <x:f>Q12</x:f>
        <x:v>2</x:v>
      </x:c>
      <x:c r="P50" s="17" t="str">
        <x:f>IF(G50=0,"PASS","FAIL")</x:f>
        <x:v>PASS</x:v>
      </x:c>
      <x:c r="Q50" s="17" t="str">
        <x:f>IF(L50&gt;=P12,"PASS","FAIL")</x:f>
        <x:v>PASS</x:v>
      </x:c>
      <x:c r="R50" s="17" t="str">
        <x:f>IF(L12="ALL STOP","n.a.",IF(N50&lt;=O50,"PASS","FAIL"))</x:f>
        <x:v>PASS</x:v>
      </x:c>
      <x:c r="S50" s="17" t="str">
        <x:f>IF(L12="ALL STOP","SAFE STOP",IF(AND(P50="PASS",Q50="PASS",R50="PASS"),"PASS","FAIL"))</x:f>
        <x:v>PASS</x:v>
      </x:c>
      <x:c r="T50" s="17" t="str">
        <x:v>UNTESTED</x:v>
      </x:c>
      <x:c r="U50" s="17" t="str">
        <x:f>IF(L12="ALL STOP","CIVIL STOP",IF(G50&gt;0,"UNSAFE PRIMARY",IF(E50=0,"RELEASE PATH",IF(L50&lt;P12,IF(AND(E12&gt;'02 Architectures'!O8,'02 Architectures'!N8&gt;0),"ENDURANCE","SAFE CAPACITY"),IF(N50&gt;O50,"DECISION TIME","NONE")))))</x:f>
        <x:v>NONE</x:v>
      </x:c>
      <x:c r="V50" s="17" t="str">
        <x:v>DENIED</x:v>
      </x:c>
    </x:row>
    <x:row r="51" ht="43" customHeight="1">
      <x:c r="C51" s="11" t="str">
        <x:f>'02 Architectures'!C8</x:f>
        <x:v>A3</x:v>
      </x:c>
      <x:c r="D51" s="17" t="str">
        <x:f>C13</x:f>
        <x:v>W8</x:v>
      </x:c>
      <x:c r="E51" s="24" t="n">
        <x:f>IF('02 Architectures'!E8=1,J13,IF('02 Architectures'!F8&gt;K13,1,0))</x:f>
        <x:v>1</x:v>
      </x:c>
      <x:c r="F51" s="24" t="n">
        <x:f>IF(L13="ALL STOP",0,IF(F13=1,IF(L13="NORMAL",E51,0),IF(AND(M13=1,'02 Architectures'!H8=1),0,IF(AND(N13=1,'02 Architectures'!G8=1),E51,0))))</x:f>
        <x:v>0</x:v>
      </x:c>
      <x:c r="G51" s="24" t="n">
        <x:f>F51*(1-F13)</x:f>
        <x:v>0</x:v>
      </x:c>
      <x:c r="H51" s="24" t="n">
        <x:f>F51*F13</x:f>
        <x:v>0</x:v>
      </x:c>
      <x:c r="I51" s="24" t="n">
        <x:f>IF(OR(L13="ALL STOP",E51=0,G13=0),0,IF(OR(L13="NORMAL",'02 Architectures'!I8=1),'02 Architectures'!J8,0))</x:f>
        <x:v>0</x:v>
      </x:c>
      <x:c r="J51" s="24" t="n">
        <x:f>IF(OR(L13="ALL STOP",E51=0,H13=0),0,IF(OR(L13="NORMAL",'02 Architectures'!K8=1),'02 Architectures'!L8,0))</x:f>
        <x:v>0</x:v>
      </x:c>
      <x:c r="K51" s="24" t="n">
        <x:f>IF(OR(L13="ALL STOP",E51=0,I13=0,'02 Architectures'!O8&lt;E13),0,IF(OR(L13="NORMAL",'02 Architectures'!M8=1),'02 Architectures'!N8,0))</x:f>
        <x:v>0.5</x:v>
      </x:c>
      <x:c r="L51" s="24" t="n">
        <x:f>MIN(O13,H51+I51+J51+K51,1)</x:f>
        <x:v>0.5</x:v>
      </x:c>
      <x:c r="M51" s="24" t="n">
        <x:f>MIN(O13,F51+I51+J51+K51,1)</x:f>
        <x:v>0.5</x:v>
      </x:c>
      <x:c r="N51" s="17" t="n">
        <x:f>'02 Architectures'!P8</x:f>
        <x:v>2</x:v>
      </x:c>
      <x:c r="O51" s="17" t="n">
        <x:f>Q13</x:f>
        <x:v>2</x:v>
      </x:c>
      <x:c r="P51" s="17" t="str">
        <x:f>IF(G51=0,"PASS","FAIL")</x:f>
        <x:v>PASS</x:v>
      </x:c>
      <x:c r="Q51" s="17" t="str">
        <x:f>IF(L51&gt;=P13,"PASS","FAIL")</x:f>
        <x:v>PASS</x:v>
      </x:c>
      <x:c r="R51" s="17" t="str">
        <x:f>IF(L13="ALL STOP","n.a.",IF(N51&lt;=O51,"PASS","FAIL"))</x:f>
        <x:v>PASS</x:v>
      </x:c>
      <x:c r="S51" s="17" t="str">
        <x:f>IF(L13="ALL STOP","SAFE STOP",IF(AND(P51="PASS",Q51="PASS",R51="PASS"),"PASS","FAIL"))</x:f>
        <x:v>PASS</x:v>
      </x:c>
      <x:c r="T51" s="17" t="str">
        <x:v>UNTESTED</x:v>
      </x:c>
      <x:c r="U51" s="17" t="str">
        <x:f>IF(L13="ALL STOP","CIVIL STOP",IF(G51&gt;0,"UNSAFE PRIMARY",IF(E51=0,"RELEASE PATH",IF(L51&lt;P13,IF(AND(E13&gt;'02 Architectures'!O8,'02 Architectures'!N8&gt;0),"ENDURANCE","SAFE CAPACITY"),IF(N51&gt;O51,"DECISION TIME","NONE")))))</x:f>
        <x:v>NONE</x:v>
      </x:c>
      <x:c r="V51" s="17" t="str">
        <x:v>DENIED</x:v>
      </x:c>
    </x:row>
    <x:row r="52" ht="43" customHeight="1">
      <x:c r="C52" s="11" t="str">
        <x:f>'02 Architectures'!C8</x:f>
        <x:v>A3</x:v>
      </x:c>
      <x:c r="D52" s="17" t="str">
        <x:f>C14</x:f>
        <x:v>W9</x:v>
      </x:c>
      <x:c r="E52" s="24" t="n">
        <x:f>IF('02 Architectures'!E8=1,J14,IF('02 Architectures'!F8&gt;K14,1,0))</x:f>
        <x:v>1</x:v>
      </x:c>
      <x:c r="F52" s="24" t="n">
        <x:f>IF(L14="ALL STOP",0,IF(F14=1,IF(L14="NORMAL",E52,0),IF(AND(M14=1,'02 Architectures'!H8=1),0,IF(AND(N14=1,'02 Architectures'!G8=1),E52,0))))</x:f>
        <x:v>0</x:v>
      </x:c>
      <x:c r="G52" s="24" t="n">
        <x:f>F52*(1-F14)</x:f>
        <x:v>0</x:v>
      </x:c>
      <x:c r="H52" s="24" t="n">
        <x:f>F52*F14</x:f>
        <x:v>0</x:v>
      </x:c>
      <x:c r="I52" s="24" t="n">
        <x:f>IF(OR(L14="ALL STOP",E52=0,G14=0),0,IF(OR(L14="NORMAL",'02 Architectures'!I8=1),'02 Architectures'!J8,0))</x:f>
        <x:v>0.5</x:v>
      </x:c>
      <x:c r="J52" s="24" t="n">
        <x:f>IF(OR(L14="ALL STOP",E52=0,H14=0),0,IF(OR(L14="NORMAL",'02 Architectures'!K8=1),'02 Architectures'!L8,0))</x:f>
        <x:v>0</x:v>
      </x:c>
      <x:c r="K52" s="24" t="n">
        <x:f>IF(OR(L14="ALL STOP",E52=0,I14=0,'02 Architectures'!O8&lt;E14),0,IF(OR(L14="NORMAL",'02 Architectures'!M8=1),'02 Architectures'!N8,0))</x:f>
        <x:v>0.5</x:v>
      </x:c>
      <x:c r="L52" s="24" t="n">
        <x:f>MIN(O14,H52+I52+J52+K52,1)</x:f>
        <x:v>0.875</x:v>
      </x:c>
      <x:c r="M52" s="24" t="n">
        <x:f>MIN(O14,F52+I52+J52+K52,1)</x:f>
        <x:v>0.875</x:v>
      </x:c>
      <x:c r="N52" s="17" t="n">
        <x:f>'02 Architectures'!P8</x:f>
        <x:v>2</x:v>
      </x:c>
      <x:c r="O52" s="17" t="n">
        <x:f>Q14</x:f>
        <x:v>2</x:v>
      </x:c>
      <x:c r="P52" s="17" t="str">
        <x:f>IF(G52=0,"PASS","FAIL")</x:f>
        <x:v>PASS</x:v>
      </x:c>
      <x:c r="Q52" s="17" t="str">
        <x:f>IF(L52&gt;=P14,"PASS","FAIL")</x:f>
        <x:v>PASS</x:v>
      </x:c>
      <x:c r="R52" s="17" t="str">
        <x:f>IF(L14="ALL STOP","n.a.",IF(N52&lt;=O52,"PASS","FAIL"))</x:f>
        <x:v>PASS</x:v>
      </x:c>
      <x:c r="S52" s="17" t="str">
        <x:f>IF(L14="ALL STOP","SAFE STOP",IF(AND(P52="PASS",Q52="PASS",R52="PASS"),"PASS","FAIL"))</x:f>
        <x:v>PASS</x:v>
      </x:c>
      <x:c r="T52" s="17" t="str">
        <x:v>UNTESTED</x:v>
      </x:c>
      <x:c r="U52" s="17" t="str">
        <x:f>IF(L14="ALL STOP","CIVIL STOP",IF(G52&gt;0,"UNSAFE PRIMARY",IF(E52=0,"RELEASE PATH",IF(L52&lt;P14,IF(AND(E14&gt;'02 Architectures'!O8,'02 Architectures'!N8&gt;0),"ENDURANCE","SAFE CAPACITY"),IF(N52&gt;O52,"DECISION TIME","NONE")))))</x:f>
        <x:v>NONE</x:v>
      </x:c>
      <x:c r="V52" s="17" t="str">
        <x:v>DENIED</x:v>
      </x:c>
    </x:row>
    <x:row r="53" ht="43" customHeight="1">
      <x:c r="C53" s="11" t="str">
        <x:f>'02 Architectures'!C8</x:f>
        <x:v>A3</x:v>
      </x:c>
      <x:c r="D53" s="17" t="str">
        <x:f>C15</x:f>
        <x:v>W10</x:v>
      </x:c>
      <x:c r="E53" s="24" t="n">
        <x:f>IF('02 Architectures'!E8=1,J15,IF('02 Architectures'!F8&gt;K15,1,0))</x:f>
        <x:v>1</x:v>
      </x:c>
      <x:c r="F53" s="24" t="n">
        <x:f>IF(L15="ALL STOP",0,IF(F15=1,IF(L15="NORMAL",E53,0),IF(AND(M15=1,'02 Architectures'!H8=1),0,IF(AND(N15=1,'02 Architectures'!G8=1),E53,0))))</x:f>
        <x:v>0</x:v>
      </x:c>
      <x:c r="G53" s="24" t="n">
        <x:f>F53*(1-F15)</x:f>
        <x:v>0</x:v>
      </x:c>
      <x:c r="H53" s="24" t="n">
        <x:f>F53*F15</x:f>
        <x:v>0</x:v>
      </x:c>
      <x:c r="I53" s="24" t="n">
        <x:f>IF(OR(L15="ALL STOP",E53=0,G15=0),0,IF(OR(L15="NORMAL",'02 Architectures'!I8=1),'02 Architectures'!J8,0))</x:f>
        <x:v>0</x:v>
      </x:c>
      <x:c r="J53" s="24" t="n">
        <x:f>IF(OR(L15="ALL STOP",E53=0,H15=0),0,IF(OR(L15="NORMAL",'02 Architectures'!K8=1),'02 Architectures'!L8,0))</x:f>
        <x:v>0</x:v>
      </x:c>
      <x:c r="K53" s="24" t="n">
        <x:f>IF(OR(L15="ALL STOP",E53=0,I15=0,'02 Architectures'!O8&lt;E15),0,IF(OR(L15="NORMAL",'02 Architectures'!M8=1),'02 Architectures'!N8,0))</x:f>
        <x:v>0</x:v>
      </x:c>
      <x:c r="L53" s="24" t="n">
        <x:f>MIN(O15,H53+I53+J53+K53,1)</x:f>
        <x:v>0</x:v>
      </x:c>
      <x:c r="M53" s="24" t="n">
        <x:f>MIN(O15,F53+I53+J53+K53,1)</x:f>
        <x:v>0</x:v>
      </x:c>
      <x:c r="N53" s="17" t="n">
        <x:f>'02 Architectures'!P8</x:f>
        <x:v>2</x:v>
      </x:c>
      <x:c r="O53" s="17" t="n">
        <x:f>Q15</x:f>
        <x:v>2</x:v>
      </x:c>
      <x:c r="P53" s="17" t="str">
        <x:f>IF(G53=0,"PASS","FAIL")</x:f>
        <x:v>PASS</x:v>
      </x:c>
      <x:c r="Q53" s="17" t="str">
        <x:f>IF(L53&gt;=P15,"PASS","FAIL")</x:f>
        <x:v>FAIL</x:v>
      </x:c>
      <x:c r="R53" s="17" t="str">
        <x:f>IF(L15="ALL STOP","n.a.",IF(N53&lt;=O53,"PASS","FAIL"))</x:f>
        <x:v>PASS</x:v>
      </x:c>
      <x:c r="S53" s="17" t="str">
        <x:f>IF(L15="ALL STOP","SAFE STOP",IF(AND(P53="PASS",Q53="PASS",R53="PASS"),"PASS","FAIL"))</x:f>
        <x:v>FAIL</x:v>
      </x:c>
      <x:c r="T53" s="17" t="str">
        <x:v>UNTESTED</x:v>
      </x:c>
      <x:c r="U53" s="17" t="str">
        <x:f>IF(L15="ALL STOP","CIVIL STOP",IF(G53&gt;0,"UNSAFE PRIMARY",IF(E53=0,"RELEASE PATH",IF(L53&lt;P15,IF(AND(E15&gt;'02 Architectures'!O8,'02 Architectures'!N8&gt;0),"ENDURANCE","SAFE CAPACITY"),IF(N53&gt;O53,"DECISION TIME","NONE")))))</x:f>
        <x:v>ENDURANCE</x:v>
      </x:c>
      <x:c r="V53" s="17" t="str">
        <x:v>DENIED</x:v>
      </x:c>
    </x:row>
    <x:row r="54" ht="43" customHeight="1">
      <x:c r="C54" s="11" t="str">
        <x:f>'02 Architectures'!C8</x:f>
        <x:v>A3</x:v>
      </x:c>
      <x:c r="D54" s="17" t="str">
        <x:f>C16</x:f>
        <x:v>W11</x:v>
      </x:c>
      <x:c r="E54" s="24" t="n">
        <x:f>IF('02 Architectures'!E8=1,J16,IF('02 Architectures'!F8&gt;K16,1,0))</x:f>
        <x:v>1</x:v>
      </x:c>
      <x:c r="F54" s="24" t="n">
        <x:f>IF(L16="ALL STOP",0,IF(F16=1,IF(L16="NORMAL",E54,0),IF(AND(M16=1,'02 Architectures'!H8=1),0,IF(AND(N16=1,'02 Architectures'!G8=1),E54,0))))</x:f>
        <x:v>0</x:v>
      </x:c>
      <x:c r="G54" s="24" t="n">
        <x:f>F54*(1-F16)</x:f>
        <x:v>0</x:v>
      </x:c>
      <x:c r="H54" s="24" t="n">
        <x:f>F54*F16</x:f>
        <x:v>0</x:v>
      </x:c>
      <x:c r="I54" s="24" t="n">
        <x:f>IF(OR(L16="ALL STOP",E54=0,G16=0),0,IF(OR(L16="NORMAL",'02 Architectures'!I8=1),'02 Architectures'!J8,0))</x:f>
        <x:v>0.5</x:v>
      </x:c>
      <x:c r="J54" s="24" t="n">
        <x:f>IF(OR(L16="ALL STOP",E54=0,H16=0),0,IF(OR(L16="NORMAL",'02 Architectures'!K8=1),'02 Architectures'!L8,0))</x:f>
        <x:v>0</x:v>
      </x:c>
      <x:c r="K54" s="24" t="n">
        <x:f>IF(OR(L16="ALL STOP",E54=0,I16=0,'02 Architectures'!O8&lt;E16),0,IF(OR(L16="NORMAL",'02 Architectures'!M8=1),'02 Architectures'!N8,0))</x:f>
        <x:v>0.5</x:v>
      </x:c>
      <x:c r="L54" s="24" t="n">
        <x:f>MIN(O16,H54+I54+J54+K54,1)</x:f>
        <x:v>1</x:v>
      </x:c>
      <x:c r="M54" s="24" t="n">
        <x:f>MIN(O16,F54+I54+J54+K54,1)</x:f>
        <x:v>1</x:v>
      </x:c>
      <x:c r="N54" s="17" t="n">
        <x:f>'02 Architectures'!P8</x:f>
        <x:v>2</x:v>
      </x:c>
      <x:c r="O54" s="17" t="n">
        <x:f>Q16</x:f>
        <x:v>2</x:v>
      </x:c>
      <x:c r="P54" s="17" t="str">
        <x:f>IF(G54=0,"PASS","FAIL")</x:f>
        <x:v>PASS</x:v>
      </x:c>
      <x:c r="Q54" s="17" t="str">
        <x:f>IF(L54&gt;=P16,"PASS","FAIL")</x:f>
        <x:v>PASS</x:v>
      </x:c>
      <x:c r="R54" s="17" t="str">
        <x:f>IF(L16="ALL STOP","n.a.",IF(N54&lt;=O54,"PASS","FAIL"))</x:f>
        <x:v>PASS</x:v>
      </x:c>
      <x:c r="S54" s="17" t="str">
        <x:f>IF(L16="ALL STOP","SAFE STOP",IF(AND(P54="PASS",Q54="PASS",R54="PASS"),"PASS","FAIL"))</x:f>
        <x:v>PASS</x:v>
      </x:c>
      <x:c r="T54" s="17" t="str">
        <x:v>UNTESTED</x:v>
      </x:c>
      <x:c r="U54" s="17" t="str">
        <x:f>IF(L16="ALL STOP","CIVIL STOP",IF(G54&gt;0,"UNSAFE PRIMARY",IF(E54=0,"RELEASE PATH",IF(L54&lt;P16,IF(AND(E16&gt;'02 Architectures'!O8,'02 Architectures'!N8&gt;0),"ENDURANCE","SAFE CAPACITY"),IF(N54&gt;O54,"DECISION TIME","NONE")))))</x:f>
        <x:v>NONE</x:v>
      </x:c>
      <x:c r="V54" s="17" t="str">
        <x:v>DENIED</x:v>
      </x:c>
    </x:row>
    <x:row r="55" ht="43" customHeight="1">
      <x:c r="C55" s="11" t="str">
        <x:f>'02 Architectures'!C8</x:f>
        <x:v>A3</x:v>
      </x:c>
      <x:c r="D55" s="17" t="str">
        <x:f>C17</x:f>
        <x:v>W12</x:v>
      </x:c>
      <x:c r="E55" s="24" t="n">
        <x:f>IF('02 Architectures'!E8=1,J17,IF('02 Architectures'!F8&gt;K17,1,0))</x:f>
        <x:v>1</x:v>
      </x:c>
      <x:c r="F55" s="24" t="n">
        <x:f>IF(L17="ALL STOP",0,IF(F17=1,IF(L17="NORMAL",E55,0),IF(AND(M17=1,'02 Architectures'!H8=1),0,IF(AND(N17=1,'02 Architectures'!G8=1),E55,0))))</x:f>
        <x:v>0</x:v>
      </x:c>
      <x:c r="G55" s="24" t="n">
        <x:f>F55*(1-F17)</x:f>
        <x:v>0</x:v>
      </x:c>
      <x:c r="H55" s="24" t="n">
        <x:f>F55*F17</x:f>
        <x:v>0</x:v>
      </x:c>
      <x:c r="I55" s="24" t="n">
        <x:f>IF(OR(L17="ALL STOP",E55=0,G17=0),0,IF(OR(L17="NORMAL",'02 Architectures'!I8=1),'02 Architectures'!J8,0))</x:f>
        <x:v>0</x:v>
      </x:c>
      <x:c r="J55" s="24" t="n">
        <x:f>IF(OR(L17="ALL STOP",E55=0,H17=0),0,IF(OR(L17="NORMAL",'02 Architectures'!K8=1),'02 Architectures'!L8,0))</x:f>
        <x:v>0</x:v>
      </x:c>
      <x:c r="K55" s="24" t="n">
        <x:f>IF(OR(L17="ALL STOP",E55=0,I17=0,'02 Architectures'!O8&lt;E17),0,IF(OR(L17="NORMAL",'02 Architectures'!M8=1),'02 Architectures'!N8,0))</x:f>
        <x:v>0</x:v>
      </x:c>
      <x:c r="L55" s="24" t="n">
        <x:f>MIN(O17,H55+I55+J55+K55,1)</x:f>
        <x:v>0</x:v>
      </x:c>
      <x:c r="M55" s="24" t="n">
        <x:f>MIN(O17,F55+I55+J55+K55,1)</x:f>
        <x:v>0</x:v>
      </x:c>
      <x:c r="N55" s="17" t="n">
        <x:f>'02 Architectures'!P8</x:f>
        <x:v>2</x:v>
      </x:c>
      <x:c r="O55" s="17" t="n">
        <x:f>Q17</x:f>
        <x:v>0.25</x:v>
      </x:c>
      <x:c r="P55" s="17" t="str">
        <x:f>IF(G55=0,"PASS","FAIL")</x:f>
        <x:v>PASS</x:v>
      </x:c>
      <x:c r="Q55" s="17" t="str">
        <x:f>IF(L55&gt;=P17,"PASS","FAIL")</x:f>
        <x:v>FAIL</x:v>
      </x:c>
      <x:c r="R55" s="17" t="str">
        <x:f>IF(L17="ALL STOP","n.a.",IF(N55&lt;=O55,"PASS","FAIL"))</x:f>
        <x:v>n.a.</x:v>
      </x:c>
      <x:c r="S55" s="17" t="str">
        <x:f>IF(L17="ALL STOP","SAFE STOP",IF(AND(P55="PASS",Q55="PASS",R55="PASS"),"PASS","FAIL"))</x:f>
        <x:v>SAFE STOP</x:v>
      </x:c>
      <x:c r="T55" s="17" t="str">
        <x:v>UNTESTED</x:v>
      </x:c>
      <x:c r="U55" s="17" t="str">
        <x:f>IF(L17="ALL STOP","CIVIL STOP",IF(G55&gt;0,"UNSAFE PRIMARY",IF(E55=0,"RELEASE PATH",IF(L55&lt;P17,IF(AND(E17&gt;'02 Architectures'!O8,'02 Architectures'!N8&gt;0),"ENDURANCE","SAFE CAPACITY"),IF(N55&gt;O55,"DECISION TIME","NONE")))))</x:f>
        <x:v>CIVIL STOP</x:v>
      </x:c>
      <x:c r="V55" s="17" t="str">
        <x:v>DENIED</x:v>
      </x:c>
    </x:row>
    <x:row r="56" ht="43" customHeight="1">
      <x:c r="C56" s="11" t="str">
        <x:f>'02 Architectures'!C9</x:f>
        <x:v>A4</x:v>
      </x:c>
      <x:c r="D56" s="17" t="str">
        <x:f>C6</x:f>
        <x:v>W1</x:v>
      </x:c>
      <x:c r="E56" s="24" t="n">
        <x:f>IF('02 Architectures'!E9=1,J6,IF('02 Architectures'!F9&gt;K6,1,0))</x:f>
        <x:v>1</x:v>
      </x:c>
      <x:c r="F56" s="24" t="n">
        <x:f>IF(L6="ALL STOP",0,IF(F6=1,IF(L6="NORMAL",E56,0),IF(AND(M6=1,'02 Architectures'!H9=1),0,IF(AND(N6=1,'02 Architectures'!G9=1),E56,0))))</x:f>
        <x:v>0</x:v>
      </x:c>
      <x:c r="G56" s="24" t="n">
        <x:f>F56*(1-F6)</x:f>
        <x:v>0</x:v>
      </x:c>
      <x:c r="H56" s="24" t="n">
        <x:f>F56*F6</x:f>
        <x:v>0</x:v>
      </x:c>
      <x:c r="I56" s="24" t="n">
        <x:f>IF(OR(L6="ALL STOP",E56=0,G6=0),0,IF(OR(L6="NORMAL",'02 Architectures'!I9=1),'02 Architectures'!J9,0))</x:f>
        <x:v>0.5</x:v>
      </x:c>
      <x:c r="J56" s="24" t="n">
        <x:f>IF(OR(L6="ALL STOP",E56=0,H6=0),0,IF(OR(L6="NORMAL",'02 Architectures'!K9=1),'02 Architectures'!L9,0))</x:f>
        <x:v>0.5</x:v>
      </x:c>
      <x:c r="K56" s="24" t="n">
        <x:f>IF(OR(L6="ALL STOP",E56=0,I6=0,'02 Architectures'!O9&lt;E6),0,IF(OR(L6="NORMAL",'02 Architectures'!M9=1),'02 Architectures'!N9,0))</x:f>
        <x:v>0.5</x:v>
      </x:c>
      <x:c r="L56" s="24" t="n">
        <x:f>MIN(O6,H56+I56+J56+K56,1)</x:f>
        <x:v>1</x:v>
      </x:c>
      <x:c r="M56" s="24" t="n">
        <x:f>MIN(O6,F56+I56+J56+K56,1)</x:f>
        <x:v>1</x:v>
      </x:c>
      <x:c r="N56" s="17" t="n">
        <x:f>'02 Architectures'!P9</x:f>
        <x:v>2</x:v>
      </x:c>
      <x:c r="O56" s="17" t="n">
        <x:f>Q6</x:f>
        <x:v>6</x:v>
      </x:c>
      <x:c r="P56" s="17" t="str">
        <x:f>IF(G56=0,"PASS","FAIL")</x:f>
        <x:v>PASS</x:v>
      </x:c>
      <x:c r="Q56" s="17" t="str">
        <x:f>IF(L56&gt;=P6,"PASS","FAIL")</x:f>
        <x:v>PASS</x:v>
      </x:c>
      <x:c r="R56" s="17" t="str">
        <x:f>IF(L6="ALL STOP","n.a.",IF(N56&lt;=O56,"PASS","FAIL"))</x:f>
        <x:v>PASS</x:v>
      </x:c>
      <x:c r="S56" s="17" t="str">
        <x:f>IF(L6="ALL STOP","SAFE STOP",IF(AND(P56="PASS",Q56="PASS",R56="PASS"),"PASS","FAIL"))</x:f>
        <x:v>PASS</x:v>
      </x:c>
      <x:c r="T56" s="17" t="str">
        <x:v>UNTESTED</x:v>
      </x:c>
      <x:c r="U56" s="17" t="str">
        <x:f>IF(L6="ALL STOP","CIVIL STOP",IF(G56&gt;0,"UNSAFE PRIMARY",IF(E56=0,"RELEASE PATH",IF(L56&lt;P6,IF(AND(E6&gt;'02 Architectures'!O9,'02 Architectures'!N9&gt;0),"ENDURANCE","SAFE CAPACITY"),IF(N56&gt;O56,"DECISION TIME","NONE")))))</x:f>
        <x:v>NONE</x:v>
      </x:c>
      <x:c r="V56" s="17" t="str">
        <x:v>DENIED</x:v>
      </x:c>
    </x:row>
    <x:row r="57" ht="43" customHeight="1">
      <x:c r="C57" s="11" t="str">
        <x:f>'02 Architectures'!C9</x:f>
        <x:v>A4</x:v>
      </x:c>
      <x:c r="D57" s="17" t="str">
        <x:f>C7</x:f>
        <x:v>W2</x:v>
      </x:c>
      <x:c r="E57" s="24" t="n">
        <x:f>IF('02 Architectures'!E9=1,J7,IF('02 Architectures'!F9&gt;K7,1,0))</x:f>
        <x:v>1</x:v>
      </x:c>
      <x:c r="F57" s="24" t="n">
        <x:f>IF(L7="ALL STOP",0,IF(F7=1,IF(L7="NORMAL",E57,0),IF(AND(M7=1,'02 Architectures'!H9=1),0,IF(AND(N7=1,'02 Architectures'!G9=1),E57,0))))</x:f>
        <x:v>0</x:v>
      </x:c>
      <x:c r="G57" s="24" t="n">
        <x:f>F57*(1-F7)</x:f>
        <x:v>0</x:v>
      </x:c>
      <x:c r="H57" s="24" t="n">
        <x:f>F57*F7</x:f>
        <x:v>0</x:v>
      </x:c>
      <x:c r="I57" s="24" t="n">
        <x:f>IF(OR(L7="ALL STOP",E57=0,G7=0),0,IF(OR(L7="NORMAL",'02 Architectures'!I9=1),'02 Architectures'!J9,0))</x:f>
        <x:v>0.5</x:v>
      </x:c>
      <x:c r="J57" s="24" t="n">
        <x:f>IF(OR(L7="ALL STOP",E57=0,H7=0),0,IF(OR(L7="NORMAL",'02 Architectures'!K9=1),'02 Architectures'!L9,0))</x:f>
        <x:v>0.5</x:v>
      </x:c>
      <x:c r="K57" s="24" t="n">
        <x:f>IF(OR(L7="ALL STOP",E57=0,I7=0,'02 Architectures'!O9&lt;E7),0,IF(OR(L7="NORMAL",'02 Architectures'!M9=1),'02 Architectures'!N9,0))</x:f>
        <x:v>0.5</x:v>
      </x:c>
      <x:c r="L57" s="24" t="n">
        <x:f>MIN(O7,H57+I57+J57+K57,1)</x:f>
        <x:v>1</x:v>
      </x:c>
      <x:c r="M57" s="24" t="n">
        <x:f>MIN(O7,F57+I57+J57+K57,1)</x:f>
        <x:v>1</x:v>
      </x:c>
      <x:c r="N57" s="17" t="n">
        <x:f>'02 Architectures'!P9</x:f>
        <x:v>2</x:v>
      </x:c>
      <x:c r="O57" s="17" t="n">
        <x:f>Q7</x:f>
        <x:v>6</x:v>
      </x:c>
      <x:c r="P57" s="17" t="str">
        <x:f>IF(G57=0,"PASS","FAIL")</x:f>
        <x:v>PASS</x:v>
      </x:c>
      <x:c r="Q57" s="17" t="str">
        <x:f>IF(L57&gt;=P7,"PASS","FAIL")</x:f>
        <x:v>PASS</x:v>
      </x:c>
      <x:c r="R57" s="17" t="str">
        <x:f>IF(L7="ALL STOP","n.a.",IF(N57&lt;=O57,"PASS","FAIL"))</x:f>
        <x:v>PASS</x:v>
      </x:c>
      <x:c r="S57" s="17" t="str">
        <x:f>IF(L7="ALL STOP","SAFE STOP",IF(AND(P57="PASS",Q57="PASS",R57="PASS"),"PASS","FAIL"))</x:f>
        <x:v>PASS</x:v>
      </x:c>
      <x:c r="T57" s="17" t="str">
        <x:v>UNTESTED</x:v>
      </x:c>
      <x:c r="U57" s="17" t="str">
        <x:f>IF(L7="ALL STOP","CIVIL STOP",IF(G57&gt;0,"UNSAFE PRIMARY",IF(E57=0,"RELEASE PATH",IF(L57&lt;P7,IF(AND(E7&gt;'02 Architectures'!O9,'02 Architectures'!N9&gt;0),"ENDURANCE","SAFE CAPACITY"),IF(N57&gt;O57,"DECISION TIME","NONE")))))</x:f>
        <x:v>NONE</x:v>
      </x:c>
      <x:c r="V57" s="17" t="str">
        <x:v>DENIED</x:v>
      </x:c>
    </x:row>
    <x:row r="58" ht="43" customHeight="1">
      <x:c r="C58" s="11" t="str">
        <x:f>'02 Architectures'!C9</x:f>
        <x:v>A4</x:v>
      </x:c>
      <x:c r="D58" s="17" t="str">
        <x:f>C8</x:f>
        <x:v>W3</x:v>
      </x:c>
      <x:c r="E58" s="24" t="n">
        <x:f>IF('02 Architectures'!E9=1,J8,IF('02 Architectures'!F9&gt;K8,1,0))</x:f>
        <x:v>1</x:v>
      </x:c>
      <x:c r="F58" s="24" t="n">
        <x:f>IF(L8="ALL STOP",0,IF(F8=1,IF(L8="NORMAL",E58,0),IF(AND(M8=1,'02 Architectures'!H9=1),0,IF(AND(N8=1,'02 Architectures'!G9=1),E58,0))))</x:f>
        <x:v>0</x:v>
      </x:c>
      <x:c r="G58" s="24" t="n">
        <x:f>F58*(1-F8)</x:f>
        <x:v>0</x:v>
      </x:c>
      <x:c r="H58" s="24" t="n">
        <x:f>F58*F8</x:f>
        <x:v>0</x:v>
      </x:c>
      <x:c r="I58" s="24" t="n">
        <x:f>IF(OR(L8="ALL STOP",E58=0,G8=0),0,IF(OR(L8="NORMAL",'02 Architectures'!I9=1),'02 Architectures'!J9,0))</x:f>
        <x:v>0.5</x:v>
      </x:c>
      <x:c r="J58" s="24" t="n">
        <x:f>IF(OR(L8="ALL STOP",E58=0,H8=0),0,IF(OR(L8="NORMAL",'02 Architectures'!K9=1),'02 Architectures'!L9,0))</x:f>
        <x:v>0.5</x:v>
      </x:c>
      <x:c r="K58" s="24" t="n">
        <x:f>IF(OR(L8="ALL STOP",E58=0,I8=0,'02 Architectures'!O9&lt;E8),0,IF(OR(L8="NORMAL",'02 Architectures'!M9=1),'02 Architectures'!N9,0))</x:f>
        <x:v>0.5</x:v>
      </x:c>
      <x:c r="L58" s="24" t="n">
        <x:f>MIN(O8,H58+I58+J58+K58,1)</x:f>
        <x:v>1</x:v>
      </x:c>
      <x:c r="M58" s="24" t="n">
        <x:f>MIN(O8,F58+I58+J58+K58,1)</x:f>
        <x:v>1</x:v>
      </x:c>
      <x:c r="N58" s="17" t="n">
        <x:f>'02 Architectures'!P9</x:f>
        <x:v>2</x:v>
      </x:c>
      <x:c r="O58" s="17" t="n">
        <x:f>Q8</x:f>
        <x:v>2</x:v>
      </x:c>
      <x:c r="P58" s="17" t="str">
        <x:f>IF(G58=0,"PASS","FAIL")</x:f>
        <x:v>PASS</x:v>
      </x:c>
      <x:c r="Q58" s="17" t="str">
        <x:f>IF(L58&gt;=P8,"PASS","FAIL")</x:f>
        <x:v>PASS</x:v>
      </x:c>
      <x:c r="R58" s="17" t="str">
        <x:f>IF(L8="ALL STOP","n.a.",IF(N58&lt;=O58,"PASS","FAIL"))</x:f>
        <x:v>PASS</x:v>
      </x:c>
      <x:c r="S58" s="17" t="str">
        <x:f>IF(L8="ALL STOP","SAFE STOP",IF(AND(P58="PASS",Q58="PASS",R58="PASS"),"PASS","FAIL"))</x:f>
        <x:v>PASS</x:v>
      </x:c>
      <x:c r="T58" s="17" t="str">
        <x:v>UNTESTED</x:v>
      </x:c>
      <x:c r="U58" s="17" t="str">
        <x:f>IF(L8="ALL STOP","CIVIL STOP",IF(G58&gt;0,"UNSAFE PRIMARY",IF(E58=0,"RELEASE PATH",IF(L58&lt;P8,IF(AND(E8&gt;'02 Architectures'!O9,'02 Architectures'!N9&gt;0),"ENDURANCE","SAFE CAPACITY"),IF(N58&gt;O58,"DECISION TIME","NONE")))))</x:f>
        <x:v>NONE</x:v>
      </x:c>
      <x:c r="V58" s="17" t="str">
        <x:v>DENIED</x:v>
      </x:c>
    </x:row>
    <x:row r="59" ht="43" customHeight="1">
      <x:c r="C59" s="11" t="str">
        <x:f>'02 Architectures'!C9</x:f>
        <x:v>A4</x:v>
      </x:c>
      <x:c r="D59" s="17" t="str">
        <x:f>C9</x:f>
        <x:v>W4</x:v>
      </x:c>
      <x:c r="E59" s="24" t="n">
        <x:f>IF('02 Architectures'!E9=1,J9,IF('02 Architectures'!F9&gt;K9,1,0))</x:f>
        <x:v>1</x:v>
      </x:c>
      <x:c r="F59" s="24" t="n">
        <x:f>IF(L9="ALL STOP",0,IF(F9=1,IF(L9="NORMAL",E59,0),IF(AND(M9=1,'02 Architectures'!H9=1),0,IF(AND(N9=1,'02 Architectures'!G9=1),E59,0))))</x:f>
        <x:v>0</x:v>
      </x:c>
      <x:c r="G59" s="24" t="n">
        <x:f>F59*(1-F9)</x:f>
        <x:v>0</x:v>
      </x:c>
      <x:c r="H59" s="24" t="n">
        <x:f>F59*F9</x:f>
        <x:v>0</x:v>
      </x:c>
      <x:c r="I59" s="24" t="n">
        <x:f>IF(OR(L9="ALL STOP",E59=0,G9=0),0,IF(OR(L9="NORMAL",'02 Architectures'!I9=1),'02 Architectures'!J9,0))</x:f>
        <x:v>0.5</x:v>
      </x:c>
      <x:c r="J59" s="24" t="n">
        <x:f>IF(OR(L9="ALL STOP",E59=0,H9=0),0,IF(OR(L9="NORMAL",'02 Architectures'!K9=1),'02 Architectures'!L9,0))</x:f>
        <x:v>0.5</x:v>
      </x:c>
      <x:c r="K59" s="24" t="n">
        <x:f>IF(OR(L9="ALL STOP",E59=0,I9=0,'02 Architectures'!O9&lt;E9),0,IF(OR(L9="NORMAL",'02 Architectures'!M9=1),'02 Architectures'!N9,0))</x:f>
        <x:v>0.5</x:v>
      </x:c>
      <x:c r="L59" s="24" t="n">
        <x:f>MIN(O9,H59+I59+J59+K59,1)</x:f>
        <x:v>1</x:v>
      </x:c>
      <x:c r="M59" s="24" t="n">
        <x:f>MIN(O9,F59+I59+J59+K59,1)</x:f>
        <x:v>1</x:v>
      </x:c>
      <x:c r="N59" s="17" t="n">
        <x:f>'02 Architectures'!P9</x:f>
        <x:v>2</x:v>
      </x:c>
      <x:c r="O59" s="17" t="n">
        <x:f>Q9</x:f>
        <x:v>2</x:v>
      </x:c>
      <x:c r="P59" s="17" t="str">
        <x:f>IF(G59=0,"PASS","FAIL")</x:f>
        <x:v>PASS</x:v>
      </x:c>
      <x:c r="Q59" s="17" t="str">
        <x:f>IF(L59&gt;=P9,"PASS","FAIL")</x:f>
        <x:v>PASS</x:v>
      </x:c>
      <x:c r="R59" s="17" t="str">
        <x:f>IF(L9="ALL STOP","n.a.",IF(N59&lt;=O59,"PASS","FAIL"))</x:f>
        <x:v>PASS</x:v>
      </x:c>
      <x:c r="S59" s="17" t="str">
        <x:f>IF(L9="ALL STOP","SAFE STOP",IF(AND(P59="PASS",Q59="PASS",R59="PASS"),"PASS","FAIL"))</x:f>
        <x:v>PASS</x:v>
      </x:c>
      <x:c r="T59" s="17" t="str">
        <x:v>UNTESTED</x:v>
      </x:c>
      <x:c r="U59" s="17" t="str">
        <x:f>IF(L9="ALL STOP","CIVIL STOP",IF(G59&gt;0,"UNSAFE PRIMARY",IF(E59=0,"RELEASE PATH",IF(L59&lt;P9,IF(AND(E9&gt;'02 Architectures'!O9,'02 Architectures'!N9&gt;0),"ENDURANCE","SAFE CAPACITY"),IF(N59&gt;O59,"DECISION TIME","NONE")))))</x:f>
        <x:v>NONE</x:v>
      </x:c>
      <x:c r="V59" s="17" t="str">
        <x:v>DENIED</x:v>
      </x:c>
    </x:row>
    <x:row r="60" ht="43" customHeight="1">
      <x:c r="C60" s="11" t="str">
        <x:f>'02 Architectures'!C9</x:f>
        <x:v>A4</x:v>
      </x:c>
      <x:c r="D60" s="17" t="str">
        <x:f>C10</x:f>
        <x:v>W5</x:v>
      </x:c>
      <x:c r="E60" s="24" t="n">
        <x:f>IF('02 Architectures'!E9=1,J10,IF('02 Architectures'!F9&gt;K10,1,0))</x:f>
        <x:v>1</x:v>
      </x:c>
      <x:c r="F60" s="24" t="n">
        <x:f>IF(L10="ALL STOP",0,IF(F10=1,IF(L10="NORMAL",E60,0),IF(AND(M10=1,'02 Architectures'!H9=1),0,IF(AND(N10=1,'02 Architectures'!G9=1),E60,0))))</x:f>
        <x:v>1</x:v>
      </x:c>
      <x:c r="G60" s="24" t="n">
        <x:f>F60*(1-F10)</x:f>
        <x:v>0</x:v>
      </x:c>
      <x:c r="H60" s="24" t="n">
        <x:f>F60*F10</x:f>
        <x:v>1</x:v>
      </x:c>
      <x:c r="I60" s="24" t="n">
        <x:f>IF(OR(L10="ALL STOP",E60=0,G10=0),0,IF(OR(L10="NORMAL",'02 Architectures'!I9=1),'02 Architectures'!J9,0))</x:f>
        <x:v>0.5</x:v>
      </x:c>
      <x:c r="J60" s="24" t="n">
        <x:f>IF(OR(L10="ALL STOP",E60=0,H10=0),0,IF(OR(L10="NORMAL",'02 Architectures'!K9=1),'02 Architectures'!L9,0))</x:f>
        <x:v>0.5</x:v>
      </x:c>
      <x:c r="K60" s="24" t="n">
        <x:f>IF(OR(L10="ALL STOP",E60=0,I10=0,'02 Architectures'!O9&lt;E10),0,IF(OR(L10="NORMAL",'02 Architectures'!M9=1),'02 Architectures'!N9,0))</x:f>
        <x:v>0.5</x:v>
      </x:c>
      <x:c r="L60" s="24" t="n">
        <x:f>MIN(O10,H60+I60+J60+K60,1)</x:f>
        <x:v>1</x:v>
      </x:c>
      <x:c r="M60" s="24" t="n">
        <x:f>MIN(O10,F60+I60+J60+K60,1)</x:f>
        <x:v>1</x:v>
      </x:c>
      <x:c r="N60" s="17" t="n">
        <x:f>'02 Architectures'!P9</x:f>
        <x:v>2</x:v>
      </x:c>
      <x:c r="O60" s="17" t="n">
        <x:f>Q10</x:f>
        <x:v>2</x:v>
      </x:c>
      <x:c r="P60" s="17" t="str">
        <x:f>IF(G60=0,"PASS","FAIL")</x:f>
        <x:v>PASS</x:v>
      </x:c>
      <x:c r="Q60" s="17" t="str">
        <x:f>IF(L60&gt;=P10,"PASS","FAIL")</x:f>
        <x:v>PASS</x:v>
      </x:c>
      <x:c r="R60" s="17" t="str">
        <x:f>IF(L10="ALL STOP","n.a.",IF(N60&lt;=O60,"PASS","FAIL"))</x:f>
        <x:v>PASS</x:v>
      </x:c>
      <x:c r="S60" s="17" t="str">
        <x:f>IF(L10="ALL STOP","SAFE STOP",IF(AND(P60="PASS",Q60="PASS",R60="PASS"),"PASS","FAIL"))</x:f>
        <x:v>PASS</x:v>
      </x:c>
      <x:c r="T60" s="17" t="str">
        <x:v>UNTESTED</x:v>
      </x:c>
      <x:c r="U60" s="17" t="str">
        <x:f>IF(L10="ALL STOP","CIVIL STOP",IF(G60&gt;0,"UNSAFE PRIMARY",IF(E60=0,"RELEASE PATH",IF(L60&lt;P10,IF(AND(E10&gt;'02 Architectures'!O9,'02 Architectures'!N9&gt;0),"ENDURANCE","SAFE CAPACITY"),IF(N60&gt;O60,"DECISION TIME","NONE")))))</x:f>
        <x:v>NONE</x:v>
      </x:c>
      <x:c r="V60" s="17" t="str">
        <x:v>DENIED</x:v>
      </x:c>
    </x:row>
    <x:row r="61" ht="43" customHeight="1">
      <x:c r="C61" s="11" t="str">
        <x:f>'02 Architectures'!C9</x:f>
        <x:v>A4</x:v>
      </x:c>
      <x:c r="D61" s="17" t="str">
        <x:f>C11</x:f>
        <x:v>W6</x:v>
      </x:c>
      <x:c r="E61" s="24" t="n">
        <x:f>IF('02 Architectures'!E9=1,J11,IF('02 Architectures'!F9&gt;K11,1,0))</x:f>
        <x:v>1</x:v>
      </x:c>
      <x:c r="F61" s="24" t="n">
        <x:f>IF(L11="ALL STOP",0,IF(F11=1,IF(L11="NORMAL",E61,0),IF(AND(M11=1,'02 Architectures'!H9=1),0,IF(AND(N11=1,'02 Architectures'!G9=1),E61,0))))</x:f>
        <x:v>1</x:v>
      </x:c>
      <x:c r="G61" s="24" t="n">
        <x:f>F61*(1-F11)</x:f>
        <x:v>0</x:v>
      </x:c>
      <x:c r="H61" s="24" t="n">
        <x:f>F61*F11</x:f>
        <x:v>1</x:v>
      </x:c>
      <x:c r="I61" s="24" t="n">
        <x:f>IF(OR(L11="ALL STOP",E61=0,G11=0),0,IF(OR(L11="NORMAL",'02 Architectures'!I9=1),'02 Architectures'!J9,0))</x:f>
        <x:v>0.5</x:v>
      </x:c>
      <x:c r="J61" s="24" t="n">
        <x:f>IF(OR(L11="ALL STOP",E61=0,H11=0),0,IF(OR(L11="NORMAL",'02 Architectures'!K9=1),'02 Architectures'!L9,0))</x:f>
        <x:v>0.5</x:v>
      </x:c>
      <x:c r="K61" s="24" t="n">
        <x:f>IF(OR(L11="ALL STOP",E61=0,I11=0,'02 Architectures'!O9&lt;E11),0,IF(OR(L11="NORMAL",'02 Architectures'!M9=1),'02 Architectures'!N9,0))</x:f>
        <x:v>0.5</x:v>
      </x:c>
      <x:c r="L61" s="24" t="n">
        <x:f>MIN(O11,H61+I61+J61+K61,1)</x:f>
        <x:v>1</x:v>
      </x:c>
      <x:c r="M61" s="24" t="n">
        <x:f>MIN(O11,F61+I61+J61+K61,1)</x:f>
        <x:v>1</x:v>
      </x:c>
      <x:c r="N61" s="17" t="n">
        <x:f>'02 Architectures'!P9</x:f>
        <x:v>2</x:v>
      </x:c>
      <x:c r="O61" s="17" t="n">
        <x:f>Q11</x:f>
        <x:v>2</x:v>
      </x:c>
      <x:c r="P61" s="17" t="str">
        <x:f>IF(G61=0,"PASS","FAIL")</x:f>
        <x:v>PASS</x:v>
      </x:c>
      <x:c r="Q61" s="17" t="str">
        <x:f>IF(L61&gt;=P11,"PASS","FAIL")</x:f>
        <x:v>PASS</x:v>
      </x:c>
      <x:c r="R61" s="17" t="str">
        <x:f>IF(L11="ALL STOP","n.a.",IF(N61&lt;=O61,"PASS","FAIL"))</x:f>
        <x:v>PASS</x:v>
      </x:c>
      <x:c r="S61" s="17" t="str">
        <x:f>IF(L11="ALL STOP","SAFE STOP",IF(AND(P61="PASS",Q61="PASS",R61="PASS"),"PASS","FAIL"))</x:f>
        <x:v>PASS</x:v>
      </x:c>
      <x:c r="T61" s="17" t="str">
        <x:v>UNTESTED</x:v>
      </x:c>
      <x:c r="U61" s="17" t="str">
        <x:f>IF(L11="ALL STOP","CIVIL STOP",IF(G61&gt;0,"UNSAFE PRIMARY",IF(E61=0,"RELEASE PATH",IF(L61&lt;P11,IF(AND(E11&gt;'02 Architectures'!O9,'02 Architectures'!N9&gt;0),"ENDURANCE","SAFE CAPACITY"),IF(N61&gt;O61,"DECISION TIME","NONE")))))</x:f>
        <x:v>NONE</x:v>
      </x:c>
      <x:c r="V61" s="17" t="str">
        <x:v>DENIED</x:v>
      </x:c>
    </x:row>
    <x:row r="62" ht="43" customHeight="1">
      <x:c r="C62" s="11" t="str">
        <x:f>'02 Architectures'!C9</x:f>
        <x:v>A4</x:v>
      </x:c>
      <x:c r="D62" s="17" t="str">
        <x:f>C12</x:f>
        <x:v>W7</x:v>
      </x:c>
      <x:c r="E62" s="24" t="n">
        <x:f>IF('02 Architectures'!E9=1,J12,IF('02 Architectures'!F9&gt;K12,1,0))</x:f>
        <x:v>1</x:v>
      </x:c>
      <x:c r="F62" s="24" t="n">
        <x:f>IF(L12="ALL STOP",0,IF(F12=1,IF(L12="NORMAL",E62,0),IF(AND(M12=1,'02 Architectures'!H9=1),0,IF(AND(N12=1,'02 Architectures'!G9=1),E62,0))))</x:f>
        <x:v>0</x:v>
      </x:c>
      <x:c r="G62" s="24" t="n">
        <x:f>F62*(1-F12)</x:f>
        <x:v>0</x:v>
      </x:c>
      <x:c r="H62" s="24" t="n">
        <x:f>F62*F12</x:f>
        <x:v>0</x:v>
      </x:c>
      <x:c r="I62" s="24" t="n">
        <x:f>IF(OR(L12="ALL STOP",E62=0,G12=0),0,IF(OR(L12="NORMAL",'02 Architectures'!I9=1),'02 Architectures'!J9,0))</x:f>
        <x:v>0</x:v>
      </x:c>
      <x:c r="J62" s="24" t="n">
        <x:f>IF(OR(L12="ALL STOP",E62=0,H12=0),0,IF(OR(L12="NORMAL",'02 Architectures'!K9=1),'02 Architectures'!L9,0))</x:f>
        <x:v>0.5</x:v>
      </x:c>
      <x:c r="K62" s="24" t="n">
        <x:f>IF(OR(L12="ALL STOP",E62=0,I12=0,'02 Architectures'!O9&lt;E12),0,IF(OR(L12="NORMAL",'02 Architectures'!M9=1),'02 Architectures'!N9,0))</x:f>
        <x:v>0.5</x:v>
      </x:c>
      <x:c r="L62" s="24" t="n">
        <x:f>MIN(O12,H62+I62+J62+K62,1)</x:f>
        <x:v>1</x:v>
      </x:c>
      <x:c r="M62" s="24" t="n">
        <x:f>MIN(O12,F62+I62+J62+K62,1)</x:f>
        <x:v>1</x:v>
      </x:c>
      <x:c r="N62" s="17" t="n">
        <x:f>'02 Architectures'!P9</x:f>
        <x:v>2</x:v>
      </x:c>
      <x:c r="O62" s="17" t="n">
        <x:f>Q12</x:f>
        <x:v>2</x:v>
      </x:c>
      <x:c r="P62" s="17" t="str">
        <x:f>IF(G62=0,"PASS","FAIL")</x:f>
        <x:v>PASS</x:v>
      </x:c>
      <x:c r="Q62" s="17" t="str">
        <x:f>IF(L62&gt;=P12,"PASS","FAIL")</x:f>
        <x:v>PASS</x:v>
      </x:c>
      <x:c r="R62" s="17" t="str">
        <x:f>IF(L12="ALL STOP","n.a.",IF(N62&lt;=O62,"PASS","FAIL"))</x:f>
        <x:v>PASS</x:v>
      </x:c>
      <x:c r="S62" s="17" t="str">
        <x:f>IF(L12="ALL STOP","SAFE STOP",IF(AND(P62="PASS",Q62="PASS",R62="PASS"),"PASS","FAIL"))</x:f>
        <x:v>PASS</x:v>
      </x:c>
      <x:c r="T62" s="17" t="str">
        <x:v>UNTESTED</x:v>
      </x:c>
      <x:c r="U62" s="17" t="str">
        <x:f>IF(L12="ALL STOP","CIVIL STOP",IF(G62&gt;0,"UNSAFE PRIMARY",IF(E62=0,"RELEASE PATH",IF(L62&lt;P12,IF(AND(E12&gt;'02 Architectures'!O9,'02 Architectures'!N9&gt;0),"ENDURANCE","SAFE CAPACITY"),IF(N62&gt;O62,"DECISION TIME","NONE")))))</x:f>
        <x:v>NONE</x:v>
      </x:c>
      <x:c r="V62" s="17" t="str">
        <x:v>DENIED</x:v>
      </x:c>
    </x:row>
    <x:row r="63" ht="43" customHeight="1">
      <x:c r="C63" s="11" t="str">
        <x:f>'02 Architectures'!C9</x:f>
        <x:v>A4</x:v>
      </x:c>
      <x:c r="D63" s="17" t="str">
        <x:f>C13</x:f>
        <x:v>W8</x:v>
      </x:c>
      <x:c r="E63" s="24" t="n">
        <x:f>IF('02 Architectures'!E9=1,J13,IF('02 Architectures'!F9&gt;K13,1,0))</x:f>
        <x:v>1</x:v>
      </x:c>
      <x:c r="F63" s="24" t="n">
        <x:f>IF(L13="ALL STOP",0,IF(F13=1,IF(L13="NORMAL",E63,0),IF(AND(M13=1,'02 Architectures'!H9=1),0,IF(AND(N13=1,'02 Architectures'!G9=1),E63,0))))</x:f>
        <x:v>0</x:v>
      </x:c>
      <x:c r="G63" s="24" t="n">
        <x:f>F63*(1-F13)</x:f>
        <x:v>0</x:v>
      </x:c>
      <x:c r="H63" s="24" t="n">
        <x:f>F63*F13</x:f>
        <x:v>0</x:v>
      </x:c>
      <x:c r="I63" s="24" t="n">
        <x:f>IF(OR(L13="ALL STOP",E63=0,G13=0),0,IF(OR(L13="NORMAL",'02 Architectures'!I9=1),'02 Architectures'!J9,0))</x:f>
        <x:v>0</x:v>
      </x:c>
      <x:c r="J63" s="24" t="n">
        <x:f>IF(OR(L13="ALL STOP",E63=0,H13=0),0,IF(OR(L13="NORMAL",'02 Architectures'!K9=1),'02 Architectures'!L9,0))</x:f>
        <x:v>0.5</x:v>
      </x:c>
      <x:c r="K63" s="24" t="n">
        <x:f>IF(OR(L13="ALL STOP",E63=0,I13=0,'02 Architectures'!O9&lt;E13),0,IF(OR(L13="NORMAL",'02 Architectures'!M9=1),'02 Architectures'!N9,0))</x:f>
        <x:v>0.5</x:v>
      </x:c>
      <x:c r="L63" s="24" t="n">
        <x:f>MIN(O13,H63+I63+J63+K63,1)</x:f>
        <x:v>1</x:v>
      </x:c>
      <x:c r="M63" s="24" t="n">
        <x:f>MIN(O13,F63+I63+J63+K63,1)</x:f>
        <x:v>1</x:v>
      </x:c>
      <x:c r="N63" s="17" t="n">
        <x:f>'02 Architectures'!P9</x:f>
        <x:v>2</x:v>
      </x:c>
      <x:c r="O63" s="17" t="n">
        <x:f>Q13</x:f>
        <x:v>2</x:v>
      </x:c>
      <x:c r="P63" s="17" t="str">
        <x:f>IF(G63=0,"PASS","FAIL")</x:f>
        <x:v>PASS</x:v>
      </x:c>
      <x:c r="Q63" s="17" t="str">
        <x:f>IF(L63&gt;=P13,"PASS","FAIL")</x:f>
        <x:v>PASS</x:v>
      </x:c>
      <x:c r="R63" s="17" t="str">
        <x:f>IF(L13="ALL STOP","n.a.",IF(N63&lt;=O63,"PASS","FAIL"))</x:f>
        <x:v>PASS</x:v>
      </x:c>
      <x:c r="S63" s="17" t="str">
        <x:f>IF(L13="ALL STOP","SAFE STOP",IF(AND(P63="PASS",Q63="PASS",R63="PASS"),"PASS","FAIL"))</x:f>
        <x:v>PASS</x:v>
      </x:c>
      <x:c r="T63" s="17" t="str">
        <x:v>UNTESTED</x:v>
      </x:c>
      <x:c r="U63" s="17" t="str">
        <x:f>IF(L13="ALL STOP","CIVIL STOP",IF(G63&gt;0,"UNSAFE PRIMARY",IF(E63=0,"RELEASE PATH",IF(L63&lt;P13,IF(AND(E13&gt;'02 Architectures'!O9,'02 Architectures'!N9&gt;0),"ENDURANCE","SAFE CAPACITY"),IF(N63&gt;O63,"DECISION TIME","NONE")))))</x:f>
        <x:v>NONE</x:v>
      </x:c>
      <x:c r="V63" s="17" t="str">
        <x:v>DENIED</x:v>
      </x:c>
    </x:row>
    <x:row r="64" ht="43" customHeight="1">
      <x:c r="C64" s="11" t="str">
        <x:f>'02 Architectures'!C9</x:f>
        <x:v>A4</x:v>
      </x:c>
      <x:c r="D64" s="17" t="str">
        <x:f>C14</x:f>
        <x:v>W9</x:v>
      </x:c>
      <x:c r="E64" s="24" t="n">
        <x:f>IF('02 Architectures'!E9=1,J14,IF('02 Architectures'!F9&gt;K14,1,0))</x:f>
        <x:v>1</x:v>
      </x:c>
      <x:c r="F64" s="24" t="n">
        <x:f>IF(L14="ALL STOP",0,IF(F14=1,IF(L14="NORMAL",E64,0),IF(AND(M14=1,'02 Architectures'!H9=1),0,IF(AND(N14=1,'02 Architectures'!G9=1),E64,0))))</x:f>
        <x:v>0</x:v>
      </x:c>
      <x:c r="G64" s="24" t="n">
        <x:f>F64*(1-F14)</x:f>
        <x:v>0</x:v>
      </x:c>
      <x:c r="H64" s="24" t="n">
        <x:f>F64*F14</x:f>
        <x:v>0</x:v>
      </x:c>
      <x:c r="I64" s="24" t="n">
        <x:f>IF(OR(L14="ALL STOP",E64=0,G14=0),0,IF(OR(L14="NORMAL",'02 Architectures'!I9=1),'02 Architectures'!J9,0))</x:f>
        <x:v>0.5</x:v>
      </x:c>
      <x:c r="J64" s="24" t="n">
        <x:f>IF(OR(L14="ALL STOP",E64=0,H14=0),0,IF(OR(L14="NORMAL",'02 Architectures'!K9=1),'02 Architectures'!L9,0))</x:f>
        <x:v>0.5</x:v>
      </x:c>
      <x:c r="K64" s="24" t="n">
        <x:f>IF(OR(L14="ALL STOP",E64=0,I14=0,'02 Architectures'!O9&lt;E14),0,IF(OR(L14="NORMAL",'02 Architectures'!M9=1),'02 Architectures'!N9,0))</x:f>
        <x:v>0.5</x:v>
      </x:c>
      <x:c r="L64" s="24" t="n">
        <x:f>MIN(O14,H64+I64+J64+K64,1)</x:f>
        <x:v>0.875</x:v>
      </x:c>
      <x:c r="M64" s="24" t="n">
        <x:f>MIN(O14,F64+I64+J64+K64,1)</x:f>
        <x:v>0.875</x:v>
      </x:c>
      <x:c r="N64" s="17" t="n">
        <x:f>'02 Architectures'!P9</x:f>
        <x:v>2</x:v>
      </x:c>
      <x:c r="O64" s="17" t="n">
        <x:f>Q14</x:f>
        <x:v>2</x:v>
      </x:c>
      <x:c r="P64" s="17" t="str">
        <x:f>IF(G64=0,"PASS","FAIL")</x:f>
        <x:v>PASS</x:v>
      </x:c>
      <x:c r="Q64" s="17" t="str">
        <x:f>IF(L64&gt;=P14,"PASS","FAIL")</x:f>
        <x:v>PASS</x:v>
      </x:c>
      <x:c r="R64" s="17" t="str">
        <x:f>IF(L14="ALL STOP","n.a.",IF(N64&lt;=O64,"PASS","FAIL"))</x:f>
        <x:v>PASS</x:v>
      </x:c>
      <x:c r="S64" s="17" t="str">
        <x:f>IF(L14="ALL STOP","SAFE STOP",IF(AND(P64="PASS",Q64="PASS",R64="PASS"),"PASS","FAIL"))</x:f>
        <x:v>PASS</x:v>
      </x:c>
      <x:c r="T64" s="17" t="str">
        <x:v>UNTESTED</x:v>
      </x:c>
      <x:c r="U64" s="17" t="str">
        <x:f>IF(L14="ALL STOP","CIVIL STOP",IF(G64&gt;0,"UNSAFE PRIMARY",IF(E64=0,"RELEASE PATH",IF(L64&lt;P14,IF(AND(E14&gt;'02 Architectures'!O9,'02 Architectures'!N9&gt;0),"ENDURANCE","SAFE CAPACITY"),IF(N64&gt;O64,"DECISION TIME","NONE")))))</x:f>
        <x:v>NONE</x:v>
      </x:c>
      <x:c r="V64" s="17" t="str">
        <x:v>DENIED</x:v>
      </x:c>
    </x:row>
    <x:row r="65" ht="43" customHeight="1">
      <x:c r="C65" s="11" t="str">
        <x:f>'02 Architectures'!C9</x:f>
        <x:v>A4</x:v>
      </x:c>
      <x:c r="D65" s="17" t="str">
        <x:f>C15</x:f>
        <x:v>W10</x:v>
      </x:c>
      <x:c r="E65" s="24" t="n">
        <x:f>IF('02 Architectures'!E9=1,J15,IF('02 Architectures'!F9&gt;K15,1,0))</x:f>
        <x:v>1</x:v>
      </x:c>
      <x:c r="F65" s="24" t="n">
        <x:f>IF(L15="ALL STOP",0,IF(F15=1,IF(L15="NORMAL",E65,0),IF(AND(M15=1,'02 Architectures'!H9=1),0,IF(AND(N15=1,'02 Architectures'!G9=1),E65,0))))</x:f>
        <x:v>0</x:v>
      </x:c>
      <x:c r="G65" s="24" t="n">
        <x:f>F65*(1-F15)</x:f>
        <x:v>0</x:v>
      </x:c>
      <x:c r="H65" s="24" t="n">
        <x:f>F65*F15</x:f>
        <x:v>0</x:v>
      </x:c>
      <x:c r="I65" s="24" t="n">
        <x:f>IF(OR(L15="ALL STOP",E65=0,G15=0),0,IF(OR(L15="NORMAL",'02 Architectures'!I9=1),'02 Architectures'!J9,0))</x:f>
        <x:v>0</x:v>
      </x:c>
      <x:c r="J65" s="24" t="n">
        <x:f>IF(OR(L15="ALL STOP",E65=0,H15=0),0,IF(OR(L15="NORMAL",'02 Architectures'!K9=1),'02 Architectures'!L9,0))</x:f>
        <x:v>0.5</x:v>
      </x:c>
      <x:c r="K65" s="24" t="n">
        <x:f>IF(OR(L15="ALL STOP",E65=0,I15=0,'02 Architectures'!O9&lt;E15),0,IF(OR(L15="NORMAL",'02 Architectures'!M9=1),'02 Architectures'!N9,0))</x:f>
        <x:v>0</x:v>
      </x:c>
      <x:c r="L65" s="24" t="n">
        <x:f>MIN(O15,H65+I65+J65+K65,1)</x:f>
        <x:v>0.5</x:v>
      </x:c>
      <x:c r="M65" s="24" t="n">
        <x:f>MIN(O15,F65+I65+J65+K65,1)</x:f>
        <x:v>0.5</x:v>
      </x:c>
      <x:c r="N65" s="17" t="n">
        <x:f>'02 Architectures'!P9</x:f>
        <x:v>2</x:v>
      </x:c>
      <x:c r="O65" s="17" t="n">
        <x:f>Q15</x:f>
        <x:v>2</x:v>
      </x:c>
      <x:c r="P65" s="17" t="str">
        <x:f>IF(G65=0,"PASS","FAIL")</x:f>
        <x:v>PASS</x:v>
      </x:c>
      <x:c r="Q65" s="17" t="str">
        <x:f>IF(L65&gt;=P15,"PASS","FAIL")</x:f>
        <x:v>PASS</x:v>
      </x:c>
      <x:c r="R65" s="17" t="str">
        <x:f>IF(L15="ALL STOP","n.a.",IF(N65&lt;=O65,"PASS","FAIL"))</x:f>
        <x:v>PASS</x:v>
      </x:c>
      <x:c r="S65" s="17" t="str">
        <x:f>IF(L15="ALL STOP","SAFE STOP",IF(AND(P65="PASS",Q65="PASS",R65="PASS"),"PASS","FAIL"))</x:f>
        <x:v>PASS</x:v>
      </x:c>
      <x:c r="T65" s="17" t="str">
        <x:v>UNTESTED</x:v>
      </x:c>
      <x:c r="U65" s="17" t="str">
        <x:f>IF(L15="ALL STOP","CIVIL STOP",IF(G65&gt;0,"UNSAFE PRIMARY",IF(E65=0,"RELEASE PATH",IF(L65&lt;P15,IF(AND(E15&gt;'02 Architectures'!O9,'02 Architectures'!N9&gt;0),"ENDURANCE","SAFE CAPACITY"),IF(N65&gt;O65,"DECISION TIME","NONE")))))</x:f>
        <x:v>NONE</x:v>
      </x:c>
      <x:c r="V65" s="17" t="str">
        <x:v>DENIED</x:v>
      </x:c>
    </x:row>
    <x:row r="66" ht="43" customHeight="1">
      <x:c r="C66" s="11" t="str">
        <x:f>'02 Architectures'!C9</x:f>
        <x:v>A4</x:v>
      </x:c>
      <x:c r="D66" s="17" t="str">
        <x:f>C16</x:f>
        <x:v>W11</x:v>
      </x:c>
      <x:c r="E66" s="24" t="n">
        <x:f>IF('02 Architectures'!E9=1,J16,IF('02 Architectures'!F9&gt;K16,1,0))</x:f>
        <x:v>1</x:v>
      </x:c>
      <x:c r="F66" s="24" t="n">
        <x:f>IF(L16="ALL STOP",0,IF(F16=1,IF(L16="NORMAL",E66,0),IF(AND(M16=1,'02 Architectures'!H9=1),0,IF(AND(N16=1,'02 Architectures'!G9=1),E66,0))))</x:f>
        <x:v>0</x:v>
      </x:c>
      <x:c r="G66" s="24" t="n">
        <x:f>F66*(1-F16)</x:f>
        <x:v>0</x:v>
      </x:c>
      <x:c r="H66" s="24" t="n">
        <x:f>F66*F16</x:f>
        <x:v>0</x:v>
      </x:c>
      <x:c r="I66" s="24" t="n">
        <x:f>IF(OR(L16="ALL STOP",E66=0,G16=0),0,IF(OR(L16="NORMAL",'02 Architectures'!I9=1),'02 Architectures'!J9,0))</x:f>
        <x:v>0.5</x:v>
      </x:c>
      <x:c r="J66" s="24" t="n">
        <x:f>IF(OR(L16="ALL STOP",E66=0,H16=0),0,IF(OR(L16="NORMAL",'02 Architectures'!K9=1),'02 Architectures'!L9,0))</x:f>
        <x:v>0.5</x:v>
      </x:c>
      <x:c r="K66" s="24" t="n">
        <x:f>IF(OR(L16="ALL STOP",E66=0,I16=0,'02 Architectures'!O9&lt;E16),0,IF(OR(L16="NORMAL",'02 Architectures'!M9=1),'02 Architectures'!N9,0))</x:f>
        <x:v>0.5</x:v>
      </x:c>
      <x:c r="L66" s="24" t="n">
        <x:f>MIN(O16,H66+I66+J66+K66,1)</x:f>
        <x:v>1</x:v>
      </x:c>
      <x:c r="M66" s="24" t="n">
        <x:f>MIN(O16,F66+I66+J66+K66,1)</x:f>
        <x:v>1</x:v>
      </x:c>
      <x:c r="N66" s="17" t="n">
        <x:f>'02 Architectures'!P9</x:f>
        <x:v>2</x:v>
      </x:c>
      <x:c r="O66" s="17" t="n">
        <x:f>Q16</x:f>
        <x:v>2</x:v>
      </x:c>
      <x:c r="P66" s="17" t="str">
        <x:f>IF(G66=0,"PASS","FAIL")</x:f>
        <x:v>PASS</x:v>
      </x:c>
      <x:c r="Q66" s="17" t="str">
        <x:f>IF(L66&gt;=P16,"PASS","FAIL")</x:f>
        <x:v>PASS</x:v>
      </x:c>
      <x:c r="R66" s="17" t="str">
        <x:f>IF(L16="ALL STOP","n.a.",IF(N66&lt;=O66,"PASS","FAIL"))</x:f>
        <x:v>PASS</x:v>
      </x:c>
      <x:c r="S66" s="17" t="str">
        <x:f>IF(L16="ALL STOP","SAFE STOP",IF(AND(P66="PASS",Q66="PASS",R66="PASS"),"PASS","FAIL"))</x:f>
        <x:v>PASS</x:v>
      </x:c>
      <x:c r="T66" s="17" t="str">
        <x:v>UNTESTED</x:v>
      </x:c>
      <x:c r="U66" s="17" t="str">
        <x:f>IF(L16="ALL STOP","CIVIL STOP",IF(G66&gt;0,"UNSAFE PRIMARY",IF(E66=0,"RELEASE PATH",IF(L66&lt;P16,IF(AND(E16&gt;'02 Architectures'!O9,'02 Architectures'!N9&gt;0),"ENDURANCE","SAFE CAPACITY"),IF(N66&gt;O66,"DECISION TIME","NONE")))))</x:f>
        <x:v>NONE</x:v>
      </x:c>
      <x:c r="V66" s="17" t="str">
        <x:v>DENIED</x:v>
      </x:c>
    </x:row>
    <x:row r="67" ht="43" customHeight="1">
      <x:c r="C67" s="11" t="str">
        <x:f>'02 Architectures'!C9</x:f>
        <x:v>A4</x:v>
      </x:c>
      <x:c r="D67" s="17" t="str">
        <x:f>C17</x:f>
        <x:v>W12</x:v>
      </x:c>
      <x:c r="E67" s="24" t="n">
        <x:f>IF('02 Architectures'!E9=1,J17,IF('02 Architectures'!F9&gt;K17,1,0))</x:f>
        <x:v>1</x:v>
      </x:c>
      <x:c r="F67" s="24" t="n">
        <x:f>IF(L17="ALL STOP",0,IF(F17=1,IF(L17="NORMAL",E67,0),IF(AND(M17=1,'02 Architectures'!H9=1),0,IF(AND(N17=1,'02 Architectures'!G9=1),E67,0))))</x:f>
        <x:v>0</x:v>
      </x:c>
      <x:c r="G67" s="24" t="n">
        <x:f>F67*(1-F17)</x:f>
        <x:v>0</x:v>
      </x:c>
      <x:c r="H67" s="24" t="n">
        <x:f>F67*F17</x:f>
        <x:v>0</x:v>
      </x:c>
      <x:c r="I67" s="24" t="n">
        <x:f>IF(OR(L17="ALL STOP",E67=0,G17=0),0,IF(OR(L17="NORMAL",'02 Architectures'!I9=1),'02 Architectures'!J9,0))</x:f>
        <x:v>0</x:v>
      </x:c>
      <x:c r="J67" s="24" t="n">
        <x:f>IF(OR(L17="ALL STOP",E67=0,H17=0),0,IF(OR(L17="NORMAL",'02 Architectures'!K9=1),'02 Architectures'!L9,0))</x:f>
        <x:v>0</x:v>
      </x:c>
      <x:c r="K67" s="24" t="n">
        <x:f>IF(OR(L17="ALL STOP",E67=0,I17=0,'02 Architectures'!O9&lt;E17),0,IF(OR(L17="NORMAL",'02 Architectures'!M9=1),'02 Architectures'!N9,0))</x:f>
        <x:v>0</x:v>
      </x:c>
      <x:c r="L67" s="24" t="n">
        <x:f>MIN(O17,H67+I67+J67+K67,1)</x:f>
        <x:v>0</x:v>
      </x:c>
      <x:c r="M67" s="24" t="n">
        <x:f>MIN(O17,F67+I67+J67+K67,1)</x:f>
        <x:v>0</x:v>
      </x:c>
      <x:c r="N67" s="17" t="n">
        <x:f>'02 Architectures'!P9</x:f>
        <x:v>2</x:v>
      </x:c>
      <x:c r="O67" s="17" t="n">
        <x:f>Q17</x:f>
        <x:v>0.25</x:v>
      </x:c>
      <x:c r="P67" s="17" t="str">
        <x:f>IF(G67=0,"PASS","FAIL")</x:f>
        <x:v>PASS</x:v>
      </x:c>
      <x:c r="Q67" s="17" t="str">
        <x:f>IF(L67&gt;=P17,"PASS","FAIL")</x:f>
        <x:v>FAIL</x:v>
      </x:c>
      <x:c r="R67" s="17" t="str">
        <x:f>IF(L17="ALL STOP","n.a.",IF(N67&lt;=O67,"PASS","FAIL"))</x:f>
        <x:v>n.a.</x:v>
      </x:c>
      <x:c r="S67" s="17" t="str">
        <x:f>IF(L17="ALL STOP","SAFE STOP",IF(AND(P67="PASS",Q67="PASS",R67="PASS"),"PASS","FAIL"))</x:f>
        <x:v>SAFE STOP</x:v>
      </x:c>
      <x:c r="T67" s="17" t="str">
        <x:v>UNTESTED</x:v>
      </x:c>
      <x:c r="U67" s="17" t="str">
        <x:f>IF(L17="ALL STOP","CIVIL STOP",IF(G67&gt;0,"UNSAFE PRIMARY",IF(E67=0,"RELEASE PATH",IF(L67&lt;P17,IF(AND(E17&gt;'02 Architectures'!O9,'02 Architectures'!N9&gt;0),"ENDURANCE","SAFE CAPACITY"),IF(N67&gt;O67,"DECISION TIME","NONE")))))</x:f>
        <x:v>CIVIL STOP</x:v>
      </x:c>
      <x:c r="V67" s="17" t="str">
        <x:v>DENIED</x:v>
      </x:c>
    </x:row>
    <x:row r="71">
      <x:c r="C71" s="9" t="str">
        <x:v>Architecture</x:v>
      </x:c>
      <x:c r="D71" s="9" t="str">
        <x:v>Worlds</x:v>
      </x:c>
      <x:c r="E71" s="9" t="str">
        <x:v>Safety passes</x:v>
      </x:c>
      <x:c r="F71" s="9" t="str">
        <x:v>Continuity passes</x:v>
      </x:c>
      <x:c r="G71" s="9" t="str">
        <x:v>Declared passes</x:v>
      </x:c>
      <x:c r="H71" s="9" t="str">
        <x:v>Unsafe worlds</x:v>
      </x:c>
      <x:c r="I71" s="9" t="str">
        <x:v>Safe stops</x:v>
      </x:c>
      <x:c r="J71" s="9" t="str">
        <x:v>Unknown chemical</x:v>
      </x:c>
      <x:c r="K71" s="9" t="str">
        <x:v>Central-network loss</x:v>
      </x:c>
      <x:c r="L71" s="9" t="str">
        <x:v>72-hour compound</x:v>
      </x:c>
      <x:c r="M71" s="9" t="str">
        <x:v>Strict admission</x:v>
      </x:c>
    </x:row>
    <x:row r="72" ht="42" customHeight="1">
      <x:c r="C72" s="11" t="str">
        <x:f>'02 Architectures'!C6</x:f>
        <x:v>A1</x:v>
      </x:c>
      <x:c r="D72" s="11" t="n">
        <x:f>COUNTIFS($C$20:$C$67,C72)</x:f>
        <x:v>12</x:v>
      </x:c>
      <x:c r="E72" s="11" t="n">
        <x:f>COUNTIFS($C$20:$C$67,C72,$P$20:$P$67,"PASS")</x:f>
        <x:v>12</x:v>
      </x:c>
      <x:c r="F72" s="11" t="n">
        <x:f>COUNTIFS($C$20:$C$67,C72,$Q$20:$Q$67,"PASS")</x:f>
        <x:v>2</x:v>
      </x:c>
      <x:c r="G72" s="11" t="n">
        <x:f>COUNTIFS($C$20:$C$67,C72,$S$20:$S$67,"PASS")</x:f>
        <x:v>2</x:v>
      </x:c>
      <x:c r="H72" s="11" t="n">
        <x:f>COUNTIFS($C$20:$C$67,C72,$G$20:$G$67,"&gt;0")</x:f>
        <x:v>0</x:v>
      </x:c>
      <x:c r="I72" s="11" t="n">
        <x:f>COUNTIFS($C$20:$C$67,C72,$S$20:$S$67,"SAFE STOP")</x:f>
        <x:v>1</x:v>
      </x:c>
      <x:c r="J72" s="11" t="str">
        <x:f>S22</x:f>
        <x:v>FAIL</x:v>
      </x:c>
      <x:c r="K72" s="11" t="str">
        <x:f>S24</x:f>
        <x:v>FAIL</x:v>
      </x:c>
      <x:c r="L72" s="11" t="str">
        <x:f>S29</x:f>
        <x:v>FAIL</x:v>
      </x:c>
      <x:c r="M72" s="11" t="str">
        <x:v>DENIED</x:v>
      </x:c>
    </x:row>
    <x:row r="73" ht="42" customHeight="1">
      <x:c r="C73" s="11" t="str">
        <x:f>'02 Architectures'!C7</x:f>
        <x:v>A2</x:v>
      </x:c>
      <x:c r="D73" s="11" t="n">
        <x:f>COUNTIFS($C$20:$C$67,C73)</x:f>
        <x:v>12</x:v>
      </x:c>
      <x:c r="E73" s="11" t="n">
        <x:f>COUNTIFS($C$20:$C$67,C73,$P$20:$P$67,"PASS")</x:f>
        <x:v>5</x:v>
      </x:c>
      <x:c r="F73" s="11" t="n">
        <x:f>COUNTIFS($C$20:$C$67,C73,$Q$20:$Q$67,"PASS")</x:f>
        <x:v>3</x:v>
      </x:c>
      <x:c r="G73" s="11" t="n">
        <x:f>COUNTIFS($C$20:$C$67,C73,$S$20:$S$67,"PASS")</x:f>
        <x:v>3</x:v>
      </x:c>
      <x:c r="H73" s="11" t="n">
        <x:f>COUNTIFS($C$20:$C$67,C73,$G$20:$G$67,"&gt;0")</x:f>
        <x:v>7</x:v>
      </x:c>
      <x:c r="I73" s="11" t="n">
        <x:f>COUNTIFS($C$20:$C$67,C73,$S$20:$S$67,"SAFE STOP")</x:f>
        <x:v>1</x:v>
      </x:c>
      <x:c r="J73" s="11" t="str">
        <x:f>S34</x:f>
        <x:v>FAIL</x:v>
      </x:c>
      <x:c r="K73" s="11" t="str">
        <x:f>S36</x:f>
        <x:v>PASS</x:v>
      </x:c>
      <x:c r="L73" s="11" t="str">
        <x:f>S41</x:f>
        <x:v>FAIL</x:v>
      </x:c>
      <x:c r="M73" s="11" t="str">
        <x:v>DENIED</x:v>
      </x:c>
    </x:row>
    <x:row r="74" ht="42" customHeight="1">
      <x:c r="C74" s="11" t="str">
        <x:f>'02 Architectures'!C8</x:f>
        <x:v>A3</x:v>
      </x:c>
      <x:c r="D74" s="11" t="n">
        <x:f>COUNTIFS($C$20:$C$67,C74)</x:f>
        <x:v>12</x:v>
      </x:c>
      <x:c r="E74" s="11" t="n">
        <x:f>COUNTIFS($C$20:$C$67,C74,$P$20:$P$67,"PASS")</x:f>
        <x:v>12</x:v>
      </x:c>
      <x:c r="F74" s="11" t="n">
        <x:f>COUNTIFS($C$20:$C$67,C74,$Q$20:$Q$67,"PASS")</x:f>
        <x:v>10</x:v>
      </x:c>
      <x:c r="G74" s="11" t="n">
        <x:f>COUNTIFS($C$20:$C$67,C74,$S$20:$S$67,"PASS")</x:f>
        <x:v>10</x:v>
      </x:c>
      <x:c r="H74" s="11" t="n">
        <x:f>COUNTIFS($C$20:$C$67,C74,$G$20:$G$67,"&gt;0")</x:f>
        <x:v>0</x:v>
      </x:c>
      <x:c r="I74" s="11" t="n">
        <x:f>COUNTIFS($C$20:$C$67,C74,$S$20:$S$67,"SAFE STOP")</x:f>
        <x:v>1</x:v>
      </x:c>
      <x:c r="J74" s="11" t="str">
        <x:f>S46</x:f>
        <x:v>PASS</x:v>
      </x:c>
      <x:c r="K74" s="11" t="str">
        <x:f>S48</x:f>
        <x:v>PASS</x:v>
      </x:c>
      <x:c r="L74" s="11" t="str">
        <x:f>S53</x:f>
        <x:v>FAIL</x:v>
      </x:c>
      <x:c r="M74" s="11" t="str">
        <x:v>DENIED</x:v>
      </x:c>
    </x:row>
    <x:row r="75" ht="42" customHeight="1">
      <x:c r="C75" s="11" t="str">
        <x:f>'02 Architectures'!C9</x:f>
        <x:v>A4</x:v>
      </x:c>
      <x:c r="D75" s="11" t="n">
        <x:f>COUNTIFS($C$20:$C$67,C75)</x:f>
        <x:v>12</x:v>
      </x:c>
      <x:c r="E75" s="11" t="n">
        <x:f>COUNTIFS($C$20:$C$67,C75,$P$20:$P$67,"PASS")</x:f>
        <x:v>12</x:v>
      </x:c>
      <x:c r="F75" s="11" t="n">
        <x:f>COUNTIFS($C$20:$C$67,C75,$Q$20:$Q$67,"PASS")</x:f>
        <x:v>11</x:v>
      </x:c>
      <x:c r="G75" s="11" t="n">
        <x:f>COUNTIFS($C$20:$C$67,C75,$S$20:$S$67,"PASS")</x:f>
        <x:v>11</x:v>
      </x:c>
      <x:c r="H75" s="11" t="n">
        <x:f>COUNTIFS($C$20:$C$67,C75,$G$20:$G$67,"&gt;0")</x:f>
        <x:v>0</x:v>
      </x:c>
      <x:c r="I75" s="11" t="n">
        <x:f>COUNTIFS($C$20:$C$67,C75,$S$20:$S$67,"SAFE STOP")</x:f>
        <x:v>1</x:v>
      </x:c>
      <x:c r="J75" s="11" t="str">
        <x:f>S58</x:f>
        <x:v>PASS</x:v>
      </x:c>
      <x:c r="K75" s="11" t="str">
        <x:f>S60</x:f>
        <x:v>PASS</x:v>
      </x:c>
      <x:c r="L75" s="11" t="str">
        <x:f>S65</x:f>
        <x:v>PASS</x:v>
      </x:c>
      <x:c r="M75" s="11" t="str">
        <x:v>DENIED</x:v>
      </x:c>
    </x:row>
  </x:sheetData>
  <x:conditionalFormatting sqref="P20:V67">
    <x:cfRule type="containsText" dxfId="18" priority="1" operator="containsText" text="FAIL"/>
    <x:cfRule type="containsText" dxfId="19" priority="2" operator="containsText" text="DENIED"/>
    <x:cfRule type="containsText" dxfId="20" priority="3" operator="containsText" text="BLOCKED"/>
    <x:cfRule type="containsText" dxfId="21" priority="4" operator="containsText" text="UNSAFE"/>
    <x:cfRule type="containsText" dxfId="22" priority="5" operator="containsText" text="OPEN"/>
    <x:cfRule type="containsText" dxfId="23" priority="6" operator="containsText" text="UNTESTED"/>
    <x:cfRule type="containsText" dxfId="24" priority="7" operator="containsText" text="DECLARED"/>
    <x:cfRule type="containsText" dxfId="25" priority="8" operator="containsText" text="PASS"/>
    <x:cfRule type="containsText" dxfId="26" priority="9" operator="containsText" text="SAFE STOP"/>
  </x:conditionalFormatting>
  <x:conditionalFormatting sqref="J72:M75">
    <x:cfRule type="containsText" dxfId="27" priority="10" operator="containsText" text="FAIL"/>
    <x:cfRule type="containsText" dxfId="28" priority="11" operator="containsText" text="DENIED"/>
    <x:cfRule type="containsText" dxfId="29" priority="12" operator="containsText" text="BLOCKED"/>
    <x:cfRule type="containsText" dxfId="30" priority="13" operator="containsText" text="UNSAFE"/>
    <x:cfRule type="containsText" dxfId="31" priority="14" operator="containsText" text="OPEN"/>
    <x:cfRule type="containsText" dxfId="32" priority="15" operator="containsText" text="UNTESTED"/>
    <x:cfRule type="containsText" dxfId="33" priority="16" operator="containsText" text="DECLARED"/>
    <x:cfRule type="containsText" dxfId="34" priority="17" operator="containsText" text="PASS"/>
    <x:cfRule type="containsText" dxfId="35" priority="18" operator="containsText" text="SAFE STOP"/>
  </x:conditionalFormatting>
  <x:pageMargins left="0.7" right="0.7" top="0.75" bottom="0.75" header="0.3" footer="0.3"/>
  <x:tableParts count="2">
    <x:tablePart xmlns:r="http://schemas.openxmlformats.org/officeDocument/2006/relationships" r:id="R8d4f1bb360594cf9"/>
    <x:tablePart xmlns:r="http://schemas.openxmlformats.org/officeDocument/2006/relationships" r:id="Rc35c5ada56074ce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24" hidden="0" customWidth="1"/>
    <x:col min="4" max="4" width="43" hidden="0" customWidth="1"/>
    <x:col min="5" max="5" width="35" hidden="0" customWidth="1"/>
    <x:col min="6" max="6" width="37" hidden="0" customWidth="1"/>
    <x:col min="7" max="7" width="34" hidden="0" customWidth="1"/>
    <x:col min="8" max="8" width="32" hidden="0" customWidth="1"/>
    <x:col min="9" max="9" width="45" hidden="0" customWidth="1"/>
    <x:col min="10" max="10" width="45" hidden="0" customWidth="1"/>
  </x:cols>
  <x:sheetData>
    <x:row r="2">
      <x:c r="C2" s="2" t="str">
        <x:v>Release classes and decision ladder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C3" s="3" t="str">
        <x:v>Unknown-agent assurance relies on exclusion, custody and independent provenance. Field nondetection is useful for escalation and never sufficient for release outside its validated envelope.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5">
      <x:c r="C5" s="9" t="str">
        <x:v>State</x:v>
      </x:c>
      <x:c r="D5" s="9" t="str">
        <x:v>Trigger</x:v>
      </x:c>
      <x:c r="E5" s="9" t="str">
        <x:v>Primary water</x:v>
      </x:c>
      <x:c r="F5" s="9" t="str">
        <x:v>Assurance source</x:v>
      </x:c>
      <x:c r="G5" s="9" t="str">
        <x:v>Sealed reserve</x:v>
      </x:c>
      <x:c r="H5" s="9" t="str">
        <x:v>Authority</x:v>
      </x:c>
      <x:c r="I5" s="9" t="str">
        <x:v>Exit condition</x:v>
      </x:c>
      <x:c r="J5" s="9" t="str">
        <x:v>Failure rule</x:v>
      </x:c>
    </x:row>
    <x:row r="6" ht="82" customHeight="1">
      <x:c r="C6" s="11" t="str">
        <x:v>D0 NORMAL</x:v>
      </x:c>
      <x:c r="D6" s="17" t="str">
        <x:v>No unresolved anomaly</x:v>
      </x:c>
      <x:c r="E6" s="17" t="str">
        <x:v>Released within validated process envelope</x:v>
      </x:c>
      <x:c r="F6" s="17" t="str">
        <x:v>Ordinary release</x:v>
      </x:c>
      <x:c r="G6" s="17" t="str">
        <x:v>Available</x:v>
      </x:c>
      <x:c r="H6" s="17" t="str">
        <x:v>Local or central quality authority</x:v>
      </x:c>
      <x:c r="I6" s="17" t="str">
        <x:v>Anomaly or routine transition</x:v>
      </x:c>
      <x:c r="J6" s="17" t="str">
        <x:v>Normal status cannot survive contrary evidence</x:v>
      </x:c>
    </x:row>
    <x:row r="7" ht="82" customHeight="1">
      <x:c r="C7" s="11" t="str">
        <x:v>D1 SOURCE HOLD</x:v>
      </x:c>
      <x:c r="D7" s="17" t="str">
        <x:v>Known agent or process departure</x:v>
      </x:c>
      <x:c r="E7" s="17" t="str">
        <x:v>Quarantined</x:v>
      </x:c>
      <x:c r="F7" s="17" t="str">
        <x:v>May issue after source-specific release</x:v>
      </x:c>
      <x:c r="G7" s="17" t="str">
        <x:v>May issue</x:v>
      </x:c>
      <x:c r="H7" s="17" t="str">
        <x:v>Qualified quality authority</x:v>
      </x:c>
      <x:c r="I7" s="17" t="str">
        <x:v>Validated treatment, isolation or alternate source</x:v>
      </x:c>
      <x:c r="J7" s="17" t="str">
        <x:v>Hold affected provenance, not every source by default</x:v>
      </x:c>
    </x:row>
    <x:row r="8" ht="82" customHeight="1">
      <x:c r="C8" s="11" t="str">
        <x:v>D2 ASSURANCE ONLY</x:v>
      </x:c>
      <x:c r="D8" s="17" t="str">
        <x:v>Unknown agent or unresolved provenance conflict</x:v>
      </x:c>
      <x:c r="E8" s="17" t="str">
        <x:v>Quarantined regardless of negative field panel</x:v>
      </x:c>
      <x:c r="F8" s="17" t="str">
        <x:v>Only prequalified independent provenance</x:v>
      </x:c>
      <x:c r="G8" s="17" t="str">
        <x:v>Only intact qualified custody</x:v>
      </x:c>
      <x:c r="H8" s="17" t="str">
        <x:v>Public-health authority plus delegated local release</x:v>
      </x:c>
      <x:c r="I8" s="17" t="str">
        <x:v>Confirm agent, restore provenance or escalate</x:v>
      </x:c>
      <x:c r="J8" s="17" t="str">
        <x:v>Negative evidence cannot expand the release envelope</x:v>
      </x:c>
    </x:row>
    <x:row r="9" ht="82" customHeight="1">
      <x:c r="C9" s="11" t="str">
        <x:v>D3 ALL STOP</x:v>
      </x:c>
      <x:c r="D9" s="17" t="str">
        <x:v>Hazard cannot be bounded across any qualified water</x:v>
      </x:c>
      <x:c r="E9" s="17" t="str">
        <x:v>No issue</x:v>
      </x:c>
      <x:c r="F9" s="17" t="str">
        <x:v>No issue</x:v>
      </x:c>
      <x:c r="G9" s="17" t="str">
        <x:v>No issue</x:v>
      </x:c>
      <x:c r="H9" s="17" t="str">
        <x:v>National public-health authority</x:v>
      </x:c>
      <x:c r="I9" s="17" t="str">
        <x:v>Independent evidence supports a bounded class</x:v>
      </x:c>
      <x:c r="J9" s="17" t="str">
        <x:v>Service arithmetic cannot override the stop</x:v>
      </x:c>
    </x:row>
    <x:row r="10" ht="82" customHeight="1">
      <x:c r="C10" s="11" t="str">
        <x:v>D4 RECOVERY</x:v>
      </x:c>
      <x:c r="D10" s="17" t="str">
        <x:v>Threat bounded and affected systems isolated</x:v>
      </x:c>
      <x:c r="E10" s="17" t="str">
        <x:v>Staged sampling, flushing and release</x:v>
      </x:c>
      <x:c r="F10" s="17" t="str">
        <x:v>Continues as needed</x:v>
      </x:c>
      <x:c r="G10" s="17" t="str">
        <x:v>Replenish and recertify</x:v>
      </x:c>
      <x:c r="H10" s="17" t="str">
        <x:v>Public-health and receiving authorities</x:v>
      </x:c>
      <x:c r="I10" s="17" t="str">
        <x:v>Full evidence reconciliation and public notice</x:v>
      </x:c>
      <x:c r="J10" s="17" t="str">
        <x:v>No silent return to normal</x:v>
      </x:c>
    </x:row>
    <x:row r="15">
      <x:c r="C15" s="9" t="str">
        <x:v>Class</x:v>
      </x:c>
      <x:c r="D15" s="9" t="str">
        <x:v>Evidence basis</x:v>
      </x:c>
      <x:c r="E15" s="9" t="str">
        <x:v>Issue under D0</x:v>
      </x:c>
      <x:c r="F15" s="9" t="str">
        <x:v>Issue under D1</x:v>
      </x:c>
      <x:c r="G15" s="9" t="str">
        <x:v>Issue under D2</x:v>
      </x:c>
      <x:c r="H15" s="9" t="str">
        <x:v>Issue under D3</x:v>
      </x:c>
      <x:c r="I15" s="9" t="str">
        <x:v>What it cannot prove</x:v>
      </x:c>
      <x:c r="J15" s="9" t="str">
        <x:v>Configuration object</x:v>
      </x:c>
    </x:row>
    <x:row r="16" ht="75" customHeight="1">
      <x:c r="C16" s="11" t="str">
        <x:v>P0 UNVERIFIED</x:v>
      </x:c>
      <x:c r="D16" s="17" t="str">
        <x:v>No current source or custody evidence</x:v>
      </x:c>
      <x:c r="E16" s="17" t="str">
        <x:v>No</x:v>
      </x:c>
      <x:c r="F16" s="17" t="str">
        <x:v>No</x:v>
      </x:c>
      <x:c r="G16" s="17" t="str">
        <x:v>No</x:v>
      </x:c>
      <x:c r="H16" s="17" t="str">
        <x:v>No</x:v>
      </x:c>
      <x:c r="I16" s="17" t="str">
        <x:v>Safety</x:v>
      </x:c>
      <x:c r="J16" s="17" t="str">
        <x:v>Held inventory</x:v>
      </x:c>
    </x:row>
    <x:row r="17" ht="75" customHeight="1">
      <x:c r="C17" s="11" t="str">
        <x:v>P1 FIELD-NEGATIVE</x:v>
      </x:c>
      <x:c r="D17" s="17" t="str">
        <x:v>Validated panel found no target inside its envelope</x:v>
      </x:c>
      <x:c r="E17" s="17" t="str">
        <x:v>Only with ordinary release</x:v>
      </x:c>
      <x:c r="F17" s="17" t="str">
        <x:v>Agent-specific only</x:v>
      </x:c>
      <x:c r="G17" s="17" t="str">
        <x:v>No</x:v>
      </x:c>
      <x:c r="H17" s="17" t="str">
        <x:v>No</x:v>
      </x:c>
      <x:c r="I17" s="17" t="str">
        <x:v>Absence of an unknown agent</x:v>
      </x:c>
      <x:c r="J17" s="17" t="str">
        <x:v>Sample, method, limits and panel version</x:v>
      </x:c>
    </x:row>
    <x:row r="18" ht="75" customHeight="1">
      <x:c r="C18" s="11" t="str">
        <x:v>P2 ASSURED CONTINUOUS</x:v>
      </x:c>
      <x:c r="D18" s="17" t="str">
        <x:v>Independent source, process, power, residual and release custody</x:v>
      </x:c>
      <x:c r="E18" s="17" t="str">
        <x:v>Yes</x:v>
      </x:c>
      <x:c r="F18" s="17" t="str">
        <x:v>Yes</x:v>
      </x:c>
      <x:c r="G18" s="17" t="str">
        <x:v>Yes</x:v>
      </x:c>
      <x:c r="H18" s="17" t="str">
        <x:v>No</x:v>
      </x:c>
      <x:c r="I18" s="17" t="str">
        <x:v>Safety outside the registered independence envelope</x:v>
      </x:c>
      <x:c r="J18" s="17" t="str">
        <x:v>Complete source-provenance chain</x:v>
      </x:c>
    </x:row>
    <x:row r="19" ht="75" customHeight="1">
      <x:c r="C19" s="11" t="str">
        <x:v>P3 SEALED REFERENCE</x:v>
      </x:c>
      <x:c r="D19" s="17" t="str">
        <x:v>Pre-event production, turnover, seal and local custody remain valid</x:v>
      </x:c>
      <x:c r="E19" s="17" t="str">
        <x:v>Yes</x:v>
      </x:c>
      <x:c r="F19" s="17" t="str">
        <x:v>Yes</x:v>
      </x:c>
      <x:c r="G19" s="17" t="str">
        <x:v>Yes within endurance</x:v>
      </x:c>
      <x:c r="H19" s="17" t="str">
        <x:v>No</x:v>
      </x:c>
      <x:c r="I19" s="17" t="str">
        <x:v>Endurance after inventory exhaustion</x:v>
      </x:c>
      <x:c r="J19" s="17" t="str">
        <x:v>Serialized reserve sectors</x:v>
      </x:c>
    </x:row>
    <x:row r="24">
      <x:c r="C24" s="9" t="str">
        <x:v>Decision rule</x:v>
      </x:c>
      <x:c r="D24" s="9" t="str">
        <x:v>Why it exists</x:v>
      </x:c>
      <x:c r="E24" s="9" t="str">
        <x:v>Prohibited shortcut</x:v>
      </x:c>
      <x:c r="F24" s="9" t="str">
        <x:v>Technical mechanism</x:v>
      </x:c>
      <x:c r="G24" s="9" t="str">
        <x:v>Named authority</x:v>
      </x:c>
      <x:c r="H24" s="9" t="str">
        <x:v>Evidence state</x:v>
      </x:c>
    </x:row>
    <x:row r="25" ht="72" customHeight="1">
      <x:c r="C25" s="11" t="str">
        <x:v>Quarantine by provenance</x:v>
      </x:c>
      <x:c r="D25" s="17" t="str">
        <x:v>Remove the affected source without destroying unrelated service</x:v>
      </x:c>
      <x:c r="E25" s="17" t="str">
        <x:v>Receiver-wide hold by default</x:v>
      </x:c>
      <x:c r="F25" s="17" t="str">
        <x:v>Keyed valves, custody graph and independent branches</x:v>
      </x:c>
      <x:c r="G25" s="17" t="str">
        <x:v>Receiving quality command</x:v>
      </x:c>
      <x:c r="H25" s="17" t="str">
        <x:v>OPEN</x:v>
      </x:c>
    </x:row>
    <x:row r="26" ht="72" customHeight="1">
      <x:c r="C26" s="11" t="str">
        <x:v>Release by positive assurance</x:v>
      </x:c>
      <x:c r="D26" s="17" t="str">
        <x:v>Unknown-agent safety cannot rest on panel silence</x:v>
      </x:c>
      <x:c r="E26" s="17" t="str">
        <x:v>Negative screen equals safe</x:v>
      </x:c>
      <x:c r="F26" s="17" t="str">
        <x:v>Independent sources, sealed reserve and orthogonal indicators</x:v>
      </x:c>
      <x:c r="G26" s="17" t="str">
        <x:v>Public-health authority</x:v>
      </x:c>
      <x:c r="H26" s="17" t="str">
        <x:v>OPEN</x:v>
      </x:c>
    </x:row>
    <x:row r="27" ht="72" customHeight="1">
      <x:c r="C27" s="11" t="str">
        <x:v>Two-channel stop authority</x:v>
      </x:c>
      <x:c r="D27" s="17" t="str">
        <x:v>Operational urgency must not erase safety</x:v>
      </x:c>
      <x:c r="E27" s="17" t="str">
        <x:v>Generating command self-releases</x:v>
      </x:c>
      <x:c r="F27" s="17" t="str">
        <x:v>Independent technical inhibit and signed expiry</x:v>
      </x:c>
      <x:c r="G27" s="17" t="str">
        <x:v>Public-health plus technical authority</x:v>
      </x:c>
      <x:c r="H27" s="17" t="str">
        <x:v>OPEN</x:v>
      </x:c>
    </x:row>
    <x:row r="28" ht="72" customHeight="1">
      <x:c r="C28" s="11" t="str">
        <x:v>Local lawful continuity</x:v>
      </x:c>
      <x:c r="D28" s="17" t="str">
        <x:v>Central network loss must not stop safe service</x:v>
      </x:c>
      <x:c r="E28" s="17" t="str">
        <x:v>Offline means uncontrolled</x:v>
      </x:c>
      <x:c r="F28" s="17" t="str">
        <x:v>Delegated release classes, local records and later reconciliation</x:v>
      </x:c>
      <x:c r="G28" s="17" t="str">
        <x:v>Local quality officer</x:v>
      </x:c>
      <x:c r="H28" s="17" t="str">
        <x:v>OPEN</x:v>
      </x:c>
    </x:row>
    <x:row r="29" ht="72" customHeight="1">
      <x:c r="C29" s="11" t="str">
        <x:v>Universal stop retained</x:v>
      </x:c>
      <x:c r="D29" s="17" t="str">
        <x:v>Some uncertainty cannot be bounded safely</x:v>
      </x:c>
      <x:c r="E29" s="17" t="str">
        <x:v>Issue to preserve metric</x:v>
      </x:c>
      <x:c r="F29" s="17" t="str">
        <x:v>Fast isolation, evidence custody and public communication</x:v>
      </x:c>
      <x:c r="G29" s="17" t="str">
        <x:v>National public-health authority</x:v>
      </x:c>
      <x:c r="H29" s="17" t="str">
        <x:v>SAFE STOP</x:v>
      </x:c>
    </x:row>
  </x:sheetData>
  <x:conditionalFormatting sqref="H25:H29">
    <x:cfRule type="containsText" dxfId="36" priority="1" operator="containsText" text="FAIL"/>
    <x:cfRule type="containsText" dxfId="37" priority="2" operator="containsText" text="DENIED"/>
    <x:cfRule type="containsText" dxfId="38" priority="3" operator="containsText" text="BLOCKED"/>
    <x:cfRule type="containsText" dxfId="39" priority="4" operator="containsText" text="UNSAFE"/>
    <x:cfRule type="containsText" dxfId="40" priority="5" operator="containsText" text="OPEN"/>
    <x:cfRule type="containsText" dxfId="41" priority="6" operator="containsText" text="UNTESTED"/>
    <x:cfRule type="containsText" dxfId="42" priority="7" operator="containsText" text="DECLARED"/>
    <x:cfRule type="containsText" dxfId="43" priority="8" operator="containsText" text="PASS"/>
    <x:cfRule type="containsText" dxfId="44" priority="9" operator="containsText" text="SAFE STOP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23" hidden="0" customWidth="1"/>
    <x:col min="4" max="4" width="22" hidden="0" customWidth="1"/>
    <x:col min="5" max="5" width="23" hidden="0" customWidth="1"/>
    <x:col min="6" max="6" width="27" hidden="0" customWidth="1"/>
    <x:col min="7" max="7" width="20" hidden="0" customWidth="1"/>
    <x:col min="8" max="8" width="20" hidden="0" customWidth="1"/>
    <x:col min="9" max="9" width="20" hidden="0" customWidth="1"/>
    <x:col min="10" max="10" width="22" hidden="0" customWidth="1"/>
    <x:col min="11" max="11" width="18" hidden="0" customWidth="1"/>
    <x:col min="12" max="12" width="20" hidden="0" customWidth="1"/>
    <x:col min="13" max="13" width="20" hidden="0" customWidth="1"/>
    <x:col min="14" max="14" width="22" hidden="0" customWidth="1"/>
    <x:col min="15" max="15" width="22" hidden="0" customWidth="1"/>
  </x:cols>
  <x:sheetData>
    <x:row r="2">
      <x:c r="C2" s="2" t="str">
        <x:v>Assurance cost and mobility consequence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C3" s="3" t="str">
        <x:v>The Pass 66 R4 program is revised only for twenty-four operational sets and twelve prepared nodes. Values are declared comparators, not estimates.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5">
      <x:c r="C5" s="9" t="str">
        <x:v>ID</x:v>
      </x:c>
      <x:c r="D5" s="9" t="str">
        <x:v>Assurance workcells</x:v>
      </x:c>
      <x:c r="E5" s="9" t="str">
        <x:v>Extra gross storage m³</x:v>
      </x:c>
      <x:c r="F5" s="9" t="str">
        <x:v>Continuous assurance sources</x:v>
      </x:c>
      <x:c r="G5" s="9" t="str">
        <x:v>Reserve issue share</x:v>
      </x:c>
      <x:c r="H5" s="9" t="str">
        <x:v>Reserve endurance h</x:v>
      </x:c>
      <x:c r="I5" s="9" t="str">
        <x:v>Dry mass t/set</x:v>
      </x:c>
      <x:c r="J5" s="9" t="str">
        <x:v>Chargeable t/set</x:v>
      </x:c>
      <x:c r="K5" s="9" t="str">
        <x:v>Surface positions</x:v>
      </x:c>
      <x:c r="L5" s="9" t="str">
        <x:v>Equipment $B/set</x:v>
      </x:c>
      <x:c r="M5" s="9" t="str">
        <x:v>Receiver $B/node</x:v>
      </x:c>
      <x:c r="N5" s="9" t="str">
        <x:v>Revised program $B</x:v>
      </x:c>
      <x:c r="O5" s="9" t="str">
        <x:v>Declared increment $B</x:v>
      </x:c>
    </x:row>
    <x:row r="6" ht="45" customHeight="1">
      <x:c r="C6" s="11" t="str">
        <x:f>'02 Architectures'!C6</x:f>
        <x:v>A1</x:v>
      </x:c>
      <x:c r="D6" s="26" t="n">
        <x:f>'02 Architectures'!Q6</x:f>
        <x:v>0</x:v>
      </x:c>
      <x:c r="E6" s="21" t="n">
        <x:f>'02 Architectures'!R6</x:f>
        <x:v>0</x:v>
      </x:c>
      <x:c r="F6" s="26" t="n">
        <x:f>'02 Architectures'!I6+'02 Architectures'!K6</x:f>
        <x:v>0</x:v>
      </x:c>
      <x:c r="G6" s="27" t="n">
        <x:f>'02 Architectures'!N6</x:f>
        <x:v>0</x:v>
      </x:c>
      <x:c r="H6" s="26" t="n">
        <x:f>'02 Architectures'!O6</x:f>
        <x:v>0</x:v>
      </x:c>
      <x:c r="I6" s="21" t="n">
        <x:f>'02 Architectures'!X6</x:f>
        <x:v>5579.242428308064</x:v>
      </x:c>
      <x:c r="J6" s="21" t="n">
        <x:f>'02 Architectures'!Y6</x:f>
        <x:v>5914.105443557698</x:v>
      </x:c>
      <x:c r="K6" s="21" t="n">
        <x:f>'02 Architectures'!Z6</x:f>
        <x:v>148</x:v>
      </x:c>
      <x:c r="L6" s="28" t="n">
        <x:f>'02 Architectures'!S6</x:f>
        <x:v>2.3</x:v>
      </x:c>
      <x:c r="M6" s="28" t="n">
        <x:f>'02 Architectures'!T6</x:f>
        <x:v>2.2</x:v>
      </x:c>
      <x:c r="N6" s="22" t="n">
        <x:f>'02 Architectures'!AA6</x:f>
        <x:v>156</x:v>
      </x:c>
      <x:c r="O6" s="22" t="n">
        <x:f>N6-'01 Controls'!$D$14</x:f>
        <x:v>0</x:v>
      </x:c>
    </x:row>
    <x:row r="7" ht="45" customHeight="1">
      <x:c r="C7" s="11" t="str">
        <x:f>'02 Architectures'!C7</x:f>
        <x:v>A2</x:v>
      </x:c>
      <x:c r="D7" s="26" t="n">
        <x:f>'02 Architectures'!Q7</x:f>
        <x:v>1</x:v>
      </x:c>
      <x:c r="E7" s="21" t="n">
        <x:f>'02 Architectures'!R7</x:f>
        <x:v>0</x:v>
      </x:c>
      <x:c r="F7" s="26" t="n">
        <x:f>'02 Architectures'!I7+'02 Architectures'!K7</x:f>
        <x:v>0</x:v>
      </x:c>
      <x:c r="G7" s="27" t="n">
        <x:f>'02 Architectures'!N7</x:f>
        <x:v>0</x:v>
      </x:c>
      <x:c r="H7" s="26" t="n">
        <x:f>'02 Architectures'!O7</x:f>
        <x:v>0</x:v>
      </x:c>
      <x:c r="I7" s="21" t="n">
        <x:f>'02 Architectures'!X7</x:f>
        <x:v>5624.242428308064</x:v>
      </x:c>
      <x:c r="J7" s="21" t="n">
        <x:f>'02 Architectures'!Y7</x:f>
        <x:v>5959.105443557698</x:v>
      </x:c>
      <x:c r="K7" s="21" t="n">
        <x:f>'02 Architectures'!Z7</x:f>
        <x:v>149</x:v>
      </x:c>
      <x:c r="L7" s="28" t="n">
        <x:f>'02 Architectures'!S7</x:f>
        <x:v>2.45</x:v>
      </x:c>
      <x:c r="M7" s="28" t="n">
        <x:f>'02 Architectures'!T7</x:f>
        <x:v>2.35</x:v>
      </x:c>
      <x:c r="N7" s="22" t="n">
        <x:f>'02 Architectures'!AA7</x:f>
        <x:v>161.40000000000003</x:v>
      </x:c>
      <x:c r="O7" s="22" t="n">
        <x:f>N7-'01 Controls'!$D$14</x:f>
        <x:v>5.400000000000034</x:v>
      </x:c>
    </x:row>
    <x:row r="8" ht="45" customHeight="1">
      <x:c r="C8" s="11" t="str">
        <x:f>'02 Architectures'!C8</x:f>
        <x:v>A3</x:v>
      </x:c>
      <x:c r="D8" s="26" t="n">
        <x:f>'02 Architectures'!Q8</x:f>
        <x:v>2</x:v>
      </x:c>
      <x:c r="E8" s="21" t="n">
        <x:f>'02 Architectures'!R8</x:f>
        <x:v>5882.352941176471</x:v>
      </x:c>
      <x:c r="F8" s="26" t="n">
        <x:f>'02 Architectures'!I8+'02 Architectures'!K8</x:f>
        <x:v>1</x:v>
      </x:c>
      <x:c r="G8" s="27" t="n">
        <x:f>'02 Architectures'!N8</x:f>
        <x:v>0.5</x:v>
      </x:c>
      <x:c r="H8" s="26" t="n">
        <x:f>'02 Architectures'!O8</x:f>
        <x:v>24</x:v>
      </x:c>
      <x:c r="I8" s="21" t="n">
        <x:f>'02 Architectures'!X8</x:f>
        <x:v>5881.007134190417</x:v>
      </x:c>
      <x:c r="J8" s="21" t="n">
        <x:f>'02 Architectures'!Y8</x:f>
        <x:v>6239.3995612047565</x:v>
      </x:c>
      <x:c r="K8" s="21" t="n">
        <x:f>'02 Architectures'!Z8</x:f>
        <x:v>156</x:v>
      </x:c>
      <x:c r="L8" s="28" t="n">
        <x:f>'02 Architectures'!S8</x:f>
        <x:v>2.75</x:v>
      </x:c>
      <x:c r="M8" s="28" t="n">
        <x:f>'02 Architectures'!T8</x:f>
        <x:v>2.75</x:v>
      </x:c>
      <x:c r="N8" s="22" t="n">
        <x:f>'02 Architectures'!AA8</x:f>
        <x:v>173.4</x:v>
      </x:c>
      <x:c r="O8" s="22" t="n">
        <x:f>N8-'01 Controls'!$D$14</x:f>
        <x:v>17.400000000000006</x:v>
      </x:c>
    </x:row>
    <x:row r="9" ht="45" customHeight="1">
      <x:c r="C9" s="11" t="str">
        <x:f>'02 Architectures'!C9</x:f>
        <x:v>A4</x:v>
      </x:c>
      <x:c r="D9" s="26" t="n">
        <x:f>'02 Architectures'!Q9</x:f>
        <x:v>4</x:v>
      </x:c>
      <x:c r="E9" s="21" t="n">
        <x:f>'02 Architectures'!R9</x:f>
        <x:v>5882.352941176471</x:v>
      </x:c>
      <x:c r="F9" s="26" t="n">
        <x:f>'02 Architectures'!I9+'02 Architectures'!K9</x:f>
        <x:v>2</x:v>
      </x:c>
      <x:c r="G9" s="27" t="n">
        <x:f>'02 Architectures'!N9</x:f>
        <x:v>0.5</x:v>
      </x:c>
      <x:c r="H9" s="26" t="n">
        <x:f>'02 Architectures'!O9</x:f>
        <x:v>24</x:v>
      </x:c>
      <x:c r="I9" s="21" t="n">
        <x:f>'02 Architectures'!X9</x:f>
        <x:v>6871.007134190417</x:v>
      </x:c>
      <x:c r="J9" s="21" t="n">
        <x:f>'02 Architectures'!Y9</x:f>
        <x:v>7379.3995612047565</x:v>
      </x:c>
      <x:c r="K9" s="21" t="n">
        <x:f>'02 Architectures'!Z9</x:f>
        <x:v>185</x:v>
      </x:c>
      <x:c r="L9" s="28" t="n">
        <x:f>'02 Architectures'!S9</x:f>
        <x:v>3.6</x:v>
      </x:c>
      <x:c r="M9" s="28" t="n">
        <x:f>'02 Architectures'!T9</x:f>
        <x:v>3.6</x:v>
      </x:c>
      <x:c r="N9" s="22" t="n">
        <x:f>'02 Architectures'!AA9</x:f>
        <x:v>204</x:v>
      </x:c>
      <x:c r="O9" s="22" t="n">
        <x:f>N9-'01 Controls'!$D$14</x:f>
        <x:v>48</x:v>
      </x:c>
    </x:row>
    <x:row r="14">
      <x:c r="C14" s="9" t="str">
        <x:v>Cost question</x:v>
      </x:c>
      <x:c r="D14" s="9" t="str">
        <x:v>A1</x:v>
      </x:c>
      <x:c r="E14" s="9" t="str">
        <x:v>A2</x:v>
      </x:c>
      <x:c r="F14" s="9" t="str">
        <x:v>A3</x:v>
      </x:c>
      <x:c r="G14" s="9" t="str">
        <x:v>A4</x:v>
      </x:c>
      <x:c r="H14" s="9" t="str">
        <x:v>Interpretation</x:v>
      </x:c>
    </x:row>
    <x:row r="15" ht="73" customHeight="1">
      <x:c r="C15" s="11" t="str">
        <x:v>What is acquired?</x:v>
      </x:c>
      <x:c r="D15" s="17" t="str">
        <x:v>Central confirmatory doctrine</x:v>
      </x:c>
      <x:c r="E15" s="17" t="str">
        <x:v>Field panel and one local workcell</x:v>
      </x:c>
      <x:c r="F15" s="17" t="str">
        <x:v>Qualified source A, two workcells and 24 h sealed reserve</x:v>
      </x:c>
      <x:c r="G15" s="17" t="str">
        <x:v>Two continuous qualified sources, four workcells and sealed reserve</x:v>
      </x:c>
      <x:c r="H15" s="17" t="str">
        <x:v>Assurance is a source, custody, authority and endurance system</x:v>
      </x:c>
    </x:row>
    <x:row r="16" ht="73" customHeight="1">
      <x:c r="C16" s="11" t="str">
        <x:v>What remains excluded?</x:v>
      </x:c>
      <x:c r="D16" s="17" t="str">
        <x:v>Released laboratory design</x:v>
      </x:c>
      <x:c r="E16" s="17" t="str">
        <x:v>Validated unknown-agent envelope</x:v>
      </x:c>
      <x:c r="F16" s="17" t="str">
        <x:v>Serialized reserve and turnover design</x:v>
      </x:c>
      <x:c r="G16" s="17" t="str">
        <x:v>Second source bill of material</x:v>
      </x:c>
      <x:c r="H16" s="17" t="str">
        <x:v>All land, actual construction, staffing and observed rates</x:v>
      </x:c>
    </x:row>
    <x:row r="17" ht="73" customHeight="1">
      <x:c r="C17" s="11" t="str">
        <x:v>Can sensing replace provenance?</x:v>
      </x:c>
      <x:c r="D17" s="17" t="str">
        <x:v>No</x:v>
      </x:c>
      <x:c r="E17" s="17" t="str">
        <x:v>No</x:v>
      </x:c>
      <x:c r="F17" s="17" t="str">
        <x:v>No</x:v>
      </x:c>
      <x:c r="G17" s="17" t="str">
        <x:v>No</x:v>
      </x:c>
      <x:c r="H17" s="17" t="str">
        <x:v>Sensors constrain decisions; they do not manufacture an independent source</x:v>
      </x:c>
    </x:row>
  </x:sheetData>
  <x:pageMargins left="0.7" right="0.7" top="0.75" bottom="0.75" header="0.3" footer="0.3"/>
  <x:tableParts count="1">
    <x:tablePart xmlns:r="http://schemas.openxmlformats.org/officeDocument/2006/relationships" r:id="Re9bed55a13dc492a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11" hidden="0" customWidth="1"/>
    <x:col min="4" max="4" width="43" hidden="0" customWidth="1"/>
    <x:col min="5" max="5" width="39" hidden="0" customWidth="1"/>
    <x:col min="6" max="6" width="37" hidden="0" customWidth="1"/>
    <x:col min="7" max="7" width="18" hidden="0" customWidth="1"/>
    <x:col min="8" max="8" width="31" hidden="0" customWidth="1"/>
    <x:col min="9" max="9" width="31" hidden="0" customWidth="1"/>
    <x:col min="10" max="10" width="18" hidden="0" customWidth="1"/>
  </x:cols>
  <x:sheetData>
    <x:row r="2">
      <x:c r="C2" s="2" t="str">
        <x:v>Unknown-agent evidence contract</x:v>
      </x:c>
      <x:c r="D2" s="1"/>
      <x:c r="E2" s="1"/>
      <x:c r="F2" s="1"/>
      <x:c r="G2" s="1"/>
      <x:c r="H2" s="1"/>
      <x:c r="I2" s="1"/>
      <x:c r="J2" s="1"/>
      <x:c r="K2" s="1"/>
    </x:row>
    <x:row r="3">
      <x:c r="C3" s="3" t="str">
        <x:v>A declared safe-service result specifies a trial. No doctrine is admitted until source exclusion, custody, release authority, public service and regeneration are observed together.</x:v>
      </x:c>
      <x:c r="D3" s="3"/>
      <x:c r="E3" s="3"/>
      <x:c r="F3" s="3"/>
      <x:c r="G3" s="3"/>
      <x:c r="H3" s="3"/>
      <x:c r="I3" s="3"/>
      <x:c r="J3" s="3"/>
      <x:c r="K3" s="3"/>
    </x:row>
    <x:row r="5">
      <x:c r="C5" s="9" t="str">
        <x:v>Gate</x:v>
      </x:c>
      <x:c r="D5" s="9" t="str">
        <x:v>Required demonstration</x:v>
      </x:c>
      <x:c r="E5" s="9" t="str">
        <x:v>Measure</x:v>
      </x:c>
      <x:c r="F5" s="9" t="str">
        <x:v>Threshold</x:v>
      </x:c>
      <x:c r="G5" s="9" t="str">
        <x:v>Applies</x:v>
      </x:c>
      <x:c r="H5" s="9" t="str">
        <x:v>Authority</x:v>
      </x:c>
      <x:c r="I5" s="9" t="str">
        <x:v>Evidence</x:v>
      </x:c>
      <x:c r="J5" s="9" t="str">
        <x:v>State</x:v>
      </x:c>
    </x:row>
    <x:row r="6" ht="63" customHeight="1">
      <x:c r="C6" s="11" t="str">
        <x:v>G01</x:v>
      </x:c>
      <x:c r="D6" s="17" t="str">
        <x:v>Known chemical source hold</x:v>
      </x:c>
      <x:c r="E6" s="17" t="str">
        <x:v>Affected primary issue</x:v>
      </x:c>
      <x:c r="F6" s="17" t="str">
        <x:v>Zero</x:v>
      </x:c>
      <x:c r="G6" s="17" t="str">
        <x:v>All</x:v>
      </x:c>
      <x:c r="H6" s="17" t="str">
        <x:v>Independent RTE</x:v>
      </x:c>
      <x:c r="I6" s="17" t="str">
        <x:v>No representative source challenge</x:v>
      </x:c>
      <x:c r="J6" s="17" t="str">
        <x:v>OPEN</x:v>
      </x:c>
    </x:row>
    <x:row r="7" ht="63" customHeight="1">
      <x:c r="C7" s="11" t="str">
        <x:v>G02</x:v>
      </x:c>
      <x:c r="D7" s="17" t="str">
        <x:v>Known biological source hold</x:v>
      </x:c>
      <x:c r="E7" s="17" t="str">
        <x:v>Affected primary issue</x:v>
      </x:c>
      <x:c r="F7" s="17" t="str">
        <x:v>Zero</x:v>
      </x:c>
      <x:c r="G7" s="17" t="str">
        <x:v>All</x:v>
      </x:c>
      <x:c r="H7" s="17" t="str">
        <x:v>Independent RTE</x:v>
      </x:c>
      <x:c r="I7" s="17" t="str">
        <x:v>No representative source challenge</x:v>
      </x:c>
      <x:c r="J7" s="17" t="str">
        <x:v>OPEN</x:v>
      </x:c>
    </x:row>
    <x:row r="8" ht="63" customHeight="1">
      <x:c r="C8" s="11" t="str">
        <x:v>G03</x:v>
      </x:c>
      <x:c r="D8" s="17" t="str">
        <x:v>Unknown chemical outside panel</x:v>
      </x:c>
      <x:c r="E8" s="17" t="str">
        <x:v>Unsafe issue and safe service</x:v>
      </x:c>
      <x:c r="F8" s="17" t="str">
        <x:v>Zero unsafe; at least 50% safe</x:v>
      </x:c>
      <x:c r="G8" s="17" t="str">
        <x:v>A2–A4</x:v>
      </x:c>
      <x:c r="H8" s="17" t="str">
        <x:v>Public-health authority</x:v>
      </x:c>
      <x:c r="I8" s="17" t="str">
        <x:v>No open-world challenge</x:v>
      </x:c>
      <x:c r="J8" s="17" t="str">
        <x:v>OPEN</x:v>
      </x:c>
    </x:row>
    <x:row r="9" ht="63" customHeight="1">
      <x:c r="C9" s="11" t="str">
        <x:v>G04</x:v>
      </x:c>
      <x:c r="D9" s="17" t="str">
        <x:v>Unknown biological agent or toxin</x:v>
      </x:c>
      <x:c r="E9" s="17" t="str">
        <x:v>Unsafe issue and safe service</x:v>
      </x:c>
      <x:c r="F9" s="17" t="str">
        <x:v>Zero unsafe; at least 50% safe</x:v>
      </x:c>
      <x:c r="G9" s="17" t="str">
        <x:v>A2–A4</x:v>
      </x:c>
      <x:c r="H9" s="17" t="str">
        <x:v>Public-health authority</x:v>
      </x:c>
      <x:c r="I9" s="17" t="str">
        <x:v>No open-world challenge</x:v>
      </x:c>
      <x:c r="J9" s="17" t="str">
        <x:v>OPEN</x:v>
      </x:c>
    </x:row>
    <x:row r="10" ht="63" customHeight="1">
      <x:c r="C10" s="11" t="str">
        <x:v>G05</x:v>
      </x:c>
      <x:c r="D10" s="17" t="str">
        <x:v>Assurance-source independence</x:v>
      </x:c>
      <x:c r="E10" s="17" t="str">
        <x:v>Shared intake, process, power, residual and custody causes</x:v>
      </x:c>
      <x:c r="F10" s="17" t="str">
        <x:v>None outside registered envelope</x:v>
      </x:c>
      <x:c r="G10" s="17" t="str">
        <x:v>A3–A4</x:v>
      </x:c>
      <x:c r="H10" s="17" t="str">
        <x:v>Mission assurance</x:v>
      </x:c>
      <x:c r="I10" s="17" t="str">
        <x:v>Source chains unconfigured</x:v>
      </x:c>
      <x:c r="J10" s="17" t="str">
        <x:v>OPEN</x:v>
      </x:c>
    </x:row>
    <x:row r="11" ht="63" customHeight="1">
      <x:c r="C11" s="11" t="str">
        <x:v>G06</x:v>
      </x:c>
      <x:c r="D11" s="17" t="str">
        <x:v>Central laboratory and network loss</x:v>
      </x:c>
      <x:c r="E11" s="17" t="str">
        <x:v>Safe locally authorized service</x:v>
      </x:c>
      <x:c r="F11" s="17" t="str">
        <x:v>At least 50% within 2 h</x:v>
      </x:c>
      <x:c r="G11" s="17" t="str">
        <x:v>A2–A4</x:v>
      </x:c>
      <x:c r="H11" s="17" t="str">
        <x:v>Quality authority</x:v>
      </x:c>
      <x:c r="I11" s="17" t="str">
        <x:v>No offline release trial</x:v>
      </x:c>
      <x:c r="J11" s="17" t="str">
        <x:v>OPEN</x:v>
      </x:c>
    </x:row>
    <x:row r="12" ht="63" customHeight="1">
      <x:c r="C12" s="11" t="str">
        <x:v>G07</x:v>
      </x:c>
      <x:c r="D12" s="17" t="str">
        <x:v>One local release cell lost</x:v>
      </x:c>
      <x:c r="E12" s="17" t="str">
        <x:v>Safe service from surviving authority</x:v>
      </x:c>
      <x:c r="F12" s="17" t="str">
        <x:v>At least 50%</x:v>
      </x:c>
      <x:c r="G12" s="17" t="str">
        <x:v>A3–A4</x:v>
      </x:c>
      <x:c r="H12" s="17" t="str">
        <x:v>Independent RTE</x:v>
      </x:c>
      <x:c r="I12" s="17" t="str">
        <x:v>No cell-loss trial</x:v>
      </x:c>
      <x:c r="J12" s="17" t="str">
        <x:v>OPEN</x:v>
      </x:c>
    </x:row>
    <x:row r="13" ht="63" customHeight="1">
      <x:c r="C13" s="11" t="str">
        <x:v>G08</x:v>
      </x:c>
      <x:c r="D13" s="17" t="str">
        <x:v>Sealed-reserve custody breach</x:v>
      </x:c>
      <x:c r="E13" s="17" t="str">
        <x:v>Detection, isolation and surviving service</x:v>
      </x:c>
      <x:c r="F13" s="17" t="str">
        <x:v>No breached water; at least 50%</x:v>
      </x:c>
      <x:c r="G13" s="17" t="str">
        <x:v>A3–A4</x:v>
      </x:c>
      <x:c r="H13" s="17" t="str">
        <x:v>Custody authority</x:v>
      </x:c>
      <x:c r="I13" s="17" t="str">
        <x:v>Reserve unconfigured</x:v>
      </x:c>
      <x:c r="J13" s="17" t="str">
        <x:v>OPEN</x:v>
      </x:c>
    </x:row>
    <x:row r="14" ht="63" customHeight="1">
      <x:c r="C14" s="11" t="str">
        <x:v>G09</x:v>
      </x:c>
      <x:c r="D14" s="17" t="str">
        <x:v>Common consumable invalidation</x:v>
      </x:c>
      <x:c r="E14" s="17" t="str">
        <x:v>Surviving independent process chain</x:v>
      </x:c>
      <x:c r="F14" s="17" t="str">
        <x:v>At least 50%</x:v>
      </x:c>
      <x:c r="G14" s="17" t="str">
        <x:v>A3–A4</x:v>
      </x:c>
      <x:c r="H14" s="17" t="str">
        <x:v>Source quality authority</x:v>
      </x:c>
      <x:c r="I14" s="17" t="str">
        <x:v>Lineages declared only</x:v>
      </x:c>
      <x:c r="J14" s="17" t="str">
        <x:v>OPEN</x:v>
      </x:c>
    </x:row>
    <x:row r="15" ht="63" customHeight="1">
      <x:c r="C15" s="11" t="str">
        <x:v>G10</x:v>
      </x:c>
      <x:c r="D15" s="17" t="str">
        <x:v>Receiver island and source hold</x:v>
      </x:c>
      <x:c r="E15" s="17" t="str">
        <x:v>Accessible safe service</x:v>
      </x:c>
      <x:c r="F15" s="17" t="str">
        <x:v>At least 50%</x:v>
      </x:c>
      <x:c r="G15" s="17" t="str">
        <x:v>A3–A4</x:v>
      </x:c>
      <x:c r="H15" s="17" t="str">
        <x:v>Receiving command</x:v>
      </x:c>
      <x:c r="I15" s="17" t="str">
        <x:v>No compound trial</x:v>
      </x:c>
      <x:c r="J15" s="17" t="str">
        <x:v>OPEN</x:v>
      </x:c>
    </x:row>
    <x:row r="16" ht="63" customHeight="1">
      <x:c r="C16" s="11" t="str">
        <x:v>G11</x:v>
      </x:c>
      <x:c r="D16" s="17" t="str">
        <x:v>Seventy-two-hour compound hold</x:v>
      </x:c>
      <x:c r="E16" s="17" t="str">
        <x:v>Continuous safe service after reserve exhaustion</x:v>
      </x:c>
      <x:c r="F16" s="17" t="str">
        <x:v>At least 50% for 72 h</x:v>
      </x:c>
      <x:c r="G16" s="17" t="str">
        <x:v>A4</x:v>
      </x:c>
      <x:c r="H16" s="17" t="str">
        <x:v>Independent RTE</x:v>
      </x:c>
      <x:c r="I16" s="17" t="str">
        <x:v>Second source unconfigured</x:v>
      </x:c>
      <x:c r="J16" s="17" t="str">
        <x:v>OPEN</x:v>
      </x:c>
    </x:row>
    <x:row r="17" ht="63" customHeight="1">
      <x:c r="C17" s="11" t="str">
        <x:v>G12</x:v>
      </x:c>
      <x:c r="D17" s="17" t="str">
        <x:v>Negative-screen conflict</x:v>
      </x:c>
      <x:c r="E17" s="17" t="str">
        <x:v>Provenance hold remains controlling</x:v>
      </x:c>
      <x:c r="F17" s="17" t="str">
        <x:v>Zero affected-primary issue</x:v>
      </x:c>
      <x:c r="G17" s="17" t="str">
        <x:v>A2–A4</x:v>
      </x:c>
      <x:c r="H17" s="17" t="str">
        <x:v>Public-health authority</x:v>
      </x:c>
      <x:c r="I17" s="17" t="str">
        <x:v>No conflict injection</x:v>
      </x:c>
      <x:c r="J17" s="17" t="str">
        <x:v>OPEN</x:v>
      </x:c>
    </x:row>
    <x:row r="18" ht="63" customHeight="1">
      <x:c r="C18" s="11" t="str">
        <x:v>G13</x:v>
      </x:c>
      <x:c r="D18" s="17" t="str">
        <x:v>Authority expiry and replay</x:v>
      </x:c>
      <x:c r="E18" s="17" t="str">
        <x:v>Unauthorized release after expiry</x:v>
      </x:c>
      <x:c r="F18" s="17" t="str">
        <x:v>Zero</x:v>
      </x:c>
      <x:c r="G18" s="17" t="str">
        <x:v>All</x:v>
      </x:c>
      <x:c r="H18" s="17" t="str">
        <x:v>Cyber and quality authorities</x:v>
      </x:c>
      <x:c r="I18" s="17" t="str">
        <x:v>No authority-path trial</x:v>
      </x:c>
      <x:c r="J18" s="17" t="str">
        <x:v>OPEN</x:v>
      </x:c>
    </x:row>
    <x:row r="19" ht="63" customHeight="1">
      <x:c r="C19" s="11" t="str">
        <x:v>G14</x:v>
      </x:c>
      <x:c r="D19" s="17" t="str">
        <x:v>Disconnected evidence reconciliation</x:v>
      </x:c>
      <x:c r="E19" s="17" t="str">
        <x:v>Conflicting local and central records</x:v>
      </x:c>
      <x:c r="F19" s="17" t="str">
        <x:v>No silent overwrite; accountable resolution</x:v>
      </x:c>
      <x:c r="G19" s="17" t="str">
        <x:v>A2–A4</x:v>
      </x:c>
      <x:c r="H19" s="17" t="str">
        <x:v>Evidence authority</x:v>
      </x:c>
      <x:c r="I19" s="17" t="str">
        <x:v>No reconciliation trial</x:v>
      </x:c>
      <x:c r="J19" s="17" t="str">
        <x:v>OPEN</x:v>
      </x:c>
    </x:row>
    <x:row r="20" ht="63" customHeight="1">
      <x:c r="C20" s="11" t="str">
        <x:v>G15</x:v>
      </x:c>
      <x:c r="D20" s="17" t="str">
        <x:v>Public warning and substitution</x:v>
      </x:c>
      <x:c r="E20" s="17" t="str">
        <x:v>People reached, safe uses and prohibited uses understood</x:v>
      </x:c>
      <x:c r="F20" s="17" t="str">
        <x:v>Registered coverage and comprehension</x:v>
      </x:c>
      <x:c r="G20" s="17" t="str">
        <x:v>All</x:v>
      </x:c>
      <x:c r="H20" s="17" t="str">
        <x:v>Civil authority</x:v>
      </x:c>
      <x:c r="I20" s="17" t="str">
        <x:v>No occupied public trial</x:v>
      </x:c>
      <x:c r="J20" s="17" t="str">
        <x:v>OPEN</x:v>
      </x:c>
    </x:row>
    <x:row r="21" ht="63" customHeight="1">
      <x:c r="C21" s="11" t="str">
        <x:v>G16</x:v>
      </x:c>
      <x:c r="D21" s="17" t="str">
        <x:v>Recovery and second mission</x:v>
      </x:c>
      <x:c r="E21" s="17" t="str">
        <x:v>Sanitation, reserve refill, source recertification and repeat</x:v>
      </x:c>
      <x:c r="F21" s="17" t="str">
        <x:v>Second mission passes</x:v>
      </x:c>
      <x:c r="G21" s="17" t="str">
        <x:v>All</x:v>
      </x:c>
      <x:c r="H21" s="17" t="str">
        <x:v>Generating and receiving commands</x:v>
      </x:c>
      <x:c r="I21" s="17" t="str">
        <x:v>No regeneration trial</x:v>
      </x:c>
      <x:c r="J21" s="17" t="str">
        <x:v>OPEN</x:v>
      </x:c>
    </x:row>
    <x:row r="22" ht="63" customHeight="1">
      <x:c r="C22" s="11" t="str">
        <x:v>G17</x:v>
      </x:c>
      <x:c r="D22" s="17" t="str">
        <x:v>Rendering release</x:v>
      </x:c>
      <x:c r="E22" s="17" t="str">
        <x:v>R3 physics and representative assurance evidence</x:v>
      </x:c>
      <x:c r="F22" s="17" t="str">
        <x:v>All core gates pass</x:v>
      </x:c>
      <x:c r="G22" s="17" t="str">
        <x:v>Selected architecture</x:v>
      </x:c>
      <x:c r="H22" s="17" t="str">
        <x:v>Independent RTE</x:v>
      </x:c>
      <x:c r="I22" s="17" t="str">
        <x:v>Zero gates passed</x:v>
      </x:c>
      <x:c r="J22" s="17" t="str">
        <x:v>BLOCKED</x:v>
      </x:c>
    </x:row>
  </x:sheetData>
  <x:conditionalFormatting sqref="J6:J22">
    <x:cfRule type="containsText" dxfId="45" priority="1" operator="containsText" text="FAIL"/>
    <x:cfRule type="containsText" dxfId="46" priority="2" operator="containsText" text="DENIED"/>
    <x:cfRule type="containsText" dxfId="47" priority="3" operator="containsText" text="BLOCKED"/>
    <x:cfRule type="containsText" dxfId="48" priority="4" operator="containsText" text="UNSAFE"/>
    <x:cfRule type="containsText" dxfId="49" priority="5" operator="containsText" text="OPEN"/>
    <x:cfRule type="containsText" dxfId="50" priority="6" operator="containsText" text="UNTESTED"/>
    <x:cfRule type="containsText" dxfId="51" priority="7" operator="containsText" text="DECLARED"/>
    <x:cfRule type="containsText" dxfId="52" priority="8" operator="containsText" text="PASS"/>
    <x:cfRule type="containsText" dxfId="53" priority="9" operator="containsText" text="SAFE STOP"/>
  </x:conditionalFormatting>
  <x:pageMargins left="0.7" right="0.7" top="0.75" bottom="0.75" header="0.3" footer="0.3"/>
  <x:tableParts count="1">
    <x:tablePart xmlns:r="http://schemas.openxmlformats.org/officeDocument/2006/relationships" r:id="R418ad402b60b4cb0"/>
  </x:tableParts>
</x:worksheet>
</file>

<file path=xl/worksheets/sheet8.xml><?xml version="1.0" encoding="utf-8"?>
<x:worksheet xmlns:x="http://schemas.openxmlformats.org/spreadsheetml/2006/main">
  <x:sheetPr>
    <x:tabColor rgb="FF5C687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31" hidden="0" customWidth="1"/>
    <x:col min="4" max="4" width="58" hidden="0" customWidth="1"/>
    <x:col min="5" max="5" width="50" hidden="0" customWidth="1"/>
    <x:col min="6" max="6" width="45" hidden="0" customWidth="1"/>
    <x:col min="7" max="7" width="37" hidden="0" customWidth="1"/>
    <x:col min="8" max="8" width="18" hidden="0" customWidth="1"/>
  </x:cols>
  <x:sheetData>
    <x:row r="2">
      <x:c r="C2" s="2" t="str">
        <x:v>Repository authorities and claim limits</x:v>
      </x:c>
      <x:c r="D2" s="1"/>
      <x:c r="E2" s="1"/>
      <x:c r="F2" s="1"/>
      <x:c r="G2" s="1"/>
      <x:c r="H2" s="1"/>
      <x:c r="I2" s="1"/>
      <x:c r="J2" s="1"/>
    </x:row>
    <x:row r="3">
      <x:c r="C3" s="3" t="str">
        <x:v>Pass 67 uses committed internal research. It derives an assurance architecture without claiming contaminant coverage, source independence, custody performance or public-health release.</x:v>
      </x:c>
      <x:c r="D3" s="3"/>
      <x:c r="E3" s="3"/>
      <x:c r="F3" s="3"/>
      <x:c r="G3" s="3"/>
      <x:c r="H3" s="3"/>
      <x:c r="I3" s="3"/>
      <x:c r="J3" s="3"/>
    </x:row>
    <x:row r="5">
      <x:c r="C5" s="9" t="str">
        <x:v>Source</x:v>
      </x:c>
      <x:c r="D5" s="9" t="str">
        <x:v>Repository authority</x:v>
      </x:c>
      <x:c r="E5" s="9" t="str">
        <x:v>Use</x:v>
      </x:c>
      <x:c r="F5" s="9" t="str">
        <x:v>Treatment</x:v>
      </x:c>
      <x:c r="G5" s="9" t="str">
        <x:v>Boundary</x:v>
      </x:c>
    </x:row>
    <x:row r="6" ht="65" customHeight="1">
      <x:c r="C6" s="11" t="str">
        <x:v>S01</x:v>
      </x:c>
      <x:c r="D6" s="17" t="str">
        <x:v>research/force/projection/wrg-fr10-federated-receiver-architecture.md</x:v>
      </x:c>
      <x:c r="E6" s="17" t="str">
        <x:v>Unknown-agent safe stop, receiver islands and next decision requirement</x:v>
      </x:c>
      <x:c r="F6" s="17" t="str">
        <x:v>Immediate predecessor</x:v>
      </x:c>
      <x:c r="G6" s="17" t="str">
        <x:v>Declared receiver screens only</x:v>
      </x:c>
    </x:row>
    <x:row r="7" ht="65" customHeight="1">
      <x:c r="C7" s="11" t="str">
        <x:v>S02</x:v>
      </x:c>
      <x:c r="D7" s="17" t="str">
        <x:v>models/force/projection/wrg-fr10-federated-receiver-architecture.xlsx</x:v>
      </x:c>
      <x:c r="E7" s="17" t="str">
        <x:v>R4 mass, program and half-demand source controls</x:v>
      </x:c>
      <x:c r="F7" s="17" t="str">
        <x:v>Committed source workbook</x:v>
      </x:c>
      <x:c r="G7" s="17" t="str">
        <x:v>No representative hardware</x:v>
      </x:c>
    </x:row>
    <x:row r="8" ht="65" customHeight="1">
      <x:c r="C8" s="11" t="str">
        <x:v>S03</x:v>
      </x:c>
      <x:c r="D8" s="17" t="str">
        <x:v>research/systems/water/force-engineering.md</x:v>
      </x:c>
      <x:c r="E8" s="17" t="str">
        <x:v>Quality release, mobile laboratories, source envelope and safe degraded modes</x:v>
      </x:c>
      <x:c r="F8" s="17" t="str">
        <x:v>Mission-system authority</x:v>
      </x:c>
      <x:c r="G8" s="17" t="str">
        <x:v>No unknown-agent assurance doctrine</x:v>
      </x:c>
    </x:row>
    <x:row r="9" ht="65" customHeight="1">
      <x:c r="C9" s="11" t="str">
        <x:v>S04</x:v>
      </x:c>
      <x:c r="D9" s="17" t="str">
        <x:v>research/systems/water/resilience-utility-anchors.md</x:v>
      </x:c>
      <x:c r="E9" s="17" t="str">
        <x:v>Landing, quality, residual, civil compact and independent release</x:v>
      </x:c>
      <x:c r="F9" s="17" t="str">
        <x:v>Prepared-interface authority</x:v>
      </x:c>
      <x:c r="G9" s="17" t="str">
        <x:v>No first-reach release configuration</x:v>
      </x:c>
    </x:row>
    <x:row r="10" ht="65" customHeight="1">
      <x:c r="C10" s="11" t="str">
        <x:v>S05</x:v>
      </x:c>
      <x:c r="D10" s="17" t="str">
        <x:v>research/systems/common-technical-architecture.md</x:v>
      </x:c>
      <x:c r="E10" s="17" t="str">
        <x:v>Authority classes, separations, offline operation and evidence custody</x:v>
      </x:c>
      <x:c r="F10" s="17" t="str">
        <x:v>Common technical authority</x:v>
      </x:c>
      <x:c r="G10" s="17" t="str">
        <x:v>No water-specific assurance class</x:v>
      </x:c>
    </x:row>
    <x:row r="11" ht="65" customHeight="1">
      <x:c r="C11" s="11" t="str">
        <x:v>S06</x:v>
      </x:c>
      <x:c r="D11" s="17" t="str">
        <x:v>research/mandate/department-of-resilience.md</x:v>
      </x:c>
      <x:c r="E11" s="17" t="str">
        <x:v>Independent RTE and public-assurance institutions</x:v>
      </x:c>
      <x:c r="F11" s="17" t="str">
        <x:v>Institutional authority</x:v>
      </x:c>
      <x:c r="G11" s="17" t="str">
        <x:v>Organization cannot prove safety</x:v>
      </x:c>
    </x:row>
    <x:row r="16">
      <x:c r="C16" s="9" t="str">
        <x:v>Claim</x:v>
      </x:c>
      <x:c r="D16" s="9" t="str">
        <x:v>Permitted conclusion</x:v>
      </x:c>
      <x:c r="E16" s="9" t="str">
        <x:v>Prohibited conclusion</x:v>
      </x:c>
      <x:c r="F16" s="9" t="str">
        <x:v>Required successor</x:v>
      </x:c>
      <x:c r="G16" s="9" t="str">
        <x:v>Authority</x:v>
      </x:c>
      <x:c r="H16" s="9" t="str">
        <x:v>State</x:v>
      </x:c>
    </x:row>
    <x:row r="17" ht="70" customHeight="1">
      <x:c r="C17" s="11" t="str">
        <x:v>Field-negative screen</x:v>
      </x:c>
      <x:c r="D17" s="17" t="str">
        <x:v>Validated targets were not observed above stated limits</x:v>
      </x:c>
      <x:c r="E17" s="17" t="str">
        <x:v>Unknown water is safe</x:v>
      </x:c>
      <x:c r="F17" s="17" t="str">
        <x:v>Open-world blind challenge</x:v>
      </x:c>
      <x:c r="G17" s="17" t="str">
        <x:v>Independent RTE</x:v>
      </x:c>
      <x:c r="H17" s="17" t="str">
        <x:v>DENIED</x:v>
      </x:c>
    </x:row>
    <x:row r="18" ht="70" customHeight="1">
      <x:c r="C18" s="11" t="str">
        <x:v>Assured provenance</x:v>
      </x:c>
      <x:c r="D18" s="17" t="str">
        <x:v>A complete independent source merits test</x:v>
      </x:c>
      <x:c r="E18" s="17" t="str">
        <x:v>Source chains are independent</x:v>
      </x:c>
      <x:c r="F18" s="17" t="str">
        <x:v>Seed shared intake, process, power, residual and custody loss</x:v>
      </x:c>
      <x:c r="G18" s="17" t="str">
        <x:v>Mission assurance</x:v>
      </x:c>
      <x:c r="H18" s="17" t="str">
        <x:v>OPEN</x:v>
      </x:c>
    </x:row>
    <x:row r="19" ht="70" customHeight="1">
      <x:c r="C19" s="11" t="str">
        <x:v>Sealed reserve</x:v>
      </x:c>
      <x:c r="D19" s="17" t="str">
        <x:v>Intact inventory can bridge a bounded hold</x:v>
      </x:c>
      <x:c r="E19" s="17" t="str">
        <x:v>Stored water remains safe or sufficient</x:v>
      </x:c>
      <x:c r="F19" s="17" t="str">
        <x:v>Turnover, seal breach and endurance trial</x:v>
      </x:c>
      <x:c r="G19" s="17" t="str">
        <x:v>Custody authority</x:v>
      </x:c>
      <x:c r="H19" s="17" t="str">
        <x:v>OPEN</x:v>
      </x:c>
    </x:row>
    <x:row r="20" ht="70" customHeight="1">
      <x:c r="C20" s="11" t="str">
        <x:v>Local release</x:v>
      </x:c>
      <x:c r="D20" s="17" t="str">
        <x:v>Central loss need not stop a preauthorized class</x:v>
      </x:c>
      <x:c r="E20" s="17" t="str">
        <x:v>Local operators may expand the release envelope</x:v>
      </x:c>
      <x:c r="F20" s="17" t="str">
        <x:v>Offline authority and reconciliation trial</x:v>
      </x:c>
      <x:c r="G20" s="17" t="str">
        <x:v>Public-health authority</x:v>
      </x:c>
      <x:c r="H20" s="17" t="str">
        <x:v>DENIED</x:v>
      </x:c>
    </x:row>
    <x:row r="21" ht="70" customHeight="1">
      <x:c r="C21" s="11" t="str">
        <x:v>A4 score</x:v>
      </x:c>
      <x:c r="D21" s="17" t="str">
        <x:v>Dual continuous provenance merits representative test</x:v>
      </x:c>
      <x:c r="E21" s="17" t="str">
        <x:v>A4 is selected</x:v>
      </x:c>
      <x:c r="F21" s="17" t="str">
        <x:v>Configure and challenge both source chains</x:v>
      </x:c>
      <x:c r="G21" s="17" t="str">
        <x:v>Acquisition executive</x:v>
      </x:c>
      <x:c r="H21" s="17" t="str">
        <x:v>DENIED</x:v>
      </x:c>
    </x:row>
    <x:row r="22" ht="70" customHeight="1">
      <x:c r="C22" s="11" t="str">
        <x:v>Universal stop</x:v>
      </x:c>
      <x:c r="D22" s="17" t="str">
        <x:v>A safe architecture retains a no-issue state</x:v>
      </x:c>
      <x:c r="E22" s="17" t="str">
        <x:v>The service metric can waive it</x:v>
      </x:c>
      <x:c r="F22" s="17" t="str">
        <x:v>Bounded recovery and public decision protocol</x:v>
      </x:c>
      <x:c r="G22" s="17" t="str">
        <x:v>National public-health authority</x:v>
      </x:c>
      <x:c r="H22" s="17" t="str">
        <x:v>SAFE STOP</x:v>
      </x:c>
    </x:row>
    <x:row r="23" ht="70" customHeight="1">
      <x:c r="C23" s="11" t="str">
        <x:v>Rendering</x:v>
      </x:c>
      <x:c r="D23" s="17" t="str">
        <x:v>None</x:v>
      </x:c>
      <x:c r="E23" s="17" t="str">
        <x:v>Depict the assurance system as mature</x:v>
      </x:c>
      <x:c r="F23" s="17" t="str">
        <x:v>Pass G17</x:v>
      </x:c>
      <x:c r="G23" s="17" t="str">
        <x:v>Independent RTE</x:v>
      </x:c>
      <x:c r="H23" s="17" t="str">
        <x:v>BLOCKED</x:v>
      </x:c>
    </x:row>
  </x:sheetData>
  <x:conditionalFormatting sqref="H17:H23">
    <x:cfRule type="containsText" dxfId="54" priority="1" operator="containsText" text="FAIL"/>
    <x:cfRule type="containsText" dxfId="55" priority="2" operator="containsText" text="DENIED"/>
    <x:cfRule type="containsText" dxfId="56" priority="3" operator="containsText" text="BLOCKED"/>
    <x:cfRule type="containsText" dxfId="57" priority="4" operator="containsText" text="UNSAFE"/>
    <x:cfRule type="containsText" dxfId="58" priority="5" operator="containsText" text="OPEN"/>
    <x:cfRule type="containsText" dxfId="59" priority="6" operator="containsText" text="UNTESTED"/>
    <x:cfRule type="containsText" dxfId="60" priority="7" operator="containsText" text="DECLARED"/>
    <x:cfRule type="containsText" dxfId="61" priority="8" operator="containsText" text="PASS"/>
    <x:cfRule type="containsText" dxfId="62" priority="9" operator="containsText" text="SAFE STOP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65507C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46" hidden="0" customWidth="1"/>
    <x:col min="4" max="4" width="23" hidden="0" customWidth="1"/>
    <x:col min="5" max="5" width="23" hidden="0" customWidth="1"/>
    <x:col min="6" max="6" width="21" hidden="0" customWidth="1"/>
    <x:col min="7" max="7" width="18" hidden="0" customWidth="1"/>
    <x:col min="8" max="8" width="16" hidden="0" customWidth="1"/>
  </x:cols>
  <x:sheetData>
    <x:row r="2">
      <x:c r="C2" s="2" t="str">
        <x:v>Model integrity</x:v>
      </x:c>
      <x:c r="D2" s="1"/>
      <x:c r="E2" s="1"/>
      <x:c r="F2" s="1"/>
      <x:c r="G2" s="1"/>
      <x:c r="H2" s="1"/>
      <x:c r="I2" s="1"/>
      <x:c r="J2" s="1"/>
    </x:row>
    <x:row r="3">
      <x:c r="C3" s="3" t="str">
        <x:v>Terminal checks observe architecture, release, safety, continuity, mass and program calculations. No upstream result depends on this sheet.</x:v>
      </x:c>
      <x:c r="D3" s="3"/>
      <x:c r="E3" s="3"/>
      <x:c r="F3" s="3"/>
      <x:c r="G3" s="3"/>
      <x:c r="H3" s="3"/>
      <x:c r="I3" s="3"/>
      <x:c r="J3" s="3"/>
    </x:row>
    <x:row r="5">
      <x:c r="C5" s="9" t="str">
        <x:v>Check</x:v>
      </x:c>
      <x:c r="D5" s="9" t="str">
        <x:v>Observed</x:v>
      </x:c>
      <x:c r="E5" s="9" t="str">
        <x:v>Expected</x:v>
      </x:c>
      <x:c r="F5" s="9" t="str">
        <x:v>Difference</x:v>
      </x:c>
      <x:c r="G5" s="9" t="str">
        <x:v>Tolerance</x:v>
      </x:c>
      <x:c r="H5" s="9" t="str">
        <x:v>Result</x:v>
      </x:c>
    </x:row>
    <x:row r="6" ht="30" customHeight="1">
      <x:c r="C6" s="11" t="str">
        <x:v>Architecture rows</x:v>
      </x:c>
      <x:c r="D6" s="29" t="n">
        <x:f>ROWS('02 Architectures'!C6:C9)</x:f>
        <x:v>4</x:v>
      </x:c>
      <x:c r="E6" s="29" t="n">
        <x:v>4</x:v>
      </x:c>
      <x:c r="F6" s="29" t="n">
        <x:f>IF(AND(ISNUMBER(D6),ISNUMBER(E6)),D6-E6,"n.a.")</x:f>
        <x:v>0</x:v>
      </x:c>
      <x:c r="G6" s="29" t="n">
        <x:v>0</x:v>
      </x:c>
      <x:c r="H6" s="11" t="str">
        <x:f>IF(AND(ISNUMBER(D6),ISNUMBER(E6),ABS(D6-E6)&lt;=G6),"PASS","FAIL")</x:f>
        <x:v>PASS</x:v>
      </x:c>
    </x:row>
    <x:row r="7" ht="30" customHeight="1">
      <x:c r="C7" s="11" t="str">
        <x:v>Failure worlds</x:v>
      </x:c>
      <x:c r="D7" s="29" t="n">
        <x:f>ROWS('03 Failure Worlds'!C6:C17)</x:f>
        <x:v>12</x:v>
      </x:c>
      <x:c r="E7" s="29" t="n">
        <x:v>12</x:v>
      </x:c>
      <x:c r="F7" s="29" t="n">
        <x:f>IF(AND(ISNUMBER(D7),ISNUMBER(E7)),D7-E7,"n.a.")</x:f>
        <x:v>0</x:v>
      </x:c>
      <x:c r="G7" s="29" t="n">
        <x:v>0</x:v>
      </x:c>
      <x:c r="H7" s="11" t="str">
        <x:f>IF(AND(ISNUMBER(D7),ISNUMBER(E7),ABS(D7-E7)&lt;=G7),"PASS","FAIL")</x:f>
        <x:v>PASS</x:v>
      </x:c>
    </x:row>
    <x:row r="8" ht="30" customHeight="1">
      <x:c r="C8" s="11" t="str">
        <x:v>Failure result rows</x:v>
      </x:c>
      <x:c r="D8" s="29" t="n">
        <x:f>ROWS('03 Failure Worlds'!C20:C67)</x:f>
        <x:v>48</x:v>
      </x:c>
      <x:c r="E8" s="29" t="n">
        <x:v>48</x:v>
      </x:c>
      <x:c r="F8" s="29" t="n">
        <x:f>IF(AND(ISNUMBER(D8),ISNUMBER(E8)),D8-E8,"n.a.")</x:f>
        <x:v>0</x:v>
      </x:c>
      <x:c r="G8" s="29" t="n">
        <x:v>0</x:v>
      </x:c>
      <x:c r="H8" s="11" t="str">
        <x:f>IF(AND(ISNUMBER(D8),ISNUMBER(E8),ABS(D8-E8)&lt;=G8),"PASS","FAIL")</x:f>
        <x:v>PASS</x:v>
      </x:c>
    </x:row>
    <x:row r="9" ht="30" customHeight="1">
      <x:c r="C9" s="11" t="str">
        <x:v>A1 safety worlds</x:v>
      </x:c>
      <x:c r="D9" s="29" t="n">
        <x:f>'02 Architectures'!AB6</x:f>
        <x:v>12</x:v>
      </x:c>
      <x:c r="E9" s="29" t="n">
        <x:v>12</x:v>
      </x:c>
      <x:c r="F9" s="29" t="n">
        <x:f>IF(AND(ISNUMBER(D9),ISNUMBER(E9)),D9-E9,"n.a.")</x:f>
        <x:v>0</x:v>
      </x:c>
      <x:c r="G9" s="29" t="n">
        <x:v>0</x:v>
      </x:c>
      <x:c r="H9" s="11" t="str">
        <x:f>IF(AND(ISNUMBER(D9),ISNUMBER(E9),ABS(D9-E9)&lt;=G9),"PASS","FAIL")</x:f>
        <x:v>PASS</x:v>
      </x:c>
    </x:row>
    <x:row r="10" ht="30" customHeight="1">
      <x:c r="C10" s="11" t="str">
        <x:v>A2 safety worlds</x:v>
      </x:c>
      <x:c r="D10" s="29" t="n">
        <x:f>'02 Architectures'!AB7</x:f>
        <x:v>5</x:v>
      </x:c>
      <x:c r="E10" s="29" t="n">
        <x:v>5</x:v>
      </x:c>
      <x:c r="F10" s="29" t="n">
        <x:f>IF(AND(ISNUMBER(D10),ISNUMBER(E10)),D10-E10,"n.a.")</x:f>
        <x:v>0</x:v>
      </x:c>
      <x:c r="G10" s="29" t="n">
        <x:v>0</x:v>
      </x:c>
      <x:c r="H10" s="11" t="str">
        <x:f>IF(AND(ISNUMBER(D10),ISNUMBER(E10),ABS(D10-E10)&lt;=G10),"PASS","FAIL")</x:f>
        <x:v>PASS</x:v>
      </x:c>
    </x:row>
    <x:row r="11" ht="30" customHeight="1">
      <x:c r="C11" s="11" t="str">
        <x:v>A3 safety worlds</x:v>
      </x:c>
      <x:c r="D11" s="29" t="n">
        <x:f>'02 Architectures'!AB8</x:f>
        <x:v>12</x:v>
      </x:c>
      <x:c r="E11" s="29" t="n">
        <x:v>12</x:v>
      </x:c>
      <x:c r="F11" s="29" t="n">
        <x:f>IF(AND(ISNUMBER(D11),ISNUMBER(E11)),D11-E11,"n.a.")</x:f>
        <x:v>0</x:v>
      </x:c>
      <x:c r="G11" s="29" t="n">
        <x:v>0</x:v>
      </x:c>
      <x:c r="H11" s="11" t="str">
        <x:f>IF(AND(ISNUMBER(D11),ISNUMBER(E11),ABS(D11-E11)&lt;=G11),"PASS","FAIL")</x:f>
        <x:v>PASS</x:v>
      </x:c>
    </x:row>
    <x:row r="12" ht="30" customHeight="1">
      <x:c r="C12" s="11" t="str">
        <x:v>A4 safety worlds</x:v>
      </x:c>
      <x:c r="D12" s="29" t="n">
        <x:f>'02 Architectures'!AB9</x:f>
        <x:v>12</x:v>
      </x:c>
      <x:c r="E12" s="29" t="n">
        <x:v>12</x:v>
      </x:c>
      <x:c r="F12" s="29" t="n">
        <x:f>IF(AND(ISNUMBER(D12),ISNUMBER(E12)),D12-E12,"n.a.")</x:f>
        <x:v>0</x:v>
      </x:c>
      <x:c r="G12" s="29" t="n">
        <x:v>0</x:v>
      </x:c>
      <x:c r="H12" s="11" t="str">
        <x:f>IF(AND(ISNUMBER(D12),ISNUMBER(E12),ABS(D12-E12)&lt;=G12),"PASS","FAIL")</x:f>
        <x:v>PASS</x:v>
      </x:c>
    </x:row>
    <x:row r="13" ht="30" customHeight="1">
      <x:c r="C13" s="11" t="str">
        <x:v>A1 continuity worlds</x:v>
      </x:c>
      <x:c r="D13" s="29" t="n">
        <x:f>'02 Architectures'!AC6</x:f>
        <x:v>2</x:v>
      </x:c>
      <x:c r="E13" s="29" t="n">
        <x:v>2</x:v>
      </x:c>
      <x:c r="F13" s="29" t="n">
        <x:f>IF(AND(ISNUMBER(D13),ISNUMBER(E13)),D13-E13,"n.a.")</x:f>
        <x:v>0</x:v>
      </x:c>
      <x:c r="G13" s="29" t="n">
        <x:v>0</x:v>
      </x:c>
      <x:c r="H13" s="11" t="str">
        <x:f>IF(AND(ISNUMBER(D13),ISNUMBER(E13),ABS(D13-E13)&lt;=G13),"PASS","FAIL")</x:f>
        <x:v>PASS</x:v>
      </x:c>
    </x:row>
    <x:row r="14" ht="30" customHeight="1">
      <x:c r="C14" s="11" t="str">
        <x:v>A2 continuity worlds</x:v>
      </x:c>
      <x:c r="D14" s="29" t="n">
        <x:f>'02 Architectures'!AC7</x:f>
        <x:v>3</x:v>
      </x:c>
      <x:c r="E14" s="29" t="n">
        <x:v>3</x:v>
      </x:c>
      <x:c r="F14" s="29" t="n">
        <x:f>IF(AND(ISNUMBER(D14),ISNUMBER(E14)),D14-E14,"n.a.")</x:f>
        <x:v>0</x:v>
      </x:c>
      <x:c r="G14" s="29" t="n">
        <x:v>0</x:v>
      </x:c>
      <x:c r="H14" s="11" t="str">
        <x:f>IF(AND(ISNUMBER(D14),ISNUMBER(E14),ABS(D14-E14)&lt;=G14),"PASS","FAIL")</x:f>
        <x:v>PASS</x:v>
      </x:c>
    </x:row>
    <x:row r="15" ht="30" customHeight="1">
      <x:c r="C15" s="11" t="str">
        <x:v>A3 continuity worlds</x:v>
      </x:c>
      <x:c r="D15" s="29" t="n">
        <x:f>'02 Architectures'!AC8</x:f>
        <x:v>10</x:v>
      </x:c>
      <x:c r="E15" s="29" t="n">
        <x:v>10</x:v>
      </x:c>
      <x:c r="F15" s="29" t="n">
        <x:f>IF(AND(ISNUMBER(D15),ISNUMBER(E15)),D15-E15,"n.a.")</x:f>
        <x:v>0</x:v>
      </x:c>
      <x:c r="G15" s="29" t="n">
        <x:v>0</x:v>
      </x:c>
      <x:c r="H15" s="11" t="str">
        <x:f>IF(AND(ISNUMBER(D15),ISNUMBER(E15),ABS(D15-E15)&lt;=G15),"PASS","FAIL")</x:f>
        <x:v>PASS</x:v>
      </x:c>
    </x:row>
    <x:row r="16" ht="30" customHeight="1">
      <x:c r="C16" s="11" t="str">
        <x:v>A4 continuity worlds</x:v>
      </x:c>
      <x:c r="D16" s="29" t="n">
        <x:f>'02 Architectures'!AC9</x:f>
        <x:v>11</x:v>
      </x:c>
      <x:c r="E16" s="29" t="n">
        <x:v>11</x:v>
      </x:c>
      <x:c r="F16" s="29" t="n">
        <x:f>IF(AND(ISNUMBER(D16),ISNUMBER(E16)),D16-E16,"n.a.")</x:f>
        <x:v>0</x:v>
      </x:c>
      <x:c r="G16" s="29" t="n">
        <x:v>0</x:v>
      </x:c>
      <x:c r="H16" s="11" t="str">
        <x:f>IF(AND(ISNUMBER(D16),ISNUMBER(E16),ABS(D16-E16)&lt;=G16),"PASS","FAIL")</x:f>
        <x:v>PASS</x:v>
      </x:c>
    </x:row>
    <x:row r="17" ht="30" customHeight="1">
      <x:c r="C17" s="11" t="str">
        <x:v>A1 declared passes</x:v>
      </x:c>
      <x:c r="D17" s="29" t="n">
        <x:f>'02 Architectures'!AD6</x:f>
        <x:v>2</x:v>
      </x:c>
      <x:c r="E17" s="29" t="n">
        <x:v>2</x:v>
      </x:c>
      <x:c r="F17" s="29" t="n">
        <x:f>IF(AND(ISNUMBER(D17),ISNUMBER(E17)),D17-E17,"n.a.")</x:f>
        <x:v>0</x:v>
      </x:c>
      <x:c r="G17" s="29" t="n">
        <x:v>0</x:v>
      </x:c>
      <x:c r="H17" s="11" t="str">
        <x:f>IF(AND(ISNUMBER(D17),ISNUMBER(E17),ABS(D17-E17)&lt;=G17),"PASS","FAIL")</x:f>
        <x:v>PASS</x:v>
      </x:c>
    </x:row>
    <x:row r="18" ht="30" customHeight="1">
      <x:c r="C18" s="11" t="str">
        <x:v>A2 declared passes</x:v>
      </x:c>
      <x:c r="D18" s="29" t="n">
        <x:f>'02 Architectures'!AD7</x:f>
        <x:v>3</x:v>
      </x:c>
      <x:c r="E18" s="29" t="n">
        <x:v>3</x:v>
      </x:c>
      <x:c r="F18" s="29" t="n">
        <x:f>IF(AND(ISNUMBER(D18),ISNUMBER(E18)),D18-E18,"n.a.")</x:f>
        <x:v>0</x:v>
      </x:c>
      <x:c r="G18" s="29" t="n">
        <x:v>0</x:v>
      </x:c>
      <x:c r="H18" s="11" t="str">
        <x:f>IF(AND(ISNUMBER(D18),ISNUMBER(E18),ABS(D18-E18)&lt;=G18),"PASS","FAIL")</x:f>
        <x:v>PASS</x:v>
      </x:c>
    </x:row>
    <x:row r="19" ht="30" customHeight="1">
      <x:c r="C19" s="11" t="str">
        <x:v>A3 declared passes</x:v>
      </x:c>
      <x:c r="D19" s="29" t="n">
        <x:f>'02 Architectures'!AD8</x:f>
        <x:v>10</x:v>
      </x:c>
      <x:c r="E19" s="29" t="n">
        <x:v>10</x:v>
      </x:c>
      <x:c r="F19" s="29" t="n">
        <x:f>IF(AND(ISNUMBER(D19),ISNUMBER(E19)),D19-E19,"n.a.")</x:f>
        <x:v>0</x:v>
      </x:c>
      <x:c r="G19" s="29" t="n">
        <x:v>0</x:v>
      </x:c>
      <x:c r="H19" s="11" t="str">
        <x:f>IF(AND(ISNUMBER(D19),ISNUMBER(E19),ABS(D19-E19)&lt;=G19),"PASS","FAIL")</x:f>
        <x:v>PASS</x:v>
      </x:c>
    </x:row>
    <x:row r="20" ht="30" customHeight="1">
      <x:c r="C20" s="11" t="str">
        <x:v>A4 declared passes</x:v>
      </x:c>
      <x:c r="D20" s="29" t="n">
        <x:f>'02 Architectures'!AD9</x:f>
        <x:v>11</x:v>
      </x:c>
      <x:c r="E20" s="29" t="n">
        <x:v>11</x:v>
      </x:c>
      <x:c r="F20" s="29" t="n">
        <x:f>IF(AND(ISNUMBER(D20),ISNUMBER(E20)),D20-E20,"n.a.")</x:f>
        <x:v>0</x:v>
      </x:c>
      <x:c r="G20" s="29" t="n">
        <x:v>0</x:v>
      </x:c>
      <x:c r="H20" s="11" t="str">
        <x:f>IF(AND(ISNUMBER(D20),ISNUMBER(E20),ABS(D20-E20)&lt;=G20),"PASS","FAIL")</x:f>
        <x:v>PASS</x:v>
      </x:c>
    </x:row>
    <x:row r="21" ht="30" customHeight="1">
      <x:c r="C21" s="11" t="str">
        <x:v>A2 unsafe worlds</x:v>
      </x:c>
      <x:c r="D21" s="29" t="n">
        <x:f>'02 Architectures'!AE7</x:f>
        <x:v>7</x:v>
      </x:c>
      <x:c r="E21" s="29" t="n">
        <x:v>7</x:v>
      </x:c>
      <x:c r="F21" s="29" t="n">
        <x:f>IF(AND(ISNUMBER(D21),ISNUMBER(E21)),D21-E21,"n.a.")</x:f>
        <x:v>0</x:v>
      </x:c>
      <x:c r="G21" s="29" t="n">
        <x:v>0</x:v>
      </x:c>
      <x:c r="H21" s="11" t="str">
        <x:f>IF(AND(ISNUMBER(D21),ISNUMBER(E21),ABS(D21-E21)&lt;=G21),"PASS","FAIL")</x:f>
        <x:v>PASS</x:v>
      </x:c>
    </x:row>
    <x:row r="22" ht="30" customHeight="1">
      <x:c r="C22" s="11" t="str">
        <x:v>Safe stops</x:v>
      </x:c>
      <x:c r="D22" s="29" t="n">
        <x:f>SUM('02 Architectures'!AF6:AF9)</x:f>
        <x:v>4</x:v>
      </x:c>
      <x:c r="E22" s="29" t="n">
        <x:v>4</x:v>
      </x:c>
      <x:c r="F22" s="29" t="n">
        <x:f>IF(AND(ISNUMBER(D22),ISNUMBER(E22)),D22-E22,"n.a.")</x:f>
        <x:v>0</x:v>
      </x:c>
      <x:c r="G22" s="29" t="n">
        <x:v>0</x:v>
      </x:c>
      <x:c r="H22" s="11" t="str">
        <x:f>IF(AND(ISNUMBER(D22),ISNUMBER(E22),ABS(D22-E22)&lt;=G22),"PASS","FAIL")</x:f>
        <x:v>PASS</x:v>
      </x:c>
    </x:row>
    <x:row r="23" ht="30" customHeight="1">
      <x:c r="C23" s="11" t="str">
        <x:v>A2 W3 unsafe issue</x:v>
      </x:c>
      <x:c r="D23" s="29" t="n">
        <x:f>'03 Failure Worlds'!G34</x:f>
        <x:v>1</x:v>
      </x:c>
      <x:c r="E23" s="29" t="n">
        <x:v>1</x:v>
      </x:c>
      <x:c r="F23" s="29" t="n">
        <x:f>IF(AND(ISNUMBER(D23),ISNUMBER(E23)),D23-E23,"n.a.")</x:f>
        <x:v>0</x:v>
      </x:c>
      <x:c r="G23" s="29" t="n">
        <x:v>0.000001</x:v>
      </x:c>
      <x:c r="H23" s="11" t="str">
        <x:f>IF(AND(ISNUMBER(D23),ISNUMBER(E23),ABS(D23-E23)&lt;=G23),"PASS","FAIL")</x:f>
        <x:v>PASS</x:v>
      </x:c>
    </x:row>
    <x:row r="24" ht="30" customHeight="1">
      <x:c r="C24" s="11" t="str">
        <x:v>A3 W3 safe service</x:v>
      </x:c>
      <x:c r="D24" s="29" t="n">
        <x:f>'03 Failure Worlds'!L46</x:f>
        <x:v>1</x:v>
      </x:c>
      <x:c r="E24" s="29" t="n">
        <x:v>1</x:v>
      </x:c>
      <x:c r="F24" s="29" t="n">
        <x:f>IF(AND(ISNUMBER(D24),ISNUMBER(E24)),D24-E24,"n.a.")</x:f>
        <x:v>0</x:v>
      </x:c>
      <x:c r="G24" s="29" t="n">
        <x:v>0.000001</x:v>
      </x:c>
      <x:c r="H24" s="11" t="str">
        <x:f>IF(AND(ISNUMBER(D24),ISNUMBER(E24),ABS(D24-E24)&lt;=G24),"PASS","FAIL")</x:f>
        <x:v>PASS</x:v>
      </x:c>
    </x:row>
    <x:row r="25" ht="30" customHeight="1">
      <x:c r="C25" s="11" t="str">
        <x:v>A3 W7 safe service</x:v>
      </x:c>
      <x:c r="D25" s="29" t="n">
        <x:f>'03 Failure Worlds'!L50</x:f>
        <x:v>0.5</x:v>
      </x:c>
      <x:c r="E25" s="29" t="n">
        <x:v>0.5</x:v>
      </x:c>
      <x:c r="F25" s="29" t="n">
        <x:f>IF(AND(ISNUMBER(D25),ISNUMBER(E25)),D25-E25,"n.a.")</x:f>
        <x:v>0</x:v>
      </x:c>
      <x:c r="G25" s="29" t="n">
        <x:v>0.000001</x:v>
      </x:c>
      <x:c r="H25" s="11" t="str">
        <x:f>IF(AND(ISNUMBER(D25),ISNUMBER(E25),ABS(D25-E25)&lt;=G25),"PASS","FAIL")</x:f>
        <x:v>PASS</x:v>
      </x:c>
    </x:row>
    <x:row r="26" ht="30" customHeight="1">
      <x:c r="C26" s="11" t="str">
        <x:v>A3 W10 safe service</x:v>
      </x:c>
      <x:c r="D26" s="29" t="n">
        <x:f>'03 Failure Worlds'!L53</x:f>
        <x:v>0</x:v>
      </x:c>
      <x:c r="E26" s="29" t="n">
        <x:v>0</x:v>
      </x:c>
      <x:c r="F26" s="29" t="n">
        <x:f>IF(AND(ISNUMBER(D26),ISNUMBER(E26)),D26-E26,"n.a.")</x:f>
        <x:v>0</x:v>
      </x:c>
      <x:c r="G26" s="29" t="n">
        <x:v>0.000001</x:v>
      </x:c>
      <x:c r="H26" s="11" t="str">
        <x:f>IF(AND(ISNUMBER(D26),ISNUMBER(E26),ABS(D26-E26)&lt;=G26),"PASS","FAIL")</x:f>
        <x:v>PASS</x:v>
      </x:c>
    </x:row>
    <x:row r="27" ht="30" customHeight="1">
      <x:c r="C27" s="11" t="str">
        <x:v>A4 W10 safe service</x:v>
      </x:c>
      <x:c r="D27" s="29" t="n">
        <x:f>'03 Failure Worlds'!L65</x:f>
        <x:v>0.5</x:v>
      </x:c>
      <x:c r="E27" s="29" t="n">
        <x:v>0.5</x:v>
      </x:c>
      <x:c r="F27" s="29" t="n">
        <x:f>IF(AND(ISNUMBER(D27),ISNUMBER(E27)),D27-E27,"n.a.")</x:f>
        <x:v>0</x:v>
      </x:c>
      <x:c r="G27" s="29" t="n">
        <x:v>0.000001</x:v>
      </x:c>
      <x:c r="H27" s="11" t="str">
        <x:f>IF(AND(ISNUMBER(D27),ISNUMBER(E27),ABS(D27-E27)&lt;=G27),"PASS","FAIL")</x:f>
        <x:v>PASS</x:v>
      </x:c>
    </x:row>
    <x:row r="28" ht="30" customHeight="1">
      <x:c r="C28" s="11" t="str">
        <x:v>A4 W12 gross issue</x:v>
      </x:c>
      <x:c r="D28" s="29" t="n">
        <x:f>'03 Failure Worlds'!M67</x:f>
        <x:v>0</x:v>
      </x:c>
      <x:c r="E28" s="29" t="n">
        <x:v>0</x:v>
      </x:c>
      <x:c r="F28" s="29" t="n">
        <x:f>IF(AND(ISNUMBER(D28),ISNUMBER(E28)),D28-E28,"n.a.")</x:f>
        <x:v>0</x:v>
      </x:c>
      <x:c r="G28" s="29" t="n">
        <x:v>0.000001</x:v>
      </x:c>
      <x:c r="H28" s="11" t="str">
        <x:f>IF(AND(ISNUMBER(D28),ISNUMBER(E28),ABS(D28-E28)&lt;=G28),"PASS","FAIL")</x:f>
        <x:v>PASS</x:v>
      </x:c>
    </x:row>
    <x:row r="29" ht="30" customHeight="1">
      <x:c r="C29" s="11" t="str">
        <x:v>A1 dry mass</x:v>
      </x:c>
      <x:c r="D29" s="29" t="n">
        <x:f>'02 Architectures'!X6</x:f>
        <x:v>5579.242428308064</x:v>
      </x:c>
      <x:c r="E29" s="29" t="n">
        <x:v>5579.242428308064</x:v>
      </x:c>
      <x:c r="F29" s="29" t="n">
        <x:f>IF(AND(ISNUMBER(D29),ISNUMBER(E29)),D29-E29,"n.a.")</x:f>
        <x:v>0</x:v>
      </x:c>
      <x:c r="G29" s="29" t="n">
        <x:v>0.000001</x:v>
      </x:c>
      <x:c r="H29" s="11" t="str">
        <x:f>IF(AND(ISNUMBER(D29),ISNUMBER(E29),ABS(D29-E29)&lt;=G29),"PASS","FAIL")</x:f>
        <x:v>PASS</x:v>
      </x:c>
    </x:row>
    <x:row r="30" ht="30" customHeight="1">
      <x:c r="C30" s="11" t="str">
        <x:v>A2 dry mass</x:v>
      </x:c>
      <x:c r="D30" s="29" t="n">
        <x:f>'02 Architectures'!X7</x:f>
        <x:v>5624.242428308064</x:v>
      </x:c>
      <x:c r="E30" s="29" t="n">
        <x:v>5624.242428308064</x:v>
      </x:c>
      <x:c r="F30" s="29" t="n">
        <x:f>IF(AND(ISNUMBER(D30),ISNUMBER(E30)),D30-E30,"n.a.")</x:f>
        <x:v>0</x:v>
      </x:c>
      <x:c r="G30" s="29" t="n">
        <x:v>0.000001</x:v>
      </x:c>
      <x:c r="H30" s="11" t="str">
        <x:f>IF(AND(ISNUMBER(D30),ISNUMBER(E30),ABS(D30-E30)&lt;=G30),"PASS","FAIL")</x:f>
        <x:v>PASS</x:v>
      </x:c>
    </x:row>
    <x:row r="31" ht="30" customHeight="1">
      <x:c r="C31" s="11" t="str">
        <x:v>A3 dry mass</x:v>
      </x:c>
      <x:c r="D31" s="29" t="n">
        <x:f>'02 Architectures'!X8</x:f>
        <x:v>5881.007134190417</x:v>
      </x:c>
      <x:c r="E31" s="29" t="n">
        <x:v>5881.007134190417</x:v>
      </x:c>
      <x:c r="F31" s="29" t="n">
        <x:f>IF(AND(ISNUMBER(D31),ISNUMBER(E31)),D31-E31,"n.a.")</x:f>
        <x:v>0</x:v>
      </x:c>
      <x:c r="G31" s="29" t="n">
        <x:v>0.000001</x:v>
      </x:c>
      <x:c r="H31" s="11" t="str">
        <x:f>IF(AND(ISNUMBER(D31),ISNUMBER(E31),ABS(D31-E31)&lt;=G31),"PASS","FAIL")</x:f>
        <x:v>PASS</x:v>
      </x:c>
    </x:row>
    <x:row r="32" ht="30" customHeight="1">
      <x:c r="C32" s="11" t="str">
        <x:v>A4 dry mass</x:v>
      </x:c>
      <x:c r="D32" s="29" t="n">
        <x:f>'02 Architectures'!X9</x:f>
        <x:v>6871.007134190417</x:v>
      </x:c>
      <x:c r="E32" s="29" t="n">
        <x:v>6871.007134190417</x:v>
      </x:c>
      <x:c r="F32" s="29" t="n">
        <x:f>IF(AND(ISNUMBER(D32),ISNUMBER(E32)),D32-E32,"n.a.")</x:f>
        <x:v>0</x:v>
      </x:c>
      <x:c r="G32" s="29" t="n">
        <x:v>0.000001</x:v>
      </x:c>
      <x:c r="H32" s="11" t="str">
        <x:f>IF(AND(ISNUMBER(D32),ISNUMBER(E32),ABS(D32-E32)&lt;=G32),"PASS","FAIL")</x:f>
        <x:v>PASS</x:v>
      </x:c>
    </x:row>
    <x:row r="33" ht="30" customHeight="1">
      <x:c r="C33" s="11" t="str">
        <x:v>A1 chargeable</x:v>
      </x:c>
      <x:c r="D33" s="29" t="n">
        <x:f>'02 Architectures'!Y6</x:f>
        <x:v>5914.105443557698</x:v>
      </x:c>
      <x:c r="E33" s="29" t="n">
        <x:v>5914.105443557698</x:v>
      </x:c>
      <x:c r="F33" s="29" t="n">
        <x:f>IF(AND(ISNUMBER(D33),ISNUMBER(E33)),D33-E33,"n.a.")</x:f>
        <x:v>0</x:v>
      </x:c>
      <x:c r="G33" s="29" t="n">
        <x:v>0.000001</x:v>
      </x:c>
      <x:c r="H33" s="11" t="str">
        <x:f>IF(AND(ISNUMBER(D33),ISNUMBER(E33),ABS(D33-E33)&lt;=G33),"PASS","FAIL")</x:f>
        <x:v>PASS</x:v>
      </x:c>
    </x:row>
    <x:row r="34" ht="30" customHeight="1">
      <x:c r="C34" s="11" t="str">
        <x:v>A3 chargeable</x:v>
      </x:c>
      <x:c r="D34" s="29" t="n">
        <x:f>'02 Architectures'!Y8</x:f>
        <x:v>6239.3995612047565</x:v>
      </x:c>
      <x:c r="E34" s="29" t="n">
        <x:v>6239.399561204757</x:v>
      </x:c>
      <x:c r="F34" s="29" t="n">
        <x:f>IF(AND(ISNUMBER(D34),ISNUMBER(E34)),D34-E34,"n.a.")</x:f>
        <x:v>-9.094947017729282e-13</x:v>
      </x:c>
      <x:c r="G34" s="29" t="n">
        <x:v>0.000001</x:v>
      </x:c>
      <x:c r="H34" s="11" t="str">
        <x:f>IF(AND(ISNUMBER(D34),ISNUMBER(E34),ABS(D34-E34)&lt;=G34),"PASS","FAIL")</x:f>
        <x:v>PASS</x:v>
      </x:c>
    </x:row>
    <x:row r="35" ht="30" customHeight="1">
      <x:c r="C35" s="11" t="str">
        <x:v>A4 chargeable</x:v>
      </x:c>
      <x:c r="D35" s="29" t="n">
        <x:f>'02 Architectures'!Y9</x:f>
        <x:v>7379.3995612047565</x:v>
      </x:c>
      <x:c r="E35" s="29" t="n">
        <x:v>7379.399561204757</x:v>
      </x:c>
      <x:c r="F35" s="29" t="n">
        <x:f>IF(AND(ISNUMBER(D35),ISNUMBER(E35)),D35-E35,"n.a.")</x:f>
        <x:v>-9.094947017729282e-13</x:v>
      </x:c>
      <x:c r="G35" s="29" t="n">
        <x:v>0.000001</x:v>
      </x:c>
      <x:c r="H35" s="11" t="str">
        <x:f>IF(AND(ISNUMBER(D35),ISNUMBER(E35),ABS(D35-E35)&lt;=G35),"PASS","FAIL")</x:f>
        <x:v>PASS</x:v>
      </x:c>
    </x:row>
    <x:row r="36" ht="30" customHeight="1">
      <x:c r="C36" s="11" t="str">
        <x:v>A1 program</x:v>
      </x:c>
      <x:c r="D36" s="29" t="n">
        <x:f>'02 Architectures'!AA6</x:f>
        <x:v>156</x:v>
      </x:c>
      <x:c r="E36" s="29" t="n">
        <x:v>156</x:v>
      </x:c>
      <x:c r="F36" s="29" t="n">
        <x:f>IF(AND(ISNUMBER(D36),ISNUMBER(E36)),D36-E36,"n.a.")</x:f>
        <x:v>0</x:v>
      </x:c>
      <x:c r="G36" s="29" t="n">
        <x:v>0.000001</x:v>
      </x:c>
      <x:c r="H36" s="11" t="str">
        <x:f>IF(AND(ISNUMBER(D36),ISNUMBER(E36),ABS(D36-E36)&lt;=G36),"PASS","FAIL")</x:f>
        <x:v>PASS</x:v>
      </x:c>
    </x:row>
    <x:row r="37" ht="30" customHeight="1">
      <x:c r="C37" s="11" t="str">
        <x:v>A2 program</x:v>
      </x:c>
      <x:c r="D37" s="29" t="n">
        <x:f>'02 Architectures'!AA7</x:f>
        <x:v>161.40000000000003</x:v>
      </x:c>
      <x:c r="E37" s="29" t="n">
        <x:v>161.4</x:v>
      </x:c>
      <x:c r="F37" s="29" t="n">
        <x:f>IF(AND(ISNUMBER(D37),ISNUMBER(E37)),D37-E37,"n.a.")</x:f>
        <x:v>2.842170943040401e-14</x:v>
      </x:c>
      <x:c r="G37" s="29" t="n">
        <x:v>0.000001</x:v>
      </x:c>
      <x:c r="H37" s="11" t="str">
        <x:f>IF(AND(ISNUMBER(D37),ISNUMBER(E37),ABS(D37-E37)&lt;=G37),"PASS","FAIL")</x:f>
        <x:v>PASS</x:v>
      </x:c>
    </x:row>
    <x:row r="38" ht="30" customHeight="1">
      <x:c r="C38" s="11" t="str">
        <x:v>A3 program</x:v>
      </x:c>
      <x:c r="D38" s="29" t="n">
        <x:f>'02 Architectures'!AA8</x:f>
        <x:v>173.4</x:v>
      </x:c>
      <x:c r="E38" s="29" t="n">
        <x:v>173.4</x:v>
      </x:c>
      <x:c r="F38" s="29" t="n">
        <x:f>IF(AND(ISNUMBER(D38),ISNUMBER(E38)),D38-E38,"n.a.")</x:f>
        <x:v>0</x:v>
      </x:c>
      <x:c r="G38" s="29" t="n">
        <x:v>0.000001</x:v>
      </x:c>
      <x:c r="H38" s="11" t="str">
        <x:f>IF(AND(ISNUMBER(D38),ISNUMBER(E38),ABS(D38-E38)&lt;=G38),"PASS","FAIL")</x:f>
        <x:v>PASS</x:v>
      </x:c>
    </x:row>
    <x:row r="39" ht="30" customHeight="1">
      <x:c r="C39" s="11" t="str">
        <x:v>A4 program</x:v>
      </x:c>
      <x:c r="D39" s="29" t="n">
        <x:f>'02 Architectures'!AA9</x:f>
        <x:v>204</x:v>
      </x:c>
      <x:c r="E39" s="29" t="n">
        <x:v>204</x:v>
      </x:c>
      <x:c r="F39" s="29" t="n">
        <x:f>IF(AND(ISNUMBER(D39),ISNUMBER(E39)),D39-E39,"n.a.")</x:f>
        <x:v>0</x:v>
      </x:c>
      <x:c r="G39" s="29" t="n">
        <x:v>0.000001</x:v>
      </x:c>
      <x:c r="H39" s="11" t="str">
        <x:f>IF(AND(ISNUMBER(D39),ISNUMBER(E39),ABS(D39-E39)&lt;=G39),"PASS","FAIL")</x:f>
        <x:v>PASS</x:v>
      </x:c>
    </x:row>
    <x:row r="40" ht="30" customHeight="1">
      <x:c r="C40" s="11" t="str">
        <x:v>Evidence gates</x:v>
      </x:c>
      <x:c r="D40" s="29" t="n">
        <x:f>ROWS('06 Test Contract'!C6:C22)</x:f>
        <x:v>17</x:v>
      </x:c>
      <x:c r="E40" s="29" t="n">
        <x:v>17</x:v>
      </x:c>
      <x:c r="F40" s="29" t="n">
        <x:f>IF(AND(ISNUMBER(D40),ISNUMBER(E40)),D40-E40,"n.a.")</x:f>
        <x:v>0</x:v>
      </x:c>
      <x:c r="G40" s="29" t="n">
        <x:v>0</x:v>
      </x:c>
      <x:c r="H40" s="11" t="str">
        <x:f>IF(AND(ISNUMBER(D40),ISNUMBER(E40),ABS(D40-E40)&lt;=G40),"PASS","FAIL")</x:f>
        <x:v>PASS</x:v>
      </x:c>
    </x:row>
    <x:row r="41" ht="30" customHeight="1">
      <x:c r="C41" s="11" t="str">
        <x:v>Open gates</x:v>
      </x:c>
      <x:c r="D41" s="29" t="n">
        <x:f>COUNTIFS('06 Test Contract'!J6:J22,"OPEN")</x:f>
        <x:v>16</x:v>
      </x:c>
      <x:c r="E41" s="29" t="n">
        <x:v>16</x:v>
      </x:c>
      <x:c r="F41" s="29" t="n">
        <x:f>IF(AND(ISNUMBER(D41),ISNUMBER(E41)),D41-E41,"n.a.")</x:f>
        <x:v>0</x:v>
      </x:c>
      <x:c r="G41" s="29" t="n">
        <x:v>0</x:v>
      </x:c>
      <x:c r="H41" s="11" t="str">
        <x:f>IF(AND(ISNUMBER(D41),ISNUMBER(E41),ABS(D41-E41)&lt;=G41),"PASS","FAIL")</x:f>
        <x:v>PASS</x:v>
      </x:c>
    </x:row>
    <x:row r="42" ht="30" customHeight="1">
      <x:c r="C42" s="11" t="str">
        <x:v>Rendering blocked</x:v>
      </x:c>
      <x:c r="D42" s="29" t="n">
        <x:f>COUNTIFS('06 Test Contract'!J22,"BLOCKED")</x:f>
        <x:v>1</x:v>
      </x:c>
      <x:c r="E42" s="29" t="n">
        <x:v>1</x:v>
      </x:c>
      <x:c r="F42" s="29" t="n">
        <x:f>IF(AND(ISNUMBER(D42),ISNUMBER(E42)),D42-E42,"n.a.")</x:f>
        <x:v>0</x:v>
      </x:c>
      <x:c r="G42" s="29" t="n">
        <x:v>0</x:v>
      </x:c>
      <x:c r="H42" s="11" t="str">
        <x:f>IF(AND(ISNUMBER(D42),ISNUMBER(E42),ABS(D42-E42)&lt;=G42),"PASS","FAIL")</x:f>
        <x:v>PASS</x:v>
      </x:c>
    </x:row>
    <x:row r="43" ht="30" customHeight="1">
      <x:c r="C43" s="11" t="str">
        <x:v>Strict admissions</x:v>
      </x:c>
      <x:c r="D43" s="29" t="n">
        <x:f>COUNTIFS('03 Failure Worlds'!M72:M75,"ADMITTED")</x:f>
        <x:v>0</x:v>
      </x:c>
      <x:c r="E43" s="29" t="n">
        <x:v>0</x:v>
      </x:c>
      <x:c r="F43" s="29" t="n">
        <x:f>IF(AND(ISNUMBER(D43),ISNUMBER(E43)),D43-E43,"n.a.")</x:f>
        <x:v>0</x:v>
      </x:c>
      <x:c r="G43" s="29" t="n">
        <x:v>0</x:v>
      </x:c>
      <x:c r="H43" s="11" t="str">
        <x:f>IF(AND(ISNUMBER(D43),ISNUMBER(E43),ABS(D43-E43)&lt;=G43),"PASS","FAIL")</x:f>
        <x:v>PASS</x:v>
      </x:c>
    </x:row>
    <x:row r="44" ht="30" customHeight="1">
      <x:c r="C44" s="11" t="str">
        <x:v>No evidence-passing worlds</x:v>
      </x:c>
      <x:c r="D44" s="29" t="n">
        <x:f>COUNTIFS('03 Failure Worlds'!T20:T67,"PASS")</x:f>
        <x:v>0</x:v>
      </x:c>
      <x:c r="E44" s="29" t="n">
        <x:v>0</x:v>
      </x:c>
      <x:c r="F44" s="29" t="n">
        <x:f>IF(AND(ISNUMBER(D44),ISNUMBER(E44)),D44-E44,"n.a.")</x:f>
        <x:v>0</x:v>
      </x:c>
      <x:c r="G44" s="29" t="n">
        <x:v>0</x:v>
      </x:c>
      <x:c r="H44" s="11" t="str">
        <x:f>IF(AND(ISNUMBER(D44),ISNUMBER(E44),ABS(D44-E44)&lt;=G44),"PASS","FAIL")</x:f>
        <x:v>PASS</x:v>
      </x:c>
    </x:row>
  </x:sheetData>
  <x:conditionalFormatting sqref="H6:H44">
    <x:cfRule type="containsText" dxfId="90" priority="1" operator="containsText" text="FAIL"/>
    <x:cfRule type="containsText" dxfId="91" priority="2" operator="containsText" text="DENIED"/>
    <x:cfRule type="containsText" dxfId="92" priority="3" operator="containsText" text="BLOCKED"/>
    <x:cfRule type="containsText" dxfId="93" priority="4" operator="containsText" text="UNSAFE"/>
    <x:cfRule type="containsText" dxfId="94" priority="5" operator="containsText" text="OPEN"/>
    <x:cfRule type="containsText" dxfId="95" priority="6" operator="containsText" text="UNTESTED"/>
    <x:cfRule type="containsText" dxfId="96" priority="7" operator="containsText" text="DECLARED"/>
    <x:cfRule type="containsText" dxfId="97" priority="8" operator="containsText" text="PASS"/>
    <x:cfRule type="containsText" dxfId="98" priority="9" operator="containsText" text="SAFE STOP"/>
  </x:conditionalFormatting>
  <x:pageMargins left="0.7" right="0.7" top="0.75" bottom="0.75" header="0.3" footer="0.3"/>
  <x:tableParts count="1">
    <x:tablePart xmlns:r="http://schemas.openxmlformats.org/officeDocument/2006/relationships" r:id="Rbef65e63dc5c455a"/>
  </x:tableParts>
</x:worksheet>
</file>