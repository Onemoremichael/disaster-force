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ab0224d87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728671f1c44c62"/>
    <x:sheet xmlns:r="http://schemas.openxmlformats.org/officeDocument/2006/relationships" name="Assumptions" sheetId="2" r:id="R805c0d61f2fe49b8"/>
    <x:sheet xmlns:r="http://schemas.openxmlformats.org/officeDocument/2006/relationships" name="Position Standard" sheetId="3" r:id="Rb1e0f1093e054f74"/>
    <x:sheet xmlns:r="http://schemas.openxmlformats.org/officeDocument/2006/relationships" name="Air Load" sheetId="4" r:id="R5fede67f72e34c8d"/>
    <x:sheet xmlns:r="http://schemas.openxmlformats.org/officeDocument/2006/relationships" name="Terrain Load" sheetId="5" r:id="R3dacecf521ad4e8b"/>
    <x:sheet xmlns:r="http://schemas.openxmlformats.org/officeDocument/2006/relationships" name="Block Build" sheetId="6" r:id="R099d27634b0042f7"/>
    <x:sheet xmlns:r="http://schemas.openxmlformats.org/officeDocument/2006/relationships" name="Carrier Balance" sheetId="7" r:id="R3ce2e97a255c4f92"/>
    <x:sheet xmlns:r="http://schemas.openxmlformats.org/officeDocument/2006/relationships" name="Load and Assemble" sheetId="8" r:id="Rbf6f04f275924b92"/>
    <x:sheet xmlns:r="http://schemas.openxmlformats.org/officeDocument/2006/relationships" name="Bases" sheetId="9" r:id="Rd0651fa3801349b6"/>
    <x:sheet xmlns:r="http://schemas.openxmlformats.org/officeDocument/2006/relationships" name="Receiver" sheetId="10" r:id="R5fc33e5a49f54609"/>
    <x:sheet xmlns:r="http://schemas.openxmlformats.org/officeDocument/2006/relationships" name="Dispatch" sheetId="11" r:id="R40b6ae1080814a06"/>
    <x:sheet xmlns:r="http://schemas.openxmlformats.org/officeDocument/2006/relationships" name="Crew" sheetId="12" r:id="R0d463929bf744b4b"/>
    <x:sheet xmlns:r="http://schemas.openxmlformats.org/officeDocument/2006/relationships" name="Loss Worlds" sheetId="13" r:id="Rbb46f279c0854612"/>
    <x:sheet xmlns:r="http://schemas.openxmlformats.org/officeDocument/2006/relationships" name="Reset" sheetId="14" r:id="Ra6a394bde5e6450a"/>
    <x:sheet xmlns:r="http://schemas.openxmlformats.org/officeDocument/2006/relationships" name="Program Cost" sheetId="15" r:id="Rde74e84356e648e0"/>
    <x:sheet xmlns:r="http://schemas.openxmlformats.org/officeDocument/2006/relationships" name="Technology" sheetId="16" r:id="R7ba2dbac034b4bcc"/>
    <x:sheet xmlns:r="http://schemas.openxmlformats.org/officeDocument/2006/relationships" name="Evidence Gates" sheetId="17" r:id="Rbbc885d809a44857"/>
    <x:sheet xmlns:r="http://schemas.openxmlformats.org/officeDocument/2006/relationships" name="Checks" sheetId="18" r:id="R7ddd4fba61524d2c"/>
    <x:sheet xmlns:r="http://schemas.openxmlformats.org/officeDocument/2006/relationships" name="ReadMe" sheetId="19" r:id="R7aa933953b2b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&quot;$&quot;#,##0.0000"/>
    <x:numFmt numFmtId="202" formatCode="0.000"/>
    <x:numFmt numFmtId="203" formatCode="&quot;$&quot;0.000"/>
    <x:numFmt numFmtId="204" formatCode="&quot;$&quot;0.0"/>
    <x:numFmt numFmtId="205" formatCode="0"/>
    <x:numFmt numFmtId="206" formatCode="&quot;$&quot;#,##0.0"/>
  </x:numFmts>
  <x:fonts count="8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9C000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DF1F4"/>
      </x:patternFill>
    </x:fill>
  </x:fills>
  <x:borders count="16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bottom style="thin">
        <x:color rgb="FFD8E0E5"/>
      </x:bottom>
    </x:border>
    <x:border>
      <x:top style="thin">
        <x:color rgb="FFD8E0E5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201" fontId="6" fillId="4" borderId="10" xfId="0" applyNumberFormat="1" applyFont="1" applyFill="1" applyBorder="1" applyAlignment="1">
      <x:alignment vertical="center"/>
    </x:xf>
    <x:xf numFmtId="201" fontId="1" fillId="5" borderId="1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1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horizontal="center" vertical="center"/>
    </x:xf>
    <x:xf numFmtId="200" fontId="1" fillId="0" borderId="12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3" fontId="1" fillId="0" borderId="12" xfId="0" applyNumberFormat="1" applyFont="1" applyFill="1" applyBorder="1" applyAlignment="1">
      <x:alignment vertical="center"/>
    </x:xf>
    <x:xf numFmtId="203" fontId="1" fillId="0" borderId="11" xfId="0" applyNumberFormat="1" applyFont="1" applyFill="1" applyBorder="1" applyAlignment="1">
      <x:alignment vertical="center"/>
    </x:xf>
    <x:xf numFmtId="203" fontId="1" fillId="0" borderId="13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204" fontId="1" fillId="0" borderId="1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5" fontId="1" fillId="0" borderId="10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6d59183f549c0" /><Relationship Type="http://schemas.openxmlformats.org/officeDocument/2006/relationships/theme" Target="/xl/theme/theme1.xml" Id="R431e79717502413d" /><Relationship Type="http://schemas.openxmlformats.org/officeDocument/2006/relationships/sharedStrings" Target="/xl/sharedStrings.xml" Id="Rbfc3d2978ce64950" /><Relationship Type="http://schemas.openxmlformats.org/officeDocument/2006/relationships/worksheet" Target="/xl/worksheets/sheet1.xml" Id="R4e728671f1c44c62" /><Relationship Type="http://schemas.openxmlformats.org/officeDocument/2006/relationships/worksheet" Target="/xl/worksheets/sheet2.xml" Id="R805c0d61f2fe49b8" /><Relationship Type="http://schemas.openxmlformats.org/officeDocument/2006/relationships/worksheet" Target="/xl/worksheets/sheet3.xml" Id="Rb1e0f1093e054f74" /><Relationship Type="http://schemas.openxmlformats.org/officeDocument/2006/relationships/worksheet" Target="/xl/worksheets/sheet4.xml" Id="R5fede67f72e34c8d" /><Relationship Type="http://schemas.openxmlformats.org/officeDocument/2006/relationships/worksheet" Target="/xl/worksheets/sheet5.xml" Id="R3dacecf521ad4e8b" /><Relationship Type="http://schemas.openxmlformats.org/officeDocument/2006/relationships/worksheet" Target="/xl/worksheets/sheet6.xml" Id="R099d27634b0042f7" /><Relationship Type="http://schemas.openxmlformats.org/officeDocument/2006/relationships/worksheet" Target="/xl/worksheets/sheet7.xml" Id="R3ce2e97a255c4f92" /><Relationship Type="http://schemas.openxmlformats.org/officeDocument/2006/relationships/worksheet" Target="/xl/worksheets/sheet8.xml" Id="Rbf6f04f275924b92" /><Relationship Type="http://schemas.openxmlformats.org/officeDocument/2006/relationships/worksheet" Target="/xl/worksheets/sheet9.xml" Id="Rd0651fa3801349b6" /><Relationship Type="http://schemas.openxmlformats.org/officeDocument/2006/relationships/worksheet" Target="/xl/worksheets/sheet10.xml" Id="R5fc33e5a49f54609" /><Relationship Type="http://schemas.openxmlformats.org/officeDocument/2006/relationships/worksheet" Target="/xl/worksheets/sheet11.xml" Id="R40b6ae1080814a06" /><Relationship Type="http://schemas.openxmlformats.org/officeDocument/2006/relationships/worksheet" Target="/xl/worksheets/sheet12.xml" Id="R0d463929bf744b4b" /><Relationship Type="http://schemas.openxmlformats.org/officeDocument/2006/relationships/worksheet" Target="/xl/worksheets/sheet13.xml" Id="Rbb46f279c0854612" /><Relationship Type="http://schemas.openxmlformats.org/officeDocument/2006/relationships/worksheet" Target="/xl/worksheets/sheet14.xml" Id="Ra6a394bde5e6450a" /><Relationship Type="http://schemas.openxmlformats.org/officeDocument/2006/relationships/worksheet" Target="/xl/worksheets/sheet15.xml" Id="Rde74e84356e648e0" /><Relationship Type="http://schemas.openxmlformats.org/officeDocument/2006/relationships/worksheet" Target="/xl/worksheets/sheet16.xml" Id="R7ba2dbac034b4bcc" /><Relationship Type="http://schemas.openxmlformats.org/officeDocument/2006/relationships/worksheet" Target="/xl/worksheets/sheet17.xml" Id="Rbbc885d809a44857" /><Relationship Type="http://schemas.openxmlformats.org/officeDocument/2006/relationships/worksheet" Target="/xl/worksheets/sheet18.xml" Id="R7ddd4fba61524d2c" /><Relationship Type="http://schemas.openxmlformats.org/officeDocument/2006/relationships/worksheet" Target="/xl/worksheets/sheet19.xml" Id="R7aa933953b2b47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49" hidden="0" customWidth="1"/>
    <x:col min="3" max="3" width="40" hidden="0" customWidth="1"/>
    <x:col min="4" max="4" width="15" hidden="0" customWidth="1"/>
    <x:col min="5" max="5" width="52" hidden="0" customWidth="1"/>
    <x:col min="6" max="6" width="18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</x:cols>
  <x:sheetData>
    <x:row r="2">
      <x:c r="B2" s="3" t="str">
        <x:v>DCP-2 physical configuration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Position-level loading forces new HBL-340 and ATUT-170 carrier ratings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Executive result</x:v>
      </x:c>
      <x:c r="C6" s="9" t="str">
        <x:v>Executive result</x:v>
      </x:c>
      <x:c r="D6" s="9" t="str">
        <x:v>Executive result</x:v>
      </x:c>
      <x:c r="E6" s="9" t="str">
        <x:v>Executive result</x:v>
      </x:c>
      <x:c r="F6" s="10" t="str">
        <x:v>Executive result</x:v>
      </x:c>
      <x:c r="G6" s="2"/>
      <x:c r="H6" s="2"/>
      <x:c r="I6" s="2"/>
      <x:c r="J6" s="2"/>
      <x:c r="K6" s="2"/>
      <x:c r="L6" s="2"/>
      <x:c r="M6" s="2"/>
      <x:c r="N6" s="2"/>
    </x:row>
    <x:row r="7">
      <x:c r="B7" s="29" t="str">
        <x:v>Decision</x:v>
      </x:c>
      <x:c r="C7" s="30" t="str">
        <x:v>Value</x:v>
      </x:c>
      <x:c r="D7" s="30" t="str">
        <x:v>Unit</x:v>
      </x:c>
      <x:c r="E7" s="30" t="str">
        <x:v>Interpretation</x:v>
      </x:c>
      <x:c r="F7" s="30" t="str">
        <x:v>State</x:v>
      </x:c>
      <x:c r="G7" s="2"/>
      <x:c r="H7" s="2"/>
      <x:c r="I7" s="2"/>
      <x:c r="J7" s="2"/>
      <x:c r="K7" s="2"/>
      <x:c r="L7" s="2"/>
      <x:c r="M7" s="2"/>
      <x:c r="N7" s="2"/>
    </x:row>
    <x:row r="8">
      <x:c r="B8" s="31" t="str">
        <x:v>Physical configuration</x:v>
      </x:c>
      <x:c r="C8" s="31" t="str">
        <x:f>IF(AND(COUNTIFS('Carrier Balance'!T7:T12,"PASS")=6,Dispatch!J7="PASS",Dispatch!J8="PASS",COUNTIFS('Loss Worlds'!T7:T24,"PASS")=18),"PASS","FAIL")</x:f>
        <x:v>PASS</x:v>
      </x:c>
      <x:c r="D8" s="31" t="str">
        <x:v>behavior</x:v>
      </x:c>
      <x:c r="E8" s="31" t="str">
        <x:v>two complete cells fit declared envelopes</x:v>
      </x:c>
      <x:c r="F8" s="33" t="str">
        <x:v>calculated</x:v>
      </x:c>
      <x:c r="G8" s="2"/>
      <x:c r="H8" s="2"/>
      <x:c r="I8" s="2"/>
      <x:c r="J8" s="2"/>
      <x:c r="K8" s="2"/>
      <x:c r="L8" s="2"/>
      <x:c r="M8" s="2"/>
      <x:c r="N8" s="2"/>
    </x:row>
    <x:row r="9">
      <x:c r="B9" s="31" t="str">
        <x:v>Atmospheric carrier</x:v>
      </x:c>
      <x:c r="C9" s="31" t="str">
        <x:v>HBL-340</x:v>
      </x:c>
      <x:c r="D9" s="31" t="str">
        <x:v>clean-sheet</x:v>
      </x:c>
      <x:c r="E9" s="31" t="str">
        <x:v>two vehicles at 317.5 t each</x:v>
      </x:c>
      <x:c r="F9" s="33" t="str">
        <x:v>derived</x:v>
      </x:c>
      <x:c r="G9" s="2"/>
      <x:c r="H9" s="2"/>
      <x:c r="I9" s="2"/>
      <x:c r="J9" s="2"/>
      <x:c r="K9" s="2"/>
      <x:c r="L9" s="2"/>
      <x:c r="M9" s="2"/>
      <x:c r="N9" s="2"/>
    </x:row>
    <x:row r="10">
      <x:c r="B10" s="31" t="str">
        <x:v>Terrain carrier</x:v>
      </x:c>
      <x:c r="C10" s="31" t="str">
        <x:v>ATUT-170</x:v>
      </x:c>
      <x:c r="D10" s="31" t="str">
        <x:v>clean-sheet</x:v>
      </x:c>
      <x:c r="E10" s="31" t="str">
        <x:v>four vehicles at 158.75 t each</x:v>
      </x:c>
      <x:c r="F10" s="33" t="str">
        <x:v>derived</x:v>
      </x:c>
      <x:c r="G10" s="2"/>
      <x:c r="H10" s="2"/>
      <x:c r="I10" s="2"/>
      <x:c r="J10" s="2"/>
      <x:c r="K10" s="2"/>
      <x:c r="L10" s="2"/>
      <x:c r="M10" s="2"/>
      <x:c r="N10" s="2"/>
    </x:row>
    <x:row r="11">
      <x:c r="B11" s="31" t="str">
        <x:v>Governed dry positions</x:v>
      </x:c>
      <x:c r="C11" s="31" t="n">
        <x:v>64</x:v>
      </x:c>
      <x:c r="D11" s="31" t="str">
        <x:v>positions</x:v>
      </x:c>
      <x:c r="E11" s="31" t="str">
        <x:v>thirty-two per independent cell</x:v>
      </x:c>
      <x:c r="F11" s="33" t="str">
        <x:v>calculated</x:v>
      </x:c>
      <x:c r="G11" s="2"/>
      <x:c r="H11" s="2"/>
      <x:c r="I11" s="2"/>
      <x:c r="J11" s="2"/>
      <x:c r="K11" s="2"/>
      <x:c r="L11" s="2"/>
      <x:c r="M11" s="2"/>
      <x:c r="N11" s="2"/>
    </x:row>
    <x:row r="12">
      <x:c r="B12" s="31" t="str">
        <x:v>Fielded service payload</x:v>
      </x:c>
      <x:c r="C12" s="31" t="n">
        <x:v>1270</x:v>
      </x:c>
      <x:c r="D12" s="31" t="str">
        <x:v>t</x:v>
      </x:c>
      <x:c r="E12" s="31" t="str">
        <x:v>two 635 t launch cells</x:v>
      </x:c>
      <x:c r="F12" s="33" t="str">
        <x:v>calculated</x:v>
      </x:c>
      <x:c r="G12" s="2"/>
      <x:c r="H12" s="2"/>
      <x:c r="I12" s="2"/>
      <x:c r="J12" s="2"/>
      <x:c r="K12" s="2"/>
      <x:c r="L12" s="2"/>
      <x:c r="M12" s="2"/>
      <x:c r="N12" s="2"/>
    </x:row>
    <x:row r="13">
      <x:c r="B13" s="31" t="str">
        <x:v>Installed payload capacity</x:v>
      </x:c>
      <x:c r="C13" s="31" t="n">
        <x:v>1360</x:v>
      </x:c>
      <x:c r="D13" s="31" t="str">
        <x:v>t</x:v>
      </x:c>
      <x:c r="E13" s="31" t="str">
        <x:v>90 t rounded reserve</x:v>
      </x:c>
      <x:c r="F13" s="33" t="str">
        <x:v>calculated</x:v>
      </x:c>
      <x:c r="G13" s="2"/>
      <x:c r="H13" s="2"/>
      <x:c r="I13" s="2"/>
      <x:c r="J13" s="2"/>
      <x:c r="K13" s="2"/>
      <x:c r="L13" s="2"/>
      <x:c r="M13" s="2"/>
      <x:c r="N13" s="2"/>
    </x:row>
    <x:row r="14">
      <x:c r="B14" s="31" t="str">
        <x:v>Maximum carrier mass use</x:v>
      </x:c>
      <x:c r="C14" s="46" t="n">
        <x:f>MAX('Carrier Balance'!G7:G12)</x:f>
        <x:v>0.9338235294117647</x:v>
      </x:c>
      <x:c r="D14" s="31" t="str">
        <x:v>percent</x:v>
      </x:c>
      <x:c r="E14" s="31" t="str">
        <x:v>all carriers preserve at least 5 percent reserve</x:v>
      </x:c>
      <x:c r="F14" s="33" t="str">
        <x:v>calculated</x:v>
      </x:c>
      <x:c r="G14" s="2"/>
      <x:c r="H14" s="2"/>
      <x:c r="I14" s="2"/>
      <x:c r="J14" s="2"/>
      <x:c r="K14" s="2"/>
      <x:c r="L14" s="2"/>
      <x:c r="M14" s="2"/>
      <x:c r="N14" s="2"/>
    </x:row>
    <x:row r="15">
      <x:c r="B15" s="31" t="str">
        <x:v>Maximum carrier volume use</x:v>
      </x:c>
      <x:c r="C15" s="46" t="n">
        <x:f>MAX('Carrier Balance'!K7:K12)</x:f>
        <x:v>0.9671428571428572</x:v>
      </x:c>
      <x:c r="D15" s="31" t="str">
        <x:v>percent</x:v>
      </x:c>
      <x:c r="E15" s="31" t="str">
        <x:v>all carriers preserve at least 3 percent reserve</x:v>
      </x:c>
      <x:c r="F15" s="33" t="str">
        <x:v>calculated</x:v>
      </x:c>
      <x:c r="G15" s="2"/>
      <x:c r="H15" s="2"/>
      <x:c r="I15" s="2"/>
      <x:c r="J15" s="2"/>
      <x:c r="K15" s="2"/>
      <x:c r="L15" s="2"/>
      <x:c r="M15" s="2"/>
      <x:c r="N15" s="2"/>
    </x:row>
    <x:row r="16">
      <x:c r="B16" s="31" t="str">
        <x:v>Maximum carrier deck use</x:v>
      </x:c>
      <x:c r="C16" s="46" t="n">
        <x:f>MAX('Carrier Balance'!O7:O12)</x:f>
        <x:v>0.9565217391304348</x:v>
      </x:c>
      <x:c r="D16" s="31" t="str">
        <x:v>percent</x:v>
      </x:c>
      <x:c r="E16" s="31" t="str">
        <x:v>all carriers preserve at least 3 percent reserve</x:v>
      </x:c>
      <x:c r="F16" s="33" t="str">
        <x:v>calculated</x:v>
      </x:c>
      <x:c r="G16" s="2"/>
      <x:c r="H16" s="2"/>
      <x:c r="I16" s="2"/>
      <x:c r="J16" s="2"/>
      <x:c r="K16" s="2"/>
      <x:c r="L16" s="2"/>
      <x:c r="M16" s="2"/>
      <x:c r="N16" s="2"/>
    </x:row>
    <x:row r="17">
      <x:c r="B17" s="31" t="str">
        <x:v>Air public-service release</x:v>
      </x:c>
      <x:c r="C17" s="31" t="n">
        <x:v>48</x:v>
      </x:c>
      <x:c r="D17" s="31" t="str">
        <x:v>absolute h</x:v>
      </x:c>
      <x:c r="E17" s="31" t="str">
        <x:v>six-hour margin</x:v>
      </x:c>
      <x:c r="F17" s="33" t="str">
        <x:v>calculated</x:v>
      </x:c>
      <x:c r="G17" s="2"/>
      <x:c r="H17" s="2"/>
      <x:c r="I17" s="2"/>
      <x:c r="J17" s="2"/>
      <x:c r="K17" s="2"/>
      <x:c r="L17" s="2"/>
      <x:c r="M17" s="2"/>
      <x:c r="N17" s="2"/>
    </x:row>
    <x:row r="18">
      <x:c r="B18" s="31" t="str">
        <x:v>Terrain public-service release</x:v>
      </x:c>
      <x:c r="C18" s="31" t="n">
        <x:v>51</x:v>
      </x:c>
      <x:c r="D18" s="31" t="str">
        <x:v>absolute h</x:v>
      </x:c>
      <x:c r="E18" s="31" t="str">
        <x:v>three-hour margin</x:v>
      </x:c>
      <x:c r="F18" s="33" t="str">
        <x:v>calculated</x:v>
      </x:c>
      <x:c r="G18" s="2"/>
      <x:c r="H18" s="2"/>
      <x:c r="I18" s="2"/>
      <x:c r="J18" s="2"/>
      <x:c r="K18" s="2"/>
      <x:c r="L18" s="2"/>
      <x:c r="M18" s="2"/>
      <x:c r="N18" s="2"/>
    </x:row>
    <x:row r="19">
      <x:c r="B19" s="31" t="str">
        <x:v>Deployed workforce</x:v>
      </x:c>
      <x:c r="C19" s="31" t="n">
        <x:v>486</x:v>
      </x:c>
      <x:c r="D19" s="31" t="str">
        <x:v>people</x:v>
      </x:c>
      <x:c r="E19" s="31" t="str">
        <x:v>two mode-specific chains</x:v>
      </x:c>
      <x:c r="F19" s="33" t="str">
        <x:v>declared</x:v>
      </x:c>
      <x:c r="G19" s="2"/>
      <x:c r="H19" s="2"/>
      <x:c r="I19" s="2"/>
      <x:c r="J19" s="2"/>
      <x:c r="K19" s="2"/>
      <x:c r="L19" s="2"/>
      <x:c r="M19" s="2"/>
      <x:c r="N19" s="2"/>
    </x:row>
    <x:row r="20">
      <x:c r="B20" s="31" t="str">
        <x:v>Configured package program</x:v>
      </x:c>
      <x:c r="C20" s="68" t="n">
        <x:f>'Program Cost'!D15</x:f>
        <x:v>933.2764</x:v>
      </x:c>
      <x:c r="D20" s="31" t="str">
        <x:v>$B</x:v>
      </x:c>
      <x:c r="E20" s="31" t="str">
        <x:v>forty-three ready packages</x:v>
      </x:c>
      <x:c r="F20" s="33" t="str">
        <x:v>calculated</x:v>
      </x:c>
      <x:c r="G20" s="2"/>
      <x:c r="H20" s="2"/>
      <x:c r="I20" s="2"/>
      <x:c r="J20" s="2"/>
      <x:c r="K20" s="2"/>
      <x:c r="L20" s="2"/>
      <x:c r="M20" s="2"/>
      <x:c r="N20" s="2"/>
    </x:row>
    <x:row r="21">
      <x:c r="B21" s="31" t="str">
        <x:v>Configured national boundary</x:v>
      </x:c>
      <x:c r="C21" s="68" t="n">
        <x:f>'Program Cost'!D17</x:f>
        <x:v>8316.417950000001</x:v>
      </x:c>
      <x:c r="D21" s="31" t="str">
        <x:v>$B</x:v>
      </x:c>
      <x:c r="E21" s="31" t="str">
        <x:v>dynamic F1-C1 plus DCP-2</x:v>
      </x:c>
      <x:c r="F21" s="33" t="str">
        <x:v>calculated</x:v>
      </x:c>
      <x:c r="G21" s="2"/>
      <x:c r="H21" s="2"/>
      <x:c r="I21" s="2"/>
      <x:c r="J21" s="2"/>
      <x:c r="K21" s="2"/>
      <x:c r="L21" s="2"/>
      <x:c r="M21" s="2"/>
      <x:c r="N21" s="2"/>
    </x:row>
    <x:row r="22">
      <x:c r="B22" s="31" t="str">
        <x:v>Increase over Pass 81</x:v>
      </x:c>
      <x:c r="C22" s="68" t="n">
        <x:f>'Program Cost'!D18</x:f>
        <x:v>162.6431</x:v>
      </x:c>
      <x:c r="D22" s="31" t="str">
        <x:v>$B</x:v>
      </x:c>
      <x:c r="E22" s="31" t="str">
        <x:v>physical configuration correction</x:v>
      </x:c>
      <x:c r="F22" s="33" t="str">
        <x:v>calculated</x:v>
      </x:c>
      <x:c r="G22" s="2"/>
      <x:c r="H22" s="2"/>
      <x:c r="I22" s="2"/>
      <x:c r="J22" s="2"/>
      <x:c r="K22" s="2"/>
      <x:c r="L22" s="2"/>
      <x:c r="M22" s="2"/>
      <x:c r="N22" s="2"/>
    </x:row>
    <x:row r="23">
      <x:c r="B23" s="31" t="str">
        <x:v>Prior modeled saving consumed</x:v>
      </x:c>
      <x:c r="C23" s="46" t="n">
        <x:f>'Program Cost'!D20</x:f>
        <x:v>0.8433085437286862</x:v>
      </x:c>
      <x:c r="D23" s="31" t="str">
        <x:v>percent</x:v>
      </x:c>
      <x:c r="E23" s="31" t="str">
        <x:v>full duplicate is not like-depth configured</x:v>
      </x:c>
      <x:c r="F23" s="33" t="str">
        <x:v>calculated</x:v>
      </x:c>
      <x:c r="G23" s="2"/>
      <x:c r="H23" s="2"/>
      <x:c r="I23" s="2"/>
      <x:c r="J23" s="2"/>
      <x:c r="K23" s="2"/>
      <x:c r="L23" s="2"/>
      <x:c r="M23" s="2"/>
      <x:c r="N23" s="2"/>
    </x:row>
    <x:row r="24">
      <x:c r="B24" s="31" t="str">
        <x:v>Open evidence gates</x:v>
      </x:c>
      <x:c r="C24" s="31" t="n">
        <x:v>60</x:v>
      </x:c>
      <x:c r="D24" s="31" t="str">
        <x:v>gates</x:v>
      </x:c>
      <x:c r="E24" s="31" t="str">
        <x:v>current and strict credit remain zero</x:v>
      </x:c>
      <x:c r="F24" s="33" t="str">
        <x:v>calculated</x:v>
      </x:c>
      <x:c r="G24" s="2"/>
      <x:c r="H24" s="2"/>
      <x:c r="I24" s="2"/>
      <x:c r="J24" s="2"/>
      <x:c r="K24" s="2"/>
      <x:c r="L24" s="2"/>
      <x:c r="M24" s="2"/>
      <x:c r="N24" s="2"/>
    </x:row>
    <x:row r="25">
      <x:c r="B25" s="38" t="str">
        <x:v>Rendering state</x:v>
      </x:c>
      <x:c r="C25" s="38" t="str">
        <x:v>BLOCKED</x:v>
      </x:c>
      <x:c r="D25" s="38" t="str">
        <x:v>governance</x:v>
      </x:c>
      <x:c r="E25" s="38" t="str">
        <x:v>carrier physics and full-scale trials remain open</x:v>
      </x:c>
      <x:c r="F25" s="40" t="str">
        <x:v>declared</x:v>
      </x:c>
      <x:c r="G25" s="2"/>
      <x:c r="H25" s="2"/>
      <x:c r="I25" s="2"/>
      <x:c r="J25" s="2"/>
      <x:c r="K25" s="2"/>
      <x:c r="L25" s="2"/>
      <x:c r="M25" s="2"/>
      <x:c r="N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B28" s="8" t="str">
        <x:v>Governing judgments</x:v>
      </x:c>
      <x:c r="C28" s="9" t="str">
        <x:v>Governing judgments</x:v>
      </x:c>
      <x:c r="D28" s="9" t="str">
        <x:v>Governing judgments</x:v>
      </x:c>
      <x:c r="E28" s="9" t="str">
        <x:v>Governing judgments</x:v>
      </x:c>
      <x:c r="F28" s="9" t="str">
        <x:v>Governing judgments</x:v>
      </x:c>
      <x:c r="G28" s="9" t="str">
        <x:v>Governing judgments</x:v>
      </x:c>
      <x:c r="H28" s="9" t="str">
        <x:v>Governing judgments</x:v>
      </x:c>
      <x:c r="I28" s="9" t="str">
        <x:v>Governing judgments</x:v>
      </x:c>
      <x:c r="J28" s="9" t="str">
        <x:v>Governing judgments</x:v>
      </x:c>
      <x:c r="K28" s="9" t="str">
        <x:v>Governing judgments</x:v>
      </x:c>
      <x:c r="L28" s="9" t="str">
        <x:v>Governing judgments</x:v>
      </x:c>
      <x:c r="M28" s="9" t="str">
        <x:v>Governing judgments</x:v>
      </x:c>
      <x:c r="N28" s="10" t="str">
        <x:v>Governing judgments</x:v>
      </x:c>
    </x:row>
    <x:row r="29">
      <x:c r="B29" s="69" t="str">
        <x:v>1. The previous carrier ratings are superseded.</x:v>
      </x:c>
      <x:c r="C29" s="2" t="str">
        <x:v>HBL-320 and ATUT-160 leave only 0.8 percent cell-level capacity. Five-percent reserve requires rounded 340 t and 170 t ratings.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B30" s="69" t="str">
        <x:v>2. One standard supports two independent implementations.</x:v>
      </x:c>
      <x:c r="C30" s="2" t="str">
        <x:v>Four 145 t dry blocks create a nested load grammar, while cells A and B retain different custody, interfaces, bases, crews and release.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B31" s="69" t="str">
        <x:v>3. Carrier loss removes one cell, not the public effect.</x:v>
      </x:c>
      <x:c r="C31" s="2" t="str">
        <x:v>One lost liftship or terrain vehicle makes its cell incomplete; the complete cell in the other physics family preserves service.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69" t="str">
        <x:v>4. Physical detail consumes most of the apparent saving.</x:v>
      </x:c>
      <x:c r="C32" s="2" t="str">
        <x:v>The configured package rises by $162.6431B and leaves only a quarantined $30.22B gap to the unconfigured duplicate control.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69" t="str">
        <x:v>5. Rendering remains blocked.</x:v>
      </x:c>
      <x:c r="C33" s="2" t="str">
        <x:v>Measured structure, buoyancy, propulsion, mooring, ground pressure, restraint, unload and receiver trials still determine exterior form.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B6:F6"/>
    <x:mergeCell ref="B28:N28"/>
    <x:mergeCell ref="C29:N29"/>
    <x:mergeCell ref="C30:N30"/>
    <x:mergeCell ref="C31:N31"/>
    <x:mergeCell ref="C32:N32"/>
    <x:mergeCell ref="C33:N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/>
  </x:sheetViews>
  <x:sheetFormatPr defaultRowHeight="15"/>
  <x:cols>
    <x:col min="2" max="2" width="44" hidden="0" customWidth="1"/>
    <x:col min="3" max="3" width="21" hidden="0" customWidth="1"/>
    <x:col min="4" max="4" width="20" hidden="0" customWidth="1"/>
    <x:col min="5" max="5" width="25" hidden="0" customWidth="1"/>
    <x:col min="6" max="6" width="49" hidden="0" customWidth="1"/>
  </x:cols>
  <x:sheetData>
    <x:row r="2">
      <x:c r="B2" s="3" t="str">
        <x:v>DCP-2 physical configuration assumptions</x:v>
      </x:c>
      <x:c r="C2" s="2"/>
      <x:c r="D2" s="2"/>
      <x:c r="E2" s="2"/>
      <x:c r="F2" s="2"/>
    </x:row>
    <x:row r="3">
      <x:c r="B3" s="4" t="str">
        <x:v>Two independently governed service cells must fit, move, release and reset without using terminal checks</x:v>
      </x:c>
      <x:c r="C3" s="4"/>
      <x:c r="D3" s="4"/>
      <x:c r="E3" s="4"/>
      <x:c r="F3" s="4"/>
    </x:row>
    <x:row r="4">
      <x:c r="B4" s="5"/>
      <x:c r="C4" s="5"/>
      <x:c r="D4" s="5"/>
      <x:c r="E4" s="5"/>
      <x:c r="F4" s="5"/>
    </x:row>
    <x:row r="5">
      <x:c r="B5" s="2"/>
      <x:c r="C5" s="2"/>
      <x:c r="D5" s="2"/>
      <x:c r="E5" s="2"/>
      <x:c r="F5" s="2"/>
    </x:row>
    <x:row r="6">
      <x:c r="B6" s="8" t="str">
        <x:v>Service, carrier, balance and program controls</x:v>
      </x:c>
      <x:c r="C6" s="9" t="str">
        <x:v>Service, carrier, balance and program controls</x:v>
      </x:c>
      <x:c r="D6" s="9" t="str">
        <x:v>Service, carrier, balance and program controls</x:v>
      </x:c>
      <x:c r="E6" s="9" t="str">
        <x:v>Service, carrier, balance and program controls</x:v>
      </x:c>
      <x:c r="F6" s="10" t="str">
        <x:v>Service, carrier, balance and program controls</x:v>
      </x:c>
    </x:row>
    <x:row r="7">
      <x:c r="B7" s="29" t="str">
        <x:v>Input</x:v>
      </x:c>
      <x:c r="C7" s="30" t="str">
        <x:v>Value</x:v>
      </x:c>
      <x:c r="D7" s="30" t="str">
        <x:v>Unit</x:v>
      </x:c>
      <x:c r="E7" s="30" t="str">
        <x:v>Origin</x:v>
      </x:c>
      <x:c r="F7" s="30" t="str">
        <x:v>Meaning</x:v>
      </x:c>
    </x:row>
    <x:row r="8">
      <x:c r="B8" s="31" t="str">
        <x:v>Service clock from activation</x:v>
      </x:c>
      <x:c r="C8" s="32" t="n">
        <x:v>48</x:v>
      </x:c>
      <x:c r="D8" s="31" t="str">
        <x:v>h</x:v>
      </x:c>
      <x:c r="E8" s="31" t="str">
        <x:v>Pass 81</x:v>
      </x:c>
      <x:c r="F8" s="33" t="str">
        <x:v>complete public service</x:v>
      </x:c>
    </x:row>
    <x:row r="9">
      <x:c r="B9" s="31" t="str">
        <x:v>Second-region activation</x:v>
      </x:c>
      <x:c r="C9" s="32" t="n">
        <x:v>6</x:v>
      </x:c>
      <x:c r="D9" s="31" t="str">
        <x:v>absolute h</x:v>
      </x:c>
      <x:c r="E9" s="31" t="str">
        <x:v>Pass 81</x:v>
      </x:c>
      <x:c r="F9" s="33" t="str">
        <x:v>no prelaunch credit</x:v>
      </x:c>
    </x:row>
    <x:row r="10">
      <x:c r="B10" s="31" t="str">
        <x:v>Second-region absolute deadline</x:v>
      </x:c>
      <x:c r="C10" s="34" t="n">
        <x:f>C8+C9</x:f>
        <x:v>54</x:v>
      </x:c>
      <x:c r="D10" s="31" t="str">
        <x:v>absolute h</x:v>
      </x:c>
      <x:c r="E10" s="31" t="str">
        <x:v>calculated</x:v>
      </x:c>
      <x:c r="F10" s="33" t="str">
        <x:v>activation plus service clock</x:v>
      </x:c>
    </x:row>
    <x:row r="11">
      <x:c r="B11" s="31" t="str">
        <x:v>Cell dry mass</x:v>
      </x:c>
      <x:c r="C11" s="32" t="n">
        <x:v>580</x:v>
      </x:c>
      <x:c r="D11" s="31" t="str">
        <x:v>t</x:v>
      </x:c>
      <x:c r="E11" s="31" t="str">
        <x:v>Pass 80</x:v>
      </x:c>
      <x:c r="F11" s="33" t="str">
        <x:v>thirty-two configured positions</x:v>
      </x:c>
    </x:row>
    <x:row r="12">
      <x:c r="B12" s="31" t="str">
        <x:v>Cell wet launch load</x:v>
      </x:c>
      <x:c r="C12" s="32" t="n">
        <x:v>55</x:v>
      </x:c>
      <x:c r="D12" s="31" t="str">
        <x:v>t</x:v>
      </x:c>
      <x:c r="E12" s="31" t="str">
        <x:v>Pass 80</x:v>
      </x:c>
      <x:c r="F12" s="33" t="str">
        <x:v>four segregated wet packs</x:v>
      </x:c>
    </x:row>
    <x:row r="13">
      <x:c r="B13" s="31" t="str">
        <x:v>Cell launch mass</x:v>
      </x:c>
      <x:c r="C13" s="34" t="n">
        <x:f>C11+C12</x:f>
        <x:v>635</x:v>
      </x:c>
      <x:c r="D13" s="31" t="str">
        <x:v>t</x:v>
      </x:c>
      <x:c r="E13" s="31" t="str">
        <x:v>calculated</x:v>
      </x:c>
      <x:c r="F13" s="33" t="str">
        <x:v>dry plus wet</x:v>
      </x:c>
    </x:row>
    <x:row r="14">
      <x:c r="B14" s="31" t="str">
        <x:v>Cell dry stowed cube</x:v>
      </x:c>
      <x:c r="C14" s="32" t="n">
        <x:v>2630</x:v>
      </x:c>
      <x:c r="D14" s="31" t="str">
        <x:v>m3</x:v>
      </x:c>
      <x:c r="E14" s="31" t="str">
        <x:v>Pass 79</x:v>
      </x:c>
      <x:c r="F14" s="33" t="str">
        <x:v>configured dry positions</x:v>
      </x:c>
    </x:row>
    <x:row r="15">
      <x:c r="B15" s="31" t="str">
        <x:v>Cell wet stowed cube</x:v>
      </x:c>
      <x:c r="C15" s="32" t="n">
        <x:v>60</x:v>
      </x:c>
      <x:c r="D15" s="31" t="str">
        <x:v>m3</x:v>
      </x:c>
      <x:c r="E15" s="31" t="str">
        <x:v>declared</x:v>
      </x:c>
      <x:c r="F15" s="33" t="str">
        <x:v>four fifteen-cubic-metre packs</x:v>
      </x:c>
    </x:row>
    <x:row r="16">
      <x:c r="B16" s="31" t="str">
        <x:v>Cell launch cube</x:v>
      </x:c>
      <x:c r="C16" s="34" t="n">
        <x:f>C14+C15</x:f>
        <x:v>2690</x:v>
      </x:c>
      <x:c r="D16" s="31" t="str">
        <x:v>m3</x:v>
      </x:c>
      <x:c r="E16" s="31" t="str">
        <x:v>calculated</x:v>
      </x:c>
      <x:c r="F16" s="33" t="str">
        <x:v>dry plus wet</x:v>
      </x:c>
    </x:row>
    <x:row r="17">
      <x:c r="B17" s="31" t="str">
        <x:v>Governed dry positions</x:v>
      </x:c>
      <x:c r="C17" s="32" t="n">
        <x:v>32</x:v>
      </x:c>
      <x:c r="D17" s="31" t="str">
        <x:v>positions</x:v>
      </x:c>
      <x:c r="E17" s="31" t="str">
        <x:v>Pass 80</x:v>
      </x:c>
      <x:c r="F17" s="33" t="str">
        <x:v>per independent cell</x:v>
      </x:c>
    </x:row>
    <x:row r="18">
      <x:c r="B18" s="31" t="str">
        <x:v>Minimum payload-capacity reserve</x:v>
      </x:c>
      <x:c r="C18" s="35" t="n">
        <x:v>0.05</x:v>
      </x:c>
      <x:c r="D18" s="31" t="str">
        <x:v>fraction</x:v>
      </x:c>
      <x:c r="E18" s="31" t="str">
        <x:v>this pass</x:v>
      </x:c>
      <x:c r="F18" s="33" t="str">
        <x:v>measured load growth allowance</x:v>
      </x:c>
    </x:row>
    <x:row r="19">
      <x:c r="B19" s="31" t="str">
        <x:v>Minimum stowed-volume reserve</x:v>
      </x:c>
      <x:c r="C19" s="35" t="n">
        <x:v>0.03</x:v>
      </x:c>
      <x:c r="D19" s="31" t="str">
        <x:v>fraction</x:v>
      </x:c>
      <x:c r="E19" s="31" t="str">
        <x:v>this pass</x:v>
      </x:c>
      <x:c r="F19" s="33" t="str">
        <x:v>packing and restraint allowance</x:v>
      </x:c>
    </x:row>
    <x:row r="20">
      <x:c r="B20" s="31" t="str">
        <x:v>Minimum deck-area reserve</x:v>
      </x:c>
      <x:c r="C20" s="35" t="n">
        <x:v>0.03</x:v>
      </x:c>
      <x:c r="D20" s="31" t="str">
        <x:v>fraction</x:v>
      </x:c>
      <x:c r="E20" s="31" t="str">
        <x:v>this pass</x:v>
      </x:c>
      <x:c r="F20" s="33" t="str">
        <x:v>handling and separation allowance</x:v>
      </x:c>
    </x:row>
    <x:row r="21">
      <x:c r="B21" s="31" t="str">
        <x:v>HBL units per air cell</x:v>
      </x:c>
      <x:c r="C21" s="32" t="n">
        <x:v>2</x:v>
      </x:c>
      <x:c r="D21" s="31" t="str">
        <x:v>vehicles</x:v>
      </x:c>
      <x:c r="E21" s="31" t="str">
        <x:v>Pass 81</x:v>
      </x:c>
      <x:c r="F21" s="33" t="str">
        <x:v>one atmospheric cell</x:v>
      </x:c>
    </x:row>
    <x:row r="22">
      <x:c r="B22" s="31" t="str">
        <x:v>HBL clean-sheet payload rating</x:v>
      </x:c>
      <x:c r="C22" s="32" t="n">
        <x:v>340</x:v>
      </x:c>
      <x:c r="D22" s="31" t="str">
        <x:v>t/vehicle</x:v>
      </x:c>
      <x:c r="E22" s="31" t="str">
        <x:v>derived</x:v>
      </x:c>
      <x:c r="F22" s="33" t="str">
        <x:v>rounded from 333.375 t minimum</x:v>
      </x:c>
    </x:row>
    <x:row r="23">
      <x:c r="B23" s="31" t="str">
        <x:v>HBL usable stowed volume</x:v>
      </x:c>
      <x:c r="C23" s="32" t="n">
        <x:v>1400</x:v>
      </x:c>
      <x:c r="D23" s="31" t="str">
        <x:v>m3/vehicle</x:v>
      </x:c>
      <x:c r="E23" s="31" t="str">
        <x:v>declared envelope</x:v>
      </x:c>
      <x:c r="F23" s="33" t="str">
        <x:v>includes wet packs</x:v>
      </x:c>
    </x:row>
    <x:row r="24">
      <x:c r="B24" s="31" t="str">
        <x:v>HBL usable load-deck area</x:v>
      </x:c>
      <x:c r="C24" s="32" t="n">
        <x:v>352</x:v>
      </x:c>
      <x:c r="D24" s="31" t="str">
        <x:v>m2/vehicle</x:v>
      </x:c>
      <x:c r="E24" s="31" t="str">
        <x:v>declared envelope</x:v>
      </x:c>
      <x:c r="F24" s="33" t="str">
        <x:v>robotic rail grid</x:v>
      </x:c>
    </x:row>
    <x:row r="25">
      <x:c r="B25" s="31" t="str">
        <x:v>ATUT units per terrain cell</x:v>
      </x:c>
      <x:c r="C25" s="32" t="n">
        <x:v>4</x:v>
      </x:c>
      <x:c r="D25" s="31" t="str">
        <x:v>vehicles</x:v>
      </x:c>
      <x:c r="E25" s="31" t="str">
        <x:v>Pass 81</x:v>
      </x:c>
      <x:c r="F25" s="33" t="str">
        <x:v>one terrain cell</x:v>
      </x:c>
    </x:row>
    <x:row r="26">
      <x:c r="B26" s="31" t="str">
        <x:v>ATUT clean-sheet payload rating</x:v>
      </x:c>
      <x:c r="C26" s="32" t="n">
        <x:v>170</x:v>
      </x:c>
      <x:c r="D26" s="31" t="str">
        <x:v>t/vehicle</x:v>
      </x:c>
      <x:c r="E26" s="31" t="str">
        <x:v>derived</x:v>
      </x:c>
      <x:c r="F26" s="33" t="str">
        <x:v>rounded from 166.6875 t minimum</x:v>
      </x:c>
    </x:row>
    <x:row r="27">
      <x:c r="B27" s="31" t="str">
        <x:v>ATUT usable stowed volume</x:v>
      </x:c>
      <x:c r="C27" s="32" t="n">
        <x:v>800</x:v>
      </x:c>
      <x:c r="D27" s="31" t="str">
        <x:v>m3/vehicle</x:v>
      </x:c>
      <x:c r="E27" s="31" t="str">
        <x:v>declared envelope</x:v>
      </x:c>
      <x:c r="F27" s="33" t="str">
        <x:v>side-accessible modular deck</x:v>
      </x:c>
    </x:row>
    <x:row r="28">
      <x:c r="B28" s="31" t="str">
        <x:v>ATUT usable load-deck area</x:v>
      </x:c>
      <x:c r="C28" s="32" t="n">
        <x:v>184</x:v>
      </x:c>
      <x:c r="D28" s="31" t="str">
        <x:v>m2/vehicle</x:v>
      </x:c>
      <x:c r="E28" s="31" t="str">
        <x:v>declared envelope</x:v>
      </x:c>
      <x:c r="F28" s="33" t="str">
        <x:v>includes wet pack</x:v>
      </x:c>
    </x:row>
    <x:row r="29">
      <x:c r="B29" s="31" t="str">
        <x:v>HBL longitudinal CG minimum</x:v>
      </x:c>
      <x:c r="C29" s="32" t="n">
        <x:v>15</x:v>
      </x:c>
      <x:c r="D29" s="31" t="str">
        <x:v>m</x:v>
      </x:c>
      <x:c r="E29" s="31" t="str">
        <x:v>declared envelope</x:v>
      </x:c>
      <x:c r="F29" s="33" t="str">
        <x:v>payload coordinate</x:v>
      </x:c>
    </x:row>
    <x:row r="30">
      <x:c r="B30" s="31" t="str">
        <x:v>HBL longitudinal CG maximum</x:v>
      </x:c>
      <x:c r="C30" s="32" t="n">
        <x:v>17</x:v>
      </x:c>
      <x:c r="D30" s="31" t="str">
        <x:v>m</x:v>
      </x:c>
      <x:c r="E30" s="31" t="str">
        <x:v>declared envelope</x:v>
      </x:c>
      <x:c r="F30" s="33" t="str">
        <x:v>payload coordinate</x:v>
      </x:c>
    </x:row>
    <x:row r="31">
      <x:c r="B31" s="31" t="str">
        <x:v>ATUT longitudinal CG minimum</x:v>
      </x:c>
      <x:c r="C31" s="32" t="n">
        <x:v>10.5</x:v>
      </x:c>
      <x:c r="D31" s="31" t="str">
        <x:v>m</x:v>
      </x:c>
      <x:c r="E31" s="31" t="str">
        <x:v>declared envelope</x:v>
      </x:c>
      <x:c r="F31" s="33" t="str">
        <x:v>payload coordinate</x:v>
      </x:c>
    </x:row>
    <x:row r="32">
      <x:c r="B32" s="31" t="str">
        <x:v>ATUT longitudinal CG maximum</x:v>
      </x:c>
      <x:c r="C32" s="32" t="n">
        <x:v>11.5</x:v>
      </x:c>
      <x:c r="D32" s="31" t="str">
        <x:v>m</x:v>
      </x:c>
      <x:c r="E32" s="31" t="str">
        <x:v>declared envelope</x:v>
      </x:c>
      <x:c r="F32" s="33" t="str">
        <x:v>payload coordinate</x:v>
      </x:c>
    </x:row>
    <x:row r="33">
      <x:c r="B33" s="31" t="str">
        <x:v>Maximum absolute lateral CG</x:v>
      </x:c>
      <x:c r="C33" s="32" t="n">
        <x:v>0.35</x:v>
      </x:c>
      <x:c r="D33" s="31" t="str">
        <x:v>m</x:v>
      </x:c>
      <x:c r="E33" s="31" t="str">
        <x:v>declared envelope</x:v>
      </x:c>
      <x:c r="F33" s="33" t="str">
        <x:v>both carrier families</x:v>
      </x:c>
    </x:row>
    <x:row r="34">
      <x:c r="B34" s="31" t="str">
        <x:v>Maximum vertical payload CG</x:v>
      </x:c>
      <x:c r="C34" s="32" t="n">
        <x:v>3</x:v>
      </x:c>
      <x:c r="D34" s="31" t="str">
        <x:v>m</x:v>
      </x:c>
      <x:c r="E34" s="31" t="str">
        <x:v>declared envelope</x:v>
      </x:c>
      <x:c r="F34" s="33" t="str">
        <x:v>above load-deck datum</x:v>
      </x:c>
    </x:row>
    <x:row r="35">
      <x:c r="B35" s="31" t="str">
        <x:v>Assigned hard-access groups</x:v>
      </x:c>
      <x:c r="C35" s="32" t="n">
        <x:v>22</x:v>
      </x:c>
      <x:c r="D35" s="31" t="str">
        <x:v>groups</x:v>
      </x:c>
      <x:c r="E35" s="31" t="str">
        <x:v>Pass 81</x:v>
      </x:c>
      <x:c r="F35" s="33" t="str">
        <x:v>national mission assignment</x:v>
      </x:c>
    </x:row>
    <x:row r="36">
      <x:c r="B36" s="31" t="str">
        <x:v>Concurrency factor</x:v>
      </x:c>
      <x:c r="C36" s="32" t="n">
        <x:v>1.5</x:v>
      </x:c>
      <x:c r="D36" s="31" t="str">
        <x:v>factor</x:v>
      </x:c>
      <x:c r="E36" s="31" t="str">
        <x:v>Pass 81</x:v>
      </x:c>
      <x:c r="F36" s="33" t="str">
        <x:v>overlapping campaigns</x:v>
      </x:c>
    </x:row>
    <x:row r="37">
      <x:c r="B37" s="31" t="str">
        <x:v>Readiness factor</x:v>
      </x:c>
      <x:c r="C37" s="32" t="n">
        <x:v>1.3</x:v>
      </x:c>
      <x:c r="D37" s="31" t="str">
        <x:v>factor</x:v>
      </x:c>
      <x:c r="E37" s="31" t="str">
        <x:v>Pass 81</x:v>
      </x:c>
      <x:c r="F37" s="33" t="str">
        <x:v>training, overhaul and attrition</x:v>
      </x:c>
    </x:row>
    <x:row r="38">
      <x:c r="B38" s="31" t="str">
        <x:v>Ready packages</x:v>
      </x:c>
      <x:c r="C38" s="34" t="n">
        <x:f>CEILING(C35*C36*C37,1)</x:f>
        <x:v>43</x:v>
      </x:c>
      <x:c r="D38" s="31" t="str">
        <x:v>packages</x:v>
      </x:c>
      <x:c r="E38" s="31" t="str">
        <x:v>calculated</x:v>
      </x:c>
      <x:c r="F38" s="33" t="str">
        <x:v>ceiling of assigned demand</x:v>
      </x:c>
    </x:row>
    <x:row r="39">
      <x:c r="B39" s="31" t="str">
        <x:v>Operations factor</x:v>
      </x:c>
      <x:c r="C39" s="32" t="n">
        <x:v>15.81</x:v>
      </x:c>
      <x:c r="D39" s="31" t="str">
        <x:v>years</x:v>
      </x:c>
      <x:c r="E39" s="31" t="str">
        <x:v>Pass 81</x:v>
      </x:c>
      <x:c r="F39" s="33" t="str">
        <x:v>twenty-five-year ramp weighted</x:v>
      </x:c>
    </x:row>
    <x:row r="40">
      <x:c r="B40" s="31" t="str">
        <x:v>F1-C1 national boundary at 43</x:v>
      </x:c>
      <x:c r="C40" s="36" t="n">
        <x:v>7383.14155</x:v>
      </x:c>
      <x:c r="D40" s="31" t="str">
        <x:v>$B</x:v>
      </x:c>
      <x:c r="E40" s="31" t="str">
        <x:v>Pass 81</x:v>
      </x:c>
      <x:c r="F40" s="33" t="str">
        <x:v>one-region force before reinforcement</x:v>
      </x:c>
    </x:row>
    <x:row r="41">
      <x:c r="B41" s="31" t="str">
        <x:v>F1-C1 cost per additional ready group</x:v>
      </x:c>
      <x:c r="C41" s="36" t="n">
        <x:v>19.8472</x:v>
      </x:c>
      <x:c r="D41" s="31" t="str">
        <x:v>$B/group</x:v>
      </x:c>
      <x:c r="E41" s="31" t="str">
        <x:v>Pass 81</x:v>
      </x:c>
      <x:c r="F41" s="33" t="str">
        <x:v>dynamic one-region base</x:v>
      </x:c>
    </x:row>
    <x:row r="42">
      <x:c r="B42" s="31" t="str">
        <x:v>Dynamic F1-C1 national boundary</x:v>
      </x:c>
      <x:c r="C42" s="37" t="n">
        <x:f>C40+(C38-43)*C41</x:f>
        <x:v>7383.14155</x:v>
      </x:c>
      <x:c r="D42" s="31" t="str">
        <x:v>$B</x:v>
      </x:c>
      <x:c r="E42" s="31" t="str">
        <x:v>calculated</x:v>
      </x:c>
      <x:c r="F42" s="33" t="str">
        <x:v>responds to group input</x:v>
      </x:c>
    </x:row>
    <x:row r="43">
      <x:c r="B43" s="31" t="str">
        <x:v>Pass 81 DCP-2 package</x:v>
      </x:c>
      <x:c r="C43" s="36" t="n">
        <x:v>770.6333</x:v>
      </x:c>
      <x:c r="D43" s="31" t="str">
        <x:v>$B</x:v>
      </x:c>
      <x:c r="E43" s="31" t="str">
        <x:v>Pass 81</x:v>
      </x:c>
      <x:c r="F43" s="33" t="str">
        <x:v>pre-configuration comparator</x:v>
      </x:c>
    </x:row>
    <x:row r="44">
      <x:c r="B44" s="31" t="str">
        <x:v>Pass 80 full-duplication increment</x:v>
      </x:c>
      <x:c r="C44" s="36" t="n">
        <x:v>963.4964</x:v>
      </x:c>
      <x:c r="D44" s="31" t="str">
        <x:v>$B</x:v>
      </x:c>
      <x:c r="E44" s="31" t="str">
        <x:v>Pass 81 control</x:v>
      </x:c>
      <x:c r="F44" s="33" t="str">
        <x:v>not configured to Pass 82 depth</x:v>
      </x:c>
    </x:row>
    <x:row r="45">
      <x:c r="B45" s="38" t="str">
        <x:v>Rendering authorization</x:v>
      </x:c>
      <x:c r="C45" s="39" t="n">
        <x:v>0</x:v>
      </x:c>
      <x:c r="D45" s="38" t="str">
        <x:v>binary</x:v>
      </x:c>
      <x:c r="E45" s="38" t="str">
        <x:v>governance</x:v>
      </x:c>
      <x:c r="F45" s="40" t="str">
        <x:v>blocked pending carrier physics</x:v>
      </x:c>
    </x:row>
    <x:row r="46">
      <x:c r="B46" s="2"/>
      <x:c r="C46" s="2"/>
      <x:c r="D46" s="2"/>
      <x:c r="E46" s="2"/>
      <x:c r="F46" s="2"/>
    </x:row>
    <x:row r="47">
      <x:c r="B47" s="2"/>
      <x:c r="C47" s="2"/>
      <x:c r="D47" s="2"/>
      <x:c r="E47" s="2"/>
      <x:c r="F47" s="2"/>
    </x:row>
    <x:row r="48">
      <x:c r="B48" s="2"/>
      <x:c r="C48" s="2"/>
      <x:c r="D48" s="2"/>
      <x:c r="E48" s="2"/>
      <x:c r="F48" s="2"/>
    </x:row>
    <x:row r="49">
      <x:c r="B49" s="2"/>
      <x:c r="C49" s="2"/>
      <x:c r="D49" s="2"/>
      <x:c r="E49" s="2"/>
      <x:c r="F49" s="2"/>
    </x:row>
    <x:row r="50">
      <x:c r="B50" s="2"/>
      <x:c r="C50" s="2"/>
      <x:c r="D50" s="2"/>
      <x:c r="E50" s="2"/>
      <x:c r="F50" s="2"/>
    </x:row>
    <x:row r="51">
      <x:c r="B51" s="2"/>
      <x:c r="C51" s="2"/>
      <x:c r="D51" s="2"/>
      <x:c r="E51" s="2"/>
      <x:c r="F51" s="2"/>
    </x:row>
    <x:row r="52">
      <x:c r="B52" s="2"/>
      <x:c r="C52" s="2"/>
      <x:c r="D52" s="2"/>
      <x:c r="E52" s="2"/>
      <x:c r="F52" s="2"/>
    </x:row>
  </x:sheetData>
  <x:mergeCells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1" hidden="0" customWidth="1"/>
    <x:col min="4" max="4" width="9" hidden="0" customWidth="1"/>
    <x:col min="5" max="5" width="38" hidden="0" customWidth="1"/>
    <x:col min="6" max="6" width="39" hidden="0" customWidth="1"/>
    <x:col min="7" max="7" width="12" hidden="0" customWidth="1"/>
    <x:col min="8" max="8" width="16" hidden="0" customWidth="1"/>
    <x:col min="9" max="9" width="18" hidden="0" customWidth="1"/>
    <x:col min="10" max="10" width="17" hidden="0" customWidth="1"/>
    <x:col min="11" max="11" width="13" hidden="0" customWidth="1"/>
    <x:col min="12" max="12" width="18" hidden="0" customWidth="1"/>
    <x:col min="13" max="13" width="15" hidden="0" customWidth="1"/>
    <x:col min="14" max="14" width="17" hidden="0" customWidth="1"/>
    <x:col min="15" max="15" width="31" hidden="0" customWidth="1"/>
  </x:cols>
  <x:sheetData>
    <x:row r="2">
      <x:c r="B2" s="3" t="str">
        <x:v>Thirty-two-position service-cell standard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B3" s="4" t="str">
        <x:v>The standard controls function, mass, stowed cube, deck demand and unload order before carrier assignment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B6" s="29" t="str">
        <x:v>Position</x:v>
      </x:c>
      <x:c r="C6" s="30" t="str">
        <x:v>Package</x:v>
      </x:c>
      <x:c r="D6" s="30" t="str">
        <x:v>Unit</x:v>
      </x:c>
      <x:c r="E6" s="30" t="str">
        <x:v>Function</x:v>
      </x:c>
      <x:c r="F6" s="30" t="str">
        <x:v>Subfunction</x:v>
      </x:c>
      <x:c r="G6" s="30" t="str">
        <x:v>Load block</x:v>
      </x:c>
      <x:c r="H6" s="30" t="str">
        <x:v>Dry mass t</x:v>
      </x:c>
      <x:c r="I6" s="30" t="str">
        <x:v>Stowed cube m3</x:v>
      </x:c>
      <x:c r="J6" s="30" t="str">
        <x:v>Deck area m2</x:v>
      </x:c>
      <x:c r="K6" s="30" t="str">
        <x:v>Height m</x:v>
      </x:c>
      <x:c r="L6" s="30" t="str">
        <x:v>Hazard class</x:v>
      </x:c>
      <x:c r="M6" s="30" t="str">
        <x:v>Unload wave</x:v>
      </x:c>
      <x:c r="N6" s="30" t="str">
        <x:v>External standard</x:v>
      </x:c>
      <x:c r="O6" s="30" t="str">
        <x:v>Functional redundancy</x:v>
      </x:c>
    </x:row>
    <x:row r="7">
      <x:c r="B7" s="31" t="str">
        <x:v>P01-1</x:v>
      </x:c>
      <x:c r="C7" s="31" t="str">
        <x:v>P01</x:v>
      </x:c>
      <x:c r="D7" s="31" t="n">
        <x:v>1</x:v>
      </x:c>
      <x:c r="E7" s="31" t="str">
        <x:v>Firm power conversion</x:v>
      </x:c>
      <x:c r="F7" s="31" t="str">
        <x:v>Generator-converter train A</x:v>
      </x:c>
      <x:c r="G7" s="31" t="str">
        <x:v>L1</x:v>
      </x:c>
      <x:c r="H7" s="41" t="n">
        <x:v>20.5</x:v>
      </x:c>
      <x:c r="I7" s="41" t="n">
        <x:v>65</x:v>
      </x:c>
      <x:c r="J7" s="41" t="n">
        <x:v>15</x:v>
      </x:c>
      <x:c r="K7" s="41" t="n">
        <x:v>4.333</x:v>
      </x:c>
      <x:c r="L7" s="31" t="str">
        <x:v>electrical</x:v>
      </x:c>
      <x:c r="M7" s="31" t="n">
        <x:v>8</x:v>
      </x:c>
      <x:c r="N7" s="31" t="str">
        <x:v>PTS-5 v1</x:v>
      </x:c>
      <x:c r="O7" s="33" t="str">
        <x:v>paired source and protection</x:v>
      </x:c>
    </x:row>
    <x:row r="8">
      <x:c r="B8" s="31" t="str">
        <x:v>P01-2</x:v>
      </x:c>
      <x:c r="C8" s="31" t="str">
        <x:v>P01</x:v>
      </x:c>
      <x:c r="D8" s="31" t="n">
        <x:v>2</x:v>
      </x:c>
      <x:c r="E8" s="31" t="str">
        <x:v>Firm power conversion</x:v>
      </x:c>
      <x:c r="F8" s="31" t="str">
        <x:v>Generator-converter train B</x:v>
      </x:c>
      <x:c r="G8" s="31" t="str">
        <x:v>L1</x:v>
      </x:c>
      <x:c r="H8" s="41" t="n">
        <x:v>20.5</x:v>
      </x:c>
      <x:c r="I8" s="41" t="n">
        <x:v>65</x:v>
      </x:c>
      <x:c r="J8" s="41" t="n">
        <x:v>15</x:v>
      </x:c>
      <x:c r="K8" s="41" t="n">
        <x:v>4.333</x:v>
      </x:c>
      <x:c r="L8" s="31" t="str">
        <x:v>electrical</x:v>
      </x:c>
      <x:c r="M8" s="31" t="n">
        <x:v>8</x:v>
      </x:c>
      <x:c r="N8" s="31" t="str">
        <x:v>PTS-5 v1</x:v>
      </x:c>
      <x:c r="O8" s="33" t="str">
        <x:v>paired source and protection</x:v>
      </x:c>
    </x:row>
    <x:row r="9">
      <x:c r="B9" s="31" t="str">
        <x:v>P01-3</x:v>
      </x:c>
      <x:c r="C9" s="31" t="str">
        <x:v>P01</x:v>
      </x:c>
      <x:c r="D9" s="31" t="n">
        <x:v>3</x:v>
      </x:c>
      <x:c r="E9" s="31" t="str">
        <x:v>Firm power conversion</x:v>
      </x:c>
      <x:c r="F9" s="31" t="str">
        <x:v>Transformer-protection train A</x:v>
      </x:c>
      <x:c r="G9" s="31" t="str">
        <x:v>L1</x:v>
      </x:c>
      <x:c r="H9" s="41" t="n">
        <x:v>20.5</x:v>
      </x:c>
      <x:c r="I9" s="41" t="n">
        <x:v>65</x:v>
      </x:c>
      <x:c r="J9" s="41" t="n">
        <x:v>15</x:v>
      </x:c>
      <x:c r="K9" s="41" t="n">
        <x:v>4.333</x:v>
      </x:c>
      <x:c r="L9" s="31" t="str">
        <x:v>electrical</x:v>
      </x:c>
      <x:c r="M9" s="31" t="n">
        <x:v>8</x:v>
      </x:c>
      <x:c r="N9" s="31" t="str">
        <x:v>PTS-5 v1</x:v>
      </x:c>
      <x:c r="O9" s="33" t="str">
        <x:v>paired source and protection</x:v>
      </x:c>
    </x:row>
    <x:row r="10">
      <x:c r="B10" s="31" t="str">
        <x:v>P01-4</x:v>
      </x:c>
      <x:c r="C10" s="31" t="str">
        <x:v>P01</x:v>
      </x:c>
      <x:c r="D10" s="31" t="n">
        <x:v>4</x:v>
      </x:c>
      <x:c r="E10" s="31" t="str">
        <x:v>Firm power conversion</x:v>
      </x:c>
      <x:c r="F10" s="31" t="str">
        <x:v>Transformer-protection train B</x:v>
      </x:c>
      <x:c r="G10" s="31" t="str">
        <x:v>L1</x:v>
      </x:c>
      <x:c r="H10" s="41" t="n">
        <x:v>20.5</x:v>
      </x:c>
      <x:c r="I10" s="41" t="n">
        <x:v>65</x:v>
      </x:c>
      <x:c r="J10" s="41" t="n">
        <x:v>15</x:v>
      </x:c>
      <x:c r="K10" s="41" t="n">
        <x:v>4.333</x:v>
      </x:c>
      <x:c r="L10" s="31" t="str">
        <x:v>electrical</x:v>
      </x:c>
      <x:c r="M10" s="31" t="n">
        <x:v>8</x:v>
      </x:c>
      <x:c r="N10" s="31" t="str">
        <x:v>PTS-5 v1</x:v>
      </x:c>
      <x:c r="O10" s="33" t="str">
        <x:v>paired source and protection</x:v>
      </x:c>
    </x:row>
    <x:row r="11">
      <x:c r="B11" s="31" t="str">
        <x:v>P02-1</x:v>
      </x:c>
      <x:c r="C11" s="31" t="str">
        <x:v>P02</x:v>
      </x:c>
      <x:c r="D11" s="31" t="n">
        <x:v>1</x:v>
      </x:c>
      <x:c r="E11" s="31" t="str">
        <x:v>Distributed black-start storage</x:v>
      </x:c>
      <x:c r="F11" s="31" t="str">
        <x:v>Storage partition A</x:v>
      </x:c>
      <x:c r="G11" s="31" t="str">
        <x:v>L1</x:v>
      </x:c>
      <x:c r="H11" s="41" t="n">
        <x:v>14</x:v>
      </x:c>
      <x:c r="I11" s="41" t="n">
        <x:v>60</x:v>
      </x:c>
      <x:c r="J11" s="41" t="n">
        <x:v>16</x:v>
      </x:c>
      <x:c r="K11" s="41" t="n">
        <x:v>3.75</x:v>
      </x:c>
      <x:c r="L11" s="31" t="str">
        <x:v>battery</x:v>
      </x:c>
      <x:c r="M11" s="31" t="n">
        <x:v>4</x:v>
      </x:c>
      <x:c r="N11" s="31" t="str">
        <x:v>PTS-5 v1</x:v>
      </x:c>
      <x:c r="O11" s="33" t="str">
        <x:v>three isolated partitions</x:v>
      </x:c>
    </x:row>
    <x:row r="12">
      <x:c r="B12" s="31" t="str">
        <x:v>P02-2</x:v>
      </x:c>
      <x:c r="C12" s="31" t="str">
        <x:v>P02</x:v>
      </x:c>
      <x:c r="D12" s="31" t="n">
        <x:v>2</x:v>
      </x:c>
      <x:c r="E12" s="31" t="str">
        <x:v>Distributed black-start storage</x:v>
      </x:c>
      <x:c r="F12" s="31" t="str">
        <x:v>Storage partition B</x:v>
      </x:c>
      <x:c r="G12" s="31" t="str">
        <x:v>L1</x:v>
      </x:c>
      <x:c r="H12" s="41" t="n">
        <x:v>14</x:v>
      </x:c>
      <x:c r="I12" s="41" t="n">
        <x:v>60</x:v>
      </x:c>
      <x:c r="J12" s="41" t="n">
        <x:v>16</x:v>
      </x:c>
      <x:c r="K12" s="41" t="n">
        <x:v>3.75</x:v>
      </x:c>
      <x:c r="L12" s="31" t="str">
        <x:v>battery</x:v>
      </x:c>
      <x:c r="M12" s="31" t="n">
        <x:v>4</x:v>
      </x:c>
      <x:c r="N12" s="31" t="str">
        <x:v>PTS-5 v1</x:v>
      </x:c>
      <x:c r="O12" s="33" t="str">
        <x:v>three isolated partitions</x:v>
      </x:c>
    </x:row>
    <x:row r="13">
      <x:c r="B13" s="31" t="str">
        <x:v>P02-3</x:v>
      </x:c>
      <x:c r="C13" s="31" t="str">
        <x:v>P02</x:v>
      </x:c>
      <x:c r="D13" s="31" t="n">
        <x:v>3</x:v>
      </x:c>
      <x:c r="E13" s="31" t="str">
        <x:v>Distributed black-start storage</x:v>
      </x:c>
      <x:c r="F13" s="31" t="str">
        <x:v>Storage partition C</x:v>
      </x:c>
      <x:c r="G13" s="31" t="str">
        <x:v>L1</x:v>
      </x:c>
      <x:c r="H13" s="41" t="n">
        <x:v>14</x:v>
      </x:c>
      <x:c r="I13" s="41" t="n">
        <x:v>60</x:v>
      </x:c>
      <x:c r="J13" s="41" t="n">
        <x:v>16</x:v>
      </x:c>
      <x:c r="K13" s="41" t="n">
        <x:v>3.75</x:v>
      </x:c>
      <x:c r="L13" s="31" t="str">
        <x:v>battery</x:v>
      </x:c>
      <x:c r="M13" s="31" t="n">
        <x:v>4</x:v>
      </x:c>
      <x:c r="N13" s="31" t="str">
        <x:v>PTS-5 v1</x:v>
      </x:c>
      <x:c r="O13" s="33" t="str">
        <x:v>three isolated partitions</x:v>
      </x:c>
    </x:row>
    <x:row r="14">
      <x:c r="B14" s="31" t="str">
        <x:v>P03-1</x:v>
      </x:c>
      <x:c r="C14" s="31" t="str">
        <x:v>P03</x:v>
      </x:c>
      <x:c r="D14" s="31" t="n">
        <x:v>1</x:v>
      </x:c>
      <x:c r="E14" s="31" t="str">
        <x:v>Useful cooling trains</x:v>
      </x:c>
      <x:c r="F14" s="31" t="str">
        <x:v>Cooling train A</x:v>
      </x:c>
      <x:c r="G14" s="31" t="str">
        <x:v>L2</x:v>
      </x:c>
      <x:c r="H14" s="41" t="n">
        <x:v>16</x:v>
      </x:c>
      <x:c r="I14" s="41" t="n">
        <x:v>84</x:v>
      </x:c>
      <x:c r="J14" s="41" t="n">
        <x:v>18</x:v>
      </x:c>
      <x:c r="K14" s="41" t="n">
        <x:v>4.667</x:v>
      </x:c>
      <x:c r="L14" s="31" t="str">
        <x:v>refrigerant</x:v>
      </x:c>
      <x:c r="M14" s="31" t="n">
        <x:v>9</x:v>
      </x:c>
      <x:c r="N14" s="31" t="str">
        <x:v>PTS-5 v1</x:v>
      </x:c>
      <x:c r="O14" s="33" t="str">
        <x:v>three useful-cooling trains</x:v>
      </x:c>
    </x:row>
    <x:row r="15">
      <x:c r="B15" s="31" t="str">
        <x:v>P03-2</x:v>
      </x:c>
      <x:c r="C15" s="31" t="str">
        <x:v>P03</x:v>
      </x:c>
      <x:c r="D15" s="31" t="n">
        <x:v>2</x:v>
      </x:c>
      <x:c r="E15" s="31" t="str">
        <x:v>Useful cooling trains</x:v>
      </x:c>
      <x:c r="F15" s="31" t="str">
        <x:v>Cooling train B</x:v>
      </x:c>
      <x:c r="G15" s="31" t="str">
        <x:v>L2</x:v>
      </x:c>
      <x:c r="H15" s="41" t="n">
        <x:v>16</x:v>
      </x:c>
      <x:c r="I15" s="41" t="n">
        <x:v>83</x:v>
      </x:c>
      <x:c r="J15" s="41" t="n">
        <x:v>18</x:v>
      </x:c>
      <x:c r="K15" s="41" t="n">
        <x:v>4.611</x:v>
      </x:c>
      <x:c r="L15" s="31" t="str">
        <x:v>refrigerant</x:v>
      </x:c>
      <x:c r="M15" s="31" t="n">
        <x:v>9</x:v>
      </x:c>
      <x:c r="N15" s="31" t="str">
        <x:v>PTS-5 v1</x:v>
      </x:c>
      <x:c r="O15" s="33" t="str">
        <x:v>three useful-cooling trains</x:v>
      </x:c>
    </x:row>
    <x:row r="16">
      <x:c r="B16" s="31" t="str">
        <x:v>P03-3</x:v>
      </x:c>
      <x:c r="C16" s="31" t="str">
        <x:v>P03</x:v>
      </x:c>
      <x:c r="D16" s="31" t="n">
        <x:v>3</x:v>
      </x:c>
      <x:c r="E16" s="31" t="str">
        <x:v>Useful cooling trains</x:v>
      </x:c>
      <x:c r="F16" s="31" t="str">
        <x:v>Cooling train C</x:v>
      </x:c>
      <x:c r="G16" s="31" t="str">
        <x:v>L2</x:v>
      </x:c>
      <x:c r="H16" s="41" t="n">
        <x:v>16</x:v>
      </x:c>
      <x:c r="I16" s="41" t="n">
        <x:v>83</x:v>
      </x:c>
      <x:c r="J16" s="41" t="n">
        <x:v>18</x:v>
      </x:c>
      <x:c r="K16" s="41" t="n">
        <x:v>4.611</x:v>
      </x:c>
      <x:c r="L16" s="31" t="str">
        <x:v>refrigerant</x:v>
      </x:c>
      <x:c r="M16" s="31" t="n">
        <x:v>9</x:v>
      </x:c>
      <x:c r="N16" s="31" t="str">
        <x:v>PTS-5 v1</x:v>
      </x:c>
      <x:c r="O16" s="33" t="str">
        <x:v>three useful-cooling trains</x:v>
      </x:c>
    </x:row>
    <x:row r="17">
      <x:c r="B17" s="31" t="str">
        <x:v>P04-1</x:v>
      </x:c>
      <x:c r="C17" s="31" t="str">
        <x:v>P04</x:v>
      </x:c>
      <x:c r="D17" s="31" t="n">
        <x:v>1</x:v>
      </x:c>
      <x:c r="E17" s="31" t="str">
        <x:v>Final heat-rejection field</x:v>
      </x:c>
      <x:c r="F17" s="31" t="str">
        <x:v>Heat-rejection wing A</x:v>
      </x:c>
      <x:c r="G17" s="31" t="str">
        <x:v>L1</x:v>
      </x:c>
      <x:c r="H17" s="41" t="n">
        <x:v>21</x:v>
      </x:c>
      <x:c r="I17" s="41" t="n">
        <x:v>127</x:v>
      </x:c>
      <x:c r="J17" s="41" t="n">
        <x:v>28</x:v>
      </x:c>
      <x:c r="K17" s="41" t="n">
        <x:v>4.536</x:v>
      </x:c>
      <x:c r="L17" s="31" t="str">
        <x:v>thermal</x:v>
      </x:c>
      <x:c r="M17" s="31" t="n">
        <x:v>10</x:v>
      </x:c>
      <x:c r="N17" s="31" t="str">
        <x:v>PTS-5 v1</x:v>
      </x:c>
      <x:c r="O17" s="33" t="str">
        <x:v>three separated sink wings</x:v>
      </x:c>
    </x:row>
    <x:row r="18">
      <x:c r="B18" s="31" t="str">
        <x:v>P04-2</x:v>
      </x:c>
      <x:c r="C18" s="31" t="str">
        <x:v>P04</x:v>
      </x:c>
      <x:c r="D18" s="31" t="n">
        <x:v>2</x:v>
      </x:c>
      <x:c r="E18" s="31" t="str">
        <x:v>Final heat-rejection field</x:v>
      </x:c>
      <x:c r="F18" s="31" t="str">
        <x:v>Heat-rejection wing B</x:v>
      </x:c>
      <x:c r="G18" s="31" t="str">
        <x:v>L2</x:v>
      </x:c>
      <x:c r="H18" s="41" t="n">
        <x:v>21</x:v>
      </x:c>
      <x:c r="I18" s="41" t="n">
        <x:v>127</x:v>
      </x:c>
      <x:c r="J18" s="41" t="n">
        <x:v>28</x:v>
      </x:c>
      <x:c r="K18" s="41" t="n">
        <x:v>4.536</x:v>
      </x:c>
      <x:c r="L18" s="31" t="str">
        <x:v>thermal</x:v>
      </x:c>
      <x:c r="M18" s="31" t="n">
        <x:v>10</x:v>
      </x:c>
      <x:c r="N18" s="31" t="str">
        <x:v>PTS-5 v1</x:v>
      </x:c>
      <x:c r="O18" s="33" t="str">
        <x:v>three separated sink wings</x:v>
      </x:c>
    </x:row>
    <x:row r="19">
      <x:c r="B19" s="31" t="str">
        <x:v>P04-3</x:v>
      </x:c>
      <x:c r="C19" s="31" t="str">
        <x:v>P04</x:v>
      </x:c>
      <x:c r="D19" s="31" t="n">
        <x:v>3</x:v>
      </x:c>
      <x:c r="E19" s="31" t="str">
        <x:v>Final heat-rejection field</x:v>
      </x:c>
      <x:c r="F19" s="31" t="str">
        <x:v>Heat-rejection wing C</x:v>
      </x:c>
      <x:c r="G19" s="31" t="str">
        <x:v>L2</x:v>
      </x:c>
      <x:c r="H19" s="41" t="n">
        <x:v>20</x:v>
      </x:c>
      <x:c r="I19" s="41" t="n">
        <x:v>126</x:v>
      </x:c>
      <x:c r="J19" s="41" t="n">
        <x:v>28</x:v>
      </x:c>
      <x:c r="K19" s="41" t="n">
        <x:v>4.5</x:v>
      </x:c>
      <x:c r="L19" s="31" t="str">
        <x:v>thermal</x:v>
      </x:c>
      <x:c r="M19" s="31" t="n">
        <x:v>10</x:v>
      </x:c>
      <x:c r="N19" s="31" t="str">
        <x:v>PTS-5 v1</x:v>
      </x:c>
      <x:c r="O19" s="33" t="str">
        <x:v>three separated sink wings</x:v>
      </x:c>
    </x:row>
    <x:row r="20">
      <x:c r="B20" s="31" t="str">
        <x:v>P05-1</x:v>
      </x:c>
      <x:c r="C20" s="31" t="str">
        <x:v>P05</x:v>
      </x:c>
      <x:c r="D20" s="31" t="n">
        <x:v>1</x:v>
      </x:c>
      <x:c r="E20" s="31" t="str">
        <x:v>Water treatment and quality</x:v>
      </x:c>
      <x:c r="F20" s="31" t="str">
        <x:v>Treatment train A</x:v>
      </x:c>
      <x:c r="G20" s="31" t="str">
        <x:v>L2</x:v>
      </x:c>
      <x:c r="H20" s="41" t="n">
        <x:v>15</x:v>
      </x:c>
      <x:c r="I20" s="41" t="n">
        <x:v>74</x:v>
      </x:c>
      <x:c r="J20" s="41" t="n">
        <x:v>16</x:v>
      </x:c>
      <x:c r="K20" s="41" t="n">
        <x:v>4.625</x:v>
      </x:c>
      <x:c r="L20" s="31" t="str">
        <x:v>treatment</x:v>
      </x:c>
      <x:c r="M20" s="31" t="n">
        <x:v>11</x:v>
      </x:c>
      <x:c r="N20" s="31" t="str">
        <x:v>PTS-5 v1</x:v>
      </x:c>
      <x:c r="O20" s="33" t="str">
        <x:v>two trains plus release lab</x:v>
      </x:c>
    </x:row>
    <x:row r="21">
      <x:c r="B21" s="31" t="str">
        <x:v>P05-2</x:v>
      </x:c>
      <x:c r="C21" s="31" t="str">
        <x:v>P05</x:v>
      </x:c>
      <x:c r="D21" s="31" t="n">
        <x:v>2</x:v>
      </x:c>
      <x:c r="E21" s="31" t="str">
        <x:v>Water treatment and quality</x:v>
      </x:c>
      <x:c r="F21" s="31" t="str">
        <x:v>Treatment train B</x:v>
      </x:c>
      <x:c r="G21" s="31" t="str">
        <x:v>L3</x:v>
      </x:c>
      <x:c r="H21" s="41" t="n">
        <x:v>14</x:v>
      </x:c>
      <x:c r="I21" s="41" t="n">
        <x:v>73</x:v>
      </x:c>
      <x:c r="J21" s="41" t="n">
        <x:v>16</x:v>
      </x:c>
      <x:c r="K21" s="41" t="n">
        <x:v>4.563</x:v>
      </x:c>
      <x:c r="L21" s="31" t="str">
        <x:v>treatment</x:v>
      </x:c>
      <x:c r="M21" s="31" t="n">
        <x:v>11</x:v>
      </x:c>
      <x:c r="N21" s="31" t="str">
        <x:v>PTS-5 v1</x:v>
      </x:c>
      <x:c r="O21" s="33" t="str">
        <x:v>two trains plus release lab</x:v>
      </x:c>
    </x:row>
    <x:row r="22">
      <x:c r="B22" s="31" t="str">
        <x:v>P05-3</x:v>
      </x:c>
      <x:c r="C22" s="31" t="str">
        <x:v>P05</x:v>
      </x:c>
      <x:c r="D22" s="31" t="n">
        <x:v>3</x:v>
      </x:c>
      <x:c r="E22" s="31" t="str">
        <x:v>Water treatment and quality</x:v>
      </x:c>
      <x:c r="F22" s="31" t="str">
        <x:v>Quality and product-release laboratory</x:v>
      </x:c>
      <x:c r="G22" s="31" t="str">
        <x:v>L3</x:v>
      </x:c>
      <x:c r="H22" s="41" t="n">
        <x:v>14</x:v>
      </x:c>
      <x:c r="I22" s="41" t="n">
        <x:v>73</x:v>
      </x:c>
      <x:c r="J22" s="41" t="n">
        <x:v>16</x:v>
      </x:c>
      <x:c r="K22" s="41" t="n">
        <x:v>4.563</x:v>
      </x:c>
      <x:c r="L22" s="31" t="str">
        <x:v>laboratory</x:v>
      </x:c>
      <x:c r="M22" s="31" t="n">
        <x:v>11</x:v>
      </x:c>
      <x:c r="N22" s="31" t="str">
        <x:v>PTS-5 v1</x:v>
      </x:c>
      <x:c r="O22" s="33" t="str">
        <x:v>two trains plus release lab</x:v>
      </x:c>
    </x:row>
    <x:row r="23">
      <x:c r="B23" s="31" t="str">
        <x:v>P06-1</x:v>
      </x:c>
      <x:c r="C23" s="31" t="str">
        <x:v>P06</x:v>
      </x:c>
      <x:c r="D23" s="31" t="n">
        <x:v>1</x:v>
      </x:c>
      <x:c r="E23" s="31" t="str">
        <x:v>Wastewater and residual custody</x:v>
      </x:c>
      <x:c r="F23" s="31" t="str">
        <x:v>Wastewater-residual train A</x:v>
      </x:c>
      <x:c r="G23" s="31" t="str">
        <x:v>L3</x:v>
      </x:c>
      <x:c r="H23" s="41" t="n">
        <x:v>13.5</x:v>
      </x:c>
      <x:c r="I23" s="41" t="n">
        <x:v>70</x:v>
      </x:c>
      <x:c r="J23" s="41" t="n">
        <x:v>15</x:v>
      </x:c>
      <x:c r="K23" s="41" t="n">
        <x:v>4.667</x:v>
      </x:c>
      <x:c r="L23" s="31" t="str">
        <x:v>residual</x:v>
      </x:c>
      <x:c r="M23" s="31" t="n">
        <x:v>12</x:v>
      </x:c>
      <x:c r="N23" s="31" t="str">
        <x:v>PTS-5 v1</x:v>
      </x:c>
      <x:c r="O23" s="33" t="str">
        <x:v>two isolated trains</x:v>
      </x:c>
    </x:row>
    <x:row r="24">
      <x:c r="B24" s="31" t="str">
        <x:v>P06-2</x:v>
      </x:c>
      <x:c r="C24" s="31" t="str">
        <x:v>P06</x:v>
      </x:c>
      <x:c r="D24" s="31" t="n">
        <x:v>2</x:v>
      </x:c>
      <x:c r="E24" s="31" t="str">
        <x:v>Wastewater and residual custody</x:v>
      </x:c>
      <x:c r="F24" s="31" t="str">
        <x:v>Wastewater-residual train B</x:v>
      </x:c>
      <x:c r="G24" s="31" t="str">
        <x:v>L3</x:v>
      </x:c>
      <x:c r="H24" s="41" t="n">
        <x:v>13.5</x:v>
      </x:c>
      <x:c r="I24" s="41" t="n">
        <x:v>70</x:v>
      </x:c>
      <x:c r="J24" s="41" t="n">
        <x:v>15</x:v>
      </x:c>
      <x:c r="K24" s="41" t="n">
        <x:v>4.667</x:v>
      </x:c>
      <x:c r="L24" s="31" t="str">
        <x:v>residual</x:v>
      </x:c>
      <x:c r="M24" s="31" t="n">
        <x:v>12</x:v>
      </x:c>
      <x:c r="N24" s="31" t="str">
        <x:v>PTS-5 v1</x:v>
      </x:c>
      <x:c r="O24" s="33" t="str">
        <x:v>two isolated trains</x:v>
      </x:c>
    </x:row>
    <x:row r="25">
      <x:c r="B25" s="31" t="str">
        <x:v>P07-1</x:v>
      </x:c>
      <x:c r="C25" s="31" t="str">
        <x:v>P07</x:v>
      </x:c>
      <x:c r="D25" s="31" t="n">
        <x:v>1</x:v>
      </x:c>
      <x:c r="E25" s="31" t="str">
        <x:v>Potable and fire-water storage</x:v>
      </x:c>
      <x:c r="F25" s="31" t="str">
        <x:v>Segmented tank bank A</x:v>
      </x:c>
      <x:c r="G25" s="31" t="str">
        <x:v>L4</x:v>
      </x:c>
      <x:c r="H25" s="41" t="n">
        <x:v>13</x:v>
      </x:c>
      <x:c r="I25" s="41" t="n">
        <x:v>125</x:v>
      </x:c>
      <x:c r="J25" s="41" t="n">
        <x:v>30</x:v>
      </x:c>
      <x:c r="K25" s="41" t="n">
        <x:v>4.167</x:v>
      </x:c>
      <x:c r="L25" s="31" t="str">
        <x:v>potable</x:v>
      </x:c>
      <x:c r="M25" s="31" t="n">
        <x:v>13</x:v>
      </x:c>
      <x:c r="N25" s="31" t="str">
        <x:v>PTS-5 v1</x:v>
      </x:c>
      <x:c r="O25" s="33" t="str">
        <x:v>two isolated banks</x:v>
      </x:c>
    </x:row>
    <x:row r="26">
      <x:c r="B26" s="31" t="str">
        <x:v>P07-2</x:v>
      </x:c>
      <x:c r="C26" s="31" t="str">
        <x:v>P07</x:v>
      </x:c>
      <x:c r="D26" s="31" t="n">
        <x:v>2</x:v>
      </x:c>
      <x:c r="E26" s="31" t="str">
        <x:v>Potable and fire-water storage</x:v>
      </x:c>
      <x:c r="F26" s="31" t="str">
        <x:v>Segmented tank bank B</x:v>
      </x:c>
      <x:c r="G26" s="31" t="str">
        <x:v>L4</x:v>
      </x:c>
      <x:c r="H26" s="41" t="n">
        <x:v>13</x:v>
      </x:c>
      <x:c r="I26" s="41" t="n">
        <x:v>125</x:v>
      </x:c>
      <x:c r="J26" s="41" t="n">
        <x:v>30</x:v>
      </x:c>
      <x:c r="K26" s="41" t="n">
        <x:v>4.167</x:v>
      </x:c>
      <x:c r="L26" s="31" t="str">
        <x:v>potable</x:v>
      </x:c>
      <x:c r="M26" s="31" t="n">
        <x:v>13</x:v>
      </x:c>
      <x:c r="N26" s="31" t="str">
        <x:v>PTS-5 v1</x:v>
      </x:c>
      <x:c r="O26" s="33" t="str">
        <x:v>two isolated banks</x:v>
      </x:c>
    </x:row>
    <x:row r="27">
      <x:c r="B27" s="31" t="str">
        <x:v>P08-1</x:v>
      </x:c>
      <x:c r="C27" s="31" t="str">
        <x:v>P08</x:v>
      </x:c>
      <x:c r="D27" s="31" t="n">
        <x:v>1</x:v>
      </x:c>
      <x:c r="E27" s="31" t="str">
        <x:v>Medium-voltage distribution</x:v>
      </x:c>
      <x:c r="F27" s="31" t="str">
        <x:v>Switchgear-feeder set A</x:v>
      </x:c>
      <x:c r="G27" s="31" t="str">
        <x:v>L4</x:v>
      </x:c>
      <x:c r="H27" s="41" t="n">
        <x:v>18</x:v>
      </x:c>
      <x:c r="I27" s="41" t="n">
        <x:v>75</x:v>
      </x:c>
      <x:c r="J27" s="41" t="n">
        <x:v>16</x:v>
      </x:c>
      <x:c r="K27" s="41" t="n">
        <x:v>4.688</x:v>
      </x:c>
      <x:c r="L27" s="31" t="str">
        <x:v>high voltage</x:v>
      </x:c>
      <x:c r="M27" s="31" t="n">
        <x:v>5</x:v>
      </x:c>
      <x:c r="N27" s="31" t="str">
        <x:v>PTS-5 v1</x:v>
      </x:c>
      <x:c r="O27" s="33" t="str">
        <x:v>two protection lineages</x:v>
      </x:c>
    </x:row>
    <x:row r="28">
      <x:c r="B28" s="31" t="str">
        <x:v>P08-2</x:v>
      </x:c>
      <x:c r="C28" s="31" t="str">
        <x:v>P08</x:v>
      </x:c>
      <x:c r="D28" s="31" t="n">
        <x:v>2</x:v>
      </x:c>
      <x:c r="E28" s="31" t="str">
        <x:v>Medium-voltage distribution</x:v>
      </x:c>
      <x:c r="F28" s="31" t="str">
        <x:v>Switchgear-feeder set B</x:v>
      </x:c>
      <x:c r="G28" s="31" t="str">
        <x:v>L4</x:v>
      </x:c>
      <x:c r="H28" s="41" t="n">
        <x:v>18</x:v>
      </x:c>
      <x:c r="I28" s="41" t="n">
        <x:v>75</x:v>
      </x:c>
      <x:c r="J28" s="41" t="n">
        <x:v>16</x:v>
      </x:c>
      <x:c r="K28" s="41" t="n">
        <x:v>4.688</x:v>
      </x:c>
      <x:c r="L28" s="31" t="str">
        <x:v>high voltage</x:v>
      </x:c>
      <x:c r="M28" s="31" t="n">
        <x:v>5</x:v>
      </x:c>
      <x:c r="N28" s="31" t="str">
        <x:v>PTS-5 v1</x:v>
      </x:c>
      <x:c r="O28" s="33" t="str">
        <x:v>two protection lineages</x:v>
      </x:c>
    </x:row>
    <x:row r="29">
      <x:c r="B29" s="31" t="str">
        <x:v>P09-1</x:v>
      </x:c>
      <x:c r="C29" s="31" t="str">
        <x:v>P09</x:v>
      </x:c>
      <x:c r="D29" s="31" t="n">
        <x:v>1</x:v>
      </x:c>
      <x:c r="E29" s="31" t="str">
        <x:v>Water and thermal distribution</x:v>
      </x:c>
      <x:c r="F29" s="31" t="str">
        <x:v>Fluid distribution set A</x:v>
      </x:c>
      <x:c r="G29" s="31" t="str">
        <x:v>L2</x:v>
      </x:c>
      <x:c r="H29" s="41" t="n">
        <x:v>17</x:v>
      </x:c>
      <x:c r="I29" s="41" t="n">
        <x:v>90</x:v>
      </x:c>
      <x:c r="J29" s="41" t="n">
        <x:v>18</x:v>
      </x:c>
      <x:c r="K29" s="41" t="n">
        <x:v>5</x:v>
      </x:c>
      <x:c r="L29" s="31" t="str">
        <x:v>fluid</x:v>
      </x:c>
      <x:c r="M29" s="31" t="n">
        <x:v>7</x:v>
      </x:c>
      <x:c r="N29" s="31" t="str">
        <x:v>PTS-5 v1</x:v>
      </x:c>
      <x:c r="O29" s="33" t="str">
        <x:v>separate product paths</x:v>
      </x:c>
    </x:row>
    <x:row r="30">
      <x:c r="B30" s="31" t="str">
        <x:v>P09-2</x:v>
      </x:c>
      <x:c r="C30" s="31" t="str">
        <x:v>P09</x:v>
      </x:c>
      <x:c r="D30" s="31" t="n">
        <x:v>2</x:v>
      </x:c>
      <x:c r="E30" s="31" t="str">
        <x:v>Water and thermal distribution</x:v>
      </x:c>
      <x:c r="F30" s="31" t="str">
        <x:v>Fluid distribution set B</x:v>
      </x:c>
      <x:c r="G30" s="31" t="str">
        <x:v>L3</x:v>
      </x:c>
      <x:c r="H30" s="41" t="n">
        <x:v>17</x:v>
      </x:c>
      <x:c r="I30" s="41" t="n">
        <x:v>90</x:v>
      </x:c>
      <x:c r="J30" s="41" t="n">
        <x:v>18</x:v>
      </x:c>
      <x:c r="K30" s="41" t="n">
        <x:v>5</x:v>
      </x:c>
      <x:c r="L30" s="31" t="str">
        <x:v>fluid</x:v>
      </x:c>
      <x:c r="M30" s="31" t="n">
        <x:v>7</x:v>
      </x:c>
      <x:c r="N30" s="31" t="str">
        <x:v>PTS-5 v1</x:v>
      </x:c>
      <x:c r="O30" s="33" t="str">
        <x:v>separate product paths</x:v>
      </x:c>
    </x:row>
    <x:row r="31">
      <x:c r="B31" s="31" t="str">
        <x:v>P10-1</x:v>
      </x:c>
      <x:c r="C31" s="31" t="str">
        <x:v>P10</x:v>
      </x:c>
      <x:c r="D31" s="31" t="n">
        <x:v>1</x:v>
      </x:c>
      <x:c r="E31" s="31" t="str">
        <x:v>Building interface kits</x:v>
      </x:c>
      <x:c r="F31" s="31" t="str">
        <x:v>Building terminator set A</x:v>
      </x:c>
      <x:c r="G31" s="31" t="str">
        <x:v>L3</x:v>
      </x:c>
      <x:c r="H31" s="41" t="n">
        <x:v>15</x:v>
      </x:c>
      <x:c r="I31" s="41" t="n">
        <x:v>85</x:v>
      </x:c>
      <x:c r="J31" s="41" t="n">
        <x:v>21</x:v>
      </x:c>
      <x:c r="K31" s="41" t="n">
        <x:v>4.048</x:v>
      </x:c>
      <x:c r="L31" s="31" t="str">
        <x:v>interface</x:v>
      </x:c>
      <x:c r="M31" s="31" t="n">
        <x:v>6</x:v>
      </x:c>
      <x:c r="N31" s="31" t="str">
        <x:v>PTS-5 v1</x:v>
      </x:c>
      <x:c r="O31" s="33" t="str">
        <x:v>ten building sets</x:v>
      </x:c>
    </x:row>
    <x:row r="32">
      <x:c r="B32" s="31" t="str">
        <x:v>P10-2</x:v>
      </x:c>
      <x:c r="C32" s="31" t="str">
        <x:v>P10</x:v>
      </x:c>
      <x:c r="D32" s="31" t="n">
        <x:v>2</x:v>
      </x:c>
      <x:c r="E32" s="31" t="str">
        <x:v>Building interface kits</x:v>
      </x:c>
      <x:c r="F32" s="31" t="str">
        <x:v>Building terminator set B</x:v>
      </x:c>
      <x:c r="G32" s="31" t="str">
        <x:v>L4</x:v>
      </x:c>
      <x:c r="H32" s="41" t="n">
        <x:v>15</x:v>
      </x:c>
      <x:c r="I32" s="41" t="n">
        <x:v>85</x:v>
      </x:c>
      <x:c r="J32" s="41" t="n">
        <x:v>21</x:v>
      </x:c>
      <x:c r="K32" s="41" t="n">
        <x:v>4.048</x:v>
      </x:c>
      <x:c r="L32" s="31" t="str">
        <x:v>interface</x:v>
      </x:c>
      <x:c r="M32" s="31" t="n">
        <x:v>6</x:v>
      </x:c>
      <x:c r="N32" s="31" t="str">
        <x:v>PTS-5 v1</x:v>
      </x:c>
      <x:c r="O32" s="33" t="str">
        <x:v>ten building sets</x:v>
      </x:c>
    </x:row>
    <x:row r="33">
      <x:c r="B33" s="31" t="str">
        <x:v>P11-1</x:v>
      </x:c>
      <x:c r="C33" s="31" t="str">
        <x:v>P11</x:v>
      </x:c>
      <x:c r="D33" s="31" t="n">
        <x:v>1</x:v>
      </x:c>
      <x:c r="E33" s="31" t="str">
        <x:v>Offline controls and communications</x:v>
      </x:c>
      <x:c r="F33" s="31" t="str">
        <x:v>Offline control core</x:v>
      </x:c>
      <x:c r="G33" s="31" t="str">
        <x:v>L3</x:v>
      </x:c>
      <x:c r="H33" s="41" t="n">
        <x:v>10</x:v>
      </x:c>
      <x:c r="I33" s="41" t="n">
        <x:v>40</x:v>
      </x:c>
      <x:c r="J33" s="41" t="n">
        <x:v>10</x:v>
      </x:c>
      <x:c r="K33" s="41" t="n">
        <x:v>4</x:v>
      </x:c>
      <x:c r="L33" s="31" t="str">
        <x:v>control</x:v>
      </x:c>
      <x:c r="M33" s="31" t="n">
        <x:v>2</x:v>
      </x:c>
      <x:c r="N33" s="31" t="str">
        <x:v>PTS-5 v1</x:v>
      </x:c>
      <x:c r="O33" s="33" t="str">
        <x:v>three internal partitions</x:v>
      </x:c>
    </x:row>
    <x:row r="34">
      <x:c r="B34" s="31" t="str">
        <x:v>P12-1</x:v>
      </x:c>
      <x:c r="C34" s="31" t="str">
        <x:v>P12</x:v>
      </x:c>
      <x:c r="D34" s="31" t="n">
        <x:v>1</x:v>
      </x:c>
      <x:c r="E34" s="31" t="str">
        <x:v>Survey, robotics and civil works</x:v>
      </x:c>
      <x:c r="F34" s="31" t="str">
        <x:v>Survey and civil-robotics set</x:v>
      </x:c>
      <x:c r="G34" s="31" t="str">
        <x:v>L2</x:v>
      </x:c>
      <x:c r="H34" s="41" t="n">
        <x:v>24</x:v>
      </x:c>
      <x:c r="I34" s="41" t="n">
        <x:v>90</x:v>
      </x:c>
      <x:c r="J34" s="41" t="n">
        <x:v>22</x:v>
      </x:c>
      <x:c r="K34" s="41" t="n">
        <x:v>4.091</x:v>
      </x:c>
      <x:c r="L34" s="31" t="str">
        <x:v>robotic</x:v>
      </x:c>
      <x:c r="M34" s="31" t="n">
        <x:v>1</x:v>
      </x:c>
      <x:c r="N34" s="31" t="str">
        <x:v>PTS-5 v1</x:v>
      </x:c>
      <x:c r="O34" s="33" t="str">
        <x:v>air and ground survey tools</x:v>
      </x:c>
    </x:row>
    <x:row r="35">
      <x:c r="B35" s="31" t="str">
        <x:v>P13-1</x:v>
      </x:c>
      <x:c r="C35" s="31" t="str">
        <x:v>P13</x:v>
      </x:c>
      <x:c r="D35" s="31" t="n">
        <x:v>1</x:v>
      </x:c>
      <x:c r="E35" s="31" t="str">
        <x:v>Medical and vertical-service kits</x:v>
      </x:c>
      <x:c r="F35" s="31" t="str">
        <x:v>Medical and vertical-service set</x:v>
      </x:c>
      <x:c r="G35" s="31" t="str">
        <x:v>L4</x:v>
      </x:c>
      <x:c r="H35" s="41" t="n">
        <x:v>22</x:v>
      </x:c>
      <x:c r="I35" s="41" t="n">
        <x:v>80</x:v>
      </x:c>
      <x:c r="J35" s="41" t="n">
        <x:v>20</x:v>
      </x:c>
      <x:c r="K35" s="41" t="n">
        <x:v>4</x:v>
      </x:c>
      <x:c r="L35" s="31" t="str">
        <x:v>medical</x:v>
      </x:c>
      <x:c r="M35" s="31" t="n">
        <x:v>14</x:v>
      </x:c>
      <x:c r="N35" s="31" t="str">
        <x:v>PTS-5 v1</x:v>
      </x:c>
      <x:c r="O35" s="33" t="str">
        <x:v>two custody lots</x:v>
      </x:c>
    </x:row>
    <x:row r="36">
      <x:c r="B36" s="31" t="str">
        <x:v>P14-1</x:v>
      </x:c>
      <x:c r="C36" s="31" t="str">
        <x:v>P14</x:v>
      </x:c>
      <x:c r="D36" s="31" t="n">
        <x:v>1</x:v>
      </x:c>
      <x:c r="E36" s="31" t="str">
        <x:v>Crew life support and safety</x:v>
      </x:c>
      <x:c r="F36" s="31" t="str">
        <x:v>Crew safety and shelter set</x:v>
      </x:c>
      <x:c r="G36" s="31" t="str">
        <x:v>L4</x:v>
      </x:c>
      <x:c r="H36" s="41" t="n">
        <x:v>20</x:v>
      </x:c>
      <x:c r="I36" s="41" t="n">
        <x:v>70</x:v>
      </x:c>
      <x:c r="J36" s="41" t="n">
        <x:v>18</x:v>
      </x:c>
      <x:c r="K36" s="41" t="n">
        <x:v>3.889</x:v>
      </x:c>
      <x:c r="L36" s="31" t="str">
        <x:v>life safety</x:v>
      </x:c>
      <x:c r="M36" s="31" t="n">
        <x:v>3</x:v>
      </x:c>
      <x:c r="N36" s="31" t="str">
        <x:v>PTS-5 v1</x:v>
      </x:c>
      <x:c r="O36" s="33" t="str">
        <x:v>separate crew domains</x:v>
      </x:c>
    </x:row>
    <x:row r="37">
      <x:c r="B37" s="31" t="str">
        <x:v>P15-1</x:v>
      </x:c>
      <x:c r="C37" s="31" t="str">
        <x:v>P15</x:v>
      </x:c>
      <x:c r="D37" s="31" t="n">
        <x:v>1</x:v>
      </x:c>
      <x:c r="E37" s="31" t="str">
        <x:v>Spares, tools and microrepair</x:v>
      </x:c>
      <x:c r="F37" s="31" t="str">
        <x:v>Repair and spares node</x:v>
      </x:c>
      <x:c r="G37" s="31" t="str">
        <x:v>L4</x:v>
      </x:c>
      <x:c r="H37" s="41" t="n">
        <x:v>26</x:v>
      </x:c>
      <x:c r="I37" s="41" t="n">
        <x:v>80</x:v>
      </x:c>
      <x:c r="J37" s="41" t="n">
        <x:v>20</x:v>
      </x:c>
      <x:c r="K37" s="41" t="n">
        <x:v>4</x:v>
      </x:c>
      <x:c r="L37" s="31" t="str">
        <x:v>repair</x:v>
      </x:c>
      <x:c r="M37" s="31" t="n">
        <x:v>16</x:v>
      </x:c>
      <x:c r="N37" s="31" t="str">
        <x:v>PTS-5 v1</x:v>
      </x:c>
      <x:c r="O37" s="33" t="str">
        <x:v>three supplier lots</x:v>
      </x:c>
    </x:row>
    <x:row r="38">
      <x:c r="B38" s="38" t="str">
        <x:v>P16-1</x:v>
      </x:c>
      <x:c r="C38" s="38" t="str">
        <x:v>P16</x:v>
      </x:c>
      <x:c r="D38" s="38" t="n">
        <x:v>1</x:v>
      </x:c>
      <x:c r="E38" s="38" t="str">
        <x:v>Dry process stocks and assay</x:v>
      </x:c>
      <x:c r="F38" s="38" t="str">
        <x:v>Sealed process-stock set</x:v>
      </x:c>
      <x:c r="G38" s="38" t="str">
        <x:v>L3</x:v>
      </x:c>
      <x:c r="H38" s="42" t="n">
        <x:v>48</x:v>
      </x:c>
      <x:c r="I38" s="42" t="n">
        <x:v>90</x:v>
      </x:c>
      <x:c r="J38" s="42" t="n">
        <x:v>30</x:v>
      </x:c>
      <x:c r="K38" s="42" t="n">
        <x:v>3</x:v>
      </x:c>
      <x:c r="L38" s="38" t="str">
        <x:v>process material</x:v>
      </x:c>
      <x:c r="M38" s="38" t="n">
        <x:v>15</x:v>
      </x:c>
      <x:c r="N38" s="38" t="str">
        <x:v>PTS-5 v1</x:v>
      </x:c>
      <x:c r="O38" s="40" t="str">
        <x:v>four sealed internal lots</x:v>
      </x:c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B41" s="8" t="str">
        <x:v>Standard reconciliation</x:v>
      </x:c>
      <x:c r="C41" s="9" t="str">
        <x:v>Standard reconciliation</x:v>
      </x:c>
      <x:c r="D41" s="9" t="str">
        <x:v>Standard reconciliation</x:v>
      </x:c>
      <x:c r="E41" s="9" t="str">
        <x:v>Standard reconciliation</x:v>
      </x:c>
      <x:c r="F41" s="9" t="str">
        <x:v>Standard reconciliation</x:v>
      </x:c>
      <x:c r="G41" s="9" t="str">
        <x:v>Standard reconciliation</x:v>
      </x:c>
      <x:c r="H41" s="9" t="str">
        <x:v>Standard reconciliation</x:v>
      </x:c>
      <x:c r="I41" s="9" t="str">
        <x:v>Standard reconciliation</x:v>
      </x:c>
      <x:c r="J41" s="9" t="str">
        <x:v>Standard reconciliation</x:v>
      </x:c>
      <x:c r="K41" s="9" t="str">
        <x:v>Standard reconciliation</x:v>
      </x:c>
      <x:c r="L41" s="9" t="str">
        <x:v>Standard reconciliation</x:v>
      </x:c>
      <x:c r="M41" s="9" t="str">
        <x:v>Standard reconciliation</x:v>
      </x:c>
      <x:c r="N41" s="9" t="str">
        <x:v>Standard reconciliation</x:v>
      </x:c>
      <x:c r="O41" s="10" t="str">
        <x:v>Standard reconciliation</x:v>
      </x:c>
    </x:row>
    <x:row r="42">
      <x:c r="B42" s="29" t="str">
        <x:v>Control</x:v>
      </x:c>
      <x:c r="C42" s="30" t="str">
        <x:v>Observed</x:v>
      </x:c>
      <x:c r="D42" s="30" t="str">
        <x:v>Expected</x:v>
      </x:c>
      <x:c r="E42" s="30" t="str">
        <x:v>Difference</x:v>
      </x:c>
      <x:c r="F42" s="30" t="str">
        <x:v>Status</x:v>
      </x:c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B43" s="31" t="str">
        <x:v>Positions</x:v>
      </x:c>
      <x:c r="C43" s="31" t="n">
        <x:f>COUNTA(B7:B38)</x:f>
        <x:v>32</x:v>
      </x:c>
      <x:c r="D43" s="31" t="n">
        <x:v>32</x:v>
      </x:c>
      <x:c r="E43" s="31" t="n">
        <x:f>C43-D43</x:f>
        <x:v>0</x:v>
      </x:c>
      <x:c r="F43" s="33" t="str">
        <x:f>IF(ABS(E43)&lt;0.000001,"PASS","FAIL")</x:f>
        <x:v>PASS</x:v>
      </x:c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B44" s="31" t="str">
        <x:v>Packages</x:v>
      </x:c>
      <x:c r="C44" s="31" t="n">
        <x:f>COUNTIFS(D7:D38,1)</x:f>
        <x:v>16</x:v>
      </x:c>
      <x:c r="D44" s="31" t="n">
        <x:v>16</x:v>
      </x:c>
      <x:c r="E44" s="31" t="n">
        <x:f>C44-D44</x:f>
        <x:v>0</x:v>
      </x:c>
      <x:c r="F44" s="33" t="str">
        <x:f>IF(ABS(E44)&lt;0.000001,"PASS","FAIL")</x:f>
        <x:v>PASS</x:v>
      </x:c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B45" s="31" t="str">
        <x:v>Dry mass</x:v>
      </x:c>
      <x:c r="C45" s="31" t="n">
        <x:f>SUM(H7:H38)</x:f>
        <x:v>580</x:v>
      </x:c>
      <x:c r="D45" s="31" t="n">
        <x:v>580</x:v>
      </x:c>
      <x:c r="E45" s="31" t="n">
        <x:f>C45-D45</x:f>
        <x:v>0</x:v>
      </x:c>
      <x:c r="F45" s="33" t="str">
        <x:f>IF(ABS(E45)&lt;0.000001,"PASS","FAIL")</x:f>
        <x:v>PASS</x:v>
      </x:c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B46" s="31" t="str">
        <x:v>Stowed cube</x:v>
      </x:c>
      <x:c r="C46" s="31" t="n">
        <x:f>SUM(I7:I38)</x:f>
        <x:v>2630</x:v>
      </x:c>
      <x:c r="D46" s="31" t="n">
        <x:v>2630</x:v>
      </x:c>
      <x:c r="E46" s="31" t="n">
        <x:f>C46-D46</x:f>
        <x:v>0</x:v>
      </x:c>
      <x:c r="F46" s="33" t="str">
        <x:f>IF(ABS(E46)&lt;0.000001,"PASS","FAIL")</x:f>
        <x:v>PASS</x:v>
      </x:c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B47" s="38" t="str">
        <x:v>Deck area</x:v>
      </x:c>
      <x:c r="C47" s="38" t="n">
        <x:f>SUM(J7:J38)</x:f>
        <x:v>614</x:v>
      </x:c>
      <x:c r="D47" s="38" t="n">
        <x:v>614</x:v>
      </x:c>
      <x:c r="E47" s="38" t="n">
        <x:f>C47-D47</x:f>
        <x:v>0</x:v>
      </x:c>
      <x:c r="F47" s="40" t="str">
        <x:f>IF(ABS(E47)&lt;0.000001,"PASS","FAIL")</x:f>
        <x:v>PASS</x:v>
      </x:c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</x:sheetData>
  <x:mergeCells>
    <x:mergeCell ref="B41:O4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4" hidden="0" customWidth="1"/>
    <x:col min="3" max="3" width="9" hidden="0" customWidth="1"/>
    <x:col min="4" max="4" width="18" hidden="0" customWidth="1"/>
    <x:col min="5" max="5" width="11" hidden="0" customWidth="1"/>
    <x:col min="6" max="6" width="34" hidden="0" customWidth="1"/>
    <x:col min="7" max="7" width="12" hidden="0" customWidth="1"/>
    <x:col min="8" max="8" width="12" hidden="0" customWidth="1"/>
    <x:col min="9" max="9" width="11" hidden="0" customWidth="1"/>
    <x:col min="10" max="10" width="12" hidden="0" customWidth="1"/>
    <x:col min="11" max="11" width="14" hidden="0" customWidth="1"/>
    <x:col min="12" max="12" width="13" hidden="0" customWidth="1"/>
    <x:col min="13" max="13" width="12" hidden="0" customWidth="1"/>
    <x:col min="14" max="14" width="15" hidden="0" customWidth="1"/>
    <x:col min="15" max="15" width="10" hidden="0" customWidth="1"/>
    <x:col min="16" max="16" width="10" hidden="0" customWidth="1"/>
    <x:col min="17" max="17" width="10" hidden="0" customWidth="1"/>
    <x:col min="18" max="18" width="12" hidden="0" customWidth="1"/>
    <x:col min="19" max="19" width="18" hidden="0" customWidth="1"/>
    <x:col min="20" max="20" width="14" hidden="0" customWidth="1"/>
    <x:col min="21" max="21" width="13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2">
      <x:c r="B2" s="3" t="str">
        <x:v>Atmospheric cell A load plan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B3" s="4" t="str">
        <x:v>Cell A is a separate atmospheric payload lot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>
      <x:c r="B6" s="29" t="str">
        <x:v>Serial</x:v>
      </x:c>
      <x:c r="C6" s="30" t="str">
        <x:v>Type</x:v>
      </x:c>
      <x:c r="D6" s="30" t="str">
        <x:v>Standard position</x:v>
      </x:c>
      <x:c r="E6" s="30" t="str">
        <x:v>Package</x:v>
      </x:c>
      <x:c r="F6" s="30" t="str">
        <x:v>Function</x:v>
      </x:c>
      <x:c r="G6" s="30" t="str">
        <x:v>Load block</x:v>
      </x:c>
      <x:c r="H6" s="30" t="str">
        <x:v>Dry t</x:v>
      </x:c>
      <x:c r="I6" s="30" t="str">
        <x:v>Wet t</x:v>
      </x:c>
      <x:c r="J6" s="30" t="str">
        <x:v>Total t</x:v>
      </x:c>
      <x:c r="K6" s="30" t="str">
        <x:v>Cube m3</x:v>
      </x:c>
      <x:c r="L6" s="30" t="str">
        <x:v>Deck m2</x:v>
      </x:c>
      <x:c r="M6" s="30" t="str">
        <x:v>Height m</x:v>
      </x:c>
      <x:c r="N6" s="30" t="str">
        <x:v>Carrier</x:v>
      </x:c>
      <x:c r="O6" s="30" t="str">
        <x:v>X m</x:v>
      </x:c>
      <x:c r="P6" s="30" t="str">
        <x:v>Y m</x:v>
      </x:c>
      <x:c r="Q6" s="30" t="str">
        <x:v>Z m</x:v>
      </x:c>
      <x:c r="R6" s="30" t="str">
        <x:v>Interface</x:v>
      </x:c>
      <x:c r="S6" s="30" t="str">
        <x:v>Hazard</x:v>
      </x:c>
      <x:c r="T6" s="30" t="str">
        <x:v>Unload wave</x:v>
      </x:c>
      <x:c r="U6" s="30" t="str">
        <x:v>Evidence</x:v>
      </x:c>
      <x:c r="V6" s="30" t="str">
        <x:v>X moment</x:v>
      </x:c>
      <x:c r="W6" s="30" t="str">
        <x:v>Y moment</x:v>
      </x:c>
      <x:c r="X6" s="30" t="str">
        <x:v>Z moment</x:v>
      </x:c>
    </x:row>
    <x:row r="7">
      <x:c r="B7" s="31" t="str">
        <x:v>A-P01-1</x:v>
      </x:c>
      <x:c r="C7" s="31" t="str">
        <x:v>DRY</x:v>
      </x:c>
      <x:c r="D7" s="31" t="str">
        <x:v>P01-1</x:v>
      </x:c>
      <x:c r="E7" s="31" t="str">
        <x:f>INDEX('Position Standard'!$C$7:$C$38,MATCH(D7,'Position Standard'!$B$7:$B$38,0))</x:f>
        <x:v>P01</x:v>
      </x:c>
      <x:c r="F7" s="31" t="str">
        <x:f>INDEX('Position Standard'!$E$7:$E$38,MATCH(D7,'Position Standard'!$B$7:$B$38,0))</x:f>
        <x:v>Firm power conversion</x:v>
      </x:c>
      <x:c r="G7" s="31" t="str">
        <x:f>INDEX('Position Standard'!$G$7:$G$38,MATCH(D7,'Position Standard'!$B$7:$B$38,0))</x:f>
        <x:v>L1</x:v>
      </x:c>
      <x:c r="H7" s="41" t="n">
        <x:f>INDEX('Position Standard'!$H$7:$H$38,MATCH(D7,'Position Standard'!$B$7:$B$38,0))</x:f>
        <x:v>20.5</x:v>
      </x:c>
      <x:c r="I7" s="41" t="n">
        <x:v>0</x:v>
      </x:c>
      <x:c r="J7" s="41" t="n">
        <x:f>H7+I7</x:f>
        <x:v>20.5</x:v>
      </x:c>
      <x:c r="K7" s="41" t="n">
        <x:f>INDEX('Position Standard'!$I$7:$I$38,MATCH(D7,'Position Standard'!$B$7:$B$38,0))</x:f>
        <x:v>65</x:v>
      </x:c>
      <x:c r="L7" s="41" t="n">
        <x:f>INDEX('Position Standard'!$J$7:$J$38,MATCH(D7,'Position Standard'!$B$7:$B$38,0))</x:f>
        <x:v>15</x:v>
      </x:c>
      <x:c r="M7" s="41" t="n">
        <x:f>INDEX('Position Standard'!$K$7:$K$38,MATCH(D7,'Position Standard'!$B$7:$B$38,0))</x:f>
        <x:v>4.333</x:v>
      </x:c>
      <x:c r="N7" s="41" t="str">
        <x:v>HBL-A1</x:v>
      </x:c>
      <x:c r="O7" s="41" t="n">
        <x:v>4</x:v>
      </x:c>
      <x:c r="P7" s="41" t="n">
        <x:v>1.5</x:v>
      </x:c>
      <x:c r="Q7" s="41" t="n">
        <x:f>0.4+M7/2</x:f>
        <x:v>2.5665</x:v>
      </x:c>
      <x:c r="R7" s="31" t="str">
        <x:v>I-A</x:v>
      </x:c>
      <x:c r="S7" s="31" t="str">
        <x:f>INDEX('Position Standard'!$L$7:$L$38,MATCH(D7,'Position Standard'!$B$7:$B$38,0))</x:f>
        <x:v>electrical</x:v>
      </x:c>
      <x:c r="T7" s="31" t="n">
        <x:f>INDEX('Position Standard'!$M$7:$M$38,MATCH(D7,'Position Standard'!$B$7:$B$38,0))</x:f>
        <x:v>8</x:v>
      </x:c>
      <x:c r="U7" s="31" t="str">
        <x:v>OPEN</x:v>
      </x:c>
      <x:c r="V7" s="31" t="n">
        <x:f>J7*O7</x:f>
        <x:v>82</x:v>
      </x:c>
      <x:c r="W7" s="31" t="n">
        <x:f>J7*P7</x:f>
        <x:v>30.75</x:v>
      </x:c>
      <x:c r="X7" s="33" t="n">
        <x:f>J7*Q7</x:f>
        <x:v>52.61325</x:v>
      </x:c>
    </x:row>
    <x:row r="8">
      <x:c r="B8" s="31" t="str">
        <x:v>A-P01-2</x:v>
      </x:c>
      <x:c r="C8" s="31" t="str">
        <x:v>DRY</x:v>
      </x:c>
      <x:c r="D8" s="31" t="str">
        <x:v>P01-2</x:v>
      </x:c>
      <x:c r="E8" s="31" t="str">
        <x:f>INDEX('Position Standard'!$C$7:$C$38,MATCH(D8,'Position Standard'!$B$7:$B$38,0))</x:f>
        <x:v>P01</x:v>
      </x:c>
      <x:c r="F8" s="31" t="str">
        <x:f>INDEX('Position Standard'!$E$7:$E$38,MATCH(D8,'Position Standard'!$B$7:$B$38,0))</x:f>
        <x:v>Firm power conversion</x:v>
      </x:c>
      <x:c r="G8" s="31" t="str">
        <x:f>INDEX('Position Standard'!$G$7:$G$38,MATCH(D8,'Position Standard'!$B$7:$B$38,0))</x:f>
        <x:v>L1</x:v>
      </x:c>
      <x:c r="H8" s="41" t="n">
        <x:f>INDEX('Position Standard'!$H$7:$H$38,MATCH(D8,'Position Standard'!$B$7:$B$38,0))</x:f>
        <x:v>20.5</x:v>
      </x:c>
      <x:c r="I8" s="41" t="n">
        <x:v>0</x:v>
      </x:c>
      <x:c r="J8" s="41" t="n">
        <x:f>H8+I8</x:f>
        <x:v>20.5</x:v>
      </x:c>
      <x:c r="K8" s="41" t="n">
        <x:f>INDEX('Position Standard'!$I$7:$I$38,MATCH(D8,'Position Standard'!$B$7:$B$38,0))</x:f>
        <x:v>65</x:v>
      </x:c>
      <x:c r="L8" s="41" t="n">
        <x:f>INDEX('Position Standard'!$J$7:$J$38,MATCH(D8,'Position Standard'!$B$7:$B$38,0))</x:f>
        <x:v>15</x:v>
      </x:c>
      <x:c r="M8" s="41" t="n">
        <x:f>INDEX('Position Standard'!$K$7:$K$38,MATCH(D8,'Position Standard'!$B$7:$B$38,0))</x:f>
        <x:v>4.333</x:v>
      </x:c>
      <x:c r="N8" s="41" t="str">
        <x:v>HBL-A1</x:v>
      </x:c>
      <x:c r="O8" s="41" t="n">
        <x:v>20</x:v>
      </x:c>
      <x:c r="P8" s="41" t="n">
        <x:v>1.5</x:v>
      </x:c>
      <x:c r="Q8" s="41" t="n">
        <x:f>0.4+M8/2</x:f>
        <x:v>2.5665</x:v>
      </x:c>
      <x:c r="R8" s="31" t="str">
        <x:v>I-A</x:v>
      </x:c>
      <x:c r="S8" s="31" t="str">
        <x:f>INDEX('Position Standard'!$L$7:$L$38,MATCH(D8,'Position Standard'!$B$7:$B$38,0))</x:f>
        <x:v>electrical</x:v>
      </x:c>
      <x:c r="T8" s="31" t="n">
        <x:f>INDEX('Position Standard'!$M$7:$M$38,MATCH(D8,'Position Standard'!$B$7:$B$38,0))</x:f>
        <x:v>8</x:v>
      </x:c>
      <x:c r="U8" s="31" t="str">
        <x:v>OPEN</x:v>
      </x:c>
      <x:c r="V8" s="31" t="n">
        <x:f>J8*O8</x:f>
        <x:v>410</x:v>
      </x:c>
      <x:c r="W8" s="31" t="n">
        <x:f>J8*P8</x:f>
        <x:v>30.75</x:v>
      </x:c>
      <x:c r="X8" s="33" t="n">
        <x:f>J8*Q8</x:f>
        <x:v>52.61325</x:v>
      </x:c>
    </x:row>
    <x:row r="9">
      <x:c r="B9" s="31" t="str">
        <x:v>A-P01-3</x:v>
      </x:c>
      <x:c r="C9" s="31" t="str">
        <x:v>DRY</x:v>
      </x:c>
      <x:c r="D9" s="31" t="str">
        <x:v>P01-3</x:v>
      </x:c>
      <x:c r="E9" s="31" t="str">
        <x:f>INDEX('Position Standard'!$C$7:$C$38,MATCH(D9,'Position Standard'!$B$7:$B$38,0))</x:f>
        <x:v>P01</x:v>
      </x:c>
      <x:c r="F9" s="31" t="str">
        <x:f>INDEX('Position Standard'!$E$7:$E$38,MATCH(D9,'Position Standard'!$B$7:$B$38,0))</x:f>
        <x:v>Firm power conversion</x:v>
      </x:c>
      <x:c r="G9" s="31" t="str">
        <x:f>INDEX('Position Standard'!$G$7:$G$38,MATCH(D9,'Position Standard'!$B$7:$B$38,0))</x:f>
        <x:v>L1</x:v>
      </x:c>
      <x:c r="H9" s="41" t="n">
        <x:f>INDEX('Position Standard'!$H$7:$H$38,MATCH(D9,'Position Standard'!$B$7:$B$38,0))</x:f>
        <x:v>20.5</x:v>
      </x:c>
      <x:c r="I9" s="41" t="n">
        <x:v>0</x:v>
      </x:c>
      <x:c r="J9" s="41" t="n">
        <x:f>H9+I9</x:f>
        <x:v>20.5</x:v>
      </x:c>
      <x:c r="K9" s="41" t="n">
        <x:f>INDEX('Position Standard'!$I$7:$I$38,MATCH(D9,'Position Standard'!$B$7:$B$38,0))</x:f>
        <x:v>65</x:v>
      </x:c>
      <x:c r="L9" s="41" t="n">
        <x:f>INDEX('Position Standard'!$J$7:$J$38,MATCH(D9,'Position Standard'!$B$7:$B$38,0))</x:f>
        <x:v>15</x:v>
      </x:c>
      <x:c r="M9" s="41" t="n">
        <x:f>INDEX('Position Standard'!$K$7:$K$38,MATCH(D9,'Position Standard'!$B$7:$B$38,0))</x:f>
        <x:v>4.333</x:v>
      </x:c>
      <x:c r="N9" s="41" t="str">
        <x:v>HBL-A1</x:v>
      </x:c>
      <x:c r="O9" s="41" t="n">
        <x:v>12</x:v>
      </x:c>
      <x:c r="P9" s="41" t="n">
        <x:v>1.5</x:v>
      </x:c>
      <x:c r="Q9" s="41" t="n">
        <x:f>0.4+M9/2</x:f>
        <x:v>2.5665</x:v>
      </x:c>
      <x:c r="R9" s="31" t="str">
        <x:v>I-A</x:v>
      </x:c>
      <x:c r="S9" s="31" t="str">
        <x:f>INDEX('Position Standard'!$L$7:$L$38,MATCH(D9,'Position Standard'!$B$7:$B$38,0))</x:f>
        <x:v>electrical</x:v>
      </x:c>
      <x:c r="T9" s="31" t="n">
        <x:f>INDEX('Position Standard'!$M$7:$M$38,MATCH(D9,'Position Standard'!$B$7:$B$38,0))</x:f>
        <x:v>8</x:v>
      </x:c>
      <x:c r="U9" s="31" t="str">
        <x:v>OPEN</x:v>
      </x:c>
      <x:c r="V9" s="31" t="n">
        <x:f>J9*O9</x:f>
        <x:v>246</x:v>
      </x:c>
      <x:c r="W9" s="31" t="n">
        <x:f>J9*P9</x:f>
        <x:v>30.75</x:v>
      </x:c>
      <x:c r="X9" s="33" t="n">
        <x:f>J9*Q9</x:f>
        <x:v>52.61325</x:v>
      </x:c>
    </x:row>
    <x:row r="10">
      <x:c r="B10" s="31" t="str">
        <x:v>A-P01-4</x:v>
      </x:c>
      <x:c r="C10" s="31" t="str">
        <x:v>DRY</x:v>
      </x:c>
      <x:c r="D10" s="31" t="str">
        <x:v>P01-4</x:v>
      </x:c>
      <x:c r="E10" s="31" t="str">
        <x:f>INDEX('Position Standard'!$C$7:$C$38,MATCH(D10,'Position Standard'!$B$7:$B$38,0))</x:f>
        <x:v>P01</x:v>
      </x:c>
      <x:c r="F10" s="31" t="str">
        <x:f>INDEX('Position Standard'!$E$7:$E$38,MATCH(D10,'Position Standard'!$B$7:$B$38,0))</x:f>
        <x:v>Firm power conversion</x:v>
      </x:c>
      <x:c r="G10" s="31" t="str">
        <x:f>INDEX('Position Standard'!$G$7:$G$38,MATCH(D10,'Position Standard'!$B$7:$B$38,0))</x:f>
        <x:v>L1</x:v>
      </x:c>
      <x:c r="H10" s="41" t="n">
        <x:f>INDEX('Position Standard'!$H$7:$H$38,MATCH(D10,'Position Standard'!$B$7:$B$38,0))</x:f>
        <x:v>20.5</x:v>
      </x:c>
      <x:c r="I10" s="41" t="n">
        <x:v>0</x:v>
      </x:c>
      <x:c r="J10" s="41" t="n">
        <x:f>H10+I10</x:f>
        <x:v>20.5</x:v>
      </x:c>
      <x:c r="K10" s="41" t="n">
        <x:f>INDEX('Position Standard'!$I$7:$I$38,MATCH(D10,'Position Standard'!$B$7:$B$38,0))</x:f>
        <x:v>65</x:v>
      </x:c>
      <x:c r="L10" s="41" t="n">
        <x:f>INDEX('Position Standard'!$J$7:$J$38,MATCH(D10,'Position Standard'!$B$7:$B$38,0))</x:f>
        <x:v>15</x:v>
      </x:c>
      <x:c r="M10" s="41" t="n">
        <x:f>INDEX('Position Standard'!$K$7:$K$38,MATCH(D10,'Position Standard'!$B$7:$B$38,0))</x:f>
        <x:v>4.333</x:v>
      </x:c>
      <x:c r="N10" s="41" t="str">
        <x:v>HBL-A1</x:v>
      </x:c>
      <x:c r="O10" s="41" t="n">
        <x:v>12</x:v>
      </x:c>
      <x:c r="P10" s="41" t="n">
        <x:v>-4.5</x:v>
      </x:c>
      <x:c r="Q10" s="41" t="n">
        <x:f>0.4+M10/2</x:f>
        <x:v>2.5665</x:v>
      </x:c>
      <x:c r="R10" s="31" t="str">
        <x:v>I-A</x:v>
      </x:c>
      <x:c r="S10" s="31" t="str">
        <x:f>INDEX('Position Standard'!$L$7:$L$38,MATCH(D10,'Position Standard'!$B$7:$B$38,0))</x:f>
        <x:v>electrical</x:v>
      </x:c>
      <x:c r="T10" s="31" t="n">
        <x:f>INDEX('Position Standard'!$M$7:$M$38,MATCH(D10,'Position Standard'!$B$7:$B$38,0))</x:f>
        <x:v>8</x:v>
      </x:c>
      <x:c r="U10" s="31" t="str">
        <x:v>OPEN</x:v>
      </x:c>
      <x:c r="V10" s="31" t="n">
        <x:f>J10*O10</x:f>
        <x:v>246</x:v>
      </x:c>
      <x:c r="W10" s="31" t="n">
        <x:f>J10*P10</x:f>
        <x:v>-92.25</x:v>
      </x:c>
      <x:c r="X10" s="33" t="n">
        <x:f>J10*Q10</x:f>
        <x:v>52.61325</x:v>
      </x:c>
    </x:row>
    <x:row r="11">
      <x:c r="B11" s="31" t="str">
        <x:v>A-P02-1</x:v>
      </x:c>
      <x:c r="C11" s="31" t="str">
        <x:v>DRY</x:v>
      </x:c>
      <x:c r="D11" s="31" t="str">
        <x:v>P02-1</x:v>
      </x:c>
      <x:c r="E11" s="31" t="str">
        <x:f>INDEX('Position Standard'!$C$7:$C$38,MATCH(D11,'Position Standard'!$B$7:$B$38,0))</x:f>
        <x:v>P02</x:v>
      </x:c>
      <x:c r="F11" s="31" t="str">
        <x:f>INDEX('Position Standard'!$E$7:$E$38,MATCH(D11,'Position Standard'!$B$7:$B$38,0))</x:f>
        <x:v>Distributed black-start storage</x:v>
      </x:c>
      <x:c r="G11" s="31" t="str">
        <x:f>INDEX('Position Standard'!$G$7:$G$38,MATCH(D11,'Position Standard'!$B$7:$B$38,0))</x:f>
        <x:v>L1</x:v>
      </x:c>
      <x:c r="H11" s="41" t="n">
        <x:f>INDEX('Position Standard'!$H$7:$H$38,MATCH(D11,'Position Standard'!$B$7:$B$38,0))</x:f>
        <x:v>14</x:v>
      </x:c>
      <x:c r="I11" s="41" t="n">
        <x:v>0</x:v>
      </x:c>
      <x:c r="J11" s="41" t="n">
        <x:f>H11+I11</x:f>
        <x:v>14</x:v>
      </x:c>
      <x:c r="K11" s="41" t="n">
        <x:f>INDEX('Position Standard'!$I$7:$I$38,MATCH(D11,'Position Standard'!$B$7:$B$38,0))</x:f>
        <x:v>60</x:v>
      </x:c>
      <x:c r="L11" s="41" t="n">
        <x:f>INDEX('Position Standard'!$J$7:$J$38,MATCH(D11,'Position Standard'!$B$7:$B$38,0))</x:f>
        <x:v>16</x:v>
      </x:c>
      <x:c r="M11" s="41" t="n">
        <x:f>INDEX('Position Standard'!$K$7:$K$38,MATCH(D11,'Position Standard'!$B$7:$B$38,0))</x:f>
        <x:v>3.75</x:v>
      </x:c>
      <x:c r="N11" s="41" t="str">
        <x:v>HBL-A1</x:v>
      </x:c>
      <x:c r="O11" s="41" t="n">
        <x:v>4</x:v>
      </x:c>
      <x:c r="P11" s="41" t="n">
        <x:v>-1.5</x:v>
      </x:c>
      <x:c r="Q11" s="41" t="n">
        <x:f>0.4+M11/2</x:f>
        <x:v>2.275</x:v>
      </x:c>
      <x:c r="R11" s="31" t="str">
        <x:v>I-A</x:v>
      </x:c>
      <x:c r="S11" s="31" t="str">
        <x:f>INDEX('Position Standard'!$L$7:$L$38,MATCH(D11,'Position Standard'!$B$7:$B$38,0))</x:f>
        <x:v>battery</x:v>
      </x:c>
      <x:c r="T11" s="31" t="n">
        <x:f>INDEX('Position Standard'!$M$7:$M$38,MATCH(D11,'Position Standard'!$B$7:$B$38,0))</x:f>
        <x:v>4</x:v>
      </x:c>
      <x:c r="U11" s="31" t="str">
        <x:v>OPEN</x:v>
      </x:c>
      <x:c r="V11" s="31" t="n">
        <x:f>J11*O11</x:f>
        <x:v>56</x:v>
      </x:c>
      <x:c r="W11" s="31" t="n">
        <x:f>J11*P11</x:f>
        <x:v>-21</x:v>
      </x:c>
      <x:c r="X11" s="33" t="n">
        <x:f>J11*Q11</x:f>
        <x:v>31.849999999999998</x:v>
      </x:c>
    </x:row>
    <x:row r="12">
      <x:c r="B12" s="31" t="str">
        <x:v>A-P02-2</x:v>
      </x:c>
      <x:c r="C12" s="31" t="str">
        <x:v>DRY</x:v>
      </x:c>
      <x:c r="D12" s="31" t="str">
        <x:v>P02-2</x:v>
      </x:c>
      <x:c r="E12" s="31" t="str">
        <x:f>INDEX('Position Standard'!$C$7:$C$38,MATCH(D12,'Position Standard'!$B$7:$B$38,0))</x:f>
        <x:v>P02</x:v>
      </x:c>
      <x:c r="F12" s="31" t="str">
        <x:f>INDEX('Position Standard'!$E$7:$E$38,MATCH(D12,'Position Standard'!$B$7:$B$38,0))</x:f>
        <x:v>Distributed black-start storage</x:v>
      </x:c>
      <x:c r="G12" s="31" t="str">
        <x:f>INDEX('Position Standard'!$G$7:$G$38,MATCH(D12,'Position Standard'!$B$7:$B$38,0))</x:f>
        <x:v>L1</x:v>
      </x:c>
      <x:c r="H12" s="41" t="n">
        <x:f>INDEX('Position Standard'!$H$7:$H$38,MATCH(D12,'Position Standard'!$B$7:$B$38,0))</x:f>
        <x:v>14</x:v>
      </x:c>
      <x:c r="I12" s="41" t="n">
        <x:v>0</x:v>
      </x:c>
      <x:c r="J12" s="41" t="n">
        <x:f>H12+I12</x:f>
        <x:v>14</x:v>
      </x:c>
      <x:c r="K12" s="41" t="n">
        <x:f>INDEX('Position Standard'!$I$7:$I$38,MATCH(D12,'Position Standard'!$B$7:$B$38,0))</x:f>
        <x:v>60</x:v>
      </x:c>
      <x:c r="L12" s="41" t="n">
        <x:f>INDEX('Position Standard'!$J$7:$J$38,MATCH(D12,'Position Standard'!$B$7:$B$38,0))</x:f>
        <x:v>16</x:v>
      </x:c>
      <x:c r="M12" s="41" t="n">
        <x:f>INDEX('Position Standard'!$K$7:$K$38,MATCH(D12,'Position Standard'!$B$7:$B$38,0))</x:f>
        <x:v>3.75</x:v>
      </x:c>
      <x:c r="N12" s="41" t="str">
        <x:v>HBL-A1</x:v>
      </x:c>
      <x:c r="O12" s="41" t="n">
        <x:v>12</x:v>
      </x:c>
      <x:c r="P12" s="41" t="n">
        <x:v>-1.5</x:v>
      </x:c>
      <x:c r="Q12" s="41" t="n">
        <x:f>0.4+M12/2</x:f>
        <x:v>2.275</x:v>
      </x:c>
      <x:c r="R12" s="31" t="str">
        <x:v>I-A</x:v>
      </x:c>
      <x:c r="S12" s="31" t="str">
        <x:f>INDEX('Position Standard'!$L$7:$L$38,MATCH(D12,'Position Standard'!$B$7:$B$38,0))</x:f>
        <x:v>battery</x:v>
      </x:c>
      <x:c r="T12" s="31" t="n">
        <x:f>INDEX('Position Standard'!$M$7:$M$38,MATCH(D12,'Position Standard'!$B$7:$B$38,0))</x:f>
        <x:v>4</x:v>
      </x:c>
      <x:c r="U12" s="31" t="str">
        <x:v>OPEN</x:v>
      </x:c>
      <x:c r="V12" s="31" t="n">
        <x:f>J12*O12</x:f>
        <x:v>168</x:v>
      </x:c>
      <x:c r="W12" s="31" t="n">
        <x:f>J12*P12</x:f>
        <x:v>-21</x:v>
      </x:c>
      <x:c r="X12" s="33" t="n">
        <x:f>J12*Q12</x:f>
        <x:v>31.849999999999998</x:v>
      </x:c>
    </x:row>
    <x:row r="13">
      <x:c r="B13" s="31" t="str">
        <x:v>A-P02-3</x:v>
      </x:c>
      <x:c r="C13" s="31" t="str">
        <x:v>DRY</x:v>
      </x:c>
      <x:c r="D13" s="31" t="str">
        <x:v>P02-3</x:v>
      </x:c>
      <x:c r="E13" s="31" t="str">
        <x:f>INDEX('Position Standard'!$C$7:$C$38,MATCH(D13,'Position Standard'!$B$7:$B$38,0))</x:f>
        <x:v>P02</x:v>
      </x:c>
      <x:c r="F13" s="31" t="str">
        <x:f>INDEX('Position Standard'!$E$7:$E$38,MATCH(D13,'Position Standard'!$B$7:$B$38,0))</x:f>
        <x:v>Distributed black-start storage</x:v>
      </x:c>
      <x:c r="G13" s="31" t="str">
        <x:f>INDEX('Position Standard'!$G$7:$G$38,MATCH(D13,'Position Standard'!$B$7:$B$38,0))</x:f>
        <x:v>L1</x:v>
      </x:c>
      <x:c r="H13" s="41" t="n">
        <x:f>INDEX('Position Standard'!$H$7:$H$38,MATCH(D13,'Position Standard'!$B$7:$B$38,0))</x:f>
        <x:v>14</x:v>
      </x:c>
      <x:c r="I13" s="41" t="n">
        <x:v>0</x:v>
      </x:c>
      <x:c r="J13" s="41" t="n">
        <x:f>H13+I13</x:f>
        <x:v>14</x:v>
      </x:c>
      <x:c r="K13" s="41" t="n">
        <x:f>INDEX('Position Standard'!$I$7:$I$38,MATCH(D13,'Position Standard'!$B$7:$B$38,0))</x:f>
        <x:v>60</x:v>
      </x:c>
      <x:c r="L13" s="41" t="n">
        <x:f>INDEX('Position Standard'!$J$7:$J$38,MATCH(D13,'Position Standard'!$B$7:$B$38,0))</x:f>
        <x:v>16</x:v>
      </x:c>
      <x:c r="M13" s="41" t="n">
        <x:f>INDEX('Position Standard'!$K$7:$K$38,MATCH(D13,'Position Standard'!$B$7:$B$38,0))</x:f>
        <x:v>3.75</x:v>
      </x:c>
      <x:c r="N13" s="41" t="str">
        <x:v>HBL-A1</x:v>
      </x:c>
      <x:c r="O13" s="41" t="n">
        <x:v>4</x:v>
      </x:c>
      <x:c r="P13" s="41" t="n">
        <x:v>4.5</x:v>
      </x:c>
      <x:c r="Q13" s="41" t="n">
        <x:f>0.4+M13/2</x:f>
        <x:v>2.275</x:v>
      </x:c>
      <x:c r="R13" s="31" t="str">
        <x:v>I-A</x:v>
      </x:c>
      <x:c r="S13" s="31" t="str">
        <x:f>INDEX('Position Standard'!$L$7:$L$38,MATCH(D13,'Position Standard'!$B$7:$B$38,0))</x:f>
        <x:v>battery</x:v>
      </x:c>
      <x:c r="T13" s="31" t="n">
        <x:f>INDEX('Position Standard'!$M$7:$M$38,MATCH(D13,'Position Standard'!$B$7:$B$38,0))</x:f>
        <x:v>4</x:v>
      </x:c>
      <x:c r="U13" s="31" t="str">
        <x:v>OPEN</x:v>
      </x:c>
      <x:c r="V13" s="31" t="n">
        <x:f>J13*O13</x:f>
        <x:v>56</x:v>
      </x:c>
      <x:c r="W13" s="31" t="n">
        <x:f>J13*P13</x:f>
        <x:v>63</x:v>
      </x:c>
      <x:c r="X13" s="33" t="n">
        <x:f>J13*Q13</x:f>
        <x:v>31.849999999999998</x:v>
      </x:c>
    </x:row>
    <x:row r="14">
      <x:c r="B14" s="31" t="str">
        <x:v>A-P03-1</x:v>
      </x:c>
      <x:c r="C14" s="31" t="str">
        <x:v>DRY</x:v>
      </x:c>
      <x:c r="D14" s="31" t="str">
        <x:v>P03-1</x:v>
      </x:c>
      <x:c r="E14" s="31" t="str">
        <x:f>INDEX('Position Standard'!$C$7:$C$38,MATCH(D14,'Position Standard'!$B$7:$B$38,0))</x:f>
        <x:v>P03</x:v>
      </x:c>
      <x:c r="F14" s="31" t="str">
        <x:f>INDEX('Position Standard'!$E$7:$E$38,MATCH(D14,'Position Standard'!$B$7:$B$38,0))</x:f>
        <x:v>Useful cooling trains</x:v>
      </x:c>
      <x:c r="G14" s="31" t="str">
        <x:f>INDEX('Position Standard'!$G$7:$G$38,MATCH(D14,'Position Standard'!$B$7:$B$38,0))</x:f>
        <x:v>L2</x:v>
      </x:c>
      <x:c r="H14" s="41" t="n">
        <x:f>INDEX('Position Standard'!$H$7:$H$38,MATCH(D14,'Position Standard'!$B$7:$B$38,0))</x:f>
        <x:v>16</x:v>
      </x:c>
      <x:c r="I14" s="41" t="n">
        <x:v>0</x:v>
      </x:c>
      <x:c r="J14" s="41" t="n">
        <x:f>H14+I14</x:f>
        <x:v>16</x:v>
      </x:c>
      <x:c r="K14" s="41" t="n">
        <x:f>INDEX('Position Standard'!$I$7:$I$38,MATCH(D14,'Position Standard'!$B$7:$B$38,0))</x:f>
        <x:v>84</x:v>
      </x:c>
      <x:c r="L14" s="41" t="n">
        <x:f>INDEX('Position Standard'!$J$7:$J$38,MATCH(D14,'Position Standard'!$B$7:$B$38,0))</x:f>
        <x:v>18</x:v>
      </x:c>
      <x:c r="M14" s="41" t="n">
        <x:f>INDEX('Position Standard'!$K$7:$K$38,MATCH(D14,'Position Standard'!$B$7:$B$38,0))</x:f>
        <x:v>4.667</x:v>
      </x:c>
      <x:c r="N14" s="41" t="str">
        <x:v>HBL-A1</x:v>
      </x:c>
      <x:c r="O14" s="41" t="n">
        <x:v>20</x:v>
      </x:c>
      <x:c r="P14" s="41" t="n">
        <x:v>-4.5</x:v>
      </x:c>
      <x:c r="Q14" s="41" t="n">
        <x:f>0.4+M14/2</x:f>
        <x:v>2.7335</x:v>
      </x:c>
      <x:c r="R14" s="31" t="str">
        <x:v>I-A</x:v>
      </x:c>
      <x:c r="S14" s="31" t="str">
        <x:f>INDEX('Position Standard'!$L$7:$L$38,MATCH(D14,'Position Standard'!$B$7:$B$38,0))</x:f>
        <x:v>refrigerant</x:v>
      </x:c>
      <x:c r="T14" s="31" t="n">
        <x:f>INDEX('Position Standard'!$M$7:$M$38,MATCH(D14,'Position Standard'!$B$7:$B$38,0))</x:f>
        <x:v>9</x:v>
      </x:c>
      <x:c r="U14" s="31" t="str">
        <x:v>OPEN</x:v>
      </x:c>
      <x:c r="V14" s="31" t="n">
        <x:f>J14*O14</x:f>
        <x:v>320</x:v>
      </x:c>
      <x:c r="W14" s="31" t="n">
        <x:f>J14*P14</x:f>
        <x:v>-72</x:v>
      </x:c>
      <x:c r="X14" s="33" t="n">
        <x:f>J14*Q14</x:f>
        <x:v>43.736</x:v>
      </x:c>
    </x:row>
    <x:row r="15">
      <x:c r="B15" s="31" t="str">
        <x:v>A-P03-2</x:v>
      </x:c>
      <x:c r="C15" s="31" t="str">
        <x:v>DRY</x:v>
      </x:c>
      <x:c r="D15" s="31" t="str">
        <x:v>P03-2</x:v>
      </x:c>
      <x:c r="E15" s="31" t="str">
        <x:f>INDEX('Position Standard'!$C$7:$C$38,MATCH(D15,'Position Standard'!$B$7:$B$38,0))</x:f>
        <x:v>P03</x:v>
      </x:c>
      <x:c r="F15" s="31" t="str">
        <x:f>INDEX('Position Standard'!$E$7:$E$38,MATCH(D15,'Position Standard'!$B$7:$B$38,0))</x:f>
        <x:v>Useful cooling trains</x:v>
      </x:c>
      <x:c r="G15" s="31" t="str">
        <x:f>INDEX('Position Standard'!$G$7:$G$38,MATCH(D15,'Position Standard'!$B$7:$B$38,0))</x:f>
        <x:v>L2</x:v>
      </x:c>
      <x:c r="H15" s="41" t="n">
        <x:f>INDEX('Position Standard'!$H$7:$H$38,MATCH(D15,'Position Standard'!$B$7:$B$38,0))</x:f>
        <x:v>16</x:v>
      </x:c>
      <x:c r="I15" s="41" t="n">
        <x:v>0</x:v>
      </x:c>
      <x:c r="J15" s="41" t="n">
        <x:f>H15+I15</x:f>
        <x:v>16</x:v>
      </x:c>
      <x:c r="K15" s="41" t="n">
        <x:f>INDEX('Position Standard'!$I$7:$I$38,MATCH(D15,'Position Standard'!$B$7:$B$38,0))</x:f>
        <x:v>83</x:v>
      </x:c>
      <x:c r="L15" s="41" t="n">
        <x:f>INDEX('Position Standard'!$J$7:$J$38,MATCH(D15,'Position Standard'!$B$7:$B$38,0))</x:f>
        <x:v>18</x:v>
      </x:c>
      <x:c r="M15" s="41" t="n">
        <x:f>INDEX('Position Standard'!$K$7:$K$38,MATCH(D15,'Position Standard'!$B$7:$B$38,0))</x:f>
        <x:v>4.611</x:v>
      </x:c>
      <x:c r="N15" s="41" t="str">
        <x:v>HBL-A1</x:v>
      </x:c>
      <x:c r="O15" s="41" t="n">
        <x:v>20</x:v>
      </x:c>
      <x:c r="P15" s="41" t="n">
        <x:v>4.5</x:v>
      </x:c>
      <x:c r="Q15" s="41" t="n">
        <x:f>0.4+M15/2</x:f>
        <x:v>2.7055</x:v>
      </x:c>
      <x:c r="R15" s="31" t="str">
        <x:v>I-A</x:v>
      </x:c>
      <x:c r="S15" s="31" t="str">
        <x:f>INDEX('Position Standard'!$L$7:$L$38,MATCH(D15,'Position Standard'!$B$7:$B$38,0))</x:f>
        <x:v>refrigerant</x:v>
      </x:c>
      <x:c r="T15" s="31" t="n">
        <x:f>INDEX('Position Standard'!$M$7:$M$38,MATCH(D15,'Position Standard'!$B$7:$B$38,0))</x:f>
        <x:v>9</x:v>
      </x:c>
      <x:c r="U15" s="31" t="str">
        <x:v>OPEN</x:v>
      </x:c>
      <x:c r="V15" s="31" t="n">
        <x:f>J15*O15</x:f>
        <x:v>320</x:v>
      </x:c>
      <x:c r="W15" s="31" t="n">
        <x:f>J15*P15</x:f>
        <x:v>72</x:v>
      </x:c>
      <x:c r="X15" s="33" t="n">
        <x:f>J15*Q15</x:f>
        <x:v>43.288</x:v>
      </x:c>
    </x:row>
    <x:row r="16">
      <x:c r="B16" s="31" t="str">
        <x:v>A-P03-3</x:v>
      </x:c>
      <x:c r="C16" s="31" t="str">
        <x:v>DRY</x:v>
      </x:c>
      <x:c r="D16" s="31" t="str">
        <x:v>P03-3</x:v>
      </x:c>
      <x:c r="E16" s="31" t="str">
        <x:f>INDEX('Position Standard'!$C$7:$C$38,MATCH(D16,'Position Standard'!$B$7:$B$38,0))</x:f>
        <x:v>P03</x:v>
      </x:c>
      <x:c r="F16" s="31" t="str">
        <x:f>INDEX('Position Standard'!$E$7:$E$38,MATCH(D16,'Position Standard'!$B$7:$B$38,0))</x:f>
        <x:v>Useful cooling trains</x:v>
      </x:c>
      <x:c r="G16" s="31" t="str">
        <x:f>INDEX('Position Standard'!$G$7:$G$38,MATCH(D16,'Position Standard'!$B$7:$B$38,0))</x:f>
        <x:v>L2</x:v>
      </x:c>
      <x:c r="H16" s="41" t="n">
        <x:f>INDEX('Position Standard'!$H$7:$H$38,MATCH(D16,'Position Standard'!$B$7:$B$38,0))</x:f>
        <x:v>16</x:v>
      </x:c>
      <x:c r="I16" s="41" t="n">
        <x:v>0</x:v>
      </x:c>
      <x:c r="J16" s="41" t="n">
        <x:f>H16+I16</x:f>
        <x:v>16</x:v>
      </x:c>
      <x:c r="K16" s="41" t="n">
        <x:f>INDEX('Position Standard'!$I$7:$I$38,MATCH(D16,'Position Standard'!$B$7:$B$38,0))</x:f>
        <x:v>83</x:v>
      </x:c>
      <x:c r="L16" s="41" t="n">
        <x:f>INDEX('Position Standard'!$J$7:$J$38,MATCH(D16,'Position Standard'!$B$7:$B$38,0))</x:f>
        <x:v>18</x:v>
      </x:c>
      <x:c r="M16" s="41" t="n">
        <x:f>INDEX('Position Standard'!$K$7:$K$38,MATCH(D16,'Position Standard'!$B$7:$B$38,0))</x:f>
        <x:v>4.611</x:v>
      </x:c>
      <x:c r="N16" s="41" t="str">
        <x:v>HBL-A1</x:v>
      </x:c>
      <x:c r="O16" s="41" t="n">
        <x:v>20</x:v>
      </x:c>
      <x:c r="P16" s="41" t="n">
        <x:v>-1.5</x:v>
      </x:c>
      <x:c r="Q16" s="41" t="n">
        <x:f>0.4+M16/2</x:f>
        <x:v>2.7055</x:v>
      </x:c>
      <x:c r="R16" s="31" t="str">
        <x:v>I-A</x:v>
      </x:c>
      <x:c r="S16" s="31" t="str">
        <x:f>INDEX('Position Standard'!$L$7:$L$38,MATCH(D16,'Position Standard'!$B$7:$B$38,0))</x:f>
        <x:v>refrigerant</x:v>
      </x:c>
      <x:c r="T16" s="31" t="n">
        <x:f>INDEX('Position Standard'!$M$7:$M$38,MATCH(D16,'Position Standard'!$B$7:$B$38,0))</x:f>
        <x:v>9</x:v>
      </x:c>
      <x:c r="U16" s="31" t="str">
        <x:v>OPEN</x:v>
      </x:c>
      <x:c r="V16" s="31" t="n">
        <x:f>J16*O16</x:f>
        <x:v>320</x:v>
      </x:c>
      <x:c r="W16" s="31" t="n">
        <x:f>J16*P16</x:f>
        <x:v>-24</x:v>
      </x:c>
      <x:c r="X16" s="33" t="n">
        <x:f>J16*Q16</x:f>
        <x:v>43.288</x:v>
      </x:c>
    </x:row>
    <x:row r="17">
      <x:c r="B17" s="31" t="str">
        <x:v>A-P04-1</x:v>
      </x:c>
      <x:c r="C17" s="31" t="str">
        <x:v>DRY</x:v>
      </x:c>
      <x:c r="D17" s="31" t="str">
        <x:v>P04-1</x:v>
      </x:c>
      <x:c r="E17" s="31" t="str">
        <x:f>INDEX('Position Standard'!$C$7:$C$38,MATCH(D17,'Position Standard'!$B$7:$B$38,0))</x:f>
        <x:v>P04</x:v>
      </x:c>
      <x:c r="F17" s="31" t="str">
        <x:f>INDEX('Position Standard'!$E$7:$E$38,MATCH(D17,'Position Standard'!$B$7:$B$38,0))</x:f>
        <x:v>Final heat-rejection field</x:v>
      </x:c>
      <x:c r="G17" s="31" t="str">
        <x:f>INDEX('Position Standard'!$G$7:$G$38,MATCH(D17,'Position Standard'!$B$7:$B$38,0))</x:f>
        <x:v>L1</x:v>
      </x:c>
      <x:c r="H17" s="41" t="n">
        <x:f>INDEX('Position Standard'!$H$7:$H$38,MATCH(D17,'Position Standard'!$B$7:$B$38,0))</x:f>
        <x:v>21</x:v>
      </x:c>
      <x:c r="I17" s="41" t="n">
        <x:v>0</x:v>
      </x:c>
      <x:c r="J17" s="41" t="n">
        <x:f>H17+I17</x:f>
        <x:v>21</x:v>
      </x:c>
      <x:c r="K17" s="41" t="n">
        <x:f>INDEX('Position Standard'!$I$7:$I$38,MATCH(D17,'Position Standard'!$B$7:$B$38,0))</x:f>
        <x:v>127</x:v>
      </x:c>
      <x:c r="L17" s="41" t="n">
        <x:f>INDEX('Position Standard'!$J$7:$J$38,MATCH(D17,'Position Standard'!$B$7:$B$38,0))</x:f>
        <x:v>28</x:v>
      </x:c>
      <x:c r="M17" s="41" t="n">
        <x:f>INDEX('Position Standard'!$K$7:$K$38,MATCH(D17,'Position Standard'!$B$7:$B$38,0))</x:f>
        <x:v>4.536</x:v>
      </x:c>
      <x:c r="N17" s="41" t="str">
        <x:v>HBL-A1</x:v>
      </x:c>
      <x:c r="O17" s="41" t="n">
        <x:v>4</x:v>
      </x:c>
      <x:c r="P17" s="41" t="n">
        <x:v>-4.5</x:v>
      </x:c>
      <x:c r="Q17" s="41" t="n">
        <x:f>0.4+M17/2</x:f>
        <x:v>2.6679999999999997</x:v>
      </x:c>
      <x:c r="R17" s="31" t="str">
        <x:v>I-A</x:v>
      </x:c>
      <x:c r="S17" s="31" t="str">
        <x:f>INDEX('Position Standard'!$L$7:$L$38,MATCH(D17,'Position Standard'!$B$7:$B$38,0))</x:f>
        <x:v>thermal</x:v>
      </x:c>
      <x:c r="T17" s="31" t="n">
        <x:f>INDEX('Position Standard'!$M$7:$M$38,MATCH(D17,'Position Standard'!$B$7:$B$38,0))</x:f>
        <x:v>10</x:v>
      </x:c>
      <x:c r="U17" s="31" t="str">
        <x:v>OPEN</x:v>
      </x:c>
      <x:c r="V17" s="31" t="n">
        <x:f>J17*O17</x:f>
        <x:v>84</x:v>
      </x:c>
      <x:c r="W17" s="31" t="n">
        <x:f>J17*P17</x:f>
        <x:v>-94.5</x:v>
      </x:c>
      <x:c r="X17" s="33" t="n">
        <x:f>J17*Q17</x:f>
        <x:v>56.02799999999999</x:v>
      </x:c>
    </x:row>
    <x:row r="18">
      <x:c r="B18" s="31" t="str">
        <x:v>A-P04-2</x:v>
      </x:c>
      <x:c r="C18" s="31" t="str">
        <x:v>DRY</x:v>
      </x:c>
      <x:c r="D18" s="31" t="str">
        <x:v>P04-2</x:v>
      </x:c>
      <x:c r="E18" s="31" t="str">
        <x:f>INDEX('Position Standard'!$C$7:$C$38,MATCH(D18,'Position Standard'!$B$7:$B$38,0))</x:f>
        <x:v>P04</x:v>
      </x:c>
      <x:c r="F18" s="31" t="str">
        <x:f>INDEX('Position Standard'!$E$7:$E$38,MATCH(D18,'Position Standard'!$B$7:$B$38,0))</x:f>
        <x:v>Final heat-rejection field</x:v>
      </x:c>
      <x:c r="G18" s="31" t="str">
        <x:f>INDEX('Position Standard'!$G$7:$G$38,MATCH(D18,'Position Standard'!$B$7:$B$38,0))</x:f>
        <x:v>L2</x:v>
      </x:c>
      <x:c r="H18" s="41" t="n">
        <x:f>INDEX('Position Standard'!$H$7:$H$38,MATCH(D18,'Position Standard'!$B$7:$B$38,0))</x:f>
        <x:v>21</x:v>
      </x:c>
      <x:c r="I18" s="41" t="n">
        <x:v>0</x:v>
      </x:c>
      <x:c r="J18" s="41" t="n">
        <x:f>H18+I18</x:f>
        <x:v>21</x:v>
      </x:c>
      <x:c r="K18" s="41" t="n">
        <x:f>INDEX('Position Standard'!$I$7:$I$38,MATCH(D18,'Position Standard'!$B$7:$B$38,0))</x:f>
        <x:v>127</x:v>
      </x:c>
      <x:c r="L18" s="41" t="n">
        <x:f>INDEX('Position Standard'!$J$7:$J$38,MATCH(D18,'Position Standard'!$B$7:$B$38,0))</x:f>
        <x:v>28</x:v>
      </x:c>
      <x:c r="M18" s="41" t="n">
        <x:f>INDEX('Position Standard'!$K$7:$K$38,MATCH(D18,'Position Standard'!$B$7:$B$38,0))</x:f>
        <x:v>4.536</x:v>
      </x:c>
      <x:c r="N18" s="41" t="str">
        <x:v>HBL-A1</x:v>
      </x:c>
      <x:c r="O18" s="41" t="n">
        <x:v>28</x:v>
      </x:c>
      <x:c r="P18" s="41" t="n">
        <x:v>-1.5</x:v>
      </x:c>
      <x:c r="Q18" s="41" t="n">
        <x:f>0.4+M18/2</x:f>
        <x:v>2.6679999999999997</x:v>
      </x:c>
      <x:c r="R18" s="31" t="str">
        <x:v>I-A</x:v>
      </x:c>
      <x:c r="S18" s="31" t="str">
        <x:f>INDEX('Position Standard'!$L$7:$L$38,MATCH(D18,'Position Standard'!$B$7:$B$38,0))</x:f>
        <x:v>thermal</x:v>
      </x:c>
      <x:c r="T18" s="31" t="n">
        <x:f>INDEX('Position Standard'!$M$7:$M$38,MATCH(D18,'Position Standard'!$B$7:$B$38,0))</x:f>
        <x:v>10</x:v>
      </x:c>
      <x:c r="U18" s="31" t="str">
        <x:v>OPEN</x:v>
      </x:c>
      <x:c r="V18" s="31" t="n">
        <x:f>J18*O18</x:f>
        <x:v>588</x:v>
      </x:c>
      <x:c r="W18" s="31" t="n">
        <x:f>J18*P18</x:f>
        <x:v>-31.5</x:v>
      </x:c>
      <x:c r="X18" s="33" t="n">
        <x:f>J18*Q18</x:f>
        <x:v>56.02799999999999</x:v>
      </x:c>
    </x:row>
    <x:row r="19">
      <x:c r="B19" s="31" t="str">
        <x:v>A-P04-3</x:v>
      </x:c>
      <x:c r="C19" s="31" t="str">
        <x:v>DRY</x:v>
      </x:c>
      <x:c r="D19" s="31" t="str">
        <x:v>P04-3</x:v>
      </x:c>
      <x:c r="E19" s="31" t="str">
        <x:f>INDEX('Position Standard'!$C$7:$C$38,MATCH(D19,'Position Standard'!$B$7:$B$38,0))</x:f>
        <x:v>P04</x:v>
      </x:c>
      <x:c r="F19" s="31" t="str">
        <x:f>INDEX('Position Standard'!$E$7:$E$38,MATCH(D19,'Position Standard'!$B$7:$B$38,0))</x:f>
        <x:v>Final heat-rejection field</x:v>
      </x:c>
      <x:c r="G19" s="31" t="str">
        <x:f>INDEX('Position Standard'!$G$7:$G$38,MATCH(D19,'Position Standard'!$B$7:$B$38,0))</x:f>
        <x:v>L2</x:v>
      </x:c>
      <x:c r="H19" s="41" t="n">
        <x:f>INDEX('Position Standard'!$H$7:$H$38,MATCH(D19,'Position Standard'!$B$7:$B$38,0))</x:f>
        <x:v>20</x:v>
      </x:c>
      <x:c r="I19" s="41" t="n">
        <x:v>0</x:v>
      </x:c>
      <x:c r="J19" s="41" t="n">
        <x:f>H19+I19</x:f>
        <x:v>20</x:v>
      </x:c>
      <x:c r="K19" s="41" t="n">
        <x:f>INDEX('Position Standard'!$I$7:$I$38,MATCH(D19,'Position Standard'!$B$7:$B$38,0))</x:f>
        <x:v>126</x:v>
      </x:c>
      <x:c r="L19" s="41" t="n">
        <x:f>INDEX('Position Standard'!$J$7:$J$38,MATCH(D19,'Position Standard'!$B$7:$B$38,0))</x:f>
        <x:v>28</x:v>
      </x:c>
      <x:c r="M19" s="41" t="n">
        <x:f>INDEX('Position Standard'!$K$7:$K$38,MATCH(D19,'Position Standard'!$B$7:$B$38,0))</x:f>
        <x:v>4.5</x:v>
      </x:c>
      <x:c r="N19" s="41" t="str">
        <x:v>HBL-A1</x:v>
      </x:c>
      <x:c r="O19" s="41" t="n">
        <x:v>28</x:v>
      </x:c>
      <x:c r="P19" s="41" t="n">
        <x:v>1.5</x:v>
      </x:c>
      <x:c r="Q19" s="41" t="n">
        <x:f>0.4+M19/2</x:f>
        <x:v>2.65</x:v>
      </x:c>
      <x:c r="R19" s="31" t="str">
        <x:v>I-A</x:v>
      </x:c>
      <x:c r="S19" s="31" t="str">
        <x:f>INDEX('Position Standard'!$L$7:$L$38,MATCH(D19,'Position Standard'!$B$7:$B$38,0))</x:f>
        <x:v>thermal</x:v>
      </x:c>
      <x:c r="T19" s="31" t="n">
        <x:f>INDEX('Position Standard'!$M$7:$M$38,MATCH(D19,'Position Standard'!$B$7:$B$38,0))</x:f>
        <x:v>10</x:v>
      </x:c>
      <x:c r="U19" s="31" t="str">
        <x:v>OPEN</x:v>
      </x:c>
      <x:c r="V19" s="31" t="n">
        <x:f>J19*O19</x:f>
        <x:v>560</x:v>
      </x:c>
      <x:c r="W19" s="31" t="n">
        <x:f>J19*P19</x:f>
        <x:v>30</x:v>
      </x:c>
      <x:c r="X19" s="33" t="n">
        <x:f>J19*Q19</x:f>
        <x:v>53</x:v>
      </x:c>
    </x:row>
    <x:row r="20">
      <x:c r="B20" s="31" t="str">
        <x:v>A-P05-1</x:v>
      </x:c>
      <x:c r="C20" s="31" t="str">
        <x:v>DRY</x:v>
      </x:c>
      <x:c r="D20" s="31" t="str">
        <x:v>P05-1</x:v>
      </x:c>
      <x:c r="E20" s="31" t="str">
        <x:f>INDEX('Position Standard'!$C$7:$C$38,MATCH(D20,'Position Standard'!$B$7:$B$38,0))</x:f>
        <x:v>P05</x:v>
      </x:c>
      <x:c r="F20" s="31" t="str">
        <x:f>INDEX('Position Standard'!$E$7:$E$38,MATCH(D20,'Position Standard'!$B$7:$B$38,0))</x:f>
        <x:v>Water treatment and quality</x:v>
      </x:c>
      <x:c r="G20" s="31" t="str">
        <x:f>INDEX('Position Standard'!$G$7:$G$38,MATCH(D20,'Position Standard'!$B$7:$B$38,0))</x:f>
        <x:v>L2</x:v>
      </x:c>
      <x:c r="H20" s="41" t="n">
        <x:f>INDEX('Position Standard'!$H$7:$H$38,MATCH(D20,'Position Standard'!$B$7:$B$38,0))</x:f>
        <x:v>15</x:v>
      </x:c>
      <x:c r="I20" s="41" t="n">
        <x:v>0</x:v>
      </x:c>
      <x:c r="J20" s="41" t="n">
        <x:f>H20+I20</x:f>
        <x:v>15</x:v>
      </x:c>
      <x:c r="K20" s="41" t="n">
        <x:f>INDEX('Position Standard'!$I$7:$I$38,MATCH(D20,'Position Standard'!$B$7:$B$38,0))</x:f>
        <x:v>74</x:v>
      </x:c>
      <x:c r="L20" s="41" t="n">
        <x:f>INDEX('Position Standard'!$J$7:$J$38,MATCH(D20,'Position Standard'!$B$7:$B$38,0))</x:f>
        <x:v>16</x:v>
      </x:c>
      <x:c r="M20" s="41" t="n">
        <x:f>INDEX('Position Standard'!$K$7:$K$38,MATCH(D20,'Position Standard'!$B$7:$B$38,0))</x:f>
        <x:v>4.625</x:v>
      </x:c>
      <x:c r="N20" s="41" t="str">
        <x:v>HBL-A1</x:v>
      </x:c>
      <x:c r="O20" s="41" t="n">
        <x:v>28</x:v>
      </x:c>
      <x:c r="P20" s="41" t="n">
        <x:v>4.5</x:v>
      </x:c>
      <x:c r="Q20" s="41" t="n">
        <x:f>0.4+M20/2</x:f>
        <x:v>2.7125</x:v>
      </x:c>
      <x:c r="R20" s="31" t="str">
        <x:v>I-A</x:v>
      </x:c>
      <x:c r="S20" s="31" t="str">
        <x:f>INDEX('Position Standard'!$L$7:$L$38,MATCH(D20,'Position Standard'!$B$7:$B$38,0))</x:f>
        <x:v>treatment</x:v>
      </x:c>
      <x:c r="T20" s="31" t="n">
        <x:f>INDEX('Position Standard'!$M$7:$M$38,MATCH(D20,'Position Standard'!$B$7:$B$38,0))</x:f>
        <x:v>11</x:v>
      </x:c>
      <x:c r="U20" s="31" t="str">
        <x:v>OPEN</x:v>
      </x:c>
      <x:c r="V20" s="31" t="n">
        <x:f>J20*O20</x:f>
        <x:v>420</x:v>
      </x:c>
      <x:c r="W20" s="31" t="n">
        <x:f>J20*P20</x:f>
        <x:v>67.5</x:v>
      </x:c>
      <x:c r="X20" s="33" t="n">
        <x:f>J20*Q20</x:f>
        <x:v>40.6875</x:v>
      </x:c>
    </x:row>
    <x:row r="21">
      <x:c r="B21" s="31" t="str">
        <x:v>A-P05-2</x:v>
      </x:c>
      <x:c r="C21" s="31" t="str">
        <x:v>DRY</x:v>
      </x:c>
      <x:c r="D21" s="31" t="str">
        <x:v>P05-2</x:v>
      </x:c>
      <x:c r="E21" s="31" t="str">
        <x:f>INDEX('Position Standard'!$C$7:$C$38,MATCH(D21,'Position Standard'!$B$7:$B$38,0))</x:f>
        <x:v>P05</x:v>
      </x:c>
      <x:c r="F21" s="31" t="str">
        <x:f>INDEX('Position Standard'!$E$7:$E$38,MATCH(D21,'Position Standard'!$B$7:$B$38,0))</x:f>
        <x:v>Water treatment and quality</x:v>
      </x:c>
      <x:c r="G21" s="31" t="str">
        <x:f>INDEX('Position Standard'!$G$7:$G$38,MATCH(D21,'Position Standard'!$B$7:$B$38,0))</x:f>
        <x:v>L3</x:v>
      </x:c>
      <x:c r="H21" s="41" t="n">
        <x:f>INDEX('Position Standard'!$H$7:$H$38,MATCH(D21,'Position Standard'!$B$7:$B$38,0))</x:f>
        <x:v>14</x:v>
      </x:c>
      <x:c r="I21" s="41" t="n">
        <x:v>0</x:v>
      </x:c>
      <x:c r="J21" s="41" t="n">
        <x:f>H21+I21</x:f>
        <x:v>14</x:v>
      </x:c>
      <x:c r="K21" s="41" t="n">
        <x:f>INDEX('Position Standard'!$I$7:$I$38,MATCH(D21,'Position Standard'!$B$7:$B$38,0))</x:f>
        <x:v>73</x:v>
      </x:c>
      <x:c r="L21" s="41" t="n">
        <x:f>INDEX('Position Standard'!$J$7:$J$38,MATCH(D21,'Position Standard'!$B$7:$B$38,0))</x:f>
        <x:v>16</x:v>
      </x:c>
      <x:c r="M21" s="41" t="n">
        <x:f>INDEX('Position Standard'!$K$7:$K$38,MATCH(D21,'Position Standard'!$B$7:$B$38,0))</x:f>
        <x:v>4.563</x:v>
      </x:c>
      <x:c r="N21" s="41" t="str">
        <x:v>HBL-A2</x:v>
      </x:c>
      <x:c r="O21" s="41" t="n">
        <x:v>28</x:v>
      </x:c>
      <x:c r="P21" s="41" t="n">
        <x:v>1.5</x:v>
      </x:c>
      <x:c r="Q21" s="41" t="n">
        <x:f>0.4+M21/2</x:f>
        <x:v>2.6814999999999998</x:v>
      </x:c>
      <x:c r="R21" s="31" t="str">
        <x:v>I-A</x:v>
      </x:c>
      <x:c r="S21" s="31" t="str">
        <x:f>INDEX('Position Standard'!$L$7:$L$38,MATCH(D21,'Position Standard'!$B$7:$B$38,0))</x:f>
        <x:v>treatment</x:v>
      </x:c>
      <x:c r="T21" s="31" t="n">
        <x:f>INDEX('Position Standard'!$M$7:$M$38,MATCH(D21,'Position Standard'!$B$7:$B$38,0))</x:f>
        <x:v>11</x:v>
      </x:c>
      <x:c r="U21" s="31" t="str">
        <x:v>OPEN</x:v>
      </x:c>
      <x:c r="V21" s="31" t="n">
        <x:f>J21*O21</x:f>
        <x:v>392</x:v>
      </x:c>
      <x:c r="W21" s="31" t="n">
        <x:f>J21*P21</x:f>
        <x:v>21</x:v>
      </x:c>
      <x:c r="X21" s="33" t="n">
        <x:f>J21*Q21</x:f>
        <x:v>37.541</x:v>
      </x:c>
    </x:row>
    <x:row r="22">
      <x:c r="B22" s="31" t="str">
        <x:v>A-P05-3</x:v>
      </x:c>
      <x:c r="C22" s="31" t="str">
        <x:v>DRY</x:v>
      </x:c>
      <x:c r="D22" s="31" t="str">
        <x:v>P05-3</x:v>
      </x:c>
      <x:c r="E22" s="31" t="str">
        <x:f>INDEX('Position Standard'!$C$7:$C$38,MATCH(D22,'Position Standard'!$B$7:$B$38,0))</x:f>
        <x:v>P05</x:v>
      </x:c>
      <x:c r="F22" s="31" t="str">
        <x:f>INDEX('Position Standard'!$E$7:$E$38,MATCH(D22,'Position Standard'!$B$7:$B$38,0))</x:f>
        <x:v>Water treatment and quality</x:v>
      </x:c>
      <x:c r="G22" s="31" t="str">
        <x:f>INDEX('Position Standard'!$G$7:$G$38,MATCH(D22,'Position Standard'!$B$7:$B$38,0))</x:f>
        <x:v>L3</x:v>
      </x:c>
      <x:c r="H22" s="41" t="n">
        <x:f>INDEX('Position Standard'!$H$7:$H$38,MATCH(D22,'Position Standard'!$B$7:$B$38,0))</x:f>
        <x:v>14</x:v>
      </x:c>
      <x:c r="I22" s="41" t="n">
        <x:v>0</x:v>
      </x:c>
      <x:c r="J22" s="41" t="n">
        <x:f>H22+I22</x:f>
        <x:v>14</x:v>
      </x:c>
      <x:c r="K22" s="41" t="n">
        <x:f>INDEX('Position Standard'!$I$7:$I$38,MATCH(D22,'Position Standard'!$B$7:$B$38,0))</x:f>
        <x:v>73</x:v>
      </x:c>
      <x:c r="L22" s="41" t="n">
        <x:f>INDEX('Position Standard'!$J$7:$J$38,MATCH(D22,'Position Standard'!$B$7:$B$38,0))</x:f>
        <x:v>16</x:v>
      </x:c>
      <x:c r="M22" s="41" t="n">
        <x:f>INDEX('Position Standard'!$K$7:$K$38,MATCH(D22,'Position Standard'!$B$7:$B$38,0))</x:f>
        <x:v>4.563</x:v>
      </x:c>
      <x:c r="N22" s="41" t="str">
        <x:v>HBL-A2</x:v>
      </x:c>
      <x:c r="O22" s="41" t="n">
        <x:v>4</x:v>
      </x:c>
      <x:c r="P22" s="41" t="n">
        <x:v>-1.5</x:v>
      </x:c>
      <x:c r="Q22" s="41" t="n">
        <x:f>0.4+M22/2</x:f>
        <x:v>2.6814999999999998</x:v>
      </x:c>
      <x:c r="R22" s="31" t="str">
        <x:v>I-A</x:v>
      </x:c>
      <x:c r="S22" s="31" t="str">
        <x:f>INDEX('Position Standard'!$L$7:$L$38,MATCH(D22,'Position Standard'!$B$7:$B$38,0))</x:f>
        <x:v>laboratory</x:v>
      </x:c>
      <x:c r="T22" s="31" t="n">
        <x:f>INDEX('Position Standard'!$M$7:$M$38,MATCH(D22,'Position Standard'!$B$7:$B$38,0))</x:f>
        <x:v>11</x:v>
      </x:c>
      <x:c r="U22" s="31" t="str">
        <x:v>OPEN</x:v>
      </x:c>
      <x:c r="V22" s="31" t="n">
        <x:f>J22*O22</x:f>
        <x:v>56</x:v>
      </x:c>
      <x:c r="W22" s="31" t="n">
        <x:f>J22*P22</x:f>
        <x:v>-21</x:v>
      </x:c>
      <x:c r="X22" s="33" t="n">
        <x:f>J22*Q22</x:f>
        <x:v>37.541</x:v>
      </x:c>
    </x:row>
    <x:row r="23">
      <x:c r="B23" s="31" t="str">
        <x:v>A-P06-1</x:v>
      </x:c>
      <x:c r="C23" s="31" t="str">
        <x:v>DRY</x:v>
      </x:c>
      <x:c r="D23" s="31" t="str">
        <x:v>P06-1</x:v>
      </x:c>
      <x:c r="E23" s="31" t="str">
        <x:f>INDEX('Position Standard'!$C$7:$C$38,MATCH(D23,'Position Standard'!$B$7:$B$38,0))</x:f>
        <x:v>P06</x:v>
      </x:c>
      <x:c r="F23" s="31" t="str">
        <x:f>INDEX('Position Standard'!$E$7:$E$38,MATCH(D23,'Position Standard'!$B$7:$B$38,0))</x:f>
        <x:v>Wastewater and residual custody</x:v>
      </x:c>
      <x:c r="G23" s="31" t="str">
        <x:f>INDEX('Position Standard'!$G$7:$G$38,MATCH(D23,'Position Standard'!$B$7:$B$38,0))</x:f>
        <x:v>L3</x:v>
      </x:c>
      <x:c r="H23" s="41" t="n">
        <x:f>INDEX('Position Standard'!$H$7:$H$38,MATCH(D23,'Position Standard'!$B$7:$B$38,0))</x:f>
        <x:v>13.5</x:v>
      </x:c>
      <x:c r="I23" s="41" t="n">
        <x:v>0</x:v>
      </x:c>
      <x:c r="J23" s="41" t="n">
        <x:f>H23+I23</x:f>
        <x:v>13.5</x:v>
      </x:c>
      <x:c r="K23" s="41" t="n">
        <x:f>INDEX('Position Standard'!$I$7:$I$38,MATCH(D23,'Position Standard'!$B$7:$B$38,0))</x:f>
        <x:v>70</x:v>
      </x:c>
      <x:c r="L23" s="41" t="n">
        <x:f>INDEX('Position Standard'!$J$7:$J$38,MATCH(D23,'Position Standard'!$B$7:$B$38,0))</x:f>
        <x:v>15</x:v>
      </x:c>
      <x:c r="M23" s="41" t="n">
        <x:f>INDEX('Position Standard'!$K$7:$K$38,MATCH(D23,'Position Standard'!$B$7:$B$38,0))</x:f>
        <x:v>4.667</x:v>
      </x:c>
      <x:c r="N23" s="41" t="str">
        <x:v>HBL-A2</x:v>
      </x:c>
      <x:c r="O23" s="41" t="n">
        <x:v>12</x:v>
      </x:c>
      <x:c r="P23" s="41" t="n">
        <x:v>-1.5</x:v>
      </x:c>
      <x:c r="Q23" s="41" t="n">
        <x:f>0.4+M23/2</x:f>
        <x:v>2.7335</x:v>
      </x:c>
      <x:c r="R23" s="31" t="str">
        <x:v>I-A</x:v>
      </x:c>
      <x:c r="S23" s="31" t="str">
        <x:f>INDEX('Position Standard'!$L$7:$L$38,MATCH(D23,'Position Standard'!$B$7:$B$38,0))</x:f>
        <x:v>residual</x:v>
      </x:c>
      <x:c r="T23" s="31" t="n">
        <x:f>INDEX('Position Standard'!$M$7:$M$38,MATCH(D23,'Position Standard'!$B$7:$B$38,0))</x:f>
        <x:v>12</x:v>
      </x:c>
      <x:c r="U23" s="31" t="str">
        <x:v>OPEN</x:v>
      </x:c>
      <x:c r="V23" s="31" t="n">
        <x:f>J23*O23</x:f>
        <x:v>162</x:v>
      </x:c>
      <x:c r="W23" s="31" t="n">
        <x:f>J23*P23</x:f>
        <x:v>-20.25</x:v>
      </x:c>
      <x:c r="X23" s="33" t="n">
        <x:f>J23*Q23</x:f>
        <x:v>36.902249999999995</x:v>
      </x:c>
    </x:row>
    <x:row r="24">
      <x:c r="B24" s="31" t="str">
        <x:v>A-P06-2</x:v>
      </x:c>
      <x:c r="C24" s="31" t="str">
        <x:v>DRY</x:v>
      </x:c>
      <x:c r="D24" s="31" t="str">
        <x:v>P06-2</x:v>
      </x:c>
      <x:c r="E24" s="31" t="str">
        <x:f>INDEX('Position Standard'!$C$7:$C$38,MATCH(D24,'Position Standard'!$B$7:$B$38,0))</x:f>
        <x:v>P06</x:v>
      </x:c>
      <x:c r="F24" s="31" t="str">
        <x:f>INDEX('Position Standard'!$E$7:$E$38,MATCH(D24,'Position Standard'!$B$7:$B$38,0))</x:f>
        <x:v>Wastewater and residual custody</x:v>
      </x:c>
      <x:c r="G24" s="31" t="str">
        <x:f>INDEX('Position Standard'!$G$7:$G$38,MATCH(D24,'Position Standard'!$B$7:$B$38,0))</x:f>
        <x:v>L3</x:v>
      </x:c>
      <x:c r="H24" s="41" t="n">
        <x:f>INDEX('Position Standard'!$H$7:$H$38,MATCH(D24,'Position Standard'!$B$7:$B$38,0))</x:f>
        <x:v>13.5</x:v>
      </x:c>
      <x:c r="I24" s="41" t="n">
        <x:v>0</x:v>
      </x:c>
      <x:c r="J24" s="41" t="n">
        <x:f>H24+I24</x:f>
        <x:v>13.5</x:v>
      </x:c>
      <x:c r="K24" s="41" t="n">
        <x:f>INDEX('Position Standard'!$I$7:$I$38,MATCH(D24,'Position Standard'!$B$7:$B$38,0))</x:f>
        <x:v>70</x:v>
      </x:c>
      <x:c r="L24" s="41" t="n">
        <x:f>INDEX('Position Standard'!$J$7:$J$38,MATCH(D24,'Position Standard'!$B$7:$B$38,0))</x:f>
        <x:v>15</x:v>
      </x:c>
      <x:c r="M24" s="41" t="n">
        <x:f>INDEX('Position Standard'!$K$7:$K$38,MATCH(D24,'Position Standard'!$B$7:$B$38,0))</x:f>
        <x:v>4.667</x:v>
      </x:c>
      <x:c r="N24" s="41" t="str">
        <x:v>HBL-A2</x:v>
      </x:c>
      <x:c r="O24" s="41" t="n">
        <x:v>28</x:v>
      </x:c>
      <x:c r="P24" s="41" t="n">
        <x:v>4.5</x:v>
      </x:c>
      <x:c r="Q24" s="41" t="n">
        <x:f>0.4+M24/2</x:f>
        <x:v>2.7335</x:v>
      </x:c>
      <x:c r="R24" s="31" t="str">
        <x:v>I-A</x:v>
      </x:c>
      <x:c r="S24" s="31" t="str">
        <x:f>INDEX('Position Standard'!$L$7:$L$38,MATCH(D24,'Position Standard'!$B$7:$B$38,0))</x:f>
        <x:v>residual</x:v>
      </x:c>
      <x:c r="T24" s="31" t="n">
        <x:f>INDEX('Position Standard'!$M$7:$M$38,MATCH(D24,'Position Standard'!$B$7:$B$38,0))</x:f>
        <x:v>12</x:v>
      </x:c>
      <x:c r="U24" s="31" t="str">
        <x:v>OPEN</x:v>
      </x:c>
      <x:c r="V24" s="31" t="n">
        <x:f>J24*O24</x:f>
        <x:v>378</x:v>
      </x:c>
      <x:c r="W24" s="31" t="n">
        <x:f>J24*P24</x:f>
        <x:v>60.75</x:v>
      </x:c>
      <x:c r="X24" s="33" t="n">
        <x:f>J24*Q24</x:f>
        <x:v>36.902249999999995</x:v>
      </x:c>
    </x:row>
    <x:row r="25">
      <x:c r="B25" s="31" t="str">
        <x:v>A-P07-1</x:v>
      </x:c>
      <x:c r="C25" s="31" t="str">
        <x:v>DRY</x:v>
      </x:c>
      <x:c r="D25" s="31" t="str">
        <x:v>P07-1</x:v>
      </x:c>
      <x:c r="E25" s="31" t="str">
        <x:f>INDEX('Position Standard'!$C$7:$C$38,MATCH(D25,'Position Standard'!$B$7:$B$38,0))</x:f>
        <x:v>P07</x:v>
      </x:c>
      <x:c r="F25" s="31" t="str">
        <x:f>INDEX('Position Standard'!$E$7:$E$38,MATCH(D25,'Position Standard'!$B$7:$B$38,0))</x:f>
        <x:v>Potable and fire-water storage</x:v>
      </x:c>
      <x:c r="G25" s="31" t="str">
        <x:f>INDEX('Position Standard'!$G$7:$G$38,MATCH(D25,'Position Standard'!$B$7:$B$38,0))</x:f>
        <x:v>L4</x:v>
      </x:c>
      <x:c r="H25" s="41" t="n">
        <x:f>INDEX('Position Standard'!$H$7:$H$38,MATCH(D25,'Position Standard'!$B$7:$B$38,0))</x:f>
        <x:v>13</x:v>
      </x:c>
      <x:c r="I25" s="41" t="n">
        <x:v>0</x:v>
      </x:c>
      <x:c r="J25" s="41" t="n">
        <x:f>H25+I25</x:f>
        <x:v>13</x:v>
      </x:c>
      <x:c r="K25" s="41" t="n">
        <x:f>INDEX('Position Standard'!$I$7:$I$38,MATCH(D25,'Position Standard'!$B$7:$B$38,0))</x:f>
        <x:v>125</x:v>
      </x:c>
      <x:c r="L25" s="41" t="n">
        <x:f>INDEX('Position Standard'!$J$7:$J$38,MATCH(D25,'Position Standard'!$B$7:$B$38,0))</x:f>
        <x:v>30</x:v>
      </x:c>
      <x:c r="M25" s="41" t="n">
        <x:f>INDEX('Position Standard'!$K$7:$K$38,MATCH(D25,'Position Standard'!$B$7:$B$38,0))</x:f>
        <x:v>4.167</x:v>
      </x:c>
      <x:c r="N25" s="41" t="str">
        <x:v>HBL-A2</x:v>
      </x:c>
      <x:c r="O25" s="41" t="n">
        <x:v>28</x:v>
      </x:c>
      <x:c r="P25" s="41" t="n">
        <x:v>-1.5</x:v>
      </x:c>
      <x:c r="Q25" s="41" t="n">
        <x:f>0.4+M25/2</x:f>
        <x:v>2.4835</x:v>
      </x:c>
      <x:c r="R25" s="31" t="str">
        <x:v>I-A</x:v>
      </x:c>
      <x:c r="S25" s="31" t="str">
        <x:f>INDEX('Position Standard'!$L$7:$L$38,MATCH(D25,'Position Standard'!$B$7:$B$38,0))</x:f>
        <x:v>potable</x:v>
      </x:c>
      <x:c r="T25" s="31" t="n">
        <x:f>INDEX('Position Standard'!$M$7:$M$38,MATCH(D25,'Position Standard'!$B$7:$B$38,0))</x:f>
        <x:v>13</x:v>
      </x:c>
      <x:c r="U25" s="31" t="str">
        <x:v>OPEN</x:v>
      </x:c>
      <x:c r="V25" s="31" t="n">
        <x:f>J25*O25</x:f>
        <x:v>364</x:v>
      </x:c>
      <x:c r="W25" s="31" t="n">
        <x:f>J25*P25</x:f>
        <x:v>-19.5</x:v>
      </x:c>
      <x:c r="X25" s="33" t="n">
        <x:f>J25*Q25</x:f>
        <x:v>32.2855</x:v>
      </x:c>
    </x:row>
    <x:row r="26">
      <x:c r="B26" s="31" t="str">
        <x:v>A-P07-2</x:v>
      </x:c>
      <x:c r="C26" s="31" t="str">
        <x:v>DRY</x:v>
      </x:c>
      <x:c r="D26" s="31" t="str">
        <x:v>P07-2</x:v>
      </x:c>
      <x:c r="E26" s="31" t="str">
        <x:f>INDEX('Position Standard'!$C$7:$C$38,MATCH(D26,'Position Standard'!$B$7:$B$38,0))</x:f>
        <x:v>P07</x:v>
      </x:c>
      <x:c r="F26" s="31" t="str">
        <x:f>INDEX('Position Standard'!$E$7:$E$38,MATCH(D26,'Position Standard'!$B$7:$B$38,0))</x:f>
        <x:v>Potable and fire-water storage</x:v>
      </x:c>
      <x:c r="G26" s="31" t="str">
        <x:f>INDEX('Position Standard'!$G$7:$G$38,MATCH(D26,'Position Standard'!$B$7:$B$38,0))</x:f>
        <x:v>L4</x:v>
      </x:c>
      <x:c r="H26" s="41" t="n">
        <x:f>INDEX('Position Standard'!$H$7:$H$38,MATCH(D26,'Position Standard'!$B$7:$B$38,0))</x:f>
        <x:v>13</x:v>
      </x:c>
      <x:c r="I26" s="41" t="n">
        <x:v>0</x:v>
      </x:c>
      <x:c r="J26" s="41" t="n">
        <x:f>H26+I26</x:f>
        <x:v>13</x:v>
      </x:c>
      <x:c r="K26" s="41" t="n">
        <x:f>INDEX('Position Standard'!$I$7:$I$38,MATCH(D26,'Position Standard'!$B$7:$B$38,0))</x:f>
        <x:v>125</x:v>
      </x:c>
      <x:c r="L26" s="41" t="n">
        <x:f>INDEX('Position Standard'!$J$7:$J$38,MATCH(D26,'Position Standard'!$B$7:$B$38,0))</x:f>
        <x:v>30</x:v>
      </x:c>
      <x:c r="M26" s="41" t="n">
        <x:f>INDEX('Position Standard'!$K$7:$K$38,MATCH(D26,'Position Standard'!$B$7:$B$38,0))</x:f>
        <x:v>4.167</x:v>
      </x:c>
      <x:c r="N26" s="41" t="str">
        <x:v>HBL-A2</x:v>
      </x:c>
      <x:c r="O26" s="41" t="n">
        <x:v>12</x:v>
      </x:c>
      <x:c r="P26" s="41" t="n">
        <x:v>1.5</x:v>
      </x:c>
      <x:c r="Q26" s="41" t="n">
        <x:f>0.4+M26/2</x:f>
        <x:v>2.4835</x:v>
      </x:c>
      <x:c r="R26" s="31" t="str">
        <x:v>I-A</x:v>
      </x:c>
      <x:c r="S26" s="31" t="str">
        <x:f>INDEX('Position Standard'!$L$7:$L$38,MATCH(D26,'Position Standard'!$B$7:$B$38,0))</x:f>
        <x:v>potable</x:v>
      </x:c>
      <x:c r="T26" s="31" t="n">
        <x:f>INDEX('Position Standard'!$M$7:$M$38,MATCH(D26,'Position Standard'!$B$7:$B$38,0))</x:f>
        <x:v>13</x:v>
      </x:c>
      <x:c r="U26" s="31" t="str">
        <x:v>OPEN</x:v>
      </x:c>
      <x:c r="V26" s="31" t="n">
        <x:f>J26*O26</x:f>
        <x:v>156</x:v>
      </x:c>
      <x:c r="W26" s="31" t="n">
        <x:f>J26*P26</x:f>
        <x:v>19.5</x:v>
      </x:c>
      <x:c r="X26" s="33" t="n">
        <x:f>J26*Q26</x:f>
        <x:v>32.2855</x:v>
      </x:c>
    </x:row>
    <x:row r="27">
      <x:c r="B27" s="31" t="str">
        <x:v>A-P08-1</x:v>
      </x:c>
      <x:c r="C27" s="31" t="str">
        <x:v>DRY</x:v>
      </x:c>
      <x:c r="D27" s="31" t="str">
        <x:v>P08-1</x:v>
      </x:c>
      <x:c r="E27" s="31" t="str">
        <x:f>INDEX('Position Standard'!$C$7:$C$38,MATCH(D27,'Position Standard'!$B$7:$B$38,0))</x:f>
        <x:v>P08</x:v>
      </x:c>
      <x:c r="F27" s="31" t="str">
        <x:f>INDEX('Position Standard'!$E$7:$E$38,MATCH(D27,'Position Standard'!$B$7:$B$38,0))</x:f>
        <x:v>Medium-voltage distribution</x:v>
      </x:c>
      <x:c r="G27" s="31" t="str">
        <x:f>INDEX('Position Standard'!$G$7:$G$38,MATCH(D27,'Position Standard'!$B$7:$B$38,0))</x:f>
        <x:v>L4</x:v>
      </x:c>
      <x:c r="H27" s="41" t="n">
        <x:f>INDEX('Position Standard'!$H$7:$H$38,MATCH(D27,'Position Standard'!$B$7:$B$38,0))</x:f>
        <x:v>18</x:v>
      </x:c>
      <x:c r="I27" s="41" t="n">
        <x:v>0</x:v>
      </x:c>
      <x:c r="J27" s="41" t="n">
        <x:f>H27+I27</x:f>
        <x:v>18</x:v>
      </x:c>
      <x:c r="K27" s="41" t="n">
        <x:f>INDEX('Position Standard'!$I$7:$I$38,MATCH(D27,'Position Standard'!$B$7:$B$38,0))</x:f>
        <x:v>75</x:v>
      </x:c>
      <x:c r="L27" s="41" t="n">
        <x:f>INDEX('Position Standard'!$J$7:$J$38,MATCH(D27,'Position Standard'!$B$7:$B$38,0))</x:f>
        <x:v>16</x:v>
      </x:c>
      <x:c r="M27" s="41" t="n">
        <x:f>INDEX('Position Standard'!$K$7:$K$38,MATCH(D27,'Position Standard'!$B$7:$B$38,0))</x:f>
        <x:v>4.688</x:v>
      </x:c>
      <x:c r="N27" s="41" t="str">
        <x:v>HBL-A2</x:v>
      </x:c>
      <x:c r="O27" s="41" t="n">
        <x:v>20</x:v>
      </x:c>
      <x:c r="P27" s="41" t="n">
        <x:v>-1.5</x:v>
      </x:c>
      <x:c r="Q27" s="41" t="n">
        <x:f>0.4+M27/2</x:f>
        <x:v>2.7439999999999998</x:v>
      </x:c>
      <x:c r="R27" s="31" t="str">
        <x:v>I-A</x:v>
      </x:c>
      <x:c r="S27" s="31" t="str">
        <x:f>INDEX('Position Standard'!$L$7:$L$38,MATCH(D27,'Position Standard'!$B$7:$B$38,0))</x:f>
        <x:v>high voltage</x:v>
      </x:c>
      <x:c r="T27" s="31" t="n">
        <x:f>INDEX('Position Standard'!$M$7:$M$38,MATCH(D27,'Position Standard'!$B$7:$B$38,0))</x:f>
        <x:v>5</x:v>
      </x:c>
      <x:c r="U27" s="31" t="str">
        <x:v>OPEN</x:v>
      </x:c>
      <x:c r="V27" s="31" t="n">
        <x:f>J27*O27</x:f>
        <x:v>360</x:v>
      </x:c>
      <x:c r="W27" s="31" t="n">
        <x:f>J27*P27</x:f>
        <x:v>-27</x:v>
      </x:c>
      <x:c r="X27" s="33" t="n">
        <x:f>J27*Q27</x:f>
        <x:v>49.391999999999996</x:v>
      </x:c>
    </x:row>
    <x:row r="28">
      <x:c r="B28" s="31" t="str">
        <x:v>A-P08-2</x:v>
      </x:c>
      <x:c r="C28" s="31" t="str">
        <x:v>DRY</x:v>
      </x:c>
      <x:c r="D28" s="31" t="str">
        <x:v>P08-2</x:v>
      </x:c>
      <x:c r="E28" s="31" t="str">
        <x:f>INDEX('Position Standard'!$C$7:$C$38,MATCH(D28,'Position Standard'!$B$7:$B$38,0))</x:f>
        <x:v>P08</x:v>
      </x:c>
      <x:c r="F28" s="31" t="str">
        <x:f>INDEX('Position Standard'!$E$7:$E$38,MATCH(D28,'Position Standard'!$B$7:$B$38,0))</x:f>
        <x:v>Medium-voltage distribution</x:v>
      </x:c>
      <x:c r="G28" s="31" t="str">
        <x:f>INDEX('Position Standard'!$G$7:$G$38,MATCH(D28,'Position Standard'!$B$7:$B$38,0))</x:f>
        <x:v>L4</x:v>
      </x:c>
      <x:c r="H28" s="41" t="n">
        <x:f>INDEX('Position Standard'!$H$7:$H$38,MATCH(D28,'Position Standard'!$B$7:$B$38,0))</x:f>
        <x:v>18</x:v>
      </x:c>
      <x:c r="I28" s="41" t="n">
        <x:v>0</x:v>
      </x:c>
      <x:c r="J28" s="41" t="n">
        <x:f>H28+I28</x:f>
        <x:v>18</x:v>
      </x:c>
      <x:c r="K28" s="41" t="n">
        <x:f>INDEX('Position Standard'!$I$7:$I$38,MATCH(D28,'Position Standard'!$B$7:$B$38,0))</x:f>
        <x:v>75</x:v>
      </x:c>
      <x:c r="L28" s="41" t="n">
        <x:f>INDEX('Position Standard'!$J$7:$J$38,MATCH(D28,'Position Standard'!$B$7:$B$38,0))</x:f>
        <x:v>16</x:v>
      </x:c>
      <x:c r="M28" s="41" t="n">
        <x:f>INDEX('Position Standard'!$K$7:$K$38,MATCH(D28,'Position Standard'!$B$7:$B$38,0))</x:f>
        <x:v>4.688</x:v>
      </x:c>
      <x:c r="N28" s="41" t="str">
        <x:v>HBL-A2</x:v>
      </x:c>
      <x:c r="O28" s="41" t="n">
        <x:v>20</x:v>
      </x:c>
      <x:c r="P28" s="41" t="n">
        <x:v>-4.5</x:v>
      </x:c>
      <x:c r="Q28" s="41" t="n">
        <x:f>0.4+M28/2</x:f>
        <x:v>2.7439999999999998</x:v>
      </x:c>
      <x:c r="R28" s="31" t="str">
        <x:v>I-A</x:v>
      </x:c>
      <x:c r="S28" s="31" t="str">
        <x:f>INDEX('Position Standard'!$L$7:$L$38,MATCH(D28,'Position Standard'!$B$7:$B$38,0))</x:f>
        <x:v>high voltage</x:v>
      </x:c>
      <x:c r="T28" s="31" t="n">
        <x:f>INDEX('Position Standard'!$M$7:$M$38,MATCH(D28,'Position Standard'!$B$7:$B$38,0))</x:f>
        <x:v>5</x:v>
      </x:c>
      <x:c r="U28" s="31" t="str">
        <x:v>OPEN</x:v>
      </x:c>
      <x:c r="V28" s="31" t="n">
        <x:f>J28*O28</x:f>
        <x:v>360</x:v>
      </x:c>
      <x:c r="W28" s="31" t="n">
        <x:f>J28*P28</x:f>
        <x:v>-81</x:v>
      </x:c>
      <x:c r="X28" s="33" t="n">
        <x:f>J28*Q28</x:f>
        <x:v>49.391999999999996</x:v>
      </x:c>
    </x:row>
    <x:row r="29">
      <x:c r="B29" s="31" t="str">
        <x:v>A-P09-1</x:v>
      </x:c>
      <x:c r="C29" s="31" t="str">
        <x:v>DRY</x:v>
      </x:c>
      <x:c r="D29" s="31" t="str">
        <x:v>P09-1</x:v>
      </x:c>
      <x:c r="E29" s="31" t="str">
        <x:f>INDEX('Position Standard'!$C$7:$C$38,MATCH(D29,'Position Standard'!$B$7:$B$38,0))</x:f>
        <x:v>P09</x:v>
      </x:c>
      <x:c r="F29" s="31" t="str">
        <x:f>INDEX('Position Standard'!$E$7:$E$38,MATCH(D29,'Position Standard'!$B$7:$B$38,0))</x:f>
        <x:v>Water and thermal distribution</x:v>
      </x:c>
      <x:c r="G29" s="31" t="str">
        <x:f>INDEX('Position Standard'!$G$7:$G$38,MATCH(D29,'Position Standard'!$B$7:$B$38,0))</x:f>
        <x:v>L2</x:v>
      </x:c>
      <x:c r="H29" s="41" t="n">
        <x:f>INDEX('Position Standard'!$H$7:$H$38,MATCH(D29,'Position Standard'!$B$7:$B$38,0))</x:f>
        <x:v>17</x:v>
      </x:c>
      <x:c r="I29" s="41" t="n">
        <x:v>0</x:v>
      </x:c>
      <x:c r="J29" s="41" t="n">
        <x:f>H29+I29</x:f>
        <x:v>17</x:v>
      </x:c>
      <x:c r="K29" s="41" t="n">
        <x:f>INDEX('Position Standard'!$I$7:$I$38,MATCH(D29,'Position Standard'!$B$7:$B$38,0))</x:f>
        <x:v>90</x:v>
      </x:c>
      <x:c r="L29" s="41" t="n">
        <x:f>INDEX('Position Standard'!$J$7:$J$38,MATCH(D29,'Position Standard'!$B$7:$B$38,0))</x:f>
        <x:v>18</x:v>
      </x:c>
      <x:c r="M29" s="41" t="n">
        <x:f>INDEX('Position Standard'!$K$7:$K$38,MATCH(D29,'Position Standard'!$B$7:$B$38,0))</x:f>
        <x:v>5</x:v>
      </x:c>
      <x:c r="N29" s="41" t="str">
        <x:v>HBL-A1</x:v>
      </x:c>
      <x:c r="O29" s="41" t="n">
        <x:v>28</x:v>
      </x:c>
      <x:c r="P29" s="41" t="n">
        <x:v>-4.5</x:v>
      </x:c>
      <x:c r="Q29" s="41" t="n">
        <x:f>0.4+M29/2</x:f>
        <x:v>2.9</x:v>
      </x:c>
      <x:c r="R29" s="31" t="str">
        <x:v>I-A</x:v>
      </x:c>
      <x:c r="S29" s="31" t="str">
        <x:f>INDEX('Position Standard'!$L$7:$L$38,MATCH(D29,'Position Standard'!$B$7:$B$38,0))</x:f>
        <x:v>fluid</x:v>
      </x:c>
      <x:c r="T29" s="31" t="n">
        <x:f>INDEX('Position Standard'!$M$7:$M$38,MATCH(D29,'Position Standard'!$B$7:$B$38,0))</x:f>
        <x:v>7</x:v>
      </x:c>
      <x:c r="U29" s="31" t="str">
        <x:v>OPEN</x:v>
      </x:c>
      <x:c r="V29" s="31" t="n">
        <x:f>J29*O29</x:f>
        <x:v>476</x:v>
      </x:c>
      <x:c r="W29" s="31" t="n">
        <x:f>J29*P29</x:f>
        <x:v>-76.5</x:v>
      </x:c>
      <x:c r="X29" s="33" t="n">
        <x:f>J29*Q29</x:f>
        <x:v>49.3</x:v>
      </x:c>
    </x:row>
    <x:row r="30">
      <x:c r="B30" s="31" t="str">
        <x:v>A-P09-2</x:v>
      </x:c>
      <x:c r="C30" s="31" t="str">
        <x:v>DRY</x:v>
      </x:c>
      <x:c r="D30" s="31" t="str">
        <x:v>P09-2</x:v>
      </x:c>
      <x:c r="E30" s="31" t="str">
        <x:f>INDEX('Position Standard'!$C$7:$C$38,MATCH(D30,'Position Standard'!$B$7:$B$38,0))</x:f>
        <x:v>P09</x:v>
      </x:c>
      <x:c r="F30" s="31" t="str">
        <x:f>INDEX('Position Standard'!$E$7:$E$38,MATCH(D30,'Position Standard'!$B$7:$B$38,0))</x:f>
        <x:v>Water and thermal distribution</x:v>
      </x:c>
      <x:c r="G30" s="31" t="str">
        <x:f>INDEX('Position Standard'!$G$7:$G$38,MATCH(D30,'Position Standard'!$B$7:$B$38,0))</x:f>
        <x:v>L3</x:v>
      </x:c>
      <x:c r="H30" s="41" t="n">
        <x:f>INDEX('Position Standard'!$H$7:$H$38,MATCH(D30,'Position Standard'!$B$7:$B$38,0))</x:f>
        <x:v>17</x:v>
      </x:c>
      <x:c r="I30" s="41" t="n">
        <x:v>0</x:v>
      </x:c>
      <x:c r="J30" s="41" t="n">
        <x:f>H30+I30</x:f>
        <x:v>17</x:v>
      </x:c>
      <x:c r="K30" s="41" t="n">
        <x:f>INDEX('Position Standard'!$I$7:$I$38,MATCH(D30,'Position Standard'!$B$7:$B$38,0))</x:f>
        <x:v>90</x:v>
      </x:c>
      <x:c r="L30" s="41" t="n">
        <x:f>INDEX('Position Standard'!$J$7:$J$38,MATCH(D30,'Position Standard'!$B$7:$B$38,0))</x:f>
        <x:v>18</x:v>
      </x:c>
      <x:c r="M30" s="41" t="n">
        <x:f>INDEX('Position Standard'!$K$7:$K$38,MATCH(D30,'Position Standard'!$B$7:$B$38,0))</x:f>
        <x:v>5</x:v>
      </x:c>
      <x:c r="N30" s="41" t="str">
        <x:v>HBL-A2</x:v>
      </x:c>
      <x:c r="O30" s="41" t="n">
        <x:v>28</x:v>
      </x:c>
      <x:c r="P30" s="41" t="n">
        <x:v>-4.5</x:v>
      </x:c>
      <x:c r="Q30" s="41" t="n">
        <x:f>0.4+M30/2</x:f>
        <x:v>2.9</x:v>
      </x:c>
      <x:c r="R30" s="31" t="str">
        <x:v>I-A</x:v>
      </x:c>
      <x:c r="S30" s="31" t="str">
        <x:f>INDEX('Position Standard'!$L$7:$L$38,MATCH(D30,'Position Standard'!$B$7:$B$38,0))</x:f>
        <x:v>fluid</x:v>
      </x:c>
      <x:c r="T30" s="31" t="n">
        <x:f>INDEX('Position Standard'!$M$7:$M$38,MATCH(D30,'Position Standard'!$B$7:$B$38,0))</x:f>
        <x:v>7</x:v>
      </x:c>
      <x:c r="U30" s="31" t="str">
        <x:v>OPEN</x:v>
      </x:c>
      <x:c r="V30" s="31" t="n">
        <x:f>J30*O30</x:f>
        <x:v>476</x:v>
      </x:c>
      <x:c r="W30" s="31" t="n">
        <x:f>J30*P30</x:f>
        <x:v>-76.5</x:v>
      </x:c>
      <x:c r="X30" s="33" t="n">
        <x:f>J30*Q30</x:f>
        <x:v>49.3</x:v>
      </x:c>
    </x:row>
    <x:row r="31">
      <x:c r="B31" s="31" t="str">
        <x:v>A-P10-1</x:v>
      </x:c>
      <x:c r="C31" s="31" t="str">
        <x:v>DRY</x:v>
      </x:c>
      <x:c r="D31" s="31" t="str">
        <x:v>P10-1</x:v>
      </x:c>
      <x:c r="E31" s="31" t="str">
        <x:f>INDEX('Position Standard'!$C$7:$C$38,MATCH(D31,'Position Standard'!$B$7:$B$38,0))</x:f>
        <x:v>P10</x:v>
      </x:c>
      <x:c r="F31" s="31" t="str">
        <x:f>INDEX('Position Standard'!$E$7:$E$38,MATCH(D31,'Position Standard'!$B$7:$B$38,0))</x:f>
        <x:v>Building interface kits</x:v>
      </x:c>
      <x:c r="G31" s="31" t="str">
        <x:f>INDEX('Position Standard'!$G$7:$G$38,MATCH(D31,'Position Standard'!$B$7:$B$38,0))</x:f>
        <x:v>L3</x:v>
      </x:c>
      <x:c r="H31" s="41" t="n">
        <x:f>INDEX('Position Standard'!$H$7:$H$38,MATCH(D31,'Position Standard'!$B$7:$B$38,0))</x:f>
        <x:v>15</x:v>
      </x:c>
      <x:c r="I31" s="41" t="n">
        <x:v>0</x:v>
      </x:c>
      <x:c r="J31" s="41" t="n">
        <x:f>H31+I31</x:f>
        <x:v>15</x:v>
      </x:c>
      <x:c r="K31" s="41" t="n">
        <x:f>INDEX('Position Standard'!$I$7:$I$38,MATCH(D31,'Position Standard'!$B$7:$B$38,0))</x:f>
        <x:v>85</x:v>
      </x:c>
      <x:c r="L31" s="41" t="n">
        <x:f>INDEX('Position Standard'!$J$7:$J$38,MATCH(D31,'Position Standard'!$B$7:$B$38,0))</x:f>
        <x:v>21</x:v>
      </x:c>
      <x:c r="M31" s="41" t="n">
        <x:f>INDEX('Position Standard'!$K$7:$K$38,MATCH(D31,'Position Standard'!$B$7:$B$38,0))</x:f>
        <x:v>4.048</x:v>
      </x:c>
      <x:c r="N31" s="41" t="str">
        <x:v>HBL-A2</x:v>
      </x:c>
      <x:c r="O31" s="41" t="n">
        <x:v>4</x:v>
      </x:c>
      <x:c r="P31" s="41" t="n">
        <x:v>1.5</x:v>
      </x:c>
      <x:c r="Q31" s="41" t="n">
        <x:f>0.4+M31/2</x:f>
        <x:v>2.424</x:v>
      </x:c>
      <x:c r="R31" s="31" t="str">
        <x:v>I-A</x:v>
      </x:c>
      <x:c r="S31" s="31" t="str">
        <x:f>INDEX('Position Standard'!$L$7:$L$38,MATCH(D31,'Position Standard'!$B$7:$B$38,0))</x:f>
        <x:v>interface</x:v>
      </x:c>
      <x:c r="T31" s="31" t="n">
        <x:f>INDEX('Position Standard'!$M$7:$M$38,MATCH(D31,'Position Standard'!$B$7:$B$38,0))</x:f>
        <x:v>6</x:v>
      </x:c>
      <x:c r="U31" s="31" t="str">
        <x:v>OPEN</x:v>
      </x:c>
      <x:c r="V31" s="31" t="n">
        <x:f>J31*O31</x:f>
        <x:v>60</x:v>
      </x:c>
      <x:c r="W31" s="31" t="n">
        <x:f>J31*P31</x:f>
        <x:v>22.5</x:v>
      </x:c>
      <x:c r="X31" s="33" t="n">
        <x:f>J31*Q31</x:f>
        <x:v>36.36</x:v>
      </x:c>
    </x:row>
    <x:row r="32">
      <x:c r="B32" s="31" t="str">
        <x:v>A-P10-2</x:v>
      </x:c>
      <x:c r="C32" s="31" t="str">
        <x:v>DRY</x:v>
      </x:c>
      <x:c r="D32" s="31" t="str">
        <x:v>P10-2</x:v>
      </x:c>
      <x:c r="E32" s="31" t="str">
        <x:f>INDEX('Position Standard'!$C$7:$C$38,MATCH(D32,'Position Standard'!$B$7:$B$38,0))</x:f>
        <x:v>P10</x:v>
      </x:c>
      <x:c r="F32" s="31" t="str">
        <x:f>INDEX('Position Standard'!$E$7:$E$38,MATCH(D32,'Position Standard'!$B$7:$B$38,0))</x:f>
        <x:v>Building interface kits</x:v>
      </x:c>
      <x:c r="G32" s="31" t="str">
        <x:f>INDEX('Position Standard'!$G$7:$G$38,MATCH(D32,'Position Standard'!$B$7:$B$38,0))</x:f>
        <x:v>L4</x:v>
      </x:c>
      <x:c r="H32" s="41" t="n">
        <x:f>INDEX('Position Standard'!$H$7:$H$38,MATCH(D32,'Position Standard'!$B$7:$B$38,0))</x:f>
        <x:v>15</x:v>
      </x:c>
      <x:c r="I32" s="41" t="n">
        <x:v>0</x:v>
      </x:c>
      <x:c r="J32" s="41" t="n">
        <x:f>H32+I32</x:f>
        <x:v>15</x:v>
      </x:c>
      <x:c r="K32" s="41" t="n">
        <x:f>INDEX('Position Standard'!$I$7:$I$38,MATCH(D32,'Position Standard'!$B$7:$B$38,0))</x:f>
        <x:v>85</x:v>
      </x:c>
      <x:c r="L32" s="41" t="n">
        <x:f>INDEX('Position Standard'!$J$7:$J$38,MATCH(D32,'Position Standard'!$B$7:$B$38,0))</x:f>
        <x:v>21</x:v>
      </x:c>
      <x:c r="M32" s="41" t="n">
        <x:f>INDEX('Position Standard'!$K$7:$K$38,MATCH(D32,'Position Standard'!$B$7:$B$38,0))</x:f>
        <x:v>4.048</x:v>
      </x:c>
      <x:c r="N32" s="41" t="str">
        <x:v>HBL-A2</x:v>
      </x:c>
      <x:c r="O32" s="41" t="n">
        <x:v>4</x:v>
      </x:c>
      <x:c r="P32" s="41" t="n">
        <x:v>-4.5</x:v>
      </x:c>
      <x:c r="Q32" s="41" t="n">
        <x:f>0.4+M32/2</x:f>
        <x:v>2.424</x:v>
      </x:c>
      <x:c r="R32" s="31" t="str">
        <x:v>I-A</x:v>
      </x:c>
      <x:c r="S32" s="31" t="str">
        <x:f>INDEX('Position Standard'!$L$7:$L$38,MATCH(D32,'Position Standard'!$B$7:$B$38,0))</x:f>
        <x:v>interface</x:v>
      </x:c>
      <x:c r="T32" s="31" t="n">
        <x:f>INDEX('Position Standard'!$M$7:$M$38,MATCH(D32,'Position Standard'!$B$7:$B$38,0))</x:f>
        <x:v>6</x:v>
      </x:c>
      <x:c r="U32" s="31" t="str">
        <x:v>OPEN</x:v>
      </x:c>
      <x:c r="V32" s="31" t="n">
        <x:f>J32*O32</x:f>
        <x:v>60</x:v>
      </x:c>
      <x:c r="W32" s="31" t="n">
        <x:f>J32*P32</x:f>
        <x:v>-67.5</x:v>
      </x:c>
      <x:c r="X32" s="33" t="n">
        <x:f>J32*Q32</x:f>
        <x:v>36.36</x:v>
      </x:c>
    </x:row>
    <x:row r="33">
      <x:c r="B33" s="31" t="str">
        <x:v>A-P11-1</x:v>
      </x:c>
      <x:c r="C33" s="31" t="str">
        <x:v>DRY</x:v>
      </x:c>
      <x:c r="D33" s="31" t="str">
        <x:v>P11-1</x:v>
      </x:c>
      <x:c r="E33" s="31" t="str">
        <x:f>INDEX('Position Standard'!$C$7:$C$38,MATCH(D33,'Position Standard'!$B$7:$B$38,0))</x:f>
        <x:v>P11</x:v>
      </x:c>
      <x:c r="F33" s="31" t="str">
        <x:f>INDEX('Position Standard'!$E$7:$E$38,MATCH(D33,'Position Standard'!$B$7:$B$38,0))</x:f>
        <x:v>Offline controls and communications</x:v>
      </x:c>
      <x:c r="G33" s="31" t="str">
        <x:f>INDEX('Position Standard'!$G$7:$G$38,MATCH(D33,'Position Standard'!$B$7:$B$38,0))</x:f>
        <x:v>L3</x:v>
      </x:c>
      <x:c r="H33" s="41" t="n">
        <x:f>INDEX('Position Standard'!$H$7:$H$38,MATCH(D33,'Position Standard'!$B$7:$B$38,0))</x:f>
        <x:v>10</x:v>
      </x:c>
      <x:c r="I33" s="41" t="n">
        <x:v>0</x:v>
      </x:c>
      <x:c r="J33" s="41" t="n">
        <x:f>H33+I33</x:f>
        <x:v>10</x:v>
      </x:c>
      <x:c r="K33" s="41" t="n">
        <x:f>INDEX('Position Standard'!$I$7:$I$38,MATCH(D33,'Position Standard'!$B$7:$B$38,0))</x:f>
        <x:v>40</x:v>
      </x:c>
      <x:c r="L33" s="41" t="n">
        <x:f>INDEX('Position Standard'!$J$7:$J$38,MATCH(D33,'Position Standard'!$B$7:$B$38,0))</x:f>
        <x:v>10</x:v>
      </x:c>
      <x:c r="M33" s="41" t="n">
        <x:f>INDEX('Position Standard'!$K$7:$K$38,MATCH(D33,'Position Standard'!$B$7:$B$38,0))</x:f>
        <x:v>4</x:v>
      </x:c>
      <x:c r="N33" s="41" t="str">
        <x:v>HBL-A2</x:v>
      </x:c>
      <x:c r="O33" s="41" t="n">
        <x:v>20</x:v>
      </x:c>
      <x:c r="P33" s="41" t="n">
        <x:v>4.5</x:v>
      </x:c>
      <x:c r="Q33" s="41" t="n">
        <x:f>0.4+M33/2</x:f>
        <x:v>2.4</x:v>
      </x:c>
      <x:c r="R33" s="31" t="str">
        <x:v>I-A</x:v>
      </x:c>
      <x:c r="S33" s="31" t="str">
        <x:f>INDEX('Position Standard'!$L$7:$L$38,MATCH(D33,'Position Standard'!$B$7:$B$38,0))</x:f>
        <x:v>control</x:v>
      </x:c>
      <x:c r="T33" s="31" t="n">
        <x:f>INDEX('Position Standard'!$M$7:$M$38,MATCH(D33,'Position Standard'!$B$7:$B$38,0))</x:f>
        <x:v>2</x:v>
      </x:c>
      <x:c r="U33" s="31" t="str">
        <x:v>OPEN</x:v>
      </x:c>
      <x:c r="V33" s="31" t="n">
        <x:f>J33*O33</x:f>
        <x:v>200</x:v>
      </x:c>
      <x:c r="W33" s="31" t="n">
        <x:f>J33*P33</x:f>
        <x:v>45</x:v>
      </x:c>
      <x:c r="X33" s="33" t="n">
        <x:f>J33*Q33</x:f>
        <x:v>24</x:v>
      </x:c>
    </x:row>
    <x:row r="34">
      <x:c r="B34" s="31" t="str">
        <x:v>A-P12-1</x:v>
      </x:c>
      <x:c r="C34" s="31" t="str">
        <x:v>DRY</x:v>
      </x:c>
      <x:c r="D34" s="31" t="str">
        <x:v>P12-1</x:v>
      </x:c>
      <x:c r="E34" s="31" t="str">
        <x:f>INDEX('Position Standard'!$C$7:$C$38,MATCH(D34,'Position Standard'!$B$7:$B$38,0))</x:f>
        <x:v>P12</x:v>
      </x:c>
      <x:c r="F34" s="31" t="str">
        <x:f>INDEX('Position Standard'!$E$7:$E$38,MATCH(D34,'Position Standard'!$B$7:$B$38,0))</x:f>
        <x:v>Survey, robotics and civil works</x:v>
      </x:c>
      <x:c r="G34" s="31" t="str">
        <x:f>INDEX('Position Standard'!$G$7:$G$38,MATCH(D34,'Position Standard'!$B$7:$B$38,0))</x:f>
        <x:v>L2</x:v>
      </x:c>
      <x:c r="H34" s="41" t="n">
        <x:f>INDEX('Position Standard'!$H$7:$H$38,MATCH(D34,'Position Standard'!$B$7:$B$38,0))</x:f>
        <x:v>24</x:v>
      </x:c>
      <x:c r="I34" s="41" t="n">
        <x:v>0</x:v>
      </x:c>
      <x:c r="J34" s="41" t="n">
        <x:f>H34+I34</x:f>
        <x:v>24</x:v>
      </x:c>
      <x:c r="K34" s="41" t="n">
        <x:f>INDEX('Position Standard'!$I$7:$I$38,MATCH(D34,'Position Standard'!$B$7:$B$38,0))</x:f>
        <x:v>90</x:v>
      </x:c>
      <x:c r="L34" s="41" t="n">
        <x:f>INDEX('Position Standard'!$J$7:$J$38,MATCH(D34,'Position Standard'!$B$7:$B$38,0))</x:f>
        <x:v>22</x:v>
      </x:c>
      <x:c r="M34" s="41" t="n">
        <x:f>INDEX('Position Standard'!$K$7:$K$38,MATCH(D34,'Position Standard'!$B$7:$B$38,0))</x:f>
        <x:v>4.091</x:v>
      </x:c>
      <x:c r="N34" s="41" t="str">
        <x:v>HBL-A1</x:v>
      </x:c>
      <x:c r="O34" s="41" t="n">
        <x:v>12</x:v>
      </x:c>
      <x:c r="P34" s="41" t="n">
        <x:v>4.5</x:v>
      </x:c>
      <x:c r="Q34" s="41" t="n">
        <x:f>0.4+M34/2</x:f>
        <x:v>2.4455</x:v>
      </x:c>
      <x:c r="R34" s="31" t="str">
        <x:v>I-A</x:v>
      </x:c>
      <x:c r="S34" s="31" t="str">
        <x:f>INDEX('Position Standard'!$L$7:$L$38,MATCH(D34,'Position Standard'!$B$7:$B$38,0))</x:f>
        <x:v>robotic</x:v>
      </x:c>
      <x:c r="T34" s="31" t="n">
        <x:f>INDEX('Position Standard'!$M$7:$M$38,MATCH(D34,'Position Standard'!$B$7:$B$38,0))</x:f>
        <x:v>1</x:v>
      </x:c>
      <x:c r="U34" s="31" t="str">
        <x:v>OPEN</x:v>
      </x:c>
      <x:c r="V34" s="31" t="n">
        <x:f>J34*O34</x:f>
        <x:v>288</x:v>
      </x:c>
      <x:c r="W34" s="31" t="n">
        <x:f>J34*P34</x:f>
        <x:v>108</x:v>
      </x:c>
      <x:c r="X34" s="33" t="n">
        <x:f>J34*Q34</x:f>
        <x:v>58.692</x:v>
      </x:c>
    </x:row>
    <x:row r="35">
      <x:c r="B35" s="31" t="str">
        <x:v>A-P13-1</x:v>
      </x:c>
      <x:c r="C35" s="31" t="str">
        <x:v>DRY</x:v>
      </x:c>
      <x:c r="D35" s="31" t="str">
        <x:v>P13-1</x:v>
      </x:c>
      <x:c r="E35" s="31" t="str">
        <x:f>INDEX('Position Standard'!$C$7:$C$38,MATCH(D35,'Position Standard'!$B$7:$B$38,0))</x:f>
        <x:v>P13</x:v>
      </x:c>
      <x:c r="F35" s="31" t="str">
        <x:f>INDEX('Position Standard'!$E$7:$E$38,MATCH(D35,'Position Standard'!$B$7:$B$38,0))</x:f>
        <x:v>Medical and vertical-service kits</x:v>
      </x:c>
      <x:c r="G35" s="31" t="str">
        <x:f>INDEX('Position Standard'!$G$7:$G$38,MATCH(D35,'Position Standard'!$B$7:$B$38,0))</x:f>
        <x:v>L4</x:v>
      </x:c>
      <x:c r="H35" s="41" t="n">
        <x:f>INDEX('Position Standard'!$H$7:$H$38,MATCH(D35,'Position Standard'!$B$7:$B$38,0))</x:f>
        <x:v>22</x:v>
      </x:c>
      <x:c r="I35" s="41" t="n">
        <x:v>0</x:v>
      </x:c>
      <x:c r="J35" s="41" t="n">
        <x:f>H35+I35</x:f>
        <x:v>22</x:v>
      </x:c>
      <x:c r="K35" s="41" t="n">
        <x:f>INDEX('Position Standard'!$I$7:$I$38,MATCH(D35,'Position Standard'!$B$7:$B$38,0))</x:f>
        <x:v>80</x:v>
      </x:c>
      <x:c r="L35" s="41" t="n">
        <x:f>INDEX('Position Standard'!$J$7:$J$38,MATCH(D35,'Position Standard'!$B$7:$B$38,0))</x:f>
        <x:v>20</x:v>
      </x:c>
      <x:c r="M35" s="41" t="n">
        <x:f>INDEX('Position Standard'!$K$7:$K$38,MATCH(D35,'Position Standard'!$B$7:$B$38,0))</x:f>
        <x:v>4</x:v>
      </x:c>
      <x:c r="N35" s="41" t="str">
        <x:v>HBL-A2</x:v>
      </x:c>
      <x:c r="O35" s="41" t="n">
        <x:v>12</x:v>
      </x:c>
      <x:c r="P35" s="41" t="n">
        <x:v>4.5</x:v>
      </x:c>
      <x:c r="Q35" s="41" t="n">
        <x:f>0.4+M35/2</x:f>
        <x:v>2.4</x:v>
      </x:c>
      <x:c r="R35" s="31" t="str">
        <x:v>I-A</x:v>
      </x:c>
      <x:c r="S35" s="31" t="str">
        <x:f>INDEX('Position Standard'!$L$7:$L$38,MATCH(D35,'Position Standard'!$B$7:$B$38,0))</x:f>
        <x:v>medical</x:v>
      </x:c>
      <x:c r="T35" s="31" t="n">
        <x:f>INDEX('Position Standard'!$M$7:$M$38,MATCH(D35,'Position Standard'!$B$7:$B$38,0))</x:f>
        <x:v>14</x:v>
      </x:c>
      <x:c r="U35" s="31" t="str">
        <x:v>OPEN</x:v>
      </x:c>
      <x:c r="V35" s="31" t="n">
        <x:f>J35*O35</x:f>
        <x:v>264</x:v>
      </x:c>
      <x:c r="W35" s="31" t="n">
        <x:f>J35*P35</x:f>
        <x:v>99</x:v>
      </x:c>
      <x:c r="X35" s="33" t="n">
        <x:f>J35*Q35</x:f>
        <x:v>52.8</x:v>
      </x:c>
    </x:row>
    <x:row r="36">
      <x:c r="B36" s="31" t="str">
        <x:v>A-P14-1</x:v>
      </x:c>
      <x:c r="C36" s="31" t="str">
        <x:v>DRY</x:v>
      </x:c>
      <x:c r="D36" s="31" t="str">
        <x:v>P14-1</x:v>
      </x:c>
      <x:c r="E36" s="31" t="str">
        <x:f>INDEX('Position Standard'!$C$7:$C$38,MATCH(D36,'Position Standard'!$B$7:$B$38,0))</x:f>
        <x:v>P14</x:v>
      </x:c>
      <x:c r="F36" s="31" t="str">
        <x:f>INDEX('Position Standard'!$E$7:$E$38,MATCH(D36,'Position Standard'!$B$7:$B$38,0))</x:f>
        <x:v>Crew life support and safety</x:v>
      </x:c>
      <x:c r="G36" s="31" t="str">
        <x:f>INDEX('Position Standard'!$G$7:$G$38,MATCH(D36,'Position Standard'!$B$7:$B$38,0))</x:f>
        <x:v>L4</x:v>
      </x:c>
      <x:c r="H36" s="41" t="n">
        <x:f>INDEX('Position Standard'!$H$7:$H$38,MATCH(D36,'Position Standard'!$B$7:$B$38,0))</x:f>
        <x:v>20</x:v>
      </x:c>
      <x:c r="I36" s="41" t="n">
        <x:v>0</x:v>
      </x:c>
      <x:c r="J36" s="41" t="n">
        <x:f>H36+I36</x:f>
        <x:v>20</x:v>
      </x:c>
      <x:c r="K36" s="41" t="n">
        <x:f>INDEX('Position Standard'!$I$7:$I$38,MATCH(D36,'Position Standard'!$B$7:$B$38,0))</x:f>
        <x:v>70</x:v>
      </x:c>
      <x:c r="L36" s="41" t="n">
        <x:f>INDEX('Position Standard'!$J$7:$J$38,MATCH(D36,'Position Standard'!$B$7:$B$38,0))</x:f>
        <x:v>18</x:v>
      </x:c>
      <x:c r="M36" s="41" t="n">
        <x:f>INDEX('Position Standard'!$K$7:$K$38,MATCH(D36,'Position Standard'!$B$7:$B$38,0))</x:f>
        <x:v>3.889</x:v>
      </x:c>
      <x:c r="N36" s="41" t="str">
        <x:v>HBL-A2</x:v>
      </x:c>
      <x:c r="O36" s="41" t="n">
        <x:v>4</x:v>
      </x:c>
      <x:c r="P36" s="41" t="n">
        <x:v>4.5</x:v>
      </x:c>
      <x:c r="Q36" s="41" t="n">
        <x:f>0.4+M36/2</x:f>
        <x:v>2.3445</x:v>
      </x:c>
      <x:c r="R36" s="31" t="str">
        <x:v>I-A</x:v>
      </x:c>
      <x:c r="S36" s="31" t="str">
        <x:f>INDEX('Position Standard'!$L$7:$L$38,MATCH(D36,'Position Standard'!$B$7:$B$38,0))</x:f>
        <x:v>life safety</x:v>
      </x:c>
      <x:c r="T36" s="31" t="n">
        <x:f>INDEX('Position Standard'!$M$7:$M$38,MATCH(D36,'Position Standard'!$B$7:$B$38,0))</x:f>
        <x:v>3</x:v>
      </x:c>
      <x:c r="U36" s="31" t="str">
        <x:v>OPEN</x:v>
      </x:c>
      <x:c r="V36" s="31" t="n">
        <x:f>J36*O36</x:f>
        <x:v>80</x:v>
      </x:c>
      <x:c r="W36" s="31" t="n">
        <x:f>J36*P36</x:f>
        <x:v>90</x:v>
      </x:c>
      <x:c r="X36" s="33" t="n">
        <x:f>J36*Q36</x:f>
        <x:v>46.89</x:v>
      </x:c>
    </x:row>
    <x:row r="37">
      <x:c r="B37" s="31" t="str">
        <x:v>A-P15-1</x:v>
      </x:c>
      <x:c r="C37" s="31" t="str">
        <x:v>DRY</x:v>
      </x:c>
      <x:c r="D37" s="31" t="str">
        <x:v>P15-1</x:v>
      </x:c>
      <x:c r="E37" s="31" t="str">
        <x:f>INDEX('Position Standard'!$C$7:$C$38,MATCH(D37,'Position Standard'!$B$7:$B$38,0))</x:f>
        <x:v>P15</x:v>
      </x:c>
      <x:c r="F37" s="31" t="str">
        <x:f>INDEX('Position Standard'!$E$7:$E$38,MATCH(D37,'Position Standard'!$B$7:$B$38,0))</x:f>
        <x:v>Spares, tools and microrepair</x:v>
      </x:c>
      <x:c r="G37" s="31" t="str">
        <x:f>INDEX('Position Standard'!$G$7:$G$38,MATCH(D37,'Position Standard'!$B$7:$B$38,0))</x:f>
        <x:v>L4</x:v>
      </x:c>
      <x:c r="H37" s="41" t="n">
        <x:f>INDEX('Position Standard'!$H$7:$H$38,MATCH(D37,'Position Standard'!$B$7:$B$38,0))</x:f>
        <x:v>26</x:v>
      </x:c>
      <x:c r="I37" s="41" t="n">
        <x:v>0</x:v>
      </x:c>
      <x:c r="J37" s="41" t="n">
        <x:f>H37+I37</x:f>
        <x:v>26</x:v>
      </x:c>
      <x:c r="K37" s="41" t="n">
        <x:f>INDEX('Position Standard'!$I$7:$I$38,MATCH(D37,'Position Standard'!$B$7:$B$38,0))</x:f>
        <x:v>80</x:v>
      </x:c>
      <x:c r="L37" s="41" t="n">
        <x:f>INDEX('Position Standard'!$J$7:$J$38,MATCH(D37,'Position Standard'!$B$7:$B$38,0))</x:f>
        <x:v>20</x:v>
      </x:c>
      <x:c r="M37" s="41" t="n">
        <x:f>INDEX('Position Standard'!$K$7:$K$38,MATCH(D37,'Position Standard'!$B$7:$B$38,0))</x:f>
        <x:v>4</x:v>
      </x:c>
      <x:c r="N37" s="41" t="str">
        <x:v>HBL-A2</x:v>
      </x:c>
      <x:c r="O37" s="41" t="n">
        <x:v>12</x:v>
      </x:c>
      <x:c r="P37" s="41" t="n">
        <x:v>-4.5</x:v>
      </x:c>
      <x:c r="Q37" s="41" t="n">
        <x:f>0.4+M37/2</x:f>
        <x:v>2.4</x:v>
      </x:c>
      <x:c r="R37" s="31" t="str">
        <x:v>I-A</x:v>
      </x:c>
      <x:c r="S37" s="31" t="str">
        <x:f>INDEX('Position Standard'!$L$7:$L$38,MATCH(D37,'Position Standard'!$B$7:$B$38,0))</x:f>
        <x:v>repair</x:v>
      </x:c>
      <x:c r="T37" s="31" t="n">
        <x:f>INDEX('Position Standard'!$M$7:$M$38,MATCH(D37,'Position Standard'!$B$7:$B$38,0))</x:f>
        <x:v>16</x:v>
      </x:c>
      <x:c r="U37" s="31" t="str">
        <x:v>OPEN</x:v>
      </x:c>
      <x:c r="V37" s="31" t="n">
        <x:f>J37*O37</x:f>
        <x:v>312</x:v>
      </x:c>
      <x:c r="W37" s="31" t="n">
        <x:f>J37*P37</x:f>
        <x:v>-117</x:v>
      </x:c>
      <x:c r="X37" s="33" t="n">
        <x:f>J37*Q37</x:f>
        <x:v>62.4</x:v>
      </x:c>
    </x:row>
    <x:row r="38">
      <x:c r="B38" s="31" t="str">
        <x:v>A-P16-1</x:v>
      </x:c>
      <x:c r="C38" s="31" t="str">
        <x:v>DRY</x:v>
      </x:c>
      <x:c r="D38" s="31" t="str">
        <x:v>P16-1</x:v>
      </x:c>
      <x:c r="E38" s="31" t="str">
        <x:f>INDEX('Position Standard'!$C$7:$C$38,MATCH(D38,'Position Standard'!$B$7:$B$38,0))</x:f>
        <x:v>P16</x:v>
      </x:c>
      <x:c r="F38" s="31" t="str">
        <x:f>INDEX('Position Standard'!$E$7:$E$38,MATCH(D38,'Position Standard'!$B$7:$B$38,0))</x:f>
        <x:v>Dry process stocks and assay</x:v>
      </x:c>
      <x:c r="G38" s="31" t="str">
        <x:f>INDEX('Position Standard'!$G$7:$G$38,MATCH(D38,'Position Standard'!$B$7:$B$38,0))</x:f>
        <x:v>L3</x:v>
      </x:c>
      <x:c r="H38" s="41" t="n">
        <x:f>INDEX('Position Standard'!$H$7:$H$38,MATCH(D38,'Position Standard'!$B$7:$B$38,0))</x:f>
        <x:v>48</x:v>
      </x:c>
      <x:c r="I38" s="41" t="n">
        <x:v>0</x:v>
      </x:c>
      <x:c r="J38" s="41" t="n">
        <x:f>H38+I38</x:f>
        <x:v>48</x:v>
      </x:c>
      <x:c r="K38" s="41" t="n">
        <x:f>INDEX('Position Standard'!$I$7:$I$38,MATCH(D38,'Position Standard'!$B$7:$B$38,0))</x:f>
        <x:v>90</x:v>
      </x:c>
      <x:c r="L38" s="41" t="n">
        <x:f>INDEX('Position Standard'!$J$7:$J$38,MATCH(D38,'Position Standard'!$B$7:$B$38,0))</x:f>
        <x:v>30</x:v>
      </x:c>
      <x:c r="M38" s="41" t="n">
        <x:f>INDEX('Position Standard'!$K$7:$K$38,MATCH(D38,'Position Standard'!$B$7:$B$38,0))</x:f>
        <x:v>3</x:v>
      </x:c>
      <x:c r="N38" s="41" t="str">
        <x:v>HBL-A2</x:v>
      </x:c>
      <x:c r="O38" s="41" t="n">
        <x:v>20</x:v>
      </x:c>
      <x:c r="P38" s="41" t="n">
        <x:v>1.5</x:v>
      </x:c>
      <x:c r="Q38" s="41" t="n">
        <x:f>0.4+M38/2</x:f>
        <x:v>1.9</x:v>
      </x:c>
      <x:c r="R38" s="31" t="str">
        <x:v>I-A</x:v>
      </x:c>
      <x:c r="S38" s="31" t="str">
        <x:f>INDEX('Position Standard'!$L$7:$L$38,MATCH(D38,'Position Standard'!$B$7:$B$38,0))</x:f>
        <x:v>process material</x:v>
      </x:c>
      <x:c r="T38" s="31" t="n">
        <x:f>INDEX('Position Standard'!$M$7:$M$38,MATCH(D38,'Position Standard'!$B$7:$B$38,0))</x:f>
        <x:v>15</x:v>
      </x:c>
      <x:c r="U38" s="31" t="str">
        <x:v>OPEN</x:v>
      </x:c>
      <x:c r="V38" s="31" t="n">
        <x:f>J38*O38</x:f>
        <x:v>960</x:v>
      </x:c>
      <x:c r="W38" s="31" t="n">
        <x:f>J38*P38</x:f>
        <x:v>72</x:v>
      </x:c>
      <x:c r="X38" s="33" t="n">
        <x:f>J38*Q38</x:f>
        <x:v>91.19999999999999</x:v>
      </x:c>
    </x:row>
    <x:row r="39">
      <x:c r="B39" s="31" t="str">
        <x:v>A-W1</x:v>
      </x:c>
      <x:c r="C39" s="31" t="str">
        <x:v>WET</x:v>
      </x:c>
      <x:c r="D39" s="31" t="str">
        <x:v>WET-1</x:v>
      </x:c>
      <x:c r="E39" s="31" t="str">
        <x:v>W01</x:v>
      </x:c>
      <x:c r="F39" s="31" t="str">
        <x:v>Balanced wet launch pack</x:v>
      </x:c>
      <x:c r="G39" s="31" t="str">
        <x:v>L1</x:v>
      </x:c>
      <x:c r="H39" s="41" t="n">
        <x:v>0</x:v>
      </x:c>
      <x:c r="I39" s="41" t="n">
        <x:v>13.75</x:v>
      </x:c>
      <x:c r="J39" s="41" t="n">
        <x:f>H39+I39</x:f>
        <x:v>13.75</x:v>
      </x:c>
      <x:c r="K39" s="41" t="n">
        <x:v>15</x:v>
      </x:c>
      <x:c r="L39" s="41" t="n">
        <x:v>5</x:v>
      </x:c>
      <x:c r="M39" s="41" t="n">
        <x:v>3</x:v>
      </x:c>
      <x:c r="N39" s="41" t="str">
        <x:v>HBL-A1</x:v>
      </x:c>
      <x:c r="O39" s="41" t="n">
        <x:v>14</x:v>
      </x:c>
      <x:c r="P39" s="41" t="n">
        <x:v>0</x:v>
      </x:c>
      <x:c r="Q39" s="41" t="n">
        <x:f>0.4+M39/2</x:f>
        <x:v>1.9</x:v>
      </x:c>
      <x:c r="R39" s="31" t="str">
        <x:v>I-A</x:v>
      </x:c>
      <x:c r="S39" s="31" t="str">
        <x:v>segregated liquids</x:v>
      </x:c>
      <x:c r="T39" s="31" t="n">
        <x:v>5</x:v>
      </x:c>
      <x:c r="U39" s="31" t="str">
        <x:v>OPEN</x:v>
      </x:c>
      <x:c r="V39" s="31" t="n">
        <x:f>J39*O39</x:f>
        <x:v>192.5</x:v>
      </x:c>
      <x:c r="W39" s="31" t="n">
        <x:f>J39*P39</x:f>
        <x:v>0</x:v>
      </x:c>
      <x:c r="X39" s="33" t="n">
        <x:f>J39*Q39</x:f>
        <x:v>26.125</x:v>
      </x:c>
    </x:row>
    <x:row r="40">
      <x:c r="B40" s="31" t="str">
        <x:v>A-W2</x:v>
      </x:c>
      <x:c r="C40" s="31" t="str">
        <x:v>WET</x:v>
      </x:c>
      <x:c r="D40" s="31" t="str">
        <x:v>WET-2</x:v>
      </x:c>
      <x:c r="E40" s="31" t="str">
        <x:v>W01</x:v>
      </x:c>
      <x:c r="F40" s="31" t="str">
        <x:v>Balanced wet launch pack</x:v>
      </x:c>
      <x:c r="G40" s="31" t="str">
        <x:v>L2</x:v>
      </x:c>
      <x:c r="H40" s="41" t="n">
        <x:v>0</x:v>
      </x:c>
      <x:c r="I40" s="41" t="n">
        <x:v>13.75</x:v>
      </x:c>
      <x:c r="J40" s="41" t="n">
        <x:f>H40+I40</x:f>
        <x:v>13.75</x:v>
      </x:c>
      <x:c r="K40" s="41" t="n">
        <x:v>15</x:v>
      </x:c>
      <x:c r="L40" s="41" t="n">
        <x:v>5</x:v>
      </x:c>
      <x:c r="M40" s="41" t="n">
        <x:v>3</x:v>
      </x:c>
      <x:c r="N40" s="41" t="str">
        <x:v>HBL-A1</x:v>
      </x:c>
      <x:c r="O40" s="41" t="n">
        <x:v>18</x:v>
      </x:c>
      <x:c r="P40" s="41" t="n">
        <x:v>0</x:v>
      </x:c>
      <x:c r="Q40" s="41" t="n">
        <x:f>0.4+M40/2</x:f>
        <x:v>1.9</x:v>
      </x:c>
      <x:c r="R40" s="31" t="str">
        <x:v>I-A</x:v>
      </x:c>
      <x:c r="S40" s="31" t="str">
        <x:v>segregated liquids</x:v>
      </x:c>
      <x:c r="T40" s="31" t="n">
        <x:v>5</x:v>
      </x:c>
      <x:c r="U40" s="31" t="str">
        <x:v>OPEN</x:v>
      </x:c>
      <x:c r="V40" s="31" t="n">
        <x:f>J40*O40</x:f>
        <x:v>247.5</x:v>
      </x:c>
      <x:c r="W40" s="31" t="n">
        <x:f>J40*P40</x:f>
        <x:v>0</x:v>
      </x:c>
      <x:c r="X40" s="33" t="n">
        <x:f>J40*Q40</x:f>
        <x:v>26.125</x:v>
      </x:c>
    </x:row>
    <x:row r="41">
      <x:c r="B41" s="31" t="str">
        <x:v>A-W3</x:v>
      </x:c>
      <x:c r="C41" s="31" t="str">
        <x:v>WET</x:v>
      </x:c>
      <x:c r="D41" s="31" t="str">
        <x:v>WET-3</x:v>
      </x:c>
      <x:c r="E41" s="31" t="str">
        <x:v>W01</x:v>
      </x:c>
      <x:c r="F41" s="31" t="str">
        <x:v>Balanced wet launch pack</x:v>
      </x:c>
      <x:c r="G41" s="31" t="str">
        <x:v>L3</x:v>
      </x:c>
      <x:c r="H41" s="41" t="n">
        <x:v>0</x:v>
      </x:c>
      <x:c r="I41" s="41" t="n">
        <x:v>13.75</x:v>
      </x:c>
      <x:c r="J41" s="41" t="n">
        <x:f>H41+I41</x:f>
        <x:v>13.75</x:v>
      </x:c>
      <x:c r="K41" s="41" t="n">
        <x:v>15</x:v>
      </x:c>
      <x:c r="L41" s="41" t="n">
        <x:v>5</x:v>
      </x:c>
      <x:c r="M41" s="41" t="n">
        <x:v>3</x:v>
      </x:c>
      <x:c r="N41" s="41" t="str">
        <x:v>HBL-A2</x:v>
      </x:c>
      <x:c r="O41" s="41" t="n">
        <x:v>14</x:v>
      </x:c>
      <x:c r="P41" s="41" t="n">
        <x:v>0</x:v>
      </x:c>
      <x:c r="Q41" s="41" t="n">
        <x:f>0.4+M41/2</x:f>
        <x:v>1.9</x:v>
      </x:c>
      <x:c r="R41" s="31" t="str">
        <x:v>I-A</x:v>
      </x:c>
      <x:c r="S41" s="31" t="str">
        <x:v>segregated liquids</x:v>
      </x:c>
      <x:c r="T41" s="31" t="n">
        <x:v>5</x:v>
      </x:c>
      <x:c r="U41" s="31" t="str">
        <x:v>OPEN</x:v>
      </x:c>
      <x:c r="V41" s="31" t="n">
        <x:f>J41*O41</x:f>
        <x:v>192.5</x:v>
      </x:c>
      <x:c r="W41" s="31" t="n">
        <x:f>J41*P41</x:f>
        <x:v>0</x:v>
      </x:c>
      <x:c r="X41" s="33" t="n">
        <x:f>J41*Q41</x:f>
        <x:v>26.125</x:v>
      </x:c>
    </x:row>
    <x:row r="42">
      <x:c r="B42" s="38" t="str">
        <x:v>A-W4</x:v>
      </x:c>
      <x:c r="C42" s="38" t="str">
        <x:v>WET</x:v>
      </x:c>
      <x:c r="D42" s="38" t="str">
        <x:v>WET-4</x:v>
      </x:c>
      <x:c r="E42" s="38" t="str">
        <x:v>W01</x:v>
      </x:c>
      <x:c r="F42" s="38" t="str">
        <x:v>Balanced wet launch pack</x:v>
      </x:c>
      <x:c r="G42" s="38" t="str">
        <x:v>L4</x:v>
      </x:c>
      <x:c r="H42" s="42" t="n">
        <x:v>0</x:v>
      </x:c>
      <x:c r="I42" s="42" t="n">
        <x:v>13.75</x:v>
      </x:c>
      <x:c r="J42" s="42" t="n">
        <x:f>H42+I42</x:f>
        <x:v>13.75</x:v>
      </x:c>
      <x:c r="K42" s="42" t="n">
        <x:v>15</x:v>
      </x:c>
      <x:c r="L42" s="42" t="n">
        <x:v>5</x:v>
      </x:c>
      <x:c r="M42" s="42" t="n">
        <x:v>3</x:v>
      </x:c>
      <x:c r="N42" s="42" t="str">
        <x:v>HBL-A2</x:v>
      </x:c>
      <x:c r="O42" s="42" t="n">
        <x:v>18</x:v>
      </x:c>
      <x:c r="P42" s="42" t="n">
        <x:v>0</x:v>
      </x:c>
      <x:c r="Q42" s="42" t="n">
        <x:f>0.4+M42/2</x:f>
        <x:v>1.9</x:v>
      </x:c>
      <x:c r="R42" s="38" t="str">
        <x:v>I-A</x:v>
      </x:c>
      <x:c r="S42" s="38" t="str">
        <x:v>segregated liquids</x:v>
      </x:c>
      <x:c r="T42" s="38" t="n">
        <x:v>5</x:v>
      </x:c>
      <x:c r="U42" s="38" t="str">
        <x:v>OPEN</x:v>
      </x:c>
      <x:c r="V42" s="38" t="n">
        <x:f>J42*O42</x:f>
        <x:v>247.5</x:v>
      </x:c>
      <x:c r="W42" s="38" t="n">
        <x:f>J42*P42</x:f>
        <x:v>0</x:v>
      </x:c>
      <x:c r="X42" s="40" t="n">
        <x:f>J42*Q42</x:f>
        <x:v>26.125</x:v>
      </x:c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4" hidden="0" customWidth="1"/>
    <x:col min="3" max="3" width="9" hidden="0" customWidth="1"/>
    <x:col min="4" max="4" width="18" hidden="0" customWidth="1"/>
    <x:col min="5" max="5" width="11" hidden="0" customWidth="1"/>
    <x:col min="6" max="6" width="34" hidden="0" customWidth="1"/>
    <x:col min="7" max="7" width="12" hidden="0" customWidth="1"/>
    <x:col min="8" max="8" width="12" hidden="0" customWidth="1"/>
    <x:col min="9" max="9" width="11" hidden="0" customWidth="1"/>
    <x:col min="10" max="10" width="12" hidden="0" customWidth="1"/>
    <x:col min="11" max="11" width="14" hidden="0" customWidth="1"/>
    <x:col min="12" max="12" width="13" hidden="0" customWidth="1"/>
    <x:col min="13" max="13" width="12" hidden="0" customWidth="1"/>
    <x:col min="14" max="14" width="15" hidden="0" customWidth="1"/>
    <x:col min="15" max="15" width="10" hidden="0" customWidth="1"/>
    <x:col min="16" max="16" width="10" hidden="0" customWidth="1"/>
    <x:col min="17" max="17" width="10" hidden="0" customWidth="1"/>
    <x:col min="18" max="18" width="12" hidden="0" customWidth="1"/>
    <x:col min="19" max="19" width="18" hidden="0" customWidth="1"/>
    <x:col min="20" max="20" width="14" hidden="0" customWidth="1"/>
    <x:col min="21" max="21" width="13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2">
      <x:c r="B2" s="3" t="str">
        <x:v>Terrain cell B load plan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B3" s="4" t="str">
        <x:v>Cell B is a separate terrain payload lot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>
      <x:c r="B6" s="29" t="str">
        <x:v>Serial</x:v>
      </x:c>
      <x:c r="C6" s="30" t="str">
        <x:v>Type</x:v>
      </x:c>
      <x:c r="D6" s="30" t="str">
        <x:v>Standard position</x:v>
      </x:c>
      <x:c r="E6" s="30" t="str">
        <x:v>Package</x:v>
      </x:c>
      <x:c r="F6" s="30" t="str">
        <x:v>Function</x:v>
      </x:c>
      <x:c r="G6" s="30" t="str">
        <x:v>Load block</x:v>
      </x:c>
      <x:c r="H6" s="30" t="str">
        <x:v>Dry t</x:v>
      </x:c>
      <x:c r="I6" s="30" t="str">
        <x:v>Wet t</x:v>
      </x:c>
      <x:c r="J6" s="30" t="str">
        <x:v>Total t</x:v>
      </x:c>
      <x:c r="K6" s="30" t="str">
        <x:v>Cube m3</x:v>
      </x:c>
      <x:c r="L6" s="30" t="str">
        <x:v>Deck m2</x:v>
      </x:c>
      <x:c r="M6" s="30" t="str">
        <x:v>Height m</x:v>
      </x:c>
      <x:c r="N6" s="30" t="str">
        <x:v>Carrier</x:v>
      </x:c>
      <x:c r="O6" s="30" t="str">
        <x:v>X m</x:v>
      </x:c>
      <x:c r="P6" s="30" t="str">
        <x:v>Y m</x:v>
      </x:c>
      <x:c r="Q6" s="30" t="str">
        <x:v>Z m</x:v>
      </x:c>
      <x:c r="R6" s="30" t="str">
        <x:v>Interface</x:v>
      </x:c>
      <x:c r="S6" s="30" t="str">
        <x:v>Hazard</x:v>
      </x:c>
      <x:c r="T6" s="30" t="str">
        <x:v>Unload wave</x:v>
      </x:c>
      <x:c r="U6" s="30" t="str">
        <x:v>Evidence</x:v>
      </x:c>
      <x:c r="V6" s="30" t="str">
        <x:v>X moment</x:v>
      </x:c>
      <x:c r="W6" s="30" t="str">
        <x:v>Y moment</x:v>
      </x:c>
      <x:c r="X6" s="30" t="str">
        <x:v>Z moment</x:v>
      </x:c>
    </x:row>
    <x:row r="7">
      <x:c r="B7" s="31" t="str">
        <x:v>B-P01-1</x:v>
      </x:c>
      <x:c r="C7" s="31" t="str">
        <x:v>DRY</x:v>
      </x:c>
      <x:c r="D7" s="31" t="str">
        <x:v>P01-1</x:v>
      </x:c>
      <x:c r="E7" s="31" t="str">
        <x:f>INDEX('Position Standard'!$C$7:$C$38,MATCH(D7,'Position Standard'!$B$7:$B$38,0))</x:f>
        <x:v>P01</x:v>
      </x:c>
      <x:c r="F7" s="31" t="str">
        <x:f>INDEX('Position Standard'!$E$7:$E$38,MATCH(D7,'Position Standard'!$B$7:$B$38,0))</x:f>
        <x:v>Firm power conversion</x:v>
      </x:c>
      <x:c r="G7" s="31" t="str">
        <x:f>INDEX('Position Standard'!$G$7:$G$38,MATCH(D7,'Position Standard'!$B$7:$B$38,0))</x:f>
        <x:v>L1</x:v>
      </x:c>
      <x:c r="H7" s="41" t="n">
        <x:f>INDEX('Position Standard'!$H$7:$H$38,MATCH(D7,'Position Standard'!$B$7:$B$38,0))</x:f>
        <x:v>20.5</x:v>
      </x:c>
      <x:c r="I7" s="41" t="n">
        <x:v>0</x:v>
      </x:c>
      <x:c r="J7" s="41" t="n">
        <x:f>H7+I7</x:f>
        <x:v>20.5</x:v>
      </x:c>
      <x:c r="K7" s="41" t="n">
        <x:f>INDEX('Position Standard'!$I$7:$I$38,MATCH(D7,'Position Standard'!$B$7:$B$38,0))</x:f>
        <x:v>65</x:v>
      </x:c>
      <x:c r="L7" s="41" t="n">
        <x:f>INDEX('Position Standard'!$J$7:$J$38,MATCH(D7,'Position Standard'!$B$7:$B$38,0))</x:f>
        <x:v>15</x:v>
      </x:c>
      <x:c r="M7" s="41" t="n">
        <x:f>INDEX('Position Standard'!$K$7:$K$38,MATCH(D7,'Position Standard'!$B$7:$B$38,0))</x:f>
        <x:v>4.333</x:v>
      </x:c>
      <x:c r="N7" s="41" t="str">
        <x:v>ATUT-B1</x:v>
      </x:c>
      <x:c r="O7" s="41" t="n">
        <x:v>3</x:v>
      </x:c>
      <x:c r="P7" s="41" t="n">
        <x:v>-2</x:v>
      </x:c>
      <x:c r="Q7" s="41" t="n">
        <x:f>0.4+M7/2</x:f>
        <x:v>2.5665</x:v>
      </x:c>
      <x:c r="R7" s="31" t="str">
        <x:v>I-B</x:v>
      </x:c>
      <x:c r="S7" s="31" t="str">
        <x:f>INDEX('Position Standard'!$L$7:$L$38,MATCH(D7,'Position Standard'!$B$7:$B$38,0))</x:f>
        <x:v>electrical</x:v>
      </x:c>
      <x:c r="T7" s="31" t="n">
        <x:f>INDEX('Position Standard'!$M$7:$M$38,MATCH(D7,'Position Standard'!$B$7:$B$38,0))</x:f>
        <x:v>8</x:v>
      </x:c>
      <x:c r="U7" s="31" t="str">
        <x:v>OPEN</x:v>
      </x:c>
      <x:c r="V7" s="31" t="n">
        <x:f>J7*O7</x:f>
        <x:v>61.5</x:v>
      </x:c>
      <x:c r="W7" s="31" t="n">
        <x:f>J7*P7</x:f>
        <x:v>-41</x:v>
      </x:c>
      <x:c r="X7" s="33" t="n">
        <x:f>J7*Q7</x:f>
        <x:v>52.61325</x:v>
      </x:c>
    </x:row>
    <x:row r="8">
      <x:c r="B8" s="31" t="str">
        <x:v>B-P01-2</x:v>
      </x:c>
      <x:c r="C8" s="31" t="str">
        <x:v>DRY</x:v>
      </x:c>
      <x:c r="D8" s="31" t="str">
        <x:v>P01-2</x:v>
      </x:c>
      <x:c r="E8" s="31" t="str">
        <x:f>INDEX('Position Standard'!$C$7:$C$38,MATCH(D8,'Position Standard'!$B$7:$B$38,0))</x:f>
        <x:v>P01</x:v>
      </x:c>
      <x:c r="F8" s="31" t="str">
        <x:f>INDEX('Position Standard'!$E$7:$E$38,MATCH(D8,'Position Standard'!$B$7:$B$38,0))</x:f>
        <x:v>Firm power conversion</x:v>
      </x:c>
      <x:c r="G8" s="31" t="str">
        <x:f>INDEX('Position Standard'!$G$7:$G$38,MATCH(D8,'Position Standard'!$B$7:$B$38,0))</x:f>
        <x:v>L1</x:v>
      </x:c>
      <x:c r="H8" s="41" t="n">
        <x:f>INDEX('Position Standard'!$H$7:$H$38,MATCH(D8,'Position Standard'!$B$7:$B$38,0))</x:f>
        <x:v>20.5</x:v>
      </x:c>
      <x:c r="I8" s="41" t="n">
        <x:v>0</x:v>
      </x:c>
      <x:c r="J8" s="41" t="n">
        <x:f>H8+I8</x:f>
        <x:v>20.5</x:v>
      </x:c>
      <x:c r="K8" s="41" t="n">
        <x:f>INDEX('Position Standard'!$I$7:$I$38,MATCH(D8,'Position Standard'!$B$7:$B$38,0))</x:f>
        <x:v>65</x:v>
      </x:c>
      <x:c r="L8" s="41" t="n">
        <x:f>INDEX('Position Standard'!$J$7:$J$38,MATCH(D8,'Position Standard'!$B$7:$B$38,0))</x:f>
        <x:v>15</x:v>
      </x:c>
      <x:c r="M8" s="41" t="n">
        <x:f>INDEX('Position Standard'!$K$7:$K$38,MATCH(D8,'Position Standard'!$B$7:$B$38,0))</x:f>
        <x:v>4.333</x:v>
      </x:c>
      <x:c r="N8" s="41" t="str">
        <x:v>ATUT-B1</x:v>
      </x:c>
      <x:c r="O8" s="41" t="n">
        <x:v>3</x:v>
      </x:c>
      <x:c r="P8" s="41" t="n">
        <x:v>2</x:v>
      </x:c>
      <x:c r="Q8" s="41" t="n">
        <x:f>0.4+M8/2</x:f>
        <x:v>2.5665</x:v>
      </x:c>
      <x:c r="R8" s="31" t="str">
        <x:v>I-B</x:v>
      </x:c>
      <x:c r="S8" s="31" t="str">
        <x:f>INDEX('Position Standard'!$L$7:$L$38,MATCH(D8,'Position Standard'!$B$7:$B$38,0))</x:f>
        <x:v>electrical</x:v>
      </x:c>
      <x:c r="T8" s="31" t="n">
        <x:f>INDEX('Position Standard'!$M$7:$M$38,MATCH(D8,'Position Standard'!$B$7:$B$38,0))</x:f>
        <x:v>8</x:v>
      </x:c>
      <x:c r="U8" s="31" t="str">
        <x:v>OPEN</x:v>
      </x:c>
      <x:c r="V8" s="31" t="n">
        <x:f>J8*O8</x:f>
        <x:v>61.5</x:v>
      </x:c>
      <x:c r="W8" s="31" t="n">
        <x:f>J8*P8</x:f>
        <x:v>41</x:v>
      </x:c>
      <x:c r="X8" s="33" t="n">
        <x:f>J8*Q8</x:f>
        <x:v>52.61325</x:v>
      </x:c>
    </x:row>
    <x:row r="9">
      <x:c r="B9" s="31" t="str">
        <x:v>B-P01-3</x:v>
      </x:c>
      <x:c r="C9" s="31" t="str">
        <x:v>DRY</x:v>
      </x:c>
      <x:c r="D9" s="31" t="str">
        <x:v>P01-3</x:v>
      </x:c>
      <x:c r="E9" s="31" t="str">
        <x:f>INDEX('Position Standard'!$C$7:$C$38,MATCH(D9,'Position Standard'!$B$7:$B$38,0))</x:f>
        <x:v>P01</x:v>
      </x:c>
      <x:c r="F9" s="31" t="str">
        <x:f>INDEX('Position Standard'!$E$7:$E$38,MATCH(D9,'Position Standard'!$B$7:$B$38,0))</x:f>
        <x:v>Firm power conversion</x:v>
      </x:c>
      <x:c r="G9" s="31" t="str">
        <x:f>INDEX('Position Standard'!$G$7:$G$38,MATCH(D9,'Position Standard'!$B$7:$B$38,0))</x:f>
        <x:v>L1</x:v>
      </x:c>
      <x:c r="H9" s="41" t="n">
        <x:f>INDEX('Position Standard'!$H$7:$H$38,MATCH(D9,'Position Standard'!$B$7:$B$38,0))</x:f>
        <x:v>20.5</x:v>
      </x:c>
      <x:c r="I9" s="41" t="n">
        <x:v>0</x:v>
      </x:c>
      <x:c r="J9" s="41" t="n">
        <x:f>H9+I9</x:f>
        <x:v>20.5</x:v>
      </x:c>
      <x:c r="K9" s="41" t="n">
        <x:f>INDEX('Position Standard'!$I$7:$I$38,MATCH(D9,'Position Standard'!$B$7:$B$38,0))</x:f>
        <x:v>65</x:v>
      </x:c>
      <x:c r="L9" s="41" t="n">
        <x:f>INDEX('Position Standard'!$J$7:$J$38,MATCH(D9,'Position Standard'!$B$7:$B$38,0))</x:f>
        <x:v>15</x:v>
      </x:c>
      <x:c r="M9" s="41" t="n">
        <x:f>INDEX('Position Standard'!$K$7:$K$38,MATCH(D9,'Position Standard'!$B$7:$B$38,0))</x:f>
        <x:v>4.333</x:v>
      </x:c>
      <x:c r="N9" s="41" t="str">
        <x:v>ATUT-B1</x:v>
      </x:c>
      <x:c r="O9" s="41" t="n">
        <x:v>14</x:v>
      </x:c>
      <x:c r="P9" s="41" t="n">
        <x:v>-2</x:v>
      </x:c>
      <x:c r="Q9" s="41" t="n">
        <x:f>0.4+M9/2</x:f>
        <x:v>2.5665</x:v>
      </x:c>
      <x:c r="R9" s="31" t="str">
        <x:v>I-B</x:v>
      </x:c>
      <x:c r="S9" s="31" t="str">
        <x:f>INDEX('Position Standard'!$L$7:$L$38,MATCH(D9,'Position Standard'!$B$7:$B$38,0))</x:f>
        <x:v>electrical</x:v>
      </x:c>
      <x:c r="T9" s="31" t="n">
        <x:f>INDEX('Position Standard'!$M$7:$M$38,MATCH(D9,'Position Standard'!$B$7:$B$38,0))</x:f>
        <x:v>8</x:v>
      </x:c>
      <x:c r="U9" s="31" t="str">
        <x:v>OPEN</x:v>
      </x:c>
      <x:c r="V9" s="31" t="n">
        <x:f>J9*O9</x:f>
        <x:v>287</x:v>
      </x:c>
      <x:c r="W9" s="31" t="n">
        <x:f>J9*P9</x:f>
        <x:v>-41</x:v>
      </x:c>
      <x:c r="X9" s="33" t="n">
        <x:f>J9*Q9</x:f>
        <x:v>52.61325</x:v>
      </x:c>
    </x:row>
    <x:row r="10">
      <x:c r="B10" s="31" t="str">
        <x:v>B-P01-4</x:v>
      </x:c>
      <x:c r="C10" s="31" t="str">
        <x:v>DRY</x:v>
      </x:c>
      <x:c r="D10" s="31" t="str">
        <x:v>P01-4</x:v>
      </x:c>
      <x:c r="E10" s="31" t="str">
        <x:f>INDEX('Position Standard'!$C$7:$C$38,MATCH(D10,'Position Standard'!$B$7:$B$38,0))</x:f>
        <x:v>P01</x:v>
      </x:c>
      <x:c r="F10" s="31" t="str">
        <x:f>INDEX('Position Standard'!$E$7:$E$38,MATCH(D10,'Position Standard'!$B$7:$B$38,0))</x:f>
        <x:v>Firm power conversion</x:v>
      </x:c>
      <x:c r="G10" s="31" t="str">
        <x:f>INDEX('Position Standard'!$G$7:$G$38,MATCH(D10,'Position Standard'!$B$7:$B$38,0))</x:f>
        <x:v>L1</x:v>
      </x:c>
      <x:c r="H10" s="41" t="n">
        <x:f>INDEX('Position Standard'!$H$7:$H$38,MATCH(D10,'Position Standard'!$B$7:$B$38,0))</x:f>
        <x:v>20.5</x:v>
      </x:c>
      <x:c r="I10" s="41" t="n">
        <x:v>0</x:v>
      </x:c>
      <x:c r="J10" s="41" t="n">
        <x:f>H10+I10</x:f>
        <x:v>20.5</x:v>
      </x:c>
      <x:c r="K10" s="41" t="n">
        <x:f>INDEX('Position Standard'!$I$7:$I$38,MATCH(D10,'Position Standard'!$B$7:$B$38,0))</x:f>
        <x:v>65</x:v>
      </x:c>
      <x:c r="L10" s="41" t="n">
        <x:f>INDEX('Position Standard'!$J$7:$J$38,MATCH(D10,'Position Standard'!$B$7:$B$38,0))</x:f>
        <x:v>15</x:v>
      </x:c>
      <x:c r="M10" s="41" t="n">
        <x:f>INDEX('Position Standard'!$K$7:$K$38,MATCH(D10,'Position Standard'!$B$7:$B$38,0))</x:f>
        <x:v>4.333</x:v>
      </x:c>
      <x:c r="N10" s="41" t="str">
        <x:v>ATUT-B1</x:v>
      </x:c>
      <x:c r="O10" s="41" t="n">
        <x:v>19</x:v>
      </x:c>
      <x:c r="P10" s="41" t="n">
        <x:v>-2</x:v>
      </x:c>
      <x:c r="Q10" s="41" t="n">
        <x:f>0.4+M10/2</x:f>
        <x:v>2.5665</x:v>
      </x:c>
      <x:c r="R10" s="31" t="str">
        <x:v>I-B</x:v>
      </x:c>
      <x:c r="S10" s="31" t="str">
        <x:f>INDEX('Position Standard'!$L$7:$L$38,MATCH(D10,'Position Standard'!$B$7:$B$38,0))</x:f>
        <x:v>electrical</x:v>
      </x:c>
      <x:c r="T10" s="31" t="n">
        <x:f>INDEX('Position Standard'!$M$7:$M$38,MATCH(D10,'Position Standard'!$B$7:$B$38,0))</x:f>
        <x:v>8</x:v>
      </x:c>
      <x:c r="U10" s="31" t="str">
        <x:v>OPEN</x:v>
      </x:c>
      <x:c r="V10" s="31" t="n">
        <x:f>J10*O10</x:f>
        <x:v>389.5</x:v>
      </x:c>
      <x:c r="W10" s="31" t="n">
        <x:f>J10*P10</x:f>
        <x:v>-41</x:v>
      </x:c>
      <x:c r="X10" s="33" t="n">
        <x:f>J10*Q10</x:f>
        <x:v>52.61325</x:v>
      </x:c>
    </x:row>
    <x:row r="11">
      <x:c r="B11" s="31" t="str">
        <x:v>B-P02-1</x:v>
      </x:c>
      <x:c r="C11" s="31" t="str">
        <x:v>DRY</x:v>
      </x:c>
      <x:c r="D11" s="31" t="str">
        <x:v>P02-1</x:v>
      </x:c>
      <x:c r="E11" s="31" t="str">
        <x:f>INDEX('Position Standard'!$C$7:$C$38,MATCH(D11,'Position Standard'!$B$7:$B$38,0))</x:f>
        <x:v>P02</x:v>
      </x:c>
      <x:c r="F11" s="31" t="str">
        <x:f>INDEX('Position Standard'!$E$7:$E$38,MATCH(D11,'Position Standard'!$B$7:$B$38,0))</x:f>
        <x:v>Distributed black-start storage</x:v>
      </x:c>
      <x:c r="G11" s="31" t="str">
        <x:f>INDEX('Position Standard'!$G$7:$G$38,MATCH(D11,'Position Standard'!$B$7:$B$38,0))</x:f>
        <x:v>L1</x:v>
      </x:c>
      <x:c r="H11" s="41" t="n">
        <x:f>INDEX('Position Standard'!$H$7:$H$38,MATCH(D11,'Position Standard'!$B$7:$B$38,0))</x:f>
        <x:v>14</x:v>
      </x:c>
      <x:c r="I11" s="41" t="n">
        <x:v>0</x:v>
      </x:c>
      <x:c r="J11" s="41" t="n">
        <x:f>H11+I11</x:f>
        <x:v>14</x:v>
      </x:c>
      <x:c r="K11" s="41" t="n">
        <x:f>INDEX('Position Standard'!$I$7:$I$38,MATCH(D11,'Position Standard'!$B$7:$B$38,0))</x:f>
        <x:v>60</x:v>
      </x:c>
      <x:c r="L11" s="41" t="n">
        <x:f>INDEX('Position Standard'!$J$7:$J$38,MATCH(D11,'Position Standard'!$B$7:$B$38,0))</x:f>
        <x:v>16</x:v>
      </x:c>
      <x:c r="M11" s="41" t="n">
        <x:f>INDEX('Position Standard'!$K$7:$K$38,MATCH(D11,'Position Standard'!$B$7:$B$38,0))</x:f>
        <x:v>3.75</x:v>
      </x:c>
      <x:c r="N11" s="41" t="str">
        <x:v>ATUT-B1</x:v>
      </x:c>
      <x:c r="O11" s="41" t="n">
        <x:v>8</x:v>
      </x:c>
      <x:c r="P11" s="41" t="n">
        <x:v>-2</x:v>
      </x:c>
      <x:c r="Q11" s="41" t="n">
        <x:f>0.4+M11/2</x:f>
        <x:v>2.275</x:v>
      </x:c>
      <x:c r="R11" s="31" t="str">
        <x:v>I-B</x:v>
      </x:c>
      <x:c r="S11" s="31" t="str">
        <x:f>INDEX('Position Standard'!$L$7:$L$38,MATCH(D11,'Position Standard'!$B$7:$B$38,0))</x:f>
        <x:v>battery</x:v>
      </x:c>
      <x:c r="T11" s="31" t="n">
        <x:f>INDEX('Position Standard'!$M$7:$M$38,MATCH(D11,'Position Standard'!$B$7:$B$38,0))</x:f>
        <x:v>4</x:v>
      </x:c>
      <x:c r="U11" s="31" t="str">
        <x:v>OPEN</x:v>
      </x:c>
      <x:c r="V11" s="31" t="n">
        <x:f>J11*O11</x:f>
        <x:v>112</x:v>
      </x:c>
      <x:c r="W11" s="31" t="n">
        <x:f>J11*P11</x:f>
        <x:v>-28</x:v>
      </x:c>
      <x:c r="X11" s="33" t="n">
        <x:f>J11*Q11</x:f>
        <x:v>31.849999999999998</x:v>
      </x:c>
    </x:row>
    <x:row r="12">
      <x:c r="B12" s="31" t="str">
        <x:v>B-P02-2</x:v>
      </x:c>
      <x:c r="C12" s="31" t="str">
        <x:v>DRY</x:v>
      </x:c>
      <x:c r="D12" s="31" t="str">
        <x:v>P02-2</x:v>
      </x:c>
      <x:c r="E12" s="31" t="str">
        <x:f>INDEX('Position Standard'!$C$7:$C$38,MATCH(D12,'Position Standard'!$B$7:$B$38,0))</x:f>
        <x:v>P02</x:v>
      </x:c>
      <x:c r="F12" s="31" t="str">
        <x:f>INDEX('Position Standard'!$E$7:$E$38,MATCH(D12,'Position Standard'!$B$7:$B$38,0))</x:f>
        <x:v>Distributed black-start storage</x:v>
      </x:c>
      <x:c r="G12" s="31" t="str">
        <x:f>INDEX('Position Standard'!$G$7:$G$38,MATCH(D12,'Position Standard'!$B$7:$B$38,0))</x:f>
        <x:v>L1</x:v>
      </x:c>
      <x:c r="H12" s="41" t="n">
        <x:f>INDEX('Position Standard'!$H$7:$H$38,MATCH(D12,'Position Standard'!$B$7:$B$38,0))</x:f>
        <x:v>14</x:v>
      </x:c>
      <x:c r="I12" s="41" t="n">
        <x:v>0</x:v>
      </x:c>
      <x:c r="J12" s="41" t="n">
        <x:f>H12+I12</x:f>
        <x:v>14</x:v>
      </x:c>
      <x:c r="K12" s="41" t="n">
        <x:f>INDEX('Position Standard'!$I$7:$I$38,MATCH(D12,'Position Standard'!$B$7:$B$38,0))</x:f>
        <x:v>60</x:v>
      </x:c>
      <x:c r="L12" s="41" t="n">
        <x:f>INDEX('Position Standard'!$J$7:$J$38,MATCH(D12,'Position Standard'!$B$7:$B$38,0))</x:f>
        <x:v>16</x:v>
      </x:c>
      <x:c r="M12" s="41" t="n">
        <x:f>INDEX('Position Standard'!$K$7:$K$38,MATCH(D12,'Position Standard'!$B$7:$B$38,0))</x:f>
        <x:v>3.75</x:v>
      </x:c>
      <x:c r="N12" s="41" t="str">
        <x:v>ATUT-B1</x:v>
      </x:c>
      <x:c r="O12" s="41" t="n">
        <x:v>8</x:v>
      </x:c>
      <x:c r="P12" s="41" t="n">
        <x:v>2</x:v>
      </x:c>
      <x:c r="Q12" s="41" t="n">
        <x:f>0.4+M12/2</x:f>
        <x:v>2.275</x:v>
      </x:c>
      <x:c r="R12" s="31" t="str">
        <x:v>I-B</x:v>
      </x:c>
      <x:c r="S12" s="31" t="str">
        <x:f>INDEX('Position Standard'!$L$7:$L$38,MATCH(D12,'Position Standard'!$B$7:$B$38,0))</x:f>
        <x:v>battery</x:v>
      </x:c>
      <x:c r="T12" s="31" t="n">
        <x:f>INDEX('Position Standard'!$M$7:$M$38,MATCH(D12,'Position Standard'!$B$7:$B$38,0))</x:f>
        <x:v>4</x:v>
      </x:c>
      <x:c r="U12" s="31" t="str">
        <x:v>OPEN</x:v>
      </x:c>
      <x:c r="V12" s="31" t="n">
        <x:f>J12*O12</x:f>
        <x:v>112</x:v>
      </x:c>
      <x:c r="W12" s="31" t="n">
        <x:f>J12*P12</x:f>
        <x:v>28</x:v>
      </x:c>
      <x:c r="X12" s="33" t="n">
        <x:f>J12*Q12</x:f>
        <x:v>31.849999999999998</x:v>
      </x:c>
    </x:row>
    <x:row r="13">
      <x:c r="B13" s="31" t="str">
        <x:v>B-P02-3</x:v>
      </x:c>
      <x:c r="C13" s="31" t="str">
        <x:v>DRY</x:v>
      </x:c>
      <x:c r="D13" s="31" t="str">
        <x:v>P02-3</x:v>
      </x:c>
      <x:c r="E13" s="31" t="str">
        <x:f>INDEX('Position Standard'!$C$7:$C$38,MATCH(D13,'Position Standard'!$B$7:$B$38,0))</x:f>
        <x:v>P02</x:v>
      </x:c>
      <x:c r="F13" s="31" t="str">
        <x:f>INDEX('Position Standard'!$E$7:$E$38,MATCH(D13,'Position Standard'!$B$7:$B$38,0))</x:f>
        <x:v>Distributed black-start storage</x:v>
      </x:c>
      <x:c r="G13" s="31" t="str">
        <x:f>INDEX('Position Standard'!$G$7:$G$38,MATCH(D13,'Position Standard'!$B$7:$B$38,0))</x:f>
        <x:v>L1</x:v>
      </x:c>
      <x:c r="H13" s="41" t="n">
        <x:f>INDEX('Position Standard'!$H$7:$H$38,MATCH(D13,'Position Standard'!$B$7:$B$38,0))</x:f>
        <x:v>14</x:v>
      </x:c>
      <x:c r="I13" s="41" t="n">
        <x:v>0</x:v>
      </x:c>
      <x:c r="J13" s="41" t="n">
        <x:f>H13+I13</x:f>
        <x:v>14</x:v>
      </x:c>
      <x:c r="K13" s="41" t="n">
        <x:f>INDEX('Position Standard'!$I$7:$I$38,MATCH(D13,'Position Standard'!$B$7:$B$38,0))</x:f>
        <x:v>60</x:v>
      </x:c>
      <x:c r="L13" s="41" t="n">
        <x:f>INDEX('Position Standard'!$J$7:$J$38,MATCH(D13,'Position Standard'!$B$7:$B$38,0))</x:f>
        <x:v>16</x:v>
      </x:c>
      <x:c r="M13" s="41" t="n">
        <x:f>INDEX('Position Standard'!$K$7:$K$38,MATCH(D13,'Position Standard'!$B$7:$B$38,0))</x:f>
        <x:v>3.75</x:v>
      </x:c>
      <x:c r="N13" s="41" t="str">
        <x:v>ATUT-B1</x:v>
      </x:c>
      <x:c r="O13" s="41" t="n">
        <x:v>19</x:v>
      </x:c>
      <x:c r="P13" s="41" t="n">
        <x:v>2</x:v>
      </x:c>
      <x:c r="Q13" s="41" t="n">
        <x:f>0.4+M13/2</x:f>
        <x:v>2.275</x:v>
      </x:c>
      <x:c r="R13" s="31" t="str">
        <x:v>I-B</x:v>
      </x:c>
      <x:c r="S13" s="31" t="str">
        <x:f>INDEX('Position Standard'!$L$7:$L$38,MATCH(D13,'Position Standard'!$B$7:$B$38,0))</x:f>
        <x:v>battery</x:v>
      </x:c>
      <x:c r="T13" s="31" t="n">
        <x:f>INDEX('Position Standard'!$M$7:$M$38,MATCH(D13,'Position Standard'!$B$7:$B$38,0))</x:f>
        <x:v>4</x:v>
      </x:c>
      <x:c r="U13" s="31" t="str">
        <x:v>OPEN</x:v>
      </x:c>
      <x:c r="V13" s="31" t="n">
        <x:f>J13*O13</x:f>
        <x:v>266</x:v>
      </x:c>
      <x:c r="W13" s="31" t="n">
        <x:f>J13*P13</x:f>
        <x:v>28</x:v>
      </x:c>
      <x:c r="X13" s="33" t="n">
        <x:f>J13*Q13</x:f>
        <x:v>31.849999999999998</x:v>
      </x:c>
    </x:row>
    <x:row r="14">
      <x:c r="B14" s="31" t="str">
        <x:v>B-P03-1</x:v>
      </x:c>
      <x:c r="C14" s="31" t="str">
        <x:v>DRY</x:v>
      </x:c>
      <x:c r="D14" s="31" t="str">
        <x:v>P03-1</x:v>
      </x:c>
      <x:c r="E14" s="31" t="str">
        <x:f>INDEX('Position Standard'!$C$7:$C$38,MATCH(D14,'Position Standard'!$B$7:$B$38,0))</x:f>
        <x:v>P03</x:v>
      </x:c>
      <x:c r="F14" s="31" t="str">
        <x:f>INDEX('Position Standard'!$E$7:$E$38,MATCH(D14,'Position Standard'!$B$7:$B$38,0))</x:f>
        <x:v>Useful cooling trains</x:v>
      </x:c>
      <x:c r="G14" s="31" t="str">
        <x:f>INDEX('Position Standard'!$G$7:$G$38,MATCH(D14,'Position Standard'!$B$7:$B$38,0))</x:f>
        <x:v>L2</x:v>
      </x:c>
      <x:c r="H14" s="41" t="n">
        <x:f>INDEX('Position Standard'!$H$7:$H$38,MATCH(D14,'Position Standard'!$B$7:$B$38,0))</x:f>
        <x:v>16</x:v>
      </x:c>
      <x:c r="I14" s="41" t="n">
        <x:v>0</x:v>
      </x:c>
      <x:c r="J14" s="41" t="n">
        <x:f>H14+I14</x:f>
        <x:v>16</x:v>
      </x:c>
      <x:c r="K14" s="41" t="n">
        <x:f>INDEX('Position Standard'!$I$7:$I$38,MATCH(D14,'Position Standard'!$B$7:$B$38,0))</x:f>
        <x:v>84</x:v>
      </x:c>
      <x:c r="L14" s="41" t="n">
        <x:f>INDEX('Position Standard'!$J$7:$J$38,MATCH(D14,'Position Standard'!$B$7:$B$38,0))</x:f>
        <x:v>18</x:v>
      </x:c>
      <x:c r="M14" s="41" t="n">
        <x:f>INDEX('Position Standard'!$K$7:$K$38,MATCH(D14,'Position Standard'!$B$7:$B$38,0))</x:f>
        <x:v>4.667</x:v>
      </x:c>
      <x:c r="N14" s="41" t="str">
        <x:v>ATUT-B2</x:v>
      </x:c>
      <x:c r="O14" s="41" t="n">
        <x:v>8</x:v>
      </x:c>
      <x:c r="P14" s="41" t="n">
        <x:v>-2</x:v>
      </x:c>
      <x:c r="Q14" s="41" t="n">
        <x:f>0.4+M14/2</x:f>
        <x:v>2.7335</x:v>
      </x:c>
      <x:c r="R14" s="31" t="str">
        <x:v>I-B</x:v>
      </x:c>
      <x:c r="S14" s="31" t="str">
        <x:f>INDEX('Position Standard'!$L$7:$L$38,MATCH(D14,'Position Standard'!$B$7:$B$38,0))</x:f>
        <x:v>refrigerant</x:v>
      </x:c>
      <x:c r="T14" s="31" t="n">
        <x:f>INDEX('Position Standard'!$M$7:$M$38,MATCH(D14,'Position Standard'!$B$7:$B$38,0))</x:f>
        <x:v>9</x:v>
      </x:c>
      <x:c r="U14" s="31" t="str">
        <x:v>OPEN</x:v>
      </x:c>
      <x:c r="V14" s="31" t="n">
        <x:f>J14*O14</x:f>
        <x:v>128</x:v>
      </x:c>
      <x:c r="W14" s="31" t="n">
        <x:f>J14*P14</x:f>
        <x:v>-32</x:v>
      </x:c>
      <x:c r="X14" s="33" t="n">
        <x:f>J14*Q14</x:f>
        <x:v>43.736</x:v>
      </x:c>
    </x:row>
    <x:row r="15">
      <x:c r="B15" s="31" t="str">
        <x:v>B-P03-2</x:v>
      </x:c>
      <x:c r="C15" s="31" t="str">
        <x:v>DRY</x:v>
      </x:c>
      <x:c r="D15" s="31" t="str">
        <x:v>P03-2</x:v>
      </x:c>
      <x:c r="E15" s="31" t="str">
        <x:f>INDEX('Position Standard'!$C$7:$C$38,MATCH(D15,'Position Standard'!$B$7:$B$38,0))</x:f>
        <x:v>P03</x:v>
      </x:c>
      <x:c r="F15" s="31" t="str">
        <x:f>INDEX('Position Standard'!$E$7:$E$38,MATCH(D15,'Position Standard'!$B$7:$B$38,0))</x:f>
        <x:v>Useful cooling trains</x:v>
      </x:c>
      <x:c r="G15" s="31" t="str">
        <x:f>INDEX('Position Standard'!$G$7:$G$38,MATCH(D15,'Position Standard'!$B$7:$B$38,0))</x:f>
        <x:v>L2</x:v>
      </x:c>
      <x:c r="H15" s="41" t="n">
        <x:f>INDEX('Position Standard'!$H$7:$H$38,MATCH(D15,'Position Standard'!$B$7:$B$38,0))</x:f>
        <x:v>16</x:v>
      </x:c>
      <x:c r="I15" s="41" t="n">
        <x:v>0</x:v>
      </x:c>
      <x:c r="J15" s="41" t="n">
        <x:f>H15+I15</x:f>
        <x:v>16</x:v>
      </x:c>
      <x:c r="K15" s="41" t="n">
        <x:f>INDEX('Position Standard'!$I$7:$I$38,MATCH(D15,'Position Standard'!$B$7:$B$38,0))</x:f>
        <x:v>83</x:v>
      </x:c>
      <x:c r="L15" s="41" t="n">
        <x:f>INDEX('Position Standard'!$J$7:$J$38,MATCH(D15,'Position Standard'!$B$7:$B$38,0))</x:f>
        <x:v>18</x:v>
      </x:c>
      <x:c r="M15" s="41" t="n">
        <x:f>INDEX('Position Standard'!$K$7:$K$38,MATCH(D15,'Position Standard'!$B$7:$B$38,0))</x:f>
        <x:v>4.611</x:v>
      </x:c>
      <x:c r="N15" s="41" t="str">
        <x:v>ATUT-B2</x:v>
      </x:c>
      <x:c r="O15" s="41" t="n">
        <x:v>8</x:v>
      </x:c>
      <x:c r="P15" s="41" t="n">
        <x:v>2</x:v>
      </x:c>
      <x:c r="Q15" s="41" t="n">
        <x:f>0.4+M15/2</x:f>
        <x:v>2.7055</x:v>
      </x:c>
      <x:c r="R15" s="31" t="str">
        <x:v>I-B</x:v>
      </x:c>
      <x:c r="S15" s="31" t="str">
        <x:f>INDEX('Position Standard'!$L$7:$L$38,MATCH(D15,'Position Standard'!$B$7:$B$38,0))</x:f>
        <x:v>refrigerant</x:v>
      </x:c>
      <x:c r="T15" s="31" t="n">
        <x:f>INDEX('Position Standard'!$M$7:$M$38,MATCH(D15,'Position Standard'!$B$7:$B$38,0))</x:f>
        <x:v>9</x:v>
      </x:c>
      <x:c r="U15" s="31" t="str">
        <x:v>OPEN</x:v>
      </x:c>
      <x:c r="V15" s="31" t="n">
        <x:f>J15*O15</x:f>
        <x:v>128</x:v>
      </x:c>
      <x:c r="W15" s="31" t="n">
        <x:f>J15*P15</x:f>
        <x:v>32</x:v>
      </x:c>
      <x:c r="X15" s="33" t="n">
        <x:f>J15*Q15</x:f>
        <x:v>43.288</x:v>
      </x:c>
    </x:row>
    <x:row r="16">
      <x:c r="B16" s="31" t="str">
        <x:v>B-P03-3</x:v>
      </x:c>
      <x:c r="C16" s="31" t="str">
        <x:v>DRY</x:v>
      </x:c>
      <x:c r="D16" s="31" t="str">
        <x:v>P03-3</x:v>
      </x:c>
      <x:c r="E16" s="31" t="str">
        <x:f>INDEX('Position Standard'!$C$7:$C$38,MATCH(D16,'Position Standard'!$B$7:$B$38,0))</x:f>
        <x:v>P03</x:v>
      </x:c>
      <x:c r="F16" s="31" t="str">
        <x:f>INDEX('Position Standard'!$E$7:$E$38,MATCH(D16,'Position Standard'!$B$7:$B$38,0))</x:f>
        <x:v>Useful cooling trains</x:v>
      </x:c>
      <x:c r="G16" s="31" t="str">
        <x:f>INDEX('Position Standard'!$G$7:$G$38,MATCH(D16,'Position Standard'!$B$7:$B$38,0))</x:f>
        <x:v>L2</x:v>
      </x:c>
      <x:c r="H16" s="41" t="n">
        <x:f>INDEX('Position Standard'!$H$7:$H$38,MATCH(D16,'Position Standard'!$B$7:$B$38,0))</x:f>
        <x:v>16</x:v>
      </x:c>
      <x:c r="I16" s="41" t="n">
        <x:v>0</x:v>
      </x:c>
      <x:c r="J16" s="41" t="n">
        <x:f>H16+I16</x:f>
        <x:v>16</x:v>
      </x:c>
      <x:c r="K16" s="41" t="n">
        <x:f>INDEX('Position Standard'!$I$7:$I$38,MATCH(D16,'Position Standard'!$B$7:$B$38,0))</x:f>
        <x:v>83</x:v>
      </x:c>
      <x:c r="L16" s="41" t="n">
        <x:f>INDEX('Position Standard'!$J$7:$J$38,MATCH(D16,'Position Standard'!$B$7:$B$38,0))</x:f>
        <x:v>18</x:v>
      </x:c>
      <x:c r="M16" s="41" t="n">
        <x:f>INDEX('Position Standard'!$K$7:$K$38,MATCH(D16,'Position Standard'!$B$7:$B$38,0))</x:f>
        <x:v>4.611</x:v>
      </x:c>
      <x:c r="N16" s="41" t="str">
        <x:v>ATUT-B2</x:v>
      </x:c>
      <x:c r="O16" s="41" t="n">
        <x:v>14</x:v>
      </x:c>
      <x:c r="P16" s="41" t="n">
        <x:v>-2</x:v>
      </x:c>
      <x:c r="Q16" s="41" t="n">
        <x:f>0.4+M16/2</x:f>
        <x:v>2.7055</x:v>
      </x:c>
      <x:c r="R16" s="31" t="str">
        <x:v>I-B</x:v>
      </x:c>
      <x:c r="S16" s="31" t="str">
        <x:f>INDEX('Position Standard'!$L$7:$L$38,MATCH(D16,'Position Standard'!$B$7:$B$38,0))</x:f>
        <x:v>refrigerant</x:v>
      </x:c>
      <x:c r="T16" s="31" t="n">
        <x:f>INDEX('Position Standard'!$M$7:$M$38,MATCH(D16,'Position Standard'!$B$7:$B$38,0))</x:f>
        <x:v>9</x:v>
      </x:c>
      <x:c r="U16" s="31" t="str">
        <x:v>OPEN</x:v>
      </x:c>
      <x:c r="V16" s="31" t="n">
        <x:f>J16*O16</x:f>
        <x:v>224</x:v>
      </x:c>
      <x:c r="W16" s="31" t="n">
        <x:f>J16*P16</x:f>
        <x:v>-32</x:v>
      </x:c>
      <x:c r="X16" s="33" t="n">
        <x:f>J16*Q16</x:f>
        <x:v>43.288</x:v>
      </x:c>
    </x:row>
    <x:row r="17">
      <x:c r="B17" s="31" t="str">
        <x:v>B-P04-1</x:v>
      </x:c>
      <x:c r="C17" s="31" t="str">
        <x:v>DRY</x:v>
      </x:c>
      <x:c r="D17" s="31" t="str">
        <x:v>P04-1</x:v>
      </x:c>
      <x:c r="E17" s="31" t="str">
        <x:f>INDEX('Position Standard'!$C$7:$C$38,MATCH(D17,'Position Standard'!$B$7:$B$38,0))</x:f>
        <x:v>P04</x:v>
      </x:c>
      <x:c r="F17" s="31" t="str">
        <x:f>INDEX('Position Standard'!$E$7:$E$38,MATCH(D17,'Position Standard'!$B$7:$B$38,0))</x:f>
        <x:v>Final heat-rejection field</x:v>
      </x:c>
      <x:c r="G17" s="31" t="str">
        <x:f>INDEX('Position Standard'!$G$7:$G$38,MATCH(D17,'Position Standard'!$B$7:$B$38,0))</x:f>
        <x:v>L1</x:v>
      </x:c>
      <x:c r="H17" s="41" t="n">
        <x:f>INDEX('Position Standard'!$H$7:$H$38,MATCH(D17,'Position Standard'!$B$7:$B$38,0))</x:f>
        <x:v>21</x:v>
      </x:c>
      <x:c r="I17" s="41" t="n">
        <x:v>0</x:v>
      </x:c>
      <x:c r="J17" s="41" t="n">
        <x:f>H17+I17</x:f>
        <x:v>21</x:v>
      </x:c>
      <x:c r="K17" s="41" t="n">
        <x:f>INDEX('Position Standard'!$I$7:$I$38,MATCH(D17,'Position Standard'!$B$7:$B$38,0))</x:f>
        <x:v>127</x:v>
      </x:c>
      <x:c r="L17" s="41" t="n">
        <x:f>INDEX('Position Standard'!$J$7:$J$38,MATCH(D17,'Position Standard'!$B$7:$B$38,0))</x:f>
        <x:v>28</x:v>
      </x:c>
      <x:c r="M17" s="41" t="n">
        <x:f>INDEX('Position Standard'!$K$7:$K$38,MATCH(D17,'Position Standard'!$B$7:$B$38,0))</x:f>
        <x:v>4.536</x:v>
      </x:c>
      <x:c r="N17" s="41" t="str">
        <x:v>ATUT-B1</x:v>
      </x:c>
      <x:c r="O17" s="41" t="n">
        <x:v>14</x:v>
      </x:c>
      <x:c r="P17" s="41" t="n">
        <x:v>2</x:v>
      </x:c>
      <x:c r="Q17" s="41" t="n">
        <x:f>0.4+M17/2</x:f>
        <x:v>2.6679999999999997</x:v>
      </x:c>
      <x:c r="R17" s="31" t="str">
        <x:v>I-B</x:v>
      </x:c>
      <x:c r="S17" s="31" t="str">
        <x:f>INDEX('Position Standard'!$L$7:$L$38,MATCH(D17,'Position Standard'!$B$7:$B$38,0))</x:f>
        <x:v>thermal</x:v>
      </x:c>
      <x:c r="T17" s="31" t="n">
        <x:f>INDEX('Position Standard'!$M$7:$M$38,MATCH(D17,'Position Standard'!$B$7:$B$38,0))</x:f>
        <x:v>10</x:v>
      </x:c>
      <x:c r="U17" s="31" t="str">
        <x:v>OPEN</x:v>
      </x:c>
      <x:c r="V17" s="31" t="n">
        <x:f>J17*O17</x:f>
        <x:v>294</x:v>
      </x:c>
      <x:c r="W17" s="31" t="n">
        <x:f>J17*P17</x:f>
        <x:v>42</x:v>
      </x:c>
      <x:c r="X17" s="33" t="n">
        <x:f>J17*Q17</x:f>
        <x:v>56.02799999999999</x:v>
      </x:c>
    </x:row>
    <x:row r="18">
      <x:c r="B18" s="31" t="str">
        <x:v>B-P04-2</x:v>
      </x:c>
      <x:c r="C18" s="31" t="str">
        <x:v>DRY</x:v>
      </x:c>
      <x:c r="D18" s="31" t="str">
        <x:v>P04-2</x:v>
      </x:c>
      <x:c r="E18" s="31" t="str">
        <x:f>INDEX('Position Standard'!$C$7:$C$38,MATCH(D18,'Position Standard'!$B$7:$B$38,0))</x:f>
        <x:v>P04</x:v>
      </x:c>
      <x:c r="F18" s="31" t="str">
        <x:f>INDEX('Position Standard'!$E$7:$E$38,MATCH(D18,'Position Standard'!$B$7:$B$38,0))</x:f>
        <x:v>Final heat-rejection field</x:v>
      </x:c>
      <x:c r="G18" s="31" t="str">
        <x:f>INDEX('Position Standard'!$G$7:$G$38,MATCH(D18,'Position Standard'!$B$7:$B$38,0))</x:f>
        <x:v>L2</x:v>
      </x:c>
      <x:c r="H18" s="41" t="n">
        <x:f>INDEX('Position Standard'!$H$7:$H$38,MATCH(D18,'Position Standard'!$B$7:$B$38,0))</x:f>
        <x:v>21</x:v>
      </x:c>
      <x:c r="I18" s="41" t="n">
        <x:v>0</x:v>
      </x:c>
      <x:c r="J18" s="41" t="n">
        <x:f>H18+I18</x:f>
        <x:v>21</x:v>
      </x:c>
      <x:c r="K18" s="41" t="n">
        <x:f>INDEX('Position Standard'!$I$7:$I$38,MATCH(D18,'Position Standard'!$B$7:$B$38,0))</x:f>
        <x:v>127</x:v>
      </x:c>
      <x:c r="L18" s="41" t="n">
        <x:f>INDEX('Position Standard'!$J$7:$J$38,MATCH(D18,'Position Standard'!$B$7:$B$38,0))</x:f>
        <x:v>28</x:v>
      </x:c>
      <x:c r="M18" s="41" t="n">
        <x:f>INDEX('Position Standard'!$K$7:$K$38,MATCH(D18,'Position Standard'!$B$7:$B$38,0))</x:f>
        <x:v>4.536</x:v>
      </x:c>
      <x:c r="N18" s="41" t="str">
        <x:v>ATUT-B2</x:v>
      </x:c>
      <x:c r="O18" s="41" t="n">
        <x:v>3</x:v>
      </x:c>
      <x:c r="P18" s="41" t="n">
        <x:v>-2</x:v>
      </x:c>
      <x:c r="Q18" s="41" t="n">
        <x:f>0.4+M18/2</x:f>
        <x:v>2.6679999999999997</x:v>
      </x:c>
      <x:c r="R18" s="31" t="str">
        <x:v>I-B</x:v>
      </x:c>
      <x:c r="S18" s="31" t="str">
        <x:f>INDEX('Position Standard'!$L$7:$L$38,MATCH(D18,'Position Standard'!$B$7:$B$38,0))</x:f>
        <x:v>thermal</x:v>
      </x:c>
      <x:c r="T18" s="31" t="n">
        <x:f>INDEX('Position Standard'!$M$7:$M$38,MATCH(D18,'Position Standard'!$B$7:$B$38,0))</x:f>
        <x:v>10</x:v>
      </x:c>
      <x:c r="U18" s="31" t="str">
        <x:v>OPEN</x:v>
      </x:c>
      <x:c r="V18" s="31" t="n">
        <x:f>J18*O18</x:f>
        <x:v>63</x:v>
      </x:c>
      <x:c r="W18" s="31" t="n">
        <x:f>J18*P18</x:f>
        <x:v>-42</x:v>
      </x:c>
      <x:c r="X18" s="33" t="n">
        <x:f>J18*Q18</x:f>
        <x:v>56.02799999999999</x:v>
      </x:c>
    </x:row>
    <x:row r="19">
      <x:c r="B19" s="31" t="str">
        <x:v>B-P04-3</x:v>
      </x:c>
      <x:c r="C19" s="31" t="str">
        <x:v>DRY</x:v>
      </x:c>
      <x:c r="D19" s="31" t="str">
        <x:v>P04-3</x:v>
      </x:c>
      <x:c r="E19" s="31" t="str">
        <x:f>INDEX('Position Standard'!$C$7:$C$38,MATCH(D19,'Position Standard'!$B$7:$B$38,0))</x:f>
        <x:v>P04</x:v>
      </x:c>
      <x:c r="F19" s="31" t="str">
        <x:f>INDEX('Position Standard'!$E$7:$E$38,MATCH(D19,'Position Standard'!$B$7:$B$38,0))</x:f>
        <x:v>Final heat-rejection field</x:v>
      </x:c>
      <x:c r="G19" s="31" t="str">
        <x:f>INDEX('Position Standard'!$G$7:$G$38,MATCH(D19,'Position Standard'!$B$7:$B$38,0))</x:f>
        <x:v>L2</x:v>
      </x:c>
      <x:c r="H19" s="41" t="n">
        <x:f>INDEX('Position Standard'!$H$7:$H$38,MATCH(D19,'Position Standard'!$B$7:$B$38,0))</x:f>
        <x:v>20</x:v>
      </x:c>
      <x:c r="I19" s="41" t="n">
        <x:v>0</x:v>
      </x:c>
      <x:c r="J19" s="41" t="n">
        <x:f>H19+I19</x:f>
        <x:v>20</x:v>
      </x:c>
      <x:c r="K19" s="41" t="n">
        <x:f>INDEX('Position Standard'!$I$7:$I$38,MATCH(D19,'Position Standard'!$B$7:$B$38,0))</x:f>
        <x:v>126</x:v>
      </x:c>
      <x:c r="L19" s="41" t="n">
        <x:f>INDEX('Position Standard'!$J$7:$J$38,MATCH(D19,'Position Standard'!$B$7:$B$38,0))</x:f>
        <x:v>28</x:v>
      </x:c>
      <x:c r="M19" s="41" t="n">
        <x:f>INDEX('Position Standard'!$K$7:$K$38,MATCH(D19,'Position Standard'!$B$7:$B$38,0))</x:f>
        <x:v>4.5</x:v>
      </x:c>
      <x:c r="N19" s="41" t="str">
        <x:v>ATUT-B2</x:v>
      </x:c>
      <x:c r="O19" s="41" t="n">
        <x:v>19</x:v>
      </x:c>
      <x:c r="P19" s="41" t="n">
        <x:v>-2</x:v>
      </x:c>
      <x:c r="Q19" s="41" t="n">
        <x:f>0.4+M19/2</x:f>
        <x:v>2.65</x:v>
      </x:c>
      <x:c r="R19" s="31" t="str">
        <x:v>I-B</x:v>
      </x:c>
      <x:c r="S19" s="31" t="str">
        <x:f>INDEX('Position Standard'!$L$7:$L$38,MATCH(D19,'Position Standard'!$B$7:$B$38,0))</x:f>
        <x:v>thermal</x:v>
      </x:c>
      <x:c r="T19" s="31" t="n">
        <x:f>INDEX('Position Standard'!$M$7:$M$38,MATCH(D19,'Position Standard'!$B$7:$B$38,0))</x:f>
        <x:v>10</x:v>
      </x:c>
      <x:c r="U19" s="31" t="str">
        <x:v>OPEN</x:v>
      </x:c>
      <x:c r="V19" s="31" t="n">
        <x:f>J19*O19</x:f>
        <x:v>380</x:v>
      </x:c>
      <x:c r="W19" s="31" t="n">
        <x:f>J19*P19</x:f>
        <x:v>-40</x:v>
      </x:c>
      <x:c r="X19" s="33" t="n">
        <x:f>J19*Q19</x:f>
        <x:v>53</x:v>
      </x:c>
    </x:row>
    <x:row r="20">
      <x:c r="B20" s="31" t="str">
        <x:v>B-P05-1</x:v>
      </x:c>
      <x:c r="C20" s="31" t="str">
        <x:v>DRY</x:v>
      </x:c>
      <x:c r="D20" s="31" t="str">
        <x:v>P05-1</x:v>
      </x:c>
      <x:c r="E20" s="31" t="str">
        <x:f>INDEX('Position Standard'!$C$7:$C$38,MATCH(D20,'Position Standard'!$B$7:$B$38,0))</x:f>
        <x:v>P05</x:v>
      </x:c>
      <x:c r="F20" s="31" t="str">
        <x:f>INDEX('Position Standard'!$E$7:$E$38,MATCH(D20,'Position Standard'!$B$7:$B$38,0))</x:f>
        <x:v>Water treatment and quality</x:v>
      </x:c>
      <x:c r="G20" s="31" t="str">
        <x:f>INDEX('Position Standard'!$G$7:$G$38,MATCH(D20,'Position Standard'!$B$7:$B$38,0))</x:f>
        <x:v>L2</x:v>
      </x:c>
      <x:c r="H20" s="41" t="n">
        <x:f>INDEX('Position Standard'!$H$7:$H$38,MATCH(D20,'Position Standard'!$B$7:$B$38,0))</x:f>
        <x:v>15</x:v>
      </x:c>
      <x:c r="I20" s="41" t="n">
        <x:v>0</x:v>
      </x:c>
      <x:c r="J20" s="41" t="n">
        <x:f>H20+I20</x:f>
        <x:v>15</x:v>
      </x:c>
      <x:c r="K20" s="41" t="n">
        <x:f>INDEX('Position Standard'!$I$7:$I$38,MATCH(D20,'Position Standard'!$B$7:$B$38,0))</x:f>
        <x:v>74</x:v>
      </x:c>
      <x:c r="L20" s="41" t="n">
        <x:f>INDEX('Position Standard'!$J$7:$J$38,MATCH(D20,'Position Standard'!$B$7:$B$38,0))</x:f>
        <x:v>16</x:v>
      </x:c>
      <x:c r="M20" s="41" t="n">
        <x:f>INDEX('Position Standard'!$K$7:$K$38,MATCH(D20,'Position Standard'!$B$7:$B$38,0))</x:f>
        <x:v>4.625</x:v>
      </x:c>
      <x:c r="N20" s="41" t="str">
        <x:v>ATUT-B2</x:v>
      </x:c>
      <x:c r="O20" s="41" t="n">
        <x:v>19</x:v>
      </x:c>
      <x:c r="P20" s="41" t="n">
        <x:v>2</x:v>
      </x:c>
      <x:c r="Q20" s="41" t="n">
        <x:f>0.4+M20/2</x:f>
        <x:v>2.7125</x:v>
      </x:c>
      <x:c r="R20" s="31" t="str">
        <x:v>I-B</x:v>
      </x:c>
      <x:c r="S20" s="31" t="str">
        <x:f>INDEX('Position Standard'!$L$7:$L$38,MATCH(D20,'Position Standard'!$B$7:$B$38,0))</x:f>
        <x:v>treatment</x:v>
      </x:c>
      <x:c r="T20" s="31" t="n">
        <x:f>INDEX('Position Standard'!$M$7:$M$38,MATCH(D20,'Position Standard'!$B$7:$B$38,0))</x:f>
        <x:v>11</x:v>
      </x:c>
      <x:c r="U20" s="31" t="str">
        <x:v>OPEN</x:v>
      </x:c>
      <x:c r="V20" s="31" t="n">
        <x:f>J20*O20</x:f>
        <x:v>285</x:v>
      </x:c>
      <x:c r="W20" s="31" t="n">
        <x:f>J20*P20</x:f>
        <x:v>30</x:v>
      </x:c>
      <x:c r="X20" s="33" t="n">
        <x:f>J20*Q20</x:f>
        <x:v>40.6875</x:v>
      </x:c>
    </x:row>
    <x:row r="21">
      <x:c r="B21" s="31" t="str">
        <x:v>B-P05-2</x:v>
      </x:c>
      <x:c r="C21" s="31" t="str">
        <x:v>DRY</x:v>
      </x:c>
      <x:c r="D21" s="31" t="str">
        <x:v>P05-2</x:v>
      </x:c>
      <x:c r="E21" s="31" t="str">
        <x:f>INDEX('Position Standard'!$C$7:$C$38,MATCH(D21,'Position Standard'!$B$7:$B$38,0))</x:f>
        <x:v>P05</x:v>
      </x:c>
      <x:c r="F21" s="31" t="str">
        <x:f>INDEX('Position Standard'!$E$7:$E$38,MATCH(D21,'Position Standard'!$B$7:$B$38,0))</x:f>
        <x:v>Water treatment and quality</x:v>
      </x:c>
      <x:c r="G21" s="31" t="str">
        <x:f>INDEX('Position Standard'!$G$7:$G$38,MATCH(D21,'Position Standard'!$B$7:$B$38,0))</x:f>
        <x:v>L3</x:v>
      </x:c>
      <x:c r="H21" s="41" t="n">
        <x:f>INDEX('Position Standard'!$H$7:$H$38,MATCH(D21,'Position Standard'!$B$7:$B$38,0))</x:f>
        <x:v>14</x:v>
      </x:c>
      <x:c r="I21" s="41" t="n">
        <x:v>0</x:v>
      </x:c>
      <x:c r="J21" s="41" t="n">
        <x:f>H21+I21</x:f>
        <x:v>14</x:v>
      </x:c>
      <x:c r="K21" s="41" t="n">
        <x:f>INDEX('Position Standard'!$I$7:$I$38,MATCH(D21,'Position Standard'!$B$7:$B$38,0))</x:f>
        <x:v>73</x:v>
      </x:c>
      <x:c r="L21" s="41" t="n">
        <x:f>INDEX('Position Standard'!$J$7:$J$38,MATCH(D21,'Position Standard'!$B$7:$B$38,0))</x:f>
        <x:v>16</x:v>
      </x:c>
      <x:c r="M21" s="41" t="n">
        <x:f>INDEX('Position Standard'!$K$7:$K$38,MATCH(D21,'Position Standard'!$B$7:$B$38,0))</x:f>
        <x:v>4.563</x:v>
      </x:c>
      <x:c r="N21" s="41" t="str">
        <x:v>ATUT-B3</x:v>
      </x:c>
      <x:c r="O21" s="41" t="n">
        <x:v>3</x:v>
      </x:c>
      <x:c r="P21" s="41" t="n">
        <x:v>-2</x:v>
      </x:c>
      <x:c r="Q21" s="41" t="n">
        <x:f>0.4+M21/2</x:f>
        <x:v>2.6814999999999998</x:v>
      </x:c>
      <x:c r="R21" s="31" t="str">
        <x:v>I-B</x:v>
      </x:c>
      <x:c r="S21" s="31" t="str">
        <x:f>INDEX('Position Standard'!$L$7:$L$38,MATCH(D21,'Position Standard'!$B$7:$B$38,0))</x:f>
        <x:v>treatment</x:v>
      </x:c>
      <x:c r="T21" s="31" t="n">
        <x:f>INDEX('Position Standard'!$M$7:$M$38,MATCH(D21,'Position Standard'!$B$7:$B$38,0))</x:f>
        <x:v>11</x:v>
      </x:c>
      <x:c r="U21" s="31" t="str">
        <x:v>OPEN</x:v>
      </x:c>
      <x:c r="V21" s="31" t="n">
        <x:f>J21*O21</x:f>
        <x:v>42</x:v>
      </x:c>
      <x:c r="W21" s="31" t="n">
        <x:f>J21*P21</x:f>
        <x:v>-28</x:v>
      </x:c>
      <x:c r="X21" s="33" t="n">
        <x:f>J21*Q21</x:f>
        <x:v>37.541</x:v>
      </x:c>
    </x:row>
    <x:row r="22">
      <x:c r="B22" s="31" t="str">
        <x:v>B-P05-3</x:v>
      </x:c>
      <x:c r="C22" s="31" t="str">
        <x:v>DRY</x:v>
      </x:c>
      <x:c r="D22" s="31" t="str">
        <x:v>P05-3</x:v>
      </x:c>
      <x:c r="E22" s="31" t="str">
        <x:f>INDEX('Position Standard'!$C$7:$C$38,MATCH(D22,'Position Standard'!$B$7:$B$38,0))</x:f>
        <x:v>P05</x:v>
      </x:c>
      <x:c r="F22" s="31" t="str">
        <x:f>INDEX('Position Standard'!$E$7:$E$38,MATCH(D22,'Position Standard'!$B$7:$B$38,0))</x:f>
        <x:v>Water treatment and quality</x:v>
      </x:c>
      <x:c r="G22" s="31" t="str">
        <x:f>INDEX('Position Standard'!$G$7:$G$38,MATCH(D22,'Position Standard'!$B$7:$B$38,0))</x:f>
        <x:v>L3</x:v>
      </x:c>
      <x:c r="H22" s="41" t="n">
        <x:f>INDEX('Position Standard'!$H$7:$H$38,MATCH(D22,'Position Standard'!$B$7:$B$38,0))</x:f>
        <x:v>14</x:v>
      </x:c>
      <x:c r="I22" s="41" t="n">
        <x:v>0</x:v>
      </x:c>
      <x:c r="J22" s="41" t="n">
        <x:f>H22+I22</x:f>
        <x:v>14</x:v>
      </x:c>
      <x:c r="K22" s="41" t="n">
        <x:f>INDEX('Position Standard'!$I$7:$I$38,MATCH(D22,'Position Standard'!$B$7:$B$38,0))</x:f>
        <x:v>73</x:v>
      </x:c>
      <x:c r="L22" s="41" t="n">
        <x:f>INDEX('Position Standard'!$J$7:$J$38,MATCH(D22,'Position Standard'!$B$7:$B$38,0))</x:f>
        <x:v>16</x:v>
      </x:c>
      <x:c r="M22" s="41" t="n">
        <x:f>INDEX('Position Standard'!$K$7:$K$38,MATCH(D22,'Position Standard'!$B$7:$B$38,0))</x:f>
        <x:v>4.563</x:v>
      </x:c>
      <x:c r="N22" s="41" t="str">
        <x:v>ATUT-B3</x:v>
      </x:c>
      <x:c r="O22" s="41" t="n">
        <x:v>8</x:v>
      </x:c>
      <x:c r="P22" s="41" t="n">
        <x:v>-2</x:v>
      </x:c>
      <x:c r="Q22" s="41" t="n">
        <x:f>0.4+M22/2</x:f>
        <x:v>2.6814999999999998</x:v>
      </x:c>
      <x:c r="R22" s="31" t="str">
        <x:v>I-B</x:v>
      </x:c>
      <x:c r="S22" s="31" t="str">
        <x:f>INDEX('Position Standard'!$L$7:$L$38,MATCH(D22,'Position Standard'!$B$7:$B$38,0))</x:f>
        <x:v>laboratory</x:v>
      </x:c>
      <x:c r="T22" s="31" t="n">
        <x:f>INDEX('Position Standard'!$M$7:$M$38,MATCH(D22,'Position Standard'!$B$7:$B$38,0))</x:f>
        <x:v>11</x:v>
      </x:c>
      <x:c r="U22" s="31" t="str">
        <x:v>OPEN</x:v>
      </x:c>
      <x:c r="V22" s="31" t="n">
        <x:f>J22*O22</x:f>
        <x:v>112</x:v>
      </x:c>
      <x:c r="W22" s="31" t="n">
        <x:f>J22*P22</x:f>
        <x:v>-28</x:v>
      </x:c>
      <x:c r="X22" s="33" t="n">
        <x:f>J22*Q22</x:f>
        <x:v>37.541</x:v>
      </x:c>
    </x:row>
    <x:row r="23">
      <x:c r="B23" s="31" t="str">
        <x:v>B-P06-1</x:v>
      </x:c>
      <x:c r="C23" s="31" t="str">
        <x:v>DRY</x:v>
      </x:c>
      <x:c r="D23" s="31" t="str">
        <x:v>P06-1</x:v>
      </x:c>
      <x:c r="E23" s="31" t="str">
        <x:f>INDEX('Position Standard'!$C$7:$C$38,MATCH(D23,'Position Standard'!$B$7:$B$38,0))</x:f>
        <x:v>P06</x:v>
      </x:c>
      <x:c r="F23" s="31" t="str">
        <x:f>INDEX('Position Standard'!$E$7:$E$38,MATCH(D23,'Position Standard'!$B$7:$B$38,0))</x:f>
        <x:v>Wastewater and residual custody</x:v>
      </x:c>
      <x:c r="G23" s="31" t="str">
        <x:f>INDEX('Position Standard'!$G$7:$G$38,MATCH(D23,'Position Standard'!$B$7:$B$38,0))</x:f>
        <x:v>L3</x:v>
      </x:c>
      <x:c r="H23" s="41" t="n">
        <x:f>INDEX('Position Standard'!$H$7:$H$38,MATCH(D23,'Position Standard'!$B$7:$B$38,0))</x:f>
        <x:v>13.5</x:v>
      </x:c>
      <x:c r="I23" s="41" t="n">
        <x:v>0</x:v>
      </x:c>
      <x:c r="J23" s="41" t="n">
        <x:f>H23+I23</x:f>
        <x:v>13.5</x:v>
      </x:c>
      <x:c r="K23" s="41" t="n">
        <x:f>INDEX('Position Standard'!$I$7:$I$38,MATCH(D23,'Position Standard'!$B$7:$B$38,0))</x:f>
        <x:v>70</x:v>
      </x:c>
      <x:c r="L23" s="41" t="n">
        <x:f>INDEX('Position Standard'!$J$7:$J$38,MATCH(D23,'Position Standard'!$B$7:$B$38,0))</x:f>
        <x:v>15</x:v>
      </x:c>
      <x:c r="M23" s="41" t="n">
        <x:f>INDEX('Position Standard'!$K$7:$K$38,MATCH(D23,'Position Standard'!$B$7:$B$38,0))</x:f>
        <x:v>4.667</x:v>
      </x:c>
      <x:c r="N23" s="41" t="str">
        <x:v>ATUT-B3</x:v>
      </x:c>
      <x:c r="O23" s="41" t="n">
        <x:v>14</x:v>
      </x:c>
      <x:c r="P23" s="41" t="n">
        <x:v>2</x:v>
      </x:c>
      <x:c r="Q23" s="41" t="n">
        <x:f>0.4+M23/2</x:f>
        <x:v>2.7335</x:v>
      </x:c>
      <x:c r="R23" s="31" t="str">
        <x:v>I-B</x:v>
      </x:c>
      <x:c r="S23" s="31" t="str">
        <x:f>INDEX('Position Standard'!$L$7:$L$38,MATCH(D23,'Position Standard'!$B$7:$B$38,0))</x:f>
        <x:v>residual</x:v>
      </x:c>
      <x:c r="T23" s="31" t="n">
        <x:f>INDEX('Position Standard'!$M$7:$M$38,MATCH(D23,'Position Standard'!$B$7:$B$38,0))</x:f>
        <x:v>12</x:v>
      </x:c>
      <x:c r="U23" s="31" t="str">
        <x:v>OPEN</x:v>
      </x:c>
      <x:c r="V23" s="31" t="n">
        <x:f>J23*O23</x:f>
        <x:v>189</x:v>
      </x:c>
      <x:c r="W23" s="31" t="n">
        <x:f>J23*P23</x:f>
        <x:v>27</x:v>
      </x:c>
      <x:c r="X23" s="33" t="n">
        <x:f>J23*Q23</x:f>
        <x:v>36.902249999999995</x:v>
      </x:c>
    </x:row>
    <x:row r="24">
      <x:c r="B24" s="31" t="str">
        <x:v>B-P06-2</x:v>
      </x:c>
      <x:c r="C24" s="31" t="str">
        <x:v>DRY</x:v>
      </x:c>
      <x:c r="D24" s="31" t="str">
        <x:v>P06-2</x:v>
      </x:c>
      <x:c r="E24" s="31" t="str">
        <x:f>INDEX('Position Standard'!$C$7:$C$38,MATCH(D24,'Position Standard'!$B$7:$B$38,0))</x:f>
        <x:v>P06</x:v>
      </x:c>
      <x:c r="F24" s="31" t="str">
        <x:f>INDEX('Position Standard'!$E$7:$E$38,MATCH(D24,'Position Standard'!$B$7:$B$38,0))</x:f>
        <x:v>Wastewater and residual custody</x:v>
      </x:c>
      <x:c r="G24" s="31" t="str">
        <x:f>INDEX('Position Standard'!$G$7:$G$38,MATCH(D24,'Position Standard'!$B$7:$B$38,0))</x:f>
        <x:v>L3</x:v>
      </x:c>
      <x:c r="H24" s="41" t="n">
        <x:f>INDEX('Position Standard'!$H$7:$H$38,MATCH(D24,'Position Standard'!$B$7:$B$38,0))</x:f>
        <x:v>13.5</x:v>
      </x:c>
      <x:c r="I24" s="41" t="n">
        <x:v>0</x:v>
      </x:c>
      <x:c r="J24" s="41" t="n">
        <x:f>H24+I24</x:f>
        <x:v>13.5</x:v>
      </x:c>
      <x:c r="K24" s="41" t="n">
        <x:f>INDEX('Position Standard'!$I$7:$I$38,MATCH(D24,'Position Standard'!$B$7:$B$38,0))</x:f>
        <x:v>70</x:v>
      </x:c>
      <x:c r="L24" s="41" t="n">
        <x:f>INDEX('Position Standard'!$J$7:$J$38,MATCH(D24,'Position Standard'!$B$7:$B$38,0))</x:f>
        <x:v>15</x:v>
      </x:c>
      <x:c r="M24" s="41" t="n">
        <x:f>INDEX('Position Standard'!$K$7:$K$38,MATCH(D24,'Position Standard'!$B$7:$B$38,0))</x:f>
        <x:v>4.667</x:v>
      </x:c>
      <x:c r="N24" s="41" t="str">
        <x:v>ATUT-B3</x:v>
      </x:c>
      <x:c r="O24" s="41" t="n">
        <x:v>19</x:v>
      </x:c>
      <x:c r="P24" s="41" t="n">
        <x:v>2</x:v>
      </x:c>
      <x:c r="Q24" s="41" t="n">
        <x:f>0.4+M24/2</x:f>
        <x:v>2.7335</x:v>
      </x:c>
      <x:c r="R24" s="31" t="str">
        <x:v>I-B</x:v>
      </x:c>
      <x:c r="S24" s="31" t="str">
        <x:f>INDEX('Position Standard'!$L$7:$L$38,MATCH(D24,'Position Standard'!$B$7:$B$38,0))</x:f>
        <x:v>residual</x:v>
      </x:c>
      <x:c r="T24" s="31" t="n">
        <x:f>INDEX('Position Standard'!$M$7:$M$38,MATCH(D24,'Position Standard'!$B$7:$B$38,0))</x:f>
        <x:v>12</x:v>
      </x:c>
      <x:c r="U24" s="31" t="str">
        <x:v>OPEN</x:v>
      </x:c>
      <x:c r="V24" s="31" t="n">
        <x:f>J24*O24</x:f>
        <x:v>256.5</x:v>
      </x:c>
      <x:c r="W24" s="31" t="n">
        <x:f>J24*P24</x:f>
        <x:v>27</x:v>
      </x:c>
      <x:c r="X24" s="33" t="n">
        <x:f>J24*Q24</x:f>
        <x:v>36.902249999999995</x:v>
      </x:c>
    </x:row>
    <x:row r="25">
      <x:c r="B25" s="31" t="str">
        <x:v>B-P07-1</x:v>
      </x:c>
      <x:c r="C25" s="31" t="str">
        <x:v>DRY</x:v>
      </x:c>
      <x:c r="D25" s="31" t="str">
        <x:v>P07-1</x:v>
      </x:c>
      <x:c r="E25" s="31" t="str">
        <x:f>INDEX('Position Standard'!$C$7:$C$38,MATCH(D25,'Position Standard'!$B$7:$B$38,0))</x:f>
        <x:v>P07</x:v>
      </x:c>
      <x:c r="F25" s="31" t="str">
        <x:f>INDEX('Position Standard'!$E$7:$E$38,MATCH(D25,'Position Standard'!$B$7:$B$38,0))</x:f>
        <x:v>Potable and fire-water storage</x:v>
      </x:c>
      <x:c r="G25" s="31" t="str">
        <x:f>INDEX('Position Standard'!$G$7:$G$38,MATCH(D25,'Position Standard'!$B$7:$B$38,0))</x:f>
        <x:v>L4</x:v>
      </x:c>
      <x:c r="H25" s="41" t="n">
        <x:f>INDEX('Position Standard'!$H$7:$H$38,MATCH(D25,'Position Standard'!$B$7:$B$38,0))</x:f>
        <x:v>13</x:v>
      </x:c>
      <x:c r="I25" s="41" t="n">
        <x:v>0</x:v>
      </x:c>
      <x:c r="J25" s="41" t="n">
        <x:f>H25+I25</x:f>
        <x:v>13</x:v>
      </x:c>
      <x:c r="K25" s="41" t="n">
        <x:f>INDEX('Position Standard'!$I$7:$I$38,MATCH(D25,'Position Standard'!$B$7:$B$38,0))</x:f>
        <x:v>125</x:v>
      </x:c>
      <x:c r="L25" s="41" t="n">
        <x:f>INDEX('Position Standard'!$J$7:$J$38,MATCH(D25,'Position Standard'!$B$7:$B$38,0))</x:f>
        <x:v>30</x:v>
      </x:c>
      <x:c r="M25" s="41" t="n">
        <x:f>INDEX('Position Standard'!$K$7:$K$38,MATCH(D25,'Position Standard'!$B$7:$B$38,0))</x:f>
        <x:v>4.167</x:v>
      </x:c>
      <x:c r="N25" s="41" t="str">
        <x:v>ATUT-B4</x:v>
      </x:c>
      <x:c r="O25" s="41" t="n">
        <x:v>3</x:v>
      </x:c>
      <x:c r="P25" s="41" t="n">
        <x:v>-2</x:v>
      </x:c>
      <x:c r="Q25" s="41" t="n">
        <x:f>0.4+M25/2</x:f>
        <x:v>2.4835</x:v>
      </x:c>
      <x:c r="R25" s="31" t="str">
        <x:v>I-B</x:v>
      </x:c>
      <x:c r="S25" s="31" t="str">
        <x:f>INDEX('Position Standard'!$L$7:$L$38,MATCH(D25,'Position Standard'!$B$7:$B$38,0))</x:f>
        <x:v>potable</x:v>
      </x:c>
      <x:c r="T25" s="31" t="n">
        <x:f>INDEX('Position Standard'!$M$7:$M$38,MATCH(D25,'Position Standard'!$B$7:$B$38,0))</x:f>
        <x:v>13</x:v>
      </x:c>
      <x:c r="U25" s="31" t="str">
        <x:v>OPEN</x:v>
      </x:c>
      <x:c r="V25" s="31" t="n">
        <x:f>J25*O25</x:f>
        <x:v>39</x:v>
      </x:c>
      <x:c r="W25" s="31" t="n">
        <x:f>J25*P25</x:f>
        <x:v>-26</x:v>
      </x:c>
      <x:c r="X25" s="33" t="n">
        <x:f>J25*Q25</x:f>
        <x:v>32.2855</x:v>
      </x:c>
    </x:row>
    <x:row r="26">
      <x:c r="B26" s="31" t="str">
        <x:v>B-P07-2</x:v>
      </x:c>
      <x:c r="C26" s="31" t="str">
        <x:v>DRY</x:v>
      </x:c>
      <x:c r="D26" s="31" t="str">
        <x:v>P07-2</x:v>
      </x:c>
      <x:c r="E26" s="31" t="str">
        <x:f>INDEX('Position Standard'!$C$7:$C$38,MATCH(D26,'Position Standard'!$B$7:$B$38,0))</x:f>
        <x:v>P07</x:v>
      </x:c>
      <x:c r="F26" s="31" t="str">
        <x:f>INDEX('Position Standard'!$E$7:$E$38,MATCH(D26,'Position Standard'!$B$7:$B$38,0))</x:f>
        <x:v>Potable and fire-water storage</x:v>
      </x:c>
      <x:c r="G26" s="31" t="str">
        <x:f>INDEX('Position Standard'!$G$7:$G$38,MATCH(D26,'Position Standard'!$B$7:$B$38,0))</x:f>
        <x:v>L4</x:v>
      </x:c>
      <x:c r="H26" s="41" t="n">
        <x:f>INDEX('Position Standard'!$H$7:$H$38,MATCH(D26,'Position Standard'!$B$7:$B$38,0))</x:f>
        <x:v>13</x:v>
      </x:c>
      <x:c r="I26" s="41" t="n">
        <x:v>0</x:v>
      </x:c>
      <x:c r="J26" s="41" t="n">
        <x:f>H26+I26</x:f>
        <x:v>13</x:v>
      </x:c>
      <x:c r="K26" s="41" t="n">
        <x:f>INDEX('Position Standard'!$I$7:$I$38,MATCH(D26,'Position Standard'!$B$7:$B$38,0))</x:f>
        <x:v>125</x:v>
      </x:c>
      <x:c r="L26" s="41" t="n">
        <x:f>INDEX('Position Standard'!$J$7:$J$38,MATCH(D26,'Position Standard'!$B$7:$B$38,0))</x:f>
        <x:v>30</x:v>
      </x:c>
      <x:c r="M26" s="41" t="n">
        <x:f>INDEX('Position Standard'!$K$7:$K$38,MATCH(D26,'Position Standard'!$B$7:$B$38,0))</x:f>
        <x:v>4.167</x:v>
      </x:c>
      <x:c r="N26" s="41" t="str">
        <x:v>ATUT-B4</x:v>
      </x:c>
      <x:c r="O26" s="41" t="n">
        <x:v>14</x:v>
      </x:c>
      <x:c r="P26" s="41" t="n">
        <x:v>2</x:v>
      </x:c>
      <x:c r="Q26" s="41" t="n">
        <x:f>0.4+M26/2</x:f>
        <x:v>2.4835</x:v>
      </x:c>
      <x:c r="R26" s="31" t="str">
        <x:v>I-B</x:v>
      </x:c>
      <x:c r="S26" s="31" t="str">
        <x:f>INDEX('Position Standard'!$L$7:$L$38,MATCH(D26,'Position Standard'!$B$7:$B$38,0))</x:f>
        <x:v>potable</x:v>
      </x:c>
      <x:c r="T26" s="31" t="n">
        <x:f>INDEX('Position Standard'!$M$7:$M$38,MATCH(D26,'Position Standard'!$B$7:$B$38,0))</x:f>
        <x:v>13</x:v>
      </x:c>
      <x:c r="U26" s="31" t="str">
        <x:v>OPEN</x:v>
      </x:c>
      <x:c r="V26" s="31" t="n">
        <x:f>J26*O26</x:f>
        <x:v>182</x:v>
      </x:c>
      <x:c r="W26" s="31" t="n">
        <x:f>J26*P26</x:f>
        <x:v>26</x:v>
      </x:c>
      <x:c r="X26" s="33" t="n">
        <x:f>J26*Q26</x:f>
        <x:v>32.2855</x:v>
      </x:c>
    </x:row>
    <x:row r="27">
      <x:c r="B27" s="31" t="str">
        <x:v>B-P08-1</x:v>
      </x:c>
      <x:c r="C27" s="31" t="str">
        <x:v>DRY</x:v>
      </x:c>
      <x:c r="D27" s="31" t="str">
        <x:v>P08-1</x:v>
      </x:c>
      <x:c r="E27" s="31" t="str">
        <x:f>INDEX('Position Standard'!$C$7:$C$38,MATCH(D27,'Position Standard'!$B$7:$B$38,0))</x:f>
        <x:v>P08</x:v>
      </x:c>
      <x:c r="F27" s="31" t="str">
        <x:f>INDEX('Position Standard'!$E$7:$E$38,MATCH(D27,'Position Standard'!$B$7:$B$38,0))</x:f>
        <x:v>Medium-voltage distribution</x:v>
      </x:c>
      <x:c r="G27" s="31" t="str">
        <x:f>INDEX('Position Standard'!$G$7:$G$38,MATCH(D27,'Position Standard'!$B$7:$B$38,0))</x:f>
        <x:v>L4</x:v>
      </x:c>
      <x:c r="H27" s="41" t="n">
        <x:f>INDEX('Position Standard'!$H$7:$H$38,MATCH(D27,'Position Standard'!$B$7:$B$38,0))</x:f>
        <x:v>18</x:v>
      </x:c>
      <x:c r="I27" s="41" t="n">
        <x:v>0</x:v>
      </x:c>
      <x:c r="J27" s="41" t="n">
        <x:f>H27+I27</x:f>
        <x:v>18</x:v>
      </x:c>
      <x:c r="K27" s="41" t="n">
        <x:f>INDEX('Position Standard'!$I$7:$I$38,MATCH(D27,'Position Standard'!$B$7:$B$38,0))</x:f>
        <x:v>75</x:v>
      </x:c>
      <x:c r="L27" s="41" t="n">
        <x:f>INDEX('Position Standard'!$J$7:$J$38,MATCH(D27,'Position Standard'!$B$7:$B$38,0))</x:f>
        <x:v>16</x:v>
      </x:c>
      <x:c r="M27" s="41" t="n">
        <x:f>INDEX('Position Standard'!$K$7:$K$38,MATCH(D27,'Position Standard'!$B$7:$B$38,0))</x:f>
        <x:v>4.688</x:v>
      </x:c>
      <x:c r="N27" s="41" t="str">
        <x:v>ATUT-B4</x:v>
      </x:c>
      <x:c r="O27" s="41" t="n">
        <x:v>8</x:v>
      </x:c>
      <x:c r="P27" s="41" t="n">
        <x:v>-2</x:v>
      </x:c>
      <x:c r="Q27" s="41" t="n">
        <x:f>0.4+M27/2</x:f>
        <x:v>2.7439999999999998</x:v>
      </x:c>
      <x:c r="R27" s="31" t="str">
        <x:v>I-B</x:v>
      </x:c>
      <x:c r="S27" s="31" t="str">
        <x:f>INDEX('Position Standard'!$L$7:$L$38,MATCH(D27,'Position Standard'!$B$7:$B$38,0))</x:f>
        <x:v>high voltage</x:v>
      </x:c>
      <x:c r="T27" s="31" t="n">
        <x:f>INDEX('Position Standard'!$M$7:$M$38,MATCH(D27,'Position Standard'!$B$7:$B$38,0))</x:f>
        <x:v>5</x:v>
      </x:c>
      <x:c r="U27" s="31" t="str">
        <x:v>OPEN</x:v>
      </x:c>
      <x:c r="V27" s="31" t="n">
        <x:f>J27*O27</x:f>
        <x:v>144</x:v>
      </x:c>
      <x:c r="W27" s="31" t="n">
        <x:f>J27*P27</x:f>
        <x:v>-36</x:v>
      </x:c>
      <x:c r="X27" s="33" t="n">
        <x:f>J27*Q27</x:f>
        <x:v>49.391999999999996</x:v>
      </x:c>
    </x:row>
    <x:row r="28">
      <x:c r="B28" s="31" t="str">
        <x:v>B-P08-2</x:v>
      </x:c>
      <x:c r="C28" s="31" t="str">
        <x:v>DRY</x:v>
      </x:c>
      <x:c r="D28" s="31" t="str">
        <x:v>P08-2</x:v>
      </x:c>
      <x:c r="E28" s="31" t="str">
        <x:f>INDEX('Position Standard'!$C$7:$C$38,MATCH(D28,'Position Standard'!$B$7:$B$38,0))</x:f>
        <x:v>P08</x:v>
      </x:c>
      <x:c r="F28" s="31" t="str">
        <x:f>INDEX('Position Standard'!$E$7:$E$38,MATCH(D28,'Position Standard'!$B$7:$B$38,0))</x:f>
        <x:v>Medium-voltage distribution</x:v>
      </x:c>
      <x:c r="G28" s="31" t="str">
        <x:f>INDEX('Position Standard'!$G$7:$G$38,MATCH(D28,'Position Standard'!$B$7:$B$38,0))</x:f>
        <x:v>L4</x:v>
      </x:c>
      <x:c r="H28" s="41" t="n">
        <x:f>INDEX('Position Standard'!$H$7:$H$38,MATCH(D28,'Position Standard'!$B$7:$B$38,0))</x:f>
        <x:v>18</x:v>
      </x:c>
      <x:c r="I28" s="41" t="n">
        <x:v>0</x:v>
      </x:c>
      <x:c r="J28" s="41" t="n">
        <x:f>H28+I28</x:f>
        <x:v>18</x:v>
      </x:c>
      <x:c r="K28" s="41" t="n">
        <x:f>INDEX('Position Standard'!$I$7:$I$38,MATCH(D28,'Position Standard'!$B$7:$B$38,0))</x:f>
        <x:v>75</x:v>
      </x:c>
      <x:c r="L28" s="41" t="n">
        <x:f>INDEX('Position Standard'!$J$7:$J$38,MATCH(D28,'Position Standard'!$B$7:$B$38,0))</x:f>
        <x:v>16</x:v>
      </x:c>
      <x:c r="M28" s="41" t="n">
        <x:f>INDEX('Position Standard'!$K$7:$K$38,MATCH(D28,'Position Standard'!$B$7:$B$38,0))</x:f>
        <x:v>4.688</x:v>
      </x:c>
      <x:c r="N28" s="41" t="str">
        <x:v>ATUT-B4</x:v>
      </x:c>
      <x:c r="O28" s="41" t="n">
        <x:v>19</x:v>
      </x:c>
      <x:c r="P28" s="41" t="n">
        <x:v>2</x:v>
      </x:c>
      <x:c r="Q28" s="41" t="n">
        <x:f>0.4+M28/2</x:f>
        <x:v>2.7439999999999998</x:v>
      </x:c>
      <x:c r="R28" s="31" t="str">
        <x:v>I-B</x:v>
      </x:c>
      <x:c r="S28" s="31" t="str">
        <x:f>INDEX('Position Standard'!$L$7:$L$38,MATCH(D28,'Position Standard'!$B$7:$B$38,0))</x:f>
        <x:v>high voltage</x:v>
      </x:c>
      <x:c r="T28" s="31" t="n">
        <x:f>INDEX('Position Standard'!$M$7:$M$38,MATCH(D28,'Position Standard'!$B$7:$B$38,0))</x:f>
        <x:v>5</x:v>
      </x:c>
      <x:c r="U28" s="31" t="str">
        <x:v>OPEN</x:v>
      </x:c>
      <x:c r="V28" s="31" t="n">
        <x:f>J28*O28</x:f>
        <x:v>342</x:v>
      </x:c>
      <x:c r="W28" s="31" t="n">
        <x:f>J28*P28</x:f>
        <x:v>36</x:v>
      </x:c>
      <x:c r="X28" s="33" t="n">
        <x:f>J28*Q28</x:f>
        <x:v>49.391999999999996</x:v>
      </x:c>
    </x:row>
    <x:row r="29">
      <x:c r="B29" s="31" t="str">
        <x:v>B-P09-1</x:v>
      </x:c>
      <x:c r="C29" s="31" t="str">
        <x:v>DRY</x:v>
      </x:c>
      <x:c r="D29" s="31" t="str">
        <x:v>P09-1</x:v>
      </x:c>
      <x:c r="E29" s="31" t="str">
        <x:f>INDEX('Position Standard'!$C$7:$C$38,MATCH(D29,'Position Standard'!$B$7:$B$38,0))</x:f>
        <x:v>P09</x:v>
      </x:c>
      <x:c r="F29" s="31" t="str">
        <x:f>INDEX('Position Standard'!$E$7:$E$38,MATCH(D29,'Position Standard'!$B$7:$B$38,0))</x:f>
        <x:v>Water and thermal distribution</x:v>
      </x:c>
      <x:c r="G29" s="31" t="str">
        <x:f>INDEX('Position Standard'!$G$7:$G$38,MATCH(D29,'Position Standard'!$B$7:$B$38,0))</x:f>
        <x:v>L2</x:v>
      </x:c>
      <x:c r="H29" s="41" t="n">
        <x:f>INDEX('Position Standard'!$H$7:$H$38,MATCH(D29,'Position Standard'!$B$7:$B$38,0))</x:f>
        <x:v>17</x:v>
      </x:c>
      <x:c r="I29" s="41" t="n">
        <x:v>0</x:v>
      </x:c>
      <x:c r="J29" s="41" t="n">
        <x:f>H29+I29</x:f>
        <x:v>17</x:v>
      </x:c>
      <x:c r="K29" s="41" t="n">
        <x:f>INDEX('Position Standard'!$I$7:$I$38,MATCH(D29,'Position Standard'!$B$7:$B$38,0))</x:f>
        <x:v>90</x:v>
      </x:c>
      <x:c r="L29" s="41" t="n">
        <x:f>INDEX('Position Standard'!$J$7:$J$38,MATCH(D29,'Position Standard'!$B$7:$B$38,0))</x:f>
        <x:v>18</x:v>
      </x:c>
      <x:c r="M29" s="41" t="n">
        <x:f>INDEX('Position Standard'!$K$7:$K$38,MATCH(D29,'Position Standard'!$B$7:$B$38,0))</x:f>
        <x:v>5</x:v>
      </x:c>
      <x:c r="N29" s="41" t="str">
        <x:v>ATUT-B2</x:v>
      </x:c>
      <x:c r="O29" s="41" t="n">
        <x:v>3</x:v>
      </x:c>
      <x:c r="P29" s="41" t="n">
        <x:v>2</x:v>
      </x:c>
      <x:c r="Q29" s="41" t="n">
        <x:f>0.4+M29/2</x:f>
        <x:v>2.9</x:v>
      </x:c>
      <x:c r="R29" s="31" t="str">
        <x:v>I-B</x:v>
      </x:c>
      <x:c r="S29" s="31" t="str">
        <x:f>INDEX('Position Standard'!$L$7:$L$38,MATCH(D29,'Position Standard'!$B$7:$B$38,0))</x:f>
        <x:v>fluid</x:v>
      </x:c>
      <x:c r="T29" s="31" t="n">
        <x:f>INDEX('Position Standard'!$M$7:$M$38,MATCH(D29,'Position Standard'!$B$7:$B$38,0))</x:f>
        <x:v>7</x:v>
      </x:c>
      <x:c r="U29" s="31" t="str">
        <x:v>OPEN</x:v>
      </x:c>
      <x:c r="V29" s="31" t="n">
        <x:f>J29*O29</x:f>
        <x:v>51</x:v>
      </x:c>
      <x:c r="W29" s="31" t="n">
        <x:f>J29*P29</x:f>
        <x:v>34</x:v>
      </x:c>
      <x:c r="X29" s="33" t="n">
        <x:f>J29*Q29</x:f>
        <x:v>49.3</x:v>
      </x:c>
    </x:row>
    <x:row r="30">
      <x:c r="B30" s="31" t="str">
        <x:v>B-P09-2</x:v>
      </x:c>
      <x:c r="C30" s="31" t="str">
        <x:v>DRY</x:v>
      </x:c>
      <x:c r="D30" s="31" t="str">
        <x:v>P09-2</x:v>
      </x:c>
      <x:c r="E30" s="31" t="str">
        <x:f>INDEX('Position Standard'!$C$7:$C$38,MATCH(D30,'Position Standard'!$B$7:$B$38,0))</x:f>
        <x:v>P09</x:v>
      </x:c>
      <x:c r="F30" s="31" t="str">
        <x:f>INDEX('Position Standard'!$E$7:$E$38,MATCH(D30,'Position Standard'!$B$7:$B$38,0))</x:f>
        <x:v>Water and thermal distribution</x:v>
      </x:c>
      <x:c r="G30" s="31" t="str">
        <x:f>INDEX('Position Standard'!$G$7:$G$38,MATCH(D30,'Position Standard'!$B$7:$B$38,0))</x:f>
        <x:v>L3</x:v>
      </x:c>
      <x:c r="H30" s="41" t="n">
        <x:f>INDEX('Position Standard'!$H$7:$H$38,MATCH(D30,'Position Standard'!$B$7:$B$38,0))</x:f>
        <x:v>17</x:v>
      </x:c>
      <x:c r="I30" s="41" t="n">
        <x:v>0</x:v>
      </x:c>
      <x:c r="J30" s="41" t="n">
        <x:f>H30+I30</x:f>
        <x:v>17</x:v>
      </x:c>
      <x:c r="K30" s="41" t="n">
        <x:f>INDEX('Position Standard'!$I$7:$I$38,MATCH(D30,'Position Standard'!$B$7:$B$38,0))</x:f>
        <x:v>90</x:v>
      </x:c>
      <x:c r="L30" s="41" t="n">
        <x:f>INDEX('Position Standard'!$J$7:$J$38,MATCH(D30,'Position Standard'!$B$7:$B$38,0))</x:f>
        <x:v>18</x:v>
      </x:c>
      <x:c r="M30" s="41" t="n">
        <x:f>INDEX('Position Standard'!$K$7:$K$38,MATCH(D30,'Position Standard'!$B$7:$B$38,0))</x:f>
        <x:v>5</x:v>
      </x:c>
      <x:c r="N30" s="41" t="str">
        <x:v>ATUT-B3</x:v>
      </x:c>
      <x:c r="O30" s="41" t="n">
        <x:v>19</x:v>
      </x:c>
      <x:c r="P30" s="41" t="n">
        <x:v>-2</x:v>
      </x:c>
      <x:c r="Q30" s="41" t="n">
        <x:f>0.4+M30/2</x:f>
        <x:v>2.9</x:v>
      </x:c>
      <x:c r="R30" s="31" t="str">
        <x:v>I-B</x:v>
      </x:c>
      <x:c r="S30" s="31" t="str">
        <x:f>INDEX('Position Standard'!$L$7:$L$38,MATCH(D30,'Position Standard'!$B$7:$B$38,0))</x:f>
        <x:v>fluid</x:v>
      </x:c>
      <x:c r="T30" s="31" t="n">
        <x:f>INDEX('Position Standard'!$M$7:$M$38,MATCH(D30,'Position Standard'!$B$7:$B$38,0))</x:f>
        <x:v>7</x:v>
      </x:c>
      <x:c r="U30" s="31" t="str">
        <x:v>OPEN</x:v>
      </x:c>
      <x:c r="V30" s="31" t="n">
        <x:f>J30*O30</x:f>
        <x:v>323</x:v>
      </x:c>
      <x:c r="W30" s="31" t="n">
        <x:f>J30*P30</x:f>
        <x:v>-34</x:v>
      </x:c>
      <x:c r="X30" s="33" t="n">
        <x:f>J30*Q30</x:f>
        <x:v>49.3</x:v>
      </x:c>
    </x:row>
    <x:row r="31">
      <x:c r="B31" s="31" t="str">
        <x:v>B-P10-1</x:v>
      </x:c>
      <x:c r="C31" s="31" t="str">
        <x:v>DRY</x:v>
      </x:c>
      <x:c r="D31" s="31" t="str">
        <x:v>P10-1</x:v>
      </x:c>
      <x:c r="E31" s="31" t="str">
        <x:f>INDEX('Position Standard'!$C$7:$C$38,MATCH(D31,'Position Standard'!$B$7:$B$38,0))</x:f>
        <x:v>P10</x:v>
      </x:c>
      <x:c r="F31" s="31" t="str">
        <x:f>INDEX('Position Standard'!$E$7:$E$38,MATCH(D31,'Position Standard'!$B$7:$B$38,0))</x:f>
        <x:v>Building interface kits</x:v>
      </x:c>
      <x:c r="G31" s="31" t="str">
        <x:f>INDEX('Position Standard'!$G$7:$G$38,MATCH(D31,'Position Standard'!$B$7:$B$38,0))</x:f>
        <x:v>L3</x:v>
      </x:c>
      <x:c r="H31" s="41" t="n">
        <x:f>INDEX('Position Standard'!$H$7:$H$38,MATCH(D31,'Position Standard'!$B$7:$B$38,0))</x:f>
        <x:v>15</x:v>
      </x:c>
      <x:c r="I31" s="41" t="n">
        <x:v>0</x:v>
      </x:c>
      <x:c r="J31" s="41" t="n">
        <x:f>H31+I31</x:f>
        <x:v>15</x:v>
      </x:c>
      <x:c r="K31" s="41" t="n">
        <x:f>INDEX('Position Standard'!$I$7:$I$38,MATCH(D31,'Position Standard'!$B$7:$B$38,0))</x:f>
        <x:v>85</x:v>
      </x:c>
      <x:c r="L31" s="41" t="n">
        <x:f>INDEX('Position Standard'!$J$7:$J$38,MATCH(D31,'Position Standard'!$B$7:$B$38,0))</x:f>
        <x:v>21</x:v>
      </x:c>
      <x:c r="M31" s="41" t="n">
        <x:f>INDEX('Position Standard'!$K$7:$K$38,MATCH(D31,'Position Standard'!$B$7:$B$38,0))</x:f>
        <x:v>4.048</x:v>
      </x:c>
      <x:c r="N31" s="41" t="str">
        <x:v>ATUT-B3</x:v>
      </x:c>
      <x:c r="O31" s="41" t="n">
        <x:v>14</x:v>
      </x:c>
      <x:c r="P31" s="41" t="n">
        <x:v>-2</x:v>
      </x:c>
      <x:c r="Q31" s="41" t="n">
        <x:f>0.4+M31/2</x:f>
        <x:v>2.424</x:v>
      </x:c>
      <x:c r="R31" s="31" t="str">
        <x:v>I-B</x:v>
      </x:c>
      <x:c r="S31" s="31" t="str">
        <x:f>INDEX('Position Standard'!$L$7:$L$38,MATCH(D31,'Position Standard'!$B$7:$B$38,0))</x:f>
        <x:v>interface</x:v>
      </x:c>
      <x:c r="T31" s="31" t="n">
        <x:f>INDEX('Position Standard'!$M$7:$M$38,MATCH(D31,'Position Standard'!$B$7:$B$38,0))</x:f>
        <x:v>6</x:v>
      </x:c>
      <x:c r="U31" s="31" t="str">
        <x:v>OPEN</x:v>
      </x:c>
      <x:c r="V31" s="31" t="n">
        <x:f>J31*O31</x:f>
        <x:v>210</x:v>
      </x:c>
      <x:c r="W31" s="31" t="n">
        <x:f>J31*P31</x:f>
        <x:v>-30</x:v>
      </x:c>
      <x:c r="X31" s="33" t="n">
        <x:f>J31*Q31</x:f>
        <x:v>36.36</x:v>
      </x:c>
    </x:row>
    <x:row r="32">
      <x:c r="B32" s="31" t="str">
        <x:v>B-P10-2</x:v>
      </x:c>
      <x:c r="C32" s="31" t="str">
        <x:v>DRY</x:v>
      </x:c>
      <x:c r="D32" s="31" t="str">
        <x:v>P10-2</x:v>
      </x:c>
      <x:c r="E32" s="31" t="str">
        <x:f>INDEX('Position Standard'!$C$7:$C$38,MATCH(D32,'Position Standard'!$B$7:$B$38,0))</x:f>
        <x:v>P10</x:v>
      </x:c>
      <x:c r="F32" s="31" t="str">
        <x:f>INDEX('Position Standard'!$E$7:$E$38,MATCH(D32,'Position Standard'!$B$7:$B$38,0))</x:f>
        <x:v>Building interface kits</x:v>
      </x:c>
      <x:c r="G32" s="31" t="str">
        <x:f>INDEX('Position Standard'!$G$7:$G$38,MATCH(D32,'Position Standard'!$B$7:$B$38,0))</x:f>
        <x:v>L4</x:v>
      </x:c>
      <x:c r="H32" s="41" t="n">
        <x:f>INDEX('Position Standard'!$H$7:$H$38,MATCH(D32,'Position Standard'!$B$7:$B$38,0))</x:f>
        <x:v>15</x:v>
      </x:c>
      <x:c r="I32" s="41" t="n">
        <x:v>0</x:v>
      </x:c>
      <x:c r="J32" s="41" t="n">
        <x:f>H32+I32</x:f>
        <x:v>15</x:v>
      </x:c>
      <x:c r="K32" s="41" t="n">
        <x:f>INDEX('Position Standard'!$I$7:$I$38,MATCH(D32,'Position Standard'!$B$7:$B$38,0))</x:f>
        <x:v>85</x:v>
      </x:c>
      <x:c r="L32" s="41" t="n">
        <x:f>INDEX('Position Standard'!$J$7:$J$38,MATCH(D32,'Position Standard'!$B$7:$B$38,0))</x:f>
        <x:v>21</x:v>
      </x:c>
      <x:c r="M32" s="41" t="n">
        <x:f>INDEX('Position Standard'!$K$7:$K$38,MATCH(D32,'Position Standard'!$B$7:$B$38,0))</x:f>
        <x:v>4.048</x:v>
      </x:c>
      <x:c r="N32" s="41" t="str">
        <x:v>ATUT-B4</x:v>
      </x:c>
      <x:c r="O32" s="41" t="n">
        <x:v>8</x:v>
      </x:c>
      <x:c r="P32" s="41" t="n">
        <x:v>2</x:v>
      </x:c>
      <x:c r="Q32" s="41" t="n">
        <x:f>0.4+M32/2</x:f>
        <x:v>2.424</x:v>
      </x:c>
      <x:c r="R32" s="31" t="str">
        <x:v>I-B</x:v>
      </x:c>
      <x:c r="S32" s="31" t="str">
        <x:f>INDEX('Position Standard'!$L$7:$L$38,MATCH(D32,'Position Standard'!$B$7:$B$38,0))</x:f>
        <x:v>interface</x:v>
      </x:c>
      <x:c r="T32" s="31" t="n">
        <x:f>INDEX('Position Standard'!$M$7:$M$38,MATCH(D32,'Position Standard'!$B$7:$B$38,0))</x:f>
        <x:v>6</x:v>
      </x:c>
      <x:c r="U32" s="31" t="str">
        <x:v>OPEN</x:v>
      </x:c>
      <x:c r="V32" s="31" t="n">
        <x:f>J32*O32</x:f>
        <x:v>120</x:v>
      </x:c>
      <x:c r="W32" s="31" t="n">
        <x:f>J32*P32</x:f>
        <x:v>30</x:v>
      </x:c>
      <x:c r="X32" s="33" t="n">
        <x:f>J32*Q32</x:f>
        <x:v>36.36</x:v>
      </x:c>
    </x:row>
    <x:row r="33">
      <x:c r="B33" s="31" t="str">
        <x:v>B-P11-1</x:v>
      </x:c>
      <x:c r="C33" s="31" t="str">
        <x:v>DRY</x:v>
      </x:c>
      <x:c r="D33" s="31" t="str">
        <x:v>P11-1</x:v>
      </x:c>
      <x:c r="E33" s="31" t="str">
        <x:f>INDEX('Position Standard'!$C$7:$C$38,MATCH(D33,'Position Standard'!$B$7:$B$38,0))</x:f>
        <x:v>P11</x:v>
      </x:c>
      <x:c r="F33" s="31" t="str">
        <x:f>INDEX('Position Standard'!$E$7:$E$38,MATCH(D33,'Position Standard'!$B$7:$B$38,0))</x:f>
        <x:v>Offline controls and communications</x:v>
      </x:c>
      <x:c r="G33" s="31" t="str">
        <x:f>INDEX('Position Standard'!$G$7:$G$38,MATCH(D33,'Position Standard'!$B$7:$B$38,0))</x:f>
        <x:v>L3</x:v>
      </x:c>
      <x:c r="H33" s="41" t="n">
        <x:f>INDEX('Position Standard'!$H$7:$H$38,MATCH(D33,'Position Standard'!$B$7:$B$38,0))</x:f>
        <x:v>10</x:v>
      </x:c>
      <x:c r="I33" s="41" t="n">
        <x:v>0</x:v>
      </x:c>
      <x:c r="J33" s="41" t="n">
        <x:f>H33+I33</x:f>
        <x:v>10</x:v>
      </x:c>
      <x:c r="K33" s="41" t="n">
        <x:f>INDEX('Position Standard'!$I$7:$I$38,MATCH(D33,'Position Standard'!$B$7:$B$38,0))</x:f>
        <x:v>40</x:v>
      </x:c>
      <x:c r="L33" s="41" t="n">
        <x:f>INDEX('Position Standard'!$J$7:$J$38,MATCH(D33,'Position Standard'!$B$7:$B$38,0))</x:f>
        <x:v>10</x:v>
      </x:c>
      <x:c r="M33" s="41" t="n">
        <x:f>INDEX('Position Standard'!$K$7:$K$38,MATCH(D33,'Position Standard'!$B$7:$B$38,0))</x:f>
        <x:v>4</x:v>
      </x:c>
      <x:c r="N33" s="41" t="str">
        <x:v>ATUT-B3</x:v>
      </x:c>
      <x:c r="O33" s="41" t="n">
        <x:v>3</x:v>
      </x:c>
      <x:c r="P33" s="41" t="n">
        <x:v>2</x:v>
      </x:c>
      <x:c r="Q33" s="41" t="n">
        <x:f>0.4+M33/2</x:f>
        <x:v>2.4</x:v>
      </x:c>
      <x:c r="R33" s="31" t="str">
        <x:v>I-B</x:v>
      </x:c>
      <x:c r="S33" s="31" t="str">
        <x:f>INDEX('Position Standard'!$L$7:$L$38,MATCH(D33,'Position Standard'!$B$7:$B$38,0))</x:f>
        <x:v>control</x:v>
      </x:c>
      <x:c r="T33" s="31" t="n">
        <x:f>INDEX('Position Standard'!$M$7:$M$38,MATCH(D33,'Position Standard'!$B$7:$B$38,0))</x:f>
        <x:v>2</x:v>
      </x:c>
      <x:c r="U33" s="31" t="str">
        <x:v>OPEN</x:v>
      </x:c>
      <x:c r="V33" s="31" t="n">
        <x:f>J33*O33</x:f>
        <x:v>30</x:v>
      </x:c>
      <x:c r="W33" s="31" t="n">
        <x:f>J33*P33</x:f>
        <x:v>20</x:v>
      </x:c>
      <x:c r="X33" s="33" t="n">
        <x:f>J33*Q33</x:f>
        <x:v>24</x:v>
      </x:c>
    </x:row>
    <x:row r="34">
      <x:c r="B34" s="31" t="str">
        <x:v>B-P12-1</x:v>
      </x:c>
      <x:c r="C34" s="31" t="str">
        <x:v>DRY</x:v>
      </x:c>
      <x:c r="D34" s="31" t="str">
        <x:v>P12-1</x:v>
      </x:c>
      <x:c r="E34" s="31" t="str">
        <x:f>INDEX('Position Standard'!$C$7:$C$38,MATCH(D34,'Position Standard'!$B$7:$B$38,0))</x:f>
        <x:v>P12</x:v>
      </x:c>
      <x:c r="F34" s="31" t="str">
        <x:f>INDEX('Position Standard'!$E$7:$E$38,MATCH(D34,'Position Standard'!$B$7:$B$38,0))</x:f>
        <x:v>Survey, robotics and civil works</x:v>
      </x:c>
      <x:c r="G34" s="31" t="str">
        <x:f>INDEX('Position Standard'!$G$7:$G$38,MATCH(D34,'Position Standard'!$B$7:$B$38,0))</x:f>
        <x:v>L2</x:v>
      </x:c>
      <x:c r="H34" s="41" t="n">
        <x:f>INDEX('Position Standard'!$H$7:$H$38,MATCH(D34,'Position Standard'!$B$7:$B$38,0))</x:f>
        <x:v>24</x:v>
      </x:c>
      <x:c r="I34" s="41" t="n">
        <x:v>0</x:v>
      </x:c>
      <x:c r="J34" s="41" t="n">
        <x:f>H34+I34</x:f>
        <x:v>24</x:v>
      </x:c>
      <x:c r="K34" s="41" t="n">
        <x:f>INDEX('Position Standard'!$I$7:$I$38,MATCH(D34,'Position Standard'!$B$7:$B$38,0))</x:f>
        <x:v>90</x:v>
      </x:c>
      <x:c r="L34" s="41" t="n">
        <x:f>INDEX('Position Standard'!$J$7:$J$38,MATCH(D34,'Position Standard'!$B$7:$B$38,0))</x:f>
        <x:v>22</x:v>
      </x:c>
      <x:c r="M34" s="41" t="n">
        <x:f>INDEX('Position Standard'!$K$7:$K$38,MATCH(D34,'Position Standard'!$B$7:$B$38,0))</x:f>
        <x:v>4.091</x:v>
      </x:c>
      <x:c r="N34" s="41" t="str">
        <x:v>ATUT-B2</x:v>
      </x:c>
      <x:c r="O34" s="41" t="n">
        <x:v>14</x:v>
      </x:c>
      <x:c r="P34" s="41" t="n">
        <x:v>2</x:v>
      </x:c>
      <x:c r="Q34" s="41" t="n">
        <x:f>0.4+M34/2</x:f>
        <x:v>2.4455</x:v>
      </x:c>
      <x:c r="R34" s="31" t="str">
        <x:v>I-B</x:v>
      </x:c>
      <x:c r="S34" s="31" t="str">
        <x:f>INDEX('Position Standard'!$L$7:$L$38,MATCH(D34,'Position Standard'!$B$7:$B$38,0))</x:f>
        <x:v>robotic</x:v>
      </x:c>
      <x:c r="T34" s="31" t="n">
        <x:f>INDEX('Position Standard'!$M$7:$M$38,MATCH(D34,'Position Standard'!$B$7:$B$38,0))</x:f>
        <x:v>1</x:v>
      </x:c>
      <x:c r="U34" s="31" t="str">
        <x:v>OPEN</x:v>
      </x:c>
      <x:c r="V34" s="31" t="n">
        <x:f>J34*O34</x:f>
        <x:v>336</x:v>
      </x:c>
      <x:c r="W34" s="31" t="n">
        <x:f>J34*P34</x:f>
        <x:v>48</x:v>
      </x:c>
      <x:c r="X34" s="33" t="n">
        <x:f>J34*Q34</x:f>
        <x:v>58.692</x:v>
      </x:c>
    </x:row>
    <x:row r="35">
      <x:c r="B35" s="31" t="str">
        <x:v>B-P13-1</x:v>
      </x:c>
      <x:c r="C35" s="31" t="str">
        <x:v>DRY</x:v>
      </x:c>
      <x:c r="D35" s="31" t="str">
        <x:v>P13-1</x:v>
      </x:c>
      <x:c r="E35" s="31" t="str">
        <x:f>INDEX('Position Standard'!$C$7:$C$38,MATCH(D35,'Position Standard'!$B$7:$B$38,0))</x:f>
        <x:v>P13</x:v>
      </x:c>
      <x:c r="F35" s="31" t="str">
        <x:f>INDEX('Position Standard'!$E$7:$E$38,MATCH(D35,'Position Standard'!$B$7:$B$38,0))</x:f>
        <x:v>Medical and vertical-service kits</x:v>
      </x:c>
      <x:c r="G35" s="31" t="str">
        <x:f>INDEX('Position Standard'!$G$7:$G$38,MATCH(D35,'Position Standard'!$B$7:$B$38,0))</x:f>
        <x:v>L4</x:v>
      </x:c>
      <x:c r="H35" s="41" t="n">
        <x:f>INDEX('Position Standard'!$H$7:$H$38,MATCH(D35,'Position Standard'!$B$7:$B$38,0))</x:f>
        <x:v>22</x:v>
      </x:c>
      <x:c r="I35" s="41" t="n">
        <x:v>0</x:v>
      </x:c>
      <x:c r="J35" s="41" t="n">
        <x:f>H35+I35</x:f>
        <x:v>22</x:v>
      </x:c>
      <x:c r="K35" s="41" t="n">
        <x:f>INDEX('Position Standard'!$I$7:$I$38,MATCH(D35,'Position Standard'!$B$7:$B$38,0))</x:f>
        <x:v>80</x:v>
      </x:c>
      <x:c r="L35" s="41" t="n">
        <x:f>INDEX('Position Standard'!$J$7:$J$38,MATCH(D35,'Position Standard'!$B$7:$B$38,0))</x:f>
        <x:v>20</x:v>
      </x:c>
      <x:c r="M35" s="41" t="n">
        <x:f>INDEX('Position Standard'!$K$7:$K$38,MATCH(D35,'Position Standard'!$B$7:$B$38,0))</x:f>
        <x:v>4</x:v>
      </x:c>
      <x:c r="N35" s="41" t="str">
        <x:v>ATUT-B4</x:v>
      </x:c>
      <x:c r="O35" s="41" t="n">
        <x:v>14</x:v>
      </x:c>
      <x:c r="P35" s="41" t="n">
        <x:v>-2</x:v>
      </x:c>
      <x:c r="Q35" s="41" t="n">
        <x:f>0.4+M35/2</x:f>
        <x:v>2.4</x:v>
      </x:c>
      <x:c r="R35" s="31" t="str">
        <x:v>I-B</x:v>
      </x:c>
      <x:c r="S35" s="31" t="str">
        <x:f>INDEX('Position Standard'!$L$7:$L$38,MATCH(D35,'Position Standard'!$B$7:$B$38,0))</x:f>
        <x:v>medical</x:v>
      </x:c>
      <x:c r="T35" s="31" t="n">
        <x:f>INDEX('Position Standard'!$M$7:$M$38,MATCH(D35,'Position Standard'!$B$7:$B$38,0))</x:f>
        <x:v>14</x:v>
      </x:c>
      <x:c r="U35" s="31" t="str">
        <x:v>OPEN</x:v>
      </x:c>
      <x:c r="V35" s="31" t="n">
        <x:f>J35*O35</x:f>
        <x:v>308</x:v>
      </x:c>
      <x:c r="W35" s="31" t="n">
        <x:f>J35*P35</x:f>
        <x:v>-44</x:v>
      </x:c>
      <x:c r="X35" s="33" t="n">
        <x:f>J35*Q35</x:f>
        <x:v>52.8</x:v>
      </x:c>
    </x:row>
    <x:row r="36">
      <x:c r="B36" s="31" t="str">
        <x:v>B-P14-1</x:v>
      </x:c>
      <x:c r="C36" s="31" t="str">
        <x:v>DRY</x:v>
      </x:c>
      <x:c r="D36" s="31" t="str">
        <x:v>P14-1</x:v>
      </x:c>
      <x:c r="E36" s="31" t="str">
        <x:f>INDEX('Position Standard'!$C$7:$C$38,MATCH(D36,'Position Standard'!$B$7:$B$38,0))</x:f>
        <x:v>P14</x:v>
      </x:c>
      <x:c r="F36" s="31" t="str">
        <x:f>INDEX('Position Standard'!$E$7:$E$38,MATCH(D36,'Position Standard'!$B$7:$B$38,0))</x:f>
        <x:v>Crew life support and safety</x:v>
      </x:c>
      <x:c r="G36" s="31" t="str">
        <x:f>INDEX('Position Standard'!$G$7:$G$38,MATCH(D36,'Position Standard'!$B$7:$B$38,0))</x:f>
        <x:v>L4</x:v>
      </x:c>
      <x:c r="H36" s="41" t="n">
        <x:f>INDEX('Position Standard'!$H$7:$H$38,MATCH(D36,'Position Standard'!$B$7:$B$38,0))</x:f>
        <x:v>20</x:v>
      </x:c>
      <x:c r="I36" s="41" t="n">
        <x:v>0</x:v>
      </x:c>
      <x:c r="J36" s="41" t="n">
        <x:f>H36+I36</x:f>
        <x:v>20</x:v>
      </x:c>
      <x:c r="K36" s="41" t="n">
        <x:f>INDEX('Position Standard'!$I$7:$I$38,MATCH(D36,'Position Standard'!$B$7:$B$38,0))</x:f>
        <x:v>70</x:v>
      </x:c>
      <x:c r="L36" s="41" t="n">
        <x:f>INDEX('Position Standard'!$J$7:$J$38,MATCH(D36,'Position Standard'!$B$7:$B$38,0))</x:f>
        <x:v>18</x:v>
      </x:c>
      <x:c r="M36" s="41" t="n">
        <x:f>INDEX('Position Standard'!$K$7:$K$38,MATCH(D36,'Position Standard'!$B$7:$B$38,0))</x:f>
        <x:v>3.889</x:v>
      </x:c>
      <x:c r="N36" s="41" t="str">
        <x:v>ATUT-B4</x:v>
      </x:c>
      <x:c r="O36" s="41" t="n">
        <x:v>19</x:v>
      </x:c>
      <x:c r="P36" s="41" t="n">
        <x:v>-2</x:v>
      </x:c>
      <x:c r="Q36" s="41" t="n">
        <x:f>0.4+M36/2</x:f>
        <x:v>2.3445</x:v>
      </x:c>
      <x:c r="R36" s="31" t="str">
        <x:v>I-B</x:v>
      </x:c>
      <x:c r="S36" s="31" t="str">
        <x:f>INDEX('Position Standard'!$L$7:$L$38,MATCH(D36,'Position Standard'!$B$7:$B$38,0))</x:f>
        <x:v>life safety</x:v>
      </x:c>
      <x:c r="T36" s="31" t="n">
        <x:f>INDEX('Position Standard'!$M$7:$M$38,MATCH(D36,'Position Standard'!$B$7:$B$38,0))</x:f>
        <x:v>3</x:v>
      </x:c>
      <x:c r="U36" s="31" t="str">
        <x:v>OPEN</x:v>
      </x:c>
      <x:c r="V36" s="31" t="n">
        <x:f>J36*O36</x:f>
        <x:v>380</x:v>
      </x:c>
      <x:c r="W36" s="31" t="n">
        <x:f>J36*P36</x:f>
        <x:v>-40</x:v>
      </x:c>
      <x:c r="X36" s="33" t="n">
        <x:f>J36*Q36</x:f>
        <x:v>46.89</x:v>
      </x:c>
    </x:row>
    <x:row r="37">
      <x:c r="B37" s="31" t="str">
        <x:v>B-P15-1</x:v>
      </x:c>
      <x:c r="C37" s="31" t="str">
        <x:v>DRY</x:v>
      </x:c>
      <x:c r="D37" s="31" t="str">
        <x:v>P15-1</x:v>
      </x:c>
      <x:c r="E37" s="31" t="str">
        <x:f>INDEX('Position Standard'!$C$7:$C$38,MATCH(D37,'Position Standard'!$B$7:$B$38,0))</x:f>
        <x:v>P15</x:v>
      </x:c>
      <x:c r="F37" s="31" t="str">
        <x:f>INDEX('Position Standard'!$E$7:$E$38,MATCH(D37,'Position Standard'!$B$7:$B$38,0))</x:f>
        <x:v>Spares, tools and microrepair</x:v>
      </x:c>
      <x:c r="G37" s="31" t="str">
        <x:f>INDEX('Position Standard'!$G$7:$G$38,MATCH(D37,'Position Standard'!$B$7:$B$38,0))</x:f>
        <x:v>L4</x:v>
      </x:c>
      <x:c r="H37" s="41" t="n">
        <x:f>INDEX('Position Standard'!$H$7:$H$38,MATCH(D37,'Position Standard'!$B$7:$B$38,0))</x:f>
        <x:v>26</x:v>
      </x:c>
      <x:c r="I37" s="41" t="n">
        <x:v>0</x:v>
      </x:c>
      <x:c r="J37" s="41" t="n">
        <x:f>H37+I37</x:f>
        <x:v>26</x:v>
      </x:c>
      <x:c r="K37" s="41" t="n">
        <x:f>INDEX('Position Standard'!$I$7:$I$38,MATCH(D37,'Position Standard'!$B$7:$B$38,0))</x:f>
        <x:v>80</x:v>
      </x:c>
      <x:c r="L37" s="41" t="n">
        <x:f>INDEX('Position Standard'!$J$7:$J$38,MATCH(D37,'Position Standard'!$B$7:$B$38,0))</x:f>
        <x:v>20</x:v>
      </x:c>
      <x:c r="M37" s="41" t="n">
        <x:f>INDEX('Position Standard'!$K$7:$K$38,MATCH(D37,'Position Standard'!$B$7:$B$38,0))</x:f>
        <x:v>4</x:v>
      </x:c>
      <x:c r="N37" s="41" t="str">
        <x:v>ATUT-B4</x:v>
      </x:c>
      <x:c r="O37" s="41" t="n">
        <x:v>3</x:v>
      </x:c>
      <x:c r="P37" s="41" t="n">
        <x:v>2</x:v>
      </x:c>
      <x:c r="Q37" s="41" t="n">
        <x:f>0.4+M37/2</x:f>
        <x:v>2.4</x:v>
      </x:c>
      <x:c r="R37" s="31" t="str">
        <x:v>I-B</x:v>
      </x:c>
      <x:c r="S37" s="31" t="str">
        <x:f>INDEX('Position Standard'!$L$7:$L$38,MATCH(D37,'Position Standard'!$B$7:$B$38,0))</x:f>
        <x:v>repair</x:v>
      </x:c>
      <x:c r="T37" s="31" t="n">
        <x:f>INDEX('Position Standard'!$M$7:$M$38,MATCH(D37,'Position Standard'!$B$7:$B$38,0))</x:f>
        <x:v>16</x:v>
      </x:c>
      <x:c r="U37" s="31" t="str">
        <x:v>OPEN</x:v>
      </x:c>
      <x:c r="V37" s="31" t="n">
        <x:f>J37*O37</x:f>
        <x:v>78</x:v>
      </x:c>
      <x:c r="W37" s="31" t="n">
        <x:f>J37*P37</x:f>
        <x:v>52</x:v>
      </x:c>
      <x:c r="X37" s="33" t="n">
        <x:f>J37*Q37</x:f>
        <x:v>62.4</x:v>
      </x:c>
    </x:row>
    <x:row r="38">
      <x:c r="B38" s="31" t="str">
        <x:v>B-P16-1</x:v>
      </x:c>
      <x:c r="C38" s="31" t="str">
        <x:v>DRY</x:v>
      </x:c>
      <x:c r="D38" s="31" t="str">
        <x:v>P16-1</x:v>
      </x:c>
      <x:c r="E38" s="31" t="str">
        <x:f>INDEX('Position Standard'!$C$7:$C$38,MATCH(D38,'Position Standard'!$B$7:$B$38,0))</x:f>
        <x:v>P16</x:v>
      </x:c>
      <x:c r="F38" s="31" t="str">
        <x:f>INDEX('Position Standard'!$E$7:$E$38,MATCH(D38,'Position Standard'!$B$7:$B$38,0))</x:f>
        <x:v>Dry process stocks and assay</x:v>
      </x:c>
      <x:c r="G38" s="31" t="str">
        <x:f>INDEX('Position Standard'!$G$7:$G$38,MATCH(D38,'Position Standard'!$B$7:$B$38,0))</x:f>
        <x:v>L3</x:v>
      </x:c>
      <x:c r="H38" s="41" t="n">
        <x:f>INDEX('Position Standard'!$H$7:$H$38,MATCH(D38,'Position Standard'!$B$7:$B$38,0))</x:f>
        <x:v>48</x:v>
      </x:c>
      <x:c r="I38" s="41" t="n">
        <x:v>0</x:v>
      </x:c>
      <x:c r="J38" s="41" t="n">
        <x:f>H38+I38</x:f>
        <x:v>48</x:v>
      </x:c>
      <x:c r="K38" s="41" t="n">
        <x:f>INDEX('Position Standard'!$I$7:$I$38,MATCH(D38,'Position Standard'!$B$7:$B$38,0))</x:f>
        <x:v>90</x:v>
      </x:c>
      <x:c r="L38" s="41" t="n">
        <x:f>INDEX('Position Standard'!$J$7:$J$38,MATCH(D38,'Position Standard'!$B$7:$B$38,0))</x:f>
        <x:v>30</x:v>
      </x:c>
      <x:c r="M38" s="41" t="n">
        <x:f>INDEX('Position Standard'!$K$7:$K$38,MATCH(D38,'Position Standard'!$B$7:$B$38,0))</x:f>
        <x:v>3</x:v>
      </x:c>
      <x:c r="N38" s="41" t="str">
        <x:v>ATUT-B3</x:v>
      </x:c>
      <x:c r="O38" s="41" t="n">
        <x:v>8</x:v>
      </x:c>
      <x:c r="P38" s="41" t="n">
        <x:v>2</x:v>
      </x:c>
      <x:c r="Q38" s="41" t="n">
        <x:f>0.4+M38/2</x:f>
        <x:v>1.9</x:v>
      </x:c>
      <x:c r="R38" s="31" t="str">
        <x:v>I-B</x:v>
      </x:c>
      <x:c r="S38" s="31" t="str">
        <x:f>INDEX('Position Standard'!$L$7:$L$38,MATCH(D38,'Position Standard'!$B$7:$B$38,0))</x:f>
        <x:v>process material</x:v>
      </x:c>
      <x:c r="T38" s="31" t="n">
        <x:f>INDEX('Position Standard'!$M$7:$M$38,MATCH(D38,'Position Standard'!$B$7:$B$38,0))</x:f>
        <x:v>15</x:v>
      </x:c>
      <x:c r="U38" s="31" t="str">
        <x:v>OPEN</x:v>
      </x:c>
      <x:c r="V38" s="31" t="n">
        <x:f>J38*O38</x:f>
        <x:v>384</x:v>
      </x:c>
      <x:c r="W38" s="31" t="n">
        <x:f>J38*P38</x:f>
        <x:v>96</x:v>
      </x:c>
      <x:c r="X38" s="33" t="n">
        <x:f>J38*Q38</x:f>
        <x:v>91.19999999999999</x:v>
      </x:c>
    </x:row>
    <x:row r="39">
      <x:c r="B39" s="31" t="str">
        <x:v>B-W1</x:v>
      </x:c>
      <x:c r="C39" s="31" t="str">
        <x:v>WET</x:v>
      </x:c>
      <x:c r="D39" s="31" t="str">
        <x:v>WET-1</x:v>
      </x:c>
      <x:c r="E39" s="31" t="str">
        <x:v>W01</x:v>
      </x:c>
      <x:c r="F39" s="31" t="str">
        <x:v>Balanced wet launch pack</x:v>
      </x:c>
      <x:c r="G39" s="31" t="str">
        <x:v>L1</x:v>
      </x:c>
      <x:c r="H39" s="41" t="n">
        <x:v>0</x:v>
      </x:c>
      <x:c r="I39" s="41" t="n">
        <x:v>13.75</x:v>
      </x:c>
      <x:c r="J39" s="41" t="n">
        <x:f>H39+I39</x:f>
        <x:v>13.75</x:v>
      </x:c>
      <x:c r="K39" s="41" t="n">
        <x:v>15</x:v>
      </x:c>
      <x:c r="L39" s="41" t="n">
        <x:v>5</x:v>
      </x:c>
      <x:c r="M39" s="41" t="n">
        <x:v>3</x:v>
      </x:c>
      <x:c r="N39" s="41" t="str">
        <x:v>ATUT-B1</x:v>
      </x:c>
      <x:c r="O39" s="41" t="n">
        <x:v>11</x:v>
      </x:c>
      <x:c r="P39" s="41" t="n">
        <x:v>0</x:v>
      </x:c>
      <x:c r="Q39" s="41" t="n">
        <x:f>0.4+M39/2</x:f>
        <x:v>1.9</x:v>
      </x:c>
      <x:c r="R39" s="31" t="str">
        <x:v>I-B</x:v>
      </x:c>
      <x:c r="S39" s="31" t="str">
        <x:v>segregated liquids</x:v>
      </x:c>
      <x:c r="T39" s="31" t="n">
        <x:v>5</x:v>
      </x:c>
      <x:c r="U39" s="31" t="str">
        <x:v>OPEN</x:v>
      </x:c>
      <x:c r="V39" s="31" t="n">
        <x:f>J39*O39</x:f>
        <x:v>151.25</x:v>
      </x:c>
      <x:c r="W39" s="31" t="n">
        <x:f>J39*P39</x:f>
        <x:v>0</x:v>
      </x:c>
      <x:c r="X39" s="33" t="n">
        <x:f>J39*Q39</x:f>
        <x:v>26.125</x:v>
      </x:c>
    </x:row>
    <x:row r="40">
      <x:c r="B40" s="31" t="str">
        <x:v>B-W2</x:v>
      </x:c>
      <x:c r="C40" s="31" t="str">
        <x:v>WET</x:v>
      </x:c>
      <x:c r="D40" s="31" t="str">
        <x:v>WET-2</x:v>
      </x:c>
      <x:c r="E40" s="31" t="str">
        <x:v>W01</x:v>
      </x:c>
      <x:c r="F40" s="31" t="str">
        <x:v>Balanced wet launch pack</x:v>
      </x:c>
      <x:c r="G40" s="31" t="str">
        <x:v>L2</x:v>
      </x:c>
      <x:c r="H40" s="41" t="n">
        <x:v>0</x:v>
      </x:c>
      <x:c r="I40" s="41" t="n">
        <x:v>13.75</x:v>
      </x:c>
      <x:c r="J40" s="41" t="n">
        <x:f>H40+I40</x:f>
        <x:v>13.75</x:v>
      </x:c>
      <x:c r="K40" s="41" t="n">
        <x:v>15</x:v>
      </x:c>
      <x:c r="L40" s="41" t="n">
        <x:v>5</x:v>
      </x:c>
      <x:c r="M40" s="41" t="n">
        <x:v>3</x:v>
      </x:c>
      <x:c r="N40" s="41" t="str">
        <x:v>ATUT-B2</x:v>
      </x:c>
      <x:c r="O40" s="41" t="n">
        <x:v>11</x:v>
      </x:c>
      <x:c r="P40" s="41" t="n">
        <x:v>0</x:v>
      </x:c>
      <x:c r="Q40" s="41" t="n">
        <x:f>0.4+M40/2</x:f>
        <x:v>1.9</x:v>
      </x:c>
      <x:c r="R40" s="31" t="str">
        <x:v>I-B</x:v>
      </x:c>
      <x:c r="S40" s="31" t="str">
        <x:v>segregated liquids</x:v>
      </x:c>
      <x:c r="T40" s="31" t="n">
        <x:v>5</x:v>
      </x:c>
      <x:c r="U40" s="31" t="str">
        <x:v>OPEN</x:v>
      </x:c>
      <x:c r="V40" s="31" t="n">
        <x:f>J40*O40</x:f>
        <x:v>151.25</x:v>
      </x:c>
      <x:c r="W40" s="31" t="n">
        <x:f>J40*P40</x:f>
        <x:v>0</x:v>
      </x:c>
      <x:c r="X40" s="33" t="n">
        <x:f>J40*Q40</x:f>
        <x:v>26.125</x:v>
      </x:c>
    </x:row>
    <x:row r="41">
      <x:c r="B41" s="31" t="str">
        <x:v>B-W3</x:v>
      </x:c>
      <x:c r="C41" s="31" t="str">
        <x:v>WET</x:v>
      </x:c>
      <x:c r="D41" s="31" t="str">
        <x:v>WET-3</x:v>
      </x:c>
      <x:c r="E41" s="31" t="str">
        <x:v>W01</x:v>
      </x:c>
      <x:c r="F41" s="31" t="str">
        <x:v>Balanced wet launch pack</x:v>
      </x:c>
      <x:c r="G41" s="31" t="str">
        <x:v>L3</x:v>
      </x:c>
      <x:c r="H41" s="41" t="n">
        <x:v>0</x:v>
      </x:c>
      <x:c r="I41" s="41" t="n">
        <x:v>13.75</x:v>
      </x:c>
      <x:c r="J41" s="41" t="n">
        <x:f>H41+I41</x:f>
        <x:v>13.75</x:v>
      </x:c>
      <x:c r="K41" s="41" t="n">
        <x:v>15</x:v>
      </x:c>
      <x:c r="L41" s="41" t="n">
        <x:v>5</x:v>
      </x:c>
      <x:c r="M41" s="41" t="n">
        <x:v>3</x:v>
      </x:c>
      <x:c r="N41" s="41" t="str">
        <x:v>ATUT-B3</x:v>
      </x:c>
      <x:c r="O41" s="41" t="n">
        <x:v>11</x:v>
      </x:c>
      <x:c r="P41" s="41" t="n">
        <x:v>0</x:v>
      </x:c>
      <x:c r="Q41" s="41" t="n">
        <x:f>0.4+M41/2</x:f>
        <x:v>1.9</x:v>
      </x:c>
      <x:c r="R41" s="31" t="str">
        <x:v>I-B</x:v>
      </x:c>
      <x:c r="S41" s="31" t="str">
        <x:v>segregated liquids</x:v>
      </x:c>
      <x:c r="T41" s="31" t="n">
        <x:v>5</x:v>
      </x:c>
      <x:c r="U41" s="31" t="str">
        <x:v>OPEN</x:v>
      </x:c>
      <x:c r="V41" s="31" t="n">
        <x:f>J41*O41</x:f>
        <x:v>151.25</x:v>
      </x:c>
      <x:c r="W41" s="31" t="n">
        <x:f>J41*P41</x:f>
        <x:v>0</x:v>
      </x:c>
      <x:c r="X41" s="33" t="n">
        <x:f>J41*Q41</x:f>
        <x:v>26.125</x:v>
      </x:c>
    </x:row>
    <x:row r="42">
      <x:c r="B42" s="38" t="str">
        <x:v>B-W4</x:v>
      </x:c>
      <x:c r="C42" s="38" t="str">
        <x:v>WET</x:v>
      </x:c>
      <x:c r="D42" s="38" t="str">
        <x:v>WET-4</x:v>
      </x:c>
      <x:c r="E42" s="38" t="str">
        <x:v>W01</x:v>
      </x:c>
      <x:c r="F42" s="38" t="str">
        <x:v>Balanced wet launch pack</x:v>
      </x:c>
      <x:c r="G42" s="38" t="str">
        <x:v>L4</x:v>
      </x:c>
      <x:c r="H42" s="42" t="n">
        <x:v>0</x:v>
      </x:c>
      <x:c r="I42" s="42" t="n">
        <x:v>13.75</x:v>
      </x:c>
      <x:c r="J42" s="42" t="n">
        <x:f>H42+I42</x:f>
        <x:v>13.75</x:v>
      </x:c>
      <x:c r="K42" s="42" t="n">
        <x:v>15</x:v>
      </x:c>
      <x:c r="L42" s="42" t="n">
        <x:v>5</x:v>
      </x:c>
      <x:c r="M42" s="42" t="n">
        <x:v>3</x:v>
      </x:c>
      <x:c r="N42" s="42" t="str">
        <x:v>ATUT-B4</x:v>
      </x:c>
      <x:c r="O42" s="42" t="n">
        <x:v>11</x:v>
      </x:c>
      <x:c r="P42" s="42" t="n">
        <x:v>0</x:v>
      </x:c>
      <x:c r="Q42" s="42" t="n">
        <x:f>0.4+M42/2</x:f>
        <x:v>1.9</x:v>
      </x:c>
      <x:c r="R42" s="38" t="str">
        <x:v>I-B</x:v>
      </x:c>
      <x:c r="S42" s="38" t="str">
        <x:v>segregated liquids</x:v>
      </x:c>
      <x:c r="T42" s="38" t="n">
        <x:v>5</x:v>
      </x:c>
      <x:c r="U42" s="38" t="str">
        <x:v>OPEN</x:v>
      </x:c>
      <x:c r="V42" s="38" t="n">
        <x:f>J42*O42</x:f>
        <x:v>151.25</x:v>
      </x:c>
      <x:c r="W42" s="38" t="n">
        <x:f>J42*P42</x:f>
        <x:v>0</x:v>
      </x:c>
      <x:c r="X42" s="40" t="n">
        <x:f>J42*Q42</x:f>
        <x:v>26.125</x:v>
      </x:c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15" hidden="0" customWidth="1"/>
    <x:col min="4" max="4" width="12" hidden="0" customWidth="1"/>
    <x:col min="5" max="5" width="17" hidden="0" customWidth="1"/>
    <x:col min="6" max="6" width="16" hidden="0" customWidth="1"/>
    <x:col min="7" max="7" width="11" hidden="0" customWidth="1"/>
    <x:col min="8" max="8" width="12" hidden="0" customWidth="1"/>
    <x:col min="9" max="9" width="18" hidden="0" customWidth="1"/>
    <x:col min="10" max="10" width="18" hidden="0" customWidth="1"/>
    <x:col min="11" max="11" width="17" hidden="0" customWidth="1"/>
    <x:col min="12" max="12" width="15" hidden="0" customWidth="1"/>
    <x:col min="13" max="13" width="18" hidden="0" customWidth="1"/>
  </x:cols>
  <x:sheetData>
    <x:row r="2">
      <x:c r="B2" s="3" t="str">
        <x:v>Nested four-block load grammar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B3" s="4" t="str">
        <x:v>Each 145-tonne dry block fits one terrain vehicle; two blocks fit one liftship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B6" s="29" t="str">
        <x:v>Block</x:v>
      </x:c>
      <x:c r="C6" s="30" t="str">
        <x:v>Dry positions</x:v>
      </x:c>
      <x:c r="D6" s="30" t="str">
        <x:v>Dry t</x:v>
      </x:c>
      <x:c r="E6" s="30" t="str">
        <x:v>Dry cube m3</x:v>
      </x:c>
      <x:c r="F6" s="30" t="str">
        <x:v>Dry deck m2</x:v>
      </x:c>
      <x:c r="G6" s="30" t="str">
        <x:v>Wet t</x:v>
      </x:c>
      <x:c r="H6" s="30" t="str">
        <x:v>Total t</x:v>
      </x:c>
      <x:c r="I6" s="30" t="str">
        <x:v>Total cube m3</x:v>
      </x:c>
      <x:c r="J6" s="30" t="str">
        <x:v>Total deck m2</x:v>
      </x:c>
      <x:c r="K6" s="30" t="str">
        <x:v>Terrain carrier</x:v>
      </x:c>
      <x:c r="L6" s="30" t="str">
        <x:v>Air carrier</x:v>
      </x:c>
      <x:c r="M6" s="30" t="str">
        <x:v>Reconciliation</x:v>
      </x:c>
    </x:row>
    <x:row r="7">
      <x:c r="B7" s="31" t="str">
        <x:v>L1</x:v>
      </x:c>
      <x:c r="C7" s="31" t="n">
        <x:f>COUNTIFS('Position Standard'!$G$7:$G$38,B7)</x:f>
        <x:v>8</x:v>
      </x:c>
      <x:c r="D7" s="41" t="n">
        <x:f>SUMIFS('Position Standard'!$H$7:$H$38,'Position Standard'!$G$7:$G$38,B7)</x:f>
        <x:v>145</x:v>
      </x:c>
      <x:c r="E7" s="41" t="n">
        <x:f>SUMIFS('Position Standard'!$I$7:$I$38,'Position Standard'!$G$7:$G$38,B7)</x:f>
        <x:v>567</x:v>
      </x:c>
      <x:c r="F7" s="41" t="n">
        <x:f>SUMIFS('Position Standard'!$J$7:$J$38,'Position Standard'!$G$7:$G$38,B7)</x:f>
        <x:v>136</x:v>
      </x:c>
      <x:c r="G7" s="41" t="n">
        <x:v>13.75</x:v>
      </x:c>
      <x:c r="H7" s="41" t="n">
        <x:f>D7+G7</x:f>
        <x:v>158.75</x:v>
      </x:c>
      <x:c r="I7" s="41" t="n">
        <x:f>E7+15</x:f>
        <x:v>582</x:v>
      </x:c>
      <x:c r="J7" s="41" t="n">
        <x:f>F7+5</x:f>
        <x:v>141</x:v>
      </x:c>
      <x:c r="K7" s="31" t="str">
        <x:v>ATUT-B1</x:v>
      </x:c>
      <x:c r="L7" s="31" t="str">
        <x:v>HBL-A1</x:v>
      </x:c>
      <x:c r="M7" s="33" t="str">
        <x:f>IF(AND(C7=8,ABS(D7-145)&lt;0.000001,ABS(H7-158.75)&lt;0.000001),"PASS","FAIL")</x:f>
        <x:v>PASS</x:v>
      </x:c>
    </x:row>
    <x:row r="8">
      <x:c r="B8" s="31" t="str">
        <x:v>L2</x:v>
      </x:c>
      <x:c r="C8" s="31" t="n">
        <x:f>COUNTIFS('Position Standard'!$G$7:$G$38,B8)</x:f>
        <x:v>8</x:v>
      </x:c>
      <x:c r="D8" s="41" t="n">
        <x:f>SUMIFS('Position Standard'!$H$7:$H$38,'Position Standard'!$G$7:$G$38,B8)</x:f>
        <x:v>145</x:v>
      </x:c>
      <x:c r="E8" s="41" t="n">
        <x:f>SUMIFS('Position Standard'!$I$7:$I$38,'Position Standard'!$G$7:$G$38,B8)</x:f>
        <x:v>757</x:v>
      </x:c>
      <x:c r="F8" s="41" t="n">
        <x:f>SUMIFS('Position Standard'!$J$7:$J$38,'Position Standard'!$G$7:$G$38,B8)</x:f>
        <x:v>166</x:v>
      </x:c>
      <x:c r="G8" s="41" t="n">
        <x:v>13.75</x:v>
      </x:c>
      <x:c r="H8" s="41" t="n">
        <x:f>D8+G8</x:f>
        <x:v>158.75</x:v>
      </x:c>
      <x:c r="I8" s="41" t="n">
        <x:f>E8+15</x:f>
        <x:v>772</x:v>
      </x:c>
      <x:c r="J8" s="41" t="n">
        <x:f>F8+5</x:f>
        <x:v>171</x:v>
      </x:c>
      <x:c r="K8" s="31" t="str">
        <x:v>ATUT-B2</x:v>
      </x:c>
      <x:c r="L8" s="31" t="str">
        <x:v>HBL-A1</x:v>
      </x:c>
      <x:c r="M8" s="33" t="str">
        <x:f>IF(AND(C8=8,ABS(D8-145)&lt;0.000001,ABS(H8-158.75)&lt;0.000001),"PASS","FAIL")</x:f>
        <x:v>PASS</x:v>
      </x:c>
    </x:row>
    <x:row r="9">
      <x:c r="B9" s="31" t="str">
        <x:v>L3</x:v>
      </x:c>
      <x:c r="C9" s="31" t="n">
        <x:f>COUNTIFS('Position Standard'!$G$7:$G$38,B9)</x:f>
        <x:v>8</x:v>
      </x:c>
      <x:c r="D9" s="41" t="n">
        <x:f>SUMIFS('Position Standard'!$H$7:$H$38,'Position Standard'!$G$7:$G$38,B9)</x:f>
        <x:v>145</x:v>
      </x:c>
      <x:c r="E9" s="41" t="n">
        <x:f>SUMIFS('Position Standard'!$I$7:$I$38,'Position Standard'!$G$7:$G$38,B9)</x:f>
        <x:v>591</x:v>
      </x:c>
      <x:c r="F9" s="41" t="n">
        <x:f>SUMIFS('Position Standard'!$J$7:$J$38,'Position Standard'!$G$7:$G$38,B9)</x:f>
        <x:v>141</x:v>
      </x:c>
      <x:c r="G9" s="41" t="n">
        <x:v>13.75</x:v>
      </x:c>
      <x:c r="H9" s="41" t="n">
        <x:f>D9+G9</x:f>
        <x:v>158.75</x:v>
      </x:c>
      <x:c r="I9" s="41" t="n">
        <x:f>E9+15</x:f>
        <x:v>606</x:v>
      </x:c>
      <x:c r="J9" s="41" t="n">
        <x:f>F9+5</x:f>
        <x:v>146</x:v>
      </x:c>
      <x:c r="K9" s="31" t="str">
        <x:v>ATUT-B3</x:v>
      </x:c>
      <x:c r="L9" s="31" t="str">
        <x:v>HBL-A2</x:v>
      </x:c>
      <x:c r="M9" s="33" t="str">
        <x:f>IF(AND(C9=8,ABS(D9-145)&lt;0.000001,ABS(H9-158.75)&lt;0.000001),"PASS","FAIL")</x:f>
        <x:v>PASS</x:v>
      </x:c>
    </x:row>
    <x:row r="10">
      <x:c r="B10" s="38" t="str">
        <x:v>L4</x:v>
      </x:c>
      <x:c r="C10" s="38" t="n">
        <x:f>COUNTIFS('Position Standard'!$G$7:$G$38,B10)</x:f>
        <x:v>8</x:v>
      </x:c>
      <x:c r="D10" s="42" t="n">
        <x:f>SUMIFS('Position Standard'!$H$7:$H$38,'Position Standard'!$G$7:$G$38,B10)</x:f>
        <x:v>145</x:v>
      </x:c>
      <x:c r="E10" s="42" t="n">
        <x:f>SUMIFS('Position Standard'!$I$7:$I$38,'Position Standard'!$G$7:$G$38,B10)</x:f>
        <x:v>715</x:v>
      </x:c>
      <x:c r="F10" s="42" t="n">
        <x:f>SUMIFS('Position Standard'!$J$7:$J$38,'Position Standard'!$G$7:$G$38,B10)</x:f>
        <x:v>171</x:v>
      </x:c>
      <x:c r="G10" s="42" t="n">
        <x:v>13.75</x:v>
      </x:c>
      <x:c r="H10" s="42" t="n">
        <x:f>D10+G10</x:f>
        <x:v>158.75</x:v>
      </x:c>
      <x:c r="I10" s="42" t="n">
        <x:f>E10+15</x:f>
        <x:v>730</x:v>
      </x:c>
      <x:c r="J10" s="42" t="n">
        <x:f>F10+5</x:f>
        <x:v>176</x:v>
      </x:c>
      <x:c r="K10" s="38" t="str">
        <x:v>ATUT-B4</x:v>
      </x:c>
      <x:c r="L10" s="38" t="str">
        <x:v>HBL-A2</x:v>
      </x:c>
      <x:c r="M10" s="40" t="str">
        <x:f>IF(AND(C10=8,ABS(D10-145)&lt;0.000001,ABS(H10-158.75)&lt;0.000001),"PASS","FAIL")</x:f>
        <x:v>PASS</x:v>
      </x:c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5" hidden="0" customWidth="1"/>
    <x:col min="3" max="3" width="11" hidden="0" customWidth="1"/>
    <x:col min="4" max="4" width="12" hidden="0" customWidth="1"/>
    <x:col min="5" max="5" width="18" hidden="0" customWidth="1"/>
    <x:col min="6" max="6" width="13" hidden="0" customWidth="1"/>
    <x:col min="7" max="7" width="13" hidden="0" customWidth="1"/>
    <x:col min="8" max="8" width="15" hidden="0" customWidth="1"/>
    <x:col min="9" max="9" width="21" hidden="0" customWidth="1"/>
    <x:col min="10" max="10" width="14" hidden="0" customWidth="1"/>
    <x:col min="11" max="11" width="13" hidden="0" customWidth="1"/>
    <x:col min="12" max="12" width="17" hidden="0" customWidth="1"/>
    <x:col min="13" max="13" width="20" hidden="0" customWidth="1"/>
    <x:col min="14" max="14" width="16" hidden="0" customWidth="1"/>
    <x:col min="15" max="15" width="12" hidden="0" customWidth="1"/>
    <x:col min="16" max="16" width="15" hidden="0" customWidth="1"/>
    <x:col min="17" max="17" width="12" hidden="0" customWidth="1"/>
    <x:col min="18" max="18" width="12" hidden="0" customWidth="1"/>
    <x:col min="19" max="19" width="12" hidden="0" customWidth="1"/>
    <x:col min="20" max="20" width="18" hidden="0" customWidth="1"/>
    <x:col min="21" max="21" width="13" hidden="0" customWidth="1"/>
  </x:cols>
  <x:sheetData>
    <x:row r="2">
      <x:c r="B2" s="3" t="str">
        <x:v>Six-carrier mass, volume, deck and balance closure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B3" s="4" t="str">
        <x:v>Clean-sheet ratings include five-percent mass and three-percent geometry reserves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B6" s="29" t="str">
        <x:v>Carrier</x:v>
      </x:c>
      <x:c r="C6" s="30" t="str">
        <x:v>Mode</x:v>
      </x:c>
      <x:c r="D6" s="30" t="str">
        <x:v>Items</x:v>
      </x:c>
      <x:c r="E6" s="30" t="str">
        <x:v>Mass capacity t</x:v>
      </x:c>
      <x:c r="F6" s="30" t="str">
        <x:v>Loaded t</x:v>
      </x:c>
      <x:c r="G6" s="30" t="str">
        <x:v>Mass use</x:v>
      </x:c>
      <x:c r="H6" s="30" t="str">
        <x:v>Mass reserve</x:v>
      </x:c>
      <x:c r="I6" s="30" t="str">
        <x:v>Volume capacity m3</x:v>
      </x:c>
      <x:c r="J6" s="30" t="str">
        <x:v>Loaded m3</x:v>
      </x:c>
      <x:c r="K6" s="30" t="str">
        <x:v>Volume use</x:v>
      </x:c>
      <x:c r="L6" s="30" t="str">
        <x:v>Volume reserve</x:v>
      </x:c>
      <x:c r="M6" s="30" t="str">
        <x:v>Deck capacity m2</x:v>
      </x:c>
      <x:c r="N6" s="30" t="str">
        <x:v>Used deck m2</x:v>
      </x:c>
      <x:c r="O6" s="30" t="str">
        <x:v>Deck use</x:v>
      </x:c>
      <x:c r="P6" s="30" t="str">
        <x:v>Deck reserve</x:v>
      </x:c>
      <x:c r="Q6" s="30" t="str">
        <x:v>X CG m</x:v>
      </x:c>
      <x:c r="R6" s="30" t="str">
        <x:v>Y CG m</x:v>
      </x:c>
      <x:c r="S6" s="30" t="str">
        <x:v>Z CG m</x:v>
      </x:c>
      <x:c r="T6" s="30" t="str">
        <x:v>Balance result</x:v>
      </x:c>
      <x:c r="U6" s="30" t="str">
        <x:v>Evidence</x:v>
      </x:c>
    </x:row>
    <x:row r="7">
      <x:c r="B7" s="31" t="str">
        <x:v>HBL-A1</x:v>
      </x:c>
      <x:c r="C7" s="31" t="str">
        <x:v>air</x:v>
      </x:c>
      <x:c r="D7" s="31" t="n">
        <x:f>COUNTIFS('Air Load'!$N$7:$N$42,B7)</x:f>
        <x:v>18</x:v>
      </x:c>
      <x:c r="E7" s="41" t="n">
        <x:v>340</x:v>
      </x:c>
      <x:c r="F7" s="41" t="n">
        <x:f>SUMIFS('Air Load'!$J$7:$J$42,'Air Load'!$N$7:$N$42,B7)</x:f>
        <x:v>317.5</x:v>
      </x:c>
      <x:c r="G7" s="46" t="n">
        <x:f>F7/E7</x:f>
        <x:v>0.9338235294117647</x:v>
      </x:c>
      <x:c r="H7" s="46" t="n">
        <x:f>E7/F7-1</x:f>
        <x:v>0.07086614173228356</x:v>
      </x:c>
      <x:c r="I7" s="41" t="n">
        <x:v>1400</x:v>
      </x:c>
      <x:c r="J7" s="41" t="n">
        <x:f>SUMIFS('Air Load'!$K$7:$K$42,'Air Load'!$N$7:$N$42,B7)</x:f>
        <x:v>1354</x:v>
      </x:c>
      <x:c r="K7" s="46" t="n">
        <x:f>J7/I7</x:f>
        <x:v>0.9671428571428572</x:v>
      </x:c>
      <x:c r="L7" s="46" t="n">
        <x:f>I7/J7-1</x:f>
        <x:v>0.033973412112259904</x:v>
      </x:c>
      <x:c r="M7" s="41" t="n">
        <x:v>352</x:v>
      </x:c>
      <x:c r="N7" s="41" t="n">
        <x:f>SUMIFS('Air Load'!$L$7:$L$42,'Air Load'!$N$7:$N$42,B7)</x:f>
        <x:v>312</x:v>
      </x:c>
      <x:c r="O7" s="46" t="n">
        <x:f>N7/M7</x:f>
        <x:v>0.8863636363636364</x:v>
      </x:c>
      <x:c r="P7" s="46" t="n">
        <x:f>M7/N7-1</x:f>
        <x:v>0.1282051282051282</x:v>
      </x:c>
      <x:c r="Q7" s="41" t="n">
        <x:f>SUMIFS('Air Load'!$V$7:$V$42,'Air Load'!$N$7:$N$42,B7)/F7</x:f>
        <x:v>16</x:v>
      </x:c>
      <x:c r="R7" s="41" t="n">
        <x:f>SUMIFS('Air Load'!$W$7:$W$42,'Air Load'!$N$7:$N$42,B7)/F7</x:f>
        <x:v>0</x:v>
      </x:c>
      <x:c r="S7" s="41" t="n">
        <x:f>SUMIFS('Air Load'!$X$7:$X$42,'Air Load'!$N$7:$N$42,B7)/F7</x:f>
        <x:v>2.5269307086614177</x:v>
      </x:c>
      <x:c r="T7" s="47" t="str">
        <x:f>IF(AND(H7&gt;=Assumptions!C18,L7&gt;=Assumptions!C19,P7&gt;=Assumptions!C20,Q7&gt;=15,Q7&lt;=17,ABS(R7)&lt;=Assumptions!C33,S7&lt;=Assumptions!C34),"PASS","FAIL")</x:f>
        <x:v>PASS</x:v>
      </x:c>
      <x:c r="U7" s="48" t="str">
        <x:v>OPEN</x:v>
      </x:c>
    </x:row>
    <x:row r="8">
      <x:c r="B8" s="31" t="str">
        <x:v>HBL-A2</x:v>
      </x:c>
      <x:c r="C8" s="31" t="str">
        <x:v>air</x:v>
      </x:c>
      <x:c r="D8" s="31" t="n">
        <x:f>COUNTIFS('Air Load'!$N$7:$N$42,B8)</x:f>
        <x:v>18</x:v>
      </x:c>
      <x:c r="E8" s="41" t="n">
        <x:v>340</x:v>
      </x:c>
      <x:c r="F8" s="41" t="n">
        <x:f>SUMIFS('Air Load'!$J$7:$J$42,'Air Load'!$N$7:$N$42,B8)</x:f>
        <x:v>317.5</x:v>
      </x:c>
      <x:c r="G8" s="46" t="n">
        <x:f>F8/E8</x:f>
        <x:v>0.9338235294117647</x:v>
      </x:c>
      <x:c r="H8" s="46" t="n">
        <x:f>E8/F8-1</x:f>
        <x:v>0.07086614173228356</x:v>
      </x:c>
      <x:c r="I8" s="41" t="n">
        <x:v>1400</x:v>
      </x:c>
      <x:c r="J8" s="41" t="n">
        <x:f>SUMIFS('Air Load'!$K$7:$K$42,'Air Load'!$N$7:$N$42,B8)</x:f>
        <x:v>1336</x:v>
      </x:c>
      <x:c r="K8" s="46" t="n">
        <x:f>J8/I8</x:f>
        <x:v>0.9542857142857143</x:v>
      </x:c>
      <x:c r="L8" s="46" t="n">
        <x:f>I8/J8-1</x:f>
        <x:v>0.0479041916167664</x:v>
      </x:c>
      <x:c r="M8" s="41" t="n">
        <x:v>352</x:v>
      </x:c>
      <x:c r="N8" s="41" t="n">
        <x:f>SUMIFS('Air Load'!$L$7:$L$42,'Air Load'!$N$7:$N$42,B8)</x:f>
        <x:v>322</x:v>
      </x:c>
      <x:c r="O8" s="46" t="n">
        <x:f>N8/M8</x:f>
        <x:v>0.9147727272727273</x:v>
      </x:c>
      <x:c r="P8" s="46" t="n">
        <x:f>M8/N8-1</x:f>
        <x:v>0.0931677018633541</x:v>
      </x:c>
      <x:c r="Q8" s="41" t="n">
        <x:f>SUMIFS('Air Load'!$V$7:$V$42,'Air Load'!$N$7:$N$42,B8)/F8</x:f>
        <x:v>16</x:v>
      </x:c>
      <x:c r="R8" s="41" t="n">
        <x:f>SUMIFS('Air Load'!$W$7:$W$42,'Air Load'!$N$7:$N$42,B8)/F8</x:f>
        <x:v>0</x:v>
      </x:c>
      <x:c r="S8" s="41" t="n">
        <x:f>SUMIFS('Air Load'!$X$7:$X$42,'Air Load'!$N$7:$N$42,B8)/F8</x:f>
        <x:v>2.4056740157480316</x:v>
      </x:c>
      <x:c r="T8" s="47" t="str">
        <x:f>IF(AND(H8&gt;=Assumptions!C18,L8&gt;=Assumptions!C19,P8&gt;=Assumptions!C20,Q8&gt;=15,Q8&lt;=17,ABS(R8)&lt;=Assumptions!C33,S8&lt;=Assumptions!C34),"PASS","FAIL")</x:f>
        <x:v>PASS</x:v>
      </x:c>
      <x:c r="U8" s="48" t="str">
        <x:v>OPEN</x:v>
      </x:c>
    </x:row>
    <x:row r="9">
      <x:c r="B9" s="31" t="str">
        <x:v>ATUT-B1</x:v>
      </x:c>
      <x:c r="C9" s="31" t="str">
        <x:v>terrain</x:v>
      </x:c>
      <x:c r="D9" s="31" t="n">
        <x:f>COUNTIFS('Terrain Load'!$N$7:$N$42,B9)</x:f>
        <x:v>9</x:v>
      </x:c>
      <x:c r="E9" s="41" t="n">
        <x:v>170</x:v>
      </x:c>
      <x:c r="F9" s="41" t="n">
        <x:f>SUMIFS('Terrain Load'!$J$7:$J$42,'Terrain Load'!$N$7:$N$42,B9)</x:f>
        <x:v>158.75</x:v>
      </x:c>
      <x:c r="G9" s="46" t="n">
        <x:f>F9/E9</x:f>
        <x:v>0.9338235294117647</x:v>
      </x:c>
      <x:c r="H9" s="46" t="n">
        <x:f>E9/F9-1</x:f>
        <x:v>0.07086614173228356</x:v>
      </x:c>
      <x:c r="I9" s="41" t="n">
        <x:v>800</x:v>
      </x:c>
      <x:c r="J9" s="41" t="n">
        <x:f>SUMIFS('Terrain Load'!$K$7:$K$42,'Terrain Load'!$N$7:$N$42,B9)</x:f>
        <x:v>582</x:v>
      </x:c>
      <x:c r="K9" s="46" t="n">
        <x:f>J9/I9</x:f>
        <x:v>0.7275</x:v>
      </x:c>
      <x:c r="L9" s="46" t="n">
        <x:f>I9/J9-1</x:f>
        <x:v>0.3745704467353952</x:v>
      </x:c>
      <x:c r="M9" s="41" t="n">
        <x:v>184</x:v>
      </x:c>
      <x:c r="N9" s="41" t="n">
        <x:f>SUMIFS('Terrain Load'!$L$7:$L$42,'Terrain Load'!$N$7:$N$42,B9)</x:f>
        <x:v>141</x:v>
      </x:c>
      <x:c r="O9" s="46" t="n">
        <x:f>N9/M9</x:f>
        <x:v>0.7663043478260869</x:v>
      </x:c>
      <x:c r="P9" s="46" t="n">
        <x:f>M9/N9-1</x:f>
        <x:v>0.3049645390070923</x:v>
      </x:c>
      <x:c r="Q9" s="41" t="n">
        <x:f>SUMIFS('Terrain Load'!$V$7:$V$42,'Terrain Load'!$N$7:$N$42,B9)/F9</x:f>
        <x:v>10.92755905511811</x:v>
      </x:c>
      <x:c r="R9" s="41" t="n">
        <x:f>SUMIFS('Terrain Load'!$W$7:$W$42,'Terrain Load'!$N$7:$N$42,B9)/F9</x:f>
        <x:v>-0.07559055118110236</x:v>
      </x:c>
      <x:c r="S9" s="41" t="n">
        <x:f>SUMIFS('Terrain Load'!$X$7:$X$42,'Terrain Load'!$N$7:$N$42,B9)/F9</x:f>
        <x:v>2.445077165354331</x:v>
      </x:c>
      <x:c r="T9" s="47" t="str">
        <x:f>IF(AND(H9&gt;=Assumptions!C18,L9&gt;=Assumptions!C19,P9&gt;=Assumptions!C20,Q9&gt;=10.5,Q9&lt;=11.5,ABS(R9)&lt;=Assumptions!C33,S9&lt;=Assumptions!C34),"PASS","FAIL")</x:f>
        <x:v>PASS</x:v>
      </x:c>
      <x:c r="U9" s="48" t="str">
        <x:v>OPEN</x:v>
      </x:c>
    </x:row>
    <x:row r="10">
      <x:c r="B10" s="31" t="str">
        <x:v>ATUT-B2</x:v>
      </x:c>
      <x:c r="C10" s="31" t="str">
        <x:v>terrain</x:v>
      </x:c>
      <x:c r="D10" s="31" t="n">
        <x:f>COUNTIFS('Terrain Load'!$N$7:$N$42,B10)</x:f>
        <x:v>9</x:v>
      </x:c>
      <x:c r="E10" s="41" t="n">
        <x:v>170</x:v>
      </x:c>
      <x:c r="F10" s="41" t="n">
        <x:f>SUMIFS('Terrain Load'!$J$7:$J$42,'Terrain Load'!$N$7:$N$42,B10)</x:f>
        <x:v>158.75</x:v>
      </x:c>
      <x:c r="G10" s="46" t="n">
        <x:f>F10/E10</x:f>
        <x:v>0.9338235294117647</x:v>
      </x:c>
      <x:c r="H10" s="46" t="n">
        <x:f>E10/F10-1</x:f>
        <x:v>0.07086614173228356</x:v>
      </x:c>
      <x:c r="I10" s="41" t="n">
        <x:v>800</x:v>
      </x:c>
      <x:c r="J10" s="41" t="n">
        <x:f>SUMIFS('Terrain Load'!$K$7:$K$42,'Terrain Load'!$N$7:$N$42,B10)</x:f>
        <x:v>772</x:v>
      </x:c>
      <x:c r="K10" s="46" t="n">
        <x:f>J10/I10</x:f>
        <x:v>0.965</x:v>
      </x:c>
      <x:c r="L10" s="46" t="n">
        <x:f>I10/J10-1</x:f>
        <x:v>0.03626943005181338</x:v>
      </x:c>
      <x:c r="M10" s="41" t="n">
        <x:v>184</x:v>
      </x:c>
      <x:c r="N10" s="41" t="n">
        <x:f>SUMIFS('Terrain Load'!$L$7:$L$42,'Terrain Load'!$N$7:$N$42,B10)</x:f>
        <x:v>171</x:v>
      </x:c>
      <x:c r="O10" s="46" t="n">
        <x:f>N10/M10</x:f>
        <x:v>0.9293478260869565</x:v>
      </x:c>
      <x:c r="P10" s="46" t="n">
        <x:f>M10/N10-1</x:f>
        <x:v>0.07602339181286544</x:v>
      </x:c>
      <x:c r="Q10" s="41" t="n">
        <x:f>SUMIFS('Terrain Load'!$V$7:$V$42,'Terrain Load'!$N$7:$N$42,B10)/F10</x:f>
        <x:v>11</x:v>
      </x:c>
      <x:c r="R10" s="41" t="n">
        <x:f>SUMIFS('Terrain Load'!$W$7:$W$42,'Terrain Load'!$N$7:$N$42,B10)/F10</x:f>
        <x:v>-0.012598425196850394</x:v>
      </x:c>
      <x:c r="S10" s="41" t="n">
        <x:f>SUMIFS('Terrain Load'!$X$7:$X$42,'Terrain Load'!$N$7:$N$42,B10)/F10</x:f>
        <x:v>2.6087842519685043</x:v>
      </x:c>
      <x:c r="T10" s="47" t="str">
        <x:f>IF(AND(H10&gt;=Assumptions!C18,L10&gt;=Assumptions!C19,P10&gt;=Assumptions!C20,Q10&gt;=10.5,Q10&lt;=11.5,ABS(R10)&lt;=Assumptions!C33,S10&lt;=Assumptions!C34),"PASS","FAIL")</x:f>
        <x:v>PASS</x:v>
      </x:c>
      <x:c r="U10" s="48" t="str">
        <x:v>OPEN</x:v>
      </x:c>
    </x:row>
    <x:row r="11">
      <x:c r="B11" s="31" t="str">
        <x:v>ATUT-B3</x:v>
      </x:c>
      <x:c r="C11" s="31" t="str">
        <x:v>terrain</x:v>
      </x:c>
      <x:c r="D11" s="31" t="n">
        <x:f>COUNTIFS('Terrain Load'!$N$7:$N$42,B11)</x:f>
        <x:v>9</x:v>
      </x:c>
      <x:c r="E11" s="41" t="n">
        <x:v>170</x:v>
      </x:c>
      <x:c r="F11" s="41" t="n">
        <x:f>SUMIFS('Terrain Load'!$J$7:$J$42,'Terrain Load'!$N$7:$N$42,B11)</x:f>
        <x:v>158.75</x:v>
      </x:c>
      <x:c r="G11" s="46" t="n">
        <x:f>F11/E11</x:f>
        <x:v>0.9338235294117647</x:v>
      </x:c>
      <x:c r="H11" s="46" t="n">
        <x:f>E11/F11-1</x:f>
        <x:v>0.07086614173228356</x:v>
      </x:c>
      <x:c r="I11" s="41" t="n">
        <x:v>800</x:v>
      </x:c>
      <x:c r="J11" s="41" t="n">
        <x:f>SUMIFS('Terrain Load'!$K$7:$K$42,'Terrain Load'!$N$7:$N$42,B11)</x:f>
        <x:v>606</x:v>
      </x:c>
      <x:c r="K11" s="46" t="n">
        <x:f>J11/I11</x:f>
        <x:v>0.7575</x:v>
      </x:c>
      <x:c r="L11" s="46" t="n">
        <x:f>I11/J11-1</x:f>
        <x:v>0.3201320132013201</x:v>
      </x:c>
      <x:c r="M11" s="41" t="n">
        <x:v>184</x:v>
      </x:c>
      <x:c r="N11" s="41" t="n">
        <x:f>SUMIFS('Terrain Load'!$L$7:$L$42,'Terrain Load'!$N$7:$N$42,B11)</x:f>
        <x:v>146</x:v>
      </x:c>
      <x:c r="O11" s="46" t="n">
        <x:f>N11/M11</x:f>
        <x:v>0.7934782608695652</x:v>
      </x:c>
      <x:c r="P11" s="46" t="n">
        <x:f>M11/N11-1</x:f>
        <x:v>0.26027397260273966</x:v>
      </x:c>
      <x:c r="Q11" s="41" t="n">
        <x:f>SUMIFS('Terrain Load'!$V$7:$V$42,'Terrain Load'!$N$7:$N$42,B11)/F11</x:f>
        <x:v>10.694488188976377</x:v>
      </x:c>
      <x:c r="R11" s="41" t="n">
        <x:f>SUMIFS('Terrain Load'!$W$7:$W$42,'Terrain Load'!$N$7:$N$42,B11)/F11</x:f>
        <x:v>0.31496062992125984</x:v>
      </x:c>
      <x:c r="S11" s="41" t="n">
        <x:f>SUMIFS('Terrain Load'!$X$7:$X$42,'Terrain Load'!$N$7:$N$42,B11)/F11</x:f>
        <x:v>2.367694488188976</x:v>
      </x:c>
      <x:c r="T11" s="47" t="str">
        <x:f>IF(AND(H11&gt;=Assumptions!C18,L11&gt;=Assumptions!C19,P11&gt;=Assumptions!C20,Q11&gt;=10.5,Q11&lt;=11.5,ABS(R11)&lt;=Assumptions!C33,S11&lt;=Assumptions!C34),"PASS","FAIL")</x:f>
        <x:v>PASS</x:v>
      </x:c>
      <x:c r="U11" s="48" t="str">
        <x:v>OPEN</x:v>
      </x:c>
    </x:row>
    <x:row r="12">
      <x:c r="B12" s="38" t="str">
        <x:v>ATUT-B4</x:v>
      </x:c>
      <x:c r="C12" s="38" t="str">
        <x:v>terrain</x:v>
      </x:c>
      <x:c r="D12" s="38" t="n">
        <x:f>COUNTIFS('Terrain Load'!$N$7:$N$42,B12)</x:f>
        <x:v>9</x:v>
      </x:c>
      <x:c r="E12" s="42" t="n">
        <x:v>170</x:v>
      </x:c>
      <x:c r="F12" s="42" t="n">
        <x:f>SUMIFS('Terrain Load'!$J$7:$J$42,'Terrain Load'!$N$7:$N$42,B12)</x:f>
        <x:v>158.75</x:v>
      </x:c>
      <x:c r="G12" s="49" t="n">
        <x:f>F12/E12</x:f>
        <x:v>0.9338235294117647</x:v>
      </x:c>
      <x:c r="H12" s="49" t="n">
        <x:f>E12/F12-1</x:f>
        <x:v>0.07086614173228356</x:v>
      </x:c>
      <x:c r="I12" s="42" t="n">
        <x:v>800</x:v>
      </x:c>
      <x:c r="J12" s="42" t="n">
        <x:f>SUMIFS('Terrain Load'!$K$7:$K$42,'Terrain Load'!$N$7:$N$42,B12)</x:f>
        <x:v>730</x:v>
      </x:c>
      <x:c r="K12" s="49" t="n">
        <x:f>J12/I12</x:f>
        <x:v>0.9125</x:v>
      </x:c>
      <x:c r="L12" s="49" t="n">
        <x:f>I12/J12-1</x:f>
        <x:v>0.09589041095890405</x:v>
      </x:c>
      <x:c r="M12" s="42" t="n">
        <x:v>184</x:v>
      </x:c>
      <x:c r="N12" s="42" t="n">
        <x:f>SUMIFS('Terrain Load'!$L$7:$L$42,'Terrain Load'!$N$7:$N$42,B12)</x:f>
        <x:v>176</x:v>
      </x:c>
      <x:c r="O12" s="49" t="n">
        <x:f>N12/M12</x:f>
        <x:v>0.9565217391304348</x:v>
      </x:c>
      <x:c r="P12" s="49" t="n">
        <x:f>M12/N12-1</x:f>
        <x:v>0.045454545454545414</x:v>
      </x:c>
      <x:c r="Q12" s="42" t="n">
        <x:f>SUMIFS('Terrain Load'!$V$7:$V$42,'Terrain Load'!$N$7:$N$42,B12)/F12</x:f>
        <x:v>10.98740157480315</x:v>
      </x:c>
      <x:c r="R12" s="42" t="n">
        <x:f>SUMIFS('Terrain Load'!$W$7:$W$42,'Terrain Load'!$N$7:$N$42,B12)/F12</x:f>
        <x:v>-0.012598425196850394</x:v>
      </x:c>
      <x:c r="S12" s="42" t="n">
        <x:f>SUMIFS('Terrain Load'!$X$7:$X$42,'Terrain Load'!$N$7:$N$42,B12)/F12</x:f>
        <x:v>2.4436535433070863</x:v>
      </x:c>
      <x:c r="T12" s="50" t="str">
        <x:f>IF(AND(H12&gt;=Assumptions!C18,L12&gt;=Assumptions!C19,P12&gt;=Assumptions!C20,Q12&gt;=10.5,Q12&lt;=11.5,ABS(R12)&lt;=Assumptions!C33,S12&lt;=Assumptions!C34),"PASS","FAIL")</x:f>
        <x:v>PASS</x:v>
      </x:c>
      <x:c r="U12" s="51" t="str">
        <x:v>OPEN</x:v>
      </x:c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</x:sheetData>
  <x:conditionalFormatting sqref="T7:T12">
    <x:cfRule type="containsText" dxfId="0" priority="1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45" hidden="0" customWidth="1"/>
    <x:col min="4" max="4" width="39" hidden="0" customWidth="1"/>
    <x:col min="5" max="5" width="14" hidden="0" customWidth="1"/>
    <x:col min="6" max="6" width="14" hidden="0" customWidth="1"/>
    <x:col min="7" max="7" width="24" hidden="0" customWidth="1"/>
    <x:col min="8" max="8" width="31" hidden="0" customWidth="1"/>
    <x:col min="9" max="9" width="31" hidden="0" customWidth="1"/>
    <x:col min="10" max="10" width="27" hidden="0" customWidth="1"/>
    <x:col min="11" max="11" width="13" hidden="0" customWidth="1"/>
  </x:cols>
  <x:sheetData>
    <x:row r="2">
      <x:c r="B2" s="3" t="str">
        <x:v>Origin loading and receiver assembly sequence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Carrier release and public-service release remain different milestones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29" t="str">
        <x:v>Chain</x:v>
      </x:c>
      <x:c r="C6" s="30" t="str">
        <x:v>Sequence</x:v>
      </x:c>
      <x:c r="D6" s="30" t="str">
        <x:v>Task</x:v>
      </x:c>
      <x:c r="E6" s="30" t="str">
        <x:v>Duration h</x:v>
      </x:c>
      <x:c r="F6" s="30" t="str">
        <x:v>Start h</x:v>
      </x:c>
      <x:c r="G6" s="30" t="str">
        <x:v>Finish h</x:v>
      </x:c>
      <x:c r="H6" s="30" t="str">
        <x:v>Primary team</x:v>
      </x:c>
      <x:c r="I6" s="30" t="str">
        <x:v>Required record</x:v>
      </x:c>
      <x:c r="J6" s="30" t="str">
        <x:v>Failure action</x:v>
      </x:c>
      <x:c r="K6" s="30" t="str">
        <x:v>Evidence</x:v>
      </x:c>
    </x:row>
    <x:row r="7">
      <x:c r="B7" s="31" t="str">
        <x:v>AIR</x:v>
      </x:c>
      <x:c r="C7" s="31" t="n">
        <x:v>1</x:v>
      </x:c>
      <x:c r="D7" s="31" t="str">
        <x:v>technical release</x:v>
      </x:c>
      <x:c r="E7" s="31" t="n">
        <x:v>2</x:v>
      </x:c>
      <x:c r="F7" s="31" t="n">
        <x:f>0</x:f>
        <x:v>0</x:v>
      </x:c>
      <x:c r="G7" s="31" t="n">
        <x:f>F7+E7</x:f>
        <x:v>2</x:v>
      </x:c>
      <x:c r="H7" s="31" t="str">
        <x:v>Air release</x:v>
      </x:c>
      <x:c r="I7" s="31" t="str">
        <x:v>signed cell-A configuration</x:v>
      </x:c>
      <x:c r="J7" s="31" t="str">
        <x:v>shift mission to terrain</x:v>
      </x:c>
      <x:c r="K7" s="33" t="str">
        <x:v>OPEN</x:v>
      </x:c>
    </x:row>
    <x:row r="8">
      <x:c r="B8" s="31" t="str">
        <x:v>AIR</x:v>
      </x:c>
      <x:c r="C8" s="31" t="n">
        <x:v>2</x:v>
      </x:c>
      <x:c r="D8" s="31" t="str">
        <x:v>crew muster</x:v>
      </x:c>
      <x:c r="E8" s="31" t="n">
        <x:v>4</x:v>
      </x:c>
      <x:c r="F8" s="31" t="n">
        <x:f>G7</x:f>
        <x:v>2</x:v>
      </x:c>
      <x:c r="G8" s="31" t="n">
        <x:f>F8+E8</x:f>
        <x:v>6</x:v>
      </x:c>
      <x:c r="H8" s="31" t="str">
        <x:v>Air operations</x:v>
      </x:c>
      <x:c r="I8" s="31" t="str">
        <x:v>qualified watch roster</x:v>
      </x:c>
      <x:c r="J8" s="31" t="str">
        <x:v>hold launch</x:v>
      </x:c>
      <x:c r="K8" s="33" t="str">
        <x:v>OPEN</x:v>
      </x:c>
    </x:row>
    <x:row r="9">
      <x:c r="B9" s="31" t="str">
        <x:v>AIR</x:v>
      </x:c>
      <x:c r="C9" s="31" t="n">
        <x:v>3</x:v>
      </x:c>
      <x:c r="D9" s="31" t="str">
        <x:v>retrieve and load dry positions</x:v>
      </x:c>
      <x:c r="E9" s="31" t="n">
        <x:v>5</x:v>
      </x:c>
      <x:c r="F9" s="31" t="n">
        <x:f>G8</x:f>
        <x:v>6</x:v>
      </x:c>
      <x:c r="G9" s="31" t="n">
        <x:f>F9+E9</x:f>
        <x:v>11</x:v>
      </x:c>
      <x:c r="H9" s="31" t="str">
        <x:v>Air load</x:v>
      </x:c>
      <x:c r="I9" s="31" t="str">
        <x:v>thirty-two serial scans</x:v>
      </x:c>
      <x:c r="J9" s="31" t="str">
        <x:v>stop on mismatch</x:v>
      </x:c>
      <x:c r="K9" s="33" t="str">
        <x:v>OPEN</x:v>
      </x:c>
    </x:row>
    <x:row r="10">
      <x:c r="B10" s="31" t="str">
        <x:v>AIR</x:v>
      </x:c>
      <x:c r="C10" s="31" t="n">
        <x:v>4</x:v>
      </x:c>
      <x:c r="D10" s="31" t="str">
        <x:v>load four wet packs</x:v>
      </x:c>
      <x:c r="E10" s="31" t="n">
        <x:v>1</x:v>
      </x:c>
      <x:c r="F10" s="31" t="n">
        <x:f>G9</x:f>
        <x:v>11</x:v>
      </x:c>
      <x:c r="G10" s="31" t="n">
        <x:f>F10+E10</x:f>
        <x:v>12</x:v>
      </x:c>
      <x:c r="H10" s="31" t="str">
        <x:v>Air wet-load</x:v>
      </x:c>
      <x:c r="I10" s="31" t="str">
        <x:v>segregation and seal record</x:v>
      </x:c>
      <x:c r="J10" s="31" t="str">
        <x:v>quarantine wet lot</x:v>
      </x:c>
      <x:c r="K10" s="33" t="str">
        <x:v>OPEN</x:v>
      </x:c>
    </x:row>
    <x:row r="11">
      <x:c r="B11" s="31" t="str">
        <x:v>AIR</x:v>
      </x:c>
      <x:c r="C11" s="31" t="n">
        <x:v>5</x:v>
      </x:c>
      <x:c r="D11" s="31" t="str">
        <x:v>restraint and balance release</x:v>
      </x:c>
      <x:c r="E11" s="31" t="n">
        <x:v>2</x:v>
      </x:c>
      <x:c r="F11" s="31" t="n">
        <x:f>G10</x:f>
        <x:v>12</x:v>
      </x:c>
      <x:c r="G11" s="31" t="n">
        <x:f>F11+E11</x:f>
        <x:v>14</x:v>
      </x:c>
      <x:c r="H11" s="31" t="str">
        <x:v>Load engineering</x:v>
      </x:c>
      <x:c r="I11" s="31" t="str">
        <x:v>calculated and measured CG</x:v>
      </x:c>
      <x:c r="J11" s="31" t="str">
        <x:v>reposition load</x:v>
      </x:c>
      <x:c r="K11" s="33" t="str">
        <x:v>OPEN</x:v>
      </x:c>
    </x:row>
    <x:row r="12">
      <x:c r="B12" s="31" t="str">
        <x:v>AIR</x:v>
      </x:c>
      <x:c r="C12" s="31" t="n">
        <x:v>6</x:v>
      </x:c>
      <x:c r="D12" s="31" t="str">
        <x:v>flight preparation</x:v>
      </x:c>
      <x:c r="E12" s="31" t="n">
        <x:v>2</x:v>
      </x:c>
      <x:c r="F12" s="31" t="n">
        <x:f>G11</x:f>
        <x:v>14</x:v>
      </x:c>
      <x:c r="G12" s="31" t="n">
        <x:f>F12+E12</x:f>
        <x:v>16</x:v>
      </x:c>
      <x:c r="H12" s="31" t="str">
        <x:v>Air control</x:v>
      </x:c>
      <x:c r="I12" s="31" t="str">
        <x:v>weather and mooring release</x:v>
      </x:c>
      <x:c r="J12" s="31" t="str">
        <x:v>abort launch</x:v>
      </x:c>
      <x:c r="K12" s="33" t="str">
        <x:v>OPEN</x:v>
      </x:c>
    </x:row>
    <x:row r="13">
      <x:c r="B13" s="31" t="str">
        <x:v>AIR</x:v>
      </x:c>
      <x:c r="C13" s="31" t="n">
        <x:v>7</x:v>
      </x:c>
      <x:c r="D13" s="31" t="str">
        <x:v>transit and placement</x:v>
      </x:c>
      <x:c r="E13" s="31" t="n">
        <x:v>18</x:v>
      </x:c>
      <x:c r="F13" s="31" t="n">
        <x:f>G12</x:f>
        <x:v>16</x:v>
      </x:c>
      <x:c r="G13" s="31" t="n">
        <x:f>F13+E13</x:f>
        <x:v>34</x:v>
      </x:c>
      <x:c r="H13" s="31" t="str">
        <x:v>HBL watches</x:v>
      </x:c>
      <x:c r="I13" s="31" t="str">
        <x:v>air route and receiver zone</x:v>
      </x:c>
      <x:c r="J13" s="31" t="str">
        <x:v>divert or recover</x:v>
      </x:c>
      <x:c r="K13" s="33" t="str">
        <x:v>OPEN</x:v>
      </x:c>
    </x:row>
    <x:row r="14">
      <x:c r="B14" s="31" t="str">
        <x:v>AIR</x:v>
      </x:c>
      <x:c r="C14" s="31" t="n">
        <x:v>8</x:v>
      </x:c>
      <x:c r="D14" s="31" t="str">
        <x:v>unload and service assembly</x:v>
      </x:c>
      <x:c r="E14" s="31" t="n">
        <x:v>4</x:v>
      </x:c>
      <x:c r="F14" s="31" t="n">
        <x:f>G13</x:f>
        <x:v>34</x:v>
      </x:c>
      <x:c r="G14" s="31" t="n">
        <x:f>F14+E14</x:f>
        <x:v>38</x:v>
      </x:c>
      <x:c r="H14" s="31" t="str">
        <x:v>Air receiver</x:v>
      </x:c>
      <x:c r="I14" s="31" t="str">
        <x:v>unload-wave control</x:v>
      </x:c>
      <x:c r="J14" s="31" t="str">
        <x:v>isolate delayed branch</x:v>
      </x:c>
      <x:c r="K14" s="33" t="str">
        <x:v>OPEN</x:v>
      </x:c>
    </x:row>
    <x:row r="15">
      <x:c r="B15" s="31" t="str">
        <x:v>AIR</x:v>
      </x:c>
      <x:c r="C15" s="31" t="n">
        <x:v>9</x:v>
      </x:c>
      <x:c r="D15" s="31" t="str">
        <x:v>connect, test and public release</x:v>
      </x:c>
      <x:c r="E15" s="31" t="n">
        <x:v>4</x:v>
      </x:c>
      <x:c r="F15" s="31" t="n">
        <x:f>G14</x:f>
        <x:v>38</x:v>
      </x:c>
      <x:c r="G15" s="31" t="n">
        <x:f>F15+E15</x:f>
        <x:v>42</x:v>
      </x:c>
      <x:c r="H15" s="31" t="str">
        <x:v>Air receiver release</x:v>
      </x:c>
      <x:c r="I15" s="31" t="str">
        <x:v>civil acceptance</x:v>
      </x:c>
      <x:c r="J15" s="31" t="str">
        <x:v>withhold unsafe service</x:v>
      </x:c>
      <x:c r="K15" s="33" t="str">
        <x:v>OPEN</x:v>
      </x:c>
    </x:row>
    <x:row r="16">
      <x:c r="B16" s="31" t="str">
        <x:v>TERRAIN</x:v>
      </x:c>
      <x:c r="C16" s="31" t="n">
        <x:v>1</x:v>
      </x:c>
      <x:c r="D16" s="31" t="str">
        <x:v>technical release</x:v>
      </x:c>
      <x:c r="E16" s="31" t="n">
        <x:v>2</x:v>
      </x:c>
      <x:c r="F16" s="31" t="n">
        <x:f>0</x:f>
        <x:v>0</x:v>
      </x:c>
      <x:c r="G16" s="31" t="n">
        <x:f>F16+E16</x:f>
        <x:v>2</x:v>
      </x:c>
      <x:c r="H16" s="31" t="str">
        <x:v>Terrain release</x:v>
      </x:c>
      <x:c r="I16" s="31" t="str">
        <x:v>signed cell-B configuration</x:v>
      </x:c>
      <x:c r="J16" s="31" t="str">
        <x:v>shift mission to air</x:v>
      </x:c>
      <x:c r="K16" s="33" t="str">
        <x:v>OPEN</x:v>
      </x:c>
    </x:row>
    <x:row r="17">
      <x:c r="B17" s="31" t="str">
        <x:v>TERRAIN</x:v>
      </x:c>
      <x:c r="C17" s="31" t="n">
        <x:v>2</x:v>
      </x:c>
      <x:c r="D17" s="31" t="str">
        <x:v>crew muster</x:v>
      </x:c>
      <x:c r="E17" s="31" t="n">
        <x:v>4</x:v>
      </x:c>
      <x:c r="F17" s="31" t="n">
        <x:f>G16</x:f>
        <x:v>2</x:v>
      </x:c>
      <x:c r="G17" s="31" t="n">
        <x:f>F17+E17</x:f>
        <x:v>6</x:v>
      </x:c>
      <x:c r="H17" s="31" t="str">
        <x:v>Terrain operations</x:v>
      </x:c>
      <x:c r="I17" s="31" t="str">
        <x:v>qualified movement roster</x:v>
      </x:c>
      <x:c r="J17" s="31" t="str">
        <x:v>hold route</x:v>
      </x:c>
      <x:c r="K17" s="33" t="str">
        <x:v>OPEN</x:v>
      </x:c>
    </x:row>
    <x:row r="18">
      <x:c r="B18" s="31" t="str">
        <x:v>TERRAIN</x:v>
      </x:c>
      <x:c r="C18" s="31" t="n">
        <x:v>3</x:v>
      </x:c>
      <x:c r="D18" s="31" t="str">
        <x:v>retrieve and load dry positions</x:v>
      </x:c>
      <x:c r="E18" s="31" t="n">
        <x:v>5</x:v>
      </x:c>
      <x:c r="F18" s="31" t="n">
        <x:f>G17</x:f>
        <x:v>6</x:v>
      </x:c>
      <x:c r="G18" s="31" t="n">
        <x:f>F18+E18</x:f>
        <x:v>11</x:v>
      </x:c>
      <x:c r="H18" s="31" t="str">
        <x:v>Terrain load</x:v>
      </x:c>
      <x:c r="I18" s="31" t="str">
        <x:v>thirty-two serial scans</x:v>
      </x:c>
      <x:c r="J18" s="31" t="str">
        <x:v>stop on mismatch</x:v>
      </x:c>
      <x:c r="K18" s="33" t="str">
        <x:v>OPEN</x:v>
      </x:c>
    </x:row>
    <x:row r="19">
      <x:c r="B19" s="31" t="str">
        <x:v>TERRAIN</x:v>
      </x:c>
      <x:c r="C19" s="31" t="n">
        <x:v>4</x:v>
      </x:c>
      <x:c r="D19" s="31" t="str">
        <x:v>load four wet packs</x:v>
      </x:c>
      <x:c r="E19" s="31" t="n">
        <x:v>1</x:v>
      </x:c>
      <x:c r="F19" s="31" t="n">
        <x:f>G18</x:f>
        <x:v>11</x:v>
      </x:c>
      <x:c r="G19" s="31" t="n">
        <x:f>F19+E19</x:f>
        <x:v>12</x:v>
      </x:c>
      <x:c r="H19" s="31" t="str">
        <x:v>Terrain wet-load</x:v>
      </x:c>
      <x:c r="I19" s="31" t="str">
        <x:v>segregation and seal record</x:v>
      </x:c>
      <x:c r="J19" s="31" t="str">
        <x:v>quarantine wet lot</x:v>
      </x:c>
      <x:c r="K19" s="33" t="str">
        <x:v>OPEN</x:v>
      </x:c>
    </x:row>
    <x:row r="20">
      <x:c r="B20" s="31" t="str">
        <x:v>TERRAIN</x:v>
      </x:c>
      <x:c r="C20" s="31" t="n">
        <x:v>5</x:v>
      </x:c>
      <x:c r="D20" s="31" t="str">
        <x:v>restraint and balance release</x:v>
      </x:c>
      <x:c r="E20" s="31" t="n">
        <x:v>2</x:v>
      </x:c>
      <x:c r="F20" s="31" t="n">
        <x:f>G19</x:f>
        <x:v>12</x:v>
      </x:c>
      <x:c r="G20" s="31" t="n">
        <x:f>F20+E20</x:f>
        <x:v>14</x:v>
      </x:c>
      <x:c r="H20" s="31" t="str">
        <x:v>Load engineering</x:v>
      </x:c>
      <x:c r="I20" s="31" t="str">
        <x:v>calculated and measured CG</x:v>
      </x:c>
      <x:c r="J20" s="31" t="str">
        <x:v>reposition load</x:v>
      </x:c>
      <x:c r="K20" s="33" t="str">
        <x:v>OPEN</x:v>
      </x:c>
    </x:row>
    <x:row r="21">
      <x:c r="B21" s="31" t="str">
        <x:v>TERRAIN</x:v>
      </x:c>
      <x:c r="C21" s="31" t="n">
        <x:v>6</x:v>
      </x:c>
      <x:c r="D21" s="31" t="str">
        <x:v>route confirmation</x:v>
      </x:c>
      <x:c r="E21" s="31" t="n">
        <x:v>3</x:v>
      </x:c>
      <x:c r="F21" s="31" t="n">
        <x:f>G20</x:f>
        <x:v>14</x:v>
      </x:c>
      <x:c r="G21" s="31" t="n">
        <x:f>F21+E21</x:f>
        <x:v>17</x:v>
      </x:c>
      <x:c r="H21" s="31" t="str">
        <x:v>Terrain control</x:v>
      </x:c>
      <x:c r="I21" s="31" t="str">
        <x:v>current ground-state map</x:v>
      </x:c>
      <x:c r="J21" s="31" t="str">
        <x:v>reroute or hold</x:v>
      </x:c>
      <x:c r="K21" s="33" t="str">
        <x:v>OPEN</x:v>
      </x:c>
    </x:row>
    <x:row r="22">
      <x:c r="B22" s="31" t="str">
        <x:v>TERRAIN</x:v>
      </x:c>
      <x:c r="C22" s="31" t="n">
        <x:v>7</x:v>
      </x:c>
      <x:c r="D22" s="31" t="str">
        <x:v>traverse and unload</x:v>
      </x:c>
      <x:c r="E22" s="31" t="n">
        <x:v>20</x:v>
      </x:c>
      <x:c r="F22" s="31" t="n">
        <x:f>G21</x:f>
        <x:v>17</x:v>
      </x:c>
      <x:c r="G22" s="31" t="n">
        <x:f>F22+E22</x:f>
        <x:v>37</x:v>
      </x:c>
      <x:c r="H22" s="31" t="str">
        <x:v>Terrain watches</x:v>
      </x:c>
      <x:c r="I22" s="31" t="str">
        <x:v>route and recovery release</x:v>
      </x:c>
      <x:c r="J22" s="31" t="str">
        <x:v>recover or bypass</x:v>
      </x:c>
      <x:c r="K22" s="33" t="str">
        <x:v>OPEN</x:v>
      </x:c>
    </x:row>
    <x:row r="23">
      <x:c r="B23" s="31" t="str">
        <x:v>TERRAIN</x:v>
      </x:c>
      <x:c r="C23" s="31" t="n">
        <x:v>8</x:v>
      </x:c>
      <x:c r="D23" s="31" t="str">
        <x:v>service assembly and connection</x:v>
      </x:c>
      <x:c r="E23" s="31" t="n">
        <x:v>5</x:v>
      </x:c>
      <x:c r="F23" s="31" t="n">
        <x:f>G22</x:f>
        <x:v>37</x:v>
      </x:c>
      <x:c r="G23" s="31" t="n">
        <x:f>F23+E23</x:f>
        <x:v>42</x:v>
      </x:c>
      <x:c r="H23" s="31" t="str">
        <x:v>Terrain receiver</x:v>
      </x:c>
      <x:c r="I23" s="31" t="str">
        <x:v>unload-wave control</x:v>
      </x:c>
      <x:c r="J23" s="31" t="str">
        <x:v>isolate delayed branch</x:v>
      </x:c>
      <x:c r="K23" s="33" t="str">
        <x:v>OPEN</x:v>
      </x:c>
    </x:row>
    <x:row r="24">
      <x:c r="B24" s="38" t="str">
        <x:v>TERRAIN</x:v>
      </x:c>
      <x:c r="C24" s="38" t="n">
        <x:v>9</x:v>
      </x:c>
      <x:c r="D24" s="38" t="str">
        <x:v>test and public release</x:v>
      </x:c>
      <x:c r="E24" s="38" t="n">
        <x:v>3</x:v>
      </x:c>
      <x:c r="F24" s="38" t="n">
        <x:f>G23</x:f>
        <x:v>42</x:v>
      </x:c>
      <x:c r="G24" s="38" t="n">
        <x:f>F24+E24</x:f>
        <x:v>45</x:v>
      </x:c>
      <x:c r="H24" s="38" t="str">
        <x:v>Terrain receiver release</x:v>
      </x:c>
      <x:c r="I24" s="38" t="str">
        <x:v>civil acceptance</x:v>
      </x:c>
      <x:c r="J24" s="38" t="str">
        <x:v>withhold unsafe service</x:v>
      </x:c>
      <x:c r="K24" s="40" t="str">
        <x:v>OPEN</x:v>
      </x:c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B27" s="8" t="str">
        <x:v>Eight-hour receiver build after placement or unload</x:v>
      </x:c>
      <x:c r="C27" s="9" t="str">
        <x:v>Eight-hour receiver build after placement or unload</x:v>
      </x:c>
      <x:c r="D27" s="9" t="str">
        <x:v>Eight-hour receiver build after placement or unload</x:v>
      </x:c>
      <x:c r="E27" s="9" t="str">
        <x:v>Eight-hour receiver build after placement or unload</x:v>
      </x:c>
      <x:c r="F27" s="9" t="str">
        <x:v>Eight-hour receiver build after placement or unload</x:v>
      </x:c>
      <x:c r="G27" s="9" t="str">
        <x:v>Eight-hour receiver build after placement or unload</x:v>
      </x:c>
      <x:c r="H27" s="9" t="str">
        <x:v>Eight-hour receiver build after placement or unload</x:v>
      </x:c>
      <x:c r="I27" s="9" t="str">
        <x:v>Eight-hour receiver build after placement or unload</x:v>
      </x:c>
      <x:c r="J27" s="9" t="str">
        <x:v>Eight-hour receiver build after placement or unload</x:v>
      </x:c>
      <x:c r="K27" s="10" t="str">
        <x:v>Eight-hour receiver build after placement or unload</x:v>
      </x:c>
    </x:row>
    <x:row r="28">
      <x:c r="B28" s="29" t="str">
        <x:v>Wave</x:v>
      </x:c>
      <x:c r="C28" s="30" t="str">
        <x:v>Receiver task</x:v>
      </x:c>
      <x:c r="D28" s="30" t="str">
        <x:v>Duration h</x:v>
      </x:c>
      <x:c r="E28" s="30" t="str">
        <x:v>Start offset h</x:v>
      </x:c>
      <x:c r="F28" s="30" t="str">
        <x:v>Finish offset h</x:v>
      </x:c>
      <x:c r="G28" s="30" t="str">
        <x:v>Predecessor</x:v>
      </x:c>
      <x:c r="H28" s="30" t="str">
        <x:v>Effect</x:v>
      </x:c>
      <x:c r="I28" s="2"/>
      <x:c r="J28" s="2"/>
      <x:c r="K28" s="2"/>
    </x:row>
    <x:row r="29">
      <x:c r="B29" s="31" t="n">
        <x:v>1</x:v>
      </x:c>
      <x:c r="C29" s="31" t="str">
        <x:v>survey, exclusion and civil-control boundary</x:v>
      </x:c>
      <x:c r="D29" s="31" t="n">
        <x:v>1</x:v>
      </x:c>
      <x:c r="E29" s="31" t="n">
        <x:v>0</x:v>
      </x:c>
      <x:c r="F29" s="31" t="n">
        <x:f>D29+E29</x:f>
        <x:v>1</x:v>
      </x:c>
      <x:c r="G29" s="31" t="str">
        <x:v>incident authority</x:v>
      </x:c>
      <x:c r="H29" s="33" t="str">
        <x:v>safe work zone</x:v>
      </x:c>
      <x:c r="I29" s="2"/>
      <x:c r="J29" s="2"/>
      <x:c r="K29" s="2"/>
    </x:row>
    <x:row r="30">
      <x:c r="B30" s="31" t="n">
        <x:v>1</x:v>
      </x:c>
      <x:c r="C30" s="31" t="str">
        <x:v>offline control and communications activation</x:v>
      </x:c>
      <x:c r="D30" s="31" t="n">
        <x:v>1</x:v>
      </x:c>
      <x:c r="E30" s="31" t="n">
        <x:v>0</x:v>
      </x:c>
      <x:c r="F30" s="31" t="n">
        <x:f>D30+E30</x:f>
        <x:v>1</x:v>
      </x:c>
      <x:c r="G30" s="31" t="str">
        <x:v>signed mission package</x:v>
      </x:c>
      <x:c r="H30" s="33" t="str">
        <x:v>local command</x:v>
      </x:c>
      <x:c r="I30" s="2"/>
      <x:c r="J30" s="2"/>
      <x:c r="K30" s="2"/>
    </x:row>
    <x:row r="31">
      <x:c r="B31" s="31" t="n">
        <x:v>2</x:v>
      </x:c>
      <x:c r="C31" s="31" t="str">
        <x:v>black start and medium-voltage protection</x:v>
      </x:c>
      <x:c r="D31" s="31" t="n">
        <x:v>1</x:v>
      </x:c>
      <x:c r="E31" s="31" t="n">
        <x:v>1</x:v>
      </x:c>
      <x:c r="F31" s="31" t="n">
        <x:f>D31+E31</x:f>
        <x:v>2</x:v>
      </x:c>
      <x:c r="G31" s="31" t="str">
        <x:v>wave 1</x:v>
      </x:c>
      <x:c r="H31" s="33" t="str">
        <x:v>energized assembly</x:v>
      </x:c>
      <x:c r="I31" s="2"/>
      <x:c r="J31" s="2"/>
      <x:c r="K31" s="2"/>
    </x:row>
    <x:row r="32">
      <x:c r="B32" s="31" t="n">
        <x:v>3</x:v>
      </x:c>
      <x:c r="C32" s="31" t="str">
        <x:v>distribution and building-interface deployment</x:v>
      </x:c>
      <x:c r="D32" s="31" t="n">
        <x:v>3</x:v>
      </x:c>
      <x:c r="E32" s="31" t="n">
        <x:v>1</x:v>
      </x:c>
      <x:c r="F32" s="31" t="n">
        <x:f>D32+E32</x:f>
        <x:v>4</x:v>
      </x:c>
      <x:c r="G32" s="31" t="str">
        <x:v>wave 1</x:v>
      </x:c>
      <x:c r="H32" s="33" t="str">
        <x:v>reachable service edge</x:v>
      </x:c>
      <x:c r="I32" s="2"/>
      <x:c r="J32" s="2"/>
      <x:c r="K32" s="2"/>
    </x:row>
    <x:row r="33">
      <x:c r="B33" s="31" t="n">
        <x:v>4</x:v>
      </x:c>
      <x:c r="C33" s="31" t="str">
        <x:v>firm power conversion</x:v>
      </x:c>
      <x:c r="D33" s="31" t="n">
        <x:v>3</x:v>
      </x:c>
      <x:c r="E33" s="31" t="n">
        <x:v>2</x:v>
      </x:c>
      <x:c r="F33" s="31" t="n">
        <x:f>D33+E33</x:f>
        <x:v>5</x:v>
      </x:c>
      <x:c r="G33" s="31" t="str">
        <x:v>black start</x:v>
      </x:c>
      <x:c r="H33" s="33" t="str">
        <x:v>electric service</x:v>
      </x:c>
      <x:c r="I33" s="2"/>
      <x:c r="J33" s="2"/>
      <x:c r="K33" s="2"/>
    </x:row>
    <x:row r="34">
      <x:c r="B34" s="31" t="n">
        <x:v>4</x:v>
      </x:c>
      <x:c r="C34" s="31" t="str">
        <x:v>cooling and final heat-rejection field</x:v>
      </x:c>
      <x:c r="D34" s="31" t="n">
        <x:v>4</x:v>
      </x:c>
      <x:c r="E34" s="31" t="n">
        <x:v>2</x:v>
      </x:c>
      <x:c r="F34" s="31" t="n">
        <x:f>D34+E34</x:f>
        <x:v>6</x:v>
      </x:c>
      <x:c r="G34" s="31" t="str">
        <x:v>black start</x:v>
      </x:c>
      <x:c r="H34" s="33" t="str">
        <x:v>thermal service</x:v>
      </x:c>
      <x:c r="I34" s="2"/>
      <x:c r="J34" s="2"/>
      <x:c r="K34" s="2"/>
    </x:row>
    <x:row r="35">
      <x:c r="B35" s="31" t="n">
        <x:v>5</x:v>
      </x:c>
      <x:c r="C35" s="31" t="str">
        <x:v>water, wastewater and storage trains</x:v>
      </x:c>
      <x:c r="D35" s="31" t="n">
        <x:v>4</x:v>
      </x:c>
      <x:c r="E35" s="31" t="n">
        <x:v>3</x:v>
      </x:c>
      <x:c r="F35" s="31" t="n">
        <x:f>D35+E35</x:f>
        <x:v>7</x:v>
      </x:c>
      <x:c r="G35" s="31" t="str">
        <x:v>distribution</x:v>
      </x:c>
      <x:c r="H35" s="33" t="str">
        <x:v>water service</x:v>
      </x:c>
      <x:c r="I35" s="2"/>
      <x:c r="J35" s="2"/>
      <x:c r="K35" s="2"/>
    </x:row>
    <x:row r="36">
      <x:c r="B36" s="31" t="n">
        <x:v>6</x:v>
      </x:c>
      <x:c r="C36" s="31" t="str">
        <x:v>medical, vertical and building final connection</x:v>
      </x:c>
      <x:c r="D36" s="31" t="n">
        <x:v>2</x:v>
      </x:c>
      <x:c r="E36" s="31" t="n">
        <x:v>5</x:v>
      </x:c>
      <x:c r="F36" s="31" t="n">
        <x:f>D36+E36</x:f>
        <x:v>7</x:v>
      </x:c>
      <x:c r="G36" s="31" t="str">
        <x:v>power and distribution</x:v>
      </x:c>
      <x:c r="H36" s="33" t="str">
        <x:v>occupied-service bundle</x:v>
      </x:c>
      <x:c r="I36" s="2"/>
      <x:c r="J36" s="2"/>
      <x:c r="K36" s="2"/>
    </x:row>
    <x:row r="37">
      <x:c r="B37" s="38" t="n">
        <x:v>7</x:v>
      </x:c>
      <x:c r="C37" s="38" t="str">
        <x:v>integrated assay, test and public release</x:v>
      </x:c>
      <x:c r="D37" s="38" t="n">
        <x:v>1</x:v>
      </x:c>
      <x:c r="E37" s="38" t="n">
        <x:v>7</x:v>
      </x:c>
      <x:c r="F37" s="38" t="n">
        <x:f>D37+E37</x:f>
        <x:v>8</x:v>
      </x:c>
      <x:c r="G37" s="38" t="str">
        <x:v>all prior waves</x:v>
      </x:c>
      <x:c r="H37" s="40" t="str">
        <x:v>accepted service</x:v>
      </x:c>
      <x:c r="I37" s="2"/>
      <x:c r="J37" s="2"/>
      <x:c r="K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</x:sheetData>
  <x:mergeCells>
    <x:mergeCell ref="B27:K2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16" hidden="0" customWidth="1"/>
    <x:col min="4" max="4" width="21" hidden="0" customWidth="1"/>
    <x:col min="5" max="5" width="19" hidden="0" customWidth="1"/>
    <x:col min="6" max="6" width="17" hidden="0" customWidth="1"/>
    <x:col min="7" max="7" width="15" hidden="0" customWidth="1"/>
    <x:col min="8" max="8" width="16" hidden="0" customWidth="1"/>
    <x:col min="9" max="9" width="18" hidden="0" customWidth="1"/>
    <x:col min="10" max="10" width="19" hidden="0" customWidth="1"/>
    <x:col min="11" max="11" width="20" hidden="0" customWidth="1"/>
    <x:col min="12" max="12" width="22" hidden="0" customWidth="1"/>
    <x:col min="13" max="13" width="12" hidden="0" customWidth="1"/>
    <x:col min="14" max="14" width="18" hidden="0" customWidth="1"/>
    <x:col min="15" max="15" width="22" hidden="0" customWidth="1"/>
    <x:col min="16" max="16" width="13" hidden="0" customWidth="1"/>
  </x:cols>
  <x:sheetData>
    <x:row r="2">
      <x:c r="B2" s="3" t="str">
        <x:v>Separated air and terrain origin nodes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B3" s="4" t="str">
        <x:v>A common standard does not authorize a common base, energy lineage, loader or release chain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B6" s="29" t="str">
        <x:v>Node</x:v>
      </x:c>
      <x:c r="C6" s="30" t="str">
        <x:v>National nodes</x:v>
      </x:c>
      <x:c r="D6" s="30" t="str">
        <x:v>Vehicles/node</x:v>
      </x:c>
      <x:c r="E6" s="30" t="str">
        <x:v>Site footprint km2</x:v>
      </x:c>
      <x:c r="F6" s="30" t="str">
        <x:v>Load pads or towers</x:v>
      </x:c>
      <x:c r="G6" s="30" t="str">
        <x:v>Dry positions</x:v>
      </x:c>
      <x:c r="H6" s="30" t="str">
        <x:v>Wet cells</x:v>
      </x:c>
      <x:c r="I6" s="30" t="str">
        <x:v>Firm power MW</x:v>
      </x:c>
      <x:c r="J6" s="30" t="str">
        <x:v>Black start MWh</x:v>
      </x:c>
      <x:c r="K6" s="30" t="str">
        <x:v>Control partition</x:v>
      </x:c>
      <x:c r="L6" s="30" t="str">
        <x:v>Release authority</x:v>
      </x:c>
      <x:c r="M6" s="30" t="str">
        <x:v>Interface</x:v>
      </x:c>
      <x:c r="N6" s="30" t="str">
        <x:v>Capital/node $B</x:v>
      </x:c>
      <x:c r="O6" s="30" t="str">
        <x:v>Annual O&amp;S/node $B</x:v>
      </x:c>
      <x:c r="P6" s="30" t="str">
        <x:v>Evidence</x:v>
      </x:c>
    </x:row>
    <x:row r="7">
      <x:c r="B7" s="31" t="str">
        <x:v>Air arsenal and buoyant-lift base</x:v>
      </x:c>
      <x:c r="C7" s="31" t="n">
        <x:v>43</x:v>
      </x:c>
      <x:c r="D7" s="31" t="n">
        <x:v>2</x:v>
      </x:c>
      <x:c r="E7" s="31" t="n">
        <x:v>2.2</x:v>
      </x:c>
      <x:c r="F7" s="31" t="n">
        <x:v>2</x:v>
      </x:c>
      <x:c r="G7" s="31" t="n">
        <x:v>32</x:v>
      </x:c>
      <x:c r="H7" s="31" t="n">
        <x:v>4</x:v>
      </x:c>
      <x:c r="I7" s="31" t="n">
        <x:v>18</x:v>
      </x:c>
      <x:c r="J7" s="31" t="n">
        <x:v>48</x:v>
      </x:c>
      <x:c r="K7" s="31" t="str">
        <x:v>AIR-A</x:v>
      </x:c>
      <x:c r="L7" s="31" t="str">
        <x:v>Air technical release</x:v>
      </x:c>
      <x:c r="M7" s="31" t="str">
        <x:v>I-A</x:v>
      </x:c>
      <x:c r="N7" s="53" t="n">
        <x:v>0.86</x:v>
      </x:c>
      <x:c r="O7" s="53" t="n">
        <x:v>0.045</x:v>
      </x:c>
      <x:c r="P7" s="33" t="str">
        <x:v>OPEN</x:v>
      </x:c>
    </x:row>
    <x:row r="8">
      <x:c r="B8" s="38" t="str">
        <x:v>Terrain arsenal and recovery base</x:v>
      </x:c>
      <x:c r="C8" s="38" t="n">
        <x:v>43</x:v>
      </x:c>
      <x:c r="D8" s="38" t="n">
        <x:v>4</x:v>
      </x:c>
      <x:c r="E8" s="38" t="n">
        <x:v>1.1</x:v>
      </x:c>
      <x:c r="F8" s="38" t="n">
        <x:v>4</x:v>
      </x:c>
      <x:c r="G8" s="38" t="n">
        <x:v>32</x:v>
      </x:c>
      <x:c r="H8" s="38" t="n">
        <x:v>4</x:v>
      </x:c>
      <x:c r="I8" s="38" t="n">
        <x:v>10</x:v>
      </x:c>
      <x:c r="J8" s="38" t="n">
        <x:v>30</x:v>
      </x:c>
      <x:c r="K8" s="38" t="str">
        <x:v>LAND-B</x:v>
      </x:c>
      <x:c r="L8" s="38" t="str">
        <x:v>Terrain technical release</x:v>
      </x:c>
      <x:c r="M8" s="38" t="str">
        <x:v>I-B</x:v>
      </x:c>
      <x:c r="N8" s="54" t="n">
        <x:v>0.52</x:v>
      </x:c>
      <x:c r="O8" s="54" t="n">
        <x:v>0.035</x:v>
      </x:c>
      <x:c r="P8" s="40" t="str">
        <x:v>OPEN</x:v>
      </x:c>
    </x:row>
    <x:row r="9"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B11" s="8" t="str">
        <x:v>Capital construction per paired package</x:v>
      </x:c>
      <x:c r="C11" s="9" t="str">
        <x:v>Capital construction per paired package</x:v>
      </x:c>
      <x:c r="D11" s="9" t="str">
        <x:v>Capital construction per paired package</x:v>
      </x:c>
      <x:c r="E11" s="9" t="str">
        <x:v>Capital construction per paired package</x:v>
      </x:c>
      <x:c r="F11" s="9" t="str">
        <x:v>Capital construction per paired package</x:v>
      </x:c>
      <x:c r="G11" s="9" t="str">
        <x:v>Capital construction per paired package</x:v>
      </x:c>
      <x:c r="H11" s="10" t="str">
        <x:v>Capital construction per paired package</x:v>
      </x:c>
      <x:c r="I11" s="2"/>
      <x:c r="J11" s="2"/>
      <x:c r="K11" s="2"/>
      <x:c r="L11" s="2"/>
      <x:c r="M11" s="2"/>
      <x:c r="N11" s="2"/>
      <x:c r="O11" s="2"/>
      <x:c r="P11" s="2"/>
    </x:row>
    <x:row r="12">
      <x:c r="B12" s="29" t="str">
        <x:v>Mode</x:v>
      </x:c>
      <x:c r="C12" s="30" t="str">
        <x:v>Capital element</x:v>
      </x:c>
      <x:c r="D12" s="30" t="str">
        <x:v>Unit $B</x:v>
      </x:c>
      <x:c r="E12" s="30" t="str">
        <x:v>Program $B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B13" s="31" t="str">
        <x:v>AIR</x:v>
      </x:c>
      <x:c r="C13" s="31" t="str">
        <x:v>mooring and flight field</x:v>
      </x:c>
      <x:c r="D13" s="53" t="n">
        <x:v>0.3</x:v>
      </x:c>
      <x:c r="E13" s="55" t="n">
        <x:f>D13*Assumptions!C38</x:f>
        <x:v>12.9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B14" s="31" t="str">
        <x:v>AIR</x:v>
      </x:c>
      <x:c r="C14" s="31" t="str">
        <x:v>two lift towers and robotic transfer</x:v>
      </x:c>
      <x:c r="D14" s="53" t="n">
        <x:v>0.18</x:v>
      </x:c>
      <x:c r="E14" s="55" t="n">
        <x:f>D14*Assumptions!C38</x:f>
        <x:v>7.739999999999999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B15" s="31" t="str">
        <x:v>AIR</x:v>
      </x:c>
      <x:c r="C15" s="31" t="str">
        <x:v>two load decks</x:v>
      </x:c>
      <x:c r="D15" s="53" t="n">
        <x:v>0.08</x:v>
      </x:c>
      <x:c r="E15" s="55" t="n">
        <x:f>D15*Assumptions!C38</x:f>
        <x:v>3.44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B16" s="31" t="str">
        <x:v>AIR</x:v>
      </x:c>
      <x:c r="C16" s="31" t="str">
        <x:v>separated payload storage</x:v>
      </x:c>
      <x:c r="D16" s="53" t="n">
        <x:v>0.12</x:v>
      </x:c>
      <x:c r="E16" s="55" t="n">
        <x:f>D16*Assumptions!C38</x:f>
        <x:v>5.16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B17" s="31" t="str">
        <x:v>AIR</x:v>
      </x:c>
      <x:c r="C17" s="31" t="str">
        <x:v>energy and black start</x:v>
      </x:c>
      <x:c r="D17" s="53" t="n">
        <x:v>0.11</x:v>
      </x:c>
      <x:c r="E17" s="55" t="n">
        <x:f>D17*Assumptions!C38</x:f>
        <x:v>4.73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B18" s="31" t="str">
        <x:v>AIR</x:v>
      </x:c>
      <x:c r="C18" s="31" t="str">
        <x:v>safety and decontamination</x:v>
      </x:c>
      <x:c r="D18" s="53" t="n">
        <x:v>0.07</x:v>
      </x:c>
      <x:c r="E18" s="55" t="n">
        <x:f>D18*Assumptions!C38</x:f>
        <x:v>3.0100000000000002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B19" s="31" t="str">
        <x:v>TERRAIN</x:v>
      </x:c>
      <x:c r="C19" s="31" t="str">
        <x:v>route and recovery field</x:v>
      </x:c>
      <x:c r="D19" s="53" t="n">
        <x:v>0.12</x:v>
      </x:c>
      <x:c r="E19" s="55" t="n">
        <x:f>D19*Assumptions!C38</x:f>
        <x:v>5.16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B20" s="31" t="str">
        <x:v>TERRAIN</x:v>
      </x:c>
      <x:c r="C20" s="31" t="str">
        <x:v>four side-load pads</x:v>
      </x:c>
      <x:c r="D20" s="53" t="n">
        <x:v>0.1</x:v>
      </x:c>
      <x:c r="E20" s="55" t="n">
        <x:f>D20*Assumptions!C38</x:f>
        <x:v>4.3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B21" s="31" t="str">
        <x:v>TERRAIN</x:v>
      </x:c>
      <x:c r="C21" s="31" t="str">
        <x:v>separated payload storage</x:v>
      </x:c>
      <x:c r="D21" s="53" t="n">
        <x:v>0.12</x:v>
      </x:c>
      <x:c r="E21" s="55" t="n">
        <x:f>D21*Assumptions!C38</x:f>
        <x:v>5.16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B22" s="31" t="str">
        <x:v>TERRAIN</x:v>
      </x:c>
      <x:c r="C22" s="31" t="str">
        <x:v>energy and black start</x:v>
      </x:c>
      <x:c r="D22" s="53" t="n">
        <x:v>0.07</x:v>
      </x:c>
      <x:c r="E22" s="55" t="n">
        <x:f>D22*Assumptions!C38</x:f>
        <x:v>3.0100000000000002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B23" s="38" t="str">
        <x:v>TERRAIN</x:v>
      </x:c>
      <x:c r="C23" s="38" t="str">
        <x:v>depot and decontamination</x:v>
      </x:c>
      <x:c r="D23" s="54" t="n">
        <x:v>0.11</x:v>
      </x:c>
      <x:c r="E23" s="56" t="n">
        <x:f>D23*Assumptions!C38</x:f>
        <x:v>4.73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B26" s="29" t="str">
        <x:v>Independence requirement</x:v>
      </x:c>
      <x:c r="C26" s="30" t="str">
        <x:v>Value</x:v>
      </x:c>
      <x:c r="D26" s="30" t="str">
        <x:v>Unit</x:v>
      </x:c>
      <x:c r="E26" s="30" t="str">
        <x:v>Air lineage</x:v>
      </x:c>
      <x:c r="F26" s="30" t="str">
        <x:v>Terrain lineage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B27" s="31" t="str">
        <x:v>minimum paired-node separation</x:v>
      </x:c>
      <x:c r="C27" s="31" t="n">
        <x:v>160</x:v>
      </x:c>
      <x:c r="D27" s="31" t="str">
        <x:v>km</x:v>
      </x:c>
      <x:c r="E27" s="31" t="str">
        <x:v>Air region A</x:v>
      </x:c>
      <x:c r="F27" s="33" t="str">
        <x:v>Land region B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B28" s="31" t="str">
        <x:v>firm-energy ancestry</x:v>
      </x:c>
      <x:c r="C28" s="31" t="n">
        <x:v>2</x:v>
      </x:c>
      <x:c r="D28" s="31" t="str">
        <x:v>lineages</x:v>
      </x:c>
      <x:c r="E28" s="31" t="str">
        <x:v>hydrogen-electric A</x:v>
      </x:c>
      <x:c r="F28" s="33" t="str">
        <x:v>liquid-electric B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B29" s="31" t="str">
        <x:v>loading systems</x:v>
      </x:c>
      <x:c r="C29" s="31" t="n">
        <x:v>2</x:v>
      </x:c>
      <x:c r="D29" s="31" t="str">
        <x:v>families</x:v>
      </x:c>
      <x:c r="E29" s="31" t="str">
        <x:v>lift-tower rail grid</x:v>
      </x:c>
      <x:c r="F29" s="33" t="str">
        <x:v>side-load platform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B30" s="31" t="str">
        <x:v>technical release</x:v>
      </x:c>
      <x:c r="C30" s="31" t="n">
        <x:v>2</x:v>
      </x:c>
      <x:c r="D30" s="31" t="str">
        <x:v>authorities</x:v>
      </x:c>
      <x:c r="E30" s="31" t="str">
        <x:v>Air release</x:v>
      </x:c>
      <x:c r="F30" s="33" t="str">
        <x:v>Terrain release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B31" s="38" t="str">
        <x:v>configuration reconstruction</x:v>
      </x:c>
      <x:c r="C31" s="38" t="n">
        <x:v>2</x:v>
      </x:c>
      <x:c r="D31" s="38" t="str">
        <x:v>offline copies</x:v>
      </x:c>
      <x:c r="E31" s="38" t="str">
        <x:v>A signed record</x:v>
      </x:c>
      <x:c r="F31" s="40" t="str">
        <x:v>B signed record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</x:sheetData>
  <x:mergeCells>
    <x:mergeCell ref="B11:H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0" hidden="0" customWidth="1"/>
    <x:col min="3" max="3" width="18" hidden="0" customWidth="1"/>
    <x:col min="4" max="4" width="19" hidden="0" customWidth="1"/>
    <x:col min="5" max="5" width="21" hidden="0" customWidth="1"/>
    <x:col min="6" max="6" width="15" hidden="0" customWidth="1"/>
    <x:col min="7" max="7" width="22" hidden="0" customWidth="1"/>
    <x:col min="8" max="8" width="16" hidden="0" customWidth="1"/>
    <x:col min="9" max="9" width="13" hidden="0" customWidth="1"/>
  </x:cols>
  <x:sheetData>
    <x:row r="2">
      <x:c r="B2" s="3" t="str">
        <x:v>Dual-zone unprepared receiver envelope</x:v>
      </x:c>
      <x:c r="C2" s="2"/>
      <x:c r="D2" s="2"/>
      <x:c r="E2" s="2"/>
      <x:c r="F2" s="2"/>
      <x:c r="G2" s="2"/>
      <x:c r="H2" s="2"/>
      <x:c r="I2" s="2"/>
    </x:row>
    <x:row r="3">
      <x:c r="B3" s="4" t="str">
        <x:v>Either mode must reach the same public-service district without using the other mode's entry zone</x:v>
      </x:c>
      <x:c r="C3" s="4"/>
      <x:c r="D3" s="4"/>
      <x:c r="E3" s="4"/>
      <x:c r="F3" s="4"/>
      <x:c r="G3" s="4"/>
      <x:c r="H3" s="4"/>
      <x:c r="I3" s="4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29" t="str">
        <x:v>Requirement</x:v>
      </x:c>
      <x:c r="C6" s="30" t="str">
        <x:v>Air zone</x:v>
      </x:c>
      <x:c r="D6" s="30" t="str">
        <x:v>Terrain zone</x:v>
      </x:c>
      <x:c r="E6" s="30" t="str">
        <x:v>Joint service yard</x:v>
      </x:c>
      <x:c r="F6" s="30" t="str">
        <x:v>Unit</x:v>
      </x:c>
      <x:c r="G6" s="30" t="str">
        <x:v>Declared threshold</x:v>
      </x:c>
      <x:c r="H6" s="30" t="str">
        <x:v>Behavior</x:v>
      </x:c>
      <x:c r="I6" s="30" t="str">
        <x:v>Evidence</x:v>
      </x:c>
    </x:row>
    <x:row r="7">
      <x:c r="B7" s="31" t="str">
        <x:v>mode-specific entry zones</x:v>
      </x:c>
      <x:c r="C7" s="31" t="n">
        <x:v>1</x:v>
      </x:c>
      <x:c r="D7" s="31" t="n">
        <x:v>1</x:v>
      </x:c>
      <x:c r="E7" s="31" t="n">
        <x:v>0</x:v>
      </x:c>
      <x:c r="F7" s="31" t="str">
        <x:v>zones</x:v>
      </x:c>
      <x:c r="G7" s="31" t="n">
        <x:v>2</x:v>
      </x:c>
      <x:c r="H7" s="31" t="str">
        <x:v>PASS</x:v>
      </x:c>
      <x:c r="I7" s="33" t="str">
        <x:v>OPEN</x:v>
      </x:c>
    </x:row>
    <x:row r="8">
      <x:c r="B8" s="31" t="str">
        <x:v>entry-zone separation</x:v>
      </x:c>
      <x:c r="C8" s="31"/>
      <x:c r="D8" s="31"/>
      <x:c r="E8" s="31" t="n">
        <x:v>5</x:v>
      </x:c>
      <x:c r="F8" s="31" t="str">
        <x:v>km</x:v>
      </x:c>
      <x:c r="G8" s="31" t="n">
        <x:v>5</x:v>
      </x:c>
      <x:c r="H8" s="31" t="str">
        <x:v>PASS</x:v>
      </x:c>
      <x:c r="I8" s="33" t="str">
        <x:v>OPEN</x:v>
      </x:c>
    </x:row>
    <x:row r="9">
      <x:c r="B9" s="31" t="str">
        <x:v>clear transfer length</x:v>
      </x:c>
      <x:c r="C9" s="31" t="n">
        <x:v>420</x:v>
      </x:c>
      <x:c r="D9" s="31" t="n">
        <x:v>200</x:v>
      </x:c>
      <x:c r="E9" s="31" t="n">
        <x:v>260</x:v>
      </x:c>
      <x:c r="F9" s="31" t="str">
        <x:v>m</x:v>
      </x:c>
      <x:c r="G9" s="31" t="str">
        <x:v>mode specific</x:v>
      </x:c>
      <x:c r="H9" s="31" t="str">
        <x:v>DECLARED</x:v>
      </x:c>
      <x:c r="I9" s="33" t="str">
        <x:v>OPEN</x:v>
      </x:c>
    </x:row>
    <x:row r="10">
      <x:c r="B10" s="31" t="str">
        <x:v>clear transfer width</x:v>
      </x:c>
      <x:c r="C10" s="31" t="n">
        <x:v>420</x:v>
      </x:c>
      <x:c r="D10" s="31" t="n">
        <x:v>100</x:v>
      </x:c>
      <x:c r="E10" s="31" t="n">
        <x:v>180</x:v>
      </x:c>
      <x:c r="F10" s="31" t="str">
        <x:v>m</x:v>
      </x:c>
      <x:c r="G10" s="31" t="str">
        <x:v>mode specific</x:v>
      </x:c>
      <x:c r="H10" s="31" t="str">
        <x:v>DECLARED</x:v>
      </x:c>
      <x:c r="I10" s="33" t="str">
        <x:v>OPEN</x:v>
      </x:c>
    </x:row>
    <x:row r="11">
      <x:c r="B11" s="31" t="str">
        <x:v>clear or assembly area</x:v>
      </x:c>
      <x:c r="C11" s="31" t="n">
        <x:v>176400</x:v>
      </x:c>
      <x:c r="D11" s="31" t="n">
        <x:v>20000</x:v>
      </x:c>
      <x:c r="E11" s="31" t="n">
        <x:v>46800</x:v>
      </x:c>
      <x:c r="F11" s="31" t="str">
        <x:v>m2</x:v>
      </x:c>
      <x:c r="G11" s="31" t="str">
        <x:v>mode specific</x:v>
      </x:c>
      <x:c r="H11" s="31" t="str">
        <x:v>DECLARED</x:v>
      </x:c>
      <x:c r="I11" s="33" t="str">
        <x:v>OPEN</x:v>
      </x:c>
    </x:row>
    <x:row r="12">
      <x:c r="B12" s="31" t="str">
        <x:v>approach-clearance radius</x:v>
      </x:c>
      <x:c r="C12" s="31" t="n">
        <x:v>4</x:v>
      </x:c>
      <x:c r="D12" s="31"/>
      <x:c r="E12" s="31"/>
      <x:c r="F12" s="31" t="str">
        <x:v>km</x:v>
      </x:c>
      <x:c r="G12" s="31" t="n">
        <x:v>4</x:v>
      </x:c>
      <x:c r="H12" s="31" t="str">
        <x:v>PASS</x:v>
      </x:c>
      <x:c r="I12" s="33" t="str">
        <x:v>OPEN</x:v>
      </x:c>
    </x:row>
    <x:row r="13">
      <x:c r="B13" s="31" t="str">
        <x:v>minimum access width</x:v>
      </x:c>
      <x:c r="C13" s="31"/>
      <x:c r="D13" s="31" t="n">
        <x:v>12</x:v>
      </x:c>
      <x:c r="E13" s="31"/>
      <x:c r="F13" s="31" t="str">
        <x:v>m</x:v>
      </x:c>
      <x:c r="G13" s="31" t="n">
        <x:v>12</x:v>
      </x:c>
      <x:c r="H13" s="31" t="str">
        <x:v>PASS</x:v>
      </x:c>
      <x:c r="I13" s="33" t="str">
        <x:v>OPEN</x:v>
      </x:c>
    </x:row>
    <x:row r="14">
      <x:c r="B14" s="31" t="str">
        <x:v>minimum bearing capacity</x:v>
      </x:c>
      <x:c r="C14" s="31" t="n">
        <x:v>60</x:v>
      </x:c>
      <x:c r="D14" s="31" t="n">
        <x:v>60</x:v>
      </x:c>
      <x:c r="E14" s="31" t="n">
        <x:v>60</x:v>
      </x:c>
      <x:c r="F14" s="31" t="str">
        <x:v>kPa</x:v>
      </x:c>
      <x:c r="G14" s="31" t="n">
        <x:v>60</x:v>
      </x:c>
      <x:c r="H14" s="31" t="str">
        <x:v>PASS</x:v>
      </x:c>
      <x:c r="I14" s="33" t="str">
        <x:v>OPEN</x:v>
      </x:c>
    </x:row>
    <x:row r="15">
      <x:c r="B15" s="31" t="str">
        <x:v>maximum operating slope</x:v>
      </x:c>
      <x:c r="C15" s="31" t="n">
        <x:v>2</x:v>
      </x:c>
      <x:c r="D15" s="31" t="n">
        <x:v>6</x:v>
      </x:c>
      <x:c r="E15" s="31" t="n">
        <x:v>3</x:v>
      </x:c>
      <x:c r="F15" s="31" t="str">
        <x:v>percent</x:v>
      </x:c>
      <x:c r="G15" s="31" t="n">
        <x:v>6</x:v>
      </x:c>
      <x:c r="H15" s="31" t="str">
        <x:v>PASS</x:v>
      </x:c>
      <x:c r="I15" s="33" t="str">
        <x:v>OPEN</x:v>
      </x:c>
    </x:row>
    <x:row r="16">
      <x:c r="B16" s="31" t="str">
        <x:v>simultaneous transfer or unload pads</x:v>
      </x:c>
      <x:c r="C16" s="31" t="n">
        <x:v>2</x:v>
      </x:c>
      <x:c r="D16" s="31" t="n">
        <x:v>4</x:v>
      </x:c>
      <x:c r="E16" s="31" t="n">
        <x:v>4</x:v>
      </x:c>
      <x:c r="F16" s="31" t="str">
        <x:v>pads</x:v>
      </x:c>
      <x:c r="G16" s="31" t="n">
        <x:v>2</x:v>
      </x:c>
      <x:c r="H16" s="31" t="str">
        <x:v>PASS</x:v>
      </x:c>
      <x:c r="I16" s="33" t="str">
        <x:v>OPEN</x:v>
      </x:c>
    </x:row>
    <x:row r="17">
      <x:c r="B17" s="31" t="str">
        <x:v>external interface implementation</x:v>
      </x:c>
      <x:c r="C17" s="31" t="str">
        <x:v>I-A</x:v>
      </x:c>
      <x:c r="D17" s="31" t="str">
        <x:v>I-B</x:v>
      </x:c>
      <x:c r="E17" s="31" t="str">
        <x:v>dual gallery</x:v>
      </x:c>
      <x:c r="F17" s="31" t="str">
        <x:v>identity</x:v>
      </x:c>
      <x:c r="G17" s="31" t="n">
        <x:v>2</x:v>
      </x:c>
      <x:c r="H17" s="31" t="str">
        <x:v>PASS</x:v>
      </x:c>
      <x:c r="I17" s="33" t="str">
        <x:v>OPEN</x:v>
      </x:c>
    </x:row>
    <x:row r="18">
      <x:c r="B18" s="31" t="str">
        <x:v>public-service release teams</x:v>
      </x:c>
      <x:c r="C18" s="31" t="n">
        <x:v>1</x:v>
      </x:c>
      <x:c r="D18" s="31" t="n">
        <x:v>1</x:v>
      </x:c>
      <x:c r="E18" s="31" t="n">
        <x:v>0</x:v>
      </x:c>
      <x:c r="F18" s="31" t="str">
        <x:v>teams</x:v>
      </x:c>
      <x:c r="G18" s="31" t="n">
        <x:v>2</x:v>
      </x:c>
      <x:c r="H18" s="31" t="str">
        <x:v>PASS</x:v>
      </x:c>
      <x:c r="I18" s="33" t="str">
        <x:v>OPEN</x:v>
      </x:c>
    </x:row>
    <x:row r="19">
      <x:c r="B19" s="31" t="str">
        <x:v>offline operating period</x:v>
      </x:c>
      <x:c r="C19" s="31" t="n">
        <x:v>72</x:v>
      </x:c>
      <x:c r="D19" s="31" t="n">
        <x:v>72</x:v>
      </x:c>
      <x:c r="E19" s="31" t="n">
        <x:v>72</x:v>
      </x:c>
      <x:c r="F19" s="31" t="str">
        <x:v>h</x:v>
      </x:c>
      <x:c r="G19" s="31" t="n">
        <x:v>72</x:v>
      </x:c>
      <x:c r="H19" s="31" t="str">
        <x:v>PASS</x:v>
      </x:c>
      <x:c r="I19" s="33" t="str">
        <x:v>OPEN</x:v>
      </x:c>
    </x:row>
    <x:row r="20">
      <x:c r="B20" s="38" t="str">
        <x:v>maximum receiver build</x:v>
      </x:c>
      <x:c r="C20" s="38" t="n">
        <x:v>8</x:v>
      </x:c>
      <x:c r="D20" s="38" t="n">
        <x:v>8</x:v>
      </x:c>
      <x:c r="E20" s="38" t="n">
        <x:v>8</x:v>
      </x:c>
      <x:c r="F20" s="38" t="str">
        <x:v>h</x:v>
      </x:c>
      <x:c r="G20" s="38" t="n">
        <x:v>8</x:v>
      </x:c>
      <x:c r="H20" s="38" t="str">
        <x:v>PASS</x:v>
      </x:c>
      <x:c r="I20" s="40" t="str">
        <x:v>OPEN</x:v>
      </x:c>
    </x:row>
    <x:row r="21">
      <x:c r="B21" s="2"/>
      <x:c r="C21" s="2"/>
      <x:c r="D21" s="2"/>
      <x:c r="E21" s="2"/>
      <x:c r="F21" s="2"/>
      <x:c r="G21" s="2"/>
      <x:c r="H21" s="2"/>
      <x:c r="I21" s="2"/>
    </x:row>
    <x:row r="22">
      <x:c r="B22" s="2"/>
      <x:c r="C22" s="2"/>
      <x:c r="D22" s="2"/>
      <x:c r="E22" s="2"/>
      <x:c r="F22" s="2"/>
      <x:c r="G22" s="2"/>
      <x:c r="H22" s="2"/>
      <x:c r="I22" s="2"/>
    </x:row>
    <x:row r="23">
      <x:c r="B23" s="2"/>
      <x:c r="C23" s="2"/>
      <x:c r="D23" s="2"/>
      <x:c r="E23" s="2"/>
      <x:c r="F23" s="2"/>
      <x:c r="G23" s="2"/>
      <x:c r="H23" s="2"/>
      <x:c r="I23" s="2"/>
    </x:row>
    <x:row r="24">
      <x:c r="B24" s="2"/>
      <x:c r="C24" s="2"/>
      <x:c r="D24" s="2"/>
      <x:c r="E24" s="2"/>
      <x:c r="F24" s="2"/>
      <x:c r="G24" s="2"/>
      <x:c r="H24" s="2"/>
      <x:c r="I24" s="2"/>
    </x:row>
    <x:row r="25">
      <x:c r="B25" s="2"/>
      <x:c r="C25" s="2"/>
      <x:c r="D25" s="2"/>
      <x:c r="E25" s="2"/>
      <x:c r="F25" s="2"/>
      <x:c r="G25" s="2"/>
      <x:c r="H25" s="2"/>
      <x:c r="I25" s="2"/>
    </x:row>
    <x:row r="26">
      <x:c r="B26" s="2"/>
      <x:c r="C26" s="2"/>
      <x:c r="D26" s="2"/>
      <x:c r="E26" s="2"/>
      <x:c r="F26" s="2"/>
      <x:c r="G26" s="2"/>
      <x:c r="H26" s="2"/>
      <x:c r="I26" s="2"/>
    </x:row>
    <x:row r="27">
      <x:c r="B27" s="2"/>
      <x:c r="C27" s="2"/>
      <x:c r="D27" s="2"/>
      <x:c r="E27" s="2"/>
      <x:c r="F27" s="2"/>
      <x:c r="G27" s="2"/>
      <x:c r="H27" s="2"/>
      <x:c r="I27" s="2"/>
    </x:row>
    <x:row r="28">
      <x:c r="B28" s="2"/>
      <x:c r="C28" s="2"/>
      <x:c r="D28" s="2"/>
      <x:c r="E28" s="2"/>
      <x:c r="F28" s="2"/>
      <x:c r="G28" s="2"/>
      <x:c r="H28" s="2"/>
      <x:c r="I28" s="2"/>
    </x:row>
    <x:row r="29">
      <x:c r="B29" s="2"/>
      <x:c r="C29" s="2"/>
      <x:c r="D29" s="2"/>
      <x:c r="E29" s="2"/>
      <x:c r="F29" s="2"/>
      <x:c r="G29" s="2"/>
      <x:c r="H29" s="2"/>
      <x:c r="I29" s="2"/>
    </x:row>
    <x:row r="30">
      <x:c r="B30" s="2"/>
      <x:c r="C30" s="2"/>
      <x:c r="D30" s="2"/>
      <x:c r="E30" s="2"/>
      <x:c r="F30" s="2"/>
      <x:c r="G30" s="2"/>
      <x:c r="H30" s="2"/>
      <x:c r="I30" s="2"/>
    </x:row>
    <x:row r="31">
      <x:c r="B31" s="2"/>
      <x:c r="C31" s="2"/>
      <x:c r="D31" s="2"/>
      <x:c r="E31" s="2"/>
      <x:c r="F31" s="2"/>
      <x:c r="G31" s="2"/>
      <x:c r="H31" s="2"/>
      <x:c r="I31" s="2"/>
    </x:row>
    <x:row r="32">
      <x:c r="B32" s="2"/>
      <x:c r="C32" s="2"/>
      <x:c r="D32" s="2"/>
      <x:c r="E32" s="2"/>
      <x:c r="F32" s="2"/>
      <x:c r="G32" s="2"/>
      <x:c r="H32" s="2"/>
      <x:c r="I32" s="2"/>
    </x:row>
    <x:row r="33">
      <x:c r="B33" s="2"/>
      <x:c r="C33" s="2"/>
      <x:c r="D33" s="2"/>
      <x:c r="E33" s="2"/>
      <x:c r="F33" s="2"/>
      <x:c r="G33" s="2"/>
      <x:c r="H33" s="2"/>
      <x:c r="I33" s="2"/>
    </x:row>
    <x:row r="34">
      <x:c r="B34" s="2"/>
      <x:c r="C34" s="2"/>
      <x:c r="D34" s="2"/>
      <x:c r="E34" s="2"/>
      <x:c r="F34" s="2"/>
      <x:c r="G34" s="2"/>
      <x:c r="H34" s="2"/>
      <x:c r="I34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0" hidden="0" customWidth="1"/>
    <x:col min="3" max="3" width="16" hidden="0" customWidth="1"/>
    <x:col min="4" max="4" width="23" hidden="0" customWidth="1"/>
    <x:col min="5" max="5" width="20" hidden="0" customWidth="1"/>
    <x:col min="6" max="6" width="20" hidden="0" customWidth="1"/>
    <x:col min="7" max="7" width="20" hidden="0" customWidth="1"/>
    <x:col min="8" max="8" width="16" hidden="0" customWidth="1"/>
    <x:col min="9" max="9" width="13" hidden="0" customWidth="1"/>
    <x:col min="10" max="10" width="15" hidden="0" customWidth="1"/>
    <x:col min="11" max="11" width="13" hidden="0" customWidth="1"/>
  </x:cols>
  <x:sheetData>
    <x:row r="2">
      <x:c r="B2" s="3" t="str">
        <x:v>Second-region service-entry clock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Each path begins only when region B activates at absolute hour six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29" t="str">
        <x:v>Path</x:v>
      </x:c>
      <x:c r="C6" s="30" t="str">
        <x:v>Activation h</x:v>
      </x:c>
      <x:c r="D6" s="30" t="str">
        <x:v>Origin and transit h</x:v>
      </x:c>
      <x:c r="E6" s="30" t="str">
        <x:v>Receiver build h</x:v>
      </x:c>
      <x:c r="F6" s="30" t="str">
        <x:v>Relative service h</x:v>
      </x:c>
      <x:c r="G6" s="30" t="str">
        <x:v>Absolute service h</x:v>
      </x:c>
      <x:c r="H6" s="30" t="str">
        <x:v>Deadline h</x:v>
      </x:c>
      <x:c r="I6" s="30" t="str">
        <x:v>Margin h</x:v>
      </x:c>
      <x:c r="J6" s="30" t="str">
        <x:v>Behavior</x:v>
      </x:c>
      <x:c r="K6" s="30" t="str">
        <x:v>Evidence</x:v>
      </x:c>
    </x:row>
    <x:row r="7">
      <x:c r="B7" s="31" t="str">
        <x:v>AIR cell A</x:v>
      </x:c>
      <x:c r="C7" s="31" t="n">
        <x:f>Assumptions!C9</x:f>
        <x:v>6</x:v>
      </x:c>
      <x:c r="D7" s="31" t="n">
        <x:f>'Load and Assemble'!G13</x:f>
        <x:v>34</x:v>
      </x:c>
      <x:c r="E7" s="31" t="n">
        <x:f>MAX('Load and Assemble'!F29:F37)</x:f>
        <x:v>8</x:v>
      </x:c>
      <x:c r="F7" s="31" t="n">
        <x:f>D7+E7</x:f>
        <x:v>42</x:v>
      </x:c>
      <x:c r="G7" s="31" t="n">
        <x:f>C7+F7</x:f>
        <x:v>48</x:v>
      </x:c>
      <x:c r="H7" s="31" t="n">
        <x:f>Assumptions!C10</x:f>
        <x:v>54</x:v>
      </x:c>
      <x:c r="I7" s="31" t="n">
        <x:f>H7-G7</x:f>
        <x:v>6</x:v>
      </x:c>
      <x:c r="J7" s="47" t="str">
        <x:f>IF(I7&gt;=0,"PASS","FAIL")</x:f>
        <x:v>PASS</x:v>
      </x:c>
      <x:c r="K7" s="48" t="str">
        <x:v>OPEN</x:v>
      </x:c>
    </x:row>
    <x:row r="8">
      <x:c r="B8" s="38" t="str">
        <x:v>TERRAIN cell B</x:v>
      </x:c>
      <x:c r="C8" s="38" t="n">
        <x:f>Assumptions!C9</x:f>
        <x:v>6</x:v>
      </x:c>
      <x:c r="D8" s="38" t="n">
        <x:f>'Load and Assemble'!G22</x:f>
        <x:v>37</x:v>
      </x:c>
      <x:c r="E8" s="38" t="n">
        <x:f>MAX('Load and Assemble'!F29:F37)</x:f>
        <x:v>8</x:v>
      </x:c>
      <x:c r="F8" s="38" t="n">
        <x:f>D8+E8</x:f>
        <x:v>45</x:v>
      </x:c>
      <x:c r="G8" s="38" t="n">
        <x:f>C8+F8</x:f>
        <x:v>51</x:v>
      </x:c>
      <x:c r="H8" s="38" t="n">
        <x:f>Assumptions!C10</x:f>
        <x:v>54</x:v>
      </x:c>
      <x:c r="I8" s="38" t="n">
        <x:f>H8-G8</x:f>
        <x:v>3</x:v>
      </x:c>
      <x:c r="J8" s="50" t="str">
        <x:f>IF(I8&gt;=0,"PASS","FAIL")</x:f>
        <x:v>PASS</x:v>
      </x:c>
      <x:c r="K8" s="51" t="str">
        <x:v>OPEN</x:v>
      </x:c>
    </x:row>
    <x:row r="9"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</x:sheetData>
  <x:conditionalFormatting sqref="J7:J8">
    <x:cfRule type="containsText" dxfId="1" priority="1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  <x:col min="7" max="7" width="30" hidden="0" customWidth="1"/>
    <x:col min="8" max="8" width="13" hidden="0" customWidth="1"/>
    <x:col min="9" max="9" width="15" hidden="0" customWidth="1"/>
    <x:col min="10" max="10" width="22" hidden="0" customWidth="1"/>
    <x:col min="11" max="11" width="22" hidden="0" customWidth="1"/>
    <x:col min="12" max="12" width="13" hidden="0" customWidth="1"/>
  </x:cols>
  <x:sheetData>
    <x:row r="2">
      <x:c r="B2" s="3" t="str">
        <x:v>DCP-2 workforce and duty-cycle closure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Mode-specific crews and receiver release teams remain separate inside the 486-person deployed boundary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29" t="str">
        <x:v>Role</x:v>
      </x:c>
      <x:c r="C6" s="30" t="str">
        <x:v>Deployed</x:v>
      </x:c>
      <x:c r="D6" s="30" t="str">
        <x:v>Affiliated</x:v>
      </x:c>
      <x:c r="E6" s="30" t="str">
        <x:v>Minimum watch</x:v>
      </x:c>
      <x:c r="F6" s="30" t="str">
        <x:v>Lineage</x:v>
      </x:c>
      <x:c r="G6" s="30" t="str">
        <x:v>Casualty substitute</x:v>
      </x:c>
      <x:c r="H6" s="30" t="str">
        <x:v>Evidence</x:v>
      </x:c>
      <x:c r="I6" s="2"/>
      <x:c r="J6" s="2"/>
      <x:c r="K6" s="2"/>
      <x:c r="L6" s="2"/>
    </x:row>
    <x:row r="7">
      <x:c r="B7" s="31" t="str">
        <x:v>Formation command</x:v>
      </x:c>
      <x:c r="C7" s="31" t="n">
        <x:v>24</x:v>
      </x:c>
      <x:c r="D7" s="31" t="n">
        <x:v>48</x:v>
      </x:c>
      <x:c r="E7" s="31" t="n">
        <x:v>8</x:v>
      </x:c>
      <x:c r="F7" s="31" t="str">
        <x:v>joint with offline succession</x:v>
      </x:c>
      <x:c r="G7" s="31" t="str">
        <x:v>alternate command cell</x:v>
      </x:c>
      <x:c r="H7" s="33" t="str">
        <x:v>OPEN</x:v>
      </x:c>
      <x:c r="I7" s="2"/>
      <x:c r="J7" s="2"/>
      <x:c r="K7" s="2"/>
      <x:c r="L7" s="2"/>
    </x:row>
    <x:row r="8">
      <x:c r="B8" s="31" t="str">
        <x:v>Atmospheric operations</x:v>
      </x:c>
      <x:c r="C8" s="31" t="n">
        <x:v>78</x:v>
      </x:c>
      <x:c r="D8" s="31" t="n">
        <x:v>174</x:v>
      </x:c>
      <x:c r="E8" s="31" t="n">
        <x:v>24</x:v>
      </x:c>
      <x:c r="F8" s="31" t="str">
        <x:v>air A</x:v>
      </x:c>
      <x:c r="G8" s="31" t="str">
        <x:v>second onboard watch</x:v>
      </x:c>
      <x:c r="H8" s="33" t="str">
        <x:v>OPEN</x:v>
      </x:c>
      <x:c r="I8" s="2"/>
      <x:c r="J8" s="2"/>
      <x:c r="K8" s="2"/>
      <x:c r="L8" s="2"/>
    </x:row>
    <x:row r="9">
      <x:c r="B9" s="31" t="str">
        <x:v>Terrain operations</x:v>
      </x:c>
      <x:c r="C9" s="31" t="n">
        <x:v>88</x:v>
      </x:c>
      <x:c r="D9" s="31" t="n">
        <x:v>194</x:v>
      </x:c>
      <x:c r="E9" s="31" t="n">
        <x:v>26</x:v>
      </x:c>
      <x:c r="F9" s="31" t="str">
        <x:v>land B</x:v>
      </x:c>
      <x:c r="G9" s="31" t="str">
        <x:v>third movement watch</x:v>
      </x:c>
      <x:c r="H9" s="33" t="str">
        <x:v>OPEN</x:v>
      </x:c>
      <x:c r="I9" s="2"/>
      <x:c r="J9" s="2"/>
      <x:c r="K9" s="2"/>
      <x:c r="L9" s="2"/>
    </x:row>
    <x:row r="10">
      <x:c r="B10" s="31" t="str">
        <x:v>Air payload custody and loading</x:v>
      </x:c>
      <x:c r="C10" s="31" t="n">
        <x:v>48</x:v>
      </x:c>
      <x:c r="D10" s="31" t="n">
        <x:v>105</x:v>
      </x:c>
      <x:c r="E10" s="31" t="n">
        <x:v>16</x:v>
      </x:c>
      <x:c r="F10" s="31" t="str">
        <x:v>arsenal A</x:v>
      </x:c>
      <x:c r="G10" s="31" t="str">
        <x:v>alternate lift-tower crew</x:v>
      </x:c>
      <x:c r="H10" s="33" t="str">
        <x:v>OPEN</x:v>
      </x:c>
      <x:c r="I10" s="2"/>
      <x:c r="J10" s="2"/>
      <x:c r="K10" s="2"/>
      <x:c r="L10" s="2"/>
    </x:row>
    <x:row r="11">
      <x:c r="B11" s="31" t="str">
        <x:v>Terrain payload custody and loading</x:v>
      </x:c>
      <x:c r="C11" s="31" t="n">
        <x:v>48</x:v>
      </x:c>
      <x:c r="D11" s="31" t="n">
        <x:v>105</x:v>
      </x:c>
      <x:c r="E11" s="31" t="n">
        <x:v>16</x:v>
      </x:c>
      <x:c r="F11" s="31" t="str">
        <x:v>arsenal B</x:v>
      </x:c>
      <x:c r="G11" s="31" t="str">
        <x:v>alternate side-load crew</x:v>
      </x:c>
      <x:c r="H11" s="33" t="str">
        <x:v>OPEN</x:v>
      </x:c>
      <x:c r="I11" s="2"/>
      <x:c r="J11" s="2"/>
      <x:c r="K11" s="2"/>
      <x:c r="L11" s="2"/>
    </x:row>
    <x:row r="12">
      <x:c r="B12" s="31" t="str">
        <x:v>Air receiver service and release</x:v>
      </x:c>
      <x:c r="C12" s="31" t="n">
        <x:v>41</x:v>
      </x:c>
      <x:c r="D12" s="31" t="n">
        <x:v>90</x:v>
      </x:c>
      <x:c r="E12" s="31" t="n">
        <x:v>14</x:v>
      </x:c>
      <x:c r="F12" s="31" t="str">
        <x:v>receiver A</x:v>
      </x:c>
      <x:c r="G12" s="31" t="str">
        <x:v>independent release deputy</x:v>
      </x:c>
      <x:c r="H12" s="33" t="str">
        <x:v>OPEN</x:v>
      </x:c>
      <x:c r="I12" s="2"/>
      <x:c r="J12" s="2"/>
      <x:c r="K12" s="2"/>
      <x:c r="L12" s="2"/>
    </x:row>
    <x:row r="13">
      <x:c r="B13" s="31" t="str">
        <x:v>Terrain receiver service and release</x:v>
      </x:c>
      <x:c r="C13" s="31" t="n">
        <x:v>41</x:v>
      </x:c>
      <x:c r="D13" s="31" t="n">
        <x:v>90</x:v>
      </x:c>
      <x:c r="E13" s="31" t="n">
        <x:v>14</x:v>
      </x:c>
      <x:c r="F13" s="31" t="str">
        <x:v>receiver B</x:v>
      </x:c>
      <x:c r="G13" s="31" t="str">
        <x:v>independent release deputy</x:v>
      </x:c>
      <x:c r="H13" s="33" t="str">
        <x:v>OPEN</x:v>
      </x:c>
      <x:c r="I13" s="2"/>
      <x:c r="J13" s="2"/>
      <x:c r="K13" s="2"/>
      <x:c r="L13" s="2"/>
    </x:row>
    <x:row r="14">
      <x:c r="B14" s="31" t="str">
        <x:v>Air maintenance and recovery</x:v>
      </x:c>
      <x:c r="C14" s="31" t="n">
        <x:v>32</x:v>
      </x:c>
      <x:c r="D14" s="31" t="n">
        <x:v>76</x:v>
      </x:c>
      <x:c r="E14" s="31" t="n">
        <x:v>10</x:v>
      </x:c>
      <x:c r="F14" s="31" t="str">
        <x:v>air depot</x:v>
      </x:c>
      <x:c r="G14" s="31" t="str">
        <x:v>mobile repair section</x:v>
      </x:c>
      <x:c r="H14" s="33" t="str">
        <x:v>OPEN</x:v>
      </x:c>
      <x:c r="I14" s="2"/>
      <x:c r="J14" s="2"/>
      <x:c r="K14" s="2"/>
      <x:c r="L14" s="2"/>
    </x:row>
    <x:row r="15">
      <x:c r="B15" s="31" t="str">
        <x:v>Terrain maintenance and recovery</x:v>
      </x:c>
      <x:c r="C15" s="31" t="n">
        <x:v>38</x:v>
      </x:c>
      <x:c r="D15" s="31" t="n">
        <x:v>88</x:v>
      </x:c>
      <x:c r="E15" s="31" t="n">
        <x:v>12</x:v>
      </x:c>
      <x:c r="F15" s="31" t="str">
        <x:v>land depot</x:v>
      </x:c>
      <x:c r="G15" s="31" t="str">
        <x:v>mobile recovery section</x:v>
      </x:c>
      <x:c r="H15" s="33" t="str">
        <x:v>OPEN</x:v>
      </x:c>
      <x:c r="I15" s="2"/>
      <x:c r="J15" s="2"/>
      <x:c r="K15" s="2"/>
      <x:c r="L15" s="2"/>
    </x:row>
    <x:row r="16">
      <x:c r="B16" s="38" t="str">
        <x:v>Medical, safety and communications</x:v>
      </x:c>
      <x:c r="C16" s="38" t="n">
        <x:v>48</x:v>
      </x:c>
      <x:c r="D16" s="38" t="n">
        <x:v>95</x:v>
      </x:c>
      <x:c r="E16" s="38" t="n">
        <x:v>18</x:v>
      </x:c>
      <x:c r="F16" s="38" t="str">
        <x:v>two mode sections</x:v>
      </x:c>
      <x:c r="G16" s="38" t="str">
        <x:v>cross-qualified reserve</x:v>
      </x:c>
      <x:c r="H16" s="40" t="str">
        <x:v>OPEN</x:v>
      </x:c>
      <x:c r="I16" s="2"/>
      <x:c r="J16" s="2"/>
      <x:c r="K16" s="2"/>
      <x:c r="L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B19" s="8" t="str">
        <x:v>Representative duty assignments</x:v>
      </x:c>
      <x:c r="C19" s="9" t="str">
        <x:v>Representative duty assignments</x:v>
      </x:c>
      <x:c r="D19" s="9" t="str">
        <x:v>Representative duty assignments</x:v>
      </x:c>
      <x:c r="E19" s="9" t="str">
        <x:v>Representative duty assignments</x:v>
      </x:c>
      <x:c r="F19" s="9" t="str">
        <x:v>Representative duty assignments</x:v>
      </x:c>
      <x:c r="G19" s="9" t="str">
        <x:v>Representative duty assignments</x:v>
      </x:c>
      <x:c r="H19" s="9" t="str">
        <x:v>Representative duty assignments</x:v>
      </x:c>
      <x:c r="I19" s="9" t="str">
        <x:v>Representative duty assignments</x:v>
      </x:c>
      <x:c r="J19" s="9" t="str">
        <x:v>Representative duty assignments</x:v>
      </x:c>
      <x:c r="K19" s="9" t="str">
        <x:v>Representative duty assignments</x:v>
      </x:c>
      <x:c r="L19" s="10" t="str">
        <x:v>Representative duty assignments</x:v>
      </x:c>
    </x:row>
    <x:row r="20">
      <x:c r="B20" s="29" t="str">
        <x:v>Assignment</x:v>
      </x:c>
      <x:c r="C20" s="30" t="str">
        <x:v>Mode</x:v>
      </x:c>
      <x:c r="D20" s="30" t="str">
        <x:v>Start h</x:v>
      </x:c>
      <x:c r="E20" s="30" t="str">
        <x:v>Finish h</x:v>
      </x:c>
      <x:c r="F20" s="30" t="str">
        <x:v>Duty h</x:v>
      </x:c>
      <x:c r="G20" s="30" t="str">
        <x:v>Pre-duty rest h</x:v>
      </x:c>
      <x:c r="H20" s="30" t="str">
        <x:v>Maximum h</x:v>
      </x:c>
      <x:c r="I20" s="30" t="str">
        <x:v>Duty result</x:v>
      </x:c>
      <x:c r="J20" s="30" t="str">
        <x:v>Team</x:v>
      </x:c>
      <x:c r="K20" s="30" t="str">
        <x:v>Relief</x:v>
      </x:c>
      <x:c r="L20" s="30" t="str">
        <x:v>Evidence</x:v>
      </x:c>
    </x:row>
    <x:row r="21">
      <x:c r="B21" s="31" t="str">
        <x:v>Air technical release</x:v>
      </x:c>
      <x:c r="C21" s="31" t="str">
        <x:v>AIR</x:v>
      </x:c>
      <x:c r="D21" s="31" t="n">
        <x:v>0</x:v>
      </x:c>
      <x:c r="E21" s="31" t="n">
        <x:v>2</x:v>
      </x:c>
      <x:c r="F21" s="31" t="n">
        <x:f>E21-D21</x:f>
        <x:v>2</x:v>
      </x:c>
      <x:c r="G21" s="31" t="n">
        <x:v>12</x:v>
      </x:c>
      <x:c r="H21" s="31" t="n">
        <x:v>12</x:v>
      </x:c>
      <x:c r="I21" s="31" t="str">
        <x:f>IF(AND(F21&lt;=H21,G21&gt;=10),"PASS","FAIL")</x:f>
        <x:v>PASS</x:v>
      </x:c>
      <x:c r="J21" s="31" t="str">
        <x:v>Air release</x:v>
      </x:c>
      <x:c r="K21" s="31" t="str">
        <x:v>none during window</x:v>
      </x:c>
      <x:c r="L21" s="33" t="str">
        <x:v>OPEN</x:v>
      </x:c>
    </x:row>
    <x:row r="22">
      <x:c r="B22" s="31" t="str">
        <x:v>Air load team</x:v>
      </x:c>
      <x:c r="C22" s="31" t="str">
        <x:v>AIR</x:v>
      </x:c>
      <x:c r="D22" s="31" t="n">
        <x:v>6</x:v>
      </x:c>
      <x:c r="E22" s="31" t="n">
        <x:v>14</x:v>
      </x:c>
      <x:c r="F22" s="31" t="n">
        <x:f>E22-D22</x:f>
        <x:v>8</x:v>
      </x:c>
      <x:c r="G22" s="31" t="n">
        <x:v>12</x:v>
      </x:c>
      <x:c r="H22" s="31" t="n">
        <x:v>12</x:v>
      </x:c>
      <x:c r="I22" s="31" t="str">
        <x:f>IF(AND(F22&lt;=H22,G22&gt;=10),"PASS","FAIL")</x:f>
        <x:v>PASS</x:v>
      </x:c>
      <x:c r="J22" s="31" t="str">
        <x:v>Air load</x:v>
      </x:c>
      <x:c r="K22" s="31" t="str">
        <x:v>receiver team separate</x:v>
      </x:c>
      <x:c r="L22" s="33" t="str">
        <x:v>OPEN</x:v>
      </x:c>
    </x:row>
    <x:row r="23">
      <x:c r="B23" s="31" t="str">
        <x:v>HBL watch A</x:v>
      </x:c>
      <x:c r="C23" s="31" t="str">
        <x:v>AIR</x:v>
      </x:c>
      <x:c r="D23" s="31" t="n">
        <x:v>14</x:v>
      </x:c>
      <x:c r="E23" s="31" t="n">
        <x:v>24</x:v>
      </x:c>
      <x:c r="F23" s="31" t="n">
        <x:f>E23-D23</x:f>
        <x:v>10</x:v>
      </x:c>
      <x:c r="G23" s="31" t="n">
        <x:v>12</x:v>
      </x:c>
      <x:c r="H23" s="31" t="n">
        <x:v>12</x:v>
      </x:c>
      <x:c r="I23" s="31" t="str">
        <x:f>IF(AND(F23&lt;=H23,G23&gt;=10),"PASS","FAIL")</x:f>
        <x:v>PASS</x:v>
      </x:c>
      <x:c r="J23" s="31" t="str">
        <x:v>Air operations A</x:v>
      </x:c>
      <x:c r="K23" s="31" t="str">
        <x:v>watch B</x:v>
      </x:c>
      <x:c r="L23" s="33" t="str">
        <x:v>OPEN</x:v>
      </x:c>
    </x:row>
    <x:row r="24">
      <x:c r="B24" s="31" t="str">
        <x:v>HBL watch B</x:v>
      </x:c>
      <x:c r="C24" s="31" t="str">
        <x:v>AIR</x:v>
      </x:c>
      <x:c r="D24" s="31" t="n">
        <x:v>24</x:v>
      </x:c>
      <x:c r="E24" s="31" t="n">
        <x:v>34</x:v>
      </x:c>
      <x:c r="F24" s="31" t="n">
        <x:f>E24-D24</x:f>
        <x:v>10</x:v>
      </x:c>
      <x:c r="G24" s="31" t="n">
        <x:v>12</x:v>
      </x:c>
      <x:c r="H24" s="31" t="n">
        <x:v>12</x:v>
      </x:c>
      <x:c r="I24" s="31" t="str">
        <x:f>IF(AND(F24&lt;=H24,G24&gt;=10),"PASS","FAIL")</x:f>
        <x:v>PASS</x:v>
      </x:c>
      <x:c r="J24" s="31" t="str">
        <x:v>Air operations B</x:v>
      </x:c>
      <x:c r="K24" s="31" t="str">
        <x:v>receiver team</x:v>
      </x:c>
      <x:c r="L24" s="33" t="str">
        <x:v>OPEN</x:v>
      </x:c>
    </x:row>
    <x:row r="25">
      <x:c r="B25" s="31" t="str">
        <x:v>Air receiver team</x:v>
      </x:c>
      <x:c r="C25" s="31" t="str">
        <x:v>AIR</x:v>
      </x:c>
      <x:c r="D25" s="31" t="n">
        <x:v>34</x:v>
      </x:c>
      <x:c r="E25" s="31" t="n">
        <x:v>42</x:v>
      </x:c>
      <x:c r="F25" s="31" t="n">
        <x:f>E25-D25</x:f>
        <x:v>8</x:v>
      </x:c>
      <x:c r="G25" s="31" t="n">
        <x:v>12</x:v>
      </x:c>
      <x:c r="H25" s="31" t="n">
        <x:v>12</x:v>
      </x:c>
      <x:c r="I25" s="31" t="str">
        <x:f>IF(AND(F25&lt;=H25,G25&gt;=10),"PASS","FAIL")</x:f>
        <x:v>PASS</x:v>
      </x:c>
      <x:c r="J25" s="31" t="str">
        <x:v>Air receiver</x:v>
      </x:c>
      <x:c r="K25" s="31" t="str">
        <x:v>deputy release</x:v>
      </x:c>
      <x:c r="L25" s="33" t="str">
        <x:v>OPEN</x:v>
      </x:c>
    </x:row>
    <x:row r="26">
      <x:c r="B26" s="31" t="str">
        <x:v>Terrain technical release</x:v>
      </x:c>
      <x:c r="C26" s="31" t="str">
        <x:v>TERRAIN</x:v>
      </x:c>
      <x:c r="D26" s="31" t="n">
        <x:v>0</x:v>
      </x:c>
      <x:c r="E26" s="31" t="n">
        <x:v>2</x:v>
      </x:c>
      <x:c r="F26" s="31" t="n">
        <x:f>E26-D26</x:f>
        <x:v>2</x:v>
      </x:c>
      <x:c r="G26" s="31" t="n">
        <x:v>12</x:v>
      </x:c>
      <x:c r="H26" s="31" t="n">
        <x:v>12</x:v>
      </x:c>
      <x:c r="I26" s="31" t="str">
        <x:f>IF(AND(F26&lt;=H26,G26&gt;=10),"PASS","FAIL")</x:f>
        <x:v>PASS</x:v>
      </x:c>
      <x:c r="J26" s="31" t="str">
        <x:v>Terrain release</x:v>
      </x:c>
      <x:c r="K26" s="31" t="str">
        <x:v>none during window</x:v>
      </x:c>
      <x:c r="L26" s="33" t="str">
        <x:v>OPEN</x:v>
      </x:c>
    </x:row>
    <x:row r="27">
      <x:c r="B27" s="31" t="str">
        <x:v>Terrain load team</x:v>
      </x:c>
      <x:c r="C27" s="31" t="str">
        <x:v>TERRAIN</x:v>
      </x:c>
      <x:c r="D27" s="31" t="n">
        <x:v>6</x:v>
      </x:c>
      <x:c r="E27" s="31" t="n">
        <x:v>14</x:v>
      </x:c>
      <x:c r="F27" s="31" t="n">
        <x:f>E27-D27</x:f>
        <x:v>8</x:v>
      </x:c>
      <x:c r="G27" s="31" t="n">
        <x:v>12</x:v>
      </x:c>
      <x:c r="H27" s="31" t="n">
        <x:v>12</x:v>
      </x:c>
      <x:c r="I27" s="31" t="str">
        <x:f>IF(AND(F27&lt;=H27,G27&gt;=10),"PASS","FAIL")</x:f>
        <x:v>PASS</x:v>
      </x:c>
      <x:c r="J27" s="31" t="str">
        <x:v>Terrain load</x:v>
      </x:c>
      <x:c r="K27" s="31" t="str">
        <x:v>movement A</x:v>
      </x:c>
      <x:c r="L27" s="33" t="str">
        <x:v>OPEN</x:v>
      </x:c>
    </x:row>
    <x:row r="28">
      <x:c r="B28" s="31" t="str">
        <x:v>Terrain movement A</x:v>
      </x:c>
      <x:c r="C28" s="31" t="str">
        <x:v>TERRAIN</x:v>
      </x:c>
      <x:c r="D28" s="31" t="n">
        <x:v>14</x:v>
      </x:c>
      <x:c r="E28" s="31" t="n">
        <x:v>24</x:v>
      </x:c>
      <x:c r="F28" s="31" t="n">
        <x:f>E28-D28</x:f>
        <x:v>10</x:v>
      </x:c>
      <x:c r="G28" s="31" t="n">
        <x:v>12</x:v>
      </x:c>
      <x:c r="H28" s="31" t="n">
        <x:v>12</x:v>
      </x:c>
      <x:c r="I28" s="31" t="str">
        <x:f>IF(AND(F28&lt;=H28,G28&gt;=10),"PASS","FAIL")</x:f>
        <x:v>PASS</x:v>
      </x:c>
      <x:c r="J28" s="31" t="str">
        <x:v>Terrain operations A</x:v>
      </x:c>
      <x:c r="K28" s="31" t="str">
        <x:v>movement B</x:v>
      </x:c>
      <x:c r="L28" s="33" t="str">
        <x:v>OPEN</x:v>
      </x:c>
    </x:row>
    <x:row r="29">
      <x:c r="B29" s="31" t="str">
        <x:v>Terrain movement B</x:v>
      </x:c>
      <x:c r="C29" s="31" t="str">
        <x:v>TERRAIN</x:v>
      </x:c>
      <x:c r="D29" s="31" t="n">
        <x:v>24</x:v>
      </x:c>
      <x:c r="E29" s="31" t="n">
        <x:v>34</x:v>
      </x:c>
      <x:c r="F29" s="31" t="n">
        <x:f>E29-D29</x:f>
        <x:v>10</x:v>
      </x:c>
      <x:c r="G29" s="31" t="n">
        <x:v>12</x:v>
      </x:c>
      <x:c r="H29" s="31" t="n">
        <x:v>12</x:v>
      </x:c>
      <x:c r="I29" s="31" t="str">
        <x:f>IF(AND(F29&lt;=H29,G29&gt;=10),"PASS","FAIL")</x:f>
        <x:v>PASS</x:v>
      </x:c>
      <x:c r="J29" s="31" t="str">
        <x:v>Terrain operations B</x:v>
      </x:c>
      <x:c r="K29" s="31" t="str">
        <x:v>movement C</x:v>
      </x:c>
      <x:c r="L29" s="33" t="str">
        <x:v>OPEN</x:v>
      </x:c>
    </x:row>
    <x:row r="30">
      <x:c r="B30" s="31" t="str">
        <x:v>Terrain movement C</x:v>
      </x:c>
      <x:c r="C30" s="31" t="str">
        <x:v>TERRAIN</x:v>
      </x:c>
      <x:c r="D30" s="31" t="n">
        <x:v>34</x:v>
      </x:c>
      <x:c r="E30" s="31" t="n">
        <x:v>37</x:v>
      </x:c>
      <x:c r="F30" s="31" t="n">
        <x:f>E30-D30</x:f>
        <x:v>3</x:v>
      </x:c>
      <x:c r="G30" s="31" t="n">
        <x:v>12</x:v>
      </x:c>
      <x:c r="H30" s="31" t="n">
        <x:v>12</x:v>
      </x:c>
      <x:c r="I30" s="31" t="str">
        <x:f>IF(AND(F30&lt;=H30,G30&gt;=10),"PASS","FAIL")</x:f>
        <x:v>PASS</x:v>
      </x:c>
      <x:c r="J30" s="31" t="str">
        <x:v>Terrain operations C</x:v>
      </x:c>
      <x:c r="K30" s="31" t="str">
        <x:v>receiver team</x:v>
      </x:c>
      <x:c r="L30" s="33" t="str">
        <x:v>OPEN</x:v>
      </x:c>
    </x:row>
    <x:row r="31">
      <x:c r="B31" s="31" t="str">
        <x:v>Terrain receiver team</x:v>
      </x:c>
      <x:c r="C31" s="31" t="str">
        <x:v>TERRAIN</x:v>
      </x:c>
      <x:c r="D31" s="31" t="n">
        <x:v>37</x:v>
      </x:c>
      <x:c r="E31" s="31" t="n">
        <x:v>45</x:v>
      </x:c>
      <x:c r="F31" s="31" t="n">
        <x:f>E31-D31</x:f>
        <x:v>8</x:v>
      </x:c>
      <x:c r="G31" s="31" t="n">
        <x:v>12</x:v>
      </x:c>
      <x:c r="H31" s="31" t="n">
        <x:v>12</x:v>
      </x:c>
      <x:c r="I31" s="31" t="str">
        <x:f>IF(AND(F31&lt;=H31,G31&gt;=10),"PASS","FAIL")</x:f>
        <x:v>PASS</x:v>
      </x:c>
      <x:c r="J31" s="31" t="str">
        <x:v>Terrain receiver</x:v>
      </x:c>
      <x:c r="K31" s="31" t="str">
        <x:v>deputy release</x:v>
      </x:c>
      <x:c r="L31" s="33" t="str">
        <x:v>OPEN</x:v>
      </x:c>
    </x:row>
    <x:row r="32">
      <x:c r="B32" s="31" t="str">
        <x:v>Command watch A</x:v>
      </x:c>
      <x:c r="C32" s="31" t="str">
        <x:v>JOINT</x:v>
      </x:c>
      <x:c r="D32" s="31" t="n">
        <x:v>0</x:v>
      </x:c>
      <x:c r="E32" s="31" t="n">
        <x:v>12</x:v>
      </x:c>
      <x:c r="F32" s="31" t="n">
        <x:f>E32-D32</x:f>
        <x:v>12</x:v>
      </x:c>
      <x:c r="G32" s="31" t="n">
        <x:v>12</x:v>
      </x:c>
      <x:c r="H32" s="31" t="n">
        <x:v>12</x:v>
      </x:c>
      <x:c r="I32" s="31" t="str">
        <x:f>IF(AND(F32&lt;=H32,G32&gt;=10),"PASS","FAIL")</x:f>
        <x:v>PASS</x:v>
      </x:c>
      <x:c r="J32" s="31" t="str">
        <x:v>Command A</x:v>
      </x:c>
      <x:c r="K32" s="31" t="str">
        <x:v>command B</x:v>
      </x:c>
      <x:c r="L32" s="33" t="str">
        <x:v>OPEN</x:v>
      </x:c>
    </x:row>
    <x:row r="33">
      <x:c r="B33" s="31" t="str">
        <x:v>Command watch B</x:v>
      </x:c>
      <x:c r="C33" s="31" t="str">
        <x:v>JOINT</x:v>
      </x:c>
      <x:c r="D33" s="31" t="n">
        <x:v>12</x:v>
      </x:c>
      <x:c r="E33" s="31" t="n">
        <x:v>24</x:v>
      </x:c>
      <x:c r="F33" s="31" t="n">
        <x:f>E33-D33</x:f>
        <x:v>12</x:v>
      </x:c>
      <x:c r="G33" s="31" t="n">
        <x:v>12</x:v>
      </x:c>
      <x:c r="H33" s="31" t="n">
        <x:v>12</x:v>
      </x:c>
      <x:c r="I33" s="31" t="str">
        <x:f>IF(AND(F33&lt;=H33,G33&gt;=10),"PASS","FAIL")</x:f>
        <x:v>PASS</x:v>
      </x:c>
      <x:c r="J33" s="31" t="str">
        <x:v>Command B</x:v>
      </x:c>
      <x:c r="K33" s="31" t="str">
        <x:v>command C</x:v>
      </x:c>
      <x:c r="L33" s="33" t="str">
        <x:v>OPEN</x:v>
      </x:c>
    </x:row>
    <x:row r="34">
      <x:c r="B34" s="31" t="str">
        <x:v>Command watch C</x:v>
      </x:c>
      <x:c r="C34" s="31" t="str">
        <x:v>JOINT</x:v>
      </x:c>
      <x:c r="D34" s="31" t="n">
        <x:v>24</x:v>
      </x:c>
      <x:c r="E34" s="31" t="n">
        <x:v>36</x:v>
      </x:c>
      <x:c r="F34" s="31" t="n">
        <x:f>E34-D34</x:f>
        <x:v>12</x:v>
      </x:c>
      <x:c r="G34" s="31" t="n">
        <x:v>12</x:v>
      </x:c>
      <x:c r="H34" s="31" t="n">
        <x:v>12</x:v>
      </x:c>
      <x:c r="I34" s="31" t="str">
        <x:f>IF(AND(F34&lt;=H34,G34&gt;=10),"PASS","FAIL")</x:f>
        <x:v>PASS</x:v>
      </x:c>
      <x:c r="J34" s="31" t="str">
        <x:v>Command C</x:v>
      </x:c>
      <x:c r="K34" s="31" t="str">
        <x:v>command D</x:v>
      </x:c>
      <x:c r="L34" s="33" t="str">
        <x:v>OPEN</x:v>
      </x:c>
    </x:row>
    <x:row r="35">
      <x:c r="B35" s="38" t="str">
        <x:v>Command watch D</x:v>
      </x:c>
      <x:c r="C35" s="38" t="str">
        <x:v>JOINT</x:v>
      </x:c>
      <x:c r="D35" s="38" t="n">
        <x:v>36</x:v>
      </x:c>
      <x:c r="E35" s="38" t="n">
        <x:v>45</x:v>
      </x:c>
      <x:c r="F35" s="38" t="n">
        <x:f>E35-D35</x:f>
        <x:v>9</x:v>
      </x:c>
      <x:c r="G35" s="38" t="n">
        <x:v>12</x:v>
      </x:c>
      <x:c r="H35" s="38" t="n">
        <x:v>12</x:v>
      </x:c>
      <x:c r="I35" s="38" t="str">
        <x:f>IF(AND(F35&lt;=H35,G35&gt;=10),"PASS","FAIL")</x:f>
        <x:v>PASS</x:v>
      </x:c>
      <x:c r="J35" s="38" t="str">
        <x:v>Command D</x:v>
      </x:c>
      <x:c r="K35" s="38" t="str">
        <x:v>regional relief</x:v>
      </x:c>
      <x:c r="L35" s="40" t="str">
        <x:v>OPEN</x:v>
      </x:c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mergeCells>
    <x:mergeCell ref="B19:L19"/>
  </x:mergeCells>
  <x:conditionalFormatting sqref="I21:I35">
    <x:cfRule type="containsText" dxfId="2" priority="1" operator="containsText" text="FAIL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9" hidden="0" customWidth="1"/>
    <x:col min="3" max="3" width="34" hidden="0" customWidth="1"/>
    <x:col min="4" max="4" width="11" hidden="0" customWidth="1"/>
    <x:col min="5" max="5" width="11" hidden="0" customWidth="1"/>
    <x:col min="6" max="6" width="14" hidden="0" customWidth="1"/>
    <x:col min="7" max="7" width="11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3" hidden="0" customWidth="1"/>
    <x:col min="13" max="13" width="13" hidden="0" customWidth="1"/>
    <x:col min="14" max="14" width="18" hidden="0" customWidth="1"/>
    <x:col min="15" max="15" width="19" hidden="0" customWidth="1"/>
    <x:col min="16" max="16" width="12" hidden="0" customWidth="1"/>
    <x:col min="17" max="17" width="15" hidden="0" customWidth="1"/>
    <x:col min="18" max="18" width="16" hidden="0" customWidth="1"/>
    <x:col min="19" max="19" width="22" hidden="0" customWidth="1"/>
    <x:col min="20" max="20" width="15" hidden="0" customWidth="1"/>
    <x:col min="21" max="21" width="17" hidden="0" customWidth="1"/>
  </x:cols>
  <x:sheetData>
    <x:row r="2">
      <x:c r="B2" s="3" t="str">
        <x:v>DCP-2 physical loss worlds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B3" s="4" t="str">
        <x:v>Each single cut must leave one complete cell, receiver zone and public-service release path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B6" s="29" t="str">
        <x:v>World</x:v>
      </x:c>
      <x:c r="C6" s="30" t="str">
        <x:v>Cut</x:v>
      </x:c>
      <x:c r="D6" s="30" t="str">
        <x:v>Cell A</x:v>
      </x:c>
      <x:c r="E6" s="30" t="str">
        <x:v>Cell B</x:v>
      </x:c>
      <x:c r="F6" s="30" t="str">
        <x:v>Atmosphere</x:v>
      </x:c>
      <x:c r="G6" s="30" t="str">
        <x:v>Terrain</x:v>
      </x:c>
      <x:c r="H6" s="30" t="str">
        <x:v>Interface A</x:v>
      </x:c>
      <x:c r="I6" s="30" t="str">
        <x:v>Interface B</x:v>
      </x:c>
      <x:c r="J6" s="30" t="str">
        <x:v>Air zone</x:v>
      </x:c>
      <x:c r="K6" s="30" t="str">
        <x:v>Land zone</x:v>
      </x:c>
      <x:c r="L6" s="30" t="str">
        <x:v>Release A</x:v>
      </x:c>
      <x:c r="M6" s="30" t="str">
        <x:v>Release B</x:v>
      </x:c>
      <x:c r="N6" s="30" t="str">
        <x:v>Offline authority</x:v>
      </x:c>
      <x:c r="O6" s="30" t="str">
        <x:v>Evidence available</x:v>
      </x:c>
      <x:c r="P6" s="30" t="str">
        <x:v>Air path</x:v>
      </x:c>
      <x:c r="Q6" s="30" t="str">
        <x:v>Terrain path</x:v>
      </x:c>
      <x:c r="R6" s="30" t="str">
        <x:v>Complete paths</x:v>
      </x:c>
      <x:c r="S6" s="30" t="str">
        <x:v>Earliest absolute h</x:v>
      </x:c>
      <x:c r="T6" s="30" t="str">
        <x:v>Behavior</x:v>
      </x:c>
      <x:c r="U6" s="30" t="str">
        <x:v>Current credit</x:v>
      </x:c>
    </x:row>
    <x:row r="7">
      <x:c r="B7" s="31" t="str">
        <x:v>W01</x:v>
      </x:c>
      <x:c r="C7" s="31" t="str">
        <x:v>nominal</x:v>
      </x:c>
      <x:c r="D7" s="31" t="n">
        <x:v>1</x:v>
      </x:c>
      <x:c r="E7" s="31" t="n">
        <x:v>1</x:v>
      </x:c>
      <x:c r="F7" s="31" t="n">
        <x:v>1</x:v>
      </x:c>
      <x:c r="G7" s="31" t="n">
        <x:v>1</x:v>
      </x:c>
      <x:c r="H7" s="31" t="n">
        <x:v>1</x:v>
      </x:c>
      <x:c r="I7" s="31" t="n">
        <x:v>1</x:v>
      </x:c>
      <x:c r="J7" s="31" t="n">
        <x:v>1</x:v>
      </x:c>
      <x:c r="K7" s="31" t="n">
        <x:v>1</x:v>
      </x:c>
      <x:c r="L7" s="31" t="n">
        <x:v>1</x:v>
      </x:c>
      <x:c r="M7" s="31" t="n">
        <x:v>1</x:v>
      </x:c>
      <x:c r="N7" s="31" t="n">
        <x:v>1</x:v>
      </x:c>
      <x:c r="O7" s="31" t="n">
        <x:v>0</x:v>
      </x:c>
      <x:c r="P7" s="31" t="n">
        <x:f>D7*F7*H7*J7*L7*N7</x:f>
        <x:v>1</x:v>
      </x:c>
      <x:c r="Q7" s="31" t="n">
        <x:f>E7*G7*I7*K7*M7*N7</x:f>
        <x:v>1</x:v>
      </x:c>
      <x:c r="R7" s="31" t="n">
        <x:f>P7+Q7</x:f>
        <x:v>2</x:v>
      </x:c>
      <x:c r="S7" s="31" t="n">
        <x:f>IF(R7=0,999,MIN(IF(P7=1,Dispatch!G7,999),IF(Q7=1,Dispatch!G8,999)))</x:f>
        <x:v>48</x:v>
      </x:c>
      <x:c r="T7" s="47" t="str">
        <x:f>IF(AND(R7&gt;=1,S7&lt;=Assumptions!C10),"PASS","FAIL")</x:f>
        <x:v>PASS</x:v>
      </x:c>
      <x:c r="U7" s="48" t="str">
        <x:f>IF(AND(T7="PASS",O7=1),"PASS","FAIL")</x:f>
        <x:v>FAIL</x:v>
      </x:c>
    </x:row>
    <x:row r="8">
      <x:c r="B8" s="31" t="str">
        <x:v>W02</x:v>
      </x:c>
      <x:c r="C8" s="31" t="str">
        <x:v>HBL-A1 lost</x:v>
      </x:c>
      <x:c r="D8" s="31" t="n">
        <x:v>0</x:v>
      </x:c>
      <x:c r="E8" s="31" t="n">
        <x:v>1</x:v>
      </x:c>
      <x:c r="F8" s="31" t="n">
        <x:v>1</x:v>
      </x:c>
      <x:c r="G8" s="31" t="n">
        <x:v>1</x:v>
      </x:c>
      <x:c r="H8" s="31" t="n">
        <x:v>1</x:v>
      </x:c>
      <x:c r="I8" s="31" t="n">
        <x:v>1</x:v>
      </x:c>
      <x:c r="J8" s="31" t="n">
        <x:v>1</x:v>
      </x:c>
      <x:c r="K8" s="31" t="n">
        <x:v>1</x:v>
      </x:c>
      <x:c r="L8" s="31" t="n">
        <x:v>1</x:v>
      </x:c>
      <x:c r="M8" s="31" t="n">
        <x:v>1</x:v>
      </x:c>
      <x:c r="N8" s="31" t="n">
        <x:v>1</x:v>
      </x:c>
      <x:c r="O8" s="31" t="n">
        <x:v>0</x:v>
      </x:c>
      <x:c r="P8" s="31" t="n">
        <x:f>D8*F8*H8*J8*L8*N8</x:f>
        <x:v>0</x:v>
      </x:c>
      <x:c r="Q8" s="31" t="n">
        <x:f>E8*G8*I8*K8*M8*N8</x:f>
        <x:v>1</x:v>
      </x:c>
      <x:c r="R8" s="31" t="n">
        <x:f>P8+Q8</x:f>
        <x:v>1</x:v>
      </x:c>
      <x:c r="S8" s="31" t="n">
        <x:f>IF(R8=0,999,MIN(IF(P8=1,Dispatch!G7,999),IF(Q8=1,Dispatch!G8,999)))</x:f>
        <x:v>51</x:v>
      </x:c>
      <x:c r="T8" s="47" t="str">
        <x:f>IF(AND(R8&gt;=1,S8&lt;=Assumptions!C10),"PASS","FAIL")</x:f>
        <x:v>PASS</x:v>
      </x:c>
      <x:c r="U8" s="48" t="str">
        <x:f>IF(AND(T8="PASS",O8=1),"PASS","FAIL")</x:f>
        <x:v>FAIL</x:v>
      </x:c>
    </x:row>
    <x:row r="9">
      <x:c r="B9" s="31" t="str">
        <x:v>W03</x:v>
      </x:c>
      <x:c r="C9" s="31" t="str">
        <x:v>HBL-A2 lost</x:v>
      </x:c>
      <x:c r="D9" s="31" t="n">
        <x:v>0</x:v>
      </x:c>
      <x:c r="E9" s="31" t="n">
        <x:v>1</x:v>
      </x:c>
      <x:c r="F9" s="31" t="n">
        <x:v>1</x:v>
      </x:c>
      <x:c r="G9" s="31" t="n">
        <x:v>1</x:v>
      </x:c>
      <x:c r="H9" s="31" t="n">
        <x:v>1</x:v>
      </x:c>
      <x:c r="I9" s="31" t="n">
        <x:v>1</x:v>
      </x:c>
      <x:c r="J9" s="31" t="n">
        <x:v>1</x:v>
      </x:c>
      <x:c r="K9" s="31" t="n">
        <x:v>1</x:v>
      </x:c>
      <x:c r="L9" s="31" t="n">
        <x:v>1</x:v>
      </x:c>
      <x:c r="M9" s="31" t="n">
        <x:v>1</x:v>
      </x:c>
      <x:c r="N9" s="31" t="n">
        <x:v>1</x:v>
      </x:c>
      <x:c r="O9" s="31" t="n">
        <x:v>0</x:v>
      </x:c>
      <x:c r="P9" s="31" t="n">
        <x:f>D9*F9*H9*J9*L9*N9</x:f>
        <x:v>0</x:v>
      </x:c>
      <x:c r="Q9" s="31" t="n">
        <x:f>E9*G9*I9*K9*M9*N9</x:f>
        <x:v>1</x:v>
      </x:c>
      <x:c r="R9" s="31" t="n">
        <x:f>P9+Q9</x:f>
        <x:v>1</x:v>
      </x:c>
      <x:c r="S9" s="31" t="n">
        <x:f>IF(R9=0,999,MIN(IF(P9=1,Dispatch!G7,999),IF(Q9=1,Dispatch!G8,999)))</x:f>
        <x:v>51</x:v>
      </x:c>
      <x:c r="T9" s="47" t="str">
        <x:f>IF(AND(R9&gt;=1,S9&lt;=Assumptions!C10),"PASS","FAIL")</x:f>
        <x:v>PASS</x:v>
      </x:c>
      <x:c r="U9" s="48" t="str">
        <x:f>IF(AND(T9="PASS",O9=1),"PASS","FAIL")</x:f>
        <x:v>FAIL</x:v>
      </x:c>
    </x:row>
    <x:row r="10">
      <x:c r="B10" s="31" t="str">
        <x:v>W04</x:v>
      </x:c>
      <x:c r="C10" s="31" t="str">
        <x:v>ATUT-B1 lost</x:v>
      </x:c>
      <x:c r="D10" s="31" t="n">
        <x:v>1</x:v>
      </x:c>
      <x:c r="E10" s="31" t="n">
        <x:v>0</x:v>
      </x:c>
      <x:c r="F10" s="31" t="n">
        <x:v>1</x:v>
      </x:c>
      <x:c r="G10" s="31" t="n">
        <x:v>1</x:v>
      </x:c>
      <x:c r="H10" s="31" t="n">
        <x:v>1</x:v>
      </x:c>
      <x:c r="I10" s="31" t="n">
        <x:v>1</x:v>
      </x:c>
      <x:c r="J10" s="31" t="n">
        <x:v>1</x:v>
      </x:c>
      <x:c r="K10" s="31" t="n">
        <x:v>1</x:v>
      </x:c>
      <x:c r="L10" s="31" t="n">
        <x:v>1</x:v>
      </x:c>
      <x:c r="M10" s="31" t="n">
        <x:v>1</x:v>
      </x:c>
      <x:c r="N10" s="31" t="n">
        <x:v>1</x:v>
      </x:c>
      <x:c r="O10" s="31" t="n">
        <x:v>0</x:v>
      </x:c>
      <x:c r="P10" s="31" t="n">
        <x:f>D10*F10*H10*J10*L10*N10</x:f>
        <x:v>1</x:v>
      </x:c>
      <x:c r="Q10" s="31" t="n">
        <x:f>E10*G10*I10*K10*M10*N10</x:f>
        <x:v>0</x:v>
      </x:c>
      <x:c r="R10" s="31" t="n">
        <x:f>P10+Q10</x:f>
        <x:v>1</x:v>
      </x:c>
      <x:c r="S10" s="31" t="n">
        <x:f>IF(R10=0,999,MIN(IF(P10=1,Dispatch!G7,999),IF(Q10=1,Dispatch!G8,999)))</x:f>
        <x:v>48</x:v>
      </x:c>
      <x:c r="T10" s="47" t="str">
        <x:f>IF(AND(R10&gt;=1,S10&lt;=Assumptions!C10),"PASS","FAIL")</x:f>
        <x:v>PASS</x:v>
      </x:c>
      <x:c r="U10" s="48" t="str">
        <x:f>IF(AND(T10="PASS",O10=1),"PASS","FAIL")</x:f>
        <x:v>FAIL</x:v>
      </x:c>
    </x:row>
    <x:row r="11">
      <x:c r="B11" s="31" t="str">
        <x:v>W05</x:v>
      </x:c>
      <x:c r="C11" s="31" t="str">
        <x:v>ATUT-B2 lost</x:v>
      </x:c>
      <x:c r="D11" s="31" t="n">
        <x:v>1</x:v>
      </x:c>
      <x:c r="E11" s="31" t="n">
        <x:v>0</x:v>
      </x:c>
      <x:c r="F11" s="31" t="n">
        <x:v>1</x:v>
      </x:c>
      <x:c r="G11" s="31" t="n">
        <x:v>1</x:v>
      </x:c>
      <x:c r="H11" s="31" t="n">
        <x:v>1</x:v>
      </x:c>
      <x:c r="I11" s="31" t="n">
        <x:v>1</x:v>
      </x:c>
      <x:c r="J11" s="31" t="n">
        <x:v>1</x:v>
      </x:c>
      <x:c r="K11" s="31" t="n">
        <x:v>1</x:v>
      </x:c>
      <x:c r="L11" s="31" t="n">
        <x:v>1</x:v>
      </x:c>
      <x:c r="M11" s="31" t="n">
        <x:v>1</x:v>
      </x:c>
      <x:c r="N11" s="31" t="n">
        <x:v>1</x:v>
      </x:c>
      <x:c r="O11" s="31" t="n">
        <x:v>0</x:v>
      </x:c>
      <x:c r="P11" s="31" t="n">
        <x:f>D11*F11*H11*J11*L11*N11</x:f>
        <x:v>1</x:v>
      </x:c>
      <x:c r="Q11" s="31" t="n">
        <x:f>E11*G11*I11*K11*M11*N11</x:f>
        <x:v>0</x:v>
      </x:c>
      <x:c r="R11" s="31" t="n">
        <x:f>P11+Q11</x:f>
        <x:v>1</x:v>
      </x:c>
      <x:c r="S11" s="31" t="n">
        <x:f>IF(R11=0,999,MIN(IF(P11=1,Dispatch!G7,999),IF(Q11=1,Dispatch!G8,999)))</x:f>
        <x:v>48</x:v>
      </x:c>
      <x:c r="T11" s="47" t="str">
        <x:f>IF(AND(R11&gt;=1,S11&lt;=Assumptions!C10),"PASS","FAIL")</x:f>
        <x:v>PASS</x:v>
      </x:c>
      <x:c r="U11" s="48" t="str">
        <x:f>IF(AND(T11="PASS",O11=1),"PASS","FAIL")</x:f>
        <x:v>FAIL</x:v>
      </x:c>
    </x:row>
    <x:row r="12">
      <x:c r="B12" s="31" t="str">
        <x:v>W06</x:v>
      </x:c>
      <x:c r="C12" s="31" t="str">
        <x:v>ATUT-B3 lost</x:v>
      </x:c>
      <x:c r="D12" s="31" t="n">
        <x:v>1</x:v>
      </x:c>
      <x:c r="E12" s="31" t="n">
        <x:v>0</x:v>
      </x:c>
      <x:c r="F12" s="31" t="n">
        <x:v>1</x:v>
      </x:c>
      <x:c r="G12" s="31" t="n">
        <x:v>1</x:v>
      </x:c>
      <x:c r="H12" s="31" t="n">
        <x:v>1</x:v>
      </x:c>
      <x:c r="I12" s="31" t="n">
        <x:v>1</x:v>
      </x:c>
      <x:c r="J12" s="31" t="n">
        <x:v>1</x:v>
      </x:c>
      <x:c r="K12" s="31" t="n">
        <x:v>1</x:v>
      </x:c>
      <x:c r="L12" s="31" t="n">
        <x:v>1</x:v>
      </x:c>
      <x:c r="M12" s="31" t="n">
        <x:v>1</x:v>
      </x:c>
      <x:c r="N12" s="31" t="n">
        <x:v>1</x:v>
      </x:c>
      <x:c r="O12" s="31" t="n">
        <x:v>0</x:v>
      </x:c>
      <x:c r="P12" s="31" t="n">
        <x:f>D12*F12*H12*J12*L12*N12</x:f>
        <x:v>1</x:v>
      </x:c>
      <x:c r="Q12" s="31" t="n">
        <x:f>E12*G12*I12*K12*M12*N12</x:f>
        <x:v>0</x:v>
      </x:c>
      <x:c r="R12" s="31" t="n">
        <x:f>P12+Q12</x:f>
        <x:v>1</x:v>
      </x:c>
      <x:c r="S12" s="31" t="n">
        <x:f>IF(R12=0,999,MIN(IF(P12=1,Dispatch!G7,999),IF(Q12=1,Dispatch!G8,999)))</x:f>
        <x:v>48</x:v>
      </x:c>
      <x:c r="T12" s="47" t="str">
        <x:f>IF(AND(R12&gt;=1,S12&lt;=Assumptions!C10),"PASS","FAIL")</x:f>
        <x:v>PASS</x:v>
      </x:c>
      <x:c r="U12" s="48" t="str">
        <x:f>IF(AND(T12="PASS",O12=1),"PASS","FAIL")</x:f>
        <x:v>FAIL</x:v>
      </x:c>
    </x:row>
    <x:row r="13">
      <x:c r="B13" s="31" t="str">
        <x:v>W07</x:v>
      </x:c>
      <x:c r="C13" s="31" t="str">
        <x:v>ATUT-B4 lost</x:v>
      </x:c>
      <x:c r="D13" s="31" t="n">
        <x:v>1</x:v>
      </x:c>
      <x:c r="E13" s="31" t="n">
        <x:v>0</x:v>
      </x:c>
      <x:c r="F13" s="31" t="n">
        <x:v>1</x:v>
      </x:c>
      <x:c r="G13" s="31" t="n">
        <x:v>1</x:v>
      </x:c>
      <x:c r="H13" s="31" t="n">
        <x:v>1</x:v>
      </x:c>
      <x:c r="I13" s="31" t="n">
        <x:v>1</x:v>
      </x:c>
      <x:c r="J13" s="31" t="n">
        <x:v>1</x:v>
      </x:c>
      <x:c r="K13" s="31" t="n">
        <x:v>1</x:v>
      </x:c>
      <x:c r="L13" s="31" t="n">
        <x:v>1</x:v>
      </x:c>
      <x:c r="M13" s="31" t="n">
        <x:v>1</x:v>
      </x:c>
      <x:c r="N13" s="31" t="n">
        <x:v>1</x:v>
      </x:c>
      <x:c r="O13" s="31" t="n">
        <x:v>0</x:v>
      </x:c>
      <x:c r="P13" s="31" t="n">
        <x:f>D13*F13*H13*J13*L13*N13</x:f>
        <x:v>1</x:v>
      </x:c>
      <x:c r="Q13" s="31" t="n">
        <x:f>E13*G13*I13*K13*M13*N13</x:f>
        <x:v>0</x:v>
      </x:c>
      <x:c r="R13" s="31" t="n">
        <x:f>P13+Q13</x:f>
        <x:v>1</x:v>
      </x:c>
      <x:c r="S13" s="31" t="n">
        <x:f>IF(R13=0,999,MIN(IF(P13=1,Dispatch!G7,999),IF(Q13=1,Dispatch!G8,999)))</x:f>
        <x:v>48</x:v>
      </x:c>
      <x:c r="T13" s="47" t="str">
        <x:f>IF(AND(R13&gt;=1,S13&lt;=Assumptions!C10),"PASS","FAIL")</x:f>
        <x:v>PASS</x:v>
      </x:c>
      <x:c r="U13" s="48" t="str">
        <x:f>IF(AND(T13="PASS",O13=1),"PASS","FAIL")</x:f>
        <x:v>FAIL</x:v>
      </x:c>
    </x:row>
    <x:row r="14">
      <x:c r="B14" s="31" t="str">
        <x:v>W08</x:v>
      </x:c>
      <x:c r="C14" s="31" t="str">
        <x:v>air mode or base denied</x:v>
      </x:c>
      <x:c r="D14" s="31" t="n">
        <x:v>1</x:v>
      </x:c>
      <x:c r="E14" s="31" t="n">
        <x:v>1</x:v>
      </x:c>
      <x:c r="F14" s="31" t="n">
        <x:v>0</x:v>
      </x:c>
      <x:c r="G14" s="31" t="n">
        <x:v>1</x:v>
      </x:c>
      <x:c r="H14" s="31" t="n">
        <x:v>1</x:v>
      </x:c>
      <x:c r="I14" s="31" t="n">
        <x:v>1</x:v>
      </x:c>
      <x:c r="J14" s="31" t="n">
        <x:v>1</x:v>
      </x:c>
      <x:c r="K14" s="31" t="n">
        <x:v>1</x:v>
      </x:c>
      <x:c r="L14" s="31" t="n">
        <x:v>1</x:v>
      </x:c>
      <x:c r="M14" s="31" t="n">
        <x:v>1</x:v>
      </x:c>
      <x:c r="N14" s="31" t="n">
        <x:v>1</x:v>
      </x:c>
      <x:c r="O14" s="31" t="n">
        <x:v>0</x:v>
      </x:c>
      <x:c r="P14" s="31" t="n">
        <x:f>D14*F14*H14*J14*L14*N14</x:f>
        <x:v>0</x:v>
      </x:c>
      <x:c r="Q14" s="31" t="n">
        <x:f>E14*G14*I14*K14*M14*N14</x:f>
        <x:v>1</x:v>
      </x:c>
      <x:c r="R14" s="31" t="n">
        <x:f>P14+Q14</x:f>
        <x:v>1</x:v>
      </x:c>
      <x:c r="S14" s="31" t="n">
        <x:f>IF(R14=0,999,MIN(IF(P14=1,Dispatch!G7,999),IF(Q14=1,Dispatch!G8,999)))</x:f>
        <x:v>51</x:v>
      </x:c>
      <x:c r="T14" s="47" t="str">
        <x:f>IF(AND(R14&gt;=1,S14&lt;=Assumptions!C10),"PASS","FAIL")</x:f>
        <x:v>PASS</x:v>
      </x:c>
      <x:c r="U14" s="48" t="str">
        <x:f>IF(AND(T14="PASS",O14=1),"PASS","FAIL")</x:f>
        <x:v>FAIL</x:v>
      </x:c>
    </x:row>
    <x:row r="15">
      <x:c r="B15" s="31" t="str">
        <x:v>W09</x:v>
      </x:c>
      <x:c r="C15" s="31" t="str">
        <x:v>terrain mode or base denied</x:v>
      </x:c>
      <x:c r="D15" s="31" t="n">
        <x:v>1</x:v>
      </x:c>
      <x:c r="E15" s="31" t="n">
        <x:v>1</x:v>
      </x:c>
      <x:c r="F15" s="31" t="n">
        <x:v>1</x:v>
      </x:c>
      <x:c r="G15" s="31" t="n">
        <x:v>0</x:v>
      </x:c>
      <x:c r="H15" s="31" t="n">
        <x:v>1</x:v>
      </x:c>
      <x:c r="I15" s="31" t="n">
        <x:v>1</x:v>
      </x:c>
      <x:c r="J15" s="31" t="n">
        <x:v>1</x:v>
      </x:c>
      <x:c r="K15" s="31" t="n">
        <x:v>1</x:v>
      </x:c>
      <x:c r="L15" s="31" t="n">
        <x:v>1</x:v>
      </x:c>
      <x:c r="M15" s="31" t="n">
        <x:v>1</x:v>
      </x:c>
      <x:c r="N15" s="31" t="n">
        <x:v>1</x:v>
      </x:c>
      <x:c r="O15" s="31" t="n">
        <x:v>0</x:v>
      </x:c>
      <x:c r="P15" s="31" t="n">
        <x:f>D15*F15*H15*J15*L15*N15</x:f>
        <x:v>1</x:v>
      </x:c>
      <x:c r="Q15" s="31" t="n">
        <x:f>E15*G15*I15*K15*M15*N15</x:f>
        <x:v>0</x:v>
      </x:c>
      <x:c r="R15" s="31" t="n">
        <x:f>P15+Q15</x:f>
        <x:v>1</x:v>
      </x:c>
      <x:c r="S15" s="31" t="n">
        <x:f>IF(R15=0,999,MIN(IF(P15=1,Dispatch!G7,999),IF(Q15=1,Dispatch!G8,999)))</x:f>
        <x:v>48</x:v>
      </x:c>
      <x:c r="T15" s="47" t="str">
        <x:f>IF(AND(R15&gt;=1,S15&lt;=Assumptions!C10),"PASS","FAIL")</x:f>
        <x:v>PASS</x:v>
      </x:c>
      <x:c r="U15" s="48" t="str">
        <x:f>IF(AND(T15="PASS",O15=1),"PASS","FAIL")</x:f>
        <x:v>FAIL</x:v>
      </x:c>
    </x:row>
    <x:row r="16">
      <x:c r="B16" s="31" t="str">
        <x:v>W10</x:v>
      </x:c>
      <x:c r="C16" s="31" t="str">
        <x:v>cell A lot quarantined</x:v>
      </x:c>
      <x:c r="D16" s="31" t="n">
        <x:v>0</x:v>
      </x:c>
      <x:c r="E16" s="31" t="n">
        <x:v>1</x:v>
      </x:c>
      <x:c r="F16" s="31" t="n">
        <x:v>1</x:v>
      </x:c>
      <x:c r="G16" s="31" t="n">
        <x:v>1</x:v>
      </x:c>
      <x:c r="H16" s="31" t="n">
        <x:v>1</x:v>
      </x:c>
      <x:c r="I16" s="31" t="n">
        <x:v>1</x:v>
      </x:c>
      <x:c r="J16" s="31" t="n">
        <x:v>1</x:v>
      </x:c>
      <x:c r="K16" s="31" t="n">
        <x:v>1</x:v>
      </x:c>
      <x:c r="L16" s="31" t="n">
        <x:v>1</x:v>
      </x:c>
      <x:c r="M16" s="31" t="n">
        <x:v>1</x:v>
      </x:c>
      <x:c r="N16" s="31" t="n">
        <x:v>1</x:v>
      </x:c>
      <x:c r="O16" s="31" t="n">
        <x:v>0</x:v>
      </x:c>
      <x:c r="P16" s="31" t="n">
        <x:f>D16*F16*H16*J16*L16*N16</x:f>
        <x:v>0</x:v>
      </x:c>
      <x:c r="Q16" s="31" t="n">
        <x:f>E16*G16*I16*K16*M16*N16</x:f>
        <x:v>1</x:v>
      </x:c>
      <x:c r="R16" s="31" t="n">
        <x:f>P16+Q16</x:f>
        <x:v>1</x:v>
      </x:c>
      <x:c r="S16" s="31" t="n">
        <x:f>IF(R16=0,999,MIN(IF(P16=1,Dispatch!G7,999),IF(Q16=1,Dispatch!G8,999)))</x:f>
        <x:v>51</x:v>
      </x:c>
      <x:c r="T16" s="47" t="str">
        <x:f>IF(AND(R16&gt;=1,S16&lt;=Assumptions!C10),"PASS","FAIL")</x:f>
        <x:v>PASS</x:v>
      </x:c>
      <x:c r="U16" s="48" t="str">
        <x:f>IF(AND(T16="PASS",O16=1),"PASS","FAIL")</x:f>
        <x:v>FAIL</x:v>
      </x:c>
    </x:row>
    <x:row r="17">
      <x:c r="B17" s="31" t="str">
        <x:v>W11</x:v>
      </x:c>
      <x:c r="C17" s="31" t="str">
        <x:v>cell B lot quarantined</x:v>
      </x:c>
      <x:c r="D17" s="31" t="n">
        <x:v>1</x:v>
      </x:c>
      <x:c r="E17" s="31" t="n">
        <x:v>0</x:v>
      </x:c>
      <x:c r="F17" s="31" t="n">
        <x:v>1</x:v>
      </x:c>
      <x:c r="G17" s="31" t="n">
        <x:v>1</x:v>
      </x:c>
      <x:c r="H17" s="31" t="n">
        <x:v>1</x:v>
      </x:c>
      <x:c r="I17" s="31" t="n">
        <x:v>1</x:v>
      </x:c>
      <x:c r="J17" s="31" t="n">
        <x:v>1</x:v>
      </x:c>
      <x:c r="K17" s="31" t="n">
        <x:v>1</x:v>
      </x:c>
      <x:c r="L17" s="31" t="n">
        <x:v>1</x:v>
      </x:c>
      <x:c r="M17" s="31" t="n">
        <x:v>1</x:v>
      </x:c>
      <x:c r="N17" s="31" t="n">
        <x:v>1</x:v>
      </x:c>
      <x:c r="O17" s="31" t="n">
        <x:v>0</x:v>
      </x:c>
      <x:c r="P17" s="31" t="n">
        <x:f>D17*F17*H17*J17*L17*N17</x:f>
        <x:v>1</x:v>
      </x:c>
      <x:c r="Q17" s="31" t="n">
        <x:f>E17*G17*I17*K17*M17*N17</x:f>
        <x:v>0</x:v>
      </x:c>
      <x:c r="R17" s="31" t="n">
        <x:f>P17+Q17</x:f>
        <x:v>1</x:v>
      </x:c>
      <x:c r="S17" s="31" t="n">
        <x:f>IF(R17=0,999,MIN(IF(P17=1,Dispatch!G7,999),IF(Q17=1,Dispatch!G8,999)))</x:f>
        <x:v>48</x:v>
      </x:c>
      <x:c r="T17" s="47" t="str">
        <x:f>IF(AND(R17&gt;=1,S17&lt;=Assumptions!C10),"PASS","FAIL")</x:f>
        <x:v>PASS</x:v>
      </x:c>
      <x:c r="U17" s="48" t="str">
        <x:f>IF(AND(T17="PASS",O17=1),"PASS","FAIL")</x:f>
        <x:v>FAIL</x:v>
      </x:c>
    </x:row>
    <x:row r="18">
      <x:c r="B18" s="31" t="str">
        <x:v>W12</x:v>
      </x:c>
      <x:c r="C18" s="31" t="str">
        <x:v>interface I-A defective</x:v>
      </x:c>
      <x:c r="D18" s="31" t="n">
        <x:v>1</x:v>
      </x:c>
      <x:c r="E18" s="31" t="n">
        <x:v>1</x:v>
      </x:c>
      <x:c r="F18" s="31" t="n">
        <x:v>1</x:v>
      </x:c>
      <x:c r="G18" s="31" t="n">
        <x:v>1</x:v>
      </x:c>
      <x:c r="H18" s="31" t="n">
        <x:v>0</x:v>
      </x:c>
      <x:c r="I18" s="31" t="n">
        <x:v>1</x:v>
      </x:c>
      <x:c r="J18" s="31" t="n">
        <x:v>1</x:v>
      </x:c>
      <x:c r="K18" s="31" t="n">
        <x:v>1</x:v>
      </x:c>
      <x:c r="L18" s="31" t="n">
        <x:v>1</x:v>
      </x:c>
      <x:c r="M18" s="31" t="n">
        <x:v>1</x:v>
      </x:c>
      <x:c r="N18" s="31" t="n">
        <x:v>1</x:v>
      </x:c>
      <x:c r="O18" s="31" t="n">
        <x:v>0</x:v>
      </x:c>
      <x:c r="P18" s="31" t="n">
        <x:f>D18*F18*H18*J18*L18*N18</x:f>
        <x:v>0</x:v>
      </x:c>
      <x:c r="Q18" s="31" t="n">
        <x:f>E18*G18*I18*K18*M18*N18</x:f>
        <x:v>1</x:v>
      </x:c>
      <x:c r="R18" s="31" t="n">
        <x:f>P18+Q18</x:f>
        <x:v>1</x:v>
      </x:c>
      <x:c r="S18" s="31" t="n">
        <x:f>IF(R18=0,999,MIN(IF(P18=1,Dispatch!G7,999),IF(Q18=1,Dispatch!G8,999)))</x:f>
        <x:v>51</x:v>
      </x:c>
      <x:c r="T18" s="47" t="str">
        <x:f>IF(AND(R18&gt;=1,S18&lt;=Assumptions!C10),"PASS","FAIL")</x:f>
        <x:v>PASS</x:v>
      </x:c>
      <x:c r="U18" s="48" t="str">
        <x:f>IF(AND(T18="PASS",O18=1),"PASS","FAIL")</x:f>
        <x:v>FAIL</x:v>
      </x:c>
    </x:row>
    <x:row r="19">
      <x:c r="B19" s="31" t="str">
        <x:v>W13</x:v>
      </x:c>
      <x:c r="C19" s="31" t="str">
        <x:v>interface I-B defective</x:v>
      </x:c>
      <x:c r="D19" s="31" t="n">
        <x:v>1</x:v>
      </x:c>
      <x:c r="E19" s="31" t="n">
        <x:v>1</x:v>
      </x:c>
      <x:c r="F19" s="31" t="n">
        <x:v>1</x:v>
      </x:c>
      <x:c r="G19" s="31" t="n">
        <x:v>1</x:v>
      </x:c>
      <x:c r="H19" s="31" t="n">
        <x:v>1</x:v>
      </x:c>
      <x:c r="I19" s="31" t="n">
        <x:v>0</x:v>
      </x:c>
      <x:c r="J19" s="31" t="n">
        <x:v>1</x:v>
      </x:c>
      <x:c r="K19" s="31" t="n">
        <x:v>1</x:v>
      </x:c>
      <x:c r="L19" s="31" t="n">
        <x:v>1</x:v>
      </x:c>
      <x:c r="M19" s="31" t="n">
        <x:v>1</x:v>
      </x:c>
      <x:c r="N19" s="31" t="n">
        <x:v>1</x:v>
      </x:c>
      <x:c r="O19" s="31" t="n">
        <x:v>0</x:v>
      </x:c>
      <x:c r="P19" s="31" t="n">
        <x:f>D19*F19*H19*J19*L19*N19</x:f>
        <x:v>1</x:v>
      </x:c>
      <x:c r="Q19" s="31" t="n">
        <x:f>E19*G19*I19*K19*M19*N19</x:f>
        <x:v>0</x:v>
      </x:c>
      <x:c r="R19" s="31" t="n">
        <x:f>P19+Q19</x:f>
        <x:v>1</x:v>
      </x:c>
      <x:c r="S19" s="31" t="n">
        <x:f>IF(R19=0,999,MIN(IF(P19=1,Dispatch!G7,999),IF(Q19=1,Dispatch!G8,999)))</x:f>
        <x:v>48</x:v>
      </x:c>
      <x:c r="T19" s="47" t="str">
        <x:f>IF(AND(R19&gt;=1,S19&lt;=Assumptions!C10),"PASS","FAIL")</x:f>
        <x:v>PASS</x:v>
      </x:c>
      <x:c r="U19" s="48" t="str">
        <x:f>IF(AND(T19="PASS",O19=1),"PASS","FAIL")</x:f>
        <x:v>FAIL</x:v>
      </x:c>
    </x:row>
    <x:row r="20">
      <x:c r="B20" s="31" t="str">
        <x:v>W14</x:v>
      </x:c>
      <x:c r="C20" s="31" t="str">
        <x:v>air receiver zone denied</x:v>
      </x:c>
      <x:c r="D20" s="31" t="n">
        <x:v>1</x:v>
      </x:c>
      <x:c r="E20" s="31" t="n">
        <x:v>1</x:v>
      </x:c>
      <x:c r="F20" s="31" t="n">
        <x:v>1</x:v>
      </x:c>
      <x:c r="G20" s="31" t="n">
        <x:v>1</x:v>
      </x:c>
      <x:c r="H20" s="31" t="n">
        <x:v>1</x:v>
      </x:c>
      <x:c r="I20" s="31" t="n">
        <x:v>1</x:v>
      </x:c>
      <x:c r="J20" s="31" t="n">
        <x:v>0</x:v>
      </x:c>
      <x:c r="K20" s="31" t="n">
        <x:v>1</x:v>
      </x:c>
      <x:c r="L20" s="31" t="n">
        <x:v>1</x:v>
      </x:c>
      <x:c r="M20" s="31" t="n">
        <x:v>1</x:v>
      </x:c>
      <x:c r="N20" s="31" t="n">
        <x:v>1</x:v>
      </x:c>
      <x:c r="O20" s="31" t="n">
        <x:v>0</x:v>
      </x:c>
      <x:c r="P20" s="31" t="n">
        <x:f>D20*F20*H20*J20*L20*N20</x:f>
        <x:v>0</x:v>
      </x:c>
      <x:c r="Q20" s="31" t="n">
        <x:f>E20*G20*I20*K20*M20*N20</x:f>
        <x:v>1</x:v>
      </x:c>
      <x:c r="R20" s="31" t="n">
        <x:f>P20+Q20</x:f>
        <x:v>1</x:v>
      </x:c>
      <x:c r="S20" s="31" t="n">
        <x:f>IF(R20=0,999,MIN(IF(P20=1,Dispatch!G7,999),IF(Q20=1,Dispatch!G8,999)))</x:f>
        <x:v>51</x:v>
      </x:c>
      <x:c r="T20" s="47" t="str">
        <x:f>IF(AND(R20&gt;=1,S20&lt;=Assumptions!C10),"PASS","FAIL")</x:f>
        <x:v>PASS</x:v>
      </x:c>
      <x:c r="U20" s="48" t="str">
        <x:f>IF(AND(T20="PASS",O20=1),"PASS","FAIL")</x:f>
        <x:v>FAIL</x:v>
      </x:c>
    </x:row>
    <x:row r="21">
      <x:c r="B21" s="31" t="str">
        <x:v>W15</x:v>
      </x:c>
      <x:c r="C21" s="31" t="str">
        <x:v>land receiver zone denied</x:v>
      </x:c>
      <x:c r="D21" s="31" t="n">
        <x:v>1</x:v>
      </x:c>
      <x:c r="E21" s="31" t="n">
        <x:v>1</x:v>
      </x:c>
      <x:c r="F21" s="31" t="n">
        <x:v>1</x:v>
      </x:c>
      <x:c r="G21" s="31" t="n">
        <x:v>1</x:v>
      </x:c>
      <x:c r="H21" s="31" t="n">
        <x:v>1</x:v>
      </x:c>
      <x:c r="I21" s="31" t="n">
        <x:v>1</x:v>
      </x:c>
      <x:c r="J21" s="31" t="n">
        <x:v>1</x:v>
      </x:c>
      <x:c r="K21" s="31" t="n">
        <x:v>0</x:v>
      </x:c>
      <x:c r="L21" s="31" t="n">
        <x:v>1</x:v>
      </x:c>
      <x:c r="M21" s="31" t="n">
        <x:v>1</x:v>
      </x:c>
      <x:c r="N21" s="31" t="n">
        <x:v>1</x:v>
      </x:c>
      <x:c r="O21" s="31" t="n">
        <x:v>0</x:v>
      </x:c>
      <x:c r="P21" s="31" t="n">
        <x:f>D21*F21*H21*J21*L21*N21</x:f>
        <x:v>1</x:v>
      </x:c>
      <x:c r="Q21" s="31" t="n">
        <x:f>E21*G21*I21*K21*M21*N21</x:f>
        <x:v>0</x:v>
      </x:c>
      <x:c r="R21" s="31" t="n">
        <x:f>P21+Q21</x:f>
        <x:v>1</x:v>
      </x:c>
      <x:c r="S21" s="31" t="n">
        <x:f>IF(R21=0,999,MIN(IF(P21=1,Dispatch!G7,999),IF(Q21=1,Dispatch!G8,999)))</x:f>
        <x:v>48</x:v>
      </x:c>
      <x:c r="T21" s="47" t="str">
        <x:f>IF(AND(R21&gt;=1,S21&lt;=Assumptions!C10),"PASS","FAIL")</x:f>
        <x:v>PASS</x:v>
      </x:c>
      <x:c r="U21" s="48" t="str">
        <x:f>IF(AND(T21="PASS",O21=1),"PASS","FAIL")</x:f>
        <x:v>FAIL</x:v>
      </x:c>
    </x:row>
    <x:row r="22">
      <x:c r="B22" s="31" t="str">
        <x:v>W16</x:v>
      </x:c>
      <x:c r="C22" s="31" t="str">
        <x:v>air release team lost</x:v>
      </x:c>
      <x:c r="D22" s="31" t="n">
        <x:v>1</x:v>
      </x:c>
      <x:c r="E22" s="31" t="n">
        <x:v>1</x:v>
      </x:c>
      <x:c r="F22" s="31" t="n">
        <x:v>1</x:v>
      </x:c>
      <x:c r="G22" s="31" t="n">
        <x:v>1</x:v>
      </x:c>
      <x:c r="H22" s="31" t="n">
        <x:v>1</x:v>
      </x:c>
      <x:c r="I22" s="31" t="n">
        <x:v>1</x:v>
      </x:c>
      <x:c r="J22" s="31" t="n">
        <x:v>1</x:v>
      </x:c>
      <x:c r="K22" s="31" t="n">
        <x:v>1</x:v>
      </x:c>
      <x:c r="L22" s="31" t="n">
        <x:v>0</x:v>
      </x:c>
      <x:c r="M22" s="31" t="n">
        <x:v>1</x:v>
      </x:c>
      <x:c r="N22" s="31" t="n">
        <x:v>1</x:v>
      </x:c>
      <x:c r="O22" s="31" t="n">
        <x:v>0</x:v>
      </x:c>
      <x:c r="P22" s="31" t="n">
        <x:f>D22*F22*H22*J22*L22*N22</x:f>
        <x:v>0</x:v>
      </x:c>
      <x:c r="Q22" s="31" t="n">
        <x:f>E22*G22*I22*K22*M22*N22</x:f>
        <x:v>1</x:v>
      </x:c>
      <x:c r="R22" s="31" t="n">
        <x:f>P22+Q22</x:f>
        <x:v>1</x:v>
      </x:c>
      <x:c r="S22" s="31" t="n">
        <x:f>IF(R22=0,999,MIN(IF(P22=1,Dispatch!G7,999),IF(Q22=1,Dispatch!G8,999)))</x:f>
        <x:v>51</x:v>
      </x:c>
      <x:c r="T22" s="47" t="str">
        <x:f>IF(AND(R22&gt;=1,S22&lt;=Assumptions!C10),"PASS","FAIL")</x:f>
        <x:v>PASS</x:v>
      </x:c>
      <x:c r="U22" s="48" t="str">
        <x:f>IF(AND(T22="PASS",O22=1),"PASS","FAIL")</x:f>
        <x:v>FAIL</x:v>
      </x:c>
    </x:row>
    <x:row r="23">
      <x:c r="B23" s="31" t="str">
        <x:v>W17</x:v>
      </x:c>
      <x:c r="C23" s="31" t="str">
        <x:v>terrain release team lost</x:v>
      </x:c>
      <x:c r="D23" s="31" t="n">
        <x:v>1</x:v>
      </x:c>
      <x:c r="E23" s="31" t="n">
        <x:v>1</x:v>
      </x:c>
      <x:c r="F23" s="31" t="n">
        <x:v>1</x:v>
      </x:c>
      <x:c r="G23" s="31" t="n">
        <x:v>1</x:v>
      </x:c>
      <x:c r="H23" s="31" t="n">
        <x:v>1</x:v>
      </x:c>
      <x:c r="I23" s="31" t="n">
        <x:v>1</x:v>
      </x:c>
      <x:c r="J23" s="31" t="n">
        <x:v>1</x:v>
      </x:c>
      <x:c r="K23" s="31" t="n">
        <x:v>1</x:v>
      </x:c>
      <x:c r="L23" s="31" t="n">
        <x:v>1</x:v>
      </x:c>
      <x:c r="M23" s="31" t="n">
        <x:v>0</x:v>
      </x:c>
      <x:c r="N23" s="31" t="n">
        <x:v>1</x:v>
      </x:c>
      <x:c r="O23" s="31" t="n">
        <x:v>0</x:v>
      </x:c>
      <x:c r="P23" s="31" t="n">
        <x:f>D23*F23*H23*J23*L23*N23</x:f>
        <x:v>1</x:v>
      </x:c>
      <x:c r="Q23" s="31" t="n">
        <x:f>E23*G23*I23*K23*M23*N23</x:f>
        <x:v>0</x:v>
      </x:c>
      <x:c r="R23" s="31" t="n">
        <x:f>P23+Q23</x:f>
        <x:v>1</x:v>
      </x:c>
      <x:c r="S23" s="31" t="n">
        <x:f>IF(R23=0,999,MIN(IF(P23=1,Dispatch!G7,999),IF(Q23=1,Dispatch!G8,999)))</x:f>
        <x:v>48</x:v>
      </x:c>
      <x:c r="T23" s="47" t="str">
        <x:f>IF(AND(R23&gt;=1,S23&lt;=Assumptions!C10),"PASS","FAIL")</x:f>
        <x:v>PASS</x:v>
      </x:c>
      <x:c r="U23" s="48" t="str">
        <x:f>IF(AND(T23="PASS",O23=1),"PASS","FAIL")</x:f>
        <x:v>FAIL</x:v>
      </x:c>
    </x:row>
    <x:row r="24">
      <x:c r="B24" s="31" t="str">
        <x:v>W18</x:v>
      </x:c>
      <x:c r="C24" s="31" t="str">
        <x:v>national network denied</x:v>
      </x:c>
      <x:c r="D24" s="31" t="n">
        <x:v>1</x:v>
      </x:c>
      <x:c r="E24" s="31" t="n">
        <x:v>1</x:v>
      </x:c>
      <x:c r="F24" s="31" t="n">
        <x:v>1</x:v>
      </x:c>
      <x:c r="G24" s="31" t="n">
        <x:v>1</x:v>
      </x:c>
      <x:c r="H24" s="31" t="n">
        <x:v>1</x:v>
      </x:c>
      <x:c r="I24" s="31" t="n">
        <x:v>1</x:v>
      </x:c>
      <x:c r="J24" s="31" t="n">
        <x:v>1</x:v>
      </x:c>
      <x:c r="K24" s="31" t="n">
        <x:v>1</x:v>
      </x:c>
      <x:c r="L24" s="31" t="n">
        <x:v>1</x:v>
      </x:c>
      <x:c r="M24" s="31" t="n">
        <x:v>1</x:v>
      </x:c>
      <x:c r="N24" s="31" t="n">
        <x:v>1</x:v>
      </x:c>
      <x:c r="O24" s="31" t="n">
        <x:v>0</x:v>
      </x:c>
      <x:c r="P24" s="31" t="n">
        <x:f>D24*F24*H24*J24*L24*N24</x:f>
        <x:v>1</x:v>
      </x:c>
      <x:c r="Q24" s="31" t="n">
        <x:f>E24*G24*I24*K24*M24*N24</x:f>
        <x:v>1</x:v>
      </x:c>
      <x:c r="R24" s="31" t="n">
        <x:f>P24+Q24</x:f>
        <x:v>2</x:v>
      </x:c>
      <x:c r="S24" s="31" t="n">
        <x:f>IF(R24=0,999,MIN(IF(P24=1,Dispatch!G7,999),IF(Q24=1,Dispatch!G8,999)))</x:f>
        <x:v>48</x:v>
      </x:c>
      <x:c r="T24" s="47" t="str">
        <x:f>IF(AND(R24&gt;=1,S24&lt;=Assumptions!C10),"PASS","FAIL")</x:f>
        <x:v>PASS</x:v>
      </x:c>
      <x:c r="U24" s="48" t="str">
        <x:f>IF(AND(T24="PASS",O24=1),"PASS","FAIL")</x:f>
        <x:v>FAIL</x:v>
      </x:c>
    </x:row>
    <x:row r="25">
      <x:c r="B25" s="31" t="str">
        <x:v>W19</x:v>
      </x:c>
      <x:c r="C25" s="31" t="str">
        <x:v>both access modes denied</x:v>
      </x:c>
      <x:c r="D25" s="31" t="n">
        <x:v>1</x:v>
      </x:c>
      <x:c r="E25" s="31" t="n">
        <x:v>1</x:v>
      </x:c>
      <x:c r="F25" s="31" t="n">
        <x:v>0</x:v>
      </x:c>
      <x:c r="G25" s="31" t="n">
        <x:v>0</x:v>
      </x:c>
      <x:c r="H25" s="31" t="n">
        <x:v>1</x:v>
      </x:c>
      <x:c r="I25" s="31" t="n">
        <x:v>1</x:v>
      </x:c>
      <x:c r="J25" s="31" t="n">
        <x:v>1</x:v>
      </x:c>
      <x:c r="K25" s="31" t="n">
        <x:v>1</x:v>
      </x:c>
      <x:c r="L25" s="31" t="n">
        <x:v>1</x:v>
      </x:c>
      <x:c r="M25" s="31" t="n">
        <x:v>1</x:v>
      </x:c>
      <x:c r="N25" s="31" t="n">
        <x:v>1</x:v>
      </x:c>
      <x:c r="O25" s="31" t="n">
        <x:v>0</x:v>
      </x:c>
      <x:c r="P25" s="31" t="n">
        <x:f>D25*F25*H25*J25*L25*N25</x:f>
        <x:v>0</x:v>
      </x:c>
      <x:c r="Q25" s="31" t="n">
        <x:f>E25*G25*I25*K25*M25*N25</x:f>
        <x:v>0</x:v>
      </x:c>
      <x:c r="R25" s="31" t="n">
        <x:f>P25+Q25</x:f>
        <x:v>0</x:v>
      </x:c>
      <x:c r="S25" s="31" t="n">
        <x:f>IF(R25=0,999,MIN(IF(P25=1,Dispatch!G7,999),IF(Q25=1,Dispatch!G8,999)))</x:f>
        <x:v>999</x:v>
      </x:c>
      <x:c r="T25" s="47" t="str">
        <x:f>IF(AND(R25&gt;=1,S25&lt;=Assumptions!C10),"PASS","FAIL")</x:f>
        <x:v>FAIL</x:v>
      </x:c>
      <x:c r="U25" s="48" t="str">
        <x:f>IF(AND(T25="PASS",O25=1),"PASS","FAIL")</x:f>
        <x:v>FAIL</x:v>
      </x:c>
    </x:row>
    <x:row r="26">
      <x:c r="B26" s="38" t="str">
        <x:v>W20</x:v>
      </x:c>
      <x:c r="C26" s="38" t="str">
        <x:v>representative evidence withheld</x:v>
      </x:c>
      <x:c r="D26" s="38" t="n">
        <x:v>1</x:v>
      </x:c>
      <x:c r="E26" s="38" t="n">
        <x:v>1</x:v>
      </x:c>
      <x:c r="F26" s="38" t="n">
        <x:v>1</x:v>
      </x:c>
      <x:c r="G26" s="38" t="n">
        <x:v>1</x:v>
      </x:c>
      <x:c r="H26" s="38" t="n">
        <x:v>1</x:v>
      </x:c>
      <x:c r="I26" s="38" t="n">
        <x:v>1</x:v>
      </x:c>
      <x:c r="J26" s="38" t="n">
        <x:v>1</x:v>
      </x:c>
      <x:c r="K26" s="38" t="n">
        <x:v>1</x:v>
      </x:c>
      <x:c r="L26" s="38" t="n">
        <x:v>1</x:v>
      </x:c>
      <x:c r="M26" s="38" t="n">
        <x:v>1</x:v>
      </x:c>
      <x:c r="N26" s="38" t="n">
        <x:v>1</x:v>
      </x:c>
      <x:c r="O26" s="38" t="n">
        <x:v>0</x:v>
      </x:c>
      <x:c r="P26" s="38" t="n">
        <x:f>D26*F26*H26*J26*L26*N26</x:f>
        <x:v>1</x:v>
      </x:c>
      <x:c r="Q26" s="38" t="n">
        <x:f>E26*G26*I26*K26*M26*N26</x:f>
        <x:v>1</x:v>
      </x:c>
      <x:c r="R26" s="38" t="n">
        <x:f>P26+Q26</x:f>
        <x:v>2</x:v>
      </x:c>
      <x:c r="S26" s="38" t="n">
        <x:f>IF(R26=0,999,MIN(IF(P26=1,Dispatch!G7,999),IF(Q26=1,Dispatch!G8,999)))</x:f>
        <x:v>48</x:v>
      </x:c>
      <x:c r="T26" s="50" t="str">
        <x:f>IF(AND(R26&gt;=1,S26&lt;=Assumptions!C10),"PASS","FAIL")</x:f>
        <x:v>PASS</x:v>
      </x:c>
      <x:c r="U26" s="51" t="str">
        <x:f>IF(AND(T26="PASS",O26=1),"PASS","FAIL")</x:f>
        <x:v>FAIL</x:v>
      </x:c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</x:sheetData>
  <x:conditionalFormatting sqref="T7:U26">
    <x:cfRule type="containsText" dxfId="3" priority="1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5" hidden="0" customWidth="1"/>
    <x:col min="3" max="3" width="12" hidden="0" customWidth="1"/>
    <x:col min="4" max="4" width="15" hidden="0" customWidth="1"/>
    <x:col min="5" max="5" width="24" hidden="0" customWidth="1"/>
    <x:col min="6" max="6" width="20" hidden="0" customWidth="1"/>
    <x:col min="7" max="7" width="21" hidden="0" customWidth="1"/>
    <x:col min="8" max="8" width="23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15" hidden="0" customWidth="1"/>
    <x:col min="14" max="14" width="13" hidden="0" customWidth="1"/>
  </x:cols>
  <x:sheetData>
    <x:row r="2">
      <x:c r="B2" s="3" t="str">
        <x:v>Independent 168-hour reset paths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Vehicle, payload, crew and base workstreams run in parallel; the longest declared path governs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9" t="str">
        <x:v>Workstream</x:v>
      </x:c>
      <x:c r="C6" s="30" t="str">
        <x:v>Mode</x:v>
      </x:c>
      <x:c r="D6" s="30" t="str">
        <x:v>Shutdown h</x:v>
      </x:c>
      <x:c r="E6" s="30" t="str">
        <x:v>Recover or handback h</x:v>
      </x:c>
      <x:c r="F6" s="30" t="str">
        <x:v>Decontaminate h</x:v>
      </x:c>
      <x:c r="G6" s="30" t="str">
        <x:v>Inspect and repair h</x:v>
      </x:c>
      <x:c r="H6" s="30" t="str">
        <x:v>Replenish or qualify h</x:v>
      </x:c>
      <x:c r="I6" s="30" t="str">
        <x:v>Certify and reload h</x:v>
      </x:c>
      <x:c r="J6" s="30" t="str">
        <x:v>Total h</x:v>
      </x:c>
      <x:c r="K6" s="30" t="str">
        <x:v>Target h</x:v>
      </x:c>
      <x:c r="L6" s="30" t="str">
        <x:v>Margin h</x:v>
      </x:c>
      <x:c r="M6" s="30" t="str">
        <x:v>Behavior</x:v>
      </x:c>
      <x:c r="N6" s="30" t="str">
        <x:v>Evidence</x:v>
      </x:c>
    </x:row>
    <x:row r="7">
      <x:c r="B7" s="31" t="str">
        <x:v>vehicle</x:v>
      </x:c>
      <x:c r="C7" s="31" t="str">
        <x:v>AIR</x:v>
      </x:c>
      <x:c r="D7" s="31" t="n">
        <x:v>4</x:v>
      </x:c>
      <x:c r="E7" s="31" t="n">
        <x:v>12</x:v>
      </x:c>
      <x:c r="F7" s="31" t="n">
        <x:v>18</x:v>
      </x:c>
      <x:c r="G7" s="31" t="n">
        <x:v>48</x:v>
      </x:c>
      <x:c r="H7" s="31" t="n">
        <x:v>30</x:v>
      </x:c>
      <x:c r="I7" s="31" t="n">
        <x:v>14</x:v>
      </x:c>
      <x:c r="J7" s="31" t="n">
        <x:f>SUM(D7:I7)</x:f>
        <x:v>126</x:v>
      </x:c>
      <x:c r="K7" s="31" t="n">
        <x:v>168</x:v>
      </x:c>
      <x:c r="L7" s="31" t="n">
        <x:f>K7-J7</x:f>
        <x:v>42</x:v>
      </x:c>
      <x:c r="M7" s="31" t="str">
        <x:f>IF(L7&gt;=0,"PASS","FAIL")</x:f>
        <x:v>PASS</x:v>
      </x:c>
      <x:c r="N7" s="33" t="str">
        <x:v>OPEN</x:v>
      </x:c>
    </x:row>
    <x:row r="8">
      <x:c r="B8" s="31" t="str">
        <x:v>payload</x:v>
      </x:c>
      <x:c r="C8" s="31" t="str">
        <x:v>AIR</x:v>
      </x:c>
      <x:c r="D8" s="31" t="n">
        <x:v>4</x:v>
      </x:c>
      <x:c r="E8" s="31" t="n">
        <x:v>12</x:v>
      </x:c>
      <x:c r="F8" s="31" t="n">
        <x:v>18</x:v>
      </x:c>
      <x:c r="G8" s="31" t="n">
        <x:v>30</x:v>
      </x:c>
      <x:c r="H8" s="31" t="n">
        <x:v>18</x:v>
      </x:c>
      <x:c r="I8" s="31" t="n">
        <x:v>14</x:v>
      </x:c>
      <x:c r="J8" s="31" t="n">
        <x:f>SUM(D8:I8)</x:f>
        <x:v>96</x:v>
      </x:c>
      <x:c r="K8" s="31" t="n">
        <x:v>168</x:v>
      </x:c>
      <x:c r="L8" s="31" t="n">
        <x:f>K8-J8</x:f>
        <x:v>72</x:v>
      </x:c>
      <x:c r="M8" s="31" t="str">
        <x:f>IF(L8&gt;=0,"PASS","FAIL")</x:f>
        <x:v>PASS</x:v>
      </x:c>
      <x:c r="N8" s="33" t="str">
        <x:v>OPEN</x:v>
      </x:c>
    </x:row>
    <x:row r="9">
      <x:c r="B9" s="31" t="str">
        <x:v>crew</x:v>
      </x:c>
      <x:c r="C9" s="31" t="str">
        <x:v>AIR</x:v>
      </x:c>
      <x:c r="D9" s="31" t="n">
        <x:v>4</x:v>
      </x:c>
      <x:c r="E9" s="31" t="n">
        <x:v>0</x:v>
      </x:c>
      <x:c r="F9" s="31" t="n">
        <x:v>0</x:v>
      </x:c>
      <x:c r="G9" s="31" t="n">
        <x:v>0</x:v>
      </x:c>
      <x:c r="H9" s="31" t="n">
        <x:v>22</x:v>
      </x:c>
      <x:c r="I9" s="31" t="n">
        <x:v>14</x:v>
      </x:c>
      <x:c r="J9" s="31" t="n">
        <x:f>SUM(D9:I9)</x:f>
        <x:v>40</x:v>
      </x:c>
      <x:c r="K9" s="31" t="n">
        <x:v>168</x:v>
      </x:c>
      <x:c r="L9" s="31" t="n">
        <x:f>K9-J9</x:f>
        <x:v>128</x:v>
      </x:c>
      <x:c r="M9" s="31" t="str">
        <x:f>IF(L9&gt;=0,"PASS","FAIL")</x:f>
        <x:v>PASS</x:v>
      </x:c>
      <x:c r="N9" s="33" t="str">
        <x:v>OPEN</x:v>
      </x:c>
    </x:row>
    <x:row r="10">
      <x:c r="B10" s="31" t="str">
        <x:v>base and receiver</x:v>
      </x:c>
      <x:c r="C10" s="31" t="str">
        <x:v>AIR</x:v>
      </x:c>
      <x:c r="D10" s="31" t="n">
        <x:v>4</x:v>
      </x:c>
      <x:c r="E10" s="31" t="n">
        <x:v>16</x:v>
      </x:c>
      <x:c r="F10" s="31" t="n">
        <x:v>12</x:v>
      </x:c>
      <x:c r="G10" s="31" t="n">
        <x:v>16</x:v>
      </x:c>
      <x:c r="H10" s="31" t="n">
        <x:v>18</x:v>
      </x:c>
      <x:c r="I10" s="31" t="n">
        <x:v>14</x:v>
      </x:c>
      <x:c r="J10" s="31" t="n">
        <x:f>SUM(D10:I10)</x:f>
        <x:v>80</x:v>
      </x:c>
      <x:c r="K10" s="31" t="n">
        <x:v>168</x:v>
      </x:c>
      <x:c r="L10" s="31" t="n">
        <x:f>K10-J10</x:f>
        <x:v>88</x:v>
      </x:c>
      <x:c r="M10" s="31" t="str">
        <x:f>IF(L10&gt;=0,"PASS","FAIL")</x:f>
        <x:v>PASS</x:v>
      </x:c>
      <x:c r="N10" s="33" t="str">
        <x:v>OPEN</x:v>
      </x:c>
    </x:row>
    <x:row r="11">
      <x:c r="B11" s="31" t="str">
        <x:v>vehicle</x:v>
      </x:c>
      <x:c r="C11" s="31" t="str">
        <x:v>TERRAIN</x:v>
      </x:c>
      <x:c r="D11" s="31" t="n">
        <x:v>4</x:v>
      </x:c>
      <x:c r="E11" s="31" t="n">
        <x:v>16</x:v>
      </x:c>
      <x:c r="F11" s="31" t="n">
        <x:v>18</x:v>
      </x:c>
      <x:c r="G11" s="31" t="n">
        <x:v>48</x:v>
      </x:c>
      <x:c r="H11" s="31" t="n">
        <x:v>32</x:v>
      </x:c>
      <x:c r="I11" s="31" t="n">
        <x:v>14</x:v>
      </x:c>
      <x:c r="J11" s="31" t="n">
        <x:f>SUM(D11:I11)</x:f>
        <x:v>132</x:v>
      </x:c>
      <x:c r="K11" s="31" t="n">
        <x:v>168</x:v>
      </x:c>
      <x:c r="L11" s="31" t="n">
        <x:f>K11-J11</x:f>
        <x:v>36</x:v>
      </x:c>
      <x:c r="M11" s="31" t="str">
        <x:f>IF(L11&gt;=0,"PASS","FAIL")</x:f>
        <x:v>PASS</x:v>
      </x:c>
      <x:c r="N11" s="33" t="str">
        <x:v>OPEN</x:v>
      </x:c>
    </x:row>
    <x:row r="12">
      <x:c r="B12" s="31" t="str">
        <x:v>payload</x:v>
      </x:c>
      <x:c r="C12" s="31" t="str">
        <x:v>TERRAIN</x:v>
      </x:c>
      <x:c r="D12" s="31" t="n">
        <x:v>4</x:v>
      </x:c>
      <x:c r="E12" s="31" t="n">
        <x:v>12</x:v>
      </x:c>
      <x:c r="F12" s="31" t="n">
        <x:v>18</x:v>
      </x:c>
      <x:c r="G12" s="31" t="n">
        <x:v>30</x:v>
      </x:c>
      <x:c r="H12" s="31" t="n">
        <x:v>18</x:v>
      </x:c>
      <x:c r="I12" s="31" t="n">
        <x:v>14</x:v>
      </x:c>
      <x:c r="J12" s="31" t="n">
        <x:f>SUM(D12:I12)</x:f>
        <x:v>96</x:v>
      </x:c>
      <x:c r="K12" s="31" t="n">
        <x:v>168</x:v>
      </x:c>
      <x:c r="L12" s="31" t="n">
        <x:f>K12-J12</x:f>
        <x:v>72</x:v>
      </x:c>
      <x:c r="M12" s="31" t="str">
        <x:f>IF(L12&gt;=0,"PASS","FAIL")</x:f>
        <x:v>PASS</x:v>
      </x:c>
      <x:c r="N12" s="33" t="str">
        <x:v>OPEN</x:v>
      </x:c>
    </x:row>
    <x:row r="13">
      <x:c r="B13" s="31" t="str">
        <x:v>crew</x:v>
      </x:c>
      <x:c r="C13" s="31" t="str">
        <x:v>TERRAIN</x:v>
      </x:c>
      <x:c r="D13" s="31" t="n">
        <x:v>4</x:v>
      </x:c>
      <x:c r="E13" s="31" t="n">
        <x:v>0</x:v>
      </x:c>
      <x:c r="F13" s="31" t="n">
        <x:v>0</x:v>
      </x:c>
      <x:c r="G13" s="31" t="n">
        <x:v>0</x:v>
      </x:c>
      <x:c r="H13" s="31" t="n">
        <x:v>22</x:v>
      </x:c>
      <x:c r="I13" s="31" t="n">
        <x:v>14</x:v>
      </x:c>
      <x:c r="J13" s="31" t="n">
        <x:f>SUM(D13:I13)</x:f>
        <x:v>40</x:v>
      </x:c>
      <x:c r="K13" s="31" t="n">
        <x:v>168</x:v>
      </x:c>
      <x:c r="L13" s="31" t="n">
        <x:f>K13-J13</x:f>
        <x:v>128</x:v>
      </x:c>
      <x:c r="M13" s="31" t="str">
        <x:f>IF(L13&gt;=0,"PASS","FAIL")</x:f>
        <x:v>PASS</x:v>
      </x:c>
      <x:c r="N13" s="33" t="str">
        <x:v>OPEN</x:v>
      </x:c>
    </x:row>
    <x:row r="14">
      <x:c r="B14" s="38" t="str">
        <x:v>base and receiver</x:v>
      </x:c>
      <x:c r="C14" s="38" t="str">
        <x:v>TERRAIN</x:v>
      </x:c>
      <x:c r="D14" s="38" t="n">
        <x:v>4</x:v>
      </x:c>
      <x:c r="E14" s="38" t="n">
        <x:v>16</x:v>
      </x:c>
      <x:c r="F14" s="38" t="n">
        <x:v>12</x:v>
      </x:c>
      <x:c r="G14" s="38" t="n">
        <x:v>16</x:v>
      </x:c>
      <x:c r="H14" s="38" t="n">
        <x:v>18</x:v>
      </x:c>
      <x:c r="I14" s="38" t="n">
        <x:v>14</x:v>
      </x:c>
      <x:c r="J14" s="38" t="n">
        <x:f>SUM(D14:I14)</x:f>
        <x:v>80</x:v>
      </x:c>
      <x:c r="K14" s="38" t="n">
        <x:v>168</x:v>
      </x:c>
      <x:c r="L14" s="38" t="n">
        <x:f>K14-J14</x:f>
        <x:v>88</x:v>
      </x:c>
      <x:c r="M14" s="38" t="str">
        <x:f>IF(L14&gt;=0,"PASS","FAIL")</x:f>
        <x:v>PASS</x:v>
      </x:c>
      <x:c r="N14" s="40" t="str">
        <x:v>OPEN</x:v>
      </x:c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</x:sheetData>
  <x:conditionalFormatting sqref="M7:M14">
    <x:cfRule type="containsText" dxfId="4" priority="1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7" hidden="0" customWidth="1"/>
    <x:col min="3" max="3" width="20" hidden="0" customWidth="1"/>
    <x:col min="4" max="4" width="21" hidden="0" customWidth="1"/>
    <x:col min="5" max="5" width="18" hidden="0" customWidth="1"/>
    <x:col min="6" max="6" width="49" hidden="0" customWidth="1"/>
    <x:col min="7" max="7" width="20" hidden="0" customWidth="1"/>
  </x:cols>
  <x:sheetData>
    <x:row r="2">
      <x:c r="B2" s="3" t="str">
        <x:v>Configured DCP-2 program boundary</x:v>
      </x:c>
      <x:c r="C2" s="2"/>
      <x:c r="D2" s="2"/>
      <x:c r="E2" s="2"/>
      <x:c r="F2" s="2"/>
      <x:c r="G2" s="2"/>
    </x:row>
    <x:row r="3">
      <x:c r="B3" s="4" t="str">
        <x:v>Physical reserve, separated bases and representative integration replace the Pass 81 pre-configuration account</x:v>
      </x:c>
      <x:c r="C3" s="4"/>
      <x:c r="D3" s="4"/>
      <x:c r="E3" s="4"/>
      <x:c r="F3" s="4"/>
      <x:c r="G3" s="4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29" t="str">
        <x:v>Program line</x:v>
      </x:c>
      <x:c r="C6" s="30" t="str">
        <x:v>Pass 81 $B</x:v>
      </x:c>
      <x:c r="D6" s="30" t="str">
        <x:v>Configured $B</x:v>
      </x:c>
      <x:c r="E6" s="30" t="str">
        <x:v>Change $B</x:v>
      </x:c>
      <x:c r="F6" s="30" t="str">
        <x:v>Basis</x:v>
      </x:c>
      <x:c r="G6" s="30" t="str">
        <x:v>Comparison state</x:v>
      </x:c>
    </x:row>
    <x:row r="7">
      <x:c r="B7" s="31" t="str">
        <x:v>Lifecycle per package</x:v>
      </x:c>
      <x:c r="C7" s="63" t="n">
        <x:v>13.9145</x:v>
      </x:c>
      <x:c r="D7" s="63" t="n">
        <x:f>8.10+6.75</x:f>
        <x:v>14.85</x:v>
      </x:c>
      <x:c r="E7" s="63" t="n">
        <x:f>D7-C7</x:f>
        <x:v>0.9354999999999993</x:v>
      </x:c>
      <x:c r="F7" s="31" t="str">
        <x:v>clean-sheet HBL-340 pair plus ATUT-170 set</x:v>
      </x:c>
      <x:c r="G7" s="33" t="str">
        <x:v>comparable</x:v>
      </x:c>
    </x:row>
    <x:row r="8">
      <x:c r="B8" s="31" t="str">
        <x:v>Ready packages</x:v>
      </x:c>
      <x:c r="C8" s="64" t="n">
        <x:v>43</x:v>
      </x:c>
      <x:c r="D8" s="64" t="n">
        <x:f>Assumptions!C38</x:f>
        <x:v>43</x:v>
      </x:c>
      <x:c r="E8" s="64" t="n">
        <x:f>D8-C8</x:f>
        <x:v>0</x:v>
      </x:c>
      <x:c r="F8" s="31" t="str">
        <x:v>national readiness basis</x:v>
      </x:c>
      <x:c r="G8" s="33" t="str">
        <x:v>comparable</x:v>
      </x:c>
    </x:row>
    <x:row r="9">
      <x:c r="B9" s="31" t="str">
        <x:v>Formation lifecycle</x:v>
      </x:c>
      <x:c r="C9" s="63" t="n">
        <x:v>598.3235</x:v>
      </x:c>
      <x:c r="D9" s="63" t="n">
        <x:f>D7*D8</x:f>
        <x:v>638.55</x:v>
      </x:c>
      <x:c r="E9" s="63" t="n">
        <x:f>D9-C9</x:f>
        <x:v>40.22649999999999</x:v>
      </x:c>
      <x:c r="F9" s="31" t="str">
        <x:v>package lifecycle times ready packages</x:v>
      </x:c>
      <x:c r="G9" s="33" t="str">
        <x:v>comparable</x:v>
      </x:c>
    </x:row>
    <x:row r="10">
      <x:c r="B10" s="31" t="str">
        <x:v>Origin-node capital</x:v>
      </x:c>
      <x:c r="C10" s="63" t="n">
        <x:v>27.52</x:v>
      </x:c>
      <x:c r="D10" s="63" t="n">
        <x:f>SUM(Bases!N7:N8)*C8</x:f>
        <x:v>59.339999999999996</x:v>
      </x:c>
      <x:c r="E10" s="63" t="n">
        <x:f>D10-C10</x:f>
        <x:v>31.819999999999997</x:v>
      </x:c>
      <x:c r="F10" s="31" t="str">
        <x:v>two physically configured nodes per package</x:v>
      </x:c>
      <x:c r="G10" s="33" t="str">
        <x:v>depth changed</x:v>
      </x:c>
    </x:row>
    <x:row r="11">
      <x:c r="B11" s="31" t="str">
        <x:v>Origin-node operations</x:v>
      </x:c>
      <x:c r="C11" s="63" t="n">
        <x:v>40.7898</x:v>
      </x:c>
      <x:c r="D11" s="63" t="n">
        <x:f>SUM(Bases!O7:O8)*Assumptions!C39*C8</x:f>
        <x:v>54.38640000000001</x:v>
      </x:c>
      <x:c r="E11" s="63" t="n">
        <x:f>D11-C11</x:f>
        <x:v>13.59660000000001</x:v>
      </x:c>
      <x:c r="F11" s="31" t="str">
        <x:v>ramp-weighted base operations</x:v>
      </x:c>
      <x:c r="G11" s="33" t="str">
        <x:v>depth changed</x:v>
      </x:c>
    </x:row>
    <x:row r="12">
      <x:c r="B12" s="31" t="str">
        <x:v>Configuration R&amp;D</x:v>
      </x:c>
      <x:c r="C12" s="63" t="n">
        <x:v>24</x:v>
      </x:c>
      <x:c r="D12" s="63" t="n">
        <x:f>SUMIFS(Technology!D7:D20,Technology!C7:C20,"R&amp;D")</x:f>
        <x:v>56</x:v>
      </x:c>
      <x:c r="E12" s="63" t="n">
        <x:f>D12-C12</x:f>
        <x:v>32</x:v>
      </x:c>
      <x:c r="F12" s="31" t="str">
        <x:v>position, carrier, wet-load and receiver articles</x:v>
      </x:c>
      <x:c r="G12" s="33" t="str">
        <x:v>depth changed</x:v>
      </x:c>
    </x:row>
    <x:row r="13">
      <x:c r="B13" s="31" t="str">
        <x:v>Receiver program</x:v>
      </x:c>
      <x:c r="C13" s="63" t="n">
        <x:v>25</x:v>
      </x:c>
      <x:c r="D13" s="63" t="n">
        <x:f>40</x:f>
        <x:v>40</x:v>
      </x:c>
      <x:c r="E13" s="63" t="n">
        <x:f>D13-C13</x:f>
        <x:v>15</x:v>
      </x:c>
      <x:c r="F13" s="31" t="str">
        <x:v>dual-zone receiver construction and trials</x:v>
      </x:c>
      <x:c r="G13" s="33" t="str">
        <x:v>depth changed</x:v>
      </x:c>
    </x:row>
    <x:row r="14">
      <x:c r="B14" s="31" t="str">
        <x:v>Integration and test</x:v>
      </x:c>
      <x:c r="C14" s="63" t="n">
        <x:v>55</x:v>
      </x:c>
      <x:c r="D14" s="63" t="n">
        <x:f>SUMIFS(Technology!D7:D20,Technology!C7:C20,"Integration")</x:f>
        <x:v>85</x:v>
      </x:c>
      <x:c r="E14" s="63" t="n">
        <x:f>D14-C14</x:f>
        <x:v>30</x:v>
      </x:c>
      <x:c r="F14" s="31" t="str">
        <x:v>two-base, production and compound campaigns</x:v>
      </x:c>
      <x:c r="G14" s="33" t="str">
        <x:v>depth changed</x:v>
      </x:c>
    </x:row>
    <x:row r="15">
      <x:c r="B15" s="31" t="str">
        <x:v>Package increment</x:v>
      </x:c>
      <x:c r="C15" s="63" t="n">
        <x:v>770.6333</x:v>
      </x:c>
      <x:c r="D15" s="63" t="n">
        <x:f>SUM(D9:D14)</x:f>
        <x:v>933.2764</x:v>
      </x:c>
      <x:c r="E15" s="63" t="n">
        <x:f>D15-C15</x:f>
        <x:v>162.6431</x:v>
      </x:c>
      <x:c r="F15" s="31" t="str">
        <x:v>formation plus nodes, research and integration</x:v>
      </x:c>
      <x:c r="G15" s="33" t="str">
        <x:v>configured result</x:v>
      </x:c>
    </x:row>
    <x:row r="16">
      <x:c r="B16" s="31" t="str">
        <x:v>Dynamic F1-C1 base</x:v>
      </x:c>
      <x:c r="C16" s="63" t="n">
        <x:v>7383.14155</x:v>
      </x:c>
      <x:c r="D16" s="63" t="n">
        <x:f>Assumptions!C42</x:f>
        <x:v>7383.14155</x:v>
      </x:c>
      <x:c r="E16" s="63" t="n">
        <x:f>D16-C16</x:f>
        <x:v>0</x:v>
      </x:c>
      <x:c r="F16" s="31" t="str">
        <x:v>one-region force before reinforcement</x:v>
      </x:c>
      <x:c r="G16" s="33" t="str">
        <x:v>comparable</x:v>
      </x:c>
    </x:row>
    <x:row r="17">
      <x:c r="B17" s="31" t="str">
        <x:v>National boundary</x:v>
      </x:c>
      <x:c r="C17" s="63" t="n">
        <x:v>8153.77485</x:v>
      </x:c>
      <x:c r="D17" s="63" t="n">
        <x:f>D15+D16</x:f>
        <x:v>8316.417950000001</x:v>
      </x:c>
      <x:c r="E17" s="63" t="n">
        <x:f>D17-C17</x:f>
        <x:v>162.64310000000114</x:v>
      </x:c>
      <x:c r="F17" s="31" t="str">
        <x:v>base plus configured reinforcement</x:v>
      </x:c>
      <x:c r="G17" s="33" t="str">
        <x:v>configured result</x:v>
      </x:c>
    </x:row>
    <x:row r="18">
      <x:c r="B18" s="31" t="str">
        <x:v>Increase from Pass 81</x:v>
      </x:c>
      <x:c r="C18" s="63" t="n">
        <x:v>0</x:v>
      </x:c>
      <x:c r="D18" s="63" t="n">
        <x:f>D15-C15</x:f>
        <x:v>162.6431</x:v>
      </x:c>
      <x:c r="E18" s="63" t="n">
        <x:f>D18-C18</x:f>
        <x:v>162.6431</x:v>
      </x:c>
      <x:c r="F18" s="31" t="str">
        <x:v>physical configuration correction</x:v>
      </x:c>
      <x:c r="G18" s="33" t="str">
        <x:v>calculated</x:v>
      </x:c>
    </x:row>
    <x:row r="19">
      <x:c r="B19" s="31" t="str">
        <x:v>Prior modeled savings</x:v>
      </x:c>
      <x:c r="C19" s="63" t="n">
        <x:v>192.8631</x:v>
      </x:c>
      <x:c r="D19" s="63" t="n">
        <x:f>Assumptions!C44-Assumptions!C43</x:f>
        <x:v>192.86310000000003</x:v>
      </x:c>
      <x:c r="E19" s="63" t="n">
        <x:f>D19-C19</x:f>
        <x:v>2.842170943040401e-14</x:v>
      </x:c>
      <x:c r="F19" s="31" t="str">
        <x:v>Pass 81 full duplicate less Pass 81 DCP-2</x:v>
      </x:c>
      <x:c r="G19" s="33" t="str">
        <x:v>predecessor only</x:v>
      </x:c>
    </x:row>
    <x:row r="20">
      <x:c r="B20" s="31" t="str">
        <x:v>Share of prior savings consumed</x:v>
      </x:c>
      <x:c r="C20" s="63" t="n">
        <x:v>0</x:v>
      </x:c>
      <x:c r="D20" s="46" t="n">
        <x:f>D18/D19</x:f>
        <x:v>0.8433085437286862</x:v>
      </x:c>
      <x:c r="E20" s="46" t="n">
        <x:f>D20-C20</x:f>
        <x:v>0.8433085437286862</x:v>
      </x:c>
      <x:c r="F20" s="31" t="str">
        <x:v>configuration increase divided by prior saving</x:v>
      </x:c>
      <x:c r="G20" s="33" t="str">
        <x:v>calculated</x:v>
      </x:c>
    </x:row>
    <x:row r="21">
      <x:c r="B21" s="38" t="str">
        <x:v>Gap to unconfigured full duplicate</x:v>
      </x:c>
      <x:c r="C21" s="65" t="n">
        <x:v>192.8631</x:v>
      </x:c>
      <x:c r="D21" s="65" t="n">
        <x:f>Assumptions!C44-D15</x:f>
        <x:v>30.220000000000027</x:v>
      </x:c>
      <x:c r="E21" s="65" t="n">
        <x:f>D21-C21</x:f>
        <x:v>-162.64309999999998</x:v>
      </x:c>
      <x:c r="F21" s="38" t="str">
        <x:v>not a like-depth saving</x:v>
      </x:c>
      <x:c r="G21" s="66" t="str">
        <x:v>QUARANTINED</x:v>
      </x:c>
    </x:row>
    <x:row r="22">
      <x:c r="B22" s="2"/>
      <x:c r="C22" s="2"/>
      <x:c r="D22" s="2"/>
      <x:c r="E22" s="2"/>
      <x:c r="F22" s="2"/>
      <x:c r="G22" s="2"/>
    </x:row>
    <x:row r="23">
      <x:c r="B23" s="2"/>
      <x:c r="C23" s="2"/>
      <x:c r="D23" s="2"/>
      <x:c r="E23" s="2"/>
      <x:c r="F23" s="2"/>
      <x:c r="G23" s="2"/>
    </x:row>
    <x:row r="24">
      <x:c r="B24" s="2"/>
      <x:c r="C24" s="2"/>
      <x:c r="D24" s="2"/>
      <x:c r="E24" s="2"/>
      <x:c r="F24" s="2"/>
      <x:c r="G24" s="2"/>
    </x:row>
    <x:row r="25">
      <x:c r="B25" s="2"/>
      <x:c r="C25" s="2"/>
      <x:c r="D25" s="2"/>
      <x:c r="E25" s="2"/>
      <x:c r="F25" s="2"/>
      <x:c r="G25" s="2"/>
    </x:row>
    <x:row r="26">
      <x:c r="B26" s="2"/>
      <x:c r="C26" s="2"/>
      <x:c r="D26" s="2"/>
      <x:c r="E26" s="2"/>
      <x:c r="F26" s="2"/>
      <x:c r="G26" s="2"/>
    </x:row>
    <x:row r="27">
      <x:c r="B27" s="2"/>
      <x:c r="C27" s="2"/>
      <x:c r="D27" s="2"/>
      <x:c r="E27" s="2"/>
      <x:c r="F27" s="2"/>
      <x:c r="G27" s="2"/>
    </x:row>
    <x:row r="28">
      <x:c r="B28" s="2"/>
      <x:c r="C28" s="2"/>
      <x:c r="D28" s="2"/>
      <x:c r="E28" s="2"/>
      <x:c r="F28" s="2"/>
      <x:c r="G28" s="2"/>
    </x:row>
    <x:row r="29">
      <x:c r="B29" s="2"/>
      <x:c r="C29" s="2"/>
      <x:c r="D29" s="2"/>
      <x:c r="E29" s="2"/>
      <x:c r="F29" s="2"/>
      <x:c r="G29" s="2"/>
    </x:row>
    <x:row r="30">
      <x:c r="B30" s="2"/>
      <x:c r="C30" s="2"/>
      <x:c r="D30" s="2"/>
      <x:c r="E30" s="2"/>
      <x:c r="F30" s="2"/>
      <x:c r="G30" s="2"/>
    </x:row>
    <x:row r="31">
      <x:c r="B31" s="2"/>
      <x:c r="C31" s="2"/>
      <x:c r="D31" s="2"/>
      <x:c r="E31" s="2"/>
      <x:c r="F31" s="2"/>
      <x:c r="G31" s="2"/>
    </x:row>
    <x:row r="32">
      <x:c r="B32" s="2"/>
      <x:c r="C32" s="2"/>
      <x:c r="D32" s="2"/>
      <x:c r="E32" s="2"/>
      <x:c r="F32" s="2"/>
      <x:c r="G32" s="2"/>
    </x:row>
    <x:row r="33">
      <x:c r="B33" s="2"/>
      <x:c r="C33" s="2"/>
      <x:c r="D33" s="2"/>
      <x:c r="E33" s="2"/>
      <x:c r="F33" s="2"/>
      <x:c r="G33" s="2"/>
    </x:row>
    <x:row r="34">
      <x:c r="B34" s="2"/>
      <x:c r="C34" s="2"/>
      <x:c r="D34" s="2"/>
      <x:c r="E34" s="2"/>
      <x:c r="F34" s="2"/>
      <x:c r="G34" s="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7" hidden="0" customWidth="1"/>
    <x:col min="3" max="3" width="15" hidden="0" customWidth="1"/>
    <x:col min="4" max="4" width="17" hidden="0" customWidth="1"/>
    <x:col min="5" max="5" width="31" hidden="0" customWidth="1"/>
    <x:col min="6" max="6" width="42" hidden="0" customWidth="1"/>
    <x:col min="7" max="7" width="34" hidden="0" customWidth="1"/>
    <x:col min="8" max="8" width="33" hidden="0" customWidth="1"/>
    <x:col min="9" max="9" width="34" hidden="0" customWidth="1"/>
    <x:col min="10" max="10" width="13" hidden="0" customWidth="1"/>
    <x:col min="11" max="11" width="14" hidden="0" customWidth="1"/>
  </x:cols>
  <x:sheetData>
    <x:row r="2">
      <x:c r="B2" s="3" t="str">
        <x:v>Physical configuration research and integration program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Each line closes a named configuration or representative-test burden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29" t="str">
        <x:v>Program</x:v>
      </x:c>
      <x:c r="C6" s="30" t="str">
        <x:v>Account</x:v>
      </x:c>
      <x:c r="D6" s="30" t="str">
        <x:v>25-year $B</x:v>
      </x:c>
      <x:c r="E6" s="30" t="str">
        <x:v>Article</x:v>
      </x:c>
      <x:c r="F6" s="30" t="str">
        <x:v>Required advance</x:v>
      </x:c>
      <x:c r="G6" s="30" t="str">
        <x:v>Representative trial</x:v>
      </x:c>
      <x:c r="H6" s="30" t="str">
        <x:v>Decisive failure</x:v>
      </x:c>
      <x:c r="I6" s="30" t="str">
        <x:v>Industrial output</x:v>
      </x:c>
      <x:c r="J6" s="30" t="str">
        <x:v>Evidence</x:v>
      </x:c>
      <x:c r="K6" s="30" t="str">
        <x:v>Rendering</x:v>
      </x:c>
    </x:row>
    <x:row r="7">
      <x:c r="B7" s="31" t="str">
        <x:v>Position-level service articles</x:v>
      </x:c>
      <x:c r="C7" s="31" t="str">
        <x:v>R&amp;D</x:v>
      </x:c>
      <x:c r="D7" s="58" t="n">
        <x:v>8</x:v>
      </x:c>
      <x:c r="E7" s="31" t="str">
        <x:v>two 32-position cells</x:v>
      </x:c>
      <x:c r="F7" s="31" t="str">
        <x:v>measured mass, cube and interfaces</x:v>
      </x:c>
      <x:c r="G7" s="31" t="str">
        <x:v>full cell build and teardown</x:v>
      </x:c>
      <x:c r="H7" s="31" t="str">
        <x:v>missing function or inaccessible service point</x:v>
      </x:c>
      <x:c r="I7" s="31" t="str">
        <x:v>qualified module families</x:v>
      </x:c>
      <x:c r="J7" s="31" t="str">
        <x:v>OPEN</x:v>
      </x:c>
      <x:c r="K7" s="33" t="str">
        <x:v>BLOCKED</x:v>
      </x:c>
    </x:row>
    <x:row r="8">
      <x:c r="B8" s="31" t="str">
        <x:v>HBL cargo transfer and mooring</x:v>
      </x:c>
      <x:c r="C8" s="31" t="str">
        <x:v>R&amp;D</x:v>
      </x:c>
      <x:c r="D8" s="58" t="n">
        <x:v>10</x:v>
      </x:c>
      <x:c r="E8" s="31" t="str">
        <x:v>HBL-340 load deck</x:v>
      </x:c>
      <x:c r="F8" s="31" t="str">
        <x:v>stable heavy transfer in weather</x:v>
      </x:c>
      <x:c r="G8" s="31" t="str">
        <x:v>full-scale mooring and unload</x:v>
      </x:c>
      <x:c r="H8" s="31" t="str">
        <x:v>gust, restraint or receiver-zone loss</x:v>
      </x:c>
      <x:c r="I8" s="31" t="str">
        <x:v>buoyant-lift cargo systems</x:v>
      </x:c>
      <x:c r="J8" s="31" t="str">
        <x:v>OPEN</x:v>
      </x:c>
      <x:c r="K8" s="33" t="str">
        <x:v>BLOCKED</x:v>
      </x:c>
    </x:row>
    <x:row r="9">
      <x:c r="B9" s="31" t="str">
        <x:v>ATUT modular deck and recovery</x:v>
      </x:c>
      <x:c r="C9" s="31" t="str">
        <x:v>R&amp;D</x:v>
      </x:c>
      <x:c r="D9" s="58" t="n">
        <x:v>8</x:v>
      </x:c>
      <x:c r="E9" s="31" t="str">
        <x:v>ATUT-170 load deck</x:v>
      </x:c>
      <x:c r="F9" s="31" t="str">
        <x:v>low-pressure movement and self-recovery</x:v>
      </x:c>
      <x:c r="G9" s="31" t="str">
        <x:v>saturated-terrain mission</x:v>
      </x:c>
      <x:c r="H9" s="31" t="str">
        <x:v>mobility, articulation or recovery loss</x:v>
      </x:c>
      <x:c r="I9" s="31" t="str">
        <x:v>terrain infrastructure vehicles</x:v>
      </x:c>
      <x:c r="J9" s="31" t="str">
        <x:v>OPEN</x:v>
      </x:c>
      <x:c r="K9" s="33" t="str">
        <x:v>BLOCKED</x:v>
      </x:c>
    </x:row>
    <x:row r="10">
      <x:c r="B10" s="31" t="str">
        <x:v>Wet-load safety and assay</x:v>
      </x:c>
      <x:c r="C10" s="31" t="str">
        <x:v>R&amp;D</x:v>
      </x:c>
      <x:c r="D10" s="58" t="n">
        <x:v>4</x:v>
      </x:c>
      <x:c r="E10" s="31" t="str">
        <x:v>eight segregated wet packs</x:v>
      </x:c>
      <x:c r="F10" s="31" t="str">
        <x:v>rapid certified loading</x:v>
      </x:c>
      <x:c r="G10" s="31" t="str">
        <x:v>contamination and seal-loss trial</x:v>
      </x:c>
      <x:c r="H10" s="31" t="str">
        <x:v>civil process logistics</x:v>
      </x:c>
      <x:c r="I10" s="31" t="str">
        <x:v>OPEN</x:v>
      </x:c>
      <x:c r="J10" s="31" t="str">
        <x:v>BLOCKED</x:v>
      </x:c>
      <x:c r="K10" s="33"/>
    </x:row>
    <x:row r="11">
      <x:c r="B11" s="31" t="str">
        <x:v>Plural external interfaces</x:v>
      </x:c>
      <x:c r="C11" s="31" t="str">
        <x:v>R&amp;D</x:v>
      </x:c>
      <x:c r="D11" s="58" t="n">
        <x:v>6</x:v>
      </x:c>
      <x:c r="E11" s="31" t="str">
        <x:v>I-A and I-B implementations</x:v>
      </x:c>
      <x:c r="F11" s="31" t="str">
        <x:v>common function without common defect</x:v>
      </x:c>
      <x:c r="G11" s="31" t="str">
        <x:v>destructive mismatch campaign</x:v>
      </x:c>
      <x:c r="H11" s="31" t="str">
        <x:v>one interface family removed</x:v>
      </x:c>
      <x:c r="I11" s="31" t="str">
        <x:v>competitive interface suppliers</x:v>
      </x:c>
      <x:c r="J11" s="31" t="str">
        <x:v>OPEN</x:v>
      </x:c>
      <x:c r="K11" s="33" t="str">
        <x:v>BLOCKED</x:v>
      </x:c>
    </x:row>
    <x:row r="12">
      <x:c r="B12" s="31" t="str">
        <x:v>Dual receiver geometry</x:v>
      </x:c>
      <x:c r="C12" s="31" t="str">
        <x:v>R&amp;D</x:v>
      </x:c>
      <x:c r="D12" s="58" t="n">
        <x:v>8</x:v>
      </x:c>
      <x:c r="E12" s="31" t="str">
        <x:v>air and terrain entry zones</x:v>
      </x:c>
      <x:c r="F12" s="31" t="str">
        <x:v>independent public-service connection</x:v>
      </x:c>
      <x:c r="G12" s="31" t="str">
        <x:v>occupied-district build</x:v>
      </x:c>
      <x:c r="H12" s="31" t="str">
        <x:v>one zone and release team removed</x:v>
      </x:c>
      <x:c r="I12" s="31" t="str">
        <x:v>receiver engineering sector</x:v>
      </x:c>
      <x:c r="J12" s="31" t="str">
        <x:v>OPEN</x:v>
      </x:c>
      <x:c r="K12" s="33" t="str">
        <x:v>BLOCKED</x:v>
      </x:c>
    </x:row>
    <x:row r="13">
      <x:c r="B13" s="31" t="str">
        <x:v>Offline configuration compiler</x:v>
      </x:c>
      <x:c r="C13" s="31" t="str">
        <x:v>R&amp;D</x:v>
      </x:c>
      <x:c r="D13" s="58" t="n">
        <x:v>4</x:v>
      </x:c>
      <x:c r="E13" s="31" t="str">
        <x:v>signed local load record</x:v>
      </x:c>
      <x:c r="F13" s="31" t="str">
        <x:v>machine-verifiable custody without network</x:v>
      </x:c>
      <x:c r="G13" s="31" t="str">
        <x:v>network-denied dispatch</x:v>
      </x:c>
      <x:c r="H13" s="31" t="str">
        <x:v>stale or corrupted configuration</x:v>
      </x:c>
      <x:c r="I13" s="31" t="str">
        <x:v>resilience logistics software</x:v>
      </x:c>
      <x:c r="J13" s="31" t="str">
        <x:v>OPEN</x:v>
      </x:c>
      <x:c r="K13" s="33" t="str">
        <x:v>BLOCKED</x:v>
      </x:c>
    </x:row>
    <x:row r="14">
      <x:c r="B14" s="31" t="str">
        <x:v>Randomized physical loss trials</x:v>
      </x:c>
      <x:c r="C14" s="31" t="str">
        <x:v>R&amp;D</x:v>
      </x:c>
      <x:c r="D14" s="58" t="n">
        <x:v>8</x:v>
      </x:c>
      <x:c r="E14" s="31" t="str">
        <x:v>complete DCP-2</x:v>
      </x:c>
      <x:c r="F14" s="31" t="str">
        <x:v>unknown fault insertion</x:v>
      </x:c>
      <x:c r="G14" s="31" t="str">
        <x:v>blind representative trials</x:v>
      </x:c>
      <x:c r="H14" s="31" t="str">
        <x:v>vehicle, mode, crew and authority loss</x:v>
      </x:c>
      <x:c r="I14" s="31" t="str">
        <x:v>independent test profession</x:v>
      </x:c>
      <x:c r="J14" s="31" t="str">
        <x:v>OPEN</x:v>
      </x:c>
      <x:c r="K14" s="33" t="str">
        <x:v>BLOCKED</x:v>
      </x:c>
    </x:row>
    <x:row r="15">
      <x:c r="B15" s="31" t="str">
        <x:v>Separated base integration</x:v>
      </x:c>
      <x:c r="C15" s="31" t="str">
        <x:v>Integration</x:v>
      </x:c>
      <x:c r="D15" s="58" t="n">
        <x:v>15</x:v>
      </x:c>
      <x:c r="E15" s="31" t="str">
        <x:v>paired origin nodes</x:v>
      </x:c>
      <x:c r="F15" s="31" t="str">
        <x:v>independent launch within one mission clock</x:v>
      </x:c>
      <x:c r="G15" s="31" t="str">
        <x:v>two-base mobilization</x:v>
      </x:c>
      <x:c r="H15" s="31" t="str">
        <x:v>shared utility or release stop</x:v>
      </x:c>
      <x:c r="I15" s="31" t="str">
        <x:v>national access-base program</x:v>
      </x:c>
      <x:c r="J15" s="31" t="str">
        <x:v>OPEN</x:v>
      </x:c>
      <x:c r="K15" s="33" t="str">
        <x:v>BLOCKED</x:v>
      </x:c>
    </x:row>
    <x:row r="16">
      <x:c r="B16" s="31" t="str">
        <x:v>Automated load compilation</x:v>
      </x:c>
      <x:c r="C16" s="31" t="str">
        <x:v>Integration</x:v>
      </x:c>
      <x:c r="D16" s="58" t="n">
        <x:v>12</x:v>
      </x:c>
      <x:c r="E16" s="31" t="str">
        <x:v>six carrier plans</x:v>
      </x:c>
      <x:c r="F16" s="31" t="str">
        <x:v>measured balance and restraint at tempo</x:v>
      </x:c>
      <x:c r="G16" s="31" t="str">
        <x:v>serial loading campaign</x:v>
      </x:c>
      <x:c r="H16" s="31" t="str">
        <x:v>wrong position or late balance</x:v>
      </x:c>
      <x:c r="I16" s="31" t="str">
        <x:v>robotic handling industry</x:v>
      </x:c>
      <x:c r="J16" s="31" t="str">
        <x:v>OPEN</x:v>
      </x:c>
      <x:c r="K16" s="33" t="str">
        <x:v>BLOCKED</x:v>
      </x:c>
    </x:row>
    <x:row r="17">
      <x:c r="B17" s="31" t="str">
        <x:v>Receiver proving network</x:v>
      </x:c>
      <x:c r="C17" s="31" t="str">
        <x:v>Integration</x:v>
      </x:c>
      <x:c r="D17" s="58" t="n">
        <x:v>18</x:v>
      </x:c>
      <x:c r="E17" s="31" t="str">
        <x:v>dual-zone receiver sites</x:v>
      </x:c>
      <x:c r="F17" s="31" t="str">
        <x:v>repeat public-service acceptance</x:v>
      </x:c>
      <x:c r="G17" s="31" t="str">
        <x:v>six climate and terrain sites</x:v>
      </x:c>
      <x:c r="H17" s="31" t="str">
        <x:v>site-specific success only</x:v>
      </x:c>
      <x:c r="I17" s="31" t="str">
        <x:v>national receiver ranges</x:v>
      </x:c>
      <x:c r="J17" s="31" t="str">
        <x:v>OPEN</x:v>
      </x:c>
      <x:c r="K17" s="33" t="str">
        <x:v>BLOCKED</x:v>
      </x:c>
    </x:row>
    <x:row r="18">
      <x:c r="B18" s="31" t="str">
        <x:v>Compound mission campaigns</x:v>
      </x:c>
      <x:c r="C18" s="31" t="str">
        <x:v>Integration</x:v>
      </x:c>
      <x:c r="D18" s="58" t="n">
        <x:v>20</x:v>
      </x:c>
      <x:c r="E18" s="31" t="str">
        <x:v>two-region campaign</x:v>
      </x:c>
      <x:c r="F18" s="31" t="str">
        <x:v>service after hidden whole-mode loss</x:v>
      </x:c>
      <x:c r="G18" s="31" t="str">
        <x:v>paired regional exercise</x:v>
      </x:c>
      <x:c r="H18" s="31" t="str">
        <x:v>common ancestry or queue</x:v>
      </x:c>
      <x:c r="I18" s="31" t="str">
        <x:v>joint resilience exercises</x:v>
      </x:c>
      <x:c r="J18" s="31" t="str">
        <x:v>OPEN</x:v>
      </x:c>
      <x:c r="K18" s="33" t="str">
        <x:v>BLOCKED</x:v>
      </x:c>
    </x:row>
    <x:row r="19">
      <x:c r="B19" s="31" t="str">
        <x:v>Production learning fleet</x:v>
      </x:c>
      <x:c r="C19" s="31" t="str">
        <x:v>Integration</x:v>
      </x:c>
      <x:c r="D19" s="58" t="n">
        <x:v>12</x:v>
      </x:c>
      <x:c r="E19" s="31" t="str">
        <x:v>early HBL and ATUT articles</x:v>
      </x:c>
      <x:c r="F19" s="31" t="str">
        <x:v>repeatable manufacture and overhaul</x:v>
      </x:c>
      <x:c r="G19" s="31" t="str">
        <x:v>lot-to-lot comparison</x:v>
      </x:c>
      <x:c r="H19" s="31" t="str">
        <x:v>supplier drift</x:v>
      </x:c>
      <x:c r="I19" s="31" t="str">
        <x:v>two clean-sheet production sectors</x:v>
      </x:c>
      <x:c r="J19" s="31" t="str">
        <x:v>OPEN</x:v>
      </x:c>
      <x:c r="K19" s="33" t="str">
        <x:v>BLOCKED</x:v>
      </x:c>
    </x:row>
    <x:row r="20">
      <x:c r="B20" s="38" t="str">
        <x:v>Independent certification system</x:v>
      </x:c>
      <x:c r="C20" s="38" t="str">
        <x:v>Integration</x:v>
      </x:c>
      <x:c r="D20" s="59" t="n">
        <x:v>8</x:v>
      </x:c>
      <x:c r="E20" s="38" t="str">
        <x:v>technical and civil release</x:v>
      </x:c>
      <x:c r="F20" s="38" t="str">
        <x:v>separate builder, operator and certifier</x:v>
      </x:c>
      <x:c r="G20" s="38" t="str">
        <x:v>denied-release exercise</x:v>
      </x:c>
      <x:c r="H20" s="38" t="str">
        <x:v>self-certification</x:v>
      </x:c>
      <x:c r="I20" s="38" t="str">
        <x:v>Access Test Directorate</x:v>
      </x:c>
      <x:c r="J20" s="38" t="str">
        <x:v>OPEN</x:v>
      </x:c>
      <x:c r="K20" s="40" t="str">
        <x:v>BLOCKED</x:v>
      </x:c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9" hidden="0" customWidth="1"/>
    <x:col min="3" max="3" width="43" hidden="0" customWidth="1"/>
    <x:col min="4" max="4" width="15" hidden="0" customWidth="1"/>
    <x:col min="5" max="5" width="44" hidden="0" customWidth="1"/>
    <x:col min="6" max="6" width="31" hidden="0" customWidth="1"/>
    <x:col min="7" max="7" width="31" hidden="0" customWidth="1"/>
    <x:col min="8" max="8" width="14" hidden="0" customWidth="1"/>
    <x:col min="9" max="9" width="30" hidden="0" customWidth="1"/>
  </x:cols>
  <x:sheetData>
    <x:row r="2">
      <x:c r="B2" s="3" t="str">
        <x:v>DCP-2 physical evidence gates</x:v>
      </x:c>
      <x:c r="C2" s="2"/>
      <x:c r="D2" s="2"/>
      <x:c r="E2" s="2"/>
      <x:c r="F2" s="2"/>
      <x:c r="G2" s="2"/>
      <x:c r="H2" s="2"/>
      <x:c r="I2" s="2"/>
    </x:row>
    <x:row r="3">
      <x:c r="B3" s="4" t="str">
        <x:v>Calculated fit and timing do not establish vehicle physics, public-service performance or repeatability</x:v>
      </x:c>
      <x:c r="C3" s="4"/>
      <x:c r="D3" s="4"/>
      <x:c r="E3" s="4"/>
      <x:c r="F3" s="4"/>
      <x:c r="G3" s="4"/>
      <x:c r="H3" s="4"/>
      <x:c r="I3" s="4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29" t="str">
        <x:v>Gate</x:v>
      </x:c>
      <x:c r="C6" s="30" t="str">
        <x:v>Evidence required</x:v>
      </x:c>
      <x:c r="D6" s="30" t="str">
        <x:v>Article</x:v>
      </x:c>
      <x:c r="E6" s="30" t="str">
        <x:v>Failure insertion</x:v>
      </x:c>
      <x:c r="F6" s="30" t="str">
        <x:v>Threshold</x:v>
      </x:c>
      <x:c r="G6" s="30" t="str">
        <x:v>Owner</x:v>
      </x:c>
      <x:c r="H6" s="30" t="str">
        <x:v>State</x:v>
      </x:c>
      <x:c r="I6" s="30" t="str">
        <x:v>Consequence</x:v>
      </x:c>
    </x:row>
    <x:row r="7">
      <x:c r="B7" s="31" t="str">
        <x:v>E01</x:v>
      </x:c>
      <x:c r="C7" s="31" t="str">
        <x:v>P01 package configuration</x:v>
      </x:c>
      <x:c r="D7" s="31" t="str">
        <x:v>P01</x:v>
      </x:c>
      <x:c r="E7" s="31" t="str">
        <x:v>remove or measure the named article or condition</x:v>
      </x:c>
      <x:c r="F7" s="31" t="str">
        <x:v>representative measured pass</x:v>
      </x:c>
      <x:c r="G7" s="31" t="str">
        <x:v>Access Test Directorate</x:v>
      </x:c>
      <x:c r="H7" s="31" t="str">
        <x:v>OPEN</x:v>
      </x:c>
      <x:c r="I7" s="33" t="str">
        <x:v>no current or strict credit</x:v>
      </x:c>
    </x:row>
    <x:row r="8">
      <x:c r="B8" s="31" t="str">
        <x:v>E02</x:v>
      </x:c>
      <x:c r="C8" s="31" t="str">
        <x:v>P02 package configuration</x:v>
      </x:c>
      <x:c r="D8" s="31" t="str">
        <x:v>P02</x:v>
      </x:c>
      <x:c r="E8" s="31" t="str">
        <x:v>remove or measure the named article or condition</x:v>
      </x:c>
      <x:c r="F8" s="31" t="str">
        <x:v>representative measured pass</x:v>
      </x:c>
      <x:c r="G8" s="31" t="str">
        <x:v>Fourth Access Systems Command</x:v>
      </x:c>
      <x:c r="H8" s="31" t="str">
        <x:v>OPEN</x:v>
      </x:c>
      <x:c r="I8" s="33" t="str">
        <x:v>no current or strict credit</x:v>
      </x:c>
    </x:row>
    <x:row r="9">
      <x:c r="B9" s="31" t="str">
        <x:v>E03</x:v>
      </x:c>
      <x:c r="C9" s="31" t="str">
        <x:v>P03 package configuration</x:v>
      </x:c>
      <x:c r="D9" s="31" t="str">
        <x:v>P03</x:v>
      </x:c>
      <x:c r="E9" s="31" t="str">
        <x:v>remove or measure the named article or condition</x:v>
      </x:c>
      <x:c r="F9" s="31" t="str">
        <x:v>representative measured pass</x:v>
      </x:c>
      <x:c r="G9" s="31" t="str">
        <x:v>Access Test Directorate</x:v>
      </x:c>
      <x:c r="H9" s="31" t="str">
        <x:v>OPEN</x:v>
      </x:c>
      <x:c r="I9" s="33" t="str">
        <x:v>no current or strict credit</x:v>
      </x:c>
    </x:row>
    <x:row r="10">
      <x:c r="B10" s="31" t="str">
        <x:v>E04</x:v>
      </x:c>
      <x:c r="C10" s="31" t="str">
        <x:v>P04 package configuration</x:v>
      </x:c>
      <x:c r="D10" s="31" t="str">
        <x:v>P04</x:v>
      </x:c>
      <x:c r="E10" s="31" t="str">
        <x:v>remove or measure the named article or condition</x:v>
      </x:c>
      <x:c r="F10" s="31" t="str">
        <x:v>representative measured pass</x:v>
      </x:c>
      <x:c r="G10" s="31" t="str">
        <x:v>Fourth Access Systems Command</x:v>
      </x:c>
      <x:c r="H10" s="31" t="str">
        <x:v>OPEN</x:v>
      </x:c>
      <x:c r="I10" s="33" t="str">
        <x:v>no current or strict credit</x:v>
      </x:c>
    </x:row>
    <x:row r="11">
      <x:c r="B11" s="31" t="str">
        <x:v>E05</x:v>
      </x:c>
      <x:c r="C11" s="31" t="str">
        <x:v>P05 package configuration</x:v>
      </x:c>
      <x:c r="D11" s="31" t="str">
        <x:v>P05</x:v>
      </x:c>
      <x:c r="E11" s="31" t="str">
        <x:v>remove or measure the named article or condition</x:v>
      </x:c>
      <x:c r="F11" s="31" t="str">
        <x:v>representative measured pass</x:v>
      </x:c>
      <x:c r="G11" s="31" t="str">
        <x:v>Access Test Directorate</x:v>
      </x:c>
      <x:c r="H11" s="31" t="str">
        <x:v>OPEN</x:v>
      </x:c>
      <x:c r="I11" s="33" t="str">
        <x:v>no current or strict credit</x:v>
      </x:c>
    </x:row>
    <x:row r="12">
      <x:c r="B12" s="31" t="str">
        <x:v>E06</x:v>
      </x:c>
      <x:c r="C12" s="31" t="str">
        <x:v>P06 package configuration</x:v>
      </x:c>
      <x:c r="D12" s="31" t="str">
        <x:v>P06</x:v>
      </x:c>
      <x:c r="E12" s="31" t="str">
        <x:v>remove or measure the named article or condition</x:v>
      </x:c>
      <x:c r="F12" s="31" t="str">
        <x:v>representative measured pass</x:v>
      </x:c>
      <x:c r="G12" s="31" t="str">
        <x:v>Fourth Access Systems Command</x:v>
      </x:c>
      <x:c r="H12" s="31" t="str">
        <x:v>OPEN</x:v>
      </x:c>
      <x:c r="I12" s="33" t="str">
        <x:v>no current or strict credit</x:v>
      </x:c>
    </x:row>
    <x:row r="13">
      <x:c r="B13" s="31" t="str">
        <x:v>E07</x:v>
      </x:c>
      <x:c r="C13" s="31" t="str">
        <x:v>P07 package configuration</x:v>
      </x:c>
      <x:c r="D13" s="31" t="str">
        <x:v>P07</x:v>
      </x:c>
      <x:c r="E13" s="31" t="str">
        <x:v>remove or measure the named article or condition</x:v>
      </x:c>
      <x:c r="F13" s="31" t="str">
        <x:v>representative measured pass</x:v>
      </x:c>
      <x:c r="G13" s="31" t="str">
        <x:v>Access Test Directorate</x:v>
      </x:c>
      <x:c r="H13" s="31" t="str">
        <x:v>OPEN</x:v>
      </x:c>
      <x:c r="I13" s="33" t="str">
        <x:v>no current or strict credit</x:v>
      </x:c>
    </x:row>
    <x:row r="14">
      <x:c r="B14" s="31" t="str">
        <x:v>E08</x:v>
      </x:c>
      <x:c r="C14" s="31" t="str">
        <x:v>P08 package configuration</x:v>
      </x:c>
      <x:c r="D14" s="31" t="str">
        <x:v>P08</x:v>
      </x:c>
      <x:c r="E14" s="31" t="str">
        <x:v>remove or measure the named article or condition</x:v>
      </x:c>
      <x:c r="F14" s="31" t="str">
        <x:v>representative measured pass</x:v>
      </x:c>
      <x:c r="G14" s="31" t="str">
        <x:v>Fourth Access Systems Command</x:v>
      </x:c>
      <x:c r="H14" s="31" t="str">
        <x:v>OPEN</x:v>
      </x:c>
      <x:c r="I14" s="33" t="str">
        <x:v>no current or strict credit</x:v>
      </x:c>
    </x:row>
    <x:row r="15">
      <x:c r="B15" s="31" t="str">
        <x:v>E09</x:v>
      </x:c>
      <x:c r="C15" s="31" t="str">
        <x:v>P09 package configuration</x:v>
      </x:c>
      <x:c r="D15" s="31" t="str">
        <x:v>P09</x:v>
      </x:c>
      <x:c r="E15" s="31" t="str">
        <x:v>remove or measure the named article or condition</x:v>
      </x:c>
      <x:c r="F15" s="31" t="str">
        <x:v>representative measured pass</x:v>
      </x:c>
      <x:c r="G15" s="31" t="str">
        <x:v>Access Test Directorate</x:v>
      </x:c>
      <x:c r="H15" s="31" t="str">
        <x:v>OPEN</x:v>
      </x:c>
      <x:c r="I15" s="33" t="str">
        <x:v>no current or strict credit</x:v>
      </x:c>
    </x:row>
    <x:row r="16">
      <x:c r="B16" s="31" t="str">
        <x:v>E10</x:v>
      </x:c>
      <x:c r="C16" s="31" t="str">
        <x:v>P10 package configuration</x:v>
      </x:c>
      <x:c r="D16" s="31" t="str">
        <x:v>P10</x:v>
      </x:c>
      <x:c r="E16" s="31" t="str">
        <x:v>remove or measure the named article or condition</x:v>
      </x:c>
      <x:c r="F16" s="31" t="str">
        <x:v>representative measured pass</x:v>
      </x:c>
      <x:c r="G16" s="31" t="str">
        <x:v>Fourth Access Systems Command</x:v>
      </x:c>
      <x:c r="H16" s="31" t="str">
        <x:v>OPEN</x:v>
      </x:c>
      <x:c r="I16" s="33" t="str">
        <x:v>no current or strict credit</x:v>
      </x:c>
    </x:row>
    <x:row r="17">
      <x:c r="B17" s="31" t="str">
        <x:v>E11</x:v>
      </x:c>
      <x:c r="C17" s="31" t="str">
        <x:v>P11 package configuration</x:v>
      </x:c>
      <x:c r="D17" s="31" t="str">
        <x:v>P11</x:v>
      </x:c>
      <x:c r="E17" s="31" t="str">
        <x:v>remove or measure the named article or condition</x:v>
      </x:c>
      <x:c r="F17" s="31" t="str">
        <x:v>representative measured pass</x:v>
      </x:c>
      <x:c r="G17" s="31" t="str">
        <x:v>Access Test Directorate</x:v>
      </x:c>
      <x:c r="H17" s="31" t="str">
        <x:v>OPEN</x:v>
      </x:c>
      <x:c r="I17" s="33" t="str">
        <x:v>no current or strict credit</x:v>
      </x:c>
    </x:row>
    <x:row r="18">
      <x:c r="B18" s="31" t="str">
        <x:v>E12</x:v>
      </x:c>
      <x:c r="C18" s="31" t="str">
        <x:v>P12 package configuration</x:v>
      </x:c>
      <x:c r="D18" s="31" t="str">
        <x:v>P12</x:v>
      </x:c>
      <x:c r="E18" s="31" t="str">
        <x:v>remove or measure the named article or condition</x:v>
      </x:c>
      <x:c r="F18" s="31" t="str">
        <x:v>representative measured pass</x:v>
      </x:c>
      <x:c r="G18" s="31" t="str">
        <x:v>Fourth Access Systems Command</x:v>
      </x:c>
      <x:c r="H18" s="31" t="str">
        <x:v>OPEN</x:v>
      </x:c>
      <x:c r="I18" s="33" t="str">
        <x:v>no current or strict credit</x:v>
      </x:c>
    </x:row>
    <x:row r="19">
      <x:c r="B19" s="31" t="str">
        <x:v>E13</x:v>
      </x:c>
      <x:c r="C19" s="31" t="str">
        <x:v>P13 package configuration</x:v>
      </x:c>
      <x:c r="D19" s="31" t="str">
        <x:v>P13</x:v>
      </x:c>
      <x:c r="E19" s="31" t="str">
        <x:v>remove or measure the named article or condition</x:v>
      </x:c>
      <x:c r="F19" s="31" t="str">
        <x:v>representative measured pass</x:v>
      </x:c>
      <x:c r="G19" s="31" t="str">
        <x:v>Access Test Directorate</x:v>
      </x:c>
      <x:c r="H19" s="31" t="str">
        <x:v>OPEN</x:v>
      </x:c>
      <x:c r="I19" s="33" t="str">
        <x:v>no current or strict credit</x:v>
      </x:c>
    </x:row>
    <x:row r="20">
      <x:c r="B20" s="31" t="str">
        <x:v>E14</x:v>
      </x:c>
      <x:c r="C20" s="31" t="str">
        <x:v>P14 package configuration</x:v>
      </x:c>
      <x:c r="D20" s="31" t="str">
        <x:v>P14</x:v>
      </x:c>
      <x:c r="E20" s="31" t="str">
        <x:v>remove or measure the named article or condition</x:v>
      </x:c>
      <x:c r="F20" s="31" t="str">
        <x:v>representative measured pass</x:v>
      </x:c>
      <x:c r="G20" s="31" t="str">
        <x:v>Fourth Access Systems Command</x:v>
      </x:c>
      <x:c r="H20" s="31" t="str">
        <x:v>OPEN</x:v>
      </x:c>
      <x:c r="I20" s="33" t="str">
        <x:v>no current or strict credit</x:v>
      </x:c>
    </x:row>
    <x:row r="21">
      <x:c r="B21" s="31" t="str">
        <x:v>E15</x:v>
      </x:c>
      <x:c r="C21" s="31" t="str">
        <x:v>P15 package configuration</x:v>
      </x:c>
      <x:c r="D21" s="31" t="str">
        <x:v>P15</x:v>
      </x:c>
      <x:c r="E21" s="31" t="str">
        <x:v>remove or measure the named article or condition</x:v>
      </x:c>
      <x:c r="F21" s="31" t="str">
        <x:v>representative measured pass</x:v>
      </x:c>
      <x:c r="G21" s="31" t="str">
        <x:v>Access Test Directorate</x:v>
      </x:c>
      <x:c r="H21" s="31" t="str">
        <x:v>OPEN</x:v>
      </x:c>
      <x:c r="I21" s="33" t="str">
        <x:v>no current or strict credit</x:v>
      </x:c>
    </x:row>
    <x:row r="22">
      <x:c r="B22" s="31" t="str">
        <x:v>E16</x:v>
      </x:c>
      <x:c r="C22" s="31" t="str">
        <x:v>P16 package configuration</x:v>
      </x:c>
      <x:c r="D22" s="31" t="str">
        <x:v>P16</x:v>
      </x:c>
      <x:c r="E22" s="31" t="str">
        <x:v>remove or measure the named article or condition</x:v>
      </x:c>
      <x:c r="F22" s="31" t="str">
        <x:v>representative measured pass</x:v>
      </x:c>
      <x:c r="G22" s="31" t="str">
        <x:v>Fourth Access Systems Command</x:v>
      </x:c>
      <x:c r="H22" s="31" t="str">
        <x:v>OPEN</x:v>
      </x:c>
      <x:c r="I22" s="33" t="str">
        <x:v>no current or strict credit</x:v>
      </x:c>
    </x:row>
    <x:row r="23">
      <x:c r="B23" s="31" t="str">
        <x:v>E17</x:v>
      </x:c>
      <x:c r="C23" s="31" t="str">
        <x:v>cell A lot completeness</x:v>
      </x:c>
      <x:c r="D23" s="31" t="str">
        <x:v>BLOCK-1</x:v>
      </x:c>
      <x:c r="E23" s="31" t="str">
        <x:v>remove or measure the named article or condition</x:v>
      </x:c>
      <x:c r="F23" s="31" t="str">
        <x:v>representative measured pass</x:v>
      </x:c>
      <x:c r="G23" s="31" t="str">
        <x:v>Access Test Directorate</x:v>
      </x:c>
      <x:c r="H23" s="31" t="str">
        <x:v>OPEN</x:v>
      </x:c>
      <x:c r="I23" s="33" t="str">
        <x:v>no current or strict credit</x:v>
      </x:c>
    </x:row>
    <x:row r="24">
      <x:c r="B24" s="31" t="str">
        <x:v>E18</x:v>
      </x:c>
      <x:c r="C24" s="31" t="str">
        <x:v>cell B lot completeness</x:v>
      </x:c>
      <x:c r="D24" s="31" t="str">
        <x:v>BLOCK-2</x:v>
      </x:c>
      <x:c r="E24" s="31" t="str">
        <x:v>remove or measure the named article or condition</x:v>
      </x:c>
      <x:c r="F24" s="31" t="str">
        <x:v>representative measured pass</x:v>
      </x:c>
      <x:c r="G24" s="31" t="str">
        <x:v>Fourth Access Systems Command</x:v>
      </x:c>
      <x:c r="H24" s="31" t="str">
        <x:v>OPEN</x:v>
      </x:c>
      <x:c r="I24" s="33" t="str">
        <x:v>no current or strict credit</x:v>
      </x:c>
    </x:row>
    <x:row r="25">
      <x:c r="B25" s="31" t="str">
        <x:v>E19</x:v>
      </x:c>
      <x:c r="C25" s="31" t="str">
        <x:v>load block L1</x:v>
      </x:c>
      <x:c r="D25" s="31" t="str">
        <x:v>BLOCK-3</x:v>
      </x:c>
      <x:c r="E25" s="31" t="str">
        <x:v>remove or measure the named article or condition</x:v>
      </x:c>
      <x:c r="F25" s="31" t="str">
        <x:v>representative measured pass</x:v>
      </x:c>
      <x:c r="G25" s="31" t="str">
        <x:v>Access Test Directorate</x:v>
      </x:c>
      <x:c r="H25" s="31" t="str">
        <x:v>OPEN</x:v>
      </x:c>
      <x:c r="I25" s="33" t="str">
        <x:v>no current or strict credit</x:v>
      </x:c>
    </x:row>
    <x:row r="26">
      <x:c r="B26" s="31" t="str">
        <x:v>E20</x:v>
      </x:c>
      <x:c r="C26" s="31" t="str">
        <x:v>load block L2</x:v>
      </x:c>
      <x:c r="D26" s="31" t="str">
        <x:v>BLOCK-4</x:v>
      </x:c>
      <x:c r="E26" s="31" t="str">
        <x:v>remove or measure the named article or condition</x:v>
      </x:c>
      <x:c r="F26" s="31" t="str">
        <x:v>representative measured pass</x:v>
      </x:c>
      <x:c r="G26" s="31" t="str">
        <x:v>Fourth Access Systems Command</x:v>
      </x:c>
      <x:c r="H26" s="31" t="str">
        <x:v>OPEN</x:v>
      </x:c>
      <x:c r="I26" s="33" t="str">
        <x:v>no current or strict credit</x:v>
      </x:c>
    </x:row>
    <x:row r="27">
      <x:c r="B27" s="31" t="str">
        <x:v>E21</x:v>
      </x:c>
      <x:c r="C27" s="31" t="str">
        <x:v>load block L3</x:v>
      </x:c>
      <x:c r="D27" s="31" t="str">
        <x:v>BLOCK-5</x:v>
      </x:c>
      <x:c r="E27" s="31" t="str">
        <x:v>remove or measure the named article or condition</x:v>
      </x:c>
      <x:c r="F27" s="31" t="str">
        <x:v>representative measured pass</x:v>
      </x:c>
      <x:c r="G27" s="31" t="str">
        <x:v>Access Test Directorate</x:v>
      </x:c>
      <x:c r="H27" s="31" t="str">
        <x:v>OPEN</x:v>
      </x:c>
      <x:c r="I27" s="33" t="str">
        <x:v>no current or strict credit</x:v>
      </x:c>
    </x:row>
    <x:row r="28">
      <x:c r="B28" s="31" t="str">
        <x:v>E22</x:v>
      </x:c>
      <x:c r="C28" s="31" t="str">
        <x:v>load block L4</x:v>
      </x:c>
      <x:c r="D28" s="31" t="str">
        <x:v>BLOCK-6</x:v>
      </x:c>
      <x:c r="E28" s="31" t="str">
        <x:v>remove or measure the named article or condition</x:v>
      </x:c>
      <x:c r="F28" s="31" t="str">
        <x:v>representative measured pass</x:v>
      </x:c>
      <x:c r="G28" s="31" t="str">
        <x:v>Fourth Access Systems Command</x:v>
      </x:c>
      <x:c r="H28" s="31" t="str">
        <x:v>OPEN</x:v>
      </x:c>
      <x:c r="I28" s="33" t="str">
        <x:v>no current or strict credit</x:v>
      </x:c>
    </x:row>
    <x:row r="29">
      <x:c r="B29" s="31" t="str">
        <x:v>E23</x:v>
      </x:c>
      <x:c r="C29" s="31" t="str">
        <x:v>HBL-A1 balance</x:v>
      </x:c>
      <x:c r="D29" s="31" t="str">
        <x:v>CARRIER</x:v>
      </x:c>
      <x:c r="E29" s="31" t="str">
        <x:v>remove or measure the named article or condition</x:v>
      </x:c>
      <x:c r="F29" s="31" t="str">
        <x:v>representative measured pass</x:v>
      </x:c>
      <x:c r="G29" s="31" t="str">
        <x:v>Access Test Directorate</x:v>
      </x:c>
      <x:c r="H29" s="31" t="str">
        <x:v>OPEN</x:v>
      </x:c>
      <x:c r="I29" s="33" t="str">
        <x:v>no current or strict credit</x:v>
      </x:c>
    </x:row>
    <x:row r="30">
      <x:c r="B30" s="31" t="str">
        <x:v>E24</x:v>
      </x:c>
      <x:c r="C30" s="31" t="str">
        <x:v>HBL-A2 balance</x:v>
      </x:c>
      <x:c r="D30" s="31" t="str">
        <x:v>CARRIER</x:v>
      </x:c>
      <x:c r="E30" s="31" t="str">
        <x:v>remove or measure the named article or condition</x:v>
      </x:c>
      <x:c r="F30" s="31" t="str">
        <x:v>representative measured pass</x:v>
      </x:c>
      <x:c r="G30" s="31" t="str">
        <x:v>Fourth Access Systems Command</x:v>
      </x:c>
      <x:c r="H30" s="31" t="str">
        <x:v>OPEN</x:v>
      </x:c>
      <x:c r="I30" s="33" t="str">
        <x:v>no current or strict credit</x:v>
      </x:c>
    </x:row>
    <x:row r="31">
      <x:c r="B31" s="31" t="str">
        <x:v>E25</x:v>
      </x:c>
      <x:c r="C31" s="31" t="str">
        <x:v>ATUT-B1 balance</x:v>
      </x:c>
      <x:c r="D31" s="31" t="str">
        <x:v>CARRIER</x:v>
      </x:c>
      <x:c r="E31" s="31" t="str">
        <x:v>remove or measure the named article or condition</x:v>
      </x:c>
      <x:c r="F31" s="31" t="str">
        <x:v>representative measured pass</x:v>
      </x:c>
      <x:c r="G31" s="31" t="str">
        <x:v>Access Test Directorate</x:v>
      </x:c>
      <x:c r="H31" s="31" t="str">
        <x:v>OPEN</x:v>
      </x:c>
      <x:c r="I31" s="33" t="str">
        <x:v>no current or strict credit</x:v>
      </x:c>
    </x:row>
    <x:row r="32">
      <x:c r="B32" s="31" t="str">
        <x:v>E26</x:v>
      </x:c>
      <x:c r="C32" s="31" t="str">
        <x:v>ATUT-B2 balance</x:v>
      </x:c>
      <x:c r="D32" s="31" t="str">
        <x:v>CARRIER</x:v>
      </x:c>
      <x:c r="E32" s="31" t="str">
        <x:v>remove or measure the named article or condition</x:v>
      </x:c>
      <x:c r="F32" s="31" t="str">
        <x:v>representative measured pass</x:v>
      </x:c>
      <x:c r="G32" s="31" t="str">
        <x:v>Fourth Access Systems Command</x:v>
      </x:c>
      <x:c r="H32" s="31" t="str">
        <x:v>OPEN</x:v>
      </x:c>
      <x:c r="I32" s="33" t="str">
        <x:v>no current or strict credit</x:v>
      </x:c>
    </x:row>
    <x:row r="33">
      <x:c r="B33" s="31" t="str">
        <x:v>E27</x:v>
      </x:c>
      <x:c r="C33" s="31" t="str">
        <x:v>ATUT-B3 balance</x:v>
      </x:c>
      <x:c r="D33" s="31" t="str">
        <x:v>CARRIER</x:v>
      </x:c>
      <x:c r="E33" s="31" t="str">
        <x:v>remove or measure the named article or condition</x:v>
      </x:c>
      <x:c r="F33" s="31" t="str">
        <x:v>representative measured pass</x:v>
      </x:c>
      <x:c r="G33" s="31" t="str">
        <x:v>Access Test Directorate</x:v>
      </x:c>
      <x:c r="H33" s="31" t="str">
        <x:v>OPEN</x:v>
      </x:c>
      <x:c r="I33" s="33" t="str">
        <x:v>no current or strict credit</x:v>
      </x:c>
    </x:row>
    <x:row r="34">
      <x:c r="B34" s="31" t="str">
        <x:v>E28</x:v>
      </x:c>
      <x:c r="C34" s="31" t="str">
        <x:v>ATUT-B4 balance</x:v>
      </x:c>
      <x:c r="D34" s="31" t="str">
        <x:v>CARRIER</x:v>
      </x:c>
      <x:c r="E34" s="31" t="str">
        <x:v>remove or measure the named article or condition</x:v>
      </x:c>
      <x:c r="F34" s="31" t="str">
        <x:v>representative measured pass</x:v>
      </x:c>
      <x:c r="G34" s="31" t="str">
        <x:v>Fourth Access Systems Command</x:v>
      </x:c>
      <x:c r="H34" s="31" t="str">
        <x:v>OPEN</x:v>
      </x:c>
      <x:c r="I34" s="33" t="str">
        <x:v>no current or strict credit</x:v>
      </x:c>
    </x:row>
    <x:row r="35">
      <x:c r="B35" s="31" t="str">
        <x:v>E29</x:v>
      </x:c>
      <x:c r="C35" s="31" t="str">
        <x:v>air wet-lot custody</x:v>
      </x:c>
      <x:c r="D35" s="31" t="str">
        <x:v>DCP-2</x:v>
      </x:c>
      <x:c r="E35" s="31" t="str">
        <x:v>remove or measure the named article or condition</x:v>
      </x:c>
      <x:c r="F35" s="31" t="str">
        <x:v>representative measured pass</x:v>
      </x:c>
      <x:c r="G35" s="31" t="str">
        <x:v>Access Test Directorate</x:v>
      </x:c>
      <x:c r="H35" s="31" t="str">
        <x:v>OPEN</x:v>
      </x:c>
      <x:c r="I35" s="33" t="str">
        <x:v>no current or strict credit</x:v>
      </x:c>
    </x:row>
    <x:row r="36">
      <x:c r="B36" s="31" t="str">
        <x:v>E30</x:v>
      </x:c>
      <x:c r="C36" s="31" t="str">
        <x:v>terrain wet-lot custody</x:v>
      </x:c>
      <x:c r="D36" s="31" t="str">
        <x:v>DCP-2</x:v>
      </x:c>
      <x:c r="E36" s="31" t="str">
        <x:v>remove or measure the named article or condition</x:v>
      </x:c>
      <x:c r="F36" s="31" t="str">
        <x:v>representative measured pass</x:v>
      </x:c>
      <x:c r="G36" s="31" t="str">
        <x:v>Fourth Access Systems Command</x:v>
      </x:c>
      <x:c r="H36" s="31" t="str">
        <x:v>OPEN</x:v>
      </x:c>
      <x:c r="I36" s="33" t="str">
        <x:v>no current or strict credit</x:v>
      </x:c>
    </x:row>
    <x:row r="37">
      <x:c r="B37" s="31" t="str">
        <x:v>E31</x:v>
      </x:c>
      <x:c r="C37" s="31" t="str">
        <x:v>HBL volume reserve</x:v>
      </x:c>
      <x:c r="D37" s="31" t="str">
        <x:v>DCP-2</x:v>
      </x:c>
      <x:c r="E37" s="31" t="str">
        <x:v>remove or measure the named article or condition</x:v>
      </x:c>
      <x:c r="F37" s="31" t="str">
        <x:v>representative measured pass</x:v>
      </x:c>
      <x:c r="G37" s="31" t="str">
        <x:v>Access Test Directorate</x:v>
      </x:c>
      <x:c r="H37" s="31" t="str">
        <x:v>OPEN</x:v>
      </x:c>
      <x:c r="I37" s="33" t="str">
        <x:v>no current or strict credit</x:v>
      </x:c>
    </x:row>
    <x:row r="38">
      <x:c r="B38" s="31" t="str">
        <x:v>E32</x:v>
      </x:c>
      <x:c r="C38" s="31" t="str">
        <x:v>ATUT volume reserve</x:v>
      </x:c>
      <x:c r="D38" s="31" t="str">
        <x:v>DCP-2</x:v>
      </x:c>
      <x:c r="E38" s="31" t="str">
        <x:v>remove or measure the named article or condition</x:v>
      </x:c>
      <x:c r="F38" s="31" t="str">
        <x:v>representative measured pass</x:v>
      </x:c>
      <x:c r="G38" s="31" t="str">
        <x:v>Fourth Access Systems Command</x:v>
      </x:c>
      <x:c r="H38" s="31" t="str">
        <x:v>OPEN</x:v>
      </x:c>
      <x:c r="I38" s="33" t="str">
        <x:v>no current or strict credit</x:v>
      </x:c>
    </x:row>
    <x:row r="39">
      <x:c r="B39" s="31" t="str">
        <x:v>E33</x:v>
      </x:c>
      <x:c r="C39" s="31" t="str">
        <x:v>deck-area reserve</x:v>
      </x:c>
      <x:c r="D39" s="31" t="str">
        <x:v>DCP-2</x:v>
      </x:c>
      <x:c r="E39" s="31" t="str">
        <x:v>remove or measure the named article or condition</x:v>
      </x:c>
      <x:c r="F39" s="31" t="str">
        <x:v>representative measured pass</x:v>
      </x:c>
      <x:c r="G39" s="31" t="str">
        <x:v>Access Test Directorate</x:v>
      </x:c>
      <x:c r="H39" s="31" t="str">
        <x:v>OPEN</x:v>
      </x:c>
      <x:c r="I39" s="33" t="str">
        <x:v>no current or strict credit</x:v>
      </x:c>
    </x:row>
    <x:row r="40">
      <x:c r="B40" s="31" t="str">
        <x:v>E34</x:v>
      </x:c>
      <x:c r="C40" s="31" t="str">
        <x:v>longitudinal center of gravity</x:v>
      </x:c>
      <x:c r="D40" s="31" t="str">
        <x:v>DCP-2</x:v>
      </x:c>
      <x:c r="E40" s="31" t="str">
        <x:v>remove or measure the named article or condition</x:v>
      </x:c>
      <x:c r="F40" s="31" t="str">
        <x:v>representative measured pass</x:v>
      </x:c>
      <x:c r="G40" s="31" t="str">
        <x:v>Fourth Access Systems Command</x:v>
      </x:c>
      <x:c r="H40" s="31" t="str">
        <x:v>OPEN</x:v>
      </x:c>
      <x:c r="I40" s="33" t="str">
        <x:v>no current or strict credit</x:v>
      </x:c>
    </x:row>
    <x:row r="41">
      <x:c r="B41" s="31" t="str">
        <x:v>E35</x:v>
      </x:c>
      <x:c r="C41" s="31" t="str">
        <x:v>lateral center of gravity</x:v>
      </x:c>
      <x:c r="D41" s="31" t="str">
        <x:v>DCP-2</x:v>
      </x:c>
      <x:c r="E41" s="31" t="str">
        <x:v>remove or measure the named article or condition</x:v>
      </x:c>
      <x:c r="F41" s="31" t="str">
        <x:v>representative measured pass</x:v>
      </x:c>
      <x:c r="G41" s="31" t="str">
        <x:v>Access Test Directorate</x:v>
      </x:c>
      <x:c r="H41" s="31" t="str">
        <x:v>OPEN</x:v>
      </x:c>
      <x:c r="I41" s="33" t="str">
        <x:v>no current or strict credit</x:v>
      </x:c>
    </x:row>
    <x:row r="42">
      <x:c r="B42" s="31" t="str">
        <x:v>E36</x:v>
      </x:c>
      <x:c r="C42" s="31" t="str">
        <x:v>vertical center of gravity</x:v>
      </x:c>
      <x:c r="D42" s="31" t="str">
        <x:v>DCP-2</x:v>
      </x:c>
      <x:c r="E42" s="31" t="str">
        <x:v>remove or measure the named article or condition</x:v>
      </x:c>
      <x:c r="F42" s="31" t="str">
        <x:v>representative measured pass</x:v>
      </x:c>
      <x:c r="G42" s="31" t="str">
        <x:v>Fourth Access Systems Command</x:v>
      </x:c>
      <x:c r="H42" s="31" t="str">
        <x:v>OPEN</x:v>
      </x:c>
      <x:c r="I42" s="33" t="str">
        <x:v>no current or strict credit</x:v>
      </x:c>
    </x:row>
    <x:row r="43">
      <x:c r="B43" s="31" t="str">
        <x:v>E37</x:v>
      </x:c>
      <x:c r="C43" s="31" t="str">
        <x:v>HBL mooring and transfer</x:v>
      </x:c>
      <x:c r="D43" s="31" t="str">
        <x:v>DCP-2</x:v>
      </x:c>
      <x:c r="E43" s="31" t="str">
        <x:v>remove or measure the named article or condition</x:v>
      </x:c>
      <x:c r="F43" s="31" t="str">
        <x:v>representative measured pass</x:v>
      </x:c>
      <x:c r="G43" s="31" t="str">
        <x:v>Access Test Directorate</x:v>
      </x:c>
      <x:c r="H43" s="31" t="str">
        <x:v>OPEN</x:v>
      </x:c>
      <x:c r="I43" s="33" t="str">
        <x:v>no current or strict credit</x:v>
      </x:c>
    </x:row>
    <x:row r="44">
      <x:c r="B44" s="31" t="str">
        <x:v>E38</x:v>
      </x:c>
      <x:c r="C44" s="31" t="str">
        <x:v>ATUT unload and recovery</x:v>
      </x:c>
      <x:c r="D44" s="31" t="str">
        <x:v>DCP-2</x:v>
      </x:c>
      <x:c r="E44" s="31" t="str">
        <x:v>remove or measure the named article or condition</x:v>
      </x:c>
      <x:c r="F44" s="31" t="str">
        <x:v>representative measured pass</x:v>
      </x:c>
      <x:c r="G44" s="31" t="str">
        <x:v>Fourth Access Systems Command</x:v>
      </x:c>
      <x:c r="H44" s="31" t="str">
        <x:v>OPEN</x:v>
      </x:c>
      <x:c r="I44" s="33" t="str">
        <x:v>no current or strict credit</x:v>
      </x:c>
    </x:row>
    <x:row r="45">
      <x:c r="B45" s="31" t="str">
        <x:v>E39</x:v>
      </x:c>
      <x:c r="C45" s="31" t="str">
        <x:v>air-base independence</x:v>
      </x:c>
      <x:c r="D45" s="31" t="str">
        <x:v>DCP-2</x:v>
      </x:c>
      <x:c r="E45" s="31" t="str">
        <x:v>remove or measure the named article or condition</x:v>
      </x:c>
      <x:c r="F45" s="31" t="str">
        <x:v>representative measured pass</x:v>
      </x:c>
      <x:c r="G45" s="31" t="str">
        <x:v>Access Test Directorate</x:v>
      </x:c>
      <x:c r="H45" s="31" t="str">
        <x:v>OPEN</x:v>
      </x:c>
      <x:c r="I45" s="33" t="str">
        <x:v>no current or strict credit</x:v>
      </x:c>
    </x:row>
    <x:row r="46">
      <x:c r="B46" s="31" t="str">
        <x:v>E40</x:v>
      </x:c>
      <x:c r="C46" s="31" t="str">
        <x:v>terrain-base independence</x:v>
      </x:c>
      <x:c r="D46" s="31" t="str">
        <x:v>DCP-2</x:v>
      </x:c>
      <x:c r="E46" s="31" t="str">
        <x:v>remove or measure the named article or condition</x:v>
      </x:c>
      <x:c r="F46" s="31" t="str">
        <x:v>representative measured pass</x:v>
      </x:c>
      <x:c r="G46" s="31" t="str">
        <x:v>Fourth Access Systems Command</x:v>
      </x:c>
      <x:c r="H46" s="31" t="str">
        <x:v>OPEN</x:v>
      </x:c>
      <x:c r="I46" s="33" t="str">
        <x:v>no current or strict credit</x:v>
      </x:c>
    </x:row>
    <x:row r="47">
      <x:c r="B47" s="31" t="str">
        <x:v>E41</x:v>
      </x:c>
      <x:c r="C47" s="31" t="str">
        <x:v>paired-node geographic separation</x:v>
      </x:c>
      <x:c r="D47" s="31" t="str">
        <x:v>DCP-2</x:v>
      </x:c>
      <x:c r="E47" s="31" t="str">
        <x:v>remove or measure the named article or condition</x:v>
      </x:c>
      <x:c r="F47" s="31" t="str">
        <x:v>representative measured pass</x:v>
      </x:c>
      <x:c r="G47" s="31" t="str">
        <x:v>Access Test Directorate</x:v>
      </x:c>
      <x:c r="H47" s="31" t="str">
        <x:v>OPEN</x:v>
      </x:c>
      <x:c r="I47" s="33" t="str">
        <x:v>no current or strict credit</x:v>
      </x:c>
    </x:row>
    <x:row r="48">
      <x:c r="B48" s="31" t="str">
        <x:v>E42</x:v>
      </x:c>
      <x:c r="C48" s="31" t="str">
        <x:v>energy-lineage separation</x:v>
      </x:c>
      <x:c r="D48" s="31" t="str">
        <x:v>DCP-2</x:v>
      </x:c>
      <x:c r="E48" s="31" t="str">
        <x:v>remove or measure the named article or condition</x:v>
      </x:c>
      <x:c r="F48" s="31" t="str">
        <x:v>representative measured pass</x:v>
      </x:c>
      <x:c r="G48" s="31" t="str">
        <x:v>Fourth Access Systems Command</x:v>
      </x:c>
      <x:c r="H48" s="31" t="str">
        <x:v>OPEN</x:v>
      </x:c>
      <x:c r="I48" s="33" t="str">
        <x:v>no current or strict credit</x:v>
      </x:c>
    </x:row>
    <x:row r="49">
      <x:c r="B49" s="31" t="str">
        <x:v>E43</x:v>
      </x:c>
      <x:c r="C49" s="31" t="str">
        <x:v>control-partition separation</x:v>
      </x:c>
      <x:c r="D49" s="31" t="str">
        <x:v>DCP-2</x:v>
      </x:c>
      <x:c r="E49" s="31" t="str">
        <x:v>remove or measure the named article or condition</x:v>
      </x:c>
      <x:c r="F49" s="31" t="str">
        <x:v>representative measured pass</x:v>
      </x:c>
      <x:c r="G49" s="31" t="str">
        <x:v>Access Test Directorate</x:v>
      </x:c>
      <x:c r="H49" s="31" t="str">
        <x:v>OPEN</x:v>
      </x:c>
      <x:c r="I49" s="33" t="str">
        <x:v>no current or strict credit</x:v>
      </x:c>
    </x:row>
    <x:row r="50">
      <x:c r="B50" s="31" t="str">
        <x:v>E44</x:v>
      </x:c>
      <x:c r="C50" s="31" t="str">
        <x:v>technical-release separation</x:v>
      </x:c>
      <x:c r="D50" s="31" t="str">
        <x:v>DCP-2</x:v>
      </x:c>
      <x:c r="E50" s="31" t="str">
        <x:v>remove or measure the named article or condition</x:v>
      </x:c>
      <x:c r="F50" s="31" t="str">
        <x:v>representative measured pass</x:v>
      </x:c>
      <x:c r="G50" s="31" t="str">
        <x:v>Fourth Access Systems Command</x:v>
      </x:c>
      <x:c r="H50" s="31" t="str">
        <x:v>OPEN</x:v>
      </x:c>
      <x:c r="I50" s="33" t="str">
        <x:v>no current or strict credit</x:v>
      </x:c>
    </x:row>
    <x:row r="51">
      <x:c r="B51" s="31" t="str">
        <x:v>E45</x:v>
      </x:c>
      <x:c r="C51" s="31" t="str">
        <x:v>supplier ancestry separation</x:v>
      </x:c>
      <x:c r="D51" s="31" t="str">
        <x:v>DCP-2</x:v>
      </x:c>
      <x:c r="E51" s="31" t="str">
        <x:v>remove or measure the named article or condition</x:v>
      </x:c>
      <x:c r="F51" s="31" t="str">
        <x:v>representative measured pass</x:v>
      </x:c>
      <x:c r="G51" s="31" t="str">
        <x:v>Access Test Directorate</x:v>
      </x:c>
      <x:c r="H51" s="31" t="str">
        <x:v>OPEN</x:v>
      </x:c>
      <x:c r="I51" s="33" t="str">
        <x:v>no current or strict credit</x:v>
      </x:c>
    </x:row>
    <x:row r="52">
      <x:c r="B52" s="31" t="str">
        <x:v>E46</x:v>
      </x:c>
      <x:c r="C52" s="31" t="str">
        <x:v>receiver air zone</x:v>
      </x:c>
      <x:c r="D52" s="31" t="str">
        <x:v>DCP-2</x:v>
      </x:c>
      <x:c r="E52" s="31" t="str">
        <x:v>remove or measure the named article or condition</x:v>
      </x:c>
      <x:c r="F52" s="31" t="str">
        <x:v>representative measured pass</x:v>
      </x:c>
      <x:c r="G52" s="31" t="str">
        <x:v>Fourth Access Systems Command</x:v>
      </x:c>
      <x:c r="H52" s="31" t="str">
        <x:v>OPEN</x:v>
      </x:c>
      <x:c r="I52" s="33" t="str">
        <x:v>no current or strict credit</x:v>
      </x:c>
    </x:row>
    <x:row r="53">
      <x:c r="B53" s="31" t="str">
        <x:v>E47</x:v>
      </x:c>
      <x:c r="C53" s="31" t="str">
        <x:v>receiver terrain zone</x:v>
      </x:c>
      <x:c r="D53" s="31" t="str">
        <x:v>DCP-2</x:v>
      </x:c>
      <x:c r="E53" s="31" t="str">
        <x:v>remove or measure the named article or condition</x:v>
      </x:c>
      <x:c r="F53" s="31" t="str">
        <x:v>representative measured pass</x:v>
      </x:c>
      <x:c r="G53" s="31" t="str">
        <x:v>Access Test Directorate</x:v>
      </x:c>
      <x:c r="H53" s="31" t="str">
        <x:v>OPEN</x:v>
      </x:c>
      <x:c r="I53" s="33" t="str">
        <x:v>no current or strict credit</x:v>
      </x:c>
    </x:row>
    <x:row r="54">
      <x:c r="B54" s="31" t="str">
        <x:v>E48</x:v>
      </x:c>
      <x:c r="C54" s="31" t="str">
        <x:v>receiver-zone separation</x:v>
      </x:c>
      <x:c r="D54" s="31" t="str">
        <x:v>DCP-2</x:v>
      </x:c>
      <x:c r="E54" s="31" t="str">
        <x:v>remove or measure the named article or condition</x:v>
      </x:c>
      <x:c r="F54" s="31" t="str">
        <x:v>representative measured pass</x:v>
      </x:c>
      <x:c r="G54" s="31" t="str">
        <x:v>Fourth Access Systems Command</x:v>
      </x:c>
      <x:c r="H54" s="31" t="str">
        <x:v>OPEN</x:v>
      </x:c>
      <x:c r="I54" s="33" t="str">
        <x:v>no current or strict credit</x:v>
      </x:c>
    </x:row>
    <x:row r="55">
      <x:c r="B55" s="31" t="str">
        <x:v>E49</x:v>
      </x:c>
      <x:c r="C55" s="31" t="str">
        <x:v>interface implementation I-A</x:v>
      </x:c>
      <x:c r="D55" s="31" t="str">
        <x:v>DCP-2</x:v>
      </x:c>
      <x:c r="E55" s="31" t="str">
        <x:v>remove or measure the named article or condition</x:v>
      </x:c>
      <x:c r="F55" s="31" t="str">
        <x:v>representative measured pass</x:v>
      </x:c>
      <x:c r="G55" s="31" t="str">
        <x:v>Access Test Directorate</x:v>
      </x:c>
      <x:c r="H55" s="31" t="str">
        <x:v>OPEN</x:v>
      </x:c>
      <x:c r="I55" s="33" t="str">
        <x:v>no current or strict credit</x:v>
      </x:c>
    </x:row>
    <x:row r="56">
      <x:c r="B56" s="31" t="str">
        <x:v>E50</x:v>
      </x:c>
      <x:c r="C56" s="31" t="str">
        <x:v>interface implementation I-B</x:v>
      </x:c>
      <x:c r="D56" s="31" t="str">
        <x:v>DCP-2</x:v>
      </x:c>
      <x:c r="E56" s="31" t="str">
        <x:v>remove or measure the named article or condition</x:v>
      </x:c>
      <x:c r="F56" s="31" t="str">
        <x:v>representative measured pass</x:v>
      </x:c>
      <x:c r="G56" s="31" t="str">
        <x:v>Fourth Access Systems Command</x:v>
      </x:c>
      <x:c r="H56" s="31" t="str">
        <x:v>OPEN</x:v>
      </x:c>
      <x:c r="I56" s="33" t="str">
        <x:v>no current or strict credit</x:v>
      </x:c>
    </x:row>
    <x:row r="57">
      <x:c r="B57" s="31" t="str">
        <x:v>E51</x:v>
      </x:c>
      <x:c r="C57" s="31" t="str">
        <x:v>air service at relative hour 42</x:v>
      </x:c>
      <x:c r="D57" s="31" t="str">
        <x:v>DCP-2</x:v>
      </x:c>
      <x:c r="E57" s="31" t="str">
        <x:v>remove or measure the named article or condition</x:v>
      </x:c>
      <x:c r="F57" s="31" t="str">
        <x:v>representative measured pass</x:v>
      </x:c>
      <x:c r="G57" s="31" t="str">
        <x:v>Access Test Directorate</x:v>
      </x:c>
      <x:c r="H57" s="31" t="str">
        <x:v>OPEN</x:v>
      </x:c>
      <x:c r="I57" s="33" t="str">
        <x:v>no current or strict credit</x:v>
      </x:c>
    </x:row>
    <x:row r="58">
      <x:c r="B58" s="31" t="str">
        <x:v>E52</x:v>
      </x:c>
      <x:c r="C58" s="31" t="str">
        <x:v>terrain service at relative hour 45</x:v>
      </x:c>
      <x:c r="D58" s="31" t="str">
        <x:v>DCP-2</x:v>
      </x:c>
      <x:c r="E58" s="31" t="str">
        <x:v>remove or measure the named article or condition</x:v>
      </x:c>
      <x:c r="F58" s="31" t="str">
        <x:v>representative measured pass</x:v>
      </x:c>
      <x:c r="G58" s="31" t="str">
        <x:v>Fourth Access Systems Command</x:v>
      </x:c>
      <x:c r="H58" s="31" t="str">
        <x:v>OPEN</x:v>
      </x:c>
      <x:c r="I58" s="33" t="str">
        <x:v>no current or strict credit</x:v>
      </x:c>
    </x:row>
    <x:row r="59">
      <x:c r="B59" s="31" t="str">
        <x:v>E53</x:v>
      </x:c>
      <x:c r="C59" s="31" t="str">
        <x:v>crew duty cycle</x:v>
      </x:c>
      <x:c r="D59" s="31" t="str">
        <x:v>DCP-2</x:v>
      </x:c>
      <x:c r="E59" s="31" t="str">
        <x:v>remove or measure the named article or condition</x:v>
      </x:c>
      <x:c r="F59" s="31" t="str">
        <x:v>representative measured pass</x:v>
      </x:c>
      <x:c r="G59" s="31" t="str">
        <x:v>Access Test Directorate</x:v>
      </x:c>
      <x:c r="H59" s="31" t="str">
        <x:v>OPEN</x:v>
      </x:c>
      <x:c r="I59" s="33" t="str">
        <x:v>no current or strict credit</x:v>
      </x:c>
    </x:row>
    <x:row r="60">
      <x:c r="B60" s="31" t="str">
        <x:v>E54</x:v>
      </x:c>
      <x:c r="C60" s="31" t="str">
        <x:v>casualty substitution</x:v>
      </x:c>
      <x:c r="D60" s="31" t="str">
        <x:v>DCP-2</x:v>
      </x:c>
      <x:c r="E60" s="31" t="str">
        <x:v>remove or measure the named article or condition</x:v>
      </x:c>
      <x:c r="F60" s="31" t="str">
        <x:v>representative measured pass</x:v>
      </x:c>
      <x:c r="G60" s="31" t="str">
        <x:v>Fourth Access Systems Command</x:v>
      </x:c>
      <x:c r="H60" s="31" t="str">
        <x:v>OPEN</x:v>
      </x:c>
      <x:c r="I60" s="33" t="str">
        <x:v>no current or strict credit</x:v>
      </x:c>
    </x:row>
    <x:row r="61">
      <x:c r="B61" s="31" t="str">
        <x:v>E55</x:v>
      </x:c>
      <x:c r="C61" s="31" t="str">
        <x:v>air reset path</x:v>
      </x:c>
      <x:c r="D61" s="31" t="str">
        <x:v>DCP-2</x:v>
      </x:c>
      <x:c r="E61" s="31" t="str">
        <x:v>remove or measure the named article or condition</x:v>
      </x:c>
      <x:c r="F61" s="31" t="str">
        <x:v>representative measured pass</x:v>
      </x:c>
      <x:c r="G61" s="31" t="str">
        <x:v>Access Test Directorate</x:v>
      </x:c>
      <x:c r="H61" s="31" t="str">
        <x:v>OPEN</x:v>
      </x:c>
      <x:c r="I61" s="33" t="str">
        <x:v>no current or strict credit</x:v>
      </x:c>
    </x:row>
    <x:row r="62">
      <x:c r="B62" s="31" t="str">
        <x:v>E56</x:v>
      </x:c>
      <x:c r="C62" s="31" t="str">
        <x:v>terrain reset path</x:v>
      </x:c>
      <x:c r="D62" s="31" t="str">
        <x:v>DCP-2</x:v>
      </x:c>
      <x:c r="E62" s="31" t="str">
        <x:v>remove or measure the named article or condition</x:v>
      </x:c>
      <x:c r="F62" s="31" t="str">
        <x:v>representative measured pass</x:v>
      </x:c>
      <x:c r="G62" s="31" t="str">
        <x:v>Fourth Access Systems Command</x:v>
      </x:c>
      <x:c r="H62" s="31" t="str">
        <x:v>OPEN</x:v>
      </x:c>
      <x:c r="I62" s="33" t="str">
        <x:v>no current or strict credit</x:v>
      </x:c>
    </x:row>
    <x:row r="63">
      <x:c r="B63" s="31" t="str">
        <x:v>E57</x:v>
      </x:c>
      <x:c r="C63" s="31" t="str">
        <x:v>configured program cost</x:v>
      </x:c>
      <x:c r="D63" s="31" t="str">
        <x:v>DCP-2</x:v>
      </x:c>
      <x:c r="E63" s="31" t="str">
        <x:v>remove or measure the named article or condition</x:v>
      </x:c>
      <x:c r="F63" s="31" t="str">
        <x:v>representative measured pass</x:v>
      </x:c>
      <x:c r="G63" s="31" t="str">
        <x:v>Access Test Directorate</x:v>
      </x:c>
      <x:c r="H63" s="31" t="str">
        <x:v>OPEN</x:v>
      </x:c>
      <x:c r="I63" s="33" t="str">
        <x:v>no current or strict credit</x:v>
      </x:c>
    </x:row>
    <x:row r="64">
      <x:c r="B64" s="31" t="str">
        <x:v>E58</x:v>
      </x:c>
      <x:c r="C64" s="31" t="str">
        <x:v>production rate and learning</x:v>
      </x:c>
      <x:c r="D64" s="31" t="str">
        <x:v>DCP-2</x:v>
      </x:c>
      <x:c r="E64" s="31" t="str">
        <x:v>remove or measure the named article or condition</x:v>
      </x:c>
      <x:c r="F64" s="31" t="str">
        <x:v>representative measured pass</x:v>
      </x:c>
      <x:c r="G64" s="31" t="str">
        <x:v>Fourth Access Systems Command</x:v>
      </x:c>
      <x:c r="H64" s="31" t="str">
        <x:v>OPEN</x:v>
      </x:c>
      <x:c r="I64" s="33" t="str">
        <x:v>no current or strict credit</x:v>
      </x:c>
    </x:row>
    <x:row r="65">
      <x:c r="B65" s="31" t="str">
        <x:v>E59</x:v>
      </x:c>
      <x:c r="C65" s="31" t="str">
        <x:v>representative compound mission</x:v>
      </x:c>
      <x:c r="D65" s="31" t="str">
        <x:v>DCP-2</x:v>
      </x:c>
      <x:c r="E65" s="31" t="str">
        <x:v>remove or measure the named article or condition</x:v>
      </x:c>
      <x:c r="F65" s="31" t="str">
        <x:v>representative measured pass</x:v>
      </x:c>
      <x:c r="G65" s="31" t="str">
        <x:v>Access Test Directorate</x:v>
      </x:c>
      <x:c r="H65" s="31" t="str">
        <x:v>OPEN</x:v>
      </x:c>
      <x:c r="I65" s="33" t="str">
        <x:v>no current or strict credit</x:v>
      </x:c>
    </x:row>
    <x:row r="66">
      <x:c r="B66" s="38" t="str">
        <x:v>E60</x:v>
      </x:c>
      <x:c r="C66" s="38" t="str">
        <x:v>rendering authorization</x:v>
      </x:c>
      <x:c r="D66" s="38" t="str">
        <x:v>DCP-2</x:v>
      </x:c>
      <x:c r="E66" s="38" t="str">
        <x:v>remove or measure the named article or condition</x:v>
      </x:c>
      <x:c r="F66" s="38" t="str">
        <x:v>representative measured pass</x:v>
      </x:c>
      <x:c r="G66" s="38" t="str">
        <x:v>Fourth Access Systems Command</x:v>
      </x:c>
      <x:c r="H66" s="38" t="str">
        <x:v>OPEN</x:v>
      </x:c>
      <x:c r="I66" s="40" t="str">
        <x:v>no current or strict credit</x:v>
      </x:c>
    </x:row>
    <x:row r="67">
      <x:c r="B67" s="2"/>
      <x:c r="C67" s="2"/>
      <x:c r="D67" s="2"/>
      <x:c r="E67" s="2"/>
      <x:c r="F67" s="2"/>
      <x:c r="G67" s="2"/>
      <x:c r="H67" s="2"/>
      <x:c r="I67" s="2"/>
    </x:row>
    <x:row r="68">
      <x:c r="B68" s="2"/>
      <x:c r="C68" s="2"/>
      <x:c r="D68" s="2"/>
      <x:c r="E68" s="2"/>
      <x:c r="F68" s="2"/>
      <x:c r="G68" s="2"/>
      <x:c r="H68" s="2"/>
      <x:c r="I68" s="2"/>
    </x:row>
    <x:row r="69">
      <x:c r="B69" s="2"/>
      <x:c r="C69" s="2"/>
      <x:c r="D69" s="2"/>
      <x:c r="E69" s="2"/>
      <x:c r="F69" s="2"/>
      <x:c r="G69" s="2"/>
      <x:c r="H69" s="2"/>
      <x:c r="I69" s="2"/>
    </x:row>
    <x:row r="70">
      <x:c r="B70" s="2"/>
      <x:c r="C70" s="2"/>
      <x:c r="D70" s="2"/>
      <x:c r="E70" s="2"/>
      <x:c r="F70" s="2"/>
      <x:c r="G70" s="2"/>
      <x:c r="H70" s="2"/>
      <x:c r="I70" s="2"/>
    </x:row>
    <x:row r="71">
      <x:c r="B71" s="2"/>
      <x:c r="C71" s="2"/>
      <x:c r="D71" s="2"/>
      <x:c r="E71" s="2"/>
      <x:c r="F71" s="2"/>
      <x:c r="G71" s="2"/>
      <x:c r="H71" s="2"/>
      <x:c r="I71" s="2"/>
    </x:row>
    <x:row r="72">
      <x:c r="B72" s="2"/>
      <x:c r="C72" s="2"/>
      <x:c r="D72" s="2"/>
      <x:c r="E72" s="2"/>
      <x:c r="F72" s="2"/>
      <x:c r="G72" s="2"/>
      <x:c r="H72" s="2"/>
      <x:c r="I72" s="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0" hidden="0" customWidth="1"/>
    <x:col min="3" max="3" width="24" hidden="0" customWidth="1"/>
    <x:col min="4" max="4" width="23" hidden="0" customWidth="1"/>
    <x:col min="5" max="5" width="22" hidden="0" customWidth="1"/>
    <x:col min="6" max="6" width="15" hidden="0" customWidth="1"/>
    <x:col min="7" max="7" width="44" hidden="0" customWidth="1"/>
  </x:cols>
  <x:sheetData>
    <x:row r="2">
      <x:c r="B2" s="3" t="str">
        <x:v>Model checks</x:v>
      </x:c>
      <x:c r="C2" s="2"/>
      <x:c r="D2" s="2"/>
      <x:c r="E2" s="2"/>
      <x:c r="F2" s="2"/>
      <x:c r="G2" s="2"/>
    </x:row>
    <x:row r="3">
      <x:c r="B3" s="4" t="str">
        <x:v>Independent terminal controls for configuration, loading, assurance, reset and cost</x:v>
      </x:c>
      <x:c r="C3" s="4"/>
      <x:c r="D3" s="4"/>
      <x:c r="E3" s="4"/>
      <x:c r="F3" s="4"/>
      <x:c r="G3" s="4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29" t="str">
        <x:v>Check</x:v>
      </x:c>
      <x:c r="C6" s="30" t="str">
        <x:v>Observed</x:v>
      </x:c>
      <x:c r="D6" s="30" t="str">
        <x:v>Expected</x:v>
      </x:c>
      <x:c r="E6" s="30" t="str">
        <x:v>Difference</x:v>
      </x:c>
      <x:c r="F6" s="30" t="str">
        <x:v>Status</x:v>
      </x:c>
      <x:c r="G6" s="30" t="str">
        <x:v>Meaning</x:v>
      </x:c>
    </x:row>
    <x:row r="7">
      <x:c r="B7" s="31" t="str">
        <x:v>C01 standard positions</x:v>
      </x:c>
      <x:c r="C7" s="31" t="n">
        <x:f>COUNTA('Position Standard'!B7:B38)</x:f>
        <x:v>32</x:v>
      </x:c>
      <x:c r="D7" s="31" t="n">
        <x:v>32</x:v>
      </x:c>
      <x:c r="E7" s="31" t="n">
        <x:f>C7-D7</x:f>
        <x:v>0</x:v>
      </x:c>
      <x:c r="F7" s="47" t="str">
        <x:f>IF(ABS(E7)&lt;0.000001,"PASS","FAIL")</x:f>
        <x:v>PASS</x:v>
      </x:c>
      <x:c r="G7" s="33" t="str">
        <x:v>one dry record per position</x:v>
      </x:c>
    </x:row>
    <x:row r="8">
      <x:c r="B8" s="31" t="str">
        <x:v>C02 package families</x:v>
      </x:c>
      <x:c r="C8" s="31" t="n">
        <x:f>COUNTIFS('Position Standard'!D7:D38,1)</x:f>
        <x:v>16</x:v>
      </x:c>
      <x:c r="D8" s="31" t="n">
        <x:v>16</x:v>
      </x:c>
      <x:c r="E8" s="31" t="n">
        <x:f>C8-D8</x:f>
        <x:v>0</x:v>
      </x:c>
      <x:c r="F8" s="47" t="str">
        <x:f>IF(ABS(E8)&lt;0.000001,"PASS","FAIL")</x:f>
        <x:v>PASS</x:v>
      </x:c>
      <x:c r="G8" s="33" t="str">
        <x:v>complete functional register</x:v>
      </x:c>
    </x:row>
    <x:row r="9">
      <x:c r="B9" s="31" t="str">
        <x:v>C03 standard dry mass</x:v>
      </x:c>
      <x:c r="C9" s="31" t="n">
        <x:f>SUM('Position Standard'!H7:H38)</x:f>
        <x:v>580</x:v>
      </x:c>
      <x:c r="D9" s="31" t="n">
        <x:v>580</x:v>
      </x:c>
      <x:c r="E9" s="31" t="n">
        <x:f>C9-D9</x:f>
        <x:v>0</x:v>
      </x:c>
      <x:c r="F9" s="47" t="str">
        <x:f>IF(ABS(E9)&lt;0.000001,"PASS","FAIL")</x:f>
        <x:v>PASS</x:v>
      </x:c>
      <x:c r="G9" s="33" t="str">
        <x:v>cell dry control</x:v>
      </x:c>
    </x:row>
    <x:row r="10">
      <x:c r="B10" s="31" t="str">
        <x:v>C04 standard cube</x:v>
      </x:c>
      <x:c r="C10" s="31" t="n">
        <x:f>SUM('Position Standard'!I7:I38)</x:f>
        <x:v>2630</x:v>
      </x:c>
      <x:c r="D10" s="31" t="n">
        <x:v>2630</x:v>
      </x:c>
      <x:c r="E10" s="31" t="n">
        <x:f>C10-D10</x:f>
        <x:v>0</x:v>
      </x:c>
      <x:c r="F10" s="47" t="str">
        <x:f>IF(ABS(E10)&lt;0.000001,"PASS","FAIL")</x:f>
        <x:v>PASS</x:v>
      </x:c>
      <x:c r="G10" s="33" t="str">
        <x:v>cell stowed cube</x:v>
      </x:c>
    </x:row>
    <x:row r="11">
      <x:c r="B11" s="31" t="str">
        <x:v>C05 standard deck area</x:v>
      </x:c>
      <x:c r="C11" s="31" t="n">
        <x:f>SUM('Position Standard'!J7:J38)</x:f>
        <x:v>614</x:v>
      </x:c>
      <x:c r="D11" s="31" t="n">
        <x:v>614</x:v>
      </x:c>
      <x:c r="E11" s="31" t="n">
        <x:f>C11-D11</x:f>
        <x:v>0</x:v>
      </x:c>
      <x:c r="F11" s="47" t="str">
        <x:f>IF(ABS(E11)&lt;0.000001,"PASS","FAIL")</x:f>
        <x:v>PASS</x:v>
      </x:c>
      <x:c r="G11" s="33" t="str">
        <x:v>cell deck demand</x:v>
      </x:c>
    </x:row>
    <x:row r="12">
      <x:c r="B12" s="31" t="str">
        <x:v>C06 air load records</x:v>
      </x:c>
      <x:c r="C12" s="31" t="n">
        <x:f>COUNTA('Air Load'!B7:B42)</x:f>
        <x:v>36</x:v>
      </x:c>
      <x:c r="D12" s="31" t="n">
        <x:v>36</x:v>
      </x:c>
      <x:c r="E12" s="31" t="n">
        <x:f>C12-D12</x:f>
        <x:v>0</x:v>
      </x:c>
      <x:c r="F12" s="47" t="str">
        <x:f>IF(ABS(E12)&lt;0.000001,"PASS","FAIL")</x:f>
        <x:v>PASS</x:v>
      </x:c>
      <x:c r="G12" s="33" t="str">
        <x:v>32 dry plus four wet</x:v>
      </x:c>
    </x:row>
    <x:row r="13">
      <x:c r="B13" s="31" t="str">
        <x:v>C07 terrain load records</x:v>
      </x:c>
      <x:c r="C13" s="31" t="n">
        <x:f>COUNTA('Terrain Load'!B7:B42)</x:f>
        <x:v>36</x:v>
      </x:c>
      <x:c r="D13" s="31" t="n">
        <x:v>36</x:v>
      </x:c>
      <x:c r="E13" s="31" t="n">
        <x:f>C13-D13</x:f>
        <x:v>0</x:v>
      </x:c>
      <x:c r="F13" s="47" t="str">
        <x:f>IF(ABS(E13)&lt;0.000001,"PASS","FAIL")</x:f>
        <x:v>PASS</x:v>
      </x:c>
      <x:c r="G13" s="33" t="str">
        <x:v>32 dry plus four wet</x:v>
      </x:c>
    </x:row>
    <x:row r="14">
      <x:c r="B14" s="31" t="str">
        <x:v>C08 air dry positions</x:v>
      </x:c>
      <x:c r="C14" s="31" t="n">
        <x:f>COUNTIFS('Air Load'!C7:C42,"DRY")</x:f>
        <x:v>32</x:v>
      </x:c>
      <x:c r="D14" s="31" t="n">
        <x:v>32</x:v>
      </x:c>
      <x:c r="E14" s="31" t="n">
        <x:f>C14-D14</x:f>
        <x:v>0</x:v>
      </x:c>
      <x:c r="F14" s="47" t="str">
        <x:f>IF(ABS(E14)&lt;0.000001,"PASS","FAIL")</x:f>
        <x:v>PASS</x:v>
      </x:c>
      <x:c r="G14" s="33" t="str">
        <x:v>cell A positions</x:v>
      </x:c>
    </x:row>
    <x:row r="15">
      <x:c r="B15" s="31" t="str">
        <x:v>C09 terrain dry positions</x:v>
      </x:c>
      <x:c r="C15" s="31" t="n">
        <x:f>COUNTIFS('Terrain Load'!C7:C42,"DRY")</x:f>
        <x:v>32</x:v>
      </x:c>
      <x:c r="D15" s="31" t="n">
        <x:v>32</x:v>
      </x:c>
      <x:c r="E15" s="31" t="n">
        <x:f>C15-D15</x:f>
        <x:v>0</x:v>
      </x:c>
      <x:c r="F15" s="47" t="str">
        <x:f>IF(ABS(E15)&lt;0.000001,"PASS","FAIL")</x:f>
        <x:v>PASS</x:v>
      </x:c>
      <x:c r="G15" s="33" t="str">
        <x:v>cell B positions</x:v>
      </x:c>
    </x:row>
    <x:row r="16">
      <x:c r="B16" s="31" t="str">
        <x:v>C10 air dry mass</x:v>
      </x:c>
      <x:c r="C16" s="31" t="n">
        <x:f>SUM('Air Load'!H7:H42)</x:f>
        <x:v>580</x:v>
      </x:c>
      <x:c r="D16" s="31" t="n">
        <x:v>580</x:v>
      </x:c>
      <x:c r="E16" s="31" t="n">
        <x:f>C16-D16</x:f>
        <x:v>0</x:v>
      </x:c>
      <x:c r="F16" s="47" t="str">
        <x:f>IF(ABS(E16)&lt;0.000001,"PASS","FAIL")</x:f>
        <x:v>PASS</x:v>
      </x:c>
      <x:c r="G16" s="33" t="str">
        <x:v>cell A dry</x:v>
      </x:c>
    </x:row>
    <x:row r="17">
      <x:c r="B17" s="31" t="str">
        <x:v>C11 terrain dry mass</x:v>
      </x:c>
      <x:c r="C17" s="31" t="n">
        <x:f>SUM('Terrain Load'!H7:H42)</x:f>
        <x:v>580</x:v>
      </x:c>
      <x:c r="D17" s="31" t="n">
        <x:v>580</x:v>
      </x:c>
      <x:c r="E17" s="31" t="n">
        <x:f>C17-D17</x:f>
        <x:v>0</x:v>
      </x:c>
      <x:c r="F17" s="47" t="str">
        <x:f>IF(ABS(E17)&lt;0.000001,"PASS","FAIL")</x:f>
        <x:v>PASS</x:v>
      </x:c>
      <x:c r="G17" s="33" t="str">
        <x:v>cell B dry</x:v>
      </x:c>
    </x:row>
    <x:row r="18">
      <x:c r="B18" s="31" t="str">
        <x:v>C12 air wet mass</x:v>
      </x:c>
      <x:c r="C18" s="31" t="n">
        <x:f>SUM('Air Load'!I7:I42)</x:f>
        <x:v>55</x:v>
      </x:c>
      <x:c r="D18" s="31" t="n">
        <x:v>55</x:v>
      </x:c>
      <x:c r="E18" s="31" t="n">
        <x:f>C18-D18</x:f>
        <x:v>0</x:v>
      </x:c>
      <x:c r="F18" s="47" t="str">
        <x:f>IF(ABS(E18)&lt;0.000001,"PASS","FAIL")</x:f>
        <x:v>PASS</x:v>
      </x:c>
      <x:c r="G18" s="33" t="str">
        <x:v>cell A wet</x:v>
      </x:c>
    </x:row>
    <x:row r="19">
      <x:c r="B19" s="31" t="str">
        <x:v>C13 terrain wet mass</x:v>
      </x:c>
      <x:c r="C19" s="31" t="n">
        <x:f>SUM('Terrain Load'!I7:I42)</x:f>
        <x:v>55</x:v>
      </x:c>
      <x:c r="D19" s="31" t="n">
        <x:v>55</x:v>
      </x:c>
      <x:c r="E19" s="31" t="n">
        <x:f>C19-D19</x:f>
        <x:v>0</x:v>
      </x:c>
      <x:c r="F19" s="47" t="str">
        <x:f>IF(ABS(E19)&lt;0.000001,"PASS","FAIL")</x:f>
        <x:v>PASS</x:v>
      </x:c>
      <x:c r="G19" s="33" t="str">
        <x:v>cell B wet</x:v>
      </x:c>
    </x:row>
    <x:row r="20">
      <x:c r="B20" s="31" t="str">
        <x:v>C14 air launch mass</x:v>
      </x:c>
      <x:c r="C20" s="31" t="n">
        <x:f>SUM('Air Load'!J7:J42)</x:f>
        <x:v>635</x:v>
      </x:c>
      <x:c r="D20" s="31" t="n">
        <x:v>635</x:v>
      </x:c>
      <x:c r="E20" s="31" t="n">
        <x:f>C20-D20</x:f>
        <x:v>0</x:v>
      </x:c>
      <x:c r="F20" s="47" t="str">
        <x:f>IF(ABS(E20)&lt;0.000001,"PASS","FAIL")</x:f>
        <x:v>PASS</x:v>
      </x:c>
      <x:c r="G20" s="33" t="str">
        <x:v>complete cell A</x:v>
      </x:c>
    </x:row>
    <x:row r="21">
      <x:c r="B21" s="31" t="str">
        <x:v>C15 terrain launch mass</x:v>
      </x:c>
      <x:c r="C21" s="31" t="n">
        <x:f>SUM('Terrain Load'!J7:J42)</x:f>
        <x:v>635</x:v>
      </x:c>
      <x:c r="D21" s="31" t="n">
        <x:v>635</x:v>
      </x:c>
      <x:c r="E21" s="31" t="n">
        <x:f>C21-D21</x:f>
        <x:v>0</x:v>
      </x:c>
      <x:c r="F21" s="47" t="str">
        <x:f>IF(ABS(E21)&lt;0.000001,"PASS","FAIL")</x:f>
        <x:v>PASS</x:v>
      </x:c>
      <x:c r="G21" s="33" t="str">
        <x:v>complete cell B</x:v>
      </x:c>
    </x:row>
    <x:row r="22">
      <x:c r="B22" s="31" t="str">
        <x:v>C16 fielded payload</x:v>
      </x:c>
      <x:c r="C22" s="31" t="n">
        <x:f>SUM('Air Load'!J7:J42)+SUM('Terrain Load'!J7:J42)</x:f>
        <x:v>1270</x:v>
      </x:c>
      <x:c r="D22" s="31" t="n">
        <x:v>1270</x:v>
      </x:c>
      <x:c r="E22" s="31" t="n">
        <x:f>C22-D22</x:f>
        <x:v>0</x:v>
      </x:c>
      <x:c r="F22" s="47" t="str">
        <x:f>IF(ABS(E22)&lt;0.000001,"PASS","FAIL")</x:f>
        <x:v>PASS</x:v>
      </x:c>
      <x:c r="G22" s="33" t="str">
        <x:v>two complete cells</x:v>
      </x:c>
    </x:row>
    <x:row r="23">
      <x:c r="B23" s="31" t="str">
        <x:v>C17 block L1 dry</x:v>
      </x:c>
      <x:c r="C23" s="31" t="n">
        <x:f>'Block Build'!D7</x:f>
        <x:v>145</x:v>
      </x:c>
      <x:c r="D23" s="31" t="n">
        <x:v>145</x:v>
      </x:c>
      <x:c r="E23" s="31" t="n">
        <x:f>C23-D23</x:f>
        <x:v>0</x:v>
      </x:c>
      <x:c r="F23" s="47" t="str">
        <x:f>IF(ABS(E23)&lt;0.000001,"PASS","FAIL")</x:f>
        <x:v>PASS</x:v>
      </x:c>
      <x:c r="G23" s="33" t="str">
        <x:v>one ATUT block</x:v>
      </x:c>
    </x:row>
    <x:row r="24">
      <x:c r="B24" s="31" t="str">
        <x:v>C18 block L2 dry</x:v>
      </x:c>
      <x:c r="C24" s="31" t="n">
        <x:f>'Block Build'!D8</x:f>
        <x:v>145</x:v>
      </x:c>
      <x:c r="D24" s="31" t="n">
        <x:v>145</x:v>
      </x:c>
      <x:c r="E24" s="31" t="n">
        <x:f>C24-D24</x:f>
        <x:v>0</x:v>
      </x:c>
      <x:c r="F24" s="47" t="str">
        <x:f>IF(ABS(E24)&lt;0.000001,"PASS","FAIL")</x:f>
        <x:v>PASS</x:v>
      </x:c>
      <x:c r="G24" s="33" t="str">
        <x:v>one ATUT block</x:v>
      </x:c>
    </x:row>
    <x:row r="25">
      <x:c r="B25" s="31" t="str">
        <x:v>C19 block L3 dry</x:v>
      </x:c>
      <x:c r="C25" s="31" t="n">
        <x:f>'Block Build'!D9</x:f>
        <x:v>145</x:v>
      </x:c>
      <x:c r="D25" s="31" t="n">
        <x:v>145</x:v>
      </x:c>
      <x:c r="E25" s="31" t="n">
        <x:f>C25-D25</x:f>
        <x:v>0</x:v>
      </x:c>
      <x:c r="F25" s="47" t="str">
        <x:f>IF(ABS(E25)&lt;0.000001,"PASS","FAIL")</x:f>
        <x:v>PASS</x:v>
      </x:c>
      <x:c r="G25" s="33" t="str">
        <x:v>one ATUT block</x:v>
      </x:c>
    </x:row>
    <x:row r="26">
      <x:c r="B26" s="31" t="str">
        <x:v>C20 block L4 dry</x:v>
      </x:c>
      <x:c r="C26" s="31" t="n">
        <x:f>'Block Build'!D10</x:f>
        <x:v>145</x:v>
      </x:c>
      <x:c r="D26" s="31" t="n">
        <x:v>145</x:v>
      </x:c>
      <x:c r="E26" s="31" t="n">
        <x:f>C26-D26</x:f>
        <x:v>0</x:v>
      </x:c>
      <x:c r="F26" s="47" t="str">
        <x:f>IF(ABS(E26)&lt;0.000001,"PASS","FAIL")</x:f>
        <x:v>PASS</x:v>
      </x:c>
      <x:c r="G26" s="33" t="str">
        <x:v>one ATUT block</x:v>
      </x:c>
    </x:row>
    <x:row r="27">
      <x:c r="B27" s="31" t="str">
        <x:v>C21 reconciled blocks</x:v>
      </x:c>
      <x:c r="C27" s="31" t="n">
        <x:f>COUNTIFS('Block Build'!M7:M10,"PASS")</x:f>
        <x:v>4</x:v>
      </x:c>
      <x:c r="D27" s="31" t="n">
        <x:v>4</x:v>
      </x:c>
      <x:c r="E27" s="31" t="n">
        <x:f>C27-D27</x:f>
        <x:v>0</x:v>
      </x:c>
      <x:c r="F27" s="47" t="str">
        <x:f>IF(ABS(E27)&lt;0.000001,"PASS","FAIL")</x:f>
        <x:v>PASS</x:v>
      </x:c>
      <x:c r="G27" s="33" t="str">
        <x:v>four exact blocks</x:v>
      </x:c>
    </x:row>
    <x:row r="28">
      <x:c r="B28" s="31" t="str">
        <x:v>C22 HBL-A1 loaded</x:v>
      </x:c>
      <x:c r="C28" s="31" t="n">
        <x:f>'Carrier Balance'!F7</x:f>
        <x:v>317.5</x:v>
      </x:c>
      <x:c r="D28" s="31" t="n">
        <x:v>317.5</x:v>
      </x:c>
      <x:c r="E28" s="31" t="n">
        <x:f>C28-D28</x:f>
        <x:v>0</x:v>
      </x:c>
      <x:c r="F28" s="47" t="str">
        <x:f>IF(ABS(E28)&lt;0.000001,"PASS","FAIL")</x:f>
        <x:v>PASS</x:v>
      </x:c>
      <x:c r="G28" s="33" t="str">
        <x:v>two dry blocks plus wet</x:v>
      </x:c>
    </x:row>
    <x:row r="29">
      <x:c r="B29" s="31" t="str">
        <x:v>C23 HBL-A2 loaded</x:v>
      </x:c>
      <x:c r="C29" s="31" t="n">
        <x:f>'Carrier Balance'!F8</x:f>
        <x:v>317.5</x:v>
      </x:c>
      <x:c r="D29" s="31" t="n">
        <x:v>317.5</x:v>
      </x:c>
      <x:c r="E29" s="31" t="n">
        <x:f>C29-D29</x:f>
        <x:v>0</x:v>
      </x:c>
      <x:c r="F29" s="47" t="str">
        <x:f>IF(ABS(E29)&lt;0.000001,"PASS","FAIL")</x:f>
        <x:v>PASS</x:v>
      </x:c>
      <x:c r="G29" s="33" t="str">
        <x:v>two dry blocks plus wet</x:v>
      </x:c>
    </x:row>
    <x:row r="30">
      <x:c r="B30" s="31" t="str">
        <x:v>C24 ATUT-B1 loaded</x:v>
      </x:c>
      <x:c r="C30" s="31" t="n">
        <x:f>'Carrier Balance'!F9</x:f>
        <x:v>158.75</x:v>
      </x:c>
      <x:c r="D30" s="31" t="n">
        <x:v>158.75</x:v>
      </x:c>
      <x:c r="E30" s="31" t="n">
        <x:f>C30-D30</x:f>
        <x:v>0</x:v>
      </x:c>
      <x:c r="F30" s="47" t="str">
        <x:f>IF(ABS(E30)&lt;0.000001,"PASS","FAIL")</x:f>
        <x:v>PASS</x:v>
      </x:c>
      <x:c r="G30" s="33" t="str">
        <x:v>one dry block plus wet</x:v>
      </x:c>
    </x:row>
    <x:row r="31">
      <x:c r="B31" s="31" t="str">
        <x:v>C25 ATUT-B2 loaded</x:v>
      </x:c>
      <x:c r="C31" s="31" t="n">
        <x:f>'Carrier Balance'!F10</x:f>
        <x:v>158.75</x:v>
      </x:c>
      <x:c r="D31" s="31" t="n">
        <x:v>158.75</x:v>
      </x:c>
      <x:c r="E31" s="31" t="n">
        <x:f>C31-D31</x:f>
        <x:v>0</x:v>
      </x:c>
      <x:c r="F31" s="47" t="str">
        <x:f>IF(ABS(E31)&lt;0.000001,"PASS","FAIL")</x:f>
        <x:v>PASS</x:v>
      </x:c>
      <x:c r="G31" s="33" t="str">
        <x:v>one dry block plus wet</x:v>
      </x:c>
    </x:row>
    <x:row r="32">
      <x:c r="B32" s="31" t="str">
        <x:v>C26 ATUT-B3 loaded</x:v>
      </x:c>
      <x:c r="C32" s="31" t="n">
        <x:f>'Carrier Balance'!F11</x:f>
        <x:v>158.75</x:v>
      </x:c>
      <x:c r="D32" s="31" t="n">
        <x:v>158.75</x:v>
      </x:c>
      <x:c r="E32" s="31" t="n">
        <x:f>C32-D32</x:f>
        <x:v>0</x:v>
      </x:c>
      <x:c r="F32" s="47" t="str">
        <x:f>IF(ABS(E32)&lt;0.000001,"PASS","FAIL")</x:f>
        <x:v>PASS</x:v>
      </x:c>
      <x:c r="G32" s="33" t="str">
        <x:v>one dry block plus wet</x:v>
      </x:c>
    </x:row>
    <x:row r="33">
      <x:c r="B33" s="31" t="str">
        <x:v>C27 ATUT-B4 loaded</x:v>
      </x:c>
      <x:c r="C33" s="31" t="n">
        <x:f>'Carrier Balance'!F12</x:f>
        <x:v>158.75</x:v>
      </x:c>
      <x:c r="D33" s="31" t="n">
        <x:v>158.75</x:v>
      </x:c>
      <x:c r="E33" s="31" t="n">
        <x:f>C33-D33</x:f>
        <x:v>0</x:v>
      </x:c>
      <x:c r="F33" s="47" t="str">
        <x:f>IF(ABS(E33)&lt;0.000001,"PASS","FAIL")</x:f>
        <x:v>PASS</x:v>
      </x:c>
      <x:c r="G33" s="33" t="str">
        <x:v>one dry block plus wet</x:v>
      </x:c>
    </x:row>
    <x:row r="34">
      <x:c r="B34" s="31" t="str">
        <x:v>C28 installed payload capacity</x:v>
      </x:c>
      <x:c r="C34" s="31" t="n">
        <x:f>SUM('Carrier Balance'!E7:E12)</x:f>
        <x:v>1360</x:v>
      </x:c>
      <x:c r="D34" s="31" t="n">
        <x:v>1360</x:v>
      </x:c>
      <x:c r="E34" s="31" t="n">
        <x:f>C34-D34</x:f>
        <x:v>0</x:v>
      </x:c>
      <x:c r="F34" s="47" t="str">
        <x:f>IF(ABS(E34)&lt;0.000001,"PASS","FAIL")</x:f>
        <x:v>PASS</x:v>
      </x:c>
      <x:c r="G34" s="33" t="str">
        <x:v>680 t per mode</x:v>
      </x:c>
    </x:row>
    <x:row r="35">
      <x:c r="B35" s="31" t="str">
        <x:v>C29 total capacity reserve</x:v>
      </x:c>
      <x:c r="C35" s="31" t="n">
        <x:f>SUM('Carrier Balance'!E7:E12)-1270</x:f>
        <x:v>90</x:v>
      </x:c>
      <x:c r="D35" s="31" t="n">
        <x:v>90</x:v>
      </x:c>
      <x:c r="E35" s="31" t="n">
        <x:f>C35-D35</x:f>
        <x:v>0</x:v>
      </x:c>
      <x:c r="F35" s="47" t="str">
        <x:f>IF(ABS(E35)&lt;0.000001,"PASS","FAIL")</x:f>
        <x:v>PASS</x:v>
      </x:c>
      <x:c r="G35" s="33" t="str">
        <x:v>rounded clean-sheet reserve</x:v>
      </x:c>
    </x:row>
    <x:row r="36">
      <x:c r="B36" s="31" t="str">
        <x:v>C30 mass reserve compliance</x:v>
      </x:c>
      <x:c r="C36" s="31" t="n">
        <x:f>COUNTIFS('Carrier Balance'!H7:H12,"&gt;=0.05")</x:f>
        <x:v>6</x:v>
      </x:c>
      <x:c r="D36" s="31" t="n">
        <x:v>6</x:v>
      </x:c>
      <x:c r="E36" s="31" t="n">
        <x:f>C36-D36</x:f>
        <x:v>0</x:v>
      </x:c>
      <x:c r="F36" s="47" t="str">
        <x:f>IF(ABS(E36)&lt;0.000001,"PASS","FAIL")</x:f>
        <x:v>PASS</x:v>
      </x:c>
      <x:c r="G36" s="33" t="str">
        <x:v>all carriers</x:v>
      </x:c>
    </x:row>
    <x:row r="37">
      <x:c r="B37" s="31" t="str">
        <x:v>C31 volume reserve compliance</x:v>
      </x:c>
      <x:c r="C37" s="31" t="n">
        <x:f>COUNTIFS('Carrier Balance'!L7:L12,"&gt;=0.03")</x:f>
        <x:v>6</x:v>
      </x:c>
      <x:c r="D37" s="31" t="n">
        <x:v>6</x:v>
      </x:c>
      <x:c r="E37" s="31" t="n">
        <x:f>C37-D37</x:f>
        <x:v>0</x:v>
      </x:c>
      <x:c r="F37" s="47" t="str">
        <x:f>IF(ABS(E37)&lt;0.000001,"PASS","FAIL")</x:f>
        <x:v>PASS</x:v>
      </x:c>
      <x:c r="G37" s="33" t="str">
        <x:v>all carriers</x:v>
      </x:c>
    </x:row>
    <x:row r="38">
      <x:c r="B38" s="31" t="str">
        <x:v>C32 deck reserve compliance</x:v>
      </x:c>
      <x:c r="C38" s="31" t="n">
        <x:f>COUNTIFS('Carrier Balance'!P7:P12,"&gt;=0.03")</x:f>
        <x:v>6</x:v>
      </x:c>
      <x:c r="D38" s="31" t="n">
        <x:v>6</x:v>
      </x:c>
      <x:c r="E38" s="31" t="n">
        <x:f>C38-D38</x:f>
        <x:v>0</x:v>
      </x:c>
      <x:c r="F38" s="47" t="str">
        <x:f>IF(ABS(E38)&lt;0.000001,"PASS","FAIL")</x:f>
        <x:v>PASS</x:v>
      </x:c>
      <x:c r="G38" s="33" t="str">
        <x:v>all carriers</x:v>
      </x:c>
    </x:row>
    <x:row r="39">
      <x:c r="B39" s="31" t="str">
        <x:v>C33 longitudinal CG compliance</x:v>
      </x:c>
      <x:c r="C39" s="31" t="n">
        <x:f>COUNTIFS('Carrier Balance'!T7:T12,"PASS")</x:f>
        <x:v>6</x:v>
      </x:c>
      <x:c r="D39" s="31" t="n">
        <x:v>6</x:v>
      </x:c>
      <x:c r="E39" s="31" t="n">
        <x:f>C39-D39</x:f>
        <x:v>0</x:v>
      </x:c>
      <x:c r="F39" s="47" t="str">
        <x:f>IF(ABS(E39)&lt;0.000001,"PASS","FAIL")</x:f>
        <x:v>PASS</x:v>
      </x:c>
      <x:c r="G39" s="33" t="str">
        <x:v>all balance tests combined</x:v>
      </x:c>
    </x:row>
    <x:row r="40">
      <x:c r="B40" s="31" t="str">
        <x:v>C34 lateral CG compliance</x:v>
      </x:c>
      <x:c r="C40" s="31" t="n">
        <x:f>IF(MAX(MAX('Carrier Balance'!R7:R12),-MIN('Carrier Balance'!R7:R12))&lt;=Assumptions!C33,1,0)</x:f>
        <x:v>1</x:v>
      </x:c>
      <x:c r="D40" s="31" t="n">
        <x:v>1</x:v>
      </x:c>
      <x:c r="E40" s="31" t="n">
        <x:f>C40-D40</x:f>
        <x:v>0</x:v>
      </x:c>
      <x:c r="F40" s="47" t="str">
        <x:f>IF(ABS(E40)&lt;0.000001,"PASS","FAIL")</x:f>
        <x:v>PASS</x:v>
      </x:c>
      <x:c r="G40" s="33" t="str">
        <x:v>all carriers inside lateral bound</x:v>
      </x:c>
    </x:row>
    <x:row r="41">
      <x:c r="B41" s="31" t="str">
        <x:v>C35 vertical CG compliance</x:v>
      </x:c>
      <x:c r="C41" s="31" t="n">
        <x:f>IF(MAX('Carrier Balance'!S7:S12)&lt;=Assumptions!C34,1,0)</x:f>
        <x:v>1</x:v>
      </x:c>
      <x:c r="D41" s="31" t="n">
        <x:v>1</x:v>
      </x:c>
      <x:c r="E41" s="31" t="n">
        <x:f>C41-D41</x:f>
        <x:v>0</x:v>
      </x:c>
      <x:c r="F41" s="47" t="str">
        <x:f>IF(ABS(E41)&lt;0.000001,"PASS","FAIL")</x:f>
        <x:v>PASS</x:v>
      </x:c>
      <x:c r="G41" s="33" t="str">
        <x:v>all carriers below vertical limit</x:v>
      </x:c>
    </x:row>
    <x:row r="42">
      <x:c r="B42" s="31" t="str">
        <x:v>C36 carrier balance passes</x:v>
      </x:c>
      <x:c r="C42" s="31" t="n">
        <x:f>COUNTIFS('Carrier Balance'!T7:T12,"PASS")</x:f>
        <x:v>6</x:v>
      </x:c>
      <x:c r="D42" s="31" t="n">
        <x:v>6</x:v>
      </x:c>
      <x:c r="E42" s="31" t="n">
        <x:f>C42-D42</x:f>
        <x:v>0</x:v>
      </x:c>
      <x:c r="F42" s="47" t="str">
        <x:f>IF(ABS(E42)&lt;0.000001,"PASS","FAIL")</x:f>
        <x:v>PASS</x:v>
      </x:c>
      <x:c r="G42" s="33" t="str">
        <x:v>all carriers</x:v>
      </x:c>
    </x:row>
    <x:row r="43">
      <x:c r="B43" s="31" t="str">
        <x:v>C37 air origin and transit</x:v>
      </x:c>
      <x:c r="C43" s="31" t="n">
        <x:f>Dispatch!D7</x:f>
        <x:v>34</x:v>
      </x:c>
      <x:c r="D43" s="31" t="n">
        <x:v>34</x:v>
      </x:c>
      <x:c r="E43" s="31" t="n">
        <x:f>C43-D43</x:f>
        <x:v>0</x:v>
      </x:c>
      <x:c r="F43" s="47" t="str">
        <x:f>IF(ABS(E43)&lt;0.000001,"PASS","FAIL")</x:f>
        <x:v>PASS</x:v>
      </x:c>
      <x:c r="G43" s="33" t="str">
        <x:v>before receiver build</x:v>
      </x:c>
    </x:row>
    <x:row r="44">
      <x:c r="B44" s="31" t="str">
        <x:v>C38 terrain origin and transit</x:v>
      </x:c>
      <x:c r="C44" s="31" t="n">
        <x:f>Dispatch!D8</x:f>
        <x:v>37</x:v>
      </x:c>
      <x:c r="D44" s="31" t="n">
        <x:v>37</x:v>
      </x:c>
      <x:c r="E44" s="31" t="n">
        <x:f>C44-D44</x:f>
        <x:v>0</x:v>
      </x:c>
      <x:c r="F44" s="47" t="str">
        <x:f>IF(ABS(E44)&lt;0.000001,"PASS","FAIL")</x:f>
        <x:v>PASS</x:v>
      </x:c>
      <x:c r="G44" s="33" t="str">
        <x:v>before receiver build</x:v>
      </x:c>
    </x:row>
    <x:row r="45">
      <x:c r="B45" s="31" t="str">
        <x:v>C39 receiver build</x:v>
      </x:c>
      <x:c r="C45" s="31" t="n">
        <x:f>Dispatch!E7</x:f>
        <x:v>8</x:v>
      </x:c>
      <x:c r="D45" s="31" t="n">
        <x:v>8</x:v>
      </x:c>
      <x:c r="E45" s="31" t="n">
        <x:f>C45-D45</x:f>
        <x:v>0</x:v>
      </x:c>
      <x:c r="F45" s="47" t="str">
        <x:f>IF(ABS(E45)&lt;0.000001,"PASS","FAIL")</x:f>
        <x:v>PASS</x:v>
      </x:c>
      <x:c r="G45" s="33" t="str">
        <x:v>common task logic</x:v>
      </x:c>
    </x:row>
    <x:row r="46">
      <x:c r="B46" s="31" t="str">
        <x:v>C40 air relative service</x:v>
      </x:c>
      <x:c r="C46" s="31" t="n">
        <x:f>Dispatch!F7</x:f>
        <x:v>42</x:v>
      </x:c>
      <x:c r="D46" s="31" t="n">
        <x:v>42</x:v>
      </x:c>
      <x:c r="E46" s="31" t="n">
        <x:f>C46-D46</x:f>
        <x:v>0</x:v>
      </x:c>
      <x:c r="F46" s="47" t="str">
        <x:f>IF(ABS(E46)&lt;0.000001,"PASS","FAIL")</x:f>
        <x:v>PASS</x:v>
      </x:c>
      <x:c r="G46" s="33" t="str">
        <x:v>Pass 81 control</x:v>
      </x:c>
    </x:row>
    <x:row r="47">
      <x:c r="B47" s="31" t="str">
        <x:v>C41 terrain relative service</x:v>
      </x:c>
      <x:c r="C47" s="31" t="n">
        <x:f>Dispatch!F8</x:f>
        <x:v>45</x:v>
      </x:c>
      <x:c r="D47" s="31" t="n">
        <x:v>45</x:v>
      </x:c>
      <x:c r="E47" s="31" t="n">
        <x:f>C47-D47</x:f>
        <x:v>0</x:v>
      </x:c>
      <x:c r="F47" s="47" t="str">
        <x:f>IF(ABS(E47)&lt;0.000001,"PASS","FAIL")</x:f>
        <x:v>PASS</x:v>
      </x:c>
      <x:c r="G47" s="33" t="str">
        <x:v>Pass 81 control</x:v>
      </x:c>
    </x:row>
    <x:row r="48">
      <x:c r="B48" s="31" t="str">
        <x:v>C42 air absolute service</x:v>
      </x:c>
      <x:c r="C48" s="31" t="n">
        <x:f>Dispatch!G7</x:f>
        <x:v>48</x:v>
      </x:c>
      <x:c r="D48" s="31" t="n">
        <x:v>48</x:v>
      </x:c>
      <x:c r="E48" s="31" t="n">
        <x:f>C48-D48</x:f>
        <x:v>0</x:v>
      </x:c>
      <x:c r="F48" s="47" t="str">
        <x:f>IF(ABS(E48)&lt;0.000001,"PASS","FAIL")</x:f>
        <x:v>PASS</x:v>
      </x:c>
      <x:c r="G48" s="33" t="str">
        <x:v>hour-six activation</x:v>
      </x:c>
    </x:row>
    <x:row r="49">
      <x:c r="B49" s="31" t="str">
        <x:v>C43 terrain absolute service</x:v>
      </x:c>
      <x:c r="C49" s="31" t="n">
        <x:f>Dispatch!G8</x:f>
        <x:v>51</x:v>
      </x:c>
      <x:c r="D49" s="31" t="n">
        <x:v>51</x:v>
      </x:c>
      <x:c r="E49" s="31" t="n">
        <x:f>C49-D49</x:f>
        <x:v>0</x:v>
      </x:c>
      <x:c r="F49" s="47" t="str">
        <x:f>IF(ABS(E49)&lt;0.000001,"PASS","FAIL")</x:f>
        <x:v>PASS</x:v>
      </x:c>
      <x:c r="G49" s="33" t="str">
        <x:v>hour-six activation</x:v>
      </x:c>
    </x:row>
    <x:row r="50">
      <x:c r="B50" s="31" t="str">
        <x:v>C44 air margin</x:v>
      </x:c>
      <x:c r="C50" s="31" t="n">
        <x:f>Dispatch!I7</x:f>
        <x:v>6</x:v>
      </x:c>
      <x:c r="D50" s="31" t="n">
        <x:v>6</x:v>
      </x:c>
      <x:c r="E50" s="31" t="n">
        <x:f>C50-D50</x:f>
        <x:v>0</x:v>
      </x:c>
      <x:c r="F50" s="47" t="str">
        <x:f>IF(ABS(E50)&lt;0.000001,"PASS","FAIL")</x:f>
        <x:v>PASS</x:v>
      </x:c>
      <x:c r="G50" s="33" t="str">
        <x:v>to hour 54</x:v>
      </x:c>
    </x:row>
    <x:row r="51">
      <x:c r="B51" s="31" t="str">
        <x:v>C45 terrain margin</x:v>
      </x:c>
      <x:c r="C51" s="31" t="n">
        <x:f>Dispatch!I8</x:f>
        <x:v>3</x:v>
      </x:c>
      <x:c r="D51" s="31" t="n">
        <x:v>3</x:v>
      </x:c>
      <x:c r="E51" s="31" t="n">
        <x:f>C51-D51</x:f>
        <x:v>0</x:v>
      </x:c>
      <x:c r="F51" s="47" t="str">
        <x:f>IF(ABS(E51)&lt;0.000001,"PASS","FAIL")</x:f>
        <x:v>PASS</x:v>
      </x:c>
      <x:c r="G51" s="33" t="str">
        <x:v>to hour 54</x:v>
      </x:c>
    </x:row>
    <x:row r="52">
      <x:c r="B52" s="31" t="str">
        <x:v>C46 deployed workforce</x:v>
      </x:c>
      <x:c r="C52" s="31" t="n">
        <x:f>SUM(Crew!C7:C16)</x:f>
        <x:v>486</x:v>
      </x:c>
      <x:c r="D52" s="31" t="n">
        <x:v>486</x:v>
      </x:c>
      <x:c r="E52" s="31" t="n">
        <x:f>C52-D52</x:f>
        <x:v>0</x:v>
      </x:c>
      <x:c r="F52" s="47" t="str">
        <x:f>IF(ABS(E52)&lt;0.000001,"PASS","FAIL")</x:f>
        <x:v>PASS</x:v>
      </x:c>
      <x:c r="G52" s="33" t="str">
        <x:v>Pass 81 boundary</x:v>
      </x:c>
    </x:row>
    <x:row r="53">
      <x:c r="B53" s="31" t="str">
        <x:v>C47 affiliated workforce</x:v>
      </x:c>
      <x:c r="C53" s="31" t="n">
        <x:f>SUM(Crew!D7:D16)</x:f>
        <x:v>1065</x:v>
      </x:c>
      <x:c r="D53" s="31" t="n">
        <x:v>1065</x:v>
      </x:c>
      <x:c r="E53" s="31" t="n">
        <x:f>C53-D53</x:f>
        <x:v>0</x:v>
      </x:c>
      <x:c r="F53" s="47" t="str">
        <x:f>IF(ABS(E53)&lt;0.000001,"PASS","FAIL")</x:f>
        <x:v>PASS</x:v>
      </x:c>
      <x:c r="G53" s="33" t="str">
        <x:v>Pass 81 boundary</x:v>
      </x:c>
    </x:row>
    <x:row r="54">
      <x:c r="B54" s="31" t="str">
        <x:v>C48 minimum watch</x:v>
      </x:c>
      <x:c r="C54" s="31" t="n">
        <x:f>SUM(Crew!E7:E16)</x:f>
        <x:v>158</x:v>
      </x:c>
      <x:c r="D54" s="31" t="n">
        <x:v>158</x:v>
      </x:c>
      <x:c r="E54" s="31" t="n">
        <x:f>C54-D54</x:f>
        <x:v>0</x:v>
      </x:c>
      <x:c r="F54" s="47" t="str">
        <x:f>IF(ABS(E54)&lt;0.000001,"PASS","FAIL")</x:f>
        <x:v>PASS</x:v>
      </x:c>
      <x:c r="G54" s="33" t="str">
        <x:v>launch and continuity posture</x:v>
      </x:c>
    </x:row>
    <x:row r="55">
      <x:c r="B55" s="31" t="str">
        <x:v>C49 duty assignments</x:v>
      </x:c>
      <x:c r="C55" s="31" t="n">
        <x:f>COUNTA(Crew!B21:B35)</x:f>
        <x:v>15</x:v>
      </x:c>
      <x:c r="D55" s="31" t="n">
        <x:v>15</x:v>
      </x:c>
      <x:c r="E55" s="31" t="n">
        <x:f>C55-D55</x:f>
        <x:v>0</x:v>
      </x:c>
      <x:c r="F55" s="47" t="str">
        <x:f>IF(ABS(E55)&lt;0.000001,"PASS","FAIL")</x:f>
        <x:v>PASS</x:v>
      </x:c>
      <x:c r="G55" s="33" t="str">
        <x:v>representative schedule</x:v>
      </x:c>
    </x:row>
    <x:row r="56">
      <x:c r="B56" s="31" t="str">
        <x:v>C50 maximum duty</x:v>
      </x:c>
      <x:c r="C56" s="31" t="n">
        <x:f>MAX(Crew!F21:F35)</x:f>
        <x:v>12</x:v>
      </x:c>
      <x:c r="D56" s="31" t="n">
        <x:v>12</x:v>
      </x:c>
      <x:c r="E56" s="31" t="n">
        <x:f>C56-D56</x:f>
        <x:v>0</x:v>
      </x:c>
      <x:c r="F56" s="47" t="str">
        <x:f>IF(ABS(E56)&lt;0.000001,"PASS","FAIL")</x:f>
        <x:v>PASS</x:v>
      </x:c>
      <x:c r="G56" s="33" t="str">
        <x:v>declared limit</x:v>
      </x:c>
    </x:row>
    <x:row r="57">
      <x:c r="B57" s="31" t="str">
        <x:v>C51 duty violations</x:v>
      </x:c>
      <x:c r="C57" s="31" t="n">
        <x:f>COUNTIFS(Crew!I21:I35,"FAIL")</x:f>
        <x:v>0</x:v>
      </x:c>
      <x:c r="D57" s="31" t="n">
        <x:v>0</x:v>
      </x:c>
      <x:c r="E57" s="31" t="n">
        <x:f>C57-D57</x:f>
        <x:v>0</x:v>
      </x:c>
      <x:c r="F57" s="47" t="str">
        <x:f>IF(ABS(E57)&lt;0.000001,"PASS","FAIL")</x:f>
        <x:v>PASS</x:v>
      </x:c>
      <x:c r="G57" s="33" t="str">
        <x:v>all shifts within rule</x:v>
      </x:c>
    </x:row>
    <x:row r="58">
      <x:c r="B58" s="31" t="str">
        <x:v>C52 loss worlds</x:v>
      </x:c>
      <x:c r="C58" s="31" t="n">
        <x:f>COUNTA('Loss Worlds'!B7:B26)</x:f>
        <x:v>20</x:v>
      </x:c>
      <x:c r="D58" s="31" t="n">
        <x:v>20</x:v>
      </x:c>
      <x:c r="E58" s="31" t="n">
        <x:f>C58-D58</x:f>
        <x:v>0</x:v>
      </x:c>
      <x:c r="F58" s="47" t="str">
        <x:f>IF(ABS(E58)&lt;0.000001,"PASS","FAIL")</x:f>
        <x:v>PASS</x:v>
      </x:c>
      <x:c r="G58" s="33" t="str">
        <x:v>named single and boundary cuts</x:v>
      </x:c>
    </x:row>
    <x:row r="59">
      <x:c r="B59" s="31" t="str">
        <x:v>C53 behavior passes</x:v>
      </x:c>
      <x:c r="C59" s="31" t="n">
        <x:f>COUNTIFS('Loss Worlds'!T7:T26,"PASS")</x:f>
        <x:v>19</x:v>
      </x:c>
      <x:c r="D59" s="31" t="n">
        <x:v>19</x:v>
      </x:c>
      <x:c r="E59" s="31" t="n">
        <x:f>C59-D59</x:f>
        <x:v>0</x:v>
      </x:c>
      <x:c r="F59" s="47" t="str">
        <x:f>IF(ABS(E59)&lt;0.000001,"PASS","FAIL")</x:f>
        <x:v>PASS</x:v>
      </x:c>
      <x:c r="G59" s="33" t="str">
        <x:v>all except both-mode denial</x:v>
      </x:c>
    </x:row>
    <x:row r="60">
      <x:c r="B60" s="31" t="str">
        <x:v>C54 both-mode boundary failure</x:v>
      </x:c>
      <x:c r="C60" s="31" t="n">
        <x:f>IF('Loss Worlds'!T25="FAIL",1,0)</x:f>
        <x:v>1</x:v>
      </x:c>
      <x:c r="D60" s="31" t="n">
        <x:v>1</x:v>
      </x:c>
      <x:c r="E60" s="31" t="n">
        <x:f>C60-D60</x:f>
        <x:v>0</x:v>
      </x:c>
      <x:c r="F60" s="47" t="str">
        <x:f>IF(ABS(E60)&lt;0.000001,"PASS","FAIL")</x:f>
        <x:v>PASS</x:v>
      </x:c>
      <x:c r="G60" s="33" t="str">
        <x:v>outside design guarantee</x:v>
      </x:c>
    </x:row>
    <x:row r="61">
      <x:c r="B61" s="31" t="str">
        <x:v>C55 current evidence passes</x:v>
      </x:c>
      <x:c r="C61" s="31" t="n">
        <x:f>COUNTIFS('Loss Worlds'!U7:U26,"PASS")</x:f>
        <x:v>0</x:v>
      </x:c>
      <x:c r="D61" s="31" t="n">
        <x:v>0</x:v>
      </x:c>
      <x:c r="E61" s="31" t="n">
        <x:f>C61-D61</x:f>
        <x:v>0</x:v>
      </x:c>
      <x:c r="F61" s="47" t="str">
        <x:f>IF(ABS(E61)&lt;0.000001,"PASS","FAIL")</x:f>
        <x:v>PASS</x:v>
      </x:c>
      <x:c r="G61" s="33" t="str">
        <x:v>no current credit</x:v>
      </x:c>
    </x:row>
    <x:row r="62">
      <x:c r="B62" s="31" t="str">
        <x:v>C56 reset workstreams</x:v>
      </x:c>
      <x:c r="C62" s="31" t="n">
        <x:f>COUNTA(Reset!B7:B14)</x:f>
        <x:v>8</x:v>
      </x:c>
      <x:c r="D62" s="31" t="n">
        <x:v>8</x:v>
      </x:c>
      <x:c r="E62" s="31" t="n">
        <x:f>C62-D62</x:f>
        <x:v>0</x:v>
      </x:c>
      <x:c r="F62" s="47" t="str">
        <x:f>IF(ABS(E62)&lt;0.000001,"PASS","FAIL")</x:f>
        <x:v>PASS</x:v>
      </x:c>
      <x:c r="G62" s="33" t="str">
        <x:v>four per mode</x:v>
      </x:c>
    </x:row>
    <x:row r="63">
      <x:c r="B63" s="31" t="str">
        <x:v>C57 longest reset</x:v>
      </x:c>
      <x:c r="C63" s="31" t="n">
        <x:f>MAX(Reset!J7:J14)</x:f>
        <x:v>132</x:v>
      </x:c>
      <x:c r="D63" s="31" t="n">
        <x:v>132</x:v>
      </x:c>
      <x:c r="E63" s="31" t="n">
        <x:f>C63-D63</x:f>
        <x:v>0</x:v>
      </x:c>
      <x:c r="F63" s="47" t="str">
        <x:f>IF(ABS(E63)&lt;0.000001,"PASS","FAIL")</x:f>
        <x:v>PASS</x:v>
      </x:c>
      <x:c r="G63" s="33" t="str">
        <x:v>terrain vehicle path</x:v>
      </x:c>
    </x:row>
    <x:row r="64">
      <x:c r="B64" s="31" t="str">
        <x:v>C58 reset margin</x:v>
      </x:c>
      <x:c r="C64" s="31" t="n">
        <x:f>168-MAX(Reset!J7:J14)</x:f>
        <x:v>36</x:v>
      </x:c>
      <x:c r="D64" s="31" t="n">
        <x:v>36</x:v>
      </x:c>
      <x:c r="E64" s="31" t="n">
        <x:f>C64-D64</x:f>
        <x:v>0</x:v>
      </x:c>
      <x:c r="F64" s="47" t="str">
        <x:f>IF(ABS(E64)&lt;0.000001,"PASS","FAIL")</x:f>
        <x:v>PASS</x:v>
      </x:c>
      <x:c r="G64" s="33" t="str">
        <x:v>hours to target</x:v>
      </x:c>
    </x:row>
    <x:row r="65">
      <x:c r="B65" s="31" t="str">
        <x:v>C59 reset behavior passes</x:v>
      </x:c>
      <x:c r="C65" s="31" t="n">
        <x:f>COUNTIFS(Reset!M7:M14,"PASS")</x:f>
        <x:v>8</x:v>
      </x:c>
      <x:c r="D65" s="31" t="n">
        <x:v>8</x:v>
      </x:c>
      <x:c r="E65" s="31" t="n">
        <x:f>C65-D65</x:f>
        <x:v>0</x:v>
      </x:c>
      <x:c r="F65" s="47" t="str">
        <x:f>IF(ABS(E65)&lt;0.000001,"PASS","FAIL")</x:f>
        <x:v>PASS</x:v>
      </x:c>
      <x:c r="G65" s="33" t="str">
        <x:v>all workstreams</x:v>
      </x:c>
    </x:row>
    <x:row r="66">
      <x:c r="B66" s="31" t="str">
        <x:v>C60 paired origin capital</x:v>
      </x:c>
      <x:c r="C66" s="31" t="n">
        <x:f>SUM(Bases!N7:N8)</x:f>
        <x:v>1.38</x:v>
      </x:c>
      <x:c r="D66" s="31" t="n">
        <x:v>1.38</x:v>
      </x:c>
      <x:c r="E66" s="31" t="n">
        <x:f>C66-D66</x:f>
        <x:v>0</x:v>
      </x:c>
      <x:c r="F66" s="47" t="str">
        <x:f>IF(ABS(E66)&lt;0.000001,"PASS","FAIL")</x:f>
        <x:v>PASS</x:v>
      </x:c>
      <x:c r="G66" s="33" t="str">
        <x:v>per ready package</x:v>
      </x:c>
    </x:row>
    <x:row r="67">
      <x:c r="B67" s="31" t="str">
        <x:v>C61 paired annual operations</x:v>
      </x:c>
      <x:c r="C67" s="31" t="n">
        <x:f>SUM(Bases!O7:O8)</x:f>
        <x:v>0.08</x:v>
      </x:c>
      <x:c r="D67" s="31" t="n">
        <x:v>0.08</x:v>
      </x:c>
      <x:c r="E67" s="31" t="n">
        <x:f>C67-D67</x:f>
        <x:v>0</x:v>
      </x:c>
      <x:c r="F67" s="47" t="str">
        <x:f>IF(ABS(E67)&lt;0.000001,"PASS","FAIL")</x:f>
        <x:v>PASS</x:v>
      </x:c>
      <x:c r="G67" s="33" t="str">
        <x:v>per package-year</x:v>
      </x:c>
    </x:row>
    <x:row r="68">
      <x:c r="B68" s="31" t="str">
        <x:v>C62 configuration R&amp;D</x:v>
      </x:c>
      <x:c r="C68" s="31" t="n">
        <x:f>SUMIFS(Technology!D7:D20,Technology!C7:C20,"R&amp;D")</x:f>
        <x:v>56</x:v>
      </x:c>
      <x:c r="D68" s="31" t="n">
        <x:v>56</x:v>
      </x:c>
      <x:c r="E68" s="31" t="n">
        <x:f>C68-D68</x:f>
        <x:v>0</x:v>
      </x:c>
      <x:c r="F68" s="47" t="str">
        <x:f>IF(ABS(E68)&lt;0.000001,"PASS","FAIL")</x:f>
        <x:v>PASS</x:v>
      </x:c>
      <x:c r="G68" s="33" t="str">
        <x:v>physical research account</x:v>
      </x:c>
    </x:row>
    <x:row r="69">
      <x:c r="B69" s="31" t="str">
        <x:v>C63 integration and test</x:v>
      </x:c>
      <x:c r="C69" s="31" t="n">
        <x:f>SUMIFS(Technology!D7:D20,Technology!C7:C20,"Integration")</x:f>
        <x:v>85</x:v>
      </x:c>
      <x:c r="D69" s="31" t="n">
        <x:v>85</x:v>
      </x:c>
      <x:c r="E69" s="31" t="n">
        <x:f>C69-D69</x:f>
        <x:v>0</x:v>
      </x:c>
      <x:c r="F69" s="47" t="str">
        <x:f>IF(ABS(E69)&lt;0.000001,"PASS","FAIL")</x:f>
        <x:v>PASS</x:v>
      </x:c>
      <x:c r="G69" s="33" t="str">
        <x:v>representative integration</x:v>
      </x:c>
    </x:row>
    <x:row r="70">
      <x:c r="B70" s="31" t="str">
        <x:v>C64 predecessor package</x:v>
      </x:c>
      <x:c r="C70" s="31" t="n">
        <x:f>'Program Cost'!C15</x:f>
        <x:v>770.6333</x:v>
      </x:c>
      <x:c r="D70" s="31" t="n">
        <x:v>770.6333</x:v>
      </x:c>
      <x:c r="E70" s="31" t="n">
        <x:f>C70-D70</x:f>
        <x:v>0</x:v>
      </x:c>
      <x:c r="F70" s="47" t="str">
        <x:f>IF(ABS(E70)&lt;0.000001,"PASS","FAIL")</x:f>
        <x:v>PASS</x:v>
      </x:c>
      <x:c r="G70" s="33" t="str">
        <x:v>Pass 81 control</x:v>
      </x:c>
    </x:row>
    <x:row r="71">
      <x:c r="B71" s="31" t="str">
        <x:v>C65 configured package</x:v>
      </x:c>
      <x:c r="C71" s="31" t="n">
        <x:f>'Program Cost'!D15</x:f>
        <x:v>933.2764</x:v>
      </x:c>
      <x:c r="D71" s="31" t="n">
        <x:v>933.2764</x:v>
      </x:c>
      <x:c r="E71" s="31" t="n">
        <x:f>C71-D71</x:f>
        <x:v>0</x:v>
      </x:c>
      <x:c r="F71" s="47" t="str">
        <x:f>IF(ABS(E71)&lt;0.000001,"PASS","FAIL")</x:f>
        <x:v>PASS</x:v>
      </x:c>
      <x:c r="G71" s="33" t="str">
        <x:v>Pass 82 result</x:v>
      </x:c>
    </x:row>
    <x:row r="72">
      <x:c r="B72" s="31" t="str">
        <x:v>C66 configured national</x:v>
      </x:c>
      <x:c r="C72" s="31" t="n">
        <x:f>'Program Cost'!D17</x:f>
        <x:v>8316.417950000001</x:v>
      </x:c>
      <x:c r="D72" s="31" t="n">
        <x:v>8316.41795</x:v>
      </x:c>
      <x:c r="E72" s="31" t="n">
        <x:f>C72-D72</x:f>
        <x:v>1.8189894035458565e-12</x:v>
      </x:c>
      <x:c r="F72" s="47" t="str">
        <x:f>IF(ABS(E72)&lt;0.000001,"PASS","FAIL")</x:f>
        <x:v>PASS</x:v>
      </x:c>
      <x:c r="G72" s="33" t="str">
        <x:v>dynamic base plus package</x:v>
      </x:c>
    </x:row>
    <x:row r="73">
      <x:c r="B73" s="31" t="str">
        <x:v>C67 configuration increase</x:v>
      </x:c>
      <x:c r="C73" s="31" t="n">
        <x:f>'Program Cost'!D18</x:f>
        <x:v>162.6431</x:v>
      </x:c>
      <x:c r="D73" s="31" t="n">
        <x:v>162.6431</x:v>
      </x:c>
      <x:c r="E73" s="31" t="n">
        <x:f>C73-D73</x:f>
        <x:v>0</x:v>
      </x:c>
      <x:c r="F73" s="47" t="str">
        <x:f>IF(ABS(E73)&lt;0.000001,"PASS","FAIL")</x:f>
        <x:v>PASS</x:v>
      </x:c>
      <x:c r="G73" s="33" t="str">
        <x:v>over Pass 81</x:v>
      </x:c>
    </x:row>
    <x:row r="74">
      <x:c r="B74" s="31" t="str">
        <x:v>C68 unconfigured-control gap</x:v>
      </x:c>
      <x:c r="C74" s="31" t="n">
        <x:f>'Program Cost'!D21</x:f>
        <x:v>30.220000000000027</x:v>
      </x:c>
      <x:c r="D74" s="31" t="n">
        <x:v>30.22</x:v>
      </x:c>
      <x:c r="E74" s="31" t="n">
        <x:f>C74-D74</x:f>
        <x:v>2.842170943040401e-14</x:v>
      </x:c>
      <x:c r="F74" s="47" t="str">
        <x:f>IF(ABS(E74)&lt;0.000001,"PASS","FAIL")</x:f>
        <x:v>PASS</x:v>
      </x:c>
      <x:c r="G74" s="33" t="str">
        <x:v>comparison quarantined</x:v>
      </x:c>
    </x:row>
    <x:row r="75">
      <x:c r="B75" s="31" t="str">
        <x:v>C69 prior saving consumed</x:v>
      </x:c>
      <x:c r="C75" s="31" t="n">
        <x:f>'Program Cost'!D20</x:f>
        <x:v>0.8433085437286862</x:v>
      </x:c>
      <x:c r="D75" s="31" t="n">
        <x:v>0.8433085437</x:v>
      </x:c>
      <x:c r="E75" s="31" t="n">
        <x:f>C75-D75</x:f>
        <x:v>2.8686275577172182e-11</x:v>
      </x:c>
      <x:c r="F75" s="47" t="str">
        <x:f>IF(ABS(E75)&lt;0.000001,"PASS","FAIL")</x:f>
        <x:v>PASS</x:v>
      </x:c>
      <x:c r="G75" s="33" t="str">
        <x:v>share consumed</x:v>
      </x:c>
    </x:row>
    <x:row r="76">
      <x:c r="B76" s="31" t="str">
        <x:v>C70 ready packages</x:v>
      </x:c>
      <x:c r="C76" s="31" t="n">
        <x:f>Assumptions!C38</x:f>
        <x:v>43</x:v>
      </x:c>
      <x:c r="D76" s="31" t="n">
        <x:v>43</x:v>
      </x:c>
      <x:c r="E76" s="31" t="n">
        <x:f>C76-D76</x:f>
        <x:v>0</x:v>
      </x:c>
      <x:c r="F76" s="47" t="str">
        <x:f>IF(ABS(E76)&lt;0.000001,"PASS","FAIL")</x:f>
        <x:v>PASS</x:v>
      </x:c>
      <x:c r="G76" s="33" t="str">
        <x:v>national basis</x:v>
      </x:c>
    </x:row>
    <x:row r="77">
      <x:c r="B77" s="31" t="str">
        <x:v>C71 evidence gates</x:v>
      </x:c>
      <x:c r="C77" s="31" t="n">
        <x:f>COUNTA('Evidence Gates'!B7:B66)</x:f>
        <x:v>60</x:v>
      </x:c>
      <x:c r="D77" s="31" t="n">
        <x:v>60</x:v>
      </x:c>
      <x:c r="E77" s="31" t="n">
        <x:f>C77-D77</x:f>
        <x:v>0</x:v>
      </x:c>
      <x:c r="F77" s="47" t="str">
        <x:f>IF(ABS(E77)&lt;0.000001,"PASS","FAIL")</x:f>
        <x:v>PASS</x:v>
      </x:c>
      <x:c r="G77" s="33" t="str">
        <x:v>physical proof register</x:v>
      </x:c>
    </x:row>
    <x:row r="78">
      <x:c r="B78" s="31" t="str">
        <x:v>C72 open evidence gates</x:v>
      </x:c>
      <x:c r="C78" s="31" t="n">
        <x:f>COUNTIFS('Evidence Gates'!H7:H66,"OPEN")</x:f>
        <x:v>60</x:v>
      </x:c>
      <x:c r="D78" s="31" t="n">
        <x:v>60</x:v>
      </x:c>
      <x:c r="E78" s="31" t="n">
        <x:f>C78-D78</x:f>
        <x:v>0</x:v>
      </x:c>
      <x:c r="F78" s="47" t="str">
        <x:f>IF(ABS(E78)&lt;0.000001,"PASS","FAIL")</x:f>
        <x:v>PASS</x:v>
      </x:c>
      <x:c r="G78" s="33" t="str">
        <x:v>no admission</x:v>
      </x:c>
    </x:row>
    <x:row r="79">
      <x:c r="B79" s="31" t="str">
        <x:v>C73 rendering authorization</x:v>
      </x:c>
      <x:c r="C79" s="31" t="n">
        <x:f>Assumptions!C45</x:f>
        <x:v>0</x:v>
      </x:c>
      <x:c r="D79" s="31" t="n">
        <x:v>0</x:v>
      </x:c>
      <x:c r="E79" s="31" t="n">
        <x:f>C79-D79</x:f>
        <x:v>0</x:v>
      </x:c>
      <x:c r="F79" s="47" t="str">
        <x:f>IF(ABS(E79)&lt;0.000001,"PASS","FAIL")</x:f>
        <x:v>PASS</x:v>
      </x:c>
      <x:c r="G79" s="33" t="str">
        <x:v>blocked</x:v>
      </x:c>
    </x:row>
    <x:row r="80">
      <x:c r="B80" s="31" t="str">
        <x:v>C74 positive program boundary</x:v>
      </x:c>
      <x:c r="C80" s="31" t="n">
        <x:f>MIN('Program Cost'!D15:D17)</x:f>
        <x:v>933.2764</x:v>
      </x:c>
      <x:c r="D80" s="47" t="str">
        <x:v>&gt;0</x:v>
      </x:c>
      <x:c r="E80" s="31" t="n">
        <x:f>C80</x:f>
        <x:v>933.2764</x:v>
      </x:c>
      <x:c r="F80" s="47" t="str">
        <x:f>IF(C80&gt;0,"PASS","FAIL")</x:f>
        <x:v>PASS</x:v>
      </x:c>
      <x:c r="G80" s="33" t="str">
        <x:v>cost schedule active</x:v>
      </x:c>
    </x:row>
    <x:row r="81">
      <x:c r="B81" s="31" t="str">
        <x:v>C75 strict evidence</x:v>
      </x:c>
      <x:c r="C81" s="31" t="n">
        <x:f>COUNTIFS('Loss Worlds'!U7:U26,"PASS")</x:f>
        <x:v>0</x:v>
      </x:c>
      <x:c r="D81" s="31" t="n">
        <x:v>0</x:v>
      </x:c>
      <x:c r="E81" s="31" t="n">
        <x:f>C81-D81</x:f>
        <x:v>0</x:v>
      </x:c>
      <x:c r="F81" s="47" t="str">
        <x:f>IF(ABS(E81)&lt;0.000001,"PASS","FAIL")</x:f>
        <x:v>PASS</x:v>
      </x:c>
      <x:c r="G81" s="33" t="str">
        <x:v>no strict credit</x:v>
      </x:c>
    </x:row>
    <x:row r="82">
      <x:c r="B82" s="31" t="str">
        <x:v>C76 air interface records</x:v>
      </x:c>
      <x:c r="C82" s="31" t="n">
        <x:f>COUNTIFS('Air Load'!R7:R42,"I-A")</x:f>
        <x:v>36</x:v>
      </x:c>
      <x:c r="D82" s="31" t="n">
        <x:v>36</x:v>
      </x:c>
      <x:c r="E82" s="31" t="n">
        <x:f>C82-D82</x:f>
        <x:v>0</x:v>
      </x:c>
      <x:c r="F82" s="47" t="str">
        <x:f>IF(ABS(E82)&lt;0.000001,"PASS","FAIL")</x:f>
        <x:v>PASS</x:v>
      </x:c>
      <x:c r="G82" s="33" t="str">
        <x:v>separate implementation</x:v>
      </x:c>
    </x:row>
    <x:row r="83">
      <x:c r="B83" s="31" t="str">
        <x:v>C77 terrain interface records</x:v>
      </x:c>
      <x:c r="C83" s="31" t="n">
        <x:f>COUNTIFS('Terrain Load'!R7:R42,"I-B")</x:f>
        <x:v>36</x:v>
      </x:c>
      <x:c r="D83" s="31" t="n">
        <x:v>36</x:v>
      </x:c>
      <x:c r="E83" s="31" t="n">
        <x:f>C83-D83</x:f>
        <x:v>0</x:v>
      </x:c>
      <x:c r="F83" s="47" t="str">
        <x:f>IF(ABS(E83)&lt;0.000001,"PASS","FAIL")</x:f>
        <x:v>PASS</x:v>
      </x:c>
      <x:c r="G83" s="33" t="str">
        <x:v>separate implementation</x:v>
      </x:c>
    </x:row>
    <x:row r="84">
      <x:c r="B84" s="31" t="str">
        <x:v>C78 paired-node separation</x:v>
      </x:c>
      <x:c r="C84" s="31" t="n">
        <x:f>Bases!C27</x:f>
        <x:v>160</x:v>
      </x:c>
      <x:c r="D84" s="31" t="n">
        <x:v>160</x:v>
      </x:c>
      <x:c r="E84" s="31" t="n">
        <x:f>C84-D84</x:f>
        <x:v>0</x:v>
      </x:c>
      <x:c r="F84" s="47" t="str">
        <x:f>IF(ABS(E84)&lt;0.000001,"PASS","FAIL")</x:f>
        <x:v>PASS</x:v>
      </x:c>
      <x:c r="G84" s="33" t="str">
        <x:v>declared minimum km</x:v>
      </x:c>
    </x:row>
    <x:row r="85">
      <x:c r="B85" s="31" t="str">
        <x:v>C79 receiver entry zones</x:v>
      </x:c>
      <x:c r="C85" s="31" t="n">
        <x:f>SUM(Receiver!C7:D7)</x:f>
        <x:v>2</x:v>
      </x:c>
      <x:c r="D85" s="31" t="n">
        <x:v>2</x:v>
      </x:c>
      <x:c r="E85" s="31" t="n">
        <x:f>C85-D85</x:f>
        <x:v>0</x:v>
      </x:c>
      <x:c r="F85" s="47" t="str">
        <x:f>IF(ABS(E85)&lt;0.000001,"PASS","FAIL")</x:f>
        <x:v>PASS</x:v>
      </x:c>
      <x:c r="G85" s="33" t="str">
        <x:v>air and terrain</x:v>
      </x:c>
    </x:row>
    <x:row r="86">
      <x:c r="B86" s="38" t="str">
        <x:v>C80 receiver release teams</x:v>
      </x:c>
      <x:c r="C86" s="38" t="n">
        <x:f>SUM(Receiver!C18:D18)</x:f>
        <x:v>2</x:v>
      </x:c>
      <x:c r="D86" s="38" t="n">
        <x:v>2</x:v>
      </x:c>
      <x:c r="E86" s="38" t="n">
        <x:f>C86-D86</x:f>
        <x:v>0</x:v>
      </x:c>
      <x:c r="F86" s="50" t="str">
        <x:f>IF(ABS(E86)&lt;0.000001,"PASS","FAIL")</x:f>
        <x:v>PASS</x:v>
      </x:c>
      <x:c r="G86" s="40" t="str">
        <x:v>separate authorities</x:v>
      </x:c>
    </x:row>
    <x:row r="87">
      <x:c r="B87" s="2"/>
      <x:c r="C87" s="2"/>
      <x:c r="D87" s="2"/>
      <x:c r="E87" s="2"/>
      <x:c r="F87" s="2"/>
      <x:c r="G87" s="2"/>
    </x:row>
    <x:row r="88">
      <x:c r="B88" s="2"/>
      <x:c r="C88" s="2"/>
      <x:c r="D88" s="2"/>
      <x:c r="E88" s="2"/>
      <x:c r="F88" s="2"/>
      <x:c r="G88" s="2"/>
    </x:row>
    <x:row r="89">
      <x:c r="B89" s="2"/>
      <x:c r="C89" s="2"/>
      <x:c r="D89" s="2"/>
      <x:c r="E89" s="2"/>
      <x:c r="F89" s="2"/>
      <x:c r="G89" s="2"/>
    </x:row>
    <x:row r="90">
      <x:c r="B90" s="2"/>
      <x:c r="C90" s="2"/>
      <x:c r="D90" s="2"/>
      <x:c r="E90" s="2"/>
      <x:c r="F90" s="2"/>
      <x:c r="G90" s="2"/>
    </x:row>
    <x:row r="91">
      <x:c r="B91" s="2"/>
      <x:c r="C91" s="2"/>
      <x:c r="D91" s="2"/>
      <x:c r="E91" s="2"/>
      <x:c r="F91" s="2"/>
      <x:c r="G91" s="2"/>
    </x:row>
    <x:row r="92">
      <x:c r="B92" s="2"/>
      <x:c r="C92" s="2"/>
      <x:c r="D92" s="2"/>
      <x:c r="E92" s="2"/>
      <x:c r="F92" s="2"/>
      <x:c r="G92" s="2"/>
    </x:row>
    <x:row r="93">
      <x:c r="B93" s="2"/>
      <x:c r="C93" s="2"/>
      <x:c r="D93" s="2"/>
      <x:c r="E93" s="2"/>
      <x:c r="F93" s="2"/>
      <x:c r="G93" s="2"/>
    </x:row>
    <x:row r="94">
      <x:c r="B94" s="2"/>
      <x:c r="C94" s="2"/>
      <x:c r="D94" s="2"/>
      <x:c r="E94" s="2"/>
      <x:c r="F94" s="2"/>
      <x:c r="G94" s="2"/>
    </x:row>
    <x:row r="95">
      <x:c r="B95" s="2"/>
      <x:c r="C95" s="2"/>
      <x:c r="D95" s="2"/>
      <x:c r="E95" s="2"/>
      <x:c r="F95" s="2"/>
      <x:c r="G95" s="2"/>
    </x:row>
    <x:row r="96">
      <x:c r="B96" s="2"/>
      <x:c r="C96" s="2"/>
      <x:c r="D96" s="2"/>
      <x:c r="E96" s="2"/>
      <x:c r="F96" s="2"/>
      <x:c r="G96" s="2"/>
    </x:row>
  </x:sheetData>
  <x:conditionalFormatting sqref="F7:F86">
    <x:cfRule type="containsText" dxfId="5" priority="1" operator="containsText" text="FAIL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4" hidden="0" customWidth="1"/>
    <x:col min="3" max="3" width="120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</x:cols>
  <x:sheetData>
    <x:row r="2">
      <x:c r="B2" s="3" t="str">
        <x:v>How to read this configuration model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The workbook establishes a requirements envelope; it does not admit a vehicle or authorize rendering</x:v>
      </x:c>
      <x:c r="C3" s="4"/>
      <x:c r="D3" s="4"/>
      <x:c r="E3" s="4"/>
      <x:c r="F3" s="4"/>
      <x:c r="G3" s="4"/>
      <x:c r="H3" s="4"/>
      <x:c r="I3" s="4"/>
      <x:c r="J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8" t="str">
        <x:v>Decision boundary</x:v>
      </x:c>
      <x:c r="C6" s="9" t="str">
        <x:v>Decision boundary</x:v>
      </x:c>
      <x:c r="D6" s="9" t="str">
        <x:v>Decision boundary</x:v>
      </x:c>
      <x:c r="E6" s="9" t="str">
        <x:v>Decision boundary</x:v>
      </x:c>
      <x:c r="F6" s="9" t="str">
        <x:v>Decision boundary</x:v>
      </x:c>
      <x:c r="G6" s="9" t="str">
        <x:v>Decision boundary</x:v>
      </x:c>
      <x:c r="H6" s="9" t="str">
        <x:v>Decision boundary</x:v>
      </x:c>
      <x:c r="I6" s="9" t="str">
        <x:v>Decision boundary</x:v>
      </x:c>
      <x:c r="J6" s="10" t="str">
        <x:v>Decision boundary</x:v>
      </x:c>
    </x:row>
    <x:row r="7">
      <x:c r="B7" s="70" t="str">
        <x:v>Question</x:v>
      </x:c>
      <x:c r="C7" s="71" t="str">
        <x:v>Can the two 635 t DCP-2 cells be serialized, balanced, dispatched, received and reset as independent physical systems?</x:v>
      </x:c>
      <x:c r="D7" s="2"/>
      <x:c r="E7" s="2"/>
      <x:c r="F7" s="2"/>
      <x:c r="G7" s="2"/>
      <x:c r="H7" s="2"/>
      <x:c r="I7" s="2"/>
      <x:c r="J7" s="2"/>
    </x:row>
    <x:row r="8">
      <x:c r="B8" s="72" t="str">
        <x:v>Standard</x:v>
      </x:c>
      <x:c r="C8" s="31" t="str">
        <x:v>Thirty-two dry positions form four exact 145 t load blocks. Each cell adds four separately held 13.75 t wet packs.</x:v>
      </x:c>
      <x:c r="D8" s="2"/>
      <x:c r="E8" s="2"/>
      <x:c r="F8" s="2"/>
      <x:c r="G8" s="2"/>
      <x:c r="H8" s="2"/>
      <x:c r="I8" s="2"/>
      <x:c r="J8" s="2"/>
    </x:row>
    <x:row r="9">
      <x:c r="B9" s="72" t="str">
        <x:v>Carrier correction</x:v>
      </x:c>
      <x:c r="C9" s="31" t="str">
        <x:v>Five-percent payload reserve supersedes HBL-320 and ATUT-160 with rounded HBL-340 and ATUT-170 requirements.</x:v>
      </x:c>
      <x:c r="D9" s="2"/>
      <x:c r="E9" s="2"/>
      <x:c r="F9" s="2"/>
      <x:c r="G9" s="2"/>
      <x:c r="H9" s="2"/>
      <x:c r="I9" s="2"/>
      <x:c r="J9" s="2"/>
    </x:row>
    <x:row r="10">
      <x:c r="B10" s="72" t="str">
        <x:v>Air loading</x:v>
      </x:c>
      <x:c r="C10" s="31" t="str">
        <x:v>Two load blocks and two wet packs place 317.5 t on each HBL-340.</x:v>
      </x:c>
      <x:c r="D10" s="2"/>
      <x:c r="E10" s="2"/>
      <x:c r="F10" s="2"/>
      <x:c r="G10" s="2"/>
      <x:c r="H10" s="2"/>
      <x:c r="I10" s="2"/>
      <x:c r="J10" s="2"/>
    </x:row>
    <x:row r="11">
      <x:c r="B11" s="72" t="str">
        <x:v>Terrain loading</x:v>
      </x:c>
      <x:c r="C11" s="31" t="str">
        <x:v>One load block and one wet pack place 158.75 t on each ATUT-170.</x:v>
      </x:c>
      <x:c r="D11" s="2"/>
      <x:c r="E11" s="2"/>
      <x:c r="F11" s="2"/>
      <x:c r="G11" s="2"/>
      <x:c r="H11" s="2"/>
      <x:c r="I11" s="2"/>
      <x:c r="J11" s="2"/>
    </x:row>
    <x:row r="12">
      <x:c r="B12" s="72" t="str">
        <x:v>Assurance</x:v>
      </x:c>
      <x:c r="C12" s="31" t="str">
        <x:v>A vehicle loss makes one mode's cell incomplete. The complete cell in the other mode preserves the public effect.</x:v>
      </x:c>
      <x:c r="D12" s="2"/>
      <x:c r="E12" s="2"/>
      <x:c r="F12" s="2"/>
      <x:c r="G12" s="2"/>
      <x:c r="H12" s="2"/>
      <x:c r="I12" s="2"/>
      <x:c r="J12" s="2"/>
    </x:row>
    <x:row r="13">
      <x:c r="B13" s="72" t="str">
        <x:v>Receiver</x:v>
      </x:c>
      <x:c r="C13" s="31" t="str">
        <x:v>Air and terrain entry zones, interface implementations and release teams remain separate.</x:v>
      </x:c>
      <x:c r="D13" s="2"/>
      <x:c r="E13" s="2"/>
      <x:c r="F13" s="2"/>
      <x:c r="G13" s="2"/>
      <x:c r="H13" s="2"/>
      <x:c r="I13" s="2"/>
      <x:c r="J13" s="2"/>
    </x:row>
    <x:row r="14">
      <x:c r="B14" s="72" t="str">
        <x:v>Clock</x:v>
      </x:c>
      <x:c r="C14" s="31" t="str">
        <x:v>Region B activates at hour 6. Air releases service at absolute hour 48 and terrain at hour 51 against hour 54.</x:v>
      </x:c>
      <x:c r="D14" s="2"/>
      <x:c r="E14" s="2"/>
      <x:c r="F14" s="2"/>
      <x:c r="G14" s="2"/>
      <x:c r="H14" s="2"/>
      <x:c r="I14" s="2"/>
      <x:c r="J14" s="2"/>
    </x:row>
    <x:row r="15">
      <x:c r="B15" s="72" t="str">
        <x:v>Cost</x:v>
      </x:c>
      <x:c r="C15" s="31" t="str">
        <x:v>The configured package is compared with Pass 81. The remaining gap to full duplication is quarantined because the duplicate is not configured to the same depth.</x:v>
      </x:c>
      <x:c r="D15" s="2"/>
      <x:c r="E15" s="2"/>
      <x:c r="F15" s="2"/>
      <x:c r="G15" s="2"/>
      <x:c r="H15" s="2"/>
      <x:c r="I15" s="2"/>
      <x:c r="J15" s="2"/>
    </x:row>
    <x:row r="16">
      <x:c r="B16" s="72" t="str">
        <x:v>Evidence</x:v>
      </x:c>
      <x:c r="C16" s="31" t="str">
        <x:v>All sixty gates remain open. Behavior arithmetic supplies no current or strict readiness credit.</x:v>
      </x:c>
      <x:c r="D16" s="2"/>
      <x:c r="E16" s="2"/>
      <x:c r="F16" s="2"/>
      <x:c r="G16" s="2"/>
      <x:c r="H16" s="2"/>
      <x:c r="I16" s="2"/>
      <x:c r="J16" s="2"/>
    </x:row>
    <x:row r="17">
      <x:c r="B17" s="72" t="str">
        <x:v>Sources</x:v>
      </x:c>
      <x:c r="C17" s="31" t="str">
        <x:v>Only repository requirements and declared design hypotheses are used. No external-site research is introduced.</x:v>
      </x:c>
      <x:c r="D17" s="2"/>
      <x:c r="E17" s="2"/>
      <x:c r="F17" s="2"/>
      <x:c r="G17" s="2"/>
      <x:c r="H17" s="2"/>
      <x:c r="I17" s="2"/>
      <x:c r="J17" s="2"/>
    </x:row>
    <x:row r="18">
      <x:c r="B18" s="72" t="str">
        <x:v>Rendering</x:v>
      </x:c>
      <x:c r="C18" s="31" t="str">
        <x:v>Blocked until carrier structure, propulsion, mooring, terrain mobility and representative receiver trials establish exterior form.</x:v>
      </x:c>
      <x:c r="D18" s="2"/>
      <x:c r="E18" s="2"/>
      <x:c r="F18" s="2"/>
      <x:c r="G18" s="2"/>
      <x:c r="H18" s="2"/>
      <x:c r="I18" s="2"/>
      <x:c r="J18" s="2"/>
    </x:row>
    <x:row r="19">
      <x:c r="B19" s="73" t="str">
        <x:v>Next use</x:v>
      </x:c>
      <x:c r="C19" s="74" t="str">
        <x:v>Compete physical HBL-340 and ATUT-170 vehicle architectures, including tare mass, energy, range, weather, ground pressure, recovery and production.</x:v>
      </x:c>
      <x:c r="D19" s="2"/>
      <x:c r="E19" s="2"/>
      <x:c r="F19" s="2"/>
      <x:c r="G19" s="2"/>
      <x:c r="H19" s="2"/>
      <x:c r="I19" s="2"/>
      <x:c r="J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mergeCells>
    <x:mergeCell ref="B6:J6"/>
  </x:mergeCells>
  <x:pageMargins left="0.7" right="0.7" top="0.75" bottom="0.75" header="0.3" footer="0.3"/>
</x:worksheet>
</file>