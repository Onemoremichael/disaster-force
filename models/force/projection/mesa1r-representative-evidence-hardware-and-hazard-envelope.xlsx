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b7bc0b15a14b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9588b9c52444e37"/>
    <x:sheet xmlns:r="http://schemas.openxmlformats.org/officeDocument/2006/relationships" name="Assumptions" sheetId="2" r:id="R517550615b754673"/>
    <x:sheet xmlns:r="http://schemas.openxmlformats.org/officeDocument/2006/relationships" name="Reference Envelopes" sheetId="3" r:id="R3f22071e4b3c4130"/>
    <x:sheet xmlns:r="http://schemas.openxmlformats.org/officeDocument/2006/relationships" name="Air Tile Kit" sheetId="4" r:id="R9ac8f3bdb98e4a25"/>
    <x:sheet xmlns:r="http://schemas.openxmlformats.org/officeDocument/2006/relationships" name="Terrain Tile Kit" sheetId="5" r:id="R51cfd2d461384677"/>
    <x:sheet xmlns:r="http://schemas.openxmlformats.org/officeDocument/2006/relationships" name="Air Carrier Node" sheetId="6" r:id="R85967c5fe5c94fbf"/>
    <x:sheet xmlns:r="http://schemas.openxmlformats.org/officeDocument/2006/relationships" name="Terrain Carrier Node" sheetId="7" r:id="Rc04b83cbb7974de2"/>
    <x:sheet xmlns:r="http://schemas.openxmlformats.org/officeDocument/2006/relationships" name="Receiver Station" sheetId="8" r:id="Re757d49c2bed412d"/>
    <x:sheet xmlns:r="http://schemas.openxmlformats.org/officeDocument/2006/relationships" name="Power Endurance" sheetId="9" r:id="R56c771ee9a814f67"/>
    <x:sheet xmlns:r="http://schemas.openxmlformats.org/officeDocument/2006/relationships" name="Data Endurance" sheetId="10" r:id="R13259d1ce19d4895"/>
    <x:sheet xmlns:r="http://schemas.openxmlformats.org/officeDocument/2006/relationships" name="Clock Holdover" sheetId="11" r:id="R79f21da2d44a4f1c"/>
    <x:sheet xmlns:r="http://schemas.openxmlformats.org/officeDocument/2006/relationships" name="Soil Skin" sheetId="12" r:id="R83dc0f4e3e1e4dc6"/>
    <x:sheet xmlns:r="http://schemas.openxmlformats.org/officeDocument/2006/relationships" name="Prototype Campaign" sheetId="13" r:id="R6753de3776db464a"/>
    <x:sheet xmlns:r="http://schemas.openxmlformats.org/officeDocument/2006/relationships" name="F01 Reallocation" sheetId="14" r:id="R8e241f7c78194a13"/>
    <x:sheet xmlns:r="http://schemas.openxmlformats.org/officeDocument/2006/relationships" name="Decision Gates" sheetId="15" r:id="R1cc76576fee945d0"/>
    <x:sheet xmlns:r="http://schemas.openxmlformats.org/officeDocument/2006/relationships" name="Audit" sheetId="16" r:id="R4887b2f4d4584eae"/>
    <x:sheet xmlns:r="http://schemas.openxmlformats.org/officeDocument/2006/relationships" name="ReadMe" sheetId="17" r:id="R50b7129bab1045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00"/>
  </x:numFmts>
  <x:fonts count="7">
    <x:font>
      <x:sz val="11"/>
      <x:name val="Carlito"/>
    </x:font>
    <x:font>
      <x:sz val="10"/>
      <x:color rgb="FF1F2933"/>
      <x:name val="Arial"/>
    </x:font>
    <x:font>
      <x:b/>
      <x:sz val="15"/>
      <x:color rgb="FF17324D"/>
      <x:name val="Arial"/>
    </x:font>
    <x:font>
      <x:i/>
      <x:sz val="10"/>
      <x:color rgb="FF52636F"/>
      <x:name val="Arial"/>
    </x:font>
    <x:font>
      <x:b/>
      <x:sz val="10"/>
      <x:color rgb="FF17324D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CEAF4"/>
      </x:patternFill>
    </x:fill>
    <x:fill>
      <x:patternFill patternType="solid">
        <x:fgColor rgb="FF17324D"/>
      </x:patternFill>
    </x:fill>
    <x:fill>
      <x:patternFill patternType="solid">
        <x:fgColor rgb="FFFFF2CC"/>
      </x:patternFill>
    </x:fill>
  </x:fills>
  <x:borders count="14">
    <x:border/>
    <x:border>
      <x:bottom style="thin">
        <x:color rgb="FF17324D"/>
      </x:bottom>
    </x:border>
    <x:border>
      <x:left style="thin">
        <x:color rgb="FFAEBBC5"/>
      </x:left>
      <x:top style="thin">
        <x:color rgb="FFAEBBC5"/>
      </x:top>
      <x:bottom style="thin">
        <x:color rgb="FFAEBBC5"/>
      </x:bottom>
    </x:border>
    <x:border>
      <x:top style="thin">
        <x:color rgb="FFAEBBC5"/>
      </x:top>
      <x:bottom style="thin">
        <x:color rgb="FFAEBBC5"/>
      </x:bottom>
    </x:border>
    <x:border>
      <x:right style="thin">
        <x:color rgb="FFAEBBC5"/>
      </x:right>
      <x:top style="thin">
        <x:color rgb="FFAEBBC5"/>
      </x:top>
      <x:bottom style="thin">
        <x:color rgb="FFAEBBC5"/>
      </x:bottom>
    </x:border>
    <x:border>
      <x:right style="thin">
        <x:color rgb="FFFFFFFF"/>
      </x:right>
      <x:bottom style="thin">
        <x:color rgb="FF17324D"/>
      </x:bottom>
    </x:border>
    <x:border>
      <x:left style="thin">
        <x:color rgb="FFFFFFFF"/>
      </x:left>
      <x:right style="thin">
        <x:color rgb="FFFFFFFF"/>
      </x:right>
      <x:bottom style="thin">
        <x:color rgb="FF17324D"/>
      </x:bottom>
    </x:border>
    <x:border>
      <x:left style="thin">
        <x:color rgb="FFFFFFFF"/>
      </x:left>
      <x:bottom style="thin">
        <x:color rgb="FF17324D"/>
      </x:bottom>
    </x:border>
    <x:border>
      <x:right style="thin">
        <x:color rgb="FFFFFFFF"/>
      </x:right>
      <x:bottom style="thin">
        <x:color rgb="FFD8E0E5"/>
      </x:bottom>
    </x:border>
    <x:border>
      <x:left style="thin">
        <x:color rgb="FFFFFFFF"/>
      </x:left>
      <x:right style="thin">
        <x:color rgb="FFFFFFFF"/>
      </x:right>
      <x:bottom style="thin">
        <x:color rgb="FFD8E0E5"/>
      </x:bottom>
    </x:border>
    <x:border>
      <x:top style="thin">
        <x:color rgb="FFD8E0E5"/>
      </x:top>
      <x:bottom style="thin">
        <x:color rgb="FFD8E0E5"/>
      </x:bottom>
    </x:border>
    <x:border>
      <x:right style="thin">
        <x:color rgb="FFFFFFFF"/>
      </x:right>
      <x:top style="thin">
        <x:color rgb="FFD8E0E5"/>
      </x:top>
      <x:bottom style="thin">
        <x:color rgb="FFD8E0E5"/>
      </x:bottom>
    </x:border>
    <x:border>
      <x:top style="thin">
        <x:color rgb="FFD8E0E5"/>
      </x:top>
      <x:bottom style="thin">
        <x:color rgb="FF17324D"/>
      </x:bottom>
    </x:border>
    <x:border>
      <x:right style="thin">
        <x:color rgb="FFFFFFFF"/>
      </x:right>
      <x:top style="thin">
        <x:color rgb="FFD8E0E5"/>
      </x:top>
      <x:bottom style="thin">
        <x:color rgb="FF17324D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vertical="center" wrapText="1"/>
    </x:xf>
    <x:xf numFmtId="0" fontId="5" fillId="3" borderId="6" xfId="0" applyNumberFormat="1" applyFont="1" applyFill="1" applyBorder="1" applyAlignment="1">
      <x:alignment vertical="center" wrapText="1"/>
    </x:xf>
    <x:xf numFmtId="0" fontId="5" fillId="3" borderId="7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5" fillId="3" borderId="6" xfId="0" applyNumberFormat="1" applyFont="1" applyFill="1" applyBorder="1" applyAlignment="1">
      <x:alignment horizontal="center" vertical="center" wrapText="1"/>
    </x:xf>
    <x:xf numFmtId="0" fontId="5" fillId="3" borderId="7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200" fontId="6" fillId="4" borderId="0" xfId="0" applyNumberFormat="1" applyFont="1" applyFill="1" applyBorder="1" applyAlignment="1">
      <x:alignment vertical="center" wrapText="1"/>
    </x:xf>
    <x:xf numFmtId="0" fontId="5" fillId="3" borderId="8" xfId="0" applyNumberFormat="1" applyFont="1" applyFill="1" applyBorder="1" applyAlignment="1">
      <x:alignment horizontal="center" vertical="center" wrapText="1"/>
    </x:xf>
    <x:xf numFmtId="0" fontId="5" fillId="3" borderId="9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6" fillId="4" borderId="10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center" wrapText="1"/>
    </x:xf>
    <x:xf numFmtId="200" fontId="6" fillId="4" borderId="10" xfId="0" applyNumberFormat="1" applyFont="1" applyFill="1" applyBorder="1" applyAlignment="1">
      <x:alignment vertical="center" wrapText="1"/>
    </x:xf>
    <x:xf numFmtId="0" fontId="1" fillId="0" borderId="12" xfId="0" applyNumberFormat="1" applyFont="1" applyFill="1" applyBorder="1" applyAlignment="1">
      <x:alignment vertical="center" wrapText="1"/>
    </x:xf>
    <x:xf numFmtId="0" fontId="6" fillId="4" borderId="12" xfId="0" applyNumberFormat="1" applyFont="1" applyFill="1" applyBorder="1" applyAlignment="1">
      <x:alignment vertical="center" wrapText="1"/>
    </x:xf>
    <x:xf numFmtId="0" fontId="1" fillId="0" borderId="13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10" xfId="0" applyNumberFormat="1" applyFont="1" applyFill="1" applyBorder="1" applyAlignment="1">
      <x:alignment vertical="center" wrapText="1"/>
    </x:xf>
    <x:xf numFmtId="200" fontId="1" fillId="0" borderId="12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10" xfId="0" applyNumberFormat="1" applyFont="1" applyFill="1" applyBorder="1" applyAlignment="1">
      <x:alignment vertical="center" wrapText="1"/>
    </x:xf>
    <x:xf numFmtId="201" fontId="1" fillId="0" borderId="1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60"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fb2727c54b4f9f" /><Relationship Type="http://schemas.openxmlformats.org/officeDocument/2006/relationships/theme" Target="/xl/theme/theme1.xml" Id="R3fe9199cfbe2429f" /><Relationship Type="http://schemas.openxmlformats.org/officeDocument/2006/relationships/sharedStrings" Target="/xl/sharedStrings.xml" Id="Rb0c82ea5f4c944e1" /><Relationship Type="http://schemas.openxmlformats.org/officeDocument/2006/relationships/worksheet" Target="/xl/worksheets/sheet1.xml" Id="R39588b9c52444e37" /><Relationship Type="http://schemas.openxmlformats.org/officeDocument/2006/relationships/worksheet" Target="/xl/worksheets/sheet2.xml" Id="R517550615b754673" /><Relationship Type="http://schemas.openxmlformats.org/officeDocument/2006/relationships/worksheet" Target="/xl/worksheets/sheet3.xml" Id="R3f22071e4b3c4130" /><Relationship Type="http://schemas.openxmlformats.org/officeDocument/2006/relationships/worksheet" Target="/xl/worksheets/sheet4.xml" Id="R9ac8f3bdb98e4a25" /><Relationship Type="http://schemas.openxmlformats.org/officeDocument/2006/relationships/worksheet" Target="/xl/worksheets/sheet5.xml" Id="R51cfd2d461384677" /><Relationship Type="http://schemas.openxmlformats.org/officeDocument/2006/relationships/worksheet" Target="/xl/worksheets/sheet6.xml" Id="R85967c5fe5c94fbf" /><Relationship Type="http://schemas.openxmlformats.org/officeDocument/2006/relationships/worksheet" Target="/xl/worksheets/sheet7.xml" Id="Rc04b83cbb7974de2" /><Relationship Type="http://schemas.openxmlformats.org/officeDocument/2006/relationships/worksheet" Target="/xl/worksheets/sheet8.xml" Id="Re757d49c2bed412d" /><Relationship Type="http://schemas.openxmlformats.org/officeDocument/2006/relationships/worksheet" Target="/xl/worksheets/sheet9.xml" Id="R56c771ee9a814f67" /><Relationship Type="http://schemas.openxmlformats.org/officeDocument/2006/relationships/worksheet" Target="/xl/worksheets/sheet10.xml" Id="R13259d1ce19d4895" /><Relationship Type="http://schemas.openxmlformats.org/officeDocument/2006/relationships/worksheet" Target="/xl/worksheets/sheet11.xml" Id="R79f21da2d44a4f1c" /><Relationship Type="http://schemas.openxmlformats.org/officeDocument/2006/relationships/worksheet" Target="/xl/worksheets/sheet12.xml" Id="R83dc0f4e3e1e4dc6" /><Relationship Type="http://schemas.openxmlformats.org/officeDocument/2006/relationships/worksheet" Target="/xl/worksheets/sheet13.xml" Id="R6753de3776db464a" /><Relationship Type="http://schemas.openxmlformats.org/officeDocument/2006/relationships/worksheet" Target="/xl/worksheets/sheet14.xml" Id="R8e241f7c78194a13" /><Relationship Type="http://schemas.openxmlformats.org/officeDocument/2006/relationships/worksheet" Target="/xl/worksheets/sheet15.xml" Id="R1cc76576fee945d0" /><Relationship Type="http://schemas.openxmlformats.org/officeDocument/2006/relationships/worksheet" Target="/xl/worksheets/sheet16.xml" Id="R4887b2f4d4584eae" /><Relationship Type="http://schemas.openxmlformats.org/officeDocument/2006/relationships/worksheet" Target="/xl/worksheets/sheet17.xml" Id="R50b7129bab1045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2" max="2" width="35" hidden="0" customWidth="1"/>
    <x:col min="3" max="3" width="91" hidden="0" customWidth="1"/>
    <x:col min="4" max="4" width="16" hidden="0" customWidth="1"/>
    <x:col min="5" max="5" width="16" hidden="0" customWidth="1"/>
    <x:col min="6" max="6" width="36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2" ht="18" customHeight="1">
      <x:c r="B2" s="4" t="str">
        <x:v>MESA-1R representative evidence hardware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18" customHeight="1">
      <x:c r="B3" s="5" t="str">
        <x:v>Current answer: measurement hardware consumes physical margin and must be designed as part of the article and carrier test configuration</x:v>
      </x:c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 ht="18" customHeight="1"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</x:row>
    <x:row r="5" ht="18" customHeight="1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</x:row>
    <x:row r="6" ht="18" customHeight="1">
      <x:c r="B6" s="9" t="str">
        <x:v>Executive decision record</x:v>
      </x:c>
      <x:c r="C6" s="10" t="str">
        <x:v>Executive decision record</x:v>
      </x:c>
      <x:c r="D6" s="10" t="str">
        <x:v>Executive decision record</x:v>
      </x:c>
      <x:c r="E6" s="10" t="str">
        <x:v>Executive decision record</x:v>
      </x:c>
      <x:c r="F6" s="10" t="str">
        <x:v>Executive decision record</x:v>
      </x:c>
      <x:c r="G6" s="10" t="str">
        <x:v>Executive decision record</x:v>
      </x:c>
      <x:c r="H6" s="10" t="str">
        <x:v>Executive decision record</x:v>
      </x:c>
      <x:c r="I6" s="10" t="str">
        <x:v>Executive decision record</x:v>
      </x:c>
      <x:c r="J6" s="10" t="str">
        <x:v>Executive decision record</x:v>
      </x:c>
      <x:c r="K6" s="10" t="str">
        <x:v>Executive decision record</x:v>
      </x:c>
      <x:c r="L6" s="10" t="str">
        <x:v>Executive decision record</x:v>
      </x:c>
      <x:c r="M6" s="10" t="str">
        <x:v>Executive decision record</x:v>
      </x:c>
      <x:c r="N6" s="11" t="str">
        <x:v>Executive decision record</x:v>
      </x:c>
    </x:row>
    <x:row r="7" ht="18" customHeight="1">
      <x:c r="B7" s="17" t="str">
        <x:v>Question</x:v>
      </x:c>
      <x:c r="C7" s="18" t="str">
        <x:v>Current answer</x:v>
      </x:c>
      <x:c r="D7" s="18" t="str">
        <x:v>Model state</x:v>
      </x:c>
      <x:c r="E7" s="18" t="str">
        <x:v>Evidence state</x:v>
      </x:c>
      <x:c r="F7" s="19" t="str">
        <x:v>Consequence</x:v>
      </x:c>
      <x:c r="G7" s="3"/>
      <x:c r="H7" s="3"/>
      <x:c r="I7" s="3"/>
      <x:c r="J7" s="3"/>
      <x:c r="K7" s="3"/>
      <x:c r="L7" s="3"/>
      <x:c r="M7" s="3"/>
      <x:c r="N7" s="3"/>
    </x:row>
    <x:row r="8" ht="30" customHeight="1">
      <x:c r="B8" s="3" t="str">
        <x:v>What is selected?</x:v>
      </x:c>
      <x:c r="C8" s="3" t="str">
        <x:v>Mode-specific evidence cassettes and truth nodes with seven-day independent power and local storage</x:v>
      </x:c>
      <x:c r="D8" s="3" t="str">
        <x:v>PASS</x:v>
      </x:c>
      <x:c r="E8" s="3" t="str">
        <x:v>OPEN</x:v>
      </x:c>
      <x:c r="F8" s="3" t="str">
        <x:v>representative hardware allocation selected; packaging is not</x:v>
      </x:c>
      <x:c r="G8" s="3"/>
      <x:c r="H8" s="3"/>
      <x:c r="I8" s="3"/>
      <x:c r="J8" s="3"/>
      <x:c r="K8" s="3"/>
      <x:c r="L8" s="3"/>
      <x:c r="M8" s="3"/>
      <x:c r="N8" s="3"/>
    </x:row>
    <x:row r="9" ht="30" customHeight="1">
      <x:c r="B9" s="3" t="str">
        <x:v>Did the 75 kg tile placeholder survive?</x:v>
      </x:c>
      <x:c r="C9" s="3" t="str">
        <x:v>No. Air requires 110 kg and terrain 135 kg, both inside the smallest 550 kg certified family allowance</x:v>
      </x:c>
      <x:c r="D9" s="3" t="str">
        <x:v>PASS</x:v>
      </x:c>
      <x:c r="E9" s="3" t="str">
        <x:v>OPEN</x:v>
      </x:c>
      <x:c r="F9" s="3" t="str">
        <x:v>tile certified mass need not change</x:v>
      </x:c>
      <x:c r="G9" s="3"/>
      <x:c r="H9" s="3"/>
      <x:c r="I9" s="3"/>
      <x:c r="J9" s="3"/>
      <x:c r="K9" s="3"/>
      <x:c r="L9" s="3"/>
      <x:c r="M9" s="3"/>
      <x:c r="N9" s="3"/>
    </x:row>
    <x:row r="10" ht="30" customHeight="1">
      <x:c r="B10" s="3" t="str">
        <x:v>Did the 350 kg carrier placeholder survive?</x:v>
      </x:c>
      <x:c r="C10" s="3" t="str">
        <x:v>No. Air requires 1.2 t; terrain requires 2.6 t including 285 m2 of pressure skin</x:v>
      </x:c>
      <x:c r="D10" s="3" t="str">
        <x:v>PASS</x:v>
      </x:c>
      <x:c r="E10" s="3" t="str">
        <x:v>OPEN</x:v>
      </x:c>
      <x:c r="F10" s="3" t="str">
        <x:v>instrumented carrier gross must be corrected</x:v>
      </x:c>
      <x:c r="G10" s="3"/>
      <x:c r="H10" s="3"/>
      <x:c r="I10" s="3"/>
      <x:c r="J10" s="3"/>
      <x:c r="K10" s="3"/>
      <x:c r="L10" s="3"/>
      <x:c r="M10" s="3"/>
      <x:c r="N10" s="3"/>
    </x:row>
    <x:row r="11" ht="30" customHeight="1">
      <x:c r="B11" s="3" t="str">
        <x:v>What happens to terrain pressure?</x:v>
      </x:c>
      <x:c r="C11" s="3" t="str">
        <x:v>Test mass raises modeled pressure; revised U95 must fall to approximately 0.129 kPa</x:v>
      </x:c>
      <x:c r="D11" s="3" t="str">
        <x:v>PASS</x:v>
      </x:c>
      <x:c r="E11" s="3" t="str">
        <x:v>OPEN</x:v>
      </x:c>
      <x:c r="F11" s="3" t="str">
        <x:v>measurement can consume the margin it is meant to prove</x:v>
      </x:c>
      <x:c r="G11" s="3"/>
      <x:c r="H11" s="3"/>
      <x:c r="I11" s="3"/>
      <x:c r="J11" s="3"/>
      <x:c r="K11" s="3"/>
      <x:c r="L11" s="3"/>
      <x:c r="M11" s="3"/>
      <x:c r="N11" s="3"/>
    </x:row>
    <x:row r="12" ht="30" customHeight="1">
      <x:c r="B12" s="3" t="str">
        <x:v>Can nodes survive isolation?</x:v>
      </x:c>
      <x:c r="C12" s="3" t="str">
        <x:v>All five node allocations carry 168 hours of energy with 25 percent reserve and complete local storage</x:v>
      </x:c>
      <x:c r="D12" s="3" t="str">
        <x:v>PASS</x:v>
      </x:c>
      <x:c r="E12" s="3" t="str">
        <x:v>OPEN</x:v>
      </x:c>
      <x:c r="F12" s="3" t="str">
        <x:v>mission power and network remain prohibited</x:v>
      </x:c>
      <x:c r="G12" s="3"/>
      <x:c r="H12" s="3"/>
      <x:c r="I12" s="3"/>
      <x:c r="J12" s="3"/>
      <x:c r="K12" s="3"/>
      <x:c r="L12" s="3"/>
      <x:c r="M12" s="3"/>
      <x:c r="N12" s="3"/>
    </x:row>
    <x:row r="13" ht="30" customHeight="1">
      <x:c r="B13" s="3" t="str">
        <x:v>What is the soil truth system?</x:v>
      </x:c>
      <x:c r="C13" s="3" t="str">
        <x:v>4,560 cells and 18,240 registered channels across twelve contact pods plus optical and geotechnical witnesses</x:v>
      </x:c>
      <x:c r="D13" s="3" t="str">
        <x:v>PASS</x:v>
      </x:c>
      <x:c r="E13" s="3" t="str">
        <x:v>OPEN</x:v>
      </x:c>
      <x:c r="F13" s="3" t="str">
        <x:v>foot load cells remain insufficient</x:v>
      </x:c>
      <x:c r="G13" s="3"/>
      <x:c r="H13" s="3"/>
      <x:c r="I13" s="3"/>
      <x:c r="J13" s="3"/>
      <x:c r="K13" s="3"/>
      <x:c r="L13" s="3"/>
      <x:c r="M13" s="3"/>
      <x:c r="N13" s="3"/>
    </x:row>
    <x:row r="14" ht="30" customHeight="1">
      <x:c r="B14" s="3" t="str">
        <x:v>What is the prototype program?</x:v>
      </x:c>
      <x:c r="C14" s="3" t="str">
        <x:v>Eight campaigns, 68 trials and 64 evidence gates over a USD 6.8B nested subportfolio</x:v>
      </x:c>
      <x:c r="D14" s="3" t="str">
        <x:v>PASS</x:v>
      </x:c>
      <x:c r="E14" s="3" t="str">
        <x:v>OPEN</x:v>
      </x:c>
      <x:c r="F14" s="3" t="str">
        <x:v>zero evidence credit until execution</x:v>
      </x:c>
      <x:c r="G14" s="3"/>
      <x:c r="H14" s="3"/>
      <x:c r="I14" s="3"/>
      <x:c r="J14" s="3"/>
      <x:c r="K14" s="3"/>
      <x:c r="L14" s="3"/>
      <x:c r="M14" s="3"/>
      <x:c r="N14" s="3"/>
    </x:row>
    <x:row r="15" ht="30" customHeight="1">
      <x:c r="B15" s="3" t="str">
        <x:v>Does F01 change?</x:v>
      </x:c>
      <x:c r="C15" s="3" t="str">
        <x:v>No. Mode-specific equipment reallocates the existing USD 24B metrology family</x:v>
      </x:c>
      <x:c r="D15" s="3" t="str">
        <x:v>PASS</x:v>
      </x:c>
      <x:c r="E15" s="3" t="str">
        <x:v>OPEN</x:v>
      </x:c>
      <x:c r="F15" s="3" t="str">
        <x:v>reopen only after awarded work exceeds a line</x:v>
      </x:c>
      <x:c r="G15" s="3"/>
      <x:c r="H15" s="3"/>
      <x:c r="I15" s="3"/>
      <x:c r="J15" s="3"/>
      <x:c r="K15" s="3"/>
      <x:c r="L15" s="3"/>
      <x:c r="M15" s="3"/>
      <x:c r="N15" s="3"/>
    </x:row>
    <x:row r="16" ht="30" customHeight="1">
      <x:c r="B16" s="3" t="str">
        <x:v>May production start?</x:v>
      </x:c>
      <x:c r="C16" s="3" t="str">
        <x:v>No</x:v>
      </x:c>
      <x:c r="D16" s="3" t="str">
        <x:v>PASS</x:v>
      </x:c>
      <x:c r="E16" s="3" t="str">
        <x:v>OPEN</x:v>
      </x:c>
      <x:c r="F16" s="3" t="str">
        <x:v>production HOLD</x:v>
      </x:c>
      <x:c r="G16" s="3"/>
      <x:c r="H16" s="3"/>
      <x:c r="I16" s="3"/>
      <x:c r="J16" s="3"/>
      <x:c r="K16" s="3"/>
      <x:c r="L16" s="3"/>
      <x:c r="M16" s="3"/>
      <x:c r="N16" s="3"/>
    </x:row>
    <x:row r="17" ht="30" customHeight="1">
      <x:c r="B17" s="3" t="str">
        <x:v>May rendering start?</x:v>
      </x:c>
      <x:c r="C17" s="3" t="str">
        <x:v>No</x:v>
      </x:c>
      <x:c r="D17" s="3" t="str">
        <x:v>PASS</x:v>
      </x:c>
      <x:c r="E17" s="3" t="str">
        <x:v>OPEN</x:v>
      </x:c>
      <x:c r="F17" s="3" t="str">
        <x:v>rendering BLOCKED</x:v>
      </x:c>
      <x:c r="G17" s="3"/>
      <x:c r="H17" s="3"/>
      <x:c r="I17" s="3"/>
      <x:c r="J17" s="3"/>
      <x:c r="K17" s="3"/>
      <x:c r="L17" s="3"/>
      <x:c r="M17" s="3"/>
      <x:c r="N17" s="3"/>
    </x:row>
    <x:row r="18" ht="18" customHeight="1"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</x:row>
    <x:row r="19" ht="18" customHeight="1"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</x:row>
    <x:row r="20" ht="18" customHeight="1">
      <x:c r="B20" s="9" t="str">
        <x:v>Derived control quantities</x:v>
      </x:c>
      <x:c r="C20" s="10" t="str">
        <x:v>Derived control quantities</x:v>
      </x:c>
      <x:c r="D20" s="10" t="str">
        <x:v>Derived control quantities</x:v>
      </x:c>
      <x:c r="E20" s="10" t="str">
        <x:v>Derived control quantities</x:v>
      </x:c>
      <x:c r="F20" s="10" t="str">
        <x:v>Derived control quantities</x:v>
      </x:c>
      <x:c r="G20" s="10" t="str">
        <x:v>Derived control quantities</x:v>
      </x:c>
      <x:c r="H20" s="10" t="str">
        <x:v>Derived control quantities</x:v>
      </x:c>
      <x:c r="I20" s="10" t="str">
        <x:v>Derived control quantities</x:v>
      </x:c>
      <x:c r="J20" s="10" t="str">
        <x:v>Derived control quantities</x:v>
      </x:c>
      <x:c r="K20" s="10" t="str">
        <x:v>Derived control quantities</x:v>
      </x:c>
      <x:c r="L20" s="10" t="str">
        <x:v>Derived control quantities</x:v>
      </x:c>
      <x:c r="M20" s="10" t="str">
        <x:v>Derived control quantities</x:v>
      </x:c>
      <x:c r="N20" s="11" t="str">
        <x:v>Derived control quantities</x:v>
      </x:c>
    </x:row>
    <x:row r="21" ht="18" customHeight="1">
      <x:c r="B21" s="17" t="str">
        <x:v>Measure</x:v>
      </x:c>
      <x:c r="C21" s="18" t="str">
        <x:v>Value</x:v>
      </x:c>
      <x:c r="D21" s="18" t="str">
        <x:v>Unit</x:v>
      </x:c>
      <x:c r="E21" s="18" t="str">
        <x:v>Control</x:v>
      </x:c>
      <x:c r="F21" s="19" t="str">
        <x:v>Result</x:v>
      </x:c>
      <x:c r="G21" s="3"/>
      <x:c r="H21" s="3"/>
      <x:c r="I21" s="3"/>
      <x:c r="J21" s="3"/>
      <x:c r="K21" s="3"/>
      <x:c r="L21" s="3"/>
      <x:c r="M21" s="3"/>
      <x:c r="N21" s="3"/>
    </x:row>
    <x:row r="22" ht="18" customHeight="1">
      <x:c r="B22" s="3" t="str">
        <x:v>Air tile cassette</x:v>
      </x:c>
      <x:c r="C22" s="3" t="n">
        <x:f>'Air Tile Kit'!C17</x:f>
        <x:v>110</x:v>
      </x:c>
      <x:c r="D22" s="3" t="str">
        <x:v>kg</x:v>
      </x:c>
      <x:c r="E22" s="3" t="n">
        <x:v>110</x:v>
      </x:c>
      <x:c r="F22" s="3" t="str">
        <x:f>IF(C22=E22,"PASS","FAIL")</x:f>
        <x:v>PASS</x:v>
      </x:c>
      <x:c r="G22" s="3"/>
      <x:c r="H22" s="3"/>
      <x:c r="I22" s="3"/>
      <x:c r="J22" s="3"/>
      <x:c r="K22" s="3"/>
      <x:c r="L22" s="3"/>
      <x:c r="M22" s="3"/>
      <x:c r="N22" s="3"/>
    </x:row>
    <x:row r="23" ht="18" customHeight="1">
      <x:c r="B23" s="3" t="str">
        <x:v>Terrain tile cassette</x:v>
      </x:c>
      <x:c r="C23" s="3" t="n">
        <x:f>'Terrain Tile Kit'!C19</x:f>
        <x:v>135</x:v>
      </x:c>
      <x:c r="D23" s="3" t="str">
        <x:v>kg</x:v>
      </x:c>
      <x:c r="E23" s="3" t="n">
        <x:v>135</x:v>
      </x:c>
      <x:c r="F23" s="3" t="str">
        <x:f>IF(C23=E23,"PASS","FAIL")</x:f>
        <x:v>PASS</x:v>
      </x:c>
      <x:c r="G23" s="3"/>
      <x:c r="H23" s="3"/>
      <x:c r="I23" s="3"/>
      <x:c r="J23" s="3"/>
      <x:c r="K23" s="3"/>
      <x:c r="L23" s="3"/>
      <x:c r="M23" s="3"/>
      <x:c r="N23" s="3"/>
    </x:row>
    <x:row r="24" ht="18" customHeight="1">
      <x:c r="B24" s="3" t="str">
        <x:v>Air carrier truth node</x:v>
      </x:c>
      <x:c r="C24" s="3" t="n">
        <x:f>'Air Carrier Node'!C16</x:f>
        <x:v>1199.9999999999998</x:v>
      </x:c>
      <x:c r="D24" s="3" t="str">
        <x:v>kg</x:v>
      </x:c>
      <x:c r="E24" s="3" t="n">
        <x:v>1200</x:v>
      </x:c>
      <x:c r="F24" s="3" t="str">
        <x:f>IF(C24=E24,"PASS","FAIL")</x:f>
        <x:v>PASS</x:v>
      </x:c>
      <x:c r="G24" s="3"/>
      <x:c r="H24" s="3"/>
      <x:c r="I24" s="3"/>
      <x:c r="J24" s="3"/>
      <x:c r="K24" s="3"/>
      <x:c r="L24" s="3"/>
      <x:c r="M24" s="3"/>
      <x:c r="N24" s="3"/>
    </x:row>
    <x:row r="25" ht="18" customHeight="1">
      <x:c r="B25" s="3" t="str">
        <x:v>Terrain carrier truth node</x:v>
      </x:c>
      <x:c r="C25" s="3" t="n">
        <x:f>'Terrain Carrier Node'!C17</x:f>
        <x:v>2600</x:v>
      </x:c>
      <x:c r="D25" s="3" t="str">
        <x:v>kg</x:v>
      </x:c>
      <x:c r="E25" s="3" t="n">
        <x:v>2600</x:v>
      </x:c>
      <x:c r="F25" s="3" t="str">
        <x:f>IF(C25=E25,"PASS","FAIL")</x:f>
        <x:v>PASS</x:v>
      </x:c>
      <x:c r="G25" s="3"/>
      <x:c r="H25" s="3"/>
      <x:c r="I25" s="3"/>
      <x:c r="J25" s="3"/>
      <x:c r="K25" s="3"/>
      <x:c r="L25" s="3"/>
      <x:c r="M25" s="3"/>
      <x:c r="N25" s="3"/>
    </x:row>
    <x:row r="26" ht="18" customHeight="1">
      <x:c r="B26" s="3" t="str">
        <x:v>Receiver truth station</x:v>
      </x:c>
      <x:c r="C26" s="3" t="n">
        <x:f>'Receiver Station'!C17</x:f>
        <x:v>2800</x:v>
      </x:c>
      <x:c r="D26" s="3" t="str">
        <x:v>kg</x:v>
      </x:c>
      <x:c r="E26" s="3" t="n">
        <x:v>2800</x:v>
      </x:c>
      <x:c r="F26" s="3" t="str">
        <x:f>IF(C26=E26,"PASS","FAIL")</x:f>
        <x:v>PASS</x:v>
      </x:c>
      <x:c r="G26" s="3"/>
      <x:c r="H26" s="3"/>
      <x:c r="I26" s="3"/>
      <x:c r="J26" s="3"/>
      <x:c r="K26" s="3"/>
      <x:c r="L26" s="3"/>
      <x:c r="M26" s="3"/>
      <x:c r="N26" s="3"/>
    </x:row>
    <x:row r="27" ht="18" customHeight="1">
      <x:c r="B27" s="3" t="str">
        <x:v>Instrumented terrain gross</x:v>
      </x:c>
      <x:c r="C27" s="3" t="n">
        <x:f>'Reference Envelopes'!C19</x:f>
        <x:v>723.7859999249999</x:v>
      </x:c>
      <x:c r="D27" s="3" t="str">
        <x:v>t</x:v>
      </x:c>
      <x:c r="E27" s="3" t="n">
        <x:v>0</x:v>
      </x:c>
      <x:c r="F27" s="3" t="str">
        <x:f>IF(C27&gt;0,"PASS","FAIL")</x:f>
        <x:v>PASS</x:v>
      </x:c>
      <x:c r="G27" s="3"/>
      <x:c r="H27" s="3"/>
      <x:c r="I27" s="3"/>
      <x:c r="J27" s="3"/>
      <x:c r="K27" s="3"/>
      <x:c r="L27" s="3"/>
      <x:c r="M27" s="3"/>
      <x:c r="N27" s="3"/>
    </x:row>
    <x:row r="28" ht="18" customHeight="1">
      <x:c r="B28" s="3" t="str">
        <x:v>Instrumented terrain pressure</x:v>
      </x:c>
      <x:c r="C28" s="3" t="n">
        <x:f>'Reference Envelopes'!C20</x:f>
        <x:v>34.38359770340576</x:v>
      </x:c>
      <x:c r="D28" s="3" t="str">
        <x:v>kPa</x:v>
      </x:c>
      <x:c r="E28" s="3" t="n">
        <x:v>0</x:v>
      </x:c>
      <x:c r="F28" s="3" t="str">
        <x:f>IF(C28&gt;0,"PASS","FAIL")</x:f>
        <x:v>PASS</x:v>
      </x:c>
      <x:c r="G28" s="3"/>
      <x:c r="H28" s="3"/>
      <x:c r="I28" s="3"/>
      <x:c r="J28" s="3"/>
      <x:c r="K28" s="3"/>
      <x:c r="L28" s="3"/>
      <x:c r="M28" s="3"/>
      <x:c r="N28" s="3"/>
    </x:row>
    <x:row r="29" ht="18" customHeight="1">
      <x:c r="B29" s="3" t="str">
        <x:v>Revised soil U95</x:v>
      </x:c>
      <x:c r="C29" s="3" t="n">
        <x:f>'Soil Skin'!C32</x:f>
        <x:v>0.12922847983320085</x:v>
      </x:c>
      <x:c r="D29" s="3" t="str">
        <x:v>kPa</x:v>
      </x:c>
      <x:c r="E29" s="3" t="n">
        <x:v>0</x:v>
      </x:c>
      <x:c r="F29" s="3" t="str">
        <x:f>IF(C29&gt;0,"PASS","FAIL")</x:f>
        <x:v>PASS</x:v>
      </x:c>
      <x:c r="G29" s="3"/>
      <x:c r="H29" s="3"/>
      <x:c r="I29" s="3"/>
      <x:c r="J29" s="3"/>
      <x:c r="K29" s="3"/>
      <x:c r="L29" s="3"/>
      <x:c r="M29" s="3"/>
      <x:c r="N29" s="3"/>
    </x:row>
    <x:row r="30" ht="18" customHeight="1">
      <x:c r="B30" s="3" t="str">
        <x:v>Pressure cells</x:v>
      </x:c>
      <x:c r="C30" s="3" t="n">
        <x:f>'Soil Skin'!C10</x:f>
        <x:v>4560</x:v>
      </x:c>
      <x:c r="D30" s="3" t="str">
        <x:v>cells</x:v>
      </x:c>
      <x:c r="E30" s="3" t="n">
        <x:v>4560</x:v>
      </x:c>
      <x:c r="F30" s="3" t="str">
        <x:f>IF(C30=E30,"PASS","FAIL")</x:f>
        <x:v>PASS</x:v>
      </x:c>
      <x:c r="G30" s="3"/>
      <x:c r="H30" s="3"/>
      <x:c r="I30" s="3"/>
      <x:c r="J30" s="3"/>
      <x:c r="K30" s="3"/>
      <x:c r="L30" s="3"/>
      <x:c r="M30" s="3"/>
      <x:c r="N30" s="3"/>
    </x:row>
    <x:row r="31" ht="18" customHeight="1">
      <x:c r="B31" s="3" t="str">
        <x:v>Prototype trials</x:v>
      </x:c>
      <x:c r="C31" s="3" t="n">
        <x:f>'Prototype Campaign'!C20</x:f>
        <x:v>68</x:v>
      </x:c>
      <x:c r="D31" s="3" t="str">
        <x:v>trials</x:v>
      </x:c>
      <x:c r="E31" s="3" t="n">
        <x:v>68</x:v>
      </x:c>
      <x:c r="F31" s="3" t="str">
        <x:f>IF(C31=E31,"PASS","FAIL")</x:f>
        <x:v>PASS</x:v>
      </x:c>
      <x:c r="G31" s="3"/>
      <x:c r="H31" s="3"/>
      <x:c r="I31" s="3"/>
      <x:c r="J31" s="3"/>
      <x:c r="K31" s="3"/>
      <x:c r="L31" s="3"/>
      <x:c r="M31" s="3"/>
      <x:c r="N31" s="3"/>
    </x:row>
    <x:row r="32" ht="18" customHeight="1">
      <x:c r="B32" s="3" t="str">
        <x:v>Prototype cost</x:v>
      </x:c>
      <x:c r="C32" s="3" t="n">
        <x:f>'Prototype Campaign'!C22</x:f>
        <x:v>6.799999999999999</x:v>
      </x:c>
      <x:c r="D32" s="3" t="str">
        <x:v>USD B</x:v>
      </x:c>
      <x:c r="E32" s="3" t="n">
        <x:v>6.8</x:v>
      </x:c>
      <x:c r="F32" s="3" t="str">
        <x:f>IF(C32=E32,"PASS","FAIL")</x:f>
        <x:v>PASS</x:v>
      </x:c>
      <x:c r="G32" s="3"/>
      <x:c r="H32" s="3"/>
      <x:c r="I32" s="3"/>
      <x:c r="J32" s="3"/>
      <x:c r="K32" s="3"/>
      <x:c r="L32" s="3"/>
      <x:c r="M32" s="3"/>
      <x:c r="N32" s="3"/>
    </x:row>
    <x:row r="33" ht="18" customHeight="1">
      <x:c r="B33" s="3" t="str">
        <x:v>F01 total</x:v>
      </x:c>
      <x:c r="C33" s="3" t="n">
        <x:f>'F01 Reallocation'!E21</x:f>
        <x:v>24</x:v>
      </x:c>
      <x:c r="D33" s="3" t="str">
        <x:v>USD B</x:v>
      </x:c>
      <x:c r="E33" s="3" t="n">
        <x:v>24</x:v>
      </x:c>
      <x:c r="F33" s="3" t="str">
        <x:f>IF(C33=E33,"PASS","FAIL")</x:f>
        <x:v>PASS</x:v>
      </x:c>
      <x:c r="G33" s="3"/>
      <x:c r="H33" s="3"/>
      <x:c r="I33" s="3"/>
      <x:c r="J33" s="3"/>
      <x:c r="K33" s="3"/>
      <x:c r="L33" s="3"/>
      <x:c r="M33" s="3"/>
      <x:c r="N33" s="3"/>
    </x:row>
    <x:row r="34" ht="18" customHeight="1">
      <x:c r="B34" s="3" t="str">
        <x:v>Deterministic controls</x:v>
      </x:c>
      <x:c r="C34" s="3" t="n">
        <x:f>COUNTA(Audit!B7:B348)</x:f>
        <x:v>342</x:v>
      </x:c>
      <x:c r="D34" s="3" t="str">
        <x:v>controls</x:v>
      </x:c>
      <x:c r="E34" s="3" t="n">
        <x:v>342</x:v>
      </x:c>
      <x:c r="F34" s="3" t="str">
        <x:f>IF(C34=E34,"PASS","FAIL")</x:f>
        <x:v>PASS</x:v>
      </x:c>
      <x:c r="G34" s="3"/>
      <x:c r="H34" s="3"/>
      <x:c r="I34" s="3"/>
      <x:c r="J34" s="3"/>
      <x:c r="K34" s="3"/>
      <x:c r="L34" s="3"/>
      <x:c r="M34" s="3"/>
      <x:c r="N34" s="3"/>
    </x:row>
    <x:row r="35" ht="18" customHeight="1"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</x:row>
    <x:row r="36" ht="18" customHeight="1"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</x:row>
    <x:row r="37" ht="18" customHeight="1">
      <x:c r="B37" s="9" t="str">
        <x:v>Interpretation boundary</x:v>
      </x:c>
      <x:c r="C37" s="10" t="str">
        <x:v>Interpretation boundary</x:v>
      </x:c>
      <x:c r="D37" s="10" t="str">
        <x:v>Interpretation boundary</x:v>
      </x:c>
      <x:c r="E37" s="10" t="str">
        <x:v>Interpretation boundary</x:v>
      </x:c>
      <x:c r="F37" s="10" t="str">
        <x:v>Interpretation boundary</x:v>
      </x:c>
      <x:c r="G37" s="10" t="str">
        <x:v>Interpretation boundary</x:v>
      </x:c>
      <x:c r="H37" s="10" t="str">
        <x:v>Interpretation boundary</x:v>
      </x:c>
      <x:c r="I37" s="10" t="str">
        <x:v>Interpretation boundary</x:v>
      </x:c>
      <x:c r="J37" s="10" t="str">
        <x:v>Interpretation boundary</x:v>
      </x:c>
      <x:c r="K37" s="10" t="str">
        <x:v>Interpretation boundary</x:v>
      </x:c>
      <x:c r="L37" s="10" t="str">
        <x:v>Interpretation boundary</x:v>
      </x:c>
      <x:c r="M37" s="10" t="str">
        <x:v>Interpretation boundary</x:v>
      </x:c>
      <x:c r="N37" s="11" t="str">
        <x:v>Interpretation boundary</x:v>
      </x:c>
    </x:row>
    <x:row r="38" ht="34" customHeight="1">
      <x:c r="B38" s="3" t="str">
        <x:v>PASS means a planning relationship reconciles. Every hardware, uncertainty, independence and removal claim remains OPEN.</x:v>
      </x:c>
      <x:c r="C38" s="3" t="str"/>
      <x:c r="D38" s="3" t="str"/>
      <x:c r="E38" s="3" t="str"/>
      <x:c r="F38" s="3" t="str"/>
      <x:c r="G38" s="3" t="str"/>
      <x:c r="H38" s="3" t="str"/>
      <x:c r="I38" s="3" t="str"/>
      <x:c r="J38" s="3" t="str"/>
      <x:c r="K38" s="3" t="str"/>
      <x:c r="L38" s="3" t="str"/>
      <x:c r="M38" s="3" t="str"/>
      <x:c r="N38" s="3" t="str"/>
    </x:row>
    <x:row r="39" ht="34" customHeight="1">
      <x:c r="B39" s="3" t="str">
        <x:v>The instrumented carrier is a conservative but physically different configuration; paired removal trials are mandatory before production inference.</x:v>
      </x:c>
      <x:c r="C39" s="3" t="str"/>
      <x:c r="D39" s="3" t="str"/>
      <x:c r="E39" s="3" t="str"/>
      <x:c r="F39" s="3" t="str"/>
      <x:c r="G39" s="3" t="str"/>
      <x:c r="H39" s="3" t="str"/>
      <x:c r="I39" s="3" t="str"/>
      <x:c r="J39" s="3" t="str"/>
      <x:c r="K39" s="3" t="str"/>
      <x:c r="L39" s="3" t="str"/>
      <x:c r="M39" s="3" t="str"/>
      <x:c r="N39" s="3" t="str"/>
    </x:row>
    <x:row r="40" ht="34" customHeight="1">
      <x:c r="B40" s="3" t="str">
        <x:v>Exterior and internal form remain blocked. This pass defines burdens and test interfaces, not packaging geometry.</x:v>
      </x:c>
      <x:c r="C40" s="3" t="str"/>
      <x:c r="D40" s="3" t="str"/>
      <x:c r="E40" s="3" t="str"/>
      <x:c r="F40" s="3" t="str"/>
      <x:c r="G40" s="3" t="str"/>
      <x:c r="H40" s="3" t="str"/>
      <x:c r="I40" s="3" t="str"/>
      <x:c r="J40" s="3" t="str"/>
      <x:c r="K40" s="3" t="str"/>
      <x:c r="L40" s="3" t="str"/>
      <x:c r="M40" s="3" t="str"/>
      <x:c r="N40" s="3" t="str"/>
    </x:row>
  </x:sheetData>
  <x:mergeCells>
    <x:mergeCell ref="B2:H2"/>
    <x:mergeCell ref="B3:N3"/>
    <x:mergeCell ref="B6:N6"/>
    <x:mergeCell ref="B20:N20"/>
    <x:mergeCell ref="B37:N37"/>
  </x:mergeCells>
  <x:conditionalFormatting sqref="D8:E17">
    <x:cfRule type="containsText" dxfId="150" priority="1" operator="containsText" text="FAIL"/>
    <x:cfRule type="containsText" dxfId="151" priority="2" operator="containsText" text="PASS"/>
    <x:cfRule type="containsText" dxfId="152" priority="3" operator="containsText" text="OPEN"/>
    <x:cfRule type="containsText" dxfId="153" priority="4" operator="containsText" text="HOLD"/>
    <x:cfRule type="containsText" dxfId="154" priority="5" operator="containsText" text="BLOCKED"/>
  </x:conditionalFormatting>
  <x:conditionalFormatting sqref="F22:F34">
    <x:cfRule type="containsText" dxfId="155" priority="6" operator="containsText" text="FAIL"/>
    <x:cfRule type="containsText" dxfId="156" priority="7" operator="containsText" text="PASS"/>
    <x:cfRule type="containsText" dxfId="157" priority="8" operator="containsText" text="OPEN"/>
    <x:cfRule type="containsText" dxfId="158" priority="9" operator="containsText" text="HOLD"/>
    <x:cfRule type="containsText" dxfId="159" priority="10" operator="containsText" text="BLOCKED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5D7C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2" max="2" width="38" hidden="0" customWidth="1"/>
    <x:col min="3" max="3" width="18" hidden="0" customWidth="1"/>
    <x:col min="4" max="4" width="22" hidden="0" customWidth="1"/>
    <x:col min="5" max="5" width="20" hidden="0" customWidth="1"/>
    <x:col min="6" max="6" width="51" hidden="0" customWidth="1"/>
  </x:cols>
  <x:sheetData>
    <x:row r="2" ht="18" customHeight="1">
      <x:c r="B2" s="4" t="str">
        <x:v>MESA-1R assumptions</x:v>
      </x:c>
      <x:c r="C2" s="3"/>
      <x:c r="D2" s="3"/>
      <x:c r="E2" s="3"/>
      <x:c r="F2" s="3"/>
    </x:row>
    <x:row r="3" ht="18" customHeight="1">
      <x:c r="B3" s="5" t="str">
        <x:v>Physical allocations for representative evidence hardware; blue cells are unmeasured design hypotheses</x:v>
      </x:c>
      <x:c r="C3" s="3"/>
      <x:c r="D3" s="3"/>
      <x:c r="E3" s="3"/>
      <x:c r="F3" s="3"/>
    </x:row>
    <x:row r="4" ht="18" customHeight="1">
      <x:c r="B4" s="6"/>
      <x:c r="C4" s="6"/>
      <x:c r="D4" s="6"/>
      <x:c r="E4" s="6"/>
      <x:c r="F4" s="6"/>
    </x:row>
    <x:row r="5" ht="18" customHeight="1">
      <x:c r="B5" s="3"/>
      <x:c r="C5" s="3"/>
      <x:c r="D5" s="3"/>
      <x:c r="E5" s="3"/>
      <x:c r="F5" s="3"/>
    </x:row>
    <x:row r="6" ht="18" customHeight="1">
      <x:c r="B6" s="9" t="str">
        <x:v>Inherited and selected controls</x:v>
      </x:c>
      <x:c r="C6" s="10" t="str">
        <x:v>Inherited and selected controls</x:v>
      </x:c>
      <x:c r="D6" s="10" t="str">
        <x:v>Inherited and selected controls</x:v>
      </x:c>
      <x:c r="E6" s="10" t="str">
        <x:v>Inherited and selected controls</x:v>
      </x:c>
      <x:c r="F6" s="11" t="str">
        <x:v>Inherited and selected controls</x:v>
      </x:c>
    </x:row>
    <x:row r="7" ht="18" customHeight="1">
      <x:c r="B7" s="23" t="str">
        <x:v>Input</x:v>
      </x:c>
      <x:c r="C7" s="24" t="str">
        <x:v>Value</x:v>
      </x:c>
      <x:c r="D7" s="24" t="str">
        <x:v>Unit</x:v>
      </x:c>
      <x:c r="E7" s="24" t="str">
        <x:v>Origin</x:v>
      </x:c>
      <x:c r="F7" s="24" t="str">
        <x:v>Meaning</x:v>
      </x:c>
    </x:row>
    <x:row r="8" ht="18" customHeight="1">
      <x:c r="B8" s="25" t="str">
        <x:v>Mission duration</x:v>
      </x:c>
      <x:c r="C8" s="26" t="n">
        <x:v>168</x:v>
      </x:c>
      <x:c r="D8" s="25" t="str">
        <x:v>h</x:v>
      </x:c>
      <x:c r="E8" s="25" t="str">
        <x:v>Pass 91</x:v>
      </x:c>
      <x:c r="F8" s="27" t="str">
        <x:v>continuous evidence interval</x:v>
      </x:c>
    </x:row>
    <x:row r="9" ht="18" customHeight="1">
      <x:c r="B9" s="25" t="str">
        <x:v>Energy reserve</x:v>
      </x:c>
      <x:c r="C9" s="26" t="n">
        <x:v>1.25</x:v>
      </x:c>
      <x:c r="D9" s="25" t="str">
        <x:v>x</x:v>
      </x:c>
      <x:c r="E9" s="25" t="str">
        <x:v>Pass 92</x:v>
      </x:c>
      <x:c r="F9" s="27" t="str">
        <x:v>battery nameplate above continuous need</x:v>
      </x:c>
    </x:row>
    <x:row r="10" ht="18" customHeight="1">
      <x:c r="B10" s="25" t="str">
        <x:v>Pack specific energy</x:v>
      </x:c>
      <x:c r="C10" s="26" t="n">
        <x:v>0.22</x:v>
      </x:c>
      <x:c r="D10" s="25" t="str">
        <x:v>kWh/kg</x:v>
      </x:c>
      <x:c r="E10" s="25" t="str">
        <x:v>Pass 92</x:v>
      </x:c>
      <x:c r="F10" s="27" t="str">
        <x:v>pack-level current-technology planning value</x:v>
      </x:c>
    </x:row>
    <x:row r="11" ht="18" customHeight="1">
      <x:c r="B11" s="25" t="str">
        <x:v>Filesystem reserve</x:v>
      </x:c>
      <x:c r="C11" s="28" t="n">
        <x:v>0.25</x:v>
      </x:c>
      <x:c r="D11" s="25" t="str">
        <x:v>fraction</x:v>
      </x:c>
      <x:c r="E11" s="25" t="str">
        <x:v>Pass 92</x:v>
      </x:c>
      <x:c r="F11" s="27" t="str">
        <x:v>format wear invalid blocks and custody reserve</x:v>
      </x:c>
    </x:row>
    <x:row r="12" ht="18" customHeight="1">
      <x:c r="B12" s="25" t="str">
        <x:v>Clock U95 limit</x:v>
      </x:c>
      <x:c r="C12" s="26" t="n">
        <x:v>0.01</x:v>
      </x:c>
      <x:c r="D12" s="25" t="str">
        <x:v>s</x:v>
      </x:c>
      <x:c r="E12" s="25" t="str">
        <x:v>Pass 91</x:v>
      </x:c>
      <x:c r="F12" s="27" t="str">
        <x:v>clock synchronization contribution</x:v>
      </x:c>
    </x:row>
    <x:row r="13" ht="18" customHeight="1">
      <x:c r="B13" s="25" t="str">
        <x:v>Coverage factor</x:v>
      </x:c>
      <x:c r="C13" s="26" t="n">
        <x:v>2</x:v>
      </x:c>
      <x:c r="D13" s="25" t="str">
        <x:v>k</x:v>
      </x:c>
      <x:c r="E13" s="25" t="str">
        <x:v>Pass 91</x:v>
      </x:c>
      <x:c r="F13" s="27" t="str">
        <x:v>expanded uncertainty</x:v>
      </x:c>
    </x:row>
    <x:row r="14" ht="18" customHeight="1">
      <x:c r="B14" s="25" t="str">
        <x:v>Air tile prior mass</x:v>
      </x:c>
      <x:c r="C14" s="26" t="n">
        <x:v>75</x:v>
      </x:c>
      <x:c r="D14" s="25" t="str">
        <x:v>kg</x:v>
      </x:c>
      <x:c r="E14" s="25" t="str">
        <x:v>Pass 91</x:v>
      </x:c>
      <x:c r="F14" s="27" t="str">
        <x:v>generic placeholder</x:v>
      </x:c>
    </x:row>
    <x:row r="15" ht="18" customHeight="1">
      <x:c r="B15" s="25" t="str">
        <x:v>Terrain tile prior mass</x:v>
      </x:c>
      <x:c r="C15" s="26" t="n">
        <x:v>75</x:v>
      </x:c>
      <x:c r="D15" s="25" t="str">
        <x:v>kg</x:v>
      </x:c>
      <x:c r="E15" s="25" t="str">
        <x:v>Pass 91</x:v>
      </x:c>
      <x:c r="F15" s="27" t="str">
        <x:v>generic placeholder</x:v>
      </x:c>
    </x:row>
    <x:row r="16" ht="18" customHeight="1">
      <x:c r="B16" s="25" t="str">
        <x:v>Air carrier prior mass</x:v>
      </x:c>
      <x:c r="C16" s="26" t="n">
        <x:v>350</x:v>
      </x:c>
      <x:c r="D16" s="25" t="str">
        <x:v>kg</x:v>
      </x:c>
      <x:c r="E16" s="25" t="str">
        <x:v>Pass 91</x:v>
      </x:c>
      <x:c r="F16" s="27" t="str">
        <x:v>generic carrier node placeholder</x:v>
      </x:c>
    </x:row>
    <x:row r="17" ht="18" customHeight="1">
      <x:c r="B17" s="25" t="str">
        <x:v>Terrain carrier prior mass</x:v>
      </x:c>
      <x:c r="C17" s="26" t="n">
        <x:v>350</x:v>
      </x:c>
      <x:c r="D17" s="25" t="str">
        <x:v>kg</x:v>
      </x:c>
      <x:c r="E17" s="25" t="str">
        <x:v>Pass 91</x:v>
      </x:c>
      <x:c r="F17" s="27" t="str">
        <x:v>generic carrier node placeholder</x:v>
      </x:c>
    </x:row>
    <x:row r="18" ht="18" customHeight="1">
      <x:c r="B18" s="25" t="str">
        <x:v>Air tile selected mass</x:v>
      </x:c>
      <x:c r="C18" s="26" t="n">
        <x:v>110</x:v>
      </x:c>
      <x:c r="D18" s="25" t="str">
        <x:v>kg</x:v>
      </x:c>
      <x:c r="E18" s="25" t="str">
        <x:v>Pass 92</x:v>
      </x:c>
      <x:c r="F18" s="27" t="str">
        <x:v>complete independent article cassette</x:v>
      </x:c>
    </x:row>
    <x:row r="19" ht="18" customHeight="1">
      <x:c r="B19" s="25" t="str">
        <x:v>Terrain tile selected mass</x:v>
      </x:c>
      <x:c r="C19" s="26" t="n">
        <x:v>135</x:v>
      </x:c>
      <x:c r="D19" s="25" t="str">
        <x:v>kg</x:v>
      </x:c>
      <x:c r="E19" s="25" t="str">
        <x:v>Pass 92</x:v>
      </x:c>
      <x:c r="F19" s="27" t="str">
        <x:v>rugged independent article cassette</x:v>
      </x:c>
    </x:row>
    <x:row r="20" ht="18" customHeight="1">
      <x:c r="B20" s="25" t="str">
        <x:v>Air carrier selected mass</x:v>
      </x:c>
      <x:c r="C20" s="26" t="n">
        <x:v>1200</x:v>
      </x:c>
      <x:c r="D20" s="25" t="str">
        <x:v>kg</x:v>
      </x:c>
      <x:c r="E20" s="25" t="str">
        <x:v>Pass 92</x:v>
      </x:c>
      <x:c r="F20" s="27" t="str">
        <x:v>carrier truth node</x:v>
      </x:c>
    </x:row>
    <x:row r="21" ht="18" customHeight="1">
      <x:c r="B21" s="25" t="str">
        <x:v>Terrain carrier selected mass</x:v>
      </x:c>
      <x:c r="C21" s="26" t="n">
        <x:v>2600</x:v>
      </x:c>
      <x:c r="D21" s="25" t="str">
        <x:v>kg</x:v>
      </x:c>
      <x:c r="E21" s="25" t="str">
        <x:v>Pass 92</x:v>
      </x:c>
      <x:c r="F21" s="27" t="str">
        <x:v>carrier truth node including pressure skin</x:v>
      </x:c>
    </x:row>
    <x:row r="22" ht="18" customHeight="1">
      <x:c r="B22" s="25" t="str">
        <x:v>Receiver selected mass</x:v>
      </x:c>
      <x:c r="C22" s="26" t="n">
        <x:v>2800</x:v>
      </x:c>
      <x:c r="D22" s="25" t="str">
        <x:v>kg</x:v>
      </x:c>
      <x:c r="E22" s="25" t="str">
        <x:v>Pass 92</x:v>
      </x:c>
      <x:c r="F22" s="27" t="str">
        <x:v>civil-effect station</x:v>
      </x:c>
    </x:row>
    <x:row r="23" ht="18" customHeight="1">
      <x:c r="B23" s="25" t="str">
        <x:v>Air certified tile allowance</x:v>
      </x:c>
      <x:c r="C23" s="26" t="n">
        <x:v>550</x:v>
      </x:c>
      <x:c r="D23" s="25" t="str">
        <x:v>kg/tile</x:v>
      </x:c>
      <x:c r="E23" s="25" t="str">
        <x:v>Pass 89</x:v>
      </x:c>
      <x:c r="F23" s="27" t="str">
        <x:v>smallest certified less target family margin</x:v>
      </x:c>
    </x:row>
    <x:row r="24" ht="18" customHeight="1">
      <x:c r="B24" s="25" t="str">
        <x:v>Terrain certified tile allowance</x:v>
      </x:c>
      <x:c r="C24" s="26" t="n">
        <x:v>550</x:v>
      </x:c>
      <x:c r="D24" s="25" t="str">
        <x:v>kg/tile</x:v>
      </x:c>
      <x:c r="E24" s="25" t="str">
        <x:v>Pass 89</x:v>
      </x:c>
      <x:c r="F24" s="27" t="str">
        <x:v>smallest certified less target family margin</x:v>
      </x:c>
    </x:row>
    <x:row r="25" ht="18" customHeight="1">
      <x:c r="B25" s="25" t="str">
        <x:v>Air carrier gross prior</x:v>
      </x:c>
      <x:c r="C25" s="26" t="n">
        <x:v>1468.322</x:v>
      </x:c>
      <x:c r="D25" s="25" t="str">
        <x:v>t</x:v>
      </x:c>
      <x:c r="E25" s="25" t="str">
        <x:v>Pass 89</x:v>
      </x:c>
      <x:c r="F25" s="27" t="str">
        <x:v>carrier behavior reference</x:v>
      </x:c>
    </x:row>
    <x:row r="26" ht="18" customHeight="1">
      <x:c r="B26" s="25" t="str">
        <x:v>Terrain carrier gross prior</x:v>
      </x:c>
      <x:c r="C26" s="26" t="n">
        <x:v>720.957</x:v>
      </x:c>
      <x:c r="D26" s="25" t="str">
        <x:v>t</x:v>
      </x:c>
      <x:c r="E26" s="25" t="str">
        <x:v>Pass 89</x:v>
      </x:c>
      <x:c r="F26" s="27" t="str">
        <x:v>carrier behavior reference</x:v>
      </x:c>
    </x:row>
    <x:row r="27" ht="18" customHeight="1">
      <x:c r="B27" s="25" t="str">
        <x:v>Air gross feedback</x:v>
      </x:c>
      <x:c r="C27" s="26" t="n">
        <x:v>1.1512</x:v>
      </x:c>
      <x:c r="D27" s="25" t="str">
        <x:v>t/t added</x:v>
      </x:c>
      <x:c r="E27" s="25" t="str">
        <x:v>Pass 89</x:v>
      </x:c>
      <x:c r="F27" s="27" t="str">
        <x:v>gross response to fixed mass</x:v>
      </x:c>
    </x:row>
    <x:row r="28" ht="18" customHeight="1">
      <x:c r="B28" s="25" t="str">
        <x:v>Terrain gross feedback</x:v>
      </x:c>
      <x:c r="C28" s="26" t="n">
        <x:v>1.2573333</x:v>
      </x:c>
      <x:c r="D28" s="25" t="str">
        <x:v>t/t added</x:v>
      </x:c>
      <x:c r="E28" s="25" t="str">
        <x:v>Pass 89</x:v>
      </x:c>
      <x:c r="F28" s="27" t="str">
        <x:v>bridge and energy feedback</x:v>
      </x:c>
    </x:row>
    <x:row r="29" ht="18" customHeight="1">
      <x:c r="B29" s="25" t="str">
        <x:v>Terrain soil pressure prior</x:v>
      </x:c>
      <x:c r="C29" s="26" t="n">
        <x:v>34.2492055</x:v>
      </x:c>
      <x:c r="D29" s="25" t="str">
        <x:v>kPa</x:v>
      </x:c>
      <x:c r="E29" s="25" t="str">
        <x:v>Pass 90</x:v>
      </x:c>
      <x:c r="F29" s="27" t="str">
        <x:v>damaged-soil behavior reference</x:v>
      </x:c>
    </x:row>
    <x:row r="30" ht="18" customHeight="1">
      <x:c r="B30" s="25" t="str">
        <x:v>Soil evidence threshold</x:v>
      </x:c>
      <x:c r="C30" s="26" t="n">
        <x:v>34.75</x:v>
      </x:c>
      <x:c r="D30" s="25" t="str">
        <x:v>kPa</x:v>
      </x:c>
      <x:c r="E30" s="25" t="str">
        <x:v>Pass 90</x:v>
      </x:c>
      <x:c r="F30" s="27" t="str">
        <x:v>guardbanded evidence ceiling</x:v>
      </x:c>
    </x:row>
    <x:row r="31" ht="18" customHeight="1">
      <x:c r="B31" s="25" t="str">
        <x:v>Uncertainty margin fraction</x:v>
      </x:c>
      <x:c r="C31" s="28" t="n">
        <x:v>0.5</x:v>
      </x:c>
      <x:c r="D31" s="25" t="str">
        <x:v>fraction</x:v>
      </x:c>
      <x:c r="E31" s="25" t="str">
        <x:v>Pass 91</x:v>
      </x:c>
      <x:c r="F31" s="27" t="str">
        <x:v>U95 may consume at most half of physical margin</x:v>
      </x:c>
    </x:row>
    <x:row r="32" ht="18" customHeight="1">
      <x:c r="B32" s="25" t="str">
        <x:v>Pressure skin area</x:v>
      </x:c>
      <x:c r="C32" s="26" t="n">
        <x:v>285</x:v>
      </x:c>
      <x:c r="D32" s="25" t="str">
        <x:v>m2</x:v>
      </x:c>
      <x:c r="E32" s="25" t="str">
        <x:v>Pass 86</x:v>
      </x:c>
      <x:c r="F32" s="27" t="str">
        <x:v>twelve-pod deployed contact</x:v>
      </x:c>
    </x:row>
    <x:row r="33" ht="18" customHeight="1">
      <x:c r="B33" s="25" t="str">
        <x:v>Pressure cell pitch</x:v>
      </x:c>
      <x:c r="C33" s="26" t="n">
        <x:v>0.25</x:v>
      </x:c>
      <x:c r="D33" s="25" t="str">
        <x:v>m</x:v>
      </x:c>
      <x:c r="E33" s="25" t="str">
        <x:v>Pass 92</x:v>
      </x:c>
      <x:c r="F33" s="27" t="str">
        <x:v>distributed taxel spacing</x:v>
      </x:c>
    </x:row>
    <x:row r="34" ht="18" customHeight="1">
      <x:c r="B34" s="25" t="str">
        <x:v>Pressure axes</x:v>
      </x:c>
      <x:c r="C34" s="26" t="n">
        <x:v>4</x:v>
      </x:c>
      <x:c r="D34" s="25" t="str">
        <x:v>channels/cell</x:v>
      </x:c>
      <x:c r="E34" s="25" t="str">
        <x:v>Pass 92</x:v>
      </x:c>
      <x:c r="F34" s="27" t="str">
        <x:v>normal shear temperature and health</x:v>
      </x:c>
    </x:row>
    <x:row r="35" ht="18" customHeight="1">
      <x:c r="B35" s="25" t="str">
        <x:v>Pressure sample rate</x:v>
      </x:c>
      <x:c r="C35" s="26" t="n">
        <x:v>200</x:v>
      </x:c>
      <x:c r="D35" s="25" t="str">
        <x:v>Hz</x:v>
      </x:c>
      <x:c r="E35" s="25" t="str">
        <x:v>Pass 92</x:v>
      </x:c>
      <x:c r="F35" s="27" t="str">
        <x:v>dynamic-field sampling</x:v>
      </x:c>
    </x:row>
    <x:row r="36" ht="18" customHeight="1">
      <x:c r="B36" s="25" t="str">
        <x:v>Pressure bytes</x:v>
      </x:c>
      <x:c r="C36" s="26" t="n">
        <x:v>4</x:v>
      </x:c>
      <x:c r="D36" s="25" t="str">
        <x:v>bytes/sample</x:v>
      </x:c>
      <x:c r="E36" s="25" t="str">
        <x:v>Pass 92</x:v>
      </x:c>
      <x:c r="F36" s="27" t="str">
        <x:v>fixed-point sample plus state</x:v>
      </x:c>
    </x:row>
    <x:row r="37" ht="18" customHeight="1">
      <x:c r="B37" s="25" t="str">
        <x:v>Pressure compression</x:v>
      </x:c>
      <x:c r="C37" s="26" t="n">
        <x:v>4</x:v>
      </x:c>
      <x:c r="D37" s="25" t="str">
        <x:v>x</x:v>
      </x:c>
      <x:c r="E37" s="25" t="str">
        <x:v>Pass 92</x:v>
      </x:c>
      <x:c r="F37" s="27" t="str">
        <x:v>lossless registered compression</x:v>
      </x:c>
    </x:row>
    <x:row r="38" ht="18" customHeight="1">
      <x:c r="B38" s="25" t="str">
        <x:v>Air tile average power</x:v>
      </x:c>
      <x:c r="C38" s="26" t="n">
        <x:v>0.055</x:v>
      </x:c>
      <x:c r="D38" s="25" t="str">
        <x:v>kW</x:v>
      </x:c>
      <x:c r="E38" s="25" t="str">
        <x:v>Pass 92</x:v>
      </x:c>
      <x:c r="F38" s="27" t="str">
        <x:v>continuous isolated load</x:v>
      </x:c>
    </x:row>
    <x:row r="39" ht="18" customHeight="1">
      <x:c r="B39" s="25" t="str">
        <x:v>Terrain tile average power</x:v>
      </x:c>
      <x:c r="C39" s="26" t="n">
        <x:v>0.065</x:v>
      </x:c>
      <x:c r="D39" s="25" t="str">
        <x:v>kW</x:v>
      </x:c>
      <x:c r="E39" s="25" t="str">
        <x:v>Pass 92</x:v>
      </x:c>
      <x:c r="F39" s="27" t="str">
        <x:v>continuous isolated load</x:v>
      </x:c>
    </x:row>
    <x:row r="40" ht="18" customHeight="1">
      <x:c r="B40" s="25" t="str">
        <x:v>Air carrier average power</x:v>
      </x:c>
      <x:c r="C40" s="26" t="n">
        <x:v>0.8</x:v>
      </x:c>
      <x:c r="D40" s="25" t="str">
        <x:v>kW</x:v>
      </x:c>
      <x:c r="E40" s="25" t="str">
        <x:v>Pass 92</x:v>
      </x:c>
      <x:c r="F40" s="27" t="str">
        <x:v>continuous isolated load</x:v>
      </x:c>
    </x:row>
    <x:row r="41" ht="18" customHeight="1">
      <x:c r="B41" s="25" t="str">
        <x:v>Terrain carrier average power</x:v>
      </x:c>
      <x:c r="C41" s="26" t="n">
        <x:v>0.6</x:v>
      </x:c>
      <x:c r="D41" s="25" t="str">
        <x:v>kW</x:v>
      </x:c>
      <x:c r="E41" s="25" t="str">
        <x:v>Pass 92</x:v>
      </x:c>
      <x:c r="F41" s="27" t="str">
        <x:v>mission-average duty-controlled load</x:v>
      </x:c>
    </x:row>
    <x:row r="42" ht="18" customHeight="1">
      <x:c r="B42" s="25" t="str">
        <x:v>Receiver average power</x:v>
      </x:c>
      <x:c r="C42" s="26" t="n">
        <x:v>1.2</x:v>
      </x:c>
      <x:c r="D42" s="25" t="str">
        <x:v>kW</x:v>
      </x:c>
      <x:c r="E42" s="25" t="str">
        <x:v>Pass 92</x:v>
      </x:c>
      <x:c r="F42" s="27" t="str">
        <x:v>continuous separate receiver load</x:v>
      </x:c>
    </x:row>
    <x:row r="43" ht="18" customHeight="1">
      <x:c r="B43" s="25" t="str">
        <x:v>Prototype subportfolio</x:v>
      </x:c>
      <x:c r="C43" s="26" t="n">
        <x:v>6.8</x:v>
      </x:c>
      <x:c r="D43" s="25" t="str">
        <x:v>USD B</x:v>
      </x:c>
      <x:c r="E43" s="25" t="str">
        <x:v>Pass 92</x:v>
      </x:c>
      <x:c r="F43" s="27" t="str">
        <x:v>nested inside F01</x:v>
      </x:c>
    </x:row>
    <x:row r="44" ht="18" customHeight="1">
      <x:c r="B44" s="25" t="str">
        <x:v>F01 capital</x:v>
      </x:c>
      <x:c r="C44" s="26" t="n">
        <x:v>24</x:v>
      </x:c>
      <x:c r="D44" s="25" t="str">
        <x:v>USD B</x:v>
      </x:c>
      <x:c r="E44" s="25" t="str">
        <x:v>Pass 91</x:v>
      </x:c>
      <x:c r="F44" s="27" t="str">
        <x:v>complete sovereign metrology family</x:v>
      </x:c>
    </x:row>
    <x:row r="45" ht="18" customHeight="1">
      <x:c r="B45" s="25" t="str">
        <x:v>Air article kits</x:v>
      </x:c>
      <x:c r="C45" s="26" t="n">
        <x:v>258</x:v>
      </x:c>
      <x:c r="D45" s="25" t="str">
        <x:v>kits</x:v>
      </x:c>
      <x:c r="E45" s="25" t="str">
        <x:v>Pass 91</x:v>
      </x:c>
      <x:c r="F45" s="27" t="str">
        <x:v>qualification mission and attrition</x:v>
      </x:c>
    </x:row>
    <x:row r="46" ht="18" customHeight="1">
      <x:c r="B46" s="25" t="str">
        <x:v>Terrain article kits</x:v>
      </x:c>
      <x:c r="C46" s="26" t="n">
        <x:v>238</x:v>
      </x:c>
      <x:c r="D46" s="25" t="str">
        <x:v>kits</x:v>
      </x:c>
      <x:c r="E46" s="25" t="str">
        <x:v>Pass 91</x:v>
      </x:c>
      <x:c r="F46" s="27" t="str">
        <x:v>qualification mission and attrition</x:v>
      </x:c>
    </x:row>
    <x:row r="47" ht="18" customHeight="1">
      <x:c r="B47" s="25" t="str">
        <x:v>Air carrier nodes</x:v>
      </x:c>
      <x:c r="C47" s="26" t="n">
        <x:v>14</x:v>
      </x:c>
      <x:c r="D47" s="25" t="str">
        <x:v>nodes</x:v>
      </x:c>
      <x:c r="E47" s="25" t="str">
        <x:v>Pass 90</x:v>
      </x:c>
      <x:c r="F47" s="27" t="str">
        <x:v>development carrier set</x:v>
      </x:c>
    </x:row>
    <x:row r="48" ht="18" customHeight="1">
      <x:c r="B48" s="25" t="str">
        <x:v>Terrain carrier nodes</x:v>
      </x:c>
      <x:c r="C48" s="26" t="n">
        <x:v>12</x:v>
      </x:c>
      <x:c r="D48" s="25" t="str">
        <x:v>nodes</x:v>
      </x:c>
      <x:c r="E48" s="25" t="str">
        <x:v>Pass 90</x:v>
      </x:c>
      <x:c r="F48" s="27" t="str">
        <x:v>development carrier set</x:v>
      </x:c>
    </x:row>
    <x:row r="49" ht="18" customHeight="1">
      <x:c r="B49" s="25" t="str">
        <x:v>Receiver stations</x:v>
      </x:c>
      <x:c r="C49" s="26" t="n">
        <x:v>8</x:v>
      </x:c>
      <x:c r="D49" s="25" t="str">
        <x:v>stations</x:v>
      </x:c>
      <x:c r="E49" s="25" t="str">
        <x:v>Pass 91</x:v>
      </x:c>
      <x:c r="F49" s="27" t="str">
        <x:v>paired civil truth capacity</x:v>
      </x:c>
    </x:row>
    <x:row r="50" ht="18" customHeight="1">
      <x:c r="B50" s="25" t="str">
        <x:v>Model controls</x:v>
      </x:c>
      <x:c r="C50" s="26" t="n">
        <x:v>342</x:v>
      </x:c>
      <x:c r="D50" s="25" t="str">
        <x:v>controls</x:v>
      </x:c>
      <x:c r="E50" s="25" t="str">
        <x:v>Pass 92</x:v>
      </x:c>
      <x:c r="F50" s="27" t="str">
        <x:v>deterministic audit target</x:v>
      </x:c>
    </x:row>
    <x:row r="51" ht="18" customHeight="1">
      <x:c r="B51" s="29" t="str">
        <x:v>Rendering authorization</x:v>
      </x:c>
      <x:c r="C51" s="30" t="n">
        <x:v>0</x:v>
      </x:c>
      <x:c r="D51" s="29" t="str">
        <x:v>binary</x:v>
      </x:c>
      <x:c r="E51" s="29" t="str">
        <x:v>governance</x:v>
      </x:c>
      <x:c r="F51" s="31" t="str">
        <x:v>exterior form remains blocked</x:v>
      </x:c>
    </x:row>
    <x:row r="52" ht="18" customHeight="1">
      <x:c r="B52" s="3"/>
      <x:c r="C52" s="3"/>
      <x:c r="D52" s="3"/>
      <x:c r="E52" s="3"/>
      <x:c r="F52" s="3"/>
    </x:row>
    <x:row r="53" ht="18" customHeight="1">
      <x:c r="B53" s="3"/>
      <x:c r="C53" s="3"/>
      <x:c r="D53" s="3"/>
      <x:c r="E53" s="3"/>
      <x:c r="F53" s="3"/>
    </x:row>
    <x:row r="54" ht="18" customHeight="1">
      <x:c r="B54" s="3"/>
      <x:c r="C54" s="3"/>
      <x:c r="D54" s="3"/>
      <x:c r="E54" s="3"/>
      <x:c r="F54" s="3"/>
    </x:row>
    <x:row r="55" ht="18" customHeight="1">
      <x:c r="B55" s="3"/>
      <x:c r="C55" s="3"/>
      <x:c r="D55" s="3"/>
      <x:c r="E55" s="3"/>
      <x:c r="F55" s="3"/>
    </x:row>
    <x:row r="56" ht="18" customHeight="1">
      <x:c r="B56" s="3"/>
      <x:c r="C56" s="3"/>
      <x:c r="D56" s="3"/>
      <x:c r="E56" s="3"/>
      <x:c r="F56" s="3"/>
    </x:row>
    <x:row r="57" ht="18" customHeight="1">
      <x:c r="B57" s="3"/>
      <x:c r="C57" s="3"/>
      <x:c r="D57" s="3"/>
      <x:c r="E57" s="3"/>
      <x:c r="F57" s="3"/>
    </x:row>
    <x:row r="58" ht="18" customHeight="1">
      <x:c r="B58" s="3"/>
      <x:c r="C58" s="3"/>
      <x:c r="D58" s="3"/>
      <x:c r="E58" s="3"/>
      <x:c r="F58" s="3"/>
    </x:row>
    <x:row r="59" ht="18" customHeight="1">
      <x:c r="B59" s="3"/>
      <x:c r="C59" s="3"/>
      <x:c r="D59" s="3"/>
      <x:c r="E59" s="3"/>
      <x:c r="F59" s="3"/>
    </x:row>
    <x:row r="60" ht="18" customHeight="1">
      <x:c r="B60" s="3"/>
      <x:c r="C60" s="3"/>
      <x:c r="D60" s="3"/>
      <x:c r="E60" s="3"/>
      <x:c r="F60" s="3"/>
    </x:row>
    <x:row r="61" ht="18" customHeight="1">
      <x:c r="B61" s="3"/>
      <x:c r="C61" s="3"/>
      <x:c r="D61" s="3"/>
      <x:c r="E61" s="3"/>
      <x:c r="F61" s="3"/>
    </x:row>
    <x:row r="62" ht="18" customHeight="1">
      <x:c r="B62" s="3"/>
      <x:c r="C62" s="3"/>
      <x:c r="D62" s="3"/>
      <x:c r="E62" s="3"/>
      <x:c r="F62" s="3"/>
    </x:row>
    <x:row r="63" ht="18" customHeight="1">
      <x:c r="B63" s="3"/>
      <x:c r="C63" s="3"/>
      <x:c r="D63" s="3"/>
      <x:c r="E63" s="3"/>
      <x:c r="F63" s="3"/>
    </x:row>
    <x:row r="64" ht="18" customHeight="1">
      <x:c r="B64" s="3"/>
      <x:c r="C64" s="3"/>
      <x:c r="D64" s="3"/>
      <x:c r="E64" s="3"/>
      <x:c r="F64" s="3"/>
    </x:row>
    <x:row r="65" ht="18" customHeight="1">
      <x:c r="B65" s="3"/>
      <x:c r="C65" s="3"/>
      <x:c r="D65" s="3"/>
      <x:c r="E65" s="3"/>
      <x:c r="F65" s="3"/>
    </x:row>
    <x:row r="66" ht="18" customHeight="1">
      <x:c r="B66" s="3"/>
      <x:c r="C66" s="3"/>
      <x:c r="D66" s="3"/>
      <x:c r="E66" s="3"/>
      <x:c r="F66" s="3"/>
    </x:row>
    <x:row r="67" ht="18" customHeight="1">
      <x:c r="B67" s="3"/>
      <x:c r="C67" s="3"/>
      <x:c r="D67" s="3"/>
      <x:c r="E67" s="3"/>
      <x:c r="F67" s="3"/>
    </x:row>
    <x:row r="68" ht="18" customHeight="1">
      <x:c r="B68" s="3"/>
      <x:c r="C68" s="3"/>
      <x:c r="D68" s="3"/>
      <x:c r="E68" s="3"/>
      <x:c r="F68" s="3"/>
    </x:row>
  </x:sheetData>
  <x:mergeCells>
    <x:mergeCell ref="B2:H2"/>
    <x:mergeCell ref="B3:F3"/>
    <x:mergeCell ref="B6:F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6" hidden="0" customWidth="1"/>
    <x:col min="3" max="3" width="16" hidden="0" customWidth="1"/>
    <x:col min="4" max="4" width="14" hidden="0" customWidth="1"/>
    <x:col min="5" max="5" width="17" hidden="0" customWidth="1"/>
    <x:col min="6" max="6" width="18" hidden="0" customWidth="1"/>
    <x:col min="7" max="7" width="18" hidden="0" customWidth="1"/>
    <x:col min="8" max="8" width="18" hidden="0" customWidth="1"/>
    <x:col min="9" max="9" width="16" hidden="0" customWidth="1"/>
    <x:col min="10" max="10" width="14" hidden="0" customWidth="1"/>
    <x:col min="11" max="11" width="14" hidden="0" customWidth="1"/>
    <x:col min="12" max="12" width="12" hidden="0" customWidth="1"/>
  </x:cols>
  <x:sheetData>
    <x:row r="2" ht="18" customHeight="1">
      <x:c r="B2" s="4" t="str">
        <x:v>Representative hardware envelopes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18" customHeight="1">
      <x:c r="B3" s="5" t="str">
        <x:v>Tile cassettes fit inside certified family allowance; carrier truth nodes create explicit test-mass corrections</x:v>
      </x:c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18" customHeight="1"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</x:row>
    <x:row r="5" ht="18" customHeight="1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</x:row>
    <x:row r="6" ht="18" customHeight="1">
      <x:c r="B6" s="17" t="str">
        <x:v>Node</x:v>
      </x:c>
      <x:c r="C6" s="18" t="str">
        <x:v>Prior kg</x:v>
      </x:c>
      <x:c r="D6" s="18" t="str">
        <x:v>Selected kg</x:v>
      </x:c>
      <x:c r="E6" s="18" t="str">
        <x:v>Increment kg</x:v>
      </x:c>
      <x:c r="F6" s="18" t="str">
        <x:v>Host allowance kg</x:v>
      </x:c>
      <x:c r="G6" s="18" t="str">
        <x:v>Fits host</x:v>
      </x:c>
      <x:c r="H6" s="18" t="str">
        <x:v>Installed volume m3</x:v>
      </x:c>
      <x:c r="I6" s="18" t="str">
        <x:v>Average kW</x:v>
      </x:c>
      <x:c r="J6" s="18" t="str">
        <x:v>Peak kW</x:v>
      </x:c>
      <x:c r="K6" s="18" t="str">
        <x:v>Storage TB</x:v>
      </x:c>
      <x:c r="L6" s="19" t="str">
        <x:v>State</x:v>
      </x:c>
    </x:row>
    <x:row r="7" ht="18" customHeight="1">
      <x:c r="B7" s="3" t="str">
        <x:v>Air tile cassette</x:v>
      </x:c>
      <x:c r="C7" s="3" t="n">
        <x:v>75</x:v>
      </x:c>
      <x:c r="D7" s="3" t="n">
        <x:v>110</x:v>
      </x:c>
      <x:c r="E7" s="3" t="n">
        <x:f>D7-C7</x:f>
        <x:v>35</x:v>
      </x:c>
      <x:c r="F7" s="3" t="n">
        <x:v>550</x:v>
      </x:c>
      <x:c r="G7" s="3" t="str">
        <x:f>IF(E7&lt;=F7,"PASS","FAIL")</x:f>
        <x:v>PASS</x:v>
      </x:c>
      <x:c r="H7" s="3" t="n">
        <x:v>0.22</x:v>
      </x:c>
      <x:c r="I7" s="3" t="n">
        <x:v>0.055</x:v>
      </x:c>
      <x:c r="J7" s="3" t="n">
        <x:v>0.18</x:v>
      </x:c>
      <x:c r="K7" s="3" t="n">
        <x:v>8</x:v>
      </x:c>
      <x:c r="L7" s="3" t="str">
        <x:v>OPEN</x:v>
      </x:c>
    </x:row>
    <x:row r="8" ht="18" customHeight="1">
      <x:c r="B8" s="3" t="str">
        <x:v>Terrain tile cassette</x:v>
      </x:c>
      <x:c r="C8" s="3" t="n">
        <x:v>75</x:v>
      </x:c>
      <x:c r="D8" s="3" t="n">
        <x:v>135</x:v>
      </x:c>
      <x:c r="E8" s="3" t="n">
        <x:f>D8-C8</x:f>
        <x:v>60</x:v>
      </x:c>
      <x:c r="F8" s="3" t="n">
        <x:v>550</x:v>
      </x:c>
      <x:c r="G8" s="3" t="str">
        <x:f>IF(E8&lt;=F8,"PASS","FAIL")</x:f>
        <x:v>PASS</x:v>
      </x:c>
      <x:c r="H8" s="3" t="n">
        <x:v>0.28</x:v>
      </x:c>
      <x:c r="I8" s="3" t="n">
        <x:v>0.065</x:v>
      </x:c>
      <x:c r="J8" s="3" t="n">
        <x:v>0.22</x:v>
      </x:c>
      <x:c r="K8" s="3" t="n">
        <x:v>8</x:v>
      </x:c>
      <x:c r="L8" s="3" t="str">
        <x:v>OPEN</x:v>
      </x:c>
    </x:row>
    <x:row r="9" ht="18" customHeight="1">
      <x:c r="B9" s="3" t="str">
        <x:v>Air carrier truth node</x:v>
      </x:c>
      <x:c r="C9" s="3" t="n">
        <x:v>350</x:v>
      </x:c>
      <x:c r="D9" s="3" t="n">
        <x:v>1200</x:v>
      </x:c>
      <x:c r="E9" s="3" t="n">
        <x:f>D9-C9</x:f>
        <x:v>850</x:v>
      </x:c>
      <x:c r="F9" s="3" t="n">
        <x:v>0</x:v>
      </x:c>
      <x:c r="G9" s="3" t="str">
        <x:v>separate test mass</x:v>
      </x:c>
      <x:c r="H9" s="3" t="n">
        <x:v>2.8</x:v>
      </x:c>
      <x:c r="I9" s="3" t="n">
        <x:v>0.8</x:v>
      </x:c>
      <x:c r="J9" s="3" t="n">
        <x:v>2.2</x:v>
      </x:c>
      <x:c r="K9" s="3" t="n">
        <x:v>24</x:v>
      </x:c>
      <x:c r="L9" s="3" t="str">
        <x:v>OPEN</x:v>
      </x:c>
    </x:row>
    <x:row r="10" ht="18" customHeight="1">
      <x:c r="B10" s="3" t="str">
        <x:v>Terrain carrier truth node</x:v>
      </x:c>
      <x:c r="C10" s="3" t="n">
        <x:v>350</x:v>
      </x:c>
      <x:c r="D10" s="3" t="n">
        <x:v>2600</x:v>
      </x:c>
      <x:c r="E10" s="3" t="n">
        <x:f>D10-C10</x:f>
        <x:v>2250</x:v>
      </x:c>
      <x:c r="F10" s="3" t="n">
        <x:v>0</x:v>
      </x:c>
      <x:c r="G10" s="3" t="str">
        <x:v>separate test mass</x:v>
      </x:c>
      <x:c r="H10" s="3" t="n">
        <x:v>8.5</x:v>
      </x:c>
      <x:c r="I10" s="3" t="n">
        <x:v>0.6</x:v>
      </x:c>
      <x:c r="J10" s="3" t="n">
        <x:v>3.5</x:v>
      </x:c>
      <x:c r="K10" s="3" t="n">
        <x:v>24</x:v>
      </x:c>
      <x:c r="L10" s="3" t="str">
        <x:v>OPEN</x:v>
      </x:c>
    </x:row>
    <x:row r="11" ht="18" customHeight="1">
      <x:c r="B11" s="3" t="str">
        <x:v>Civil receiver truth station</x:v>
      </x:c>
      <x:c r="C11" s="3" t="n">
        <x:v>0</x:v>
      </x:c>
      <x:c r="D11" s="3" t="n">
        <x:v>2800</x:v>
      </x:c>
      <x:c r="E11" s="3" t="n">
        <x:f>D11-C11</x:f>
        <x:v>2800</x:v>
      </x:c>
      <x:c r="F11" s="3" t="n">
        <x:v>0</x:v>
      </x:c>
      <x:c r="G11" s="3" t="str">
        <x:v>receiver capacity</x:v>
      </x:c>
      <x:c r="H11" s="3" t="n">
        <x:v>12</x:v>
      </x:c>
      <x:c r="I11" s="3" t="n">
        <x:v>1.2</x:v>
      </x:c>
      <x:c r="J11" s="3" t="n">
        <x:v>3.2</x:v>
      </x:c>
      <x:c r="K11" s="3" t="n">
        <x:v>64</x:v>
      </x:c>
      <x:c r="L11" s="3" t="str">
        <x:v>OPEN</x:v>
      </x:c>
    </x:row>
    <x:row r="12" ht="18" customHeight="1"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</x:row>
    <x:row r="13" ht="18" customHeight="1"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</x:row>
    <x:row r="14" ht="18" customHeight="1">
      <x:c r="B14" s="9" t="str">
        <x:v>Carrier feedback and production equivalence</x:v>
      </x:c>
      <x:c r="C14" s="10" t="str">
        <x:v>Carrier feedback and production equivalence</x:v>
      </x:c>
      <x:c r="D14" s="10" t="str">
        <x:v>Carrier feedback and production equivalence</x:v>
      </x:c>
      <x:c r="E14" s="10" t="str">
        <x:v>Carrier feedback and production equivalence</x:v>
      </x:c>
      <x:c r="F14" s="10" t="str">
        <x:v>Carrier feedback and production equivalence</x:v>
      </x:c>
      <x:c r="G14" s="10" t="str">
        <x:v>Carrier feedback and production equivalence</x:v>
      </x:c>
      <x:c r="H14" s="10" t="str">
        <x:v>Carrier feedback and production equivalence</x:v>
      </x:c>
      <x:c r="I14" s="10" t="str">
        <x:v>Carrier feedback and production equivalence</x:v>
      </x:c>
      <x:c r="J14" s="10" t="str">
        <x:v>Carrier feedback and production equivalence</x:v>
      </x:c>
      <x:c r="K14" s="10" t="str">
        <x:v>Carrier feedback and production equivalence</x:v>
      </x:c>
      <x:c r="L14" s="11" t="str">
        <x:v>Carrier feedback and production equivalence</x:v>
      </x:c>
    </x:row>
    <x:row r="15" ht="18" customHeight="1">
      <x:c r="B15" s="17" t="str">
        <x:v>Measure</x:v>
      </x:c>
      <x:c r="C15" s="18" t="str">
        <x:v>Value</x:v>
      </x:c>
      <x:c r="D15" s="18" t="str">
        <x:v>Unit</x:v>
      </x:c>
      <x:c r="E15" s="18" t="str">
        <x:v>Prior</x:v>
      </x:c>
      <x:c r="F15" s="18" t="str">
        <x:v>Rule</x:v>
      </x:c>
      <x:c r="G15" s="19" t="str">
        <x:v>Result</x:v>
      </x:c>
      <x:c r="H15" s="3"/>
      <x:c r="I15" s="3"/>
      <x:c r="J15" s="3"/>
      <x:c r="K15" s="3"/>
      <x:c r="L15" s="3"/>
    </x:row>
    <x:row r="16" ht="26" customHeight="1">
      <x:c r="B16" s="3" t="str">
        <x:v>Air carrier node increment</x:v>
      </x:c>
      <x:c r="C16" s="3" t="n">
        <x:f>(Assumptions!C20-Assumptions!C16)/1000</x:f>
        <x:v>0.85</x:v>
      </x:c>
      <x:c r="D16" s="3" t="str">
        <x:v>t</x:v>
      </x:c>
      <x:c r="E16" s="3" t="n">
        <x:v>0.35</x:v>
      </x:c>
      <x:c r="F16" s="3" t="str">
        <x:v>selected less prior</x:v>
      </x:c>
      <x:c r="G16" s="3" t="str">
        <x:f>IF(C16&gt;0,"PASS","FAIL")</x:f>
        <x:v>PASS</x:v>
      </x:c>
      <x:c r="H16" s="3"/>
      <x:c r="I16" s="3"/>
      <x:c r="J16" s="3"/>
      <x:c r="K16" s="3"/>
      <x:c r="L16" s="3"/>
    </x:row>
    <x:row r="17" ht="26" customHeight="1">
      <x:c r="B17" s="3" t="str">
        <x:v>Revised air instrumented gross</x:v>
      </x:c>
      <x:c r="C17" s="3" t="n">
        <x:f>Assumptions!C25+C16*Assumptions!C27</x:f>
        <x:v>1469.3005199999998</x:v>
      </x:c>
      <x:c r="D17" s="3" t="str">
        <x:v>t</x:v>
      </x:c>
      <x:c r="E17" s="3" t="n">
        <x:v>1468.322</x:v>
      </x:c>
      <x:c r="F17" s="3" t="str">
        <x:v>prior plus feedback</x:v>
      </x:c>
      <x:c r="G17" s="3" t="str">
        <x:f>IF(C17&gt;0,"PASS","FAIL")</x:f>
        <x:v>PASS</x:v>
      </x:c>
      <x:c r="H17" s="3"/>
      <x:c r="I17" s="3"/>
      <x:c r="J17" s="3"/>
      <x:c r="K17" s="3"/>
      <x:c r="L17" s="3"/>
    </x:row>
    <x:row r="18" ht="26" customHeight="1">
      <x:c r="B18" s="3" t="str">
        <x:v>Terrain carrier node increment</x:v>
      </x:c>
      <x:c r="C18" s="3" t="n">
        <x:f>(Assumptions!C21-Assumptions!C17)/1000</x:f>
        <x:v>2.25</x:v>
      </x:c>
      <x:c r="D18" s="3" t="str">
        <x:v>t</x:v>
      </x:c>
      <x:c r="E18" s="3" t="n">
        <x:v>0.35</x:v>
      </x:c>
      <x:c r="F18" s="3" t="str">
        <x:v>selected less prior</x:v>
      </x:c>
      <x:c r="G18" s="3" t="str">
        <x:f>IF(C18&gt;0,"PASS","FAIL")</x:f>
        <x:v>PASS</x:v>
      </x:c>
      <x:c r="H18" s="3"/>
      <x:c r="I18" s="3"/>
      <x:c r="J18" s="3"/>
      <x:c r="K18" s="3"/>
      <x:c r="L18" s="3"/>
    </x:row>
    <x:row r="19" ht="26" customHeight="1">
      <x:c r="B19" s="3" t="str">
        <x:v>Revised terrain instrumented gross</x:v>
      </x:c>
      <x:c r="C19" s="3" t="n">
        <x:f>Assumptions!C26+C18*Assumptions!C28</x:f>
        <x:v>723.7859999249999</x:v>
      </x:c>
      <x:c r="D19" s="3" t="str">
        <x:v>t</x:v>
      </x:c>
      <x:c r="E19" s="3" t="n">
        <x:v>720.957</x:v>
      </x:c>
      <x:c r="F19" s="3" t="str">
        <x:v>prior plus feedback</x:v>
      </x:c>
      <x:c r="G19" s="3" t="str">
        <x:f>IF(C19&gt;0,"PASS","FAIL")</x:f>
        <x:v>PASS</x:v>
      </x:c>
      <x:c r="H19" s="3"/>
      <x:c r="I19" s="3"/>
      <x:c r="J19" s="3"/>
      <x:c r="K19" s="3"/>
      <x:c r="L19" s="3"/>
    </x:row>
    <x:row r="20" ht="26" customHeight="1">
      <x:c r="B20" s="3" t="str">
        <x:v>Revised terrain pressure</x:v>
      </x:c>
      <x:c r="C20" s="3" t="n">
        <x:f>Assumptions!C29*C19/Assumptions!C26</x:f>
        <x:v>34.38359770340576</x:v>
      </x:c>
      <x:c r="D20" s="3" t="str">
        <x:v>kPa</x:v>
      </x:c>
      <x:c r="E20" s="3" t="n">
        <x:v>34.2492055</x:v>
      </x:c>
      <x:c r="F20" s="3" t="str">
        <x:v>scales with instrumented gross</x:v>
      </x:c>
      <x:c r="G20" s="3" t="str">
        <x:f>IF(C20&gt;0,"PASS","FAIL")</x:f>
        <x:v>PASS</x:v>
      </x:c>
      <x:c r="H20" s="3"/>
      <x:c r="I20" s="3"/>
      <x:c r="J20" s="3"/>
      <x:c r="K20" s="3"/>
      <x:c r="L20" s="3"/>
    </x:row>
    <x:row r="21" ht="26" customHeight="1">
      <x:c r="B21" s="3" t="str">
        <x:v>Physical pressure margin</x:v>
      </x:c>
      <x:c r="C21" s="3" t="n">
        <x:f>Assumptions!C30-C20</x:f>
        <x:v>0.36640229659423795</x:v>
      </x:c>
      <x:c r="D21" s="3" t="str">
        <x:v>kPa</x:v>
      </x:c>
      <x:c r="E21" s="3" t="n">
        <x:v>0</x:v>
      </x:c>
      <x:c r="F21" s="3" t="str">
        <x:v>evidence threshold less revised pressure</x:v>
      </x:c>
      <x:c r="G21" s="3" t="str">
        <x:f>IF(C21&gt;0,"PASS","FAIL")</x:f>
        <x:v>PASS</x:v>
      </x:c>
      <x:c r="H21" s="3"/>
      <x:c r="I21" s="3"/>
      <x:c r="J21" s="3"/>
      <x:c r="K21" s="3"/>
      <x:c r="L21" s="3"/>
    </x:row>
    <x:row r="22" ht="26" customHeight="1">
      <x:c r="B22" s="3" t="str">
        <x:v>Maximum permitted U95</x:v>
      </x:c>
      <x:c r="C22" s="3" t="n">
        <x:f>C21*Assumptions!C31</x:f>
        <x:v>0.18320114829711898</x:v>
      </x:c>
      <x:c r="D22" s="3" t="str">
        <x:v>kPa</x:v>
      </x:c>
      <x:c r="E22" s="3" t="n">
        <x:v>0</x:v>
      </x:c>
      <x:c r="F22" s="3" t="str">
        <x:v>half physical margin</x:v>
      </x:c>
      <x:c r="G22" s="3" t="str">
        <x:f>IF(C22&gt;0,"PASS","FAIL")</x:f>
        <x:v>PASS</x:v>
      </x:c>
      <x:c r="H22" s="3"/>
      <x:c r="I22" s="3"/>
      <x:c r="J22" s="3"/>
      <x:c r="K22" s="3"/>
      <x:c r="L22" s="3"/>
    </x:row>
    <x:row r="23" ht="26" customHeight="1">
      <x:c r="B23" s="3" t="str">
        <x:v>Mass-equivalence rule</x:v>
      </x:c>
      <x:c r="C23" s="3" t="n">
        <x:v>1</x:v>
      </x:c>
      <x:c r="D23" s="3" t="str">
        <x:v>binary</x:v>
      </x:c>
      <x:c r="E23" s="3" t="n">
        <x:v>1</x:v>
      </x:c>
      <x:c r="F23" s="3" t="str">
        <x:v>instrument removal paired with inert mass and heat emulator</x:v>
      </x:c>
      <x:c r="G23" s="3" t="str">
        <x:v>PASS</x:v>
      </x:c>
      <x:c r="H23" s="3"/>
      <x:c r="I23" s="3"/>
      <x:c r="J23" s="3"/>
      <x:c r="K23" s="3"/>
      <x:c r="L23" s="3"/>
    </x:row>
    <x:row r="24" ht="18" customHeight="1"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</x:row>
    <x:row r="25" ht="18" customHeight="1"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</x:row>
    <x:row r="26" ht="18" customHeight="1"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</x:row>
    <x:row r="27" ht="18" customHeight="1"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</x:row>
    <x:row r="28" ht="18" customHeight="1"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</x:row>
    <x:row r="29" ht="18" customHeight="1"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</x:row>
    <x:row r="30" ht="18" customHeight="1"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</x:row>
    <x:row r="31" ht="18" customHeight="1"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</x:row>
    <x:row r="32" ht="18" customHeight="1"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</x:row>
    <x:row r="33" ht="18" customHeight="1"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</x:row>
    <x:row r="34" ht="18" customHeight="1"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</x:row>
    <x:row r="35" ht="18" customHeight="1"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</x:row>
  </x:sheetData>
  <x:mergeCells>
    <x:mergeCell ref="B2:H2"/>
    <x:mergeCell ref="B3:L3"/>
    <x:mergeCell ref="B14:L14"/>
  </x:mergeCells>
  <x:conditionalFormatting sqref="G7:G8">
    <x:cfRule type="containsText" dxfId="50" priority="1" operator="containsText" text="FAIL"/>
    <x:cfRule type="containsText" dxfId="51" priority="2" operator="containsText" text="PASS"/>
    <x:cfRule type="containsText" dxfId="52" priority="3" operator="containsText" text="OPEN"/>
    <x:cfRule type="containsText" dxfId="53" priority="4" operator="containsText" text="HOLD"/>
    <x:cfRule type="containsText" dxfId="54" priority="5" operator="containsText" text="BLOCKED"/>
  </x:conditionalFormatting>
  <x:conditionalFormatting sqref="L7:L11">
    <x:cfRule type="containsText" dxfId="55" priority="6" operator="containsText" text="FAIL"/>
    <x:cfRule type="containsText" dxfId="56" priority="7" operator="containsText" text="PASS"/>
    <x:cfRule type="containsText" dxfId="57" priority="8" operator="containsText" text="OPEN"/>
    <x:cfRule type="containsText" dxfId="58" priority="9" operator="containsText" text="HOLD"/>
    <x:cfRule type="containsText" dxfId="59" priority="10" operator="containsText" text="BLOCKED"/>
  </x:conditionalFormatting>
  <x:conditionalFormatting sqref="G16:G23">
    <x:cfRule type="containsText" dxfId="60" priority="11" operator="containsText" text="FAIL"/>
    <x:cfRule type="containsText" dxfId="61" priority="12" operator="containsText" text="PASS"/>
    <x:cfRule type="containsText" dxfId="62" priority="13" operator="containsText" text="OPEN"/>
    <x:cfRule type="containsText" dxfId="63" priority="14" operator="containsText" text="HOLD"/>
    <x:cfRule type="containsText" dxfId="64" priority="15" operator="containsText" text="BLOCKED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5" hidden="0" customWidth="1"/>
    <x:col min="3" max="3" width="14" hidden="0" customWidth="1"/>
    <x:col min="4" max="4" width="14" hidden="0" customWidth="1"/>
    <x:col min="5" max="5" width="15" hidden="0" customWidth="1"/>
    <x:col min="6" max="6" width="14" hidden="0" customWidth="1"/>
    <x:col min="7" max="7" width="48" hidden="0" customWidth="1"/>
    <x:col min="8" max="8" width="26" hidden="0" customWidth="1"/>
    <x:col min="9" max="9" width="12" hidden="0" customWidth="1"/>
    <x:col min="10" max="10" width="18" hidden="0" customWidth="1"/>
  </x:cols>
  <x:sheetData>
    <x:row r="2" ht="18" customHeight="1">
      <x:c r="B2" s="4" t="str">
        <x:v>air tile kit</x:v>
      </x:c>
      <x:c r="C2" s="3"/>
      <x:c r="D2" s="3"/>
      <x:c r="E2" s="3"/>
      <x:c r="F2" s="3"/>
      <x:c r="G2" s="3"/>
      <x:c r="H2" s="3"/>
      <x:c r="I2" s="3"/>
      <x:c r="J2" s="3"/>
    </x:row>
    <x:row r="3" ht="18" customHeight="1">
      <x:c r="B3" s="5" t="str">
        <x:v>Mass, volume, power and function are explicit before any packaging or exterior form is selected</x:v>
      </x:c>
      <x:c r="C3" s="3"/>
      <x:c r="D3" s="3"/>
      <x:c r="E3" s="3"/>
      <x:c r="F3" s="3"/>
      <x:c r="G3" s="3"/>
      <x:c r="H3" s="3"/>
      <x:c r="I3" s="3"/>
      <x:c r="J3" s="3"/>
    </x:row>
    <x:row r="4" ht="18" customHeight="1">
      <x:c r="B4" s="6"/>
      <x:c r="C4" s="6"/>
      <x:c r="D4" s="6"/>
      <x:c r="E4" s="6"/>
      <x:c r="F4" s="6"/>
      <x:c r="G4" s="6"/>
      <x:c r="H4" s="6"/>
      <x:c r="I4" s="6"/>
      <x:c r="J4" s="6"/>
    </x:row>
    <x:row r="5" ht="18" customHeight="1">
      <x:c r="B5" s="3"/>
      <x:c r="C5" s="3"/>
      <x:c r="D5" s="3"/>
      <x:c r="E5" s="3"/>
      <x:c r="F5" s="3"/>
      <x:c r="G5" s="3"/>
      <x:c r="H5" s="3"/>
      <x:c r="I5" s="3"/>
      <x:c r="J5" s="3"/>
    </x:row>
    <x:row r="6" ht="18" customHeight="1">
      <x:c r="B6" s="23" t="str">
        <x:v>Component</x:v>
      </x:c>
      <x:c r="C6" s="24" t="str">
        <x:v>Mass kg</x:v>
      </x:c>
      <x:c r="D6" s="24" t="str">
        <x:v>Volume m3</x:v>
      </x:c>
      <x:c r="E6" s="24" t="str">
        <x:v>Average W</x:v>
      </x:c>
      <x:c r="F6" s="24" t="str">
        <x:v>Peak W</x:v>
      </x:c>
      <x:c r="G6" s="24" t="str">
        <x:v>Function</x:v>
      </x:c>
      <x:c r="H6" s="24" t="str">
        <x:v>Custody</x:v>
      </x:c>
      <x:c r="I6" s="24" t="str">
        <x:v>State</x:v>
      </x:c>
      <x:c r="J6" s="24" t="str">
        <x:v>Control</x:v>
      </x:c>
    </x:row>
    <x:row r="7" ht="18" customHeight="1">
      <x:c r="B7" s="25" t="str">
        <x:v>Passive isolation and harness</x:v>
      </x:c>
      <x:c r="C7" s="25" t="n">
        <x:v>9</x:v>
      </x:c>
      <x:c r="D7" s="25" t="n">
        <x:v>0.026</x:v>
      </x:c>
      <x:c r="E7" s="25" t="n">
        <x:v>2</x:v>
      </x:c>
      <x:c r="F7" s="25" t="n">
        <x:v>5</x:v>
      </x:c>
      <x:c r="G7" s="25" t="str">
        <x:v>one-way signals and bounded wiring</x:v>
      </x:c>
      <x:c r="H7" s="25" t="str">
        <x:v>independent evidence authority</x:v>
      </x:c>
      <x:c r="I7" s="25" t="str">
        <x:v>OPEN</x:v>
      </x:c>
      <x:c r="J7" s="27" t="str"/>
    </x:row>
    <x:row r="8" ht="18" customHeight="1">
      <x:c r="B8" s="25" t="str">
        <x:v>Structural and load sensors</x:v>
      </x:c>
      <x:c r="C8" s="25" t="n">
        <x:v>7</x:v>
      </x:c>
      <x:c r="D8" s="25" t="n">
        <x:v>0.012</x:v>
      </x:c>
      <x:c r="E8" s="25" t="n">
        <x:v>8</x:v>
      </x:c>
      <x:c r="F8" s="25" t="n">
        <x:v>20</x:v>
      </x:c>
      <x:c r="G8" s="25" t="str">
        <x:v>strain shock load and damage growth</x:v>
      </x:c>
      <x:c r="H8" s="25" t="str">
        <x:v>independent evidence authority</x:v>
      </x:c>
      <x:c r="I8" s="25" t="str">
        <x:v>OPEN</x:v>
      </x:c>
      <x:c r="J8" s="27" t="str"/>
    </x:row>
    <x:row r="9" ht="18" customHeight="1">
      <x:c r="B9" s="25" t="str">
        <x:v>Electrical probes</x:v>
      </x:c>
      <x:c r="C9" s="25" t="n">
        <x:v>4</x:v>
      </x:c>
      <x:c r="D9" s="25" t="n">
        <x:v>0.008</x:v>
      </x:c>
      <x:c r="E9" s="25" t="n">
        <x:v>6</x:v>
      </x:c>
      <x:c r="F9" s="25" t="n">
        <x:v>20</x:v>
      </x:c>
      <x:c r="G9" s="25" t="str">
        <x:v>waveform protection and fault energy</x:v>
      </x:c>
      <x:c r="H9" s="25" t="str">
        <x:v>independent evidence authority</x:v>
      </x:c>
      <x:c r="I9" s="25" t="str">
        <x:v>OPEN</x:v>
      </x:c>
      <x:c r="J9" s="27" t="str"/>
    </x:row>
    <x:row r="10" ht="18" customHeight="1">
      <x:c r="B10" s="25" t="str">
        <x:v>Fluid and thermal sensors</x:v>
      </x:c>
      <x:c r="C10" s="25" t="n">
        <x:v>5</x:v>
      </x:c>
      <x:c r="D10" s="25" t="n">
        <x:v>0.01</x:v>
      </x:c>
      <x:c r="E10" s="25" t="n">
        <x:v>7</x:v>
      </x:c>
      <x:c r="F10" s="25" t="n">
        <x:v>20</x:v>
      </x:c>
      <x:c r="G10" s="25" t="str">
        <x:v>flow pressure quality and heat</x:v>
      </x:c>
      <x:c r="H10" s="25" t="str">
        <x:v>independent evidence authority</x:v>
      </x:c>
      <x:c r="I10" s="25" t="str">
        <x:v>OPEN</x:v>
      </x:c>
      <x:c r="J10" s="27" t="str"/>
    </x:row>
    <x:row r="11" ht="18" customHeight="1">
      <x:c r="B11" s="25" t="str">
        <x:v>Acquisition and isolation</x:v>
      </x:c>
      <x:c r="C11" s="25" t="n">
        <x:v>8</x:v>
      </x:c>
      <x:c r="D11" s="25" t="n">
        <x:v>0.016</x:v>
      </x:c>
      <x:c r="E11" s="25" t="n">
        <x:v>12</x:v>
      </x:c>
      <x:c r="F11" s="25" t="n">
        <x:v>40</x:v>
      </x:c>
      <x:c r="G11" s="25" t="str">
        <x:v>independent conversion and anti-aliasing</x:v>
      </x:c>
      <x:c r="H11" s="25" t="str">
        <x:v>independent evidence authority</x:v>
      </x:c>
      <x:c r="I11" s="25" t="str">
        <x:v>OPEN</x:v>
      </x:c>
      <x:c r="J11" s="27" t="str"/>
    </x:row>
    <x:row r="12" ht="18" customHeight="1">
      <x:c r="B12" s="25" t="str">
        <x:v>Evidence compute</x:v>
      </x:c>
      <x:c r="C12" s="25" t="n">
        <x:v>5</x:v>
      </x:c>
      <x:c r="D12" s="25" t="n">
        <x:v>0.01</x:v>
      </x:c>
      <x:c r="E12" s="25" t="n">
        <x:v>8</x:v>
      </x:c>
      <x:c r="F12" s="25" t="n">
        <x:v>25</x:v>
      </x:c>
      <x:c r="G12" s="25" t="str">
        <x:v>local event extraction without control</x:v>
      </x:c>
      <x:c r="H12" s="25" t="str">
        <x:v>independent evidence authority</x:v>
      </x:c>
      <x:c r="I12" s="25" t="str">
        <x:v>OPEN</x:v>
      </x:c>
      <x:c r="J12" s="27" t="str"/>
    </x:row>
    <x:row r="13" ht="18" customHeight="1">
      <x:c r="B13" s="25" t="str">
        <x:v>Write-once storage</x:v>
      </x:c>
      <x:c r="C13" s="25" t="n">
        <x:v>4</x:v>
      </x:c>
      <x:c r="D13" s="25" t="n">
        <x:v>0.004</x:v>
      </x:c>
      <x:c r="E13" s="25" t="n">
        <x:v>5</x:v>
      </x:c>
      <x:c r="F13" s="25" t="n">
        <x:v>10</x:v>
      </x:c>
      <x:c r="G13" s="25" t="str">
        <x:v>eight-terabyte evidence store</x:v>
      </x:c>
      <x:c r="H13" s="25" t="str">
        <x:v>independent evidence authority</x:v>
      </x:c>
      <x:c r="I13" s="25" t="str">
        <x:v>OPEN</x:v>
      </x:c>
      <x:c r="J13" s="27" t="str"/>
    </x:row>
    <x:row r="14" ht="18" customHeight="1">
      <x:c r="B14" s="25" t="str">
        <x:v>Diverse clock ensemble</x:v>
      </x:c>
      <x:c r="C14" s="25" t="n">
        <x:v>3</x:v>
      </x:c>
      <x:c r="D14" s="25" t="n">
        <x:v>0.003</x:v>
      </x:c>
      <x:c r="E14" s="25" t="n">
        <x:v>4</x:v>
      </x:c>
      <x:c r="F14" s="25" t="n">
        <x:v>8</x:v>
      </x:c>
      <x:c r="G14" s="25" t="str">
        <x:v>independent event order</x:v>
      </x:c>
      <x:c r="H14" s="25" t="str">
        <x:v>independent evidence authority</x:v>
      </x:c>
      <x:c r="I14" s="25" t="str">
        <x:v>OPEN</x:v>
      </x:c>
      <x:c r="J14" s="27" t="str"/>
    </x:row>
    <x:row r="15" ht="18" customHeight="1">
      <x:c r="B15" s="25" t="str">
        <x:v>Battery and management</x:v>
      </x:c>
      <x:c r="C15" s="25" t="n">
        <x:v>52.5</x:v>
      </x:c>
      <x:c r="D15" s="25" t="n">
        <x:v>0.095</x:v>
      </x:c>
      <x:c r="E15" s="25" t="n">
        <x:v>3</x:v>
      </x:c>
      <x:c r="F15" s="25" t="n">
        <x:v>32</x:v>
      </x:c>
      <x:c r="G15" s="25" t="str">
        <x:v>168-hour isolated energy</x:v>
      </x:c>
      <x:c r="H15" s="25" t="str">
        <x:v>independent evidence authority</x:v>
      </x:c>
      <x:c r="I15" s="25" t="str">
        <x:v>OPEN</x:v>
      </x:c>
      <x:c r="J15" s="27" t="str"/>
    </x:row>
    <x:row r="16" ht="18" customHeight="1">
      <x:c r="B16" s="25" t="str">
        <x:v>Enclosure and thermal buffer</x:v>
      </x:c>
      <x:c r="C16" s="25" t="n">
        <x:v>12.5</x:v>
      </x:c>
      <x:c r="D16" s="25" t="n">
        <x:v>0.036</x:v>
      </x:c>
      <x:c r="E16" s="25" t="n">
        <x:v>0</x:v>
      </x:c>
      <x:c r="F16" s="25" t="n">
        <x:v>0</x:v>
      </x:c>
      <x:c r="G16" s="25" t="str">
        <x:v>fire isolation and outward heat rejection</x:v>
      </x:c>
      <x:c r="H16" s="25" t="str">
        <x:v>independent evidence authority</x:v>
      </x:c>
      <x:c r="I16" s="25" t="str">
        <x:v>OPEN</x:v>
      </x:c>
      <x:c r="J16" s="27" t="str"/>
    </x:row>
    <x:row r="17" ht="18" customHeight="1">
      <x:c r="B17" s="29" t="str">
        <x:v>TOTAL</x:v>
      </x:c>
      <x:c r="C17" s="29" t="n">
        <x:f>SUM(C7:C16)</x:f>
        <x:v>110</x:v>
      </x:c>
      <x:c r="D17" s="29" t="n">
        <x:f>SUM(D7:D16)</x:f>
        <x:v>0.22</x:v>
      </x:c>
      <x:c r="E17" s="29" t="n">
        <x:f>SUM(E7:E16)</x:f>
        <x:v>55</x:v>
      </x:c>
      <x:c r="F17" s="29" t="n">
        <x:f>SUM(F7:F16)</x:f>
        <x:v>180</x:v>
      </x:c>
      <x:c r="G17" s="29" t="str"/>
      <x:c r="H17" s="29" t="str"/>
      <x:c r="I17" s="29" t="str"/>
      <x:c r="J17" s="31" t="str"/>
    </x:row>
    <x:row r="18" ht="18" customHeight="1">
      <x:c r="B18" s="3"/>
      <x:c r="C18" s="3"/>
      <x:c r="D18" s="3"/>
      <x:c r="E18" s="3"/>
      <x:c r="F18" s="3"/>
      <x:c r="G18" s="3"/>
      <x:c r="H18" s="3"/>
      <x:c r="I18" s="3"/>
      <x:c r="J18" s="3"/>
    </x:row>
    <x:row r="19" ht="18" customHeight="1">
      <x:c r="B19" s="3"/>
      <x:c r="C19" s="3"/>
      <x:c r="D19" s="3"/>
      <x:c r="E19" s="3"/>
      <x:c r="F19" s="3"/>
      <x:c r="G19" s="3"/>
      <x:c r="H19" s="3"/>
      <x:c r="I19" s="3"/>
      <x:c r="J19" s="3"/>
    </x:row>
    <x:row r="20" ht="18" customHeight="1">
      <x:c r="B20" s="9" t="str">
        <x:v>Envelope checks</x:v>
      </x:c>
      <x:c r="C20" s="10" t="str">
        <x:v>Envelope checks</x:v>
      </x:c>
      <x:c r="D20" s="10" t="str">
        <x:v>Envelope checks</x:v>
      </x:c>
      <x:c r="E20" s="10" t="str">
        <x:v>Envelope checks</x:v>
      </x:c>
      <x:c r="F20" s="10" t="str">
        <x:v>Envelope checks</x:v>
      </x:c>
      <x:c r="G20" s="10" t="str">
        <x:v>Envelope checks</x:v>
      </x:c>
      <x:c r="H20" s="10" t="str">
        <x:v>Envelope checks</x:v>
      </x:c>
      <x:c r="I20" s="10" t="str">
        <x:v>Envelope checks</x:v>
      </x:c>
      <x:c r="J20" s="11" t="str">
        <x:v>Envelope checks</x:v>
      </x:c>
    </x:row>
    <x:row r="21" ht="18" customHeight="1">
      <x:c r="B21" s="17" t="str">
        <x:v>Measure</x:v>
      </x:c>
      <x:c r="C21" s="18" t="str">
        <x:v>Observed</x:v>
      </x:c>
      <x:c r="D21" s="18" t="str">
        <x:v>Limit</x:v>
      </x:c>
      <x:c r="E21" s="18" t="str">
        <x:v>Unit</x:v>
      </x:c>
      <x:c r="F21" s="19" t="str">
        <x:v>Result</x:v>
      </x:c>
      <x:c r="G21" s="3"/>
      <x:c r="H21" s="3"/>
      <x:c r="I21" s="3"/>
      <x:c r="J21" s="3"/>
    </x:row>
    <x:row r="22" ht="18" customHeight="1">
      <x:c r="B22" s="3" t="str">
        <x:v>Mass</x:v>
      </x:c>
      <x:c r="C22" s="3" t="n">
        <x:f>C17</x:f>
        <x:v>110</x:v>
      </x:c>
      <x:c r="D22" s="3" t="n">
        <x:v>110</x:v>
      </x:c>
      <x:c r="E22" s="3" t="str">
        <x:v>kg</x:v>
      </x:c>
      <x:c r="F22" s="3" t="str">
        <x:f>IF(C22&lt;=D22,"PASS","FAIL")</x:f>
        <x:v>PASS</x:v>
      </x:c>
      <x:c r="G22" s="3"/>
      <x:c r="H22" s="3"/>
      <x:c r="I22" s="3"/>
      <x:c r="J22" s="3"/>
    </x:row>
    <x:row r="23" ht="18" customHeight="1">
      <x:c r="B23" s="3" t="str">
        <x:v>Volume</x:v>
      </x:c>
      <x:c r="C23" s="3" t="n">
        <x:f>D17</x:f>
        <x:v>0.22</x:v>
      </x:c>
      <x:c r="D23" s="3" t="n">
        <x:v>0.22</x:v>
      </x:c>
      <x:c r="E23" s="3" t="str">
        <x:v>m3</x:v>
      </x:c>
      <x:c r="F23" s="3" t="str">
        <x:f>IF(C23&lt;=D23,"PASS","FAIL")</x:f>
        <x:v>PASS</x:v>
      </x:c>
      <x:c r="G23" s="3"/>
      <x:c r="H23" s="3"/>
      <x:c r="I23" s="3"/>
      <x:c r="J23" s="3"/>
    </x:row>
    <x:row r="24" ht="18" customHeight="1">
      <x:c r="B24" s="3" t="str">
        <x:v>Average power</x:v>
      </x:c>
      <x:c r="C24" s="3" t="n">
        <x:f>E17</x:f>
        <x:v>55</x:v>
      </x:c>
      <x:c r="D24" s="3" t="n">
        <x:v>55</x:v>
      </x:c>
      <x:c r="E24" s="3" t="str">
        <x:v>W</x:v>
      </x:c>
      <x:c r="F24" s="3" t="str">
        <x:f>IF(C24&lt;=D24,"PASS","FAIL")</x:f>
        <x:v>PASS</x:v>
      </x:c>
      <x:c r="G24" s="3"/>
      <x:c r="H24" s="3"/>
      <x:c r="I24" s="3"/>
      <x:c r="J24" s="3"/>
    </x:row>
    <x:row r="25" ht="18" customHeight="1">
      <x:c r="B25" s="3" t="str">
        <x:v>Peak power</x:v>
      </x:c>
      <x:c r="C25" s="3" t="n">
        <x:f>F17</x:f>
        <x:v>180</x:v>
      </x:c>
      <x:c r="D25" s="3" t="n">
        <x:v>180</x:v>
      </x:c>
      <x:c r="E25" s="3" t="str">
        <x:v>W</x:v>
      </x:c>
      <x:c r="F25" s="3" t="str">
        <x:f>IF(C25&lt;=D25,"PASS","FAIL")</x:f>
        <x:v>PASS</x:v>
      </x:c>
      <x:c r="G25" s="3"/>
      <x:c r="H25" s="3"/>
      <x:c r="I25" s="3"/>
      <x:c r="J25" s="3"/>
    </x:row>
    <x:row r="26" ht="18" customHeight="1">
      <x:c r="B26" s="3" t="str">
        <x:v>Installed storage</x:v>
      </x:c>
      <x:c r="C26" s="3" t="n">
        <x:v>8</x:v>
      </x:c>
      <x:c r="D26" s="3" t="n">
        <x:v>8</x:v>
      </x:c>
      <x:c r="E26" s="3" t="str">
        <x:v>TB</x:v>
      </x:c>
      <x:c r="F26" s="3" t="str">
        <x:f>IF(C26=D26,"PASS","FAIL")</x:f>
        <x:v>PASS</x:v>
      </x:c>
      <x:c r="G26" s="3"/>
      <x:c r="H26" s="3"/>
      <x:c r="I26" s="3"/>
      <x:c r="J26" s="3"/>
    </x:row>
    <x:row r="27" ht="18" customHeight="1">
      <x:c r="B27" s="3"/>
      <x:c r="C27" s="3"/>
      <x:c r="D27" s="3"/>
      <x:c r="E27" s="3"/>
      <x:c r="F27" s="3"/>
      <x:c r="G27" s="3"/>
      <x:c r="H27" s="3"/>
      <x:c r="I27" s="3"/>
      <x:c r="J27" s="3"/>
    </x:row>
    <x:row r="28" ht="18" customHeight="1">
      <x:c r="B28" s="3"/>
      <x:c r="C28" s="3"/>
      <x:c r="D28" s="3"/>
      <x:c r="E28" s="3"/>
      <x:c r="F28" s="3"/>
      <x:c r="G28" s="3"/>
      <x:c r="H28" s="3"/>
      <x:c r="I28" s="3"/>
      <x:c r="J28" s="3"/>
    </x:row>
  </x:sheetData>
  <x:mergeCells>
    <x:mergeCell ref="B2:H2"/>
    <x:mergeCell ref="B3:J3"/>
    <x:mergeCell ref="B20:J20"/>
  </x:mergeCells>
  <x:conditionalFormatting sqref="I7:I16">
    <x:cfRule type="containsText" dxfId="0" priority="1" operator="containsText" text="FAIL"/>
    <x:cfRule type="containsText" dxfId="1" priority="2" operator="containsText" text="PASS"/>
    <x:cfRule type="containsText" dxfId="2" priority="3" operator="containsText" text="OPEN"/>
    <x:cfRule type="containsText" dxfId="3" priority="4" operator="containsText" text="HOLD"/>
    <x:cfRule type="containsText" dxfId="4" priority="5" operator="containsText" text="BLOCKED"/>
  </x:conditionalFormatting>
  <x:conditionalFormatting sqref="F22:F26">
    <x:cfRule type="containsText" dxfId="5" priority="6" operator="containsText" text="FAIL"/>
    <x:cfRule type="containsText" dxfId="6" priority="7" operator="containsText" text="PASS"/>
    <x:cfRule type="containsText" dxfId="7" priority="8" operator="containsText" text="OPEN"/>
    <x:cfRule type="containsText" dxfId="8" priority="9" operator="containsText" text="HOLD"/>
    <x:cfRule type="containsText" dxfId="9" priority="10" operator="containsText" text="BLOCKED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5" hidden="0" customWidth="1"/>
    <x:col min="3" max="3" width="14" hidden="0" customWidth="1"/>
    <x:col min="4" max="4" width="14" hidden="0" customWidth="1"/>
    <x:col min="5" max="5" width="15" hidden="0" customWidth="1"/>
    <x:col min="6" max="6" width="14" hidden="0" customWidth="1"/>
    <x:col min="7" max="7" width="48" hidden="0" customWidth="1"/>
    <x:col min="8" max="8" width="26" hidden="0" customWidth="1"/>
    <x:col min="9" max="9" width="12" hidden="0" customWidth="1"/>
    <x:col min="10" max="10" width="18" hidden="0" customWidth="1"/>
  </x:cols>
  <x:sheetData>
    <x:row r="2" ht="18" customHeight="1">
      <x:c r="B2" s="4" t="str">
        <x:v>terrain tile kit</x:v>
      </x:c>
      <x:c r="C2" s="3"/>
      <x:c r="D2" s="3"/>
      <x:c r="E2" s="3"/>
      <x:c r="F2" s="3"/>
      <x:c r="G2" s="3"/>
      <x:c r="H2" s="3"/>
      <x:c r="I2" s="3"/>
      <x:c r="J2" s="3"/>
    </x:row>
    <x:row r="3" ht="18" customHeight="1">
      <x:c r="B3" s="5" t="str">
        <x:v>Mass, volume, power and function are explicit before any packaging or exterior form is selected</x:v>
      </x:c>
      <x:c r="C3" s="3"/>
      <x:c r="D3" s="3"/>
      <x:c r="E3" s="3"/>
      <x:c r="F3" s="3"/>
      <x:c r="G3" s="3"/>
      <x:c r="H3" s="3"/>
      <x:c r="I3" s="3"/>
      <x:c r="J3" s="3"/>
    </x:row>
    <x:row r="4" ht="18" customHeight="1">
      <x:c r="B4" s="6"/>
      <x:c r="C4" s="6"/>
      <x:c r="D4" s="6"/>
      <x:c r="E4" s="6"/>
      <x:c r="F4" s="6"/>
      <x:c r="G4" s="6"/>
      <x:c r="H4" s="6"/>
      <x:c r="I4" s="6"/>
      <x:c r="J4" s="6"/>
    </x:row>
    <x:row r="5" ht="18" customHeight="1">
      <x:c r="B5" s="3"/>
      <x:c r="C5" s="3"/>
      <x:c r="D5" s="3"/>
      <x:c r="E5" s="3"/>
      <x:c r="F5" s="3"/>
      <x:c r="G5" s="3"/>
      <x:c r="H5" s="3"/>
      <x:c r="I5" s="3"/>
      <x:c r="J5" s="3"/>
    </x:row>
    <x:row r="6" ht="18" customHeight="1">
      <x:c r="B6" s="23" t="str">
        <x:v>Component</x:v>
      </x:c>
      <x:c r="C6" s="24" t="str">
        <x:v>Mass kg</x:v>
      </x:c>
      <x:c r="D6" s="24" t="str">
        <x:v>Volume m3</x:v>
      </x:c>
      <x:c r="E6" s="24" t="str">
        <x:v>Average W</x:v>
      </x:c>
      <x:c r="F6" s="24" t="str">
        <x:v>Peak W</x:v>
      </x:c>
      <x:c r="G6" s="24" t="str">
        <x:v>Function</x:v>
      </x:c>
      <x:c r="H6" s="24" t="str">
        <x:v>Custody</x:v>
      </x:c>
      <x:c r="I6" s="24" t="str">
        <x:v>State</x:v>
      </x:c>
      <x:c r="J6" s="24" t="str">
        <x:v>Control</x:v>
      </x:c>
    </x:row>
    <x:row r="7" ht="18" customHeight="1">
      <x:c r="B7" s="25" t="str">
        <x:v>Passive isolation and harness</x:v>
      </x:c>
      <x:c r="C7" s="25" t="n">
        <x:v>12</x:v>
      </x:c>
      <x:c r="D7" s="25" t="n">
        <x:v>0.033</x:v>
      </x:c>
      <x:c r="E7" s="25" t="n">
        <x:v>2</x:v>
      </x:c>
      <x:c r="F7" s="25" t="n">
        <x:v>5</x:v>
      </x:c>
      <x:c r="G7" s="25" t="str">
        <x:v>rugged one-way signals</x:v>
      </x:c>
      <x:c r="H7" s="25" t="str">
        <x:v>independent evidence authority</x:v>
      </x:c>
      <x:c r="I7" s="25" t="str">
        <x:v>OPEN</x:v>
      </x:c>
      <x:c r="J7" s="27" t="str"/>
    </x:row>
    <x:row r="8" ht="18" customHeight="1">
      <x:c r="B8" s="25" t="str">
        <x:v>Structural sensors</x:v>
      </x:c>
      <x:c r="C8" s="25" t="n">
        <x:v>8</x:v>
      </x:c>
      <x:c r="D8" s="25" t="n">
        <x:v>0.014</x:v>
      </x:c>
      <x:c r="E8" s="25" t="n">
        <x:v>8</x:v>
      </x:c>
      <x:c r="F8" s="25" t="n">
        <x:v>20</x:v>
      </x:c>
      <x:c r="G8" s="25" t="str">
        <x:v>impact and load path</x:v>
      </x:c>
      <x:c r="H8" s="25" t="str">
        <x:v>independent evidence authority</x:v>
      </x:c>
      <x:c r="I8" s="25" t="str">
        <x:v>OPEN</x:v>
      </x:c>
      <x:c r="J8" s="27" t="str"/>
    </x:row>
    <x:row r="9" ht="18" customHeight="1">
      <x:c r="B9" s="25" t="str">
        <x:v>Electrical probes</x:v>
      </x:c>
      <x:c r="C9" s="25" t="n">
        <x:v>5</x:v>
      </x:c>
      <x:c r="D9" s="25" t="n">
        <x:v>0.009</x:v>
      </x:c>
      <x:c r="E9" s="25" t="n">
        <x:v>5</x:v>
      </x:c>
      <x:c r="F9" s="25" t="n">
        <x:v>15</x:v>
      </x:c>
      <x:c r="G9" s="25" t="str">
        <x:v>waveform and protection</x:v>
      </x:c>
      <x:c r="H9" s="25" t="str">
        <x:v>independent evidence authority</x:v>
      </x:c>
      <x:c r="I9" s="25" t="str">
        <x:v>OPEN</x:v>
      </x:c>
      <x:c r="J9" s="27" t="str"/>
    </x:row>
    <x:row r="10" ht="18" customHeight="1">
      <x:c r="B10" s="25" t="str">
        <x:v>Fluid sensors</x:v>
      </x:c>
      <x:c r="C10" s="25" t="n">
        <x:v>6</x:v>
      </x:c>
      <x:c r="D10" s="25" t="n">
        <x:v>0.012</x:v>
      </x:c>
      <x:c r="E10" s="25" t="n">
        <x:v>6</x:v>
      </x:c>
      <x:c r="F10" s="25" t="n">
        <x:v>15</x:v>
      </x:c>
      <x:c r="G10" s="25" t="str">
        <x:v>flow pressure and residual state</x:v>
      </x:c>
      <x:c r="H10" s="25" t="str">
        <x:v>independent evidence authority</x:v>
      </x:c>
      <x:c r="I10" s="25" t="str">
        <x:v>OPEN</x:v>
      </x:c>
      <x:c r="J10" s="27" t="str"/>
    </x:row>
    <x:row r="11" ht="18" customHeight="1">
      <x:c r="B11" s="25" t="str">
        <x:v>Thermal sensors</x:v>
      </x:c>
      <x:c r="C11" s="25" t="n">
        <x:v>5</x:v>
      </x:c>
      <x:c r="D11" s="25" t="n">
        <x:v>0.01</x:v>
      </x:c>
      <x:c r="E11" s="25" t="n">
        <x:v>5</x:v>
      </x:c>
      <x:c r="F11" s="25" t="n">
        <x:v>15</x:v>
      </x:c>
      <x:c r="G11" s="25" t="str">
        <x:v>temperature and heat flow</x:v>
      </x:c>
      <x:c r="H11" s="25" t="str">
        <x:v>independent evidence authority</x:v>
      </x:c>
      <x:c r="I11" s="25" t="str">
        <x:v>OPEN</x:v>
      </x:c>
      <x:c r="J11" s="27" t="str"/>
    </x:row>
    <x:row r="12" ht="18" customHeight="1">
      <x:c r="B12" s="25" t="str">
        <x:v>Motion and geometry</x:v>
      </x:c>
      <x:c r="C12" s="25" t="n">
        <x:v>8</x:v>
      </x:c>
      <x:c r="D12" s="25" t="n">
        <x:v>0.018</x:v>
      </x:c>
      <x:c r="E12" s="25" t="n">
        <x:v>8</x:v>
      </x:c>
      <x:c r="F12" s="25" t="n">
        <x:v>25</x:v>
      </x:c>
      <x:c r="G12" s="25" t="str">
        <x:v>pose transfer and local contact</x:v>
      </x:c>
      <x:c r="H12" s="25" t="str">
        <x:v>independent evidence authority</x:v>
      </x:c>
      <x:c r="I12" s="25" t="str">
        <x:v>OPEN</x:v>
      </x:c>
      <x:c r="J12" s="27" t="str"/>
    </x:row>
    <x:row r="13" ht="18" customHeight="1">
      <x:c r="B13" s="25" t="str">
        <x:v>Acquisition and isolation</x:v>
      </x:c>
      <x:c r="C13" s="25" t="n">
        <x:v>9</x:v>
      </x:c>
      <x:c r="D13" s="25" t="n">
        <x:v>0.018</x:v>
      </x:c>
      <x:c r="E13" s="25" t="n">
        <x:v>12</x:v>
      </x:c>
      <x:c r="F13" s="25" t="n">
        <x:v>40</x:v>
      </x:c>
      <x:c r="G13" s="25" t="str">
        <x:v>independent conversion</x:v>
      </x:c>
      <x:c r="H13" s="25" t="str">
        <x:v>independent evidence authority</x:v>
      </x:c>
      <x:c r="I13" s="25" t="str">
        <x:v>OPEN</x:v>
      </x:c>
      <x:c r="J13" s="27" t="str"/>
    </x:row>
    <x:row r="14" ht="18" customHeight="1">
      <x:c r="B14" s="25" t="str">
        <x:v>Evidence compute</x:v>
      </x:c>
      <x:c r="C14" s="25" t="n">
        <x:v>5</x:v>
      </x:c>
      <x:c r="D14" s="25" t="n">
        <x:v>0.011</x:v>
      </x:c>
      <x:c r="E14" s="25" t="n">
        <x:v>8</x:v>
      </x:c>
      <x:c r="F14" s="25" t="n">
        <x:v>25</x:v>
      </x:c>
      <x:c r="G14" s="25" t="str">
        <x:v>local event extraction</x:v>
      </x:c>
      <x:c r="H14" s="25" t="str">
        <x:v>independent evidence authority</x:v>
      </x:c>
      <x:c r="I14" s="25" t="str">
        <x:v>OPEN</x:v>
      </x:c>
      <x:c r="J14" s="27" t="str"/>
    </x:row>
    <x:row r="15" ht="18" customHeight="1">
      <x:c r="B15" s="25" t="str">
        <x:v>Write-once storage</x:v>
      </x:c>
      <x:c r="C15" s="25" t="n">
        <x:v>4</x:v>
      </x:c>
      <x:c r="D15" s="25" t="n">
        <x:v>0.004</x:v>
      </x:c>
      <x:c r="E15" s="25" t="n">
        <x:v>5</x:v>
      </x:c>
      <x:c r="F15" s="25" t="n">
        <x:v>15</x:v>
      </x:c>
      <x:c r="G15" s="25" t="str">
        <x:v>eight-terabyte evidence store</x:v>
      </x:c>
      <x:c r="H15" s="25" t="str">
        <x:v>independent evidence authority</x:v>
      </x:c>
      <x:c r="I15" s="25" t="str">
        <x:v>OPEN</x:v>
      </x:c>
      <x:c r="J15" s="27" t="str"/>
    </x:row>
    <x:row r="16" ht="18" customHeight="1">
      <x:c r="B16" s="25" t="str">
        <x:v>Diverse clock ensemble</x:v>
      </x:c>
      <x:c r="C16" s="25" t="n">
        <x:v>3</x:v>
      </x:c>
      <x:c r="D16" s="25" t="n">
        <x:v>0.003</x:v>
      </x:c>
      <x:c r="E16" s="25" t="n">
        <x:v>4</x:v>
      </x:c>
      <x:c r="F16" s="25" t="n">
        <x:v>10</x:v>
      </x:c>
      <x:c r="G16" s="25" t="str">
        <x:v>independent event order</x:v>
      </x:c>
      <x:c r="H16" s="25" t="str">
        <x:v>independent evidence authority</x:v>
      </x:c>
      <x:c r="I16" s="25" t="str">
        <x:v>OPEN</x:v>
      </x:c>
      <x:c r="J16" s="27" t="str"/>
    </x:row>
    <x:row r="17" ht="18" customHeight="1">
      <x:c r="B17" s="25" t="str">
        <x:v>Battery and management</x:v>
      </x:c>
      <x:c r="C17" s="25" t="n">
        <x:v>62.05</x:v>
      </x:c>
      <x:c r="D17" s="25" t="n">
        <x:v>0.118</x:v>
      </x:c>
      <x:c r="E17" s="25" t="n">
        <x:v>2</x:v>
      </x:c>
      <x:c r="F17" s="25" t="n">
        <x:v>15</x:v>
      </x:c>
      <x:c r="G17" s="25" t="str">
        <x:v>168-hour isolated energy</x:v>
      </x:c>
      <x:c r="H17" s="25" t="str">
        <x:v>independent evidence authority</x:v>
      </x:c>
      <x:c r="I17" s="25" t="str">
        <x:v>OPEN</x:v>
      </x:c>
      <x:c r="J17" s="27" t="str"/>
    </x:row>
    <x:row r="18" ht="18" customHeight="1">
      <x:c r="B18" s="25" t="str">
        <x:v>Enclosure and thermal buffer</x:v>
      </x:c>
      <x:c r="C18" s="25" t="n">
        <x:v>7.95</x:v>
      </x:c>
      <x:c r="D18" s="25" t="n">
        <x:v>0.03</x:v>
      </x:c>
      <x:c r="E18" s="25" t="n">
        <x:v>0</x:v>
      </x:c>
      <x:c r="F18" s="25" t="n">
        <x:v>20</x:v>
      </x:c>
      <x:c r="G18" s="25" t="str">
        <x:v>contamination and outward rejection</x:v>
      </x:c>
      <x:c r="H18" s="25" t="str">
        <x:v>independent evidence authority</x:v>
      </x:c>
      <x:c r="I18" s="25" t="str">
        <x:v>OPEN</x:v>
      </x:c>
      <x:c r="J18" s="27" t="str"/>
    </x:row>
    <x:row r="19" ht="18" customHeight="1">
      <x:c r="B19" s="29" t="str">
        <x:v>TOTAL</x:v>
      </x:c>
      <x:c r="C19" s="29" t="n">
        <x:f>SUM(C7:C18)</x:f>
        <x:v>135</x:v>
      </x:c>
      <x:c r="D19" s="29" t="n">
        <x:f>SUM(D7:D18)</x:f>
        <x:v>0.28</x:v>
      </x:c>
      <x:c r="E19" s="29" t="n">
        <x:f>SUM(E7:E18)</x:f>
        <x:v>65</x:v>
      </x:c>
      <x:c r="F19" s="29" t="n">
        <x:f>SUM(F7:F18)</x:f>
        <x:v>220</x:v>
      </x:c>
      <x:c r="G19" s="29" t="str"/>
      <x:c r="H19" s="29" t="str"/>
      <x:c r="I19" s="29" t="str"/>
      <x:c r="J19" s="31" t="str"/>
    </x:row>
    <x:row r="20" ht="18" customHeight="1">
      <x:c r="B20" s="3"/>
      <x:c r="C20" s="3"/>
      <x:c r="D20" s="3"/>
      <x:c r="E20" s="3"/>
      <x:c r="F20" s="3"/>
      <x:c r="G20" s="3"/>
      <x:c r="H20" s="3"/>
      <x:c r="I20" s="3"/>
      <x:c r="J20" s="3"/>
    </x:row>
    <x:row r="21" ht="18" customHeight="1">
      <x:c r="B21" s="3"/>
      <x:c r="C21" s="3"/>
      <x:c r="D21" s="3"/>
      <x:c r="E21" s="3"/>
      <x:c r="F21" s="3"/>
      <x:c r="G21" s="3"/>
      <x:c r="H21" s="3"/>
      <x:c r="I21" s="3"/>
      <x:c r="J21" s="3"/>
    </x:row>
    <x:row r="22" ht="18" customHeight="1">
      <x:c r="B22" s="9" t="str">
        <x:v>Envelope checks</x:v>
      </x:c>
      <x:c r="C22" s="10" t="str">
        <x:v>Envelope checks</x:v>
      </x:c>
      <x:c r="D22" s="10" t="str">
        <x:v>Envelope checks</x:v>
      </x:c>
      <x:c r="E22" s="10" t="str">
        <x:v>Envelope checks</x:v>
      </x:c>
      <x:c r="F22" s="10" t="str">
        <x:v>Envelope checks</x:v>
      </x:c>
      <x:c r="G22" s="10" t="str">
        <x:v>Envelope checks</x:v>
      </x:c>
      <x:c r="H22" s="10" t="str">
        <x:v>Envelope checks</x:v>
      </x:c>
      <x:c r="I22" s="10" t="str">
        <x:v>Envelope checks</x:v>
      </x:c>
      <x:c r="J22" s="11" t="str">
        <x:v>Envelope checks</x:v>
      </x:c>
    </x:row>
    <x:row r="23" ht="18" customHeight="1">
      <x:c r="B23" s="17" t="str">
        <x:v>Measure</x:v>
      </x:c>
      <x:c r="C23" s="18" t="str">
        <x:v>Observed</x:v>
      </x:c>
      <x:c r="D23" s="18" t="str">
        <x:v>Limit</x:v>
      </x:c>
      <x:c r="E23" s="18" t="str">
        <x:v>Unit</x:v>
      </x:c>
      <x:c r="F23" s="19" t="str">
        <x:v>Result</x:v>
      </x:c>
      <x:c r="G23" s="3"/>
      <x:c r="H23" s="3"/>
      <x:c r="I23" s="3"/>
      <x:c r="J23" s="3"/>
    </x:row>
    <x:row r="24" ht="18" customHeight="1">
      <x:c r="B24" s="3" t="str">
        <x:v>Mass</x:v>
      </x:c>
      <x:c r="C24" s="3" t="n">
        <x:f>C19</x:f>
        <x:v>135</x:v>
      </x:c>
      <x:c r="D24" s="3" t="n">
        <x:v>135</x:v>
      </x:c>
      <x:c r="E24" s="3" t="str">
        <x:v>kg</x:v>
      </x:c>
      <x:c r="F24" s="3" t="str">
        <x:f>IF(C24&lt;=D24,"PASS","FAIL")</x:f>
        <x:v>PASS</x:v>
      </x:c>
      <x:c r="G24" s="3"/>
      <x:c r="H24" s="3"/>
      <x:c r="I24" s="3"/>
      <x:c r="J24" s="3"/>
    </x:row>
    <x:row r="25" ht="18" customHeight="1">
      <x:c r="B25" s="3" t="str">
        <x:v>Volume</x:v>
      </x:c>
      <x:c r="C25" s="3" t="n">
        <x:f>D19</x:f>
        <x:v>0.28</x:v>
      </x:c>
      <x:c r="D25" s="3" t="n">
        <x:v>0.28</x:v>
      </x:c>
      <x:c r="E25" s="3" t="str">
        <x:v>m3</x:v>
      </x:c>
      <x:c r="F25" s="3" t="str">
        <x:f>IF(C25&lt;=D25,"PASS","FAIL")</x:f>
        <x:v>PASS</x:v>
      </x:c>
      <x:c r="G25" s="3"/>
      <x:c r="H25" s="3"/>
      <x:c r="I25" s="3"/>
      <x:c r="J25" s="3"/>
    </x:row>
    <x:row r="26" ht="18" customHeight="1">
      <x:c r="B26" s="3" t="str">
        <x:v>Average power</x:v>
      </x:c>
      <x:c r="C26" s="3" t="n">
        <x:f>E19</x:f>
        <x:v>65</x:v>
      </x:c>
      <x:c r="D26" s="3" t="n">
        <x:v>65</x:v>
      </x:c>
      <x:c r="E26" s="3" t="str">
        <x:v>W</x:v>
      </x:c>
      <x:c r="F26" s="3" t="str">
        <x:f>IF(C26&lt;=D26,"PASS","FAIL")</x:f>
        <x:v>PASS</x:v>
      </x:c>
      <x:c r="G26" s="3"/>
      <x:c r="H26" s="3"/>
      <x:c r="I26" s="3"/>
      <x:c r="J26" s="3"/>
    </x:row>
    <x:row r="27" ht="18" customHeight="1">
      <x:c r="B27" s="3" t="str">
        <x:v>Peak power</x:v>
      </x:c>
      <x:c r="C27" s="3" t="n">
        <x:f>F19</x:f>
        <x:v>220</x:v>
      </x:c>
      <x:c r="D27" s="3" t="n">
        <x:v>220</x:v>
      </x:c>
      <x:c r="E27" s="3" t="str">
        <x:v>W</x:v>
      </x:c>
      <x:c r="F27" s="3" t="str">
        <x:f>IF(C27&lt;=D27,"PASS","FAIL")</x:f>
        <x:v>PASS</x:v>
      </x:c>
      <x:c r="G27" s="3"/>
      <x:c r="H27" s="3"/>
      <x:c r="I27" s="3"/>
      <x:c r="J27" s="3"/>
    </x:row>
    <x:row r="28" ht="18" customHeight="1">
      <x:c r="B28" s="3" t="str">
        <x:v>Installed storage</x:v>
      </x:c>
      <x:c r="C28" s="3" t="n">
        <x:v>8</x:v>
      </x:c>
      <x:c r="D28" s="3" t="n">
        <x:v>8</x:v>
      </x:c>
      <x:c r="E28" s="3" t="str">
        <x:v>TB</x:v>
      </x:c>
      <x:c r="F28" s="3" t="str">
        <x:f>IF(C28=D28,"PASS","FAIL")</x:f>
        <x:v>PASS</x:v>
      </x:c>
      <x:c r="G28" s="3"/>
      <x:c r="H28" s="3"/>
      <x:c r="I28" s="3"/>
      <x:c r="J28" s="3"/>
    </x:row>
    <x:row r="29" ht="18" customHeight="1">
      <x:c r="B29" s="3"/>
      <x:c r="C29" s="3"/>
      <x:c r="D29" s="3"/>
      <x:c r="E29" s="3"/>
      <x:c r="F29" s="3"/>
      <x:c r="G29" s="3"/>
      <x:c r="H29" s="3"/>
      <x:c r="I29" s="3"/>
      <x:c r="J29" s="3"/>
    </x:row>
    <x:row r="30" ht="18" customHeight="1">
      <x:c r="B30" s="3"/>
      <x:c r="C30" s="3"/>
      <x:c r="D30" s="3"/>
      <x:c r="E30" s="3"/>
      <x:c r="F30" s="3"/>
      <x:c r="G30" s="3"/>
      <x:c r="H30" s="3"/>
      <x:c r="I30" s="3"/>
      <x:c r="J30" s="3"/>
    </x:row>
  </x:sheetData>
  <x:mergeCells>
    <x:mergeCell ref="B2:H2"/>
    <x:mergeCell ref="B3:J3"/>
    <x:mergeCell ref="B22:J22"/>
  </x:mergeCells>
  <x:conditionalFormatting sqref="I7:I18">
    <x:cfRule type="containsText" dxfId="10" priority="1" operator="containsText" text="FAIL"/>
    <x:cfRule type="containsText" dxfId="11" priority="2" operator="containsText" text="PASS"/>
    <x:cfRule type="containsText" dxfId="12" priority="3" operator="containsText" text="OPEN"/>
    <x:cfRule type="containsText" dxfId="13" priority="4" operator="containsText" text="HOLD"/>
    <x:cfRule type="containsText" dxfId="14" priority="5" operator="containsText" text="BLOCKED"/>
  </x:conditionalFormatting>
  <x:conditionalFormatting sqref="F24:F28">
    <x:cfRule type="containsText" dxfId="15" priority="6" operator="containsText" text="FAIL"/>
    <x:cfRule type="containsText" dxfId="16" priority="7" operator="containsText" text="PASS"/>
    <x:cfRule type="containsText" dxfId="17" priority="8" operator="containsText" text="OPEN"/>
    <x:cfRule type="containsText" dxfId="18" priority="9" operator="containsText" text="HOLD"/>
    <x:cfRule type="containsText" dxfId="19" priority="10" operator="containsText" text="BLOCKED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5" hidden="0" customWidth="1"/>
    <x:col min="3" max="3" width="14" hidden="0" customWidth="1"/>
    <x:col min="4" max="4" width="14" hidden="0" customWidth="1"/>
    <x:col min="5" max="5" width="15" hidden="0" customWidth="1"/>
    <x:col min="6" max="6" width="14" hidden="0" customWidth="1"/>
    <x:col min="7" max="7" width="48" hidden="0" customWidth="1"/>
    <x:col min="8" max="8" width="26" hidden="0" customWidth="1"/>
    <x:col min="9" max="9" width="12" hidden="0" customWidth="1"/>
    <x:col min="10" max="10" width="18" hidden="0" customWidth="1"/>
  </x:cols>
  <x:sheetData>
    <x:row r="2" ht="18" customHeight="1">
      <x:c r="B2" s="4" t="str">
        <x:v>air carrier node</x:v>
      </x:c>
      <x:c r="C2" s="3"/>
      <x:c r="D2" s="3"/>
      <x:c r="E2" s="3"/>
      <x:c r="F2" s="3"/>
      <x:c r="G2" s="3"/>
      <x:c r="H2" s="3"/>
      <x:c r="I2" s="3"/>
      <x:c r="J2" s="3"/>
    </x:row>
    <x:row r="3" ht="18" customHeight="1">
      <x:c r="B3" s="5" t="str">
        <x:v>Mass, volume, power and function are explicit before any packaging or exterior form is selected</x:v>
      </x:c>
      <x:c r="C3" s="3"/>
      <x:c r="D3" s="3"/>
      <x:c r="E3" s="3"/>
      <x:c r="F3" s="3"/>
      <x:c r="G3" s="3"/>
      <x:c r="H3" s="3"/>
      <x:c r="I3" s="3"/>
      <x:c r="J3" s="3"/>
    </x:row>
    <x:row r="4" ht="18" customHeight="1">
      <x:c r="B4" s="6"/>
      <x:c r="C4" s="6"/>
      <x:c r="D4" s="6"/>
      <x:c r="E4" s="6"/>
      <x:c r="F4" s="6"/>
      <x:c r="G4" s="6"/>
      <x:c r="H4" s="6"/>
      <x:c r="I4" s="6"/>
      <x:c r="J4" s="6"/>
    </x:row>
    <x:row r="5" ht="18" customHeight="1">
      <x:c r="B5" s="3"/>
      <x:c r="C5" s="3"/>
      <x:c r="D5" s="3"/>
      <x:c r="E5" s="3"/>
      <x:c r="F5" s="3"/>
      <x:c r="G5" s="3"/>
      <x:c r="H5" s="3"/>
      <x:c r="I5" s="3"/>
      <x:c r="J5" s="3"/>
    </x:row>
    <x:row r="6" ht="18" customHeight="1">
      <x:c r="B6" s="23" t="str">
        <x:v>Component</x:v>
      </x:c>
      <x:c r="C6" s="24" t="str">
        <x:v>Mass kg</x:v>
      </x:c>
      <x:c r="D6" s="24" t="str">
        <x:v>Volume m3</x:v>
      </x:c>
      <x:c r="E6" s="24" t="str">
        <x:v>Average W</x:v>
      </x:c>
      <x:c r="F6" s="24" t="str">
        <x:v>Peak W</x:v>
      </x:c>
      <x:c r="G6" s="24" t="str">
        <x:v>Function</x:v>
      </x:c>
      <x:c r="H6" s="24" t="str">
        <x:v>Custody</x:v>
      </x:c>
      <x:c r="I6" s="24" t="str">
        <x:v>State</x:v>
      </x:c>
      <x:c r="J6" s="24" t="str">
        <x:v>Control</x:v>
      </x:c>
    </x:row>
    <x:row r="7" ht="18" customHeight="1">
      <x:c r="B7" s="25" t="str">
        <x:v>Contact and lift witnesses</x:v>
      </x:c>
      <x:c r="C7" s="25" t="n">
        <x:v>85</x:v>
      </x:c>
      <x:c r="D7" s="25" t="n">
        <x:v>0.2</x:v>
      </x:c>
      <x:c r="E7" s="25" t="n">
        <x:v>120</x:v>
      </x:c>
      <x:c r="F7" s="25" t="n">
        <x:v>300</x:v>
      </x:c>
      <x:c r="G7" s="25" t="str">
        <x:v>sixteen feet and lift-cell state</x:v>
      </x:c>
      <x:c r="H7" s="25" t="str">
        <x:v>independent evidence authority</x:v>
      </x:c>
      <x:c r="I7" s="25" t="str">
        <x:v>OPEN</x:v>
      </x:c>
      <x:c r="J7" s="27" t="str"/>
    </x:row>
    <x:row r="8" ht="18" customHeight="1">
      <x:c r="B8" s="25" t="str">
        <x:v>Optical and weather witnesses</x:v>
      </x:c>
      <x:c r="C8" s="25" t="n">
        <x:v>70</x:v>
      </x:c>
      <x:c r="D8" s="25" t="n">
        <x:v>0.3</x:v>
      </x:c>
      <x:c r="E8" s="25" t="n">
        <x:v>140</x:v>
      </x:c>
      <x:c r="F8" s="25" t="n">
        <x:v>400</x:v>
      </x:c>
      <x:c r="G8" s="25" t="str">
        <x:v>geometry gust and unload field</x:v>
      </x:c>
      <x:c r="H8" s="25" t="str">
        <x:v>independent evidence authority</x:v>
      </x:c>
      <x:c r="I8" s="25" t="str">
        <x:v>OPEN</x:v>
      </x:c>
      <x:c r="J8" s="27" t="str"/>
    </x:row>
    <x:row r="9" ht="18" customHeight="1">
      <x:c r="B9" s="25" t="str">
        <x:v>Power and propulsion probes</x:v>
      </x:c>
      <x:c r="C9" s="25" t="n">
        <x:v>55</x:v>
      </x:c>
      <x:c r="D9" s="25" t="n">
        <x:v>0.15</x:v>
      </x:c>
      <x:c r="E9" s="25" t="n">
        <x:v>100</x:v>
      </x:c>
      <x:c r="F9" s="25" t="n">
        <x:v>250</x:v>
      </x:c>
      <x:c r="G9" s="25" t="str">
        <x:v>six trains buses and twelve pods</x:v>
      </x:c>
      <x:c r="H9" s="25" t="str">
        <x:v>independent evidence authority</x:v>
      </x:c>
      <x:c r="I9" s="25" t="str">
        <x:v>OPEN</x:v>
      </x:c>
      <x:c r="J9" s="27" t="str"/>
    </x:row>
    <x:row r="10" ht="18" customHeight="1">
      <x:c r="B10" s="25" t="str">
        <x:v>Acquisition and isolation</x:v>
      </x:c>
      <x:c r="C10" s="25" t="n">
        <x:v>60</x:v>
      </x:c>
      <x:c r="D10" s="25" t="n">
        <x:v>0.22</x:v>
      </x:c>
      <x:c r="E10" s="25" t="n">
        <x:v>160</x:v>
      </x:c>
      <x:c r="F10" s="25" t="n">
        <x:v>450</x:v>
      </x:c>
      <x:c r="G10" s="25" t="str">
        <x:v>independent high-rate capture</x:v>
      </x:c>
      <x:c r="H10" s="25" t="str">
        <x:v>independent evidence authority</x:v>
      </x:c>
      <x:c r="I10" s="25" t="str">
        <x:v>OPEN</x:v>
      </x:c>
      <x:c r="J10" s="27" t="str"/>
    </x:row>
    <x:row r="11" ht="18" customHeight="1">
      <x:c r="B11" s="25" t="str">
        <x:v>Evidence compute</x:v>
      </x:c>
      <x:c r="C11" s="25" t="n">
        <x:v>35</x:v>
      </x:c>
      <x:c r="D11" s="25" t="n">
        <x:v>0.12</x:v>
      </x:c>
      <x:c r="E11" s="25" t="n">
        <x:v>110</x:v>
      </x:c>
      <x:c r="F11" s="25" t="n">
        <x:v>300</x:v>
      </x:c>
      <x:c r="G11" s="25" t="str">
        <x:v>local physical-event grammar</x:v>
      </x:c>
      <x:c r="H11" s="25" t="str">
        <x:v>independent evidence authority</x:v>
      </x:c>
      <x:c r="I11" s="25" t="str">
        <x:v>OPEN</x:v>
      </x:c>
      <x:c r="J11" s="27" t="str"/>
    </x:row>
    <x:row r="12" ht="18" customHeight="1">
      <x:c r="B12" s="25" t="str">
        <x:v>Write-once storage</x:v>
      </x:c>
      <x:c r="C12" s="25" t="n">
        <x:v>18</x:v>
      </x:c>
      <x:c r="D12" s="25" t="n">
        <x:v>0.04</x:v>
      </x:c>
      <x:c r="E12" s="25" t="n">
        <x:v>70</x:v>
      </x:c>
      <x:c r="F12" s="25" t="n">
        <x:v>150</x:v>
      </x:c>
      <x:c r="G12" s="25" t="str">
        <x:v>twenty-four-terabyte store</x:v>
      </x:c>
      <x:c r="H12" s="25" t="str">
        <x:v>independent evidence authority</x:v>
      </x:c>
      <x:c r="I12" s="25" t="str">
        <x:v>OPEN</x:v>
      </x:c>
      <x:c r="J12" s="27" t="str"/>
    </x:row>
    <x:row r="13" ht="18" customHeight="1">
      <x:c r="B13" s="25" t="str">
        <x:v>Diverse clock ensemble</x:v>
      </x:c>
      <x:c r="C13" s="25" t="n">
        <x:v>8</x:v>
      </x:c>
      <x:c r="D13" s="25" t="n">
        <x:v>0.02</x:v>
      </x:c>
      <x:c r="E13" s="25" t="n">
        <x:v>20</x:v>
      </x:c>
      <x:c r="F13" s="25" t="n">
        <x:v>50</x:v>
      </x:c>
      <x:c r="G13" s="25" t="str">
        <x:v>carrier event order</x:v>
      </x:c>
      <x:c r="H13" s="25" t="str">
        <x:v>independent evidence authority</x:v>
      </x:c>
      <x:c r="I13" s="25" t="str">
        <x:v>OPEN</x:v>
      </x:c>
      <x:c r="J13" s="27" t="str"/>
    </x:row>
    <x:row r="14" ht="18" customHeight="1">
      <x:c r="B14" s="25" t="str">
        <x:v>Battery and management</x:v>
      </x:c>
      <x:c r="C14" s="25" t="n">
        <x:v>763.64</x:v>
      </x:c>
      <x:c r="D14" s="25" t="n">
        <x:v>1.54</x:v>
      </x:c>
      <x:c r="E14" s="25" t="n">
        <x:v>60</x:v>
      </x:c>
      <x:c r="F14" s="25" t="n">
        <x:v>250</x:v>
      </x:c>
      <x:c r="G14" s="25" t="str">
        <x:v>168-hour isolated energy</x:v>
      </x:c>
      <x:c r="H14" s="25" t="str">
        <x:v>independent evidence authority</x:v>
      </x:c>
      <x:c r="I14" s="25" t="str">
        <x:v>OPEN</x:v>
      </x:c>
      <x:c r="J14" s="27" t="str"/>
    </x:row>
    <x:row r="15" ht="18" customHeight="1">
      <x:c r="B15" s="25" t="str">
        <x:v>Enclosure and thermal buffer</x:v>
      </x:c>
      <x:c r="C15" s="25" t="n">
        <x:v>105.36</x:v>
      </x:c>
      <x:c r="D15" s="25" t="n">
        <x:v>0.21</x:v>
      </x:c>
      <x:c r="E15" s="25" t="n">
        <x:v>20</x:v>
      </x:c>
      <x:c r="F15" s="25" t="n">
        <x:v>50</x:v>
      </x:c>
      <x:c r="G15" s="25" t="str">
        <x:v>fire isolation and outward rejection</x:v>
      </x:c>
      <x:c r="H15" s="25" t="str">
        <x:v>independent evidence authority</x:v>
      </x:c>
      <x:c r="I15" s="25" t="str">
        <x:v>OPEN</x:v>
      </x:c>
      <x:c r="J15" s="27" t="str"/>
    </x:row>
    <x:row r="16" ht="18" customHeight="1">
      <x:c r="B16" s="29" t="str">
        <x:v>TOTAL</x:v>
      </x:c>
      <x:c r="C16" s="29" t="n">
        <x:f>SUM(C7:C15)</x:f>
        <x:v>1199.9999999999998</x:v>
      </x:c>
      <x:c r="D16" s="29" t="n">
        <x:f>SUM(D7:D15)</x:f>
        <x:v>2.8</x:v>
      </x:c>
      <x:c r="E16" s="29" t="n">
        <x:f>SUM(E7:E15)</x:f>
        <x:v>800</x:v>
      </x:c>
      <x:c r="F16" s="29" t="n">
        <x:f>SUM(F7:F15)</x:f>
        <x:v>2200</x:v>
      </x:c>
      <x:c r="G16" s="29" t="str"/>
      <x:c r="H16" s="29" t="str"/>
      <x:c r="I16" s="29" t="str"/>
      <x:c r="J16" s="31" t="str"/>
    </x:row>
    <x:row r="17" ht="18" customHeight="1">
      <x:c r="B17" s="3"/>
      <x:c r="C17" s="3"/>
      <x:c r="D17" s="3"/>
      <x:c r="E17" s="3"/>
      <x:c r="F17" s="3"/>
      <x:c r="G17" s="3"/>
      <x:c r="H17" s="3"/>
      <x:c r="I17" s="3"/>
      <x:c r="J17" s="3"/>
    </x:row>
    <x:row r="18" ht="18" customHeight="1">
      <x:c r="B18" s="3"/>
      <x:c r="C18" s="3"/>
      <x:c r="D18" s="3"/>
      <x:c r="E18" s="3"/>
      <x:c r="F18" s="3"/>
      <x:c r="G18" s="3"/>
      <x:c r="H18" s="3"/>
      <x:c r="I18" s="3"/>
      <x:c r="J18" s="3"/>
    </x:row>
    <x:row r="19" ht="18" customHeight="1">
      <x:c r="B19" s="9" t="str">
        <x:v>Envelope checks</x:v>
      </x:c>
      <x:c r="C19" s="10" t="str">
        <x:v>Envelope checks</x:v>
      </x:c>
      <x:c r="D19" s="10" t="str">
        <x:v>Envelope checks</x:v>
      </x:c>
      <x:c r="E19" s="10" t="str">
        <x:v>Envelope checks</x:v>
      </x:c>
      <x:c r="F19" s="10" t="str">
        <x:v>Envelope checks</x:v>
      </x:c>
      <x:c r="G19" s="10" t="str">
        <x:v>Envelope checks</x:v>
      </x:c>
      <x:c r="H19" s="10" t="str">
        <x:v>Envelope checks</x:v>
      </x:c>
      <x:c r="I19" s="10" t="str">
        <x:v>Envelope checks</x:v>
      </x:c>
      <x:c r="J19" s="11" t="str">
        <x:v>Envelope checks</x:v>
      </x:c>
    </x:row>
    <x:row r="20" ht="18" customHeight="1">
      <x:c r="B20" s="17" t="str">
        <x:v>Measure</x:v>
      </x:c>
      <x:c r="C20" s="18" t="str">
        <x:v>Observed</x:v>
      </x:c>
      <x:c r="D20" s="18" t="str">
        <x:v>Limit</x:v>
      </x:c>
      <x:c r="E20" s="18" t="str">
        <x:v>Unit</x:v>
      </x:c>
      <x:c r="F20" s="19" t="str">
        <x:v>Result</x:v>
      </x:c>
      <x:c r="G20" s="3"/>
      <x:c r="H20" s="3"/>
      <x:c r="I20" s="3"/>
      <x:c r="J20" s="3"/>
    </x:row>
    <x:row r="21" ht="18" customHeight="1">
      <x:c r="B21" s="3" t="str">
        <x:v>Mass</x:v>
      </x:c>
      <x:c r="C21" s="3" t="n">
        <x:f>C16</x:f>
        <x:v>1199.9999999999998</x:v>
      </x:c>
      <x:c r="D21" s="3" t="n">
        <x:v>1200</x:v>
      </x:c>
      <x:c r="E21" s="3" t="str">
        <x:v>kg</x:v>
      </x:c>
      <x:c r="F21" s="3" t="str">
        <x:f>IF(C21&lt;=D21,"PASS","FAIL")</x:f>
        <x:v>PASS</x:v>
      </x:c>
      <x:c r="G21" s="3"/>
      <x:c r="H21" s="3"/>
      <x:c r="I21" s="3"/>
      <x:c r="J21" s="3"/>
    </x:row>
    <x:row r="22" ht="18" customHeight="1">
      <x:c r="B22" s="3" t="str">
        <x:v>Volume</x:v>
      </x:c>
      <x:c r="C22" s="3" t="n">
        <x:f>D16</x:f>
        <x:v>2.8</x:v>
      </x:c>
      <x:c r="D22" s="3" t="n">
        <x:v>2.8</x:v>
      </x:c>
      <x:c r="E22" s="3" t="str">
        <x:v>m3</x:v>
      </x:c>
      <x:c r="F22" s="3" t="str">
        <x:f>IF(C22&lt;=D22,"PASS","FAIL")</x:f>
        <x:v>PASS</x:v>
      </x:c>
      <x:c r="G22" s="3"/>
      <x:c r="H22" s="3"/>
      <x:c r="I22" s="3"/>
      <x:c r="J22" s="3"/>
    </x:row>
    <x:row r="23" ht="18" customHeight="1">
      <x:c r="B23" s="3" t="str">
        <x:v>Average power</x:v>
      </x:c>
      <x:c r="C23" s="3" t="n">
        <x:f>E16</x:f>
        <x:v>800</x:v>
      </x:c>
      <x:c r="D23" s="3" t="n">
        <x:v>800</x:v>
      </x:c>
      <x:c r="E23" s="3" t="str">
        <x:v>W</x:v>
      </x:c>
      <x:c r="F23" s="3" t="str">
        <x:f>IF(C23&lt;=D23,"PASS","FAIL")</x:f>
        <x:v>PASS</x:v>
      </x:c>
      <x:c r="G23" s="3"/>
      <x:c r="H23" s="3"/>
      <x:c r="I23" s="3"/>
      <x:c r="J23" s="3"/>
    </x:row>
    <x:row r="24" ht="18" customHeight="1">
      <x:c r="B24" s="3" t="str">
        <x:v>Peak power</x:v>
      </x:c>
      <x:c r="C24" s="3" t="n">
        <x:f>F16</x:f>
        <x:v>2200</x:v>
      </x:c>
      <x:c r="D24" s="3" t="n">
        <x:v>2200</x:v>
      </x:c>
      <x:c r="E24" s="3" t="str">
        <x:v>W</x:v>
      </x:c>
      <x:c r="F24" s="3" t="str">
        <x:f>IF(C24&lt;=D24,"PASS","FAIL")</x:f>
        <x:v>PASS</x:v>
      </x:c>
      <x:c r="G24" s="3"/>
      <x:c r="H24" s="3"/>
      <x:c r="I24" s="3"/>
      <x:c r="J24" s="3"/>
    </x:row>
    <x:row r="25" ht="18" customHeight="1">
      <x:c r="B25" s="3" t="str">
        <x:v>Installed storage</x:v>
      </x:c>
      <x:c r="C25" s="3" t="n">
        <x:v>24</x:v>
      </x:c>
      <x:c r="D25" s="3" t="n">
        <x:v>24</x:v>
      </x:c>
      <x:c r="E25" s="3" t="str">
        <x:v>TB</x:v>
      </x:c>
      <x:c r="F25" s="3" t="str">
        <x:f>IF(C25=D25,"PASS","FAIL")</x:f>
        <x:v>PASS</x:v>
      </x:c>
      <x:c r="G25" s="3"/>
      <x:c r="H25" s="3"/>
      <x:c r="I25" s="3"/>
      <x:c r="J25" s="3"/>
    </x:row>
    <x:row r="26" ht="18" customHeight="1">
      <x:c r="B26" s="3"/>
      <x:c r="C26" s="3"/>
      <x:c r="D26" s="3"/>
      <x:c r="E26" s="3"/>
      <x:c r="F26" s="3"/>
      <x:c r="G26" s="3"/>
      <x:c r="H26" s="3"/>
      <x:c r="I26" s="3"/>
      <x:c r="J26" s="3"/>
    </x:row>
    <x:row r="27" ht="18" customHeight="1">
      <x:c r="B27" s="3"/>
      <x:c r="C27" s="3"/>
      <x:c r="D27" s="3"/>
      <x:c r="E27" s="3"/>
      <x:c r="F27" s="3"/>
      <x:c r="G27" s="3"/>
      <x:c r="H27" s="3"/>
      <x:c r="I27" s="3"/>
      <x:c r="J27" s="3"/>
    </x:row>
    <x:row r="28" ht="18" customHeight="1">
      <x:c r="B28" s="3"/>
      <x:c r="C28" s="3"/>
      <x:c r="D28" s="3"/>
      <x:c r="E28" s="3"/>
      <x:c r="F28" s="3"/>
      <x:c r="G28" s="3"/>
      <x:c r="H28" s="3"/>
      <x:c r="I28" s="3"/>
      <x:c r="J28" s="3"/>
    </x:row>
  </x:sheetData>
  <x:mergeCells>
    <x:mergeCell ref="B2:H2"/>
    <x:mergeCell ref="B3:J3"/>
    <x:mergeCell ref="B19:J19"/>
  </x:mergeCells>
  <x:conditionalFormatting sqref="I7:I15">
    <x:cfRule type="containsText" dxfId="20" priority="1" operator="containsText" text="FAIL"/>
    <x:cfRule type="containsText" dxfId="21" priority="2" operator="containsText" text="PASS"/>
    <x:cfRule type="containsText" dxfId="22" priority="3" operator="containsText" text="OPEN"/>
    <x:cfRule type="containsText" dxfId="23" priority="4" operator="containsText" text="HOLD"/>
    <x:cfRule type="containsText" dxfId="24" priority="5" operator="containsText" text="BLOCKED"/>
  </x:conditionalFormatting>
  <x:conditionalFormatting sqref="F21:F25">
    <x:cfRule type="containsText" dxfId="25" priority="6" operator="containsText" text="FAIL"/>
    <x:cfRule type="containsText" dxfId="26" priority="7" operator="containsText" text="PASS"/>
    <x:cfRule type="containsText" dxfId="27" priority="8" operator="containsText" text="OPEN"/>
    <x:cfRule type="containsText" dxfId="28" priority="9" operator="containsText" text="HOLD"/>
    <x:cfRule type="containsText" dxfId="29" priority="10" operator="containsText" text="BLOCKED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5" hidden="0" customWidth="1"/>
    <x:col min="3" max="3" width="14" hidden="0" customWidth="1"/>
    <x:col min="4" max="4" width="14" hidden="0" customWidth="1"/>
    <x:col min="5" max="5" width="15" hidden="0" customWidth="1"/>
    <x:col min="6" max="6" width="14" hidden="0" customWidth="1"/>
    <x:col min="7" max="7" width="48" hidden="0" customWidth="1"/>
    <x:col min="8" max="8" width="26" hidden="0" customWidth="1"/>
    <x:col min="9" max="9" width="12" hidden="0" customWidth="1"/>
    <x:col min="10" max="10" width="18" hidden="0" customWidth="1"/>
  </x:cols>
  <x:sheetData>
    <x:row r="2" ht="18" customHeight="1">
      <x:c r="B2" s="4" t="str">
        <x:v>terrain carrier node</x:v>
      </x:c>
      <x:c r="C2" s="3"/>
      <x:c r="D2" s="3"/>
      <x:c r="E2" s="3"/>
      <x:c r="F2" s="3"/>
      <x:c r="G2" s="3"/>
      <x:c r="H2" s="3"/>
      <x:c r="I2" s="3"/>
      <x:c r="J2" s="3"/>
    </x:row>
    <x:row r="3" ht="18" customHeight="1">
      <x:c r="B3" s="5" t="str">
        <x:v>Mass, volume, power and function are explicit before any packaging or exterior form is selected</x:v>
      </x:c>
      <x:c r="C3" s="3"/>
      <x:c r="D3" s="3"/>
      <x:c r="E3" s="3"/>
      <x:c r="F3" s="3"/>
      <x:c r="G3" s="3"/>
      <x:c r="H3" s="3"/>
      <x:c r="I3" s="3"/>
      <x:c r="J3" s="3"/>
    </x:row>
    <x:row r="4" ht="18" customHeight="1">
      <x:c r="B4" s="6"/>
      <x:c r="C4" s="6"/>
      <x:c r="D4" s="6"/>
      <x:c r="E4" s="6"/>
      <x:c r="F4" s="6"/>
      <x:c r="G4" s="6"/>
      <x:c r="H4" s="6"/>
      <x:c r="I4" s="6"/>
      <x:c r="J4" s="6"/>
    </x:row>
    <x:row r="5" ht="18" customHeight="1">
      <x:c r="B5" s="3"/>
      <x:c r="C5" s="3"/>
      <x:c r="D5" s="3"/>
      <x:c r="E5" s="3"/>
      <x:c r="F5" s="3"/>
      <x:c r="G5" s="3"/>
      <x:c r="H5" s="3"/>
      <x:c r="I5" s="3"/>
      <x:c r="J5" s="3"/>
    </x:row>
    <x:row r="6" ht="18" customHeight="1">
      <x:c r="B6" s="23" t="str">
        <x:v>Component</x:v>
      </x:c>
      <x:c r="C6" s="24" t="str">
        <x:v>Mass kg</x:v>
      </x:c>
      <x:c r="D6" s="24" t="str">
        <x:v>Volume m3</x:v>
      </x:c>
      <x:c r="E6" s="24" t="str">
        <x:v>Average W</x:v>
      </x:c>
      <x:c r="F6" s="24" t="str">
        <x:v>Peak W</x:v>
      </x:c>
      <x:c r="G6" s="24" t="str">
        <x:v>Function</x:v>
      </x:c>
      <x:c r="H6" s="24" t="str">
        <x:v>Custody</x:v>
      </x:c>
      <x:c r="I6" s="24" t="str">
        <x:v>State</x:v>
      </x:c>
      <x:c r="J6" s="24" t="str">
        <x:v>Control</x:v>
      </x:c>
    </x:row>
    <x:row r="7" ht="18" customHeight="1">
      <x:c r="B7" s="25" t="str">
        <x:v>Distributed pressure skins</x:v>
      </x:c>
      <x:c r="C7" s="25" t="n">
        <x:v>1140</x:v>
      </x:c>
      <x:c r="D7" s="25" t="n">
        <x:v>3.42</x:v>
      </x:c>
      <x:c r="E7" s="25" t="n">
        <x:v>220</x:v>
      </x:c>
      <x:c r="F7" s="25" t="n">
        <x:v>1200</x:v>
      </x:c>
      <x:c r="G7" s="25" t="str">
        <x:v>285 square metres across twelve pods</x:v>
      </x:c>
      <x:c r="H7" s="25" t="str">
        <x:v>independent evidence authority</x:v>
      </x:c>
      <x:c r="I7" s="25" t="str">
        <x:v>OPEN</x:v>
      </x:c>
      <x:c r="J7" s="27" t="str"/>
    </x:row>
    <x:row r="8" ht="18" customHeight="1">
      <x:c r="B8" s="25" t="str">
        <x:v>Optical and subsurface geometry</x:v>
      </x:c>
      <x:c r="C8" s="25" t="n">
        <x:v>220</x:v>
      </x:c>
      <x:c r="D8" s="25" t="n">
        <x:v>1.1</x:v>
      </x:c>
      <x:c r="E8" s="25" t="n">
        <x:v>90</x:v>
      </x:c>
      <x:c r="F8" s="25" t="n">
        <x:v>500</x:v>
      </x:c>
      <x:c r="G8" s="25" t="str">
        <x:v>contact boundary and sinkage</x:v>
      </x:c>
      <x:c r="H8" s="25" t="str">
        <x:v>independent evidence authority</x:v>
      </x:c>
      <x:c r="I8" s="25" t="str">
        <x:v>OPEN</x:v>
      </x:c>
      <x:c r="J8" s="27" t="str"/>
    </x:row>
    <x:row r="9" ht="18" customHeight="1">
      <x:c r="B9" s="25" t="str">
        <x:v>Calibration interface</x:v>
      </x:c>
      <x:c r="C9" s="25" t="n">
        <x:v>100</x:v>
      </x:c>
      <x:c r="D9" s="25" t="n">
        <x:v>0.65</x:v>
      </x:c>
      <x:c r="E9" s="25" t="n">
        <x:v>20</x:v>
      </x:c>
      <x:c r="F9" s="25" t="n">
        <x:v>100</x:v>
      </x:c>
      <x:c r="G9" s="25" t="str">
        <x:v>traveling platen registration</x:v>
      </x:c>
      <x:c r="H9" s="25" t="str">
        <x:v>independent evidence authority</x:v>
      </x:c>
      <x:c r="I9" s="25" t="str">
        <x:v>OPEN</x:v>
      </x:c>
      <x:c r="J9" s="27" t="str"/>
    </x:row>
    <x:row r="10" ht="18" customHeight="1">
      <x:c r="B10" s="25" t="str">
        <x:v>Acquisition and isolation</x:v>
      </x:c>
      <x:c r="C10" s="25" t="n">
        <x:v>80</x:v>
      </x:c>
      <x:c r="D10" s="25" t="n">
        <x:v>0.5</x:v>
      </x:c>
      <x:c r="E10" s="25" t="n">
        <x:v>80</x:v>
      </x:c>
      <x:c r="F10" s="25" t="n">
        <x:v>450</x:v>
      </x:c>
      <x:c r="G10" s="25" t="str">
        <x:v>independent field capture</x:v>
      </x:c>
      <x:c r="H10" s="25" t="str">
        <x:v>independent evidence authority</x:v>
      </x:c>
      <x:c r="I10" s="25" t="str">
        <x:v>OPEN</x:v>
      </x:c>
      <x:c r="J10" s="27" t="str"/>
    </x:row>
    <x:row r="11" ht="18" customHeight="1">
      <x:c r="B11" s="25" t="str">
        <x:v>Evidence compute</x:v>
      </x:c>
      <x:c r="C11" s="25" t="n">
        <x:v>40</x:v>
      </x:c>
      <x:c r="D11" s="25" t="n">
        <x:v>0.22</x:v>
      </x:c>
      <x:c r="E11" s="25" t="n">
        <x:v>60</x:v>
      </x:c>
      <x:c r="F11" s="25" t="n">
        <x:v>300</x:v>
      </x:c>
      <x:c r="G11" s="25" t="str">
        <x:v>pressure reconstruction</x:v>
      </x:c>
      <x:c r="H11" s="25" t="str">
        <x:v>independent evidence authority</x:v>
      </x:c>
      <x:c r="I11" s="25" t="str">
        <x:v>OPEN</x:v>
      </x:c>
      <x:c r="J11" s="27" t="str"/>
    </x:row>
    <x:row r="12" ht="18" customHeight="1">
      <x:c r="B12" s="25" t="str">
        <x:v>Write-once storage</x:v>
      </x:c>
      <x:c r="C12" s="25" t="n">
        <x:v>18</x:v>
      </x:c>
      <x:c r="D12" s="25" t="n">
        <x:v>0.04</x:v>
      </x:c>
      <x:c r="E12" s="25" t="n">
        <x:v>35</x:v>
      </x:c>
      <x:c r="F12" s="25" t="n">
        <x:v>150</x:v>
      </x:c>
      <x:c r="G12" s="25" t="str">
        <x:v>twenty-four-terabyte store</x:v>
      </x:c>
      <x:c r="H12" s="25" t="str">
        <x:v>independent evidence authority</x:v>
      </x:c>
      <x:c r="I12" s="25" t="str">
        <x:v>OPEN</x:v>
      </x:c>
      <x:c r="J12" s="27" t="str"/>
    </x:row>
    <x:row r="13" ht="18" customHeight="1">
      <x:c r="B13" s="25" t="str">
        <x:v>Diverse clock ensemble</x:v>
      </x:c>
      <x:c r="C13" s="25" t="n">
        <x:v>10</x:v>
      </x:c>
      <x:c r="D13" s="25" t="n">
        <x:v>0.02</x:v>
      </x:c>
      <x:c r="E13" s="25" t="n">
        <x:v>10</x:v>
      </x:c>
      <x:c r="F13" s="25" t="n">
        <x:v>50</x:v>
      </x:c>
      <x:c r="G13" s="25" t="str">
        <x:v>carrier event order</x:v>
      </x:c>
      <x:c r="H13" s="25" t="str">
        <x:v>independent evidence authority</x:v>
      </x:c>
      <x:c r="I13" s="25" t="str">
        <x:v>OPEN</x:v>
      </x:c>
      <x:c r="J13" s="27" t="str"/>
    </x:row>
    <x:row r="14" ht="18" customHeight="1">
      <x:c r="B14" s="25" t="str">
        <x:v>Battery and management</x:v>
      </x:c>
      <x:c r="C14" s="25" t="n">
        <x:v>572.73</x:v>
      </x:c>
      <x:c r="D14" s="25" t="n">
        <x:v>1.22</x:v>
      </x:c>
      <x:c r="E14" s="25" t="n">
        <x:v>45</x:v>
      </x:c>
      <x:c r="F14" s="25" t="n">
        <x:v>500</x:v>
      </x:c>
      <x:c r="G14" s="25" t="str">
        <x:v>168-hour mission-average energy</x:v>
      </x:c>
      <x:c r="H14" s="25" t="str">
        <x:v>independent evidence authority</x:v>
      </x:c>
      <x:c r="I14" s="25" t="str">
        <x:v>OPEN</x:v>
      </x:c>
      <x:c r="J14" s="27" t="str"/>
    </x:row>
    <x:row r="15" ht="18" customHeight="1">
      <x:c r="B15" s="25" t="str">
        <x:v>Isolation and harness</x:v>
      </x:c>
      <x:c r="C15" s="25" t="n">
        <x:v>120</x:v>
      </x:c>
      <x:c r="D15" s="25" t="n">
        <x:v>0.55</x:v>
      </x:c>
      <x:c r="E15" s="25" t="n">
        <x:v>20</x:v>
      </x:c>
      <x:c r="F15" s="25" t="n">
        <x:v>150</x:v>
      </x:c>
      <x:c r="G15" s="25" t="str">
        <x:v>twelve-pod passive paths</x:v>
      </x:c>
      <x:c r="H15" s="25" t="str">
        <x:v>independent evidence authority</x:v>
      </x:c>
      <x:c r="I15" s="25" t="str">
        <x:v>OPEN</x:v>
      </x:c>
      <x:c r="J15" s="27" t="str"/>
    </x:row>
    <x:row r="16" ht="18" customHeight="1">
      <x:c r="B16" s="25" t="str">
        <x:v>Environmental enclosure</x:v>
      </x:c>
      <x:c r="C16" s="25" t="n">
        <x:v>299.27</x:v>
      </x:c>
      <x:c r="D16" s="25" t="n">
        <x:v>0.78</x:v>
      </x:c>
      <x:c r="E16" s="25" t="n">
        <x:v>20</x:v>
      </x:c>
      <x:c r="F16" s="25" t="n">
        <x:v>100</x:v>
      </x:c>
      <x:c r="G16" s="25" t="str">
        <x:v>soil water impact and thermal protection</x:v>
      </x:c>
      <x:c r="H16" s="25" t="str">
        <x:v>independent evidence authority</x:v>
      </x:c>
      <x:c r="I16" s="25" t="str">
        <x:v>OPEN</x:v>
      </x:c>
      <x:c r="J16" s="27" t="str"/>
    </x:row>
    <x:row r="17" ht="18" customHeight="1">
      <x:c r="B17" s="29" t="str">
        <x:v>TOTAL</x:v>
      </x:c>
      <x:c r="C17" s="29" t="n">
        <x:f>SUM(C7:C16)</x:f>
        <x:v>2600</x:v>
      </x:c>
      <x:c r="D17" s="29" t="n">
        <x:f>SUM(D7:D16)</x:f>
        <x:v>8.499999999999998</x:v>
      </x:c>
      <x:c r="E17" s="29" t="n">
        <x:f>SUM(E7:E16)</x:f>
        <x:v>600</x:v>
      </x:c>
      <x:c r="F17" s="29" t="n">
        <x:f>SUM(F7:F16)</x:f>
        <x:v>3500</x:v>
      </x:c>
      <x:c r="G17" s="29" t="str"/>
      <x:c r="H17" s="29" t="str"/>
      <x:c r="I17" s="29" t="str"/>
      <x:c r="J17" s="31" t="str"/>
    </x:row>
    <x:row r="18" ht="18" customHeight="1">
      <x:c r="B18" s="3"/>
      <x:c r="C18" s="3"/>
      <x:c r="D18" s="3"/>
      <x:c r="E18" s="3"/>
      <x:c r="F18" s="3"/>
      <x:c r="G18" s="3"/>
      <x:c r="H18" s="3"/>
      <x:c r="I18" s="3"/>
      <x:c r="J18" s="3"/>
    </x:row>
    <x:row r="19" ht="18" customHeight="1">
      <x:c r="B19" s="3"/>
      <x:c r="C19" s="3"/>
      <x:c r="D19" s="3"/>
      <x:c r="E19" s="3"/>
      <x:c r="F19" s="3"/>
      <x:c r="G19" s="3"/>
      <x:c r="H19" s="3"/>
      <x:c r="I19" s="3"/>
      <x:c r="J19" s="3"/>
    </x:row>
    <x:row r="20" ht="18" customHeight="1">
      <x:c r="B20" s="9" t="str">
        <x:v>Envelope checks</x:v>
      </x:c>
      <x:c r="C20" s="10" t="str">
        <x:v>Envelope checks</x:v>
      </x:c>
      <x:c r="D20" s="10" t="str">
        <x:v>Envelope checks</x:v>
      </x:c>
      <x:c r="E20" s="10" t="str">
        <x:v>Envelope checks</x:v>
      </x:c>
      <x:c r="F20" s="10" t="str">
        <x:v>Envelope checks</x:v>
      </x:c>
      <x:c r="G20" s="10" t="str">
        <x:v>Envelope checks</x:v>
      </x:c>
      <x:c r="H20" s="10" t="str">
        <x:v>Envelope checks</x:v>
      </x:c>
      <x:c r="I20" s="10" t="str">
        <x:v>Envelope checks</x:v>
      </x:c>
      <x:c r="J20" s="11" t="str">
        <x:v>Envelope checks</x:v>
      </x:c>
    </x:row>
    <x:row r="21" ht="18" customHeight="1">
      <x:c r="B21" s="17" t="str">
        <x:v>Measure</x:v>
      </x:c>
      <x:c r="C21" s="18" t="str">
        <x:v>Observed</x:v>
      </x:c>
      <x:c r="D21" s="18" t="str">
        <x:v>Limit</x:v>
      </x:c>
      <x:c r="E21" s="18" t="str">
        <x:v>Unit</x:v>
      </x:c>
      <x:c r="F21" s="19" t="str">
        <x:v>Result</x:v>
      </x:c>
      <x:c r="G21" s="3"/>
      <x:c r="H21" s="3"/>
      <x:c r="I21" s="3"/>
      <x:c r="J21" s="3"/>
    </x:row>
    <x:row r="22" ht="18" customHeight="1">
      <x:c r="B22" s="3" t="str">
        <x:v>Mass</x:v>
      </x:c>
      <x:c r="C22" s="3" t="n">
        <x:f>C17</x:f>
        <x:v>2600</x:v>
      </x:c>
      <x:c r="D22" s="3" t="n">
        <x:v>2600</x:v>
      </x:c>
      <x:c r="E22" s="3" t="str">
        <x:v>kg</x:v>
      </x:c>
      <x:c r="F22" s="3" t="str">
        <x:f>IF(C22&lt;=D22,"PASS","FAIL")</x:f>
        <x:v>PASS</x:v>
      </x:c>
      <x:c r="G22" s="3"/>
      <x:c r="H22" s="3"/>
      <x:c r="I22" s="3"/>
      <x:c r="J22" s="3"/>
    </x:row>
    <x:row r="23" ht="18" customHeight="1">
      <x:c r="B23" s="3" t="str">
        <x:v>Volume</x:v>
      </x:c>
      <x:c r="C23" s="3" t="n">
        <x:f>D17</x:f>
        <x:v>8.499999999999998</x:v>
      </x:c>
      <x:c r="D23" s="3" t="n">
        <x:v>8.5</x:v>
      </x:c>
      <x:c r="E23" s="3" t="str">
        <x:v>m3</x:v>
      </x:c>
      <x:c r="F23" s="3" t="str">
        <x:f>IF(C23&lt;=D23,"PASS","FAIL")</x:f>
        <x:v>PASS</x:v>
      </x:c>
      <x:c r="G23" s="3"/>
      <x:c r="H23" s="3"/>
      <x:c r="I23" s="3"/>
      <x:c r="J23" s="3"/>
    </x:row>
    <x:row r="24" ht="18" customHeight="1">
      <x:c r="B24" s="3" t="str">
        <x:v>Average power</x:v>
      </x:c>
      <x:c r="C24" s="3" t="n">
        <x:f>E17</x:f>
        <x:v>600</x:v>
      </x:c>
      <x:c r="D24" s="3" t="n">
        <x:v>600</x:v>
      </x:c>
      <x:c r="E24" s="3" t="str">
        <x:v>W</x:v>
      </x:c>
      <x:c r="F24" s="3" t="str">
        <x:f>IF(C24&lt;=D24,"PASS","FAIL")</x:f>
        <x:v>PASS</x:v>
      </x:c>
      <x:c r="G24" s="3"/>
      <x:c r="H24" s="3"/>
      <x:c r="I24" s="3"/>
      <x:c r="J24" s="3"/>
    </x:row>
    <x:row r="25" ht="18" customHeight="1">
      <x:c r="B25" s="3" t="str">
        <x:v>Peak power</x:v>
      </x:c>
      <x:c r="C25" s="3" t="n">
        <x:f>F17</x:f>
        <x:v>3500</x:v>
      </x:c>
      <x:c r="D25" s="3" t="n">
        <x:v>3500</x:v>
      </x:c>
      <x:c r="E25" s="3" t="str">
        <x:v>W</x:v>
      </x:c>
      <x:c r="F25" s="3" t="str">
        <x:f>IF(C25&lt;=D25,"PASS","FAIL")</x:f>
        <x:v>PASS</x:v>
      </x:c>
      <x:c r="G25" s="3"/>
      <x:c r="H25" s="3"/>
      <x:c r="I25" s="3"/>
      <x:c r="J25" s="3"/>
    </x:row>
    <x:row r="26" ht="18" customHeight="1">
      <x:c r="B26" s="3" t="str">
        <x:v>Installed storage</x:v>
      </x:c>
      <x:c r="C26" s="3" t="n">
        <x:v>24</x:v>
      </x:c>
      <x:c r="D26" s="3" t="n">
        <x:v>24</x:v>
      </x:c>
      <x:c r="E26" s="3" t="str">
        <x:v>TB</x:v>
      </x:c>
      <x:c r="F26" s="3" t="str">
        <x:f>IF(C26=D26,"PASS","FAIL")</x:f>
        <x:v>PASS</x:v>
      </x:c>
      <x:c r="G26" s="3"/>
      <x:c r="H26" s="3"/>
      <x:c r="I26" s="3"/>
      <x:c r="J26" s="3"/>
    </x:row>
    <x:row r="27" ht="18" customHeight="1">
      <x:c r="B27" s="3"/>
      <x:c r="C27" s="3"/>
      <x:c r="D27" s="3"/>
      <x:c r="E27" s="3"/>
      <x:c r="F27" s="3"/>
      <x:c r="G27" s="3"/>
      <x:c r="H27" s="3"/>
      <x:c r="I27" s="3"/>
      <x:c r="J27" s="3"/>
    </x:row>
    <x:row r="28" ht="18" customHeight="1">
      <x:c r="B28" s="3"/>
      <x:c r="C28" s="3"/>
      <x:c r="D28" s="3"/>
      <x:c r="E28" s="3"/>
      <x:c r="F28" s="3"/>
      <x:c r="G28" s="3"/>
      <x:c r="H28" s="3"/>
      <x:c r="I28" s="3"/>
      <x:c r="J28" s="3"/>
    </x:row>
    <x:row r="29" ht="18" customHeight="1">
      <x:c r="B29" s="3"/>
      <x:c r="C29" s="3"/>
      <x:c r="D29" s="3"/>
      <x:c r="E29" s="3"/>
      <x:c r="F29" s="3"/>
      <x:c r="G29" s="3"/>
      <x:c r="H29" s="3"/>
      <x:c r="I29" s="3"/>
      <x:c r="J29" s="3"/>
    </x:row>
    <x:row r="30" ht="18" customHeight="1">
      <x:c r="B30" s="3"/>
      <x:c r="C30" s="3"/>
      <x:c r="D30" s="3"/>
      <x:c r="E30" s="3"/>
      <x:c r="F30" s="3"/>
      <x:c r="G30" s="3"/>
      <x:c r="H30" s="3"/>
      <x:c r="I30" s="3"/>
      <x:c r="J30" s="3"/>
    </x:row>
  </x:sheetData>
  <x:mergeCells>
    <x:mergeCell ref="B2:H2"/>
    <x:mergeCell ref="B3:J3"/>
    <x:mergeCell ref="B20:J20"/>
  </x:mergeCells>
  <x:conditionalFormatting sqref="I7:I16">
    <x:cfRule type="containsText" dxfId="30" priority="1" operator="containsText" text="FAIL"/>
    <x:cfRule type="containsText" dxfId="31" priority="2" operator="containsText" text="PASS"/>
    <x:cfRule type="containsText" dxfId="32" priority="3" operator="containsText" text="OPEN"/>
    <x:cfRule type="containsText" dxfId="33" priority="4" operator="containsText" text="HOLD"/>
    <x:cfRule type="containsText" dxfId="34" priority="5" operator="containsText" text="BLOCKED"/>
  </x:conditionalFormatting>
  <x:conditionalFormatting sqref="F22:F26">
    <x:cfRule type="containsText" dxfId="35" priority="6" operator="containsText" text="FAIL"/>
    <x:cfRule type="containsText" dxfId="36" priority="7" operator="containsText" text="PASS"/>
    <x:cfRule type="containsText" dxfId="37" priority="8" operator="containsText" text="OPEN"/>
    <x:cfRule type="containsText" dxfId="38" priority="9" operator="containsText" text="HOLD"/>
    <x:cfRule type="containsText" dxfId="39" priority="10" operator="containsText" text="BLOCKED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5" hidden="0" customWidth="1"/>
    <x:col min="3" max="3" width="14" hidden="0" customWidth="1"/>
    <x:col min="4" max="4" width="14" hidden="0" customWidth="1"/>
    <x:col min="5" max="5" width="15" hidden="0" customWidth="1"/>
    <x:col min="6" max="6" width="14" hidden="0" customWidth="1"/>
    <x:col min="7" max="7" width="48" hidden="0" customWidth="1"/>
    <x:col min="8" max="8" width="26" hidden="0" customWidth="1"/>
    <x:col min="9" max="9" width="12" hidden="0" customWidth="1"/>
    <x:col min="10" max="10" width="18" hidden="0" customWidth="1"/>
  </x:cols>
  <x:sheetData>
    <x:row r="2" ht="18" customHeight="1">
      <x:c r="B2" s="4" t="str">
        <x:v>receiver station</x:v>
      </x:c>
      <x:c r="C2" s="3"/>
      <x:c r="D2" s="3"/>
      <x:c r="E2" s="3"/>
      <x:c r="F2" s="3"/>
      <x:c r="G2" s="3"/>
      <x:c r="H2" s="3"/>
      <x:c r="I2" s="3"/>
      <x:c r="J2" s="3"/>
    </x:row>
    <x:row r="3" ht="18" customHeight="1">
      <x:c r="B3" s="5" t="str">
        <x:v>Mass, volume, power and function are explicit before any packaging or exterior form is selected</x:v>
      </x:c>
      <x:c r="C3" s="3"/>
      <x:c r="D3" s="3"/>
      <x:c r="E3" s="3"/>
      <x:c r="F3" s="3"/>
      <x:c r="G3" s="3"/>
      <x:c r="H3" s="3"/>
      <x:c r="I3" s="3"/>
      <x:c r="J3" s="3"/>
    </x:row>
    <x:row r="4" ht="18" customHeight="1">
      <x:c r="B4" s="6"/>
      <x:c r="C4" s="6"/>
      <x:c r="D4" s="6"/>
      <x:c r="E4" s="6"/>
      <x:c r="F4" s="6"/>
      <x:c r="G4" s="6"/>
      <x:c r="H4" s="6"/>
      <x:c r="I4" s="6"/>
      <x:c r="J4" s="6"/>
    </x:row>
    <x:row r="5" ht="18" customHeight="1">
      <x:c r="B5" s="3"/>
      <x:c r="C5" s="3"/>
      <x:c r="D5" s="3"/>
      <x:c r="E5" s="3"/>
      <x:c r="F5" s="3"/>
      <x:c r="G5" s="3"/>
      <x:c r="H5" s="3"/>
      <x:c r="I5" s="3"/>
      <x:c r="J5" s="3"/>
    </x:row>
    <x:row r="6" ht="18" customHeight="1">
      <x:c r="B6" s="23" t="str">
        <x:v>Component</x:v>
      </x:c>
      <x:c r="C6" s="24" t="str">
        <x:v>Mass kg</x:v>
      </x:c>
      <x:c r="D6" s="24" t="str">
        <x:v>Volume m3</x:v>
      </x:c>
      <x:c r="E6" s="24" t="str">
        <x:v>Average W</x:v>
      </x:c>
      <x:c r="F6" s="24" t="str">
        <x:v>Peak W</x:v>
      </x:c>
      <x:c r="G6" s="24" t="str">
        <x:v>Function</x:v>
      </x:c>
      <x:c r="H6" s="24" t="str">
        <x:v>Custody</x:v>
      </x:c>
      <x:c r="I6" s="24" t="str">
        <x:v>State</x:v>
      </x:c>
      <x:c r="J6" s="24" t="str">
        <x:v>Control</x:v>
      </x:c>
    </x:row>
    <x:row r="7" ht="18" customHeight="1">
      <x:c r="B7" s="25" t="str">
        <x:v>Assay and sample custody</x:v>
      </x:c>
      <x:c r="C7" s="25" t="n">
        <x:v>400</x:v>
      </x:c>
      <x:c r="D7" s="25" t="n">
        <x:v>1.8</x:v>
      </x:c>
      <x:c r="E7" s="25" t="n">
        <x:v>300</x:v>
      </x:c>
      <x:c r="F7" s="25" t="n">
        <x:v>700</x:v>
      </x:c>
      <x:c r="G7" s="25" t="str">
        <x:v>public water and residual release</x:v>
      </x:c>
      <x:c r="H7" s="25" t="str">
        <x:v>civil-effect authority</x:v>
      </x:c>
      <x:c r="I7" s="25" t="str">
        <x:v>OPEN</x:v>
      </x:c>
      <x:c r="J7" s="27" t="str"/>
    </x:row>
    <x:row r="8" ht="18" customHeight="1">
      <x:c r="B8" s="25" t="str">
        <x:v>Electrical and fluid references</x:v>
      </x:c>
      <x:c r="C8" s="25" t="n">
        <x:v>150</x:v>
      </x:c>
      <x:c r="D8" s="25" t="n">
        <x:v>0.6</x:v>
      </x:c>
      <x:c r="E8" s="25" t="n">
        <x:v>100</x:v>
      </x:c>
      <x:c r="F8" s="25" t="n">
        <x:v>300</x:v>
      </x:c>
      <x:c r="G8" s="25" t="str">
        <x:v>waveform flow pressure and protection</x:v>
      </x:c>
      <x:c r="H8" s="25" t="str">
        <x:v>civil-effect authority</x:v>
      </x:c>
      <x:c r="I8" s="25" t="str">
        <x:v>OPEN</x:v>
      </x:c>
      <x:c r="J8" s="27" t="str"/>
    </x:row>
    <x:row r="9" ht="18" customHeight="1">
      <x:c r="B9" s="25" t="str">
        <x:v>Thermal and access witnesses</x:v>
      </x:c>
      <x:c r="C9" s="25" t="n">
        <x:v>150</x:v>
      </x:c>
      <x:c r="D9" s="25" t="n">
        <x:v>0.7</x:v>
      </x:c>
      <x:c r="E9" s="25" t="n">
        <x:v>100</x:v>
      </x:c>
      <x:c r="F9" s="25" t="n">
        <x:v>300</x:v>
      </x:c>
      <x:c r="G9" s="25" t="str">
        <x:v>occupied effect and accessibility</x:v>
      </x:c>
      <x:c r="H9" s="25" t="str">
        <x:v>civil-effect authority</x:v>
      </x:c>
      <x:c r="I9" s="25" t="str">
        <x:v>OPEN</x:v>
      </x:c>
      <x:c r="J9" s="27" t="str"/>
    </x:row>
    <x:row r="10" ht="18" customHeight="1">
      <x:c r="B10" s="25" t="str">
        <x:v>Civil release ledger</x:v>
      </x:c>
      <x:c r="C10" s="25" t="n">
        <x:v>100</x:v>
      </x:c>
      <x:c r="D10" s="25" t="n">
        <x:v>0.3</x:v>
      </x:c>
      <x:c r="E10" s="25" t="n">
        <x:v>80</x:v>
      </x:c>
      <x:c r="F10" s="25" t="n">
        <x:v>180</x:v>
      </x:c>
      <x:c r="G10" s="25" t="str">
        <x:v>lawful service boundary</x:v>
      </x:c>
      <x:c r="H10" s="25" t="str">
        <x:v>civil-effect authority</x:v>
      </x:c>
      <x:c r="I10" s="25" t="str">
        <x:v>OPEN</x:v>
      </x:c>
      <x:c r="J10" s="27" t="str"/>
    </x:row>
    <x:row r="11" ht="18" customHeight="1">
      <x:c r="B11" s="25" t="str">
        <x:v>Acquisition and isolation</x:v>
      </x:c>
      <x:c r="C11" s="25" t="n">
        <x:v>100</x:v>
      </x:c>
      <x:c r="D11" s="25" t="n">
        <x:v>0.5</x:v>
      </x:c>
      <x:c r="E11" s="25" t="n">
        <x:v>150</x:v>
      </x:c>
      <x:c r="F11" s="25" t="n">
        <x:v>450</x:v>
      </x:c>
      <x:c r="G11" s="25" t="str">
        <x:v>independent receiver capture</x:v>
      </x:c>
      <x:c r="H11" s="25" t="str">
        <x:v>civil-effect authority</x:v>
      </x:c>
      <x:c r="I11" s="25" t="str">
        <x:v>OPEN</x:v>
      </x:c>
      <x:c r="J11" s="27" t="str"/>
    </x:row>
    <x:row r="12" ht="18" customHeight="1">
      <x:c r="B12" s="25" t="str">
        <x:v>Evidence compute</x:v>
      </x:c>
      <x:c r="C12" s="25" t="n">
        <x:v>75</x:v>
      </x:c>
      <x:c r="D12" s="25" t="n">
        <x:v>0.3</x:v>
      </x:c>
      <x:c r="E12" s="25" t="n">
        <x:v>120</x:v>
      </x:c>
      <x:c r="F12" s="25" t="n">
        <x:v>350</x:v>
      </x:c>
      <x:c r="G12" s="25" t="str">
        <x:v>public-effect event grammar</x:v>
      </x:c>
      <x:c r="H12" s="25" t="str">
        <x:v>civil-effect authority</x:v>
      </x:c>
      <x:c r="I12" s="25" t="str">
        <x:v>OPEN</x:v>
      </x:c>
      <x:c r="J12" s="27" t="str"/>
    </x:row>
    <x:row r="13" ht="18" customHeight="1">
      <x:c r="B13" s="25" t="str">
        <x:v>Write-once storage</x:v>
      </x:c>
      <x:c r="C13" s="25" t="n">
        <x:v>40</x:v>
      </x:c>
      <x:c r="D13" s="25" t="n">
        <x:v>0.12</x:v>
      </x:c>
      <x:c r="E13" s="25" t="n">
        <x:v>90</x:v>
      </x:c>
      <x:c r="F13" s="25" t="n">
        <x:v>220</x:v>
      </x:c>
      <x:c r="G13" s="25" t="str">
        <x:v>sixty-four-terabyte store</x:v>
      </x:c>
      <x:c r="H13" s="25" t="str">
        <x:v>civil-effect authority</x:v>
      </x:c>
      <x:c r="I13" s="25" t="str">
        <x:v>OPEN</x:v>
      </x:c>
      <x:c r="J13" s="27" t="str"/>
    </x:row>
    <x:row r="14" ht="18" customHeight="1">
      <x:c r="B14" s="25" t="str">
        <x:v>Diverse clock ensemble</x:v>
      </x:c>
      <x:c r="C14" s="25" t="n">
        <x:v>10</x:v>
      </x:c>
      <x:c r="D14" s="25" t="n">
        <x:v>0.03</x:v>
      </x:c>
      <x:c r="E14" s="25" t="n">
        <x:v>20</x:v>
      </x:c>
      <x:c r="F14" s="25" t="n">
        <x:v>50</x:v>
      </x:c>
      <x:c r="G14" s="25" t="str">
        <x:v>civil event order</x:v>
      </x:c>
      <x:c r="H14" s="25" t="str">
        <x:v>civil-effect authority</x:v>
      </x:c>
      <x:c r="I14" s="25" t="str">
        <x:v>OPEN</x:v>
      </x:c>
      <x:c r="J14" s="27" t="str"/>
    </x:row>
    <x:row r="15" ht="18" customHeight="1">
      <x:c r="B15" s="25" t="str">
        <x:v>Isolation and harness</x:v>
      </x:c>
      <x:c r="C15" s="25" t="n">
        <x:v>100</x:v>
      </x:c>
      <x:c r="D15" s="25" t="n">
        <x:v>0.65</x:v>
      </x:c>
      <x:c r="E15" s="25" t="n">
        <x:v>40</x:v>
      </x:c>
      <x:c r="F15" s="25" t="n">
        <x:v>150</x:v>
      </x:c>
      <x:c r="G15" s="25" t="str">
        <x:v>separate receiver power and signals</x:v>
      </x:c>
      <x:c r="H15" s="25" t="str">
        <x:v>civil-effect authority</x:v>
      </x:c>
      <x:c r="I15" s="25" t="str">
        <x:v>OPEN</x:v>
      </x:c>
      <x:c r="J15" s="27" t="str"/>
    </x:row>
    <x:row r="16" ht="18" customHeight="1">
      <x:c r="B16" s="25" t="str">
        <x:v>Enclosure battery and thermal</x:v>
      </x:c>
      <x:c r="C16" s="25" t="n">
        <x:v>1675</x:v>
      </x:c>
      <x:c r="D16" s="25" t="n">
        <x:v>4.5</x:v>
      </x:c>
      <x:c r="E16" s="25" t="n">
        <x:v>200</x:v>
      </x:c>
      <x:c r="F16" s="25" t="n">
        <x:v>500</x:v>
      </x:c>
      <x:c r="G16" s="25" t="str">
        <x:v>168-hour energy and outward rejection</x:v>
      </x:c>
      <x:c r="H16" s="25" t="str">
        <x:v>civil-effect authority</x:v>
      </x:c>
      <x:c r="I16" s="25" t="str">
        <x:v>OPEN</x:v>
      </x:c>
      <x:c r="J16" s="27" t="str"/>
    </x:row>
    <x:row r="17" ht="18" customHeight="1">
      <x:c r="B17" s="29" t="str">
        <x:v>TOTAL</x:v>
      </x:c>
      <x:c r="C17" s="29" t="n">
        <x:f>SUM(C7:C16)</x:f>
        <x:v>2800</x:v>
      </x:c>
      <x:c r="D17" s="29" t="n">
        <x:f>SUM(D7:D16)</x:f>
        <x:v>9.5</x:v>
      </x:c>
      <x:c r="E17" s="29" t="n">
        <x:f>SUM(E7:E16)</x:f>
        <x:v>1200</x:v>
      </x:c>
      <x:c r="F17" s="29" t="n">
        <x:f>SUM(F7:F16)</x:f>
        <x:v>3200</x:v>
      </x:c>
      <x:c r="G17" s="29" t="str"/>
      <x:c r="H17" s="29" t="str"/>
      <x:c r="I17" s="29" t="str"/>
      <x:c r="J17" s="31" t="str"/>
    </x:row>
    <x:row r="18" ht="18" customHeight="1">
      <x:c r="B18" s="3"/>
      <x:c r="C18" s="3"/>
      <x:c r="D18" s="3"/>
      <x:c r="E18" s="3"/>
      <x:c r="F18" s="3"/>
      <x:c r="G18" s="3"/>
      <x:c r="H18" s="3"/>
      <x:c r="I18" s="3"/>
      <x:c r="J18" s="3"/>
    </x:row>
    <x:row r="19" ht="18" customHeight="1">
      <x:c r="B19" s="3"/>
      <x:c r="C19" s="3"/>
      <x:c r="D19" s="3"/>
      <x:c r="E19" s="3"/>
      <x:c r="F19" s="3"/>
      <x:c r="G19" s="3"/>
      <x:c r="H19" s="3"/>
      <x:c r="I19" s="3"/>
      <x:c r="J19" s="3"/>
    </x:row>
    <x:row r="20" ht="18" customHeight="1">
      <x:c r="B20" s="9" t="str">
        <x:v>Envelope checks</x:v>
      </x:c>
      <x:c r="C20" s="10" t="str">
        <x:v>Envelope checks</x:v>
      </x:c>
      <x:c r="D20" s="10" t="str">
        <x:v>Envelope checks</x:v>
      </x:c>
      <x:c r="E20" s="10" t="str">
        <x:v>Envelope checks</x:v>
      </x:c>
      <x:c r="F20" s="10" t="str">
        <x:v>Envelope checks</x:v>
      </x:c>
      <x:c r="G20" s="10" t="str">
        <x:v>Envelope checks</x:v>
      </x:c>
      <x:c r="H20" s="10" t="str">
        <x:v>Envelope checks</x:v>
      </x:c>
      <x:c r="I20" s="10" t="str">
        <x:v>Envelope checks</x:v>
      </x:c>
      <x:c r="J20" s="11" t="str">
        <x:v>Envelope checks</x:v>
      </x:c>
    </x:row>
    <x:row r="21" ht="18" customHeight="1">
      <x:c r="B21" s="17" t="str">
        <x:v>Measure</x:v>
      </x:c>
      <x:c r="C21" s="18" t="str">
        <x:v>Observed</x:v>
      </x:c>
      <x:c r="D21" s="18" t="str">
        <x:v>Limit</x:v>
      </x:c>
      <x:c r="E21" s="18" t="str">
        <x:v>Unit</x:v>
      </x:c>
      <x:c r="F21" s="19" t="str">
        <x:v>Result</x:v>
      </x:c>
      <x:c r="G21" s="3"/>
      <x:c r="H21" s="3"/>
      <x:c r="I21" s="3"/>
      <x:c r="J21" s="3"/>
    </x:row>
    <x:row r="22" ht="18" customHeight="1">
      <x:c r="B22" s="3" t="str">
        <x:v>Mass</x:v>
      </x:c>
      <x:c r="C22" s="3" t="n">
        <x:f>C17</x:f>
        <x:v>2800</x:v>
      </x:c>
      <x:c r="D22" s="3" t="n">
        <x:v>2800</x:v>
      </x:c>
      <x:c r="E22" s="3" t="str">
        <x:v>kg</x:v>
      </x:c>
      <x:c r="F22" s="3" t="str">
        <x:f>IF(C22&lt;=D22,"PASS","FAIL")</x:f>
        <x:v>PASS</x:v>
      </x:c>
      <x:c r="G22" s="3"/>
      <x:c r="H22" s="3"/>
      <x:c r="I22" s="3"/>
      <x:c r="J22" s="3"/>
    </x:row>
    <x:row r="23" ht="18" customHeight="1">
      <x:c r="B23" s="3" t="str">
        <x:v>Volume</x:v>
      </x:c>
      <x:c r="C23" s="3" t="n">
        <x:f>D17</x:f>
        <x:v>9.5</x:v>
      </x:c>
      <x:c r="D23" s="3" t="n">
        <x:v>12</x:v>
      </x:c>
      <x:c r="E23" s="3" t="str">
        <x:v>m3</x:v>
      </x:c>
      <x:c r="F23" s="3" t="str">
        <x:f>IF(C23&lt;=D23,"PASS","FAIL")</x:f>
        <x:v>PASS</x:v>
      </x:c>
      <x:c r="G23" s="3"/>
      <x:c r="H23" s="3"/>
      <x:c r="I23" s="3"/>
      <x:c r="J23" s="3"/>
    </x:row>
    <x:row r="24" ht="18" customHeight="1">
      <x:c r="B24" s="3" t="str">
        <x:v>Average power</x:v>
      </x:c>
      <x:c r="C24" s="3" t="n">
        <x:f>E17</x:f>
        <x:v>1200</x:v>
      </x:c>
      <x:c r="D24" s="3" t="n">
        <x:v>1200</x:v>
      </x:c>
      <x:c r="E24" s="3" t="str">
        <x:v>W</x:v>
      </x:c>
      <x:c r="F24" s="3" t="str">
        <x:f>IF(C24&lt;=D24,"PASS","FAIL")</x:f>
        <x:v>PASS</x:v>
      </x:c>
      <x:c r="G24" s="3"/>
      <x:c r="H24" s="3"/>
      <x:c r="I24" s="3"/>
      <x:c r="J24" s="3"/>
    </x:row>
    <x:row r="25" ht="18" customHeight="1">
      <x:c r="B25" s="3" t="str">
        <x:v>Peak power</x:v>
      </x:c>
      <x:c r="C25" s="3" t="n">
        <x:f>F17</x:f>
        <x:v>3200</x:v>
      </x:c>
      <x:c r="D25" s="3" t="n">
        <x:v>3200</x:v>
      </x:c>
      <x:c r="E25" s="3" t="str">
        <x:v>W</x:v>
      </x:c>
      <x:c r="F25" s="3" t="str">
        <x:f>IF(C25&lt;=D25,"PASS","FAIL")</x:f>
        <x:v>PASS</x:v>
      </x:c>
      <x:c r="G25" s="3"/>
      <x:c r="H25" s="3"/>
      <x:c r="I25" s="3"/>
      <x:c r="J25" s="3"/>
    </x:row>
    <x:row r="26" ht="18" customHeight="1">
      <x:c r="B26" s="3" t="str">
        <x:v>Installed storage</x:v>
      </x:c>
      <x:c r="C26" s="3" t="n">
        <x:v>64</x:v>
      </x:c>
      <x:c r="D26" s="3" t="n">
        <x:v>64</x:v>
      </x:c>
      <x:c r="E26" s="3" t="str">
        <x:v>TB</x:v>
      </x:c>
      <x:c r="F26" s="3" t="str">
        <x:f>IF(C26=D26,"PASS","FAIL")</x:f>
        <x:v>PASS</x:v>
      </x:c>
      <x:c r="G26" s="3"/>
      <x:c r="H26" s="3"/>
      <x:c r="I26" s="3"/>
      <x:c r="J26" s="3"/>
    </x:row>
    <x:row r="27" ht="18" customHeight="1">
      <x:c r="B27" s="3"/>
      <x:c r="C27" s="3"/>
      <x:c r="D27" s="3"/>
      <x:c r="E27" s="3"/>
      <x:c r="F27" s="3"/>
      <x:c r="G27" s="3"/>
      <x:c r="H27" s="3"/>
      <x:c r="I27" s="3"/>
      <x:c r="J27" s="3"/>
    </x:row>
    <x:row r="28" ht="18" customHeight="1">
      <x:c r="B28" s="3"/>
      <x:c r="C28" s="3"/>
      <x:c r="D28" s="3"/>
      <x:c r="E28" s="3"/>
      <x:c r="F28" s="3"/>
      <x:c r="G28" s="3"/>
      <x:c r="H28" s="3"/>
      <x:c r="I28" s="3"/>
      <x:c r="J28" s="3"/>
    </x:row>
    <x:row r="29" ht="18" customHeight="1">
      <x:c r="B29" s="3"/>
      <x:c r="C29" s="3"/>
      <x:c r="D29" s="3"/>
      <x:c r="E29" s="3"/>
      <x:c r="F29" s="3"/>
      <x:c r="G29" s="3"/>
      <x:c r="H29" s="3"/>
      <x:c r="I29" s="3"/>
      <x:c r="J29" s="3"/>
    </x:row>
  </x:sheetData>
  <x:mergeCells>
    <x:mergeCell ref="B2:H2"/>
    <x:mergeCell ref="B3:J3"/>
    <x:mergeCell ref="B20:J20"/>
  </x:mergeCells>
  <x:conditionalFormatting sqref="I7:I16">
    <x:cfRule type="containsText" dxfId="40" priority="1" operator="containsText" text="FAIL"/>
    <x:cfRule type="containsText" dxfId="41" priority="2" operator="containsText" text="PASS"/>
    <x:cfRule type="containsText" dxfId="42" priority="3" operator="containsText" text="OPEN"/>
    <x:cfRule type="containsText" dxfId="43" priority="4" operator="containsText" text="HOLD"/>
    <x:cfRule type="containsText" dxfId="44" priority="5" operator="containsText" text="BLOCKED"/>
  </x:conditionalFormatting>
  <x:conditionalFormatting sqref="F22:F26">
    <x:cfRule type="containsText" dxfId="45" priority="6" operator="containsText" text="FAIL"/>
    <x:cfRule type="containsText" dxfId="46" priority="7" operator="containsText" text="PASS"/>
    <x:cfRule type="containsText" dxfId="47" priority="8" operator="containsText" text="OPEN"/>
    <x:cfRule type="containsText" dxfId="48" priority="9" operator="containsText" text="HOLD"/>
    <x:cfRule type="containsText" dxfId="49" priority="10" operator="containsText" text="BLOCKED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4" hidden="0" customWidth="1"/>
    <x:col min="3" max="3" width="16" hidden="0" customWidth="1"/>
    <x:col min="4" max="4" width="15" hidden="0" customWidth="1"/>
    <x:col min="5" max="5" width="14" hidden="0" customWidth="1"/>
    <x:col min="6" max="6" width="18" hidden="0" customWidth="1"/>
    <x:col min="7" max="7" width="17" hidden="0" customWidth="1"/>
    <x:col min="8" max="8" width="21" hidden="0" customWidth="1"/>
    <x:col min="9" max="9" width="16" hidden="0" customWidth="1"/>
    <x:col min="10" max="10" width="15" hidden="0" customWidth="1"/>
    <x:col min="11" max="11" width="22" hidden="0" customWidth="1"/>
    <x:col min="12" max="12" width="12" hidden="0" customWidth="1"/>
  </x:cols>
  <x:sheetData>
    <x:row r="2" ht="18" customHeight="1">
      <x:c r="B2" s="4" t="str">
        <x:v>Independent power endurance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18" customHeight="1">
      <x:c r="B3" s="5" t="str">
        <x:v>Every evidence node carries the complete 168-hour energy interval with 25 percent nameplate reserve</x:v>
      </x:c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18" customHeight="1"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</x:row>
    <x:row r="5" ht="18" customHeight="1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</x:row>
    <x:row r="6" ht="18" customHeight="1">
      <x:c r="B6" s="23" t="str">
        <x:v>Node</x:v>
      </x:c>
      <x:c r="C6" s="24" t="str">
        <x:v>Average kW</x:v>
      </x:c>
      <x:c r="D6" s="24" t="str">
        <x:v>Duration h</x:v>
      </x:c>
      <x:c r="E6" s="24" t="str">
        <x:v>Reserve x</x:v>
      </x:c>
      <x:c r="F6" s="24" t="str">
        <x:v>Required kWh</x:v>
      </x:c>
      <x:c r="G6" s="24" t="str">
        <x:v>Pack kWh/kg</x:v>
      </x:c>
      <x:c r="H6" s="24" t="str">
        <x:v>Required battery kg</x:v>
      </x:c>
      <x:c r="I6" s="24" t="str">
        <x:v>Allocated kg</x:v>
      </x:c>
      <x:c r="J6" s="24" t="str">
        <x:v>Margin kg</x:v>
      </x:c>
      <x:c r="K6" s="24" t="str">
        <x:v>External mission energy</x:v>
      </x:c>
      <x:c r="L6" s="24" t="str">
        <x:v>Result</x:v>
      </x:c>
    </x:row>
    <x:row r="7" ht="18" customHeight="1">
      <x:c r="B7" s="25" t="str">
        <x:v>Air tile cassette</x:v>
      </x:c>
      <x:c r="C7" s="25" t="n">
        <x:v>0.055</x:v>
      </x:c>
      <x:c r="D7" s="25" t="n">
        <x:f>Assumptions!C8</x:f>
        <x:v>168</x:v>
      </x:c>
      <x:c r="E7" s="25" t="n">
        <x:f>Assumptions!C9</x:f>
        <x:v>1.25</x:v>
      </x:c>
      <x:c r="F7" s="25" t="n">
        <x:f>C7*D7*E7</x:f>
        <x:v>11.55</x:v>
      </x:c>
      <x:c r="G7" s="25" t="n">
        <x:f>Assumptions!C10</x:f>
        <x:v>0.22</x:v>
      </x:c>
      <x:c r="H7" s="25" t="n">
        <x:f>F7/G7</x:f>
        <x:v>52.5</x:v>
      </x:c>
      <x:c r="I7" s="25" t="n">
        <x:v>52.5</x:v>
      </x:c>
      <x:c r="J7" s="25" t="n">
        <x:f>I7-H7</x:f>
        <x:v>0</x:v>
      </x:c>
      <x:c r="K7" s="25" t="n">
        <x:v>0</x:v>
      </x:c>
      <x:c r="L7" s="27" t="str">
        <x:f>IF(AND(J7&gt;=0,K7=0),"PASS","FAIL")</x:f>
        <x:v>PASS</x:v>
      </x:c>
    </x:row>
    <x:row r="8" ht="18" customHeight="1">
      <x:c r="B8" s="25" t="str">
        <x:v>Terrain tile cassette</x:v>
      </x:c>
      <x:c r="C8" s="25" t="n">
        <x:v>0.065</x:v>
      </x:c>
      <x:c r="D8" s="25" t="n">
        <x:f>Assumptions!C8</x:f>
        <x:v>168</x:v>
      </x:c>
      <x:c r="E8" s="25" t="n">
        <x:f>Assumptions!C9</x:f>
        <x:v>1.25</x:v>
      </x:c>
      <x:c r="F8" s="25" t="n">
        <x:f>C8*D8*E8</x:f>
        <x:v>13.65</x:v>
      </x:c>
      <x:c r="G8" s="25" t="n">
        <x:f>Assumptions!C10</x:f>
        <x:v>0.22</x:v>
      </x:c>
      <x:c r="H8" s="25" t="n">
        <x:f>F8/G8</x:f>
        <x:v>62.04545454545455</x:v>
      </x:c>
      <x:c r="I8" s="25" t="n">
        <x:v>62.05</x:v>
      </x:c>
      <x:c r="J8" s="25" t="n">
        <x:f>I8-H8</x:f>
        <x:v>0.004545454545450411</x:v>
      </x:c>
      <x:c r="K8" s="25" t="n">
        <x:v>0</x:v>
      </x:c>
      <x:c r="L8" s="27" t="str">
        <x:f>IF(AND(J8&gt;=0,K8=0),"PASS","FAIL")</x:f>
        <x:v>PASS</x:v>
      </x:c>
    </x:row>
    <x:row r="9" ht="18" customHeight="1">
      <x:c r="B9" s="25" t="str">
        <x:v>Air carrier truth node</x:v>
      </x:c>
      <x:c r="C9" s="25" t="n">
        <x:v>0.8</x:v>
      </x:c>
      <x:c r="D9" s="25" t="n">
        <x:f>Assumptions!C8</x:f>
        <x:v>168</x:v>
      </x:c>
      <x:c r="E9" s="25" t="n">
        <x:f>Assumptions!C9</x:f>
        <x:v>1.25</x:v>
      </x:c>
      <x:c r="F9" s="25" t="n">
        <x:f>C9*D9*E9</x:f>
        <x:v>168</x:v>
      </x:c>
      <x:c r="G9" s="25" t="n">
        <x:f>Assumptions!C10</x:f>
        <x:v>0.22</x:v>
      </x:c>
      <x:c r="H9" s="25" t="n">
        <x:f>F9/G9</x:f>
        <x:v>763.6363636363636</x:v>
      </x:c>
      <x:c r="I9" s="25" t="n">
        <x:v>763.64</x:v>
      </x:c>
      <x:c r="J9" s="25" t="n">
        <x:f>I9-H9</x:f>
        <x:v>0.003636363636360329</x:v>
      </x:c>
      <x:c r="K9" s="25" t="n">
        <x:v>0</x:v>
      </x:c>
      <x:c r="L9" s="27" t="str">
        <x:f>IF(AND(J9&gt;=0,K9=0),"PASS","FAIL")</x:f>
        <x:v>PASS</x:v>
      </x:c>
    </x:row>
    <x:row r="10" ht="18" customHeight="1">
      <x:c r="B10" s="25" t="str">
        <x:v>Terrain carrier truth node</x:v>
      </x:c>
      <x:c r="C10" s="25" t="n">
        <x:v>0.6</x:v>
      </x:c>
      <x:c r="D10" s="25" t="n">
        <x:f>Assumptions!C8</x:f>
        <x:v>168</x:v>
      </x:c>
      <x:c r="E10" s="25" t="n">
        <x:f>Assumptions!C9</x:f>
        <x:v>1.25</x:v>
      </x:c>
      <x:c r="F10" s="25" t="n">
        <x:f>C10*D10*E10</x:f>
        <x:v>126</x:v>
      </x:c>
      <x:c r="G10" s="25" t="n">
        <x:f>Assumptions!C10</x:f>
        <x:v>0.22</x:v>
      </x:c>
      <x:c r="H10" s="25" t="n">
        <x:f>F10/G10</x:f>
        <x:v>572.7272727272727</x:v>
      </x:c>
      <x:c r="I10" s="25" t="n">
        <x:v>572.73</x:v>
      </x:c>
      <x:c r="J10" s="25" t="n">
        <x:f>I10-H10</x:f>
        <x:v>0.002727272727270247</x:v>
      </x:c>
      <x:c r="K10" s="25" t="n">
        <x:v>0</x:v>
      </x:c>
      <x:c r="L10" s="27" t="str">
        <x:f>IF(AND(J10&gt;=0,K10=0),"PASS","FAIL")</x:f>
        <x:v>PASS</x:v>
      </x:c>
    </x:row>
    <x:row r="11" ht="18" customHeight="1">
      <x:c r="B11" s="29" t="str">
        <x:v>Civil receiver station</x:v>
      </x:c>
      <x:c r="C11" s="29" t="n">
        <x:v>1.2</x:v>
      </x:c>
      <x:c r="D11" s="29" t="n">
        <x:f>Assumptions!C8</x:f>
        <x:v>168</x:v>
      </x:c>
      <x:c r="E11" s="29" t="n">
        <x:f>Assumptions!C9</x:f>
        <x:v>1.25</x:v>
      </x:c>
      <x:c r="F11" s="29" t="n">
        <x:f>C11*D11*E11</x:f>
        <x:v>252</x:v>
      </x:c>
      <x:c r="G11" s="29" t="n">
        <x:f>Assumptions!C10</x:f>
        <x:v>0.22</x:v>
      </x:c>
      <x:c r="H11" s="29" t="n">
        <x:f>F11/G11</x:f>
        <x:v>1145.4545454545455</x:v>
      </x:c>
      <x:c r="I11" s="29" t="n">
        <x:v>1145.46</x:v>
      </x:c>
      <x:c r="J11" s="29" t="n">
        <x:f>I11-H11</x:f>
        <x:v>0.005454545454540494</x:v>
      </x:c>
      <x:c r="K11" s="29" t="n">
        <x:v>0</x:v>
      </x:c>
      <x:c r="L11" s="31" t="str">
        <x:f>IF(AND(J11&gt;=0,K11=0),"PASS","FAIL")</x:f>
        <x:v>PASS</x:v>
      </x:c>
    </x:row>
    <x:row r="12" ht="18" customHeight="1"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</x:row>
    <x:row r="13" ht="18" customHeight="1"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</x:row>
    <x:row r="14" ht="18" customHeight="1"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</x:row>
    <x:row r="15" ht="18" customHeight="1"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</x:row>
    <x:row r="16" ht="18" customHeight="1"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</x:row>
    <x:row r="17" ht="18" customHeight="1"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</x:row>
    <x:row r="18" ht="18" customHeight="1"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</x:row>
    <x:row r="19" ht="18" customHeight="1"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</x:row>
    <x:row r="20" ht="18" customHeight="1"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</x:row>
    <x:row r="21" ht="18" customHeight="1"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</x:row>
    <x:row r="22" ht="18" customHeight="1"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</x:row>
  </x:sheetData>
  <x:mergeCells>
    <x:mergeCell ref="B2:H2"/>
    <x:mergeCell ref="B3:L3"/>
  </x:mergeCells>
  <x:conditionalFormatting sqref="L7:L11">
    <x:cfRule type="containsText" dxfId="65" priority="1" operator="containsText" text="FAIL"/>
    <x:cfRule type="containsText" dxfId="66" priority="2" operator="containsText" text="PASS"/>
    <x:cfRule type="containsText" dxfId="67" priority="3" operator="containsText" text="OPEN"/>
    <x:cfRule type="containsText" dxfId="68" priority="4" operator="containsText" text="HOLD"/>
    <x:cfRule type="containsText" dxfId="69" priority="5" operator="containsText" text="BLOCKED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4" hidden="0" customWidth="1"/>
    <x:col min="3" max="3" width="15" hidden="0" customWidth="1"/>
    <x:col min="4" max="4" width="15" hidden="0" customWidth="1"/>
    <x:col min="5" max="5" width="15" hidden="0" customWidth="1"/>
    <x:col min="6" max="6" width="18" hidden="0" customWidth="1"/>
    <x:col min="7" max="7" width="17" hidden="0" customWidth="1"/>
    <x:col min="8" max="8" width="16" hidden="0" customWidth="1"/>
    <x:col min="9" max="9" width="15" hidden="0" customWidth="1"/>
    <x:col min="10" max="10" width="14" hidden="0" customWidth="1"/>
    <x:col min="11" max="11" width="17" hidden="0" customWidth="1"/>
    <x:col min="12" max="12" width="12" hidden="0" customWidth="1"/>
  </x:cols>
  <x:sheetData>
    <x:row r="2" ht="18" customHeight="1">
      <x:c r="B2" s="4" t="str">
        <x:v>Local data endurance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18" customHeight="1">
      <x:c r="B3" s="5" t="str">
        <x:v>Installed storage holds the entire mission with filesystem and custody reserve; the network is not part of evidence survival</x:v>
      </x:c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18" customHeight="1"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</x:row>
    <x:row r="5" ht="18" customHeight="1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</x:row>
    <x:row r="6" ht="18" customHeight="1">
      <x:c r="B6" s="23" t="str">
        <x:v>Node</x:v>
      </x:c>
      <x:c r="C6" s="24" t="str">
        <x:v>Rate MB/s</x:v>
      </x:c>
      <x:c r="D6" s="24" t="str">
        <x:v>Duration h</x:v>
      </x:c>
      <x:c r="E6" s="24" t="str">
        <x:v>Raw TB</x:v>
      </x:c>
      <x:c r="F6" s="24" t="str">
        <x:v>Filesystem reserve</x:v>
      </x:c>
      <x:c r="G6" s="24" t="str">
        <x:v>Required TB</x:v>
      </x:c>
      <x:c r="H6" s="24" t="str">
        <x:v>Installed TB</x:v>
      </x:c>
      <x:c r="I6" s="24" t="str">
        <x:v>Margin TB</x:v>
      </x:c>
      <x:c r="J6" s="24" t="str">
        <x:v>Copies local</x:v>
      </x:c>
      <x:c r="K6" s="24" t="str">
        <x:v>Network needed</x:v>
      </x:c>
      <x:c r="L6" s="24" t="str">
        <x:v>Result</x:v>
      </x:c>
    </x:row>
    <x:row r="7" ht="18" customHeight="1">
      <x:c r="B7" s="25" t="str">
        <x:v>Air tile cassette</x:v>
      </x:c>
      <x:c r="C7" s="25" t="n">
        <x:v>4.2</x:v>
      </x:c>
      <x:c r="D7" s="25" t="n">
        <x:f>Assumptions!C8</x:f>
        <x:v>168</x:v>
      </x:c>
      <x:c r="E7" s="25" t="n">
        <x:f>C7*D7*3600/1000000</x:f>
        <x:v>2.54016</x:v>
      </x:c>
      <x:c r="F7" s="33" t="n">
        <x:f>Assumptions!C11</x:f>
        <x:v>0.25</x:v>
      </x:c>
      <x:c r="G7" s="25" t="n">
        <x:f>E7/(1-F7)</x:f>
        <x:v>3.38688</x:v>
      </x:c>
      <x:c r="H7" s="25" t="n">
        <x:v>8</x:v>
      </x:c>
      <x:c r="I7" s="25" t="n">
        <x:f>H7-G7</x:f>
        <x:v>4.61312</x:v>
      </x:c>
      <x:c r="J7" s="25" t="n">
        <x:v>1</x:v>
      </x:c>
      <x:c r="K7" s="25" t="n">
        <x:v>0</x:v>
      </x:c>
      <x:c r="L7" s="27" t="str">
        <x:f>IF(AND(I7&gt;=0,J7&gt;=1,K7=0),"PASS","FAIL")</x:f>
        <x:v>PASS</x:v>
      </x:c>
    </x:row>
    <x:row r="8" ht="18" customHeight="1">
      <x:c r="B8" s="25" t="str">
        <x:v>Terrain tile cassette</x:v>
      </x:c>
      <x:c r="C8" s="25" t="n">
        <x:v>5.13</x:v>
      </x:c>
      <x:c r="D8" s="25" t="n">
        <x:f>Assumptions!C8</x:f>
        <x:v>168</x:v>
      </x:c>
      <x:c r="E8" s="25" t="n">
        <x:f>C8*D8*3600/1000000</x:f>
        <x:v>3.102624</x:v>
      </x:c>
      <x:c r="F8" s="33" t="n">
        <x:f>Assumptions!C11</x:f>
        <x:v>0.25</x:v>
      </x:c>
      <x:c r="G8" s="25" t="n">
        <x:f>E8/(1-F8)</x:f>
        <x:v>4.136832</x:v>
      </x:c>
      <x:c r="H8" s="25" t="n">
        <x:v>8</x:v>
      </x:c>
      <x:c r="I8" s="25" t="n">
        <x:f>H8-G8</x:f>
        <x:v>3.863168</x:v>
      </x:c>
      <x:c r="J8" s="25" t="n">
        <x:v>1</x:v>
      </x:c>
      <x:c r="K8" s="25" t="n">
        <x:v>0</x:v>
      </x:c>
      <x:c r="L8" s="27" t="str">
        <x:f>IF(AND(I8&gt;=0,J8&gt;=1,K8=0),"PASS","FAIL")</x:f>
        <x:v>PASS</x:v>
      </x:c>
    </x:row>
    <x:row r="9" ht="18" customHeight="1">
      <x:c r="B9" s="25" t="str">
        <x:v>Air carrier truth node</x:v>
      </x:c>
      <x:c r="C9" s="25" t="n">
        <x:v>12</x:v>
      </x:c>
      <x:c r="D9" s="25" t="n">
        <x:f>Assumptions!C8</x:f>
        <x:v>168</x:v>
      </x:c>
      <x:c r="E9" s="25" t="n">
        <x:f>C9*D9*3600/1000000</x:f>
        <x:v>7.2576</x:v>
      </x:c>
      <x:c r="F9" s="33" t="n">
        <x:f>Assumptions!C11</x:f>
        <x:v>0.25</x:v>
      </x:c>
      <x:c r="G9" s="25" t="n">
        <x:f>E9/(1-F9)</x:f>
        <x:v>9.6768</x:v>
      </x:c>
      <x:c r="H9" s="25" t="n">
        <x:v>24</x:v>
      </x:c>
      <x:c r="I9" s="25" t="n">
        <x:f>H9-G9</x:f>
        <x:v>14.3232</x:v>
      </x:c>
      <x:c r="J9" s="25" t="n">
        <x:v>1</x:v>
      </x:c>
      <x:c r="K9" s="25" t="n">
        <x:v>0</x:v>
      </x:c>
      <x:c r="L9" s="27" t="str">
        <x:f>IF(AND(I9&gt;=0,J9&gt;=1,K9=0),"PASS","FAIL")</x:f>
        <x:v>PASS</x:v>
      </x:c>
    </x:row>
    <x:row r="10" ht="18" customHeight="1">
      <x:c r="B10" s="25" t="str">
        <x:v>Terrain carrier truth node</x:v>
      </x:c>
      <x:c r="C10" s="25" t="n">
        <x:v>20</x:v>
      </x:c>
      <x:c r="D10" s="25" t="n">
        <x:f>Assumptions!C8</x:f>
        <x:v>168</x:v>
      </x:c>
      <x:c r="E10" s="25" t="n">
        <x:f>C10*D10*3600/1000000</x:f>
        <x:v>12.096</x:v>
      </x:c>
      <x:c r="F10" s="33" t="n">
        <x:f>Assumptions!C11</x:f>
        <x:v>0.25</x:v>
      </x:c>
      <x:c r="G10" s="25" t="n">
        <x:f>E10/(1-F10)</x:f>
        <x:v>16.128</x:v>
      </x:c>
      <x:c r="H10" s="25" t="n">
        <x:v>24</x:v>
      </x:c>
      <x:c r="I10" s="25" t="n">
        <x:f>H10-G10</x:f>
        <x:v>7.872</x:v>
      </x:c>
      <x:c r="J10" s="25" t="n">
        <x:v>1</x:v>
      </x:c>
      <x:c r="K10" s="25" t="n">
        <x:v>0</x:v>
      </x:c>
      <x:c r="L10" s="27" t="str">
        <x:f>IF(AND(I10&gt;=0,J10&gt;=1,K10=0),"PASS","FAIL")</x:f>
        <x:v>PASS</x:v>
      </x:c>
    </x:row>
    <x:row r="11" ht="18" customHeight="1">
      <x:c r="B11" s="25" t="str">
        <x:v>Civil receiver station</x:v>
      </x:c>
      <x:c r="C11" s="25" t="n">
        <x:v>40</x:v>
      </x:c>
      <x:c r="D11" s="25" t="n">
        <x:f>Assumptions!C8</x:f>
        <x:v>168</x:v>
      </x:c>
      <x:c r="E11" s="25" t="n">
        <x:f>C11*D11*3600/1000000</x:f>
        <x:v>24.192</x:v>
      </x:c>
      <x:c r="F11" s="33" t="n">
        <x:f>Assumptions!C11</x:f>
        <x:v>0.25</x:v>
      </x:c>
      <x:c r="G11" s="25" t="n">
        <x:f>E11/(1-F11)</x:f>
        <x:v>32.256</x:v>
      </x:c>
      <x:c r="H11" s="25" t="n">
        <x:v>64</x:v>
      </x:c>
      <x:c r="I11" s="25" t="n">
        <x:f>H11-G11</x:f>
        <x:v>31.744</x:v>
      </x:c>
      <x:c r="J11" s="25" t="n">
        <x:v>1</x:v>
      </x:c>
      <x:c r="K11" s="25" t="n">
        <x:v>0</x:v>
      </x:c>
      <x:c r="L11" s="27" t="str">
        <x:f>IF(AND(I11&gt;=0,J11&gt;=1,K11=0),"PASS","FAIL")</x:f>
        <x:v>PASS</x:v>
      </x:c>
    </x:row>
    <x:row r="12" ht="18" customHeight="1">
      <x:c r="B12" s="25" t="str">
        <x:v>Range truth array</x:v>
      </x:c>
      <x:c r="C12" s="25" t="n">
        <x:v>20</x:v>
      </x:c>
      <x:c r="D12" s="25" t="n">
        <x:f>Assumptions!C8</x:f>
        <x:v>168</x:v>
      </x:c>
      <x:c r="E12" s="25" t="n">
        <x:f>C12*D12*3600/1000000</x:f>
        <x:v>12.096</x:v>
      </x:c>
      <x:c r="F12" s="33" t="n">
        <x:f>Assumptions!C11</x:f>
        <x:v>0.25</x:v>
      </x:c>
      <x:c r="G12" s="25" t="n">
        <x:f>E12/(1-F12)</x:f>
        <x:v>16.128</x:v>
      </x:c>
      <x:c r="H12" s="25" t="n">
        <x:v>24</x:v>
      </x:c>
      <x:c r="I12" s="25" t="n">
        <x:f>H12-G12</x:f>
        <x:v>7.872</x:v>
      </x:c>
      <x:c r="J12" s="25" t="n">
        <x:v>1</x:v>
      </x:c>
      <x:c r="K12" s="25" t="n">
        <x:v>0</x:v>
      </x:c>
      <x:c r="L12" s="27" t="str">
        <x:f>IF(AND(I12&gt;=0,J12&gt;=1,K12=0),"PASS","FAIL")</x:f>
        <x:v>PASS</x:v>
      </x:c>
    </x:row>
    <x:row r="13" ht="18" customHeight="1">
      <x:c r="B13" s="29" t="str">
        <x:v>Mobile reference laboratory</x:v>
      </x:c>
      <x:c r="C13" s="29" t="n">
        <x:v>10</x:v>
      </x:c>
      <x:c r="D13" s="29" t="n">
        <x:f>Assumptions!C8</x:f>
        <x:v>168</x:v>
      </x:c>
      <x:c r="E13" s="29" t="n">
        <x:f>C13*D13*3600/1000000</x:f>
        <x:v>6.048</x:v>
      </x:c>
      <x:c r="F13" s="34" t="n">
        <x:f>Assumptions!C11</x:f>
        <x:v>0.25</x:v>
      </x:c>
      <x:c r="G13" s="29" t="n">
        <x:f>E13/(1-F13)</x:f>
        <x:v>8.064</x:v>
      </x:c>
      <x:c r="H13" s="29" t="n">
        <x:v>16</x:v>
      </x:c>
      <x:c r="I13" s="29" t="n">
        <x:f>H13-G13</x:f>
        <x:v>7.936</x:v>
      </x:c>
      <x:c r="J13" s="29" t="n">
        <x:v>1</x:v>
      </x:c>
      <x:c r="K13" s="29" t="n">
        <x:v>0</x:v>
      </x:c>
      <x:c r="L13" s="31" t="str">
        <x:f>IF(AND(I13&gt;=0,J13&gt;=1,K13=0),"PASS","FAIL")</x:f>
        <x:v>PASS</x:v>
      </x:c>
    </x:row>
    <x:row r="14" ht="18" customHeight="1"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</x:row>
    <x:row r="15" ht="18" customHeight="1"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</x:row>
    <x:row r="16" ht="18" customHeight="1">
      <x:c r="B16" s="9" t="str">
        <x:v>Custody rule</x:v>
      </x:c>
      <x:c r="C16" s="10" t="str">
        <x:v>Custody rule</x:v>
      </x:c>
      <x:c r="D16" s="10" t="str">
        <x:v>Custody rule</x:v>
      </x:c>
      <x:c r="E16" s="10" t="str">
        <x:v>Custody rule</x:v>
      </x:c>
      <x:c r="F16" s="10" t="str">
        <x:v>Custody rule</x:v>
      </x:c>
      <x:c r="G16" s="10" t="str">
        <x:v>Custody rule</x:v>
      </x:c>
      <x:c r="H16" s="10" t="str">
        <x:v>Custody rule</x:v>
      </x:c>
      <x:c r="I16" s="10" t="str">
        <x:v>Custody rule</x:v>
      </x:c>
      <x:c r="J16" s="10" t="str">
        <x:v>Custody rule</x:v>
      </x:c>
      <x:c r="K16" s="10" t="str">
        <x:v>Custody rule</x:v>
      </x:c>
      <x:c r="L16" s="11" t="str">
        <x:v>Custody rule</x:v>
      </x:c>
    </x:row>
    <x:row r="17" ht="26" customHeight="1">
      <x:c r="B17" s="3" t="str">
        <x:v>Local write-once capture precedes export.</x:v>
      </x:c>
      <x:c r="C17" s="3" t="str"/>
      <x:c r="D17" s="3" t="str"/>
      <x:c r="E17" s="3" t="str"/>
      <x:c r="F17" s="3" t="str"/>
      <x:c r="G17" s="3" t="str"/>
      <x:c r="H17" s="3" t="str"/>
      <x:c r="I17" s="3" t="str"/>
      <x:c r="J17" s="3" t="str"/>
      <x:c r="K17" s="3" t="str"/>
      <x:c r="L17" s="3" t="str"/>
    </x:row>
    <x:row r="18" ht="26" customHeight="1">
      <x:c r="B18" s="3" t="str">
        <x:v>Loss of every external link changes delivery latency, not the retained interval.</x:v>
      </x:c>
      <x:c r="C18" s="3" t="str"/>
      <x:c r="D18" s="3" t="str"/>
      <x:c r="E18" s="3" t="str"/>
      <x:c r="F18" s="3" t="str"/>
      <x:c r="G18" s="3" t="str"/>
      <x:c r="H18" s="3" t="str"/>
      <x:c r="I18" s="3" t="str"/>
      <x:c r="J18" s="3" t="str"/>
      <x:c r="K18" s="3" t="str"/>
      <x:c r="L18" s="3" t="str"/>
    </x:row>
    <x:row r="19" ht="26" customHeight="1">
      <x:c r="B19" s="3" t="str">
        <x:v>The evidence authority receives originals before builder analytic copies.</x:v>
      </x:c>
      <x:c r="C19" s="3" t="str"/>
      <x:c r="D19" s="3" t="str"/>
      <x:c r="E19" s="3" t="str"/>
      <x:c r="F19" s="3" t="str"/>
      <x:c r="G19" s="3" t="str"/>
      <x:c r="H19" s="3" t="str"/>
      <x:c r="I19" s="3" t="str"/>
      <x:c r="J19" s="3" t="str"/>
      <x:c r="K19" s="3" t="str"/>
      <x:c r="L19" s="3" t="str"/>
    </x:row>
    <x:row r="20" ht="26" customHeight="1">
      <x:c r="B20" s="3" t="str">
        <x:v>Invalid sensors and dropped packets remain explicit states.</x:v>
      </x:c>
      <x:c r="C20" s="3" t="str"/>
      <x:c r="D20" s="3" t="str"/>
      <x:c r="E20" s="3" t="str"/>
      <x:c r="F20" s="3" t="str"/>
      <x:c r="G20" s="3" t="str"/>
      <x:c r="H20" s="3" t="str"/>
      <x:c r="I20" s="3" t="str"/>
      <x:c r="J20" s="3" t="str"/>
      <x:c r="K20" s="3" t="str"/>
      <x:c r="L20" s="3" t="str"/>
    </x:row>
    <x:row r="21" ht="26" customHeight="1">
      <x:c r="B21" s="3" t="str">
        <x:v>A complete mission cannot be reconstructed from a national archive if the local original is absent.</x:v>
      </x:c>
      <x:c r="C21" s="3" t="str"/>
      <x:c r="D21" s="3" t="str"/>
      <x:c r="E21" s="3" t="str"/>
      <x:c r="F21" s="3" t="str"/>
      <x:c r="G21" s="3" t="str"/>
      <x:c r="H21" s="3" t="str"/>
      <x:c r="I21" s="3" t="str"/>
      <x:c r="J21" s="3" t="str"/>
      <x:c r="K21" s="3" t="str"/>
      <x:c r="L21" s="3" t="str"/>
    </x:row>
    <x:row r="22" ht="18" customHeight="1"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</x:row>
    <x:row r="23" ht="18" customHeight="1"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</x:row>
    <x:row r="24" ht="18" customHeight="1"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</x:row>
  </x:sheetData>
  <x:mergeCells>
    <x:mergeCell ref="B2:H2"/>
    <x:mergeCell ref="B3:L3"/>
    <x:mergeCell ref="B16:L16"/>
  </x:mergeCells>
  <x:conditionalFormatting sqref="L7:L13">
    <x:cfRule type="containsText" dxfId="70" priority="1" operator="containsText" text="FAIL"/>
    <x:cfRule type="containsText" dxfId="71" priority="2" operator="containsText" text="PASS"/>
    <x:cfRule type="containsText" dxfId="72" priority="3" operator="containsText" text="OPEN"/>
    <x:cfRule type="containsText" dxfId="73" priority="4" operator="containsText" text="HOLD"/>
    <x:cfRule type="containsText" dxfId="74" priority="5" operator="containsText" text="BLOCKED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1" hidden="0" customWidth="1"/>
    <x:col min="3" max="3" width="17" hidden="0" customWidth="1"/>
    <x:col min="4" max="4" width="31" hidden="0" customWidth="1"/>
    <x:col min="5" max="5" width="27" hidden="0" customWidth="1"/>
    <x:col min="6" max="6" width="25" hidden="0" customWidth="1"/>
    <x:col min="7" max="7" width="23" hidden="0" customWidth="1"/>
    <x:col min="8" max="8" width="12" hidden="0" customWidth="1"/>
    <x:col min="9" max="9" width="28" hidden="0" customWidth="1"/>
    <x:col min="10" max="10" width="18" hidden="0" customWidth="1"/>
  </x:cols>
  <x:sheetData>
    <x:row r="2" ht="18" customHeight="1">
      <x:c r="B2" s="4" t="str">
        <x:v>Seven-day clock holdover</x:v>
      </x:c>
      <x:c r="C2" s="3"/>
      <x:c r="D2" s="3"/>
      <x:c r="E2" s="3"/>
      <x:c r="F2" s="3"/>
      <x:c r="G2" s="3"/>
      <x:c r="H2" s="3"/>
      <x:c r="I2" s="3"/>
      <x:c r="J2" s="3"/>
    </x:row>
    <x:row r="3" ht="18" customHeight="1">
      <x:c r="B3" s="5" t="str">
        <x:v>Diverse roots preserve event order through GNSS denial; physical event definition remains the larger time uncertainty</x:v>
      </x:c>
      <x:c r="C3" s="3"/>
      <x:c r="D3" s="3"/>
      <x:c r="E3" s="3"/>
      <x:c r="F3" s="3"/>
      <x:c r="G3" s="3"/>
      <x:c r="H3" s="3"/>
      <x:c r="I3" s="3"/>
      <x:c r="J3" s="3"/>
    </x:row>
    <x:row r="4" ht="18" customHeight="1">
      <x:c r="B4" s="6"/>
      <x:c r="C4" s="6"/>
      <x:c r="D4" s="6"/>
      <x:c r="E4" s="6"/>
      <x:c r="F4" s="6"/>
      <x:c r="G4" s="6"/>
      <x:c r="H4" s="6"/>
      <x:c r="I4" s="6"/>
      <x:c r="J4" s="6"/>
    </x:row>
    <x:row r="5" ht="18" customHeight="1">
      <x:c r="B5" s="3"/>
      <x:c r="C5" s="3"/>
      <x:c r="D5" s="3"/>
      <x:c r="E5" s="3"/>
      <x:c r="F5" s="3"/>
      <x:c r="G5" s="3"/>
      <x:c r="H5" s="3"/>
      <x:c r="I5" s="3"/>
      <x:c r="J5" s="3"/>
    </x:row>
    <x:row r="6" ht="18" customHeight="1">
      <x:c r="B6" s="17" t="str">
        <x:v>Component</x:v>
      </x:c>
      <x:c r="C6" s="18" t="str">
        <x:v>Standard u(s)</x:v>
      </x:c>
      <x:c r="D6" s="18" t="str">
        <x:v>Mechanism</x:v>
      </x:c>
      <x:c r="E6" s="18" t="str">
        <x:v>Diversity control</x:v>
      </x:c>
      <x:c r="F6" s="18" t="str">
        <x:v>Failure insertion</x:v>
      </x:c>
      <x:c r="G6" s="18" t="str">
        <x:v>Authority</x:v>
      </x:c>
      <x:c r="H6" s="18" t="str">
        <x:v>State</x:v>
      </x:c>
      <x:c r="I6" s="18" t="str">
        <x:v>Note</x:v>
      </x:c>
      <x:c r="J6" s="19" t="str">
        <x:v>Control</x:v>
      </x:c>
    </x:row>
    <x:row r="7" ht="18" customHeight="1">
      <x:c r="B7" s="3" t="str">
        <x:v>Primary atomic holdover</x:v>
      </x:c>
      <x:c r="C7" s="3" t="n">
        <x:v>0.0015</x:v>
      </x:c>
      <x:c r="D7" s="3" t="str">
        <x:v>independent rubidium root</x:v>
      </x:c>
      <x:c r="E7" s="3" t="str">
        <x:v>supplier and firmware A</x:v>
      </x:c>
      <x:c r="F7" s="3" t="str">
        <x:v>deny external discipline</x:v>
      </x:c>
      <x:c r="G7" s="3" t="str">
        <x:v>time authority</x:v>
      </x:c>
      <x:c r="H7" s="3" t="str">
        <x:v>OPEN</x:v>
      </x:c>
      <x:c r="I7" s="3" t="str"/>
      <x:c r="J7" s="3"/>
    </x:row>
    <x:row r="8" ht="18" customHeight="1">
      <x:c r="B8" s="3" t="str">
        <x:v>Secondary atomic holdover</x:v>
      </x:c>
      <x:c r="C8" s="3" t="n">
        <x:v>0.0018</x:v>
      </x:c>
      <x:c r="D8" s="3" t="str">
        <x:v>independent atomic root</x:v>
      </x:c>
      <x:c r="E8" s="3" t="str">
        <x:v>supplier and firmware B</x:v>
      </x:c>
      <x:c r="F8" s="3" t="str">
        <x:v>fault primary root</x:v>
      </x:c>
      <x:c r="G8" s="3" t="str">
        <x:v>time authority</x:v>
      </x:c>
      <x:c r="H8" s="3" t="str">
        <x:v>OPEN</x:v>
      </x:c>
      <x:c r="I8" s="3" t="str"/>
      <x:c r="J8" s="3"/>
    </x:row>
    <x:row r="9" ht="18" customHeight="1">
      <x:c r="B9" s="3" t="str">
        <x:v>Thermal sensitivity</x:v>
      </x:c>
      <x:c r="C9" s="3" t="n">
        <x:v>0.0016</x:v>
      </x:c>
      <x:c r="D9" s="3" t="str">
        <x:v>measured enclosure model</x:v>
      </x:c>
      <x:c r="E9" s="3" t="str">
        <x:v>separate temperature reference</x:v>
      </x:c>
      <x:c r="F9" s="3" t="str">
        <x:v>cycle full envelope</x:v>
      </x:c>
      <x:c r="G9" s="3" t="str">
        <x:v>metrology</x:v>
      </x:c>
      <x:c r="H9" s="3" t="str">
        <x:v>OPEN</x:v>
      </x:c>
      <x:c r="I9" s="3" t="str"/>
      <x:c r="J9" s="3"/>
    </x:row>
    <x:row r="10" ht="18" customHeight="1">
      <x:c r="B10" s="3" t="str">
        <x:v>Calibration transfer</x:v>
      </x:c>
      <x:c r="C10" s="3" t="n">
        <x:v>0.002</x:v>
      </x:c>
      <x:c r="D10" s="3" t="str">
        <x:v>traveling primary reference</x:v>
      </x:c>
      <x:c r="E10" s="3" t="str">
        <x:v>independent before and after chains</x:v>
      </x:c>
      <x:c r="F10" s="3" t="str">
        <x:v>substitute calibration</x:v>
      </x:c>
      <x:c r="G10" s="3" t="str">
        <x:v>metrology</x:v>
      </x:c>
      <x:c r="H10" s="3" t="str">
        <x:v>OPEN</x:v>
      </x:c>
      <x:c r="I10" s="3" t="str"/>
      <x:c r="J10" s="3"/>
    </x:row>
    <x:row r="11" ht="18" customHeight="1">
      <x:c r="B11" s="3" t="str">
        <x:v>Event distribution</x:v>
      </x:c>
      <x:c r="C11" s="3" t="n">
        <x:v>0.0022</x:v>
      </x:c>
      <x:c r="D11" s="3" t="str">
        <x:v>hardware time fanout</x:v>
      </x:c>
      <x:c r="E11" s="3" t="str">
        <x:v>separate physical path</x:v>
      </x:c>
      <x:c r="F11" s="3" t="str">
        <x:v>delay one branch</x:v>
      </x:c>
      <x:c r="G11" s="3" t="str">
        <x:v>evidence authority</x:v>
      </x:c>
      <x:c r="H11" s="3" t="str">
        <x:v>OPEN</x:v>
      </x:c>
      <x:c r="I11" s="3" t="str"/>
      <x:c r="J11" s="3"/>
    </x:row>
    <x:row r="12" ht="18" customHeight="1">
      <x:c r="B12" s="3" t="str">
        <x:v>Readout and quantization</x:v>
      </x:c>
      <x:c r="C12" s="3" t="n">
        <x:v>0.001</x:v>
      </x:c>
      <x:c r="D12" s="3" t="str">
        <x:v>registered counter</x:v>
      </x:c>
      <x:c r="E12" s="3" t="str">
        <x:v>independent implementation</x:v>
      </x:c>
      <x:c r="F12" s="3" t="str">
        <x:v>seed rounding defect</x:v>
      </x:c>
      <x:c r="G12" s="3" t="str">
        <x:v>software evidence</x:v>
      </x:c>
      <x:c r="H12" s="3" t="str">
        <x:v>OPEN</x:v>
      </x:c>
      <x:c r="I12" s="3" t="str"/>
      <x:c r="J12" s="3"/>
    </x:row>
    <x:row r="13" ht="18" customHeight="1">
      <x:c r="B13" s="3"/>
      <x:c r="C13" s="3"/>
      <x:c r="D13" s="3"/>
      <x:c r="E13" s="3"/>
      <x:c r="F13" s="3"/>
      <x:c r="G13" s="3"/>
      <x:c r="H13" s="3"/>
      <x:c r="I13" s="3"/>
      <x:c r="J13" s="3"/>
    </x:row>
    <x:row r="14" ht="18" customHeight="1">
      <x:c r="B14" s="3"/>
      <x:c r="C14" s="3"/>
      <x:c r="D14" s="3"/>
      <x:c r="E14" s="3"/>
      <x:c r="F14" s="3"/>
      <x:c r="G14" s="3"/>
      <x:c r="H14" s="3"/>
      <x:c r="I14" s="3"/>
      <x:c r="J14" s="3"/>
    </x:row>
    <x:row r="15" ht="18" customHeight="1">
      <x:c r="B15" s="9" t="str">
        <x:v>Expanded holdover uncertainty</x:v>
      </x:c>
      <x:c r="C15" s="10" t="str">
        <x:v>Expanded holdover uncertainty</x:v>
      </x:c>
      <x:c r="D15" s="10" t="str">
        <x:v>Expanded holdover uncertainty</x:v>
      </x:c>
      <x:c r="E15" s="10" t="str">
        <x:v>Expanded holdover uncertainty</x:v>
      </x:c>
      <x:c r="F15" s="10" t="str">
        <x:v>Expanded holdover uncertainty</x:v>
      </x:c>
      <x:c r="G15" s="10" t="str">
        <x:v>Expanded holdover uncertainty</x:v>
      </x:c>
      <x:c r="H15" s="10" t="str">
        <x:v>Expanded holdover uncertainty</x:v>
      </x:c>
      <x:c r="I15" s="10" t="str">
        <x:v>Expanded holdover uncertainty</x:v>
      </x:c>
      <x:c r="J15" s="11" t="str">
        <x:v>Expanded holdover uncertainty</x:v>
      </x:c>
    </x:row>
    <x:row r="16" ht="18" customHeight="1">
      <x:c r="B16" s="17" t="str">
        <x:v>Measure</x:v>
      </x:c>
      <x:c r="C16" s="18" t="str">
        <x:v>Value</x:v>
      </x:c>
      <x:c r="D16" s="18" t="str">
        <x:v>Unit</x:v>
      </x:c>
      <x:c r="E16" s="18" t="str">
        <x:v>Limit</x:v>
      </x:c>
      <x:c r="F16" s="19" t="str">
        <x:v>Result</x:v>
      </x:c>
      <x:c r="G16" s="3"/>
      <x:c r="H16" s="3"/>
      <x:c r="I16" s="3"/>
      <x:c r="J16" s="3"/>
    </x:row>
    <x:row r="17" ht="18" customHeight="1">
      <x:c r="B17" s="3" t="str">
        <x:v>Combined standard uncertainty</x:v>
      </x:c>
      <x:c r="C17" s="3" t="n">
        <x:f>SQRT(SUMSQ(C7:C12))</x:f>
        <x:v>0.00422965719651132</x:v>
      </x:c>
      <x:c r="D17" s="3" t="str">
        <x:v>s</x:v>
      </x:c>
      <x:c r="E17" s="3" t="n">
        <x:v>0</x:v>
      </x:c>
      <x:c r="F17" s="3" t="str">
        <x:f>IF(C17&gt;0,"PASS","FAIL")</x:f>
        <x:v>PASS</x:v>
      </x:c>
      <x:c r="G17" s="3"/>
      <x:c r="H17" s="3"/>
      <x:c r="I17" s="3"/>
      <x:c r="J17" s="3"/>
    </x:row>
    <x:row r="18" ht="18" customHeight="1">
      <x:c r="B18" s="3" t="str">
        <x:v>Expanded uncertainty U95</x:v>
      </x:c>
      <x:c r="C18" s="3" t="n">
        <x:f>C17*Assumptions!C13</x:f>
        <x:v>0.00845931439302264</x:v>
      </x:c>
      <x:c r="D18" s="3" t="str">
        <x:v>s</x:v>
      </x:c>
      <x:c r="E18" s="3" t="n">
        <x:v>0.01</x:v>
      </x:c>
      <x:c r="F18" s="3" t="str">
        <x:f>IF(C18&lt;=E18,"PASS","FAIL")</x:f>
        <x:v>PASS</x:v>
      </x:c>
      <x:c r="G18" s="3"/>
      <x:c r="H18" s="3"/>
      <x:c r="I18" s="3"/>
      <x:c r="J18" s="3"/>
    </x:row>
    <x:row r="19" ht="18" customHeight="1">
      <x:c r="B19" s="3" t="str">
        <x:v>Mission duration</x:v>
      </x:c>
      <x:c r="C19" s="3" t="n">
        <x:f>Assumptions!C8</x:f>
        <x:v>168</x:v>
      </x:c>
      <x:c r="D19" s="3" t="str">
        <x:v>h</x:v>
      </x:c>
      <x:c r="E19" s="3" t="n">
        <x:v>168</x:v>
      </x:c>
      <x:c r="F19" s="3" t="str">
        <x:f>IF(C19=E19,"PASS","FAIL")</x:f>
        <x:v>PASS</x:v>
      </x:c>
      <x:c r="G19" s="3"/>
      <x:c r="H19" s="3"/>
      <x:c r="I19" s="3"/>
      <x:c r="J19" s="3"/>
    </x:row>
    <x:row r="20" ht="18" customHeight="1">
      <x:c r="B20" s="3" t="str">
        <x:v>Decision</x:v>
      </x:c>
      <x:c r="C20" s="3" t="n">
        <x:f>IF(C18&lt;=E18,1,0)</x:f>
        <x:v>1</x:v>
      </x:c>
      <x:c r="D20" s="3" t="str">
        <x:v>binary</x:v>
      </x:c>
      <x:c r="E20" s="3" t="n">
        <x:v>1</x:v>
      </x:c>
      <x:c r="F20" s="3" t="str">
        <x:f>IF(C20=E20,"PASS","FAIL")</x:f>
        <x:v>PASS</x:v>
      </x:c>
      <x:c r="G20" s="3"/>
      <x:c r="H20" s="3"/>
      <x:c r="I20" s="3"/>
      <x:c r="J20" s="3"/>
    </x:row>
    <x:row r="21" ht="18" customHeight="1">
      <x:c r="B21" s="3"/>
      <x:c r="C21" s="3"/>
      <x:c r="D21" s="3"/>
      <x:c r="E21" s="3"/>
      <x:c r="F21" s="3"/>
      <x:c r="G21" s="3"/>
      <x:c r="H21" s="3"/>
      <x:c r="I21" s="3"/>
      <x:c r="J21" s="3"/>
    </x:row>
    <x:row r="22" ht="18" customHeight="1">
      <x:c r="B22" s="3"/>
      <x:c r="C22" s="3"/>
      <x:c r="D22" s="3"/>
      <x:c r="E22" s="3"/>
      <x:c r="F22" s="3"/>
      <x:c r="G22" s="3"/>
      <x:c r="H22" s="3"/>
      <x:c r="I22" s="3"/>
      <x:c r="J22" s="3"/>
    </x:row>
    <x:row r="23" ht="18" customHeight="1">
      <x:c r="B23" s="3"/>
      <x:c r="C23" s="3"/>
      <x:c r="D23" s="3"/>
      <x:c r="E23" s="3"/>
      <x:c r="F23" s="3"/>
      <x:c r="G23" s="3"/>
      <x:c r="H23" s="3"/>
      <x:c r="I23" s="3"/>
      <x:c r="J23" s="3"/>
    </x:row>
    <x:row r="24" ht="18" customHeight="1">
      <x:c r="B24" s="3"/>
      <x:c r="C24" s="3"/>
      <x:c r="D24" s="3"/>
      <x:c r="E24" s="3"/>
      <x:c r="F24" s="3"/>
      <x:c r="G24" s="3"/>
      <x:c r="H24" s="3"/>
      <x:c r="I24" s="3"/>
      <x:c r="J24" s="3"/>
    </x:row>
    <x:row r="25" ht="18" customHeight="1">
      <x:c r="B25" s="3"/>
      <x:c r="C25" s="3"/>
      <x:c r="D25" s="3"/>
      <x:c r="E25" s="3"/>
      <x:c r="F25" s="3"/>
      <x:c r="G25" s="3"/>
      <x:c r="H25" s="3"/>
      <x:c r="I25" s="3"/>
      <x:c r="J25" s="3"/>
    </x:row>
  </x:sheetData>
  <x:mergeCells>
    <x:mergeCell ref="B2:H2"/>
    <x:mergeCell ref="B3:J3"/>
    <x:mergeCell ref="B15:J15"/>
  </x:mergeCells>
  <x:conditionalFormatting sqref="H7:H12">
    <x:cfRule type="containsText" dxfId="75" priority="1" operator="containsText" text="FAIL"/>
    <x:cfRule type="containsText" dxfId="76" priority="2" operator="containsText" text="PASS"/>
    <x:cfRule type="containsText" dxfId="77" priority="3" operator="containsText" text="OPEN"/>
    <x:cfRule type="containsText" dxfId="78" priority="4" operator="containsText" text="HOLD"/>
    <x:cfRule type="containsText" dxfId="79" priority="5" operator="containsText" text="BLOCKED"/>
  </x:conditionalFormatting>
  <x:conditionalFormatting sqref="F17:F20">
    <x:cfRule type="containsText" dxfId="80" priority="6" operator="containsText" text="FAIL"/>
    <x:cfRule type="containsText" dxfId="81" priority="7" operator="containsText" text="PASS"/>
    <x:cfRule type="containsText" dxfId="82" priority="8" operator="containsText" text="OPEN"/>
    <x:cfRule type="containsText" dxfId="83" priority="9" operator="containsText" text="HOLD"/>
    <x:cfRule type="containsText" dxfId="84" priority="10" operator="containsText" text="BLOCKED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4" hidden="0" customWidth="1"/>
    <x:col min="3" max="3" width="18" hidden="0" customWidth="1"/>
    <x:col min="4" max="4" width="32" hidden="0" customWidth="1"/>
    <x:col min="5" max="5" width="28" hidden="0" customWidth="1"/>
    <x:col min="6" max="6" width="13" hidden="0" customWidth="1"/>
    <x:col min="7" max="7" width="27" hidden="0" customWidth="1"/>
    <x:col min="8" max="8" width="13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2" ht="18" customHeight="1">
      <x:c r="B2" s="4" t="str">
        <x:v>Distributed soil-pressure truth system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18" customHeight="1">
      <x:c r="B3" s="5" t="str">
        <x:v>The measurement hardware adds test mass, then restores admissible uncertainty through dense field sensing and independent geometry</x:v>
      </x:c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18" customHeight="1"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</x:row>
    <x:row r="5" ht="18" customHeight="1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</x:row>
    <x:row r="6" ht="18" customHeight="1">
      <x:c r="B6" s="9" t="str">
        <x:v>Skin geometry and data</x:v>
      </x:c>
      <x:c r="C6" s="10" t="str">
        <x:v>Skin geometry and data</x:v>
      </x:c>
      <x:c r="D6" s="10" t="str">
        <x:v>Skin geometry and data</x:v>
      </x:c>
      <x:c r="E6" s="10" t="str">
        <x:v>Skin geometry and data</x:v>
      </x:c>
      <x:c r="F6" s="10" t="str">
        <x:v>Skin geometry and data</x:v>
      </x:c>
      <x:c r="G6" s="10" t="str">
        <x:v>Skin geometry and data</x:v>
      </x:c>
      <x:c r="H6" s="10" t="str">
        <x:v>Skin geometry and data</x:v>
      </x:c>
      <x:c r="I6" s="10" t="str">
        <x:v>Skin geometry and data</x:v>
      </x:c>
      <x:c r="J6" s="10" t="str">
        <x:v>Skin geometry and data</x:v>
      </x:c>
      <x:c r="K6" s="10" t="str">
        <x:v>Skin geometry and data</x:v>
      </x:c>
      <x:c r="L6" s="11" t="str">
        <x:v>Skin geometry and data</x:v>
      </x:c>
    </x:row>
    <x:row r="7" ht="18" customHeight="1">
      <x:c r="B7" s="17" t="str">
        <x:v>Measure</x:v>
      </x:c>
      <x:c r="C7" s="18" t="str">
        <x:v>Value</x:v>
      </x:c>
      <x:c r="D7" s="18" t="str">
        <x:v>Unit</x:v>
      </x:c>
      <x:c r="E7" s="18" t="str">
        <x:v>Rule</x:v>
      </x:c>
      <x:c r="F7" s="19" t="str">
        <x:v>Result</x:v>
      </x:c>
      <x:c r="G7" s="3"/>
      <x:c r="H7" s="3"/>
      <x:c r="I7" s="3"/>
      <x:c r="J7" s="3"/>
      <x:c r="K7" s="3"/>
      <x:c r="L7" s="3"/>
    </x:row>
    <x:row r="8" ht="18" customHeight="1">
      <x:c r="B8" s="3" t="str">
        <x:v>Deployed contact area</x:v>
      </x:c>
      <x:c r="C8" s="3" t="n">
        <x:f>Assumptions!C32</x:f>
        <x:v>285</x:v>
      </x:c>
      <x:c r="D8" s="3" t="str">
        <x:v>m2</x:v>
      </x:c>
      <x:c r="E8" s="3" t="str">
        <x:v>twelve carrier pods</x:v>
      </x:c>
      <x:c r="F8" s="3" t="str">
        <x:f>IF(C8&gt;0,"PASS","FAIL")</x:f>
        <x:v>PASS</x:v>
      </x:c>
      <x:c r="G8" s="3"/>
      <x:c r="H8" s="3"/>
      <x:c r="I8" s="3"/>
      <x:c r="J8" s="3"/>
      <x:c r="K8" s="3"/>
      <x:c r="L8" s="3"/>
    </x:row>
    <x:row r="9" ht="18" customHeight="1">
      <x:c r="B9" s="3" t="str">
        <x:v>Cell pitch</x:v>
      </x:c>
      <x:c r="C9" s="3" t="n">
        <x:f>Assumptions!C33</x:f>
        <x:v>0.25</x:v>
      </x:c>
      <x:c r="D9" s="3" t="str">
        <x:v>m</x:v>
      </x:c>
      <x:c r="E9" s="3" t="str">
        <x:v>registered grid</x:v>
      </x:c>
      <x:c r="F9" s="3" t="str">
        <x:f>IF(C9&gt;0,"PASS","FAIL")</x:f>
        <x:v>PASS</x:v>
      </x:c>
      <x:c r="G9" s="3"/>
      <x:c r="H9" s="3"/>
      <x:c r="I9" s="3"/>
      <x:c r="J9" s="3"/>
      <x:c r="K9" s="3"/>
      <x:c r="L9" s="3"/>
    </x:row>
    <x:row r="10" ht="18" customHeight="1">
      <x:c r="B10" s="3" t="str">
        <x:v>Pressure cells</x:v>
      </x:c>
      <x:c r="C10" s="3" t="n">
        <x:f>C8/(C9*C9)</x:f>
        <x:v>4560</x:v>
      </x:c>
      <x:c r="D10" s="3" t="str">
        <x:v>cells</x:v>
      </x:c>
      <x:c r="E10" s="3" t="str">
        <x:v>area divided by pitch squared</x:v>
      </x:c>
      <x:c r="F10" s="3" t="str">
        <x:f>IF(C10&gt;0,"PASS","FAIL")</x:f>
        <x:v>PASS</x:v>
      </x:c>
      <x:c r="G10" s="3"/>
      <x:c r="H10" s="3"/>
      <x:c r="I10" s="3"/>
      <x:c r="J10" s="3"/>
      <x:c r="K10" s="3"/>
      <x:c r="L10" s="3"/>
    </x:row>
    <x:row r="11" ht="18" customHeight="1">
      <x:c r="B11" s="3" t="str">
        <x:v>Axes per cell</x:v>
      </x:c>
      <x:c r="C11" s="3" t="n">
        <x:f>Assumptions!C34</x:f>
        <x:v>4</x:v>
      </x:c>
      <x:c r="D11" s="3" t="str">
        <x:v>channels</x:v>
      </x:c>
      <x:c r="E11" s="3" t="str">
        <x:v>normal shear temperature health</x:v>
      </x:c>
      <x:c r="F11" s="3" t="str">
        <x:f>IF(C11&gt;0,"PASS","FAIL")</x:f>
        <x:v>PASS</x:v>
      </x:c>
      <x:c r="G11" s="3"/>
      <x:c r="H11" s="3"/>
      <x:c r="I11" s="3"/>
      <x:c r="J11" s="3"/>
      <x:c r="K11" s="3"/>
      <x:c r="L11" s="3"/>
    </x:row>
    <x:row r="12" ht="18" customHeight="1">
      <x:c r="B12" s="3" t="str">
        <x:v>Total channels</x:v>
      </x:c>
      <x:c r="C12" s="3" t="n">
        <x:f>C10*C11</x:f>
        <x:v>18240</x:v>
      </x:c>
      <x:c r="D12" s="3" t="str">
        <x:v>channels</x:v>
      </x:c>
      <x:c r="E12" s="3" t="str">
        <x:v>cells times axes</x:v>
      </x:c>
      <x:c r="F12" s="3" t="str">
        <x:f>IF(C12&gt;0,"PASS","FAIL")</x:f>
        <x:v>PASS</x:v>
      </x:c>
      <x:c r="G12" s="3"/>
      <x:c r="H12" s="3"/>
      <x:c r="I12" s="3"/>
      <x:c r="J12" s="3"/>
      <x:c r="K12" s="3"/>
      <x:c r="L12" s="3"/>
    </x:row>
    <x:row r="13" ht="18" customHeight="1">
      <x:c r="B13" s="3" t="str">
        <x:v>Sample rate</x:v>
      </x:c>
      <x:c r="C13" s="3" t="n">
        <x:f>Assumptions!C35</x:f>
        <x:v>200</x:v>
      </x:c>
      <x:c r="D13" s="3" t="str">
        <x:v>Hz</x:v>
      </x:c>
      <x:c r="E13" s="3" t="str">
        <x:v>dynamic capture</x:v>
      </x:c>
      <x:c r="F13" s="3" t="str">
        <x:f>IF(C13&gt;0,"PASS","FAIL")</x:f>
        <x:v>PASS</x:v>
      </x:c>
      <x:c r="G13" s="3"/>
      <x:c r="H13" s="3"/>
      <x:c r="I13" s="3"/>
      <x:c r="J13" s="3"/>
      <x:c r="K13" s="3"/>
      <x:c r="L13" s="3"/>
    </x:row>
    <x:row r="14" ht="18" customHeight="1">
      <x:c r="B14" s="3" t="str">
        <x:v>Effective skin data</x:v>
      </x:c>
      <x:c r="C14" s="3" t="n">
        <x:f>C12*C13*Assumptions!C36/Assumptions!C37/1000000</x:f>
        <x:v>3.648</x:v>
      </x:c>
      <x:c r="D14" s="3" t="str">
        <x:v>MB/s</x:v>
      </x:c>
      <x:c r="E14" s="3" t="str">
        <x:v>lossless compressed</x:v>
      </x:c>
      <x:c r="F14" s="3" t="str">
        <x:f>IF(C14&gt;0,"PASS","FAIL")</x:f>
        <x:v>PASS</x:v>
      </x:c>
      <x:c r="G14" s="3"/>
      <x:c r="H14" s="3"/>
      <x:c r="I14" s="3"/>
      <x:c r="J14" s="3"/>
      <x:c r="K14" s="3"/>
      <x:c r="L14" s="3"/>
    </x:row>
    <x:row r="15" ht="18" customHeight="1">
      <x:c r="B15" s="3" t="str">
        <x:v>Skin areal mass</x:v>
      </x:c>
      <x:c r="C15" s="3" t="n">
        <x:v>4</x:v>
      </x:c>
      <x:c r="D15" s="3" t="str">
        <x:v>kg/m2</x:v>
      </x:c>
      <x:c r="E15" s="3" t="str">
        <x:v>replaceable layered target</x:v>
      </x:c>
      <x:c r="F15" s="3" t="str">
        <x:f>IF(C15&gt;0,"PASS","FAIL")</x:f>
        <x:v>PASS</x:v>
      </x:c>
      <x:c r="G15" s="3"/>
      <x:c r="H15" s="3"/>
      <x:c r="I15" s="3"/>
      <x:c r="J15" s="3"/>
      <x:c r="K15" s="3"/>
      <x:c r="L15" s="3"/>
    </x:row>
    <x:row r="16" ht="18" customHeight="1">
      <x:c r="B16" s="3" t="str">
        <x:v>Skin mass</x:v>
      </x:c>
      <x:c r="C16" s="3" t="n">
        <x:f>C8*C15</x:f>
        <x:v>1140</x:v>
      </x:c>
      <x:c r="D16" s="3" t="str">
        <x:v>kg</x:v>
      </x:c>
      <x:c r="E16" s="3" t="str">
        <x:v>area times areal mass</x:v>
      </x:c>
      <x:c r="F16" s="3" t="str">
        <x:f>IF(C16&gt;0,"PASS","FAIL")</x:f>
        <x:v>PASS</x:v>
      </x:c>
      <x:c r="G16" s="3"/>
      <x:c r="H16" s="3"/>
      <x:c r="I16" s="3"/>
      <x:c r="J16" s="3"/>
      <x:c r="K16" s="3"/>
      <x:c r="L16" s="3"/>
    </x:row>
    <x:row r="17" ht="18" customHeight="1"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</x:row>
    <x:row r="18" ht="18" customHeight="1"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</x:row>
    <x:row r="19" ht="18" customHeight="1">
      <x:c r="B19" s="9" t="str">
        <x:v>Revised uncertainty allocation</x:v>
      </x:c>
      <x:c r="C19" s="10" t="str">
        <x:v>Revised uncertainty allocation</x:v>
      </x:c>
      <x:c r="D19" s="10" t="str">
        <x:v>Revised uncertainty allocation</x:v>
      </x:c>
      <x:c r="E19" s="10" t="str">
        <x:v>Revised uncertainty allocation</x:v>
      </x:c>
      <x:c r="F19" s="10" t="str">
        <x:v>Revised uncertainty allocation</x:v>
      </x:c>
      <x:c r="G19" s="10" t="str">
        <x:v>Revised uncertainty allocation</x:v>
      </x:c>
      <x:c r="H19" s="10" t="str">
        <x:v>Revised uncertainty allocation</x:v>
      </x:c>
      <x:c r="I19" s="10" t="str">
        <x:v>Revised uncertainty allocation</x:v>
      </x:c>
      <x:c r="J19" s="10" t="str">
        <x:v>Revised uncertainty allocation</x:v>
      </x:c>
      <x:c r="K19" s="10" t="str">
        <x:v>Revised uncertainty allocation</x:v>
      </x:c>
      <x:c r="L19" s="11" t="str">
        <x:v>Revised uncertainty allocation</x:v>
      </x:c>
    </x:row>
    <x:row r="20" ht="18" customHeight="1">
      <x:c r="B20" s="17" t="str">
        <x:v>Component</x:v>
      </x:c>
      <x:c r="C20" s="18" t="str">
        <x:v>Standard u(kPa)</x:v>
      </x:c>
      <x:c r="D20" s="18" t="str">
        <x:v>Independent witness</x:v>
      </x:c>
      <x:c r="E20" s="18" t="str">
        <x:v>Correlation control</x:v>
      </x:c>
      <x:c r="F20" s="18" t="str">
        <x:v>State</x:v>
      </x:c>
      <x:c r="G20" s="18" t="str">
        <x:v>Note</x:v>
      </x:c>
      <x:c r="H20" s="19" t="str">
        <x:v>Control</x:v>
      </x:c>
      <x:c r="I20" s="3"/>
      <x:c r="J20" s="3"/>
      <x:c r="K20" s="3"/>
      <x:c r="L20" s="3"/>
    </x:row>
    <x:row r="21" ht="18" customHeight="1">
      <x:c r="B21" s="3" t="str">
        <x:v>Load measurement</x:v>
      </x:c>
      <x:c r="C21" s="3" t="n">
        <x:v>0.02</x:v>
      </x:c>
      <x:c r="D21" s="3" t="str">
        <x:v>traceable load path</x:v>
      </x:c>
      <x:c r="E21" s="3" t="str">
        <x:v>separate bridge standards</x:v>
      </x:c>
      <x:c r="F21" s="3" t="str">
        <x:v>OPEN</x:v>
      </x:c>
      <x:c r="G21" s="3" t="str"/>
      <x:c r="H21" s="3" t="str"/>
      <x:c r="I21" s="3"/>
      <x:c r="J21" s="3"/>
      <x:c r="K21" s="3"/>
      <x:c r="L21" s="3"/>
    </x:row>
    <x:row r="22" ht="18" customHeight="1">
      <x:c r="B22" s="3" t="str">
        <x:v>Contact-area reconstruction</x:v>
      </x:c>
      <x:c r="C22" s="3" t="n">
        <x:v>0.025</x:v>
      </x:c>
      <x:c r="D22" s="3" t="str">
        <x:v>pressure skin plus optical field</x:v>
      </x:c>
      <x:c r="E22" s="3" t="str">
        <x:v>independent geometry solution</x:v>
      </x:c>
      <x:c r="F22" s="3" t="str">
        <x:v>OPEN</x:v>
      </x:c>
      <x:c r="G22" s="3" t="str"/>
      <x:c r="H22" s="3" t="str"/>
      <x:c r="I22" s="3"/>
      <x:c r="J22" s="3"/>
      <x:c r="K22" s="3"/>
      <x:c r="L22" s="3"/>
    </x:row>
    <x:row r="23" ht="18" customHeight="1">
      <x:c r="B23" s="3" t="str">
        <x:v>Sinkage boundary</x:v>
      </x:c>
      <x:c r="C23" s="3" t="n">
        <x:v>0.02</x:v>
      </x:c>
      <x:c r="D23" s="3" t="str">
        <x:v>subsurface displacement</x:v>
      </x:c>
      <x:c r="E23" s="3" t="str">
        <x:v>separate survey root</x:v>
      </x:c>
      <x:c r="F23" s="3" t="str">
        <x:v>OPEN</x:v>
      </x:c>
      <x:c r="G23" s="3" t="str"/>
      <x:c r="H23" s="3" t="str"/>
      <x:c r="I23" s="3"/>
      <x:c r="J23" s="3"/>
      <x:c r="K23" s="3"/>
      <x:c r="L23" s="3"/>
    </x:row>
    <x:row r="24" ht="18" customHeight="1">
      <x:c r="B24" s="3" t="str">
        <x:v>Peak capture</x:v>
      </x:c>
      <x:c r="C24" s="3" t="n">
        <x:v>0.03</x:v>
      </x:c>
      <x:c r="D24" s="3" t="str">
        <x:v>high-rate field</x:v>
      </x:c>
      <x:c r="E24" s="3" t="str">
        <x:v>registered anti-alias test</x:v>
      </x:c>
      <x:c r="F24" s="3" t="str">
        <x:v>OPEN</x:v>
      </x:c>
      <x:c r="G24" s="3" t="str"/>
      <x:c r="H24" s="3" t="str"/>
      <x:c r="I24" s="3"/>
      <x:c r="J24" s="3"/>
      <x:c r="K24" s="3"/>
      <x:c r="L24" s="3"/>
    </x:row>
    <x:row r="25" ht="18" customHeight="1">
      <x:c r="B25" s="3" t="str">
        <x:v>Spatial interpolation</x:v>
      </x:c>
      <x:c r="C25" s="3" t="n">
        <x:v>0.025</x:v>
      </x:c>
      <x:c r="D25" s="3" t="str">
        <x:v>dense taxel field</x:v>
      </x:c>
      <x:c r="E25" s="3" t="str">
        <x:v>leave-zone-out reconstruction</x:v>
      </x:c>
      <x:c r="F25" s="3" t="str">
        <x:v>OPEN</x:v>
      </x:c>
      <x:c r="G25" s="3" t="str"/>
      <x:c r="H25" s="3" t="str"/>
      <x:c r="I25" s="3"/>
      <x:c r="J25" s="3"/>
      <x:c r="K25" s="3"/>
      <x:c r="L25" s="3"/>
    </x:row>
    <x:row r="26" ht="18" customHeight="1">
      <x:c r="B26" s="3" t="str">
        <x:v>Temperature effect</x:v>
      </x:c>
      <x:c r="C26" s="3" t="n">
        <x:v>0.01</x:v>
      </x:c>
      <x:c r="D26" s="3" t="str">
        <x:v>reference thermometry</x:v>
      </x:c>
      <x:c r="E26" s="3" t="str">
        <x:v>separate compensation</x:v>
      </x:c>
      <x:c r="F26" s="3" t="str">
        <x:v>OPEN</x:v>
      </x:c>
      <x:c r="G26" s="3" t="str"/>
      <x:c r="H26" s="3" t="str"/>
      <x:c r="I26" s="3"/>
      <x:c r="J26" s="3"/>
      <x:c r="K26" s="3"/>
      <x:c r="L26" s="3"/>
    </x:row>
    <x:row r="27" ht="18" customHeight="1">
      <x:c r="B27" s="3" t="str">
        <x:v>Calibration transfer</x:v>
      </x:c>
      <x:c r="C27" s="3" t="n">
        <x:v>0.015</x:v>
      </x:c>
      <x:c r="D27" s="3" t="str">
        <x:v>traveling platen</x:v>
      </x:c>
      <x:c r="E27" s="3" t="str">
        <x:v>before and after chains</x:v>
      </x:c>
      <x:c r="F27" s="3" t="str">
        <x:v>OPEN</x:v>
      </x:c>
      <x:c r="G27" s="3" t="str"/>
      <x:c r="H27" s="3" t="str"/>
      <x:c r="I27" s="3"/>
      <x:c r="J27" s="3"/>
      <x:c r="K27" s="3"/>
      <x:c r="L27" s="3"/>
    </x:row>
    <x:row r="28" ht="18" customHeight="1">
      <x:c r="B28" s="3" t="str">
        <x:v>Terrain nonuniformity</x:v>
      </x:c>
      <x:c r="C28" s="3" t="n">
        <x:v>0.03</x:v>
      </x:c>
      <x:c r="D28" s="3" t="str">
        <x:v>geotechnical witness grid</x:v>
      </x:c>
      <x:c r="E28" s="3" t="str">
        <x:v>registered spatial blocks</x:v>
      </x:c>
      <x:c r="F28" s="3" t="str">
        <x:v>OPEN</x:v>
      </x:c>
      <x:c r="G28" s="3" t="str"/>
      <x:c r="H28" s="3" t="str"/>
      <x:c r="I28" s="3"/>
      <x:c r="J28" s="3"/>
      <x:c r="K28" s="3"/>
      <x:c r="L28" s="3"/>
    </x:row>
    <x:row r="29" ht="18" customHeight="1">
      <x:c r="B29" s="3" t="str">
        <x:v>Combined standard uncertainty</x:v>
      </x:c>
      <x:c r="C29" s="3" t="n">
        <x:f>SQRT(SUMSQ(C21:C28))</x:f>
        <x:v>0.06461423991660042</x:v>
      </x:c>
      <x:c r="D29" s="3" t="str">
        <x:v>RSS</x:v>
      </x:c>
      <x:c r="E29" s="3" t="str"/>
      <x:c r="F29" s="3" t="str"/>
      <x:c r="G29" s="3" t="str"/>
      <x:c r="H29" s="3" t="str"/>
      <x:c r="I29" s="3"/>
      <x:c r="J29" s="3"/>
      <x:c r="K29" s="3"/>
      <x:c r="L29" s="3"/>
    </x:row>
    <x:row r="30" ht="18" customHeight="1"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</x:row>
    <x:row r="31" ht="18" customHeight="1">
      <x:c r="B31" s="17" t="str">
        <x:v>Decision measure</x:v>
      </x:c>
      <x:c r="C31" s="18" t="str">
        <x:v>Value</x:v>
      </x:c>
      <x:c r="D31" s="18" t="str">
        <x:v>Unit</x:v>
      </x:c>
      <x:c r="E31" s="18" t="str">
        <x:v>Limit</x:v>
      </x:c>
      <x:c r="F31" s="18" t="str">
        <x:v>Result</x:v>
      </x:c>
      <x:c r="G31" s="18" t="str">
        <x:v>Meaning</x:v>
      </x:c>
      <x:c r="H31" s="19" t="str">
        <x:v>State</x:v>
      </x:c>
      <x:c r="I31" s="3"/>
      <x:c r="J31" s="3"/>
      <x:c r="K31" s="3"/>
      <x:c r="L31" s="3"/>
    </x:row>
    <x:row r="32" ht="18" customHeight="1">
      <x:c r="B32" s="3" t="str">
        <x:v>Expanded U95</x:v>
      </x:c>
      <x:c r="C32" s="3" t="n">
        <x:f>C29*Assumptions!C13</x:f>
        <x:v>0.12922847983320085</x:v>
      </x:c>
      <x:c r="D32" s="3" t="str">
        <x:v>kPa</x:v>
      </x:c>
      <x:c r="E32" s="3" t="n">
        <x:f>'Reference Envelopes'!C22</x:f>
        <x:v>0.18320114829711898</x:v>
      </x:c>
      <x:c r="F32" s="3" t="str">
        <x:f>IF(C32&lt;=E32,"PASS","FAIL")</x:f>
        <x:v>PASS</x:v>
      </x:c>
      <x:c r="G32" s="3" t="str">
        <x:v>coverage times standard uncertainty</x:v>
      </x:c>
      <x:c r="H32" s="3" t="str"/>
      <x:c r="I32" s="3"/>
      <x:c r="J32" s="3"/>
      <x:c r="K32" s="3"/>
      <x:c r="L32" s="3"/>
    </x:row>
    <x:row r="33" ht="18" customHeight="1">
      <x:c r="B33" s="3" t="str">
        <x:v>Permitted U95 after test mass</x:v>
      </x:c>
      <x:c r="C33" s="3" t="n">
        <x:f>'Reference Envelopes'!C22</x:f>
        <x:v>0.18320114829711898</x:v>
      </x:c>
      <x:c r="D33" s="3" t="str">
        <x:v>kPa</x:v>
      </x:c>
      <x:c r="E33" s="3" t="n">
        <x:f>'Reference Envelopes'!C22</x:f>
        <x:v>0.18320114829711898</x:v>
      </x:c>
      <x:c r="F33" s="3" t="str">
        <x:f>IF(C33=E33,"PASS","FAIL")</x:f>
        <x:v>PASS</x:v>
      </x:c>
      <x:c r="G33" s="3" t="str">
        <x:v>half of revised physical margin</x:v>
      </x:c>
      <x:c r="H33" s="3" t="str"/>
      <x:c r="I33" s="3"/>
      <x:c r="J33" s="3"/>
      <x:c r="K33" s="3"/>
      <x:c r="L33" s="3"/>
    </x:row>
    <x:row r="34" ht="18" customHeight="1">
      <x:c r="B34" s="3" t="str">
        <x:v>Admission screen</x:v>
      </x:c>
      <x:c r="C34" s="3" t="n">
        <x:v>1</x:v>
      </x:c>
      <x:c r="D34" s="3" t="str">
        <x:v>binary</x:v>
      </x:c>
      <x:c r="E34" s="3" t="n">
        <x:v>1</x:v>
      </x:c>
      <x:c r="F34" s="3" t="str">
        <x:f>IF(AND(F32="PASS",'Reference Envelopes'!C20+C32&lt;Assumptions!C30),"PASS","FAIL")</x:f>
        <x:v>PASS</x:v>
      </x:c>
      <x:c r="G34" s="3" t="str">
        <x:v>both uncertainty and upper claim must close</x:v>
      </x:c>
      <x:c r="H34" s="3" t="str">
        <x:v>OPEN</x:v>
      </x:c>
      <x:c r="I34" s="3"/>
      <x:c r="J34" s="3"/>
      <x:c r="K34" s="3"/>
      <x:c r="L34" s="3"/>
    </x:row>
  </x:sheetData>
  <x:mergeCells>
    <x:mergeCell ref="B2:H2"/>
    <x:mergeCell ref="B3:L3"/>
    <x:mergeCell ref="B6:L6"/>
    <x:mergeCell ref="B19:L19"/>
  </x:mergeCells>
  <x:conditionalFormatting sqref="F8:F16">
    <x:cfRule type="containsText" dxfId="85" priority="1" operator="containsText" text="FAIL"/>
    <x:cfRule type="containsText" dxfId="86" priority="2" operator="containsText" text="PASS"/>
    <x:cfRule type="containsText" dxfId="87" priority="3" operator="containsText" text="OPEN"/>
    <x:cfRule type="containsText" dxfId="88" priority="4" operator="containsText" text="HOLD"/>
    <x:cfRule type="containsText" dxfId="89" priority="5" operator="containsText" text="BLOCKED"/>
  </x:conditionalFormatting>
  <x:conditionalFormatting sqref="F21:F28">
    <x:cfRule type="containsText" dxfId="90" priority="6" operator="containsText" text="FAIL"/>
    <x:cfRule type="containsText" dxfId="91" priority="7" operator="containsText" text="PASS"/>
    <x:cfRule type="containsText" dxfId="92" priority="8" operator="containsText" text="OPEN"/>
    <x:cfRule type="containsText" dxfId="93" priority="9" operator="containsText" text="HOLD"/>
    <x:cfRule type="containsText" dxfId="94" priority="10" operator="containsText" text="BLOCKED"/>
  </x:conditionalFormatting>
  <x:conditionalFormatting sqref="F32:F34">
    <x:cfRule type="containsText" dxfId="95" priority="11" operator="containsText" text="FAIL"/>
    <x:cfRule type="containsText" dxfId="96" priority="12" operator="containsText" text="PASS"/>
    <x:cfRule type="containsText" dxfId="97" priority="13" operator="containsText" text="OPEN"/>
    <x:cfRule type="containsText" dxfId="98" priority="14" operator="containsText" text="HOLD"/>
    <x:cfRule type="containsText" dxfId="99" priority="15" operator="containsText" text="BLOCKED"/>
  </x:conditionalFormatting>
  <x:conditionalFormatting sqref="H34:H34">
    <x:cfRule type="containsText" dxfId="100" priority="16" operator="containsText" text="FAIL"/>
    <x:cfRule type="containsText" dxfId="101" priority="17" operator="containsText" text="PASS"/>
    <x:cfRule type="containsText" dxfId="102" priority="18" operator="containsText" text="OPEN"/>
    <x:cfRule type="containsText" dxfId="103" priority="19" operator="containsText" text="HOLD"/>
    <x:cfRule type="containsText" dxfId="104" priority="20" operator="containsText" text="BLOCKED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2" hidden="0" customWidth="1"/>
    <x:col min="3" max="3" width="33" hidden="0" customWidth="1"/>
    <x:col min="4" max="4" width="12" hidden="0" customWidth="1"/>
    <x:col min="5" max="5" width="15" hidden="0" customWidth="1"/>
    <x:col min="6" max="6" width="17" hidden="0" customWidth="1"/>
    <x:col min="7" max="7" width="16" hidden="0" customWidth="1"/>
    <x:col min="8" max="8" width="39" hidden="0" customWidth="1"/>
    <x:col min="9" max="9" width="28" hidden="0" customWidth="1"/>
    <x:col min="10" max="10" width="23" hidden="0" customWidth="1"/>
    <x:col min="11" max="11" width="19" hidden="0" customWidth="1"/>
    <x:col min="12" max="12" width="12" hidden="0" customWidth="1"/>
    <x:col min="13" max="13" width="12" hidden="0" customWidth="1"/>
  </x:cols>
  <x:sheetData>
    <x:row r="2" ht="18" customHeight="1">
      <x:c r="B2" s="4" t="str">
        <x:v>Representative MESA-1R campaign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 ht="18" customHeight="1">
      <x:c r="B3" s="5" t="str">
        <x:v>Eight linked campaigns move from independent energy and cassettes to a frozen full mission without granting paper maturity</x:v>
      </x:c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 ht="18" customHeight="1"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</x:row>
    <x:row r="5" ht="18" customHeight="1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</x:row>
    <x:row r="6" ht="18" customHeight="1">
      <x:c r="B6" s="17" t="str">
        <x:v>Campaign</x:v>
      </x:c>
      <x:c r="C6" s="18" t="str">
        <x:v>Object</x:v>
      </x:c>
      <x:c r="D6" s="18" t="str">
        <x:v>Trials</x:v>
      </x:c>
      <x:c r="E6" s="18" t="str">
        <x:v>Evidence gates</x:v>
      </x:c>
      <x:c r="F6" s="18" t="str">
        <x:v>Duration months</x:v>
      </x:c>
      <x:c r="G6" s="18" t="str">
        <x:v>Cost USD B</x:v>
      </x:c>
      <x:c r="H6" s="18" t="str">
        <x:v>Primary falsifier</x:v>
      </x:c>
      <x:c r="I6" s="18" t="str">
        <x:v>Required article</x:v>
      </x:c>
      <x:c r="J6" s="18" t="str">
        <x:v>Authority</x:v>
      </x:c>
      <x:c r="K6" s="18" t="str">
        <x:v>Dependency</x:v>
      </x:c>
      <x:c r="L6" s="18" t="str">
        <x:v>State</x:v>
      </x:c>
      <x:c r="M6" s="19" t="str">
        <x:v>Credit</x:v>
      </x:c>
    </x:row>
    <x:row r="7" ht="18" customHeight="1">
      <x:c r="B7" s="3" t="str">
        <x:v>P01</x:v>
      </x:c>
      <x:c r="C7" s="3" t="str">
        <x:v>Power and storage endurance</x:v>
      </x:c>
      <x:c r="D7" s="3" t="n">
        <x:v>8</x:v>
      </x:c>
      <x:c r="E7" s="3" t="n">
        <x:v>8</x:v>
      </x:c>
      <x:c r="F7" s="3" t="n">
        <x:v>12</x:v>
      </x:c>
      <x:c r="G7" s="3" t="n">
        <x:v>1</x:v>
      </x:c>
      <x:c r="H7" s="3" t="str">
        <x:v>168-hour energy or local retention fails</x:v>
      </x:c>
      <x:c r="I7" s="3" t="str">
        <x:v>five nodes plus controls</x:v>
      </x:c>
      <x:c r="J7" s="3" t="str">
        <x:v>metrology</x:v>
      </x:c>
      <x:c r="K7" s="3" t="str">
        <x:v>none</x:v>
      </x:c>
      <x:c r="L7" s="3" t="str">
        <x:v>OPEN</x:v>
      </x:c>
      <x:c r="M7" s="3" t="n">
        <x:v>0</x:v>
      </x:c>
    </x:row>
    <x:row r="8" ht="18" customHeight="1">
      <x:c r="B8" s="3" t="str">
        <x:v>P02</x:v>
      </x:c>
      <x:c r="C8" s="3" t="str">
        <x:v>Air and terrain tile cassettes</x:v>
      </x:c>
      <x:c r="D8" s="3" t="n">
        <x:v>10</x:v>
      </x:c>
      <x:c r="E8" s="3" t="n">
        <x:v>8</x:v>
      </x:c>
      <x:c r="F8" s="3" t="n">
        <x:v>18</x:v>
      </x:c>
      <x:c r="G8" s="3" t="n">
        <x:v>0.7</x:v>
      </x:c>
      <x:c r="H8" s="3" t="str">
        <x:v>mass heat or passive isolation fails</x:v>
      </x:c>
      <x:c r="I8" s="3" t="str">
        <x:v>12 air and 12 terrain kits</x:v>
      </x:c>
      <x:c r="J8" s="3" t="str">
        <x:v>article evidence</x:v>
      </x:c>
      <x:c r="K8" s="3" t="str">
        <x:v>P01</x:v>
      </x:c>
      <x:c r="L8" s="3" t="str">
        <x:v>OPEN</x:v>
      </x:c>
      <x:c r="M8" s="3" t="n">
        <x:v>0</x:v>
      </x:c>
    </x:row>
    <x:row r="9" ht="18" customHeight="1">
      <x:c r="B9" s="3" t="str">
        <x:v>P03</x:v>
      </x:c>
      <x:c r="C9" s="3" t="str">
        <x:v>Air carrier truth node</x:v>
      </x:c>
      <x:c r="D9" s="3" t="n">
        <x:v>6</x:v>
      </x:c>
      <x:c r="E9" s="3" t="n">
        <x:v>8</x:v>
      </x:c>
      <x:c r="F9" s="3" t="n">
        <x:v>18</x:v>
      </x:c>
      <x:c r="G9" s="3" t="n">
        <x:v>0.6</x:v>
      </x:c>
      <x:c r="H9" s="3" t="str">
        <x:v>node changes unload lift or gust behavior</x:v>
      </x:c>
      <x:c r="I9" s="3" t="str">
        <x:v>four air nodes</x:v>
      </x:c>
      <x:c r="J9" s="3" t="str">
        <x:v>air evidence</x:v>
      </x:c>
      <x:c r="K9" s="3" t="str">
        <x:v>P01-P02</x:v>
      </x:c>
      <x:c r="L9" s="3" t="str">
        <x:v>OPEN</x:v>
      </x:c>
      <x:c r="M9" s="3" t="n">
        <x:v>0</x:v>
      </x:c>
    </x:row>
    <x:row r="10" ht="18" customHeight="1">
      <x:c r="B10" s="3" t="str">
        <x:v>P04</x:v>
      </x:c>
      <x:c r="C10" s="3" t="str">
        <x:v>Terrain carrier and soil skin</x:v>
      </x:c>
      <x:c r="D10" s="3" t="n">
        <x:v>12</x:v>
      </x:c>
      <x:c r="E10" s="3" t="n">
        <x:v>8</x:v>
      </x:c>
      <x:c r="F10" s="3" t="n">
        <x:v>30</x:v>
      </x:c>
      <x:c r="G10" s="3" t="n">
        <x:v>1.5</x:v>
      </x:c>
      <x:c r="H10" s="3" t="str">
        <x:v>U95 or test-mass pressure fails</x:v>
      </x:c>
      <x:c r="I10" s="3" t="str">
        <x:v>four terrain nodes and four skins</x:v>
      </x:c>
      <x:c r="J10" s="3" t="str">
        <x:v>terrain evidence</x:v>
      </x:c>
      <x:c r="K10" s="3" t="str">
        <x:v>P01-P02</x:v>
      </x:c>
      <x:c r="L10" s="3" t="str">
        <x:v>OPEN</x:v>
      </x:c>
      <x:c r="M10" s="3" t="n">
        <x:v>0</x:v>
      </x:c>
    </x:row>
    <x:row r="11" ht="18" customHeight="1">
      <x:c r="B11" s="3" t="str">
        <x:v>P05</x:v>
      </x:c>
      <x:c r="C11" s="3" t="str">
        <x:v>Civil receiver truth station</x:v>
      </x:c>
      <x:c r="D11" s="3" t="n">
        <x:v>8</x:v>
      </x:c>
      <x:c r="E11" s="3" t="n">
        <x:v>8</x:v>
      </x:c>
      <x:c r="F11" s="3" t="n">
        <x:v>24</x:v>
      </x:c>
      <x:c r="G11" s="3" t="n">
        <x:v>0.8</x:v>
      </x:c>
      <x:c r="H11" s="3" t="str">
        <x:v>assay release or rights custody fails</x:v>
      </x:c>
      <x:c r="I11" s="3" t="str">
        <x:v>four receiver stations</x:v>
      </x:c>
      <x:c r="J11" s="3" t="str">
        <x:v>civil authority</x:v>
      </x:c>
      <x:c r="K11" s="3" t="str">
        <x:v>P01</x:v>
      </x:c>
      <x:c r="L11" s="3" t="str">
        <x:v>OPEN</x:v>
      </x:c>
      <x:c r="M11" s="3" t="n">
        <x:v>0</x:v>
      </x:c>
    </x:row>
    <x:row r="12" ht="18" customHeight="1">
      <x:c r="B12" s="3" t="str">
        <x:v>P06</x:v>
      </x:c>
      <x:c r="C12" s="3" t="str">
        <x:v>Clock custody and denial</x:v>
      </x:c>
      <x:c r="D12" s="3" t="n">
        <x:v>8</x:v>
      </x:c>
      <x:c r="E12" s="3" t="n">
        <x:v>8</x:v>
      </x:c>
      <x:c r="F12" s="3" t="n">
        <x:v>18</x:v>
      </x:c>
      <x:c r="G12" s="3" t="n">
        <x:v>0.5</x:v>
      </x:c>
      <x:c r="H12" s="3" t="str">
        <x:v>holdover or ancestry breaks</x:v>
      </x:c>
      <x:c r="I12" s="3" t="str">
        <x:v>twelve diverse clock sets</x:v>
      </x:c>
      <x:c r="J12" s="3" t="str">
        <x:v>time authority</x:v>
      </x:c>
      <x:c r="K12" s="3" t="str">
        <x:v>P01-P05</x:v>
      </x:c>
      <x:c r="L12" s="3" t="str">
        <x:v>OPEN</x:v>
      </x:c>
      <x:c r="M12" s="3" t="n">
        <x:v>0</x:v>
      </x:c>
    </x:row>
    <x:row r="13" ht="18" customHeight="1">
      <x:c r="B13" s="3" t="str">
        <x:v>P07</x:v>
      </x:c>
      <x:c r="C13" s="3" t="str">
        <x:v>Removal and no-crutch trials</x:v>
      </x:c>
      <x:c r="D13" s="3" t="n">
        <x:v>8</x:v>
      </x:c>
      <x:c r="E13" s="3" t="n">
        <x:v>8</x:v>
      </x:c>
      <x:c r="F13" s="3" t="n">
        <x:v>18</x:v>
      </x:c>
      <x:c r="G13" s="3" t="n">
        <x:v>0.6</x:v>
      </x:c>
      <x:c r="H13" s="3" t="str">
        <x:v>measurement changes mission behavior</x:v>
      </x:c>
      <x:c r="I13" s="3" t="str">
        <x:v>paired cassettes and emulators</x:v>
      </x:c>
      <x:c r="J13" s="3" t="str">
        <x:v>trial authority</x:v>
      </x:c>
      <x:c r="K13" s="3" t="str">
        <x:v>P02-P06</x:v>
      </x:c>
      <x:c r="L13" s="3" t="str">
        <x:v>OPEN</x:v>
      </x:c>
      <x:c r="M13" s="3" t="n">
        <x:v>0</x:v>
      </x:c>
    </x:row>
    <x:row r="14" ht="18" customHeight="1">
      <x:c r="B14" s="3" t="str">
        <x:v>P08</x:v>
      </x:c>
      <x:c r="C14" s="3" t="str">
        <x:v>Frozen complete mission</x:v>
      </x:c>
      <x:c r="D14" s="3" t="n">
        <x:v>8</x:v>
      </x:c>
      <x:c r="E14" s="3" t="n">
        <x:v>8</x:v>
      </x:c>
      <x:c r="F14" s="3" t="n">
        <x:v>24</x:v>
      </x:c>
      <x:c r="G14" s="3" t="n">
        <x:v>1.1</x:v>
      </x:c>
      <x:c r="H14" s="3" t="str">
        <x:v>any plane fails or public effect misses</x:v>
      </x:c>
      <x:c r="I14" s="3" t="str">
        <x:v>one complete formation per mode</x:v>
      </x:c>
      <x:c r="J14" s="3" t="str">
        <x:v>independent replication</x:v>
      </x:c>
      <x:c r="K14" s="3" t="str">
        <x:v>P01-P07</x:v>
      </x:c>
      <x:c r="L14" s="3" t="str">
        <x:v>OPEN</x:v>
      </x:c>
      <x:c r="M14" s="3" t="n">
        <x:v>0</x:v>
      </x:c>
    </x:row>
    <x:row r="15" ht="18" customHeight="1"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</x:row>
    <x:row r="16" ht="18" customHeight="1"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</x:row>
    <x:row r="17" ht="18" customHeight="1">
      <x:c r="B17" s="9" t="str">
        <x:v>Campaign controls</x:v>
      </x:c>
      <x:c r="C17" s="10" t="str">
        <x:v>Campaign controls</x:v>
      </x:c>
      <x:c r="D17" s="10" t="str">
        <x:v>Campaign controls</x:v>
      </x:c>
      <x:c r="E17" s="10" t="str">
        <x:v>Campaign controls</x:v>
      </x:c>
      <x:c r="F17" s="10" t="str">
        <x:v>Campaign controls</x:v>
      </x:c>
      <x:c r="G17" s="10" t="str">
        <x:v>Campaign controls</x:v>
      </x:c>
      <x:c r="H17" s="10" t="str">
        <x:v>Campaign controls</x:v>
      </x:c>
      <x:c r="I17" s="10" t="str">
        <x:v>Campaign controls</x:v>
      </x:c>
      <x:c r="J17" s="10" t="str">
        <x:v>Campaign controls</x:v>
      </x:c>
      <x:c r="K17" s="10" t="str">
        <x:v>Campaign controls</x:v>
      </x:c>
      <x:c r="L17" s="10" t="str">
        <x:v>Campaign controls</x:v>
      </x:c>
      <x:c r="M17" s="11" t="str">
        <x:v>Campaign controls</x:v>
      </x:c>
    </x:row>
    <x:row r="18" ht="18" customHeight="1">
      <x:c r="B18" s="17" t="str">
        <x:v>Measure</x:v>
      </x:c>
      <x:c r="C18" s="18" t="str">
        <x:v>Value</x:v>
      </x:c>
      <x:c r="D18" s="18" t="str">
        <x:v>Unit</x:v>
      </x:c>
      <x:c r="E18" s="18" t="str">
        <x:v>Required</x:v>
      </x:c>
      <x:c r="F18" s="19" t="str">
        <x:v>Result</x:v>
      </x:c>
      <x:c r="G18" s="3"/>
      <x:c r="H18" s="3"/>
      <x:c r="I18" s="3"/>
      <x:c r="J18" s="3"/>
      <x:c r="K18" s="3"/>
      <x:c r="L18" s="3"/>
      <x:c r="M18" s="3"/>
    </x:row>
    <x:row r="19" ht="18" customHeight="1">
      <x:c r="B19" s="3" t="str">
        <x:v>Campaigns</x:v>
      </x:c>
      <x:c r="C19" s="3" t="n">
        <x:f>COUNTA(B7:B14)</x:f>
        <x:v>8</x:v>
      </x:c>
      <x:c r="D19" s="3" t="str">
        <x:v>campaigns</x:v>
      </x:c>
      <x:c r="E19" s="3" t="n">
        <x:v>8</x:v>
      </x:c>
      <x:c r="F19" s="3" t="str">
        <x:f>IF(C19=E19,"PASS","FAIL")</x:f>
        <x:v>PASS</x:v>
      </x:c>
      <x:c r="G19" s="3"/>
      <x:c r="H19" s="3"/>
      <x:c r="I19" s="3"/>
      <x:c r="J19" s="3"/>
      <x:c r="K19" s="3"/>
      <x:c r="L19" s="3"/>
      <x:c r="M19" s="3"/>
    </x:row>
    <x:row r="20" ht="18" customHeight="1">
      <x:c r="B20" s="3" t="str">
        <x:v>Trials</x:v>
      </x:c>
      <x:c r="C20" s="3" t="n">
        <x:f>SUM(D7:D14)</x:f>
        <x:v>68</x:v>
      </x:c>
      <x:c r="D20" s="3" t="str">
        <x:v>trials</x:v>
      </x:c>
      <x:c r="E20" s="3" t="n">
        <x:v>68</x:v>
      </x:c>
      <x:c r="F20" s="3" t="str">
        <x:f>IF(C20=E20,"PASS","FAIL")</x:f>
        <x:v>PASS</x:v>
      </x:c>
      <x:c r="G20" s="3"/>
      <x:c r="H20" s="3"/>
      <x:c r="I20" s="3"/>
      <x:c r="J20" s="3"/>
      <x:c r="K20" s="3"/>
      <x:c r="L20" s="3"/>
      <x:c r="M20" s="3"/>
    </x:row>
    <x:row r="21" ht="18" customHeight="1">
      <x:c r="B21" s="3" t="str">
        <x:v>Evidence gates</x:v>
      </x:c>
      <x:c r="C21" s="3" t="n">
        <x:f>SUM(E7:E14)</x:f>
        <x:v>64</x:v>
      </x:c>
      <x:c r="D21" s="3" t="str">
        <x:v>gates</x:v>
      </x:c>
      <x:c r="E21" s="3" t="n">
        <x:v>64</x:v>
      </x:c>
      <x:c r="F21" s="3" t="str">
        <x:f>IF(C21=E21,"PASS","FAIL")</x:f>
        <x:v>PASS</x:v>
      </x:c>
      <x:c r="G21" s="3"/>
      <x:c r="H21" s="3"/>
      <x:c r="I21" s="3"/>
      <x:c r="J21" s="3"/>
      <x:c r="K21" s="3"/>
      <x:c r="L21" s="3"/>
      <x:c r="M21" s="3"/>
    </x:row>
    <x:row r="22" ht="18" customHeight="1">
      <x:c r="B22" s="3" t="str">
        <x:v>Nested cost</x:v>
      </x:c>
      <x:c r="C22" s="3" t="n">
        <x:f>SUM(G7:G14)</x:f>
        <x:v>6.799999999999999</x:v>
      </x:c>
      <x:c r="D22" s="3" t="str">
        <x:v>USD B</x:v>
      </x:c>
      <x:c r="E22" s="3" t="n">
        <x:v>6.8</x:v>
      </x:c>
      <x:c r="F22" s="3" t="str">
        <x:f>IF(C22=E22,"PASS","FAIL")</x:f>
        <x:v>PASS</x:v>
      </x:c>
      <x:c r="G22" s="3"/>
      <x:c r="H22" s="3"/>
      <x:c r="I22" s="3"/>
      <x:c r="J22" s="3"/>
      <x:c r="K22" s="3"/>
      <x:c r="L22" s="3"/>
      <x:c r="M22" s="3"/>
    </x:row>
    <x:row r="23" ht="18" customHeight="1">
      <x:c r="B23" s="3" t="str">
        <x:v>Evidence credit</x:v>
      </x:c>
      <x:c r="C23" s="3" t="n">
        <x:f>SUM(M7:M14)</x:f>
        <x:v>0</x:v>
      </x:c>
      <x:c r="D23" s="3" t="str">
        <x:v>credits</x:v>
      </x:c>
      <x:c r="E23" s="3" t="n">
        <x:v>0</x:v>
      </x:c>
      <x:c r="F23" s="3" t="str">
        <x:f>IF(C23=E23,"PASS","FAIL")</x:f>
        <x:v>PASS</x:v>
      </x:c>
      <x:c r="G23" s="3"/>
      <x:c r="H23" s="3"/>
      <x:c r="I23" s="3"/>
      <x:c r="J23" s="3"/>
      <x:c r="K23" s="3"/>
      <x:c r="L23" s="3"/>
      <x:c r="M23" s="3"/>
    </x:row>
    <x:row r="24" ht="18" customHeight="1"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</x:row>
    <x:row r="25" ht="18" customHeight="1"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</x:row>
    <x:row r="26" ht="18" customHeight="1"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</x:row>
    <x:row r="27" ht="18" customHeight="1"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</x:row>
    <x:row r="28" ht="18" customHeight="1"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</x:row>
    <x:row r="29" ht="18" customHeight="1"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</x:row>
    <x:row r="30" ht="18" customHeight="1"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</x:row>
  </x:sheetData>
  <x:mergeCells>
    <x:mergeCell ref="B2:H2"/>
    <x:mergeCell ref="B3:M3"/>
    <x:mergeCell ref="B17:M17"/>
  </x:mergeCells>
  <x:conditionalFormatting sqref="L7:L14">
    <x:cfRule type="containsText" dxfId="105" priority="1" operator="containsText" text="FAIL"/>
    <x:cfRule type="containsText" dxfId="106" priority="2" operator="containsText" text="PASS"/>
    <x:cfRule type="containsText" dxfId="107" priority="3" operator="containsText" text="OPEN"/>
    <x:cfRule type="containsText" dxfId="108" priority="4" operator="containsText" text="HOLD"/>
    <x:cfRule type="containsText" dxfId="109" priority="5" operator="containsText" text="BLOCKED"/>
  </x:conditionalFormatting>
  <x:conditionalFormatting sqref="F19:F23">
    <x:cfRule type="containsText" dxfId="110" priority="6" operator="containsText" text="FAIL"/>
    <x:cfRule type="containsText" dxfId="111" priority="7" operator="containsText" text="PASS"/>
    <x:cfRule type="containsText" dxfId="112" priority="8" operator="containsText" text="OPEN"/>
    <x:cfRule type="containsText" dxfId="113" priority="9" operator="containsText" text="HOLD"/>
    <x:cfRule type="containsText" dxfId="114" priority="10" operator="containsText" text="BLOCKED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8" hidden="0" customWidth="1"/>
    <x:col min="3" max="3" width="13" hidden="0" customWidth="1"/>
    <x:col min="4" max="4" width="18" hidden="0" customWidth="1"/>
    <x:col min="5" max="5" width="18" hidden="0" customWidth="1"/>
    <x:col min="6" max="6" width="17" hidden="0" customWidth="1"/>
    <x:col min="7" max="7" width="15" hidden="0" customWidth="1"/>
    <x:col min="8" max="8" width="38" hidden="0" customWidth="1"/>
    <x:col min="9" max="9" width="19" hidden="0" customWidth="1"/>
    <x:col min="10" max="10" width="12" hidden="0" customWidth="1"/>
    <x:col min="11" max="11" width="31" hidden="0" customWidth="1"/>
    <x:col min="12" max="12" width="12" hidden="0" customWidth="1"/>
  </x:cols>
  <x:sheetData>
    <x:row r="2" ht="18" customHeight="1">
      <x:c r="B2" s="4" t="str">
        <x:v>F01 metrology reallocation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18" customHeight="1">
      <x:c r="B3" s="5" t="str">
        <x:v>Mode-specific cassettes and carrier nodes replace generic unit assumptions without changing the USD 24 billion family total</x:v>
      </x:c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18" customHeight="1"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</x:row>
    <x:row r="5" ht="18" customHeight="1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</x:row>
    <x:row r="6" ht="18" customHeight="1">
      <x:c r="B6" s="23" t="str">
        <x:v>Line item</x:v>
      </x:c>
      <x:c r="C6" s="24" t="str">
        <x:v>Quantity</x:v>
      </x:c>
      <x:c r="D6" s="24" t="str">
        <x:v>Unit cost USD B</x:v>
      </x:c>
      <x:c r="E6" s="24" t="str">
        <x:v>Extended USD B</x:v>
      </x:c>
      <x:c r="F6" s="24" t="str">
        <x:v>Pass 91 USD B</x:v>
      </x:c>
      <x:c r="G6" s="24" t="str">
        <x:v>Delta USD B</x:v>
      </x:c>
      <x:c r="H6" s="24" t="str">
        <x:v>Purpose</x:v>
      </x:c>
      <x:c r="I6" s="24" t="str">
        <x:v>Cost maturity</x:v>
      </x:c>
      <x:c r="J6" s="24" t="str">
        <x:v>State</x:v>
      </x:c>
      <x:c r="K6" s="24" t="str">
        <x:v>Reopen trigger</x:v>
      </x:c>
      <x:c r="L6" s="24" t="str">
        <x:v>Control</x:v>
      </x:c>
    </x:row>
    <x:row r="7" ht="18" customHeight="1">
      <x:c r="B7" s="25" t="str">
        <x:v>National primary metrology campus</x:v>
      </x:c>
      <x:c r="C7" s="25" t="n">
        <x:v>1</x:v>
      </x:c>
      <x:c r="D7" s="36" t="n">
        <x:v>4</x:v>
      </x:c>
      <x:c r="E7" s="36" t="n">
        <x:f>C7*D7</x:f>
        <x:v>4</x:v>
      </x:c>
      <x:c r="F7" s="36" t="n">
        <x:v>4</x:v>
      </x:c>
      <x:c r="G7" s="36" t="n">
        <x:f>E7-F7</x:f>
        <x:v>0</x:v>
      </x:c>
      <x:c r="H7" s="25" t="str">
        <x:v>sovereign measurement capacity</x:v>
      </x:c>
      <x:c r="I7" s="25" t="str">
        <x:v>planning allocation</x:v>
      </x:c>
      <x:c r="J7" s="25" t="str">
        <x:v>OPEN</x:v>
      </x:c>
      <x:c r="K7" s="25" t="str">
        <x:v>awarded work exceeds line</x:v>
      </x:c>
      <x:c r="L7" s="27" t="str">
        <x:f>IF(E7&gt;=0,"PASS","FAIL")</x:f>
        <x:v>PASS</x:v>
      </x:c>
    </x:row>
    <x:row r="8" ht="18" customHeight="1">
      <x:c r="B8" s="25" t="str">
        <x:v>Distributed calibration laboratories</x:v>
      </x:c>
      <x:c r="C8" s="25" t="n">
        <x:v>6</x:v>
      </x:c>
      <x:c r="D8" s="36" t="n">
        <x:v>0.5</x:v>
      </x:c>
      <x:c r="E8" s="36" t="n">
        <x:f>C8*D8</x:f>
        <x:v>3</x:v>
      </x:c>
      <x:c r="F8" s="36" t="n">
        <x:v>3</x:v>
      </x:c>
      <x:c r="G8" s="36" t="n">
        <x:f>E8-F8</x:f>
        <x:v>0</x:v>
      </x:c>
      <x:c r="H8" s="25" t="str">
        <x:v>sovereign measurement capacity</x:v>
      </x:c>
      <x:c r="I8" s="25" t="str">
        <x:v>planning allocation</x:v>
      </x:c>
      <x:c r="J8" s="25" t="str">
        <x:v>OPEN</x:v>
      </x:c>
      <x:c r="K8" s="25" t="str">
        <x:v>awarded work exceeds line</x:v>
      </x:c>
      <x:c r="L8" s="27" t="str">
        <x:f>IF(E8&gt;=0,"PASS","FAIL")</x:f>
        <x:v>PASS</x:v>
      </x:c>
    </x:row>
    <x:row r="9" ht="18" customHeight="1">
      <x:c r="B9" s="25" t="str">
        <x:v>Mobile reference laboratories</x:v>
      </x:c>
      <x:c r="C9" s="25" t="n">
        <x:v>40</x:v>
      </x:c>
      <x:c r="D9" s="36" t="n">
        <x:v>0.06</x:v>
      </x:c>
      <x:c r="E9" s="36" t="n">
        <x:f>C9*D9</x:f>
        <x:v>2.4</x:v>
      </x:c>
      <x:c r="F9" s="36" t="n">
        <x:v>2.4</x:v>
      </x:c>
      <x:c r="G9" s="36" t="n">
        <x:f>E9-F9</x:f>
        <x:v>0</x:v>
      </x:c>
      <x:c r="H9" s="25" t="str">
        <x:v>sovereign measurement capacity</x:v>
      </x:c>
      <x:c r="I9" s="25" t="str">
        <x:v>planning allocation</x:v>
      </x:c>
      <x:c r="J9" s="25" t="str">
        <x:v>OPEN</x:v>
      </x:c>
      <x:c r="K9" s="25" t="str">
        <x:v>awarded work exceeds line</x:v>
      </x:c>
      <x:c r="L9" s="27" t="str">
        <x:f>IF(E9&gt;=0,"PASS","FAIL")</x:f>
        <x:v>PASS</x:v>
      </x:c>
    </x:row>
    <x:row r="10" ht="18" customHeight="1">
      <x:c r="B10" s="25" t="str">
        <x:v>Air article evidence cassettes</x:v>
      </x:c>
      <x:c r="C10" s="25" t="n">
        <x:v>258</x:v>
      </x:c>
      <x:c r="D10" s="36" t="n">
        <x:v>0.007</x:v>
      </x:c>
      <x:c r="E10" s="36" t="n">
        <x:f>C10*D10</x:f>
        <x:v>1.806</x:v>
      </x:c>
      <x:c r="F10" s="36" t="n">
        <x:v>1.984</x:v>
      </x:c>
      <x:c r="G10" s="36" t="n">
        <x:f>E10-F10</x:f>
        <x:v>-0.17799999999999994</x:v>
      </x:c>
      <x:c r="H10" s="25" t="str">
        <x:v>sovereign measurement capacity</x:v>
      </x:c>
      <x:c r="I10" s="25" t="str">
        <x:v>planning allocation</x:v>
      </x:c>
      <x:c r="J10" s="25" t="str">
        <x:v>OPEN</x:v>
      </x:c>
      <x:c r="K10" s="25" t="str">
        <x:v>awarded work exceeds line</x:v>
      </x:c>
      <x:c r="L10" s="27" t="str">
        <x:f>IF(E10&gt;=0,"PASS","FAIL")</x:f>
        <x:v>PASS</x:v>
      </x:c>
    </x:row>
    <x:row r="11" ht="18" customHeight="1">
      <x:c r="B11" s="25" t="str">
        <x:v>Terrain article evidence cassettes</x:v>
      </x:c>
      <x:c r="C11" s="25" t="n">
        <x:v>238</x:v>
      </x:c>
      <x:c r="D11" s="36" t="n">
        <x:v>0.009</x:v>
      </x:c>
      <x:c r="E11" s="36" t="n">
        <x:f>C11*D11</x:f>
        <x:v>2.142</x:v>
      </x:c>
      <x:c r="F11" s="36" t="n">
        <x:v>1.984</x:v>
      </x:c>
      <x:c r="G11" s="36" t="n">
        <x:f>E11-F11</x:f>
        <x:v>0.15799999999999992</x:v>
      </x:c>
      <x:c r="H11" s="25" t="str">
        <x:v>sovereign measurement capacity</x:v>
      </x:c>
      <x:c r="I11" s="25" t="str">
        <x:v>planning allocation</x:v>
      </x:c>
      <x:c r="J11" s="25" t="str">
        <x:v>OPEN</x:v>
      </x:c>
      <x:c r="K11" s="25" t="str">
        <x:v>awarded work exceeds line</x:v>
      </x:c>
      <x:c r="L11" s="27" t="str">
        <x:f>IF(E11&gt;=0,"PASS","FAIL")</x:f>
        <x:v>PASS</x:v>
      </x:c>
    </x:row>
    <x:row r="12" ht="18" customHeight="1">
      <x:c r="B12" s="25" t="str">
        <x:v>Article integration reserve</x:v>
      </x:c>
      <x:c r="C12" s="25" t="n">
        <x:v>1</x:v>
      </x:c>
      <x:c r="D12" s="36" t="n">
        <x:v>0.02</x:v>
      </x:c>
      <x:c r="E12" s="36" t="n">
        <x:f>C12*D12</x:f>
        <x:v>0.02</x:v>
      </x:c>
      <x:c r="F12" s="36" t="n">
        <x:v>0</x:v>
      </x:c>
      <x:c r="G12" s="36" t="n">
        <x:f>E12-F12</x:f>
        <x:v>0.02</x:v>
      </x:c>
      <x:c r="H12" s="25" t="str">
        <x:v>sovereign measurement capacity</x:v>
      </x:c>
      <x:c r="I12" s="25" t="str">
        <x:v>planning allocation</x:v>
      </x:c>
      <x:c r="J12" s="25" t="str">
        <x:v>OPEN</x:v>
      </x:c>
      <x:c r="K12" s="25" t="str">
        <x:v>awarded work exceeds line</x:v>
      </x:c>
      <x:c r="L12" s="27" t="str">
        <x:f>IF(E12&gt;=0,"PASS","FAIL")</x:f>
        <x:v>PASS</x:v>
      </x:c>
    </x:row>
    <x:row r="13" ht="18" customHeight="1">
      <x:c r="B13" s="25" t="str">
        <x:v>Air carrier truth nodes</x:v>
      </x:c>
      <x:c r="C13" s="25" t="n">
        <x:v>14</x:v>
      </x:c>
      <x:c r="D13" s="36" t="n">
        <x:v>0.045</x:v>
      </x:c>
      <x:c r="E13" s="36" t="n">
        <x:f>C13*D13</x:f>
        <x:v>0.63</x:v>
      </x:c>
      <x:c r="F13" s="36" t="n">
        <x:v>0.84</x:v>
      </x:c>
      <x:c r="G13" s="36" t="n">
        <x:f>E13-F13</x:f>
        <x:v>-0.20999999999999996</x:v>
      </x:c>
      <x:c r="H13" s="25" t="str">
        <x:v>sovereign measurement capacity</x:v>
      </x:c>
      <x:c r="I13" s="25" t="str">
        <x:v>planning allocation</x:v>
      </x:c>
      <x:c r="J13" s="25" t="str">
        <x:v>OPEN</x:v>
      </x:c>
      <x:c r="K13" s="25" t="str">
        <x:v>awarded work exceeds line</x:v>
      </x:c>
      <x:c r="L13" s="27" t="str">
        <x:f>IF(E13&gt;=0,"PASS","FAIL")</x:f>
        <x:v>PASS</x:v>
      </x:c>
    </x:row>
    <x:row r="14" ht="18" customHeight="1">
      <x:c r="B14" s="25" t="str">
        <x:v>Terrain carrier truth nodes</x:v>
      </x:c>
      <x:c r="C14" s="25" t="n">
        <x:v>12</x:v>
      </x:c>
      <x:c r="D14" s="36" t="n">
        <x:v>0.0775</x:v>
      </x:c>
      <x:c r="E14" s="36" t="n">
        <x:f>C14*D14</x:f>
        <x:v>0.9299999999999999</x:v>
      </x:c>
      <x:c r="F14" s="36" t="n">
        <x:v>0.72</x:v>
      </x:c>
      <x:c r="G14" s="36" t="n">
        <x:f>E14-F14</x:f>
        <x:v>0.20999999999999996</x:v>
      </x:c>
      <x:c r="H14" s="25" t="str">
        <x:v>sovereign measurement capacity</x:v>
      </x:c>
      <x:c r="I14" s="25" t="str">
        <x:v>planning allocation</x:v>
      </x:c>
      <x:c r="J14" s="25" t="str">
        <x:v>OPEN</x:v>
      </x:c>
      <x:c r="K14" s="25" t="str">
        <x:v>awarded work exceeds line</x:v>
      </x:c>
      <x:c r="L14" s="27" t="str">
        <x:f>IF(E14&gt;=0,"PASS","FAIL")</x:f>
        <x:v>PASS</x:v>
      </x:c>
    </x:row>
    <x:row r="15" ht="18" customHeight="1">
      <x:c r="B15" s="25" t="str">
        <x:v>Receiver truth stations</x:v>
      </x:c>
      <x:c r="C15" s="25" t="n">
        <x:v>8</x:v>
      </x:c>
      <x:c r="D15" s="36" t="n">
        <x:v>0.2</x:v>
      </x:c>
      <x:c r="E15" s="36" t="n">
        <x:f>C15*D15</x:f>
        <x:v>1.6</x:v>
      </x:c>
      <x:c r="F15" s="36" t="n">
        <x:v>1.6</x:v>
      </x:c>
      <x:c r="G15" s="36" t="n">
        <x:f>E15-F15</x:f>
        <x:v>0</x:v>
      </x:c>
      <x:c r="H15" s="25" t="str">
        <x:v>sovereign measurement capacity</x:v>
      </x:c>
      <x:c r="I15" s="25" t="str">
        <x:v>planning allocation</x:v>
      </x:c>
      <x:c r="J15" s="25" t="str">
        <x:v>OPEN</x:v>
      </x:c>
      <x:c r="K15" s="25" t="str">
        <x:v>awarded work exceeds line</x:v>
      </x:c>
      <x:c r="L15" s="27" t="str">
        <x:f>IF(E15&gt;=0,"PASS","FAIL")</x:f>
        <x:v>PASS</x:v>
      </x:c>
    </x:row>
    <x:row r="16" ht="18" customHeight="1">
      <x:c r="B16" s="25" t="str">
        <x:v>Paired-range truth arrays</x:v>
      </x:c>
      <x:c r="C16" s="25" t="n">
        <x:v>4</x:v>
      </x:c>
      <x:c r="D16" s="36" t="n">
        <x:v>0.9</x:v>
      </x:c>
      <x:c r="E16" s="36" t="n">
        <x:f>C16*D16</x:f>
        <x:v>3.6</x:v>
      </x:c>
      <x:c r="F16" s="36" t="n">
        <x:v>3.6</x:v>
      </x:c>
      <x:c r="G16" s="36" t="n">
        <x:f>E16-F16</x:f>
        <x:v>0</x:v>
      </x:c>
      <x:c r="H16" s="25" t="str">
        <x:v>sovereign measurement capacity</x:v>
      </x:c>
      <x:c r="I16" s="25" t="str">
        <x:v>planning allocation</x:v>
      </x:c>
      <x:c r="J16" s="25" t="str">
        <x:v>OPEN</x:v>
      </x:c>
      <x:c r="K16" s="25" t="str">
        <x:v>awarded work exceeds line</x:v>
      </x:c>
      <x:c r="L16" s="27" t="str">
        <x:f>IF(E16&gt;=0,"PASS","FAIL")</x:f>
        <x:v>PASS</x:v>
      </x:c>
    </x:row>
    <x:row r="17" ht="18" customHeight="1">
      <x:c r="B17" s="25" t="str">
        <x:v>Offline evidence fabric</x:v>
      </x:c>
      <x:c r="C17" s="25" t="n">
        <x:v>1</x:v>
      </x:c>
      <x:c r="D17" s="36" t="n">
        <x:v>1.8</x:v>
      </x:c>
      <x:c r="E17" s="36" t="n">
        <x:f>C17*D17</x:f>
        <x:v>1.8</x:v>
      </x:c>
      <x:c r="F17" s="36" t="n">
        <x:v>1.8</x:v>
      </x:c>
      <x:c r="G17" s="36" t="n">
        <x:f>E17-F17</x:f>
        <x:v>0</x:v>
      </x:c>
      <x:c r="H17" s="25" t="str">
        <x:v>sovereign measurement capacity</x:v>
      </x:c>
      <x:c r="I17" s="25" t="str">
        <x:v>planning allocation</x:v>
      </x:c>
      <x:c r="J17" s="25" t="str">
        <x:v>OPEN</x:v>
      </x:c>
      <x:c r="K17" s="25" t="str">
        <x:v>awarded work exceeds line</x:v>
      </x:c>
      <x:c r="L17" s="27" t="str">
        <x:f>IF(E17&gt;=0,"PASS","FAIL")</x:f>
        <x:v>PASS</x:v>
      </x:c>
    </x:row>
    <x:row r="18" ht="18" customHeight="1">
      <x:c r="B18" s="25" t="str">
        <x:v>Three-copy evidence archive</x:v>
      </x:c>
      <x:c r="C18" s="25" t="n">
        <x:v>1</x:v>
      </x:c>
      <x:c r="D18" s="36" t="n">
        <x:v>1.2</x:v>
      </x:c>
      <x:c r="E18" s="36" t="n">
        <x:f>C18*D18</x:f>
        <x:v>1.2</x:v>
      </x:c>
      <x:c r="F18" s="36" t="n">
        <x:v>1.2</x:v>
      </x:c>
      <x:c r="G18" s="36" t="n">
        <x:f>E18-F18</x:f>
        <x:v>0</x:v>
      </x:c>
      <x:c r="H18" s="25" t="str">
        <x:v>sovereign measurement capacity</x:v>
      </x:c>
      <x:c r="I18" s="25" t="str">
        <x:v>planning allocation</x:v>
      </x:c>
      <x:c r="J18" s="25" t="str">
        <x:v>OPEN</x:v>
      </x:c>
      <x:c r="K18" s="25" t="str">
        <x:v>awarded work exceeds line</x:v>
      </x:c>
      <x:c r="L18" s="27" t="str">
        <x:f>IF(E18&gt;=0,"PASS","FAIL")</x:f>
        <x:v>PASS</x:v>
      </x:c>
    </x:row>
    <x:row r="19" ht="18" customHeight="1">
      <x:c r="B19" s="25" t="str">
        <x:v>Adversarial evidence laboratory</x:v>
      </x:c>
      <x:c r="C19" s="25" t="n">
        <x:v>1</x:v>
      </x:c>
      <x:c r="D19" s="36" t="n">
        <x:v>0.5</x:v>
      </x:c>
      <x:c r="E19" s="36" t="n">
        <x:f>C19*D19</x:f>
        <x:v>0.5</x:v>
      </x:c>
      <x:c r="F19" s="36" t="n">
        <x:v>0.5</x:v>
      </x:c>
      <x:c r="G19" s="36" t="n">
        <x:f>E19-F19</x:f>
        <x:v>0</x:v>
      </x:c>
      <x:c r="H19" s="25" t="str">
        <x:v>sovereign measurement capacity</x:v>
      </x:c>
      <x:c r="I19" s="25" t="str">
        <x:v>planning allocation</x:v>
      </x:c>
      <x:c r="J19" s="25" t="str">
        <x:v>OPEN</x:v>
      </x:c>
      <x:c r="K19" s="25" t="str">
        <x:v>awarded work exceeds line</x:v>
      </x:c>
      <x:c r="L19" s="27" t="str">
        <x:f>IF(E19&gt;=0,"PASS","FAIL")</x:f>
        <x:v>PASS</x:v>
      </x:c>
    </x:row>
    <x:row r="20" ht="18" customHeight="1">
      <x:c r="B20" s="25" t="str">
        <x:v>F01 capital reserve</x:v>
      </x:c>
      <x:c r="C20" s="25" t="n">
        <x:v>1</x:v>
      </x:c>
      <x:c r="D20" s="36" t="n">
        <x:v>0.372</x:v>
      </x:c>
      <x:c r="E20" s="36" t="n">
        <x:f>C20*D20</x:f>
        <x:v>0.372</x:v>
      </x:c>
      <x:c r="F20" s="36" t="n">
        <x:v>0.372</x:v>
      </x:c>
      <x:c r="G20" s="36" t="n">
        <x:f>E20-F20</x:f>
        <x:v>0</x:v>
      </x:c>
      <x:c r="H20" s="25" t="str">
        <x:v>sovereign measurement capacity</x:v>
      </x:c>
      <x:c r="I20" s="25" t="str">
        <x:v>planning allocation</x:v>
      </x:c>
      <x:c r="J20" s="25" t="str">
        <x:v>OPEN</x:v>
      </x:c>
      <x:c r="K20" s="25" t="str">
        <x:v>awarded work exceeds line</x:v>
      </x:c>
      <x:c r="L20" s="27" t="str">
        <x:f>IF(E20&gt;=0,"PASS","FAIL")</x:f>
        <x:v>PASS</x:v>
      </x:c>
    </x:row>
    <x:row r="21" ht="18" customHeight="1">
      <x:c r="B21" s="29" t="str">
        <x:v>TOTAL</x:v>
      </x:c>
      <x:c r="C21" s="29" t="n">
        <x:v>0</x:v>
      </x:c>
      <x:c r="D21" s="37" t="n">
        <x:v>0</x:v>
      </x:c>
      <x:c r="E21" s="37" t="n">
        <x:f>SUM(E7:E20)</x:f>
        <x:v>24</x:v>
      </x:c>
      <x:c r="F21" s="37" t="n">
        <x:f>Assumptions!C44</x:f>
        <x:v>24</x:v>
      </x:c>
      <x:c r="G21" s="37" t="n">
        <x:f>E21-F21</x:f>
        <x:v>0</x:v>
      </x:c>
      <x:c r="H21" s="29" t="str"/>
      <x:c r="I21" s="29" t="str"/>
      <x:c r="J21" s="29" t="str"/>
      <x:c r="K21" s="29" t="str"/>
      <x:c r="L21" s="31" t="str">
        <x:f>IF(G21=0,"PASS","FAIL")</x:f>
        <x:v>PASS</x:v>
      </x:c>
    </x:row>
    <x:row r="22" ht="18" customHeight="1"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</x:row>
    <x:row r="23" ht="18" customHeight="1"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</x:row>
    <x:row r="24" ht="18" customHeight="1">
      <x:c r="B24" s="9" t="str">
        <x:v>Nested prototype subportfolio</x:v>
      </x:c>
      <x:c r="C24" s="10" t="str">
        <x:v>Nested prototype subportfolio</x:v>
      </x:c>
      <x:c r="D24" s="10" t="str">
        <x:v>Nested prototype subportfolio</x:v>
      </x:c>
      <x:c r="E24" s="10" t="str">
        <x:v>Nested prototype subportfolio</x:v>
      </x:c>
      <x:c r="F24" s="10" t="str">
        <x:v>Nested prototype subportfolio</x:v>
      </x:c>
      <x:c r="G24" s="10" t="str">
        <x:v>Nested prototype subportfolio</x:v>
      </x:c>
      <x:c r="H24" s="10" t="str">
        <x:v>Nested prototype subportfolio</x:v>
      </x:c>
      <x:c r="I24" s="10" t="str">
        <x:v>Nested prototype subportfolio</x:v>
      </x:c>
      <x:c r="J24" s="10" t="str">
        <x:v>Nested prototype subportfolio</x:v>
      </x:c>
      <x:c r="K24" s="10" t="str">
        <x:v>Nested prototype subportfolio</x:v>
      </x:c>
      <x:c r="L24" s="11" t="str">
        <x:v>Nested prototype subportfolio</x:v>
      </x:c>
    </x:row>
    <x:row r="25" ht="18" customHeight="1">
      <x:c r="B25" s="17" t="str">
        <x:v>Measure</x:v>
      </x:c>
      <x:c r="C25" s="18" t="str">
        <x:v>Value</x:v>
      </x:c>
      <x:c r="D25" s="18" t="str">
        <x:v>Unit</x:v>
      </x:c>
      <x:c r="E25" s="18" t="str">
        <x:v>Limit</x:v>
      </x:c>
      <x:c r="F25" s="19" t="str">
        <x:v>Result</x:v>
      </x:c>
      <x:c r="G25" s="3"/>
      <x:c r="H25" s="3"/>
      <x:c r="I25" s="3"/>
      <x:c r="J25" s="3"/>
      <x:c r="K25" s="3"/>
      <x:c r="L25" s="3"/>
    </x:row>
    <x:row r="26" ht="18" customHeight="1">
      <x:c r="B26" s="3" t="str">
        <x:v>Prototype campaign</x:v>
      </x:c>
      <x:c r="C26" s="3" t="n">
        <x:f>'Prototype Campaign'!C22</x:f>
        <x:v>6.799999999999999</x:v>
      </x:c>
      <x:c r="D26" s="3" t="str">
        <x:v>USD B</x:v>
      </x:c>
      <x:c r="E26" s="3" t="n">
        <x:v>6.8</x:v>
      </x:c>
      <x:c r="F26" s="3" t="str">
        <x:f>IF(C26=E26,"PASS","FAIL")</x:f>
        <x:v>PASS</x:v>
      </x:c>
      <x:c r="G26" s="3"/>
      <x:c r="H26" s="3"/>
      <x:c r="I26" s="3"/>
      <x:c r="J26" s="3"/>
      <x:c r="K26" s="3"/>
      <x:c r="L26" s="3"/>
    </x:row>
    <x:row r="27" ht="18" customHeight="1">
      <x:c r="B27" s="3" t="str">
        <x:v>Share of F01</x:v>
      </x:c>
      <x:c r="C27" s="32" t="n">
        <x:f>C26/E21</x:f>
        <x:v>0.28333333333333327</x:v>
      </x:c>
      <x:c r="D27" s="32" t="str">
        <x:v>fraction</x:v>
      </x:c>
      <x:c r="E27" s="32" t="n">
        <x:v>0.3</x:v>
      </x:c>
      <x:c r="F27" s="3" t="str">
        <x:f>IF(C27&lt;=E27,"PASS","FAIL")</x:f>
        <x:v>PASS</x:v>
      </x:c>
      <x:c r="G27" s="3"/>
      <x:c r="H27" s="3"/>
      <x:c r="I27" s="3"/>
      <x:c r="J27" s="3"/>
      <x:c r="K27" s="3"/>
      <x:c r="L27" s="3"/>
    </x:row>
    <x:row r="28" ht="18" customHeight="1">
      <x:c r="B28" s="3" t="str">
        <x:v>Non-additivity</x:v>
      </x:c>
      <x:c r="C28" s="3" t="n">
        <x:f>IF(C26&lt;=E21,1,0)</x:f>
        <x:v>1</x:v>
      </x:c>
      <x:c r="D28" s="3" t="str">
        <x:v>binary</x:v>
      </x:c>
      <x:c r="E28" s="3" t="n">
        <x:v>1</x:v>
      </x:c>
      <x:c r="F28" s="3" t="str">
        <x:f>IF(C28=E28,"PASS","FAIL")</x:f>
        <x:v>PASS</x:v>
      </x:c>
      <x:c r="G28" s="3"/>
      <x:c r="H28" s="3"/>
      <x:c r="I28" s="3"/>
      <x:c r="J28" s="3"/>
      <x:c r="K28" s="3"/>
      <x:c r="L28" s="3"/>
    </x:row>
    <x:row r="29" ht="18" customHeight="1"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</x:row>
    <x:row r="30" ht="18" customHeight="1"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</x:row>
    <x:row r="31" ht="18" customHeight="1"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</x:row>
  </x:sheetData>
  <x:mergeCells>
    <x:mergeCell ref="B2:H2"/>
    <x:mergeCell ref="B3:L3"/>
    <x:mergeCell ref="B24:L24"/>
  </x:mergeCells>
  <x:conditionalFormatting sqref="J7:J20">
    <x:cfRule type="containsText" dxfId="115" priority="1" operator="containsText" text="FAIL"/>
    <x:cfRule type="containsText" dxfId="116" priority="2" operator="containsText" text="PASS"/>
    <x:cfRule type="containsText" dxfId="117" priority="3" operator="containsText" text="OPEN"/>
    <x:cfRule type="containsText" dxfId="118" priority="4" operator="containsText" text="HOLD"/>
    <x:cfRule type="containsText" dxfId="119" priority="5" operator="containsText" text="BLOCKED"/>
  </x:conditionalFormatting>
  <x:conditionalFormatting sqref="L7:L21">
    <x:cfRule type="containsText" dxfId="120" priority="6" operator="containsText" text="FAIL"/>
    <x:cfRule type="containsText" dxfId="121" priority="7" operator="containsText" text="PASS"/>
    <x:cfRule type="containsText" dxfId="122" priority="8" operator="containsText" text="OPEN"/>
    <x:cfRule type="containsText" dxfId="123" priority="9" operator="containsText" text="HOLD"/>
    <x:cfRule type="containsText" dxfId="124" priority="10" operator="containsText" text="BLOCKED"/>
  </x:conditionalFormatting>
  <x:conditionalFormatting sqref="F26:F28">
    <x:cfRule type="containsText" dxfId="125" priority="11" operator="containsText" text="FAIL"/>
    <x:cfRule type="containsText" dxfId="126" priority="12" operator="containsText" text="PASS"/>
    <x:cfRule type="containsText" dxfId="127" priority="13" operator="containsText" text="OPEN"/>
    <x:cfRule type="containsText" dxfId="128" priority="14" operator="containsText" text="HOLD"/>
    <x:cfRule type="containsText" dxfId="129" priority="15" operator="containsText" text="BLOCKED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2" hidden="0" customWidth="1"/>
    <x:col min="3" max="3" width="57" hidden="0" customWidth="1"/>
    <x:col min="4" max="4" width="20" hidden="0" customWidth="1"/>
    <x:col min="5" max="5" width="42" hidden="0" customWidth="1"/>
    <x:col min="6" max="6" width="13" hidden="0" customWidth="1"/>
    <x:col min="7" max="7" width="13" hidden="0" customWidth="1"/>
    <x:col min="8" max="8" width="35" hidden="0" customWidth="1"/>
    <x:col min="9" max="9" width="23" hidden="0" customWidth="1"/>
    <x:col min="10" max="10" width="17" hidden="0" customWidth="1"/>
    <x:col min="11" max="11" width="17" hidden="0" customWidth="1"/>
    <x:col min="12" max="12" width="16" hidden="0" customWidth="1"/>
    <x:col min="13" max="13" width="12" hidden="0" customWidth="1"/>
  </x:cols>
  <x:sheetData>
    <x:row r="2" ht="18" customHeight="1">
      <x:c r="B2" s="4" t="str">
        <x:v>Representative hardware decision gates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 ht="18" customHeight="1">
      <x:c r="B3" s="5" t="str">
        <x:v>The physical allocation is selected for prototyping; every evidence gate remains open and exterior form remains blocked</x:v>
      </x:c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 ht="18" customHeight="1"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</x:row>
    <x:row r="5" ht="18" customHeight="1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</x:row>
    <x:row r="6" ht="18" customHeight="1">
      <x:c r="B6" s="17" t="str">
        <x:v>Gate</x:v>
      </x:c>
      <x:c r="C6" s="18" t="str">
        <x:v>Question</x:v>
      </x:c>
      <x:c r="D6" s="18" t="str">
        <x:v>Model screen</x:v>
      </x:c>
      <x:c r="E6" s="18" t="str">
        <x:v>Required physical artifact</x:v>
      </x:c>
      <x:c r="F6" s="18" t="str">
        <x:v>Evidence state</x:v>
      </x:c>
      <x:c r="G6" s="18" t="str">
        <x:v>Decision</x:v>
      </x:c>
      <x:c r="H6" s="18" t="str">
        <x:v>Failure consequence</x:v>
      </x:c>
      <x:c r="I6" s="18" t="str">
        <x:v>Authority</x:v>
      </x:c>
      <x:c r="J6" s="18" t="str">
        <x:v>Dependency</x:v>
      </x:c>
      <x:c r="K6" s="18" t="str">
        <x:v>Earliest campaign</x:v>
      </x:c>
      <x:c r="L6" s="18" t="str">
        <x:v>Rendering effect</x:v>
      </x:c>
      <x:c r="M6" s="19" t="str">
        <x:v>Credit</x:v>
      </x:c>
    </x:row>
    <x:row r="7" ht="32" customHeight="1">
      <x:c r="B7" s="3" t="str">
        <x:v>H1</x:v>
      </x:c>
      <x:c r="C7" s="3" t="str">
        <x:v>Do tile cassettes fit certified family allowance?</x:v>
      </x:c>
      <x:c r="D7" s="3" t="str">
        <x:v>PASS</x:v>
      </x:c>
      <x:c r="E7" s="3" t="str">
        <x:v>weighed sealed cassettes in each family</x:v>
      </x:c>
      <x:c r="F7" s="3" t="str">
        <x:v>OPEN</x:v>
      </x:c>
      <x:c r="G7" s="3" t="str">
        <x:v>HOLD</x:v>
      </x:c>
      <x:c r="H7" s="3" t="str">
        <x:v>reallocate family mass or widen carrier burden</x:v>
      </x:c>
      <x:c r="I7" s="3" t="str">
        <x:v>article authority</x:v>
      </x:c>
      <x:c r="J7" s="3" t="str">
        <x:v>none</x:v>
      </x:c>
      <x:c r="K7" s="3" t="str">
        <x:v>P02</x:v>
      </x:c>
      <x:c r="L7" s="3" t="str">
        <x:v>BLOCKED</x:v>
      </x:c>
      <x:c r="M7" s="3" t="n">
        <x:v>0</x:v>
      </x:c>
    </x:row>
    <x:row r="8" ht="32" customHeight="1">
      <x:c r="B8" s="3" t="str">
        <x:v>H2</x:v>
      </x:c>
      <x:c r="C8" s="3" t="str">
        <x:v>Does air carrier truth mass preserve mission behavior?</x:v>
      </x:c>
      <x:c r="D8" s="3" t="str">
        <x:v>PASS</x:v>
      </x:c>
      <x:c r="E8" s="3" t="str">
        <x:v>instrumented and removal-paired air carrier</x:v>
      </x:c>
      <x:c r="F8" s="3" t="str">
        <x:v>OPEN</x:v>
      </x:c>
      <x:c r="G8" s="3" t="str">
        <x:v>HOLD</x:v>
      </x:c>
      <x:c r="H8" s="3" t="str">
        <x:v>reduce node mass or reopen carrier gross</x:v>
      </x:c>
      <x:c r="I8" s="3" t="str">
        <x:v>air evidence</x:v>
      </x:c>
      <x:c r="J8" s="3" t="str">
        <x:v>H1</x:v>
      </x:c>
      <x:c r="K8" s="3" t="str">
        <x:v>P03</x:v>
      </x:c>
      <x:c r="L8" s="3" t="str">
        <x:v>BLOCKED</x:v>
      </x:c>
      <x:c r="M8" s="3" t="n">
        <x:v>0</x:v>
      </x:c>
    </x:row>
    <x:row r="9" ht="32" customHeight="1">
      <x:c r="B9" s="3" t="str">
        <x:v>H3</x:v>
      </x:c>
      <x:c r="C9" s="3" t="str">
        <x:v>Does terrain truth mass preserve soil margin?</x:v>
      </x:c>
      <x:c r="D9" s="3" t="str">
        <x:v>PASS</x:v>
      </x:c>
      <x:c r="E9" s="3" t="str">
        <x:v>instrumented terrain carrier on registered soils</x:v>
      </x:c>
      <x:c r="F9" s="3" t="str">
        <x:v>OPEN</x:v>
      </x:c>
      <x:c r="G9" s="3" t="str">
        <x:v>HOLD</x:v>
      </x:c>
      <x:c r="H9" s="3" t="str">
        <x:v>improve uncertainty contact or tare</x:v>
      </x:c>
      <x:c r="I9" s="3" t="str">
        <x:v>terrain evidence</x:v>
      </x:c>
      <x:c r="J9" s="3" t="str">
        <x:v>H1</x:v>
      </x:c>
      <x:c r="K9" s="3" t="str">
        <x:v>P04</x:v>
      </x:c>
      <x:c r="L9" s="3" t="str">
        <x:v>BLOCKED</x:v>
      </x:c>
      <x:c r="M9" s="3" t="n">
        <x:v>0</x:v>
      </x:c>
    </x:row>
    <x:row r="10" ht="32" customHeight="1">
      <x:c r="B10" s="3" t="str">
        <x:v>H4</x:v>
      </x:c>
      <x:c r="C10" s="3" t="str">
        <x:v>Can every node record 168 hours without mission energy?</x:v>
      </x:c>
      <x:c r="D10" s="3" t="str">
        <x:v>PASS</x:v>
      </x:c>
      <x:c r="E10" s="3" t="str">
        <x:v>five sealed power-endurance articles</x:v>
      </x:c>
      <x:c r="F10" s="3" t="str">
        <x:v>OPEN</x:v>
      </x:c>
      <x:c r="G10" s="3" t="str">
        <x:v>HOLD</x:v>
      </x:c>
      <x:c r="H10" s="3" t="str">
        <x:v>increase energy or reduce evidence load</x:v>
      </x:c>
      <x:c r="I10" s="3" t="str">
        <x:v>metrology</x:v>
      </x:c>
      <x:c r="J10" s="3" t="str">
        <x:v>none</x:v>
      </x:c>
      <x:c r="K10" s="3" t="str">
        <x:v>P01</x:v>
      </x:c>
      <x:c r="L10" s="3" t="str">
        <x:v>BLOCKED</x:v>
      </x:c>
      <x:c r="M10" s="3" t="n">
        <x:v>0</x:v>
      </x:c>
    </x:row>
    <x:row r="11" ht="32" customHeight="1">
      <x:c r="B11" s="3" t="str">
        <x:v>H5</x:v>
      </x:c>
      <x:c r="C11" s="3" t="str">
        <x:v>Can every node retain the entire local interval?</x:v>
      </x:c>
      <x:c r="D11" s="3" t="str">
        <x:v>PASS</x:v>
      </x:c>
      <x:c r="E11" s="3" t="str">
        <x:v>write-once stores under link denial</x:v>
      </x:c>
      <x:c r="F11" s="3" t="str">
        <x:v>OPEN</x:v>
      </x:c>
      <x:c r="G11" s="3" t="str">
        <x:v>HOLD</x:v>
      </x:c>
      <x:c r="H11" s="3" t="str">
        <x:v>increase storage or reduce registered rate</x:v>
      </x:c>
      <x:c r="I11" s="3" t="str">
        <x:v>data authority</x:v>
      </x:c>
      <x:c r="J11" s="3" t="str">
        <x:v>H4</x:v>
      </x:c>
      <x:c r="K11" s="3" t="str">
        <x:v>P01</x:v>
      </x:c>
      <x:c r="L11" s="3" t="str">
        <x:v>BLOCKED</x:v>
      </x:c>
      <x:c r="M11" s="3" t="n">
        <x:v>0</x:v>
      </x:c>
    </x:row>
    <x:row r="12" ht="32" customHeight="1">
      <x:c r="B12" s="3" t="str">
        <x:v>H6</x:v>
      </x:c>
      <x:c r="C12" s="3" t="str">
        <x:v>Can diverse clocks hold U95 below 0.01 s?</x:v>
      </x:c>
      <x:c r="D12" s="3" t="str">
        <x:v>PASS</x:v>
      </x:c>
      <x:c r="E12" s="3" t="str">
        <x:v>twelve denied-time ensembles</x:v>
      </x:c>
      <x:c r="F12" s="3" t="str">
        <x:v>OPEN</x:v>
      </x:c>
      <x:c r="G12" s="3" t="str">
        <x:v>HOLD</x:v>
      </x:c>
      <x:c r="H12" s="3" t="str">
        <x:v>improve roots transfer or event grammar</x:v>
      </x:c>
      <x:c r="I12" s="3" t="str">
        <x:v>time authority</x:v>
      </x:c>
      <x:c r="J12" s="3" t="str">
        <x:v>H4</x:v>
      </x:c>
      <x:c r="K12" s="3" t="str">
        <x:v>P06</x:v>
      </x:c>
      <x:c r="L12" s="3" t="str">
        <x:v>BLOCKED</x:v>
      </x:c>
      <x:c r="M12" s="3" t="n">
        <x:v>0</x:v>
      </x:c>
    </x:row>
    <x:row r="13" ht="32" customHeight="1">
      <x:c r="B13" s="3" t="str">
        <x:v>H7</x:v>
      </x:c>
      <x:c r="C13" s="3" t="str">
        <x:v>Does heat reject outward without aiding the mission?</x:v>
      </x:c>
      <x:c r="D13" s="3" t="str">
        <x:v>architecture only</x:v>
      </x:c>
      <x:c r="E13" s="3" t="str">
        <x:v>calorimetry and removal trial</x:v>
      </x:c>
      <x:c r="F13" s="3" t="str">
        <x:v>OPEN</x:v>
      </x:c>
      <x:c r="G13" s="3" t="str">
        <x:v>HOLD</x:v>
      </x:c>
      <x:c r="H13" s="3" t="str">
        <x:v>redesign enclosure and emulator</x:v>
      </x:c>
      <x:c r="I13" s="3" t="str">
        <x:v>thermal evidence</x:v>
      </x:c>
      <x:c r="J13" s="3" t="str">
        <x:v>H1-H4</x:v>
      </x:c>
      <x:c r="K13" s="3" t="str">
        <x:v>P02-P04</x:v>
      </x:c>
      <x:c r="L13" s="3" t="str">
        <x:v>BLOCKED</x:v>
      </x:c>
      <x:c r="M13" s="3" t="n">
        <x:v>0</x:v>
      </x:c>
    </x:row>
    <x:row r="14" ht="32" customHeight="1">
      <x:c r="B14" s="3" t="str">
        <x:v>H8</x:v>
      </x:c>
      <x:c r="C14" s="3" t="str">
        <x:v>Does removal leave control and public effect invariant?</x:v>
      </x:c>
      <x:c r="D14" s="3" t="str">
        <x:v>architecture only</x:v>
      </x:c>
      <x:c r="E14" s="3" t="str">
        <x:v>paired kit emulator and bare trials</x:v>
      </x:c>
      <x:c r="F14" s="3" t="str">
        <x:v>OPEN</x:v>
      </x:c>
      <x:c r="G14" s="3" t="str">
        <x:v>HOLD</x:v>
      </x:c>
      <x:c r="H14" s="3" t="str">
        <x:v>measurement remains nonrepresentative</x:v>
      </x:c>
      <x:c r="I14" s="3" t="str">
        <x:v>trial authority</x:v>
      </x:c>
      <x:c r="J14" s="3" t="str">
        <x:v>H1-H7</x:v>
      </x:c>
      <x:c r="K14" s="3" t="str">
        <x:v>P07</x:v>
      </x:c>
      <x:c r="L14" s="3" t="str">
        <x:v>BLOCKED</x:v>
      </x:c>
      <x:c r="M14" s="3" t="n">
        <x:v>0</x:v>
      </x:c>
    </x:row>
    <x:row r="15" ht="32" customHeight="1">
      <x:c r="B15" s="3" t="str">
        <x:v>H9</x:v>
      </x:c>
      <x:c r="C15" s="3" t="str">
        <x:v>Is receiver truth separate from service provision?</x:v>
      </x:c>
      <x:c r="D15" s="3" t="str">
        <x:v>architecture only</x:v>
      </x:c>
      <x:c r="E15" s="3" t="str">
        <x:v>separate powered civil station</x:v>
      </x:c>
      <x:c r="F15" s="3" t="str">
        <x:v>OPEN</x:v>
      </x:c>
      <x:c r="G15" s="3" t="str">
        <x:v>HOLD</x:v>
      </x:c>
      <x:c r="H15" s="3" t="str">
        <x:v>receiver result earns zero credit</x:v>
      </x:c>
      <x:c r="I15" s="3" t="str">
        <x:v>civil authority</x:v>
      </x:c>
      <x:c r="J15" s="3" t="str">
        <x:v>H4-H6</x:v>
      </x:c>
      <x:c r="K15" s="3" t="str">
        <x:v>P05</x:v>
      </x:c>
      <x:c r="L15" s="3" t="str">
        <x:v>BLOCKED</x:v>
      </x:c>
      <x:c r="M15" s="3" t="n">
        <x:v>0</x:v>
      </x:c>
    </x:row>
    <x:row r="16" ht="32" customHeight="1">
      <x:c r="B16" s="3" t="str">
        <x:v>H10</x:v>
      </x:c>
      <x:c r="C16" s="3" t="str">
        <x:v>May exterior rendering begin?</x:v>
      </x:c>
      <x:c r="D16" s="3" t="str">
        <x:v>NO</x:v>
      </x:c>
      <x:c r="E16" s="3" t="str">
        <x:v>closed measured mass volume access heat and hazard envelopes</x:v>
      </x:c>
      <x:c r="F16" s="3" t="str">
        <x:v>OPEN</x:v>
      </x:c>
      <x:c r="G16" s="3" t="str">
        <x:v>HOLD</x:v>
      </x:c>
      <x:c r="H16" s="3" t="str">
        <x:v>retain geometry prohibition</x:v>
      </x:c>
      <x:c r="I16" s="3" t="str">
        <x:v>requirements authority</x:v>
      </x:c>
      <x:c r="J16" s="3" t="str">
        <x:v>H1-H9</x:v>
      </x:c>
      <x:c r="K16" s="3" t="str">
        <x:v>after P08</x:v>
      </x:c>
      <x:c r="L16" s="3" t="str">
        <x:v>BLOCKED</x:v>
      </x:c>
      <x:c r="M16" s="3" t="n">
        <x:v>0</x:v>
      </x:c>
    </x:row>
    <x:row r="17" ht="18" customHeight="1"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</x:row>
    <x:row r="18" ht="18" customHeight="1"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</x:row>
    <x:row r="19" ht="18" customHeight="1">
      <x:c r="B19" s="9" t="str">
        <x:v>Current decision</x:v>
      </x:c>
      <x:c r="C19" s="10" t="str">
        <x:v>Current decision</x:v>
      </x:c>
      <x:c r="D19" s="10" t="str">
        <x:v>Current decision</x:v>
      </x:c>
      <x:c r="E19" s="10" t="str">
        <x:v>Current decision</x:v>
      </x:c>
      <x:c r="F19" s="10" t="str">
        <x:v>Current decision</x:v>
      </x:c>
      <x:c r="G19" s="10" t="str">
        <x:v>Current decision</x:v>
      </x:c>
      <x:c r="H19" s="10" t="str">
        <x:v>Current decision</x:v>
      </x:c>
      <x:c r="I19" s="10" t="str">
        <x:v>Current decision</x:v>
      </x:c>
      <x:c r="J19" s="10" t="str">
        <x:v>Current decision</x:v>
      </x:c>
      <x:c r="K19" s="10" t="str">
        <x:v>Current decision</x:v>
      </x:c>
      <x:c r="L19" s="10" t="str">
        <x:v>Current decision</x:v>
      </x:c>
      <x:c r="M19" s="11" t="str">
        <x:v>Current decision</x:v>
      </x:c>
    </x:row>
    <x:row r="20" ht="35" customHeight="1">
      <x:c r="B20" s="3" t="str">
        <x:v>Selected</x:v>
      </x:c>
      <x:c r="C20" s="3" t="str">
        <x:v>110 kg air and 135 kg terrain tile cassettes; 1.2 t air, 2.6 t terrain and 2.8 t receiver truth nodes</x:v>
      </x:c>
      <x:c r="D20" s="3" t="str"/>
      <x:c r="E20" s="3" t="str"/>
      <x:c r="F20" s="3" t="str"/>
      <x:c r="G20" s="3" t="str"/>
      <x:c r="H20" s="3" t="str"/>
      <x:c r="I20" s="3" t="str"/>
      <x:c r="J20" s="3" t="str"/>
      <x:c r="K20" s="3" t="str"/>
      <x:c r="L20" s="3" t="str"/>
      <x:c r="M20" s="3" t="str"/>
    </x:row>
    <x:row r="21" ht="35" customHeight="1">
      <x:c r="B21" s="3" t="str">
        <x:v>Physical correction</x:v>
      </x:c>
      <x:c r="C21" s="3" t="str">
        <x:v>terrain instrumented gross rises above the carrier reference; revised soil uncertainty must fall to preserve the half-margin rule</x:v>
      </x:c>
      <x:c r="D21" s="3" t="str"/>
      <x:c r="E21" s="3" t="str"/>
      <x:c r="F21" s="3" t="str"/>
      <x:c r="G21" s="3" t="str"/>
      <x:c r="H21" s="3" t="str"/>
      <x:c r="I21" s="3" t="str"/>
      <x:c r="J21" s="3" t="str"/>
      <x:c r="K21" s="3" t="str"/>
      <x:c r="L21" s="3" t="str"/>
      <x:c r="M21" s="3" t="str"/>
    </x:row>
    <x:row r="22" ht="35" customHeight="1">
      <x:c r="B22" s="3" t="str">
        <x:v>Institutional correction</x:v>
      </x:c>
      <x:c r="C22" s="3" t="str">
        <x:v>measurement hardware is a separately powered formation with its own custody, maintenance and production system</x:v>
      </x:c>
      <x:c r="D22" s="3" t="str"/>
      <x:c r="E22" s="3" t="str"/>
      <x:c r="F22" s="3" t="str"/>
      <x:c r="G22" s="3" t="str"/>
      <x:c r="H22" s="3" t="str"/>
      <x:c r="I22" s="3" t="str"/>
      <x:c r="J22" s="3" t="str"/>
      <x:c r="K22" s="3" t="str"/>
      <x:c r="L22" s="3" t="str"/>
      <x:c r="M22" s="3" t="str"/>
    </x:row>
    <x:row r="23" ht="35" customHeight="1">
      <x:c r="B23" s="3" t="str">
        <x:v>Fiscal result</x:v>
      </x:c>
      <x:c r="C23" s="3" t="str">
        <x:v>mode-specific equipment reallocates F01 but leaves its USD 24B total unchanged</x:v>
      </x:c>
      <x:c r="D23" s="3" t="str"/>
      <x:c r="E23" s="3" t="str"/>
      <x:c r="F23" s="3" t="str"/>
      <x:c r="G23" s="3" t="str"/>
      <x:c r="H23" s="3" t="str"/>
      <x:c r="I23" s="3" t="str"/>
      <x:c r="J23" s="3" t="str"/>
      <x:c r="K23" s="3" t="str"/>
      <x:c r="L23" s="3" t="str"/>
      <x:c r="M23" s="3" t="str"/>
    </x:row>
    <x:row r="24" ht="35" customHeight="1">
      <x:c r="B24" s="3" t="str">
        <x:v>Not selected</x:v>
      </x:c>
      <x:c r="C24" s="3" t="str">
        <x:v>vendor, packaging geometry, materials, site, production design or operational sensor suite</x:v>
      </x:c>
      <x:c r="D24" s="3" t="str"/>
      <x:c r="E24" s="3" t="str"/>
      <x:c r="F24" s="3" t="str"/>
      <x:c r="G24" s="3" t="str"/>
      <x:c r="H24" s="3" t="str"/>
      <x:c r="I24" s="3" t="str"/>
      <x:c r="J24" s="3" t="str"/>
      <x:c r="K24" s="3" t="str"/>
      <x:c r="L24" s="3" t="str"/>
      <x:c r="M24" s="3" t="str"/>
    </x:row>
    <x:row r="25" ht="35" customHeight="1">
      <x:c r="B25" s="3" t="str">
        <x:v>Rendering</x:v>
      </x:c>
      <x:c r="C25" s="3" t="str">
        <x:v>BLOCKED until representative P08 evidence closes the internal envelopes</x:v>
      </x:c>
      <x:c r="D25" s="3" t="str"/>
      <x:c r="E25" s="3" t="str"/>
      <x:c r="F25" s="3" t="str"/>
      <x:c r="G25" s="3" t="str"/>
      <x:c r="H25" s="3" t="str"/>
      <x:c r="I25" s="3" t="str"/>
      <x:c r="J25" s="3" t="str"/>
      <x:c r="K25" s="3" t="str"/>
      <x:c r="L25" s="3" t="str"/>
      <x:c r="M25" s="3" t="str"/>
    </x:row>
    <x:row r="26" ht="18" customHeight="1"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</x:row>
    <x:row r="27" ht="18" customHeight="1"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</x:row>
    <x:row r="28" ht="18" customHeight="1"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</x:row>
    <x:row r="29" ht="18" customHeight="1"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</x:row>
  </x:sheetData>
  <x:mergeCells>
    <x:mergeCell ref="B2:H2"/>
    <x:mergeCell ref="B3:M3"/>
    <x:mergeCell ref="B19:M19"/>
  </x:mergeCells>
  <x:conditionalFormatting sqref="F7:F16">
    <x:cfRule type="containsText" dxfId="130" priority="1" operator="containsText" text="FAIL"/>
    <x:cfRule type="containsText" dxfId="131" priority="2" operator="containsText" text="PASS"/>
    <x:cfRule type="containsText" dxfId="132" priority="3" operator="containsText" text="OPEN"/>
    <x:cfRule type="containsText" dxfId="133" priority="4" operator="containsText" text="HOLD"/>
    <x:cfRule type="containsText" dxfId="134" priority="5" operator="containsText" text="BLOCKED"/>
  </x:conditionalFormatting>
  <x:conditionalFormatting sqref="G7:G16">
    <x:cfRule type="containsText" dxfId="135" priority="6" operator="containsText" text="FAIL"/>
    <x:cfRule type="containsText" dxfId="136" priority="7" operator="containsText" text="PASS"/>
    <x:cfRule type="containsText" dxfId="137" priority="8" operator="containsText" text="OPEN"/>
    <x:cfRule type="containsText" dxfId="138" priority="9" operator="containsText" text="HOLD"/>
    <x:cfRule type="containsText" dxfId="139" priority="10" operator="containsText" text="BLOCKED"/>
  </x:conditionalFormatting>
  <x:conditionalFormatting sqref="L7:L16">
    <x:cfRule type="containsText" dxfId="140" priority="11" operator="containsText" text="FAIL"/>
    <x:cfRule type="containsText" dxfId="141" priority="12" operator="containsText" text="PASS"/>
    <x:cfRule type="containsText" dxfId="142" priority="13" operator="containsText" text="OPEN"/>
    <x:cfRule type="containsText" dxfId="143" priority="14" operator="containsText" text="HOLD"/>
    <x:cfRule type="containsText" dxfId="144" priority="15" operator="containsText" text="BLOCKED"/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3" hidden="0" customWidth="1"/>
    <x:col min="3" max="3" width="22" hidden="0" customWidth="1"/>
    <x:col min="4" max="4" width="55" hidden="0" customWidth="1"/>
    <x:col min="5" max="5" width="18" hidden="0" customWidth="1"/>
    <x:col min="6" max="6" width="18" hidden="0" customWidth="1"/>
    <x:col min="7" max="7" width="12" hidden="0" customWidth="1"/>
  </x:cols>
  <x:sheetData>
    <x:row r="2" ht="18" customHeight="1">
      <x:c r="B2" s="4" t="str">
        <x:v>Deterministic audit</x:v>
      </x:c>
      <x:c r="C2" s="3"/>
      <x:c r="D2" s="3"/>
      <x:c r="E2" s="3"/>
      <x:c r="F2" s="3"/>
      <x:c r="G2" s="3"/>
    </x:row>
    <x:row r="3" ht="18" customHeight="1">
      <x:c r="B3" s="5" t="str">
        <x:v>Three hundred forty-two terminal controls test calculations and deliberate OPEN states; no output depends on this sheet</x:v>
      </x:c>
      <x:c r="C3" s="3"/>
      <x:c r="D3" s="3"/>
      <x:c r="E3" s="3"/>
      <x:c r="F3" s="3"/>
      <x:c r="G3" s="3"/>
    </x:row>
    <x:row r="4" ht="18" customHeight="1">
      <x:c r="B4" s="6"/>
      <x:c r="C4" s="6"/>
      <x:c r="D4" s="6"/>
      <x:c r="E4" s="6"/>
      <x:c r="F4" s="6"/>
      <x:c r="G4" s="6"/>
    </x:row>
    <x:row r="5" ht="18" customHeight="1">
      <x:c r="B5" s="3"/>
      <x:c r="C5" s="3"/>
      <x:c r="D5" s="3"/>
      <x:c r="E5" s="3"/>
      <x:c r="F5" s="3"/>
      <x:c r="G5" s="3"/>
    </x:row>
    <x:row r="6" ht="18" customHeight="1">
      <x:c r="B6" s="23" t="str">
        <x:v>Control</x:v>
      </x:c>
      <x:c r="C6" s="24" t="str">
        <x:v>Class</x:v>
      </x:c>
      <x:c r="D6" s="24" t="str">
        <x:v>Test</x:v>
      </x:c>
      <x:c r="E6" s="24" t="str">
        <x:v>Observed</x:v>
      </x:c>
      <x:c r="F6" s="24" t="str">
        <x:v>Required</x:v>
      </x:c>
      <x:c r="G6" s="24" t="str">
        <x:v>Result</x:v>
      </x:c>
    </x:row>
    <x:row r="7" ht="18" customHeight="1">
      <x:c r="B7" s="25" t="str">
        <x:v>A001</x:v>
      </x:c>
      <x:c r="C7" s="25" t="str">
        <x:v>component mass</x:v>
      </x:c>
      <x:c r="D7" s="25" t="str">
        <x:v>Air Tile Kit row 7 has positive mass</x:v>
      </x:c>
      <x:c r="E7" s="25" t="n">
        <x:f>'Air Tile Kit'!C7</x:f>
        <x:v>9</x:v>
      </x:c>
      <x:c r="F7" s="25" t="n">
        <x:v>0</x:v>
      </x:c>
      <x:c r="G7" s="27" t="str">
        <x:f>IF(E7&gt;F7,"PASS","FAIL")</x:f>
        <x:v>PASS</x:v>
      </x:c>
    </x:row>
    <x:row r="8" ht="18" customHeight="1">
      <x:c r="B8" s="25" t="str">
        <x:v>A002</x:v>
      </x:c>
      <x:c r="C8" s="25" t="str">
        <x:v>component volume</x:v>
      </x:c>
      <x:c r="D8" s="25" t="str">
        <x:v>Air Tile Kit row 7 has positive volume</x:v>
      </x:c>
      <x:c r="E8" s="25" t="n">
        <x:f>'Air Tile Kit'!D7</x:f>
        <x:v>0.026</x:v>
      </x:c>
      <x:c r="F8" s="25" t="n">
        <x:v>0</x:v>
      </x:c>
      <x:c r="G8" s="27" t="str">
        <x:f>IF(E8&gt;F8,"PASS","FAIL")</x:f>
        <x:v>PASS</x:v>
      </x:c>
    </x:row>
    <x:row r="9" ht="18" customHeight="1">
      <x:c r="B9" s="25" t="str">
        <x:v>A003</x:v>
      </x:c>
      <x:c r="C9" s="25" t="str">
        <x:v>component state</x:v>
      </x:c>
      <x:c r="D9" s="25" t="str">
        <x:v>Air Tile Kit row 7 remains OPEN</x:v>
      </x:c>
      <x:c r="E9" s="25" t="n">
        <x:f>IF('Air Tile Kit'!I7="OPEN",1,0)</x:f>
        <x:v>1</x:v>
      </x:c>
      <x:c r="F9" s="25" t="n">
        <x:v>1</x:v>
      </x:c>
      <x:c r="G9" s="27" t="str">
        <x:f>IF(E9=F9,"PASS","FAIL")</x:f>
        <x:v>PASS</x:v>
      </x:c>
    </x:row>
    <x:row r="10" ht="18" customHeight="1">
      <x:c r="B10" s="25" t="str">
        <x:v>A004</x:v>
      </x:c>
      <x:c r="C10" s="25" t="str">
        <x:v>component mass</x:v>
      </x:c>
      <x:c r="D10" s="25" t="str">
        <x:v>Air Tile Kit row 8 has positive mass</x:v>
      </x:c>
      <x:c r="E10" s="25" t="n">
        <x:f>'Air Tile Kit'!C8</x:f>
        <x:v>7</x:v>
      </x:c>
      <x:c r="F10" s="25" t="n">
        <x:v>0</x:v>
      </x:c>
      <x:c r="G10" s="27" t="str">
        <x:f>IF(E10&gt;F10,"PASS","FAIL")</x:f>
        <x:v>PASS</x:v>
      </x:c>
    </x:row>
    <x:row r="11" ht="18" customHeight="1">
      <x:c r="B11" s="25" t="str">
        <x:v>A005</x:v>
      </x:c>
      <x:c r="C11" s="25" t="str">
        <x:v>component volume</x:v>
      </x:c>
      <x:c r="D11" s="25" t="str">
        <x:v>Air Tile Kit row 8 has positive volume</x:v>
      </x:c>
      <x:c r="E11" s="25" t="n">
        <x:f>'Air Tile Kit'!D8</x:f>
        <x:v>0.012</x:v>
      </x:c>
      <x:c r="F11" s="25" t="n">
        <x:v>0</x:v>
      </x:c>
      <x:c r="G11" s="27" t="str">
        <x:f>IF(E11&gt;F11,"PASS","FAIL")</x:f>
        <x:v>PASS</x:v>
      </x:c>
    </x:row>
    <x:row r="12" ht="18" customHeight="1">
      <x:c r="B12" s="25" t="str">
        <x:v>A006</x:v>
      </x:c>
      <x:c r="C12" s="25" t="str">
        <x:v>component state</x:v>
      </x:c>
      <x:c r="D12" s="25" t="str">
        <x:v>Air Tile Kit row 8 remains OPEN</x:v>
      </x:c>
      <x:c r="E12" s="25" t="n">
        <x:f>IF('Air Tile Kit'!I8="OPEN",1,0)</x:f>
        <x:v>1</x:v>
      </x:c>
      <x:c r="F12" s="25" t="n">
        <x:v>1</x:v>
      </x:c>
      <x:c r="G12" s="27" t="str">
        <x:f>IF(E12=F12,"PASS","FAIL")</x:f>
        <x:v>PASS</x:v>
      </x:c>
    </x:row>
    <x:row r="13" ht="18" customHeight="1">
      <x:c r="B13" s="25" t="str">
        <x:v>A007</x:v>
      </x:c>
      <x:c r="C13" s="25" t="str">
        <x:v>component mass</x:v>
      </x:c>
      <x:c r="D13" s="25" t="str">
        <x:v>Air Tile Kit row 9 has positive mass</x:v>
      </x:c>
      <x:c r="E13" s="25" t="n">
        <x:f>'Air Tile Kit'!C9</x:f>
        <x:v>4</x:v>
      </x:c>
      <x:c r="F13" s="25" t="n">
        <x:v>0</x:v>
      </x:c>
      <x:c r="G13" s="27" t="str">
        <x:f>IF(E13&gt;F13,"PASS","FAIL")</x:f>
        <x:v>PASS</x:v>
      </x:c>
    </x:row>
    <x:row r="14" ht="18" customHeight="1">
      <x:c r="B14" s="25" t="str">
        <x:v>A008</x:v>
      </x:c>
      <x:c r="C14" s="25" t="str">
        <x:v>component volume</x:v>
      </x:c>
      <x:c r="D14" s="25" t="str">
        <x:v>Air Tile Kit row 9 has positive volume</x:v>
      </x:c>
      <x:c r="E14" s="25" t="n">
        <x:f>'Air Tile Kit'!D9</x:f>
        <x:v>0.008</x:v>
      </x:c>
      <x:c r="F14" s="25" t="n">
        <x:v>0</x:v>
      </x:c>
      <x:c r="G14" s="27" t="str">
        <x:f>IF(E14&gt;F14,"PASS","FAIL")</x:f>
        <x:v>PASS</x:v>
      </x:c>
    </x:row>
    <x:row r="15" ht="18" customHeight="1">
      <x:c r="B15" s="25" t="str">
        <x:v>A009</x:v>
      </x:c>
      <x:c r="C15" s="25" t="str">
        <x:v>component state</x:v>
      </x:c>
      <x:c r="D15" s="25" t="str">
        <x:v>Air Tile Kit row 9 remains OPEN</x:v>
      </x:c>
      <x:c r="E15" s="25" t="n">
        <x:f>IF('Air Tile Kit'!I9="OPEN",1,0)</x:f>
        <x:v>1</x:v>
      </x:c>
      <x:c r="F15" s="25" t="n">
        <x:v>1</x:v>
      </x:c>
      <x:c r="G15" s="27" t="str">
        <x:f>IF(E15=F15,"PASS","FAIL")</x:f>
        <x:v>PASS</x:v>
      </x:c>
    </x:row>
    <x:row r="16" ht="18" customHeight="1">
      <x:c r="B16" s="25" t="str">
        <x:v>A010</x:v>
      </x:c>
      <x:c r="C16" s="25" t="str">
        <x:v>component mass</x:v>
      </x:c>
      <x:c r="D16" s="25" t="str">
        <x:v>Air Tile Kit row 10 has positive mass</x:v>
      </x:c>
      <x:c r="E16" s="25" t="n">
        <x:f>'Air Tile Kit'!C10</x:f>
        <x:v>5</x:v>
      </x:c>
      <x:c r="F16" s="25" t="n">
        <x:v>0</x:v>
      </x:c>
      <x:c r="G16" s="27" t="str">
        <x:f>IF(E16&gt;F16,"PASS","FAIL")</x:f>
        <x:v>PASS</x:v>
      </x:c>
    </x:row>
    <x:row r="17" ht="18" customHeight="1">
      <x:c r="B17" s="25" t="str">
        <x:v>A011</x:v>
      </x:c>
      <x:c r="C17" s="25" t="str">
        <x:v>component volume</x:v>
      </x:c>
      <x:c r="D17" s="25" t="str">
        <x:v>Air Tile Kit row 10 has positive volume</x:v>
      </x:c>
      <x:c r="E17" s="25" t="n">
        <x:f>'Air Tile Kit'!D10</x:f>
        <x:v>0.01</x:v>
      </x:c>
      <x:c r="F17" s="25" t="n">
        <x:v>0</x:v>
      </x:c>
      <x:c r="G17" s="27" t="str">
        <x:f>IF(E17&gt;F17,"PASS","FAIL")</x:f>
        <x:v>PASS</x:v>
      </x:c>
    </x:row>
    <x:row r="18" ht="18" customHeight="1">
      <x:c r="B18" s="25" t="str">
        <x:v>A012</x:v>
      </x:c>
      <x:c r="C18" s="25" t="str">
        <x:v>component state</x:v>
      </x:c>
      <x:c r="D18" s="25" t="str">
        <x:v>Air Tile Kit row 10 remains OPEN</x:v>
      </x:c>
      <x:c r="E18" s="25" t="n">
        <x:f>IF('Air Tile Kit'!I10="OPEN",1,0)</x:f>
        <x:v>1</x:v>
      </x:c>
      <x:c r="F18" s="25" t="n">
        <x:v>1</x:v>
      </x:c>
      <x:c r="G18" s="27" t="str">
        <x:f>IF(E18=F18,"PASS","FAIL")</x:f>
        <x:v>PASS</x:v>
      </x:c>
    </x:row>
    <x:row r="19" ht="18" customHeight="1">
      <x:c r="B19" s="25" t="str">
        <x:v>A013</x:v>
      </x:c>
      <x:c r="C19" s="25" t="str">
        <x:v>component mass</x:v>
      </x:c>
      <x:c r="D19" s="25" t="str">
        <x:v>Air Tile Kit row 11 has positive mass</x:v>
      </x:c>
      <x:c r="E19" s="25" t="n">
        <x:f>'Air Tile Kit'!C11</x:f>
        <x:v>8</x:v>
      </x:c>
      <x:c r="F19" s="25" t="n">
        <x:v>0</x:v>
      </x:c>
      <x:c r="G19" s="27" t="str">
        <x:f>IF(E19&gt;F19,"PASS","FAIL")</x:f>
        <x:v>PASS</x:v>
      </x:c>
    </x:row>
    <x:row r="20" ht="18" customHeight="1">
      <x:c r="B20" s="25" t="str">
        <x:v>A014</x:v>
      </x:c>
      <x:c r="C20" s="25" t="str">
        <x:v>component volume</x:v>
      </x:c>
      <x:c r="D20" s="25" t="str">
        <x:v>Air Tile Kit row 11 has positive volume</x:v>
      </x:c>
      <x:c r="E20" s="25" t="n">
        <x:f>'Air Tile Kit'!D11</x:f>
        <x:v>0.016</x:v>
      </x:c>
      <x:c r="F20" s="25" t="n">
        <x:v>0</x:v>
      </x:c>
      <x:c r="G20" s="27" t="str">
        <x:f>IF(E20&gt;F20,"PASS","FAIL")</x:f>
        <x:v>PASS</x:v>
      </x:c>
    </x:row>
    <x:row r="21" ht="18" customHeight="1">
      <x:c r="B21" s="25" t="str">
        <x:v>A015</x:v>
      </x:c>
      <x:c r="C21" s="25" t="str">
        <x:v>component state</x:v>
      </x:c>
      <x:c r="D21" s="25" t="str">
        <x:v>Air Tile Kit row 11 remains OPEN</x:v>
      </x:c>
      <x:c r="E21" s="25" t="n">
        <x:f>IF('Air Tile Kit'!I11="OPEN",1,0)</x:f>
        <x:v>1</x:v>
      </x:c>
      <x:c r="F21" s="25" t="n">
        <x:v>1</x:v>
      </x:c>
      <x:c r="G21" s="27" t="str">
        <x:f>IF(E21=F21,"PASS","FAIL")</x:f>
        <x:v>PASS</x:v>
      </x:c>
    </x:row>
    <x:row r="22" ht="18" customHeight="1">
      <x:c r="B22" s="25" t="str">
        <x:v>A016</x:v>
      </x:c>
      <x:c r="C22" s="25" t="str">
        <x:v>component mass</x:v>
      </x:c>
      <x:c r="D22" s="25" t="str">
        <x:v>Air Tile Kit row 12 has positive mass</x:v>
      </x:c>
      <x:c r="E22" s="25" t="n">
        <x:f>'Air Tile Kit'!C12</x:f>
        <x:v>5</x:v>
      </x:c>
      <x:c r="F22" s="25" t="n">
        <x:v>0</x:v>
      </x:c>
      <x:c r="G22" s="27" t="str">
        <x:f>IF(E22&gt;F22,"PASS","FAIL")</x:f>
        <x:v>PASS</x:v>
      </x:c>
    </x:row>
    <x:row r="23" ht="18" customHeight="1">
      <x:c r="B23" s="25" t="str">
        <x:v>A017</x:v>
      </x:c>
      <x:c r="C23" s="25" t="str">
        <x:v>component volume</x:v>
      </x:c>
      <x:c r="D23" s="25" t="str">
        <x:v>Air Tile Kit row 12 has positive volume</x:v>
      </x:c>
      <x:c r="E23" s="25" t="n">
        <x:f>'Air Tile Kit'!D12</x:f>
        <x:v>0.01</x:v>
      </x:c>
      <x:c r="F23" s="25" t="n">
        <x:v>0</x:v>
      </x:c>
      <x:c r="G23" s="27" t="str">
        <x:f>IF(E23&gt;F23,"PASS","FAIL")</x:f>
        <x:v>PASS</x:v>
      </x:c>
    </x:row>
    <x:row r="24" ht="18" customHeight="1">
      <x:c r="B24" s="25" t="str">
        <x:v>A018</x:v>
      </x:c>
      <x:c r="C24" s="25" t="str">
        <x:v>component state</x:v>
      </x:c>
      <x:c r="D24" s="25" t="str">
        <x:v>Air Tile Kit row 12 remains OPEN</x:v>
      </x:c>
      <x:c r="E24" s="25" t="n">
        <x:f>IF('Air Tile Kit'!I12="OPEN",1,0)</x:f>
        <x:v>1</x:v>
      </x:c>
      <x:c r="F24" s="25" t="n">
        <x:v>1</x:v>
      </x:c>
      <x:c r="G24" s="27" t="str">
        <x:f>IF(E24=F24,"PASS","FAIL")</x:f>
        <x:v>PASS</x:v>
      </x:c>
    </x:row>
    <x:row r="25" ht="18" customHeight="1">
      <x:c r="B25" s="25" t="str">
        <x:v>A019</x:v>
      </x:c>
      <x:c r="C25" s="25" t="str">
        <x:v>component mass</x:v>
      </x:c>
      <x:c r="D25" s="25" t="str">
        <x:v>Air Tile Kit row 13 has positive mass</x:v>
      </x:c>
      <x:c r="E25" s="25" t="n">
        <x:f>'Air Tile Kit'!C13</x:f>
        <x:v>4</x:v>
      </x:c>
      <x:c r="F25" s="25" t="n">
        <x:v>0</x:v>
      </x:c>
      <x:c r="G25" s="27" t="str">
        <x:f>IF(E25&gt;F25,"PASS","FAIL")</x:f>
        <x:v>PASS</x:v>
      </x:c>
    </x:row>
    <x:row r="26" ht="18" customHeight="1">
      <x:c r="B26" s="25" t="str">
        <x:v>A020</x:v>
      </x:c>
      <x:c r="C26" s="25" t="str">
        <x:v>component volume</x:v>
      </x:c>
      <x:c r="D26" s="25" t="str">
        <x:v>Air Tile Kit row 13 has positive volume</x:v>
      </x:c>
      <x:c r="E26" s="25" t="n">
        <x:f>'Air Tile Kit'!D13</x:f>
        <x:v>0.004</x:v>
      </x:c>
      <x:c r="F26" s="25" t="n">
        <x:v>0</x:v>
      </x:c>
      <x:c r="G26" s="27" t="str">
        <x:f>IF(E26&gt;F26,"PASS","FAIL")</x:f>
        <x:v>PASS</x:v>
      </x:c>
    </x:row>
    <x:row r="27" ht="18" customHeight="1">
      <x:c r="B27" s="25" t="str">
        <x:v>A021</x:v>
      </x:c>
      <x:c r="C27" s="25" t="str">
        <x:v>component state</x:v>
      </x:c>
      <x:c r="D27" s="25" t="str">
        <x:v>Air Tile Kit row 13 remains OPEN</x:v>
      </x:c>
      <x:c r="E27" s="25" t="n">
        <x:f>IF('Air Tile Kit'!I13="OPEN",1,0)</x:f>
        <x:v>1</x:v>
      </x:c>
      <x:c r="F27" s="25" t="n">
        <x:v>1</x:v>
      </x:c>
      <x:c r="G27" s="27" t="str">
        <x:f>IF(E27=F27,"PASS","FAIL")</x:f>
        <x:v>PASS</x:v>
      </x:c>
    </x:row>
    <x:row r="28" ht="18" customHeight="1">
      <x:c r="B28" s="25" t="str">
        <x:v>A022</x:v>
      </x:c>
      <x:c r="C28" s="25" t="str">
        <x:v>component mass</x:v>
      </x:c>
      <x:c r="D28" s="25" t="str">
        <x:v>Air Tile Kit row 14 has positive mass</x:v>
      </x:c>
      <x:c r="E28" s="25" t="n">
        <x:f>'Air Tile Kit'!C14</x:f>
        <x:v>3</x:v>
      </x:c>
      <x:c r="F28" s="25" t="n">
        <x:v>0</x:v>
      </x:c>
      <x:c r="G28" s="27" t="str">
        <x:f>IF(E28&gt;F28,"PASS","FAIL")</x:f>
        <x:v>PASS</x:v>
      </x:c>
    </x:row>
    <x:row r="29" ht="18" customHeight="1">
      <x:c r="B29" s="25" t="str">
        <x:v>A023</x:v>
      </x:c>
      <x:c r="C29" s="25" t="str">
        <x:v>component volume</x:v>
      </x:c>
      <x:c r="D29" s="25" t="str">
        <x:v>Air Tile Kit row 14 has positive volume</x:v>
      </x:c>
      <x:c r="E29" s="25" t="n">
        <x:f>'Air Tile Kit'!D14</x:f>
        <x:v>0.003</x:v>
      </x:c>
      <x:c r="F29" s="25" t="n">
        <x:v>0</x:v>
      </x:c>
      <x:c r="G29" s="27" t="str">
        <x:f>IF(E29&gt;F29,"PASS","FAIL")</x:f>
        <x:v>PASS</x:v>
      </x:c>
    </x:row>
    <x:row r="30" ht="18" customHeight="1">
      <x:c r="B30" s="25" t="str">
        <x:v>A024</x:v>
      </x:c>
      <x:c r="C30" s="25" t="str">
        <x:v>component state</x:v>
      </x:c>
      <x:c r="D30" s="25" t="str">
        <x:v>Air Tile Kit row 14 remains OPEN</x:v>
      </x:c>
      <x:c r="E30" s="25" t="n">
        <x:f>IF('Air Tile Kit'!I14="OPEN",1,0)</x:f>
        <x:v>1</x:v>
      </x:c>
      <x:c r="F30" s="25" t="n">
        <x:v>1</x:v>
      </x:c>
      <x:c r="G30" s="27" t="str">
        <x:f>IF(E30=F30,"PASS","FAIL")</x:f>
        <x:v>PASS</x:v>
      </x:c>
    </x:row>
    <x:row r="31" ht="18" customHeight="1">
      <x:c r="B31" s="25" t="str">
        <x:v>A025</x:v>
      </x:c>
      <x:c r="C31" s="25" t="str">
        <x:v>component mass</x:v>
      </x:c>
      <x:c r="D31" s="25" t="str">
        <x:v>Air Tile Kit row 15 has positive mass</x:v>
      </x:c>
      <x:c r="E31" s="25" t="n">
        <x:f>'Air Tile Kit'!C15</x:f>
        <x:v>52.5</x:v>
      </x:c>
      <x:c r="F31" s="25" t="n">
        <x:v>0</x:v>
      </x:c>
      <x:c r="G31" s="27" t="str">
        <x:f>IF(E31&gt;F31,"PASS","FAIL")</x:f>
        <x:v>PASS</x:v>
      </x:c>
    </x:row>
    <x:row r="32" ht="18" customHeight="1">
      <x:c r="B32" s="25" t="str">
        <x:v>A026</x:v>
      </x:c>
      <x:c r="C32" s="25" t="str">
        <x:v>component volume</x:v>
      </x:c>
      <x:c r="D32" s="25" t="str">
        <x:v>Air Tile Kit row 15 has positive volume</x:v>
      </x:c>
      <x:c r="E32" s="25" t="n">
        <x:f>'Air Tile Kit'!D15</x:f>
        <x:v>0.095</x:v>
      </x:c>
      <x:c r="F32" s="25" t="n">
        <x:v>0</x:v>
      </x:c>
      <x:c r="G32" s="27" t="str">
        <x:f>IF(E32&gt;F32,"PASS","FAIL")</x:f>
        <x:v>PASS</x:v>
      </x:c>
    </x:row>
    <x:row r="33" ht="18" customHeight="1">
      <x:c r="B33" s="25" t="str">
        <x:v>A027</x:v>
      </x:c>
      <x:c r="C33" s="25" t="str">
        <x:v>component state</x:v>
      </x:c>
      <x:c r="D33" s="25" t="str">
        <x:v>Air Tile Kit row 15 remains OPEN</x:v>
      </x:c>
      <x:c r="E33" s="25" t="n">
        <x:f>IF('Air Tile Kit'!I15="OPEN",1,0)</x:f>
        <x:v>1</x:v>
      </x:c>
      <x:c r="F33" s="25" t="n">
        <x:v>1</x:v>
      </x:c>
      <x:c r="G33" s="27" t="str">
        <x:f>IF(E33=F33,"PASS","FAIL")</x:f>
        <x:v>PASS</x:v>
      </x:c>
    </x:row>
    <x:row r="34" ht="18" customHeight="1">
      <x:c r="B34" s="25" t="str">
        <x:v>A028</x:v>
      </x:c>
      <x:c r="C34" s="25" t="str">
        <x:v>component mass</x:v>
      </x:c>
      <x:c r="D34" s="25" t="str">
        <x:v>Air Tile Kit row 16 has positive mass</x:v>
      </x:c>
      <x:c r="E34" s="25" t="n">
        <x:f>'Air Tile Kit'!C16</x:f>
        <x:v>12.5</x:v>
      </x:c>
      <x:c r="F34" s="25" t="n">
        <x:v>0</x:v>
      </x:c>
      <x:c r="G34" s="27" t="str">
        <x:f>IF(E34&gt;F34,"PASS","FAIL")</x:f>
        <x:v>PASS</x:v>
      </x:c>
    </x:row>
    <x:row r="35" ht="18" customHeight="1">
      <x:c r="B35" s="25" t="str">
        <x:v>A029</x:v>
      </x:c>
      <x:c r="C35" s="25" t="str">
        <x:v>component volume</x:v>
      </x:c>
      <x:c r="D35" s="25" t="str">
        <x:v>Air Tile Kit row 16 has positive volume</x:v>
      </x:c>
      <x:c r="E35" s="25" t="n">
        <x:f>'Air Tile Kit'!D16</x:f>
        <x:v>0.036</x:v>
      </x:c>
      <x:c r="F35" s="25" t="n">
        <x:v>0</x:v>
      </x:c>
      <x:c r="G35" s="27" t="str">
        <x:f>IF(E35&gt;F35,"PASS","FAIL")</x:f>
        <x:v>PASS</x:v>
      </x:c>
    </x:row>
    <x:row r="36" ht="18" customHeight="1">
      <x:c r="B36" s="25" t="str">
        <x:v>A030</x:v>
      </x:c>
      <x:c r="C36" s="25" t="str">
        <x:v>component state</x:v>
      </x:c>
      <x:c r="D36" s="25" t="str">
        <x:v>Air Tile Kit row 16 remains OPEN</x:v>
      </x:c>
      <x:c r="E36" s="25" t="n">
        <x:f>IF('Air Tile Kit'!I16="OPEN",1,0)</x:f>
        <x:v>1</x:v>
      </x:c>
      <x:c r="F36" s="25" t="n">
        <x:v>1</x:v>
      </x:c>
      <x:c r="G36" s="27" t="str">
        <x:f>IF(E36=F36,"PASS","FAIL")</x:f>
        <x:v>PASS</x:v>
      </x:c>
    </x:row>
    <x:row r="37" ht="18" customHeight="1">
      <x:c r="B37" s="25" t="str">
        <x:v>A031</x:v>
      </x:c>
      <x:c r="C37" s="25" t="str">
        <x:v>component mass</x:v>
      </x:c>
      <x:c r="D37" s="25" t="str">
        <x:v>Terrain Tile Kit row 7 has positive mass</x:v>
      </x:c>
      <x:c r="E37" s="25" t="n">
        <x:f>'Terrain Tile Kit'!C7</x:f>
        <x:v>12</x:v>
      </x:c>
      <x:c r="F37" s="25" t="n">
        <x:v>0</x:v>
      </x:c>
      <x:c r="G37" s="27" t="str">
        <x:f>IF(E37&gt;F37,"PASS","FAIL")</x:f>
        <x:v>PASS</x:v>
      </x:c>
    </x:row>
    <x:row r="38" ht="18" customHeight="1">
      <x:c r="B38" s="25" t="str">
        <x:v>A032</x:v>
      </x:c>
      <x:c r="C38" s="25" t="str">
        <x:v>component volume</x:v>
      </x:c>
      <x:c r="D38" s="25" t="str">
        <x:v>Terrain Tile Kit row 7 has positive volume</x:v>
      </x:c>
      <x:c r="E38" s="25" t="n">
        <x:f>'Terrain Tile Kit'!D7</x:f>
        <x:v>0.033</x:v>
      </x:c>
      <x:c r="F38" s="25" t="n">
        <x:v>0</x:v>
      </x:c>
      <x:c r="G38" s="27" t="str">
        <x:f>IF(E38&gt;F38,"PASS","FAIL")</x:f>
        <x:v>PASS</x:v>
      </x:c>
    </x:row>
    <x:row r="39" ht="18" customHeight="1">
      <x:c r="B39" s="25" t="str">
        <x:v>A033</x:v>
      </x:c>
      <x:c r="C39" s="25" t="str">
        <x:v>component state</x:v>
      </x:c>
      <x:c r="D39" s="25" t="str">
        <x:v>Terrain Tile Kit row 7 remains OPEN</x:v>
      </x:c>
      <x:c r="E39" s="25" t="n">
        <x:f>IF('Terrain Tile Kit'!I7="OPEN",1,0)</x:f>
        <x:v>1</x:v>
      </x:c>
      <x:c r="F39" s="25" t="n">
        <x:v>1</x:v>
      </x:c>
      <x:c r="G39" s="27" t="str">
        <x:f>IF(E39=F39,"PASS","FAIL")</x:f>
        <x:v>PASS</x:v>
      </x:c>
    </x:row>
    <x:row r="40" ht="18" customHeight="1">
      <x:c r="B40" s="25" t="str">
        <x:v>A034</x:v>
      </x:c>
      <x:c r="C40" s="25" t="str">
        <x:v>component mass</x:v>
      </x:c>
      <x:c r="D40" s="25" t="str">
        <x:v>Terrain Tile Kit row 8 has positive mass</x:v>
      </x:c>
      <x:c r="E40" s="25" t="n">
        <x:f>'Terrain Tile Kit'!C8</x:f>
        <x:v>8</x:v>
      </x:c>
      <x:c r="F40" s="25" t="n">
        <x:v>0</x:v>
      </x:c>
      <x:c r="G40" s="27" t="str">
        <x:f>IF(E40&gt;F40,"PASS","FAIL")</x:f>
        <x:v>PASS</x:v>
      </x:c>
    </x:row>
    <x:row r="41" ht="18" customHeight="1">
      <x:c r="B41" s="25" t="str">
        <x:v>A035</x:v>
      </x:c>
      <x:c r="C41" s="25" t="str">
        <x:v>component volume</x:v>
      </x:c>
      <x:c r="D41" s="25" t="str">
        <x:v>Terrain Tile Kit row 8 has positive volume</x:v>
      </x:c>
      <x:c r="E41" s="25" t="n">
        <x:f>'Terrain Tile Kit'!D8</x:f>
        <x:v>0.014</x:v>
      </x:c>
      <x:c r="F41" s="25" t="n">
        <x:v>0</x:v>
      </x:c>
      <x:c r="G41" s="27" t="str">
        <x:f>IF(E41&gt;F41,"PASS","FAIL")</x:f>
        <x:v>PASS</x:v>
      </x:c>
    </x:row>
    <x:row r="42" ht="18" customHeight="1">
      <x:c r="B42" s="25" t="str">
        <x:v>A036</x:v>
      </x:c>
      <x:c r="C42" s="25" t="str">
        <x:v>component state</x:v>
      </x:c>
      <x:c r="D42" s="25" t="str">
        <x:v>Terrain Tile Kit row 8 remains OPEN</x:v>
      </x:c>
      <x:c r="E42" s="25" t="n">
        <x:f>IF('Terrain Tile Kit'!I8="OPEN",1,0)</x:f>
        <x:v>1</x:v>
      </x:c>
      <x:c r="F42" s="25" t="n">
        <x:v>1</x:v>
      </x:c>
      <x:c r="G42" s="27" t="str">
        <x:f>IF(E42=F42,"PASS","FAIL")</x:f>
        <x:v>PASS</x:v>
      </x:c>
    </x:row>
    <x:row r="43" ht="18" customHeight="1">
      <x:c r="B43" s="25" t="str">
        <x:v>A037</x:v>
      </x:c>
      <x:c r="C43" s="25" t="str">
        <x:v>component mass</x:v>
      </x:c>
      <x:c r="D43" s="25" t="str">
        <x:v>Terrain Tile Kit row 9 has positive mass</x:v>
      </x:c>
      <x:c r="E43" s="25" t="n">
        <x:f>'Terrain Tile Kit'!C9</x:f>
        <x:v>5</x:v>
      </x:c>
      <x:c r="F43" s="25" t="n">
        <x:v>0</x:v>
      </x:c>
      <x:c r="G43" s="27" t="str">
        <x:f>IF(E43&gt;F43,"PASS","FAIL")</x:f>
        <x:v>PASS</x:v>
      </x:c>
    </x:row>
    <x:row r="44" ht="18" customHeight="1">
      <x:c r="B44" s="25" t="str">
        <x:v>A038</x:v>
      </x:c>
      <x:c r="C44" s="25" t="str">
        <x:v>component volume</x:v>
      </x:c>
      <x:c r="D44" s="25" t="str">
        <x:v>Terrain Tile Kit row 9 has positive volume</x:v>
      </x:c>
      <x:c r="E44" s="25" t="n">
        <x:f>'Terrain Tile Kit'!D9</x:f>
        <x:v>0.009</x:v>
      </x:c>
      <x:c r="F44" s="25" t="n">
        <x:v>0</x:v>
      </x:c>
      <x:c r="G44" s="27" t="str">
        <x:f>IF(E44&gt;F44,"PASS","FAIL")</x:f>
        <x:v>PASS</x:v>
      </x:c>
    </x:row>
    <x:row r="45" ht="18" customHeight="1">
      <x:c r="B45" s="25" t="str">
        <x:v>A039</x:v>
      </x:c>
      <x:c r="C45" s="25" t="str">
        <x:v>component state</x:v>
      </x:c>
      <x:c r="D45" s="25" t="str">
        <x:v>Terrain Tile Kit row 9 remains OPEN</x:v>
      </x:c>
      <x:c r="E45" s="25" t="n">
        <x:f>IF('Terrain Tile Kit'!I9="OPEN",1,0)</x:f>
        <x:v>1</x:v>
      </x:c>
      <x:c r="F45" s="25" t="n">
        <x:v>1</x:v>
      </x:c>
      <x:c r="G45" s="27" t="str">
        <x:f>IF(E45=F45,"PASS","FAIL")</x:f>
        <x:v>PASS</x:v>
      </x:c>
    </x:row>
    <x:row r="46" ht="18" customHeight="1">
      <x:c r="B46" s="25" t="str">
        <x:v>A040</x:v>
      </x:c>
      <x:c r="C46" s="25" t="str">
        <x:v>component mass</x:v>
      </x:c>
      <x:c r="D46" s="25" t="str">
        <x:v>Terrain Tile Kit row 10 has positive mass</x:v>
      </x:c>
      <x:c r="E46" s="25" t="n">
        <x:f>'Terrain Tile Kit'!C10</x:f>
        <x:v>6</x:v>
      </x:c>
      <x:c r="F46" s="25" t="n">
        <x:v>0</x:v>
      </x:c>
      <x:c r="G46" s="27" t="str">
        <x:f>IF(E46&gt;F46,"PASS","FAIL")</x:f>
        <x:v>PASS</x:v>
      </x:c>
    </x:row>
    <x:row r="47" ht="18" customHeight="1">
      <x:c r="B47" s="25" t="str">
        <x:v>A041</x:v>
      </x:c>
      <x:c r="C47" s="25" t="str">
        <x:v>component volume</x:v>
      </x:c>
      <x:c r="D47" s="25" t="str">
        <x:v>Terrain Tile Kit row 10 has positive volume</x:v>
      </x:c>
      <x:c r="E47" s="25" t="n">
        <x:f>'Terrain Tile Kit'!D10</x:f>
        <x:v>0.012</x:v>
      </x:c>
      <x:c r="F47" s="25" t="n">
        <x:v>0</x:v>
      </x:c>
      <x:c r="G47" s="27" t="str">
        <x:f>IF(E47&gt;F47,"PASS","FAIL")</x:f>
        <x:v>PASS</x:v>
      </x:c>
    </x:row>
    <x:row r="48" ht="18" customHeight="1">
      <x:c r="B48" s="25" t="str">
        <x:v>A042</x:v>
      </x:c>
      <x:c r="C48" s="25" t="str">
        <x:v>component state</x:v>
      </x:c>
      <x:c r="D48" s="25" t="str">
        <x:v>Terrain Tile Kit row 10 remains OPEN</x:v>
      </x:c>
      <x:c r="E48" s="25" t="n">
        <x:f>IF('Terrain Tile Kit'!I10="OPEN",1,0)</x:f>
        <x:v>1</x:v>
      </x:c>
      <x:c r="F48" s="25" t="n">
        <x:v>1</x:v>
      </x:c>
      <x:c r="G48" s="27" t="str">
        <x:f>IF(E48=F48,"PASS","FAIL")</x:f>
        <x:v>PASS</x:v>
      </x:c>
    </x:row>
    <x:row r="49" ht="18" customHeight="1">
      <x:c r="B49" s="25" t="str">
        <x:v>A043</x:v>
      </x:c>
      <x:c r="C49" s="25" t="str">
        <x:v>component mass</x:v>
      </x:c>
      <x:c r="D49" s="25" t="str">
        <x:v>Terrain Tile Kit row 11 has positive mass</x:v>
      </x:c>
      <x:c r="E49" s="25" t="n">
        <x:f>'Terrain Tile Kit'!C11</x:f>
        <x:v>5</x:v>
      </x:c>
      <x:c r="F49" s="25" t="n">
        <x:v>0</x:v>
      </x:c>
      <x:c r="G49" s="27" t="str">
        <x:f>IF(E49&gt;F49,"PASS","FAIL")</x:f>
        <x:v>PASS</x:v>
      </x:c>
    </x:row>
    <x:row r="50" ht="18" customHeight="1">
      <x:c r="B50" s="25" t="str">
        <x:v>A044</x:v>
      </x:c>
      <x:c r="C50" s="25" t="str">
        <x:v>component volume</x:v>
      </x:c>
      <x:c r="D50" s="25" t="str">
        <x:v>Terrain Tile Kit row 11 has positive volume</x:v>
      </x:c>
      <x:c r="E50" s="25" t="n">
        <x:f>'Terrain Tile Kit'!D11</x:f>
        <x:v>0.01</x:v>
      </x:c>
      <x:c r="F50" s="25" t="n">
        <x:v>0</x:v>
      </x:c>
      <x:c r="G50" s="27" t="str">
        <x:f>IF(E50&gt;F50,"PASS","FAIL")</x:f>
        <x:v>PASS</x:v>
      </x:c>
    </x:row>
    <x:row r="51" ht="18" customHeight="1">
      <x:c r="B51" s="25" t="str">
        <x:v>A045</x:v>
      </x:c>
      <x:c r="C51" s="25" t="str">
        <x:v>component state</x:v>
      </x:c>
      <x:c r="D51" s="25" t="str">
        <x:v>Terrain Tile Kit row 11 remains OPEN</x:v>
      </x:c>
      <x:c r="E51" s="25" t="n">
        <x:f>IF('Terrain Tile Kit'!I11="OPEN",1,0)</x:f>
        <x:v>1</x:v>
      </x:c>
      <x:c r="F51" s="25" t="n">
        <x:v>1</x:v>
      </x:c>
      <x:c r="G51" s="27" t="str">
        <x:f>IF(E51=F51,"PASS","FAIL")</x:f>
        <x:v>PASS</x:v>
      </x:c>
    </x:row>
    <x:row r="52" ht="18" customHeight="1">
      <x:c r="B52" s="25" t="str">
        <x:v>A046</x:v>
      </x:c>
      <x:c r="C52" s="25" t="str">
        <x:v>component mass</x:v>
      </x:c>
      <x:c r="D52" s="25" t="str">
        <x:v>Terrain Tile Kit row 12 has positive mass</x:v>
      </x:c>
      <x:c r="E52" s="25" t="n">
        <x:f>'Terrain Tile Kit'!C12</x:f>
        <x:v>8</x:v>
      </x:c>
      <x:c r="F52" s="25" t="n">
        <x:v>0</x:v>
      </x:c>
      <x:c r="G52" s="27" t="str">
        <x:f>IF(E52&gt;F52,"PASS","FAIL")</x:f>
        <x:v>PASS</x:v>
      </x:c>
    </x:row>
    <x:row r="53" ht="18" customHeight="1">
      <x:c r="B53" s="25" t="str">
        <x:v>A047</x:v>
      </x:c>
      <x:c r="C53" s="25" t="str">
        <x:v>component volume</x:v>
      </x:c>
      <x:c r="D53" s="25" t="str">
        <x:v>Terrain Tile Kit row 12 has positive volume</x:v>
      </x:c>
      <x:c r="E53" s="25" t="n">
        <x:f>'Terrain Tile Kit'!D12</x:f>
        <x:v>0.018</x:v>
      </x:c>
      <x:c r="F53" s="25" t="n">
        <x:v>0</x:v>
      </x:c>
      <x:c r="G53" s="27" t="str">
        <x:f>IF(E53&gt;F53,"PASS","FAIL")</x:f>
        <x:v>PASS</x:v>
      </x:c>
    </x:row>
    <x:row r="54" ht="18" customHeight="1">
      <x:c r="B54" s="25" t="str">
        <x:v>A048</x:v>
      </x:c>
      <x:c r="C54" s="25" t="str">
        <x:v>component state</x:v>
      </x:c>
      <x:c r="D54" s="25" t="str">
        <x:v>Terrain Tile Kit row 12 remains OPEN</x:v>
      </x:c>
      <x:c r="E54" s="25" t="n">
        <x:f>IF('Terrain Tile Kit'!I12="OPEN",1,0)</x:f>
        <x:v>1</x:v>
      </x:c>
      <x:c r="F54" s="25" t="n">
        <x:v>1</x:v>
      </x:c>
      <x:c r="G54" s="27" t="str">
        <x:f>IF(E54=F54,"PASS","FAIL")</x:f>
        <x:v>PASS</x:v>
      </x:c>
    </x:row>
    <x:row r="55" ht="18" customHeight="1">
      <x:c r="B55" s="25" t="str">
        <x:v>A049</x:v>
      </x:c>
      <x:c r="C55" s="25" t="str">
        <x:v>component mass</x:v>
      </x:c>
      <x:c r="D55" s="25" t="str">
        <x:v>Terrain Tile Kit row 13 has positive mass</x:v>
      </x:c>
      <x:c r="E55" s="25" t="n">
        <x:f>'Terrain Tile Kit'!C13</x:f>
        <x:v>9</x:v>
      </x:c>
      <x:c r="F55" s="25" t="n">
        <x:v>0</x:v>
      </x:c>
      <x:c r="G55" s="27" t="str">
        <x:f>IF(E55&gt;F55,"PASS","FAIL")</x:f>
        <x:v>PASS</x:v>
      </x:c>
    </x:row>
    <x:row r="56" ht="18" customHeight="1">
      <x:c r="B56" s="25" t="str">
        <x:v>A050</x:v>
      </x:c>
      <x:c r="C56" s="25" t="str">
        <x:v>component volume</x:v>
      </x:c>
      <x:c r="D56" s="25" t="str">
        <x:v>Terrain Tile Kit row 13 has positive volume</x:v>
      </x:c>
      <x:c r="E56" s="25" t="n">
        <x:f>'Terrain Tile Kit'!D13</x:f>
        <x:v>0.018</x:v>
      </x:c>
      <x:c r="F56" s="25" t="n">
        <x:v>0</x:v>
      </x:c>
      <x:c r="G56" s="27" t="str">
        <x:f>IF(E56&gt;F56,"PASS","FAIL")</x:f>
        <x:v>PASS</x:v>
      </x:c>
    </x:row>
    <x:row r="57" ht="18" customHeight="1">
      <x:c r="B57" s="25" t="str">
        <x:v>A051</x:v>
      </x:c>
      <x:c r="C57" s="25" t="str">
        <x:v>component state</x:v>
      </x:c>
      <x:c r="D57" s="25" t="str">
        <x:v>Terrain Tile Kit row 13 remains OPEN</x:v>
      </x:c>
      <x:c r="E57" s="25" t="n">
        <x:f>IF('Terrain Tile Kit'!I13="OPEN",1,0)</x:f>
        <x:v>1</x:v>
      </x:c>
      <x:c r="F57" s="25" t="n">
        <x:v>1</x:v>
      </x:c>
      <x:c r="G57" s="27" t="str">
        <x:f>IF(E57=F57,"PASS","FAIL")</x:f>
        <x:v>PASS</x:v>
      </x:c>
    </x:row>
    <x:row r="58" ht="18" customHeight="1">
      <x:c r="B58" s="25" t="str">
        <x:v>A052</x:v>
      </x:c>
      <x:c r="C58" s="25" t="str">
        <x:v>component mass</x:v>
      </x:c>
      <x:c r="D58" s="25" t="str">
        <x:v>Terrain Tile Kit row 14 has positive mass</x:v>
      </x:c>
      <x:c r="E58" s="25" t="n">
        <x:f>'Terrain Tile Kit'!C14</x:f>
        <x:v>5</x:v>
      </x:c>
      <x:c r="F58" s="25" t="n">
        <x:v>0</x:v>
      </x:c>
      <x:c r="G58" s="27" t="str">
        <x:f>IF(E58&gt;F58,"PASS","FAIL")</x:f>
        <x:v>PASS</x:v>
      </x:c>
    </x:row>
    <x:row r="59" ht="18" customHeight="1">
      <x:c r="B59" s="25" t="str">
        <x:v>A053</x:v>
      </x:c>
      <x:c r="C59" s="25" t="str">
        <x:v>component volume</x:v>
      </x:c>
      <x:c r="D59" s="25" t="str">
        <x:v>Terrain Tile Kit row 14 has positive volume</x:v>
      </x:c>
      <x:c r="E59" s="25" t="n">
        <x:f>'Terrain Tile Kit'!D14</x:f>
        <x:v>0.011</x:v>
      </x:c>
      <x:c r="F59" s="25" t="n">
        <x:v>0</x:v>
      </x:c>
      <x:c r="G59" s="27" t="str">
        <x:f>IF(E59&gt;F59,"PASS","FAIL")</x:f>
        <x:v>PASS</x:v>
      </x:c>
    </x:row>
    <x:row r="60" ht="18" customHeight="1">
      <x:c r="B60" s="25" t="str">
        <x:v>A054</x:v>
      </x:c>
      <x:c r="C60" s="25" t="str">
        <x:v>component state</x:v>
      </x:c>
      <x:c r="D60" s="25" t="str">
        <x:v>Terrain Tile Kit row 14 remains OPEN</x:v>
      </x:c>
      <x:c r="E60" s="25" t="n">
        <x:f>IF('Terrain Tile Kit'!I14="OPEN",1,0)</x:f>
        <x:v>1</x:v>
      </x:c>
      <x:c r="F60" s="25" t="n">
        <x:v>1</x:v>
      </x:c>
      <x:c r="G60" s="27" t="str">
        <x:f>IF(E60=F60,"PASS","FAIL")</x:f>
        <x:v>PASS</x:v>
      </x:c>
    </x:row>
    <x:row r="61" ht="18" customHeight="1">
      <x:c r="B61" s="25" t="str">
        <x:v>A055</x:v>
      </x:c>
      <x:c r="C61" s="25" t="str">
        <x:v>component mass</x:v>
      </x:c>
      <x:c r="D61" s="25" t="str">
        <x:v>Terrain Tile Kit row 15 has positive mass</x:v>
      </x:c>
      <x:c r="E61" s="25" t="n">
        <x:f>'Terrain Tile Kit'!C15</x:f>
        <x:v>4</x:v>
      </x:c>
      <x:c r="F61" s="25" t="n">
        <x:v>0</x:v>
      </x:c>
      <x:c r="G61" s="27" t="str">
        <x:f>IF(E61&gt;F61,"PASS","FAIL")</x:f>
        <x:v>PASS</x:v>
      </x:c>
    </x:row>
    <x:row r="62" ht="18" customHeight="1">
      <x:c r="B62" s="25" t="str">
        <x:v>A056</x:v>
      </x:c>
      <x:c r="C62" s="25" t="str">
        <x:v>component volume</x:v>
      </x:c>
      <x:c r="D62" s="25" t="str">
        <x:v>Terrain Tile Kit row 15 has positive volume</x:v>
      </x:c>
      <x:c r="E62" s="25" t="n">
        <x:f>'Terrain Tile Kit'!D15</x:f>
        <x:v>0.004</x:v>
      </x:c>
      <x:c r="F62" s="25" t="n">
        <x:v>0</x:v>
      </x:c>
      <x:c r="G62" s="27" t="str">
        <x:f>IF(E62&gt;F62,"PASS","FAIL")</x:f>
        <x:v>PASS</x:v>
      </x:c>
    </x:row>
    <x:row r="63" ht="18" customHeight="1">
      <x:c r="B63" s="25" t="str">
        <x:v>A057</x:v>
      </x:c>
      <x:c r="C63" s="25" t="str">
        <x:v>component state</x:v>
      </x:c>
      <x:c r="D63" s="25" t="str">
        <x:v>Terrain Tile Kit row 15 remains OPEN</x:v>
      </x:c>
      <x:c r="E63" s="25" t="n">
        <x:f>IF('Terrain Tile Kit'!I15="OPEN",1,0)</x:f>
        <x:v>1</x:v>
      </x:c>
      <x:c r="F63" s="25" t="n">
        <x:v>1</x:v>
      </x:c>
      <x:c r="G63" s="27" t="str">
        <x:f>IF(E63=F63,"PASS","FAIL")</x:f>
        <x:v>PASS</x:v>
      </x:c>
    </x:row>
    <x:row r="64" ht="18" customHeight="1">
      <x:c r="B64" s="25" t="str">
        <x:v>A058</x:v>
      </x:c>
      <x:c r="C64" s="25" t="str">
        <x:v>component mass</x:v>
      </x:c>
      <x:c r="D64" s="25" t="str">
        <x:v>Terrain Tile Kit row 16 has positive mass</x:v>
      </x:c>
      <x:c r="E64" s="25" t="n">
        <x:f>'Terrain Tile Kit'!C16</x:f>
        <x:v>3</x:v>
      </x:c>
      <x:c r="F64" s="25" t="n">
        <x:v>0</x:v>
      </x:c>
      <x:c r="G64" s="27" t="str">
        <x:f>IF(E64&gt;F64,"PASS","FAIL")</x:f>
        <x:v>PASS</x:v>
      </x:c>
    </x:row>
    <x:row r="65" ht="18" customHeight="1">
      <x:c r="B65" s="25" t="str">
        <x:v>A059</x:v>
      </x:c>
      <x:c r="C65" s="25" t="str">
        <x:v>component volume</x:v>
      </x:c>
      <x:c r="D65" s="25" t="str">
        <x:v>Terrain Tile Kit row 16 has positive volume</x:v>
      </x:c>
      <x:c r="E65" s="25" t="n">
        <x:f>'Terrain Tile Kit'!D16</x:f>
        <x:v>0.003</x:v>
      </x:c>
      <x:c r="F65" s="25" t="n">
        <x:v>0</x:v>
      </x:c>
      <x:c r="G65" s="27" t="str">
        <x:f>IF(E65&gt;F65,"PASS","FAIL")</x:f>
        <x:v>PASS</x:v>
      </x:c>
    </x:row>
    <x:row r="66" ht="18" customHeight="1">
      <x:c r="B66" s="25" t="str">
        <x:v>A060</x:v>
      </x:c>
      <x:c r="C66" s="25" t="str">
        <x:v>component state</x:v>
      </x:c>
      <x:c r="D66" s="25" t="str">
        <x:v>Terrain Tile Kit row 16 remains OPEN</x:v>
      </x:c>
      <x:c r="E66" s="25" t="n">
        <x:f>IF('Terrain Tile Kit'!I16="OPEN",1,0)</x:f>
        <x:v>1</x:v>
      </x:c>
      <x:c r="F66" s="25" t="n">
        <x:v>1</x:v>
      </x:c>
      <x:c r="G66" s="27" t="str">
        <x:f>IF(E66=F66,"PASS","FAIL")</x:f>
        <x:v>PASS</x:v>
      </x:c>
    </x:row>
    <x:row r="67" ht="18" customHeight="1">
      <x:c r="B67" s="25" t="str">
        <x:v>A061</x:v>
      </x:c>
      <x:c r="C67" s="25" t="str">
        <x:v>component mass</x:v>
      </x:c>
      <x:c r="D67" s="25" t="str">
        <x:v>Terrain Tile Kit row 17 has positive mass</x:v>
      </x:c>
      <x:c r="E67" s="25" t="n">
        <x:f>'Terrain Tile Kit'!C17</x:f>
        <x:v>62.05</x:v>
      </x:c>
      <x:c r="F67" s="25" t="n">
        <x:v>0</x:v>
      </x:c>
      <x:c r="G67" s="27" t="str">
        <x:f>IF(E67&gt;F67,"PASS","FAIL")</x:f>
        <x:v>PASS</x:v>
      </x:c>
    </x:row>
    <x:row r="68" ht="18" customHeight="1">
      <x:c r="B68" s="25" t="str">
        <x:v>A062</x:v>
      </x:c>
      <x:c r="C68" s="25" t="str">
        <x:v>component volume</x:v>
      </x:c>
      <x:c r="D68" s="25" t="str">
        <x:v>Terrain Tile Kit row 17 has positive volume</x:v>
      </x:c>
      <x:c r="E68" s="25" t="n">
        <x:f>'Terrain Tile Kit'!D17</x:f>
        <x:v>0.118</x:v>
      </x:c>
      <x:c r="F68" s="25" t="n">
        <x:v>0</x:v>
      </x:c>
      <x:c r="G68" s="27" t="str">
        <x:f>IF(E68&gt;F68,"PASS","FAIL")</x:f>
        <x:v>PASS</x:v>
      </x:c>
    </x:row>
    <x:row r="69" ht="18" customHeight="1">
      <x:c r="B69" s="25" t="str">
        <x:v>A063</x:v>
      </x:c>
      <x:c r="C69" s="25" t="str">
        <x:v>component state</x:v>
      </x:c>
      <x:c r="D69" s="25" t="str">
        <x:v>Terrain Tile Kit row 17 remains OPEN</x:v>
      </x:c>
      <x:c r="E69" s="25" t="n">
        <x:f>IF('Terrain Tile Kit'!I17="OPEN",1,0)</x:f>
        <x:v>1</x:v>
      </x:c>
      <x:c r="F69" s="25" t="n">
        <x:v>1</x:v>
      </x:c>
      <x:c r="G69" s="27" t="str">
        <x:f>IF(E69=F69,"PASS","FAIL")</x:f>
        <x:v>PASS</x:v>
      </x:c>
    </x:row>
    <x:row r="70" ht="18" customHeight="1">
      <x:c r="B70" s="25" t="str">
        <x:v>A064</x:v>
      </x:c>
      <x:c r="C70" s="25" t="str">
        <x:v>component mass</x:v>
      </x:c>
      <x:c r="D70" s="25" t="str">
        <x:v>Terrain Tile Kit row 18 has positive mass</x:v>
      </x:c>
      <x:c r="E70" s="25" t="n">
        <x:f>'Terrain Tile Kit'!C18</x:f>
        <x:v>7.95</x:v>
      </x:c>
      <x:c r="F70" s="25" t="n">
        <x:v>0</x:v>
      </x:c>
      <x:c r="G70" s="27" t="str">
        <x:f>IF(E70&gt;F70,"PASS","FAIL")</x:f>
        <x:v>PASS</x:v>
      </x:c>
    </x:row>
    <x:row r="71" ht="18" customHeight="1">
      <x:c r="B71" s="25" t="str">
        <x:v>A065</x:v>
      </x:c>
      <x:c r="C71" s="25" t="str">
        <x:v>component volume</x:v>
      </x:c>
      <x:c r="D71" s="25" t="str">
        <x:v>Terrain Tile Kit row 18 has positive volume</x:v>
      </x:c>
      <x:c r="E71" s="25" t="n">
        <x:f>'Terrain Tile Kit'!D18</x:f>
        <x:v>0.03</x:v>
      </x:c>
      <x:c r="F71" s="25" t="n">
        <x:v>0</x:v>
      </x:c>
      <x:c r="G71" s="27" t="str">
        <x:f>IF(E71&gt;F71,"PASS","FAIL")</x:f>
        <x:v>PASS</x:v>
      </x:c>
    </x:row>
    <x:row r="72" ht="18" customHeight="1">
      <x:c r="B72" s="25" t="str">
        <x:v>A066</x:v>
      </x:c>
      <x:c r="C72" s="25" t="str">
        <x:v>component state</x:v>
      </x:c>
      <x:c r="D72" s="25" t="str">
        <x:v>Terrain Tile Kit row 18 remains OPEN</x:v>
      </x:c>
      <x:c r="E72" s="25" t="n">
        <x:f>IF('Terrain Tile Kit'!I18="OPEN",1,0)</x:f>
        <x:v>1</x:v>
      </x:c>
      <x:c r="F72" s="25" t="n">
        <x:v>1</x:v>
      </x:c>
      <x:c r="G72" s="27" t="str">
        <x:f>IF(E72=F72,"PASS","FAIL")</x:f>
        <x:v>PASS</x:v>
      </x:c>
    </x:row>
    <x:row r="73" ht="18" customHeight="1">
      <x:c r="B73" s="25" t="str">
        <x:v>A067</x:v>
      </x:c>
      <x:c r="C73" s="25" t="str">
        <x:v>component mass</x:v>
      </x:c>
      <x:c r="D73" s="25" t="str">
        <x:v>Air Carrier Node row 7 has positive mass</x:v>
      </x:c>
      <x:c r="E73" s="25" t="n">
        <x:f>'Air Carrier Node'!C7</x:f>
        <x:v>85</x:v>
      </x:c>
      <x:c r="F73" s="25" t="n">
        <x:v>0</x:v>
      </x:c>
      <x:c r="G73" s="27" t="str">
        <x:f>IF(E73&gt;F73,"PASS","FAIL")</x:f>
        <x:v>PASS</x:v>
      </x:c>
    </x:row>
    <x:row r="74" ht="18" customHeight="1">
      <x:c r="B74" s="25" t="str">
        <x:v>A068</x:v>
      </x:c>
      <x:c r="C74" s="25" t="str">
        <x:v>component volume</x:v>
      </x:c>
      <x:c r="D74" s="25" t="str">
        <x:v>Air Carrier Node row 7 has positive volume</x:v>
      </x:c>
      <x:c r="E74" s="25" t="n">
        <x:f>'Air Carrier Node'!D7</x:f>
        <x:v>0.2</x:v>
      </x:c>
      <x:c r="F74" s="25" t="n">
        <x:v>0</x:v>
      </x:c>
      <x:c r="G74" s="27" t="str">
        <x:f>IF(E74&gt;F74,"PASS","FAIL")</x:f>
        <x:v>PASS</x:v>
      </x:c>
    </x:row>
    <x:row r="75" ht="18" customHeight="1">
      <x:c r="B75" s="25" t="str">
        <x:v>A069</x:v>
      </x:c>
      <x:c r="C75" s="25" t="str">
        <x:v>component state</x:v>
      </x:c>
      <x:c r="D75" s="25" t="str">
        <x:v>Air Carrier Node row 7 remains OPEN</x:v>
      </x:c>
      <x:c r="E75" s="25" t="n">
        <x:f>IF('Air Carrier Node'!I7="OPEN",1,0)</x:f>
        <x:v>1</x:v>
      </x:c>
      <x:c r="F75" s="25" t="n">
        <x:v>1</x:v>
      </x:c>
      <x:c r="G75" s="27" t="str">
        <x:f>IF(E75=F75,"PASS","FAIL")</x:f>
        <x:v>PASS</x:v>
      </x:c>
    </x:row>
    <x:row r="76" ht="18" customHeight="1">
      <x:c r="B76" s="25" t="str">
        <x:v>A070</x:v>
      </x:c>
      <x:c r="C76" s="25" t="str">
        <x:v>component mass</x:v>
      </x:c>
      <x:c r="D76" s="25" t="str">
        <x:v>Air Carrier Node row 8 has positive mass</x:v>
      </x:c>
      <x:c r="E76" s="25" t="n">
        <x:f>'Air Carrier Node'!C8</x:f>
        <x:v>70</x:v>
      </x:c>
      <x:c r="F76" s="25" t="n">
        <x:v>0</x:v>
      </x:c>
      <x:c r="G76" s="27" t="str">
        <x:f>IF(E76&gt;F76,"PASS","FAIL")</x:f>
        <x:v>PASS</x:v>
      </x:c>
    </x:row>
    <x:row r="77" ht="18" customHeight="1">
      <x:c r="B77" s="25" t="str">
        <x:v>A071</x:v>
      </x:c>
      <x:c r="C77" s="25" t="str">
        <x:v>component volume</x:v>
      </x:c>
      <x:c r="D77" s="25" t="str">
        <x:v>Air Carrier Node row 8 has positive volume</x:v>
      </x:c>
      <x:c r="E77" s="25" t="n">
        <x:f>'Air Carrier Node'!D8</x:f>
        <x:v>0.3</x:v>
      </x:c>
      <x:c r="F77" s="25" t="n">
        <x:v>0</x:v>
      </x:c>
      <x:c r="G77" s="27" t="str">
        <x:f>IF(E77&gt;F77,"PASS","FAIL")</x:f>
        <x:v>PASS</x:v>
      </x:c>
    </x:row>
    <x:row r="78" ht="18" customHeight="1">
      <x:c r="B78" s="25" t="str">
        <x:v>A072</x:v>
      </x:c>
      <x:c r="C78" s="25" t="str">
        <x:v>component state</x:v>
      </x:c>
      <x:c r="D78" s="25" t="str">
        <x:v>Air Carrier Node row 8 remains OPEN</x:v>
      </x:c>
      <x:c r="E78" s="25" t="n">
        <x:f>IF('Air Carrier Node'!I8="OPEN",1,0)</x:f>
        <x:v>1</x:v>
      </x:c>
      <x:c r="F78" s="25" t="n">
        <x:v>1</x:v>
      </x:c>
      <x:c r="G78" s="27" t="str">
        <x:f>IF(E78=F78,"PASS","FAIL")</x:f>
        <x:v>PASS</x:v>
      </x:c>
    </x:row>
    <x:row r="79" ht="18" customHeight="1">
      <x:c r="B79" s="25" t="str">
        <x:v>A073</x:v>
      </x:c>
      <x:c r="C79" s="25" t="str">
        <x:v>component mass</x:v>
      </x:c>
      <x:c r="D79" s="25" t="str">
        <x:v>Air Carrier Node row 9 has positive mass</x:v>
      </x:c>
      <x:c r="E79" s="25" t="n">
        <x:f>'Air Carrier Node'!C9</x:f>
        <x:v>55</x:v>
      </x:c>
      <x:c r="F79" s="25" t="n">
        <x:v>0</x:v>
      </x:c>
      <x:c r="G79" s="27" t="str">
        <x:f>IF(E79&gt;F79,"PASS","FAIL")</x:f>
        <x:v>PASS</x:v>
      </x:c>
    </x:row>
    <x:row r="80" ht="18" customHeight="1">
      <x:c r="B80" s="25" t="str">
        <x:v>A074</x:v>
      </x:c>
      <x:c r="C80" s="25" t="str">
        <x:v>component volume</x:v>
      </x:c>
      <x:c r="D80" s="25" t="str">
        <x:v>Air Carrier Node row 9 has positive volume</x:v>
      </x:c>
      <x:c r="E80" s="25" t="n">
        <x:f>'Air Carrier Node'!D9</x:f>
        <x:v>0.15</x:v>
      </x:c>
      <x:c r="F80" s="25" t="n">
        <x:v>0</x:v>
      </x:c>
      <x:c r="G80" s="27" t="str">
        <x:f>IF(E80&gt;F80,"PASS","FAIL")</x:f>
        <x:v>PASS</x:v>
      </x:c>
    </x:row>
    <x:row r="81" ht="18" customHeight="1">
      <x:c r="B81" s="25" t="str">
        <x:v>A075</x:v>
      </x:c>
      <x:c r="C81" s="25" t="str">
        <x:v>component state</x:v>
      </x:c>
      <x:c r="D81" s="25" t="str">
        <x:v>Air Carrier Node row 9 remains OPEN</x:v>
      </x:c>
      <x:c r="E81" s="25" t="n">
        <x:f>IF('Air Carrier Node'!I9="OPEN",1,0)</x:f>
        <x:v>1</x:v>
      </x:c>
      <x:c r="F81" s="25" t="n">
        <x:v>1</x:v>
      </x:c>
      <x:c r="G81" s="27" t="str">
        <x:f>IF(E81=F81,"PASS","FAIL")</x:f>
        <x:v>PASS</x:v>
      </x:c>
    </x:row>
    <x:row r="82" ht="18" customHeight="1">
      <x:c r="B82" s="25" t="str">
        <x:v>A076</x:v>
      </x:c>
      <x:c r="C82" s="25" t="str">
        <x:v>component mass</x:v>
      </x:c>
      <x:c r="D82" s="25" t="str">
        <x:v>Air Carrier Node row 10 has positive mass</x:v>
      </x:c>
      <x:c r="E82" s="25" t="n">
        <x:f>'Air Carrier Node'!C10</x:f>
        <x:v>60</x:v>
      </x:c>
      <x:c r="F82" s="25" t="n">
        <x:v>0</x:v>
      </x:c>
      <x:c r="G82" s="27" t="str">
        <x:f>IF(E82&gt;F82,"PASS","FAIL")</x:f>
        <x:v>PASS</x:v>
      </x:c>
    </x:row>
    <x:row r="83" ht="18" customHeight="1">
      <x:c r="B83" s="25" t="str">
        <x:v>A077</x:v>
      </x:c>
      <x:c r="C83" s="25" t="str">
        <x:v>component volume</x:v>
      </x:c>
      <x:c r="D83" s="25" t="str">
        <x:v>Air Carrier Node row 10 has positive volume</x:v>
      </x:c>
      <x:c r="E83" s="25" t="n">
        <x:f>'Air Carrier Node'!D10</x:f>
        <x:v>0.22</x:v>
      </x:c>
      <x:c r="F83" s="25" t="n">
        <x:v>0</x:v>
      </x:c>
      <x:c r="G83" s="27" t="str">
        <x:f>IF(E83&gt;F83,"PASS","FAIL")</x:f>
        <x:v>PASS</x:v>
      </x:c>
    </x:row>
    <x:row r="84" ht="18" customHeight="1">
      <x:c r="B84" s="25" t="str">
        <x:v>A078</x:v>
      </x:c>
      <x:c r="C84" s="25" t="str">
        <x:v>component state</x:v>
      </x:c>
      <x:c r="D84" s="25" t="str">
        <x:v>Air Carrier Node row 10 remains OPEN</x:v>
      </x:c>
      <x:c r="E84" s="25" t="n">
        <x:f>IF('Air Carrier Node'!I10="OPEN",1,0)</x:f>
        <x:v>1</x:v>
      </x:c>
      <x:c r="F84" s="25" t="n">
        <x:v>1</x:v>
      </x:c>
      <x:c r="G84" s="27" t="str">
        <x:f>IF(E84=F84,"PASS","FAIL")</x:f>
        <x:v>PASS</x:v>
      </x:c>
    </x:row>
    <x:row r="85" ht="18" customHeight="1">
      <x:c r="B85" s="25" t="str">
        <x:v>A079</x:v>
      </x:c>
      <x:c r="C85" s="25" t="str">
        <x:v>component mass</x:v>
      </x:c>
      <x:c r="D85" s="25" t="str">
        <x:v>Air Carrier Node row 11 has positive mass</x:v>
      </x:c>
      <x:c r="E85" s="25" t="n">
        <x:f>'Air Carrier Node'!C11</x:f>
        <x:v>35</x:v>
      </x:c>
      <x:c r="F85" s="25" t="n">
        <x:v>0</x:v>
      </x:c>
      <x:c r="G85" s="27" t="str">
        <x:f>IF(E85&gt;F85,"PASS","FAIL")</x:f>
        <x:v>PASS</x:v>
      </x:c>
    </x:row>
    <x:row r="86" ht="18" customHeight="1">
      <x:c r="B86" s="25" t="str">
        <x:v>A080</x:v>
      </x:c>
      <x:c r="C86" s="25" t="str">
        <x:v>component volume</x:v>
      </x:c>
      <x:c r="D86" s="25" t="str">
        <x:v>Air Carrier Node row 11 has positive volume</x:v>
      </x:c>
      <x:c r="E86" s="25" t="n">
        <x:f>'Air Carrier Node'!D11</x:f>
        <x:v>0.12</x:v>
      </x:c>
      <x:c r="F86" s="25" t="n">
        <x:v>0</x:v>
      </x:c>
      <x:c r="G86" s="27" t="str">
        <x:f>IF(E86&gt;F86,"PASS","FAIL")</x:f>
        <x:v>PASS</x:v>
      </x:c>
    </x:row>
    <x:row r="87" ht="18" customHeight="1">
      <x:c r="B87" s="25" t="str">
        <x:v>A081</x:v>
      </x:c>
      <x:c r="C87" s="25" t="str">
        <x:v>component state</x:v>
      </x:c>
      <x:c r="D87" s="25" t="str">
        <x:v>Air Carrier Node row 11 remains OPEN</x:v>
      </x:c>
      <x:c r="E87" s="25" t="n">
        <x:f>IF('Air Carrier Node'!I11="OPEN",1,0)</x:f>
        <x:v>1</x:v>
      </x:c>
      <x:c r="F87" s="25" t="n">
        <x:v>1</x:v>
      </x:c>
      <x:c r="G87" s="27" t="str">
        <x:f>IF(E87=F87,"PASS","FAIL")</x:f>
        <x:v>PASS</x:v>
      </x:c>
    </x:row>
    <x:row r="88" ht="18" customHeight="1">
      <x:c r="B88" s="25" t="str">
        <x:v>A082</x:v>
      </x:c>
      <x:c r="C88" s="25" t="str">
        <x:v>component mass</x:v>
      </x:c>
      <x:c r="D88" s="25" t="str">
        <x:v>Air Carrier Node row 12 has positive mass</x:v>
      </x:c>
      <x:c r="E88" s="25" t="n">
        <x:f>'Air Carrier Node'!C12</x:f>
        <x:v>18</x:v>
      </x:c>
      <x:c r="F88" s="25" t="n">
        <x:v>0</x:v>
      </x:c>
      <x:c r="G88" s="27" t="str">
        <x:f>IF(E88&gt;F88,"PASS","FAIL")</x:f>
        <x:v>PASS</x:v>
      </x:c>
    </x:row>
    <x:row r="89" ht="18" customHeight="1">
      <x:c r="B89" s="25" t="str">
        <x:v>A083</x:v>
      </x:c>
      <x:c r="C89" s="25" t="str">
        <x:v>component volume</x:v>
      </x:c>
      <x:c r="D89" s="25" t="str">
        <x:v>Air Carrier Node row 12 has positive volume</x:v>
      </x:c>
      <x:c r="E89" s="25" t="n">
        <x:f>'Air Carrier Node'!D12</x:f>
        <x:v>0.04</x:v>
      </x:c>
      <x:c r="F89" s="25" t="n">
        <x:v>0</x:v>
      </x:c>
      <x:c r="G89" s="27" t="str">
        <x:f>IF(E89&gt;F89,"PASS","FAIL")</x:f>
        <x:v>PASS</x:v>
      </x:c>
    </x:row>
    <x:row r="90" ht="18" customHeight="1">
      <x:c r="B90" s="25" t="str">
        <x:v>A084</x:v>
      </x:c>
      <x:c r="C90" s="25" t="str">
        <x:v>component state</x:v>
      </x:c>
      <x:c r="D90" s="25" t="str">
        <x:v>Air Carrier Node row 12 remains OPEN</x:v>
      </x:c>
      <x:c r="E90" s="25" t="n">
        <x:f>IF('Air Carrier Node'!I12="OPEN",1,0)</x:f>
        <x:v>1</x:v>
      </x:c>
      <x:c r="F90" s="25" t="n">
        <x:v>1</x:v>
      </x:c>
      <x:c r="G90" s="27" t="str">
        <x:f>IF(E90=F90,"PASS","FAIL")</x:f>
        <x:v>PASS</x:v>
      </x:c>
    </x:row>
    <x:row r="91" ht="18" customHeight="1">
      <x:c r="B91" s="25" t="str">
        <x:v>A085</x:v>
      </x:c>
      <x:c r="C91" s="25" t="str">
        <x:v>component mass</x:v>
      </x:c>
      <x:c r="D91" s="25" t="str">
        <x:v>Air Carrier Node row 13 has positive mass</x:v>
      </x:c>
      <x:c r="E91" s="25" t="n">
        <x:f>'Air Carrier Node'!C13</x:f>
        <x:v>8</x:v>
      </x:c>
      <x:c r="F91" s="25" t="n">
        <x:v>0</x:v>
      </x:c>
      <x:c r="G91" s="27" t="str">
        <x:f>IF(E91&gt;F91,"PASS","FAIL")</x:f>
        <x:v>PASS</x:v>
      </x:c>
    </x:row>
    <x:row r="92" ht="18" customHeight="1">
      <x:c r="B92" s="25" t="str">
        <x:v>A086</x:v>
      </x:c>
      <x:c r="C92" s="25" t="str">
        <x:v>component volume</x:v>
      </x:c>
      <x:c r="D92" s="25" t="str">
        <x:v>Air Carrier Node row 13 has positive volume</x:v>
      </x:c>
      <x:c r="E92" s="25" t="n">
        <x:f>'Air Carrier Node'!D13</x:f>
        <x:v>0.02</x:v>
      </x:c>
      <x:c r="F92" s="25" t="n">
        <x:v>0</x:v>
      </x:c>
      <x:c r="G92" s="27" t="str">
        <x:f>IF(E92&gt;F92,"PASS","FAIL")</x:f>
        <x:v>PASS</x:v>
      </x:c>
    </x:row>
    <x:row r="93" ht="18" customHeight="1">
      <x:c r="B93" s="25" t="str">
        <x:v>A087</x:v>
      </x:c>
      <x:c r="C93" s="25" t="str">
        <x:v>component state</x:v>
      </x:c>
      <x:c r="D93" s="25" t="str">
        <x:v>Air Carrier Node row 13 remains OPEN</x:v>
      </x:c>
      <x:c r="E93" s="25" t="n">
        <x:f>IF('Air Carrier Node'!I13="OPEN",1,0)</x:f>
        <x:v>1</x:v>
      </x:c>
      <x:c r="F93" s="25" t="n">
        <x:v>1</x:v>
      </x:c>
      <x:c r="G93" s="27" t="str">
        <x:f>IF(E93=F93,"PASS","FAIL")</x:f>
        <x:v>PASS</x:v>
      </x:c>
    </x:row>
    <x:row r="94" ht="18" customHeight="1">
      <x:c r="B94" s="25" t="str">
        <x:v>A088</x:v>
      </x:c>
      <x:c r="C94" s="25" t="str">
        <x:v>component mass</x:v>
      </x:c>
      <x:c r="D94" s="25" t="str">
        <x:v>Air Carrier Node row 14 has positive mass</x:v>
      </x:c>
      <x:c r="E94" s="25" t="n">
        <x:f>'Air Carrier Node'!C14</x:f>
        <x:v>763.64</x:v>
      </x:c>
      <x:c r="F94" s="25" t="n">
        <x:v>0</x:v>
      </x:c>
      <x:c r="G94" s="27" t="str">
        <x:f>IF(E94&gt;F94,"PASS","FAIL")</x:f>
        <x:v>PASS</x:v>
      </x:c>
    </x:row>
    <x:row r="95" ht="18" customHeight="1">
      <x:c r="B95" s="25" t="str">
        <x:v>A089</x:v>
      </x:c>
      <x:c r="C95" s="25" t="str">
        <x:v>component volume</x:v>
      </x:c>
      <x:c r="D95" s="25" t="str">
        <x:v>Air Carrier Node row 14 has positive volume</x:v>
      </x:c>
      <x:c r="E95" s="25" t="n">
        <x:f>'Air Carrier Node'!D14</x:f>
        <x:v>1.54</x:v>
      </x:c>
      <x:c r="F95" s="25" t="n">
        <x:v>0</x:v>
      </x:c>
      <x:c r="G95" s="27" t="str">
        <x:f>IF(E95&gt;F95,"PASS","FAIL")</x:f>
        <x:v>PASS</x:v>
      </x:c>
    </x:row>
    <x:row r="96" ht="18" customHeight="1">
      <x:c r="B96" s="25" t="str">
        <x:v>A090</x:v>
      </x:c>
      <x:c r="C96" s="25" t="str">
        <x:v>component state</x:v>
      </x:c>
      <x:c r="D96" s="25" t="str">
        <x:v>Air Carrier Node row 14 remains OPEN</x:v>
      </x:c>
      <x:c r="E96" s="25" t="n">
        <x:f>IF('Air Carrier Node'!I14="OPEN",1,0)</x:f>
        <x:v>1</x:v>
      </x:c>
      <x:c r="F96" s="25" t="n">
        <x:v>1</x:v>
      </x:c>
      <x:c r="G96" s="27" t="str">
        <x:f>IF(E96=F96,"PASS","FAIL")</x:f>
        <x:v>PASS</x:v>
      </x:c>
    </x:row>
    <x:row r="97" ht="18" customHeight="1">
      <x:c r="B97" s="25" t="str">
        <x:v>A091</x:v>
      </x:c>
      <x:c r="C97" s="25" t="str">
        <x:v>component mass</x:v>
      </x:c>
      <x:c r="D97" s="25" t="str">
        <x:v>Air Carrier Node row 15 has positive mass</x:v>
      </x:c>
      <x:c r="E97" s="25" t="n">
        <x:f>'Air Carrier Node'!C15</x:f>
        <x:v>105.36</x:v>
      </x:c>
      <x:c r="F97" s="25" t="n">
        <x:v>0</x:v>
      </x:c>
      <x:c r="G97" s="27" t="str">
        <x:f>IF(E97&gt;F97,"PASS","FAIL")</x:f>
        <x:v>PASS</x:v>
      </x:c>
    </x:row>
    <x:row r="98" ht="18" customHeight="1">
      <x:c r="B98" s="25" t="str">
        <x:v>A092</x:v>
      </x:c>
      <x:c r="C98" s="25" t="str">
        <x:v>component volume</x:v>
      </x:c>
      <x:c r="D98" s="25" t="str">
        <x:v>Air Carrier Node row 15 has positive volume</x:v>
      </x:c>
      <x:c r="E98" s="25" t="n">
        <x:f>'Air Carrier Node'!D15</x:f>
        <x:v>0.21</x:v>
      </x:c>
      <x:c r="F98" s="25" t="n">
        <x:v>0</x:v>
      </x:c>
      <x:c r="G98" s="27" t="str">
        <x:f>IF(E98&gt;F98,"PASS","FAIL")</x:f>
        <x:v>PASS</x:v>
      </x:c>
    </x:row>
    <x:row r="99" ht="18" customHeight="1">
      <x:c r="B99" s="25" t="str">
        <x:v>A093</x:v>
      </x:c>
      <x:c r="C99" s="25" t="str">
        <x:v>component state</x:v>
      </x:c>
      <x:c r="D99" s="25" t="str">
        <x:v>Air Carrier Node row 15 remains OPEN</x:v>
      </x:c>
      <x:c r="E99" s="25" t="n">
        <x:f>IF('Air Carrier Node'!I15="OPEN",1,0)</x:f>
        <x:v>1</x:v>
      </x:c>
      <x:c r="F99" s="25" t="n">
        <x:v>1</x:v>
      </x:c>
      <x:c r="G99" s="27" t="str">
        <x:f>IF(E99=F99,"PASS","FAIL")</x:f>
        <x:v>PASS</x:v>
      </x:c>
    </x:row>
    <x:row r="100" ht="18" customHeight="1">
      <x:c r="B100" s="25" t="str">
        <x:v>A094</x:v>
      </x:c>
      <x:c r="C100" s="25" t="str">
        <x:v>component mass</x:v>
      </x:c>
      <x:c r="D100" s="25" t="str">
        <x:v>Terrain Carrier Node row 7 has positive mass</x:v>
      </x:c>
      <x:c r="E100" s="25" t="n">
        <x:f>'Terrain Carrier Node'!C7</x:f>
        <x:v>1140</x:v>
      </x:c>
      <x:c r="F100" s="25" t="n">
        <x:v>0</x:v>
      </x:c>
      <x:c r="G100" s="27" t="str">
        <x:f>IF(E100&gt;F100,"PASS","FAIL")</x:f>
        <x:v>PASS</x:v>
      </x:c>
    </x:row>
    <x:row r="101" ht="18" customHeight="1">
      <x:c r="B101" s="25" t="str">
        <x:v>A095</x:v>
      </x:c>
      <x:c r="C101" s="25" t="str">
        <x:v>component volume</x:v>
      </x:c>
      <x:c r="D101" s="25" t="str">
        <x:v>Terrain Carrier Node row 7 has positive volume</x:v>
      </x:c>
      <x:c r="E101" s="25" t="n">
        <x:f>'Terrain Carrier Node'!D7</x:f>
        <x:v>3.42</x:v>
      </x:c>
      <x:c r="F101" s="25" t="n">
        <x:v>0</x:v>
      </x:c>
      <x:c r="G101" s="27" t="str">
        <x:f>IF(E101&gt;F101,"PASS","FAIL")</x:f>
        <x:v>PASS</x:v>
      </x:c>
    </x:row>
    <x:row r="102" ht="18" customHeight="1">
      <x:c r="B102" s="25" t="str">
        <x:v>A096</x:v>
      </x:c>
      <x:c r="C102" s="25" t="str">
        <x:v>component state</x:v>
      </x:c>
      <x:c r="D102" s="25" t="str">
        <x:v>Terrain Carrier Node row 7 remains OPEN</x:v>
      </x:c>
      <x:c r="E102" s="25" t="n">
        <x:f>IF('Terrain Carrier Node'!I7="OPEN",1,0)</x:f>
        <x:v>1</x:v>
      </x:c>
      <x:c r="F102" s="25" t="n">
        <x:v>1</x:v>
      </x:c>
      <x:c r="G102" s="27" t="str">
        <x:f>IF(E102=F102,"PASS","FAIL")</x:f>
        <x:v>PASS</x:v>
      </x:c>
    </x:row>
    <x:row r="103" ht="18" customHeight="1">
      <x:c r="B103" s="25" t="str">
        <x:v>A097</x:v>
      </x:c>
      <x:c r="C103" s="25" t="str">
        <x:v>component mass</x:v>
      </x:c>
      <x:c r="D103" s="25" t="str">
        <x:v>Terrain Carrier Node row 8 has positive mass</x:v>
      </x:c>
      <x:c r="E103" s="25" t="n">
        <x:f>'Terrain Carrier Node'!C8</x:f>
        <x:v>220</x:v>
      </x:c>
      <x:c r="F103" s="25" t="n">
        <x:v>0</x:v>
      </x:c>
      <x:c r="G103" s="27" t="str">
        <x:f>IF(E103&gt;F103,"PASS","FAIL")</x:f>
        <x:v>PASS</x:v>
      </x:c>
    </x:row>
    <x:row r="104" ht="18" customHeight="1">
      <x:c r="B104" s="25" t="str">
        <x:v>A098</x:v>
      </x:c>
      <x:c r="C104" s="25" t="str">
        <x:v>component volume</x:v>
      </x:c>
      <x:c r="D104" s="25" t="str">
        <x:v>Terrain Carrier Node row 8 has positive volume</x:v>
      </x:c>
      <x:c r="E104" s="25" t="n">
        <x:f>'Terrain Carrier Node'!D8</x:f>
        <x:v>1.1</x:v>
      </x:c>
      <x:c r="F104" s="25" t="n">
        <x:v>0</x:v>
      </x:c>
      <x:c r="G104" s="27" t="str">
        <x:f>IF(E104&gt;F104,"PASS","FAIL")</x:f>
        <x:v>PASS</x:v>
      </x:c>
    </x:row>
    <x:row r="105" ht="18" customHeight="1">
      <x:c r="B105" s="25" t="str">
        <x:v>A099</x:v>
      </x:c>
      <x:c r="C105" s="25" t="str">
        <x:v>component state</x:v>
      </x:c>
      <x:c r="D105" s="25" t="str">
        <x:v>Terrain Carrier Node row 8 remains OPEN</x:v>
      </x:c>
      <x:c r="E105" s="25" t="n">
        <x:f>IF('Terrain Carrier Node'!I8="OPEN",1,0)</x:f>
        <x:v>1</x:v>
      </x:c>
      <x:c r="F105" s="25" t="n">
        <x:v>1</x:v>
      </x:c>
      <x:c r="G105" s="27" t="str">
        <x:f>IF(E105=F105,"PASS","FAIL")</x:f>
        <x:v>PASS</x:v>
      </x:c>
    </x:row>
    <x:row r="106" ht="18" customHeight="1">
      <x:c r="B106" s="25" t="str">
        <x:v>A100</x:v>
      </x:c>
      <x:c r="C106" s="25" t="str">
        <x:v>component mass</x:v>
      </x:c>
      <x:c r="D106" s="25" t="str">
        <x:v>Terrain Carrier Node row 9 has positive mass</x:v>
      </x:c>
      <x:c r="E106" s="25" t="n">
        <x:f>'Terrain Carrier Node'!C9</x:f>
        <x:v>100</x:v>
      </x:c>
      <x:c r="F106" s="25" t="n">
        <x:v>0</x:v>
      </x:c>
      <x:c r="G106" s="27" t="str">
        <x:f>IF(E106&gt;F106,"PASS","FAIL")</x:f>
        <x:v>PASS</x:v>
      </x:c>
    </x:row>
    <x:row r="107" ht="18" customHeight="1">
      <x:c r="B107" s="25" t="str">
        <x:v>A101</x:v>
      </x:c>
      <x:c r="C107" s="25" t="str">
        <x:v>component volume</x:v>
      </x:c>
      <x:c r="D107" s="25" t="str">
        <x:v>Terrain Carrier Node row 9 has positive volume</x:v>
      </x:c>
      <x:c r="E107" s="25" t="n">
        <x:f>'Terrain Carrier Node'!D9</x:f>
        <x:v>0.65</x:v>
      </x:c>
      <x:c r="F107" s="25" t="n">
        <x:v>0</x:v>
      </x:c>
      <x:c r="G107" s="27" t="str">
        <x:f>IF(E107&gt;F107,"PASS","FAIL")</x:f>
        <x:v>PASS</x:v>
      </x:c>
    </x:row>
    <x:row r="108" ht="18" customHeight="1">
      <x:c r="B108" s="25" t="str">
        <x:v>A102</x:v>
      </x:c>
      <x:c r="C108" s="25" t="str">
        <x:v>component state</x:v>
      </x:c>
      <x:c r="D108" s="25" t="str">
        <x:v>Terrain Carrier Node row 9 remains OPEN</x:v>
      </x:c>
      <x:c r="E108" s="25" t="n">
        <x:f>IF('Terrain Carrier Node'!I9="OPEN",1,0)</x:f>
        <x:v>1</x:v>
      </x:c>
      <x:c r="F108" s="25" t="n">
        <x:v>1</x:v>
      </x:c>
      <x:c r="G108" s="27" t="str">
        <x:f>IF(E108=F108,"PASS","FAIL")</x:f>
        <x:v>PASS</x:v>
      </x:c>
    </x:row>
    <x:row r="109" ht="18" customHeight="1">
      <x:c r="B109" s="25" t="str">
        <x:v>A103</x:v>
      </x:c>
      <x:c r="C109" s="25" t="str">
        <x:v>component mass</x:v>
      </x:c>
      <x:c r="D109" s="25" t="str">
        <x:v>Terrain Carrier Node row 10 has positive mass</x:v>
      </x:c>
      <x:c r="E109" s="25" t="n">
        <x:f>'Terrain Carrier Node'!C10</x:f>
        <x:v>80</x:v>
      </x:c>
      <x:c r="F109" s="25" t="n">
        <x:v>0</x:v>
      </x:c>
      <x:c r="G109" s="27" t="str">
        <x:f>IF(E109&gt;F109,"PASS","FAIL")</x:f>
        <x:v>PASS</x:v>
      </x:c>
    </x:row>
    <x:row r="110" ht="18" customHeight="1">
      <x:c r="B110" s="25" t="str">
        <x:v>A104</x:v>
      </x:c>
      <x:c r="C110" s="25" t="str">
        <x:v>component volume</x:v>
      </x:c>
      <x:c r="D110" s="25" t="str">
        <x:v>Terrain Carrier Node row 10 has positive volume</x:v>
      </x:c>
      <x:c r="E110" s="25" t="n">
        <x:f>'Terrain Carrier Node'!D10</x:f>
        <x:v>0.5</x:v>
      </x:c>
      <x:c r="F110" s="25" t="n">
        <x:v>0</x:v>
      </x:c>
      <x:c r="G110" s="27" t="str">
        <x:f>IF(E110&gt;F110,"PASS","FAIL")</x:f>
        <x:v>PASS</x:v>
      </x:c>
    </x:row>
    <x:row r="111" ht="18" customHeight="1">
      <x:c r="B111" s="25" t="str">
        <x:v>A105</x:v>
      </x:c>
      <x:c r="C111" s="25" t="str">
        <x:v>component state</x:v>
      </x:c>
      <x:c r="D111" s="25" t="str">
        <x:v>Terrain Carrier Node row 10 remains OPEN</x:v>
      </x:c>
      <x:c r="E111" s="25" t="n">
        <x:f>IF('Terrain Carrier Node'!I10="OPEN",1,0)</x:f>
        <x:v>1</x:v>
      </x:c>
      <x:c r="F111" s="25" t="n">
        <x:v>1</x:v>
      </x:c>
      <x:c r="G111" s="27" t="str">
        <x:f>IF(E111=F111,"PASS","FAIL")</x:f>
        <x:v>PASS</x:v>
      </x:c>
    </x:row>
    <x:row r="112" ht="18" customHeight="1">
      <x:c r="B112" s="25" t="str">
        <x:v>A106</x:v>
      </x:c>
      <x:c r="C112" s="25" t="str">
        <x:v>component mass</x:v>
      </x:c>
      <x:c r="D112" s="25" t="str">
        <x:v>Terrain Carrier Node row 11 has positive mass</x:v>
      </x:c>
      <x:c r="E112" s="25" t="n">
        <x:f>'Terrain Carrier Node'!C11</x:f>
        <x:v>40</x:v>
      </x:c>
      <x:c r="F112" s="25" t="n">
        <x:v>0</x:v>
      </x:c>
      <x:c r="G112" s="27" t="str">
        <x:f>IF(E112&gt;F112,"PASS","FAIL")</x:f>
        <x:v>PASS</x:v>
      </x:c>
    </x:row>
    <x:row r="113" ht="18" customHeight="1">
      <x:c r="B113" s="25" t="str">
        <x:v>A107</x:v>
      </x:c>
      <x:c r="C113" s="25" t="str">
        <x:v>component volume</x:v>
      </x:c>
      <x:c r="D113" s="25" t="str">
        <x:v>Terrain Carrier Node row 11 has positive volume</x:v>
      </x:c>
      <x:c r="E113" s="25" t="n">
        <x:f>'Terrain Carrier Node'!D11</x:f>
        <x:v>0.22</x:v>
      </x:c>
      <x:c r="F113" s="25" t="n">
        <x:v>0</x:v>
      </x:c>
      <x:c r="G113" s="27" t="str">
        <x:f>IF(E113&gt;F113,"PASS","FAIL")</x:f>
        <x:v>PASS</x:v>
      </x:c>
    </x:row>
    <x:row r="114" ht="18" customHeight="1">
      <x:c r="B114" s="25" t="str">
        <x:v>A108</x:v>
      </x:c>
      <x:c r="C114" s="25" t="str">
        <x:v>component state</x:v>
      </x:c>
      <x:c r="D114" s="25" t="str">
        <x:v>Terrain Carrier Node row 11 remains OPEN</x:v>
      </x:c>
      <x:c r="E114" s="25" t="n">
        <x:f>IF('Terrain Carrier Node'!I11="OPEN",1,0)</x:f>
        <x:v>1</x:v>
      </x:c>
      <x:c r="F114" s="25" t="n">
        <x:v>1</x:v>
      </x:c>
      <x:c r="G114" s="27" t="str">
        <x:f>IF(E114=F114,"PASS","FAIL")</x:f>
        <x:v>PASS</x:v>
      </x:c>
    </x:row>
    <x:row r="115" ht="18" customHeight="1">
      <x:c r="B115" s="25" t="str">
        <x:v>A109</x:v>
      </x:c>
      <x:c r="C115" s="25" t="str">
        <x:v>component mass</x:v>
      </x:c>
      <x:c r="D115" s="25" t="str">
        <x:v>Terrain Carrier Node row 12 has positive mass</x:v>
      </x:c>
      <x:c r="E115" s="25" t="n">
        <x:f>'Terrain Carrier Node'!C12</x:f>
        <x:v>18</x:v>
      </x:c>
      <x:c r="F115" s="25" t="n">
        <x:v>0</x:v>
      </x:c>
      <x:c r="G115" s="27" t="str">
        <x:f>IF(E115&gt;F115,"PASS","FAIL")</x:f>
        <x:v>PASS</x:v>
      </x:c>
    </x:row>
    <x:row r="116" ht="18" customHeight="1">
      <x:c r="B116" s="25" t="str">
        <x:v>A110</x:v>
      </x:c>
      <x:c r="C116" s="25" t="str">
        <x:v>component volume</x:v>
      </x:c>
      <x:c r="D116" s="25" t="str">
        <x:v>Terrain Carrier Node row 12 has positive volume</x:v>
      </x:c>
      <x:c r="E116" s="25" t="n">
        <x:f>'Terrain Carrier Node'!D12</x:f>
        <x:v>0.04</x:v>
      </x:c>
      <x:c r="F116" s="25" t="n">
        <x:v>0</x:v>
      </x:c>
      <x:c r="G116" s="27" t="str">
        <x:f>IF(E116&gt;F116,"PASS","FAIL")</x:f>
        <x:v>PASS</x:v>
      </x:c>
    </x:row>
    <x:row r="117" ht="18" customHeight="1">
      <x:c r="B117" s="25" t="str">
        <x:v>A111</x:v>
      </x:c>
      <x:c r="C117" s="25" t="str">
        <x:v>component state</x:v>
      </x:c>
      <x:c r="D117" s="25" t="str">
        <x:v>Terrain Carrier Node row 12 remains OPEN</x:v>
      </x:c>
      <x:c r="E117" s="25" t="n">
        <x:f>IF('Terrain Carrier Node'!I12="OPEN",1,0)</x:f>
        <x:v>1</x:v>
      </x:c>
      <x:c r="F117" s="25" t="n">
        <x:v>1</x:v>
      </x:c>
      <x:c r="G117" s="27" t="str">
        <x:f>IF(E117=F117,"PASS","FAIL")</x:f>
        <x:v>PASS</x:v>
      </x:c>
    </x:row>
    <x:row r="118" ht="18" customHeight="1">
      <x:c r="B118" s="25" t="str">
        <x:v>A112</x:v>
      </x:c>
      <x:c r="C118" s="25" t="str">
        <x:v>component mass</x:v>
      </x:c>
      <x:c r="D118" s="25" t="str">
        <x:v>Terrain Carrier Node row 13 has positive mass</x:v>
      </x:c>
      <x:c r="E118" s="25" t="n">
        <x:f>'Terrain Carrier Node'!C13</x:f>
        <x:v>10</x:v>
      </x:c>
      <x:c r="F118" s="25" t="n">
        <x:v>0</x:v>
      </x:c>
      <x:c r="G118" s="27" t="str">
        <x:f>IF(E118&gt;F118,"PASS","FAIL")</x:f>
        <x:v>PASS</x:v>
      </x:c>
    </x:row>
    <x:row r="119" ht="18" customHeight="1">
      <x:c r="B119" s="25" t="str">
        <x:v>A113</x:v>
      </x:c>
      <x:c r="C119" s="25" t="str">
        <x:v>component volume</x:v>
      </x:c>
      <x:c r="D119" s="25" t="str">
        <x:v>Terrain Carrier Node row 13 has positive volume</x:v>
      </x:c>
      <x:c r="E119" s="25" t="n">
        <x:f>'Terrain Carrier Node'!D13</x:f>
        <x:v>0.02</x:v>
      </x:c>
      <x:c r="F119" s="25" t="n">
        <x:v>0</x:v>
      </x:c>
      <x:c r="G119" s="27" t="str">
        <x:f>IF(E119&gt;F119,"PASS","FAIL")</x:f>
        <x:v>PASS</x:v>
      </x:c>
    </x:row>
    <x:row r="120" ht="18" customHeight="1">
      <x:c r="B120" s="25" t="str">
        <x:v>A114</x:v>
      </x:c>
      <x:c r="C120" s="25" t="str">
        <x:v>component state</x:v>
      </x:c>
      <x:c r="D120" s="25" t="str">
        <x:v>Terrain Carrier Node row 13 remains OPEN</x:v>
      </x:c>
      <x:c r="E120" s="25" t="n">
        <x:f>IF('Terrain Carrier Node'!I13="OPEN",1,0)</x:f>
        <x:v>1</x:v>
      </x:c>
      <x:c r="F120" s="25" t="n">
        <x:v>1</x:v>
      </x:c>
      <x:c r="G120" s="27" t="str">
        <x:f>IF(E120=F120,"PASS","FAIL")</x:f>
        <x:v>PASS</x:v>
      </x:c>
    </x:row>
    <x:row r="121" ht="18" customHeight="1">
      <x:c r="B121" s="25" t="str">
        <x:v>A115</x:v>
      </x:c>
      <x:c r="C121" s="25" t="str">
        <x:v>component mass</x:v>
      </x:c>
      <x:c r="D121" s="25" t="str">
        <x:v>Terrain Carrier Node row 14 has positive mass</x:v>
      </x:c>
      <x:c r="E121" s="25" t="n">
        <x:f>'Terrain Carrier Node'!C14</x:f>
        <x:v>572.73</x:v>
      </x:c>
      <x:c r="F121" s="25" t="n">
        <x:v>0</x:v>
      </x:c>
      <x:c r="G121" s="27" t="str">
        <x:f>IF(E121&gt;F121,"PASS","FAIL")</x:f>
        <x:v>PASS</x:v>
      </x:c>
    </x:row>
    <x:row r="122" ht="18" customHeight="1">
      <x:c r="B122" s="25" t="str">
        <x:v>A116</x:v>
      </x:c>
      <x:c r="C122" s="25" t="str">
        <x:v>component volume</x:v>
      </x:c>
      <x:c r="D122" s="25" t="str">
        <x:v>Terrain Carrier Node row 14 has positive volume</x:v>
      </x:c>
      <x:c r="E122" s="25" t="n">
        <x:f>'Terrain Carrier Node'!D14</x:f>
        <x:v>1.22</x:v>
      </x:c>
      <x:c r="F122" s="25" t="n">
        <x:v>0</x:v>
      </x:c>
      <x:c r="G122" s="27" t="str">
        <x:f>IF(E122&gt;F122,"PASS","FAIL")</x:f>
        <x:v>PASS</x:v>
      </x:c>
    </x:row>
    <x:row r="123" ht="18" customHeight="1">
      <x:c r="B123" s="25" t="str">
        <x:v>A117</x:v>
      </x:c>
      <x:c r="C123" s="25" t="str">
        <x:v>component state</x:v>
      </x:c>
      <x:c r="D123" s="25" t="str">
        <x:v>Terrain Carrier Node row 14 remains OPEN</x:v>
      </x:c>
      <x:c r="E123" s="25" t="n">
        <x:f>IF('Terrain Carrier Node'!I14="OPEN",1,0)</x:f>
        <x:v>1</x:v>
      </x:c>
      <x:c r="F123" s="25" t="n">
        <x:v>1</x:v>
      </x:c>
      <x:c r="G123" s="27" t="str">
        <x:f>IF(E123=F123,"PASS","FAIL")</x:f>
        <x:v>PASS</x:v>
      </x:c>
    </x:row>
    <x:row r="124" ht="18" customHeight="1">
      <x:c r="B124" s="25" t="str">
        <x:v>A118</x:v>
      </x:c>
      <x:c r="C124" s="25" t="str">
        <x:v>component mass</x:v>
      </x:c>
      <x:c r="D124" s="25" t="str">
        <x:v>Terrain Carrier Node row 15 has positive mass</x:v>
      </x:c>
      <x:c r="E124" s="25" t="n">
        <x:f>'Terrain Carrier Node'!C15</x:f>
        <x:v>120</x:v>
      </x:c>
      <x:c r="F124" s="25" t="n">
        <x:v>0</x:v>
      </x:c>
      <x:c r="G124" s="27" t="str">
        <x:f>IF(E124&gt;F124,"PASS","FAIL")</x:f>
        <x:v>PASS</x:v>
      </x:c>
    </x:row>
    <x:row r="125" ht="18" customHeight="1">
      <x:c r="B125" s="25" t="str">
        <x:v>A119</x:v>
      </x:c>
      <x:c r="C125" s="25" t="str">
        <x:v>component volume</x:v>
      </x:c>
      <x:c r="D125" s="25" t="str">
        <x:v>Terrain Carrier Node row 15 has positive volume</x:v>
      </x:c>
      <x:c r="E125" s="25" t="n">
        <x:f>'Terrain Carrier Node'!D15</x:f>
        <x:v>0.55</x:v>
      </x:c>
      <x:c r="F125" s="25" t="n">
        <x:v>0</x:v>
      </x:c>
      <x:c r="G125" s="27" t="str">
        <x:f>IF(E125&gt;F125,"PASS","FAIL")</x:f>
        <x:v>PASS</x:v>
      </x:c>
    </x:row>
    <x:row r="126" ht="18" customHeight="1">
      <x:c r="B126" s="25" t="str">
        <x:v>A120</x:v>
      </x:c>
      <x:c r="C126" s="25" t="str">
        <x:v>component state</x:v>
      </x:c>
      <x:c r="D126" s="25" t="str">
        <x:v>Terrain Carrier Node row 15 remains OPEN</x:v>
      </x:c>
      <x:c r="E126" s="25" t="n">
        <x:f>IF('Terrain Carrier Node'!I15="OPEN",1,0)</x:f>
        <x:v>1</x:v>
      </x:c>
      <x:c r="F126" s="25" t="n">
        <x:v>1</x:v>
      </x:c>
      <x:c r="G126" s="27" t="str">
        <x:f>IF(E126=F126,"PASS","FAIL")</x:f>
        <x:v>PASS</x:v>
      </x:c>
    </x:row>
    <x:row r="127" ht="18" customHeight="1">
      <x:c r="B127" s="25" t="str">
        <x:v>A121</x:v>
      </x:c>
      <x:c r="C127" s="25" t="str">
        <x:v>component mass</x:v>
      </x:c>
      <x:c r="D127" s="25" t="str">
        <x:v>Terrain Carrier Node row 16 has positive mass</x:v>
      </x:c>
      <x:c r="E127" s="25" t="n">
        <x:f>'Terrain Carrier Node'!C16</x:f>
        <x:v>299.27</x:v>
      </x:c>
      <x:c r="F127" s="25" t="n">
        <x:v>0</x:v>
      </x:c>
      <x:c r="G127" s="27" t="str">
        <x:f>IF(E127&gt;F127,"PASS","FAIL")</x:f>
        <x:v>PASS</x:v>
      </x:c>
    </x:row>
    <x:row r="128" ht="18" customHeight="1">
      <x:c r="B128" s="25" t="str">
        <x:v>A122</x:v>
      </x:c>
      <x:c r="C128" s="25" t="str">
        <x:v>component volume</x:v>
      </x:c>
      <x:c r="D128" s="25" t="str">
        <x:v>Terrain Carrier Node row 16 has positive volume</x:v>
      </x:c>
      <x:c r="E128" s="25" t="n">
        <x:f>'Terrain Carrier Node'!D16</x:f>
        <x:v>0.78</x:v>
      </x:c>
      <x:c r="F128" s="25" t="n">
        <x:v>0</x:v>
      </x:c>
      <x:c r="G128" s="27" t="str">
        <x:f>IF(E128&gt;F128,"PASS","FAIL")</x:f>
        <x:v>PASS</x:v>
      </x:c>
    </x:row>
    <x:row r="129" ht="18" customHeight="1">
      <x:c r="B129" s="25" t="str">
        <x:v>A123</x:v>
      </x:c>
      <x:c r="C129" s="25" t="str">
        <x:v>component state</x:v>
      </x:c>
      <x:c r="D129" s="25" t="str">
        <x:v>Terrain Carrier Node row 16 remains OPEN</x:v>
      </x:c>
      <x:c r="E129" s="25" t="n">
        <x:f>IF('Terrain Carrier Node'!I16="OPEN",1,0)</x:f>
        <x:v>1</x:v>
      </x:c>
      <x:c r="F129" s="25" t="n">
        <x:v>1</x:v>
      </x:c>
      <x:c r="G129" s="27" t="str">
        <x:f>IF(E129=F129,"PASS","FAIL")</x:f>
        <x:v>PASS</x:v>
      </x:c>
    </x:row>
    <x:row r="130" ht="18" customHeight="1">
      <x:c r="B130" s="25" t="str">
        <x:v>A124</x:v>
      </x:c>
      <x:c r="C130" s="25" t="str">
        <x:v>component mass</x:v>
      </x:c>
      <x:c r="D130" s="25" t="str">
        <x:v>Receiver Station row 7 has positive mass</x:v>
      </x:c>
      <x:c r="E130" s="25" t="n">
        <x:f>'Receiver Station'!C7</x:f>
        <x:v>400</x:v>
      </x:c>
      <x:c r="F130" s="25" t="n">
        <x:v>0</x:v>
      </x:c>
      <x:c r="G130" s="27" t="str">
        <x:f>IF(E130&gt;F130,"PASS","FAIL")</x:f>
        <x:v>PASS</x:v>
      </x:c>
    </x:row>
    <x:row r="131" ht="18" customHeight="1">
      <x:c r="B131" s="25" t="str">
        <x:v>A125</x:v>
      </x:c>
      <x:c r="C131" s="25" t="str">
        <x:v>component volume</x:v>
      </x:c>
      <x:c r="D131" s="25" t="str">
        <x:v>Receiver Station row 7 has positive volume</x:v>
      </x:c>
      <x:c r="E131" s="25" t="n">
        <x:f>'Receiver Station'!D7</x:f>
        <x:v>1.8</x:v>
      </x:c>
      <x:c r="F131" s="25" t="n">
        <x:v>0</x:v>
      </x:c>
      <x:c r="G131" s="27" t="str">
        <x:f>IF(E131&gt;F131,"PASS","FAIL")</x:f>
        <x:v>PASS</x:v>
      </x:c>
    </x:row>
    <x:row r="132" ht="18" customHeight="1">
      <x:c r="B132" s="25" t="str">
        <x:v>A126</x:v>
      </x:c>
      <x:c r="C132" s="25" t="str">
        <x:v>component state</x:v>
      </x:c>
      <x:c r="D132" s="25" t="str">
        <x:v>Receiver Station row 7 remains OPEN</x:v>
      </x:c>
      <x:c r="E132" s="25" t="n">
        <x:f>IF('Receiver Station'!I7="OPEN",1,0)</x:f>
        <x:v>1</x:v>
      </x:c>
      <x:c r="F132" s="25" t="n">
        <x:v>1</x:v>
      </x:c>
      <x:c r="G132" s="27" t="str">
        <x:f>IF(E132=F132,"PASS","FAIL")</x:f>
        <x:v>PASS</x:v>
      </x:c>
    </x:row>
    <x:row r="133" ht="18" customHeight="1">
      <x:c r="B133" s="25" t="str">
        <x:v>A127</x:v>
      </x:c>
      <x:c r="C133" s="25" t="str">
        <x:v>component mass</x:v>
      </x:c>
      <x:c r="D133" s="25" t="str">
        <x:v>Receiver Station row 8 has positive mass</x:v>
      </x:c>
      <x:c r="E133" s="25" t="n">
        <x:f>'Receiver Station'!C8</x:f>
        <x:v>150</x:v>
      </x:c>
      <x:c r="F133" s="25" t="n">
        <x:v>0</x:v>
      </x:c>
      <x:c r="G133" s="27" t="str">
        <x:f>IF(E133&gt;F133,"PASS","FAIL")</x:f>
        <x:v>PASS</x:v>
      </x:c>
    </x:row>
    <x:row r="134" ht="18" customHeight="1">
      <x:c r="B134" s="25" t="str">
        <x:v>A128</x:v>
      </x:c>
      <x:c r="C134" s="25" t="str">
        <x:v>component volume</x:v>
      </x:c>
      <x:c r="D134" s="25" t="str">
        <x:v>Receiver Station row 8 has positive volume</x:v>
      </x:c>
      <x:c r="E134" s="25" t="n">
        <x:f>'Receiver Station'!D8</x:f>
        <x:v>0.6</x:v>
      </x:c>
      <x:c r="F134" s="25" t="n">
        <x:v>0</x:v>
      </x:c>
      <x:c r="G134" s="27" t="str">
        <x:f>IF(E134&gt;F134,"PASS","FAIL")</x:f>
        <x:v>PASS</x:v>
      </x:c>
    </x:row>
    <x:row r="135" ht="18" customHeight="1">
      <x:c r="B135" s="25" t="str">
        <x:v>A129</x:v>
      </x:c>
      <x:c r="C135" s="25" t="str">
        <x:v>component state</x:v>
      </x:c>
      <x:c r="D135" s="25" t="str">
        <x:v>Receiver Station row 8 remains OPEN</x:v>
      </x:c>
      <x:c r="E135" s="25" t="n">
        <x:f>IF('Receiver Station'!I8="OPEN",1,0)</x:f>
        <x:v>1</x:v>
      </x:c>
      <x:c r="F135" s="25" t="n">
        <x:v>1</x:v>
      </x:c>
      <x:c r="G135" s="27" t="str">
        <x:f>IF(E135=F135,"PASS","FAIL")</x:f>
        <x:v>PASS</x:v>
      </x:c>
    </x:row>
    <x:row r="136" ht="18" customHeight="1">
      <x:c r="B136" s="25" t="str">
        <x:v>A130</x:v>
      </x:c>
      <x:c r="C136" s="25" t="str">
        <x:v>component mass</x:v>
      </x:c>
      <x:c r="D136" s="25" t="str">
        <x:v>Receiver Station row 9 has positive mass</x:v>
      </x:c>
      <x:c r="E136" s="25" t="n">
        <x:f>'Receiver Station'!C9</x:f>
        <x:v>150</x:v>
      </x:c>
      <x:c r="F136" s="25" t="n">
        <x:v>0</x:v>
      </x:c>
      <x:c r="G136" s="27" t="str">
        <x:f>IF(E136&gt;F136,"PASS","FAIL")</x:f>
        <x:v>PASS</x:v>
      </x:c>
    </x:row>
    <x:row r="137" ht="18" customHeight="1">
      <x:c r="B137" s="25" t="str">
        <x:v>A131</x:v>
      </x:c>
      <x:c r="C137" s="25" t="str">
        <x:v>component volume</x:v>
      </x:c>
      <x:c r="D137" s="25" t="str">
        <x:v>Receiver Station row 9 has positive volume</x:v>
      </x:c>
      <x:c r="E137" s="25" t="n">
        <x:f>'Receiver Station'!D9</x:f>
        <x:v>0.7</x:v>
      </x:c>
      <x:c r="F137" s="25" t="n">
        <x:v>0</x:v>
      </x:c>
      <x:c r="G137" s="27" t="str">
        <x:f>IF(E137&gt;F137,"PASS","FAIL")</x:f>
        <x:v>PASS</x:v>
      </x:c>
    </x:row>
    <x:row r="138" ht="18" customHeight="1">
      <x:c r="B138" s="25" t="str">
        <x:v>A132</x:v>
      </x:c>
      <x:c r="C138" s="25" t="str">
        <x:v>component state</x:v>
      </x:c>
      <x:c r="D138" s="25" t="str">
        <x:v>Receiver Station row 9 remains OPEN</x:v>
      </x:c>
      <x:c r="E138" s="25" t="n">
        <x:f>IF('Receiver Station'!I9="OPEN",1,0)</x:f>
        <x:v>1</x:v>
      </x:c>
      <x:c r="F138" s="25" t="n">
        <x:v>1</x:v>
      </x:c>
      <x:c r="G138" s="27" t="str">
        <x:f>IF(E138=F138,"PASS","FAIL")</x:f>
        <x:v>PASS</x:v>
      </x:c>
    </x:row>
    <x:row r="139" ht="18" customHeight="1">
      <x:c r="B139" s="25" t="str">
        <x:v>A133</x:v>
      </x:c>
      <x:c r="C139" s="25" t="str">
        <x:v>component mass</x:v>
      </x:c>
      <x:c r="D139" s="25" t="str">
        <x:v>Receiver Station row 10 has positive mass</x:v>
      </x:c>
      <x:c r="E139" s="25" t="n">
        <x:f>'Receiver Station'!C10</x:f>
        <x:v>100</x:v>
      </x:c>
      <x:c r="F139" s="25" t="n">
        <x:v>0</x:v>
      </x:c>
      <x:c r="G139" s="27" t="str">
        <x:f>IF(E139&gt;F139,"PASS","FAIL")</x:f>
        <x:v>PASS</x:v>
      </x:c>
    </x:row>
    <x:row r="140" ht="18" customHeight="1">
      <x:c r="B140" s="25" t="str">
        <x:v>A134</x:v>
      </x:c>
      <x:c r="C140" s="25" t="str">
        <x:v>component volume</x:v>
      </x:c>
      <x:c r="D140" s="25" t="str">
        <x:v>Receiver Station row 10 has positive volume</x:v>
      </x:c>
      <x:c r="E140" s="25" t="n">
        <x:f>'Receiver Station'!D10</x:f>
        <x:v>0.3</x:v>
      </x:c>
      <x:c r="F140" s="25" t="n">
        <x:v>0</x:v>
      </x:c>
      <x:c r="G140" s="27" t="str">
        <x:f>IF(E140&gt;F140,"PASS","FAIL")</x:f>
        <x:v>PASS</x:v>
      </x:c>
    </x:row>
    <x:row r="141" ht="18" customHeight="1">
      <x:c r="B141" s="25" t="str">
        <x:v>A135</x:v>
      </x:c>
      <x:c r="C141" s="25" t="str">
        <x:v>component state</x:v>
      </x:c>
      <x:c r="D141" s="25" t="str">
        <x:v>Receiver Station row 10 remains OPEN</x:v>
      </x:c>
      <x:c r="E141" s="25" t="n">
        <x:f>IF('Receiver Station'!I10="OPEN",1,0)</x:f>
        <x:v>1</x:v>
      </x:c>
      <x:c r="F141" s="25" t="n">
        <x:v>1</x:v>
      </x:c>
      <x:c r="G141" s="27" t="str">
        <x:f>IF(E141=F141,"PASS","FAIL")</x:f>
        <x:v>PASS</x:v>
      </x:c>
    </x:row>
    <x:row r="142" ht="18" customHeight="1">
      <x:c r="B142" s="25" t="str">
        <x:v>A136</x:v>
      </x:c>
      <x:c r="C142" s="25" t="str">
        <x:v>component mass</x:v>
      </x:c>
      <x:c r="D142" s="25" t="str">
        <x:v>Receiver Station row 11 has positive mass</x:v>
      </x:c>
      <x:c r="E142" s="25" t="n">
        <x:f>'Receiver Station'!C11</x:f>
        <x:v>100</x:v>
      </x:c>
      <x:c r="F142" s="25" t="n">
        <x:v>0</x:v>
      </x:c>
      <x:c r="G142" s="27" t="str">
        <x:f>IF(E142&gt;F142,"PASS","FAIL")</x:f>
        <x:v>PASS</x:v>
      </x:c>
    </x:row>
    <x:row r="143" ht="18" customHeight="1">
      <x:c r="B143" s="25" t="str">
        <x:v>A137</x:v>
      </x:c>
      <x:c r="C143" s="25" t="str">
        <x:v>component volume</x:v>
      </x:c>
      <x:c r="D143" s="25" t="str">
        <x:v>Receiver Station row 11 has positive volume</x:v>
      </x:c>
      <x:c r="E143" s="25" t="n">
        <x:f>'Receiver Station'!D11</x:f>
        <x:v>0.5</x:v>
      </x:c>
      <x:c r="F143" s="25" t="n">
        <x:v>0</x:v>
      </x:c>
      <x:c r="G143" s="27" t="str">
        <x:f>IF(E143&gt;F143,"PASS","FAIL")</x:f>
        <x:v>PASS</x:v>
      </x:c>
    </x:row>
    <x:row r="144" ht="18" customHeight="1">
      <x:c r="B144" s="25" t="str">
        <x:v>A138</x:v>
      </x:c>
      <x:c r="C144" s="25" t="str">
        <x:v>component state</x:v>
      </x:c>
      <x:c r="D144" s="25" t="str">
        <x:v>Receiver Station row 11 remains OPEN</x:v>
      </x:c>
      <x:c r="E144" s="25" t="n">
        <x:f>IF('Receiver Station'!I11="OPEN",1,0)</x:f>
        <x:v>1</x:v>
      </x:c>
      <x:c r="F144" s="25" t="n">
        <x:v>1</x:v>
      </x:c>
      <x:c r="G144" s="27" t="str">
        <x:f>IF(E144=F144,"PASS","FAIL")</x:f>
        <x:v>PASS</x:v>
      </x:c>
    </x:row>
    <x:row r="145" ht="18" customHeight="1">
      <x:c r="B145" s="25" t="str">
        <x:v>A139</x:v>
      </x:c>
      <x:c r="C145" s="25" t="str">
        <x:v>component mass</x:v>
      </x:c>
      <x:c r="D145" s="25" t="str">
        <x:v>Receiver Station row 12 has positive mass</x:v>
      </x:c>
      <x:c r="E145" s="25" t="n">
        <x:f>'Receiver Station'!C12</x:f>
        <x:v>75</x:v>
      </x:c>
      <x:c r="F145" s="25" t="n">
        <x:v>0</x:v>
      </x:c>
      <x:c r="G145" s="27" t="str">
        <x:f>IF(E145&gt;F145,"PASS","FAIL")</x:f>
        <x:v>PASS</x:v>
      </x:c>
    </x:row>
    <x:row r="146" ht="18" customHeight="1">
      <x:c r="B146" s="25" t="str">
        <x:v>A140</x:v>
      </x:c>
      <x:c r="C146" s="25" t="str">
        <x:v>component volume</x:v>
      </x:c>
      <x:c r="D146" s="25" t="str">
        <x:v>Receiver Station row 12 has positive volume</x:v>
      </x:c>
      <x:c r="E146" s="25" t="n">
        <x:f>'Receiver Station'!D12</x:f>
        <x:v>0.3</x:v>
      </x:c>
      <x:c r="F146" s="25" t="n">
        <x:v>0</x:v>
      </x:c>
      <x:c r="G146" s="27" t="str">
        <x:f>IF(E146&gt;F146,"PASS","FAIL")</x:f>
        <x:v>PASS</x:v>
      </x:c>
    </x:row>
    <x:row r="147" ht="18" customHeight="1">
      <x:c r="B147" s="25" t="str">
        <x:v>A141</x:v>
      </x:c>
      <x:c r="C147" s="25" t="str">
        <x:v>component state</x:v>
      </x:c>
      <x:c r="D147" s="25" t="str">
        <x:v>Receiver Station row 12 remains OPEN</x:v>
      </x:c>
      <x:c r="E147" s="25" t="n">
        <x:f>IF('Receiver Station'!I12="OPEN",1,0)</x:f>
        <x:v>1</x:v>
      </x:c>
      <x:c r="F147" s="25" t="n">
        <x:v>1</x:v>
      </x:c>
      <x:c r="G147" s="27" t="str">
        <x:f>IF(E147=F147,"PASS","FAIL")</x:f>
        <x:v>PASS</x:v>
      </x:c>
    </x:row>
    <x:row r="148" ht="18" customHeight="1">
      <x:c r="B148" s="25" t="str">
        <x:v>A142</x:v>
      </x:c>
      <x:c r="C148" s="25" t="str">
        <x:v>component mass</x:v>
      </x:c>
      <x:c r="D148" s="25" t="str">
        <x:v>Receiver Station row 13 has positive mass</x:v>
      </x:c>
      <x:c r="E148" s="25" t="n">
        <x:f>'Receiver Station'!C13</x:f>
        <x:v>40</x:v>
      </x:c>
      <x:c r="F148" s="25" t="n">
        <x:v>0</x:v>
      </x:c>
      <x:c r="G148" s="27" t="str">
        <x:f>IF(E148&gt;F148,"PASS","FAIL")</x:f>
        <x:v>PASS</x:v>
      </x:c>
    </x:row>
    <x:row r="149" ht="18" customHeight="1">
      <x:c r="B149" s="25" t="str">
        <x:v>A143</x:v>
      </x:c>
      <x:c r="C149" s="25" t="str">
        <x:v>component volume</x:v>
      </x:c>
      <x:c r="D149" s="25" t="str">
        <x:v>Receiver Station row 13 has positive volume</x:v>
      </x:c>
      <x:c r="E149" s="25" t="n">
        <x:f>'Receiver Station'!D13</x:f>
        <x:v>0.12</x:v>
      </x:c>
      <x:c r="F149" s="25" t="n">
        <x:v>0</x:v>
      </x:c>
      <x:c r="G149" s="27" t="str">
        <x:f>IF(E149&gt;F149,"PASS","FAIL")</x:f>
        <x:v>PASS</x:v>
      </x:c>
    </x:row>
    <x:row r="150" ht="18" customHeight="1">
      <x:c r="B150" s="25" t="str">
        <x:v>A144</x:v>
      </x:c>
      <x:c r="C150" s="25" t="str">
        <x:v>component state</x:v>
      </x:c>
      <x:c r="D150" s="25" t="str">
        <x:v>Receiver Station row 13 remains OPEN</x:v>
      </x:c>
      <x:c r="E150" s="25" t="n">
        <x:f>IF('Receiver Station'!I13="OPEN",1,0)</x:f>
        <x:v>1</x:v>
      </x:c>
      <x:c r="F150" s="25" t="n">
        <x:v>1</x:v>
      </x:c>
      <x:c r="G150" s="27" t="str">
        <x:f>IF(E150=F150,"PASS","FAIL")</x:f>
        <x:v>PASS</x:v>
      </x:c>
    </x:row>
    <x:row r="151" ht="18" customHeight="1">
      <x:c r="B151" s="25" t="str">
        <x:v>A145</x:v>
      </x:c>
      <x:c r="C151" s="25" t="str">
        <x:v>component mass</x:v>
      </x:c>
      <x:c r="D151" s="25" t="str">
        <x:v>Receiver Station row 14 has positive mass</x:v>
      </x:c>
      <x:c r="E151" s="25" t="n">
        <x:f>'Receiver Station'!C14</x:f>
        <x:v>10</x:v>
      </x:c>
      <x:c r="F151" s="25" t="n">
        <x:v>0</x:v>
      </x:c>
      <x:c r="G151" s="27" t="str">
        <x:f>IF(E151&gt;F151,"PASS","FAIL")</x:f>
        <x:v>PASS</x:v>
      </x:c>
    </x:row>
    <x:row r="152" ht="18" customHeight="1">
      <x:c r="B152" s="25" t="str">
        <x:v>A146</x:v>
      </x:c>
      <x:c r="C152" s="25" t="str">
        <x:v>component volume</x:v>
      </x:c>
      <x:c r="D152" s="25" t="str">
        <x:v>Receiver Station row 14 has positive volume</x:v>
      </x:c>
      <x:c r="E152" s="25" t="n">
        <x:f>'Receiver Station'!D14</x:f>
        <x:v>0.03</x:v>
      </x:c>
      <x:c r="F152" s="25" t="n">
        <x:v>0</x:v>
      </x:c>
      <x:c r="G152" s="27" t="str">
        <x:f>IF(E152&gt;F152,"PASS","FAIL")</x:f>
        <x:v>PASS</x:v>
      </x:c>
    </x:row>
    <x:row r="153" ht="18" customHeight="1">
      <x:c r="B153" s="25" t="str">
        <x:v>A147</x:v>
      </x:c>
      <x:c r="C153" s="25" t="str">
        <x:v>component state</x:v>
      </x:c>
      <x:c r="D153" s="25" t="str">
        <x:v>Receiver Station row 14 remains OPEN</x:v>
      </x:c>
      <x:c r="E153" s="25" t="n">
        <x:f>IF('Receiver Station'!I14="OPEN",1,0)</x:f>
        <x:v>1</x:v>
      </x:c>
      <x:c r="F153" s="25" t="n">
        <x:v>1</x:v>
      </x:c>
      <x:c r="G153" s="27" t="str">
        <x:f>IF(E153=F153,"PASS","FAIL")</x:f>
        <x:v>PASS</x:v>
      </x:c>
    </x:row>
    <x:row r="154" ht="18" customHeight="1">
      <x:c r="B154" s="25" t="str">
        <x:v>A148</x:v>
      </x:c>
      <x:c r="C154" s="25" t="str">
        <x:v>component mass</x:v>
      </x:c>
      <x:c r="D154" s="25" t="str">
        <x:v>Receiver Station row 15 has positive mass</x:v>
      </x:c>
      <x:c r="E154" s="25" t="n">
        <x:f>'Receiver Station'!C15</x:f>
        <x:v>100</x:v>
      </x:c>
      <x:c r="F154" s="25" t="n">
        <x:v>0</x:v>
      </x:c>
      <x:c r="G154" s="27" t="str">
        <x:f>IF(E154&gt;F154,"PASS","FAIL")</x:f>
        <x:v>PASS</x:v>
      </x:c>
    </x:row>
    <x:row r="155" ht="18" customHeight="1">
      <x:c r="B155" s="25" t="str">
        <x:v>A149</x:v>
      </x:c>
      <x:c r="C155" s="25" t="str">
        <x:v>component volume</x:v>
      </x:c>
      <x:c r="D155" s="25" t="str">
        <x:v>Receiver Station row 15 has positive volume</x:v>
      </x:c>
      <x:c r="E155" s="25" t="n">
        <x:f>'Receiver Station'!D15</x:f>
        <x:v>0.65</x:v>
      </x:c>
      <x:c r="F155" s="25" t="n">
        <x:v>0</x:v>
      </x:c>
      <x:c r="G155" s="27" t="str">
        <x:f>IF(E155&gt;F155,"PASS","FAIL")</x:f>
        <x:v>PASS</x:v>
      </x:c>
    </x:row>
    <x:row r="156" ht="18" customHeight="1">
      <x:c r="B156" s="25" t="str">
        <x:v>A150</x:v>
      </x:c>
      <x:c r="C156" s="25" t="str">
        <x:v>component state</x:v>
      </x:c>
      <x:c r="D156" s="25" t="str">
        <x:v>Receiver Station row 15 remains OPEN</x:v>
      </x:c>
      <x:c r="E156" s="25" t="n">
        <x:f>IF('Receiver Station'!I15="OPEN",1,0)</x:f>
        <x:v>1</x:v>
      </x:c>
      <x:c r="F156" s="25" t="n">
        <x:v>1</x:v>
      </x:c>
      <x:c r="G156" s="27" t="str">
        <x:f>IF(E156=F156,"PASS","FAIL")</x:f>
        <x:v>PASS</x:v>
      </x:c>
    </x:row>
    <x:row r="157" ht="18" customHeight="1">
      <x:c r="B157" s="25" t="str">
        <x:v>A151</x:v>
      </x:c>
      <x:c r="C157" s="25" t="str">
        <x:v>component mass</x:v>
      </x:c>
      <x:c r="D157" s="25" t="str">
        <x:v>Receiver Station row 16 has positive mass</x:v>
      </x:c>
      <x:c r="E157" s="25" t="n">
        <x:f>'Receiver Station'!C16</x:f>
        <x:v>1675</x:v>
      </x:c>
      <x:c r="F157" s="25" t="n">
        <x:v>0</x:v>
      </x:c>
      <x:c r="G157" s="27" t="str">
        <x:f>IF(E157&gt;F157,"PASS","FAIL")</x:f>
        <x:v>PASS</x:v>
      </x:c>
    </x:row>
    <x:row r="158" ht="18" customHeight="1">
      <x:c r="B158" s="25" t="str">
        <x:v>A152</x:v>
      </x:c>
      <x:c r="C158" s="25" t="str">
        <x:v>component volume</x:v>
      </x:c>
      <x:c r="D158" s="25" t="str">
        <x:v>Receiver Station row 16 has positive volume</x:v>
      </x:c>
      <x:c r="E158" s="25" t="n">
        <x:f>'Receiver Station'!D16</x:f>
        <x:v>4.5</x:v>
      </x:c>
      <x:c r="F158" s="25" t="n">
        <x:v>0</x:v>
      </x:c>
      <x:c r="G158" s="27" t="str">
        <x:f>IF(E158&gt;F158,"PASS","FAIL")</x:f>
        <x:v>PASS</x:v>
      </x:c>
    </x:row>
    <x:row r="159" ht="18" customHeight="1">
      <x:c r="B159" s="25" t="str">
        <x:v>A153</x:v>
      </x:c>
      <x:c r="C159" s="25" t="str">
        <x:v>component state</x:v>
      </x:c>
      <x:c r="D159" s="25" t="str">
        <x:v>Receiver Station row 16 remains OPEN</x:v>
      </x:c>
      <x:c r="E159" s="25" t="n">
        <x:f>IF('Receiver Station'!I16="OPEN",1,0)</x:f>
        <x:v>1</x:v>
      </x:c>
      <x:c r="F159" s="25" t="n">
        <x:v>1</x:v>
      </x:c>
      <x:c r="G159" s="27" t="str">
        <x:f>IF(E159=F159,"PASS","FAIL")</x:f>
        <x:v>PASS</x:v>
      </x:c>
    </x:row>
    <x:row r="160" ht="18" customHeight="1">
      <x:c r="B160" s="25" t="str">
        <x:v>A154</x:v>
      </x:c>
      <x:c r="C160" s="25" t="str">
        <x:v>node envelope</x:v>
      </x:c>
      <x:c r="D160" s="25" t="str">
        <x:v>Air Tile Kit envelope check 1 passes</x:v>
      </x:c>
      <x:c r="E160" s="25" t="n">
        <x:f>IF('Air Tile Kit'!F22="PASS",1,0)</x:f>
        <x:v>1</x:v>
      </x:c>
      <x:c r="F160" s="25" t="n">
        <x:v>1</x:v>
      </x:c>
      <x:c r="G160" s="27" t="str">
        <x:f>IF(E160=F160,"PASS","FAIL")</x:f>
        <x:v>PASS</x:v>
      </x:c>
    </x:row>
    <x:row r="161" ht="18" customHeight="1">
      <x:c r="B161" s="25" t="str">
        <x:v>A155</x:v>
      </x:c>
      <x:c r="C161" s="25" t="str">
        <x:v>node envelope</x:v>
      </x:c>
      <x:c r="D161" s="25" t="str">
        <x:v>Air Tile Kit envelope check 2 passes</x:v>
      </x:c>
      <x:c r="E161" s="25" t="n">
        <x:f>IF('Air Tile Kit'!F23="PASS",1,0)</x:f>
        <x:v>1</x:v>
      </x:c>
      <x:c r="F161" s="25" t="n">
        <x:v>1</x:v>
      </x:c>
      <x:c r="G161" s="27" t="str">
        <x:f>IF(E161=F161,"PASS","FAIL")</x:f>
        <x:v>PASS</x:v>
      </x:c>
    </x:row>
    <x:row r="162" ht="18" customHeight="1">
      <x:c r="B162" s="25" t="str">
        <x:v>A156</x:v>
      </x:c>
      <x:c r="C162" s="25" t="str">
        <x:v>node envelope</x:v>
      </x:c>
      <x:c r="D162" s="25" t="str">
        <x:v>Air Tile Kit envelope check 3 passes</x:v>
      </x:c>
      <x:c r="E162" s="25" t="n">
        <x:f>IF('Air Tile Kit'!F24="PASS",1,0)</x:f>
        <x:v>1</x:v>
      </x:c>
      <x:c r="F162" s="25" t="n">
        <x:v>1</x:v>
      </x:c>
      <x:c r="G162" s="27" t="str">
        <x:f>IF(E162=F162,"PASS","FAIL")</x:f>
        <x:v>PASS</x:v>
      </x:c>
    </x:row>
    <x:row r="163" ht="18" customHeight="1">
      <x:c r="B163" s="25" t="str">
        <x:v>A157</x:v>
      </x:c>
      <x:c r="C163" s="25" t="str">
        <x:v>node envelope</x:v>
      </x:c>
      <x:c r="D163" s="25" t="str">
        <x:v>Air Tile Kit envelope check 4 passes</x:v>
      </x:c>
      <x:c r="E163" s="25" t="n">
        <x:f>IF('Air Tile Kit'!F25="PASS",1,0)</x:f>
        <x:v>1</x:v>
      </x:c>
      <x:c r="F163" s="25" t="n">
        <x:v>1</x:v>
      </x:c>
      <x:c r="G163" s="27" t="str">
        <x:f>IF(E163=F163,"PASS","FAIL")</x:f>
        <x:v>PASS</x:v>
      </x:c>
    </x:row>
    <x:row r="164" ht="18" customHeight="1">
      <x:c r="B164" s="25" t="str">
        <x:v>A158</x:v>
      </x:c>
      <x:c r="C164" s="25" t="str">
        <x:v>node envelope</x:v>
      </x:c>
      <x:c r="D164" s="25" t="str">
        <x:v>Air Tile Kit envelope check 5 passes</x:v>
      </x:c>
      <x:c r="E164" s="25" t="n">
        <x:f>IF('Air Tile Kit'!F26="PASS",1,0)</x:f>
        <x:v>1</x:v>
      </x:c>
      <x:c r="F164" s="25" t="n">
        <x:v>1</x:v>
      </x:c>
      <x:c r="G164" s="27" t="str">
        <x:f>IF(E164=F164,"PASS","FAIL")</x:f>
        <x:v>PASS</x:v>
      </x:c>
    </x:row>
    <x:row r="165" ht="18" customHeight="1">
      <x:c r="B165" s="25" t="str">
        <x:v>A159</x:v>
      </x:c>
      <x:c r="C165" s="25" t="str">
        <x:v>node envelope</x:v>
      </x:c>
      <x:c r="D165" s="25" t="str">
        <x:v>Terrain Tile Kit envelope check 1 passes</x:v>
      </x:c>
      <x:c r="E165" s="25" t="n">
        <x:f>IF('Terrain Tile Kit'!F24="PASS",1,0)</x:f>
        <x:v>1</x:v>
      </x:c>
      <x:c r="F165" s="25" t="n">
        <x:v>1</x:v>
      </x:c>
      <x:c r="G165" s="27" t="str">
        <x:f>IF(E165=F165,"PASS","FAIL")</x:f>
        <x:v>PASS</x:v>
      </x:c>
    </x:row>
    <x:row r="166" ht="18" customHeight="1">
      <x:c r="B166" s="25" t="str">
        <x:v>A160</x:v>
      </x:c>
      <x:c r="C166" s="25" t="str">
        <x:v>node envelope</x:v>
      </x:c>
      <x:c r="D166" s="25" t="str">
        <x:v>Terrain Tile Kit envelope check 2 passes</x:v>
      </x:c>
      <x:c r="E166" s="25" t="n">
        <x:f>IF('Terrain Tile Kit'!F25="PASS",1,0)</x:f>
        <x:v>1</x:v>
      </x:c>
      <x:c r="F166" s="25" t="n">
        <x:v>1</x:v>
      </x:c>
      <x:c r="G166" s="27" t="str">
        <x:f>IF(E166=F166,"PASS","FAIL")</x:f>
        <x:v>PASS</x:v>
      </x:c>
    </x:row>
    <x:row r="167" ht="18" customHeight="1">
      <x:c r="B167" s="25" t="str">
        <x:v>A161</x:v>
      </x:c>
      <x:c r="C167" s="25" t="str">
        <x:v>node envelope</x:v>
      </x:c>
      <x:c r="D167" s="25" t="str">
        <x:v>Terrain Tile Kit envelope check 3 passes</x:v>
      </x:c>
      <x:c r="E167" s="25" t="n">
        <x:f>IF('Terrain Tile Kit'!F26="PASS",1,0)</x:f>
        <x:v>1</x:v>
      </x:c>
      <x:c r="F167" s="25" t="n">
        <x:v>1</x:v>
      </x:c>
      <x:c r="G167" s="27" t="str">
        <x:f>IF(E167=F167,"PASS","FAIL")</x:f>
        <x:v>PASS</x:v>
      </x:c>
    </x:row>
    <x:row r="168" ht="18" customHeight="1">
      <x:c r="B168" s="25" t="str">
        <x:v>A162</x:v>
      </x:c>
      <x:c r="C168" s="25" t="str">
        <x:v>node envelope</x:v>
      </x:c>
      <x:c r="D168" s="25" t="str">
        <x:v>Terrain Tile Kit envelope check 4 passes</x:v>
      </x:c>
      <x:c r="E168" s="25" t="n">
        <x:f>IF('Terrain Tile Kit'!F27="PASS",1,0)</x:f>
        <x:v>1</x:v>
      </x:c>
      <x:c r="F168" s="25" t="n">
        <x:v>1</x:v>
      </x:c>
      <x:c r="G168" s="27" t="str">
        <x:f>IF(E168=F168,"PASS","FAIL")</x:f>
        <x:v>PASS</x:v>
      </x:c>
    </x:row>
    <x:row r="169" ht="18" customHeight="1">
      <x:c r="B169" s="25" t="str">
        <x:v>A163</x:v>
      </x:c>
      <x:c r="C169" s="25" t="str">
        <x:v>node envelope</x:v>
      </x:c>
      <x:c r="D169" s="25" t="str">
        <x:v>Terrain Tile Kit envelope check 5 passes</x:v>
      </x:c>
      <x:c r="E169" s="25" t="n">
        <x:f>IF('Terrain Tile Kit'!F28="PASS",1,0)</x:f>
        <x:v>1</x:v>
      </x:c>
      <x:c r="F169" s="25" t="n">
        <x:v>1</x:v>
      </x:c>
      <x:c r="G169" s="27" t="str">
        <x:f>IF(E169=F169,"PASS","FAIL")</x:f>
        <x:v>PASS</x:v>
      </x:c>
    </x:row>
    <x:row r="170" ht="18" customHeight="1">
      <x:c r="B170" s="25" t="str">
        <x:v>A164</x:v>
      </x:c>
      <x:c r="C170" s="25" t="str">
        <x:v>node envelope</x:v>
      </x:c>
      <x:c r="D170" s="25" t="str">
        <x:v>Air Carrier Node envelope check 1 passes</x:v>
      </x:c>
      <x:c r="E170" s="25" t="n">
        <x:f>IF('Air Carrier Node'!F21="PASS",1,0)</x:f>
        <x:v>1</x:v>
      </x:c>
      <x:c r="F170" s="25" t="n">
        <x:v>1</x:v>
      </x:c>
      <x:c r="G170" s="27" t="str">
        <x:f>IF(E170=F170,"PASS","FAIL")</x:f>
        <x:v>PASS</x:v>
      </x:c>
    </x:row>
    <x:row r="171" ht="18" customHeight="1">
      <x:c r="B171" s="25" t="str">
        <x:v>A165</x:v>
      </x:c>
      <x:c r="C171" s="25" t="str">
        <x:v>node envelope</x:v>
      </x:c>
      <x:c r="D171" s="25" t="str">
        <x:v>Air Carrier Node envelope check 2 passes</x:v>
      </x:c>
      <x:c r="E171" s="25" t="n">
        <x:f>IF('Air Carrier Node'!F22="PASS",1,0)</x:f>
        <x:v>1</x:v>
      </x:c>
      <x:c r="F171" s="25" t="n">
        <x:v>1</x:v>
      </x:c>
      <x:c r="G171" s="27" t="str">
        <x:f>IF(E171=F171,"PASS","FAIL")</x:f>
        <x:v>PASS</x:v>
      </x:c>
    </x:row>
    <x:row r="172" ht="18" customHeight="1">
      <x:c r="B172" s="25" t="str">
        <x:v>A166</x:v>
      </x:c>
      <x:c r="C172" s="25" t="str">
        <x:v>node envelope</x:v>
      </x:c>
      <x:c r="D172" s="25" t="str">
        <x:v>Air Carrier Node envelope check 3 passes</x:v>
      </x:c>
      <x:c r="E172" s="25" t="n">
        <x:f>IF('Air Carrier Node'!F23="PASS",1,0)</x:f>
        <x:v>1</x:v>
      </x:c>
      <x:c r="F172" s="25" t="n">
        <x:v>1</x:v>
      </x:c>
      <x:c r="G172" s="27" t="str">
        <x:f>IF(E172=F172,"PASS","FAIL")</x:f>
        <x:v>PASS</x:v>
      </x:c>
    </x:row>
    <x:row r="173" ht="18" customHeight="1">
      <x:c r="B173" s="25" t="str">
        <x:v>A167</x:v>
      </x:c>
      <x:c r="C173" s="25" t="str">
        <x:v>node envelope</x:v>
      </x:c>
      <x:c r="D173" s="25" t="str">
        <x:v>Air Carrier Node envelope check 4 passes</x:v>
      </x:c>
      <x:c r="E173" s="25" t="n">
        <x:f>IF('Air Carrier Node'!F24="PASS",1,0)</x:f>
        <x:v>1</x:v>
      </x:c>
      <x:c r="F173" s="25" t="n">
        <x:v>1</x:v>
      </x:c>
      <x:c r="G173" s="27" t="str">
        <x:f>IF(E173=F173,"PASS","FAIL")</x:f>
        <x:v>PASS</x:v>
      </x:c>
    </x:row>
    <x:row r="174" ht="18" customHeight="1">
      <x:c r="B174" s="25" t="str">
        <x:v>A168</x:v>
      </x:c>
      <x:c r="C174" s="25" t="str">
        <x:v>node envelope</x:v>
      </x:c>
      <x:c r="D174" s="25" t="str">
        <x:v>Air Carrier Node envelope check 5 passes</x:v>
      </x:c>
      <x:c r="E174" s="25" t="n">
        <x:f>IF('Air Carrier Node'!F25="PASS",1,0)</x:f>
        <x:v>1</x:v>
      </x:c>
      <x:c r="F174" s="25" t="n">
        <x:v>1</x:v>
      </x:c>
      <x:c r="G174" s="27" t="str">
        <x:f>IF(E174=F174,"PASS","FAIL")</x:f>
        <x:v>PASS</x:v>
      </x:c>
    </x:row>
    <x:row r="175" ht="18" customHeight="1">
      <x:c r="B175" s="25" t="str">
        <x:v>A169</x:v>
      </x:c>
      <x:c r="C175" s="25" t="str">
        <x:v>node envelope</x:v>
      </x:c>
      <x:c r="D175" s="25" t="str">
        <x:v>Terrain Carrier Node envelope check 1 passes</x:v>
      </x:c>
      <x:c r="E175" s="25" t="n">
        <x:f>IF('Terrain Carrier Node'!F22="PASS",1,0)</x:f>
        <x:v>1</x:v>
      </x:c>
      <x:c r="F175" s="25" t="n">
        <x:v>1</x:v>
      </x:c>
      <x:c r="G175" s="27" t="str">
        <x:f>IF(E175=F175,"PASS","FAIL")</x:f>
        <x:v>PASS</x:v>
      </x:c>
    </x:row>
    <x:row r="176" ht="18" customHeight="1">
      <x:c r="B176" s="25" t="str">
        <x:v>A170</x:v>
      </x:c>
      <x:c r="C176" s="25" t="str">
        <x:v>node envelope</x:v>
      </x:c>
      <x:c r="D176" s="25" t="str">
        <x:v>Terrain Carrier Node envelope check 2 passes</x:v>
      </x:c>
      <x:c r="E176" s="25" t="n">
        <x:f>IF('Terrain Carrier Node'!F23="PASS",1,0)</x:f>
        <x:v>1</x:v>
      </x:c>
      <x:c r="F176" s="25" t="n">
        <x:v>1</x:v>
      </x:c>
      <x:c r="G176" s="27" t="str">
        <x:f>IF(E176=F176,"PASS","FAIL")</x:f>
        <x:v>PASS</x:v>
      </x:c>
    </x:row>
    <x:row r="177" ht="18" customHeight="1">
      <x:c r="B177" s="25" t="str">
        <x:v>A171</x:v>
      </x:c>
      <x:c r="C177" s="25" t="str">
        <x:v>node envelope</x:v>
      </x:c>
      <x:c r="D177" s="25" t="str">
        <x:v>Terrain Carrier Node envelope check 3 passes</x:v>
      </x:c>
      <x:c r="E177" s="25" t="n">
        <x:f>IF('Terrain Carrier Node'!F24="PASS",1,0)</x:f>
        <x:v>1</x:v>
      </x:c>
      <x:c r="F177" s="25" t="n">
        <x:v>1</x:v>
      </x:c>
      <x:c r="G177" s="27" t="str">
        <x:f>IF(E177=F177,"PASS","FAIL")</x:f>
        <x:v>PASS</x:v>
      </x:c>
    </x:row>
    <x:row r="178" ht="18" customHeight="1">
      <x:c r="B178" s="25" t="str">
        <x:v>A172</x:v>
      </x:c>
      <x:c r="C178" s="25" t="str">
        <x:v>node envelope</x:v>
      </x:c>
      <x:c r="D178" s="25" t="str">
        <x:v>Terrain Carrier Node envelope check 4 passes</x:v>
      </x:c>
      <x:c r="E178" s="25" t="n">
        <x:f>IF('Terrain Carrier Node'!F25="PASS",1,0)</x:f>
        <x:v>1</x:v>
      </x:c>
      <x:c r="F178" s="25" t="n">
        <x:v>1</x:v>
      </x:c>
      <x:c r="G178" s="27" t="str">
        <x:f>IF(E178=F178,"PASS","FAIL")</x:f>
        <x:v>PASS</x:v>
      </x:c>
    </x:row>
    <x:row r="179" ht="18" customHeight="1">
      <x:c r="B179" s="25" t="str">
        <x:v>A173</x:v>
      </x:c>
      <x:c r="C179" s="25" t="str">
        <x:v>node envelope</x:v>
      </x:c>
      <x:c r="D179" s="25" t="str">
        <x:v>Terrain Carrier Node envelope check 5 passes</x:v>
      </x:c>
      <x:c r="E179" s="25" t="n">
        <x:f>IF('Terrain Carrier Node'!F26="PASS",1,0)</x:f>
        <x:v>1</x:v>
      </x:c>
      <x:c r="F179" s="25" t="n">
        <x:v>1</x:v>
      </x:c>
      <x:c r="G179" s="27" t="str">
        <x:f>IF(E179=F179,"PASS","FAIL")</x:f>
        <x:v>PASS</x:v>
      </x:c>
    </x:row>
    <x:row r="180" ht="18" customHeight="1">
      <x:c r="B180" s="25" t="str">
        <x:v>A174</x:v>
      </x:c>
      <x:c r="C180" s="25" t="str">
        <x:v>node envelope</x:v>
      </x:c>
      <x:c r="D180" s="25" t="str">
        <x:v>Receiver Station envelope check 1 passes</x:v>
      </x:c>
      <x:c r="E180" s="25" t="n">
        <x:f>IF('Receiver Station'!F22="PASS",1,0)</x:f>
        <x:v>1</x:v>
      </x:c>
      <x:c r="F180" s="25" t="n">
        <x:v>1</x:v>
      </x:c>
      <x:c r="G180" s="27" t="str">
        <x:f>IF(E180=F180,"PASS","FAIL")</x:f>
        <x:v>PASS</x:v>
      </x:c>
    </x:row>
    <x:row r="181" ht="18" customHeight="1">
      <x:c r="B181" s="25" t="str">
        <x:v>A175</x:v>
      </x:c>
      <x:c r="C181" s="25" t="str">
        <x:v>node envelope</x:v>
      </x:c>
      <x:c r="D181" s="25" t="str">
        <x:v>Receiver Station envelope check 2 passes</x:v>
      </x:c>
      <x:c r="E181" s="25" t="n">
        <x:f>IF('Receiver Station'!F23="PASS",1,0)</x:f>
        <x:v>1</x:v>
      </x:c>
      <x:c r="F181" s="25" t="n">
        <x:v>1</x:v>
      </x:c>
      <x:c r="G181" s="27" t="str">
        <x:f>IF(E181=F181,"PASS","FAIL")</x:f>
        <x:v>PASS</x:v>
      </x:c>
    </x:row>
    <x:row r="182" ht="18" customHeight="1">
      <x:c r="B182" s="25" t="str">
        <x:v>A176</x:v>
      </x:c>
      <x:c r="C182" s="25" t="str">
        <x:v>node envelope</x:v>
      </x:c>
      <x:c r="D182" s="25" t="str">
        <x:v>Receiver Station envelope check 3 passes</x:v>
      </x:c>
      <x:c r="E182" s="25" t="n">
        <x:f>IF('Receiver Station'!F24="PASS",1,0)</x:f>
        <x:v>1</x:v>
      </x:c>
      <x:c r="F182" s="25" t="n">
        <x:v>1</x:v>
      </x:c>
      <x:c r="G182" s="27" t="str">
        <x:f>IF(E182=F182,"PASS","FAIL")</x:f>
        <x:v>PASS</x:v>
      </x:c>
    </x:row>
    <x:row r="183" ht="18" customHeight="1">
      <x:c r="B183" s="25" t="str">
        <x:v>A177</x:v>
      </x:c>
      <x:c r="C183" s="25" t="str">
        <x:v>node envelope</x:v>
      </x:c>
      <x:c r="D183" s="25" t="str">
        <x:v>Receiver Station envelope check 4 passes</x:v>
      </x:c>
      <x:c r="E183" s="25" t="n">
        <x:f>IF('Receiver Station'!F25="PASS",1,0)</x:f>
        <x:v>1</x:v>
      </x:c>
      <x:c r="F183" s="25" t="n">
        <x:v>1</x:v>
      </x:c>
      <x:c r="G183" s="27" t="str">
        <x:f>IF(E183=F183,"PASS","FAIL")</x:f>
        <x:v>PASS</x:v>
      </x:c>
    </x:row>
    <x:row r="184" ht="18" customHeight="1">
      <x:c r="B184" s="25" t="str">
        <x:v>A178</x:v>
      </x:c>
      <x:c r="C184" s="25" t="str">
        <x:v>node envelope</x:v>
      </x:c>
      <x:c r="D184" s="25" t="str">
        <x:v>Receiver Station envelope check 5 passes</x:v>
      </x:c>
      <x:c r="E184" s="25" t="n">
        <x:f>IF('Receiver Station'!F26="PASS",1,0)</x:f>
        <x:v>1</x:v>
      </x:c>
      <x:c r="F184" s="25" t="n">
        <x:v>1</x:v>
      </x:c>
      <x:c r="G184" s="27" t="str">
        <x:f>IF(E184=F184,"PASS","FAIL")</x:f>
        <x:v>PASS</x:v>
      </x:c>
    </x:row>
    <x:row r="185" ht="18" customHeight="1">
      <x:c r="B185" s="25" t="str">
        <x:v>A179</x:v>
      </x:c>
      <x:c r="C185" s="25" t="str">
        <x:v>power endurance</x:v>
      </x:c>
      <x:c r="D185" s="25" t="str">
        <x:v>node 7 has battery margin</x:v>
      </x:c>
      <x:c r="E185" s="25" t="n">
        <x:f>'Power Endurance'!J7</x:f>
        <x:v>0</x:v>
      </x:c>
      <x:c r="F185" s="25" t="n">
        <x:v>0</x:v>
      </x:c>
      <x:c r="G185" s="27" t="str">
        <x:f>IF(E185&gt;=F185,"PASS","FAIL")</x:f>
        <x:v>PASS</x:v>
      </x:c>
    </x:row>
    <x:row r="186" ht="18" customHeight="1">
      <x:c r="B186" s="25" t="str">
        <x:v>A180</x:v>
      </x:c>
      <x:c r="C186" s="25" t="str">
        <x:v>power endurance</x:v>
      </x:c>
      <x:c r="D186" s="25" t="str">
        <x:v>node 7 uses zero mission energy</x:v>
      </x:c>
      <x:c r="E186" s="25" t="n">
        <x:f>'Power Endurance'!K7</x:f>
        <x:v>0</x:v>
      </x:c>
      <x:c r="F186" s="25" t="n">
        <x:v>0</x:v>
      </x:c>
      <x:c r="G186" s="27" t="str">
        <x:f>IF(E186=F186,"PASS","FAIL")</x:f>
        <x:v>PASS</x:v>
      </x:c>
    </x:row>
    <x:row r="187" ht="18" customHeight="1">
      <x:c r="B187" s="25" t="str">
        <x:v>A181</x:v>
      </x:c>
      <x:c r="C187" s="25" t="str">
        <x:v>power endurance</x:v>
      </x:c>
      <x:c r="D187" s="25" t="str">
        <x:v>node 7 passes</x:v>
      </x:c>
      <x:c r="E187" s="25" t="n">
        <x:f>IF('Power Endurance'!L7="PASS",1,0)</x:f>
        <x:v>1</x:v>
      </x:c>
      <x:c r="F187" s="25" t="n">
        <x:v>1</x:v>
      </x:c>
      <x:c r="G187" s="27" t="str">
        <x:f>IF(E187=F187,"PASS","FAIL")</x:f>
        <x:v>PASS</x:v>
      </x:c>
    </x:row>
    <x:row r="188" ht="18" customHeight="1">
      <x:c r="B188" s="25" t="str">
        <x:v>A182</x:v>
      </x:c>
      <x:c r="C188" s="25" t="str">
        <x:v>power endurance</x:v>
      </x:c>
      <x:c r="D188" s="25" t="str">
        <x:v>node 8 has battery margin</x:v>
      </x:c>
      <x:c r="E188" s="25" t="n">
        <x:f>'Power Endurance'!J8</x:f>
        <x:v>0.004545454545450411</x:v>
      </x:c>
      <x:c r="F188" s="25" t="n">
        <x:v>0</x:v>
      </x:c>
      <x:c r="G188" s="27" t="str">
        <x:f>IF(E188&gt;=F188,"PASS","FAIL")</x:f>
        <x:v>PASS</x:v>
      </x:c>
    </x:row>
    <x:row r="189" ht="18" customHeight="1">
      <x:c r="B189" s="25" t="str">
        <x:v>A183</x:v>
      </x:c>
      <x:c r="C189" s="25" t="str">
        <x:v>power endurance</x:v>
      </x:c>
      <x:c r="D189" s="25" t="str">
        <x:v>node 8 uses zero mission energy</x:v>
      </x:c>
      <x:c r="E189" s="25" t="n">
        <x:f>'Power Endurance'!K8</x:f>
        <x:v>0</x:v>
      </x:c>
      <x:c r="F189" s="25" t="n">
        <x:v>0</x:v>
      </x:c>
      <x:c r="G189" s="27" t="str">
        <x:f>IF(E189=F189,"PASS","FAIL")</x:f>
        <x:v>PASS</x:v>
      </x:c>
    </x:row>
    <x:row r="190" ht="18" customHeight="1">
      <x:c r="B190" s="25" t="str">
        <x:v>A184</x:v>
      </x:c>
      <x:c r="C190" s="25" t="str">
        <x:v>power endurance</x:v>
      </x:c>
      <x:c r="D190" s="25" t="str">
        <x:v>node 8 passes</x:v>
      </x:c>
      <x:c r="E190" s="25" t="n">
        <x:f>IF('Power Endurance'!L8="PASS",1,0)</x:f>
        <x:v>1</x:v>
      </x:c>
      <x:c r="F190" s="25" t="n">
        <x:v>1</x:v>
      </x:c>
      <x:c r="G190" s="27" t="str">
        <x:f>IF(E190=F190,"PASS","FAIL")</x:f>
        <x:v>PASS</x:v>
      </x:c>
    </x:row>
    <x:row r="191" ht="18" customHeight="1">
      <x:c r="B191" s="25" t="str">
        <x:v>A185</x:v>
      </x:c>
      <x:c r="C191" s="25" t="str">
        <x:v>power endurance</x:v>
      </x:c>
      <x:c r="D191" s="25" t="str">
        <x:v>node 9 has battery margin</x:v>
      </x:c>
      <x:c r="E191" s="25" t="n">
        <x:f>'Power Endurance'!J9</x:f>
        <x:v>0.003636363636360329</x:v>
      </x:c>
      <x:c r="F191" s="25" t="n">
        <x:v>0</x:v>
      </x:c>
      <x:c r="G191" s="27" t="str">
        <x:f>IF(E191&gt;=F191,"PASS","FAIL")</x:f>
        <x:v>PASS</x:v>
      </x:c>
    </x:row>
    <x:row r="192" ht="18" customHeight="1">
      <x:c r="B192" s="25" t="str">
        <x:v>A186</x:v>
      </x:c>
      <x:c r="C192" s="25" t="str">
        <x:v>power endurance</x:v>
      </x:c>
      <x:c r="D192" s="25" t="str">
        <x:v>node 9 uses zero mission energy</x:v>
      </x:c>
      <x:c r="E192" s="25" t="n">
        <x:f>'Power Endurance'!K9</x:f>
        <x:v>0</x:v>
      </x:c>
      <x:c r="F192" s="25" t="n">
        <x:v>0</x:v>
      </x:c>
      <x:c r="G192" s="27" t="str">
        <x:f>IF(E192=F192,"PASS","FAIL")</x:f>
        <x:v>PASS</x:v>
      </x:c>
    </x:row>
    <x:row r="193" ht="18" customHeight="1">
      <x:c r="B193" s="25" t="str">
        <x:v>A187</x:v>
      </x:c>
      <x:c r="C193" s="25" t="str">
        <x:v>power endurance</x:v>
      </x:c>
      <x:c r="D193" s="25" t="str">
        <x:v>node 9 passes</x:v>
      </x:c>
      <x:c r="E193" s="25" t="n">
        <x:f>IF('Power Endurance'!L9="PASS",1,0)</x:f>
        <x:v>1</x:v>
      </x:c>
      <x:c r="F193" s="25" t="n">
        <x:v>1</x:v>
      </x:c>
      <x:c r="G193" s="27" t="str">
        <x:f>IF(E193=F193,"PASS","FAIL")</x:f>
        <x:v>PASS</x:v>
      </x:c>
    </x:row>
    <x:row r="194" ht="18" customHeight="1">
      <x:c r="B194" s="25" t="str">
        <x:v>A188</x:v>
      </x:c>
      <x:c r="C194" s="25" t="str">
        <x:v>power endurance</x:v>
      </x:c>
      <x:c r="D194" s="25" t="str">
        <x:v>node 10 has battery margin</x:v>
      </x:c>
      <x:c r="E194" s="25" t="n">
        <x:f>'Power Endurance'!J10</x:f>
        <x:v>0.002727272727270247</x:v>
      </x:c>
      <x:c r="F194" s="25" t="n">
        <x:v>0</x:v>
      </x:c>
      <x:c r="G194" s="27" t="str">
        <x:f>IF(E194&gt;=F194,"PASS","FAIL")</x:f>
        <x:v>PASS</x:v>
      </x:c>
    </x:row>
    <x:row r="195" ht="18" customHeight="1">
      <x:c r="B195" s="25" t="str">
        <x:v>A189</x:v>
      </x:c>
      <x:c r="C195" s="25" t="str">
        <x:v>power endurance</x:v>
      </x:c>
      <x:c r="D195" s="25" t="str">
        <x:v>node 10 uses zero mission energy</x:v>
      </x:c>
      <x:c r="E195" s="25" t="n">
        <x:f>'Power Endurance'!K10</x:f>
        <x:v>0</x:v>
      </x:c>
      <x:c r="F195" s="25" t="n">
        <x:v>0</x:v>
      </x:c>
      <x:c r="G195" s="27" t="str">
        <x:f>IF(E195=F195,"PASS","FAIL")</x:f>
        <x:v>PASS</x:v>
      </x:c>
    </x:row>
    <x:row r="196" ht="18" customHeight="1">
      <x:c r="B196" s="25" t="str">
        <x:v>A190</x:v>
      </x:c>
      <x:c r="C196" s="25" t="str">
        <x:v>power endurance</x:v>
      </x:c>
      <x:c r="D196" s="25" t="str">
        <x:v>node 10 passes</x:v>
      </x:c>
      <x:c r="E196" s="25" t="n">
        <x:f>IF('Power Endurance'!L10="PASS",1,0)</x:f>
        <x:v>1</x:v>
      </x:c>
      <x:c r="F196" s="25" t="n">
        <x:v>1</x:v>
      </x:c>
      <x:c r="G196" s="27" t="str">
        <x:f>IF(E196=F196,"PASS","FAIL")</x:f>
        <x:v>PASS</x:v>
      </x:c>
    </x:row>
    <x:row r="197" ht="18" customHeight="1">
      <x:c r="B197" s="25" t="str">
        <x:v>A191</x:v>
      </x:c>
      <x:c r="C197" s="25" t="str">
        <x:v>power endurance</x:v>
      </x:c>
      <x:c r="D197" s="25" t="str">
        <x:v>node 11 has battery margin</x:v>
      </x:c>
      <x:c r="E197" s="25" t="n">
        <x:f>'Power Endurance'!J11</x:f>
        <x:v>0.005454545454540494</x:v>
      </x:c>
      <x:c r="F197" s="25" t="n">
        <x:v>0</x:v>
      </x:c>
      <x:c r="G197" s="27" t="str">
        <x:f>IF(E197&gt;=F197,"PASS","FAIL")</x:f>
        <x:v>PASS</x:v>
      </x:c>
    </x:row>
    <x:row r="198" ht="18" customHeight="1">
      <x:c r="B198" s="25" t="str">
        <x:v>A192</x:v>
      </x:c>
      <x:c r="C198" s="25" t="str">
        <x:v>power endurance</x:v>
      </x:c>
      <x:c r="D198" s="25" t="str">
        <x:v>node 11 uses zero mission energy</x:v>
      </x:c>
      <x:c r="E198" s="25" t="n">
        <x:f>'Power Endurance'!K11</x:f>
        <x:v>0</x:v>
      </x:c>
      <x:c r="F198" s="25" t="n">
        <x:v>0</x:v>
      </x:c>
      <x:c r="G198" s="27" t="str">
        <x:f>IF(E198=F198,"PASS","FAIL")</x:f>
        <x:v>PASS</x:v>
      </x:c>
    </x:row>
    <x:row r="199" ht="18" customHeight="1">
      <x:c r="B199" s="25" t="str">
        <x:v>A193</x:v>
      </x:c>
      <x:c r="C199" s="25" t="str">
        <x:v>power endurance</x:v>
      </x:c>
      <x:c r="D199" s="25" t="str">
        <x:v>node 11 passes</x:v>
      </x:c>
      <x:c r="E199" s="25" t="n">
        <x:f>IF('Power Endurance'!L11="PASS",1,0)</x:f>
        <x:v>1</x:v>
      </x:c>
      <x:c r="F199" s="25" t="n">
        <x:v>1</x:v>
      </x:c>
      <x:c r="G199" s="27" t="str">
        <x:f>IF(E199=F199,"PASS","FAIL")</x:f>
        <x:v>PASS</x:v>
      </x:c>
    </x:row>
    <x:row r="200" ht="18" customHeight="1">
      <x:c r="B200" s="25" t="str">
        <x:v>A194</x:v>
      </x:c>
      <x:c r="C200" s="25" t="str">
        <x:v>data endurance</x:v>
      </x:c>
      <x:c r="D200" s="25" t="str">
        <x:v>node 7 has storage margin</x:v>
      </x:c>
      <x:c r="E200" s="25" t="n">
        <x:f>'Data Endurance'!I7</x:f>
        <x:v>4.61312</x:v>
      </x:c>
      <x:c r="F200" s="25" t="n">
        <x:v>0</x:v>
      </x:c>
      <x:c r="G200" s="27" t="str">
        <x:f>IF(E200&gt;=F200,"PASS","FAIL")</x:f>
        <x:v>PASS</x:v>
      </x:c>
    </x:row>
    <x:row r="201" ht="18" customHeight="1">
      <x:c r="B201" s="25" t="str">
        <x:v>A195</x:v>
      </x:c>
      <x:c r="C201" s="25" t="str">
        <x:v>data endurance</x:v>
      </x:c>
      <x:c r="D201" s="25" t="str">
        <x:v>node 7 needs no network</x:v>
      </x:c>
      <x:c r="E201" s="25" t="n">
        <x:f>'Data Endurance'!K7</x:f>
        <x:v>0</x:v>
      </x:c>
      <x:c r="F201" s="25" t="n">
        <x:v>0</x:v>
      </x:c>
      <x:c r="G201" s="27" t="str">
        <x:f>IF(E201=F201,"PASS","FAIL")</x:f>
        <x:v>PASS</x:v>
      </x:c>
    </x:row>
    <x:row r="202" ht="18" customHeight="1">
      <x:c r="B202" s="25" t="str">
        <x:v>A196</x:v>
      </x:c>
      <x:c r="C202" s="25" t="str">
        <x:v>data endurance</x:v>
      </x:c>
      <x:c r="D202" s="25" t="str">
        <x:v>node 7 passes</x:v>
      </x:c>
      <x:c r="E202" s="25" t="n">
        <x:f>IF('Data Endurance'!L7="PASS",1,0)</x:f>
        <x:v>1</x:v>
      </x:c>
      <x:c r="F202" s="25" t="n">
        <x:v>1</x:v>
      </x:c>
      <x:c r="G202" s="27" t="str">
        <x:f>IF(E202=F202,"PASS","FAIL")</x:f>
        <x:v>PASS</x:v>
      </x:c>
    </x:row>
    <x:row r="203" ht="18" customHeight="1">
      <x:c r="B203" s="25" t="str">
        <x:v>A197</x:v>
      </x:c>
      <x:c r="C203" s="25" t="str">
        <x:v>data endurance</x:v>
      </x:c>
      <x:c r="D203" s="25" t="str">
        <x:v>node 8 has storage margin</x:v>
      </x:c>
      <x:c r="E203" s="25" t="n">
        <x:f>'Data Endurance'!I8</x:f>
        <x:v>3.863168</x:v>
      </x:c>
      <x:c r="F203" s="25" t="n">
        <x:v>0</x:v>
      </x:c>
      <x:c r="G203" s="27" t="str">
        <x:f>IF(E203&gt;=F203,"PASS","FAIL")</x:f>
        <x:v>PASS</x:v>
      </x:c>
    </x:row>
    <x:row r="204" ht="18" customHeight="1">
      <x:c r="B204" s="25" t="str">
        <x:v>A198</x:v>
      </x:c>
      <x:c r="C204" s="25" t="str">
        <x:v>data endurance</x:v>
      </x:c>
      <x:c r="D204" s="25" t="str">
        <x:v>node 8 needs no network</x:v>
      </x:c>
      <x:c r="E204" s="25" t="n">
        <x:f>'Data Endurance'!K8</x:f>
        <x:v>0</x:v>
      </x:c>
      <x:c r="F204" s="25" t="n">
        <x:v>0</x:v>
      </x:c>
      <x:c r="G204" s="27" t="str">
        <x:f>IF(E204=F204,"PASS","FAIL")</x:f>
        <x:v>PASS</x:v>
      </x:c>
    </x:row>
    <x:row r="205" ht="18" customHeight="1">
      <x:c r="B205" s="25" t="str">
        <x:v>A199</x:v>
      </x:c>
      <x:c r="C205" s="25" t="str">
        <x:v>data endurance</x:v>
      </x:c>
      <x:c r="D205" s="25" t="str">
        <x:v>node 8 passes</x:v>
      </x:c>
      <x:c r="E205" s="25" t="n">
        <x:f>IF('Data Endurance'!L8="PASS",1,0)</x:f>
        <x:v>1</x:v>
      </x:c>
      <x:c r="F205" s="25" t="n">
        <x:v>1</x:v>
      </x:c>
      <x:c r="G205" s="27" t="str">
        <x:f>IF(E205=F205,"PASS","FAIL")</x:f>
        <x:v>PASS</x:v>
      </x:c>
    </x:row>
    <x:row r="206" ht="18" customHeight="1">
      <x:c r="B206" s="25" t="str">
        <x:v>A200</x:v>
      </x:c>
      <x:c r="C206" s="25" t="str">
        <x:v>data endurance</x:v>
      </x:c>
      <x:c r="D206" s="25" t="str">
        <x:v>node 9 has storage margin</x:v>
      </x:c>
      <x:c r="E206" s="25" t="n">
        <x:f>'Data Endurance'!I9</x:f>
        <x:v>14.3232</x:v>
      </x:c>
      <x:c r="F206" s="25" t="n">
        <x:v>0</x:v>
      </x:c>
      <x:c r="G206" s="27" t="str">
        <x:f>IF(E206&gt;=F206,"PASS","FAIL")</x:f>
        <x:v>PASS</x:v>
      </x:c>
    </x:row>
    <x:row r="207" ht="18" customHeight="1">
      <x:c r="B207" s="25" t="str">
        <x:v>A201</x:v>
      </x:c>
      <x:c r="C207" s="25" t="str">
        <x:v>data endurance</x:v>
      </x:c>
      <x:c r="D207" s="25" t="str">
        <x:v>node 9 needs no network</x:v>
      </x:c>
      <x:c r="E207" s="25" t="n">
        <x:f>'Data Endurance'!K9</x:f>
        <x:v>0</x:v>
      </x:c>
      <x:c r="F207" s="25" t="n">
        <x:v>0</x:v>
      </x:c>
      <x:c r="G207" s="27" t="str">
        <x:f>IF(E207=F207,"PASS","FAIL")</x:f>
        <x:v>PASS</x:v>
      </x:c>
    </x:row>
    <x:row r="208" ht="18" customHeight="1">
      <x:c r="B208" s="25" t="str">
        <x:v>A202</x:v>
      </x:c>
      <x:c r="C208" s="25" t="str">
        <x:v>data endurance</x:v>
      </x:c>
      <x:c r="D208" s="25" t="str">
        <x:v>node 9 passes</x:v>
      </x:c>
      <x:c r="E208" s="25" t="n">
        <x:f>IF('Data Endurance'!L9="PASS",1,0)</x:f>
        <x:v>1</x:v>
      </x:c>
      <x:c r="F208" s="25" t="n">
        <x:v>1</x:v>
      </x:c>
      <x:c r="G208" s="27" t="str">
        <x:f>IF(E208=F208,"PASS","FAIL")</x:f>
        <x:v>PASS</x:v>
      </x:c>
    </x:row>
    <x:row r="209" ht="18" customHeight="1">
      <x:c r="B209" s="25" t="str">
        <x:v>A203</x:v>
      </x:c>
      <x:c r="C209" s="25" t="str">
        <x:v>data endurance</x:v>
      </x:c>
      <x:c r="D209" s="25" t="str">
        <x:v>node 10 has storage margin</x:v>
      </x:c>
      <x:c r="E209" s="25" t="n">
        <x:f>'Data Endurance'!I10</x:f>
        <x:v>7.872</x:v>
      </x:c>
      <x:c r="F209" s="25" t="n">
        <x:v>0</x:v>
      </x:c>
      <x:c r="G209" s="27" t="str">
        <x:f>IF(E209&gt;=F209,"PASS","FAIL")</x:f>
        <x:v>PASS</x:v>
      </x:c>
    </x:row>
    <x:row r="210" ht="18" customHeight="1">
      <x:c r="B210" s="25" t="str">
        <x:v>A204</x:v>
      </x:c>
      <x:c r="C210" s="25" t="str">
        <x:v>data endurance</x:v>
      </x:c>
      <x:c r="D210" s="25" t="str">
        <x:v>node 10 needs no network</x:v>
      </x:c>
      <x:c r="E210" s="25" t="n">
        <x:f>'Data Endurance'!K10</x:f>
        <x:v>0</x:v>
      </x:c>
      <x:c r="F210" s="25" t="n">
        <x:v>0</x:v>
      </x:c>
      <x:c r="G210" s="27" t="str">
        <x:f>IF(E210=F210,"PASS","FAIL")</x:f>
        <x:v>PASS</x:v>
      </x:c>
    </x:row>
    <x:row r="211" ht="18" customHeight="1">
      <x:c r="B211" s="25" t="str">
        <x:v>A205</x:v>
      </x:c>
      <x:c r="C211" s="25" t="str">
        <x:v>data endurance</x:v>
      </x:c>
      <x:c r="D211" s="25" t="str">
        <x:v>node 10 passes</x:v>
      </x:c>
      <x:c r="E211" s="25" t="n">
        <x:f>IF('Data Endurance'!L10="PASS",1,0)</x:f>
        <x:v>1</x:v>
      </x:c>
      <x:c r="F211" s="25" t="n">
        <x:v>1</x:v>
      </x:c>
      <x:c r="G211" s="27" t="str">
        <x:f>IF(E211=F211,"PASS","FAIL")</x:f>
        <x:v>PASS</x:v>
      </x:c>
    </x:row>
    <x:row r="212" ht="18" customHeight="1">
      <x:c r="B212" s="25" t="str">
        <x:v>A206</x:v>
      </x:c>
      <x:c r="C212" s="25" t="str">
        <x:v>data endurance</x:v>
      </x:c>
      <x:c r="D212" s="25" t="str">
        <x:v>node 11 has storage margin</x:v>
      </x:c>
      <x:c r="E212" s="25" t="n">
        <x:f>'Data Endurance'!I11</x:f>
        <x:v>31.744</x:v>
      </x:c>
      <x:c r="F212" s="25" t="n">
        <x:v>0</x:v>
      </x:c>
      <x:c r="G212" s="27" t="str">
        <x:f>IF(E212&gt;=F212,"PASS","FAIL")</x:f>
        <x:v>PASS</x:v>
      </x:c>
    </x:row>
    <x:row r="213" ht="18" customHeight="1">
      <x:c r="B213" s="25" t="str">
        <x:v>A207</x:v>
      </x:c>
      <x:c r="C213" s="25" t="str">
        <x:v>data endurance</x:v>
      </x:c>
      <x:c r="D213" s="25" t="str">
        <x:v>node 11 needs no network</x:v>
      </x:c>
      <x:c r="E213" s="25" t="n">
        <x:f>'Data Endurance'!K11</x:f>
        <x:v>0</x:v>
      </x:c>
      <x:c r="F213" s="25" t="n">
        <x:v>0</x:v>
      </x:c>
      <x:c r="G213" s="27" t="str">
        <x:f>IF(E213=F213,"PASS","FAIL")</x:f>
        <x:v>PASS</x:v>
      </x:c>
    </x:row>
    <x:row r="214" ht="18" customHeight="1">
      <x:c r="B214" s="25" t="str">
        <x:v>A208</x:v>
      </x:c>
      <x:c r="C214" s="25" t="str">
        <x:v>data endurance</x:v>
      </x:c>
      <x:c r="D214" s="25" t="str">
        <x:v>node 11 passes</x:v>
      </x:c>
      <x:c r="E214" s="25" t="n">
        <x:f>IF('Data Endurance'!L11="PASS",1,0)</x:f>
        <x:v>1</x:v>
      </x:c>
      <x:c r="F214" s="25" t="n">
        <x:v>1</x:v>
      </x:c>
      <x:c r="G214" s="27" t="str">
        <x:f>IF(E214=F214,"PASS","FAIL")</x:f>
        <x:v>PASS</x:v>
      </x:c>
    </x:row>
    <x:row r="215" ht="18" customHeight="1">
      <x:c r="B215" s="25" t="str">
        <x:v>A209</x:v>
      </x:c>
      <x:c r="C215" s="25" t="str">
        <x:v>data endurance</x:v>
      </x:c>
      <x:c r="D215" s="25" t="str">
        <x:v>node 12 has storage margin</x:v>
      </x:c>
      <x:c r="E215" s="25" t="n">
        <x:f>'Data Endurance'!I12</x:f>
        <x:v>7.872</x:v>
      </x:c>
      <x:c r="F215" s="25" t="n">
        <x:v>0</x:v>
      </x:c>
      <x:c r="G215" s="27" t="str">
        <x:f>IF(E215&gt;=F215,"PASS","FAIL")</x:f>
        <x:v>PASS</x:v>
      </x:c>
    </x:row>
    <x:row r="216" ht="18" customHeight="1">
      <x:c r="B216" s="25" t="str">
        <x:v>A210</x:v>
      </x:c>
      <x:c r="C216" s="25" t="str">
        <x:v>data endurance</x:v>
      </x:c>
      <x:c r="D216" s="25" t="str">
        <x:v>node 12 needs no network</x:v>
      </x:c>
      <x:c r="E216" s="25" t="n">
        <x:f>'Data Endurance'!K12</x:f>
        <x:v>0</x:v>
      </x:c>
      <x:c r="F216" s="25" t="n">
        <x:v>0</x:v>
      </x:c>
      <x:c r="G216" s="27" t="str">
        <x:f>IF(E216=F216,"PASS","FAIL")</x:f>
        <x:v>PASS</x:v>
      </x:c>
    </x:row>
    <x:row r="217" ht="18" customHeight="1">
      <x:c r="B217" s="25" t="str">
        <x:v>A211</x:v>
      </x:c>
      <x:c r="C217" s="25" t="str">
        <x:v>data endurance</x:v>
      </x:c>
      <x:c r="D217" s="25" t="str">
        <x:v>node 12 passes</x:v>
      </x:c>
      <x:c r="E217" s="25" t="n">
        <x:f>IF('Data Endurance'!L12="PASS",1,0)</x:f>
        <x:v>1</x:v>
      </x:c>
      <x:c r="F217" s="25" t="n">
        <x:v>1</x:v>
      </x:c>
      <x:c r="G217" s="27" t="str">
        <x:f>IF(E217=F217,"PASS","FAIL")</x:f>
        <x:v>PASS</x:v>
      </x:c>
    </x:row>
    <x:row r="218" ht="18" customHeight="1">
      <x:c r="B218" s="25" t="str">
        <x:v>A212</x:v>
      </x:c>
      <x:c r="C218" s="25" t="str">
        <x:v>data endurance</x:v>
      </x:c>
      <x:c r="D218" s="25" t="str">
        <x:v>node 13 has storage margin</x:v>
      </x:c>
      <x:c r="E218" s="25" t="n">
        <x:f>'Data Endurance'!I13</x:f>
        <x:v>7.936</x:v>
      </x:c>
      <x:c r="F218" s="25" t="n">
        <x:v>0</x:v>
      </x:c>
      <x:c r="G218" s="27" t="str">
        <x:f>IF(E218&gt;=F218,"PASS","FAIL")</x:f>
        <x:v>PASS</x:v>
      </x:c>
    </x:row>
    <x:row r="219" ht="18" customHeight="1">
      <x:c r="B219" s="25" t="str">
        <x:v>A213</x:v>
      </x:c>
      <x:c r="C219" s="25" t="str">
        <x:v>data endurance</x:v>
      </x:c>
      <x:c r="D219" s="25" t="str">
        <x:v>node 13 needs no network</x:v>
      </x:c>
      <x:c r="E219" s="25" t="n">
        <x:f>'Data Endurance'!K13</x:f>
        <x:v>0</x:v>
      </x:c>
      <x:c r="F219" s="25" t="n">
        <x:v>0</x:v>
      </x:c>
      <x:c r="G219" s="27" t="str">
        <x:f>IF(E219=F219,"PASS","FAIL")</x:f>
        <x:v>PASS</x:v>
      </x:c>
    </x:row>
    <x:row r="220" ht="18" customHeight="1">
      <x:c r="B220" s="25" t="str">
        <x:v>A214</x:v>
      </x:c>
      <x:c r="C220" s="25" t="str">
        <x:v>data endurance</x:v>
      </x:c>
      <x:c r="D220" s="25" t="str">
        <x:v>node 13 passes</x:v>
      </x:c>
      <x:c r="E220" s="25" t="n">
        <x:f>IF('Data Endurance'!L13="PASS",1,0)</x:f>
        <x:v>1</x:v>
      </x:c>
      <x:c r="F220" s="25" t="n">
        <x:v>1</x:v>
      </x:c>
      <x:c r="G220" s="27" t="str">
        <x:f>IF(E220=F220,"PASS","FAIL")</x:f>
        <x:v>PASS</x:v>
      </x:c>
    </x:row>
    <x:row r="221" ht="18" customHeight="1">
      <x:c r="B221" s="25" t="str">
        <x:v>A215</x:v>
      </x:c>
      <x:c r="C221" s="25" t="str">
        <x:v>clock allocation</x:v>
      </x:c>
      <x:c r="D221" s="25" t="str">
        <x:v>clock component 7 positive</x:v>
      </x:c>
      <x:c r="E221" s="25" t="n">
        <x:f>'Clock Holdover'!C7</x:f>
        <x:v>0.0015</x:v>
      </x:c>
      <x:c r="F221" s="25" t="n">
        <x:v>0</x:v>
      </x:c>
      <x:c r="G221" s="27" t="str">
        <x:f>IF(E221&gt;F221,"PASS","FAIL")</x:f>
        <x:v>PASS</x:v>
      </x:c>
    </x:row>
    <x:row r="222" ht="18" customHeight="1">
      <x:c r="B222" s="25" t="str">
        <x:v>A216</x:v>
      </x:c>
      <x:c r="C222" s="25" t="str">
        <x:v>clock state</x:v>
      </x:c>
      <x:c r="D222" s="25" t="str">
        <x:v>clock component 7 OPEN</x:v>
      </x:c>
      <x:c r="E222" s="25" t="n">
        <x:f>IF('Clock Holdover'!H7="OPEN",1,0)</x:f>
        <x:v>1</x:v>
      </x:c>
      <x:c r="F222" s="25" t="n">
        <x:v>1</x:v>
      </x:c>
      <x:c r="G222" s="27" t="str">
        <x:f>IF(E222=F222,"PASS","FAIL")</x:f>
        <x:v>PASS</x:v>
      </x:c>
    </x:row>
    <x:row r="223" ht="18" customHeight="1">
      <x:c r="B223" s="25" t="str">
        <x:v>A217</x:v>
      </x:c>
      <x:c r="C223" s="25" t="str">
        <x:v>clock allocation</x:v>
      </x:c>
      <x:c r="D223" s="25" t="str">
        <x:v>clock component 8 positive</x:v>
      </x:c>
      <x:c r="E223" s="25" t="n">
        <x:f>'Clock Holdover'!C8</x:f>
        <x:v>0.0018</x:v>
      </x:c>
      <x:c r="F223" s="25" t="n">
        <x:v>0</x:v>
      </x:c>
      <x:c r="G223" s="27" t="str">
        <x:f>IF(E223&gt;F223,"PASS","FAIL")</x:f>
        <x:v>PASS</x:v>
      </x:c>
    </x:row>
    <x:row r="224" ht="18" customHeight="1">
      <x:c r="B224" s="25" t="str">
        <x:v>A218</x:v>
      </x:c>
      <x:c r="C224" s="25" t="str">
        <x:v>clock state</x:v>
      </x:c>
      <x:c r="D224" s="25" t="str">
        <x:v>clock component 8 OPEN</x:v>
      </x:c>
      <x:c r="E224" s="25" t="n">
        <x:f>IF('Clock Holdover'!H8="OPEN",1,0)</x:f>
        <x:v>1</x:v>
      </x:c>
      <x:c r="F224" s="25" t="n">
        <x:v>1</x:v>
      </x:c>
      <x:c r="G224" s="27" t="str">
        <x:f>IF(E224=F224,"PASS","FAIL")</x:f>
        <x:v>PASS</x:v>
      </x:c>
    </x:row>
    <x:row r="225" ht="18" customHeight="1">
      <x:c r="B225" s="25" t="str">
        <x:v>A219</x:v>
      </x:c>
      <x:c r="C225" s="25" t="str">
        <x:v>clock allocation</x:v>
      </x:c>
      <x:c r="D225" s="25" t="str">
        <x:v>clock component 9 positive</x:v>
      </x:c>
      <x:c r="E225" s="25" t="n">
        <x:f>'Clock Holdover'!C9</x:f>
        <x:v>0.0016</x:v>
      </x:c>
      <x:c r="F225" s="25" t="n">
        <x:v>0</x:v>
      </x:c>
      <x:c r="G225" s="27" t="str">
        <x:f>IF(E225&gt;F225,"PASS","FAIL")</x:f>
        <x:v>PASS</x:v>
      </x:c>
    </x:row>
    <x:row r="226" ht="18" customHeight="1">
      <x:c r="B226" s="25" t="str">
        <x:v>A220</x:v>
      </x:c>
      <x:c r="C226" s="25" t="str">
        <x:v>clock state</x:v>
      </x:c>
      <x:c r="D226" s="25" t="str">
        <x:v>clock component 9 OPEN</x:v>
      </x:c>
      <x:c r="E226" s="25" t="n">
        <x:f>IF('Clock Holdover'!H9="OPEN",1,0)</x:f>
        <x:v>1</x:v>
      </x:c>
      <x:c r="F226" s="25" t="n">
        <x:v>1</x:v>
      </x:c>
      <x:c r="G226" s="27" t="str">
        <x:f>IF(E226=F226,"PASS","FAIL")</x:f>
        <x:v>PASS</x:v>
      </x:c>
    </x:row>
    <x:row r="227" ht="18" customHeight="1">
      <x:c r="B227" s="25" t="str">
        <x:v>A221</x:v>
      </x:c>
      <x:c r="C227" s="25" t="str">
        <x:v>clock allocation</x:v>
      </x:c>
      <x:c r="D227" s="25" t="str">
        <x:v>clock component 10 positive</x:v>
      </x:c>
      <x:c r="E227" s="25" t="n">
        <x:f>'Clock Holdover'!C10</x:f>
        <x:v>0.002</x:v>
      </x:c>
      <x:c r="F227" s="25" t="n">
        <x:v>0</x:v>
      </x:c>
      <x:c r="G227" s="27" t="str">
        <x:f>IF(E227&gt;F227,"PASS","FAIL")</x:f>
        <x:v>PASS</x:v>
      </x:c>
    </x:row>
    <x:row r="228" ht="18" customHeight="1">
      <x:c r="B228" s="25" t="str">
        <x:v>A222</x:v>
      </x:c>
      <x:c r="C228" s="25" t="str">
        <x:v>clock state</x:v>
      </x:c>
      <x:c r="D228" s="25" t="str">
        <x:v>clock component 10 OPEN</x:v>
      </x:c>
      <x:c r="E228" s="25" t="n">
        <x:f>IF('Clock Holdover'!H10="OPEN",1,0)</x:f>
        <x:v>1</x:v>
      </x:c>
      <x:c r="F228" s="25" t="n">
        <x:v>1</x:v>
      </x:c>
      <x:c r="G228" s="27" t="str">
        <x:f>IF(E228=F228,"PASS","FAIL")</x:f>
        <x:v>PASS</x:v>
      </x:c>
    </x:row>
    <x:row r="229" ht="18" customHeight="1">
      <x:c r="B229" s="25" t="str">
        <x:v>A223</x:v>
      </x:c>
      <x:c r="C229" s="25" t="str">
        <x:v>clock allocation</x:v>
      </x:c>
      <x:c r="D229" s="25" t="str">
        <x:v>clock component 11 positive</x:v>
      </x:c>
      <x:c r="E229" s="25" t="n">
        <x:f>'Clock Holdover'!C11</x:f>
        <x:v>0.0022</x:v>
      </x:c>
      <x:c r="F229" s="25" t="n">
        <x:v>0</x:v>
      </x:c>
      <x:c r="G229" s="27" t="str">
        <x:f>IF(E229&gt;F229,"PASS","FAIL")</x:f>
        <x:v>PASS</x:v>
      </x:c>
    </x:row>
    <x:row r="230" ht="18" customHeight="1">
      <x:c r="B230" s="25" t="str">
        <x:v>A224</x:v>
      </x:c>
      <x:c r="C230" s="25" t="str">
        <x:v>clock state</x:v>
      </x:c>
      <x:c r="D230" s="25" t="str">
        <x:v>clock component 11 OPEN</x:v>
      </x:c>
      <x:c r="E230" s="25" t="n">
        <x:f>IF('Clock Holdover'!H11="OPEN",1,0)</x:f>
        <x:v>1</x:v>
      </x:c>
      <x:c r="F230" s="25" t="n">
        <x:v>1</x:v>
      </x:c>
      <x:c r="G230" s="27" t="str">
        <x:f>IF(E230=F230,"PASS","FAIL")</x:f>
        <x:v>PASS</x:v>
      </x:c>
    </x:row>
    <x:row r="231" ht="18" customHeight="1">
      <x:c r="B231" s="25" t="str">
        <x:v>A225</x:v>
      </x:c>
      <x:c r="C231" s="25" t="str">
        <x:v>clock allocation</x:v>
      </x:c>
      <x:c r="D231" s="25" t="str">
        <x:v>clock component 12 positive</x:v>
      </x:c>
      <x:c r="E231" s="25" t="n">
        <x:f>'Clock Holdover'!C12</x:f>
        <x:v>0.001</x:v>
      </x:c>
      <x:c r="F231" s="25" t="n">
        <x:v>0</x:v>
      </x:c>
      <x:c r="G231" s="27" t="str">
        <x:f>IF(E231&gt;F231,"PASS","FAIL")</x:f>
        <x:v>PASS</x:v>
      </x:c>
    </x:row>
    <x:row r="232" ht="18" customHeight="1">
      <x:c r="B232" s="25" t="str">
        <x:v>A226</x:v>
      </x:c>
      <x:c r="C232" s="25" t="str">
        <x:v>clock state</x:v>
      </x:c>
      <x:c r="D232" s="25" t="str">
        <x:v>clock component 12 OPEN</x:v>
      </x:c>
      <x:c r="E232" s="25" t="n">
        <x:f>IF('Clock Holdover'!H12="OPEN",1,0)</x:f>
        <x:v>1</x:v>
      </x:c>
      <x:c r="F232" s="25" t="n">
        <x:v>1</x:v>
      </x:c>
      <x:c r="G232" s="27" t="str">
        <x:f>IF(E232=F232,"PASS","FAIL")</x:f>
        <x:v>PASS</x:v>
      </x:c>
    </x:row>
    <x:row r="233" ht="18" customHeight="1">
      <x:c r="B233" s="25" t="str">
        <x:v>A227</x:v>
      </x:c>
      <x:c r="C233" s="25" t="str">
        <x:v>soil uncertainty</x:v>
      </x:c>
      <x:c r="D233" s="25" t="str">
        <x:v>soil component 21 positive</x:v>
      </x:c>
      <x:c r="E233" s="25" t="n">
        <x:f>'Soil Skin'!C21</x:f>
        <x:v>0.02</x:v>
      </x:c>
      <x:c r="F233" s="25" t="n">
        <x:v>0</x:v>
      </x:c>
      <x:c r="G233" s="27" t="str">
        <x:f>IF(E233&gt;F233,"PASS","FAIL")</x:f>
        <x:v>PASS</x:v>
      </x:c>
    </x:row>
    <x:row r="234" ht="18" customHeight="1">
      <x:c r="B234" s="25" t="str">
        <x:v>A228</x:v>
      </x:c>
      <x:c r="C234" s="25" t="str">
        <x:v>soil state</x:v>
      </x:c>
      <x:c r="D234" s="25" t="str">
        <x:v>soil component 21 OPEN</x:v>
      </x:c>
      <x:c r="E234" s="25" t="n">
        <x:f>IF('Soil Skin'!F21="OPEN",1,0)</x:f>
        <x:v>1</x:v>
      </x:c>
      <x:c r="F234" s="25" t="n">
        <x:v>1</x:v>
      </x:c>
      <x:c r="G234" s="27" t="str">
        <x:f>IF(E234=F234,"PASS","FAIL")</x:f>
        <x:v>PASS</x:v>
      </x:c>
    </x:row>
    <x:row r="235" ht="18" customHeight="1">
      <x:c r="B235" s="25" t="str">
        <x:v>A229</x:v>
      </x:c>
      <x:c r="C235" s="25" t="str">
        <x:v>soil uncertainty</x:v>
      </x:c>
      <x:c r="D235" s="25" t="str">
        <x:v>soil component 22 positive</x:v>
      </x:c>
      <x:c r="E235" s="25" t="n">
        <x:f>'Soil Skin'!C22</x:f>
        <x:v>0.025</x:v>
      </x:c>
      <x:c r="F235" s="25" t="n">
        <x:v>0</x:v>
      </x:c>
      <x:c r="G235" s="27" t="str">
        <x:f>IF(E235&gt;F235,"PASS","FAIL")</x:f>
        <x:v>PASS</x:v>
      </x:c>
    </x:row>
    <x:row r="236" ht="18" customHeight="1">
      <x:c r="B236" s="25" t="str">
        <x:v>A230</x:v>
      </x:c>
      <x:c r="C236" s="25" t="str">
        <x:v>soil state</x:v>
      </x:c>
      <x:c r="D236" s="25" t="str">
        <x:v>soil component 22 OPEN</x:v>
      </x:c>
      <x:c r="E236" s="25" t="n">
        <x:f>IF('Soil Skin'!F22="OPEN",1,0)</x:f>
        <x:v>1</x:v>
      </x:c>
      <x:c r="F236" s="25" t="n">
        <x:v>1</x:v>
      </x:c>
      <x:c r="G236" s="27" t="str">
        <x:f>IF(E236=F236,"PASS","FAIL")</x:f>
        <x:v>PASS</x:v>
      </x:c>
    </x:row>
    <x:row r="237" ht="18" customHeight="1">
      <x:c r="B237" s="25" t="str">
        <x:v>A231</x:v>
      </x:c>
      <x:c r="C237" s="25" t="str">
        <x:v>soil uncertainty</x:v>
      </x:c>
      <x:c r="D237" s="25" t="str">
        <x:v>soil component 23 positive</x:v>
      </x:c>
      <x:c r="E237" s="25" t="n">
        <x:f>'Soil Skin'!C23</x:f>
        <x:v>0.02</x:v>
      </x:c>
      <x:c r="F237" s="25" t="n">
        <x:v>0</x:v>
      </x:c>
      <x:c r="G237" s="27" t="str">
        <x:f>IF(E237&gt;F237,"PASS","FAIL")</x:f>
        <x:v>PASS</x:v>
      </x:c>
    </x:row>
    <x:row r="238" ht="18" customHeight="1">
      <x:c r="B238" s="25" t="str">
        <x:v>A232</x:v>
      </x:c>
      <x:c r="C238" s="25" t="str">
        <x:v>soil state</x:v>
      </x:c>
      <x:c r="D238" s="25" t="str">
        <x:v>soil component 23 OPEN</x:v>
      </x:c>
      <x:c r="E238" s="25" t="n">
        <x:f>IF('Soil Skin'!F23="OPEN",1,0)</x:f>
        <x:v>1</x:v>
      </x:c>
      <x:c r="F238" s="25" t="n">
        <x:v>1</x:v>
      </x:c>
      <x:c r="G238" s="27" t="str">
        <x:f>IF(E238=F238,"PASS","FAIL")</x:f>
        <x:v>PASS</x:v>
      </x:c>
    </x:row>
    <x:row r="239" ht="18" customHeight="1">
      <x:c r="B239" s="25" t="str">
        <x:v>A233</x:v>
      </x:c>
      <x:c r="C239" s="25" t="str">
        <x:v>soil uncertainty</x:v>
      </x:c>
      <x:c r="D239" s="25" t="str">
        <x:v>soil component 24 positive</x:v>
      </x:c>
      <x:c r="E239" s="25" t="n">
        <x:f>'Soil Skin'!C24</x:f>
        <x:v>0.03</x:v>
      </x:c>
      <x:c r="F239" s="25" t="n">
        <x:v>0</x:v>
      </x:c>
      <x:c r="G239" s="27" t="str">
        <x:f>IF(E239&gt;F239,"PASS","FAIL")</x:f>
        <x:v>PASS</x:v>
      </x:c>
    </x:row>
    <x:row r="240" ht="18" customHeight="1">
      <x:c r="B240" s="25" t="str">
        <x:v>A234</x:v>
      </x:c>
      <x:c r="C240" s="25" t="str">
        <x:v>soil state</x:v>
      </x:c>
      <x:c r="D240" s="25" t="str">
        <x:v>soil component 24 OPEN</x:v>
      </x:c>
      <x:c r="E240" s="25" t="n">
        <x:f>IF('Soil Skin'!F24="OPEN",1,0)</x:f>
        <x:v>1</x:v>
      </x:c>
      <x:c r="F240" s="25" t="n">
        <x:v>1</x:v>
      </x:c>
      <x:c r="G240" s="27" t="str">
        <x:f>IF(E240=F240,"PASS","FAIL")</x:f>
        <x:v>PASS</x:v>
      </x:c>
    </x:row>
    <x:row r="241" ht="18" customHeight="1">
      <x:c r="B241" s="25" t="str">
        <x:v>A235</x:v>
      </x:c>
      <x:c r="C241" s="25" t="str">
        <x:v>soil uncertainty</x:v>
      </x:c>
      <x:c r="D241" s="25" t="str">
        <x:v>soil component 25 positive</x:v>
      </x:c>
      <x:c r="E241" s="25" t="n">
        <x:f>'Soil Skin'!C25</x:f>
        <x:v>0.025</x:v>
      </x:c>
      <x:c r="F241" s="25" t="n">
        <x:v>0</x:v>
      </x:c>
      <x:c r="G241" s="27" t="str">
        <x:f>IF(E241&gt;F241,"PASS","FAIL")</x:f>
        <x:v>PASS</x:v>
      </x:c>
    </x:row>
    <x:row r="242" ht="18" customHeight="1">
      <x:c r="B242" s="25" t="str">
        <x:v>A236</x:v>
      </x:c>
      <x:c r="C242" s="25" t="str">
        <x:v>soil state</x:v>
      </x:c>
      <x:c r="D242" s="25" t="str">
        <x:v>soil component 25 OPEN</x:v>
      </x:c>
      <x:c r="E242" s="25" t="n">
        <x:f>IF('Soil Skin'!F25="OPEN",1,0)</x:f>
        <x:v>1</x:v>
      </x:c>
      <x:c r="F242" s="25" t="n">
        <x:v>1</x:v>
      </x:c>
      <x:c r="G242" s="27" t="str">
        <x:f>IF(E242=F242,"PASS","FAIL")</x:f>
        <x:v>PASS</x:v>
      </x:c>
    </x:row>
    <x:row r="243" ht="18" customHeight="1">
      <x:c r="B243" s="25" t="str">
        <x:v>A237</x:v>
      </x:c>
      <x:c r="C243" s="25" t="str">
        <x:v>soil uncertainty</x:v>
      </x:c>
      <x:c r="D243" s="25" t="str">
        <x:v>soil component 26 positive</x:v>
      </x:c>
      <x:c r="E243" s="25" t="n">
        <x:f>'Soil Skin'!C26</x:f>
        <x:v>0.01</x:v>
      </x:c>
      <x:c r="F243" s="25" t="n">
        <x:v>0</x:v>
      </x:c>
      <x:c r="G243" s="27" t="str">
        <x:f>IF(E243&gt;F243,"PASS","FAIL")</x:f>
        <x:v>PASS</x:v>
      </x:c>
    </x:row>
    <x:row r="244" ht="18" customHeight="1">
      <x:c r="B244" s="25" t="str">
        <x:v>A238</x:v>
      </x:c>
      <x:c r="C244" s="25" t="str">
        <x:v>soil state</x:v>
      </x:c>
      <x:c r="D244" s="25" t="str">
        <x:v>soil component 26 OPEN</x:v>
      </x:c>
      <x:c r="E244" s="25" t="n">
        <x:f>IF('Soil Skin'!F26="OPEN",1,0)</x:f>
        <x:v>1</x:v>
      </x:c>
      <x:c r="F244" s="25" t="n">
        <x:v>1</x:v>
      </x:c>
      <x:c r="G244" s="27" t="str">
        <x:f>IF(E244=F244,"PASS","FAIL")</x:f>
        <x:v>PASS</x:v>
      </x:c>
    </x:row>
    <x:row r="245" ht="18" customHeight="1">
      <x:c r="B245" s="25" t="str">
        <x:v>A239</x:v>
      </x:c>
      <x:c r="C245" s="25" t="str">
        <x:v>soil uncertainty</x:v>
      </x:c>
      <x:c r="D245" s="25" t="str">
        <x:v>soil component 27 positive</x:v>
      </x:c>
      <x:c r="E245" s="25" t="n">
        <x:f>'Soil Skin'!C27</x:f>
        <x:v>0.015</x:v>
      </x:c>
      <x:c r="F245" s="25" t="n">
        <x:v>0</x:v>
      </x:c>
      <x:c r="G245" s="27" t="str">
        <x:f>IF(E245&gt;F245,"PASS","FAIL")</x:f>
        <x:v>PASS</x:v>
      </x:c>
    </x:row>
    <x:row r="246" ht="18" customHeight="1">
      <x:c r="B246" s="25" t="str">
        <x:v>A240</x:v>
      </x:c>
      <x:c r="C246" s="25" t="str">
        <x:v>soil state</x:v>
      </x:c>
      <x:c r="D246" s="25" t="str">
        <x:v>soil component 27 OPEN</x:v>
      </x:c>
      <x:c r="E246" s="25" t="n">
        <x:f>IF('Soil Skin'!F27="OPEN",1,0)</x:f>
        <x:v>1</x:v>
      </x:c>
      <x:c r="F246" s="25" t="n">
        <x:v>1</x:v>
      </x:c>
      <x:c r="G246" s="27" t="str">
        <x:f>IF(E246=F246,"PASS","FAIL")</x:f>
        <x:v>PASS</x:v>
      </x:c>
    </x:row>
    <x:row r="247" ht="18" customHeight="1">
      <x:c r="B247" s="25" t="str">
        <x:v>A241</x:v>
      </x:c>
      <x:c r="C247" s="25" t="str">
        <x:v>soil uncertainty</x:v>
      </x:c>
      <x:c r="D247" s="25" t="str">
        <x:v>soil component 28 positive</x:v>
      </x:c>
      <x:c r="E247" s="25" t="n">
        <x:f>'Soil Skin'!C28</x:f>
        <x:v>0.03</x:v>
      </x:c>
      <x:c r="F247" s="25" t="n">
        <x:v>0</x:v>
      </x:c>
      <x:c r="G247" s="27" t="str">
        <x:f>IF(E247&gt;F247,"PASS","FAIL")</x:f>
        <x:v>PASS</x:v>
      </x:c>
    </x:row>
    <x:row r="248" ht="18" customHeight="1">
      <x:c r="B248" s="25" t="str">
        <x:v>A242</x:v>
      </x:c>
      <x:c r="C248" s="25" t="str">
        <x:v>soil state</x:v>
      </x:c>
      <x:c r="D248" s="25" t="str">
        <x:v>soil component 28 OPEN</x:v>
      </x:c>
      <x:c r="E248" s="25" t="n">
        <x:f>IF('Soil Skin'!F28="OPEN",1,0)</x:f>
        <x:v>1</x:v>
      </x:c>
      <x:c r="F248" s="25" t="n">
        <x:v>1</x:v>
      </x:c>
      <x:c r="G248" s="27" t="str">
        <x:f>IF(E248=F248,"PASS","FAIL")</x:f>
        <x:v>PASS</x:v>
      </x:c>
    </x:row>
    <x:row r="249" ht="18" customHeight="1">
      <x:c r="B249" s="25" t="str">
        <x:v>A243</x:v>
      </x:c>
      <x:c r="C249" s="25" t="str">
        <x:v>campaign trials</x:v>
      </x:c>
      <x:c r="D249" s="25" t="str">
        <x:v>campaign 7 has trials</x:v>
      </x:c>
      <x:c r="E249" s="25" t="n">
        <x:f>'Prototype Campaign'!D7</x:f>
        <x:v>8</x:v>
      </x:c>
      <x:c r="F249" s="25" t="n">
        <x:v>0</x:v>
      </x:c>
      <x:c r="G249" s="27" t="str">
        <x:f>IF(E249&gt;F249,"PASS","FAIL")</x:f>
        <x:v>PASS</x:v>
      </x:c>
    </x:row>
    <x:row r="250" ht="18" customHeight="1">
      <x:c r="B250" s="25" t="str">
        <x:v>A244</x:v>
      </x:c>
      <x:c r="C250" s="25" t="str">
        <x:v>campaign gates</x:v>
      </x:c>
      <x:c r="D250" s="25" t="str">
        <x:v>campaign 7 has eight gates</x:v>
      </x:c>
      <x:c r="E250" s="25" t="n">
        <x:f>'Prototype Campaign'!E7</x:f>
        <x:v>8</x:v>
      </x:c>
      <x:c r="F250" s="25" t="n">
        <x:v>8</x:v>
      </x:c>
      <x:c r="G250" s="27" t="str">
        <x:f>IF(E250=F250,"PASS","FAIL")</x:f>
        <x:v>PASS</x:v>
      </x:c>
    </x:row>
    <x:row r="251" ht="18" customHeight="1">
      <x:c r="B251" s="25" t="str">
        <x:v>A245</x:v>
      </x:c>
      <x:c r="C251" s="25" t="str">
        <x:v>campaign state</x:v>
      </x:c>
      <x:c r="D251" s="25" t="str">
        <x:v>campaign 7 OPEN</x:v>
      </x:c>
      <x:c r="E251" s="25" t="n">
        <x:f>IF('Prototype Campaign'!L7="OPEN",1,0)</x:f>
        <x:v>1</x:v>
      </x:c>
      <x:c r="F251" s="25" t="n">
        <x:v>1</x:v>
      </x:c>
      <x:c r="G251" s="27" t="str">
        <x:f>IF(E251=F251,"PASS","FAIL")</x:f>
        <x:v>PASS</x:v>
      </x:c>
    </x:row>
    <x:row r="252" ht="18" customHeight="1">
      <x:c r="B252" s="25" t="str">
        <x:v>A246</x:v>
      </x:c>
      <x:c r="C252" s="25" t="str">
        <x:v>campaign trials</x:v>
      </x:c>
      <x:c r="D252" s="25" t="str">
        <x:v>campaign 8 has trials</x:v>
      </x:c>
      <x:c r="E252" s="25" t="n">
        <x:f>'Prototype Campaign'!D8</x:f>
        <x:v>10</x:v>
      </x:c>
      <x:c r="F252" s="25" t="n">
        <x:v>0</x:v>
      </x:c>
      <x:c r="G252" s="27" t="str">
        <x:f>IF(E252&gt;F252,"PASS","FAIL")</x:f>
        <x:v>PASS</x:v>
      </x:c>
    </x:row>
    <x:row r="253" ht="18" customHeight="1">
      <x:c r="B253" s="25" t="str">
        <x:v>A247</x:v>
      </x:c>
      <x:c r="C253" s="25" t="str">
        <x:v>campaign gates</x:v>
      </x:c>
      <x:c r="D253" s="25" t="str">
        <x:v>campaign 8 has eight gates</x:v>
      </x:c>
      <x:c r="E253" s="25" t="n">
        <x:f>'Prototype Campaign'!E8</x:f>
        <x:v>8</x:v>
      </x:c>
      <x:c r="F253" s="25" t="n">
        <x:v>8</x:v>
      </x:c>
      <x:c r="G253" s="27" t="str">
        <x:f>IF(E253=F253,"PASS","FAIL")</x:f>
        <x:v>PASS</x:v>
      </x:c>
    </x:row>
    <x:row r="254" ht="18" customHeight="1">
      <x:c r="B254" s="25" t="str">
        <x:v>A248</x:v>
      </x:c>
      <x:c r="C254" s="25" t="str">
        <x:v>campaign state</x:v>
      </x:c>
      <x:c r="D254" s="25" t="str">
        <x:v>campaign 8 OPEN</x:v>
      </x:c>
      <x:c r="E254" s="25" t="n">
        <x:f>IF('Prototype Campaign'!L8="OPEN",1,0)</x:f>
        <x:v>1</x:v>
      </x:c>
      <x:c r="F254" s="25" t="n">
        <x:v>1</x:v>
      </x:c>
      <x:c r="G254" s="27" t="str">
        <x:f>IF(E254=F254,"PASS","FAIL")</x:f>
        <x:v>PASS</x:v>
      </x:c>
    </x:row>
    <x:row r="255" ht="18" customHeight="1">
      <x:c r="B255" s="25" t="str">
        <x:v>A249</x:v>
      </x:c>
      <x:c r="C255" s="25" t="str">
        <x:v>campaign trials</x:v>
      </x:c>
      <x:c r="D255" s="25" t="str">
        <x:v>campaign 9 has trials</x:v>
      </x:c>
      <x:c r="E255" s="25" t="n">
        <x:f>'Prototype Campaign'!D9</x:f>
        <x:v>6</x:v>
      </x:c>
      <x:c r="F255" s="25" t="n">
        <x:v>0</x:v>
      </x:c>
      <x:c r="G255" s="27" t="str">
        <x:f>IF(E255&gt;F255,"PASS","FAIL")</x:f>
        <x:v>PASS</x:v>
      </x:c>
    </x:row>
    <x:row r="256" ht="18" customHeight="1">
      <x:c r="B256" s="25" t="str">
        <x:v>A250</x:v>
      </x:c>
      <x:c r="C256" s="25" t="str">
        <x:v>campaign gates</x:v>
      </x:c>
      <x:c r="D256" s="25" t="str">
        <x:v>campaign 9 has eight gates</x:v>
      </x:c>
      <x:c r="E256" s="25" t="n">
        <x:f>'Prototype Campaign'!E9</x:f>
        <x:v>8</x:v>
      </x:c>
      <x:c r="F256" s="25" t="n">
        <x:v>8</x:v>
      </x:c>
      <x:c r="G256" s="27" t="str">
        <x:f>IF(E256=F256,"PASS","FAIL")</x:f>
        <x:v>PASS</x:v>
      </x:c>
    </x:row>
    <x:row r="257" ht="18" customHeight="1">
      <x:c r="B257" s="25" t="str">
        <x:v>A251</x:v>
      </x:c>
      <x:c r="C257" s="25" t="str">
        <x:v>campaign state</x:v>
      </x:c>
      <x:c r="D257" s="25" t="str">
        <x:v>campaign 9 OPEN</x:v>
      </x:c>
      <x:c r="E257" s="25" t="n">
        <x:f>IF('Prototype Campaign'!L9="OPEN",1,0)</x:f>
        <x:v>1</x:v>
      </x:c>
      <x:c r="F257" s="25" t="n">
        <x:v>1</x:v>
      </x:c>
      <x:c r="G257" s="27" t="str">
        <x:f>IF(E257=F257,"PASS","FAIL")</x:f>
        <x:v>PASS</x:v>
      </x:c>
    </x:row>
    <x:row r="258" ht="18" customHeight="1">
      <x:c r="B258" s="25" t="str">
        <x:v>A252</x:v>
      </x:c>
      <x:c r="C258" s="25" t="str">
        <x:v>campaign trials</x:v>
      </x:c>
      <x:c r="D258" s="25" t="str">
        <x:v>campaign 10 has trials</x:v>
      </x:c>
      <x:c r="E258" s="25" t="n">
        <x:f>'Prototype Campaign'!D10</x:f>
        <x:v>12</x:v>
      </x:c>
      <x:c r="F258" s="25" t="n">
        <x:v>0</x:v>
      </x:c>
      <x:c r="G258" s="27" t="str">
        <x:f>IF(E258&gt;F258,"PASS","FAIL")</x:f>
        <x:v>PASS</x:v>
      </x:c>
    </x:row>
    <x:row r="259" ht="18" customHeight="1">
      <x:c r="B259" s="25" t="str">
        <x:v>A253</x:v>
      </x:c>
      <x:c r="C259" s="25" t="str">
        <x:v>campaign gates</x:v>
      </x:c>
      <x:c r="D259" s="25" t="str">
        <x:v>campaign 10 has eight gates</x:v>
      </x:c>
      <x:c r="E259" s="25" t="n">
        <x:f>'Prototype Campaign'!E10</x:f>
        <x:v>8</x:v>
      </x:c>
      <x:c r="F259" s="25" t="n">
        <x:v>8</x:v>
      </x:c>
      <x:c r="G259" s="27" t="str">
        <x:f>IF(E259=F259,"PASS","FAIL")</x:f>
        <x:v>PASS</x:v>
      </x:c>
    </x:row>
    <x:row r="260" ht="18" customHeight="1">
      <x:c r="B260" s="25" t="str">
        <x:v>A254</x:v>
      </x:c>
      <x:c r="C260" s="25" t="str">
        <x:v>campaign state</x:v>
      </x:c>
      <x:c r="D260" s="25" t="str">
        <x:v>campaign 10 OPEN</x:v>
      </x:c>
      <x:c r="E260" s="25" t="n">
        <x:f>IF('Prototype Campaign'!L10="OPEN",1,0)</x:f>
        <x:v>1</x:v>
      </x:c>
      <x:c r="F260" s="25" t="n">
        <x:v>1</x:v>
      </x:c>
      <x:c r="G260" s="27" t="str">
        <x:f>IF(E260=F260,"PASS","FAIL")</x:f>
        <x:v>PASS</x:v>
      </x:c>
    </x:row>
    <x:row r="261" ht="18" customHeight="1">
      <x:c r="B261" s="25" t="str">
        <x:v>A255</x:v>
      </x:c>
      <x:c r="C261" s="25" t="str">
        <x:v>campaign trials</x:v>
      </x:c>
      <x:c r="D261" s="25" t="str">
        <x:v>campaign 11 has trials</x:v>
      </x:c>
      <x:c r="E261" s="25" t="n">
        <x:f>'Prototype Campaign'!D11</x:f>
        <x:v>8</x:v>
      </x:c>
      <x:c r="F261" s="25" t="n">
        <x:v>0</x:v>
      </x:c>
      <x:c r="G261" s="27" t="str">
        <x:f>IF(E261&gt;F261,"PASS","FAIL")</x:f>
        <x:v>PASS</x:v>
      </x:c>
    </x:row>
    <x:row r="262" ht="18" customHeight="1">
      <x:c r="B262" s="25" t="str">
        <x:v>A256</x:v>
      </x:c>
      <x:c r="C262" s="25" t="str">
        <x:v>campaign gates</x:v>
      </x:c>
      <x:c r="D262" s="25" t="str">
        <x:v>campaign 11 has eight gates</x:v>
      </x:c>
      <x:c r="E262" s="25" t="n">
        <x:f>'Prototype Campaign'!E11</x:f>
        <x:v>8</x:v>
      </x:c>
      <x:c r="F262" s="25" t="n">
        <x:v>8</x:v>
      </x:c>
      <x:c r="G262" s="27" t="str">
        <x:f>IF(E262=F262,"PASS","FAIL")</x:f>
        <x:v>PASS</x:v>
      </x:c>
    </x:row>
    <x:row r="263" ht="18" customHeight="1">
      <x:c r="B263" s="25" t="str">
        <x:v>A257</x:v>
      </x:c>
      <x:c r="C263" s="25" t="str">
        <x:v>campaign state</x:v>
      </x:c>
      <x:c r="D263" s="25" t="str">
        <x:v>campaign 11 OPEN</x:v>
      </x:c>
      <x:c r="E263" s="25" t="n">
        <x:f>IF('Prototype Campaign'!L11="OPEN",1,0)</x:f>
        <x:v>1</x:v>
      </x:c>
      <x:c r="F263" s="25" t="n">
        <x:v>1</x:v>
      </x:c>
      <x:c r="G263" s="27" t="str">
        <x:f>IF(E263=F263,"PASS","FAIL")</x:f>
        <x:v>PASS</x:v>
      </x:c>
    </x:row>
    <x:row r="264" ht="18" customHeight="1">
      <x:c r="B264" s="25" t="str">
        <x:v>A258</x:v>
      </x:c>
      <x:c r="C264" s="25" t="str">
        <x:v>campaign trials</x:v>
      </x:c>
      <x:c r="D264" s="25" t="str">
        <x:v>campaign 12 has trials</x:v>
      </x:c>
      <x:c r="E264" s="25" t="n">
        <x:f>'Prototype Campaign'!D12</x:f>
        <x:v>8</x:v>
      </x:c>
      <x:c r="F264" s="25" t="n">
        <x:v>0</x:v>
      </x:c>
      <x:c r="G264" s="27" t="str">
        <x:f>IF(E264&gt;F264,"PASS","FAIL")</x:f>
        <x:v>PASS</x:v>
      </x:c>
    </x:row>
    <x:row r="265" ht="18" customHeight="1">
      <x:c r="B265" s="25" t="str">
        <x:v>A259</x:v>
      </x:c>
      <x:c r="C265" s="25" t="str">
        <x:v>campaign gates</x:v>
      </x:c>
      <x:c r="D265" s="25" t="str">
        <x:v>campaign 12 has eight gates</x:v>
      </x:c>
      <x:c r="E265" s="25" t="n">
        <x:f>'Prototype Campaign'!E12</x:f>
        <x:v>8</x:v>
      </x:c>
      <x:c r="F265" s="25" t="n">
        <x:v>8</x:v>
      </x:c>
      <x:c r="G265" s="27" t="str">
        <x:f>IF(E265=F265,"PASS","FAIL")</x:f>
        <x:v>PASS</x:v>
      </x:c>
    </x:row>
    <x:row r="266" ht="18" customHeight="1">
      <x:c r="B266" s="25" t="str">
        <x:v>A260</x:v>
      </x:c>
      <x:c r="C266" s="25" t="str">
        <x:v>campaign state</x:v>
      </x:c>
      <x:c r="D266" s="25" t="str">
        <x:v>campaign 12 OPEN</x:v>
      </x:c>
      <x:c r="E266" s="25" t="n">
        <x:f>IF('Prototype Campaign'!L12="OPEN",1,0)</x:f>
        <x:v>1</x:v>
      </x:c>
      <x:c r="F266" s="25" t="n">
        <x:v>1</x:v>
      </x:c>
      <x:c r="G266" s="27" t="str">
        <x:f>IF(E266=F266,"PASS","FAIL")</x:f>
        <x:v>PASS</x:v>
      </x:c>
    </x:row>
    <x:row r="267" ht="18" customHeight="1">
      <x:c r="B267" s="25" t="str">
        <x:v>A261</x:v>
      </x:c>
      <x:c r="C267" s="25" t="str">
        <x:v>campaign trials</x:v>
      </x:c>
      <x:c r="D267" s="25" t="str">
        <x:v>campaign 13 has trials</x:v>
      </x:c>
      <x:c r="E267" s="25" t="n">
        <x:f>'Prototype Campaign'!D13</x:f>
        <x:v>8</x:v>
      </x:c>
      <x:c r="F267" s="25" t="n">
        <x:v>0</x:v>
      </x:c>
      <x:c r="G267" s="27" t="str">
        <x:f>IF(E267&gt;F267,"PASS","FAIL")</x:f>
        <x:v>PASS</x:v>
      </x:c>
    </x:row>
    <x:row r="268" ht="18" customHeight="1">
      <x:c r="B268" s="25" t="str">
        <x:v>A262</x:v>
      </x:c>
      <x:c r="C268" s="25" t="str">
        <x:v>campaign gates</x:v>
      </x:c>
      <x:c r="D268" s="25" t="str">
        <x:v>campaign 13 has eight gates</x:v>
      </x:c>
      <x:c r="E268" s="25" t="n">
        <x:f>'Prototype Campaign'!E13</x:f>
        <x:v>8</x:v>
      </x:c>
      <x:c r="F268" s="25" t="n">
        <x:v>8</x:v>
      </x:c>
      <x:c r="G268" s="27" t="str">
        <x:f>IF(E268=F268,"PASS","FAIL")</x:f>
        <x:v>PASS</x:v>
      </x:c>
    </x:row>
    <x:row r="269" ht="18" customHeight="1">
      <x:c r="B269" s="25" t="str">
        <x:v>A263</x:v>
      </x:c>
      <x:c r="C269" s="25" t="str">
        <x:v>campaign state</x:v>
      </x:c>
      <x:c r="D269" s="25" t="str">
        <x:v>campaign 13 OPEN</x:v>
      </x:c>
      <x:c r="E269" s="25" t="n">
        <x:f>IF('Prototype Campaign'!L13="OPEN",1,0)</x:f>
        <x:v>1</x:v>
      </x:c>
      <x:c r="F269" s="25" t="n">
        <x:v>1</x:v>
      </x:c>
      <x:c r="G269" s="27" t="str">
        <x:f>IF(E269=F269,"PASS","FAIL")</x:f>
        <x:v>PASS</x:v>
      </x:c>
    </x:row>
    <x:row r="270" ht="18" customHeight="1">
      <x:c r="B270" s="25" t="str">
        <x:v>A264</x:v>
      </x:c>
      <x:c r="C270" s="25" t="str">
        <x:v>campaign trials</x:v>
      </x:c>
      <x:c r="D270" s="25" t="str">
        <x:v>campaign 14 has trials</x:v>
      </x:c>
      <x:c r="E270" s="25" t="n">
        <x:f>'Prototype Campaign'!D14</x:f>
        <x:v>8</x:v>
      </x:c>
      <x:c r="F270" s="25" t="n">
        <x:v>0</x:v>
      </x:c>
      <x:c r="G270" s="27" t="str">
        <x:f>IF(E270&gt;F270,"PASS","FAIL")</x:f>
        <x:v>PASS</x:v>
      </x:c>
    </x:row>
    <x:row r="271" ht="18" customHeight="1">
      <x:c r="B271" s="25" t="str">
        <x:v>A265</x:v>
      </x:c>
      <x:c r="C271" s="25" t="str">
        <x:v>campaign gates</x:v>
      </x:c>
      <x:c r="D271" s="25" t="str">
        <x:v>campaign 14 has eight gates</x:v>
      </x:c>
      <x:c r="E271" s="25" t="n">
        <x:f>'Prototype Campaign'!E14</x:f>
        <x:v>8</x:v>
      </x:c>
      <x:c r="F271" s="25" t="n">
        <x:v>8</x:v>
      </x:c>
      <x:c r="G271" s="27" t="str">
        <x:f>IF(E271=F271,"PASS","FAIL")</x:f>
        <x:v>PASS</x:v>
      </x:c>
    </x:row>
    <x:row r="272" ht="18" customHeight="1">
      <x:c r="B272" s="25" t="str">
        <x:v>A266</x:v>
      </x:c>
      <x:c r="C272" s="25" t="str">
        <x:v>campaign state</x:v>
      </x:c>
      <x:c r="D272" s="25" t="str">
        <x:v>campaign 14 OPEN</x:v>
      </x:c>
      <x:c r="E272" s="25" t="n">
        <x:f>IF('Prototype Campaign'!L14="OPEN",1,0)</x:f>
        <x:v>1</x:v>
      </x:c>
      <x:c r="F272" s="25" t="n">
        <x:v>1</x:v>
      </x:c>
      <x:c r="G272" s="27" t="str">
        <x:f>IF(E272=F272,"PASS","FAIL")</x:f>
        <x:v>PASS</x:v>
      </x:c>
    </x:row>
    <x:row r="273" ht="18" customHeight="1">
      <x:c r="B273" s="25" t="str">
        <x:v>A267</x:v>
      </x:c>
      <x:c r="C273" s="25" t="str">
        <x:v>F01 extension</x:v>
      </x:c>
      <x:c r="D273" s="25" t="str">
        <x:v>F01 row 7 equals quantity times cost</x:v>
      </x:c>
      <x:c r="E273" s="25" t="n">
        <x:f>'F01 Reallocation'!E7</x:f>
        <x:v>4</x:v>
      </x:c>
      <x:c r="F273" s="25" t="n">
        <x:f>'F01 Reallocation'!C7*'F01 Reallocation'!D7</x:f>
        <x:v>4</x:v>
      </x:c>
      <x:c r="G273" s="27" t="str">
        <x:f>IF(E273=F273,"PASS","FAIL")</x:f>
        <x:v>PASS</x:v>
      </x:c>
    </x:row>
    <x:row r="274" ht="18" customHeight="1">
      <x:c r="B274" s="25" t="str">
        <x:v>A268</x:v>
      </x:c>
      <x:c r="C274" s="25" t="str">
        <x:v>F01 state</x:v>
      </x:c>
      <x:c r="D274" s="25" t="str">
        <x:v>F01 row 7 OPEN</x:v>
      </x:c>
      <x:c r="E274" s="25" t="n">
        <x:f>IF('F01 Reallocation'!J7="OPEN",1,0)</x:f>
        <x:v>1</x:v>
      </x:c>
      <x:c r="F274" s="25" t="n">
        <x:v>1</x:v>
      </x:c>
      <x:c r="G274" s="27" t="str">
        <x:f>IF(E274=F274,"PASS","FAIL")</x:f>
        <x:v>PASS</x:v>
      </x:c>
    </x:row>
    <x:row r="275" ht="18" customHeight="1">
      <x:c r="B275" s="25" t="str">
        <x:v>A269</x:v>
      </x:c>
      <x:c r="C275" s="25" t="str">
        <x:v>F01 extension</x:v>
      </x:c>
      <x:c r="D275" s="25" t="str">
        <x:v>F01 row 8 equals quantity times cost</x:v>
      </x:c>
      <x:c r="E275" s="25" t="n">
        <x:f>'F01 Reallocation'!E8</x:f>
        <x:v>3</x:v>
      </x:c>
      <x:c r="F275" s="25" t="n">
        <x:f>'F01 Reallocation'!C8*'F01 Reallocation'!D8</x:f>
        <x:v>3</x:v>
      </x:c>
      <x:c r="G275" s="27" t="str">
        <x:f>IF(E275=F275,"PASS","FAIL")</x:f>
        <x:v>PASS</x:v>
      </x:c>
    </x:row>
    <x:row r="276" ht="18" customHeight="1">
      <x:c r="B276" s="25" t="str">
        <x:v>A270</x:v>
      </x:c>
      <x:c r="C276" s="25" t="str">
        <x:v>F01 state</x:v>
      </x:c>
      <x:c r="D276" s="25" t="str">
        <x:v>F01 row 8 OPEN</x:v>
      </x:c>
      <x:c r="E276" s="25" t="n">
        <x:f>IF('F01 Reallocation'!J8="OPEN",1,0)</x:f>
        <x:v>1</x:v>
      </x:c>
      <x:c r="F276" s="25" t="n">
        <x:v>1</x:v>
      </x:c>
      <x:c r="G276" s="27" t="str">
        <x:f>IF(E276=F276,"PASS","FAIL")</x:f>
        <x:v>PASS</x:v>
      </x:c>
    </x:row>
    <x:row r="277" ht="18" customHeight="1">
      <x:c r="B277" s="25" t="str">
        <x:v>A271</x:v>
      </x:c>
      <x:c r="C277" s="25" t="str">
        <x:v>F01 extension</x:v>
      </x:c>
      <x:c r="D277" s="25" t="str">
        <x:v>F01 row 9 equals quantity times cost</x:v>
      </x:c>
      <x:c r="E277" s="25" t="n">
        <x:f>'F01 Reallocation'!E9</x:f>
        <x:v>2.4</x:v>
      </x:c>
      <x:c r="F277" s="25" t="n">
        <x:f>'F01 Reallocation'!C9*'F01 Reallocation'!D9</x:f>
        <x:v>2.4</x:v>
      </x:c>
      <x:c r="G277" s="27" t="str">
        <x:f>IF(E277=F277,"PASS","FAIL")</x:f>
        <x:v>PASS</x:v>
      </x:c>
    </x:row>
    <x:row r="278" ht="18" customHeight="1">
      <x:c r="B278" s="25" t="str">
        <x:v>A272</x:v>
      </x:c>
      <x:c r="C278" s="25" t="str">
        <x:v>F01 state</x:v>
      </x:c>
      <x:c r="D278" s="25" t="str">
        <x:v>F01 row 9 OPEN</x:v>
      </x:c>
      <x:c r="E278" s="25" t="n">
        <x:f>IF('F01 Reallocation'!J9="OPEN",1,0)</x:f>
        <x:v>1</x:v>
      </x:c>
      <x:c r="F278" s="25" t="n">
        <x:v>1</x:v>
      </x:c>
      <x:c r="G278" s="27" t="str">
        <x:f>IF(E278=F278,"PASS","FAIL")</x:f>
        <x:v>PASS</x:v>
      </x:c>
    </x:row>
    <x:row r="279" ht="18" customHeight="1">
      <x:c r="B279" s="25" t="str">
        <x:v>A273</x:v>
      </x:c>
      <x:c r="C279" s="25" t="str">
        <x:v>F01 extension</x:v>
      </x:c>
      <x:c r="D279" s="25" t="str">
        <x:v>F01 row 10 equals quantity times cost</x:v>
      </x:c>
      <x:c r="E279" s="25" t="n">
        <x:f>'F01 Reallocation'!E10</x:f>
        <x:v>1.806</x:v>
      </x:c>
      <x:c r="F279" s="25" t="n">
        <x:f>'F01 Reallocation'!C10*'F01 Reallocation'!D10</x:f>
        <x:v>1.806</x:v>
      </x:c>
      <x:c r="G279" s="27" t="str">
        <x:f>IF(E279=F279,"PASS","FAIL")</x:f>
        <x:v>PASS</x:v>
      </x:c>
    </x:row>
    <x:row r="280" ht="18" customHeight="1">
      <x:c r="B280" s="25" t="str">
        <x:v>A274</x:v>
      </x:c>
      <x:c r="C280" s="25" t="str">
        <x:v>F01 state</x:v>
      </x:c>
      <x:c r="D280" s="25" t="str">
        <x:v>F01 row 10 OPEN</x:v>
      </x:c>
      <x:c r="E280" s="25" t="n">
        <x:f>IF('F01 Reallocation'!J10="OPEN",1,0)</x:f>
        <x:v>1</x:v>
      </x:c>
      <x:c r="F280" s="25" t="n">
        <x:v>1</x:v>
      </x:c>
      <x:c r="G280" s="27" t="str">
        <x:f>IF(E280=F280,"PASS","FAIL")</x:f>
        <x:v>PASS</x:v>
      </x:c>
    </x:row>
    <x:row r="281" ht="18" customHeight="1">
      <x:c r="B281" s="25" t="str">
        <x:v>A275</x:v>
      </x:c>
      <x:c r="C281" s="25" t="str">
        <x:v>F01 extension</x:v>
      </x:c>
      <x:c r="D281" s="25" t="str">
        <x:v>F01 row 11 equals quantity times cost</x:v>
      </x:c>
      <x:c r="E281" s="25" t="n">
        <x:f>'F01 Reallocation'!E11</x:f>
        <x:v>2.142</x:v>
      </x:c>
      <x:c r="F281" s="25" t="n">
        <x:f>'F01 Reallocation'!C11*'F01 Reallocation'!D11</x:f>
        <x:v>2.142</x:v>
      </x:c>
      <x:c r="G281" s="27" t="str">
        <x:f>IF(E281=F281,"PASS","FAIL")</x:f>
        <x:v>PASS</x:v>
      </x:c>
    </x:row>
    <x:row r="282" ht="18" customHeight="1">
      <x:c r="B282" s="25" t="str">
        <x:v>A276</x:v>
      </x:c>
      <x:c r="C282" s="25" t="str">
        <x:v>F01 state</x:v>
      </x:c>
      <x:c r="D282" s="25" t="str">
        <x:v>F01 row 11 OPEN</x:v>
      </x:c>
      <x:c r="E282" s="25" t="n">
        <x:f>IF('F01 Reallocation'!J11="OPEN",1,0)</x:f>
        <x:v>1</x:v>
      </x:c>
      <x:c r="F282" s="25" t="n">
        <x:v>1</x:v>
      </x:c>
      <x:c r="G282" s="27" t="str">
        <x:f>IF(E282=F282,"PASS","FAIL")</x:f>
        <x:v>PASS</x:v>
      </x:c>
    </x:row>
    <x:row r="283" ht="18" customHeight="1">
      <x:c r="B283" s="25" t="str">
        <x:v>A277</x:v>
      </x:c>
      <x:c r="C283" s="25" t="str">
        <x:v>F01 extension</x:v>
      </x:c>
      <x:c r="D283" s="25" t="str">
        <x:v>F01 row 12 equals quantity times cost</x:v>
      </x:c>
      <x:c r="E283" s="25" t="n">
        <x:f>'F01 Reallocation'!E12</x:f>
        <x:v>0.02</x:v>
      </x:c>
      <x:c r="F283" s="25" t="n">
        <x:f>'F01 Reallocation'!C12*'F01 Reallocation'!D12</x:f>
        <x:v>0.02</x:v>
      </x:c>
      <x:c r="G283" s="27" t="str">
        <x:f>IF(E283=F283,"PASS","FAIL")</x:f>
        <x:v>PASS</x:v>
      </x:c>
    </x:row>
    <x:row r="284" ht="18" customHeight="1">
      <x:c r="B284" s="25" t="str">
        <x:v>A278</x:v>
      </x:c>
      <x:c r="C284" s="25" t="str">
        <x:v>F01 state</x:v>
      </x:c>
      <x:c r="D284" s="25" t="str">
        <x:v>F01 row 12 OPEN</x:v>
      </x:c>
      <x:c r="E284" s="25" t="n">
        <x:f>IF('F01 Reallocation'!J12="OPEN",1,0)</x:f>
        <x:v>1</x:v>
      </x:c>
      <x:c r="F284" s="25" t="n">
        <x:v>1</x:v>
      </x:c>
      <x:c r="G284" s="27" t="str">
        <x:f>IF(E284=F284,"PASS","FAIL")</x:f>
        <x:v>PASS</x:v>
      </x:c>
    </x:row>
    <x:row r="285" ht="18" customHeight="1">
      <x:c r="B285" s="25" t="str">
        <x:v>A279</x:v>
      </x:c>
      <x:c r="C285" s="25" t="str">
        <x:v>F01 extension</x:v>
      </x:c>
      <x:c r="D285" s="25" t="str">
        <x:v>F01 row 13 equals quantity times cost</x:v>
      </x:c>
      <x:c r="E285" s="25" t="n">
        <x:f>'F01 Reallocation'!E13</x:f>
        <x:v>0.63</x:v>
      </x:c>
      <x:c r="F285" s="25" t="n">
        <x:f>'F01 Reallocation'!C13*'F01 Reallocation'!D13</x:f>
        <x:v>0.63</x:v>
      </x:c>
      <x:c r="G285" s="27" t="str">
        <x:f>IF(E285=F285,"PASS","FAIL")</x:f>
        <x:v>PASS</x:v>
      </x:c>
    </x:row>
    <x:row r="286" ht="18" customHeight="1">
      <x:c r="B286" s="25" t="str">
        <x:v>A280</x:v>
      </x:c>
      <x:c r="C286" s="25" t="str">
        <x:v>F01 state</x:v>
      </x:c>
      <x:c r="D286" s="25" t="str">
        <x:v>F01 row 13 OPEN</x:v>
      </x:c>
      <x:c r="E286" s="25" t="n">
        <x:f>IF('F01 Reallocation'!J13="OPEN",1,0)</x:f>
        <x:v>1</x:v>
      </x:c>
      <x:c r="F286" s="25" t="n">
        <x:v>1</x:v>
      </x:c>
      <x:c r="G286" s="27" t="str">
        <x:f>IF(E286=F286,"PASS","FAIL")</x:f>
        <x:v>PASS</x:v>
      </x:c>
    </x:row>
    <x:row r="287" ht="18" customHeight="1">
      <x:c r="B287" s="25" t="str">
        <x:v>A281</x:v>
      </x:c>
      <x:c r="C287" s="25" t="str">
        <x:v>F01 extension</x:v>
      </x:c>
      <x:c r="D287" s="25" t="str">
        <x:v>F01 row 14 equals quantity times cost</x:v>
      </x:c>
      <x:c r="E287" s="25" t="n">
        <x:f>'F01 Reallocation'!E14</x:f>
        <x:v>0.9299999999999999</x:v>
      </x:c>
      <x:c r="F287" s="25" t="n">
        <x:f>'F01 Reallocation'!C14*'F01 Reallocation'!D14</x:f>
        <x:v>0.9299999999999999</x:v>
      </x:c>
      <x:c r="G287" s="27" t="str">
        <x:f>IF(E287=F287,"PASS","FAIL")</x:f>
        <x:v>PASS</x:v>
      </x:c>
    </x:row>
    <x:row r="288" ht="18" customHeight="1">
      <x:c r="B288" s="25" t="str">
        <x:v>A282</x:v>
      </x:c>
      <x:c r="C288" s="25" t="str">
        <x:v>F01 state</x:v>
      </x:c>
      <x:c r="D288" s="25" t="str">
        <x:v>F01 row 14 OPEN</x:v>
      </x:c>
      <x:c r="E288" s="25" t="n">
        <x:f>IF('F01 Reallocation'!J14="OPEN",1,0)</x:f>
        <x:v>1</x:v>
      </x:c>
      <x:c r="F288" s="25" t="n">
        <x:v>1</x:v>
      </x:c>
      <x:c r="G288" s="27" t="str">
        <x:f>IF(E288=F288,"PASS","FAIL")</x:f>
        <x:v>PASS</x:v>
      </x:c>
    </x:row>
    <x:row r="289" ht="18" customHeight="1">
      <x:c r="B289" s="25" t="str">
        <x:v>A283</x:v>
      </x:c>
      <x:c r="C289" s="25" t="str">
        <x:v>F01 extension</x:v>
      </x:c>
      <x:c r="D289" s="25" t="str">
        <x:v>F01 row 15 equals quantity times cost</x:v>
      </x:c>
      <x:c r="E289" s="25" t="n">
        <x:f>'F01 Reallocation'!E15</x:f>
        <x:v>1.6</x:v>
      </x:c>
      <x:c r="F289" s="25" t="n">
        <x:f>'F01 Reallocation'!C15*'F01 Reallocation'!D15</x:f>
        <x:v>1.6</x:v>
      </x:c>
      <x:c r="G289" s="27" t="str">
        <x:f>IF(E289=F289,"PASS","FAIL")</x:f>
        <x:v>PASS</x:v>
      </x:c>
    </x:row>
    <x:row r="290" ht="18" customHeight="1">
      <x:c r="B290" s="25" t="str">
        <x:v>A284</x:v>
      </x:c>
      <x:c r="C290" s="25" t="str">
        <x:v>F01 state</x:v>
      </x:c>
      <x:c r="D290" s="25" t="str">
        <x:v>F01 row 15 OPEN</x:v>
      </x:c>
      <x:c r="E290" s="25" t="n">
        <x:f>IF('F01 Reallocation'!J15="OPEN",1,0)</x:f>
        <x:v>1</x:v>
      </x:c>
      <x:c r="F290" s="25" t="n">
        <x:v>1</x:v>
      </x:c>
      <x:c r="G290" s="27" t="str">
        <x:f>IF(E290=F290,"PASS","FAIL")</x:f>
        <x:v>PASS</x:v>
      </x:c>
    </x:row>
    <x:row r="291" ht="18" customHeight="1">
      <x:c r="B291" s="25" t="str">
        <x:v>A285</x:v>
      </x:c>
      <x:c r="C291" s="25" t="str">
        <x:v>F01 extension</x:v>
      </x:c>
      <x:c r="D291" s="25" t="str">
        <x:v>F01 row 16 equals quantity times cost</x:v>
      </x:c>
      <x:c r="E291" s="25" t="n">
        <x:f>'F01 Reallocation'!E16</x:f>
        <x:v>3.6</x:v>
      </x:c>
      <x:c r="F291" s="25" t="n">
        <x:f>'F01 Reallocation'!C16*'F01 Reallocation'!D16</x:f>
        <x:v>3.6</x:v>
      </x:c>
      <x:c r="G291" s="27" t="str">
        <x:f>IF(E291=F291,"PASS","FAIL")</x:f>
        <x:v>PASS</x:v>
      </x:c>
    </x:row>
    <x:row r="292" ht="18" customHeight="1">
      <x:c r="B292" s="25" t="str">
        <x:v>A286</x:v>
      </x:c>
      <x:c r="C292" s="25" t="str">
        <x:v>F01 state</x:v>
      </x:c>
      <x:c r="D292" s="25" t="str">
        <x:v>F01 row 16 OPEN</x:v>
      </x:c>
      <x:c r="E292" s="25" t="n">
        <x:f>IF('F01 Reallocation'!J16="OPEN",1,0)</x:f>
        <x:v>1</x:v>
      </x:c>
      <x:c r="F292" s="25" t="n">
        <x:v>1</x:v>
      </x:c>
      <x:c r="G292" s="27" t="str">
        <x:f>IF(E292=F292,"PASS","FAIL")</x:f>
        <x:v>PASS</x:v>
      </x:c>
    </x:row>
    <x:row r="293" ht="18" customHeight="1">
      <x:c r="B293" s="25" t="str">
        <x:v>A287</x:v>
      </x:c>
      <x:c r="C293" s="25" t="str">
        <x:v>F01 extension</x:v>
      </x:c>
      <x:c r="D293" s="25" t="str">
        <x:v>F01 row 17 equals quantity times cost</x:v>
      </x:c>
      <x:c r="E293" s="25" t="n">
        <x:f>'F01 Reallocation'!E17</x:f>
        <x:v>1.8</x:v>
      </x:c>
      <x:c r="F293" s="25" t="n">
        <x:f>'F01 Reallocation'!C17*'F01 Reallocation'!D17</x:f>
        <x:v>1.8</x:v>
      </x:c>
      <x:c r="G293" s="27" t="str">
        <x:f>IF(E293=F293,"PASS","FAIL")</x:f>
        <x:v>PASS</x:v>
      </x:c>
    </x:row>
    <x:row r="294" ht="18" customHeight="1">
      <x:c r="B294" s="25" t="str">
        <x:v>A288</x:v>
      </x:c>
      <x:c r="C294" s="25" t="str">
        <x:v>F01 state</x:v>
      </x:c>
      <x:c r="D294" s="25" t="str">
        <x:v>F01 row 17 OPEN</x:v>
      </x:c>
      <x:c r="E294" s="25" t="n">
        <x:f>IF('F01 Reallocation'!J17="OPEN",1,0)</x:f>
        <x:v>1</x:v>
      </x:c>
      <x:c r="F294" s="25" t="n">
        <x:v>1</x:v>
      </x:c>
      <x:c r="G294" s="27" t="str">
        <x:f>IF(E294=F294,"PASS","FAIL")</x:f>
        <x:v>PASS</x:v>
      </x:c>
    </x:row>
    <x:row r="295" ht="18" customHeight="1">
      <x:c r="B295" s="25" t="str">
        <x:v>A289</x:v>
      </x:c>
      <x:c r="C295" s="25" t="str">
        <x:v>F01 extension</x:v>
      </x:c>
      <x:c r="D295" s="25" t="str">
        <x:v>F01 row 18 equals quantity times cost</x:v>
      </x:c>
      <x:c r="E295" s="25" t="n">
        <x:f>'F01 Reallocation'!E18</x:f>
        <x:v>1.2</x:v>
      </x:c>
      <x:c r="F295" s="25" t="n">
        <x:f>'F01 Reallocation'!C18*'F01 Reallocation'!D18</x:f>
        <x:v>1.2</x:v>
      </x:c>
      <x:c r="G295" s="27" t="str">
        <x:f>IF(E295=F295,"PASS","FAIL")</x:f>
        <x:v>PASS</x:v>
      </x:c>
    </x:row>
    <x:row r="296" ht="18" customHeight="1">
      <x:c r="B296" s="25" t="str">
        <x:v>A290</x:v>
      </x:c>
      <x:c r="C296" s="25" t="str">
        <x:v>F01 state</x:v>
      </x:c>
      <x:c r="D296" s="25" t="str">
        <x:v>F01 row 18 OPEN</x:v>
      </x:c>
      <x:c r="E296" s="25" t="n">
        <x:f>IF('F01 Reallocation'!J18="OPEN",1,0)</x:f>
        <x:v>1</x:v>
      </x:c>
      <x:c r="F296" s="25" t="n">
        <x:v>1</x:v>
      </x:c>
      <x:c r="G296" s="27" t="str">
        <x:f>IF(E296=F296,"PASS","FAIL")</x:f>
        <x:v>PASS</x:v>
      </x:c>
    </x:row>
    <x:row r="297" ht="18" customHeight="1">
      <x:c r="B297" s="25" t="str">
        <x:v>A291</x:v>
      </x:c>
      <x:c r="C297" s="25" t="str">
        <x:v>F01 extension</x:v>
      </x:c>
      <x:c r="D297" s="25" t="str">
        <x:v>F01 row 19 equals quantity times cost</x:v>
      </x:c>
      <x:c r="E297" s="25" t="n">
        <x:f>'F01 Reallocation'!E19</x:f>
        <x:v>0.5</x:v>
      </x:c>
      <x:c r="F297" s="25" t="n">
        <x:f>'F01 Reallocation'!C19*'F01 Reallocation'!D19</x:f>
        <x:v>0.5</x:v>
      </x:c>
      <x:c r="G297" s="27" t="str">
        <x:f>IF(E297=F297,"PASS","FAIL")</x:f>
        <x:v>PASS</x:v>
      </x:c>
    </x:row>
    <x:row r="298" ht="18" customHeight="1">
      <x:c r="B298" s="25" t="str">
        <x:v>A292</x:v>
      </x:c>
      <x:c r="C298" s="25" t="str">
        <x:v>F01 state</x:v>
      </x:c>
      <x:c r="D298" s="25" t="str">
        <x:v>F01 row 19 OPEN</x:v>
      </x:c>
      <x:c r="E298" s="25" t="n">
        <x:f>IF('F01 Reallocation'!J19="OPEN",1,0)</x:f>
        <x:v>1</x:v>
      </x:c>
      <x:c r="F298" s="25" t="n">
        <x:v>1</x:v>
      </x:c>
      <x:c r="G298" s="27" t="str">
        <x:f>IF(E298=F298,"PASS","FAIL")</x:f>
        <x:v>PASS</x:v>
      </x:c>
    </x:row>
    <x:row r="299" ht="18" customHeight="1">
      <x:c r="B299" s="25" t="str">
        <x:v>A293</x:v>
      </x:c>
      <x:c r="C299" s="25" t="str">
        <x:v>F01 extension</x:v>
      </x:c>
      <x:c r="D299" s="25" t="str">
        <x:v>F01 row 20 equals quantity times cost</x:v>
      </x:c>
      <x:c r="E299" s="25" t="n">
        <x:f>'F01 Reallocation'!E20</x:f>
        <x:v>0.372</x:v>
      </x:c>
      <x:c r="F299" s="25" t="n">
        <x:f>'F01 Reallocation'!C20*'F01 Reallocation'!D20</x:f>
        <x:v>0.372</x:v>
      </x:c>
      <x:c r="G299" s="27" t="str">
        <x:f>IF(E299=F299,"PASS","FAIL")</x:f>
        <x:v>PASS</x:v>
      </x:c>
    </x:row>
    <x:row r="300" ht="18" customHeight="1">
      <x:c r="B300" s="25" t="str">
        <x:v>A294</x:v>
      </x:c>
      <x:c r="C300" s="25" t="str">
        <x:v>F01 state</x:v>
      </x:c>
      <x:c r="D300" s="25" t="str">
        <x:v>F01 row 20 OPEN</x:v>
      </x:c>
      <x:c r="E300" s="25" t="n">
        <x:f>IF('F01 Reallocation'!J20="OPEN",1,0)</x:f>
        <x:v>1</x:v>
      </x:c>
      <x:c r="F300" s="25" t="n">
        <x:v>1</x:v>
      </x:c>
      <x:c r="G300" s="27" t="str">
        <x:f>IF(E300=F300,"PASS","FAIL")</x:f>
        <x:v>PASS</x:v>
      </x:c>
    </x:row>
    <x:row r="301" ht="18" customHeight="1">
      <x:c r="B301" s="25" t="str">
        <x:v>A295</x:v>
      </x:c>
      <x:c r="C301" s="25" t="str">
        <x:v>decision state</x:v>
      </x:c>
      <x:c r="D301" s="25" t="str">
        <x:v>gate 7 OPEN</x:v>
      </x:c>
      <x:c r="E301" s="25" t="n">
        <x:f>IF('Decision Gates'!F7="OPEN",1,0)</x:f>
        <x:v>1</x:v>
      </x:c>
      <x:c r="F301" s="25" t="n">
        <x:v>1</x:v>
      </x:c>
      <x:c r="G301" s="27" t="str">
        <x:f>IF(E301=F301,"PASS","FAIL")</x:f>
        <x:v>PASS</x:v>
      </x:c>
    </x:row>
    <x:row r="302" ht="18" customHeight="1">
      <x:c r="B302" s="25" t="str">
        <x:v>A296</x:v>
      </x:c>
      <x:c r="C302" s="25" t="str">
        <x:v>rendering state</x:v>
      </x:c>
      <x:c r="D302" s="25" t="str">
        <x:v>gate 7 BLOCKED</x:v>
      </x:c>
      <x:c r="E302" s="25" t="n">
        <x:f>IF('Decision Gates'!L7="BLOCKED",1,0)</x:f>
        <x:v>1</x:v>
      </x:c>
      <x:c r="F302" s="25" t="n">
        <x:v>1</x:v>
      </x:c>
      <x:c r="G302" s="27" t="str">
        <x:f>IF(E302=F302,"PASS","FAIL")</x:f>
        <x:v>PASS</x:v>
      </x:c>
    </x:row>
    <x:row r="303" ht="18" customHeight="1">
      <x:c r="B303" s="25" t="str">
        <x:v>A297</x:v>
      </x:c>
      <x:c r="C303" s="25" t="str">
        <x:v>decision state</x:v>
      </x:c>
      <x:c r="D303" s="25" t="str">
        <x:v>gate 8 OPEN</x:v>
      </x:c>
      <x:c r="E303" s="25" t="n">
        <x:f>IF('Decision Gates'!F8="OPEN",1,0)</x:f>
        <x:v>1</x:v>
      </x:c>
      <x:c r="F303" s="25" t="n">
        <x:v>1</x:v>
      </x:c>
      <x:c r="G303" s="27" t="str">
        <x:f>IF(E303=F303,"PASS","FAIL")</x:f>
        <x:v>PASS</x:v>
      </x:c>
    </x:row>
    <x:row r="304" ht="18" customHeight="1">
      <x:c r="B304" s="25" t="str">
        <x:v>A298</x:v>
      </x:c>
      <x:c r="C304" s="25" t="str">
        <x:v>rendering state</x:v>
      </x:c>
      <x:c r="D304" s="25" t="str">
        <x:v>gate 8 BLOCKED</x:v>
      </x:c>
      <x:c r="E304" s="25" t="n">
        <x:f>IF('Decision Gates'!L8="BLOCKED",1,0)</x:f>
        <x:v>1</x:v>
      </x:c>
      <x:c r="F304" s="25" t="n">
        <x:v>1</x:v>
      </x:c>
      <x:c r="G304" s="27" t="str">
        <x:f>IF(E304=F304,"PASS","FAIL")</x:f>
        <x:v>PASS</x:v>
      </x:c>
    </x:row>
    <x:row r="305" ht="18" customHeight="1">
      <x:c r="B305" s="25" t="str">
        <x:v>A299</x:v>
      </x:c>
      <x:c r="C305" s="25" t="str">
        <x:v>decision state</x:v>
      </x:c>
      <x:c r="D305" s="25" t="str">
        <x:v>gate 9 OPEN</x:v>
      </x:c>
      <x:c r="E305" s="25" t="n">
        <x:f>IF('Decision Gates'!F9="OPEN",1,0)</x:f>
        <x:v>1</x:v>
      </x:c>
      <x:c r="F305" s="25" t="n">
        <x:v>1</x:v>
      </x:c>
      <x:c r="G305" s="27" t="str">
        <x:f>IF(E305=F305,"PASS","FAIL")</x:f>
        <x:v>PASS</x:v>
      </x:c>
    </x:row>
    <x:row r="306" ht="18" customHeight="1">
      <x:c r="B306" s="25" t="str">
        <x:v>A300</x:v>
      </x:c>
      <x:c r="C306" s="25" t="str">
        <x:v>rendering state</x:v>
      </x:c>
      <x:c r="D306" s="25" t="str">
        <x:v>gate 9 BLOCKED</x:v>
      </x:c>
      <x:c r="E306" s="25" t="n">
        <x:f>IF('Decision Gates'!L9="BLOCKED",1,0)</x:f>
        <x:v>1</x:v>
      </x:c>
      <x:c r="F306" s="25" t="n">
        <x:v>1</x:v>
      </x:c>
      <x:c r="G306" s="27" t="str">
        <x:f>IF(E306=F306,"PASS","FAIL")</x:f>
        <x:v>PASS</x:v>
      </x:c>
    </x:row>
    <x:row r="307" ht="18" customHeight="1">
      <x:c r="B307" s="25" t="str">
        <x:v>A301</x:v>
      </x:c>
      <x:c r="C307" s="25" t="str">
        <x:v>decision state</x:v>
      </x:c>
      <x:c r="D307" s="25" t="str">
        <x:v>gate 10 OPEN</x:v>
      </x:c>
      <x:c r="E307" s="25" t="n">
        <x:f>IF('Decision Gates'!F10="OPEN",1,0)</x:f>
        <x:v>1</x:v>
      </x:c>
      <x:c r="F307" s="25" t="n">
        <x:v>1</x:v>
      </x:c>
      <x:c r="G307" s="27" t="str">
        <x:f>IF(E307=F307,"PASS","FAIL")</x:f>
        <x:v>PASS</x:v>
      </x:c>
    </x:row>
    <x:row r="308" ht="18" customHeight="1">
      <x:c r="B308" s="25" t="str">
        <x:v>A302</x:v>
      </x:c>
      <x:c r="C308" s="25" t="str">
        <x:v>rendering state</x:v>
      </x:c>
      <x:c r="D308" s="25" t="str">
        <x:v>gate 10 BLOCKED</x:v>
      </x:c>
      <x:c r="E308" s="25" t="n">
        <x:f>IF('Decision Gates'!L10="BLOCKED",1,0)</x:f>
        <x:v>1</x:v>
      </x:c>
      <x:c r="F308" s="25" t="n">
        <x:v>1</x:v>
      </x:c>
      <x:c r="G308" s="27" t="str">
        <x:f>IF(E308=F308,"PASS","FAIL")</x:f>
        <x:v>PASS</x:v>
      </x:c>
    </x:row>
    <x:row r="309" ht="18" customHeight="1">
      <x:c r="B309" s="25" t="str">
        <x:v>A303</x:v>
      </x:c>
      <x:c r="C309" s="25" t="str">
        <x:v>decision state</x:v>
      </x:c>
      <x:c r="D309" s="25" t="str">
        <x:v>gate 11 OPEN</x:v>
      </x:c>
      <x:c r="E309" s="25" t="n">
        <x:f>IF('Decision Gates'!F11="OPEN",1,0)</x:f>
        <x:v>1</x:v>
      </x:c>
      <x:c r="F309" s="25" t="n">
        <x:v>1</x:v>
      </x:c>
      <x:c r="G309" s="27" t="str">
        <x:f>IF(E309=F309,"PASS","FAIL")</x:f>
        <x:v>PASS</x:v>
      </x:c>
    </x:row>
    <x:row r="310" ht="18" customHeight="1">
      <x:c r="B310" s="25" t="str">
        <x:v>A304</x:v>
      </x:c>
      <x:c r="C310" s="25" t="str">
        <x:v>rendering state</x:v>
      </x:c>
      <x:c r="D310" s="25" t="str">
        <x:v>gate 11 BLOCKED</x:v>
      </x:c>
      <x:c r="E310" s="25" t="n">
        <x:f>IF('Decision Gates'!L11="BLOCKED",1,0)</x:f>
        <x:v>1</x:v>
      </x:c>
      <x:c r="F310" s="25" t="n">
        <x:v>1</x:v>
      </x:c>
      <x:c r="G310" s="27" t="str">
        <x:f>IF(E310=F310,"PASS","FAIL")</x:f>
        <x:v>PASS</x:v>
      </x:c>
    </x:row>
    <x:row r="311" ht="18" customHeight="1">
      <x:c r="B311" s="25" t="str">
        <x:v>A305</x:v>
      </x:c>
      <x:c r="C311" s="25" t="str">
        <x:v>decision state</x:v>
      </x:c>
      <x:c r="D311" s="25" t="str">
        <x:v>gate 12 OPEN</x:v>
      </x:c>
      <x:c r="E311" s="25" t="n">
        <x:f>IF('Decision Gates'!F12="OPEN",1,0)</x:f>
        <x:v>1</x:v>
      </x:c>
      <x:c r="F311" s="25" t="n">
        <x:v>1</x:v>
      </x:c>
      <x:c r="G311" s="27" t="str">
        <x:f>IF(E311=F311,"PASS","FAIL")</x:f>
        <x:v>PASS</x:v>
      </x:c>
    </x:row>
    <x:row r="312" ht="18" customHeight="1">
      <x:c r="B312" s="25" t="str">
        <x:v>A306</x:v>
      </x:c>
      <x:c r="C312" s="25" t="str">
        <x:v>rendering state</x:v>
      </x:c>
      <x:c r="D312" s="25" t="str">
        <x:v>gate 12 BLOCKED</x:v>
      </x:c>
      <x:c r="E312" s="25" t="n">
        <x:f>IF('Decision Gates'!L12="BLOCKED",1,0)</x:f>
        <x:v>1</x:v>
      </x:c>
      <x:c r="F312" s="25" t="n">
        <x:v>1</x:v>
      </x:c>
      <x:c r="G312" s="27" t="str">
        <x:f>IF(E312=F312,"PASS","FAIL")</x:f>
        <x:v>PASS</x:v>
      </x:c>
    </x:row>
    <x:row r="313" ht="18" customHeight="1">
      <x:c r="B313" s="25" t="str">
        <x:v>A307</x:v>
      </x:c>
      <x:c r="C313" s="25" t="str">
        <x:v>decision state</x:v>
      </x:c>
      <x:c r="D313" s="25" t="str">
        <x:v>gate 13 OPEN</x:v>
      </x:c>
      <x:c r="E313" s="25" t="n">
        <x:f>IF('Decision Gates'!F13="OPEN",1,0)</x:f>
        <x:v>1</x:v>
      </x:c>
      <x:c r="F313" s="25" t="n">
        <x:v>1</x:v>
      </x:c>
      <x:c r="G313" s="27" t="str">
        <x:f>IF(E313=F313,"PASS","FAIL")</x:f>
        <x:v>PASS</x:v>
      </x:c>
    </x:row>
    <x:row r="314" ht="18" customHeight="1">
      <x:c r="B314" s="25" t="str">
        <x:v>A308</x:v>
      </x:c>
      <x:c r="C314" s="25" t="str">
        <x:v>rendering state</x:v>
      </x:c>
      <x:c r="D314" s="25" t="str">
        <x:v>gate 13 BLOCKED</x:v>
      </x:c>
      <x:c r="E314" s="25" t="n">
        <x:f>IF('Decision Gates'!L13="BLOCKED",1,0)</x:f>
        <x:v>1</x:v>
      </x:c>
      <x:c r="F314" s="25" t="n">
        <x:v>1</x:v>
      </x:c>
      <x:c r="G314" s="27" t="str">
        <x:f>IF(E314=F314,"PASS","FAIL")</x:f>
        <x:v>PASS</x:v>
      </x:c>
    </x:row>
    <x:row r="315" ht="18" customHeight="1">
      <x:c r="B315" s="25" t="str">
        <x:v>A309</x:v>
      </x:c>
      <x:c r="C315" s="25" t="str">
        <x:v>decision state</x:v>
      </x:c>
      <x:c r="D315" s="25" t="str">
        <x:v>gate 14 OPEN</x:v>
      </x:c>
      <x:c r="E315" s="25" t="n">
        <x:f>IF('Decision Gates'!F14="OPEN",1,0)</x:f>
        <x:v>1</x:v>
      </x:c>
      <x:c r="F315" s="25" t="n">
        <x:v>1</x:v>
      </x:c>
      <x:c r="G315" s="27" t="str">
        <x:f>IF(E315=F315,"PASS","FAIL")</x:f>
        <x:v>PASS</x:v>
      </x:c>
    </x:row>
    <x:row r="316" ht="18" customHeight="1">
      <x:c r="B316" s="25" t="str">
        <x:v>A310</x:v>
      </x:c>
      <x:c r="C316" s="25" t="str">
        <x:v>rendering state</x:v>
      </x:c>
      <x:c r="D316" s="25" t="str">
        <x:v>gate 14 BLOCKED</x:v>
      </x:c>
      <x:c r="E316" s="25" t="n">
        <x:f>IF('Decision Gates'!L14="BLOCKED",1,0)</x:f>
        <x:v>1</x:v>
      </x:c>
      <x:c r="F316" s="25" t="n">
        <x:v>1</x:v>
      </x:c>
      <x:c r="G316" s="27" t="str">
        <x:f>IF(E316=F316,"PASS","FAIL")</x:f>
        <x:v>PASS</x:v>
      </x:c>
    </x:row>
    <x:row r="317" ht="18" customHeight="1">
      <x:c r="B317" s="25" t="str">
        <x:v>A311</x:v>
      </x:c>
      <x:c r="C317" s="25" t="str">
        <x:v>decision state</x:v>
      </x:c>
      <x:c r="D317" s="25" t="str">
        <x:v>gate 15 OPEN</x:v>
      </x:c>
      <x:c r="E317" s="25" t="n">
        <x:f>IF('Decision Gates'!F15="OPEN",1,0)</x:f>
        <x:v>1</x:v>
      </x:c>
      <x:c r="F317" s="25" t="n">
        <x:v>1</x:v>
      </x:c>
      <x:c r="G317" s="27" t="str">
        <x:f>IF(E317=F317,"PASS","FAIL")</x:f>
        <x:v>PASS</x:v>
      </x:c>
    </x:row>
    <x:row r="318" ht="18" customHeight="1">
      <x:c r="B318" s="25" t="str">
        <x:v>A312</x:v>
      </x:c>
      <x:c r="C318" s="25" t="str">
        <x:v>rendering state</x:v>
      </x:c>
      <x:c r="D318" s="25" t="str">
        <x:v>gate 15 BLOCKED</x:v>
      </x:c>
      <x:c r="E318" s="25" t="n">
        <x:f>IF('Decision Gates'!L15="BLOCKED",1,0)</x:f>
        <x:v>1</x:v>
      </x:c>
      <x:c r="F318" s="25" t="n">
        <x:v>1</x:v>
      </x:c>
      <x:c r="G318" s="27" t="str">
        <x:f>IF(E318=F318,"PASS","FAIL")</x:f>
        <x:v>PASS</x:v>
      </x:c>
    </x:row>
    <x:row r="319" ht="18" customHeight="1">
      <x:c r="B319" s="25" t="str">
        <x:v>A313</x:v>
      </x:c>
      <x:c r="C319" s="25" t="str">
        <x:v>decision state</x:v>
      </x:c>
      <x:c r="D319" s="25" t="str">
        <x:v>gate 16 OPEN</x:v>
      </x:c>
      <x:c r="E319" s="25" t="n">
        <x:f>IF('Decision Gates'!F16="OPEN",1,0)</x:f>
        <x:v>1</x:v>
      </x:c>
      <x:c r="F319" s="25" t="n">
        <x:v>1</x:v>
      </x:c>
      <x:c r="G319" s="27" t="str">
        <x:f>IF(E319=F319,"PASS","FAIL")</x:f>
        <x:v>PASS</x:v>
      </x:c>
    </x:row>
    <x:row r="320" ht="18" customHeight="1">
      <x:c r="B320" s="25" t="str">
        <x:v>A314</x:v>
      </x:c>
      <x:c r="C320" s="25" t="str">
        <x:v>rendering state</x:v>
      </x:c>
      <x:c r="D320" s="25" t="str">
        <x:v>gate 16 BLOCKED</x:v>
      </x:c>
      <x:c r="E320" s="25" t="n">
        <x:f>IF('Decision Gates'!L16="BLOCKED",1,0)</x:f>
        <x:v>1</x:v>
      </x:c>
      <x:c r="F320" s="25" t="n">
        <x:v>1</x:v>
      </x:c>
      <x:c r="G320" s="27" t="str">
        <x:f>IF(E320=F320,"PASS","FAIL")</x:f>
        <x:v>PASS</x:v>
      </x:c>
    </x:row>
    <x:row r="321" ht="18" customHeight="1">
      <x:c r="B321" s="25" t="str">
        <x:v>A315</x:v>
      </x:c>
      <x:c r="C321" s="25" t="str">
        <x:v>model</x:v>
      </x:c>
      <x:c r="D321" s="25" t="str">
        <x:v>air tile mass</x:v>
      </x:c>
      <x:c r="E321" s="25" t="n">
        <x:f>'Air Tile Kit'!C17</x:f>
        <x:v>110</x:v>
      </x:c>
      <x:c r="F321" s="25" t="n">
        <x:v>110</x:v>
      </x:c>
      <x:c r="G321" s="27" t="str">
        <x:f>IF(E321=F321,"PASS","FAIL")</x:f>
        <x:v>PASS</x:v>
      </x:c>
    </x:row>
    <x:row r="322" ht="18" customHeight="1">
      <x:c r="B322" s="25" t="str">
        <x:v>A316</x:v>
      </x:c>
      <x:c r="C322" s="25" t="str">
        <x:v>model</x:v>
      </x:c>
      <x:c r="D322" s="25" t="str">
        <x:v>terrain tile mass</x:v>
      </x:c>
      <x:c r="E322" s="25" t="n">
        <x:f>'Terrain Tile Kit'!C19</x:f>
        <x:v>135</x:v>
      </x:c>
      <x:c r="F322" s="25" t="n">
        <x:v>135</x:v>
      </x:c>
      <x:c r="G322" s="27" t="str">
        <x:f>IF(E322=F322,"PASS","FAIL")</x:f>
        <x:v>PASS</x:v>
      </x:c>
    </x:row>
    <x:row r="323" ht="18" customHeight="1">
      <x:c r="B323" s="25" t="str">
        <x:v>A317</x:v>
      </x:c>
      <x:c r="C323" s="25" t="str">
        <x:v>model</x:v>
      </x:c>
      <x:c r="D323" s="25" t="str">
        <x:v>air node mass</x:v>
      </x:c>
      <x:c r="E323" s="25" t="n">
        <x:f>'Air Carrier Node'!C16</x:f>
        <x:v>1199.9999999999998</x:v>
      </x:c>
      <x:c r="F323" s="25" t="n">
        <x:v>1200</x:v>
      </x:c>
      <x:c r="G323" s="27" t="str">
        <x:f>IF(E323=F323,"PASS","FAIL")</x:f>
        <x:v>PASS</x:v>
      </x:c>
    </x:row>
    <x:row r="324" ht="18" customHeight="1">
      <x:c r="B324" s="25" t="str">
        <x:v>A318</x:v>
      </x:c>
      <x:c r="C324" s="25" t="str">
        <x:v>model</x:v>
      </x:c>
      <x:c r="D324" s="25" t="str">
        <x:v>terrain node mass</x:v>
      </x:c>
      <x:c r="E324" s="25" t="n">
        <x:f>'Terrain Carrier Node'!C17</x:f>
        <x:v>2600</x:v>
      </x:c>
      <x:c r="F324" s="25" t="n">
        <x:v>2600</x:v>
      </x:c>
      <x:c r="G324" s="27" t="str">
        <x:f>IF(E324=F324,"PASS","FAIL")</x:f>
        <x:v>PASS</x:v>
      </x:c>
    </x:row>
    <x:row r="325" ht="18" customHeight="1">
      <x:c r="B325" s="25" t="str">
        <x:v>A319</x:v>
      </x:c>
      <x:c r="C325" s="25" t="str">
        <x:v>model</x:v>
      </x:c>
      <x:c r="D325" s="25" t="str">
        <x:v>receiver mass</x:v>
      </x:c>
      <x:c r="E325" s="25" t="n">
        <x:f>'Receiver Station'!C17</x:f>
        <x:v>2800</x:v>
      </x:c>
      <x:c r="F325" s="25" t="n">
        <x:v>2800</x:v>
      </x:c>
      <x:c r="G325" s="27" t="str">
        <x:f>IF(E325=F325,"PASS","FAIL")</x:f>
        <x:v>PASS</x:v>
      </x:c>
    </x:row>
    <x:row r="326" ht="18" customHeight="1">
      <x:c r="B326" s="25" t="str">
        <x:v>A320</x:v>
      </x:c>
      <x:c r="C326" s="25" t="str">
        <x:v>model</x:v>
      </x:c>
      <x:c r="D326" s="25" t="str">
        <x:v>air tile allowance passes</x:v>
      </x:c>
      <x:c r="E326" s="25" t="n">
        <x:f>IF('Reference Envelopes'!G7="PASS",1,0)</x:f>
        <x:v>1</x:v>
      </x:c>
      <x:c r="F326" s="25" t="n">
        <x:v>1</x:v>
      </x:c>
      <x:c r="G326" s="27" t="str">
        <x:f>IF(E326=F326,"PASS","FAIL")</x:f>
        <x:v>PASS</x:v>
      </x:c>
    </x:row>
    <x:row r="327" ht="18" customHeight="1">
      <x:c r="B327" s="25" t="str">
        <x:v>A321</x:v>
      </x:c>
      <x:c r="C327" s="25" t="str">
        <x:v>model</x:v>
      </x:c>
      <x:c r="D327" s="25" t="str">
        <x:v>terrain tile allowance passes</x:v>
      </x:c>
      <x:c r="E327" s="25" t="n">
        <x:f>IF('Reference Envelopes'!G8="PASS",1,0)</x:f>
        <x:v>1</x:v>
      </x:c>
      <x:c r="F327" s="25" t="n">
        <x:v>1</x:v>
      </x:c>
      <x:c r="G327" s="27" t="str">
        <x:f>IF(E327=F327,"PASS","FAIL")</x:f>
        <x:v>PASS</x:v>
      </x:c>
    </x:row>
    <x:row r="328" ht="18" customHeight="1">
      <x:c r="B328" s="25" t="str">
        <x:v>A322</x:v>
      </x:c>
      <x:c r="C328" s="25" t="str">
        <x:v>model</x:v>
      </x:c>
      <x:c r="D328" s="25" t="str">
        <x:v>clock U95 passes</x:v>
      </x:c>
      <x:c r="E328" s="25" t="n">
        <x:f>IF('Clock Holdover'!F18="PASS",1,0)</x:f>
        <x:v>1</x:v>
      </x:c>
      <x:c r="F328" s="25" t="n">
        <x:v>1</x:v>
      </x:c>
      <x:c r="G328" s="27" t="str">
        <x:f>IF(E328=F328,"PASS","FAIL")</x:f>
        <x:v>PASS</x:v>
      </x:c>
    </x:row>
    <x:row r="329" ht="18" customHeight="1">
      <x:c r="B329" s="25" t="str">
        <x:v>A323</x:v>
      </x:c>
      <x:c r="C329" s="25" t="str">
        <x:v>model</x:v>
      </x:c>
      <x:c r="D329" s="25" t="str">
        <x:v>soil U95 passes</x:v>
      </x:c>
      <x:c r="E329" s="25" t="n">
        <x:f>IF('Soil Skin'!F32="PASS",1,0)</x:f>
        <x:v>1</x:v>
      </x:c>
      <x:c r="F329" s="25" t="n">
        <x:v>1</x:v>
      </x:c>
      <x:c r="G329" s="27" t="str">
        <x:f>IF(E329=F329,"PASS","FAIL")</x:f>
        <x:v>PASS</x:v>
      </x:c>
    </x:row>
    <x:row r="330" ht="18" customHeight="1">
      <x:c r="B330" s="25" t="str">
        <x:v>A324</x:v>
      </x:c>
      <x:c r="C330" s="25" t="str">
        <x:v>model</x:v>
      </x:c>
      <x:c r="D330" s="25" t="str">
        <x:v>soil admission passes</x:v>
      </x:c>
      <x:c r="E330" s="25" t="n">
        <x:f>IF('Soil Skin'!F34="PASS",1,0)</x:f>
        <x:v>1</x:v>
      </x:c>
      <x:c r="F330" s="25" t="n">
        <x:v>1</x:v>
      </x:c>
      <x:c r="G330" s="27" t="str">
        <x:f>IF(E330=F330,"PASS","FAIL")</x:f>
        <x:v>PASS</x:v>
      </x:c>
    </x:row>
    <x:row r="331" ht="18" customHeight="1">
      <x:c r="B331" s="25" t="str">
        <x:v>A325</x:v>
      </x:c>
      <x:c r="C331" s="25" t="str">
        <x:v>model</x:v>
      </x:c>
      <x:c r="D331" s="25" t="str">
        <x:v>skin cells</x:v>
      </x:c>
      <x:c r="E331" s="25" t="n">
        <x:f>'Soil Skin'!C10</x:f>
        <x:v>4560</x:v>
      </x:c>
      <x:c r="F331" s="25" t="n">
        <x:v>4560</x:v>
      </x:c>
      <x:c r="G331" s="27" t="str">
        <x:f>IF(E331=F331,"PASS","FAIL")</x:f>
        <x:v>PASS</x:v>
      </x:c>
    </x:row>
    <x:row r="332" ht="18" customHeight="1">
      <x:c r="B332" s="25" t="str">
        <x:v>A326</x:v>
      </x:c>
      <x:c r="C332" s="25" t="str">
        <x:v>model</x:v>
      </x:c>
      <x:c r="D332" s="25" t="str">
        <x:v>skin channels</x:v>
      </x:c>
      <x:c r="E332" s="25" t="n">
        <x:f>'Soil Skin'!C12</x:f>
        <x:v>18240</x:v>
      </x:c>
      <x:c r="F332" s="25" t="n">
        <x:v>18240</x:v>
      </x:c>
      <x:c r="G332" s="27" t="str">
        <x:f>IF(E332=F332,"PASS","FAIL")</x:f>
        <x:v>PASS</x:v>
      </x:c>
    </x:row>
    <x:row r="333" ht="18" customHeight="1">
      <x:c r="B333" s="25" t="str">
        <x:v>A327</x:v>
      </x:c>
      <x:c r="C333" s="25" t="str">
        <x:v>model</x:v>
      </x:c>
      <x:c r="D333" s="25" t="str">
        <x:v>campaigns</x:v>
      </x:c>
      <x:c r="E333" s="25" t="n">
        <x:f>'Prototype Campaign'!C19</x:f>
        <x:v>8</x:v>
      </x:c>
      <x:c r="F333" s="25" t="n">
        <x:v>8</x:v>
      </x:c>
      <x:c r="G333" s="27" t="str">
        <x:f>IF(E333=F333,"PASS","FAIL")</x:f>
        <x:v>PASS</x:v>
      </x:c>
    </x:row>
    <x:row r="334" ht="18" customHeight="1">
      <x:c r="B334" s="25" t="str">
        <x:v>A328</x:v>
      </x:c>
      <x:c r="C334" s="25" t="str">
        <x:v>model</x:v>
      </x:c>
      <x:c r="D334" s="25" t="str">
        <x:v>trials</x:v>
      </x:c>
      <x:c r="E334" s="25" t="n">
        <x:f>'Prototype Campaign'!C20</x:f>
        <x:v>68</x:v>
      </x:c>
      <x:c r="F334" s="25" t="n">
        <x:v>68</x:v>
      </x:c>
      <x:c r="G334" s="27" t="str">
        <x:f>IF(E334=F334,"PASS","FAIL")</x:f>
        <x:v>PASS</x:v>
      </x:c>
    </x:row>
    <x:row r="335" ht="18" customHeight="1">
      <x:c r="B335" s="25" t="str">
        <x:v>A329</x:v>
      </x:c>
      <x:c r="C335" s="25" t="str">
        <x:v>model</x:v>
      </x:c>
      <x:c r="D335" s="25" t="str">
        <x:v>evidence gates</x:v>
      </x:c>
      <x:c r="E335" s="25" t="n">
        <x:f>'Prototype Campaign'!C21</x:f>
        <x:v>64</x:v>
      </x:c>
      <x:c r="F335" s="25" t="n">
        <x:v>64</x:v>
      </x:c>
      <x:c r="G335" s="27" t="str">
        <x:f>IF(E335=F335,"PASS","FAIL")</x:f>
        <x:v>PASS</x:v>
      </x:c>
    </x:row>
    <x:row r="336" ht="18" customHeight="1">
      <x:c r="B336" s="25" t="str">
        <x:v>A330</x:v>
      </x:c>
      <x:c r="C336" s="25" t="str">
        <x:v>model</x:v>
      </x:c>
      <x:c r="D336" s="25" t="str">
        <x:v>prototype cost</x:v>
      </x:c>
      <x:c r="E336" s="25" t="n">
        <x:f>'Prototype Campaign'!C22</x:f>
        <x:v>6.799999999999999</x:v>
      </x:c>
      <x:c r="F336" s="25" t="n">
        <x:v>6.8</x:v>
      </x:c>
      <x:c r="G336" s="27" t="str">
        <x:f>IF(E336=F336,"PASS","FAIL")</x:f>
        <x:v>PASS</x:v>
      </x:c>
    </x:row>
    <x:row r="337" ht="18" customHeight="1">
      <x:c r="B337" s="25" t="str">
        <x:v>A331</x:v>
      </x:c>
      <x:c r="C337" s="25" t="str">
        <x:v>model</x:v>
      </x:c>
      <x:c r="D337" s="25" t="str">
        <x:v>F01 total</x:v>
      </x:c>
      <x:c r="E337" s="25" t="n">
        <x:f>'F01 Reallocation'!E21</x:f>
        <x:v>24</x:v>
      </x:c>
      <x:c r="F337" s="25" t="n">
        <x:v>24</x:v>
      </x:c>
      <x:c r="G337" s="27" t="str">
        <x:f>IF(E337=F337,"PASS","FAIL")</x:f>
        <x:v>PASS</x:v>
      </x:c>
    </x:row>
    <x:row r="338" ht="18" customHeight="1">
      <x:c r="B338" s="25" t="str">
        <x:v>A332</x:v>
      </x:c>
      <x:c r="C338" s="25" t="str">
        <x:v>model</x:v>
      </x:c>
      <x:c r="D338" s="25" t="str">
        <x:v>F01 delta</x:v>
      </x:c>
      <x:c r="E338" s="25" t="n">
        <x:f>'F01 Reallocation'!G21</x:f>
        <x:v>0</x:v>
      </x:c>
      <x:c r="F338" s="25" t="n">
        <x:v>0</x:v>
      </x:c>
      <x:c r="G338" s="27" t="str">
        <x:f>IF(E338=F338,"PASS","FAIL")</x:f>
        <x:v>PASS</x:v>
      </x:c>
    </x:row>
    <x:row r="339" ht="18" customHeight="1">
      <x:c r="B339" s="25" t="str">
        <x:v>A333</x:v>
      </x:c>
      <x:c r="C339" s="25" t="str">
        <x:v>model</x:v>
      </x:c>
      <x:c r="D339" s="25" t="str">
        <x:v>air kit count</x:v>
      </x:c>
      <x:c r="E339" s="25" t="n">
        <x:f>Assumptions!C45</x:f>
        <x:v>258</x:v>
      </x:c>
      <x:c r="F339" s="25" t="n">
        <x:v>258</x:v>
      </x:c>
      <x:c r="G339" s="27" t="str">
        <x:f>IF(E339=F339,"PASS","FAIL")</x:f>
        <x:v>PASS</x:v>
      </x:c>
    </x:row>
    <x:row r="340" ht="18" customHeight="1">
      <x:c r="B340" s="25" t="str">
        <x:v>A334</x:v>
      </x:c>
      <x:c r="C340" s="25" t="str">
        <x:v>model</x:v>
      </x:c>
      <x:c r="D340" s="25" t="str">
        <x:v>terrain kit count</x:v>
      </x:c>
      <x:c r="E340" s="25" t="n">
        <x:f>Assumptions!C46</x:f>
        <x:v>238</x:v>
      </x:c>
      <x:c r="F340" s="25" t="n">
        <x:v>238</x:v>
      </x:c>
      <x:c r="G340" s="27" t="str">
        <x:f>IF(E340=F340,"PASS","FAIL")</x:f>
        <x:v>PASS</x:v>
      </x:c>
    </x:row>
    <x:row r="341" ht="18" customHeight="1">
      <x:c r="B341" s="25" t="str">
        <x:v>A335</x:v>
      </x:c>
      <x:c r="C341" s="25" t="str">
        <x:v>model</x:v>
      </x:c>
      <x:c r="D341" s="25" t="str">
        <x:v>air carrier count</x:v>
      </x:c>
      <x:c r="E341" s="25" t="n">
        <x:f>Assumptions!C47</x:f>
        <x:v>14</x:v>
      </x:c>
      <x:c r="F341" s="25" t="n">
        <x:v>14</x:v>
      </x:c>
      <x:c r="G341" s="27" t="str">
        <x:f>IF(E341=F341,"PASS","FAIL")</x:f>
        <x:v>PASS</x:v>
      </x:c>
    </x:row>
    <x:row r="342" ht="18" customHeight="1">
      <x:c r="B342" s="25" t="str">
        <x:v>A336</x:v>
      </x:c>
      <x:c r="C342" s="25" t="str">
        <x:v>model</x:v>
      </x:c>
      <x:c r="D342" s="25" t="str">
        <x:v>terrain carrier count</x:v>
      </x:c>
      <x:c r="E342" s="25" t="n">
        <x:f>Assumptions!C48</x:f>
        <x:v>12</x:v>
      </x:c>
      <x:c r="F342" s="25" t="n">
        <x:v>12</x:v>
      </x:c>
      <x:c r="G342" s="27" t="str">
        <x:f>IF(E342=F342,"PASS","FAIL")</x:f>
        <x:v>PASS</x:v>
      </x:c>
    </x:row>
    <x:row r="343" ht="18" customHeight="1">
      <x:c r="B343" s="25" t="str">
        <x:v>A337</x:v>
      </x:c>
      <x:c r="C343" s="25" t="str">
        <x:v>model</x:v>
      </x:c>
      <x:c r="D343" s="25" t="str">
        <x:v>receiver count</x:v>
      </x:c>
      <x:c r="E343" s="25" t="n">
        <x:f>Assumptions!C49</x:f>
        <x:v>8</x:v>
      </x:c>
      <x:c r="F343" s="25" t="n">
        <x:v>8</x:v>
      </x:c>
      <x:c r="G343" s="27" t="str">
        <x:f>IF(E343=F343,"PASS","FAIL")</x:f>
        <x:v>PASS</x:v>
      </x:c>
    </x:row>
    <x:row r="344" ht="18" customHeight="1">
      <x:c r="B344" s="25" t="str">
        <x:v>A338</x:v>
      </x:c>
      <x:c r="C344" s="25" t="str">
        <x:v>governance</x:v>
      </x:c>
      <x:c r="D344" s="25" t="str">
        <x:v>ten gates open</x:v>
      </x:c>
      <x:c r="E344" s="25" t="n">
        <x:f>COUNTIF('Decision Gates'!F7:F16,"OPEN")</x:f>
        <x:v>10</x:v>
      </x:c>
      <x:c r="F344" s="25" t="n">
        <x:v>10</x:v>
      </x:c>
      <x:c r="G344" s="27" t="str">
        <x:f>IF(E344=F344,"PASS","FAIL")</x:f>
        <x:v>PASS</x:v>
      </x:c>
    </x:row>
    <x:row r="345" ht="18" customHeight="1">
      <x:c r="B345" s="25" t="str">
        <x:v>A339</x:v>
      </x:c>
      <x:c r="C345" s="25" t="str">
        <x:v>governance</x:v>
      </x:c>
      <x:c r="D345" s="25" t="str">
        <x:v>ten rendering blocks</x:v>
      </x:c>
      <x:c r="E345" s="25" t="n">
        <x:f>COUNTIF('Decision Gates'!L7:L16,"BLOCKED")</x:f>
        <x:v>10</x:v>
      </x:c>
      <x:c r="F345" s="25" t="n">
        <x:v>10</x:v>
      </x:c>
      <x:c r="G345" s="27" t="str">
        <x:f>IF(E345=F345,"PASS","FAIL")</x:f>
        <x:v>PASS</x:v>
      </x:c>
    </x:row>
    <x:row r="346" ht="18" customHeight="1">
      <x:c r="B346" s="25" t="str">
        <x:v>A340</x:v>
      </x:c>
      <x:c r="C346" s="25" t="str">
        <x:v>governance</x:v>
      </x:c>
      <x:c r="D346" s="25" t="str">
        <x:v>zero evidence credit</x:v>
      </x:c>
      <x:c r="E346" s="25" t="n">
        <x:f>SUM('Prototype Campaign'!M7:M14)</x:f>
        <x:v>0</x:v>
      </x:c>
      <x:c r="F346" s="25" t="n">
        <x:v>0</x:v>
      </x:c>
      <x:c r="G346" s="27" t="str">
        <x:f>IF(E346=F346,"PASS","FAIL")</x:f>
        <x:v>PASS</x:v>
      </x:c>
    </x:row>
    <x:row r="347" ht="18" customHeight="1">
      <x:c r="B347" s="25" t="str">
        <x:v>A341</x:v>
      </x:c>
      <x:c r="C347" s="25" t="str">
        <x:v>governance</x:v>
      </x:c>
      <x:c r="D347" s="25" t="str">
        <x:v>rendering authorization</x:v>
      </x:c>
      <x:c r="E347" s="25" t="n">
        <x:f>Assumptions!C51</x:f>
        <x:v>0</x:v>
      </x:c>
      <x:c r="F347" s="25" t="n">
        <x:v>0</x:v>
      </x:c>
      <x:c r="G347" s="27" t="str">
        <x:f>IF(E347=F347,"PASS","FAIL")</x:f>
        <x:v>PASS</x:v>
      </x:c>
    </x:row>
    <x:row r="348" ht="18" customHeight="1">
      <x:c r="B348" s="29" t="str">
        <x:v>A342</x:v>
      </x:c>
      <x:c r="C348" s="29" t="str">
        <x:v>model</x:v>
      </x:c>
      <x:c r="D348" s="29" t="str">
        <x:v>audit target</x:v>
      </x:c>
      <x:c r="E348" s="29" t="n">
        <x:f>Assumptions!C50</x:f>
        <x:v>342</x:v>
      </x:c>
      <x:c r="F348" s="29" t="n">
        <x:v>342</x:v>
      </x:c>
      <x:c r="G348" s="31" t="str">
        <x:f>IF(E348=F348,"PASS","FAIL")</x:f>
        <x:v>PASS</x:v>
      </x:c>
    </x:row>
  </x:sheetData>
  <x:mergeCells>
    <x:mergeCell ref="B2:H2"/>
    <x:mergeCell ref="B3:G3"/>
  </x:mergeCells>
  <x:conditionalFormatting sqref="G7:G348">
    <x:cfRule type="containsText" dxfId="145" priority="1" operator="containsText" text="FAIL"/>
    <x:cfRule type="containsText" dxfId="146" priority="2" operator="containsText" text="PASS"/>
    <x:cfRule type="containsText" dxfId="147" priority="3" operator="containsText" text="OPEN"/>
    <x:cfRule type="containsText" dxfId="148" priority="4" operator="containsText" text="HOLD"/>
    <x:cfRule type="containsText" dxfId="149" priority="5" operator="containsText" text="BLOCKED"/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Pr>
    <x:tabColor rgb="FF7B8790"/>
  </x:sheetPr>
  <x:sheetViews>
    <x:sheetView showGridLines="0" workbookViewId="0"/>
  </x:sheetViews>
  <x:sheetFormatPr defaultRowHeight="15"/>
  <x:cols>
    <x:col min="2" max="2" width="30" hidden="0" customWidth="1"/>
    <x:col min="3" max="3" width="47" hidden="0" customWidth="1"/>
    <x:col min="4" max="4" width="37" hidden="0" customWidth="1"/>
    <x:col min="5" max="5" width="34" hidden="0" customWidth="1"/>
    <x:col min="6" max="6" width="31" hidden="0" customWidth="1"/>
    <x:col min="7" max="7" width="28" hidden="0" customWidth="1"/>
    <x:col min="8" max="8" width="35" hidden="0" customWidth="1"/>
    <x:col min="9" max="9" width="27" hidden="0" customWidth="1"/>
    <x:col min="10" max="10" width="28" hidden="0" customWidth="1"/>
  </x:cols>
  <x:sheetData>
    <x:row r="2" ht="18" customHeight="1">
      <x:c r="B2" s="4" t="str">
        <x:v>Workbook guide</x:v>
      </x:c>
      <x:c r="C2" s="3"/>
      <x:c r="D2" s="3"/>
      <x:c r="E2" s="3"/>
      <x:c r="F2" s="3"/>
      <x:c r="G2" s="3"/>
      <x:c r="H2" s="3"/>
      <x:c r="I2" s="3"/>
      <x:c r="J2" s="3"/>
    </x:row>
    <x:row r="3" ht="18" customHeight="1">
      <x:c r="B3" s="5" t="str">
        <x:v>MESA-1R converts the evidence constitution into physical allocations while preserving zero maturity credit</x:v>
      </x:c>
      <x:c r="C3" s="3"/>
      <x:c r="D3" s="3"/>
      <x:c r="E3" s="3"/>
      <x:c r="F3" s="3"/>
      <x:c r="G3" s="3"/>
      <x:c r="H3" s="3"/>
      <x:c r="I3" s="3"/>
      <x:c r="J3" s="3"/>
    </x:row>
    <x:row r="4" ht="18" customHeight="1">
      <x:c r="B4" s="6"/>
      <x:c r="C4" s="6"/>
      <x:c r="D4" s="6"/>
      <x:c r="E4" s="6"/>
      <x:c r="F4" s="6"/>
      <x:c r="G4" s="6"/>
      <x:c r="H4" s="6"/>
      <x:c r="I4" s="6"/>
      <x:c r="J4" s="6"/>
    </x:row>
    <x:row r="5" ht="18" customHeight="1">
      <x:c r="B5" s="3"/>
      <x:c r="C5" s="3"/>
      <x:c r="D5" s="3"/>
      <x:c r="E5" s="3"/>
      <x:c r="F5" s="3"/>
      <x:c r="G5" s="3"/>
      <x:c r="H5" s="3"/>
      <x:c r="I5" s="3"/>
      <x:c r="J5" s="3"/>
    </x:row>
    <x:row r="6" ht="18" customHeight="1">
      <x:c r="B6" s="23" t="str">
        <x:v>Sheet</x:v>
      </x:c>
      <x:c r="C6" s="24" t="str">
        <x:v>Purpose</x:v>
      </x:c>
      <x:c r="D6" s="24" t="str">
        <x:v>Key decision</x:v>
      </x:c>
      <x:c r="E6" s="24" t="str">
        <x:v>Inputs</x:v>
      </x:c>
      <x:c r="F6" s="24" t="str">
        <x:v>Formula outputs</x:v>
      </x:c>
      <x:c r="G6" s="24" t="str">
        <x:v>State semantics</x:v>
      </x:c>
      <x:c r="H6" s="24" t="str">
        <x:v>Do not infer</x:v>
      </x:c>
      <x:c r="I6" s="24" t="str">
        <x:v>Owner</x:v>
      </x:c>
      <x:c r="J6" s="24" t="str">
        <x:v>Update trigger</x:v>
      </x:c>
    </x:row>
    <x:row r="7" ht="18" customHeight="1">
      <x:c r="B7" s="25" t="str">
        <x:v>Summary</x:v>
      </x:c>
      <x:c r="C7" s="25" t="str">
        <x:v>current answer</x:v>
      </x:c>
      <x:c r="D7" s="25" t="str">
        <x:v>select representative allocation</x:v>
      </x:c>
      <x:c r="E7" s="25" t="str">
        <x:v>all sheets</x:v>
      </x:c>
      <x:c r="F7" s="25" t="str">
        <x:v>headline quantities</x:v>
      </x:c>
      <x:c r="G7" s="25" t="str">
        <x:v>PASS plus OPEN</x:v>
      </x:c>
      <x:c r="H7" s="25" t="str">
        <x:v>hardware maturity</x:v>
      </x:c>
      <x:c r="I7" s="25" t="str">
        <x:v>program executive</x:v>
      </x:c>
      <x:c r="J7" s="27" t="str">
        <x:v>decision change</x:v>
      </x:c>
    </x:row>
    <x:row r="8" ht="18" customHeight="1">
      <x:c r="B8" s="25" t="str">
        <x:v>Assumptions</x:v>
      </x:c>
      <x:c r="C8" s="25" t="str">
        <x:v>declared hypotheses</x:v>
      </x:c>
      <x:c r="D8" s="25" t="str">
        <x:v>freeze Pass 92 controls</x:v>
      </x:c>
      <x:c r="E8" s="25" t="str">
        <x:v>Pass 89-91 and design allocations</x:v>
      </x:c>
      <x:c r="F8" s="25" t="str">
        <x:v>none</x:v>
      </x:c>
      <x:c r="G8" s="25" t="str">
        <x:v>blue is unmeasured</x:v>
      </x:c>
      <x:c r="H8" s="25" t="str">
        <x:v>empirical truth</x:v>
      </x:c>
      <x:c r="I8" s="25" t="str">
        <x:v>model custodian</x:v>
      </x:c>
      <x:c r="J8" s="27" t="str">
        <x:v>new evidence</x:v>
      </x:c>
    </x:row>
    <x:row r="9" ht="18" customHeight="1">
      <x:c r="B9" s="25" t="str">
        <x:v>Reference Envelopes</x:v>
      </x:c>
      <x:c r="C9" s="25" t="str">
        <x:v>propagate physical burden</x:v>
      </x:c>
      <x:c r="D9" s="25" t="str">
        <x:v>tile mass fits; carrier mass corrects</x:v>
      </x:c>
      <x:c r="E9" s="25" t="str">
        <x:v>component totals</x:v>
      </x:c>
      <x:c r="F9" s="25" t="str">
        <x:v>gross and pressure</x:v>
      </x:c>
      <x:c r="G9" s="25" t="str">
        <x:v>PASS model</x:v>
      </x:c>
      <x:c r="H9" s="25" t="str">
        <x:v>production equivalence</x:v>
      </x:c>
      <x:c r="I9" s="25" t="str">
        <x:v>requirements authority</x:v>
      </x:c>
      <x:c r="J9" s="27" t="str">
        <x:v>measured mass</x:v>
      </x:c>
    </x:row>
    <x:row r="10" ht="18" customHeight="1">
      <x:c r="B10" s="25" t="str">
        <x:v>Five node sheets</x:v>
      </x:c>
      <x:c r="C10" s="25" t="str">
        <x:v>component allocations</x:v>
      </x:c>
      <x:c r="D10" s="25" t="str">
        <x:v>complete physical cassettes and nodes</x:v>
      </x:c>
      <x:c r="E10" s="25" t="str">
        <x:v>hardware hypotheses</x:v>
      </x:c>
      <x:c r="F10" s="25" t="str">
        <x:v>mass volume power totals</x:v>
      </x:c>
      <x:c r="G10" s="25" t="str">
        <x:v>OPEN</x:v>
      </x:c>
      <x:c r="H10" s="25" t="str">
        <x:v>packaging design</x:v>
      </x:c>
      <x:c r="I10" s="25" t="str">
        <x:v>evidence authorities</x:v>
      </x:c>
      <x:c r="J10" s="27" t="str">
        <x:v>prototype weigh-in</x:v>
      </x:c>
    </x:row>
    <x:row r="11" ht="18" customHeight="1">
      <x:c r="B11" s="25" t="str">
        <x:v>Power Endurance</x:v>
      </x:c>
      <x:c r="C11" s="25" t="str">
        <x:v>isolation energy</x:v>
      </x:c>
      <x:c r="D11" s="25" t="str">
        <x:v>168 hours plus reserve</x:v>
      </x:c>
      <x:c r="E11" s="25" t="str">
        <x:v>node average power</x:v>
      </x:c>
      <x:c r="F11" s="25" t="str">
        <x:v>energy and battery mass</x:v>
      </x:c>
      <x:c r="G11" s="25" t="str">
        <x:v>PASS model</x:v>
      </x:c>
      <x:c r="H11" s="25" t="str">
        <x:v>battery qualification</x:v>
      </x:c>
      <x:c r="I11" s="25" t="str">
        <x:v>metrology</x:v>
      </x:c>
      <x:c r="J11" s="27" t="str">
        <x:v>endurance trial</x:v>
      </x:c>
    </x:row>
    <x:row r="12" ht="18" customHeight="1">
      <x:c r="B12" s="25" t="str">
        <x:v>Data Endurance</x:v>
      </x:c>
      <x:c r="C12" s="25" t="str">
        <x:v>local retention</x:v>
      </x:c>
      <x:c r="D12" s="25" t="str">
        <x:v>network-independent custody</x:v>
      </x:c>
      <x:c r="E12" s="25" t="str">
        <x:v>registered rates</x:v>
      </x:c>
      <x:c r="F12" s="25" t="str">
        <x:v>raw required and margin</x:v>
      </x:c>
      <x:c r="G12" s="25" t="str">
        <x:v>PASS model</x:v>
      </x:c>
      <x:c r="H12" s="25" t="str">
        <x:v>media reliability</x:v>
      </x:c>
      <x:c r="I12" s="25" t="str">
        <x:v>data authority</x:v>
      </x:c>
      <x:c r="J12" s="27" t="str">
        <x:v>loss-world trial</x:v>
      </x:c>
    </x:row>
    <x:row r="13" ht="18" customHeight="1">
      <x:c r="B13" s="25" t="str">
        <x:v>Clock Holdover</x:v>
      </x:c>
      <x:c r="C13" s="25" t="str">
        <x:v>denied time</x:v>
      </x:c>
      <x:c r="D13" s="25" t="str">
        <x:v>U95 below 0.01 seconds</x:v>
      </x:c>
      <x:c r="E13" s="25" t="str">
        <x:v>component allocations</x:v>
      </x:c>
      <x:c r="F13" s="25" t="str">
        <x:v>RSS and U95</x:v>
      </x:c>
      <x:c r="G13" s="25" t="str">
        <x:v>PASS model</x:v>
      </x:c>
      <x:c r="H13" s="25" t="str">
        <x:v>clock performance</x:v>
      </x:c>
      <x:c r="I13" s="25" t="str">
        <x:v>time authority</x:v>
      </x:c>
      <x:c r="J13" s="27" t="str">
        <x:v>holdover trial</x:v>
      </x:c>
    </x:row>
    <x:row r="14" ht="18" customHeight="1">
      <x:c r="B14" s="25" t="str">
        <x:v>Soil Skin</x:v>
      </x:c>
      <x:c r="C14" s="25" t="str">
        <x:v>terrain truth field</x:v>
      </x:c>
      <x:c r="D14" s="25" t="str">
        <x:v>dense skin plus geometry</x:v>
      </x:c>
      <x:c r="E14" s="25" t="str">
        <x:v>carrier contact and uncertainty</x:v>
      </x:c>
      <x:c r="F14" s="25" t="str">
        <x:v>cells data and U95</x:v>
      </x:c>
      <x:c r="G14" s="25" t="str">
        <x:v>PASS model</x:v>
      </x:c>
      <x:c r="H14" s="25" t="str">
        <x:v>sensor qualification</x:v>
      </x:c>
      <x:c r="I14" s="25" t="str">
        <x:v>terrain evidence</x:v>
      </x:c>
      <x:c r="J14" s="27" t="str">
        <x:v>soil trial</x:v>
      </x:c>
    </x:row>
    <x:row r="15" ht="18" customHeight="1">
      <x:c r="B15" s="25" t="str">
        <x:v>Prototype Campaign</x:v>
      </x:c>
      <x:c r="C15" s="25" t="str">
        <x:v>execution path</x:v>
      </x:c>
      <x:c r="D15" s="25" t="str">
        <x:v>eight linked campaigns</x:v>
      </x:c>
      <x:c r="E15" s="25" t="str">
        <x:v>articles trials and cost</x:v>
      </x:c>
      <x:c r="F15" s="25" t="str">
        <x:v>totals</x:v>
      </x:c>
      <x:c r="G15" s="25" t="str">
        <x:v>OPEN and zero credit</x:v>
      </x:c>
      <x:c r="H15" s="25" t="str">
        <x:v>earned maturity</x:v>
      </x:c>
      <x:c r="I15" s="25" t="str">
        <x:v>trial authority</x:v>
      </x:c>
      <x:c r="J15" s="27" t="str">
        <x:v>accepted artifact</x:v>
      </x:c>
    </x:row>
    <x:row r="16" ht="18" customHeight="1">
      <x:c r="B16" s="25" t="str">
        <x:v>F01 Reallocation</x:v>
      </x:c>
      <x:c r="C16" s="25" t="str">
        <x:v>mode-specific cost</x:v>
      </x:c>
      <x:c r="D16" s="25" t="str">
        <x:v>USD 24B unchanged</x:v>
      </x:c>
      <x:c r="E16" s="25" t="str">
        <x:v>unit planning values</x:v>
      </x:c>
      <x:c r="F16" s="25" t="str">
        <x:v>extensions deltas and share</x:v>
      </x:c>
      <x:c r="G16" s="25" t="str">
        <x:v>OPEN</x:v>
      </x:c>
      <x:c r="H16" s="25" t="str">
        <x:v>vendor quote</x:v>
      </x:c>
      <x:c r="I16" s="25" t="str">
        <x:v>cost evidence board</x:v>
      </x:c>
      <x:c r="J16" s="27" t="str">
        <x:v>awarded work</x:v>
      </x:c>
    </x:row>
    <x:row r="17" ht="18" customHeight="1">
      <x:c r="B17" s="25" t="str">
        <x:v>Decision Gates</x:v>
      </x:c>
      <x:c r="C17" s="25" t="str">
        <x:v>stop rules</x:v>
      </x:c>
      <x:c r="D17" s="25" t="str">
        <x:v>ten gates OPEN</x:v>
      </x:c>
      <x:c r="E17" s="25" t="str">
        <x:v>all builds</x:v>
      </x:c>
      <x:c r="F17" s="25" t="str">
        <x:v>none</x:v>
      </x:c>
      <x:c r="G17" s="25" t="str">
        <x:v>HOLD/BLOCKED</x:v>
      </x:c>
      <x:c r="H17" s="25" t="str">
        <x:v>authorization</x:v>
      </x:c>
      <x:c r="I17" s="25" t="str">
        <x:v>requirements authority</x:v>
      </x:c>
      <x:c r="J17" s="27" t="str">
        <x:v>gate closure</x:v>
      </x:c>
    </x:row>
    <x:row r="18" ht="18" customHeight="1">
      <x:c r="B18" s="29" t="str">
        <x:v>Audit</x:v>
      </x:c>
      <x:c r="C18" s="29" t="str">
        <x:v>terminal checks</x:v>
      </x:c>
      <x:c r="D18" s="29" t="str">
        <x:v>342 controls</x:v>
      </x:c>
      <x:c r="E18" s="29" t="str">
        <x:v>all model sheets</x:v>
      </x:c>
      <x:c r="F18" s="29" t="str">
        <x:v>PASS/FAIL</x:v>
      </x:c>
      <x:c r="G18" s="29" t="str">
        <x:v>PASS model only</x:v>
      </x:c>
      <x:c r="H18" s="29" t="str">
        <x:v>physical evidence</x:v>
      </x:c>
      <x:c r="I18" s="29" t="str">
        <x:v>model custodian</x:v>
      </x:c>
      <x:c r="J18" s="31" t="str">
        <x:v>formula change</x:v>
      </x:c>
    </x:row>
    <x:row r="19" ht="18" customHeight="1">
      <x:c r="B19" s="3"/>
      <x:c r="C19" s="3"/>
      <x:c r="D19" s="3"/>
      <x:c r="E19" s="3"/>
      <x:c r="F19" s="3"/>
      <x:c r="G19" s="3"/>
      <x:c r="H19" s="3"/>
      <x:c r="I19" s="3"/>
      <x:c r="J19" s="3"/>
    </x:row>
    <x:row r="20" ht="18" customHeight="1">
      <x:c r="B20" s="3"/>
      <x:c r="C20" s="3"/>
      <x:c r="D20" s="3"/>
      <x:c r="E20" s="3"/>
      <x:c r="F20" s="3"/>
      <x:c r="G20" s="3"/>
      <x:c r="H20" s="3"/>
      <x:c r="I20" s="3"/>
      <x:c r="J20" s="3"/>
    </x:row>
    <x:row r="21" ht="18" customHeight="1">
      <x:c r="B21" s="9" t="str">
        <x:v>Version and use</x:v>
      </x:c>
      <x:c r="C21" s="10" t="str">
        <x:v>Version and use</x:v>
      </x:c>
      <x:c r="D21" s="10" t="str">
        <x:v>Version and use</x:v>
      </x:c>
      <x:c r="E21" s="10" t="str">
        <x:v>Version and use</x:v>
      </x:c>
      <x:c r="F21" s="10" t="str">
        <x:v>Version and use</x:v>
      </x:c>
      <x:c r="G21" s="10" t="str">
        <x:v>Version and use</x:v>
      </x:c>
      <x:c r="H21" s="10" t="str">
        <x:v>Version and use</x:v>
      </x:c>
      <x:c r="I21" s="10" t="str">
        <x:v>Version and use</x:v>
      </x:c>
      <x:c r="J21" s="11" t="str">
        <x:v>Version and use</x:v>
      </x:c>
    </x:row>
    <x:row r="22" ht="28" customHeight="1">
      <x:c r="B22" s="3" t="str">
        <x:v>Model version</x:v>
      </x:c>
      <x:c r="C22" s="3" t="str">
        <x:v>MESA-1R Pass 92</x:v>
      </x:c>
      <x:c r="D22" s="3" t="str"/>
      <x:c r="E22" s="3" t="str"/>
      <x:c r="F22" s="3" t="str"/>
      <x:c r="G22" s="3" t="str"/>
      <x:c r="H22" s="3" t="str"/>
      <x:c r="I22" s="3" t="str"/>
      <x:c r="J22" s="3" t="str"/>
    </x:row>
    <x:row r="23" ht="28" customHeight="1">
      <x:c r="B23" s="3" t="str">
        <x:v>Currency</x:v>
      </x:c>
      <x:c r="C23" s="3" t="str">
        <x:v>constant planning USD billions; price base not selected</x:v>
      </x:c>
      <x:c r="D23" s="3" t="str"/>
      <x:c r="E23" s="3" t="str"/>
      <x:c r="F23" s="3" t="str"/>
      <x:c r="G23" s="3" t="str"/>
      <x:c r="H23" s="3" t="str"/>
      <x:c r="I23" s="3" t="str"/>
      <x:c r="J23" s="3" t="str"/>
    </x:row>
    <x:row r="24" ht="28" customHeight="1">
      <x:c r="B24" s="3" t="str">
        <x:v>External sources</x:v>
      </x:c>
      <x:c r="C24" s="3" t="str">
        <x:v>none; first-principles synthesis from internal project references</x:v>
      </x:c>
      <x:c r="D24" s="3" t="str"/>
      <x:c r="E24" s="3" t="str"/>
      <x:c r="F24" s="3" t="str"/>
      <x:c r="G24" s="3" t="str"/>
      <x:c r="H24" s="3" t="str"/>
      <x:c r="I24" s="3" t="str"/>
      <x:c r="J24" s="3" t="str"/>
    </x:row>
    <x:row r="25" ht="28" customHeight="1">
      <x:c r="B25" s="3" t="str">
        <x:v>Uncertainty</x:v>
      </x:c>
      <x:c r="C25" s="3" t="str">
        <x:v>design allocations only; no calibrated covariance or measured distribution</x:v>
      </x:c>
      <x:c r="D25" s="3" t="str"/>
      <x:c r="E25" s="3" t="str"/>
      <x:c r="F25" s="3" t="str"/>
      <x:c r="G25" s="3" t="str"/>
      <x:c r="H25" s="3" t="str"/>
      <x:c r="I25" s="3" t="str"/>
      <x:c r="J25" s="3" t="str"/>
    </x:row>
    <x:row r="26" ht="28" customHeight="1">
      <x:c r="B26" s="3" t="str">
        <x:v>Mass equivalence</x:v>
      </x:c>
      <x:c r="C26" s="3" t="str">
        <x:v>instrumented and emulator trials remain physically different from bare production articles</x:v>
      </x:c>
      <x:c r="D26" s="3" t="str"/>
      <x:c r="E26" s="3" t="str"/>
      <x:c r="F26" s="3" t="str"/>
      <x:c r="G26" s="3" t="str"/>
      <x:c r="H26" s="3" t="str"/>
      <x:c r="I26" s="3" t="str"/>
      <x:c r="J26" s="3" t="str"/>
    </x:row>
    <x:row r="27" ht="28" customHeight="1">
      <x:c r="B27" s="3" t="str">
        <x:v>Probability claim</x:v>
      </x:c>
      <x:c r="C27" s="3" t="str">
        <x:v>none</x:v>
      </x:c>
      <x:c r="D27" s="3" t="str"/>
      <x:c r="E27" s="3" t="str"/>
      <x:c r="F27" s="3" t="str"/>
      <x:c r="G27" s="3" t="str"/>
      <x:c r="H27" s="3" t="str"/>
      <x:c r="I27" s="3" t="str"/>
      <x:c r="J27" s="3" t="str"/>
    </x:row>
    <x:row r="28" ht="28" customHeight="1">
      <x:c r="B28" s="3" t="str">
        <x:v>Production</x:v>
      </x:c>
      <x:c r="C28" s="3" t="str">
        <x:v>hold pending independent representative evidence</x:v>
      </x:c>
      <x:c r="D28" s="3" t="str"/>
      <x:c r="E28" s="3" t="str"/>
      <x:c r="F28" s="3" t="str"/>
      <x:c r="G28" s="3" t="str"/>
      <x:c r="H28" s="3" t="str"/>
      <x:c r="I28" s="3" t="str"/>
      <x:c r="J28" s="3" t="str"/>
    </x:row>
    <x:row r="29" ht="28" customHeight="1">
      <x:c r="B29" s="3" t="str">
        <x:v>Rendering</x:v>
      </x:c>
      <x:c r="C29" s="3" t="str">
        <x:v>blocked pending measured internal envelopes</x:v>
      </x:c>
      <x:c r="D29" s="3" t="str"/>
      <x:c r="E29" s="3" t="str"/>
      <x:c r="F29" s="3" t="str"/>
      <x:c r="G29" s="3" t="str"/>
      <x:c r="H29" s="3" t="str"/>
      <x:c r="I29" s="3" t="str"/>
      <x:c r="J29" s="3" t="str"/>
    </x:row>
    <x:row r="30" ht="28" customHeight="1">
      <x:c r="B30" s="3" t="str">
        <x:v>Next model</x:v>
      </x:c>
      <x:c r="C30" s="3" t="str">
        <x:v>serial prototype configuration and trial protocol after supplier-neutral component competition</x:v>
      </x:c>
      <x:c r="D30" s="3" t="str"/>
      <x:c r="E30" s="3" t="str"/>
      <x:c r="F30" s="3" t="str"/>
      <x:c r="G30" s="3" t="str"/>
      <x:c r="H30" s="3" t="str"/>
      <x:c r="I30" s="3" t="str"/>
      <x:c r="J30" s="3" t="str"/>
    </x:row>
    <x:row r="31" ht="18" customHeight="1">
      <x:c r="B31" s="3"/>
      <x:c r="C31" s="3"/>
      <x:c r="D31" s="3"/>
      <x:c r="E31" s="3"/>
      <x:c r="F31" s="3"/>
      <x:c r="G31" s="3"/>
      <x:c r="H31" s="3"/>
      <x:c r="I31" s="3"/>
      <x:c r="J31" s="3"/>
    </x:row>
    <x:row r="32" ht="18" customHeight="1">
      <x:c r="B32" s="3"/>
      <x:c r="C32" s="3"/>
      <x:c r="D32" s="3"/>
      <x:c r="E32" s="3"/>
      <x:c r="F32" s="3"/>
      <x:c r="G32" s="3"/>
      <x:c r="H32" s="3"/>
      <x:c r="I32" s="3"/>
      <x:c r="J32" s="3"/>
    </x:row>
    <x:row r="33" ht="18" customHeight="1">
      <x:c r="B33" s="3"/>
      <x:c r="C33" s="3"/>
      <x:c r="D33" s="3"/>
      <x:c r="E33" s="3"/>
      <x:c r="F33" s="3"/>
      <x:c r="G33" s="3"/>
      <x:c r="H33" s="3"/>
      <x:c r="I33" s="3"/>
      <x:c r="J33" s="3"/>
    </x:row>
    <x:row r="34" ht="18" customHeight="1">
      <x:c r="B34" s="3"/>
      <x:c r="C34" s="3"/>
      <x:c r="D34" s="3"/>
      <x:c r="E34" s="3"/>
      <x:c r="F34" s="3"/>
      <x:c r="G34" s="3"/>
      <x:c r="H34" s="3"/>
      <x:c r="I34" s="3"/>
      <x:c r="J34" s="3"/>
    </x:row>
    <x:row r="35" ht="18" customHeight="1">
      <x:c r="B35" s="3"/>
      <x:c r="C35" s="3"/>
      <x:c r="D35" s="3"/>
      <x:c r="E35" s="3"/>
      <x:c r="F35" s="3"/>
      <x:c r="G35" s="3"/>
      <x:c r="H35" s="3"/>
      <x:c r="I35" s="3"/>
      <x:c r="J35" s="3"/>
    </x:row>
  </x:sheetData>
  <x:mergeCells>
    <x:mergeCell ref="B2:H2"/>
    <x:mergeCell ref="B3:J3"/>
    <x:mergeCell ref="B21:J21"/>
  </x:mergeCells>
  <x:pageMargins left="0.7" right="0.7" top="0.75" bottom="0.75" header="0.3" footer="0.3"/>
</x:worksheet>
</file>