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1a4ef521e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Decision" sheetId="1" r:id="Re7d6f147bcb44766"/>
    <x:sheet xmlns:r="http://schemas.openxmlformats.org/officeDocument/2006/relationships" name="01 Controls" sheetId="2" r:id="R5a5c6f2d03804cf8"/>
    <x:sheet xmlns:r="http://schemas.openxmlformats.org/officeDocument/2006/relationships" name="02 Demand Source" sheetId="3" r:id="Rcf68fd101b304df8"/>
    <x:sheet xmlns:r="http://schemas.openxmlformats.org/officeDocument/2006/relationships" name="03 Architecture Cases" sheetId="4" r:id="Rb6da18fed2a0483d"/>
    <x:sheet xmlns:r="http://schemas.openxmlformats.org/officeDocument/2006/relationships" name="04 Capacity Envelope" sheetId="5" r:id="Re0885f0718234422"/>
    <x:sheet xmlns:r="http://schemas.openxmlformats.org/officeDocument/2006/relationships" name="05 Capacity Summary" sheetId="6" r:id="R6ac3b6c3168e449e"/>
    <x:sheet xmlns:r="http://schemas.openxmlformats.org/officeDocument/2006/relationships" name="06 Carrier Families" sheetId="7" r:id="R4c0feeb7261d4854"/>
    <x:sheet xmlns:r="http://schemas.openxmlformats.org/officeDocument/2006/relationships" name="07 Fleet Build" sheetId="8" r:id="Re591c5d0c9b643f9"/>
    <x:sheet xmlns:r="http://schemas.openxmlformats.org/officeDocument/2006/relationships" name="08 Node Families" sheetId="9" r:id="R72885e013d3140cb"/>
    <x:sheet xmlns:r="http://schemas.openxmlformats.org/officeDocument/2006/relationships" name="09 Node Build" sheetId="10" r:id="R5f878bd223ef4e12"/>
    <x:sheet xmlns:r="http://schemas.openxmlformats.org/officeDocument/2006/relationships" name="10 Program Cost" sheetId="11" r:id="R4b5e17964b2f4899"/>
    <x:sheet xmlns:r="http://schemas.openxmlformats.org/officeDocument/2006/relationships" name="11 25Y Phasing" sheetId="12" r:id="R46d89a34b96a4671"/>
    <x:sheet xmlns:r="http://schemas.openxmlformats.org/officeDocument/2006/relationships" name="12 Sources &amp; Gates" sheetId="13" r:id="R647669cb06b544a6"/>
    <x:sheet xmlns:r="http://schemas.openxmlformats.org/officeDocument/2006/relationships" name="13 Integrity" sheetId="14" r:id="Rc07a074f4bb64b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0;[Red](#,##0.000);-"/>
    <x:numFmt numFmtId="201" formatCode="0.0%"/>
    <x:numFmt numFmtId="202" formatCode="#,##0.0"/>
    <x:numFmt numFmtId="203" formatCode="$#,##0.0"/>
    <x:numFmt numFmtId="204" formatCode="0.00x"/>
    <x:numFmt numFmtId="205" formatCode="$#,##0.00"/>
    <x:numFmt numFmtId="206" formatCode="#,##0"/>
    <x:numFmt numFmtId="207" formatCode="0.0"/>
    <x:numFmt numFmtId="208" formatCode="0.00"/>
    <x:numFmt numFmtId="209" formatCode="0"/>
    <x:numFmt numFmtId="210" formatCode="#,##0.000"/>
  </x:numFmts>
  <x:fonts count="8">
    <x:font>
      <x:sz val="11"/>
      <x:name val="Carlito"/>
    </x:font>
    <x:font>
      <x:b/>
      <x:sz val="15"/>
      <x:color rgb="FF17212B"/>
      <x:name val="Arial"/>
    </x:font>
    <x:font>
      <x:i/>
      <x:sz val="10"/>
      <x:color rgb="FF5C6873"/>
      <x:name val="Arial"/>
    </x:font>
    <x:font>
      <x:b/>
      <x:sz val="10"/>
      <x:color rgb="FFFFFFFF"/>
      <x:name val="Arial"/>
    </x:font>
    <x:font>
      <x:sz val="10"/>
      <x:color rgb="FF17212B"/>
      <x:name val="Arial"/>
    </x:font>
    <x:font>
      <x:sz val="10"/>
      <x:color rgb="FF0000FF"/>
      <x:name val="Arial"/>
    </x:font>
    <x:font>
      <x:b/>
      <x:sz val="10"/>
      <x:color rgb="FF17324D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1CC"/>
      </x:patternFill>
    </x:fill>
    <x:fill>
      <x:patternFill patternType="solid">
        <x:fgColor rgb="FFDCEAF5"/>
      </x:patternFill>
    </x:fill>
  </x:fills>
  <x:borders count="4">
    <x:border/>
    <x:border>
      <x:bottom style="medium">
        <x:color rgb="FF17324D"/>
      </x:bottom>
    </x:border>
    <x:border>
      <x:bottom style="medium">
        <x:color rgb="FFFFFFFF"/>
      </x:bottom>
    </x:border>
    <x:border>
      <x:top style="medium">
        <x:color rgb="FF17324D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/>
    </x:xf>
    <x:xf numFmtId="200" fontId="5" fillId="3" borderId="0" xfId="0" applyNumberFormat="1" applyFont="1" applyFill="1" applyBorder="1" applyAlignment="1">
      <x:alignment vertical="top"/>
    </x:xf>
    <x:xf numFmtId="201" fontId="5" fillId="3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203" fontId="5" fillId="3" borderId="0" xfId="0" applyNumberFormat="1" applyFont="1" applyFill="1" applyBorder="1" applyAlignment="1">
      <x:alignment vertical="top"/>
    </x:xf>
    <x:xf numFmtId="204" fontId="4" fillId="0" borderId="0" xfId="0" applyNumberFormat="1" applyFont="1" applyFill="1" applyBorder="1" applyAlignment="1">
      <x:alignment vertical="top"/>
    </x:xf>
    <x:xf numFmtId="205" fontId="5" fillId="3" borderId="0" xfId="0" applyNumberFormat="1" applyFont="1" applyFill="1" applyBorder="1" applyAlignment="1">
      <x:alignment vertical="top"/>
    </x:xf>
    <x:xf numFmtId="206" fontId="4" fillId="0" borderId="0" xfId="0" applyNumberFormat="1" applyFont="1" applyFill="1" applyBorder="1" applyAlignment="1">
      <x:alignment vertical="top"/>
    </x:xf>
    <x:xf numFmtId="203" fontId="4" fillId="0" borderId="0" xfId="0" applyNumberFormat="1" applyFont="1" applyFill="1" applyBorder="1" applyAlignment="1">
      <x:alignment vertical="top"/>
    </x:xf>
    <x:xf numFmtId="207" fontId="4" fillId="0" borderId="0" xfId="0" applyNumberFormat="1" applyFont="1" applyFill="1" applyBorder="1" applyAlignment="1">
      <x:alignment vertical="top"/>
    </x:xf>
    <x:xf numFmtId="208" fontId="4" fillId="0" borderId="0" xfId="0" applyNumberFormat="1" applyFont="1" applyFill="1" applyBorder="1" applyAlignment="1">
      <x:alignment vertical="top"/>
    </x:xf>
    <x:xf numFmtId="209" fontId="4" fillId="0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203" fontId="4" fillId="4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vertical="top"/>
    </x:xf>
    <x:xf numFmtId="203" fontId="6" fillId="4" borderId="0" xfId="0" applyNumberFormat="1" applyFont="1" applyFill="1" applyBorder="1" applyAlignment="1">
      <x:alignment vertical="top"/>
    </x:xf>
    <x:xf numFmtId="0" fontId="6" fillId="4" borderId="3" xfId="0" applyNumberFormat="1" applyFont="1" applyFill="1" applyBorder="1" applyAlignment="1">
      <x:alignment vertical="top"/>
    </x:xf>
    <x:xf numFmtId="203" fontId="6" fillId="4" borderId="3" xfId="0" applyNumberFormat="1" applyFont="1" applyFill="1" applyBorder="1" applyAlignment="1">
      <x:alignment vertical="top"/>
    </x:xf>
    <x:xf numFmtId="210" fontId="4" fillId="0" borderId="0" xfId="0" applyNumberFormat="1" applyFont="1" applyFill="1" applyBorder="1" applyAlignment="1">
      <x:alignment vertical="top"/>
    </x:xf>
    <x:xf numFmtId="0" fontId="7" fillId="0" borderId="1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4"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91492f2f114a19" /><Relationship Type="http://schemas.openxmlformats.org/officeDocument/2006/relationships/theme" Target="/xl/theme/theme1.xml" Id="R87d4018e5d2849cb" /><Relationship Type="http://schemas.openxmlformats.org/officeDocument/2006/relationships/sharedStrings" Target="/xl/sharedStrings.xml" Id="Rc6c41076f1f549a2" /><Relationship Type="http://schemas.openxmlformats.org/officeDocument/2006/relationships/worksheet" Target="/xl/worksheets/sheet1.xml" Id="Re7d6f147bcb44766" /><Relationship Type="http://schemas.openxmlformats.org/officeDocument/2006/relationships/worksheet" Target="/xl/worksheets/sheet2.xml" Id="R5a5c6f2d03804cf8" /><Relationship Type="http://schemas.openxmlformats.org/officeDocument/2006/relationships/worksheet" Target="/xl/worksheets/sheet3.xml" Id="Rcf68fd101b304df8" /><Relationship Type="http://schemas.openxmlformats.org/officeDocument/2006/relationships/worksheet" Target="/xl/worksheets/sheet4.xml" Id="Rb6da18fed2a0483d" /><Relationship Type="http://schemas.openxmlformats.org/officeDocument/2006/relationships/worksheet" Target="/xl/worksheets/sheet5.xml" Id="Re0885f0718234422" /><Relationship Type="http://schemas.openxmlformats.org/officeDocument/2006/relationships/worksheet" Target="/xl/worksheets/sheet6.xml" Id="R6ac3b6c3168e449e" /><Relationship Type="http://schemas.openxmlformats.org/officeDocument/2006/relationships/worksheet" Target="/xl/worksheets/sheet7.xml" Id="R4c0feeb7261d4854" /><Relationship Type="http://schemas.openxmlformats.org/officeDocument/2006/relationships/worksheet" Target="/xl/worksheets/sheet8.xml" Id="Re591c5d0c9b643f9" /><Relationship Type="http://schemas.openxmlformats.org/officeDocument/2006/relationships/worksheet" Target="/xl/worksheets/sheet9.xml" Id="R72885e013d3140cb" /><Relationship Type="http://schemas.openxmlformats.org/officeDocument/2006/relationships/worksheet" Target="/xl/worksheets/sheet10.xml" Id="R5f878bd223ef4e12" /><Relationship Type="http://schemas.openxmlformats.org/officeDocument/2006/relationships/worksheet" Target="/xl/worksheets/sheet11.xml" Id="R4b5e17964b2f4899" /><Relationship Type="http://schemas.openxmlformats.org/officeDocument/2006/relationships/worksheet" Target="/xl/worksheets/sheet12.xml" Id="R46d89a34b96a4671" /><Relationship Type="http://schemas.openxmlformats.org/officeDocument/2006/relationships/worksheet" Target="/xl/worksheets/sheet13.xml" Id="R647669cb06b544a6" /><Relationship Type="http://schemas.openxmlformats.org/officeDocument/2006/relationships/worksheet" Target="/xl/worksheets/sheet14.xml" Id="Rc07a074f4bb64b3c" /></Relationships>
</file>

<file path=xl/tables/table1.xml><?xml version="1.0" encoding="utf-8"?>
<x:table xmlns:x="http://schemas.openxmlformats.org/spreadsheetml/2006/main" id="1" name="CarrierNodeControlTable" displayName="CarrierNodeControlTable" ref="C5:G17" headerRowCount="1" totalsRowCount="0" totalsRowShown="0">
  <x:tableColumns count="5">
    <x:tableColumn id="1" name="ID"/>
    <x:tableColumn id="2" name="Control"/>
    <x:tableColumn id="3" name="Reference"/>
    <x:tableColumn id="4" name="Unit"/>
    <x:tableColumn id="5" name="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rgoDemandSourceTable" displayName="CargoDemandSourceTable" ref="C5:K17" headerRowCount="1" totalsRowCount="0" totalsRowShown="0">
  <x:tableColumns count="9">
    <x:tableColumn id="1" name="Capacity key"/>
    <x:tableColumn id="2" name="Mode"/>
    <x:tableColumn id="3" name="Deadline h"/>
    <x:tableColumn id="4" name="Bucket demand t"/>
    <x:tableColumn id="5" name="Cumulative demand t"/>
    <x:tableColumn id="6" name="Inherited gross 72 h t"/>
    <x:tableColumn id="7" name="Inherited activation"/>
    <x:tableColumn id="8" name="Pass 61 bucket coverage"/>
    <x:tableColumn id="9" name="Source st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rchitectureCaseTable" displayName="ArchitectureCaseTable" ref="C5:L17" headerRowCount="1" totalsRowCount="0" totalsRowShown="0">
  <x:tableColumns count="10">
    <x:tableColumn id="1" name="Case"/>
    <x:tableColumn id="2" name="Architecture"/>
    <x:tableColumn id="3" name="Mode"/>
    <x:tableColumn id="4" name="24 h activation"/>
    <x:tableColumn id="5" name="48 h activation"/>
    <x:tableColumn id="6" name="72 h activation"/>
    <x:tableColumn id="7" name="Node release"/>
    <x:tableColumn id="8" name="Route survival"/>
    <x:tableColumn id="9" name="Program RDT&amp;E $B"/>
    <x:tableColumn id="10" name="Evidence 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pacityEnvelopeTable" displayName="CapacityEnvelopeTable" ref="C5:R41" headerRowCount="1" totalsRowCount="0" totalsRowShown="0">
  <x:tableColumns count="16">
    <x:tableColumn id="1" name="Requirement ID"/>
    <x:tableColumn id="2" name="Case"/>
    <x:tableColumn id="3" name="Architecture"/>
    <x:tableColumn id="4" name="Mode"/>
    <x:tableColumn id="5" name="Deadline h"/>
    <x:tableColumn id="6" name="Cumulative demand t"/>
    <x:tableColumn id="7" name="Target service t"/>
    <x:tableColumn id="8" name="Activation"/>
    <x:tableColumn id="9" name="Node release"/>
    <x:tableColumn id="10" name="Route survival"/>
    <x:tableColumn id="11" name="First-event share"/>
    <x:tableColumn id="12" name="Required gross 72 h t"/>
    <x:tableColumn id="13" name="Inherited gross t"/>
    <x:tableColumn id="14" name="Multiple inherited"/>
    <x:tableColumn id="15" name="State"/>
    <x:tableColumn id="16" name="Boundar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pacitySummaryTable" displayName="CapacitySummaryTable" ref="C5:N17" headerRowCount="1" totalsRowCount="0" totalsRowShown="0">
  <x:tableColumns count="12">
    <x:tableColumn id="1" name="Summary ID"/>
    <x:tableColumn id="2" name="Case"/>
    <x:tableColumn id="3" name="Architecture"/>
    <x:tableColumn id="4" name="Mode"/>
    <x:tableColumn id="5" name="Required gross 72 h t"/>
    <x:tableColumn id="6" name="Binding deadline h"/>
    <x:tableColumn id="7" name="Inherited gross t"/>
    <x:tableColumn id="8" name="New gross gap t"/>
    <x:tableColumn id="9" name="Multiple inherited"/>
    <x:tableColumn id="10" name="Binding mechanism"/>
    <x:tableColumn id="11" name="State"/>
    <x:tableColumn id="12" name="Boundar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rrierFamilyTable" displayName="CarrierFamilyTable" ref="C5:Q9" headerRowCount="1" totalsRowCount="0" totalsRowShown="0">
  <x:tableColumns count="15">
    <x:tableColumn id="1" name="Mode"/>
    <x:tableColumn id="2" name="Family ID"/>
    <x:tableColumn id="3" name="Carrier group"/>
    <x:tableColumn id="4" name="Platforms / group"/>
    <x:tableColumn id="5" name="Payload t / platform-turn"/>
    <x:tableColumn id="6" name="72 h turns"/>
    <x:tableColumn id="7" name="Technical availability"/>
    <x:tableColumn id="8" name="Load factor"/>
    <x:tableColumn id="9" name="Gross t / group / 72 h"/>
    <x:tableColumn id="10" name="Group capital $B"/>
    <x:tableColumn id="11" name="Annual O&amp;S share"/>
    <x:tableColumn id="12" name="Family RDT&amp;E $B"/>
    <x:tableColumn id="13" name="Primary cargo"/>
    <x:tableColumn id="14" name="Boundary"/>
    <x:tableColumn id="15" name="St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leetBuildTable" displayName="FleetBuildTable" ref="C5:P17" headerRowCount="1" totalsRowCount="0" totalsRowShown="0">
  <x:tableColumns count="14">
    <x:tableColumn id="1" name="Fleet ID"/>
    <x:tableColumn id="2" name="Case"/>
    <x:tableColumn id="3" name="Architecture"/>
    <x:tableColumn id="4" name="Mode"/>
    <x:tableColumn id="5" name="Required gross t"/>
    <x:tableColumn id="6" name="Yield t / group"/>
    <x:tableColumn id="7" name="Owned groups"/>
    <x:tableColumn id="8" name="Platforms / group"/>
    <x:tableColumn id="9" name="Physical platforms"/>
    <x:tableColumn id="10" name="Group capital $B"/>
    <x:tableColumn id="11" name="Procurement $B"/>
    <x:tableColumn id="12" name="Mature annual O&amp;S $B"/>
    <x:tableColumn id="13" name="State"/>
    <x:tableColumn id="14" name="Boundar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NodeFamilyTable" displayName="NodeFamilyTable" ref="C5:M9" headerRowCount="1" totalsRowCount="0" totalsRowShown="0">
  <x:tableColumns count="11">
    <x:tableColumn id="1" name="Mode"/>
    <x:tableColumn id="2" name="Node ID"/>
    <x:tableColumn id="3" name="Node family"/>
    <x:tableColumn id="4" name="Rated throughput t/h"/>
    <x:tableColumn id="5" name="Technical availability"/>
    <x:tableColumn id="6" name="Capital $B / node"/>
    <x:tableColumn id="7" name="Annual O&amp;S share"/>
    <x:tableColumn id="8" name="Family RDT&amp;E $B"/>
    <x:tableColumn id="9" name="Cargo admission"/>
    <x:tableColumn id="10" name="Boundary"/>
    <x:tableColumn id="11" name="Sta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NodeBuildTable" displayName="NodeBuildTable" ref="C5:P17" headerRowCount="1" totalsRowCount="0" totalsRowShown="0">
  <x:tableColumns count="14">
    <x:tableColumn id="1" name="Node build ID"/>
    <x:tableColumn id="2" name="Case"/>
    <x:tableColumn id="3" name="Architecture"/>
    <x:tableColumn id="4" name="Mode"/>
    <x:tableColumn id="5" name="Need at 24 h"/>
    <x:tableColumn id="6" name="Need at 48 h"/>
    <x:tableColumn id="7" name="Need at 72 h"/>
    <x:tableColumn id="8" name="Owned nodes"/>
    <x:tableColumn id="9" name="Binding deadline h"/>
    <x:tableColumn id="10" name="Capital $B / node"/>
    <x:tableColumn id="11" name="Node capital $B"/>
    <x:tableColumn id="12" name="Mature annual O&amp;S $B"/>
    <x:tableColumn id="13" name="State"/>
    <x:tableColumn id="14" name="Boundary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rogramCostTable" displayName="ProgramCostTable" ref="C5:Y8" headerRowCount="1" totalsRowCount="0" totalsRowShown="0">
  <x:tableColumns count="23">
    <x:tableColumn id="1" name="Case"/>
    <x:tableColumn id="2" name="Architecture"/>
    <x:tableColumn id="3" name="Carrier groups"/>
    <x:tableColumn id="4" name="Physical platforms"/>
    <x:tableColumn id="5" name="Transfer nodes"/>
    <x:tableColumn id="6" name="Fleet procurement $B"/>
    <x:tableColumn id="7" name="Node capital $B"/>
    <x:tableColumn id="8" name="RDT&amp;E $B"/>
    <x:tableColumn id="9" name="Bases and depots $B"/>
    <x:tableColumn id="10" name="Initial spares $B"/>
    <x:tableColumn id="11" name="Pre-reserve capital $B"/>
    <x:tableColumn id="12" name="Program reserve $B"/>
    <x:tableColumn id="13" name="Total capital $B"/>
    <x:tableColumn id="14" name="Carrier O&amp;S $B/y"/>
    <x:tableColumn id="15" name="Node O&amp;S $B/y"/>
    <x:tableColumn id="16" name="Base O&amp;S $B/y"/>
    <x:tableColumn id="17" name="Mature O&amp;S $B/y"/>
    <x:tableColumn id="18" name="Equivalent fleet-years"/>
    <x:tableColumn id="19" name="25-year O&amp;S $B"/>
    <x:tableColumn id="20" name="25-year program $B"/>
    <x:tableColumn id="21" name="$1T coverage"/>
    <x:tableColumn id="22" name="Receiver admissions"/>
    <x:tableColumn id="23" name="Decis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rogramPhasingTable" displayName="ProgramPhasingTable" ref="C5:U10" headerRowCount="1" totalsRowCount="0" totalsRowShown="0">
  <x:tableColumns count="19">
    <x:tableColumn id="1" name="Epoch"/>
    <x:tableColumn id="2" name="Years"/>
    <x:tableColumn id="3" name="RDT&amp;E share"/>
    <x:tableColumn id="4" name="Fleet share"/>
    <x:tableColumn id="5" name="Node share"/>
    <x:tableColumn id="6" name="Base/depot share"/>
    <x:tableColumn id="7" name="Spares share"/>
    <x:tableColumn id="8" name="Opening fielded share"/>
    <x:tableColumn id="9" name="Average fielded share"/>
    <x:tableColumn id="10" name="RDT&amp;E $B"/>
    <x:tableColumn id="11" name="Fleet $B"/>
    <x:tableColumn id="12" name="Nodes $B"/>
    <x:tableColumn id="13" name="Bases $B"/>
    <x:tableColumn id="14" name="Spares $B"/>
    <x:tableColumn id="15" name="Pre-reserve capital $B"/>
    <x:tableColumn id="16" name="Program reserve $B"/>
    <x:tableColumn id="17" name="Capital total $B"/>
    <x:tableColumn id="18" name="Operating $B"/>
    <x:tableColumn id="19" name="Epoch total $B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arrierNodeIntegrityTable" displayName="CarrierNodeIntegrityTable" ref="C5:G32" headerRowCount="1" totalsRowCount="0" totalsRowShown="0">
  <x:tableColumns count="5">
    <x:tableColumn id="1" name="Check"/>
    <x:tableColumn id="2" name="Test"/>
    <x:tableColumn id="3" name="Actual"/>
    <x:tableColumn id="4" name="Expected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da3e57b48149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a89b84532e41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1b7d3d7e2a41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645ed5f7ec46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2a6a28981046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699eb734dc49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55c7baae8a49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5c5c83cad77465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93c60fd5d1a4a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9769bf62090480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befd939db7743b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f9841ccbc7b34e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35" hidden="0" customWidth="1"/>
    <x:col min="4" max="4" width="20" hidden="0" customWidth="1"/>
    <x:col min="5" max="5" width="20" hidden="0" customWidth="1"/>
    <x:col min="6" max="6" width="20" hidden="0" customWidth="1"/>
    <x:col min="7" max="7" width="39" hidden="0" customWidth="1"/>
    <x:col min="8" max="8" width="4" hidden="0" customWidth="1"/>
    <x:col min="9" max="9" width="31" hidden="0" customWidth="1"/>
    <x:col min="10" max="10" width="32" hidden="0" customWidth="1"/>
    <x:col min="11" max="11" width="34" hidden="0" customWidth="1"/>
    <x:col min="12" max="12" width="31" hidden="0" customWidth="1"/>
    <x:col min="13" max="13" width="37" hidden="0" customWidth="1"/>
    <x:col min="14" max="14" width="34" hidden="0" customWidth="1"/>
    <x:col min="15" max="15" width="31" hidden="0" customWidth="1"/>
    <x:col min="16" max="16" width="16" hidden="0" customWidth="1"/>
    <x:col min="17" max="17" width="32" hidden="0" customWidth="1"/>
  </x:cols>
  <x:sheetData>
    <x:row r="2">
      <x:c r="C2" s="2" t="str">
        <x:v>Carrier-node requirement and 25-year program</x:v>
      </x:c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</x:row>
    <x:row r="3">
      <x:c r="C3" s="3" t="str">
        <x:v>Pass 62 sizes rival clean-sheet mobility architectures from canonical cargo. It establishes requirements, not a vehicle design or procurement baseline.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</x:row>
    <x:row r="5">
      <x:c r="C5" s="9" t="str">
        <x:v>Measure</x:v>
      </x:c>
      <x:c r="D5" s="9" t="str">
        <x:v>P1 scaled legacy</x:v>
      </x:c>
      <x:c r="E5" s="9" t="str">
        <x:v>P2 ready carrier-node</x:v>
      </x:c>
      <x:c r="F5" s="9" t="str">
        <x:v>P3 distributed target</x:v>
      </x:c>
      <x:c r="G5" s="9" t="str">
        <x:v>Decision meaning</x:v>
      </x:c>
      <x:c r="H5" s="35"/>
      <x:c r="I5" s="9" t="str">
        <x:v>Judgment</x:v>
      </x:c>
      <x:c r="J5" s="9" t="str">
        <x:v>Evidence</x:v>
      </x:c>
      <x:c r="K5" s="9" t="str">
        <x:v>Strategic consequence</x:v>
      </x:c>
      <x:c r="L5" s="9" t="str">
        <x:v>Institutional owner</x:v>
      </x:c>
      <x:c r="M5" s="9" t="str">
        <x:v>Decision</x:v>
      </x:c>
      <x:c r="N5" s="9" t="str">
        <x:v>Technology pull</x:v>
      </x:c>
      <x:c r="O5" s="9" t="str">
        <x:v>Evidence boundary</x:v>
      </x:c>
      <x:c r="P5" s="9" t="str">
        <x:v>Status</x:v>
      </x:c>
      <x:c r="Q5" s="9" t="str">
        <x:v>Next test</x:v>
      </x:c>
    </x:row>
    <x:row r="6" ht="92" customHeight="1">
      <x:c r="C6" s="11" t="str">
        <x:v>Required gross 72-hour capacity t</x:v>
      </x:c>
      <x:c r="D6" s="17" t="n">
        <x:f>SUMIFS('05 Capacity Summary'!$G$6:$G$17,'05 Capacity Summary'!$D$6:$D$17,"P1")</x:f>
        <x:v>23077236.660953745</x:v>
      </x:c>
      <x:c r="E6" s="17" t="n">
        <x:f>SUMIFS('05 Capacity Summary'!$G$6:$G$17,'05 Capacity Summary'!$D$6:$D$17,"P2")</x:f>
        <x:v>13007939.681646004</x:v>
      </x:c>
      <x:c r="F6" s="17" t="n">
        <x:f>SUMIFS('05 Capacity Summary'!$G$6:$G$17,'05 Capacity Summary'!$D$6:$D$17,"P3")</x:f>
        <x:v>10047685.151365893</x:v>
      </x:c>
      <x:c r="G6" s="11" t="str">
        <x:v>Carrier potential required across four modes</x:v>
      </x:c>
      <x:c r="H6" s="35"/>
      <x:c r="I6" s="16" t="str">
        <x:v>Activation speed is capital.</x:v>
      </x:c>
      <x:c r="J6" s="16" t="str">
        <x:v>P1 preserves slow activation and requires the largest fleet.</x:v>
      </x:c>
      <x:c r="K6" s="16" t="str">
        <x:v>Buying more late capacity is an expensive substitute for readiness.</x:v>
      </x:c>
      <x:c r="L6" s="16" t="str">
        <x:v>Strategic Mobility Command</x:v>
      </x:c>
      <x:c r="M6" s="16" t="str">
        <x:v>Fund activation, preposition and maintenance as acquisition outputs.</x:v>
      </x:c>
      <x:c r="N6" s="16" t="str">
        <x:v>Predictive readiness and no-notice autonomous loading</x:v>
      </x:c>
      <x:c r="O6" s="16" t="str">
        <x:v>All activation curves are declared.</x:v>
      </x:c>
      <x:c r="P6" s="16" t="str">
        <x:v>OPEN</x:v>
      </x:c>
      <x:c r="Q6" s="16" t="str">
        <x:v>Dispersed no-notice activation</x:v>
      </x:c>
    </x:row>
    <x:row r="7" ht="92" customHeight="1">
      <x:c r="C7" s="11" t="str">
        <x:v>Multiple of inherited gross capacity</x:v>
      </x:c>
      <x:c r="D7" s="20" t="n">
        <x:f>D6/SUM('02 Demand Source'!$H$6,'02 Demand Source'!$H$9,'02 Demand Source'!$H$12,'02 Demand Source'!$H$15)</x:f>
        <x:v>9.369826706860138</x:v>
      </x:c>
      <x:c r="E7" s="20" t="n">
        <x:f>E6/SUM('02 Demand Source'!$H$6,'02 Demand Source'!$H$9,'02 Demand Source'!$H$12,'02 Demand Source'!$H$15)</x:f>
        <x:v>5.2814876590720585</x:v>
      </x:c>
      <x:c r="F7" s="20" t="n">
        <x:f>F6/SUM('02 Demand Source'!$H$6,'02 Demand Source'!$H$9,'02 Demand Source'!$H$12,'02 Demand Source'!$H$15)</x:f>
        <x:v>4.07956420677879</x:v>
      </x:c>
      <x:c r="G7" s="11" t="str">
        <x:v>Scale relative to Pass 61's 2.463M t</x:v>
      </x:c>
      <x:c r="H7" s="35"/>
      <x:c r="I7" s="16" t="str">
        <x:v>Ocean and land 48-hour demand size the force.</x:v>
      </x:c>
      <x:c r="J7" s="16" t="str">
        <x:v>The 48-hour cumulative claim binds both surface modes in all cases.</x:v>
      </x:c>
      <x:c r="K7" s="16" t="str">
        <x:v>Peak payload at 72 hours does not satisfy civil deadlines.</x:v>
      </x:c>
      <x:c r="L7" s="16" t="str">
        <x:v>Mobility and entry commands</x:v>
      </x:c>
      <x:c r="M7" s="16" t="str">
        <x:v>Compete high-rate early carrier-node systems.</x:v>
      </x:c>
      <x:c r="N7" s="16" t="str">
        <x:v>No-pier transfer, disaster rail and autonomous convoy systems</x:v>
      </x:c>
      <x:c r="O7" s="16" t="str">
        <x:v>Origin distance and schedules are unmodeled.</x:v>
      </x:c>
      <x:c r="P7" s="16" t="str">
        <x:v>FAIL</x:v>
      </x:c>
      <x:c r="Q7" s="16" t="str">
        <x:v>Timed mixed-position movement</x:v>
      </x:c>
    </x:row>
    <x:row r="8" ht="92" customHeight="1">
      <x:c r="C8" s="11" t="str">
        <x:v>Owned carrier groups</x:v>
      </x:c>
      <x:c r="D8" s="22" t="n">
        <x:f>'10 Program Cost'!E6</x:f>
        <x:v>1119</x:v>
      </x:c>
      <x:c r="E8" s="22" t="n">
        <x:f>'10 Program Cost'!E7</x:f>
        <x:v>652</x:v>
      </x:c>
      <x:c r="F8" s="22" t="n">
        <x:f>'10 Program Cost'!E8</x:f>
        <x:v>517</x:v>
      </x:c>
      <x:c r="G8" s="11" t="str">
        <x:v>Indivisible group-equivalent inventory</x:v>
      </x:c>
      <x:c r="H8" s="35"/>
      <x:c r="I8" s="16" t="str">
        <x:v>Nodes are coequal platforms.</x:v>
      </x:c>
      <x:c r="J8" s="16" t="str">
        <x:v>Hundreds of owned node equivalents are required by the same demand.</x:v>
      </x:c>
      <x:c r="K8" s="16" t="str">
        <x:v>Carrier procurement without discharge and release creates queues, not service.</x:v>
      </x:c>
      <x:c r="L8" s="16" t="str">
        <x:v>Entry and distribution commands</x:v>
      </x:c>
      <x:c r="M8" s="16" t="str">
        <x:v>Create node families as major acquisition programs.</x:v>
      </x:c>
      <x:c r="N8" s="16" t="str">
        <x:v>Robotic handling, rapid surfaces and universal interfaces</x:v>
      </x:c>
      <x:c r="O8" s="16" t="str">
        <x:v>Site and queue evidence absent.</x:v>
      </x:c>
      <x:c r="P8" s="16" t="str">
        <x:v>OPEN</x:v>
      </x:c>
      <x:c r="Q8" s="16" t="str">
        <x:v>Concurrent degraded-node trial</x:v>
      </x:c>
    </x:row>
    <x:row r="9" ht="92" customHeight="1">
      <x:c r="C9" s="11" t="str">
        <x:v>Physical carrier platforms</x:v>
      </x:c>
      <x:c r="D9" s="22" t="n">
        <x:f>'10 Program Cost'!F6</x:f>
        <x:v>156825</x:v>
      </x:c>
      <x:c r="E9" s="22" t="n">
        <x:f>'10 Program Cost'!F7</x:f>
        <x:v>100461</x:v>
      </x:c>
      <x:c r="F9" s="22" t="n">
        <x:f>'10 Program Cost'!F8</x:f>
        <x:v>80382</x:v>
      </x:c>
      <x:c r="G9" s="11" t="str">
        <x:v>Aircraft, hull or surface-position equivalents</x:v>
      </x:c>
      <x:c r="H9" s="35"/>
      <x:c r="I9" s="16" t="str">
        <x:v>The original $1T is an ambition test, not a full program.</x:v>
      </x:c>
      <x:c r="J9" s="16" t="str">
        <x:v>Every rival exceeds the ceiling before public receivers are built.</x:v>
      </x:c>
      <x:c r="K9" s="16" t="str">
        <x:v>Parity requires lifecycle funding and industrial depth.</x:v>
      </x:c>
      <x:c r="L9" s="16" t="str">
        <x:v>Department and fiscal authorities</x:v>
      </x:c>
      <x:c r="M9" s="16" t="str">
        <x:v>Use a multi-account 25-year program, not one capital headline.</x:v>
      </x:c>
      <x:c r="N9" s="16" t="str">
        <x:v>Digital production, multiple primes and public fallback</x:v>
      </x:c>
      <x:c r="O9" s="16" t="str">
        <x:v>Costs are declared comparison hypotheses.</x:v>
      </x:c>
      <x:c r="P9" s="16" t="str">
        <x:v>FAIL</x:v>
      </x:c>
      <x:c r="Q9" s="16" t="str">
        <x:v>Independent cost and industrial study</x:v>
      </x:c>
    </x:row>
    <x:row r="10" ht="92" customHeight="1">
      <x:c r="C10" s="11" t="str">
        <x:v>Transfer nodes</x:v>
      </x:c>
      <x:c r="D10" s="22" t="n">
        <x:f>'10 Program Cost'!G6</x:f>
        <x:v>367</x:v>
      </x:c>
      <x:c r="E10" s="22" t="n">
        <x:f>'10 Program Cost'!G7</x:f>
        <x:v>312</x:v>
      </x:c>
      <x:c r="F10" s="22" t="n">
        <x:f>'10 Program Cost'!G8</x:f>
        <x:v>296</x:v>
      </x:c>
      <x:c r="G10" s="11" t="str">
        <x:v>Owned node equivalents at binding deadlines</x:v>
      </x:c>
      <x:c r="H10" s="35"/>
      <x:c r="I10" s="16" t="str">
        <x:v>P3 is the lowest declared requirement, not a winner.</x:v>
      </x:c>
      <x:c r="J10" s="16" t="str">
        <x:v>Distribution and high activation reduce fleet capital relative to P1 and P2.</x:v>
      </x:c>
      <x:c r="K10" s="16" t="str">
        <x:v>Preparation and network performance can substitute for inventory only if proved.</x:v>
      </x:c>
      <x:c r="L10" s="16" t="str">
        <x:v>Joint Capacity Authority</x:v>
      </x:c>
      <x:c r="M10" s="16" t="str">
        <x:v>Carry all rivals into representative trial.</x:v>
      </x:c>
      <x:c r="N10" s="16" t="str">
        <x:v>Regional preposition, autonomous nodes and damage-aware routing</x:v>
      </x:c>
      <x:c r="O10" s="16" t="str">
        <x:v>No geographic or receiver validation.</x:v>
      </x:c>
      <x:c r="P10" s="16" t="str">
        <x:v>OPEN</x:v>
      </x:c>
      <x:c r="Q10" s="16" t="str">
        <x:v>Rival carrier-node missions</x:v>
      </x:c>
    </x:row>
    <x:row r="11" ht="92" customHeight="1">
      <x:c r="C11" s="11" t="str">
        <x:v>Total capital $B</x:v>
      </x:c>
      <x:c r="D11" s="23" t="n">
        <x:f>'10 Program Cost'!O6</x:f>
        <x:v>7520.472</x:v>
      </x:c>
      <x:c r="E11" s="23" t="n">
        <x:f>'10 Program Cost'!O7</x:f>
        <x:v>4738.4130000000005</x:v>
      </x:c>
      <x:c r="F11" s="23" t="n">
        <x:f>'10 Program Cost'!O8</x:f>
        <x:v>4167.615</x:v>
      </x:c>
      <x:c r="G11" s="11" t="str">
        <x:v>Development, fleet, nodes, bases, spares and reserve</x:v>
      </x:c>
      <x:c r="H11" s="35"/>
      <x:c r="I11" s="16" t="str">
        <x:v>Rendering remains premature.</x:v>
      </x:c>
      <x:c r="J11" s="16" t="str">
        <x:v>Serial cargo, geometry, carrier physics, nodes and receivers remain open.</x:v>
      </x:c>
      <x:c r="K11" s="16" t="str">
        <x:v>Exterior form would harden unsupported assumptions.</x:v>
      </x:c>
      <x:c r="L11" s="16" t="str">
        <x:v>Independent RTE Authority</x:v>
      </x:c>
      <x:c r="M11" s="16" t="str">
        <x:v>Block rendering through G15.</x:v>
      </x:c>
      <x:c r="N11" s="16" t="str">
        <x:v>Instrumented digital configuration twin</x:v>
      </x:c>
      <x:c r="O11" s="16" t="str">
        <x:v>Requirement envelope only.</x:v>
      </x:c>
      <x:c r="P11" s="16" t="str">
        <x:v>BLOCKED</x:v>
      </x:c>
      <x:c r="Q11" s="16" t="str">
        <x:v>Representative end-to-end closure</x:v>
      </x:c>
    </x:row>
    <x:row r="12">
      <x:c r="C12" s="11" t="str">
        <x:v>Mature annual O&amp;S $B</x:v>
      </x:c>
      <x:c r="D12" s="23" t="n">
        <x:f>'10 Program Cost'!S6</x:f>
        <x:v>240.03412500000002</x:v>
      </x:c>
      <x:c r="E12" s="23" t="n">
        <x:f>'10 Program Cost'!S7</x:f>
        <x:v>140.828</x:v>
      </x:c>
      <x:c r="F12" s="23" t="n">
        <x:f>'10 Program Cost'!S8</x:f>
        <x:v>116.478375</x:v>
      </x:c>
      <x:c r="G12" s="11" t="str">
        <x:v>Full-fielded comparative steady state</x:v>
      </x:c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</x:row>
    <x:row r="13">
      <x:c r="C13" s="11" t="str">
        <x:v>25-year O&amp;S $B</x:v>
      </x:c>
      <x:c r="D13" s="23" t="n">
        <x:f>'10 Program Cost'!U6</x:f>
        <x:v>2172.3088312500004</x:v>
      </x:c>
      <x:c r="E13" s="23" t="n">
        <x:f>'10 Program Cost'!U7</x:f>
        <x:v>1274.4934</x:v>
      </x:c>
      <x:c r="F13" s="23" t="n">
        <x:f>'10 Program Cost'!U8</x:f>
        <x:v>1054.12929375</x:v>
      </x:c>
      <x:c r="G13" s="11" t="str">
        <x:v>Ramped operations under declared phasing</x:v>
      </x:c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</x:row>
    <x:row r="14">
      <x:c r="C14" s="11" t="str">
        <x:v>25-year program $B</x:v>
      </x:c>
      <x:c r="D14" s="23" t="n">
        <x:f>'10 Program Cost'!V6</x:f>
        <x:v>9692.78083125</x:v>
      </x:c>
      <x:c r="E14" s="23" t="n">
        <x:f>'10 Program Cost'!V7</x:f>
        <x:v>6012.906400000001</x:v>
      </x:c>
      <x:c r="F14" s="23" t="n">
        <x:f>'10 Program Cost'!V8</x:f>
        <x:v>5221.74429375</x:v>
      </x:c>
      <x:c r="G14" s="11" t="str">
        <x:v>Capital plus ramped operations</x:v>
      </x:c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</x:row>
    <x:row r="15">
      <x:c r="C15" s="11" t="str">
        <x:v>$1T coverage</x:v>
      </x:c>
      <x:c r="D15" s="18" t="n">
        <x:f>'10 Program Cost'!W6</x:f>
        <x:v>0.10316956685701084</x:v>
      </x:c>
      <x:c r="E15" s="18" t="n">
        <x:f>'10 Program Cost'!W7</x:f>
        <x:v>0.16630892508155454</x:v>
      </x:c>
      <x:c r="F15" s="18" t="n">
        <x:f>'10 Program Cost'!W8</x:f>
        <x:v>0.19150688807127497</x:v>
      </x:c>
      <x:c r="G15" s="11" t="str">
        <x:v>Share of the declared program covered by $1T</x:v>
      </x:c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</x:row>
    <x:row r="16">
      <x:c r="C16" s="11" t="str">
        <x:v>Receiver admissions</x:v>
      </x:c>
      <x:c r="D16" s="11" t="n">
        <x:f>'10 Program Cost'!X6</x:f>
        <x:v>0</x:v>
      </x:c>
      <x:c r="E16" s="11" t="n">
        <x:f>'10 Program Cost'!X7</x:f>
        <x:v>0</x:v>
      </x:c>
      <x:c r="F16" s="11" t="n">
        <x:f>'10 Program Cost'!X8</x:f>
        <x:v>0</x:v>
      </x:c>
      <x:c r="G16" s="11" t="str">
        <x:v>Transport requirement is not public effect</x:v>
      </x:c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</x:row>
    <x:row r="17">
      <x:c r="C17" s="11" t="str">
        <x:v>Rendering state</x:v>
      </x:c>
      <x:c r="D17" s="11" t="str">
        <x:v>BLOCKED</x:v>
      </x:c>
      <x:c r="E17" s="11" t="str">
        <x:v>BLOCKED</x:v>
      </x:c>
      <x:c r="F17" s="11" t="str">
        <x:v>BLOCKED</x:v>
      </x:c>
      <x:c r="G17" s="11" t="str">
        <x:v>Form remains blocked by representative evidence</x:v>
      </x:c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</x:row>
  </x:sheetData>
  <x:conditionalFormatting sqref="D17:F17">
    <x:cfRule type="containsText" dxfId="32" priority="1" operator="containsText" text="FAIL"/>
    <x:cfRule type="containsText" dxfId="33" priority="2" operator="containsText" text="OPEN"/>
    <x:cfRule type="containsText" dxfId="34" priority="3" operator="containsText" text="BLOCKED"/>
    <x:cfRule type="containsText" dxfId="35" priority="4" operator="containsText" text="PASS"/>
  </x:conditionalFormatting>
  <x:conditionalFormatting sqref="P6:P11">
    <x:cfRule type="containsText" dxfId="36" priority="5" operator="containsText" text="FAIL"/>
    <x:cfRule type="containsText" dxfId="37" priority="6" operator="containsText" text="OPEN"/>
    <x:cfRule type="containsText" dxfId="38" priority="7" operator="containsText" text="BLOCKED"/>
    <x:cfRule type="containsText" dxfId="39" priority="8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2" hidden="0" customWidth="1"/>
    <x:col min="4" max="4" width="42" hidden="0" customWidth="1"/>
    <x:col min="5" max="5" width="18" hidden="0" customWidth="1"/>
    <x:col min="6" max="6" width="22" hidden="0" customWidth="1"/>
    <x:col min="7" max="7" width="58" hidden="0" customWidth="1"/>
  </x:cols>
  <x:sheetData>
    <x:row r="2">
      <x:c r="C2" s="2" t="str">
        <x:v>Carrier-node requirement controls</x:v>
      </x:c>
      <x:c r="D2" s="34"/>
      <x:c r="E2" s="34"/>
      <x:c r="F2" s="34"/>
      <x:c r="G2" s="34"/>
      <x:c r="H2" s="34"/>
    </x:row>
    <x:row r="3">
      <x:c r="C3" s="3" t="str">
        <x:v>Blue inputs are declared comparison assumptions. They are requirement coefficients, not observed fleet or cost evidence.</x:v>
      </x:c>
      <x:c r="D3" s="3"/>
      <x:c r="E3" s="3"/>
      <x:c r="F3" s="3"/>
      <x:c r="G3" s="3"/>
      <x:c r="H3" s="3"/>
    </x:row>
    <x:row r="4">
      <x:c r="C4" s="35"/>
      <x:c r="D4" s="35"/>
      <x:c r="E4" s="35"/>
      <x:c r="F4" s="35"/>
      <x:c r="G4" s="35"/>
      <x:c r="H4" s="35"/>
    </x:row>
    <x:row r="5">
      <x:c r="C5" s="9" t="str">
        <x:v>ID</x:v>
      </x:c>
      <x:c r="D5" s="9" t="str">
        <x:v>Control</x:v>
      </x:c>
      <x:c r="E5" s="9" t="str">
        <x:v>Reference</x:v>
      </x:c>
      <x:c r="F5" s="9" t="str">
        <x:v>Unit</x:v>
      </x:c>
      <x:c r="G5" s="9" t="str">
        <x:v>Boundary</x:v>
      </x:c>
      <x:c r="H5" s="35"/>
    </x:row>
    <x:row r="6">
      <x:c r="C6" s="11" t="str">
        <x:v>A01</x:v>
      </x:c>
      <x:c r="D6" s="11" t="str">
        <x:v>Deadline service target</x:v>
      </x:c>
      <x:c r="E6" s="15" t="n">
        <x:v>0.95</x:v>
      </x:c>
      <x:c r="F6" s="11" t="str">
        <x:v>share</x:v>
      </x:c>
      <x:c r="G6" s="16" t="str">
        <x:v>Same complete-line floor as Pass 61</x:v>
      </x:c>
      <x:c r="H6" s="35"/>
    </x:row>
    <x:row r="7">
      <x:c r="C7" s="11" t="str">
        <x:v>A02</x:v>
      </x:c>
      <x:c r="D7" s="11" t="str">
        <x:v>Protected follow-on reserve</x:v>
      </x:c>
      <x:c r="E7" s="15" t="n">
        <x:v>0.2</x:v>
      </x:c>
      <x:c r="F7" s="11" t="str">
        <x:v>share</x:v>
      </x:c>
      <x:c r="G7" s="16" t="str">
        <x:v>Capacity unavailable to the first campaign set</x:v>
      </x:c>
      <x:c r="H7" s="35"/>
    </x:row>
    <x:row r="8">
      <x:c r="C8" s="11" t="str">
        <x:v>A03</x:v>
      </x:c>
      <x:c r="D8" s="11" t="str">
        <x:v>Reference 25-year ceiling</x:v>
      </x:c>
      <x:c r="E8" s="14" t="n">
        <x:v>1000</x:v>
      </x:c>
      <x:c r="F8" s="11" t="str">
        <x:v>$B</x:v>
      </x:c>
      <x:c r="G8" s="16" t="str">
        <x:v>Original ambition comparator, not a program constraint</x:v>
      </x:c>
      <x:c r="H8" s="35"/>
    </x:row>
    <x:row r="9">
      <x:c r="C9" s="11" t="str">
        <x:v>A04</x:v>
      </x:c>
      <x:c r="D9" s="11" t="str">
        <x:v>Capital program reserve</x:v>
      </x:c>
      <x:c r="E9" s="15" t="n">
        <x:v>0.2</x:v>
      </x:c>
      <x:c r="F9" s="11" t="str">
        <x:v>share</x:v>
      </x:c>
      <x:c r="G9" s="16" t="str">
        <x:v>Applied after development, procurement and infrastructure</x:v>
      </x:c>
      <x:c r="H9" s="35"/>
    </x:row>
    <x:row r="10">
      <x:c r="C10" s="11" t="str">
        <x:v>A05</x:v>
      </x:c>
      <x:c r="D10" s="11" t="str">
        <x:v>Base and depot capital</x:v>
      </x:c>
      <x:c r="E10" s="15" t="n">
        <x:v>0.25</x:v>
      </x:c>
      <x:c r="F10" s="11" t="str">
        <x:v>share of fleet + nodes</x:v>
      </x:c>
      <x:c r="G10" s="16" t="str">
        <x:v>Declared complete-program tail</x:v>
      </x:c>
      <x:c r="H10" s="35"/>
    </x:row>
    <x:row r="11">
      <x:c r="C11" s="11" t="str">
        <x:v>A06</x:v>
      </x:c>
      <x:c r="D11" s="11" t="str">
        <x:v>Initial spares and training sets</x:v>
      </x:c>
      <x:c r="E11" s="15" t="n">
        <x:v>0.15</x:v>
      </x:c>
      <x:c r="F11" s="11" t="str">
        <x:v>share of fleet</x:v>
      </x:c>
      <x:c r="G11" s="16" t="str">
        <x:v>Declared initial support tail</x:v>
      </x:c>
      <x:c r="H11" s="35"/>
    </x:row>
    <x:row r="12">
      <x:c r="C12" s="11" t="str">
        <x:v>A07</x:v>
      </x:c>
      <x:c r="D12" s="11" t="str">
        <x:v>Node mature annual O&amp;S</x:v>
      </x:c>
      <x:c r="E12" s="15" t="n">
        <x:v>0.05</x:v>
      </x:c>
      <x:c r="F12" s="11" t="str">
        <x:v>share of node capital</x:v>
      </x:c>
      <x:c r="G12" s="16" t="str">
        <x:v>Declared comparative rate</x:v>
      </x:c>
      <x:c r="H12" s="35"/>
    </x:row>
    <x:row r="13">
      <x:c r="C13" s="11" t="str">
        <x:v>A08</x:v>
      </x:c>
      <x:c r="D13" s="11" t="str">
        <x:v>Base/depot mature annual O&amp;S</x:v>
      </x:c>
      <x:c r="E13" s="15" t="n">
        <x:v>0.03</x:v>
      </x:c>
      <x:c r="F13" s="11" t="str">
        <x:v>share of base capital</x:v>
      </x:c>
      <x:c r="G13" s="16" t="str">
        <x:v>Declared comparative rate</x:v>
      </x:c>
      <x:c r="H13" s="35"/>
    </x:row>
    <x:row r="14">
      <x:c r="C14" s="11" t="str">
        <x:v>A09</x:v>
      </x:c>
      <x:c r="D14" s="11" t="str">
        <x:v>Epoch duration</x:v>
      </x:c>
      <x:c r="E14" s="14" t="n">
        <x:v>5</x:v>
      </x:c>
      <x:c r="F14" s="11" t="str">
        <x:v>years</x:v>
      </x:c>
      <x:c r="G14" s="16" t="str">
        <x:v>Five equal force-building epochs</x:v>
      </x:c>
      <x:c r="H14" s="35"/>
    </x:row>
    <x:row r="15">
      <x:c r="C15" s="11" t="str">
        <x:v>A10</x:v>
      </x:c>
      <x:c r="D15" s="11" t="str">
        <x:v>Equivalent full-inventory operating years</x:v>
      </x:c>
      <x:c r="E15" s="14" t="n">
        <x:v>9.05</x:v>
      </x:c>
      <x:c r="F15" s="11" t="str">
        <x:v>years</x:v>
      </x:c>
      <x:c r="G15" s="16" t="str">
        <x:v>Derived from the declared procurement ramp</x:v>
      </x:c>
      <x:c r="H15" s="35"/>
    </x:row>
    <x:row r="16">
      <x:c r="C16" s="11" t="str">
        <x:v>A11</x:v>
      </x:c>
      <x:c r="D16" s="11" t="str">
        <x:v>Numerical tolerance</x:v>
      </x:c>
      <x:c r="E16" s="14" t="n">
        <x:v>0.000001</x:v>
      </x:c>
      <x:c r="F16" s="11" t="str">
        <x:v>unit</x:v>
      </x:c>
      <x:c r="G16" s="16" t="str">
        <x:v>Integrity checks only</x:v>
      </x:c>
      <x:c r="H16" s="35"/>
    </x:row>
    <x:row r="17">
      <x:c r="C17" s="11" t="str">
        <x:v>A12</x:v>
      </x:c>
      <x:c r="D17" s="11" t="str">
        <x:v>Phased architecture</x:v>
      </x:c>
      <x:c r="E17" s="14" t="str">
        <x:v>P3</x:v>
      </x:c>
      <x:c r="F17" s="11" t="str">
        <x:v>case</x:v>
      </x:c>
      <x:c r="G17" s="16" t="str">
        <x:v>Distributed high-activation target</x:v>
      </x:c>
      <x:c r="H17" s="35"/>
    </x:row>
  </x:sheetData>
  <x:pageMargins left="0.7" right="0.7" top="0.75" bottom="0.75" header="0.3" footer="0.3"/>
  <x:tableParts count="1">
    <x:tablePart xmlns:r="http://schemas.openxmlformats.org/officeDocument/2006/relationships" r:id="R72da3e57b48149b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35" hidden="0" customWidth="1"/>
    <x:col min="4" max="4" width="18" hidden="0" customWidth="1"/>
    <x:col min="5" max="5" width="45" hidden="0" customWidth="1"/>
    <x:col min="6" max="6" width="18" hidden="0" customWidth="1"/>
    <x:col min="7" max="7" width="21" hidden="0" customWidth="1"/>
    <x:col min="8" max="8" width="22" hidden="0" customWidth="1"/>
    <x:col min="9" max="9" width="18" hidden="0" customWidth="1"/>
    <x:col min="10" max="10" width="22" hidden="0" customWidth="1"/>
    <x:col min="11" max="11" width="29" hidden="0" customWidth="1"/>
  </x:cols>
  <x:sheetData>
    <x:row r="2">
      <x:c r="C2" s="2" t="str">
        <x:v>Pass 61 chargeable demand source</x:v>
      </x:c>
      <x:c r="D2" s="34"/>
      <x:c r="E2" s="34"/>
      <x:c r="F2" s="34"/>
      <x:c r="G2" s="34"/>
      <x:c r="H2" s="34"/>
      <x:c r="I2" s="34"/>
      <x:c r="J2" s="34"/>
      <x:c r="K2" s="34"/>
      <x:c r="L2" s="34"/>
      <x:c r="M2" s="34"/>
    </x:row>
    <x:row r="3">
      <x:c r="C3" s="3" t="str">
        <x:v>Saved values are imported from the canonical cargo model. This workbook does not rewrite the formation or cargo claims.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</x:row>
    <x:row r="5">
      <x:c r="C5" s="9" t="str">
        <x:v>Capacity key</x:v>
      </x:c>
      <x:c r="D5" s="9" t="str">
        <x:v>Mode</x:v>
      </x:c>
      <x:c r="E5" s="9" t="str">
        <x:v>Deadline h</x:v>
      </x:c>
      <x:c r="F5" s="9" t="str">
        <x:v>Bucket demand t</x:v>
      </x:c>
      <x:c r="G5" s="9" t="str">
        <x:v>Cumulative demand t</x:v>
      </x:c>
      <x:c r="H5" s="9" t="str">
        <x:v>Inherited gross 72 h t</x:v>
      </x:c>
      <x:c r="I5" s="9" t="str">
        <x:v>Inherited activation</x:v>
      </x:c>
      <x:c r="J5" s="9" t="str">
        <x:v>Pass 61 bucket coverage</x:v>
      </x:c>
      <x:c r="K5" s="9" t="str">
        <x:v>Source state</x:v>
      </x:c>
      <x:c r="L5" s="35"/>
      <x:c r="M5" s="35"/>
    </x:row>
    <x:row r="6">
      <x:c r="C6" s="11" t="str">
        <x:v>AIR-24</x:v>
      </x:c>
      <x:c r="D6" s="11" t="str">
        <x:v>AIR</x:v>
      </x:c>
      <x:c r="E6" s="17" t="n">
        <x:v>24</x:v>
      </x:c>
      <x:c r="F6" s="17" t="n">
        <x:v>221998.80215190785</x:v>
      </x:c>
      <x:c r="G6" s="17" t="n">
        <x:v>221998.80215190785</x:v>
      </x:c>
      <x:c r="H6" s="17" t="n">
        <x:v>160881</x:v>
      </x:c>
      <x:c r="I6" s="18" t="n">
        <x:v>0.35</x:v>
      </x:c>
      <x:c r="J6" s="18" t="n">
        <x:v>0.2029140678388695</x:v>
      </x:c>
      <x:c r="K6" s="11" t="str">
        <x:v>Pass 61 saved source</x:v>
      </x:c>
      <x:c r="L6" s="35"/>
      <x:c r="M6" s="35"/>
    </x:row>
    <x:row r="7">
      <x:c r="C7" s="11" t="str">
        <x:v>AIR-48</x:v>
      </x:c>
      <x:c r="D7" s="11" t="str">
        <x:v>AIR</x:v>
      </x:c>
      <x:c r="E7" s="17" t="n">
        <x:v>48</x:v>
      </x:c>
      <x:c r="F7" s="17" t="n">
        <x:v>160688.37005927388</x:v>
      </x:c>
      <x:c r="G7" s="17" t="n">
        <x:v>382687.1722111817</x:v>
      </x:c>
      <x:c r="H7" s="17" t="n">
        <x:v>160881</x:v>
      </x:c>
      <x:c r="I7" s="18" t="n">
        <x:v>0.7</x:v>
      </x:c>
      <x:c r="J7" s="18" t="n">
        <x:v>0.28033565828929263</x:v>
      </x:c>
      <x:c r="K7" s="11" t="str">
        <x:v>Pass 61 saved source</x:v>
      </x:c>
      <x:c r="L7" s="35"/>
      <x:c r="M7" s="35"/>
    </x:row>
    <x:row r="8">
      <x:c r="C8" s="11" t="str">
        <x:v>AIR-72</x:v>
      </x:c>
      <x:c r="D8" s="11" t="str">
        <x:v>AIR</x:v>
      </x:c>
      <x:c r="E8" s="17" t="n">
        <x:v>72</x:v>
      </x:c>
      <x:c r="F8" s="17" t="n">
        <x:v>0</x:v>
      </x:c>
      <x:c r="G8" s="17" t="n">
        <x:v>382687.1722111817</x:v>
      </x:c>
      <x:c r="H8" s="17" t="n">
        <x:v>160881</x:v>
      </x:c>
      <x:c r="I8" s="18" t="n">
        <x:v>1</x:v>
      </x:c>
      <x:c r="J8" s="18" t="n">
        <x:v>1</x:v>
      </x:c>
      <x:c r="K8" s="11" t="str">
        <x:v>Pass 61 saved source</x:v>
      </x:c>
      <x:c r="L8" s="35"/>
      <x:c r="M8" s="35"/>
    </x:row>
    <x:row r="9">
      <x:c r="C9" s="11" t="str">
        <x:v>OCEAN-24</x:v>
      </x:c>
      <x:c r="D9" s="11" t="str">
        <x:v>OCEAN</x:v>
      </x:c>
      <x:c r="E9" s="17" t="n">
        <x:v>24</x:v>
      </x:c>
      <x:c r="F9" s="17" t="n">
        <x:v>158945.64024527746</x:v>
      </x:c>
      <x:c r="G9" s="17" t="n">
        <x:v>158945.64024527746</x:v>
      </x:c>
      <x:c r="H9" s="17" t="n">
        <x:v>596400</x:v>
      </x:c>
      <x:c r="I9" s="18" t="n">
        <x:v>0.05</x:v>
      </x:c>
      <x:c r="J9" s="18" t="n">
        <x:v>0.15008904908109802</x:v>
      </x:c>
      <x:c r="K9" s="11" t="str">
        <x:v>Pass 61 saved source</x:v>
      </x:c>
      <x:c r="L9" s="35"/>
      <x:c r="M9" s="35"/>
    </x:row>
    <x:row r="10">
      <x:c r="C10" s="11" t="str">
        <x:v>OCEAN-48</x:v>
      </x:c>
      <x:c r="D10" s="11" t="str">
        <x:v>OCEAN</x:v>
      </x:c>
      <x:c r="E10" s="17" t="n">
        <x:v>48</x:v>
      </x:c>
      <x:c r="F10" s="17" t="n">
        <x:v>1633296.1617079156</x:v>
      </x:c>
      <x:c r="G10" s="17" t="n">
        <x:v>1792241.801953193</x:v>
      </x:c>
      <x:c r="H10" s="17" t="n">
        <x:v>596400</x:v>
      </x:c>
      <x:c r="I10" s="18" t="n">
        <x:v>0.35</x:v>
      </x:c>
      <x:c r="J10" s="18" t="n">
        <x:v>0.08763628015284419</x:v>
      </x:c>
      <x:c r="K10" s="11" t="str">
        <x:v>Pass 61 saved source</x:v>
      </x:c>
      <x:c r="L10" s="35"/>
      <x:c r="M10" s="35"/>
    </x:row>
    <x:row r="11">
      <x:c r="C11" s="11" t="str">
        <x:v>OCEAN-72</x:v>
      </x:c>
      <x:c r="D11" s="11" t="str">
        <x:v>OCEAN</x:v>
      </x:c>
      <x:c r="E11" s="17" t="n">
        <x:v>72</x:v>
      </x:c>
      <x:c r="F11" s="17" t="n">
        <x:v>396194.03025114577</x:v>
      </x:c>
      <x:c r="G11" s="17" t="n">
        <x:v>2188435.8322043386</x:v>
      </x:c>
      <x:c r="H11" s="17" t="n">
        <x:v>596400</x:v>
      </x:c>
      <x:c r="I11" s="18" t="n">
        <x:v>1</x:v>
      </x:c>
      <x:c r="J11" s="18" t="n">
        <x:v>0.7827679781126715</x:v>
      </x:c>
      <x:c r="K11" s="11" t="str">
        <x:v>Pass 61 saved source</x:v>
      </x:c>
      <x:c r="L11" s="35"/>
      <x:c r="M11" s="35"/>
    </x:row>
    <x:row r="12">
      <x:c r="C12" s="11" t="str">
        <x:v>LAND-24</x:v>
      </x:c>
      <x:c r="D12" s="11" t="str">
        <x:v>LAND</x:v>
      </x:c>
      <x:c r="E12" s="17" t="n">
        <x:v>24</x:v>
      </x:c>
      <x:c r="F12" s="17" t="n">
        <x:v>494932.13740967266</x:v>
      </x:c>
      <x:c r="G12" s="17" t="n">
        <x:v>494932.13740967266</x:v>
      </x:c>
      <x:c r="H12" s="17" t="n">
        <x:v>1183200</x:v>
      </x:c>
      <x:c r="I12" s="18" t="n">
        <x:v>0.2</x:v>
      </x:c>
      <x:c r="J12" s="18" t="n">
        <x:v>0.38250092424953974</x:v>
      </x:c>
      <x:c r="K12" s="11" t="str">
        <x:v>Pass 61 saved source</x:v>
      </x:c>
      <x:c r="L12" s="35"/>
      <x:c r="M12" s="35"/>
    </x:row>
    <x:row r="13">
      <x:c r="C13" s="11" t="str">
        <x:v>LAND-48</x:v>
      </x:c>
      <x:c r="D13" s="11" t="str">
        <x:v>LAND</x:v>
      </x:c>
      <x:c r="E13" s="17" t="n">
        <x:v>48</x:v>
      </x:c>
      <x:c r="F13" s="17" t="n">
        <x:v>3102258.167274859</x:v>
      </x:c>
      <x:c r="G13" s="17" t="n">
        <x:v>3597190.3046845314</x:v>
      </x:c>
      <x:c r="H13" s="17" t="n">
        <x:v>1183200</x:v>
      </x:c>
      <x:c r="I13" s="18" t="n">
        <x:v>0.6</x:v>
      </x:c>
      <x:c r="J13" s="18" t="n">
        <x:v>0.1220478695145471</x:v>
      </x:c>
      <x:c r="K13" s="11" t="str">
        <x:v>Pass 61 saved source</x:v>
      </x:c>
      <x:c r="L13" s="35"/>
      <x:c r="M13" s="35"/>
    </x:row>
    <x:row r="14">
      <x:c r="C14" s="11" t="str">
        <x:v>LAND-72</x:v>
      </x:c>
      <x:c r="D14" s="11" t="str">
        <x:v>LAND</x:v>
      </x:c>
      <x:c r="E14" s="17" t="n">
        <x:v>72</x:v>
      </x:c>
      <x:c r="F14" s="17" t="n">
        <x:v>529536.4833648494</x:v>
      </x:c>
      <x:c r="G14" s="17" t="n">
        <x:v>4126726.7880493808</x:v>
      </x:c>
      <x:c r="H14" s="17" t="n">
        <x:v>1183200</x:v>
      </x:c>
      <x:c r="I14" s="18" t="n">
        <x:v>1</x:v>
      </x:c>
      <x:c r="J14" s="18" t="n">
        <x:v>0.7150102247801668</x:v>
      </x:c>
      <x:c r="K14" s="11" t="str">
        <x:v>Pass 61 saved source</x:v>
      </x:c>
      <x:c r="L14" s="35"/>
      <x:c r="M14" s="35"/>
    </x:row>
    <x:row r="15">
      <x:c r="C15" s="11" t="str">
        <x:v>INLAND-24</x:v>
      </x:c>
      <x:c r="D15" s="11" t="str">
        <x:v>INLAND</x:v>
      </x:c>
      <x:c r="E15" s="17" t="n">
        <x:v>24</x:v>
      </x:c>
      <x:c r="F15" s="17" t="n">
        <x:v>18170.509693141827</x:v>
      </x:c>
      <x:c r="G15" s="17" t="n">
        <x:v>18170.509693141827</x:v>
      </x:c>
      <x:c r="H15" s="17" t="n">
        <x:v>522450</x:v>
      </x:c>
      <x:c r="I15" s="18" t="n">
        <x:v>0.1</x:v>
      </x:c>
      <x:c r="J15" s="18" t="n">
        <x:v>1</x:v>
      </x:c>
      <x:c r="K15" s="11" t="str">
        <x:v>Pass 61 saved source</x:v>
      </x:c>
      <x:c r="L15" s="35"/>
      <x:c r="M15" s="35"/>
    </x:row>
    <x:row r="16">
      <x:c r="C16" s="11" t="str">
        <x:v>INLAND-48</x:v>
      </x:c>
      <x:c r="D16" s="11" t="str">
        <x:v>INLAND</x:v>
      </x:c>
      <x:c r="E16" s="17" t="n">
        <x:v>48</x:v>
      </x:c>
      <x:c r="F16" s="17" t="n">
        <x:v>269173.38295490074</x:v>
      </x:c>
      <x:c r="G16" s="17" t="n">
        <x:v>287343.8926480426</x:v>
      </x:c>
      <x:c r="H16" s="17" t="n">
        <x:v>522450</x:v>
      </x:c>
      <x:c r="I16" s="18" t="n">
        <x:v>0.45</x:v>
      </x:c>
      <x:c r="J16" s="18" t="n">
        <x:v>0.6312343681296542</x:v>
      </x:c>
      <x:c r="K16" s="11" t="str">
        <x:v>Pass 61 saved source</x:v>
      </x:c>
      <x:c r="L16" s="35"/>
      <x:c r="M16" s="35"/>
    </x:row>
    <x:row r="17">
      <x:c r="C17" s="11" t="str">
        <x:v>INLAND-72</x:v>
      </x:c>
      <x:c r="D17" s="11" t="str">
        <x:v>INLAND</x:v>
      </x:c>
      <x:c r="E17" s="17" t="n">
        <x:v>72</x:v>
      </x:c>
      <x:c r="F17" s="17" t="n">
        <x:v>62497.73288400517</x:v>
      </x:c>
      <x:c r="G17" s="17" t="n">
        <x:v>349841.62553204776</x:v>
      </x:c>
      <x:c r="H17" s="17" t="n">
        <x:v>522450</x:v>
      </x:c>
      <x:c r="I17" s="18" t="n">
        <x:v>1</x:v>
      </x:c>
      <x:c r="J17" s="18" t="n">
        <x:v>1</x:v>
      </x:c>
      <x:c r="K17" s="11" t="str">
        <x:v>Pass 61 saved source</x:v>
      </x:c>
      <x:c r="L17" s="35"/>
      <x:c r="M17" s="35"/>
    </x:row>
    <x:row r="18"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</x:row>
    <x:row r="19"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</x:row>
    <x:row r="20"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</x:row>
    <x:row r="21">
      <x:c r="C21" s="9" t="str">
        <x:v>Pass 61 measure</x:v>
      </x:c>
      <x:c r="D21" s="9" t="str">
        <x:v>Saved result</x:v>
      </x:c>
      <x:c r="E21" s="9" t="str">
        <x:v>Use here</x:v>
      </x:c>
      <x:c r="F21" s="35"/>
      <x:c r="G21" s="35"/>
      <x:c r="H21" s="35"/>
      <x:c r="I21" s="35"/>
      <x:c r="J21" s="35"/>
      <x:c r="K21" s="35"/>
      <x:c r="L21" s="35"/>
      <x:c r="M21" s="35"/>
    </x:row>
    <x:row r="22">
      <x:c r="C22" s="11" t="str">
        <x:v>Formation families</x:v>
      </x:c>
      <x:c r="D22" s="17" t="n">
        <x:v>48</x:v>
      </x:c>
      <x:c r="E22" s="11" t="str">
        <x:v>Canonical family coverage</x:v>
      </x:c>
      <x:c r="F22" s="35"/>
      <x:c r="G22" s="35"/>
      <x:c r="H22" s="35"/>
      <x:c r="I22" s="35"/>
      <x:c r="J22" s="35"/>
      <x:c r="K22" s="35"/>
      <x:c r="L22" s="35"/>
      <x:c r="M22" s="35"/>
    </x:row>
    <x:row r="23">
      <x:c r="C23" s="11" t="str">
        <x:v>Campaign cargo claims</x:v>
      </x:c>
      <x:c r="D23" s="17" t="n">
        <x:v>4480</x:v>
      </x:c>
      <x:c r="E23" s="11" t="str">
        <x:v>Position-class claims across ten campaigns</x:v>
      </x:c>
      <x:c r="F23" s="35"/>
      <x:c r="G23" s="35"/>
      <x:c r="H23" s="35"/>
      <x:c r="I23" s="35"/>
      <x:c r="J23" s="35"/>
      <x:c r="K23" s="35"/>
      <x:c r="L23" s="35"/>
      <x:c r="M23" s="35"/>
    </x:row>
    <x:row r="24">
      <x:c r="C24" s="11" t="str">
        <x:v>Post-position source mass t</x:v>
      </x:c>
      <x:c r="D24" s="17" t="n">
        <x:v>6677140.35</x:v>
      </x:c>
      <x:c r="E24" s="11" t="str">
        <x:v>Pass 60 conserved mass</x:v>
      </x:c>
      <x:c r="F24" s="35"/>
      <x:c r="G24" s="35"/>
      <x:c r="H24" s="35"/>
      <x:c r="I24" s="35"/>
      <x:c r="J24" s="35"/>
      <x:c r="K24" s="35"/>
      <x:c r="L24" s="35"/>
      <x:c r="M24" s="35"/>
    </x:row>
    <x:row r="25">
      <x:c r="C25" s="11" t="str">
        <x:v>Chargeable dimensional demand t</x:v>
      </x:c>
      <x:c r="D25" s="17" t="n">
        <x:v>7047691.4179969495</x:v>
      </x:c>
      <x:c r="E25" s="11" t="str">
        <x:v>Mass or cubic burden, whichever binds</x:v>
      </x:c>
      <x:c r="F25" s="35"/>
      <x:c r="G25" s="35"/>
      <x:c r="H25" s="35"/>
      <x:c r="I25" s="35"/>
      <x:c r="J25" s="35"/>
      <x:c r="K25" s="35"/>
      <x:c r="L25" s="35"/>
      <x:c r="M25" s="35"/>
    </x:row>
    <x:row r="26">
      <x:c r="C26" s="11" t="str">
        <x:v>Usable 72-hour capacity t</x:v>
      </x:c>
      <x:c r="D26" s="17" t="n">
        <x:v>1970344.8</x:v>
      </x:c>
      <x:c r="E26" s="11" t="str">
        <x:v>After protected follow-on reserve</x:v>
      </x:c>
      <x:c r="F26" s="35"/>
      <x:c r="G26" s="35"/>
      <x:c r="H26" s="35"/>
      <x:c r="I26" s="35"/>
      <x:c r="J26" s="35"/>
      <x:c r="K26" s="35"/>
      <x:c r="L26" s="35"/>
      <x:c r="M26" s="35"/>
    </x:row>
    <x:row r="27">
      <x:c r="C27" s="11" t="str">
        <x:v>Allocated chargeable capacity t</x:v>
      </x:c>
      <x:c r="D27" s="17" t="n">
        <x:v>1764353.092884005</x:v>
      </x:c>
      <x:c r="E27" s="11" t="str">
        <x:v>Capacity applied through deadline buckets</x:v>
      </x:c>
      <x:c r="F27" s="35"/>
      <x:c r="G27" s="35"/>
      <x:c r="H27" s="35"/>
      <x:c r="I27" s="35"/>
      <x:c r="J27" s="35"/>
      <x:c r="K27" s="35"/>
      <x:c r="L27" s="35"/>
      <x:c r="M27" s="35"/>
    </x:row>
    <x:row r="28">
      <x:c r="C28" s="11" t="str">
        <x:v>Delivered physical mass t</x:v>
      </x:c>
      <x:c r="D28" s="17" t="n">
        <x:v>1702425.269132513</x:v>
      </x:c>
      <x:c r="E28" s="11" t="str">
        <x:v>Chargeable limits converted back to actual cargo</x:v>
      </x:c>
      <x:c r="F28" s="35"/>
      <x:c r="G28" s="35"/>
      <x:c r="H28" s="35"/>
      <x:c r="I28" s="35"/>
      <x:c r="J28" s="35"/>
      <x:c r="K28" s="35"/>
      <x:c r="L28" s="35"/>
      <x:c r="M28" s="35"/>
    </x:row>
    <x:row r="29">
      <x:c r="C29" s="11" t="str">
        <x:v>Physical mass coverage</x:v>
      </x:c>
      <x:c r="D29" s="18" t="n">
        <x:v>0.25496322975036956</x:v>
      </x:c>
      <x:c r="E29" s="11" t="str">
        <x:v>Average arrival, not complete formation service</x:v>
      </x:c>
      <x:c r="F29" s="35"/>
      <x:c r="G29" s="35"/>
      <x:c r="H29" s="35"/>
      <x:c r="I29" s="35"/>
      <x:c r="J29" s="35"/>
      <x:c r="K29" s="35"/>
      <x:c r="L29" s="35"/>
      <x:c r="M29" s="35"/>
    </x:row>
    <x:row r="30">
      <x:c r="C30" s="11" t="str">
        <x:v>Complete formation equivalents</x:v>
      </x:c>
      <x:c r="D30" s="17" t="n">
        <x:v>314.46264109557154</x:v>
      </x:c>
      <x:c r="E30" s="11" t="str">
        <x:v>Weakest-class credit</x:v>
      </x:c>
      <x:c r="F30" s="35"/>
      <x:c r="G30" s="35"/>
      <x:c r="H30" s="35"/>
      <x:c r="I30" s="35"/>
      <x:c r="J30" s="35"/>
      <x:c r="K30" s="35"/>
      <x:c r="L30" s="35"/>
      <x:c r="M30" s="35"/>
    </x:row>
    <x:row r="31">
      <x:c r="C31" s="11" t="str">
        <x:v>Demanded formation equivalents</x:v>
      </x:c>
      <x:c r="D31" s="17" t="n">
        <x:v>2420</x:v>
      </x:c>
      <x:c r="E31" s="11" t="str">
        <x:v>Ten-campaign formation claim</x:v>
      </x:c>
      <x:c r="F31" s="35"/>
      <x:c r="G31" s="35"/>
      <x:c r="H31" s="35"/>
      <x:c r="I31" s="35"/>
      <x:c r="J31" s="35"/>
      <x:c r="K31" s="35"/>
      <x:c r="L31" s="35"/>
      <x:c r="M31" s="35"/>
    </x:row>
    <x:row r="32">
      <x:c r="C32" s="11" t="str">
        <x:v>Complete formation coverage</x:v>
      </x:c>
      <x:c r="D32" s="18" t="n">
        <x:v>0.129943240122137</x:v>
      </x:c>
      <x:c r="E32" s="11" t="str">
        <x:v>Indivisible service closure</x:v>
      </x:c>
      <x:c r="F32" s="35"/>
      <x:c r="G32" s="35"/>
      <x:c r="H32" s="35"/>
      <x:c r="I32" s="35"/>
      <x:c r="J32" s="35"/>
      <x:c r="K32" s="35"/>
      <x:c r="L32" s="35"/>
      <x:c r="M32" s="35"/>
    </x:row>
    <x:row r="33">
      <x:c r="C33" s="11" t="str">
        <x:v>Passing formation-campaign records</x:v>
      </x:c>
      <x:c r="D33" s="17" t="n">
        <x:v>11</x:v>
      </x:c>
      <x:c r="E33" s="11" t="str">
        <x:v>Transport only; receiver still open</x:v>
      </x:c>
      <x:c r="F33" s="35"/>
      <x:c r="G33" s="35"/>
      <x:c r="H33" s="35"/>
      <x:c r="I33" s="35"/>
      <x:c r="J33" s="35"/>
      <x:c r="K33" s="35"/>
      <x:c r="L33" s="35"/>
      <x:c r="M33" s="35"/>
    </x:row>
    <x:row r="34">
      <x:c r="C34" s="11" t="str">
        <x:v>Receiver-admitted records</x:v>
      </x:c>
      <x:c r="D34" s="17" t="n">
        <x:v>0</x:v>
      </x:c>
      <x:c r="E34" s="11" t="str">
        <x:v>No site or public-effect admission modeled</x:v>
      </x:c>
      <x:c r="F34" s="35"/>
      <x:c r="G34" s="35"/>
      <x:c r="H34" s="35"/>
      <x:c r="I34" s="35"/>
      <x:c r="J34" s="35"/>
      <x:c r="K34" s="35"/>
      <x:c r="L34" s="35"/>
      <x:c r="M34" s="35"/>
    </x:row>
    <x:row r="35">
      <x:c r="C35" s="11" t="str">
        <x:v>Evidence gates open</x:v>
      </x:c>
      <x:c r="D35" s="17" t="n">
        <x:v>13</x:v>
      </x:c>
      <x:c r="E35" s="11" t="str">
        <x:v>Rendering remains blocked</x:v>
      </x:c>
      <x:c r="F35" s="35"/>
      <x:c r="G35" s="35"/>
      <x:c r="H35" s="35"/>
      <x:c r="I35" s="35"/>
      <x:c r="J35" s="35"/>
      <x:c r="K35" s="35"/>
      <x:c r="L35" s="35"/>
      <x:c r="M35" s="35"/>
    </x:row>
  </x:sheetData>
  <x:pageMargins left="0.7" right="0.7" top="0.75" bottom="0.75" header="0.3" footer="0.3"/>
  <x:tableParts count="1">
    <x:tablePart xmlns:r="http://schemas.openxmlformats.org/officeDocument/2006/relationships" r:id="Re0a89b84532e414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0" hidden="0" customWidth="1"/>
    <x:col min="4" max="4" width="34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16" hidden="0" customWidth="1"/>
    <x:col min="11" max="11" width="19" hidden="0" customWidth="1"/>
    <x:col min="12" max="12" width="24" hidden="0" customWidth="1"/>
  </x:cols>
  <x:sheetData>
    <x:row r="2">
      <x:c r="C2" s="2" t="str">
        <x:v>Rival activation and distribution architectures</x:v>
      </x:c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</x:row>
    <x:row r="3">
      <x:c r="C3" s="3" t="str">
        <x:v>Each case meets the same cargo target by sizing. Differences expose the capital consequence of activation, node and route performance.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</x:row>
    <x:row r="5">
      <x:c r="C5" s="9" t="str">
        <x:v>Case</x:v>
      </x:c>
      <x:c r="D5" s="9" t="str">
        <x:v>Architecture</x:v>
      </x:c>
      <x:c r="E5" s="9" t="str">
        <x:v>Mode</x:v>
      </x:c>
      <x:c r="F5" s="9" t="str">
        <x:v>24 h activation</x:v>
      </x:c>
      <x:c r="G5" s="9" t="str">
        <x:v>48 h activation</x:v>
      </x:c>
      <x:c r="H5" s="9" t="str">
        <x:v>72 h activation</x:v>
      </x:c>
      <x:c r="I5" s="9" t="str">
        <x:v>Node release</x:v>
      </x:c>
      <x:c r="J5" s="9" t="str">
        <x:v>Route survival</x:v>
      </x:c>
      <x:c r="K5" s="9" t="str">
        <x:v>Program RDT&amp;E $B</x:v>
      </x:c>
      <x:c r="L5" s="9" t="str">
        <x:v>Evidence state</x:v>
      </x:c>
      <x:c r="M5" s="35"/>
      <x:c r="N5" s="35"/>
    </x:row>
    <x:row r="6">
      <x:c r="C6" s="11" t="str">
        <x:v>P1</x:v>
      </x:c>
      <x:c r="D6" s="11" t="str">
        <x:v>Scaled legacy pattern</x:v>
      </x:c>
      <x:c r="E6" s="11" t="str">
        <x:v>AIR</x:v>
      </x:c>
      <x:c r="F6" s="15" t="n">
        <x:v>0.35</x:v>
      </x:c>
      <x:c r="G6" s="15" t="n">
        <x:v>0.7</x:v>
      </x:c>
      <x:c r="H6" s="15" t="n">
        <x:v>1</x:v>
      </x:c>
      <x:c r="I6" s="15" t="n">
        <x:v>0.75</x:v>
      </x:c>
      <x:c r="J6" s="15" t="n">
        <x:v>0.85</x:v>
      </x:c>
      <x:c r="K6" s="19" t="n">
        <x:v>120</x:v>
      </x:c>
      <x:c r="L6" s="11" t="str">
        <x:v>Comparator only</x:v>
      </x:c>
      <x:c r="M6" s="35"/>
      <x:c r="N6" s="35"/>
    </x:row>
    <x:row r="7">
      <x:c r="C7" s="11" t="str">
        <x:v>P1</x:v>
      </x:c>
      <x:c r="D7" s="11" t="str">
        <x:v>Scaled legacy pattern</x:v>
      </x:c>
      <x:c r="E7" s="11" t="str">
        <x:v>OCEAN</x:v>
      </x:c>
      <x:c r="F7" s="15" t="n">
        <x:v>0.05</x:v>
      </x:c>
      <x:c r="G7" s="15" t="n">
        <x:v>0.35</x:v>
      </x:c>
      <x:c r="H7" s="15" t="n">
        <x:v>1</x:v>
      </x:c>
      <x:c r="I7" s="15" t="n">
        <x:v>0.75</x:v>
      </x:c>
      <x:c r="J7" s="15" t="n">
        <x:v>0.85</x:v>
      </x:c>
      <x:c r="K7" s="19" t="n">
        <x:v>120</x:v>
      </x:c>
      <x:c r="L7" s="11" t="str">
        <x:v>Comparator only</x:v>
      </x:c>
      <x:c r="M7" s="35"/>
      <x:c r="N7" s="35"/>
    </x:row>
    <x:row r="8">
      <x:c r="C8" s="11" t="str">
        <x:v>P1</x:v>
      </x:c>
      <x:c r="D8" s="11" t="str">
        <x:v>Scaled legacy pattern</x:v>
      </x:c>
      <x:c r="E8" s="11" t="str">
        <x:v>LAND</x:v>
      </x:c>
      <x:c r="F8" s="15" t="n">
        <x:v>0.2</x:v>
      </x:c>
      <x:c r="G8" s="15" t="n">
        <x:v>0.6</x:v>
      </x:c>
      <x:c r="H8" s="15" t="n">
        <x:v>1</x:v>
      </x:c>
      <x:c r="I8" s="15" t="n">
        <x:v>0.75</x:v>
      </x:c>
      <x:c r="J8" s="15" t="n">
        <x:v>0.85</x:v>
      </x:c>
      <x:c r="K8" s="19" t="n">
        <x:v>120</x:v>
      </x:c>
      <x:c r="L8" s="11" t="str">
        <x:v>Comparator only</x:v>
      </x:c>
      <x:c r="M8" s="35"/>
      <x:c r="N8" s="35"/>
    </x:row>
    <x:row r="9">
      <x:c r="C9" s="11" t="str">
        <x:v>P1</x:v>
      </x:c>
      <x:c r="D9" s="11" t="str">
        <x:v>Scaled legacy pattern</x:v>
      </x:c>
      <x:c r="E9" s="11" t="str">
        <x:v>INLAND</x:v>
      </x:c>
      <x:c r="F9" s="15" t="n">
        <x:v>0.1</x:v>
      </x:c>
      <x:c r="G9" s="15" t="n">
        <x:v>0.45</x:v>
      </x:c>
      <x:c r="H9" s="15" t="n">
        <x:v>1</x:v>
      </x:c>
      <x:c r="I9" s="15" t="n">
        <x:v>0.75</x:v>
      </x:c>
      <x:c r="J9" s="15" t="n">
        <x:v>0.85</x:v>
      </x:c>
      <x:c r="K9" s="19" t="n">
        <x:v>120</x:v>
      </x:c>
      <x:c r="L9" s="11" t="str">
        <x:v>Comparator only</x:v>
      </x:c>
      <x:c r="M9" s="35"/>
      <x:c r="N9" s="35"/>
    </x:row>
    <x:row r="10">
      <x:c r="C10" s="11" t="str">
        <x:v>P2</x:v>
      </x:c>
      <x:c r="D10" s="11" t="str">
        <x:v>Ready carrier-node force</x:v>
      </x:c>
      <x:c r="E10" s="11" t="str">
        <x:v>AIR</x:v>
      </x:c>
      <x:c r="F10" s="15" t="n">
        <x:v>0.55</x:v>
      </x:c>
      <x:c r="G10" s="15" t="n">
        <x:v>0.85</x:v>
      </x:c>
      <x:c r="H10" s="15" t="n">
        <x:v>1</x:v>
      </x:c>
      <x:c r="I10" s="15" t="n">
        <x:v>0.88</x:v>
      </x:c>
      <x:c r="J10" s="15" t="n">
        <x:v>0.9</x:v>
      </x:c>
      <x:c r="K10" s="19" t="n">
        <x:v>380</x:v>
      </x:c>
      <x:c r="L10" s="11" t="str">
        <x:v>Requirement hypothesis</x:v>
      </x:c>
      <x:c r="M10" s="35"/>
      <x:c r="N10" s="35"/>
    </x:row>
    <x:row r="11">
      <x:c r="C11" s="11" t="str">
        <x:v>P2</x:v>
      </x:c>
      <x:c r="D11" s="11" t="str">
        <x:v>Ready carrier-node force</x:v>
      </x:c>
      <x:c r="E11" s="11" t="str">
        <x:v>OCEAN</x:v>
      </x:c>
      <x:c r="F11" s="15" t="n">
        <x:v>0.15</x:v>
      </x:c>
      <x:c r="G11" s="15" t="n">
        <x:v>0.6</x:v>
      </x:c>
      <x:c r="H11" s="15" t="n">
        <x:v>1</x:v>
      </x:c>
      <x:c r="I11" s="15" t="n">
        <x:v>0.88</x:v>
      </x:c>
      <x:c r="J11" s="15" t="n">
        <x:v>0.9</x:v>
      </x:c>
      <x:c r="K11" s="19" t="n">
        <x:v>380</x:v>
      </x:c>
      <x:c r="L11" s="11" t="str">
        <x:v>Requirement hypothesis</x:v>
      </x:c>
      <x:c r="M11" s="35"/>
      <x:c r="N11" s="35"/>
    </x:row>
    <x:row r="12">
      <x:c r="C12" s="11" t="str">
        <x:v>P2</x:v>
      </x:c>
      <x:c r="D12" s="11" t="str">
        <x:v>Ready carrier-node force</x:v>
      </x:c>
      <x:c r="E12" s="11" t="str">
        <x:v>LAND</x:v>
      </x:c>
      <x:c r="F12" s="15" t="n">
        <x:v>0.35</x:v>
      </x:c>
      <x:c r="G12" s="15" t="n">
        <x:v>0.75</x:v>
      </x:c>
      <x:c r="H12" s="15" t="n">
        <x:v>1</x:v>
      </x:c>
      <x:c r="I12" s="15" t="n">
        <x:v>0.88</x:v>
      </x:c>
      <x:c r="J12" s="15" t="n">
        <x:v>0.9</x:v>
      </x:c>
      <x:c r="K12" s="19" t="n">
        <x:v>380</x:v>
      </x:c>
      <x:c r="L12" s="11" t="str">
        <x:v>Requirement hypothesis</x:v>
      </x:c>
      <x:c r="M12" s="35"/>
      <x:c r="N12" s="35"/>
    </x:row>
    <x:row r="13">
      <x:c r="C13" s="11" t="str">
        <x:v>P2</x:v>
      </x:c>
      <x:c r="D13" s="11" t="str">
        <x:v>Ready carrier-node force</x:v>
      </x:c>
      <x:c r="E13" s="11" t="str">
        <x:v>INLAND</x:v>
      </x:c>
      <x:c r="F13" s="15" t="n">
        <x:v>0.2</x:v>
      </x:c>
      <x:c r="G13" s="15" t="n">
        <x:v>0.65</x:v>
      </x:c>
      <x:c r="H13" s="15" t="n">
        <x:v>1</x:v>
      </x:c>
      <x:c r="I13" s="15" t="n">
        <x:v>0.88</x:v>
      </x:c>
      <x:c r="J13" s="15" t="n">
        <x:v>0.9</x:v>
      </x:c>
      <x:c r="K13" s="19" t="n">
        <x:v>380</x:v>
      </x:c>
      <x:c r="L13" s="11" t="str">
        <x:v>Requirement hypothesis</x:v>
      </x:c>
      <x:c r="M13" s="35"/>
      <x:c r="N13" s="35"/>
    </x:row>
    <x:row r="14">
      <x:c r="C14" s="11" t="str">
        <x:v>P3</x:v>
      </x:c>
      <x:c r="D14" s="11" t="str">
        <x:v>Distributed high-activation network</x:v>
      </x:c>
      <x:c r="E14" s="11" t="str">
        <x:v>AIR</x:v>
      </x:c>
      <x:c r="F14" s="15" t="n">
        <x:v>0.7</x:v>
      </x:c>
      <x:c r="G14" s="15" t="n">
        <x:v>0.92</x:v>
      </x:c>
      <x:c r="H14" s="15" t="n">
        <x:v>1</x:v>
      </x:c>
      <x:c r="I14" s="15" t="n">
        <x:v>0.93</x:v>
      </x:c>
      <x:c r="J14" s="15" t="n">
        <x:v>0.94</x:v>
      </x:c>
      <x:c r="K14" s="19" t="n">
        <x:v>520</x:v>
      </x:c>
      <x:c r="L14" s="11" t="str">
        <x:v>Technology target</x:v>
      </x:c>
      <x:c r="M14" s="35"/>
      <x:c r="N14" s="35"/>
    </x:row>
    <x:row r="15">
      <x:c r="C15" s="11" t="str">
        <x:v>P3</x:v>
      </x:c>
      <x:c r="D15" s="11" t="str">
        <x:v>Distributed high-activation network</x:v>
      </x:c>
      <x:c r="E15" s="11" t="str">
        <x:v>OCEAN</x:v>
      </x:c>
      <x:c r="F15" s="15" t="n">
        <x:v>0.3</x:v>
      </x:c>
      <x:c r="G15" s="15" t="n">
        <x:v>0.75</x:v>
      </x:c>
      <x:c r="H15" s="15" t="n">
        <x:v>1</x:v>
      </x:c>
      <x:c r="I15" s="15" t="n">
        <x:v>0.93</x:v>
      </x:c>
      <x:c r="J15" s="15" t="n">
        <x:v>0.94</x:v>
      </x:c>
      <x:c r="K15" s="19" t="n">
        <x:v>520</x:v>
      </x:c>
      <x:c r="L15" s="11" t="str">
        <x:v>Technology target</x:v>
      </x:c>
      <x:c r="M15" s="35"/>
      <x:c r="N15" s="35"/>
    </x:row>
    <x:row r="16">
      <x:c r="C16" s="11" t="str">
        <x:v>P3</x:v>
      </x:c>
      <x:c r="D16" s="11" t="str">
        <x:v>Distributed high-activation network</x:v>
      </x:c>
      <x:c r="E16" s="11" t="str">
        <x:v>LAND</x:v>
      </x:c>
      <x:c r="F16" s="15" t="n">
        <x:v>0.5</x:v>
      </x:c>
      <x:c r="G16" s="15" t="n">
        <x:v>0.85</x:v>
      </x:c>
      <x:c r="H16" s="15" t="n">
        <x:v>1</x:v>
      </x:c>
      <x:c r="I16" s="15" t="n">
        <x:v>0.93</x:v>
      </x:c>
      <x:c r="J16" s="15" t="n">
        <x:v>0.94</x:v>
      </x:c>
      <x:c r="K16" s="19" t="n">
        <x:v>520</x:v>
      </x:c>
      <x:c r="L16" s="11" t="str">
        <x:v>Technology target</x:v>
      </x:c>
      <x:c r="M16" s="35"/>
      <x:c r="N16" s="35"/>
    </x:row>
    <x:row r="17">
      <x:c r="C17" s="11" t="str">
        <x:v>P3</x:v>
      </x:c>
      <x:c r="D17" s="11" t="str">
        <x:v>Distributed high-activation network</x:v>
      </x:c>
      <x:c r="E17" s="11" t="str">
        <x:v>INLAND</x:v>
      </x:c>
      <x:c r="F17" s="15" t="n">
        <x:v>0.35</x:v>
      </x:c>
      <x:c r="G17" s="15" t="n">
        <x:v>0.8</x:v>
      </x:c>
      <x:c r="H17" s="15" t="n">
        <x:v>1</x:v>
      </x:c>
      <x:c r="I17" s="15" t="n">
        <x:v>0.93</x:v>
      </x:c>
      <x:c r="J17" s="15" t="n">
        <x:v>0.94</x:v>
      </x:c>
      <x:c r="K17" s="19" t="n">
        <x:v>520</x:v>
      </x:c>
      <x:c r="L17" s="11" t="str">
        <x:v>Technology target</x:v>
      </x:c>
      <x:c r="M17" s="35"/>
      <x:c r="N17" s="35"/>
    </x:row>
    <x:row r="18"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</x:row>
    <x:row r="19"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</x:row>
    <x:row r="20"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</x:row>
    <x:row r="21">
      <x:c r="C21" s="9" t="str">
        <x:v>Case</x:v>
      </x:c>
      <x:c r="D21" s="9" t="str">
        <x:v>Architecture</x:v>
      </x:c>
      <x:c r="E21" s="9" t="str">
        <x:v>Design proposition</x:v>
      </x:c>
      <x:c r="F21" s="9" t="str">
        <x:v>RDT&amp;E treatment</x:v>
      </x:c>
      <x:c r="G21" s="9" t="str">
        <x:v>Admission</x:v>
      </x:c>
      <x:c r="H21" s="35"/>
      <x:c r="I21" s="35"/>
      <x:c r="J21" s="35"/>
      <x:c r="K21" s="35"/>
      <x:c r="L21" s="35"/>
      <x:c r="M21" s="35"/>
      <x:c r="N21" s="35"/>
    </x:row>
    <x:row r="22" ht="76" customHeight="1">
      <x:c r="C22" s="11" t="str">
        <x:v>P1</x:v>
      </x:c>
      <x:c r="D22" s="11" t="str">
        <x:v>Scaled legacy pattern</x:v>
      </x:c>
      <x:c r="E22" s="16" t="str">
        <x:v>Preserve slow activation; buy enough gross capacity to force deadline closure</x:v>
      </x:c>
      <x:c r="F22" s="16" t="str">
        <x:v>120 $B declared</x:v>
      </x:c>
      <x:c r="G22" s="16" t="str">
        <x:v>No receiver or procurement admission</x:v>
      </x:c>
      <x:c r="H22" s="35"/>
      <x:c r="I22" s="35"/>
      <x:c r="J22" s="35"/>
      <x:c r="K22" s="35"/>
      <x:c r="L22" s="35"/>
      <x:c r="M22" s="35"/>
      <x:c r="N22" s="35"/>
    </x:row>
    <x:row r="23" ht="76" customHeight="1">
      <x:c r="C23" s="11" t="str">
        <x:v>P2</x:v>
      </x:c>
      <x:c r="D23" s="11" t="str">
        <x:v>Ready carrier-node force</x:v>
      </x:c>
      <x:c r="E23" s="16" t="str">
        <x:v>Purpose-built carriers and nodes with stronger activation and release</x:v>
      </x:c>
      <x:c r="F23" s="16" t="str">
        <x:v>380 $B declared</x:v>
      </x:c>
      <x:c r="G23" s="16" t="str">
        <x:v>No receiver or procurement admission</x:v>
      </x:c>
      <x:c r="H23" s="35"/>
      <x:c r="I23" s="35"/>
      <x:c r="J23" s="35"/>
      <x:c r="K23" s="35"/>
      <x:c r="L23" s="35"/>
      <x:c r="M23" s="35"/>
      <x:c r="N23" s="35"/>
    </x:row>
    <x:row r="24" ht="76" customHeight="1">
      <x:c r="C24" s="11" t="str">
        <x:v>P3</x:v>
      </x:c>
      <x:c r="D24" s="11" t="str">
        <x:v>Distributed high-activation network</x:v>
      </x:c>
      <x:c r="E24" s="16" t="str">
        <x:v>Regional origin, autonomous handling and high early availability</x:v>
      </x:c>
      <x:c r="F24" s="16" t="str">
        <x:v>520 $B declared</x:v>
      </x:c>
      <x:c r="G24" s="16" t="str">
        <x:v>No receiver or procurement admission</x:v>
      </x:c>
      <x:c r="H24" s="35"/>
      <x:c r="I24" s="35"/>
      <x:c r="J24" s="35"/>
      <x:c r="K24" s="35"/>
      <x:c r="L24" s="35"/>
      <x:c r="M24" s="35"/>
      <x:c r="N24" s="35"/>
    </x:row>
  </x:sheetData>
  <x:pageMargins left="0.7" right="0.7" top="0.75" bottom="0.75" header="0.3" footer="0.3"/>
  <x:tableParts count="1">
    <x:tablePart xmlns:r="http://schemas.openxmlformats.org/officeDocument/2006/relationships" r:id="Re71b7d3d7e2a418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3" max="3" width="24" hidden="0" customWidth="1"/>
    <x:col min="4" max="4" width="10" hidden="0" customWidth="1"/>
    <x:col min="5" max="5" width="31" hidden="0" customWidth="1"/>
    <x:col min="6" max="6" width="13" hidden="0" customWidth="1"/>
    <x:col min="7" max="7" width="12" hidden="0" customWidth="1"/>
    <x:col min="8" max="8" width="21" hidden="0" customWidth="1"/>
    <x:col min="9" max="9" width="18" hidden="0" customWidth="1"/>
    <x:col min="10" max="10" width="14" hidden="0" customWidth="1"/>
    <x:col min="11" max="11" width="15" hidden="0" customWidth="1"/>
    <x:col min="12" max="12" width="15" hidden="0" customWidth="1"/>
    <x:col min="13" max="13" width="17" hidden="0" customWidth="1"/>
    <x:col min="14" max="14" width="23" hidden="0" customWidth="1"/>
    <x:col min="15" max="15" width="18" hidden="0" customWidth="1"/>
    <x:col min="16" max="16" width="17" hidden="0" customWidth="1"/>
    <x:col min="17" max="17" width="20" hidden="0" customWidth="1"/>
    <x:col min="18" max="18" width="36" hidden="0" customWidth="1"/>
  </x:cols>
  <x:sheetData>
    <x:row r="2">
      <x:c r="C2" s="2" t="str">
        <x:v>Minimum gross carrier capacity envelope</x:v>
      </x:c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</x:row>
    <x:row r="3">
      <x:c r="C3" s="3" t="str">
        <x:v>Capacity is the maximum 72-hour fleet potential required to satisfy each cumulative deadline after reserve, node and route losses.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</x:row>
    <x:row r="4"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</x:row>
    <x:row r="5">
      <x:c r="C5" s="9" t="str">
        <x:v>Requirement ID</x:v>
      </x:c>
      <x:c r="D5" s="9" t="str">
        <x:v>Case</x:v>
      </x:c>
      <x:c r="E5" s="9" t="str">
        <x:v>Architecture</x:v>
      </x:c>
      <x:c r="F5" s="9" t="str">
        <x:v>Mode</x:v>
      </x:c>
      <x:c r="G5" s="9" t="str">
        <x:v>Deadline h</x:v>
      </x:c>
      <x:c r="H5" s="9" t="str">
        <x:v>Cumulative demand t</x:v>
      </x:c>
      <x:c r="I5" s="9" t="str">
        <x:v>Target service t</x:v>
      </x:c>
      <x:c r="J5" s="9" t="str">
        <x:v>Activation</x:v>
      </x:c>
      <x:c r="K5" s="9" t="str">
        <x:v>Node release</x:v>
      </x:c>
      <x:c r="L5" s="9" t="str">
        <x:v>Route survival</x:v>
      </x:c>
      <x:c r="M5" s="9" t="str">
        <x:v>First-event share</x:v>
      </x:c>
      <x:c r="N5" s="9" t="str">
        <x:v>Required gross 72 h t</x:v>
      </x:c>
      <x:c r="O5" s="9" t="str">
        <x:v>Inherited gross t</x:v>
      </x:c>
      <x:c r="P5" s="9" t="str">
        <x:v>Multiple inherited</x:v>
      </x:c>
      <x:c r="Q5" s="9" t="str">
        <x:v>State</x:v>
      </x:c>
      <x:c r="R5" s="9" t="str">
        <x:v>Boundary</x:v>
      </x:c>
      <x:c r="S5" s="35"/>
      <x:c r="T5" s="35"/>
    </x:row>
    <x:row r="6">
      <x:c r="C6" s="11" t="str">
        <x:v>P1-AIR-24</x:v>
      </x:c>
      <x:c r="D6" s="11" t="str">
        <x:v>P1</x:v>
      </x:c>
      <x:c r="E6" s="11" t="str">
        <x:v>Scaled legacy pattern</x:v>
      </x:c>
      <x:c r="F6" s="11" t="str">
        <x:v>AIR</x:v>
      </x:c>
      <x:c r="G6" s="17" t="n">
        <x:v>24</x:v>
      </x:c>
      <x:c r="H6" s="17" t="n">
        <x:f>'02 Demand Source'!G6</x:f>
        <x:v>221998.80215190785</x:v>
      </x:c>
      <x:c r="I6" s="17" t="n">
        <x:f>H6*'01 Controls'!$E$6</x:f>
        <x:v>210898.86204431244</x:v>
      </x:c>
      <x:c r="J6" s="18" t="n">
        <x:f>'03 Architecture Cases'!F6</x:f>
        <x:v>0.35</x:v>
      </x:c>
      <x:c r="K6" s="18" t="n">
        <x:f>'03 Architecture Cases'!I6</x:f>
        <x:v>0.75</x:v>
      </x:c>
      <x:c r="L6" s="18" t="n">
        <x:f>'03 Architecture Cases'!J6</x:f>
        <x:v>0.85</x:v>
      </x:c>
      <x:c r="M6" s="18" t="n">
        <x:f>1-'01 Controls'!$E$7</x:f>
        <x:v>0.8</x:v>
      </x:c>
      <x:c r="N6" s="17" t="n">
        <x:f>I6/(J6*K6*L6*M6)</x:f>
        <x:v>1181506.2299401257</x:v>
      </x:c>
      <x:c r="O6" s="17" t="n">
        <x:f>'02 Demand Source'!H6</x:f>
        <x:v>160881</x:v>
      </x:c>
      <x:c r="P6" s="20" t="n">
        <x:f>N6/O6</x:f>
        <x:v>7.343976168348815</x:v>
      </x:c>
      <x:c r="Q6" s="11" t="str">
        <x:v>ENVELOPE ONLY</x:v>
      </x:c>
      <x:c r="R6" s="11" t="str">
        <x:v>Carrier, crew, origin, node and receiver evidence open</x:v>
      </x:c>
      <x:c r="S6" s="35"/>
      <x:c r="T6" s="35"/>
    </x:row>
    <x:row r="7">
      <x:c r="C7" s="11" t="str">
        <x:v>P1-AIR-48</x:v>
      </x:c>
      <x:c r="D7" s="11" t="str">
        <x:v>P1</x:v>
      </x:c>
      <x:c r="E7" s="11" t="str">
        <x:v>Scaled legacy pattern</x:v>
      </x:c>
      <x:c r="F7" s="11" t="str">
        <x:v>AIR</x:v>
      </x:c>
      <x:c r="G7" s="17" t="n">
        <x:v>48</x:v>
      </x:c>
      <x:c r="H7" s="17" t="n">
        <x:f>'02 Demand Source'!G7</x:f>
        <x:v>382687.1722111817</x:v>
      </x:c>
      <x:c r="I7" s="17" t="n">
        <x:f>H7*'01 Controls'!$E$6</x:f>
        <x:v>363552.81360062264</x:v>
      </x:c>
      <x:c r="J7" s="18" t="n">
        <x:f>'03 Architecture Cases'!G6</x:f>
        <x:v>0.7</x:v>
      </x:c>
      <x:c r="K7" s="18" t="n">
        <x:f>'03 Architecture Cases'!I6</x:f>
        <x:v>0.75</x:v>
      </x:c>
      <x:c r="L7" s="18" t="n">
        <x:f>'03 Architecture Cases'!J6</x:f>
        <x:v>0.85</x:v>
      </x:c>
      <x:c r="M7" s="18" t="n">
        <x:f>1-'01 Controls'!$E$7</x:f>
        <x:v>0.8</x:v>
      </x:c>
      <x:c r="N7" s="17" t="n">
        <x:f>I7/(J7*K7*L7*M7)</x:f>
        <x:v>1018355.2201698114</x:v>
      </x:c>
      <x:c r="O7" s="17" t="n">
        <x:f>'02 Demand Source'!H7</x:f>
        <x:v>160881</x:v>
      </x:c>
      <x:c r="P7" s="20" t="n">
        <x:f>N7/O7</x:f>
        <x:v>6.329866299748332</x:v>
      </x:c>
      <x:c r="Q7" s="11" t="str">
        <x:v>ENVELOPE ONLY</x:v>
      </x:c>
      <x:c r="R7" s="11" t="str">
        <x:v>Carrier, crew, origin, node and receiver evidence open</x:v>
      </x:c>
      <x:c r="S7" s="35"/>
      <x:c r="T7" s="35"/>
    </x:row>
    <x:row r="8">
      <x:c r="C8" s="11" t="str">
        <x:v>P1-AIR-72</x:v>
      </x:c>
      <x:c r="D8" s="11" t="str">
        <x:v>P1</x:v>
      </x:c>
      <x:c r="E8" s="11" t="str">
        <x:v>Scaled legacy pattern</x:v>
      </x:c>
      <x:c r="F8" s="11" t="str">
        <x:v>AIR</x:v>
      </x:c>
      <x:c r="G8" s="17" t="n">
        <x:v>72</x:v>
      </x:c>
      <x:c r="H8" s="17" t="n">
        <x:f>'02 Demand Source'!G8</x:f>
        <x:v>382687.1722111817</x:v>
      </x:c>
      <x:c r="I8" s="17" t="n">
        <x:f>H8*'01 Controls'!$E$6</x:f>
        <x:v>363552.81360062264</x:v>
      </x:c>
      <x:c r="J8" s="18" t="n">
        <x:f>'03 Architecture Cases'!H6</x:f>
        <x:v>1</x:v>
      </x:c>
      <x:c r="K8" s="18" t="n">
        <x:f>'03 Architecture Cases'!I6</x:f>
        <x:v>0.75</x:v>
      </x:c>
      <x:c r="L8" s="18" t="n">
        <x:f>'03 Architecture Cases'!J6</x:f>
        <x:v>0.85</x:v>
      </x:c>
      <x:c r="M8" s="18" t="n">
        <x:f>1-'01 Controls'!$E$7</x:f>
        <x:v>0.8</x:v>
      </x:c>
      <x:c r="N8" s="17" t="n">
        <x:f>I8/(J8*K8*L8*M8)</x:f>
        <x:v>712848.6541188679</x:v>
      </x:c>
      <x:c r="O8" s="17" t="n">
        <x:f>'02 Demand Source'!H8</x:f>
        <x:v>160881</x:v>
      </x:c>
      <x:c r="P8" s="20" t="n">
        <x:f>N8/O8</x:f>
        <x:v>4.430906409823832</x:v>
      </x:c>
      <x:c r="Q8" s="11" t="str">
        <x:v>ENVELOPE ONLY</x:v>
      </x:c>
      <x:c r="R8" s="11" t="str">
        <x:v>Carrier, crew, origin, node and receiver evidence open</x:v>
      </x:c>
      <x:c r="S8" s="35"/>
      <x:c r="T8" s="35"/>
    </x:row>
    <x:row r="9">
      <x:c r="C9" s="11" t="str">
        <x:v>P1-OCEAN-24</x:v>
      </x:c>
      <x:c r="D9" s="11" t="str">
        <x:v>P1</x:v>
      </x:c>
      <x:c r="E9" s="11" t="str">
        <x:v>Scaled legacy pattern</x:v>
      </x:c>
      <x:c r="F9" s="11" t="str">
        <x:v>OCEAN</x:v>
      </x:c>
      <x:c r="G9" s="17" t="n">
        <x:v>24</x:v>
      </x:c>
      <x:c r="H9" s="17" t="n">
        <x:f>'02 Demand Source'!G9</x:f>
        <x:v>158945.64024527746</x:v>
      </x:c>
      <x:c r="I9" s="17" t="n">
        <x:f>H9*'01 Controls'!$E$6</x:f>
        <x:v>150998.3582330136</x:v>
      </x:c>
      <x:c r="J9" s="18" t="n">
        <x:f>'03 Architecture Cases'!F7</x:f>
        <x:v>0.05</x:v>
      </x:c>
      <x:c r="K9" s="18" t="n">
        <x:f>'03 Architecture Cases'!I7</x:f>
        <x:v>0.75</x:v>
      </x:c>
      <x:c r="L9" s="18" t="n">
        <x:f>'03 Architecture Cases'!J7</x:f>
        <x:v>0.85</x:v>
      </x:c>
      <x:c r="M9" s="18" t="n">
        <x:f>1-'01 Controls'!$E$7</x:f>
        <x:v>0.8</x:v>
      </x:c>
      <x:c r="N9" s="17" t="n">
        <x:f>I9/(J9*K9*L9*M9)</x:f>
        <x:v>5921504.244431905</x:v>
      </x:c>
      <x:c r="O9" s="17" t="n">
        <x:f>'02 Demand Source'!H9</x:f>
        <x:v>596400</x:v>
      </x:c>
      <x:c r="P9" s="20" t="n">
        <x:f>N9/O9</x:f>
        <x:v>9.92874621802801</x:v>
      </x:c>
      <x:c r="Q9" s="11" t="str">
        <x:v>ENVELOPE ONLY</x:v>
      </x:c>
      <x:c r="R9" s="11" t="str">
        <x:v>Carrier, crew, origin, node and receiver evidence open</x:v>
      </x:c>
      <x:c r="S9" s="35"/>
      <x:c r="T9" s="35"/>
    </x:row>
    <x:row r="10">
      <x:c r="C10" s="11" t="str">
        <x:v>P1-OCEAN-48</x:v>
      </x:c>
      <x:c r="D10" s="11" t="str">
        <x:v>P1</x:v>
      </x:c>
      <x:c r="E10" s="11" t="str">
        <x:v>Scaled legacy pattern</x:v>
      </x:c>
      <x:c r="F10" s="11" t="str">
        <x:v>OCEAN</x:v>
      </x:c>
      <x:c r="G10" s="17" t="n">
        <x:v>48</x:v>
      </x:c>
      <x:c r="H10" s="17" t="n">
        <x:f>'02 Demand Source'!G10</x:f>
        <x:v>1792241.801953193</x:v>
      </x:c>
      <x:c r="I10" s="17" t="n">
        <x:f>H10*'01 Controls'!$E$6</x:f>
        <x:v>1702629.7118555333</x:v>
      </x:c>
      <x:c r="J10" s="18" t="n">
        <x:f>'03 Architecture Cases'!G7</x:f>
        <x:v>0.35</x:v>
      </x:c>
      <x:c r="K10" s="18" t="n">
        <x:f>'03 Architecture Cases'!I7</x:f>
        <x:v>0.75</x:v>
      </x:c>
      <x:c r="L10" s="18" t="n">
        <x:f>'03 Architecture Cases'!J7</x:f>
        <x:v>0.85</x:v>
      </x:c>
      <x:c r="M10" s="18" t="n">
        <x:f>1-'01 Controls'!$E$7</x:f>
        <x:v>0.8</x:v>
      </x:c>
      <x:c r="N10" s="17" t="n">
        <x:f>I10/(J10*K10*L10*M10)</x:f>
        <x:v>9538541.803112231</x:v>
      </x:c>
      <x:c r="O10" s="17" t="n">
        <x:f>'02 Demand Source'!H10</x:f>
        <x:v>596400</x:v>
      </x:c>
      <x:c r="P10" s="20" t="n">
        <x:f>N10/O10</x:f>
        <x:v>15.993530856995692</x:v>
      </x:c>
      <x:c r="Q10" s="11" t="str">
        <x:v>ENVELOPE ONLY</x:v>
      </x:c>
      <x:c r="R10" s="11" t="str">
        <x:v>Carrier, crew, origin, node and receiver evidence open</x:v>
      </x:c>
      <x:c r="S10" s="35"/>
      <x:c r="T10" s="35"/>
    </x:row>
    <x:row r="11">
      <x:c r="C11" s="11" t="str">
        <x:v>P1-OCEAN-72</x:v>
      </x:c>
      <x:c r="D11" s="11" t="str">
        <x:v>P1</x:v>
      </x:c>
      <x:c r="E11" s="11" t="str">
        <x:v>Scaled legacy pattern</x:v>
      </x:c>
      <x:c r="F11" s="11" t="str">
        <x:v>OCEAN</x:v>
      </x:c>
      <x:c r="G11" s="17" t="n">
        <x:v>72</x:v>
      </x:c>
      <x:c r="H11" s="17" t="n">
        <x:f>'02 Demand Source'!G11</x:f>
        <x:v>2188435.8322043386</x:v>
      </x:c>
      <x:c r="I11" s="17" t="n">
        <x:f>H11*'01 Controls'!$E$6</x:f>
        <x:v>2079014.0405941217</x:v>
      </x:c>
      <x:c r="J11" s="18" t="n">
        <x:f>'03 Architecture Cases'!H7</x:f>
        <x:v>1</x:v>
      </x:c>
      <x:c r="K11" s="18" t="n">
        <x:f>'03 Architecture Cases'!I7</x:f>
        <x:v>0.75</x:v>
      </x:c>
      <x:c r="L11" s="18" t="n">
        <x:f>'03 Architecture Cases'!J7</x:f>
        <x:v>0.85</x:v>
      </x:c>
      <x:c r="M11" s="18" t="n">
        <x:f>1-'01 Controls'!$E$7</x:f>
        <x:v>0.8</x:v>
      </x:c>
      <x:c r="N11" s="17" t="n">
        <x:f>I11/(J11*K11*L11*M11)</x:f>
        <x:v>4076498.118812003</x:v>
      </x:c>
      <x:c r="O11" s="17" t="n">
        <x:f>'02 Demand Source'!H11</x:f>
        <x:v>596400</x:v>
      </x:c>
      <x:c r="P11" s="20" t="n">
        <x:f>N11/O11</x:f>
        <x:v>6.8351745788262965</x:v>
      </x:c>
      <x:c r="Q11" s="11" t="str">
        <x:v>ENVELOPE ONLY</x:v>
      </x:c>
      <x:c r="R11" s="11" t="str">
        <x:v>Carrier, crew, origin, node and receiver evidence open</x:v>
      </x:c>
      <x:c r="S11" s="35"/>
      <x:c r="T11" s="35"/>
    </x:row>
    <x:row r="12">
      <x:c r="C12" s="11" t="str">
        <x:v>P1-LAND-24</x:v>
      </x:c>
      <x:c r="D12" s="11" t="str">
        <x:v>P1</x:v>
      </x:c>
      <x:c r="E12" s="11" t="str">
        <x:v>Scaled legacy pattern</x:v>
      </x:c>
      <x:c r="F12" s="11" t="str">
        <x:v>LAND</x:v>
      </x:c>
      <x:c r="G12" s="17" t="n">
        <x:v>24</x:v>
      </x:c>
      <x:c r="H12" s="17" t="n">
        <x:f>'02 Demand Source'!G12</x:f>
        <x:v>494932.13740967266</x:v>
      </x:c>
      <x:c r="I12" s="17" t="n">
        <x:f>H12*'01 Controls'!$E$6</x:f>
        <x:v>470185.530539189</x:v>
      </x:c>
      <x:c r="J12" s="18" t="n">
        <x:f>'03 Architecture Cases'!F8</x:f>
        <x:v>0.2</x:v>
      </x:c>
      <x:c r="K12" s="18" t="n">
        <x:f>'03 Architecture Cases'!I8</x:f>
        <x:v>0.75</x:v>
      </x:c>
      <x:c r="L12" s="18" t="n">
        <x:f>'03 Architecture Cases'!J8</x:f>
        <x:v>0.85</x:v>
      </x:c>
      <x:c r="M12" s="18" t="n">
        <x:f>1-'01 Controls'!$E$7</x:f>
        <x:v>0.8</x:v>
      </x:c>
      <x:c r="N12" s="17" t="n">
        <x:f>I12/(J12*K12*L12*M12)</x:f>
        <x:v>4609662.064109696</x:v>
      </x:c>
      <x:c r="O12" s="17" t="n">
        <x:f>'02 Demand Source'!H12</x:f>
        <x:v>1183200</x:v>
      </x:c>
      <x:c r="P12" s="20" t="n">
        <x:f>N12/O12</x:f>
        <x:v>3.8959280460697228</x:v>
      </x:c>
      <x:c r="Q12" s="11" t="str">
        <x:v>ENVELOPE ONLY</x:v>
      </x:c>
      <x:c r="R12" s="11" t="str">
        <x:v>Carrier, crew, origin, node and receiver evidence open</x:v>
      </x:c>
      <x:c r="S12" s="35"/>
      <x:c r="T12" s="35"/>
    </x:row>
    <x:row r="13">
      <x:c r="C13" s="11" t="str">
        <x:v>P1-LAND-48</x:v>
      </x:c>
      <x:c r="D13" s="11" t="str">
        <x:v>P1</x:v>
      </x:c>
      <x:c r="E13" s="11" t="str">
        <x:v>Scaled legacy pattern</x:v>
      </x:c>
      <x:c r="F13" s="11" t="str">
        <x:v>LAND</x:v>
      </x:c>
      <x:c r="G13" s="17" t="n">
        <x:v>48</x:v>
      </x:c>
      <x:c r="H13" s="17" t="n">
        <x:f>'02 Demand Source'!G13</x:f>
        <x:v>3597190.3046845314</x:v>
      </x:c>
      <x:c r="I13" s="17" t="n">
        <x:f>H13*'01 Controls'!$E$6</x:f>
        <x:v>3417330.7894503046</x:v>
      </x:c>
      <x:c r="J13" s="18" t="n">
        <x:f>'03 Architecture Cases'!G8</x:f>
        <x:v>0.6</x:v>
      </x:c>
      <x:c r="K13" s="18" t="n">
        <x:f>'03 Architecture Cases'!I8</x:f>
        <x:v>0.75</x:v>
      </x:c>
      <x:c r="L13" s="18" t="n">
        <x:f>'03 Architecture Cases'!J8</x:f>
        <x:v>0.85</x:v>
      </x:c>
      <x:c r="M13" s="18" t="n">
        <x:f>1-'01 Controls'!$E$7</x:f>
        <x:v>0.8</x:v>
      </x:c>
      <x:c r="N13" s="17" t="n">
        <x:f>I13/(J13*K13*L13*M13)</x:f>
        <x:v>11167747.677942172</x:v>
      </x:c>
      <x:c r="O13" s="17" t="n">
        <x:f>'02 Demand Source'!H13</x:f>
        <x:v>1183200</x:v>
      </x:c>
      <x:c r="P13" s="20" t="n">
        <x:f>N13/O13</x:f>
        <x:v>9.438596752824688</x:v>
      </x:c>
      <x:c r="Q13" s="11" t="str">
        <x:v>ENVELOPE ONLY</x:v>
      </x:c>
      <x:c r="R13" s="11" t="str">
        <x:v>Carrier, crew, origin, node and receiver evidence open</x:v>
      </x:c>
      <x:c r="S13" s="35"/>
      <x:c r="T13" s="35"/>
    </x:row>
    <x:row r="14">
      <x:c r="C14" s="11" t="str">
        <x:v>P1-LAND-72</x:v>
      </x:c>
      <x:c r="D14" s="11" t="str">
        <x:v>P1</x:v>
      </x:c>
      <x:c r="E14" s="11" t="str">
        <x:v>Scaled legacy pattern</x:v>
      </x:c>
      <x:c r="F14" s="11" t="str">
        <x:v>LAND</x:v>
      </x:c>
      <x:c r="G14" s="17" t="n">
        <x:v>72</x:v>
      </x:c>
      <x:c r="H14" s="17" t="n">
        <x:f>'02 Demand Source'!G14</x:f>
        <x:v>4126726.7880493808</x:v>
      </x:c>
      <x:c r="I14" s="17" t="n">
        <x:f>H14*'01 Controls'!$E$6</x:f>
        <x:v>3920390.4486469114</x:v>
      </x:c>
      <x:c r="J14" s="18" t="n">
        <x:f>'03 Architecture Cases'!H8</x:f>
        <x:v>1</x:v>
      </x:c>
      <x:c r="K14" s="18" t="n">
        <x:f>'03 Architecture Cases'!I8</x:f>
        <x:v>0.75</x:v>
      </x:c>
      <x:c r="L14" s="18" t="n">
        <x:f>'03 Architecture Cases'!J8</x:f>
        <x:v>0.85</x:v>
      </x:c>
      <x:c r="M14" s="18" t="n">
        <x:f>1-'01 Controls'!$E$7</x:f>
        <x:v>0.8</x:v>
      </x:c>
      <x:c r="N14" s="17" t="n">
        <x:f>I14/(J14*K14*L14*M14)</x:f>
        <x:v>7687040.095386101</x:v>
      </x:c>
      <x:c r="O14" s="17" t="n">
        <x:f>'02 Demand Source'!H14</x:f>
        <x:v>1183200</x:v>
      </x:c>
      <x:c r="P14" s="20" t="n">
        <x:f>N14/O14</x:f>
        <x:v>6.496822257763777</x:v>
      </x:c>
      <x:c r="Q14" s="11" t="str">
        <x:v>ENVELOPE ONLY</x:v>
      </x:c>
      <x:c r="R14" s="11" t="str">
        <x:v>Carrier, crew, origin, node and receiver evidence open</x:v>
      </x:c>
      <x:c r="S14" s="35"/>
      <x:c r="T14" s="35"/>
    </x:row>
    <x:row r="15">
      <x:c r="C15" s="11" t="str">
        <x:v>P1-INLAND-24</x:v>
      </x:c>
      <x:c r="D15" s="11" t="str">
        <x:v>P1</x:v>
      </x:c>
      <x:c r="E15" s="11" t="str">
        <x:v>Scaled legacy pattern</x:v>
      </x:c>
      <x:c r="F15" s="11" t="str">
        <x:v>INLAND</x:v>
      </x:c>
      <x:c r="G15" s="17" t="n">
        <x:v>24</x:v>
      </x:c>
      <x:c r="H15" s="17" t="n">
        <x:f>'02 Demand Source'!G15</x:f>
        <x:v>18170.509693141827</x:v>
      </x:c>
      <x:c r="I15" s="17" t="n">
        <x:f>H15*'01 Controls'!$E$6</x:f>
        <x:v>17261.984208484733</x:v>
      </x:c>
      <x:c r="J15" s="18" t="n">
        <x:f>'03 Architecture Cases'!F9</x:f>
        <x:v>0.1</x:v>
      </x:c>
      <x:c r="K15" s="18" t="n">
        <x:f>'03 Architecture Cases'!I9</x:f>
        <x:v>0.75</x:v>
      </x:c>
      <x:c r="L15" s="18" t="n">
        <x:f>'03 Architecture Cases'!J9</x:f>
        <x:v>0.85</x:v>
      </x:c>
      <x:c r="M15" s="18" t="n">
        <x:f>1-'01 Controls'!$E$7</x:f>
        <x:v>0.8</x:v>
      </x:c>
      <x:c r="N15" s="17" t="n">
        <x:f>I15/(J15*K15*L15*M15)</x:f>
        <x:v>338470.2785977398</x:v>
      </x:c>
      <x:c r="O15" s="17" t="n">
        <x:f>'02 Demand Source'!H15</x:f>
        <x:v>522450</x:v>
      </x:c>
      <x:c r="P15" s="20" t="n">
        <x:f>N15/O15</x:f>
        <x:v>0.6478520022925444</x:v>
      </x:c>
      <x:c r="Q15" s="11" t="str">
        <x:v>ENVELOPE ONLY</x:v>
      </x:c>
      <x:c r="R15" s="11" t="str">
        <x:v>Carrier, crew, origin, node and receiver evidence open</x:v>
      </x:c>
      <x:c r="S15" s="35"/>
      <x:c r="T15" s="35"/>
    </x:row>
    <x:row r="16">
      <x:c r="C16" s="11" t="str">
        <x:v>P1-INLAND-48</x:v>
      </x:c>
      <x:c r="D16" s="11" t="str">
        <x:v>P1</x:v>
      </x:c>
      <x:c r="E16" s="11" t="str">
        <x:v>Scaled legacy pattern</x:v>
      </x:c>
      <x:c r="F16" s="11" t="str">
        <x:v>INLAND</x:v>
      </x:c>
      <x:c r="G16" s="17" t="n">
        <x:v>48</x:v>
      </x:c>
      <x:c r="H16" s="17" t="n">
        <x:f>'02 Demand Source'!G16</x:f>
        <x:v>287343.8926480426</x:v>
      </x:c>
      <x:c r="I16" s="17" t="n">
        <x:f>H16*'01 Controls'!$E$6</x:f>
        <x:v>272976.69801564043</x:v>
      </x:c>
      <x:c r="J16" s="18" t="n">
        <x:f>'03 Architecture Cases'!G9</x:f>
        <x:v>0.45</x:v>
      </x:c>
      <x:c r="K16" s="18" t="n">
        <x:f>'03 Architecture Cases'!I9</x:f>
        <x:v>0.75</x:v>
      </x:c>
      <x:c r="L16" s="18" t="n">
        <x:f>'03 Architecture Cases'!J9</x:f>
        <x:v>0.85</x:v>
      </x:c>
      <x:c r="M16" s="18" t="n">
        <x:f>1-'01 Controls'!$E$7</x:f>
        <x:v>0.8</x:v>
      </x:c>
      <x:c r="N16" s="17" t="n">
        <x:f>I16/(J16*K16*L16*M16)</x:f>
        <x:v>1189440.9499592176</x:v>
      </x:c>
      <x:c r="O16" s="17" t="n">
        <x:f>'02 Demand Source'!H16</x:f>
        <x:v>522450</x:v>
      </x:c>
      <x:c r="P16" s="20" t="n">
        <x:f>N16/O16</x:f>
        <x:v>2.276659871680003</x:v>
      </x:c>
      <x:c r="Q16" s="11" t="str">
        <x:v>ENVELOPE ONLY</x:v>
      </x:c>
      <x:c r="R16" s="11" t="str">
        <x:v>Carrier, crew, origin, node and receiver evidence open</x:v>
      </x:c>
      <x:c r="S16" s="35"/>
      <x:c r="T16" s="35"/>
    </x:row>
    <x:row r="17">
      <x:c r="C17" s="11" t="str">
        <x:v>P1-INLAND-72</x:v>
      </x:c>
      <x:c r="D17" s="11" t="str">
        <x:v>P1</x:v>
      </x:c>
      <x:c r="E17" s="11" t="str">
        <x:v>Scaled legacy pattern</x:v>
      </x:c>
      <x:c r="F17" s="11" t="str">
        <x:v>INLAND</x:v>
      </x:c>
      <x:c r="G17" s="17" t="n">
        <x:v>72</x:v>
      </x:c>
      <x:c r="H17" s="17" t="n">
        <x:f>'02 Demand Source'!G17</x:f>
        <x:v>349841.62553204776</x:v>
      </x:c>
      <x:c r="I17" s="17" t="n">
        <x:f>H17*'01 Controls'!$E$6</x:f>
        <x:v>332349.54425544536</x:v>
      </x:c>
      <x:c r="J17" s="18" t="n">
        <x:f>'03 Architecture Cases'!H9</x:f>
        <x:v>1</x:v>
      </x:c>
      <x:c r="K17" s="18" t="n">
        <x:f>'03 Architecture Cases'!I9</x:f>
        <x:v>0.75</x:v>
      </x:c>
      <x:c r="L17" s="18" t="n">
        <x:f>'03 Architecture Cases'!J9</x:f>
        <x:v>0.85</x:v>
      </x:c>
      <x:c r="M17" s="18" t="n">
        <x:f>1-'01 Controls'!$E$7</x:f>
        <x:v>0.8</x:v>
      </x:c>
      <x:c r="N17" s="17" t="n">
        <x:f>I17/(J17*K17*L17*M17)</x:f>
        <x:v>651665.7730498929</x:v>
      </x:c>
      <x:c r="O17" s="17" t="n">
        <x:f>'02 Demand Source'!H17</x:f>
        <x:v>522450</x:v>
      </x:c>
      <x:c r="P17" s="20" t="n">
        <x:f>N17/O17</x:f>
        <x:v>1.247326582543579</x:v>
      </x:c>
      <x:c r="Q17" s="11" t="str">
        <x:v>ENVELOPE ONLY</x:v>
      </x:c>
      <x:c r="R17" s="11" t="str">
        <x:v>Carrier, crew, origin, node and receiver evidence open</x:v>
      </x:c>
      <x:c r="S17" s="35"/>
      <x:c r="T17" s="35"/>
    </x:row>
    <x:row r="18">
      <x:c r="C18" s="11" t="str">
        <x:v>P2-AIR-24</x:v>
      </x:c>
      <x:c r="D18" s="11" t="str">
        <x:v>P2</x:v>
      </x:c>
      <x:c r="E18" s="11" t="str">
        <x:v>Ready carrier-node force</x:v>
      </x:c>
      <x:c r="F18" s="11" t="str">
        <x:v>AIR</x:v>
      </x:c>
      <x:c r="G18" s="17" t="n">
        <x:v>24</x:v>
      </x:c>
      <x:c r="H18" s="17" t="n">
        <x:f>'02 Demand Source'!G6</x:f>
        <x:v>221998.80215190785</x:v>
      </x:c>
      <x:c r="I18" s="17" t="n">
        <x:f>H18*'01 Controls'!$E$6</x:f>
        <x:v>210898.86204431244</x:v>
      </x:c>
      <x:c r="J18" s="18" t="n">
        <x:f>'03 Architecture Cases'!F10</x:f>
        <x:v>0.55</x:v>
      </x:c>
      <x:c r="K18" s="18" t="n">
        <x:f>'03 Architecture Cases'!I10</x:f>
        <x:v>0.88</x:v>
      </x:c>
      <x:c r="L18" s="18" t="n">
        <x:f>'03 Architecture Cases'!J10</x:f>
        <x:v>0.9</x:v>
      </x:c>
      <x:c r="M18" s="18" t="n">
        <x:f>1-'01 Controls'!$E$7</x:f>
        <x:v>0.8</x:v>
      </x:c>
      <x:c r="N18" s="17" t="n">
        <x:f>I18/(J18*K18*L18*M18)</x:f>
        <x:v>605196.4590344134</x:v>
      </x:c>
      <x:c r="O18" s="17" t="n">
        <x:f>'02 Demand Source'!H6</x:f>
        <x:v>160881</x:v>
      </x:c>
      <x:c r="P18" s="20" t="n">
        <x:f>N18/O18</x:f>
        <x:v>3.7617646523480923</x:v>
      </x:c>
      <x:c r="Q18" s="11" t="str">
        <x:v>ENVELOPE ONLY</x:v>
      </x:c>
      <x:c r="R18" s="11" t="str">
        <x:v>Carrier, crew, origin, node and receiver evidence open</x:v>
      </x:c>
      <x:c r="S18" s="35"/>
      <x:c r="T18" s="35"/>
    </x:row>
    <x:row r="19">
      <x:c r="C19" s="11" t="str">
        <x:v>P2-AIR-48</x:v>
      </x:c>
      <x:c r="D19" s="11" t="str">
        <x:v>P2</x:v>
      </x:c>
      <x:c r="E19" s="11" t="str">
        <x:v>Ready carrier-node force</x:v>
      </x:c>
      <x:c r="F19" s="11" t="str">
        <x:v>AIR</x:v>
      </x:c>
      <x:c r="G19" s="17" t="n">
        <x:v>48</x:v>
      </x:c>
      <x:c r="H19" s="17" t="n">
        <x:f>'02 Demand Source'!G7</x:f>
        <x:v>382687.1722111817</x:v>
      </x:c>
      <x:c r="I19" s="17" t="n">
        <x:f>H19*'01 Controls'!$E$6</x:f>
        <x:v>363552.81360062264</x:v>
      </x:c>
      <x:c r="J19" s="18" t="n">
        <x:f>'03 Architecture Cases'!G10</x:f>
        <x:v>0.85</x:v>
      </x:c>
      <x:c r="K19" s="18" t="n">
        <x:f>'03 Architecture Cases'!I10</x:f>
        <x:v>0.88</x:v>
      </x:c>
      <x:c r="L19" s="18" t="n">
        <x:f>'03 Architecture Cases'!J10</x:f>
        <x:v>0.9</x:v>
      </x:c>
      <x:c r="M19" s="18" t="n">
        <x:f>1-'01 Controls'!$E$7</x:f>
        <x:v>0.8</x:v>
      </x:c>
      <x:c r="N19" s="17" t="n">
        <x:f>I19/(J19*K19*L19*M19)</x:f>
        <x:v>675046.0739762007</x:v>
      </x:c>
      <x:c r="O19" s="17" t="n">
        <x:f>'02 Demand Source'!H7</x:f>
        <x:v>160881</x:v>
      </x:c>
      <x:c r="P19" s="20" t="n">
        <x:f>N19/O19</x:f>
        <x:v>4.195934100211962</x:v>
      </x:c>
      <x:c r="Q19" s="11" t="str">
        <x:v>ENVELOPE ONLY</x:v>
      </x:c>
      <x:c r="R19" s="11" t="str">
        <x:v>Carrier, crew, origin, node and receiver evidence open</x:v>
      </x:c>
      <x:c r="S19" s="35"/>
      <x:c r="T19" s="35"/>
    </x:row>
    <x:row r="20">
      <x:c r="C20" s="11" t="str">
        <x:v>P2-AIR-72</x:v>
      </x:c>
      <x:c r="D20" s="11" t="str">
        <x:v>P2</x:v>
      </x:c>
      <x:c r="E20" s="11" t="str">
        <x:v>Ready carrier-node force</x:v>
      </x:c>
      <x:c r="F20" s="11" t="str">
        <x:v>AIR</x:v>
      </x:c>
      <x:c r="G20" s="17" t="n">
        <x:v>72</x:v>
      </x:c>
      <x:c r="H20" s="17" t="n">
        <x:f>'02 Demand Source'!G8</x:f>
        <x:v>382687.1722111817</x:v>
      </x:c>
      <x:c r="I20" s="17" t="n">
        <x:f>H20*'01 Controls'!$E$6</x:f>
        <x:v>363552.81360062264</x:v>
      </x:c>
      <x:c r="J20" s="18" t="n">
        <x:f>'03 Architecture Cases'!H10</x:f>
        <x:v>1</x:v>
      </x:c>
      <x:c r="K20" s="18" t="n">
        <x:f>'03 Architecture Cases'!I10</x:f>
        <x:v>0.88</x:v>
      </x:c>
      <x:c r="L20" s="18" t="n">
        <x:f>'03 Architecture Cases'!J10</x:f>
        <x:v>0.9</x:v>
      </x:c>
      <x:c r="M20" s="18" t="n">
        <x:f>1-'01 Controls'!$E$7</x:f>
        <x:v>0.8</x:v>
      </x:c>
      <x:c r="N20" s="17" t="n">
        <x:f>I20/(J20*K20*L20*M20)</x:f>
        <x:v>573789.1628797705</x:v>
      </x:c>
      <x:c r="O20" s="17" t="n">
        <x:f>'02 Demand Source'!H8</x:f>
        <x:v>160881</x:v>
      </x:c>
      <x:c r="P20" s="20" t="n">
        <x:f>N20/O20</x:f>
        <x:v>3.5665439851801675</x:v>
      </x:c>
      <x:c r="Q20" s="11" t="str">
        <x:v>ENVELOPE ONLY</x:v>
      </x:c>
      <x:c r="R20" s="11" t="str">
        <x:v>Carrier, crew, origin, node and receiver evidence open</x:v>
      </x:c>
      <x:c r="S20" s="35"/>
      <x:c r="T20" s="35"/>
    </x:row>
    <x:row r="21">
      <x:c r="C21" s="11" t="str">
        <x:v>P2-OCEAN-24</x:v>
      </x:c>
      <x:c r="D21" s="11" t="str">
        <x:v>P2</x:v>
      </x:c>
      <x:c r="E21" s="11" t="str">
        <x:v>Ready carrier-node force</x:v>
      </x:c>
      <x:c r="F21" s="11" t="str">
        <x:v>OCEAN</x:v>
      </x:c>
      <x:c r="G21" s="17" t="n">
        <x:v>24</x:v>
      </x:c>
      <x:c r="H21" s="17" t="n">
        <x:f>'02 Demand Source'!G9</x:f>
        <x:v>158945.64024527746</x:v>
      </x:c>
      <x:c r="I21" s="17" t="n">
        <x:f>H21*'01 Controls'!$E$6</x:f>
        <x:v>150998.3582330136</x:v>
      </x:c>
      <x:c r="J21" s="18" t="n">
        <x:f>'03 Architecture Cases'!F11</x:f>
        <x:v>0.15</x:v>
      </x:c>
      <x:c r="K21" s="18" t="n">
        <x:f>'03 Architecture Cases'!I11</x:f>
        <x:v>0.88</x:v>
      </x:c>
      <x:c r="L21" s="18" t="n">
        <x:f>'03 Architecture Cases'!J11</x:f>
        <x:v>0.9</x:v>
      </x:c>
      <x:c r="M21" s="18" t="n">
        <x:f>1-'01 Controls'!$E$7</x:f>
        <x:v>0.8</x:v>
      </x:c>
      <x:c r="N21" s="17" t="n">
        <x:f>I21/(J21*K21*L21*M21)</x:f>
        <x:v>1588787.439320429</x:v>
      </x:c>
      <x:c r="O21" s="17" t="n">
        <x:f>'02 Demand Source'!H9</x:f>
        <x:v>596400</x:v>
      </x:c>
      <x:c r="P21" s="20" t="n">
        <x:f>N21/O21</x:f>
        <x:v>2.663962842589586</x:v>
      </x:c>
      <x:c r="Q21" s="11" t="str">
        <x:v>ENVELOPE ONLY</x:v>
      </x:c>
      <x:c r="R21" s="11" t="str">
        <x:v>Carrier, crew, origin, node and receiver evidence open</x:v>
      </x:c>
      <x:c r="S21" s="35"/>
      <x:c r="T21" s="35"/>
    </x:row>
    <x:row r="22">
      <x:c r="C22" s="11" t="str">
        <x:v>P2-OCEAN-48</x:v>
      </x:c>
      <x:c r="D22" s="11" t="str">
        <x:v>P2</x:v>
      </x:c>
      <x:c r="E22" s="11" t="str">
        <x:v>Ready carrier-node force</x:v>
      </x:c>
      <x:c r="F22" s="11" t="str">
        <x:v>OCEAN</x:v>
      </x:c>
      <x:c r="G22" s="17" t="n">
        <x:v>48</x:v>
      </x:c>
      <x:c r="H22" s="17" t="n">
        <x:f>'02 Demand Source'!G10</x:f>
        <x:v>1792241.801953193</x:v>
      </x:c>
      <x:c r="I22" s="17" t="n">
        <x:f>H22*'01 Controls'!$E$6</x:f>
        <x:v>1702629.7118555333</x:v>
      </x:c>
      <x:c r="J22" s="18" t="n">
        <x:f>'03 Architecture Cases'!G11</x:f>
        <x:v>0.6</x:v>
      </x:c>
      <x:c r="K22" s="18" t="n">
        <x:f>'03 Architecture Cases'!I11</x:f>
        <x:v>0.88</x:v>
      </x:c>
      <x:c r="L22" s="18" t="n">
        <x:f>'03 Architecture Cases'!J11</x:f>
        <x:v>0.9</x:v>
      </x:c>
      <x:c r="M22" s="18" t="n">
        <x:f>1-'01 Controls'!$E$7</x:f>
        <x:v>0.8</x:v>
      </x:c>
      <x:c r="N22" s="17" t="n">
        <x:f>I22/(J22*K22*L22*M22)</x:f>
        <x:v>4478718.728576213</x:v>
      </x:c>
      <x:c r="O22" s="17" t="n">
        <x:f>'02 Demand Source'!H10</x:f>
        <x:v>596400</x:v>
      </x:c>
      <x:c r="P22" s="20" t="n">
        <x:f>N22/O22</x:f>
        <x:v>7.509588746774335</x:v>
      </x:c>
      <x:c r="Q22" s="11" t="str">
        <x:v>ENVELOPE ONLY</x:v>
      </x:c>
      <x:c r="R22" s="11" t="str">
        <x:v>Carrier, crew, origin, node and receiver evidence open</x:v>
      </x:c>
      <x:c r="S22" s="35"/>
      <x:c r="T22" s="35"/>
    </x:row>
    <x:row r="23">
      <x:c r="C23" s="11" t="str">
        <x:v>P2-OCEAN-72</x:v>
      </x:c>
      <x:c r="D23" s="11" t="str">
        <x:v>P2</x:v>
      </x:c>
      <x:c r="E23" s="11" t="str">
        <x:v>Ready carrier-node force</x:v>
      </x:c>
      <x:c r="F23" s="11" t="str">
        <x:v>OCEAN</x:v>
      </x:c>
      <x:c r="G23" s="17" t="n">
        <x:v>72</x:v>
      </x:c>
      <x:c r="H23" s="17" t="n">
        <x:f>'02 Demand Source'!G11</x:f>
        <x:v>2188435.8322043386</x:v>
      </x:c>
      <x:c r="I23" s="17" t="n">
        <x:f>H23*'01 Controls'!$E$6</x:f>
        <x:v>2079014.0405941217</x:v>
      </x:c>
      <x:c r="J23" s="18" t="n">
        <x:f>'03 Architecture Cases'!H11</x:f>
        <x:v>1</x:v>
      </x:c>
      <x:c r="K23" s="18" t="n">
        <x:f>'03 Architecture Cases'!I11</x:f>
        <x:v>0.88</x:v>
      </x:c>
      <x:c r="L23" s="18" t="n">
        <x:f>'03 Architecture Cases'!J11</x:f>
        <x:v>0.9</x:v>
      </x:c>
      <x:c r="M23" s="18" t="n">
        <x:f>1-'01 Controls'!$E$7</x:f>
        <x:v>0.8</x:v>
      </x:c>
      <x:c r="N23" s="17" t="n">
        <x:f>I23/(J23*K23*L23*M23)</x:f>
        <x:v>3281272.160028601</x:v>
      </x:c>
      <x:c r="O23" s="17" t="n">
        <x:f>'02 Demand Source'!H11</x:f>
        <x:v>596400</x:v>
      </x:c>
      <x:c r="P23" s="20" t="n">
        <x:f>N23/O23</x:f>
        <x:v>5.501797719699197</x:v>
      </x:c>
      <x:c r="Q23" s="11" t="str">
        <x:v>ENVELOPE ONLY</x:v>
      </x:c>
      <x:c r="R23" s="11" t="str">
        <x:v>Carrier, crew, origin, node and receiver evidence open</x:v>
      </x:c>
      <x:c r="S23" s="35"/>
      <x:c r="T23" s="35"/>
    </x:row>
    <x:row r="24">
      <x:c r="C24" s="11" t="str">
        <x:v>P2-LAND-24</x:v>
      </x:c>
      <x:c r="D24" s="11" t="str">
        <x:v>P2</x:v>
      </x:c>
      <x:c r="E24" s="11" t="str">
        <x:v>Ready carrier-node force</x:v>
      </x:c>
      <x:c r="F24" s="11" t="str">
        <x:v>LAND</x:v>
      </x:c>
      <x:c r="G24" s="17" t="n">
        <x:v>24</x:v>
      </x:c>
      <x:c r="H24" s="17" t="n">
        <x:f>'02 Demand Source'!G12</x:f>
        <x:v>494932.13740967266</x:v>
      </x:c>
      <x:c r="I24" s="17" t="n">
        <x:f>H24*'01 Controls'!$E$6</x:f>
        <x:v>470185.530539189</x:v>
      </x:c>
      <x:c r="J24" s="18" t="n">
        <x:f>'03 Architecture Cases'!F12</x:f>
        <x:v>0.35</x:v>
      </x:c>
      <x:c r="K24" s="18" t="n">
        <x:f>'03 Architecture Cases'!I12</x:f>
        <x:v>0.88</x:v>
      </x:c>
      <x:c r="L24" s="18" t="n">
        <x:f>'03 Architecture Cases'!J12</x:f>
        <x:v>0.9</x:v>
      </x:c>
      <x:c r="M24" s="18" t="n">
        <x:f>1-'01 Controls'!$E$7</x:f>
        <x:v>0.8</x:v>
      </x:c>
      <x:c r="N24" s="17" t="n">
        <x:f>I24/(J24*K24*L24*M24)</x:f>
        <x:v>2120244.9970201524</x:v>
      </x:c>
      <x:c r="O24" s="17" t="n">
        <x:f>'02 Demand Source'!H12</x:f>
        <x:v>1183200</x:v>
      </x:c>
      <x:c r="P24" s="20" t="n">
        <x:f>N24/O24</x:f>
        <x:v>1.7919582462983032</x:v>
      </x:c>
      <x:c r="Q24" s="11" t="str">
        <x:v>ENVELOPE ONLY</x:v>
      </x:c>
      <x:c r="R24" s="11" t="str">
        <x:v>Carrier, crew, origin, node and receiver evidence open</x:v>
      </x:c>
      <x:c r="S24" s="35"/>
      <x:c r="T24" s="35"/>
    </x:row>
    <x:row r="25">
      <x:c r="C25" s="11" t="str">
        <x:v>P2-LAND-48</x:v>
      </x:c>
      <x:c r="D25" s="11" t="str">
        <x:v>P2</x:v>
      </x:c>
      <x:c r="E25" s="11" t="str">
        <x:v>Ready carrier-node force</x:v>
      </x:c>
      <x:c r="F25" s="11" t="str">
        <x:v>LAND</x:v>
      </x:c>
      <x:c r="G25" s="17" t="n">
        <x:v>48</x:v>
      </x:c>
      <x:c r="H25" s="17" t="n">
        <x:f>'02 Demand Source'!G13</x:f>
        <x:v>3597190.3046845314</x:v>
      </x:c>
      <x:c r="I25" s="17" t="n">
        <x:f>H25*'01 Controls'!$E$6</x:f>
        <x:v>3417330.7894503046</x:v>
      </x:c>
      <x:c r="J25" s="18" t="n">
        <x:f>'03 Architecture Cases'!G12</x:f>
        <x:v>0.75</x:v>
      </x:c>
      <x:c r="K25" s="18" t="n">
        <x:f>'03 Architecture Cases'!I12</x:f>
        <x:v>0.88</x:v>
      </x:c>
      <x:c r="L25" s="18" t="n">
        <x:f>'03 Architecture Cases'!J12</x:f>
        <x:v>0.9</x:v>
      </x:c>
      <x:c r="M25" s="18" t="n">
        <x:f>1-'01 Controls'!$E$7</x:f>
        <x:v>0.8</x:v>
      </x:c>
      <x:c r="N25" s="17" t="n">
        <x:f>I25/(J25*K25*L25*M25)</x:f>
        <x:v>7191352.671402155</x:v>
      </x:c>
      <x:c r="O25" s="17" t="n">
        <x:f>'02 Demand Source'!H13</x:f>
        <x:v>1183200</x:v>
      </x:c>
      <x:c r="P25" s="20" t="n">
        <x:f>N25/O25</x:f>
        <x:v>6.077884272652261</x:v>
      </x:c>
      <x:c r="Q25" s="11" t="str">
        <x:v>ENVELOPE ONLY</x:v>
      </x:c>
      <x:c r="R25" s="11" t="str">
        <x:v>Carrier, crew, origin, node and receiver evidence open</x:v>
      </x:c>
      <x:c r="S25" s="35"/>
      <x:c r="T25" s="35"/>
    </x:row>
    <x:row r="26">
      <x:c r="C26" s="11" t="str">
        <x:v>P2-LAND-72</x:v>
      </x:c>
      <x:c r="D26" s="11" t="str">
        <x:v>P2</x:v>
      </x:c>
      <x:c r="E26" s="11" t="str">
        <x:v>Ready carrier-node force</x:v>
      </x:c>
      <x:c r="F26" s="11" t="str">
        <x:v>LAND</x:v>
      </x:c>
      <x:c r="G26" s="17" t="n">
        <x:v>72</x:v>
      </x:c>
      <x:c r="H26" s="17" t="n">
        <x:f>'02 Demand Source'!G14</x:f>
        <x:v>4126726.7880493808</x:v>
      </x:c>
      <x:c r="I26" s="17" t="n">
        <x:f>H26*'01 Controls'!$E$6</x:f>
        <x:v>3920390.4486469114</x:v>
      </x:c>
      <x:c r="J26" s="18" t="n">
        <x:f>'03 Architecture Cases'!H12</x:f>
        <x:v>1</x:v>
      </x:c>
      <x:c r="K26" s="18" t="n">
        <x:f>'03 Architecture Cases'!I12</x:f>
        <x:v>0.88</x:v>
      </x:c>
      <x:c r="L26" s="18" t="n">
        <x:f>'03 Architecture Cases'!J12</x:f>
        <x:v>0.9</x:v>
      </x:c>
      <x:c r="M26" s="18" t="n">
        <x:f>1-'01 Controls'!$E$7</x:f>
        <x:v>0.8</x:v>
      </x:c>
      <x:c r="N26" s="17" t="n">
        <x:f>I26/(J26*K26*L26*M26)</x:f>
        <x:v>6187484.925263433</x:v>
      </x:c>
      <x:c r="O26" s="17" t="n">
        <x:f>'02 Demand Source'!H14</x:f>
        <x:v>1183200</x:v>
      </x:c>
      <x:c r="P26" s="20" t="n">
        <x:f>N26/O26</x:f>
        <x:v>5.229449733995464</x:v>
      </x:c>
      <x:c r="Q26" s="11" t="str">
        <x:v>ENVELOPE ONLY</x:v>
      </x:c>
      <x:c r="R26" s="11" t="str">
        <x:v>Carrier, crew, origin, node and receiver evidence open</x:v>
      </x:c>
      <x:c r="S26" s="35"/>
      <x:c r="T26" s="35"/>
    </x:row>
    <x:row r="27">
      <x:c r="C27" s="11" t="str">
        <x:v>P2-INLAND-24</x:v>
      </x:c>
      <x:c r="D27" s="11" t="str">
        <x:v>P2</x:v>
      </x:c>
      <x:c r="E27" s="11" t="str">
        <x:v>Ready carrier-node force</x:v>
      </x:c>
      <x:c r="F27" s="11" t="str">
        <x:v>INLAND</x:v>
      </x:c>
      <x:c r="G27" s="17" t="n">
        <x:v>24</x:v>
      </x:c>
      <x:c r="H27" s="17" t="n">
        <x:f>'02 Demand Source'!G15</x:f>
        <x:v>18170.509693141827</x:v>
      </x:c>
      <x:c r="I27" s="17" t="n">
        <x:f>H27*'01 Controls'!$E$6</x:f>
        <x:v>17261.984208484733</x:v>
      </x:c>
      <x:c r="J27" s="18" t="n">
        <x:f>'03 Architecture Cases'!F13</x:f>
        <x:v>0.2</x:v>
      </x:c>
      <x:c r="K27" s="18" t="n">
        <x:f>'03 Architecture Cases'!I13</x:f>
        <x:v>0.88</x:v>
      </x:c>
      <x:c r="L27" s="18" t="n">
        <x:f>'03 Architecture Cases'!J13</x:f>
        <x:v>0.9</x:v>
      </x:c>
      <x:c r="M27" s="18" t="n">
        <x:f>1-'01 Controls'!$E$7</x:f>
        <x:v>0.8</x:v>
      </x:c>
      <x:c r="N27" s="17" t="n">
        <x:f>I27/(J27*K27*L27*M27)</x:f>
        <x:v>136221.46629170398</x:v>
      </x:c>
      <x:c r="O27" s="17" t="n">
        <x:f>'02 Demand Source'!H15</x:f>
        <x:v>522450</x:v>
      </x:c>
      <x:c r="P27" s="20" t="n">
        <x:f>N27/O27</x:f>
        <x:v>0.2607358910741774</x:v>
      </x:c>
      <x:c r="Q27" s="11" t="str">
        <x:v>ENVELOPE ONLY</x:v>
      </x:c>
      <x:c r="R27" s="11" t="str">
        <x:v>Carrier, crew, origin, node and receiver evidence open</x:v>
      </x:c>
      <x:c r="S27" s="35"/>
      <x:c r="T27" s="35"/>
    </x:row>
    <x:row r="28">
      <x:c r="C28" s="11" t="str">
        <x:v>P2-INLAND-48</x:v>
      </x:c>
      <x:c r="D28" s="11" t="str">
        <x:v>P2</x:v>
      </x:c>
      <x:c r="E28" s="11" t="str">
        <x:v>Ready carrier-node force</x:v>
      </x:c>
      <x:c r="F28" s="11" t="str">
        <x:v>INLAND</x:v>
      </x:c>
      <x:c r="G28" s="17" t="n">
        <x:v>48</x:v>
      </x:c>
      <x:c r="H28" s="17" t="n">
        <x:f>'02 Demand Source'!G16</x:f>
        <x:v>287343.8926480426</x:v>
      </x:c>
      <x:c r="I28" s="17" t="n">
        <x:f>H28*'01 Controls'!$E$6</x:f>
        <x:v>272976.69801564043</x:v>
      </x:c>
      <x:c r="J28" s="18" t="n">
        <x:f>'03 Architecture Cases'!G13</x:f>
        <x:v>0.65</x:v>
      </x:c>
      <x:c r="K28" s="18" t="n">
        <x:f>'03 Architecture Cases'!I13</x:f>
        <x:v>0.88</x:v>
      </x:c>
      <x:c r="L28" s="18" t="n">
        <x:f>'03 Architecture Cases'!J13</x:f>
        <x:v>0.9</x:v>
      </x:c>
      <x:c r="M28" s="18" t="n">
        <x:f>1-'01 Controls'!$E$7</x:f>
        <x:v>0.8</x:v>
      </x:c>
      <x:c r="N28" s="17" t="n">
        <x:f>I28/(J28*K28*L28*M28)</x:f>
        <x:v>662822.2076914345</x:v>
      </x:c>
      <x:c r="O28" s="17" t="n">
        <x:f>'02 Demand Source'!H16</x:f>
        <x:v>522450</x:v>
      </x:c>
      <x:c r="P28" s="20" t="n">
        <x:f>N28/O28</x:f>
        <x:v>1.268680654017484</x:v>
      </x:c>
      <x:c r="Q28" s="11" t="str">
        <x:v>ENVELOPE ONLY</x:v>
      </x:c>
      <x:c r="R28" s="11" t="str">
        <x:v>Carrier, crew, origin, node and receiver evidence open</x:v>
      </x:c>
      <x:c r="S28" s="35"/>
      <x:c r="T28" s="35"/>
    </x:row>
    <x:row r="29">
      <x:c r="C29" s="11" t="str">
        <x:v>P2-INLAND-72</x:v>
      </x:c>
      <x:c r="D29" s="11" t="str">
        <x:v>P2</x:v>
      </x:c>
      <x:c r="E29" s="11" t="str">
        <x:v>Ready carrier-node force</x:v>
      </x:c>
      <x:c r="F29" s="11" t="str">
        <x:v>INLAND</x:v>
      </x:c>
      <x:c r="G29" s="17" t="n">
        <x:v>72</x:v>
      </x:c>
      <x:c r="H29" s="17" t="n">
        <x:f>'02 Demand Source'!G17</x:f>
        <x:v>349841.62553204776</x:v>
      </x:c>
      <x:c r="I29" s="17" t="n">
        <x:f>H29*'01 Controls'!$E$6</x:f>
        <x:v>332349.54425544536</x:v>
      </x:c>
      <x:c r="J29" s="18" t="n">
        <x:f>'03 Architecture Cases'!H13</x:f>
        <x:v>1</x:v>
      </x:c>
      <x:c r="K29" s="18" t="n">
        <x:f>'03 Architecture Cases'!I13</x:f>
        <x:v>0.88</x:v>
      </x:c>
      <x:c r="L29" s="18" t="n">
        <x:f>'03 Architecture Cases'!J13</x:f>
        <x:v>0.9</x:v>
      </x:c>
      <x:c r="M29" s="18" t="n">
        <x:f>1-'01 Controls'!$E$7</x:f>
        <x:v>0.8</x:v>
      </x:c>
      <x:c r="N29" s="17" t="n">
        <x:f>I29/(J29*K29*L29*M29)</x:f>
        <x:v>524541.5786859932</x:v>
      </x:c>
      <x:c r="O29" s="17" t="n">
        <x:f>'02 Demand Source'!H17</x:f>
        <x:v>522450</x:v>
      </x:c>
      <x:c r="P29" s="20" t="n">
        <x:f>N29/O29</x:f>
        <x:v>1.0040034045095094</x:v>
      </x:c>
      <x:c r="Q29" s="11" t="str">
        <x:v>ENVELOPE ONLY</x:v>
      </x:c>
      <x:c r="R29" s="11" t="str">
        <x:v>Carrier, crew, origin, node and receiver evidence open</x:v>
      </x:c>
      <x:c r="S29" s="35"/>
      <x:c r="T29" s="35"/>
    </x:row>
    <x:row r="30">
      <x:c r="C30" s="11" t="str">
        <x:v>P3-AIR-24</x:v>
      </x:c>
      <x:c r="D30" s="11" t="str">
        <x:v>P3</x:v>
      </x:c>
      <x:c r="E30" s="11" t="str">
        <x:v>Distributed high-activation network</x:v>
      </x:c>
      <x:c r="F30" s="11" t="str">
        <x:v>AIR</x:v>
      </x:c>
      <x:c r="G30" s="17" t="n">
        <x:v>24</x:v>
      </x:c>
      <x:c r="H30" s="17" t="n">
        <x:f>'02 Demand Source'!G6</x:f>
        <x:v>221998.80215190785</x:v>
      </x:c>
      <x:c r="I30" s="17" t="n">
        <x:f>H30*'01 Controls'!$E$6</x:f>
        <x:v>210898.86204431244</x:v>
      </x:c>
      <x:c r="J30" s="18" t="n">
        <x:f>'03 Architecture Cases'!F14</x:f>
        <x:v>0.7</x:v>
      </x:c>
      <x:c r="K30" s="18" t="n">
        <x:f>'03 Architecture Cases'!I14</x:f>
        <x:v>0.93</x:v>
      </x:c>
      <x:c r="L30" s="18" t="n">
        <x:f>'03 Architecture Cases'!J14</x:f>
        <x:v>0.94</x:v>
      </x:c>
      <x:c r="M30" s="18" t="n">
        <x:f>1-'01 Controls'!$E$7</x:f>
        <x:v>0.8</x:v>
      </x:c>
      <x:c r="N30" s="17" t="n">
        <x:f>I30/(J30*K30*L30*M30)</x:f>
        <x:v>430799.7149318406</x:v>
      </x:c>
      <x:c r="O30" s="17" t="n">
        <x:f>'02 Demand Source'!H6</x:f>
        <x:v>160881</x:v>
      </x:c>
      <x:c r="P30" s="20" t="n">
        <x:f>N30/O30</x:f>
        <x:v>2.67775383626308</x:v>
      </x:c>
      <x:c r="Q30" s="11" t="str">
        <x:v>ENVELOPE ONLY</x:v>
      </x:c>
      <x:c r="R30" s="11" t="str">
        <x:v>Carrier, crew, origin, node and receiver evidence open</x:v>
      </x:c>
      <x:c r="S30" s="35"/>
      <x:c r="T30" s="35"/>
    </x:row>
    <x:row r="31">
      <x:c r="C31" s="11" t="str">
        <x:v>P3-AIR-48</x:v>
      </x:c>
      <x:c r="D31" s="11" t="str">
        <x:v>P3</x:v>
      </x:c>
      <x:c r="E31" s="11" t="str">
        <x:v>Distributed high-activation network</x:v>
      </x:c>
      <x:c r="F31" s="11" t="str">
        <x:v>AIR</x:v>
      </x:c>
      <x:c r="G31" s="17" t="n">
        <x:v>48</x:v>
      </x:c>
      <x:c r="H31" s="17" t="n">
        <x:f>'02 Demand Source'!G7</x:f>
        <x:v>382687.1722111817</x:v>
      </x:c>
      <x:c r="I31" s="17" t="n">
        <x:f>H31*'01 Controls'!$E$6</x:f>
        <x:v>363552.81360062264</x:v>
      </x:c>
      <x:c r="J31" s="18" t="n">
        <x:f>'03 Architecture Cases'!G14</x:f>
        <x:v>0.92</x:v>
      </x:c>
      <x:c r="K31" s="18" t="n">
        <x:f>'03 Architecture Cases'!I14</x:f>
        <x:v>0.93</x:v>
      </x:c>
      <x:c r="L31" s="18" t="n">
        <x:f>'03 Architecture Cases'!J14</x:f>
        <x:v>0.94</x:v>
      </x:c>
      <x:c r="M31" s="18" t="n">
        <x:f>1-'01 Controls'!$E$7</x:f>
        <x:v>0.8</x:v>
      </x:c>
      <x:c r="N31" s="17" t="n">
        <x:f>I31/(J31*K31*L31*M31)</x:f>
        <x:v>565039.6101289854</x:v>
      </x:c>
      <x:c r="O31" s="17" t="n">
        <x:f>'02 Demand Source'!H7</x:f>
        <x:v>160881</x:v>
      </x:c>
      <x:c r="P31" s="20" t="n">
        <x:f>N31/O31</x:f>
        <x:v>3.5121587392481732</x:v>
      </x:c>
      <x:c r="Q31" s="11" t="str">
        <x:v>ENVELOPE ONLY</x:v>
      </x:c>
      <x:c r="R31" s="11" t="str">
        <x:v>Carrier, crew, origin, node and receiver evidence open</x:v>
      </x:c>
      <x:c r="S31" s="35"/>
      <x:c r="T31" s="35"/>
    </x:row>
    <x:row r="32">
      <x:c r="C32" s="11" t="str">
        <x:v>P3-AIR-72</x:v>
      </x:c>
      <x:c r="D32" s="11" t="str">
        <x:v>P3</x:v>
      </x:c>
      <x:c r="E32" s="11" t="str">
        <x:v>Distributed high-activation network</x:v>
      </x:c>
      <x:c r="F32" s="11" t="str">
        <x:v>AIR</x:v>
      </x:c>
      <x:c r="G32" s="17" t="n">
        <x:v>72</x:v>
      </x:c>
      <x:c r="H32" s="17" t="n">
        <x:f>'02 Demand Source'!G8</x:f>
        <x:v>382687.1722111817</x:v>
      </x:c>
      <x:c r="I32" s="17" t="n">
        <x:f>H32*'01 Controls'!$E$6</x:f>
        <x:v>363552.81360062264</x:v>
      </x:c>
      <x:c r="J32" s="18" t="n">
        <x:f>'03 Architecture Cases'!H14</x:f>
        <x:v>1</x:v>
      </x:c>
      <x:c r="K32" s="18" t="n">
        <x:f>'03 Architecture Cases'!I14</x:f>
        <x:v>0.93</x:v>
      </x:c>
      <x:c r="L32" s="18" t="n">
        <x:f>'03 Architecture Cases'!J14</x:f>
        <x:v>0.94</x:v>
      </x:c>
      <x:c r="M32" s="18" t="n">
        <x:f>1-'01 Controls'!$E$7</x:f>
        <x:v>0.8</x:v>
      </x:c>
      <x:c r="N32" s="17" t="n">
        <x:f>I32/(J32*K32*L32*M32)</x:f>
        <x:v>519836.44131866656</x:v>
      </x:c>
      <x:c r="O32" s="17" t="n">
        <x:f>'02 Demand Source'!H8</x:f>
        <x:v>160881</x:v>
      </x:c>
      <x:c r="P32" s="20" t="n">
        <x:f>N32/O32</x:f>
        <x:v>3.2311860401083194</x:v>
      </x:c>
      <x:c r="Q32" s="11" t="str">
        <x:v>ENVELOPE ONLY</x:v>
      </x:c>
      <x:c r="R32" s="11" t="str">
        <x:v>Carrier, crew, origin, node and receiver evidence open</x:v>
      </x:c>
      <x:c r="S32" s="35"/>
      <x:c r="T32" s="35"/>
    </x:row>
    <x:row r="33">
      <x:c r="C33" s="11" t="str">
        <x:v>P3-OCEAN-24</x:v>
      </x:c>
      <x:c r="D33" s="11" t="str">
        <x:v>P3</x:v>
      </x:c>
      <x:c r="E33" s="11" t="str">
        <x:v>Distributed high-activation network</x:v>
      </x:c>
      <x:c r="F33" s="11" t="str">
        <x:v>OCEAN</x:v>
      </x:c>
      <x:c r="G33" s="17" t="n">
        <x:v>24</x:v>
      </x:c>
      <x:c r="H33" s="17" t="n">
        <x:f>'02 Demand Source'!G9</x:f>
        <x:v>158945.64024527746</x:v>
      </x:c>
      <x:c r="I33" s="17" t="n">
        <x:f>H33*'01 Controls'!$E$6</x:f>
        <x:v>150998.3582330136</x:v>
      </x:c>
      <x:c r="J33" s="18" t="n">
        <x:f>'03 Architecture Cases'!F15</x:f>
        <x:v>0.3</x:v>
      </x:c>
      <x:c r="K33" s="18" t="n">
        <x:f>'03 Architecture Cases'!I15</x:f>
        <x:v>0.93</x:v>
      </x:c>
      <x:c r="L33" s="18" t="n">
        <x:f>'03 Architecture Cases'!J15</x:f>
        <x:v>0.94</x:v>
      </x:c>
      <x:c r="M33" s="18" t="n">
        <x:f>1-'01 Controls'!$E$7</x:f>
        <x:v>0.8</x:v>
      </x:c>
      <x:c r="N33" s="17" t="n">
        <x:f>I33/(J33*K33*L33*M33)</x:f>
        <x:v>719697.8105363647</x:v>
      </x:c>
      <x:c r="O33" s="17" t="n">
        <x:f>'02 Demand Source'!H9</x:f>
        <x:v>596400</x:v>
      </x:c>
      <x:c r="P33" s="20" t="n">
        <x:f>N33/O33</x:f>
        <x:v>1.2067367715230797</x:v>
      </x:c>
      <x:c r="Q33" s="11" t="str">
        <x:v>ENVELOPE ONLY</x:v>
      </x:c>
      <x:c r="R33" s="11" t="str">
        <x:v>Carrier, crew, origin, node and receiver evidence open</x:v>
      </x:c>
      <x:c r="S33" s="35"/>
      <x:c r="T33" s="35"/>
    </x:row>
    <x:row r="34">
      <x:c r="C34" s="11" t="str">
        <x:v>P3-OCEAN-48</x:v>
      </x:c>
      <x:c r="D34" s="11" t="str">
        <x:v>P3</x:v>
      </x:c>
      <x:c r="E34" s="11" t="str">
        <x:v>Distributed high-activation network</x:v>
      </x:c>
      <x:c r="F34" s="11" t="str">
        <x:v>OCEAN</x:v>
      </x:c>
      <x:c r="G34" s="17" t="n">
        <x:v>48</x:v>
      </x:c>
      <x:c r="H34" s="17" t="n">
        <x:f>'02 Demand Source'!G10</x:f>
        <x:v>1792241.801953193</x:v>
      </x:c>
      <x:c r="I34" s="17" t="n">
        <x:f>H34*'01 Controls'!$E$6</x:f>
        <x:v>1702629.7118555333</x:v>
      </x:c>
      <x:c r="J34" s="18" t="n">
        <x:f>'03 Architecture Cases'!G15</x:f>
        <x:v>0.75</x:v>
      </x:c>
      <x:c r="K34" s="18" t="n">
        <x:f>'03 Architecture Cases'!I15</x:f>
        <x:v>0.93</x:v>
      </x:c>
      <x:c r="L34" s="18" t="n">
        <x:f>'03 Architecture Cases'!J15</x:f>
        <x:v>0.94</x:v>
      </x:c>
      <x:c r="M34" s="18" t="n">
        <x:f>1-'01 Controls'!$E$7</x:f>
        <x:v>0.8</x:v>
      </x:c>
      <x:c r="N34" s="17" t="n">
        <x:f>I34/(J34*K34*L34*M34)</x:f>
        <x:v>3246072.0503613465</x:v>
      </x:c>
      <x:c r="O34" s="17" t="n">
        <x:f>'02 Demand Source'!H10</x:f>
        <x:v>596400</x:v>
      </x:c>
      <x:c r="P34" s="20" t="n">
        <x:f>N34/O34</x:f>
        <x:v>5.442776744401989</x:v>
      </x:c>
      <x:c r="Q34" s="11" t="str">
        <x:v>ENVELOPE ONLY</x:v>
      </x:c>
      <x:c r="R34" s="11" t="str">
        <x:v>Carrier, crew, origin, node and receiver evidence open</x:v>
      </x:c>
      <x:c r="S34" s="35"/>
      <x:c r="T34" s="35"/>
    </x:row>
    <x:row r="35">
      <x:c r="C35" s="11" t="str">
        <x:v>P3-OCEAN-72</x:v>
      </x:c>
      <x:c r="D35" s="11" t="str">
        <x:v>P3</x:v>
      </x:c>
      <x:c r="E35" s="11" t="str">
        <x:v>Distributed high-activation network</x:v>
      </x:c>
      <x:c r="F35" s="11" t="str">
        <x:v>OCEAN</x:v>
      </x:c>
      <x:c r="G35" s="17" t="n">
        <x:v>72</x:v>
      </x:c>
      <x:c r="H35" s="17" t="n">
        <x:f>'02 Demand Source'!G11</x:f>
        <x:v>2188435.8322043386</x:v>
      </x:c>
      <x:c r="I35" s="17" t="n">
        <x:f>H35*'01 Controls'!$E$6</x:f>
        <x:v>2079014.0405941217</x:v>
      </x:c>
      <x:c r="J35" s="18" t="n">
        <x:f>'03 Architecture Cases'!H15</x:f>
        <x:v>1</x:v>
      </x:c>
      <x:c r="K35" s="18" t="n">
        <x:f>'03 Architecture Cases'!I15</x:f>
        <x:v>0.93</x:v>
      </x:c>
      <x:c r="L35" s="18" t="n">
        <x:f>'03 Architecture Cases'!J15</x:f>
        <x:v>0.94</x:v>
      </x:c>
      <x:c r="M35" s="18" t="n">
        <x:f>1-'01 Controls'!$E$7</x:f>
        <x:v>0.8</x:v>
      </x:c>
      <x:c r="N35" s="17" t="n">
        <x:f>I35/(J35*K35*L35*M35)</x:f>
        <x:v>2972737.9898680532</x:v>
      </x:c>
      <x:c r="O35" s="17" t="n">
        <x:f>'02 Demand Source'!H11</x:f>
        <x:v>596400</x:v>
      </x:c>
      <x:c r="P35" s="20" t="n">
        <x:f>N35/O35</x:f>
        <x:v>4.984470137270377</x:v>
      </x:c>
      <x:c r="Q35" s="11" t="str">
        <x:v>ENVELOPE ONLY</x:v>
      </x:c>
      <x:c r="R35" s="11" t="str">
        <x:v>Carrier, crew, origin, node and receiver evidence open</x:v>
      </x:c>
      <x:c r="S35" s="35"/>
      <x:c r="T35" s="35"/>
    </x:row>
    <x:row r="36">
      <x:c r="C36" s="11" t="str">
        <x:v>P3-LAND-24</x:v>
      </x:c>
      <x:c r="D36" s="11" t="str">
        <x:v>P3</x:v>
      </x:c>
      <x:c r="E36" s="11" t="str">
        <x:v>Distributed high-activation network</x:v>
      </x:c>
      <x:c r="F36" s="11" t="str">
        <x:v>LAND</x:v>
      </x:c>
      <x:c r="G36" s="17" t="n">
        <x:v>24</x:v>
      </x:c>
      <x:c r="H36" s="17" t="n">
        <x:f>'02 Demand Source'!G12</x:f>
        <x:v>494932.13740967266</x:v>
      </x:c>
      <x:c r="I36" s="17" t="n">
        <x:f>H36*'01 Controls'!$E$6</x:f>
        <x:v>470185.530539189</x:v>
      </x:c>
      <x:c r="J36" s="18" t="n">
        <x:f>'03 Architecture Cases'!F16</x:f>
        <x:v>0.5</x:v>
      </x:c>
      <x:c r="K36" s="18" t="n">
        <x:f>'03 Architecture Cases'!I16</x:f>
        <x:v>0.93</x:v>
      </x:c>
      <x:c r="L36" s="18" t="n">
        <x:f>'03 Architecture Cases'!J16</x:f>
        <x:v>0.94</x:v>
      </x:c>
      <x:c r="M36" s="18" t="n">
        <x:f>1-'01 Controls'!$E$7</x:f>
        <x:v>0.8</x:v>
      </x:c>
      <x:c r="N36" s="17" t="n">
        <x:f>I36/(J36*K36*L36*M36)</x:f>
        <x:v>1344616.5938549216</x:v>
      </x:c>
      <x:c r="O36" s="17" t="n">
        <x:f>'02 Demand Source'!H12</x:f>
        <x:v>1183200</x:v>
      </x:c>
      <x:c r="P36" s="20" t="n">
        <x:f>N36/O36</x:f>
        <x:v>1.1364237608645382</x:v>
      </x:c>
      <x:c r="Q36" s="11" t="str">
        <x:v>ENVELOPE ONLY</x:v>
      </x:c>
      <x:c r="R36" s="11" t="str">
        <x:v>Carrier, crew, origin, node and receiver evidence open</x:v>
      </x:c>
      <x:c r="S36" s="35"/>
      <x:c r="T36" s="35"/>
    </x:row>
    <x:row r="37">
      <x:c r="C37" s="11" t="str">
        <x:v>P3-LAND-48</x:v>
      </x:c>
      <x:c r="D37" s="11" t="str">
        <x:v>P3</x:v>
      </x:c>
      <x:c r="E37" s="11" t="str">
        <x:v>Distributed high-activation network</x:v>
      </x:c>
      <x:c r="F37" s="11" t="str">
        <x:v>LAND</x:v>
      </x:c>
      <x:c r="G37" s="17" t="n">
        <x:v>48</x:v>
      </x:c>
      <x:c r="H37" s="17" t="n">
        <x:f>'02 Demand Source'!G13</x:f>
        <x:v>3597190.3046845314</x:v>
      </x:c>
      <x:c r="I37" s="17" t="n">
        <x:f>H37*'01 Controls'!$E$6</x:f>
        <x:v>3417330.7894503046</x:v>
      </x:c>
      <x:c r="J37" s="18" t="n">
        <x:f>'03 Architecture Cases'!G16</x:f>
        <x:v>0.85</x:v>
      </x:c>
      <x:c r="K37" s="18" t="n">
        <x:f>'03 Architecture Cases'!I16</x:f>
        <x:v>0.93</x:v>
      </x:c>
      <x:c r="L37" s="18" t="n">
        <x:f>'03 Architecture Cases'!J16</x:f>
        <x:v>0.94</x:v>
      </x:c>
      <x:c r="M37" s="18" t="n">
        <x:f>1-'01 Controls'!$E$7</x:f>
        <x:v>0.8</x:v>
      </x:c>
      <x:c r="N37" s="17" t="n">
        <x:f>I37/(J37*K37*L37*M37)</x:f>
        <x:v>5748669.017471949</x:v>
      </x:c>
      <x:c r="O37" s="17" t="n">
        <x:f>'02 Demand Source'!H13</x:f>
        <x:v>1183200</x:v>
      </x:c>
      <x:c r="P37" s="20" t="n">
        <x:f>N37/O37</x:f>
        <x:v>4.858577600973588</x:v>
      </x:c>
      <x:c r="Q37" s="11" t="str">
        <x:v>ENVELOPE ONLY</x:v>
      </x:c>
      <x:c r="R37" s="11" t="str">
        <x:v>Carrier, crew, origin, node and receiver evidence open</x:v>
      </x:c>
      <x:c r="S37" s="35"/>
      <x:c r="T37" s="35"/>
    </x:row>
    <x:row r="38">
      <x:c r="C38" s="11" t="str">
        <x:v>P3-LAND-72</x:v>
      </x:c>
      <x:c r="D38" s="11" t="str">
        <x:v>P3</x:v>
      </x:c>
      <x:c r="E38" s="11" t="str">
        <x:v>Distributed high-activation network</x:v>
      </x:c>
      <x:c r="F38" s="11" t="str">
        <x:v>LAND</x:v>
      </x:c>
      <x:c r="G38" s="17" t="n">
        <x:v>72</x:v>
      </x:c>
      <x:c r="H38" s="17" t="n">
        <x:f>'02 Demand Source'!G14</x:f>
        <x:v>4126726.7880493808</x:v>
      </x:c>
      <x:c r="I38" s="17" t="n">
        <x:f>H38*'01 Controls'!$E$6</x:f>
        <x:v>3920390.4486469114</x:v>
      </x:c>
      <x:c r="J38" s="18" t="n">
        <x:f>'03 Architecture Cases'!H16</x:f>
        <x:v>1</x:v>
      </x:c>
      <x:c r="K38" s="18" t="n">
        <x:f>'03 Architecture Cases'!I16</x:f>
        <x:v>0.93</x:v>
      </x:c>
      <x:c r="L38" s="18" t="n">
        <x:f>'03 Architecture Cases'!J16</x:f>
        <x:v>0.94</x:v>
      </x:c>
      <x:c r="M38" s="18" t="n">
        <x:f>1-'01 Controls'!$E$7</x:f>
        <x:v>0.8</x:v>
      </x:c>
      <x:c r="N38" s="17" t="n">
        <x:f>I38/(J38*K38*L38*M38)</x:f>
        <x:v>5605682.979648409</x:v>
      </x:c>
      <x:c r="O38" s="17" t="n">
        <x:f>'02 Demand Source'!H14</x:f>
        <x:v>1183200</x:v>
      </x:c>
      <x:c r="P38" s="20" t="n">
        <x:f>N38/O38</x:f>
        <x:v>4.737730713022659</x:v>
      </x:c>
      <x:c r="Q38" s="11" t="str">
        <x:v>ENVELOPE ONLY</x:v>
      </x:c>
      <x:c r="R38" s="11" t="str">
        <x:v>Carrier, crew, origin, node and receiver evidence open</x:v>
      </x:c>
      <x:c r="S38" s="35"/>
      <x:c r="T38" s="35"/>
    </x:row>
    <x:row r="39">
      <x:c r="C39" s="11" t="str">
        <x:v>P3-INLAND-24</x:v>
      </x:c>
      <x:c r="D39" s="11" t="str">
        <x:v>P3</x:v>
      </x:c>
      <x:c r="E39" s="11" t="str">
        <x:v>Distributed high-activation network</x:v>
      </x:c>
      <x:c r="F39" s="11" t="str">
        <x:v>INLAND</x:v>
      </x:c>
      <x:c r="G39" s="17" t="n">
        <x:v>24</x:v>
      </x:c>
      <x:c r="H39" s="17" t="n">
        <x:f>'02 Demand Source'!G15</x:f>
        <x:v>18170.509693141827</x:v>
      </x:c>
      <x:c r="I39" s="17" t="n">
        <x:f>H39*'01 Controls'!$E$6</x:f>
        <x:v>17261.984208484733</x:v>
      </x:c>
      <x:c r="J39" s="18" t="n">
        <x:f>'03 Architecture Cases'!F17</x:f>
        <x:v>0.35</x:v>
      </x:c>
      <x:c r="K39" s="18" t="n">
        <x:f>'03 Architecture Cases'!I17</x:f>
        <x:v>0.93</x:v>
      </x:c>
      <x:c r="L39" s="18" t="n">
        <x:f>'03 Architecture Cases'!J17</x:f>
        <x:v>0.94</x:v>
      </x:c>
      <x:c r="M39" s="18" t="n">
        <x:f>1-'01 Controls'!$E$7</x:f>
        <x:v>0.8</x:v>
      </x:c>
      <x:c r="N39" s="17" t="n">
        <x:f>I39/(J39*K39*L39*M39)</x:f>
        <x:v>70521.55525249506</x:v>
      </x:c>
      <x:c r="O39" s="17" t="n">
        <x:f>'02 Demand Source'!H15</x:f>
        <x:v>522450</x:v>
      </x:c>
      <x:c r="P39" s="20" t="n">
        <x:f>N39/O39</x:f>
        <x:v>0.13498240071297743</x:v>
      </x:c>
      <x:c r="Q39" s="11" t="str">
        <x:v>ENVELOPE ONLY</x:v>
      </x:c>
      <x:c r="R39" s="11" t="str">
        <x:v>Carrier, crew, origin, node and receiver evidence open</x:v>
      </x:c>
      <x:c r="S39" s="35"/>
      <x:c r="T39" s="35"/>
    </x:row>
    <x:row r="40">
      <x:c r="C40" s="11" t="str">
        <x:v>P3-INLAND-48</x:v>
      </x:c>
      <x:c r="D40" s="11" t="str">
        <x:v>P3</x:v>
      </x:c>
      <x:c r="E40" s="11" t="str">
        <x:v>Distributed high-activation network</x:v>
      </x:c>
      <x:c r="F40" s="11" t="str">
        <x:v>INLAND</x:v>
      </x:c>
      <x:c r="G40" s="17" t="n">
        <x:v>48</x:v>
      </x:c>
      <x:c r="H40" s="17" t="n">
        <x:f>'02 Demand Source'!G16</x:f>
        <x:v>287343.8926480426</x:v>
      </x:c>
      <x:c r="I40" s="17" t="n">
        <x:f>H40*'01 Controls'!$E$6</x:f>
        <x:v>272976.69801564043</x:v>
      </x:c>
      <x:c r="J40" s="18" t="n">
        <x:f>'03 Architecture Cases'!G17</x:f>
        <x:v>0.8</x:v>
      </x:c>
      <x:c r="K40" s="18" t="n">
        <x:f>'03 Architecture Cases'!I17</x:f>
        <x:v>0.93</x:v>
      </x:c>
      <x:c r="L40" s="18" t="n">
        <x:f>'03 Architecture Cases'!J17</x:f>
        <x:v>0.94</x:v>
      </x:c>
      <x:c r="M40" s="18" t="n">
        <x:f>1-'01 Controls'!$E$7</x:f>
        <x:v>0.8</x:v>
      </x:c>
      <x:c r="N40" s="17" t="n">
        <x:f>I40/(J40*K40*L40*M40)</x:f>
        <x:v>487904.47340361256</x:v>
      </x:c>
      <x:c r="O40" s="17" t="n">
        <x:f>'02 Demand Source'!H16</x:f>
        <x:v>522450</x:v>
      </x:c>
      <x:c r="P40" s="20" t="n">
        <x:f>N40/O40</x:f>
        <x:v>0.9338778321439613</x:v>
      </x:c>
      <x:c r="Q40" s="11" t="str">
        <x:v>ENVELOPE ONLY</x:v>
      </x:c>
      <x:c r="R40" s="11" t="str">
        <x:v>Carrier, crew, origin, node and receiver evidence open</x:v>
      </x:c>
      <x:c r="S40" s="35"/>
      <x:c r="T40" s="35"/>
    </x:row>
    <x:row r="41">
      <x:c r="C41" s="11" t="str">
        <x:v>P3-INLAND-72</x:v>
      </x:c>
      <x:c r="D41" s="11" t="str">
        <x:v>P3</x:v>
      </x:c>
      <x:c r="E41" s="11" t="str">
        <x:v>Distributed high-activation network</x:v>
      </x:c>
      <x:c r="F41" s="11" t="str">
        <x:v>INLAND</x:v>
      </x:c>
      <x:c r="G41" s="17" t="n">
        <x:v>72</x:v>
      </x:c>
      <x:c r="H41" s="17" t="n">
        <x:f>'02 Demand Source'!G17</x:f>
        <x:v>349841.62553204776</x:v>
      </x:c>
      <x:c r="I41" s="17" t="n">
        <x:f>H41*'01 Controls'!$E$6</x:f>
        <x:v>332349.54425544536</x:v>
      </x:c>
      <x:c r="J41" s="18" t="n">
        <x:f>'03 Architecture Cases'!H17</x:f>
        <x:v>1</x:v>
      </x:c>
      <x:c r="K41" s="18" t="n">
        <x:f>'03 Architecture Cases'!I17</x:f>
        <x:v>0.93</x:v>
      </x:c>
      <x:c r="L41" s="18" t="n">
        <x:f>'03 Architecture Cases'!J17</x:f>
        <x:v>0.94</x:v>
      </x:c>
      <x:c r="M41" s="18" t="n">
        <x:f>1-'01 Controls'!$E$7</x:f>
        <x:v>0.8</x:v>
      </x:c>
      <x:c r="N41" s="17" t="n">
        <x:f>I41/(J41*K41*L41*M41)</x:f>
        <x:v>475219.5496674751</x:v>
      </x:c>
      <x:c r="O41" s="17" t="n">
        <x:f>'02 Demand Source'!H17</x:f>
        <x:v>522450</x:v>
      </x:c>
      <x:c r="P41" s="20" t="n">
        <x:f>N41/O41</x:f>
        <x:v>0.9095981427265291</x:v>
      </x:c>
      <x:c r="Q41" s="11" t="str">
        <x:v>ENVELOPE ONLY</x:v>
      </x:c>
      <x:c r="R41" s="11" t="str">
        <x:v>Carrier, crew, origin, node and receiver evidence open</x:v>
      </x:c>
      <x:c r="S41" s="35"/>
      <x:c r="T41" s="35"/>
    </x:row>
  </x:sheetData>
  <x:conditionalFormatting sqref="Q6:Q41">
    <x:cfRule type="containsText" dxfId="0" priority="1" operator="containsText" text="FAIL"/>
    <x:cfRule type="containsText" dxfId="1" priority="2" operator="containsText" text="OPEN"/>
    <x:cfRule type="containsText" dxfId="2" priority="3" operator="containsText" text="BLOCKED"/>
    <x:cfRule type="containsText" dxfId="3" priority="4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55645ed5f7ec465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8" hidden="0" customWidth="1"/>
    <x:col min="4" max="4" width="10" hidden="0" customWidth="1"/>
    <x:col min="5" max="5" width="31" hidden="0" customWidth="1"/>
    <x:col min="6" max="6" width="13" hidden="0" customWidth="1"/>
    <x:col min="7" max="7" width="23" hidden="0" customWidth="1"/>
    <x:col min="8" max="8" width="18" hidden="0" customWidth="1"/>
    <x:col min="9" max="9" width="19" hidden="0" customWidth="1"/>
    <x:col min="10" max="10" width="20" hidden="0" customWidth="1"/>
    <x:col min="11" max="11" width="18" hidden="0" customWidth="1"/>
    <x:col min="12" max="12" width="27" hidden="0" customWidth="1"/>
    <x:col min="13" max="13" width="20" hidden="0" customWidth="1"/>
    <x:col min="14" max="14" width="31" hidden="0" customWidth="1"/>
  </x:cols>
  <x:sheetData>
    <x:row r="2">
      <x:c r="C2" s="2" t="str">
        <x:v>Binding carrier-capacity requirement</x:v>
      </x:c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</x:row>
    <x:row r="3">
      <x:c r="C3" s="3" t="str">
        <x:v>The binding deadline—not the 72-hour demand total—sizes each mode under the selected activation and loss architecture.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</x:row>
    <x:row r="5">
      <x:c r="C5" s="9" t="str">
        <x:v>Summary ID</x:v>
      </x:c>
      <x:c r="D5" s="9" t="str">
        <x:v>Case</x:v>
      </x:c>
      <x:c r="E5" s="9" t="str">
        <x:v>Architecture</x:v>
      </x:c>
      <x:c r="F5" s="9" t="str">
        <x:v>Mode</x:v>
      </x:c>
      <x:c r="G5" s="9" t="str">
        <x:v>Required gross 72 h t</x:v>
      </x:c>
      <x:c r="H5" s="9" t="str">
        <x:v>Binding deadline h</x:v>
      </x:c>
      <x:c r="I5" s="9" t="str">
        <x:v>Inherited gross t</x:v>
      </x:c>
      <x:c r="J5" s="9" t="str">
        <x:v>New gross gap t</x:v>
      </x:c>
      <x:c r="K5" s="9" t="str">
        <x:v>Multiple inherited</x:v>
      </x:c>
      <x:c r="L5" s="9" t="str">
        <x:v>Binding mechanism</x:v>
      </x:c>
      <x:c r="M5" s="9" t="str">
        <x:v>State</x:v>
      </x:c>
      <x:c r="N5" s="9" t="str">
        <x:v>Boundary</x:v>
      </x:c>
      <x:c r="O5" s="35"/>
      <x:c r="P5" s="35"/>
    </x:row>
    <x:row r="6">
      <x:c r="C6" s="11" t="str">
        <x:v>P1-AIR</x:v>
      </x:c>
      <x:c r="D6" s="11" t="str">
        <x:v>P1</x:v>
      </x:c>
      <x:c r="E6" s="11" t="str">
        <x:v>Scaled legacy pattern</x:v>
      </x:c>
      <x:c r="F6" s="11" t="str">
        <x:v>AIR</x:v>
      </x:c>
      <x:c r="G6" s="17" t="n">
        <x:f>MAX('04 Capacity Envelope'!$N$6:$N$8)</x:f>
        <x:v>1181506.2299401257</x:v>
      </x:c>
      <x:c r="H6" s="17" t="n">
        <x:f>INDEX('04 Capacity Envelope'!$G$6:$G$8,MATCH(G6,'04 Capacity Envelope'!$N$6:$N$8,0))</x:f>
        <x:v>24</x:v>
      </x:c>
      <x:c r="I6" s="17" t="n">
        <x:f>'04 Capacity Envelope'!O6</x:f>
        <x:v>160881</x:v>
      </x:c>
      <x:c r="J6" s="17" t="n">
        <x:f>MAX(0,G6-I6)</x:f>
        <x:v>1020625.2299401257</x:v>
      </x:c>
      <x:c r="K6" s="20" t="n">
        <x:f>G6/I6</x:f>
        <x:v>7.343976168348815</x:v>
      </x:c>
      <x:c r="L6" s="11" t="str">
        <x:f>F6&amp;" capacity binds at "&amp;H6&amp;" hours"</x:f>
        <x:v>AIR capacity binds at 24 hours</x:v>
      </x:c>
      <x:c r="M6" s="11" t="str">
        <x:v>ENVELOPE ONLY</x:v>
      </x:c>
      <x:c r="N6" s="11" t="str">
        <x:v>No carrier or receiver admitted</x:v>
      </x:c>
      <x:c r="O6" s="35"/>
      <x:c r="P6" s="35"/>
    </x:row>
    <x:row r="7">
      <x:c r="C7" s="11" t="str">
        <x:v>P1-OCEAN</x:v>
      </x:c>
      <x:c r="D7" s="11" t="str">
        <x:v>P1</x:v>
      </x:c>
      <x:c r="E7" s="11" t="str">
        <x:v>Scaled legacy pattern</x:v>
      </x:c>
      <x:c r="F7" s="11" t="str">
        <x:v>OCEAN</x:v>
      </x:c>
      <x:c r="G7" s="17" t="n">
        <x:f>MAX('04 Capacity Envelope'!$N$9:$N$11)</x:f>
        <x:v>9538541.803112231</x:v>
      </x:c>
      <x:c r="H7" s="17" t="n">
        <x:f>INDEX('04 Capacity Envelope'!$G$9:$G$11,MATCH(G7,'04 Capacity Envelope'!$N$9:$N$11,0))</x:f>
        <x:v>48</x:v>
      </x:c>
      <x:c r="I7" s="17" t="n">
        <x:f>'04 Capacity Envelope'!O9</x:f>
        <x:v>596400</x:v>
      </x:c>
      <x:c r="J7" s="17" t="n">
        <x:f>MAX(0,G7-I7)</x:f>
        <x:v>8942141.803112231</x:v>
      </x:c>
      <x:c r="K7" s="20" t="n">
        <x:f>G7/I7</x:f>
        <x:v>15.993530856995692</x:v>
      </x:c>
      <x:c r="L7" s="11" t="str">
        <x:f>F7&amp;" capacity binds at "&amp;H7&amp;" hours"</x:f>
        <x:v>OCEAN capacity binds at 48 hours</x:v>
      </x:c>
      <x:c r="M7" s="11" t="str">
        <x:v>ENVELOPE ONLY</x:v>
      </x:c>
      <x:c r="N7" s="11" t="str">
        <x:v>No carrier or receiver admitted</x:v>
      </x:c>
      <x:c r="O7" s="35"/>
      <x:c r="P7" s="35"/>
    </x:row>
    <x:row r="8">
      <x:c r="C8" s="11" t="str">
        <x:v>P1-LAND</x:v>
      </x:c>
      <x:c r="D8" s="11" t="str">
        <x:v>P1</x:v>
      </x:c>
      <x:c r="E8" s="11" t="str">
        <x:v>Scaled legacy pattern</x:v>
      </x:c>
      <x:c r="F8" s="11" t="str">
        <x:v>LAND</x:v>
      </x:c>
      <x:c r="G8" s="17" t="n">
        <x:f>MAX('04 Capacity Envelope'!$N$12:$N$14)</x:f>
        <x:v>11167747.677942172</x:v>
      </x:c>
      <x:c r="H8" s="17" t="n">
        <x:f>INDEX('04 Capacity Envelope'!$G$12:$G$14,MATCH(G8,'04 Capacity Envelope'!$N$12:$N$14,0))</x:f>
        <x:v>48</x:v>
      </x:c>
      <x:c r="I8" s="17" t="n">
        <x:f>'04 Capacity Envelope'!O12</x:f>
        <x:v>1183200</x:v>
      </x:c>
      <x:c r="J8" s="17" t="n">
        <x:f>MAX(0,G8-I8)</x:f>
        <x:v>9984547.677942172</x:v>
      </x:c>
      <x:c r="K8" s="20" t="n">
        <x:f>G8/I8</x:f>
        <x:v>9.438596752824688</x:v>
      </x:c>
      <x:c r="L8" s="11" t="str">
        <x:f>F8&amp;" capacity binds at "&amp;H8&amp;" hours"</x:f>
        <x:v>LAND capacity binds at 48 hours</x:v>
      </x:c>
      <x:c r="M8" s="11" t="str">
        <x:v>ENVELOPE ONLY</x:v>
      </x:c>
      <x:c r="N8" s="11" t="str">
        <x:v>No carrier or receiver admitted</x:v>
      </x:c>
      <x:c r="O8" s="35"/>
      <x:c r="P8" s="35"/>
    </x:row>
    <x:row r="9">
      <x:c r="C9" s="11" t="str">
        <x:v>P1-INLAND</x:v>
      </x:c>
      <x:c r="D9" s="11" t="str">
        <x:v>P1</x:v>
      </x:c>
      <x:c r="E9" s="11" t="str">
        <x:v>Scaled legacy pattern</x:v>
      </x:c>
      <x:c r="F9" s="11" t="str">
        <x:v>INLAND</x:v>
      </x:c>
      <x:c r="G9" s="17" t="n">
        <x:f>MAX('04 Capacity Envelope'!$N$15:$N$17)</x:f>
        <x:v>1189440.9499592176</x:v>
      </x:c>
      <x:c r="H9" s="17" t="n">
        <x:f>INDEX('04 Capacity Envelope'!$G$15:$G$17,MATCH(G9,'04 Capacity Envelope'!$N$15:$N$17,0))</x:f>
        <x:v>48</x:v>
      </x:c>
      <x:c r="I9" s="17" t="n">
        <x:f>'04 Capacity Envelope'!O15</x:f>
        <x:v>522450</x:v>
      </x:c>
      <x:c r="J9" s="17" t="n">
        <x:f>MAX(0,G9-I9)</x:f>
        <x:v>666990.9499592176</x:v>
      </x:c>
      <x:c r="K9" s="20" t="n">
        <x:f>G9/I9</x:f>
        <x:v>2.276659871680003</x:v>
      </x:c>
      <x:c r="L9" s="11" t="str">
        <x:f>F9&amp;" capacity binds at "&amp;H9&amp;" hours"</x:f>
        <x:v>INLAND capacity binds at 48 hours</x:v>
      </x:c>
      <x:c r="M9" s="11" t="str">
        <x:v>ENVELOPE ONLY</x:v>
      </x:c>
      <x:c r="N9" s="11" t="str">
        <x:v>No carrier or receiver admitted</x:v>
      </x:c>
      <x:c r="O9" s="35"/>
      <x:c r="P9" s="35"/>
    </x:row>
    <x:row r="10">
      <x:c r="C10" s="11" t="str">
        <x:v>P2-AIR</x:v>
      </x:c>
      <x:c r="D10" s="11" t="str">
        <x:v>P2</x:v>
      </x:c>
      <x:c r="E10" s="11" t="str">
        <x:v>Ready carrier-node force</x:v>
      </x:c>
      <x:c r="F10" s="11" t="str">
        <x:v>AIR</x:v>
      </x:c>
      <x:c r="G10" s="17" t="n">
        <x:f>MAX('04 Capacity Envelope'!$N$18:$N$20)</x:f>
        <x:v>675046.0739762007</x:v>
      </x:c>
      <x:c r="H10" s="17" t="n">
        <x:f>INDEX('04 Capacity Envelope'!$G$18:$G$20,MATCH(G10,'04 Capacity Envelope'!$N$18:$N$20,0))</x:f>
        <x:v>48</x:v>
      </x:c>
      <x:c r="I10" s="17" t="n">
        <x:f>'04 Capacity Envelope'!O18</x:f>
        <x:v>160881</x:v>
      </x:c>
      <x:c r="J10" s="17" t="n">
        <x:f>MAX(0,G10-I10)</x:f>
        <x:v>514165.07397620066</x:v>
      </x:c>
      <x:c r="K10" s="20" t="n">
        <x:f>G10/I10</x:f>
        <x:v>4.195934100211962</x:v>
      </x:c>
      <x:c r="L10" s="11" t="str">
        <x:f>F10&amp;" capacity binds at "&amp;H10&amp;" hours"</x:f>
        <x:v>AIR capacity binds at 48 hours</x:v>
      </x:c>
      <x:c r="M10" s="11" t="str">
        <x:v>ENVELOPE ONLY</x:v>
      </x:c>
      <x:c r="N10" s="11" t="str">
        <x:v>No carrier or receiver admitted</x:v>
      </x:c>
      <x:c r="O10" s="35"/>
      <x:c r="P10" s="35"/>
    </x:row>
    <x:row r="11">
      <x:c r="C11" s="11" t="str">
        <x:v>P2-OCEAN</x:v>
      </x:c>
      <x:c r="D11" s="11" t="str">
        <x:v>P2</x:v>
      </x:c>
      <x:c r="E11" s="11" t="str">
        <x:v>Ready carrier-node force</x:v>
      </x:c>
      <x:c r="F11" s="11" t="str">
        <x:v>OCEAN</x:v>
      </x:c>
      <x:c r="G11" s="17" t="n">
        <x:f>MAX('04 Capacity Envelope'!$N$21:$N$23)</x:f>
        <x:v>4478718.728576213</x:v>
      </x:c>
      <x:c r="H11" s="17" t="n">
        <x:f>INDEX('04 Capacity Envelope'!$G$21:$G$23,MATCH(G11,'04 Capacity Envelope'!$N$21:$N$23,0))</x:f>
        <x:v>48</x:v>
      </x:c>
      <x:c r="I11" s="17" t="n">
        <x:f>'04 Capacity Envelope'!O21</x:f>
        <x:v>596400</x:v>
      </x:c>
      <x:c r="J11" s="17" t="n">
        <x:f>MAX(0,G11-I11)</x:f>
        <x:v>3882318.728576213</x:v>
      </x:c>
      <x:c r="K11" s="20" t="n">
        <x:f>G11/I11</x:f>
        <x:v>7.509588746774335</x:v>
      </x:c>
      <x:c r="L11" s="11" t="str">
        <x:f>F11&amp;" capacity binds at "&amp;H11&amp;" hours"</x:f>
        <x:v>OCEAN capacity binds at 48 hours</x:v>
      </x:c>
      <x:c r="M11" s="11" t="str">
        <x:v>ENVELOPE ONLY</x:v>
      </x:c>
      <x:c r="N11" s="11" t="str">
        <x:v>No carrier or receiver admitted</x:v>
      </x:c>
      <x:c r="O11" s="35"/>
      <x:c r="P11" s="35"/>
    </x:row>
    <x:row r="12">
      <x:c r="C12" s="11" t="str">
        <x:v>P2-LAND</x:v>
      </x:c>
      <x:c r="D12" s="11" t="str">
        <x:v>P2</x:v>
      </x:c>
      <x:c r="E12" s="11" t="str">
        <x:v>Ready carrier-node force</x:v>
      </x:c>
      <x:c r="F12" s="11" t="str">
        <x:v>LAND</x:v>
      </x:c>
      <x:c r="G12" s="17" t="n">
        <x:f>MAX('04 Capacity Envelope'!$N$24:$N$26)</x:f>
        <x:v>7191352.671402155</x:v>
      </x:c>
      <x:c r="H12" s="17" t="n">
        <x:f>INDEX('04 Capacity Envelope'!$G$24:$G$26,MATCH(G12,'04 Capacity Envelope'!$N$24:$N$26,0))</x:f>
        <x:v>48</x:v>
      </x:c>
      <x:c r="I12" s="17" t="n">
        <x:f>'04 Capacity Envelope'!O24</x:f>
        <x:v>1183200</x:v>
      </x:c>
      <x:c r="J12" s="17" t="n">
        <x:f>MAX(0,G12-I12)</x:f>
        <x:v>6008152.671402155</x:v>
      </x:c>
      <x:c r="K12" s="20" t="n">
        <x:f>G12/I12</x:f>
        <x:v>6.077884272652261</x:v>
      </x:c>
      <x:c r="L12" s="11" t="str">
        <x:f>F12&amp;" capacity binds at "&amp;H12&amp;" hours"</x:f>
        <x:v>LAND capacity binds at 48 hours</x:v>
      </x:c>
      <x:c r="M12" s="11" t="str">
        <x:v>ENVELOPE ONLY</x:v>
      </x:c>
      <x:c r="N12" s="11" t="str">
        <x:v>No carrier or receiver admitted</x:v>
      </x:c>
      <x:c r="O12" s="35"/>
      <x:c r="P12" s="35"/>
    </x:row>
    <x:row r="13">
      <x:c r="C13" s="11" t="str">
        <x:v>P2-INLAND</x:v>
      </x:c>
      <x:c r="D13" s="11" t="str">
        <x:v>P2</x:v>
      </x:c>
      <x:c r="E13" s="11" t="str">
        <x:v>Ready carrier-node force</x:v>
      </x:c>
      <x:c r="F13" s="11" t="str">
        <x:v>INLAND</x:v>
      </x:c>
      <x:c r="G13" s="17" t="n">
        <x:f>MAX('04 Capacity Envelope'!$N$27:$N$29)</x:f>
        <x:v>662822.2076914345</x:v>
      </x:c>
      <x:c r="H13" s="17" t="n">
        <x:f>INDEX('04 Capacity Envelope'!$G$27:$G$29,MATCH(G13,'04 Capacity Envelope'!$N$27:$N$29,0))</x:f>
        <x:v>48</x:v>
      </x:c>
      <x:c r="I13" s="17" t="n">
        <x:f>'04 Capacity Envelope'!O27</x:f>
        <x:v>522450</x:v>
      </x:c>
      <x:c r="J13" s="17" t="n">
        <x:f>MAX(0,G13-I13)</x:f>
        <x:v>140372.20769143454</x:v>
      </x:c>
      <x:c r="K13" s="20" t="n">
        <x:f>G13/I13</x:f>
        <x:v>1.268680654017484</x:v>
      </x:c>
      <x:c r="L13" s="11" t="str">
        <x:f>F13&amp;" capacity binds at "&amp;H13&amp;" hours"</x:f>
        <x:v>INLAND capacity binds at 48 hours</x:v>
      </x:c>
      <x:c r="M13" s="11" t="str">
        <x:v>ENVELOPE ONLY</x:v>
      </x:c>
      <x:c r="N13" s="11" t="str">
        <x:v>No carrier or receiver admitted</x:v>
      </x:c>
      <x:c r="O13" s="35"/>
      <x:c r="P13" s="35"/>
    </x:row>
    <x:row r="14">
      <x:c r="C14" s="11" t="str">
        <x:v>P3-AIR</x:v>
      </x:c>
      <x:c r="D14" s="11" t="str">
        <x:v>P3</x:v>
      </x:c>
      <x:c r="E14" s="11" t="str">
        <x:v>Distributed high-activation network</x:v>
      </x:c>
      <x:c r="F14" s="11" t="str">
        <x:v>AIR</x:v>
      </x:c>
      <x:c r="G14" s="17" t="n">
        <x:f>MAX('04 Capacity Envelope'!$N$30:$N$32)</x:f>
        <x:v>565039.6101289854</x:v>
      </x:c>
      <x:c r="H14" s="17" t="n">
        <x:f>INDEX('04 Capacity Envelope'!$G$30:$G$32,MATCH(G14,'04 Capacity Envelope'!$N$30:$N$32,0))</x:f>
        <x:v>48</x:v>
      </x:c>
      <x:c r="I14" s="17" t="n">
        <x:f>'04 Capacity Envelope'!O30</x:f>
        <x:v>160881</x:v>
      </x:c>
      <x:c r="J14" s="17" t="n">
        <x:f>MAX(0,G14-I14)</x:f>
        <x:v>404158.61012898537</x:v>
      </x:c>
      <x:c r="K14" s="20" t="n">
        <x:f>G14/I14</x:f>
        <x:v>3.5121587392481732</x:v>
      </x:c>
      <x:c r="L14" s="11" t="str">
        <x:f>F14&amp;" capacity binds at "&amp;H14&amp;" hours"</x:f>
        <x:v>AIR capacity binds at 48 hours</x:v>
      </x:c>
      <x:c r="M14" s="11" t="str">
        <x:v>ENVELOPE ONLY</x:v>
      </x:c>
      <x:c r="N14" s="11" t="str">
        <x:v>No carrier or receiver admitted</x:v>
      </x:c>
      <x:c r="O14" s="35"/>
      <x:c r="P14" s="35"/>
    </x:row>
    <x:row r="15">
      <x:c r="C15" s="11" t="str">
        <x:v>P3-OCEAN</x:v>
      </x:c>
      <x:c r="D15" s="11" t="str">
        <x:v>P3</x:v>
      </x:c>
      <x:c r="E15" s="11" t="str">
        <x:v>Distributed high-activation network</x:v>
      </x:c>
      <x:c r="F15" s="11" t="str">
        <x:v>OCEAN</x:v>
      </x:c>
      <x:c r="G15" s="17" t="n">
        <x:f>MAX('04 Capacity Envelope'!$N$33:$N$35)</x:f>
        <x:v>3246072.0503613465</x:v>
      </x:c>
      <x:c r="H15" s="17" t="n">
        <x:f>INDEX('04 Capacity Envelope'!$G$33:$G$35,MATCH(G15,'04 Capacity Envelope'!$N$33:$N$35,0))</x:f>
        <x:v>48</x:v>
      </x:c>
      <x:c r="I15" s="17" t="n">
        <x:f>'04 Capacity Envelope'!O33</x:f>
        <x:v>596400</x:v>
      </x:c>
      <x:c r="J15" s="17" t="n">
        <x:f>MAX(0,G15-I15)</x:f>
        <x:v>2649672.0503613465</x:v>
      </x:c>
      <x:c r="K15" s="20" t="n">
        <x:f>G15/I15</x:f>
        <x:v>5.442776744401989</x:v>
      </x:c>
      <x:c r="L15" s="11" t="str">
        <x:f>F15&amp;" capacity binds at "&amp;H15&amp;" hours"</x:f>
        <x:v>OCEAN capacity binds at 48 hours</x:v>
      </x:c>
      <x:c r="M15" s="11" t="str">
        <x:v>ENVELOPE ONLY</x:v>
      </x:c>
      <x:c r="N15" s="11" t="str">
        <x:v>No carrier or receiver admitted</x:v>
      </x:c>
      <x:c r="O15" s="35"/>
      <x:c r="P15" s="35"/>
    </x:row>
    <x:row r="16">
      <x:c r="C16" s="11" t="str">
        <x:v>P3-LAND</x:v>
      </x:c>
      <x:c r="D16" s="11" t="str">
        <x:v>P3</x:v>
      </x:c>
      <x:c r="E16" s="11" t="str">
        <x:v>Distributed high-activation network</x:v>
      </x:c>
      <x:c r="F16" s="11" t="str">
        <x:v>LAND</x:v>
      </x:c>
      <x:c r="G16" s="17" t="n">
        <x:f>MAX('04 Capacity Envelope'!$N$36:$N$38)</x:f>
        <x:v>5748669.017471949</x:v>
      </x:c>
      <x:c r="H16" s="17" t="n">
        <x:f>INDEX('04 Capacity Envelope'!$G$36:$G$38,MATCH(G16,'04 Capacity Envelope'!$N$36:$N$38,0))</x:f>
        <x:v>48</x:v>
      </x:c>
      <x:c r="I16" s="17" t="n">
        <x:f>'04 Capacity Envelope'!O36</x:f>
        <x:v>1183200</x:v>
      </x:c>
      <x:c r="J16" s="17" t="n">
        <x:f>MAX(0,G16-I16)</x:f>
        <x:v>4565469.017471949</x:v>
      </x:c>
      <x:c r="K16" s="20" t="n">
        <x:f>G16/I16</x:f>
        <x:v>4.858577600973588</x:v>
      </x:c>
      <x:c r="L16" s="11" t="str">
        <x:f>F16&amp;" capacity binds at "&amp;H16&amp;" hours"</x:f>
        <x:v>LAND capacity binds at 48 hours</x:v>
      </x:c>
      <x:c r="M16" s="11" t="str">
        <x:v>ENVELOPE ONLY</x:v>
      </x:c>
      <x:c r="N16" s="11" t="str">
        <x:v>No carrier or receiver admitted</x:v>
      </x:c>
      <x:c r="O16" s="35"/>
      <x:c r="P16" s="35"/>
    </x:row>
    <x:row r="17">
      <x:c r="C17" s="11" t="str">
        <x:v>P3-INLAND</x:v>
      </x:c>
      <x:c r="D17" s="11" t="str">
        <x:v>P3</x:v>
      </x:c>
      <x:c r="E17" s="11" t="str">
        <x:v>Distributed high-activation network</x:v>
      </x:c>
      <x:c r="F17" s="11" t="str">
        <x:v>INLAND</x:v>
      </x:c>
      <x:c r="G17" s="17" t="n">
        <x:f>MAX('04 Capacity Envelope'!$N$39:$N$41)</x:f>
        <x:v>487904.47340361256</x:v>
      </x:c>
      <x:c r="H17" s="17" t="n">
        <x:f>INDEX('04 Capacity Envelope'!$G$39:$G$41,MATCH(G17,'04 Capacity Envelope'!$N$39:$N$41,0))</x:f>
        <x:v>48</x:v>
      </x:c>
      <x:c r="I17" s="17" t="n">
        <x:f>'04 Capacity Envelope'!O39</x:f>
        <x:v>522450</x:v>
      </x:c>
      <x:c r="J17" s="17" t="n">
        <x:f>MAX(0,G17-I17)</x:f>
        <x:v>0</x:v>
      </x:c>
      <x:c r="K17" s="20" t="n">
        <x:f>G17/I17</x:f>
        <x:v>0.9338778321439613</x:v>
      </x:c>
      <x:c r="L17" s="11" t="str">
        <x:f>F17&amp;" capacity binds at "&amp;H17&amp;" hours"</x:f>
        <x:v>INLAND capacity binds at 48 hours</x:v>
      </x:c>
      <x:c r="M17" s="11" t="str">
        <x:v>ENVELOPE ONLY</x:v>
      </x:c>
      <x:c r="N17" s="11" t="str">
        <x:v>No carrier or receiver admitted</x:v>
      </x:c>
      <x:c r="O17" s="35"/>
      <x:c r="P17" s="35"/>
    </x:row>
  </x:sheetData>
  <x:conditionalFormatting sqref="M6:M17">
    <x:cfRule type="containsText" dxfId="4" priority="1" operator="containsText" text="FAIL"/>
    <x:cfRule type="containsText" dxfId="5" priority="2" operator="containsText" text="OPEN"/>
    <x:cfRule type="containsText" dxfId="6" priority="3" operator="containsText" text="BLOCKED"/>
    <x:cfRule type="containsText" dxfId="7" priority="4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092a6a28981046b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13" hidden="0" customWidth="1"/>
    <x:col min="4" max="4" width="17" hidden="0" customWidth="1"/>
    <x:col min="5" max="5" width="36" hidden="0" customWidth="1"/>
    <x:col min="6" max="6" width="18" hidden="0" customWidth="1"/>
    <x:col min="7" max="7" width="23" hidden="0" customWidth="1"/>
    <x:col min="8" max="8" width="14" hidden="0" customWidth="1"/>
    <x:col min="9" max="9" width="20" hidden="0" customWidth="1"/>
    <x:col min="10" max="10" width="14" hidden="0" customWidth="1"/>
    <x:col min="11" max="11" width="24" hidden="0" customWidth="1"/>
    <x:col min="12" max="12" width="18" hidden="0" customWidth="1"/>
    <x:col min="13" max="13" width="18" hidden="0" customWidth="1"/>
    <x:col min="14" max="14" width="18" hidden="0" customWidth="1"/>
    <x:col min="15" max="15" width="32" hidden="0" customWidth="1"/>
    <x:col min="16" max="16" width="48" hidden="0" customWidth="1"/>
    <x:col min="17" max="17" width="16" hidden="0" customWidth="1"/>
  </x:cols>
  <x:sheetData>
    <x:row r="2">
      <x:c r="C2" s="2" t="str">
        <x:v>Purpose-built carrier-group hypotheses</x:v>
      </x:c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</x:row>
    <x:row r="3">
      <x:c r="C3" s="3" t="str">
        <x:v>Group yields make fleet scale legible. They do not specify an airframe, hull, vehicle or final configuration.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</x:row>
    <x:row r="5">
      <x:c r="C5" s="9" t="str">
        <x:v>Mode</x:v>
      </x:c>
      <x:c r="D5" s="9" t="str">
        <x:v>Family ID</x:v>
      </x:c>
      <x:c r="E5" s="9" t="str">
        <x:v>Carrier group</x:v>
      </x:c>
      <x:c r="F5" s="9" t="str">
        <x:v>Platforms / group</x:v>
      </x:c>
      <x:c r="G5" s="9" t="str">
        <x:v>Payload t / platform-turn</x:v>
      </x:c>
      <x:c r="H5" s="9" t="str">
        <x:v>72 h turns</x:v>
      </x:c>
      <x:c r="I5" s="9" t="str">
        <x:v>Technical availability</x:v>
      </x:c>
      <x:c r="J5" s="9" t="str">
        <x:v>Load factor</x:v>
      </x:c>
      <x:c r="K5" s="9" t="str">
        <x:v>Gross t / group / 72 h</x:v>
      </x:c>
      <x:c r="L5" s="9" t="str">
        <x:v>Group capital $B</x:v>
      </x:c>
      <x:c r="M5" s="9" t="str">
        <x:v>Annual O&amp;S share</x:v>
      </x:c>
      <x:c r="N5" s="9" t="str">
        <x:v>Family RDT&amp;E $B</x:v>
      </x:c>
      <x:c r="O5" s="9" t="str">
        <x:v>Primary cargo</x:v>
      </x:c>
      <x:c r="P5" s="9" t="str">
        <x:v>Boundary</x:v>
      </x:c>
      <x:c r="Q5" s="9" t="str">
        <x:v>State</x:v>
      </x:c>
      <x:c r="R5" s="35"/>
      <x:c r="S5" s="35"/>
    </x:row>
    <x:row r="6">
      <x:c r="C6" s="11" t="str">
        <x:v>AIR</x:v>
      </x:c>
      <x:c r="D6" s="11" t="str">
        <x:v>CAR-AIR-12</x:v>
      </x:c>
      <x:c r="E6" s="11" t="str">
        <x:v>Strategic resilience air group</x:v>
      </x:c>
      <x:c r="F6" s="13" t="n">
        <x:v>12</x:v>
      </x:c>
      <x:c r="G6" s="13" t="n">
        <x:v>180</x:v>
      </x:c>
      <x:c r="H6" s="13" t="n">
        <x:v>2.8</x:v>
      </x:c>
      <x:c r="I6" s="15" t="n">
        <x:v>0.78</x:v>
      </x:c>
      <x:c r="J6" s="18" t="n">
        <x:v>0.88</x:v>
      </x:c>
      <x:c r="K6" s="17" t="n">
        <x:f>F6*G6*H6*I6*J6</x:f>
        <x:v>4151.3472</x:v>
      </x:c>
      <x:c r="L6" s="21" t="n">
        <x:v>8.4</x:v>
      </x:c>
      <x:c r="M6" s="15" t="n">
        <x:v>0.04</x:v>
      </x:c>
      <x:c r="N6" s="19" t="n">
        <x:v>85</x:v>
      </x:c>
      <x:c r="O6" s="11" t="str">
        <x:v>APL/COL/ISO and bounded outsize</x:v>
      </x:c>
      <x:c r="P6" s="11" t="str">
        <x:v>Twelve clean-sheet heavy carriers plus organic loading and maintenance</x:v>
      </x:c>
      <x:c r="Q6" s="11" t="str">
        <x:v>DECLARED</x:v>
      </x:c>
      <x:c r="R6" s="35"/>
      <x:c r="S6" s="35"/>
    </x:row>
    <x:row r="7">
      <x:c r="C7" s="11" t="str">
        <x:v>OCEAN</x:v>
      </x:c>
      <x:c r="D7" s="11" t="str">
        <x:v>CAR-SEA-3</x:v>
      </x:c>
      <x:c r="E7" s="11" t="str">
        <x:v>High-readiness self-discharge squadron</x:v>
      </x:c>
      <x:c r="F7" s="13" t="n">
        <x:v>3</x:v>
      </x:c>
      <x:c r="G7" s="13" t="n">
        <x:v>20000</x:v>
      </x:c>
      <x:c r="H7" s="13" t="n">
        <x:v>1</x:v>
      </x:c>
      <x:c r="I7" s="15" t="n">
        <x:v>0.78</x:v>
      </x:c>
      <x:c r="J7" s="18" t="n">
        <x:v>0.9</x:v>
      </x:c>
      <x:c r="K7" s="17" t="n">
        <x:f>F7*G7*H7*I7*J7</x:f>
        <x:v>42120</x:v>
      </x:c>
      <x:c r="L7" s="21" t="n">
        <x:v>4.8</x:v>
      </x:c>
      <x:c r="M7" s="15" t="n">
        <x:v>0.05</x:v>
      </x:c>
      <x:c r="N7" s="19" t="n">
        <x:v>65</x:v>
      </x:c>
      <x:c r="O7" s="11" t="str">
        <x:v>ISO/FLR/ROL/TNK/LIN/OOG</x:v>
      </x:c>
      <x:c r="P7" s="11" t="str">
        <x:v>Three purpose-built hulls; one 72-hour arrival opportunity per hull</x:v>
      </x:c>
      <x:c r="Q7" s="11" t="str">
        <x:v>DECLARED</x:v>
      </x:c>
      <x:c r="R7" s="35"/>
      <x:c r="S7" s="35"/>
    </x:row>
    <x:row r="8">
      <x:c r="C8" s="11" t="str">
        <x:v>LAND</x:v>
      </x:c>
      <x:c r="D8" s="11" t="str">
        <x:v>CAR-LND-300</x:v>
      </x:c>
      <x:c r="E8" s="11" t="str">
        <x:v>Continental road-rail mobility brigade</x:v>
      </x:c>
      <x:c r="F8" s="13" t="n">
        <x:v>300</x:v>
      </x:c>
      <x:c r="G8" s="13" t="n">
        <x:v>40</x:v>
      </x:c>
      <x:c r="H8" s="13" t="n">
        <x:v>2.5</x:v>
      </x:c>
      <x:c r="I8" s="15" t="n">
        <x:v>0.82</x:v>
      </x:c>
      <x:c r="J8" s="18" t="n">
        <x:v>0.9</x:v>
      </x:c>
      <x:c r="K8" s="17" t="n">
        <x:f>F8*G8*H8*I8*J8</x:f>
        <x:v>22140</x:v>
      </x:c>
      <x:c r="L8" s="21" t="n">
        <x:v>0.75</x:v>
      </x:c>
      <x:c r="M8" s="15" t="n">
        <x:v>0.07</x:v>
      </x:c>
      <x:c r="N8" s="19" t="n">
        <x:v>40</x:v>
      </x:c>
      <x:c r="O8" s="11" t="str">
        <x:v>All surface-compatible classes</x:v>
      </x:c>
      <x:c r="P8" s="11" t="str">
        <x:v>Three hundred carrier-position equivalents with rail and road command</x:v>
      </x:c>
      <x:c r="Q8" s="11" t="str">
        <x:v>DECLARED</x:v>
      </x:c>
      <x:c r="R8" s="35"/>
      <x:c r="S8" s="35"/>
    </x:row>
    <x:row r="9">
      <x:c r="C9" s="11" t="str">
        <x:v>INLAND</x:v>
      </x:c>
      <x:c r="D9" s="11" t="str">
        <x:v>CAR-IW-12</x:v>
      </x:c>
      <x:c r="E9" s="11" t="str">
        <x:v>Shallow-water distribution group</x:v>
      </x:c>
      <x:c r="F9" s="13" t="n">
        <x:v>12</x:v>
      </x:c>
      <x:c r="G9" s="13" t="n">
        <x:v>800</x:v>
      </x:c>
      <x:c r="H9" s="13" t="n">
        <x:v>1.8</x:v>
      </x:c>
      <x:c r="I9" s="15" t="n">
        <x:v>0.8</x:v>
      </x:c>
      <x:c r="J9" s="18" t="n">
        <x:v>0.85</x:v>
      </x:c>
      <x:c r="K9" s="17" t="n">
        <x:f>F9*G9*H9*I9*J9</x:f>
        <x:v>11750.4</x:v>
      </x:c>
      <x:c r="L9" s="21" t="n">
        <x:v>0.9</x:v>
      </x:c>
      <x:c r="M9" s="15" t="n">
        <x:v>0.06</x:v>
      </x:c>
      <x:c r="N9" s="19" t="n">
        <x:v>35</x:v>
      </x:c>
      <x:c r="O9" s="11" t="str">
        <x:v>ISO/FLR/ROL/TNK/LIN/BLK</x:v>
      </x:c>
      <x:c r="P9" s="11" t="str">
        <x:v>Twelve shallow-draft carriers plus tow, bank and recovery systems</x:v>
      </x:c>
      <x:c r="Q9" s="11" t="str">
        <x:v>DECLARED</x:v>
      </x:c>
      <x:c r="R9" s="35"/>
      <x:c r="S9" s="35"/>
    </x:row>
  </x:sheetData>
  <x:conditionalFormatting sqref="Q6:Q9">
    <x:cfRule type="containsText" dxfId="8" priority="1" operator="containsText" text="FAIL"/>
    <x:cfRule type="containsText" dxfId="9" priority="2" operator="containsText" text="OPEN"/>
    <x:cfRule type="containsText" dxfId="10" priority="3" operator="containsText" text="BLOCKED"/>
    <x:cfRule type="containsText" dxfId="11" priority="4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3f699eb734dc49c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22" hidden="0" customWidth="1"/>
    <x:col min="4" max="4" width="10" hidden="0" customWidth="1"/>
    <x:col min="5" max="5" width="31" hidden="0" customWidth="1"/>
    <x:col min="6" max="6" width="13" hidden="0" customWidth="1"/>
    <x:col min="7" max="7" width="20" hidden="0" customWidth="1"/>
    <x:col min="8" max="8" width="19" hidden="0" customWidth="1"/>
    <x:col min="9" max="9" width="16" hidden="0" customWidth="1"/>
    <x:col min="10" max="10" width="19" hidden="0" customWidth="1"/>
    <x:col min="11" max="11" width="19" hidden="0" customWidth="1"/>
    <x:col min="12" max="12" width="18" hidden="0" customWidth="1"/>
    <x:col min="13" max="13" width="18" hidden="0" customWidth="1"/>
    <x:col min="14" max="14" width="23" hidden="0" customWidth="1"/>
    <x:col min="15" max="15" width="17" hidden="0" customWidth="1"/>
    <x:col min="16" max="16" width="45" hidden="0" customWidth="1"/>
  </x:cols>
  <x:sheetData>
    <x:row r="2">
      <x:c r="C2" s="2" t="str">
        <x:v>Carrier fleet implied by the capacity envelope</x:v>
      </x:c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</x:row>
    <x:row r="3">
      <x:c r="C3" s="3" t="str">
        <x:v>Counts are owned group equivalents. They are procurement scale tests, not recommended quantities.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</x:row>
    <x:row r="5">
      <x:c r="C5" s="9" t="str">
        <x:v>Fleet ID</x:v>
      </x:c>
      <x:c r="D5" s="9" t="str">
        <x:v>Case</x:v>
      </x:c>
      <x:c r="E5" s="9" t="str">
        <x:v>Architecture</x:v>
      </x:c>
      <x:c r="F5" s="9" t="str">
        <x:v>Mode</x:v>
      </x:c>
      <x:c r="G5" s="9" t="str">
        <x:v>Required gross t</x:v>
      </x:c>
      <x:c r="H5" s="9" t="str">
        <x:v>Yield t / group</x:v>
      </x:c>
      <x:c r="I5" s="9" t="str">
        <x:v>Owned groups</x:v>
      </x:c>
      <x:c r="J5" s="9" t="str">
        <x:v>Platforms / group</x:v>
      </x:c>
      <x:c r="K5" s="9" t="str">
        <x:v>Physical platforms</x:v>
      </x:c>
      <x:c r="L5" s="9" t="str">
        <x:v>Group capital $B</x:v>
      </x:c>
      <x:c r="M5" s="9" t="str">
        <x:v>Procurement $B</x:v>
      </x:c>
      <x:c r="N5" s="9" t="str">
        <x:v>Mature annual O&amp;S $B</x:v>
      </x:c>
      <x:c r="O5" s="9" t="str">
        <x:v>State</x:v>
      </x:c>
      <x:c r="P5" s="9" t="str">
        <x:v>Boundary</x:v>
      </x:c>
      <x:c r="Q5" s="35"/>
      <x:c r="R5" s="35"/>
    </x:row>
    <x:row r="6">
      <x:c r="C6" s="11" t="str">
        <x:v>FLEET-P1-AIR</x:v>
      </x:c>
      <x:c r="D6" s="11" t="str">
        <x:v>P1</x:v>
      </x:c>
      <x:c r="E6" s="11" t="str">
        <x:v>Scaled legacy pattern</x:v>
      </x:c>
      <x:c r="F6" s="11" t="str">
        <x:v>AIR</x:v>
      </x:c>
      <x:c r="G6" s="17" t="n">
        <x:f>'05 Capacity Summary'!G6</x:f>
        <x:v>1181506.2299401257</x:v>
      </x:c>
      <x:c r="H6" s="17" t="n">
        <x:f>'06 Carrier Families'!K6</x:f>
        <x:v>4151.3472</x:v>
      </x:c>
      <x:c r="I6" s="22" t="n">
        <x:f>ROUNDUP(G6/H6,0)</x:f>
        <x:v>285</x:v>
      </x:c>
      <x:c r="J6" s="22" t="n">
        <x:f>'06 Carrier Families'!F6</x:f>
        <x:v>12</x:v>
      </x:c>
      <x:c r="K6" s="22" t="n">
        <x:f>I6*J6</x:f>
        <x:v>3420</x:v>
      </x:c>
      <x:c r="L6" s="23" t="n">
        <x:f>'06 Carrier Families'!L6</x:f>
        <x:v>8.4</x:v>
      </x:c>
      <x:c r="M6" s="23" t="n">
        <x:f>I6*L6</x:f>
        <x:v>2394</x:v>
      </x:c>
      <x:c r="N6" s="23" t="n">
        <x:f>M6*'06 Carrier Families'!M6</x:f>
        <x:v>95.76</x:v>
      </x:c>
      <x:c r="O6" s="11" t="str">
        <x:v>SIZING ONLY</x:v>
      </x:c>
      <x:c r="P6" s="11" t="str">
        <x:v>Payload, range, cycle, availability, crew and lifecycle unproved</x:v>
      </x:c>
      <x:c r="Q6" s="35"/>
      <x:c r="R6" s="35"/>
    </x:row>
    <x:row r="7">
      <x:c r="C7" s="11" t="str">
        <x:v>FLEET-P1-OCEAN</x:v>
      </x:c>
      <x:c r="D7" s="11" t="str">
        <x:v>P1</x:v>
      </x:c>
      <x:c r="E7" s="11" t="str">
        <x:v>Scaled legacy pattern</x:v>
      </x:c>
      <x:c r="F7" s="11" t="str">
        <x:v>OCEAN</x:v>
      </x:c>
      <x:c r="G7" s="17" t="n">
        <x:f>'05 Capacity Summary'!G7</x:f>
        <x:v>9538541.803112231</x:v>
      </x:c>
      <x:c r="H7" s="17" t="n">
        <x:f>'06 Carrier Families'!K7</x:f>
        <x:v>42120</x:v>
      </x:c>
      <x:c r="I7" s="22" t="n">
        <x:f>ROUNDUP(G7/H7,0)</x:f>
        <x:v>227</x:v>
      </x:c>
      <x:c r="J7" s="22" t="n">
        <x:f>'06 Carrier Families'!F7</x:f>
        <x:v>3</x:v>
      </x:c>
      <x:c r="K7" s="22" t="n">
        <x:f>I7*J7</x:f>
        <x:v>681</x:v>
      </x:c>
      <x:c r="L7" s="23" t="n">
        <x:f>'06 Carrier Families'!L7</x:f>
        <x:v>4.8</x:v>
      </x:c>
      <x:c r="M7" s="23" t="n">
        <x:f>I7*L7</x:f>
        <x:v>1089.6</x:v>
      </x:c>
      <x:c r="N7" s="23" t="n">
        <x:f>M7*'06 Carrier Families'!M7</x:f>
        <x:v>54.48</x:v>
      </x:c>
      <x:c r="O7" s="11" t="str">
        <x:v>SIZING ONLY</x:v>
      </x:c>
      <x:c r="P7" s="11" t="str">
        <x:v>Payload, range, cycle, availability, crew and lifecycle unproved</x:v>
      </x:c>
      <x:c r="Q7" s="35"/>
      <x:c r="R7" s="35"/>
    </x:row>
    <x:row r="8">
      <x:c r="C8" s="11" t="str">
        <x:v>FLEET-P1-LAND</x:v>
      </x:c>
      <x:c r="D8" s="11" t="str">
        <x:v>P1</x:v>
      </x:c>
      <x:c r="E8" s="11" t="str">
        <x:v>Scaled legacy pattern</x:v>
      </x:c>
      <x:c r="F8" s="11" t="str">
        <x:v>LAND</x:v>
      </x:c>
      <x:c r="G8" s="17" t="n">
        <x:f>'05 Capacity Summary'!G8</x:f>
        <x:v>11167747.677942172</x:v>
      </x:c>
      <x:c r="H8" s="17" t="n">
        <x:f>'06 Carrier Families'!K8</x:f>
        <x:v>22140</x:v>
      </x:c>
      <x:c r="I8" s="22" t="n">
        <x:f>ROUNDUP(G8/H8,0)</x:f>
        <x:v>505</x:v>
      </x:c>
      <x:c r="J8" s="22" t="n">
        <x:f>'06 Carrier Families'!F8</x:f>
        <x:v>300</x:v>
      </x:c>
      <x:c r="K8" s="22" t="n">
        <x:f>I8*J8</x:f>
        <x:v>151500</x:v>
      </x:c>
      <x:c r="L8" s="23" t="n">
        <x:f>'06 Carrier Families'!L8</x:f>
        <x:v>0.75</x:v>
      </x:c>
      <x:c r="M8" s="23" t="n">
        <x:f>I8*L8</x:f>
        <x:v>378.75</x:v>
      </x:c>
      <x:c r="N8" s="23" t="n">
        <x:f>M8*'06 Carrier Families'!M8</x:f>
        <x:v>26.512500000000003</x:v>
      </x:c>
      <x:c r="O8" s="11" t="str">
        <x:v>SIZING ONLY</x:v>
      </x:c>
      <x:c r="P8" s="11" t="str">
        <x:v>Payload, range, cycle, availability, crew and lifecycle unproved</x:v>
      </x:c>
      <x:c r="Q8" s="35"/>
      <x:c r="R8" s="35"/>
    </x:row>
    <x:row r="9">
      <x:c r="C9" s="11" t="str">
        <x:v>FLEET-P1-INLAND</x:v>
      </x:c>
      <x:c r="D9" s="11" t="str">
        <x:v>P1</x:v>
      </x:c>
      <x:c r="E9" s="11" t="str">
        <x:v>Scaled legacy pattern</x:v>
      </x:c>
      <x:c r="F9" s="11" t="str">
        <x:v>INLAND</x:v>
      </x:c>
      <x:c r="G9" s="17" t="n">
        <x:f>'05 Capacity Summary'!G9</x:f>
        <x:v>1189440.9499592176</x:v>
      </x:c>
      <x:c r="H9" s="17" t="n">
        <x:f>'06 Carrier Families'!K9</x:f>
        <x:v>11750.4</x:v>
      </x:c>
      <x:c r="I9" s="22" t="n">
        <x:f>ROUNDUP(G9/H9,0)</x:f>
        <x:v>102</x:v>
      </x:c>
      <x:c r="J9" s="22" t="n">
        <x:f>'06 Carrier Families'!F9</x:f>
        <x:v>12</x:v>
      </x:c>
      <x:c r="K9" s="22" t="n">
        <x:f>I9*J9</x:f>
        <x:v>1224</x:v>
      </x:c>
      <x:c r="L9" s="23" t="n">
        <x:f>'06 Carrier Families'!L9</x:f>
        <x:v>0.9</x:v>
      </x:c>
      <x:c r="M9" s="23" t="n">
        <x:f>I9*L9</x:f>
        <x:v>91.8</x:v>
      </x:c>
      <x:c r="N9" s="23" t="n">
        <x:f>M9*'06 Carrier Families'!M9</x:f>
        <x:v>5.508</x:v>
      </x:c>
      <x:c r="O9" s="11" t="str">
        <x:v>SIZING ONLY</x:v>
      </x:c>
      <x:c r="P9" s="11" t="str">
        <x:v>Payload, range, cycle, availability, crew and lifecycle unproved</x:v>
      </x:c>
      <x:c r="Q9" s="35"/>
      <x:c r="R9" s="35"/>
    </x:row>
    <x:row r="10">
      <x:c r="C10" s="11" t="str">
        <x:v>FLEET-P2-AIR</x:v>
      </x:c>
      <x:c r="D10" s="11" t="str">
        <x:v>P2</x:v>
      </x:c>
      <x:c r="E10" s="11" t="str">
        <x:v>Ready carrier-node force</x:v>
      </x:c>
      <x:c r="F10" s="11" t="str">
        <x:v>AIR</x:v>
      </x:c>
      <x:c r="G10" s="17" t="n">
        <x:f>'05 Capacity Summary'!G10</x:f>
        <x:v>675046.0739762007</x:v>
      </x:c>
      <x:c r="H10" s="17" t="n">
        <x:f>'06 Carrier Families'!K6</x:f>
        <x:v>4151.3472</x:v>
      </x:c>
      <x:c r="I10" s="22" t="n">
        <x:f>ROUNDUP(G10/H10,0)</x:f>
        <x:v>163</x:v>
      </x:c>
      <x:c r="J10" s="22" t="n">
        <x:f>'06 Carrier Families'!F6</x:f>
        <x:v>12</x:v>
      </x:c>
      <x:c r="K10" s="22" t="n">
        <x:f>I10*J10</x:f>
        <x:v>1956</x:v>
      </x:c>
      <x:c r="L10" s="23" t="n">
        <x:f>'06 Carrier Families'!L6</x:f>
        <x:v>8.4</x:v>
      </x:c>
      <x:c r="M10" s="23" t="n">
        <x:f>I10*L10</x:f>
        <x:v>1369.2</x:v>
      </x:c>
      <x:c r="N10" s="23" t="n">
        <x:f>M10*'06 Carrier Families'!M6</x:f>
        <x:v>54.768</x:v>
      </x:c>
      <x:c r="O10" s="11" t="str">
        <x:v>SIZING ONLY</x:v>
      </x:c>
      <x:c r="P10" s="11" t="str">
        <x:v>Payload, range, cycle, availability, crew and lifecycle unproved</x:v>
      </x:c>
      <x:c r="Q10" s="35"/>
      <x:c r="R10" s="35"/>
    </x:row>
    <x:row r="11">
      <x:c r="C11" s="11" t="str">
        <x:v>FLEET-P2-OCEAN</x:v>
      </x:c>
      <x:c r="D11" s="11" t="str">
        <x:v>P2</x:v>
      </x:c>
      <x:c r="E11" s="11" t="str">
        <x:v>Ready carrier-node force</x:v>
      </x:c>
      <x:c r="F11" s="11" t="str">
        <x:v>OCEAN</x:v>
      </x:c>
      <x:c r="G11" s="17" t="n">
        <x:f>'05 Capacity Summary'!G11</x:f>
        <x:v>4478718.728576213</x:v>
      </x:c>
      <x:c r="H11" s="17" t="n">
        <x:f>'06 Carrier Families'!K7</x:f>
        <x:v>42120</x:v>
      </x:c>
      <x:c r="I11" s="22" t="n">
        <x:f>ROUNDUP(G11/H11,0)</x:f>
        <x:v>107</x:v>
      </x:c>
      <x:c r="J11" s="22" t="n">
        <x:f>'06 Carrier Families'!F7</x:f>
        <x:v>3</x:v>
      </x:c>
      <x:c r="K11" s="22" t="n">
        <x:f>I11*J11</x:f>
        <x:v>321</x:v>
      </x:c>
      <x:c r="L11" s="23" t="n">
        <x:f>'06 Carrier Families'!L7</x:f>
        <x:v>4.8</x:v>
      </x:c>
      <x:c r="M11" s="23" t="n">
        <x:f>I11*L11</x:f>
        <x:v>513.6</x:v>
      </x:c>
      <x:c r="N11" s="23" t="n">
        <x:f>M11*'06 Carrier Families'!M7</x:f>
        <x:v>25.680000000000003</x:v>
      </x:c>
      <x:c r="O11" s="11" t="str">
        <x:v>SIZING ONLY</x:v>
      </x:c>
      <x:c r="P11" s="11" t="str">
        <x:v>Payload, range, cycle, availability, crew and lifecycle unproved</x:v>
      </x:c>
      <x:c r="Q11" s="35"/>
      <x:c r="R11" s="35"/>
    </x:row>
    <x:row r="12">
      <x:c r="C12" s="11" t="str">
        <x:v>FLEET-P2-LAND</x:v>
      </x:c>
      <x:c r="D12" s="11" t="str">
        <x:v>P2</x:v>
      </x:c>
      <x:c r="E12" s="11" t="str">
        <x:v>Ready carrier-node force</x:v>
      </x:c>
      <x:c r="F12" s="11" t="str">
        <x:v>LAND</x:v>
      </x:c>
      <x:c r="G12" s="17" t="n">
        <x:f>'05 Capacity Summary'!G12</x:f>
        <x:v>7191352.671402155</x:v>
      </x:c>
      <x:c r="H12" s="17" t="n">
        <x:f>'06 Carrier Families'!K8</x:f>
        <x:v>22140</x:v>
      </x:c>
      <x:c r="I12" s="22" t="n">
        <x:f>ROUNDUP(G12/H12,0)</x:f>
        <x:v>325</x:v>
      </x:c>
      <x:c r="J12" s="22" t="n">
        <x:f>'06 Carrier Families'!F8</x:f>
        <x:v>300</x:v>
      </x:c>
      <x:c r="K12" s="22" t="n">
        <x:f>I12*J12</x:f>
        <x:v>97500</x:v>
      </x:c>
      <x:c r="L12" s="23" t="n">
        <x:f>'06 Carrier Families'!L8</x:f>
        <x:v>0.75</x:v>
      </x:c>
      <x:c r="M12" s="23" t="n">
        <x:f>I12*L12</x:f>
        <x:v>243.75</x:v>
      </x:c>
      <x:c r="N12" s="23" t="n">
        <x:f>M12*'06 Carrier Families'!M8</x:f>
        <x:v>17.0625</x:v>
      </x:c>
      <x:c r="O12" s="11" t="str">
        <x:v>SIZING ONLY</x:v>
      </x:c>
      <x:c r="P12" s="11" t="str">
        <x:v>Payload, range, cycle, availability, crew and lifecycle unproved</x:v>
      </x:c>
      <x:c r="Q12" s="35"/>
      <x:c r="R12" s="35"/>
    </x:row>
    <x:row r="13">
      <x:c r="C13" s="11" t="str">
        <x:v>FLEET-P2-INLAND</x:v>
      </x:c>
      <x:c r="D13" s="11" t="str">
        <x:v>P2</x:v>
      </x:c>
      <x:c r="E13" s="11" t="str">
        <x:v>Ready carrier-node force</x:v>
      </x:c>
      <x:c r="F13" s="11" t="str">
        <x:v>INLAND</x:v>
      </x:c>
      <x:c r="G13" s="17" t="n">
        <x:f>'05 Capacity Summary'!G13</x:f>
        <x:v>662822.2076914345</x:v>
      </x:c>
      <x:c r="H13" s="17" t="n">
        <x:f>'06 Carrier Families'!K9</x:f>
        <x:v>11750.4</x:v>
      </x:c>
      <x:c r="I13" s="22" t="n">
        <x:f>ROUNDUP(G13/H13,0)</x:f>
        <x:v>57</x:v>
      </x:c>
      <x:c r="J13" s="22" t="n">
        <x:f>'06 Carrier Families'!F9</x:f>
        <x:v>12</x:v>
      </x:c>
      <x:c r="K13" s="22" t="n">
        <x:f>I13*J13</x:f>
        <x:v>684</x:v>
      </x:c>
      <x:c r="L13" s="23" t="n">
        <x:f>'06 Carrier Families'!L9</x:f>
        <x:v>0.9</x:v>
      </x:c>
      <x:c r="M13" s="23" t="n">
        <x:f>I13*L13</x:f>
        <x:v>51.300000000000004</x:v>
      </x:c>
      <x:c r="N13" s="23" t="n">
        <x:f>M13*'06 Carrier Families'!M9</x:f>
        <x:v>3.0780000000000003</x:v>
      </x:c>
      <x:c r="O13" s="11" t="str">
        <x:v>SIZING ONLY</x:v>
      </x:c>
      <x:c r="P13" s="11" t="str">
        <x:v>Payload, range, cycle, availability, crew and lifecycle unproved</x:v>
      </x:c>
      <x:c r="Q13" s="35"/>
      <x:c r="R13" s="35"/>
    </x:row>
    <x:row r="14">
      <x:c r="C14" s="11" t="str">
        <x:v>FLEET-P3-AIR</x:v>
      </x:c>
      <x:c r="D14" s="11" t="str">
        <x:v>P3</x:v>
      </x:c>
      <x:c r="E14" s="11" t="str">
        <x:v>Distributed high-activation network</x:v>
      </x:c>
      <x:c r="F14" s="11" t="str">
        <x:v>AIR</x:v>
      </x:c>
      <x:c r="G14" s="17" t="n">
        <x:f>'05 Capacity Summary'!G14</x:f>
        <x:v>565039.6101289854</x:v>
      </x:c>
      <x:c r="H14" s="17" t="n">
        <x:f>'06 Carrier Families'!K6</x:f>
        <x:v>4151.3472</x:v>
      </x:c>
      <x:c r="I14" s="22" t="n">
        <x:f>ROUNDUP(G14/H14,0)</x:f>
        <x:v>137</x:v>
      </x:c>
      <x:c r="J14" s="22" t="n">
        <x:f>'06 Carrier Families'!F6</x:f>
        <x:v>12</x:v>
      </x:c>
      <x:c r="K14" s="22" t="n">
        <x:f>I14*J14</x:f>
        <x:v>1644</x:v>
      </x:c>
      <x:c r="L14" s="23" t="n">
        <x:f>'06 Carrier Families'!L6</x:f>
        <x:v>8.4</x:v>
      </x:c>
      <x:c r="M14" s="23" t="n">
        <x:f>I14*L14</x:f>
        <x:v>1150.8</x:v>
      </x:c>
      <x:c r="N14" s="23" t="n">
        <x:f>M14*'06 Carrier Families'!M6</x:f>
        <x:v>46.032</x:v>
      </x:c>
      <x:c r="O14" s="11" t="str">
        <x:v>SIZING ONLY</x:v>
      </x:c>
      <x:c r="P14" s="11" t="str">
        <x:v>Payload, range, cycle, availability, crew and lifecycle unproved</x:v>
      </x:c>
      <x:c r="Q14" s="35"/>
      <x:c r="R14" s="35"/>
    </x:row>
    <x:row r="15">
      <x:c r="C15" s="11" t="str">
        <x:v>FLEET-P3-OCEAN</x:v>
      </x:c>
      <x:c r="D15" s="11" t="str">
        <x:v>P3</x:v>
      </x:c>
      <x:c r="E15" s="11" t="str">
        <x:v>Distributed high-activation network</x:v>
      </x:c>
      <x:c r="F15" s="11" t="str">
        <x:v>OCEAN</x:v>
      </x:c>
      <x:c r="G15" s="17" t="n">
        <x:f>'05 Capacity Summary'!G15</x:f>
        <x:v>3246072.0503613465</x:v>
      </x:c>
      <x:c r="H15" s="17" t="n">
        <x:f>'06 Carrier Families'!K7</x:f>
        <x:v>42120</x:v>
      </x:c>
      <x:c r="I15" s="22" t="n">
        <x:f>ROUNDUP(G15/H15,0)</x:f>
        <x:v>78</x:v>
      </x:c>
      <x:c r="J15" s="22" t="n">
        <x:f>'06 Carrier Families'!F7</x:f>
        <x:v>3</x:v>
      </x:c>
      <x:c r="K15" s="22" t="n">
        <x:f>I15*J15</x:f>
        <x:v>234</x:v>
      </x:c>
      <x:c r="L15" s="23" t="n">
        <x:f>'06 Carrier Families'!L7</x:f>
        <x:v>4.8</x:v>
      </x:c>
      <x:c r="M15" s="23" t="n">
        <x:f>I15*L15</x:f>
        <x:v>374.4</x:v>
      </x:c>
      <x:c r="N15" s="23" t="n">
        <x:f>M15*'06 Carrier Families'!M7</x:f>
        <x:v>18.72</x:v>
      </x:c>
      <x:c r="O15" s="11" t="str">
        <x:v>SIZING ONLY</x:v>
      </x:c>
      <x:c r="P15" s="11" t="str">
        <x:v>Payload, range, cycle, availability, crew and lifecycle unproved</x:v>
      </x:c>
      <x:c r="Q15" s="35"/>
      <x:c r="R15" s="35"/>
    </x:row>
    <x:row r="16">
      <x:c r="C16" s="11" t="str">
        <x:v>FLEET-P3-LAND</x:v>
      </x:c>
      <x:c r="D16" s="11" t="str">
        <x:v>P3</x:v>
      </x:c>
      <x:c r="E16" s="11" t="str">
        <x:v>Distributed high-activation network</x:v>
      </x:c>
      <x:c r="F16" s="11" t="str">
        <x:v>LAND</x:v>
      </x:c>
      <x:c r="G16" s="17" t="n">
        <x:f>'05 Capacity Summary'!G16</x:f>
        <x:v>5748669.017471949</x:v>
      </x:c>
      <x:c r="H16" s="17" t="n">
        <x:f>'06 Carrier Families'!K8</x:f>
        <x:v>22140</x:v>
      </x:c>
      <x:c r="I16" s="22" t="n">
        <x:f>ROUNDUP(G16/H16,0)</x:f>
        <x:v>260</x:v>
      </x:c>
      <x:c r="J16" s="22" t="n">
        <x:f>'06 Carrier Families'!F8</x:f>
        <x:v>300</x:v>
      </x:c>
      <x:c r="K16" s="22" t="n">
        <x:f>I16*J16</x:f>
        <x:v>78000</x:v>
      </x:c>
      <x:c r="L16" s="23" t="n">
        <x:f>'06 Carrier Families'!L8</x:f>
        <x:v>0.75</x:v>
      </x:c>
      <x:c r="M16" s="23" t="n">
        <x:f>I16*L16</x:f>
        <x:v>195</x:v>
      </x:c>
      <x:c r="N16" s="23" t="n">
        <x:f>M16*'06 Carrier Families'!M8</x:f>
        <x:v>13.650000000000002</x:v>
      </x:c>
      <x:c r="O16" s="11" t="str">
        <x:v>SIZING ONLY</x:v>
      </x:c>
      <x:c r="P16" s="11" t="str">
        <x:v>Payload, range, cycle, availability, crew and lifecycle unproved</x:v>
      </x:c>
      <x:c r="Q16" s="35"/>
      <x:c r="R16" s="35"/>
    </x:row>
    <x:row r="17">
      <x:c r="C17" s="11" t="str">
        <x:v>FLEET-P3-INLAND</x:v>
      </x:c>
      <x:c r="D17" s="11" t="str">
        <x:v>P3</x:v>
      </x:c>
      <x:c r="E17" s="11" t="str">
        <x:v>Distributed high-activation network</x:v>
      </x:c>
      <x:c r="F17" s="11" t="str">
        <x:v>INLAND</x:v>
      </x:c>
      <x:c r="G17" s="17" t="n">
        <x:f>'05 Capacity Summary'!G17</x:f>
        <x:v>487904.47340361256</x:v>
      </x:c>
      <x:c r="H17" s="17" t="n">
        <x:f>'06 Carrier Families'!K9</x:f>
        <x:v>11750.4</x:v>
      </x:c>
      <x:c r="I17" s="22" t="n">
        <x:f>ROUNDUP(G17/H17,0)</x:f>
        <x:v>42</x:v>
      </x:c>
      <x:c r="J17" s="22" t="n">
        <x:f>'06 Carrier Families'!F9</x:f>
        <x:v>12</x:v>
      </x:c>
      <x:c r="K17" s="22" t="n">
        <x:f>I17*J17</x:f>
        <x:v>504</x:v>
      </x:c>
      <x:c r="L17" s="23" t="n">
        <x:f>'06 Carrier Families'!L9</x:f>
        <x:v>0.9</x:v>
      </x:c>
      <x:c r="M17" s="23" t="n">
        <x:f>I17*L17</x:f>
        <x:v>37.800000000000004</x:v>
      </x:c>
      <x:c r="N17" s="23" t="n">
        <x:f>M17*'06 Carrier Families'!M9</x:f>
        <x:v>2.2680000000000002</x:v>
      </x:c>
      <x:c r="O17" s="11" t="str">
        <x:v>SIZING ONLY</x:v>
      </x:c>
      <x:c r="P17" s="11" t="str">
        <x:v>Payload, range, cycle, availability, crew and lifecycle unproved</x:v>
      </x:c>
      <x:c r="Q17" s="35"/>
      <x:c r="R17" s="35"/>
    </x:row>
  </x:sheetData>
  <x:conditionalFormatting sqref="O6:O17">
    <x:cfRule type="containsText" dxfId="12" priority="1" operator="containsText" text="FAIL"/>
    <x:cfRule type="containsText" dxfId="13" priority="2" operator="containsText" text="OPEN"/>
    <x:cfRule type="containsText" dxfId="14" priority="3" operator="containsText" text="BLOCKED"/>
    <x:cfRule type="containsText" dxfId="15" priority="4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5f55c7baae8a49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13" hidden="0" customWidth="1"/>
    <x:col min="4" max="4" width="18" hidden="0" customWidth="1"/>
    <x:col min="5" max="5" width="38" hidden="0" customWidth="1"/>
    <x:col min="6" max="6" width="22" hidden="0" customWidth="1"/>
    <x:col min="7" max="7" width="20" hidden="0" customWidth="1"/>
    <x:col min="8" max="8" width="19" hidden="0" customWidth="1"/>
    <x:col min="9" max="9" width="18" hidden="0" customWidth="1"/>
    <x:col min="10" max="10" width="18" hidden="0" customWidth="1"/>
    <x:col min="11" max="11" width="34" hidden="0" customWidth="1"/>
    <x:col min="12" max="12" width="49" hidden="0" customWidth="1"/>
    <x:col min="13" max="13" width="16" hidden="0" customWidth="1"/>
  </x:cols>
  <x:sheetData>
    <x:row r="2">
      <x:c r="C2" s="2" t="str">
        <x:v>Purpose-built transfer-node hypotheses</x:v>
      </x:c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</x:row>
    <x:row r="3">
      <x:c r="C3" s="3" t="str">
        <x:v>A carrier arrival is not released cargo. Nodes own mixed-position handling, inspection, staging and onward handoff.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</x:row>
    <x:row r="5">
      <x:c r="C5" s="9" t="str">
        <x:v>Mode</x:v>
      </x:c>
      <x:c r="D5" s="9" t="str">
        <x:v>Node ID</x:v>
      </x:c>
      <x:c r="E5" s="9" t="str">
        <x:v>Node family</x:v>
      </x:c>
      <x:c r="F5" s="9" t="str">
        <x:v>Rated throughput t/h</x:v>
      </x:c>
      <x:c r="G5" s="9" t="str">
        <x:v>Technical availability</x:v>
      </x:c>
      <x:c r="H5" s="9" t="str">
        <x:v>Capital $B / node</x:v>
      </x:c>
      <x:c r="I5" s="9" t="str">
        <x:v>Annual O&amp;S share</x:v>
      </x:c>
      <x:c r="J5" s="9" t="str">
        <x:v>Family RDT&amp;E $B</x:v>
      </x:c>
      <x:c r="K5" s="9" t="str">
        <x:v>Cargo admission</x:v>
      </x:c>
      <x:c r="L5" s="9" t="str">
        <x:v>Boundary</x:v>
      </x:c>
      <x:c r="M5" s="9" t="str">
        <x:v>State</x:v>
      </x:c>
      <x:c r="N5" s="35"/>
      <x:c r="O5" s="35"/>
      <x:c r="P5" s="35"/>
    </x:row>
    <x:row r="6">
      <x:c r="C6" s="11" t="str">
        <x:v>AIR</x:v>
      </x:c>
      <x:c r="D6" s="11" t="str">
        <x:v>NODE-AIR-300</x:v>
      </x:c>
      <x:c r="E6" s="11" t="str">
        <x:v>Austere air entry node</x:v>
      </x:c>
      <x:c r="F6" s="13" t="n">
        <x:v>300</x:v>
      </x:c>
      <x:c r="G6" s="15" t="n">
        <x:v>0.85</x:v>
      </x:c>
      <x:c r="H6" s="21" t="n">
        <x:v>1.2</x:v>
      </x:c>
      <x:c r="I6" s="15" t="n">
        <x:v>0.05</x:v>
      </x:c>
      <x:c r="J6" s="19" t="n">
        <x:v>45</x:v>
      </x:c>
      <x:c r="K6" s="11" t="str">
        <x:v>APL/COL/ISO/BAT and bounded OOG</x:v>
      </x:c>
      <x:c r="L6" s="11" t="str">
        <x:v>Rate includes mixed-cargo handling but not runway creation</x:v>
      </x:c>
      <x:c r="M6" s="11" t="str">
        <x:v>DECLARED</x:v>
      </x:c>
      <x:c r="N6" s="35"/>
      <x:c r="O6" s="35"/>
      <x:c r="P6" s="35"/>
    </x:row>
    <x:row r="7">
      <x:c r="C7" s="11" t="str">
        <x:v>OCEAN</x:v>
      </x:c>
      <x:c r="D7" s="11" t="str">
        <x:v>NODE-SEA-600</x:v>
      </x:c>
      <x:c r="E7" s="11" t="str">
        <x:v>No-pier maritime transfer node</x:v>
      </x:c>
      <x:c r="F7" s="13" t="n">
        <x:v>600</x:v>
      </x:c>
      <x:c r="G7" s="15" t="n">
        <x:v>0.82</x:v>
      </x:c>
      <x:c r="H7" s="21" t="n">
        <x:v>2.4</x:v>
      </x:c>
      <x:c r="I7" s="15" t="n">
        <x:v>0.05</x:v>
      </x:c>
      <x:c r="J7" s="19" t="n">
        <x:v>55</x:v>
      </x:c>
      <x:c r="K7" s="11" t="str">
        <x:v>ISO/FLR/ROL/TNK/LIN/OOG</x:v>
      </x:c>
      <x:c r="L7" s="11" t="str">
        <x:v>Rate requires lighterage, heavy handling and onward release</x:v>
      </x:c>
      <x:c r="M7" s="11" t="str">
        <x:v>DECLARED</x:v>
      </x:c>
      <x:c r="N7" s="35"/>
      <x:c r="O7" s="35"/>
      <x:c r="P7" s="35"/>
    </x:row>
    <x:row r="8">
      <x:c r="C8" s="11" t="str">
        <x:v>LAND</x:v>
      </x:c>
      <x:c r="D8" s="11" t="str">
        <x:v>NODE-LND-1000</x:v>
      </x:c>
      <x:c r="E8" s="11" t="str">
        <x:v>Road-rail intermodal release node</x:v>
      </x:c>
      <x:c r="F8" s="13" t="n">
        <x:v>1000</x:v>
      </x:c>
      <x:c r="G8" s="15" t="n">
        <x:v>0.85</x:v>
      </x:c>
      <x:c r="H8" s="21" t="n">
        <x:v>0.75</x:v>
      </x:c>
      <x:c r="I8" s="15" t="n">
        <x:v>0.05</x:v>
      </x:c>
      <x:c r="J8" s="19" t="n">
        <x:v>30</x:v>
      </x:c>
      <x:c r="K8" s="11" t="str">
        <x:v>All surface-compatible classes</x:v>
      </x:c>
      <x:c r="L8" s="11" t="str">
        <x:v>Rate requires route admission, staging and cross-dock control</x:v>
      </x:c>
      <x:c r="M8" s="11" t="str">
        <x:v>DECLARED</x:v>
      </x:c>
      <x:c r="N8" s="35"/>
      <x:c r="O8" s="35"/>
      <x:c r="P8" s="35"/>
    </x:row>
    <x:row r="9">
      <x:c r="C9" s="11" t="str">
        <x:v>INLAND</x:v>
      </x:c>
      <x:c r="D9" s="11" t="str">
        <x:v>NODE-IW-250</x:v>
      </x:c>
      <x:c r="E9" s="11" t="str">
        <x:v>Inland-water bank transfer node</x:v>
      </x:c>
      <x:c r="F9" s="13" t="n">
        <x:v>250</x:v>
      </x:c>
      <x:c r="G9" s="15" t="n">
        <x:v>0.8</x:v>
      </x:c>
      <x:c r="H9" s="21" t="n">
        <x:v>0.5</x:v>
      </x:c>
      <x:c r="I9" s="15" t="n">
        <x:v>0.05</x:v>
      </x:c>
      <x:c r="J9" s="19" t="n">
        <x:v>25</x:v>
      </x:c>
      <x:c r="K9" s="11" t="str">
        <x:v>ISO/FLR/ROL/TNK/LIN/BLK</x:v>
      </x:c>
      <x:c r="L9" s="11" t="str">
        <x:v>Rate requires safe bank, mooring and road or utility handoff</x:v>
      </x:c>
      <x:c r="M9" s="11" t="str">
        <x:v>DECLARED</x:v>
      </x:c>
      <x:c r="N9" s="35"/>
      <x:c r="O9" s="35"/>
      <x:c r="P9" s="35"/>
    </x:row>
  </x:sheetData>
  <x:conditionalFormatting sqref="M6:M9">
    <x:cfRule type="containsText" dxfId="16" priority="1" operator="containsText" text="FAIL"/>
    <x:cfRule type="containsText" dxfId="17" priority="2" operator="containsText" text="OPEN"/>
    <x:cfRule type="containsText" dxfId="18" priority="3" operator="containsText" text="BLOCKED"/>
    <x:cfRule type="containsText" dxfId="19" priority="4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f5c5c83cad77465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22" hidden="0" customWidth="1"/>
    <x:col min="4" max="4" width="10" hidden="0" customWidth="1"/>
    <x:col min="5" max="5" width="31" hidden="0" customWidth="1"/>
    <x:col min="6" max="6" width="13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8" hidden="0" customWidth="1"/>
    <x:col min="12" max="12" width="19" hidden="0" customWidth="1"/>
    <x:col min="13" max="13" width="18" hidden="0" customWidth="1"/>
    <x:col min="14" max="14" width="23" hidden="0" customWidth="1"/>
    <x:col min="15" max="15" width="17" hidden="0" customWidth="1"/>
    <x:col min="16" max="16" width="45" hidden="0" customWidth="1"/>
  </x:cols>
  <x:sheetData>
    <x:row r="2">
      <x:c r="C2" s="2" t="str">
        <x:v>Transfer-node inventory implied by deadlines</x:v>
      </x:c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</x:row>
    <x:row r="3">
      <x:c r="C3" s="3" t="str">
        <x:v>Each node inventory is sized at the binding cumulative deadline with the same service target and protected reserve.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</x:row>
    <x:row r="5">
      <x:c r="C5" s="9" t="str">
        <x:v>Node build ID</x:v>
      </x:c>
      <x:c r="D5" s="9" t="str">
        <x:v>Case</x:v>
      </x:c>
      <x:c r="E5" s="9" t="str">
        <x:v>Architecture</x:v>
      </x:c>
      <x:c r="F5" s="9" t="str">
        <x:v>Mode</x:v>
      </x:c>
      <x:c r="G5" s="9" t="str">
        <x:v>Need at 24 h</x:v>
      </x:c>
      <x:c r="H5" s="9" t="str">
        <x:v>Need at 48 h</x:v>
      </x:c>
      <x:c r="I5" s="9" t="str">
        <x:v>Need at 72 h</x:v>
      </x:c>
      <x:c r="J5" s="9" t="str">
        <x:v>Owned nodes</x:v>
      </x:c>
      <x:c r="K5" s="9" t="str">
        <x:v>Binding deadline h</x:v>
      </x:c>
      <x:c r="L5" s="9" t="str">
        <x:v>Capital $B / node</x:v>
      </x:c>
      <x:c r="M5" s="9" t="str">
        <x:v>Node capital $B</x:v>
      </x:c>
      <x:c r="N5" s="9" t="str">
        <x:v>Mature annual O&amp;S $B</x:v>
      </x:c>
      <x:c r="O5" s="9" t="str">
        <x:v>State</x:v>
      </x:c>
      <x:c r="P5" s="9" t="str">
        <x:v>Boundary</x:v>
      </x:c>
      <x:c r="Q5" s="35"/>
      <x:c r="R5" s="35"/>
      <x:c r="S5" s="35"/>
    </x:row>
    <x:row r="6">
      <x:c r="C6" s="11" t="str">
        <x:v>NODE-P1-AIR</x:v>
      </x:c>
      <x:c r="D6" s="11" t="str">
        <x:v>P1</x:v>
      </x:c>
      <x:c r="E6" s="11" t="str">
        <x:v>Scaled legacy pattern</x:v>
      </x:c>
      <x:c r="F6" s="11" t="str">
        <x:v>AIR</x:v>
      </x:c>
      <x:c r="G6" s="24" t="n">
        <x:f>'02 Demand Source'!G6*'01 Controls'!$E$6/(24*'08 Node Families'!F6*'08 Node Families'!G6*'03 Architecture Cases'!I6*(1-'01 Controls'!$E$7))</x:f>
        <x:v>57.43433062208944</x:v>
      </x:c>
      <x:c r="H6" s="24" t="n">
        <x:f>'02 Demand Source'!G7*'01 Controls'!$E$6/(48*'08 Node Families'!F6*'08 Node Families'!G6*'03 Architecture Cases'!I6*(1-'01 Controls'!$E$7))</x:f>
        <x:v>49.50337875825472</x:v>
      </x:c>
      <x:c r="I6" s="24" t="n">
        <x:f>'02 Demand Source'!G8*'01 Controls'!$E$6/(72*'08 Node Families'!F6*'08 Node Families'!G6*'03 Architecture Cases'!I6*(1-'01 Controls'!$E$7))</x:f>
        <x:v>33.002252505503144</x:v>
      </x:c>
      <x:c r="J6" s="22" t="n">
        <x:f>ROUNDUP(MAX(G6:I6),0)</x:f>
        <x:v>58</x:v>
      </x:c>
      <x:c r="K6" s="22" t="n">
        <x:f>IF(MAX(G6:I6)=G6,24,IF(MAX(G6:I6)=H6,48,72))</x:f>
        <x:v>24</x:v>
      </x:c>
      <x:c r="L6" s="23" t="n">
        <x:f>'08 Node Families'!H6</x:f>
        <x:v>1.2</x:v>
      </x:c>
      <x:c r="M6" s="23" t="n">
        <x:f>J6*L6</x:f>
        <x:v>69.6</x:v>
      </x:c>
      <x:c r="N6" s="23" t="n">
        <x:f>M6*'08 Node Families'!I6</x:f>
        <x:v>3.48</x:v>
      </x:c>
      <x:c r="O6" s="11" t="str">
        <x:v>SIZING ONLY</x:v>
      </x:c>
      <x:c r="P6" s="11" t="str">
        <x:v>Site, surface, energy, labor, queue, safety and receiver unproved</x:v>
      </x:c>
      <x:c r="Q6" s="35"/>
      <x:c r="R6" s="35"/>
      <x:c r="S6" s="35"/>
    </x:row>
    <x:row r="7">
      <x:c r="C7" s="11" t="str">
        <x:v>NODE-P1-OCEAN</x:v>
      </x:c>
      <x:c r="D7" s="11" t="str">
        <x:v>P1</x:v>
      </x:c>
      <x:c r="E7" s="11" t="str">
        <x:v>Scaled legacy pattern</x:v>
      </x:c>
      <x:c r="F7" s="11" t="str">
        <x:v>OCEAN</x:v>
      </x:c>
      <x:c r="G7" s="24" t="n">
        <x:f>'02 Demand Source'!G9*'01 Controls'!$E$6/(24*'08 Node Families'!F7*'08 Node Families'!G7*'03 Architecture Cases'!I7*(1-'01 Controls'!$E$7))</x:f>
        <x:v>21.313002234786246</x:v>
      </x:c>
      <x:c r="H7" s="24" t="n">
        <x:f>'02 Demand Source'!G10*'01 Controls'!$E$6/(48*'08 Node Families'!F7*'08 Node Families'!G7*'03 Architecture Cases'!I7*(1-'01 Controls'!$E$7))</x:f>
        <x:v>120.16074637643499</x:v>
      </x:c>
      <x:c r="I7" s="24" t="n">
        <x:f>'02 Demand Source'!G11*'01 Controls'!$E$6/(72*'08 Node Families'!F7*'08 Node Families'!G7*'03 Architecture Cases'!I7*(1-'01 Controls'!$E$7))</x:f>
        <x:v>97.81570124746507</x:v>
      </x:c>
      <x:c r="J7" s="22" t="n">
        <x:f>ROUNDUP(MAX(G7:I7),0)</x:f>
        <x:v>121</x:v>
      </x:c>
      <x:c r="K7" s="22" t="n">
        <x:f>IF(MAX(G7:I7)=G7,24,IF(MAX(G7:I7)=H7,48,72))</x:f>
        <x:v>48</x:v>
      </x:c>
      <x:c r="L7" s="23" t="n">
        <x:f>'08 Node Families'!H7</x:f>
        <x:v>2.4</x:v>
      </x:c>
      <x:c r="M7" s="23" t="n">
        <x:f>J7*L7</x:f>
        <x:v>290.4</x:v>
      </x:c>
      <x:c r="N7" s="23" t="n">
        <x:f>M7*'08 Node Families'!I7</x:f>
        <x:v>14.52</x:v>
      </x:c>
      <x:c r="O7" s="11" t="str">
        <x:v>SIZING ONLY</x:v>
      </x:c>
      <x:c r="P7" s="11" t="str">
        <x:v>Site, surface, energy, labor, queue, safety and receiver unproved</x:v>
      </x:c>
      <x:c r="Q7" s="35"/>
      <x:c r="R7" s="35"/>
      <x:c r="S7" s="35"/>
    </x:row>
    <x:row r="8">
      <x:c r="C8" s="11" t="str">
        <x:v>NODE-P1-LAND</x:v>
      </x:c>
      <x:c r="D8" s="11" t="str">
        <x:v>P1</x:v>
      </x:c>
      <x:c r="E8" s="11" t="str">
        <x:v>Scaled legacy pattern</x:v>
      </x:c>
      <x:c r="F8" s="11" t="str">
        <x:v>LAND</x:v>
      </x:c>
      <x:c r="G8" s="24" t="n">
        <x:f>'02 Demand Source'!G12*'01 Controls'!$E$6/(24*'08 Node Families'!F8*'08 Node Families'!G8*'03 Architecture Cases'!I8*(1-'01 Controls'!$E$7))</x:f>
        <x:v>38.413850534247466</x:v>
      </x:c>
      <x:c r="H8" s="24" t="n">
        <x:f>'02 Demand Source'!G13*'01 Controls'!$E$6/(48*'08 Node Families'!F8*'08 Node Families'!G8*'03 Architecture Cases'!I8*(1-'01 Controls'!$E$7))</x:f>
        <x:v>139.59684597427716</x:v>
      </x:c>
      <x:c r="I8" s="24" t="n">
        <x:f>'02 Demand Source'!G14*'01 Controls'!$E$6/(72*'08 Node Families'!F8*'08 Node Families'!G8*'03 Architecture Cases'!I8*(1-'01 Controls'!$E$7))</x:f>
        <x:v>106.7644457692514</x:v>
      </x:c>
      <x:c r="J8" s="22" t="n">
        <x:f>ROUNDUP(MAX(G8:I8),0)</x:f>
        <x:v>140</x:v>
      </x:c>
      <x:c r="K8" s="22" t="n">
        <x:f>IF(MAX(G8:I8)=G8,24,IF(MAX(G8:I8)=H8,48,72))</x:f>
        <x:v>48</x:v>
      </x:c>
      <x:c r="L8" s="23" t="n">
        <x:f>'08 Node Families'!H8</x:f>
        <x:v>0.75</x:v>
      </x:c>
      <x:c r="M8" s="23" t="n">
        <x:f>J8*L8</x:f>
        <x:v>105</x:v>
      </x:c>
      <x:c r="N8" s="23" t="n">
        <x:f>M8*'08 Node Families'!I8</x:f>
        <x:v>5.25</x:v>
      </x:c>
      <x:c r="O8" s="11" t="str">
        <x:v>SIZING ONLY</x:v>
      </x:c>
      <x:c r="P8" s="11" t="str">
        <x:v>Site, surface, energy, labor, queue, safety and receiver unproved</x:v>
      </x:c>
      <x:c r="Q8" s="35"/>
      <x:c r="R8" s="35"/>
      <x:c r="S8" s="35"/>
    </x:row>
    <x:row r="9">
      <x:c r="C9" s="11" t="str">
        <x:v>NODE-P1-INLAND</x:v>
      </x:c>
      <x:c r="D9" s="11" t="str">
        <x:v>P1</x:v>
      </x:c>
      <x:c r="E9" s="11" t="str">
        <x:v>Scaled legacy pattern</x:v>
      </x:c>
      <x:c r="F9" s="11" t="str">
        <x:v>INLAND</x:v>
      </x:c>
      <x:c r="G9" s="24" t="n">
        <x:f>'02 Demand Source'!G15*'01 Controls'!$E$6/(24*'08 Node Families'!F9*'08 Node Families'!G9*'03 Architecture Cases'!I9*(1-'01 Controls'!$E$7))</x:f>
        <x:v>5.993744516834977</x:v>
      </x:c>
      <x:c r="H9" s="24" t="n">
        <x:f>'02 Demand Source'!G16*'01 Controls'!$E$6/(48*'08 Node Families'!F9*'08 Node Families'!G9*'03 Architecture Cases'!I9*(1-'01 Controls'!$E$7))</x:f>
        <x:v>47.39178784993757</x:v>
      </x:c>
      <x:c r="I9" s="24" t="n">
        <x:f>'02 Demand Source'!G17*'01 Controls'!$E$6/(72*'08 Node Families'!F9*'08 Node Families'!G9*'03 Architecture Cases'!I9*(1-'01 Controls'!$E$7))</x:f>
        <x:v>38.46638243697284</x:v>
      </x:c>
      <x:c r="J9" s="22" t="n">
        <x:f>ROUNDUP(MAX(G9:I9),0)</x:f>
        <x:v>48</x:v>
      </x:c>
      <x:c r="K9" s="22" t="n">
        <x:f>IF(MAX(G9:I9)=G9,24,IF(MAX(G9:I9)=H9,48,72))</x:f>
        <x:v>48</x:v>
      </x:c>
      <x:c r="L9" s="23" t="n">
        <x:f>'08 Node Families'!H9</x:f>
        <x:v>0.5</x:v>
      </x:c>
      <x:c r="M9" s="23" t="n">
        <x:f>J9*L9</x:f>
        <x:v>24</x:v>
      </x:c>
      <x:c r="N9" s="23" t="n">
        <x:f>M9*'08 Node Families'!I9</x:f>
        <x:v>1.2000000000000002</x:v>
      </x:c>
      <x:c r="O9" s="11" t="str">
        <x:v>SIZING ONLY</x:v>
      </x:c>
      <x:c r="P9" s="11" t="str">
        <x:v>Site, surface, energy, labor, queue, safety and receiver unproved</x:v>
      </x:c>
      <x:c r="Q9" s="35"/>
      <x:c r="R9" s="35"/>
      <x:c r="S9" s="35"/>
    </x:row>
    <x:row r="10">
      <x:c r="C10" s="11" t="str">
        <x:v>NODE-P2-AIR</x:v>
      </x:c>
      <x:c r="D10" s="11" t="str">
        <x:v>P2</x:v>
      </x:c>
      <x:c r="E10" s="11" t="str">
        <x:v>Ready carrier-node force</x:v>
      </x:c>
      <x:c r="F10" s="11" t="str">
        <x:v>AIR</x:v>
      </x:c>
      <x:c r="G10" s="24" t="n">
        <x:f>'02 Demand Source'!G6*'01 Controls'!$E$6/(24*'08 Node Families'!F6*'08 Node Families'!G6*'03 Architecture Cases'!I10*(1-'01 Controls'!$E$7))</x:f>
        <x:v>48.94971359837168</x:v>
      </x:c>
      <x:c r="H10" s="24" t="n">
        <x:f>'02 Demand Source'!G7*'01 Controls'!$E$6/(48*'08 Node Families'!F6*'08 Node Families'!G6*'03 Architecture Cases'!I10*(1-'01 Controls'!$E$7))</x:f>
        <x:v>42.19037962351254</x:v>
      </x:c>
      <x:c r="I10" s="24" t="n">
        <x:f>'02 Demand Source'!G8*'01 Controls'!$E$6/(72*'08 Node Families'!F6*'08 Node Families'!G6*'03 Architecture Cases'!I10*(1-'01 Controls'!$E$7))</x:f>
        <x:v>28.126919749008362</x:v>
      </x:c>
      <x:c r="J10" s="22" t="n">
        <x:f>ROUNDUP(MAX(G10:I10),0)</x:f>
        <x:v>49</x:v>
      </x:c>
      <x:c r="K10" s="22" t="n">
        <x:f>IF(MAX(G10:I10)=G10,24,IF(MAX(G10:I10)=H10,48,72))</x:f>
        <x:v>24</x:v>
      </x:c>
      <x:c r="L10" s="23" t="n">
        <x:f>'08 Node Families'!H6</x:f>
        <x:v>1.2</x:v>
      </x:c>
      <x:c r="M10" s="23" t="n">
        <x:f>J10*L10</x:f>
        <x:v>58.8</x:v>
      </x:c>
      <x:c r="N10" s="23" t="n">
        <x:f>M10*'08 Node Families'!I6</x:f>
        <x:v>2.94</x:v>
      </x:c>
      <x:c r="O10" s="11" t="str">
        <x:v>SIZING ONLY</x:v>
      </x:c>
      <x:c r="P10" s="11" t="str">
        <x:v>Site, surface, energy, labor, queue, safety and receiver unproved</x:v>
      </x:c>
      <x:c r="Q10" s="35"/>
      <x:c r="R10" s="35"/>
      <x:c r="S10" s="35"/>
    </x:row>
    <x:row r="11">
      <x:c r="C11" s="11" t="str">
        <x:v>NODE-P2-OCEAN</x:v>
      </x:c>
      <x:c r="D11" s="11" t="str">
        <x:v>P2</x:v>
      </x:c>
      <x:c r="E11" s="11" t="str">
        <x:v>Ready carrier-node force</x:v>
      </x:c>
      <x:c r="F11" s="11" t="str">
        <x:v>OCEAN</x:v>
      </x:c>
      <x:c r="G11" s="24" t="n">
        <x:f>'02 Demand Source'!G9*'01 Controls'!$E$6/(24*'08 Node Families'!F7*'08 Node Families'!G7*'03 Architecture Cases'!I11*(1-'01 Controls'!$E$7))</x:f>
        <x:v>18.164490541011006</x:v>
      </x:c>
      <x:c r="H11" s="24" t="n">
        <x:f>'02 Demand Source'!G10*'01 Controls'!$E$6/(48*'08 Node Families'!F7*'08 Node Families'!G7*'03 Architecture Cases'!I11*(1-'01 Controls'!$E$7))</x:f>
        <x:v>102.40972702537073</x:v>
      </x:c>
      <x:c r="I11" s="24" t="n">
        <x:f>'02 Demand Source'!G11*'01 Controls'!$E$6/(72*'08 Node Families'!F7*'08 Node Families'!G7*'03 Architecture Cases'!I11*(1-'01 Controls'!$E$7))</x:f>
        <x:v>83.36565447227137</x:v>
      </x:c>
      <x:c r="J11" s="22" t="n">
        <x:f>ROUNDUP(MAX(G11:I11),0)</x:f>
        <x:v>103</x:v>
      </x:c>
      <x:c r="K11" s="22" t="n">
        <x:f>IF(MAX(G11:I11)=G11,24,IF(MAX(G11:I11)=H11,48,72))</x:f>
        <x:v>48</x:v>
      </x:c>
      <x:c r="L11" s="23" t="n">
        <x:f>'08 Node Families'!H7</x:f>
        <x:v>2.4</x:v>
      </x:c>
      <x:c r="M11" s="23" t="n">
        <x:f>J11*L11</x:f>
        <x:v>247.2</x:v>
      </x:c>
      <x:c r="N11" s="23" t="n">
        <x:f>M11*'08 Node Families'!I7</x:f>
        <x:v>12.36</x:v>
      </x:c>
      <x:c r="O11" s="11" t="str">
        <x:v>SIZING ONLY</x:v>
      </x:c>
      <x:c r="P11" s="11" t="str">
        <x:v>Site, surface, energy, labor, queue, safety and receiver unproved</x:v>
      </x:c>
      <x:c r="Q11" s="35"/>
      <x:c r="R11" s="35"/>
      <x:c r="S11" s="35"/>
    </x:row>
    <x:row r="12">
      <x:c r="C12" s="11" t="str">
        <x:v>NODE-P2-LAND</x:v>
      </x:c>
      <x:c r="D12" s="11" t="str">
        <x:v>P2</x:v>
      </x:c>
      <x:c r="E12" s="11" t="str">
        <x:v>Ready carrier-node force</x:v>
      </x:c>
      <x:c r="F12" s="11" t="str">
        <x:v>LAND</x:v>
      </x:c>
      <x:c r="G12" s="24" t="n">
        <x:f>'02 Demand Source'!G12*'01 Controls'!$E$6/(24*'08 Node Families'!F8*'08 Node Families'!G8*'03 Architecture Cases'!I12*(1-'01 Controls'!$E$7))</x:f>
        <x:v>32.73907715987</x:v>
      </x:c>
      <x:c r="H12" s="24" t="n">
        <x:f>'02 Demand Source'!G13*'01 Controls'!$E$6/(48*'08 Node Families'!F8*'08 Node Families'!G8*'03 Architecture Cases'!I12*(1-'01 Controls'!$E$7))</x:f>
        <x:v>118.97458463716802</x:v>
      </x:c>
      <x:c r="I12" s="24" t="n">
        <x:f>'02 Demand Source'!G14*'01 Controls'!$E$6/(72*'08 Node Families'!F8*'08 Node Families'!G8*'03 Architecture Cases'!I12*(1-'01 Controls'!$E$7))</x:f>
        <x:v>90.99242537152108</x:v>
      </x:c>
      <x:c r="J12" s="22" t="n">
        <x:f>ROUNDUP(MAX(G12:I12),0)</x:f>
        <x:v>119</x:v>
      </x:c>
      <x:c r="K12" s="22" t="n">
        <x:f>IF(MAX(G12:I12)=G12,24,IF(MAX(G12:I12)=H12,48,72))</x:f>
        <x:v>48</x:v>
      </x:c>
      <x:c r="L12" s="23" t="n">
        <x:f>'08 Node Families'!H8</x:f>
        <x:v>0.75</x:v>
      </x:c>
      <x:c r="M12" s="23" t="n">
        <x:f>J12*L12</x:f>
        <x:v>89.25</x:v>
      </x:c>
      <x:c r="N12" s="23" t="n">
        <x:f>M12*'08 Node Families'!I8</x:f>
        <x:v>4.4625</x:v>
      </x:c>
      <x:c r="O12" s="11" t="str">
        <x:v>SIZING ONLY</x:v>
      </x:c>
      <x:c r="P12" s="11" t="str">
        <x:v>Site, surface, energy, labor, queue, safety and receiver unproved</x:v>
      </x:c>
      <x:c r="Q12" s="35"/>
      <x:c r="R12" s="35"/>
      <x:c r="S12" s="35"/>
    </x:row>
    <x:row r="13">
      <x:c r="C13" s="11" t="str">
        <x:v>NODE-P2-INLAND</x:v>
      </x:c>
      <x:c r="D13" s="11" t="str">
        <x:v>P2</x:v>
      </x:c>
      <x:c r="E13" s="11" t="str">
        <x:v>Ready carrier-node force</x:v>
      </x:c>
      <x:c r="F13" s="11" t="str">
        <x:v>INLAND</x:v>
      </x:c>
      <x:c r="G13" s="24" t="n">
        <x:f>'02 Demand Source'!G15*'01 Controls'!$E$6/(24*'08 Node Families'!F9*'08 Node Families'!G9*'03 Architecture Cases'!I13*(1-'01 Controls'!$E$7))</x:f>
        <x:v>5.108304985938901</x:v>
      </x:c>
      <x:c r="H13" s="24" t="n">
        <x:f>'02 Demand Source'!G16*'01 Controls'!$E$6/(48*'08 Node Families'!F9*'08 Node Families'!G9*'03 Architecture Cases'!I13*(1-'01 Controls'!$E$7))</x:f>
        <x:v>40.39072828119679</x:v>
      </x:c>
      <x:c r="I13" s="24" t="n">
        <x:f>'02 Demand Source'!G17*'01 Controls'!$E$6/(72*'08 Node Families'!F9*'08 Node Families'!G9*'03 Architecture Cases'!I13*(1-'01 Controls'!$E$7))</x:f>
        <x:v>32.78384866787458</x:v>
      </x:c>
      <x:c r="J13" s="22" t="n">
        <x:f>ROUNDUP(MAX(G13:I13),0)</x:f>
        <x:v>41</x:v>
      </x:c>
      <x:c r="K13" s="22" t="n">
        <x:f>IF(MAX(G13:I13)=G13,24,IF(MAX(G13:I13)=H13,48,72))</x:f>
        <x:v>48</x:v>
      </x:c>
      <x:c r="L13" s="23" t="n">
        <x:f>'08 Node Families'!H9</x:f>
        <x:v>0.5</x:v>
      </x:c>
      <x:c r="M13" s="23" t="n">
        <x:f>J13*L13</x:f>
        <x:v>20.5</x:v>
      </x:c>
      <x:c r="N13" s="23" t="n">
        <x:f>M13*'08 Node Families'!I9</x:f>
        <x:v>1.0250000000000001</x:v>
      </x:c>
      <x:c r="O13" s="11" t="str">
        <x:v>SIZING ONLY</x:v>
      </x:c>
      <x:c r="P13" s="11" t="str">
        <x:v>Site, surface, energy, labor, queue, safety and receiver unproved</x:v>
      </x:c>
      <x:c r="Q13" s="35"/>
      <x:c r="R13" s="35"/>
      <x:c r="S13" s="35"/>
    </x:row>
    <x:row r="14">
      <x:c r="C14" s="11" t="str">
        <x:v>NODE-P3-AIR</x:v>
      </x:c>
      <x:c r="D14" s="11" t="str">
        <x:v>P3</x:v>
      </x:c>
      <x:c r="E14" s="11" t="str">
        <x:v>Distributed high-activation network</x:v>
      </x:c>
      <x:c r="F14" s="11" t="str">
        <x:v>AIR</x:v>
      </x:c>
      <x:c r="G14" s="24" t="n">
        <x:f>'02 Demand Source'!G6*'01 Controls'!$E$6/(24*'08 Node Families'!F6*'08 Node Families'!G6*'03 Architecture Cases'!I14*(1-'01 Controls'!$E$7))</x:f>
        <x:v>46.31800856620116</x:v>
      </x:c>
      <x:c r="H14" s="24" t="n">
        <x:f>'02 Demand Source'!G7*'01 Controls'!$E$6/(48*'08 Node Families'!F6*'08 Node Families'!G6*'03 Architecture Cases'!I14*(1-'01 Controls'!$E$7))</x:f>
        <x:v>39.9220796437538</x:v>
      </x:c>
      <x:c r="I14" s="24" t="n">
        <x:f>'02 Demand Source'!G8*'01 Controls'!$E$6/(72*'08 Node Families'!F6*'08 Node Families'!G6*'03 Architecture Cases'!I14*(1-'01 Controls'!$E$7))</x:f>
        <x:v>26.614719762502535</x:v>
      </x:c>
      <x:c r="J14" s="22" t="n">
        <x:f>ROUNDUP(MAX(G14:I14),0)</x:f>
        <x:v>47</x:v>
      </x:c>
      <x:c r="K14" s="22" t="n">
        <x:f>IF(MAX(G14:I14)=G14,24,IF(MAX(G14:I14)=H14,48,72))</x:f>
        <x:v>24</x:v>
      </x:c>
      <x:c r="L14" s="23" t="n">
        <x:f>'08 Node Families'!H6</x:f>
        <x:v>1.2</x:v>
      </x:c>
      <x:c r="M14" s="23" t="n">
        <x:f>J14*L14</x:f>
        <x:v>56.4</x:v>
      </x:c>
      <x:c r="N14" s="23" t="n">
        <x:f>M14*'08 Node Families'!I6</x:f>
        <x:v>2.8200000000000003</x:v>
      </x:c>
      <x:c r="O14" s="11" t="str">
        <x:v>SIZING ONLY</x:v>
      </x:c>
      <x:c r="P14" s="11" t="str">
        <x:v>Site, surface, energy, labor, queue, safety and receiver unproved</x:v>
      </x:c>
      <x:c r="Q14" s="35"/>
      <x:c r="R14" s="35"/>
      <x:c r="S14" s="35"/>
    </x:row>
    <x:row r="15">
      <x:c r="C15" s="11" t="str">
        <x:v>NODE-P3-OCEAN</x:v>
      </x:c>
      <x:c r="D15" s="11" t="str">
        <x:v>P3</x:v>
      </x:c>
      <x:c r="E15" s="11" t="str">
        <x:v>Distributed high-activation network</x:v>
      </x:c>
      <x:c r="F15" s="11" t="str">
        <x:v>OCEAN</x:v>
      </x:c>
      <x:c r="G15" s="24" t="n">
        <x:f>'02 Demand Source'!G9*'01 Controls'!$E$6/(24*'08 Node Families'!F7*'08 Node Families'!G7*'03 Architecture Cases'!I15*(1-'01 Controls'!$E$7))</x:f>
        <x:v>17.187905028053425</x:v>
      </x:c>
      <x:c r="H15" s="24" t="n">
        <x:f>'02 Demand Source'!G10*'01 Controls'!$E$6/(48*'08 Node Families'!F7*'08 Node Families'!G7*'03 Architecture Cases'!I15*(1-'01 Controls'!$E$7))</x:f>
        <x:v>96.90382772293145</x:v>
      </x:c>
      <x:c r="I15" s="24" t="n">
        <x:f>'02 Demand Source'!G11*'01 Controls'!$E$6/(72*'08 Node Families'!F7*'08 Node Families'!G7*'03 Architecture Cases'!I15*(1-'01 Controls'!$E$7))</x:f>
        <x:v>78.88363003827828</x:v>
      </x:c>
      <x:c r="J15" s="22" t="n">
        <x:f>ROUNDUP(MAX(G15:I15),0)</x:f>
        <x:v>97</x:v>
      </x:c>
      <x:c r="K15" s="22" t="n">
        <x:f>IF(MAX(G15:I15)=G15,24,IF(MAX(G15:I15)=H15,48,72))</x:f>
        <x:v>48</x:v>
      </x:c>
      <x:c r="L15" s="23" t="n">
        <x:f>'08 Node Families'!H7</x:f>
        <x:v>2.4</x:v>
      </x:c>
      <x:c r="M15" s="23" t="n">
        <x:f>J15*L15</x:f>
        <x:v>232.79999999999998</x:v>
      </x:c>
      <x:c r="N15" s="23" t="n">
        <x:f>M15*'08 Node Families'!I7</x:f>
        <x:v>11.64</x:v>
      </x:c>
      <x:c r="O15" s="11" t="str">
        <x:v>SIZING ONLY</x:v>
      </x:c>
      <x:c r="P15" s="11" t="str">
        <x:v>Site, surface, energy, labor, queue, safety and receiver unproved</x:v>
      </x:c>
      <x:c r="Q15" s="35"/>
      <x:c r="R15" s="35"/>
      <x:c r="S15" s="35"/>
    </x:row>
    <x:row r="16">
      <x:c r="C16" s="11" t="str">
        <x:v>NODE-P3-LAND</x:v>
      </x:c>
      <x:c r="D16" s="11" t="str">
        <x:v>P3</x:v>
      </x:c>
      <x:c r="E16" s="11" t="str">
        <x:v>Distributed high-activation network</x:v>
      </x:c>
      <x:c r="F16" s="11" t="str">
        <x:v>LAND</x:v>
      </x:c>
      <x:c r="G16" s="24" t="n">
        <x:f>'02 Demand Source'!G12*'01 Controls'!$E$6/(24*'08 Node Families'!F8*'08 Node Families'!G8*'03 Architecture Cases'!I16*(1-'01 Controls'!$E$7))</x:f>
        <x:v>30.97891172116731</x:v>
      </x:c>
      <x:c r="H16" s="24" t="n">
        <x:f>'02 Demand Source'!G13*'01 Controls'!$E$6/(48*'08 Node Families'!F8*'08 Node Families'!G8*'03 Architecture Cases'!I16*(1-'01 Controls'!$E$7))</x:f>
        <x:v>112.57810159215899</x:v>
      </x:c>
      <x:c r="I16" s="24" t="n">
        <x:f>'02 Demand Source'!G14*'01 Controls'!$E$6/(72*'08 Node Families'!F8*'08 Node Families'!G8*'03 Architecture Cases'!I16*(1-'01 Controls'!$E$7))</x:f>
        <x:v>86.10035949133177</x:v>
      </x:c>
      <x:c r="J16" s="22" t="n">
        <x:f>ROUNDUP(MAX(G16:I16),0)</x:f>
        <x:v>113</x:v>
      </x:c>
      <x:c r="K16" s="22" t="n">
        <x:f>IF(MAX(G16:I16)=G16,24,IF(MAX(G16:I16)=H16,48,72))</x:f>
        <x:v>48</x:v>
      </x:c>
      <x:c r="L16" s="23" t="n">
        <x:f>'08 Node Families'!H8</x:f>
        <x:v>0.75</x:v>
      </x:c>
      <x:c r="M16" s="23" t="n">
        <x:f>J16*L16</x:f>
        <x:v>84.75</x:v>
      </x:c>
      <x:c r="N16" s="23" t="n">
        <x:f>M16*'08 Node Families'!I8</x:f>
        <x:v>4.2375</x:v>
      </x:c>
      <x:c r="O16" s="11" t="str">
        <x:v>SIZING ONLY</x:v>
      </x:c>
      <x:c r="P16" s="11" t="str">
        <x:v>Site, surface, energy, labor, queue, safety and receiver unproved</x:v>
      </x:c>
      <x:c r="Q16" s="35"/>
      <x:c r="R16" s="35"/>
      <x:c r="S16" s="35"/>
    </x:row>
    <x:row r="17">
      <x:c r="C17" s="11" t="str">
        <x:v>NODE-P3-INLAND</x:v>
      </x:c>
      <x:c r="D17" s="11" t="str">
        <x:v>P3</x:v>
      </x:c>
      <x:c r="E17" s="11" t="str">
        <x:v>Distributed high-activation network</x:v>
      </x:c>
      <x:c r="F17" s="11" t="str">
        <x:v>INLAND</x:v>
      </x:c>
      <x:c r="G17" s="24" t="n">
        <x:f>'02 Demand Source'!G15*'01 Controls'!$E$6/(24*'08 Node Families'!F9*'08 Node Families'!G9*'03 Architecture Cases'!I17*(1-'01 Controls'!$E$7))</x:f>
        <x:v>4.833664932931432</x:v>
      </x:c>
      <x:c r="H17" s="24" t="n">
        <x:f>'02 Demand Source'!G16*'01 Controls'!$E$6/(48*'08 Node Families'!F9*'08 Node Families'!G9*'03 Architecture Cases'!I17*(1-'01 Controls'!$E$7))</x:f>
        <x:v>38.21918374994966</x:v>
      </x:c>
      <x:c r="I17" s="24" t="n">
        <x:f>'02 Demand Source'!G17*'01 Controls'!$E$6/(72*'08 Node Families'!F9*'08 Node Families'!G9*'03 Architecture Cases'!I17*(1-'01 Controls'!$E$7))</x:f>
        <x:v>31.021276158849066</x:v>
      </x:c>
      <x:c r="J17" s="22" t="n">
        <x:f>ROUNDUP(MAX(G17:I17),0)</x:f>
        <x:v>39</x:v>
      </x:c>
      <x:c r="K17" s="22" t="n">
        <x:f>IF(MAX(G17:I17)=G17,24,IF(MAX(G17:I17)=H17,48,72))</x:f>
        <x:v>48</x:v>
      </x:c>
      <x:c r="L17" s="23" t="n">
        <x:f>'08 Node Families'!H9</x:f>
        <x:v>0.5</x:v>
      </x:c>
      <x:c r="M17" s="23" t="n">
        <x:f>J17*L17</x:f>
        <x:v>19.5</x:v>
      </x:c>
      <x:c r="N17" s="23" t="n">
        <x:f>M17*'08 Node Families'!I9</x:f>
        <x:v>0.9750000000000001</x:v>
      </x:c>
      <x:c r="O17" s="11" t="str">
        <x:v>SIZING ONLY</x:v>
      </x:c>
      <x:c r="P17" s="11" t="str">
        <x:v>Site, surface, energy, labor, queue, safety and receiver unproved</x:v>
      </x:c>
      <x:c r="Q17" s="35"/>
      <x:c r="R17" s="35"/>
      <x:c r="S17" s="35"/>
    </x:row>
  </x:sheetData>
  <x:conditionalFormatting sqref="O6:O17">
    <x:cfRule type="containsText" dxfId="20" priority="1" operator="containsText" text="FAIL"/>
    <x:cfRule type="containsText" dxfId="21" priority="2" operator="containsText" text="OPEN"/>
    <x:cfRule type="containsText" dxfId="22" priority="3" operator="containsText" text="BLOCKED"/>
    <x:cfRule type="containsText" dxfId="23" priority="4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793c60fd5d1a4ad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10" hidden="0" customWidth="1"/>
    <x:col min="4" max="4" width="31" hidden="0" customWidth="1"/>
    <x:col min="5" max="5" width="17" hidden="0" customWidth="1"/>
    <x:col min="6" max="6" width="19" hidden="0" customWidth="1"/>
    <x:col min="7" max="7" width="16" hidden="0" customWidth="1"/>
    <x:col min="8" max="8" width="20" hidden="0" customWidth="1"/>
    <x:col min="9" max="9" width="18" hidden="0" customWidth="1"/>
    <x:col min="10" max="10" width="16" hidden="0" customWidth="1"/>
    <x:col min="11" max="11" width="20" hidden="0" customWidth="1"/>
    <x:col min="12" max="12" width="18" hidden="0" customWidth="1"/>
    <x:col min="13" max="13" width="22" hidden="0" customWidth="1"/>
    <x:col min="14" max="14" width="19" hidden="0" customWidth="1"/>
    <x:col min="15" max="15" width="18" hidden="0" customWidth="1"/>
    <x:col min="16" max="16" width="19" hidden="0" customWidth="1"/>
    <x:col min="17" max="17" width="17" hidden="0" customWidth="1"/>
    <x:col min="18" max="18" width="17" hidden="0" customWidth="1"/>
    <x:col min="19" max="19" width="19" hidden="0" customWidth="1"/>
    <x:col min="20" max="20" width="19" hidden="0" customWidth="1"/>
    <x:col min="21" max="21" width="19" hidden="0" customWidth="1"/>
    <x:col min="22" max="22" width="21" hidden="0" customWidth="1"/>
    <x:col min="23" max="23" width="16" hidden="0" customWidth="1"/>
    <x:col min="24" max="24" width="18" hidden="0" customWidth="1"/>
    <x:col min="25" max="25" width="34" hidden="0" customWidth="1"/>
  </x:cols>
  <x:sheetData>
    <x:row r="2">
      <x:c r="C2" s="2" t="str">
        <x:v>Twenty-five-year carrier-node program comparison</x:v>
      </x:c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</x:row>
    <x:row r="3">
      <x:c r="C3" s="3" t="str">
        <x:v>Real 2026-dollar planning hypotheses. Costs include development, owned fleet, nodes, bases, spares, program reserve and ramped operations.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C5" s="9" t="str">
        <x:v>Case</x:v>
      </x:c>
      <x:c r="D5" s="9" t="str">
        <x:v>Architecture</x:v>
      </x:c>
      <x:c r="E5" s="9" t="str">
        <x:v>Carrier groups</x:v>
      </x:c>
      <x:c r="F5" s="9" t="str">
        <x:v>Physical platforms</x:v>
      </x:c>
      <x:c r="G5" s="9" t="str">
        <x:v>Transfer nodes</x:v>
      </x:c>
      <x:c r="H5" s="9" t="str">
        <x:v>Fleet procurement $B</x:v>
      </x:c>
      <x:c r="I5" s="9" t="str">
        <x:v>Node capital $B</x:v>
      </x:c>
      <x:c r="J5" s="9" t="str">
        <x:v>RDT&amp;E $B</x:v>
      </x:c>
      <x:c r="K5" s="9" t="str">
        <x:v>Bases and depots $B</x:v>
      </x:c>
      <x:c r="L5" s="9" t="str">
        <x:v>Initial spares $B</x:v>
      </x:c>
      <x:c r="M5" s="9" t="str">
        <x:v>Pre-reserve capital $B</x:v>
      </x:c>
      <x:c r="N5" s="9" t="str">
        <x:v>Program reserve $B</x:v>
      </x:c>
      <x:c r="O5" s="9" t="str">
        <x:v>Total capital $B</x:v>
      </x:c>
      <x:c r="P5" s="9" t="str">
        <x:v>Carrier O&amp;S $B/y</x:v>
      </x:c>
      <x:c r="Q5" s="9" t="str">
        <x:v>Node O&amp;S $B/y</x:v>
      </x:c>
      <x:c r="R5" s="9" t="str">
        <x:v>Base O&amp;S $B/y</x:v>
      </x:c>
      <x:c r="S5" s="9" t="str">
        <x:v>Mature O&amp;S $B/y</x:v>
      </x:c>
      <x:c r="T5" s="9" t="str">
        <x:v>Equivalent fleet-years</x:v>
      </x:c>
      <x:c r="U5" s="9" t="str">
        <x:v>25-year O&amp;S $B</x:v>
      </x:c>
      <x:c r="V5" s="9" t="str">
        <x:v>25-year program $B</x:v>
      </x:c>
      <x:c r="W5" s="9" t="str">
        <x:v>$1T coverage</x:v>
      </x:c>
      <x:c r="X5" s="9" t="str">
        <x:v>Receiver admissions</x:v>
      </x:c>
      <x:c r="Y5" s="9" t="str">
        <x:v>Decision</x:v>
      </x:c>
      <x:c r="Z5" s="35"/>
    </x:row>
    <x:row r="6">
      <x:c r="C6" s="11" t="str">
        <x:v>P1</x:v>
      </x:c>
      <x:c r="D6" s="11" t="str">
        <x:v>Scaled legacy pattern</x:v>
      </x:c>
      <x:c r="E6" s="22" t="n">
        <x:f>SUMIFS('07 Fleet Build'!$I$6:$I$17,'07 Fleet Build'!$D$6:$D$17,C6)</x:f>
        <x:v>1119</x:v>
      </x:c>
      <x:c r="F6" s="22" t="n">
        <x:f>SUMIFS('07 Fleet Build'!$K$6:$K$17,'07 Fleet Build'!$D$6:$D$17,C6)</x:f>
        <x:v>156825</x:v>
      </x:c>
      <x:c r="G6" s="22" t="n">
        <x:f>SUMIFS('09 Node Build'!$J$6:$J$17,'09 Node Build'!$D$6:$D$17,C6)</x:f>
        <x:v>367</x:v>
      </x:c>
      <x:c r="H6" s="23" t="n">
        <x:f>SUMIFS('07 Fleet Build'!$M$6:$M$17,'07 Fleet Build'!$D$6:$D$17,C6)</x:f>
        <x:v>3954.15</x:v>
      </x:c>
      <x:c r="I6" s="23" t="n">
        <x:f>SUMIFS('09 Node Build'!$M$6:$M$17,'09 Node Build'!$D$6:$D$17,C6)</x:f>
        <x:v>489</x:v>
      </x:c>
      <x:c r="J6" s="23" t="n">
        <x:v>120</x:v>
      </x:c>
      <x:c r="K6" s="23" t="n">
        <x:f>(H6+I6)*'01 Controls'!$E$10</x:f>
        <x:v>1110.7875</x:v>
      </x:c>
      <x:c r="L6" s="23" t="n">
        <x:f>H6*'01 Controls'!$E$11</x:f>
        <x:v>593.1225</x:v>
      </x:c>
      <x:c r="M6" s="23" t="n">
        <x:f>SUM(H6:L6)</x:f>
        <x:v>6267.0599999999995</x:v>
      </x:c>
      <x:c r="N6" s="23" t="n">
        <x:f>M6*'01 Controls'!$E$9</x:f>
        <x:v>1253.412</x:v>
      </x:c>
      <x:c r="O6" s="23" t="n">
        <x:f>M6+N6</x:f>
        <x:v>7520.472</x:v>
      </x:c>
      <x:c r="P6" s="23" t="n">
        <x:f>SUMIFS('07 Fleet Build'!$N$6:$N$17,'07 Fleet Build'!$D$6:$D$17,C6)</x:f>
        <x:v>182.2605</x:v>
      </x:c>
      <x:c r="Q6" s="23" t="n">
        <x:f>I6*'01 Controls'!$E$12</x:f>
        <x:v>24.450000000000003</x:v>
      </x:c>
      <x:c r="R6" s="23" t="n">
        <x:f>K6*'01 Controls'!$E$13</x:f>
        <x:v>33.32362499999999</x:v>
      </x:c>
      <x:c r="S6" s="23" t="n">
        <x:f>SUM(P6:R6)</x:f>
        <x:v>240.03412500000002</x:v>
      </x:c>
      <x:c r="T6" s="25" t="n">
        <x:f>'01 Controls'!$E$15</x:f>
        <x:v>9.05</x:v>
      </x:c>
      <x:c r="U6" s="23" t="n">
        <x:f>S6*T6</x:f>
        <x:v>2172.3088312500004</x:v>
      </x:c>
      <x:c r="V6" s="23" t="n">
        <x:f>O6+U6</x:f>
        <x:v>9692.78083125</x:v>
      </x:c>
      <x:c r="W6" s="18" t="n">
        <x:f>'01 Controls'!$E$8/V6</x:f>
        <x:v>0.10316956685701084</x:v>
      </x:c>
      <x:c r="X6" s="26" t="n">
        <x:v>0</x:v>
      </x:c>
      <x:c r="Y6" s="11" t="str">
        <x:f>IF(X6=0,"REQUIREMENT ENVELOPE; RECEIVER OPEN","ELIGIBLE FOR TRIAL")</x:f>
        <x:v>REQUIREMENT ENVELOPE; RECEIVER OPEN</x:v>
      </x:c>
      <x:c r="Z6" s="35"/>
    </x:row>
    <x:row r="7">
      <x:c r="C7" s="11" t="str">
        <x:v>P2</x:v>
      </x:c>
      <x:c r="D7" s="11" t="str">
        <x:v>Ready carrier-node force</x:v>
      </x:c>
      <x:c r="E7" s="22" t="n">
        <x:f>SUMIFS('07 Fleet Build'!$I$6:$I$17,'07 Fleet Build'!$D$6:$D$17,C7)</x:f>
        <x:v>652</x:v>
      </x:c>
      <x:c r="F7" s="22" t="n">
        <x:f>SUMIFS('07 Fleet Build'!$K$6:$K$17,'07 Fleet Build'!$D$6:$D$17,C7)</x:f>
        <x:v>100461</x:v>
      </x:c>
      <x:c r="G7" s="22" t="n">
        <x:f>SUMIFS('09 Node Build'!$J$6:$J$17,'09 Node Build'!$D$6:$D$17,C7)</x:f>
        <x:v>312</x:v>
      </x:c>
      <x:c r="H7" s="23" t="n">
        <x:f>SUMIFS('07 Fleet Build'!$M$6:$M$17,'07 Fleet Build'!$D$6:$D$17,C7)</x:f>
        <x:v>2177.8500000000004</x:v>
      </x:c>
      <x:c r="I7" s="23" t="n">
        <x:f>SUMIFS('09 Node Build'!$M$6:$M$17,'09 Node Build'!$D$6:$D$17,C7)</x:f>
        <x:v>415.75</x:v>
      </x:c>
      <x:c r="J7" s="23" t="n">
        <x:v>380</x:v>
      </x:c>
      <x:c r="K7" s="23" t="n">
        <x:f>(H7+I7)*'01 Controls'!$E$10</x:f>
        <x:v>648.4000000000001</x:v>
      </x:c>
      <x:c r="L7" s="23" t="n">
        <x:f>H7*'01 Controls'!$E$11</x:f>
        <x:v>326.67750000000007</x:v>
      </x:c>
      <x:c r="M7" s="23" t="n">
        <x:f>SUM(H7:L7)</x:f>
        <x:v>3948.6775000000007</x:v>
      </x:c>
      <x:c r="N7" s="23" t="n">
        <x:f>M7*'01 Controls'!$E$9</x:f>
        <x:v>789.7355000000002</x:v>
      </x:c>
      <x:c r="O7" s="23" t="n">
        <x:f>M7+N7</x:f>
        <x:v>4738.4130000000005</x:v>
      </x:c>
      <x:c r="P7" s="23" t="n">
        <x:f>SUMIFS('07 Fleet Build'!$N$6:$N$17,'07 Fleet Build'!$D$6:$D$17,C7)</x:f>
        <x:v>100.58850000000001</x:v>
      </x:c>
      <x:c r="Q7" s="23" t="n">
        <x:f>I7*'01 Controls'!$E$12</x:f>
        <x:v>20.7875</x:v>
      </x:c>
      <x:c r="R7" s="23" t="n">
        <x:f>K7*'01 Controls'!$E$13</x:f>
        <x:v>19.452</x:v>
      </x:c>
      <x:c r="S7" s="23" t="n">
        <x:f>SUM(P7:R7)</x:f>
        <x:v>140.828</x:v>
      </x:c>
      <x:c r="T7" s="25" t="n">
        <x:f>'01 Controls'!$E$15</x:f>
        <x:v>9.05</x:v>
      </x:c>
      <x:c r="U7" s="23" t="n">
        <x:f>S7*T7</x:f>
        <x:v>1274.4934</x:v>
      </x:c>
      <x:c r="V7" s="23" t="n">
        <x:f>O7+U7</x:f>
        <x:v>6012.906400000001</x:v>
      </x:c>
      <x:c r="W7" s="18" t="n">
        <x:f>'01 Controls'!$E$8/V7</x:f>
        <x:v>0.16630892508155454</x:v>
      </x:c>
      <x:c r="X7" s="26" t="n">
        <x:v>0</x:v>
      </x:c>
      <x:c r="Y7" s="11" t="str">
        <x:f>IF(X7=0,"REQUIREMENT ENVELOPE; RECEIVER OPEN","ELIGIBLE FOR TRIAL")</x:f>
        <x:v>REQUIREMENT ENVELOPE; RECEIVER OPEN</x:v>
      </x:c>
      <x:c r="Z7" s="35"/>
    </x:row>
    <x:row r="8">
      <x:c r="C8" s="11" t="str">
        <x:v>P3</x:v>
      </x:c>
      <x:c r="D8" s="11" t="str">
        <x:v>Distributed high-activation network</x:v>
      </x:c>
      <x:c r="E8" s="22" t="n">
        <x:f>SUMIFS('07 Fleet Build'!$I$6:$I$17,'07 Fleet Build'!$D$6:$D$17,C8)</x:f>
        <x:v>517</x:v>
      </x:c>
      <x:c r="F8" s="22" t="n">
        <x:f>SUMIFS('07 Fleet Build'!$K$6:$K$17,'07 Fleet Build'!$D$6:$D$17,C8)</x:f>
        <x:v>80382</x:v>
      </x:c>
      <x:c r="G8" s="22" t="n">
        <x:f>SUMIFS('09 Node Build'!$J$6:$J$17,'09 Node Build'!$D$6:$D$17,C8)</x:f>
        <x:v>296</x:v>
      </x:c>
      <x:c r="H8" s="23" t="n">
        <x:f>SUMIFS('07 Fleet Build'!$M$6:$M$17,'07 Fleet Build'!$D$6:$D$17,C8)</x:f>
        <x:v>1757.9999999999998</x:v>
      </x:c>
      <x:c r="I8" s="23" t="n">
        <x:f>SUMIFS('09 Node Build'!$M$6:$M$17,'09 Node Build'!$D$6:$D$17,C8)</x:f>
        <x:v>393.45</x:v>
      </x:c>
      <x:c r="J8" s="23" t="n">
        <x:v>520</x:v>
      </x:c>
      <x:c r="K8" s="23" t="n">
        <x:f>(H8+I8)*'01 Controls'!$E$10</x:f>
        <x:v>537.8625</x:v>
      </x:c>
      <x:c r="L8" s="23" t="n">
        <x:f>H8*'01 Controls'!$E$11</x:f>
        <x:v>263.69999999999993</x:v>
      </x:c>
      <x:c r="M8" s="23" t="n">
        <x:f>SUM(H8:L8)</x:f>
        <x:v>3473.0125</x:v>
      </x:c>
      <x:c r="N8" s="23" t="n">
        <x:f>M8*'01 Controls'!$E$9</x:f>
        <x:v>694.6025</x:v>
      </x:c>
      <x:c r="O8" s="23" t="n">
        <x:f>M8+N8</x:f>
        <x:v>4167.615</x:v>
      </x:c>
      <x:c r="P8" s="23" t="n">
        <x:f>SUMIFS('07 Fleet Build'!$N$6:$N$17,'07 Fleet Build'!$D$6:$D$17,C8)</x:f>
        <x:v>80.67</x:v>
      </x:c>
      <x:c r="Q8" s="23" t="n">
        <x:f>I8*'01 Controls'!$E$12</x:f>
        <x:v>19.6725</x:v>
      </x:c>
      <x:c r="R8" s="23" t="n">
        <x:f>K8*'01 Controls'!$E$13</x:f>
        <x:v>16.135875</x:v>
      </x:c>
      <x:c r="S8" s="23" t="n">
        <x:f>SUM(P8:R8)</x:f>
        <x:v>116.478375</x:v>
      </x:c>
      <x:c r="T8" s="25" t="n">
        <x:f>'01 Controls'!$E$15</x:f>
        <x:v>9.05</x:v>
      </x:c>
      <x:c r="U8" s="23" t="n">
        <x:f>S8*T8</x:f>
        <x:v>1054.12929375</x:v>
      </x:c>
      <x:c r="V8" s="23" t="n">
        <x:f>O8+U8</x:f>
        <x:v>5221.74429375</x:v>
      </x:c>
      <x:c r="W8" s="18" t="n">
        <x:f>'01 Controls'!$E$8/V8</x:f>
        <x:v>0.19150688807127497</x:v>
      </x:c>
      <x:c r="X8" s="26" t="n">
        <x:v>0</x:v>
      </x:c>
      <x:c r="Y8" s="11" t="str">
        <x:f>IF(X8=0,"REQUIREMENT ENVELOPE; RECEIVER OPEN","ELIGIBLE FOR TRIAL")</x:f>
        <x:v>REQUIREMENT ENVELOPE; RECEIVER OPEN</x:v>
      </x:c>
      <x:c r="Z8" s="35"/>
    </x:row>
  </x:sheetData>
  <x:conditionalFormatting sqref="Y6:Y8">
    <x:cfRule type="containsText" dxfId="24" priority="1" operator="containsText" text="FAIL"/>
    <x:cfRule type="containsText" dxfId="25" priority="2" operator="containsText" text="OPEN"/>
    <x:cfRule type="containsText" dxfId="26" priority="3" operator="containsText" text="BLOCKED"/>
    <x:cfRule type="containsText" dxfId="27" priority="4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59769bf62090480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1" hidden="0" customWidth="1"/>
    <x:col min="4" max="4" width="15" hidden="0" customWidth="1"/>
    <x:col min="5" max="5" width="16" hidden="0" customWidth="1"/>
    <x:col min="6" max="6" width="14" hidden="0" customWidth="1"/>
    <x:col min="7" max="7" width="14" hidden="0" customWidth="1"/>
    <x:col min="8" max="8" width="18" hidden="0" customWidth="1"/>
    <x:col min="9" max="9" width="14" hidden="0" customWidth="1"/>
    <x:col min="10" max="10" width="21" hidden="0" customWidth="1"/>
    <x:col min="11" max="11" width="21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2" hidden="0" customWidth="1"/>
    <x:col min="18" max="18" width="20" hidden="0" customWidth="1"/>
    <x:col min="19" max="19" width="19" hidden="0" customWidth="1"/>
    <x:col min="20" max="20" width="18" hidden="0" customWidth="1"/>
    <x:col min="21" max="21" width="18" hidden="0" customWidth="1"/>
  </x:cols>
  <x:sheetData>
    <x:row r="2">
      <x:c r="C2" s="2" t="str">
        <x:v>P3 twenty-five-year force-building path</x:v>
      </x:c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</x:row>
    <x:row r="3">
      <x:c r="C3" s="3" t="str">
        <x:v>Phasing tests industrial and operating overlap. It is not a transition plan or annual appropriation request.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</x:row>
    <x:row r="4"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</x:row>
    <x:row r="5">
      <x:c r="C5" s="9" t="str">
        <x:v>Epoch</x:v>
      </x:c>
      <x:c r="D5" s="9" t="str">
        <x:v>Years</x:v>
      </x:c>
      <x:c r="E5" s="9" t="str">
        <x:v>RDT&amp;E share</x:v>
      </x:c>
      <x:c r="F5" s="9" t="str">
        <x:v>Fleet share</x:v>
      </x:c>
      <x:c r="G5" s="9" t="str">
        <x:v>Node share</x:v>
      </x:c>
      <x:c r="H5" s="9" t="str">
        <x:v>Base/depot share</x:v>
      </x:c>
      <x:c r="I5" s="9" t="str">
        <x:v>Spares share</x:v>
      </x:c>
      <x:c r="J5" s="9" t="str">
        <x:v>Opening fielded share</x:v>
      </x:c>
      <x:c r="K5" s="9" t="str">
        <x:v>Average fielded share</x:v>
      </x:c>
      <x:c r="L5" s="9" t="str">
        <x:v>RDT&amp;E $B</x:v>
      </x:c>
      <x:c r="M5" s="9" t="str">
        <x:v>Fleet $B</x:v>
      </x:c>
      <x:c r="N5" s="9" t="str">
        <x:v>Nodes $B</x:v>
      </x:c>
      <x:c r="O5" s="9" t="str">
        <x:v>Bases $B</x:v>
      </x:c>
      <x:c r="P5" s="9" t="str">
        <x:v>Spares $B</x:v>
      </x:c>
      <x:c r="Q5" s="9" t="str">
        <x:v>Pre-reserve capital $B</x:v>
      </x:c>
      <x:c r="R5" s="9" t="str">
        <x:v>Program reserve $B</x:v>
      </x:c>
      <x:c r="S5" s="9" t="str">
        <x:v>Capital total $B</x:v>
      </x:c>
      <x:c r="T5" s="9" t="str">
        <x:v>Operating $B</x:v>
      </x:c>
      <x:c r="U5" s="9" t="str">
        <x:v>Epoch total $B</x:v>
      </x:c>
      <x:c r="V5" s="35"/>
      <x:c r="W5" s="35"/>
    </x:row>
    <x:row r="6">
      <x:c r="C6" s="11" t="str">
        <x:v>E1</x:v>
      </x:c>
      <x:c r="D6" s="11" t="str">
        <x:v>Years 1–5</x:v>
      </x:c>
      <x:c r="E6" s="18" t="n">
        <x:v>0.55</x:v>
      </x:c>
      <x:c r="F6" s="18" t="n">
        <x:v>0.03</x:v>
      </x:c>
      <x:c r="G6" s="18" t="n">
        <x:v>0.12</x:v>
      </x:c>
      <x:c r="H6" s="18" t="n">
        <x:v>0.25</x:v>
      </x:c>
      <x:c r="I6" s="18" t="n">
        <x:v>0.03</x:v>
      </x:c>
      <x:c r="J6" s="18" t="n">
        <x:v>0</x:v>
      </x:c>
      <x:c r="K6" s="18" t="n">
        <x:f>J6+F6/2</x:f>
        <x:v>0.015</x:v>
      </x:c>
      <x:c r="L6" s="23" t="n">
        <x:f>E6*'10 Program Cost'!J8</x:f>
        <x:v>286</x:v>
      </x:c>
      <x:c r="M6" s="23" t="n">
        <x:f>F6*'10 Program Cost'!H8</x:f>
        <x:v>52.73999999999999</x:v>
      </x:c>
      <x:c r="N6" s="23" t="n">
        <x:f>G6*'10 Program Cost'!I8</x:f>
        <x:v>47.214</x:v>
      </x:c>
      <x:c r="O6" s="23" t="n">
        <x:f>H6*'10 Program Cost'!K8</x:f>
        <x:v>134.465625</x:v>
      </x:c>
      <x:c r="P6" s="23" t="n">
        <x:f>I6*'10 Program Cost'!L8</x:f>
        <x:v>7.910999999999998</x:v>
      </x:c>
      <x:c r="Q6" s="23" t="n">
        <x:f>SUM(L6:P6)</x:f>
        <x:v>528.3306249999999</x:v>
      </x:c>
      <x:c r="R6" s="23" t="n">
        <x:f>Q6*'01 Controls'!$E$9</x:f>
        <x:v>105.666125</x:v>
      </x:c>
      <x:c r="S6" s="23" t="n">
        <x:f>Q6+R6</x:f>
        <x:v>633.9967499999999</x:v>
      </x:c>
      <x:c r="T6" s="23" t="n">
        <x:f>'10 Program Cost'!S8*K6*'01 Controls'!$E$14</x:f>
        <x:v>8.735878125</x:v>
      </x:c>
      <x:c r="U6" s="23" t="n">
        <x:f>S6+T6</x:f>
        <x:v>642.7326281249999</x:v>
      </x:c>
      <x:c r="V6" s="35"/>
      <x:c r="W6" s="35"/>
    </x:row>
    <x:row r="7">
      <x:c r="C7" s="11" t="str">
        <x:v>E2</x:v>
      </x:c>
      <x:c r="D7" s="11" t="str">
        <x:v>Years 6–10</x:v>
      </x:c>
      <x:c r="E7" s="18" t="n">
        <x:v>0.3</x:v>
      </x:c>
      <x:c r="F7" s="18" t="n">
        <x:v>0.12</x:v>
      </x:c>
      <x:c r="G7" s="18" t="n">
        <x:v>0.28</x:v>
      </x:c>
      <x:c r="H7" s="18" t="n">
        <x:v>0.3</x:v>
      </x:c>
      <x:c r="I7" s="18" t="n">
        <x:v>0.12</x:v>
      </x:c>
      <x:c r="J7" s="18" t="n">
        <x:f>J6+F6</x:f>
        <x:v>0.03</x:v>
      </x:c>
      <x:c r="K7" s="18" t="n">
        <x:f>J7+F7/2</x:f>
        <x:v>0.09</x:v>
      </x:c>
      <x:c r="L7" s="23" t="n">
        <x:f>E7*'10 Program Cost'!J8</x:f>
        <x:v>156</x:v>
      </x:c>
      <x:c r="M7" s="23" t="n">
        <x:f>F7*'10 Program Cost'!H8</x:f>
        <x:v>210.95999999999995</x:v>
      </x:c>
      <x:c r="N7" s="23" t="n">
        <x:f>G7*'10 Program Cost'!I8</x:f>
        <x:v>110.16600000000001</x:v>
      </x:c>
      <x:c r="O7" s="23" t="n">
        <x:f>H7*'10 Program Cost'!K8</x:f>
        <x:v>161.35875</x:v>
      </x:c>
      <x:c r="P7" s="23" t="n">
        <x:f>I7*'10 Program Cost'!L8</x:f>
        <x:v>31.64399999999999</x:v>
      </x:c>
      <x:c r="Q7" s="23" t="n">
        <x:f>SUM(L7:P7)</x:f>
        <x:v>670.1287499999999</x:v>
      </x:c>
      <x:c r="R7" s="23" t="n">
        <x:f>Q7*'01 Controls'!$E$9</x:f>
        <x:v>134.02575</x:v>
      </x:c>
      <x:c r="S7" s="23" t="n">
        <x:f>Q7+R7</x:f>
        <x:v>804.1544999999999</x:v>
      </x:c>
      <x:c r="T7" s="23" t="n">
        <x:f>'10 Program Cost'!S8*K7*'01 Controls'!$E$14</x:f>
        <x:v>52.415268749999996</x:v>
      </x:c>
      <x:c r="U7" s="23" t="n">
        <x:f>S7+T7</x:f>
        <x:v>856.5697687499999</x:v>
      </x:c>
      <x:c r="V7" s="35"/>
      <x:c r="W7" s="35"/>
    </x:row>
    <x:row r="8">
      <x:c r="C8" s="11" t="str">
        <x:v>E3</x:v>
      </x:c>
      <x:c r="D8" s="11" t="str">
        <x:v>Years 11–15</x:v>
      </x:c>
      <x:c r="E8" s="18" t="n">
        <x:v>0.1</x:v>
      </x:c>
      <x:c r="F8" s="18" t="n">
        <x:v>0.25</x:v>
      </x:c>
      <x:c r="G8" s="18" t="n">
        <x:v>0.28</x:v>
      </x:c>
      <x:c r="H8" s="18" t="n">
        <x:v>0.25</x:v>
      </x:c>
      <x:c r="I8" s="18" t="n">
        <x:v>0.25</x:v>
      </x:c>
      <x:c r="J8" s="18" t="n">
        <x:f>J7+F7</x:f>
        <x:v>0.15</x:v>
      </x:c>
      <x:c r="K8" s="18" t="n">
        <x:f>J8+F8/2</x:f>
        <x:v>0.275</x:v>
      </x:c>
      <x:c r="L8" s="23" t="n">
        <x:f>E8*'10 Program Cost'!J8</x:f>
        <x:v>52</x:v>
      </x:c>
      <x:c r="M8" s="23" t="n">
        <x:f>F8*'10 Program Cost'!H8</x:f>
        <x:v>439.49999999999994</x:v>
      </x:c>
      <x:c r="N8" s="23" t="n">
        <x:f>G8*'10 Program Cost'!I8</x:f>
        <x:v>110.16600000000001</x:v>
      </x:c>
      <x:c r="O8" s="23" t="n">
        <x:f>H8*'10 Program Cost'!K8</x:f>
        <x:v>134.465625</x:v>
      </x:c>
      <x:c r="P8" s="23" t="n">
        <x:f>I8*'10 Program Cost'!L8</x:f>
        <x:v>65.92499999999998</x:v>
      </x:c>
      <x:c r="Q8" s="23" t="n">
        <x:f>SUM(L8:P8)</x:f>
        <x:v>802.0566249999999</x:v>
      </x:c>
      <x:c r="R8" s="23" t="n">
        <x:f>Q8*'01 Controls'!$E$9</x:f>
        <x:v>160.411325</x:v>
      </x:c>
      <x:c r="S8" s="23" t="n">
        <x:f>Q8+R8</x:f>
        <x:v>962.46795</x:v>
      </x:c>
      <x:c r="T8" s="23" t="n">
        <x:f>'10 Program Cost'!S8*K8*'01 Controls'!$E$14</x:f>
        <x:v>160.15776562500002</x:v>
      </x:c>
      <x:c r="U8" s="23" t="n">
        <x:f>S8+T8</x:f>
        <x:v>1122.6257156249999</x:v>
      </x:c>
      <x:c r="V8" s="35"/>
      <x:c r="W8" s="35"/>
    </x:row>
    <x:row r="9">
      <x:c r="C9" s="11" t="str">
        <x:v>E4</x:v>
      </x:c>
      <x:c r="D9" s="11" t="str">
        <x:v>Years 16–20</x:v>
      </x:c>
      <x:c r="E9" s="18" t="n">
        <x:v>0.05</x:v>
      </x:c>
      <x:c r="F9" s="18" t="n">
        <x:v>0.33</x:v>
      </x:c>
      <x:c r="G9" s="18" t="n">
        <x:v>0.2</x:v>
      </x:c>
      <x:c r="H9" s="18" t="n">
        <x:v>0.15</x:v>
      </x:c>
      <x:c r="I9" s="18" t="n">
        <x:v>0.33</x:v>
      </x:c>
      <x:c r="J9" s="18" t="n">
        <x:f>J8+F8</x:f>
        <x:v>0.4</x:v>
      </x:c>
      <x:c r="K9" s="18" t="n">
        <x:f>J9+F9/2</x:f>
        <x:v>0.5650000000000001</x:v>
      </x:c>
      <x:c r="L9" s="23" t="n">
        <x:f>E9*'10 Program Cost'!J8</x:f>
        <x:v>26</x:v>
      </x:c>
      <x:c r="M9" s="23" t="n">
        <x:f>F9*'10 Program Cost'!H8</x:f>
        <x:v>580.14</x:v>
      </x:c>
      <x:c r="N9" s="23" t="n">
        <x:f>G9*'10 Program Cost'!I8</x:f>
        <x:v>78.69</x:v>
      </x:c>
      <x:c r="O9" s="23" t="n">
        <x:f>H9*'10 Program Cost'!K8</x:f>
        <x:v>80.679375</x:v>
      </x:c>
      <x:c r="P9" s="23" t="n">
        <x:f>I9*'10 Program Cost'!L8</x:f>
        <x:v>87.02099999999999</x:v>
      </x:c>
      <x:c r="Q9" s="23" t="n">
        <x:f>SUM(L9:P9)</x:f>
        <x:v>852.5303749999998</x:v>
      </x:c>
      <x:c r="R9" s="23" t="n">
        <x:f>Q9*'01 Controls'!$E$9</x:f>
        <x:v>170.50607499999998</x:v>
      </x:c>
      <x:c r="S9" s="23" t="n">
        <x:f>Q9+R9</x:f>
        <x:v>1023.0364499999998</x:v>
      </x:c>
      <x:c r="T9" s="23" t="n">
        <x:f>'10 Program Cost'!S8*K9*'01 Controls'!$E$14</x:f>
        <x:v>329.051409375</x:v>
      </x:c>
      <x:c r="U9" s="23" t="n">
        <x:f>S9+T9</x:f>
        <x:v>1352.0878593749999</x:v>
      </x:c>
      <x:c r="V9" s="35"/>
      <x:c r="W9" s="35"/>
    </x:row>
    <x:row r="10">
      <x:c r="C10" s="11" t="str">
        <x:v>E5</x:v>
      </x:c>
      <x:c r="D10" s="11" t="str">
        <x:v>Years 21–25</x:v>
      </x:c>
      <x:c r="E10" s="18" t="n">
        <x:v>0</x:v>
      </x:c>
      <x:c r="F10" s="18" t="n">
        <x:v>0.27</x:v>
      </x:c>
      <x:c r="G10" s="18" t="n">
        <x:v>0.12</x:v>
      </x:c>
      <x:c r="H10" s="18" t="n">
        <x:v>0.05</x:v>
      </x:c>
      <x:c r="I10" s="18" t="n">
        <x:v>0.27</x:v>
      </x:c>
      <x:c r="J10" s="18" t="n">
        <x:f>J9+F9</x:f>
        <x:v>0.73</x:v>
      </x:c>
      <x:c r="K10" s="18" t="n">
        <x:f>J10+F10/2</x:f>
        <x:v>0.865</x:v>
      </x:c>
      <x:c r="L10" s="23" t="n">
        <x:f>E10*'10 Program Cost'!J8</x:f>
        <x:v>0</x:v>
      </x:c>
      <x:c r="M10" s="23" t="n">
        <x:f>F10*'10 Program Cost'!H8</x:f>
        <x:v>474.65999999999997</x:v>
      </x:c>
      <x:c r="N10" s="23" t="n">
        <x:f>G10*'10 Program Cost'!I8</x:f>
        <x:v>47.214</x:v>
      </x:c>
      <x:c r="O10" s="23" t="n">
        <x:f>H10*'10 Program Cost'!K8</x:f>
        <x:v>26.893124999999998</x:v>
      </x:c>
      <x:c r="P10" s="23" t="n">
        <x:f>I10*'10 Program Cost'!L8</x:f>
        <x:v>71.19899999999998</x:v>
      </x:c>
      <x:c r="Q10" s="23" t="n">
        <x:f>SUM(L10:P10)</x:f>
        <x:v>619.966125</x:v>
      </x:c>
      <x:c r="R10" s="23" t="n">
        <x:f>Q10*'01 Controls'!$E$9</x:f>
        <x:v>123.99322500000001</x:v>
      </x:c>
      <x:c r="S10" s="23" t="n">
        <x:f>Q10+R10</x:f>
        <x:v>743.9593500000001</x:v>
      </x:c>
      <x:c r="T10" s="23" t="n">
        <x:f>'10 Program Cost'!S8*K10*'01 Controls'!$E$14</x:f>
        <x:v>503.768971875</x:v>
      </x:c>
      <x:c r="U10" s="23" t="n">
        <x:f>S10+T10</x:f>
        <x:v>1247.7283218750001</x:v>
      </x:c>
      <x:c r="V10" s="35"/>
      <x:c r="W10" s="35"/>
    </x:row>
    <x:row r="11">
      <x:c r="C11" s="11"/>
      <x:c r="D11" s="11"/>
      <x:c r="E11" s="11"/>
      <x:c r="F11" s="11"/>
      <x:c r="G11" s="11"/>
      <x:c r="H11" s="11"/>
      <x:c r="I11" s="11"/>
      <x:c r="J11" s="11"/>
      <x:c r="K11" s="11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35"/>
      <x:c r="W11" s="35"/>
    </x:row>
    <x:row r="12">
      <x:c r="C12" s="31" t="str">
        <x:v>TOTAL</x:v>
      </x:c>
      <x:c r="D12" s="31" t="str">
        <x:v>25 years</x:v>
      </x:c>
      <x:c r="E12" s="31"/>
      <x:c r="F12" s="31"/>
      <x:c r="G12" s="31"/>
      <x:c r="H12" s="31"/>
      <x:c r="I12" s="31"/>
      <x:c r="J12" s="31"/>
      <x:c r="K12" s="31"/>
      <x:c r="L12" s="32" t="n">
        <x:f>SUM(L6:L10)</x:f>
        <x:v>520</x:v>
      </x:c>
      <x:c r="M12" s="32" t="n">
        <x:f>SUM(M6:M10)</x:f>
        <x:v>1757.9999999999995</x:v>
      </x:c>
      <x:c r="N12" s="32" t="n">
        <x:f>SUM(N6:N10)</x:f>
        <x:v>393.45</x:v>
      </x:c>
      <x:c r="O12" s="32" t="n">
        <x:f>SUM(O6:O10)</x:f>
        <x:v>537.8625</x:v>
      </x:c>
      <x:c r="P12" s="32" t="n">
        <x:f>SUM(P6:P10)</x:f>
        <x:v>263.69999999999993</x:v>
      </x:c>
      <x:c r="Q12" s="32" t="n">
        <x:f>SUM(Q6:Q10)</x:f>
        <x:v>3473.0125</x:v>
      </x:c>
      <x:c r="R12" s="32" t="n">
        <x:f>SUM(R6:R10)</x:f>
        <x:v>694.6025000000001</x:v>
      </x:c>
      <x:c r="S12" s="32" t="n">
        <x:f>SUM(S6:S10)</x:f>
        <x:v>4167.615</x:v>
      </x:c>
      <x:c r="T12" s="32" t="n">
        <x:f>SUM(T6:T10)</x:f>
        <x:v>1054.12929375</x:v>
      </x:c>
      <x:c r="U12" s="32" t="n">
        <x:f>SUM(U6:U10)</x:f>
        <x:v>5221.74429375</x:v>
      </x:c>
      <x:c r="V12" s="35"/>
      <x:c r="W12" s="35"/>
    </x:row>
  </x:sheetData>
  <x:pageMargins left="0.7" right="0.7" top="0.75" bottom="0.75" header="0.3" footer="0.3"/>
  <x:tableParts count="1">
    <x:tablePart xmlns:r="http://schemas.openxmlformats.org/officeDocument/2006/relationships" r:id="Rebefd939db7743b8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4" topLeftCell="A15" activePane="bottomLeft" state="frozen"/>
    </x:sheetView>
  </x:sheetViews>
  <x:sheetFormatPr defaultRowHeight="15"/>
  <x:cols>
    <x:col min="3" max="3" width="11" hidden="0" customWidth="1"/>
    <x:col min="4" max="4" width="36" hidden="0" customWidth="1"/>
    <x:col min="5" max="5" width="17" hidden="0" customWidth="1"/>
    <x:col min="6" max="6" width="29" hidden="0" customWidth="1"/>
    <x:col min="7" max="7" width="41" hidden="0" customWidth="1"/>
    <x:col min="8" max="8" width="32" hidden="0" customWidth="1"/>
  </x:cols>
  <x:sheetData>
    <x:row r="2">
      <x:c r="C2" s="2" t="str">
        <x:v>Source authority, evidence gates and rendering boundary</x:v>
      </x:c>
      <x:c r="D2" s="34"/>
      <x:c r="E2" s="34"/>
      <x:c r="F2" s="34"/>
      <x:c r="G2" s="34"/>
      <x:c r="H2" s="34"/>
      <x:c r="I2" s="34"/>
      <x:c r="J2" s="34"/>
    </x:row>
    <x:row r="3">
      <x:c r="C3" s="3" t="str">
        <x:v>All inputs are inherited repository values or declared requirement hypotheses. No external site research is introduced.</x:v>
      </x:c>
      <x:c r="D3" s="3"/>
      <x:c r="E3" s="3"/>
      <x:c r="F3" s="3"/>
      <x:c r="G3" s="3"/>
      <x:c r="H3" s="3"/>
      <x:c r="I3" s="3"/>
      <x:c r="J3" s="3"/>
    </x:row>
    <x:row r="4">
      <x:c r="C4" s="35"/>
      <x:c r="D4" s="35"/>
      <x:c r="E4" s="35"/>
      <x:c r="F4" s="35"/>
      <x:c r="G4" s="35"/>
      <x:c r="H4" s="35"/>
      <x:c r="I4" s="35"/>
      <x:c r="J4" s="35"/>
    </x:row>
    <x:row r="5">
      <x:c r="C5" s="9" t="str">
        <x:v>Source ID</x:v>
      </x:c>
      <x:c r="D5" s="9" t="str">
        <x:v>Repository authority</x:v>
      </x:c>
      <x:c r="E5" s="9" t="str">
        <x:v>Use</x:v>
      </x:c>
      <x:c r="F5" s="9" t="str">
        <x:v>Treatment</x:v>
      </x:c>
      <x:c r="G5" s="9" t="str">
        <x:v>Boundary</x:v>
      </x:c>
      <x:c r="H5" s="35"/>
      <x:c r="I5" s="35"/>
      <x:c r="J5" s="35"/>
    </x:row>
    <x:row r="6" ht="48" customHeight="1">
      <x:c r="C6" s="11" t="str">
        <x:v>S01</x:v>
      </x:c>
      <x:c r="D6" s="16" t="str">
        <x:v>Pass 61 Canonical Cargo and Transport</x:v>
      </x:c>
      <x:c r="E6" s="16" t="str">
        <x:v>Mode/deadline chargeable demand and inherited capacity</x:v>
      </x:c>
      <x:c r="F6" s="16" t="str">
        <x:v>Imported saved values</x:v>
      </x:c>
      <x:c r="G6" s="16" t="str">
        <x:v>Position-class profiles are not item manifests</x:v>
      </x:c>
      <x:c r="H6" s="35"/>
      <x:c r="I6" s="35"/>
      <x:c r="J6" s="35"/>
    </x:row>
    <x:row r="7" ht="48" customHeight="1">
      <x:c r="C7" s="11" t="str">
        <x:v>S02</x:v>
      </x:c>
      <x:c r="D7" s="16" t="str">
        <x:v>Pass 60 Shared Capacity Allocation</x:v>
      </x:c>
      <x:c r="E7" s="16" t="str">
        <x:v>Protected reserve and conservation doctrine</x:v>
      </x:c>
      <x:c r="F7" s="16" t="str">
        <x:v>Concept authority</x:v>
      </x:c>
      <x:c r="G7" s="16" t="str">
        <x:v>Reserve is not hazard-calibrated</x:v>
      </x:c>
      <x:c r="H7" s="35"/>
      <x:c r="I7" s="35"/>
      <x:c r="J7" s="35"/>
    </x:row>
    <x:row r="8" ht="48" customHeight="1">
      <x:c r="C8" s="11" t="str">
        <x:v>S03</x:v>
      </x:c>
      <x:c r="D8" s="16" t="str">
        <x:v>Pass 24 Deployment Enterprise</x:v>
      </x:c>
      <x:c r="E8" s="16" t="str">
        <x:v>Carrier-node-receiver lifecycle</x:v>
      </x:c>
      <x:c r="F8" s="16" t="str">
        <x:v>Predecessor architecture</x:v>
      </x:c>
      <x:c r="G8" s="16" t="str">
        <x:v>Legacy throughput coefficients are not retained as platform evidence</x:v>
      </x:c>
      <x:c r="H8" s="35"/>
      <x:c r="I8" s="35"/>
      <x:c r="J8" s="35"/>
    </x:row>
    <x:row r="9" ht="48" customHeight="1">
      <x:c r="C9" s="11" t="str">
        <x:v>S04</x:v>
      </x:c>
      <x:c r="D9" s="16" t="str">
        <x:v>Pass 28 Service-entry Pod</x:v>
      </x:c>
      <x:c r="E9" s="16" t="str">
        <x:v>Whole-position and complete-package discipline</x:v>
      </x:c>
      <x:c r="F9" s="16" t="str">
        <x:v>Configuration precedent</x:v>
      </x:c>
      <x:c r="G9" s="16" t="str">
        <x:v>One 106-line pod manifest does not generalize nationally</x:v>
      </x:c>
      <x:c r="H9" s="35"/>
      <x:c r="I9" s="35"/>
      <x:c r="J9" s="35"/>
    </x:row>
    <x:row r="10" ht="48" customHeight="1">
      <x:c r="C10" s="11" t="str">
        <x:v>S05</x:v>
      </x:c>
      <x:c r="D10" s="16" t="str">
        <x:v>Department Force Architecture</x:v>
      </x:c>
      <x:c r="E10" s="16" t="str">
        <x:v>Strategic Mobility Command and authority separation</x:v>
      </x:c>
      <x:c r="F10" s="16" t="str">
        <x:v>Institutional authority</x:v>
      </x:c>
      <x:c r="G10" s="16" t="str">
        <x:v>Organization does not validate capacity</x:v>
      </x:c>
      <x:c r="H10" s="35"/>
      <x:c r="I10" s="35"/>
      <x:c r="J10" s="35"/>
    </x:row>
    <x:row r="11">
      <x:c r="C11" s="35"/>
      <x:c r="D11" s="35"/>
      <x:c r="E11" s="35"/>
      <x:c r="F11" s="35"/>
      <x:c r="G11" s="35"/>
      <x:c r="H11" s="35"/>
      <x:c r="I11" s="35"/>
      <x:c r="J11" s="35"/>
    </x:row>
    <x:row r="12">
      <x:c r="C12" s="35"/>
      <x:c r="D12" s="35"/>
      <x:c r="E12" s="35"/>
      <x:c r="F12" s="35"/>
      <x:c r="G12" s="35"/>
      <x:c r="H12" s="35"/>
      <x:c r="I12" s="35"/>
      <x:c r="J12" s="35"/>
    </x:row>
    <x:row r="13">
      <x:c r="C13" s="35"/>
      <x:c r="D13" s="35"/>
      <x:c r="E13" s="35"/>
      <x:c r="F13" s="35"/>
      <x:c r="G13" s="35"/>
      <x:c r="H13" s="35"/>
      <x:c r="I13" s="35"/>
      <x:c r="J13" s="35"/>
    </x:row>
    <x:row r="14">
      <x:c r="C14" s="9" t="str">
        <x:v>Gate</x:v>
      </x:c>
      <x:c r="D14" s="9" t="str">
        <x:v>Required evidence</x:v>
      </x:c>
      <x:c r="E14" s="9" t="str">
        <x:v>Current state</x:v>
      </x:c>
      <x:c r="F14" s="9" t="str">
        <x:v>Blocks</x:v>
      </x:c>
      <x:c r="G14" s="9" t="str">
        <x:v>Next trial</x:v>
      </x:c>
      <x:c r="H14" s="9" t="str">
        <x:v>Owner</x:v>
      </x:c>
      <x:c r="I14" s="35"/>
      <x:c r="J14" s="35"/>
    </x:row>
    <x:row r="15" ht="54" customHeight="1">
      <x:c r="C15" s="11" t="str">
        <x:v>G01</x:v>
      </x:c>
      <x:c r="D15" s="16" t="str">
        <x:v>Serial item and complete-package manifest</x:v>
      </x:c>
      <x:c r="E15" s="16" t="str">
        <x:v>OPEN</x:v>
      </x:c>
      <x:c r="F15" s="16" t="str">
        <x:v>Fleet and node configuration</x:v>
      </x:c>
      <x:c r="G15" s="16" t="str">
        <x:v>Tag and reconcile one mixed-class formation</x:v>
      </x:c>
      <x:c r="H15" s="16" t="str">
        <x:v>Generating service</x:v>
      </x:c>
      <x:c r="I15" s="35"/>
      <x:c r="J15" s="35"/>
    </x:row>
    <x:row r="16" ht="54" customHeight="1">
      <x:c r="C16" s="11" t="str">
        <x:v>G02</x:v>
      </x:c>
      <x:c r="D16" s="16" t="str">
        <x:v>Measured mass, cube, center of gravity and restraint</x:v>
      </x:c>
      <x:c r="E16" s="16" t="str">
        <x:v>OPEN</x:v>
      </x:c>
      <x:c r="F16" s="16" t="str">
        <x:v>Bay and handling geometry</x:v>
      </x:c>
      <x:c r="G16" s="16" t="str">
        <x:v>Weigh, measure, lift and secure every trial position</x:v>
      </x:c>
      <x:c r="H16" s="16" t="str">
        <x:v>Mobility and safety authorities</x:v>
      </x:c>
      <x:c r="I16" s="35"/>
      <x:c r="J16" s="35"/>
    </x:row>
    <x:row r="17" ht="54" customHeight="1">
      <x:c r="C17" s="11" t="str">
        <x:v>G03</x:v>
      </x:c>
      <x:c r="D17" s="16" t="str">
        <x:v>Hazard, cold-chain and energy release</x:v>
      </x:c>
      <x:c r="E17" s="16" t="str">
        <x:v>OPEN</x:v>
      </x:c>
      <x:c r="F17" s="16" t="str">
        <x:v>Mode admissibility</x:v>
      </x:c>
      <x:c r="G17" s="16" t="str">
        <x:v>Cross-mode safety case with powered dwell</x:v>
      </x:c>
      <x:c r="H17" s="16" t="str">
        <x:v>Technical release authorities</x:v>
      </x:c>
      <x:c r="I17" s="35"/>
      <x:c r="J17" s="35"/>
    </x:row>
    <x:row r="18" ht="54" customHeight="1">
      <x:c r="C18" s="11" t="str">
        <x:v>G04</x:v>
      </x:c>
      <x:c r="D18" s="16" t="str">
        <x:v>Origin inventory and activation distribution</x:v>
      </x:c>
      <x:c r="E18" s="16" t="str">
        <x:v>OPEN</x:v>
      </x:c>
      <x:c r="F18" s="16" t="str">
        <x:v>24/48-hour availability</x:v>
      </x:c>
      <x:c r="G18" s="16" t="str">
        <x:v>No-notice activation trial across dispersed bases</x:v>
      </x:c>
      <x:c r="H18" s="16" t="str">
        <x:v>Strategic Mobility Command</x:v>
      </x:c>
      <x:c r="I18" s="35"/>
      <x:c r="J18" s="35"/>
    </x:row>
    <x:row r="19" ht="54" customHeight="1">
      <x:c r="C19" s="11" t="str">
        <x:v>G05</x:v>
      </x:c>
      <x:c r="D19" s="16" t="str">
        <x:v>Carrier payload-range-cycle evidence</x:v>
      </x:c>
      <x:c r="E19" s="16" t="str">
        <x:v>OPEN</x:v>
      </x:c>
      <x:c r="F19" s="16" t="str">
        <x:v>Fleet yield</x:v>
      </x:c>
      <x:c r="G19" s="16" t="str">
        <x:v>Rival loaded missions under weather and damage</x:v>
      </x:c>
      <x:c r="H19" s="16" t="str">
        <x:v>Design bureaus and independent RTE</x:v>
      </x:c>
      <x:c r="I19" s="35"/>
      <x:c r="J19" s="35"/>
    </x:row>
    <x:row r="20" ht="54" customHeight="1">
      <x:c r="C20" s="11" t="str">
        <x:v>G06</x:v>
      </x:c>
      <x:c r="D20" s="16" t="str">
        <x:v>Crew, maintenance and relief system</x:v>
      </x:c>
      <x:c r="E20" s="16" t="str">
        <x:v>OPEN</x:v>
      </x:c>
      <x:c r="F20" s="16" t="str">
        <x:v>Sustained sortie or voyage rate</x:v>
      </x:c>
      <x:c r="G20" s="16" t="str">
        <x:v>Seven-day cycle with seeded losses</x:v>
      </x:c>
      <x:c r="H20" s="16" t="str">
        <x:v>Generating services</x:v>
      </x:c>
      <x:c r="I20" s="35"/>
      <x:c r="J20" s="35"/>
    </x:row>
    <x:row r="21" ht="54" customHeight="1">
      <x:c r="C21" s="11" t="str">
        <x:v>G07</x:v>
      </x:c>
      <x:c r="D21" s="16" t="str">
        <x:v>Node mixed-cargo throughput and queue</x:v>
      </x:c>
      <x:c r="E21" s="16" t="str">
        <x:v>OPEN</x:v>
      </x:c>
      <x:c r="F21" s="16" t="str">
        <x:v>Release rate</x:v>
      </x:c>
      <x:c r="G21" s="16" t="str">
        <x:v>Concurrent cold, hazard, rolling and outsize node trial</x:v>
      </x:c>
      <x:c r="H21" s="16" t="str">
        <x:v>Entry and distribution commands</x:v>
      </x:c>
      <x:c r="I21" s="35"/>
      <x:c r="J21" s="35"/>
    </x:row>
    <x:row r="22" ht="54" customHeight="1">
      <x:c r="C22" s="11" t="str">
        <x:v>G08</x:v>
      </x:c>
      <x:c r="D22" s="16" t="str">
        <x:v>Damaged-route and access survival</x:v>
      </x:c>
      <x:c r="E22" s="16" t="str">
        <x:v>OPEN</x:v>
      </x:c>
      <x:c r="F22" s="16" t="str">
        <x:v>Route factor</x:v>
      </x:c>
      <x:c r="G22" s="16" t="str">
        <x:v>Seed bridge, port, runway, rail and lock losses</x:v>
      </x:c>
      <x:c r="H22" s="16" t="str">
        <x:v>Joint Capacity Authority</x:v>
      </x:c>
      <x:c r="I22" s="35"/>
      <x:c r="J22" s="35"/>
    </x:row>
    <x:row r="23" ht="54" customHeight="1">
      <x:c r="C23" s="11" t="str">
        <x:v>G09</x:v>
      </x:c>
      <x:c r="D23" s="16" t="str">
        <x:v>Receiver commissioning and public-effect release</x:v>
      </x:c>
      <x:c r="E23" s="16" t="str">
        <x:v>OPEN</x:v>
      </x:c>
      <x:c r="F23" s="16" t="str">
        <x:v>Service admission</x:v>
      </x:c>
      <x:c r="G23" s="16" t="str">
        <x:v>Unload, connect, test and transfer at a named site</x:v>
      </x:c>
      <x:c r="H23" s="16" t="str">
        <x:v>Receiving command and civil authority</x:v>
      </x:c>
      <x:c r="I23" s="35"/>
      <x:c r="J23" s="35"/>
    </x:row>
    <x:row r="24" ht="54" customHeight="1">
      <x:c r="C24" s="11" t="str">
        <x:v>G10</x:v>
      </x:c>
      <x:c r="D24" s="16" t="str">
        <x:v>Energy, fuel and environmental closure</x:v>
      </x:c>
      <x:c r="E24" s="16" t="str">
        <x:v>OPEN</x:v>
      </x:c>
      <x:c r="F24" s="16" t="str">
        <x:v>Endurance</x:v>
      </x:c>
      <x:c r="G24" s="16" t="str">
        <x:v>Close carrier, node and receiver energy/residual chains</x:v>
      </x:c>
      <x:c r="H24" s="16" t="str">
        <x:v>Technical authorities</x:v>
      </x:c>
      <x:c r="I24" s="35"/>
      <x:c r="J24" s="35"/>
    </x:row>
    <x:row r="25" ht="54" customHeight="1">
      <x:c r="C25" s="11" t="str">
        <x:v>G11</x:v>
      </x:c>
      <x:c r="D25" s="16" t="str">
        <x:v>Regeneration and reverse logistics</x:v>
      </x:c>
      <x:c r="E25" s="16" t="str">
        <x:v>OPEN</x:v>
      </x:c>
      <x:c r="F25" s="16" t="str">
        <x:v>Follow-on reserve</x:v>
      </x:c>
      <x:c r="G25" s="16" t="str">
        <x:v>Return used force to readiness before second event</x:v>
      </x:c>
      <x:c r="H25" s="16" t="str">
        <x:v>Depots and sustainment command</x:v>
      </x:c>
      <x:c r="I25" s="35"/>
      <x:c r="J25" s="35"/>
    </x:row>
    <x:row r="26" ht="54" customHeight="1">
      <x:c r="C26" s="11" t="str">
        <x:v>G12</x:v>
      </x:c>
      <x:c r="D26" s="16" t="str">
        <x:v>Two-event reserve calibration</x:v>
      </x:c>
      <x:c r="E26" s="16" t="str">
        <x:v>OPEN</x:v>
      </x:c>
      <x:c r="F26" s="16" t="str">
        <x:v>Reserve policy</x:v>
      </x:c>
      <x:c r="G26" s="16" t="str">
        <x:v>Compete first-event pressure with independent follow-on</x:v>
      </x:c>
      <x:c r="H26" s="16" t="str">
        <x:v>Civil leadership</x:v>
      </x:c>
      <x:c r="I26" s="35"/>
      <x:c r="J26" s="35"/>
    </x:row>
    <x:row r="27" ht="54" customHeight="1">
      <x:c r="C27" s="11" t="str">
        <x:v>G13</x:v>
      </x:c>
      <x:c r="D27" s="16" t="str">
        <x:v>Industrial capacity and independent cost</x:v>
      </x:c>
      <x:c r="E27" s="16" t="str">
        <x:v>OPEN</x:v>
      </x:c>
      <x:c r="F27" s="16" t="str">
        <x:v>Program scale</x:v>
      </x:c>
      <x:c r="G27" s="16" t="str">
        <x:v>Supplier, yard, line, workforce and cost-risk study</x:v>
      </x:c>
      <x:c r="H27" s="16" t="str">
        <x:v>Acquisition and independent cost office</x:v>
      </x:c>
      <x:c r="I27" s="35"/>
      <x:c r="J27" s="35"/>
    </x:row>
    <x:row r="28" ht="54" customHeight="1">
      <x:c r="C28" s="11" t="str">
        <x:v>G14</x:v>
      </x:c>
      <x:c r="D28" s="16" t="str">
        <x:v>Rights-bounded allocation and appeals</x:v>
      </x:c>
      <x:c r="E28" s="16" t="str">
        <x:v>OPEN</x:v>
      </x:c>
      <x:c r="F28" s="16" t="str">
        <x:v>Scarcity legitimacy</x:v>
      </x:c>
      <x:c r="G28" s="16" t="str">
        <x:v>Publish and contest denial under capacity loss</x:v>
      </x:c>
      <x:c r="H28" s="16" t="str">
        <x:v>Civil leadership and assurance</x:v>
      </x:c>
      <x:c r="I28" s="35"/>
      <x:c r="J28" s="35"/>
    </x:row>
    <x:row r="29" ht="54" customHeight="1">
      <x:c r="C29" s="11" t="str">
        <x:v>G15</x:v>
      </x:c>
      <x:c r="D29" s="16" t="str">
        <x:v>Representative carrier-node-receiver mission</x:v>
      </x:c>
      <x:c r="E29" s="16" t="str">
        <x:v>OPEN</x:v>
      </x:c>
      <x:c r="F29" s="16" t="str">
        <x:v>R3 and rendering</x:v>
      </x:c>
      <x:c r="G29" s="16" t="str">
        <x:v>Two campaigns plus regeneration under independent observation</x:v>
      </x:c>
      <x:c r="H29" s="16" t="str">
        <x:v>Independent RTE Authority</x:v>
      </x:c>
      <x:c r="I29" s="35"/>
      <x:c r="J29" s="35"/>
    </x:row>
  </x:sheetData>
  <x:conditionalFormatting sqref="E15:E29">
    <x:cfRule type="containsText" dxfId="28" priority="1" operator="containsText" text="FAIL"/>
    <x:cfRule type="containsText" dxfId="29" priority="2" operator="containsText" text="OPEN"/>
    <x:cfRule type="containsText" dxfId="30" priority="3" operator="containsText" text="BLOCKED"/>
    <x:cfRule type="containsText" dxfId="31" priority="4" operator="containsText" text="PASS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2" hidden="0" customWidth="1"/>
    <x:col min="4" max="4" width="46" hidden="0" customWidth="1"/>
    <x:col min="5" max="5" width="24" hidden="0" customWidth="1"/>
    <x:col min="6" max="6" width="20" hidden="0" customWidth="1"/>
    <x:col min="7" max="7" width="16" hidden="0" customWidth="1"/>
  </x:cols>
  <x:sheetData>
    <x:row r="2">
      <x:c r="C2" s="2" t="str">
        <x:v>Terminal integrity checks</x:v>
      </x:c>
      <x:c r="D2" s="34"/>
      <x:c r="E2" s="34"/>
      <x:c r="F2" s="34"/>
      <x:c r="G2" s="34"/>
      <x:c r="H2" s="34"/>
    </x:row>
    <x:row r="3">
      <x:c r="C3" s="3" t="str">
        <x:v>These checks observe the model. No requirement, fleet, node, cost or decision formula depends on this sheet.</x:v>
      </x:c>
      <x:c r="D3" s="3"/>
      <x:c r="E3" s="3"/>
      <x:c r="F3" s="3"/>
      <x:c r="G3" s="3"/>
      <x:c r="H3" s="3"/>
    </x:row>
    <x:row r="4">
      <x:c r="C4" s="35"/>
      <x:c r="D4" s="35"/>
      <x:c r="E4" s="35"/>
      <x:c r="F4" s="35"/>
      <x:c r="G4" s="35"/>
      <x:c r="H4" s="35"/>
    </x:row>
    <x:row r="5">
      <x:c r="C5" s="9" t="str">
        <x:v>Check</x:v>
      </x:c>
      <x:c r="D5" s="9" t="str">
        <x:v>Test</x:v>
      </x:c>
      <x:c r="E5" s="9" t="str">
        <x:v>Actual</x:v>
      </x:c>
      <x:c r="F5" s="9" t="str">
        <x:v>Expected</x:v>
      </x:c>
      <x:c r="G5" s="9" t="str">
        <x:v>Status</x:v>
      </x:c>
      <x:c r="H5" s="35"/>
    </x:row>
    <x:row r="6">
      <x:c r="C6" s="11" t="str">
        <x:v>I01</x:v>
      </x:c>
      <x:c r="D6" s="11" t="str">
        <x:v>Demand source rows</x:v>
      </x:c>
      <x:c r="E6" s="33" t="n">
        <x:f>ROWS('02 Demand Source'!C6:C17)</x:f>
        <x:v>12</x:v>
      </x:c>
      <x:c r="F6" s="33" t="n">
        <x:v>12</x:v>
      </x:c>
      <x:c r="G6" s="11" t="str">
        <x:f>IF(E6=F6,"PASS","FAIL")</x:f>
        <x:v>PASS</x:v>
      </x:c>
      <x:c r="H6" s="35"/>
    </x:row>
    <x:row r="7">
      <x:c r="C7" s="11" t="str">
        <x:v>I02</x:v>
      </x:c>
      <x:c r="D7" s="11" t="str">
        <x:v>Architecture-mode rows</x:v>
      </x:c>
      <x:c r="E7" s="33" t="n">
        <x:f>ROWS('03 Architecture Cases'!C6:C17)</x:f>
        <x:v>12</x:v>
      </x:c>
      <x:c r="F7" s="33" t="n">
        <x:v>12</x:v>
      </x:c>
      <x:c r="G7" s="11" t="str">
        <x:f>IF(E7=F7,"PASS","FAIL")</x:f>
        <x:v>PASS</x:v>
      </x:c>
      <x:c r="H7" s="35"/>
    </x:row>
    <x:row r="8">
      <x:c r="C8" s="11" t="str">
        <x:v>I03</x:v>
      </x:c>
      <x:c r="D8" s="11" t="str">
        <x:v>Capacity envelope rows</x:v>
      </x:c>
      <x:c r="E8" s="33" t="n">
        <x:f>ROWS('04 Capacity Envelope'!C6:C41)</x:f>
        <x:v>36</x:v>
      </x:c>
      <x:c r="F8" s="33" t="n">
        <x:v>36</x:v>
      </x:c>
      <x:c r="G8" s="11" t="str">
        <x:f>IF(E8=F8,"PASS","FAIL")</x:f>
        <x:v>PASS</x:v>
      </x:c>
      <x:c r="H8" s="35"/>
    </x:row>
    <x:row r="9">
      <x:c r="C9" s="11" t="str">
        <x:v>I04</x:v>
      </x:c>
      <x:c r="D9" s="11" t="str">
        <x:v>Capacity summary rows</x:v>
      </x:c>
      <x:c r="E9" s="33" t="n">
        <x:f>ROWS('05 Capacity Summary'!C6:C17)</x:f>
        <x:v>12</x:v>
      </x:c>
      <x:c r="F9" s="33" t="n">
        <x:v>12</x:v>
      </x:c>
      <x:c r="G9" s="11" t="str">
        <x:f>IF(E9=F9,"PASS","FAIL")</x:f>
        <x:v>PASS</x:v>
      </x:c>
      <x:c r="H9" s="35"/>
    </x:row>
    <x:row r="10">
      <x:c r="C10" s="11" t="str">
        <x:v>I05</x:v>
      </x:c>
      <x:c r="D10" s="11" t="str">
        <x:v>Carrier families</x:v>
      </x:c>
      <x:c r="E10" s="33" t="n">
        <x:f>ROWS('06 Carrier Families'!C6:C9)</x:f>
        <x:v>4</x:v>
      </x:c>
      <x:c r="F10" s="33" t="n">
        <x:v>4</x:v>
      </x:c>
      <x:c r="G10" s="11" t="str">
        <x:f>IF(E10=F10,"PASS","FAIL")</x:f>
        <x:v>PASS</x:v>
      </x:c>
      <x:c r="H10" s="35"/>
    </x:row>
    <x:row r="11">
      <x:c r="C11" s="11" t="str">
        <x:v>I06</x:v>
      </x:c>
      <x:c r="D11" s="11" t="str">
        <x:v>Fleet build rows</x:v>
      </x:c>
      <x:c r="E11" s="33" t="n">
        <x:f>ROWS('07 Fleet Build'!C6:C17)</x:f>
        <x:v>12</x:v>
      </x:c>
      <x:c r="F11" s="33" t="n">
        <x:v>12</x:v>
      </x:c>
      <x:c r="G11" s="11" t="str">
        <x:f>IF(E11=F11,"PASS","FAIL")</x:f>
        <x:v>PASS</x:v>
      </x:c>
      <x:c r="H11" s="35"/>
    </x:row>
    <x:row r="12">
      <x:c r="C12" s="11" t="str">
        <x:v>I07</x:v>
      </x:c>
      <x:c r="D12" s="11" t="str">
        <x:v>Node families</x:v>
      </x:c>
      <x:c r="E12" s="33" t="n">
        <x:f>ROWS('08 Node Families'!C6:C9)</x:f>
        <x:v>4</x:v>
      </x:c>
      <x:c r="F12" s="33" t="n">
        <x:v>4</x:v>
      </x:c>
      <x:c r="G12" s="11" t="str">
        <x:f>IF(E12=F12,"PASS","FAIL")</x:f>
        <x:v>PASS</x:v>
      </x:c>
      <x:c r="H12" s="35"/>
    </x:row>
    <x:row r="13">
      <x:c r="C13" s="11" t="str">
        <x:v>I08</x:v>
      </x:c>
      <x:c r="D13" s="11" t="str">
        <x:v>Node build rows</x:v>
      </x:c>
      <x:c r="E13" s="33" t="n">
        <x:f>ROWS('09 Node Build'!C6:C17)</x:f>
        <x:v>12</x:v>
      </x:c>
      <x:c r="F13" s="33" t="n">
        <x:v>12</x:v>
      </x:c>
      <x:c r="G13" s="11" t="str">
        <x:f>IF(E13=F13,"PASS","FAIL")</x:f>
        <x:v>PASS</x:v>
      </x:c>
      <x:c r="H13" s="35"/>
    </x:row>
    <x:row r="14">
      <x:c r="C14" s="11" t="str">
        <x:v>I09</x:v>
      </x:c>
      <x:c r="D14" s="11" t="str">
        <x:v>Architecture cost rows</x:v>
      </x:c>
      <x:c r="E14" s="33" t="n">
        <x:f>ROWS('10 Program Cost'!C6:C8)</x:f>
        <x:v>3</x:v>
      </x:c>
      <x:c r="F14" s="33" t="n">
        <x:v>3</x:v>
      </x:c>
      <x:c r="G14" s="11" t="str">
        <x:f>IF(E14=F14,"PASS","FAIL")</x:f>
        <x:v>PASS</x:v>
      </x:c>
      <x:c r="H14" s="35"/>
    </x:row>
    <x:row r="15">
      <x:c r="C15" s="11" t="str">
        <x:v>I10</x:v>
      </x:c>
      <x:c r="D15" s="11" t="str">
        <x:v>Activation reaches one</x:v>
      </x:c>
      <x:c r="E15" s="33" t="n">
        <x:f>SUM('03 Architecture Cases'!H6:H17)</x:f>
        <x:v>12</x:v>
      </x:c>
      <x:c r="F15" s="33" t="n">
        <x:v>12</x:v>
      </x:c>
      <x:c r="G15" s="11" t="str">
        <x:f>IF(ABS(E15-F15)&lt;='01 Controls'!$E$16,"PASS","FAIL")</x:f>
        <x:v>PASS</x:v>
      </x:c>
      <x:c r="H15" s="35"/>
    </x:row>
    <x:row r="16">
      <x:c r="C16" s="11" t="str">
        <x:v>I11</x:v>
      </x:c>
      <x:c r="D16" s="11" t="str">
        <x:v>Activation is monotonic</x:v>
      </x:c>
      <x:c r="E16" s="33" t="n">
        <x:f>SUMPRODUCT(--('03 Architecture Cases'!F6:F17&lt;='03 Architecture Cases'!G6:G17),--('03 Architecture Cases'!G6:G17&lt;='03 Architecture Cases'!H6:H17))</x:f>
        <x:v>12</x:v>
      </x:c>
      <x:c r="F16" s="33" t="n">
        <x:v>12</x:v>
      </x:c>
      <x:c r="G16" s="11" t="str">
        <x:f>IF(E16=F16,"PASS","FAIL")</x:f>
        <x:v>PASS</x:v>
      </x:c>
      <x:c r="H16" s="35"/>
    </x:row>
    <x:row r="17">
      <x:c r="C17" s="11" t="str">
        <x:v>I12</x:v>
      </x:c>
      <x:c r="D17" s="11" t="str">
        <x:v>Node and route factors bounded</x:v>
      </x:c>
      <x:c r="E17" s="33" t="n">
        <x:f>COUNTIFS('03 Architecture Cases'!I6:J17,"&gt;0")-COUNTIFS('03 Architecture Cases'!I6:J17,"&gt;1")</x:f>
        <x:v>24</x:v>
      </x:c>
      <x:c r="F17" s="33" t="n">
        <x:v>24</x:v>
      </x:c>
      <x:c r="G17" s="11" t="str">
        <x:f>IF(E17=F17,"PASS","FAIL")</x:f>
        <x:v>PASS</x:v>
      </x:c>
      <x:c r="H17" s="35"/>
    </x:row>
    <x:row r="18">
      <x:c r="C18" s="11" t="str">
        <x:v>I13</x:v>
      </x:c>
      <x:c r="D18" s="11" t="str">
        <x:v>Required capacity positive</x:v>
      </x:c>
      <x:c r="E18" s="33" t="n">
        <x:f>COUNTIF('04 Capacity Envelope'!N6:N41,"&gt;0")</x:f>
        <x:v>36</x:v>
      </x:c>
      <x:c r="F18" s="33" t="n">
        <x:v>36</x:v>
      </x:c>
      <x:c r="G18" s="11" t="str">
        <x:f>IF(E18=F18,"PASS","FAIL")</x:f>
        <x:v>PASS</x:v>
      </x:c>
      <x:c r="H18" s="35"/>
    </x:row>
    <x:row r="19">
      <x:c r="C19" s="11" t="str">
        <x:v>I14</x:v>
      </x:c>
      <x:c r="D19" s="11" t="str">
        <x:v>Envelope reproduces target identity</x:v>
      </x:c>
      <x:c r="E19" s="33" t="n">
        <x:f>MAX(ABS('04 Capacity Envelope'!I6-'04 Capacity Envelope'!N6*'04 Capacity Envelope'!J6*'04 Capacity Envelope'!K6*'04 Capacity Envelope'!L6*'04 Capacity Envelope'!M6),ABS('04 Capacity Envelope'!I7-'04 Capacity Envelope'!N7*'04 Capacity Envelope'!J7*'04 Capacity Envelope'!K7*'04 Capacity Envelope'!L7*'04 Capacity Envelope'!M7),ABS('04 Capacity Envelope'!I8-'04 Capacity Envelope'!N8*'04 Capacity Envelope'!J8*'04 Capacity Envelope'!K8*'04 Capacity Envelope'!L8*'04 Capacity Envelope'!M8),ABS('04 Capacity Envelope'!I9-'04 Capacity Envelope'!N9*'04 Capacity Envelope'!J9*'04 Capacity Envelope'!K9*'04 Capacity Envelope'!L9*'04 Capacity Envelope'!M9),ABS('04 Capacity Envelope'!I10-'04 Capacity Envelope'!N10*'04 Capacity Envelope'!J10*'04 Capacity Envelope'!K10*'04 Capacity Envelope'!L10*'04 Capacity Envelope'!M10),ABS('04 Capacity Envelope'!I11-'04 Capacity Envelope'!N11*'04 Capacity Envelope'!J11*'04 Capacity Envelope'!K11*'04 Capacity Envelope'!L11*'04 Capacity Envelope'!M11),ABS('04 Capacity Envelope'!I12-'04 Capacity Envelope'!N12*'04 Capacity Envelope'!J12*'04 Capacity Envelope'!K12*'04 Capacity Envelope'!L12*'04 Capacity Envelope'!M12),ABS('04 Capacity Envelope'!I13-'04 Capacity Envelope'!N13*'04 Capacity Envelope'!J13*'04 Capacity Envelope'!K13*'04 Capacity Envelope'!L13*'04 Capacity Envelope'!M13),ABS('04 Capacity Envelope'!I14-'04 Capacity Envelope'!N14*'04 Capacity Envelope'!J14*'04 Capacity Envelope'!K14*'04 Capacity Envelope'!L14*'04 Capacity Envelope'!M14),ABS('04 Capacity Envelope'!I15-'04 Capacity Envelope'!N15*'04 Capacity Envelope'!J15*'04 Capacity Envelope'!K15*'04 Capacity Envelope'!L15*'04 Capacity Envelope'!M15),ABS('04 Capacity Envelope'!I16-'04 Capacity Envelope'!N16*'04 Capacity Envelope'!J16*'04 Capacity Envelope'!K16*'04 Capacity Envelope'!L16*'04 Capacity Envelope'!M16),ABS('04 Capacity Envelope'!I17-'04 Capacity Envelope'!N17*'04 Capacity Envelope'!J17*'04 Capacity Envelope'!K17*'04 Capacity Envelope'!L17*'04 Capacity Envelope'!M17),ABS('04 Capacity Envelope'!I18-'04 Capacity Envelope'!N18*'04 Capacity Envelope'!J18*'04 Capacity Envelope'!K18*'04 Capacity Envelope'!L18*'04 Capacity Envelope'!M18),ABS('04 Capacity Envelope'!I19-'04 Capacity Envelope'!N19*'04 Capacity Envelope'!J19*'04 Capacity Envelope'!K19*'04 Capacity Envelope'!L19*'04 Capacity Envelope'!M19),ABS('04 Capacity Envelope'!I20-'04 Capacity Envelope'!N20*'04 Capacity Envelope'!J20*'04 Capacity Envelope'!K20*'04 Capacity Envelope'!L20*'04 Capacity Envelope'!M20),ABS('04 Capacity Envelope'!I21-'04 Capacity Envelope'!N21*'04 Capacity Envelope'!J21*'04 Capacity Envelope'!K21*'04 Capacity Envelope'!L21*'04 Capacity Envelope'!M21),ABS('04 Capacity Envelope'!I22-'04 Capacity Envelope'!N22*'04 Capacity Envelope'!J22*'04 Capacity Envelope'!K22*'04 Capacity Envelope'!L22*'04 Capacity Envelope'!M22),ABS('04 Capacity Envelope'!I23-'04 Capacity Envelope'!N23*'04 Capacity Envelope'!J23*'04 Capacity Envelope'!K23*'04 Capacity Envelope'!L23*'04 Capacity Envelope'!M23),ABS('04 Capacity Envelope'!I24-'04 Capacity Envelope'!N24*'04 Capacity Envelope'!J24*'04 Capacity Envelope'!K24*'04 Capacity Envelope'!L24*'04 Capacity Envelope'!M24),ABS('04 Capacity Envelope'!I25-'04 Capacity Envelope'!N25*'04 Capacity Envelope'!J25*'04 Capacity Envelope'!K25*'04 Capacity Envelope'!L25*'04 Capacity Envelope'!M25),ABS('04 Capacity Envelope'!I26-'04 Capacity Envelope'!N26*'04 Capacity Envelope'!J26*'04 Capacity Envelope'!K26*'04 Capacity Envelope'!L26*'04 Capacity Envelope'!M26),ABS('04 Capacity Envelope'!I27-'04 Capacity Envelope'!N27*'04 Capacity Envelope'!J27*'04 Capacity Envelope'!K27*'04 Capacity Envelope'!L27*'04 Capacity Envelope'!M27),ABS('04 Capacity Envelope'!I28-'04 Capacity Envelope'!N28*'04 Capacity Envelope'!J28*'04 Capacity Envelope'!K28*'04 Capacity Envelope'!L28*'04 Capacity Envelope'!M28),ABS('04 Capacity Envelope'!I29-'04 Capacity Envelope'!N29*'04 Capacity Envelope'!J29*'04 Capacity Envelope'!K29*'04 Capacity Envelope'!L29*'04 Capacity Envelope'!M29),ABS('04 Capacity Envelope'!I30-'04 Capacity Envelope'!N30*'04 Capacity Envelope'!J30*'04 Capacity Envelope'!K30*'04 Capacity Envelope'!L30*'04 Capacity Envelope'!M30),ABS('04 Capacity Envelope'!I31-'04 Capacity Envelope'!N31*'04 Capacity Envelope'!J31*'04 Capacity Envelope'!K31*'04 Capacity Envelope'!L31*'04 Capacity Envelope'!M31),ABS('04 Capacity Envelope'!I32-'04 Capacity Envelope'!N32*'04 Capacity Envelope'!J32*'04 Capacity Envelope'!K32*'04 Capacity Envelope'!L32*'04 Capacity Envelope'!M32),ABS('04 Capacity Envelope'!I33-'04 Capacity Envelope'!N33*'04 Capacity Envelope'!J33*'04 Capacity Envelope'!K33*'04 Capacity Envelope'!L33*'04 Capacity Envelope'!M33),ABS('04 Capacity Envelope'!I34-'04 Capacity Envelope'!N34*'04 Capacity Envelope'!J34*'04 Capacity Envelope'!K34*'04 Capacity Envelope'!L34*'04 Capacity Envelope'!M34),ABS('04 Capacity Envelope'!I35-'04 Capacity Envelope'!N35*'04 Capacity Envelope'!J35*'04 Capacity Envelope'!K35*'04 Capacity Envelope'!L35*'04 Capacity Envelope'!M35),ABS('04 Capacity Envelope'!I36-'04 Capacity Envelope'!N36*'04 Capacity Envelope'!J36*'04 Capacity Envelope'!K36*'04 Capacity Envelope'!L36*'04 Capacity Envelope'!M36),ABS('04 Capacity Envelope'!I37-'04 Capacity Envelope'!N37*'04 Capacity Envelope'!J37*'04 Capacity Envelope'!K37*'04 Capacity Envelope'!L37*'04 Capacity Envelope'!M37),ABS('04 Capacity Envelope'!I38-'04 Capacity Envelope'!N38*'04 Capacity Envelope'!J38*'04 Capacity Envelope'!K38*'04 Capacity Envelope'!L38*'04 Capacity Envelope'!M38),ABS('04 Capacity Envelope'!I39-'04 Capacity Envelope'!N39*'04 Capacity Envelope'!J39*'04 Capacity Envelope'!K39*'04 Capacity Envelope'!L39*'04 Capacity Envelope'!M39),ABS('04 Capacity Envelope'!I40-'04 Capacity Envelope'!N40*'04 Capacity Envelope'!J40*'04 Capacity Envelope'!K40*'04 Capacity Envelope'!L40*'04 Capacity Envelope'!M40),ABS('04 Capacity Envelope'!I41-'04 Capacity Envelope'!N41*'04 Capacity Envelope'!J41*'04 Capacity Envelope'!K41*'04 Capacity Envelope'!L41*'04 Capacity Envelope'!M41))</x:f>
        <x:v>9.313225746154785e-10</x:v>
      </x:c>
      <x:c r="F19" s="33" t="n">
        <x:v>0</x:v>
      </x:c>
      <x:c r="G19" s="11" t="str">
        <x:f>IF(E19&lt;='01 Controls'!$E$16,"PASS","FAIL")</x:f>
        <x:v>PASS</x:v>
      </x:c>
      <x:c r="H19" s="35"/>
    </x:row>
    <x:row r="20">
      <x:c r="C20" s="11" t="str">
        <x:v>I15</x:v>
      </x:c>
      <x:c r="D20" s="11" t="str">
        <x:v>Fleet yield covers requirement</x:v>
      </x:c>
      <x:c r="E20" s="33" t="n">
        <x:f>MAX(0,MAX('07 Fleet Build'!G6:G17-'07 Fleet Build'!H6:H17*'07 Fleet Build'!I6:I17))</x:f>
        <x:v>0</x:v>
      </x:c>
      <x:c r="F20" s="33" t="n">
        <x:v>0</x:v>
      </x:c>
      <x:c r="G20" s="11" t="str">
        <x:f>IF(E20&lt;='01 Controls'!$E$16,"PASS","FAIL")</x:f>
        <x:v>PASS</x:v>
      </x:c>
      <x:c r="H20" s="35"/>
    </x:row>
    <x:row r="21">
      <x:c r="C21" s="11" t="str">
        <x:v>I16</x:v>
      </x:c>
      <x:c r="D21" s="11" t="str">
        <x:v>Node counts cover computed need</x:v>
      </x:c>
      <x:c r="E21" s="33" t="n">
        <x:f>MAX(0,'09 Node Build'!G6-'09 Node Build'!J6,'09 Node Build'!H6-'09 Node Build'!J6,'09 Node Build'!I6-'09 Node Build'!J6,'09 Node Build'!G7-'09 Node Build'!J7,'09 Node Build'!H7-'09 Node Build'!J7,'09 Node Build'!I7-'09 Node Build'!J7,'09 Node Build'!G8-'09 Node Build'!J8,'09 Node Build'!H8-'09 Node Build'!J8,'09 Node Build'!I8-'09 Node Build'!J8,'09 Node Build'!G9-'09 Node Build'!J9,'09 Node Build'!H9-'09 Node Build'!J9,'09 Node Build'!I9-'09 Node Build'!J9,'09 Node Build'!G10-'09 Node Build'!J10,'09 Node Build'!H10-'09 Node Build'!J10,'09 Node Build'!I10-'09 Node Build'!J10,'09 Node Build'!G11-'09 Node Build'!J11,'09 Node Build'!H11-'09 Node Build'!J11,'09 Node Build'!I11-'09 Node Build'!J11,'09 Node Build'!G12-'09 Node Build'!J12,'09 Node Build'!H12-'09 Node Build'!J12,'09 Node Build'!I12-'09 Node Build'!J12,'09 Node Build'!G13-'09 Node Build'!J13,'09 Node Build'!H13-'09 Node Build'!J13,'09 Node Build'!I13-'09 Node Build'!J13,'09 Node Build'!G14-'09 Node Build'!J14,'09 Node Build'!H14-'09 Node Build'!J14,'09 Node Build'!I14-'09 Node Build'!J14,'09 Node Build'!G15-'09 Node Build'!J15,'09 Node Build'!H15-'09 Node Build'!J15,'09 Node Build'!I15-'09 Node Build'!J15,'09 Node Build'!G16-'09 Node Build'!J16,'09 Node Build'!H16-'09 Node Build'!J16,'09 Node Build'!I16-'09 Node Build'!J16,'09 Node Build'!G17-'09 Node Build'!J17,'09 Node Build'!H17-'09 Node Build'!J17,'09 Node Build'!I17-'09 Node Build'!J17)</x:f>
        <x:v>0</x:v>
      </x:c>
      <x:c r="F21" s="33" t="n">
        <x:v>0</x:v>
      </x:c>
      <x:c r="G21" s="11" t="str">
        <x:f>IF(E21&lt;='01 Controls'!$E$16,"PASS","FAIL")</x:f>
        <x:v>PASS</x:v>
      </x:c>
      <x:c r="H21" s="35"/>
    </x:row>
    <x:row r="22">
      <x:c r="C22" s="11" t="str">
        <x:v>I17</x:v>
      </x:c>
      <x:c r="D22" s="11" t="str">
        <x:v>Fleet counts are whole</x:v>
      </x:c>
      <x:c r="E22" s="33" t="n">
        <x:f>MAX(ABS('07 Fleet Build'!I6-ROUND('07 Fleet Build'!I6,0)),ABS('07 Fleet Build'!I7-ROUND('07 Fleet Build'!I7,0)),ABS('07 Fleet Build'!I8-ROUND('07 Fleet Build'!I8,0)),ABS('07 Fleet Build'!I9-ROUND('07 Fleet Build'!I9,0)),ABS('07 Fleet Build'!I10-ROUND('07 Fleet Build'!I10,0)),ABS('07 Fleet Build'!I11-ROUND('07 Fleet Build'!I11,0)),ABS('07 Fleet Build'!I12-ROUND('07 Fleet Build'!I12,0)),ABS('07 Fleet Build'!I13-ROUND('07 Fleet Build'!I13,0)),ABS('07 Fleet Build'!I14-ROUND('07 Fleet Build'!I14,0)),ABS('07 Fleet Build'!I15-ROUND('07 Fleet Build'!I15,0)),ABS('07 Fleet Build'!I16-ROUND('07 Fleet Build'!I16,0)),ABS('07 Fleet Build'!I17-ROUND('07 Fleet Build'!I17,0)))</x:f>
        <x:v>0</x:v>
      </x:c>
      <x:c r="F22" s="33" t="n">
        <x:v>0</x:v>
      </x:c>
      <x:c r="G22" s="11" t="str">
        <x:f>IF(E22&lt;='01 Controls'!$E$16,"PASS","FAIL")</x:f>
        <x:v>PASS</x:v>
      </x:c>
      <x:c r="H22" s="35"/>
    </x:row>
    <x:row r="23">
      <x:c r="C23" s="11" t="str">
        <x:v>I18</x:v>
      </x:c>
      <x:c r="D23" s="11" t="str">
        <x:v>Node counts are whole</x:v>
      </x:c>
      <x:c r="E23" s="33" t="n">
        <x:f>MAX(ABS('09 Node Build'!J6-ROUND('09 Node Build'!J6,0)),ABS('09 Node Build'!J7-ROUND('09 Node Build'!J7,0)),ABS('09 Node Build'!J8-ROUND('09 Node Build'!J8,0)),ABS('09 Node Build'!J9-ROUND('09 Node Build'!J9,0)),ABS('09 Node Build'!J10-ROUND('09 Node Build'!J10,0)),ABS('09 Node Build'!J11-ROUND('09 Node Build'!J11,0)),ABS('09 Node Build'!J12-ROUND('09 Node Build'!J12,0)),ABS('09 Node Build'!J13-ROUND('09 Node Build'!J13,0)),ABS('09 Node Build'!J14-ROUND('09 Node Build'!J14,0)),ABS('09 Node Build'!J15-ROUND('09 Node Build'!J15,0)),ABS('09 Node Build'!J16-ROUND('09 Node Build'!J16,0)),ABS('09 Node Build'!J17-ROUND('09 Node Build'!J17,0)))</x:f>
        <x:v>0</x:v>
      </x:c>
      <x:c r="F23" s="33" t="n">
        <x:v>0</x:v>
      </x:c>
      <x:c r="G23" s="11" t="str">
        <x:f>IF(E23&lt;='01 Controls'!$E$16,"PASS","FAIL")</x:f>
        <x:v>PASS</x:v>
      </x:c>
      <x:c r="H23" s="35"/>
    </x:row>
    <x:row r="24">
      <x:c r="C24" s="11" t="str">
        <x:v>I19</x:v>
      </x:c>
      <x:c r="D24" s="11" t="str">
        <x:v>Capital rollup reconciles</x:v>
      </x:c>
      <x:c r="E24" s="33" t="n">
        <x:f>MAX(ABS('10 Program Cost'!O6-'10 Program Cost'!M6-'10 Program Cost'!N6),ABS('10 Program Cost'!O7-'10 Program Cost'!M7-'10 Program Cost'!N7),ABS('10 Program Cost'!O8-'10 Program Cost'!M8-'10 Program Cost'!N8))</x:f>
        <x:v>4.547473508864641e-13</x:v>
      </x:c>
      <x:c r="F24" s="33" t="n">
        <x:v>0</x:v>
      </x:c>
      <x:c r="G24" s="11" t="str">
        <x:f>IF(E24&lt;='01 Controls'!$E$16,"PASS","FAIL")</x:f>
        <x:v>PASS</x:v>
      </x:c>
      <x:c r="H24" s="35"/>
    </x:row>
    <x:row r="25">
      <x:c r="C25" s="11" t="str">
        <x:v>I20</x:v>
      </x:c>
      <x:c r="D25" s="11" t="str">
        <x:v>Program rollup reconciles</x:v>
      </x:c>
      <x:c r="E25" s="33" t="n">
        <x:f>MAX(ABS('10 Program Cost'!V6-'10 Program Cost'!O6-'10 Program Cost'!U6),ABS('10 Program Cost'!V7-'10 Program Cost'!O7-'10 Program Cost'!U7),ABS('10 Program Cost'!V8-'10 Program Cost'!O8-'10 Program Cost'!U8))</x:f>
        <x:v>2.2737367544323206e-13</x:v>
      </x:c>
      <x:c r="F25" s="33" t="n">
        <x:v>0</x:v>
      </x:c>
      <x:c r="G25" s="11" t="str">
        <x:f>IF(E25&lt;='01 Controls'!$E$16,"PASS","FAIL")</x:f>
        <x:v>PASS</x:v>
      </x:c>
      <x:c r="H25" s="35"/>
    </x:row>
    <x:row r="26">
      <x:c r="C26" s="11" t="str">
        <x:v>I21</x:v>
      </x:c>
      <x:c r="D26" s="11" t="str">
        <x:v>Fleet phasing shares</x:v>
      </x:c>
      <x:c r="E26" s="33" t="n">
        <x:f>SUM('11 25Y Phasing'!F6:F10)</x:f>
        <x:v>1</x:v>
      </x:c>
      <x:c r="F26" s="33" t="n">
        <x:v>1</x:v>
      </x:c>
      <x:c r="G26" s="11" t="str">
        <x:f>IF(ABS(E26-F26)&lt;='01 Controls'!$E$16,"PASS","FAIL")</x:f>
        <x:v>PASS</x:v>
      </x:c>
      <x:c r="H26" s="35"/>
    </x:row>
    <x:row r="27">
      <x:c r="C27" s="11" t="str">
        <x:v>I22</x:v>
      </x:c>
      <x:c r="D27" s="11" t="str">
        <x:v>All capital phasing shares</x:v>
      </x:c>
      <x:c r="E27" s="33" t="n">
        <x:f>MAX(ABS(SUM('11 25Y Phasing'!E6:E10)-1),ABS(SUM('11 25Y Phasing'!G6:G10)-1),ABS(SUM('11 25Y Phasing'!H6:H10)-1),ABS(SUM('11 25Y Phasing'!I6:I10)-1))</x:f>
        <x:v>0</x:v>
      </x:c>
      <x:c r="F27" s="33" t="n">
        <x:v>0</x:v>
      </x:c>
      <x:c r="G27" s="11" t="str">
        <x:f>IF(E27&lt;='01 Controls'!$E$16,"PASS","FAIL")</x:f>
        <x:v>PASS</x:v>
      </x:c>
      <x:c r="H27" s="35"/>
    </x:row>
    <x:row r="28">
      <x:c r="C28" s="11" t="str">
        <x:v>I23</x:v>
      </x:c>
      <x:c r="D28" s="11" t="str">
        <x:v>Equivalent operating years</x:v>
      </x:c>
      <x:c r="E28" s="33" t="n">
        <x:f>SUM('11 25Y Phasing'!K6:K10)*5</x:f>
        <x:v>9.05</x:v>
      </x:c>
      <x:c r="F28" s="33" t="n">
        <x:v>9.05</x:v>
      </x:c>
      <x:c r="G28" s="11" t="str">
        <x:f>IF(ABS(E28-F28)&lt;='01 Controls'!$E$16,"PASS","FAIL")</x:f>
        <x:v>PASS</x:v>
      </x:c>
      <x:c r="H28" s="35"/>
    </x:row>
    <x:row r="29">
      <x:c r="C29" s="11" t="str">
        <x:v>I24</x:v>
      </x:c>
      <x:c r="D29" s="11" t="str">
        <x:v>P3 phasing equals program total</x:v>
      </x:c>
      <x:c r="E29" s="33" t="n">
        <x:f>ABS('11 25Y Phasing'!U12-'10 Program Cost'!V8)</x:f>
        <x:v>0</x:v>
      </x:c>
      <x:c r="F29" s="33" t="n">
        <x:v>0</x:v>
      </x:c>
      <x:c r="G29" s="11" t="str">
        <x:f>IF(E29&lt;='01 Controls'!$E$16,"PASS","FAIL")</x:f>
        <x:v>PASS</x:v>
      </x:c>
      <x:c r="H29" s="35"/>
    </x:row>
    <x:row r="30">
      <x:c r="C30" s="11" t="str">
        <x:v>I25</x:v>
      </x:c>
      <x:c r="D30" s="11" t="str">
        <x:v>Receiver admissions remain zero</x:v>
      </x:c>
      <x:c r="E30" s="33" t="n">
        <x:f>SUM('10 Program Cost'!X6:X8)</x:f>
        <x:v>0</x:v>
      </x:c>
      <x:c r="F30" s="33" t="n">
        <x:v>0</x:v>
      </x:c>
      <x:c r="G30" s="11" t="str">
        <x:f>IF(E30=F30,"PASS","FAIL")</x:f>
        <x:v>PASS</x:v>
      </x:c>
      <x:c r="H30" s="35"/>
    </x:row>
    <x:row r="31">
      <x:c r="C31" s="11" t="str">
        <x:v>I26</x:v>
      </x:c>
      <x:c r="D31" s="11" t="str">
        <x:v>Evidence gates remain open</x:v>
      </x:c>
      <x:c r="E31" s="33" t="n">
        <x:f>COUNTIF('12 Sources &amp; Gates'!E15:E29,"OPEN")</x:f>
        <x:v>15</x:v>
      </x:c>
      <x:c r="F31" s="33" t="n">
        <x:v>15</x:v>
      </x:c>
      <x:c r="G31" s="11" t="str">
        <x:f>IF(E31=F31,"PASS","FAIL")</x:f>
        <x:v>PASS</x:v>
      </x:c>
      <x:c r="H31" s="35"/>
    </x:row>
    <x:row r="32">
      <x:c r="C32" s="11" t="str">
        <x:v>I27</x:v>
      </x:c>
      <x:c r="D32" s="11" t="str">
        <x:v>Rendering remains blocked</x:v>
      </x:c>
      <x:c r="E32" s="33" t="n">
        <x:f>COUNTIF('00 Decision'!D17:F17,"BLOCKED")</x:f>
        <x:v>3</x:v>
      </x:c>
      <x:c r="F32" s="33" t="n">
        <x:v>3</x:v>
      </x:c>
      <x:c r="G32" s="11" t="str">
        <x:f>IF(E32=F32,"PASS","FAIL")</x:f>
        <x:v>PASS</x:v>
      </x:c>
      <x:c r="H32" s="35"/>
    </x:row>
  </x:sheetData>
  <x:conditionalFormatting sqref="G6:G32">
    <x:cfRule type="containsText" dxfId="40" priority="1" operator="containsText" text="FAIL"/>
    <x:cfRule type="containsText" dxfId="41" priority="2" operator="containsText" text="OPEN"/>
    <x:cfRule type="containsText" dxfId="42" priority="3" operator="containsText" text="BLOCKED"/>
    <x:cfRule type="containsText" dxfId="43" priority="4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f9841ccbc7b34e25"/>
  </x:tableParts>
</x:worksheet>
</file>