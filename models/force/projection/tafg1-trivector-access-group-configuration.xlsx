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24242ce72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8454ffe3824516"/>
    <x:sheet xmlns:r="http://schemas.openxmlformats.org/officeDocument/2006/relationships" name="Assumptions" sheetId="2" r:id="R03ecf5492c8a42b9"/>
    <x:sheet xmlns:r="http://schemas.openxmlformats.org/officeDocument/2006/relationships" name="Formation" sheetId="3" r:id="Rd6410fc7bc204615"/>
    <x:sheet xmlns:r="http://schemas.openxmlformats.org/officeDocument/2006/relationships" name="Manifest" sheetId="4" r:id="R780cc510fec14a97"/>
    <x:sheet xmlns:r="http://schemas.openxmlformats.org/officeDocument/2006/relationships" name="Workforce" sheetId="5" r:id="R36c8f464622644cb"/>
    <x:sheet xmlns:r="http://schemas.openxmlformats.org/officeDocument/2006/relationships" name="Mission Closure" sheetId="6" r:id="Rdbcefb36591a4141"/>
    <x:sheet xmlns:r="http://schemas.openxmlformats.org/officeDocument/2006/relationships" name="Ancestry" sheetId="7" r:id="R8e64e29193304170"/>
    <x:sheet xmlns:r="http://schemas.openxmlformats.org/officeDocument/2006/relationships" name="Reset" sheetId="8" r:id="R08f69ef85f37466f"/>
    <x:sheet xmlns:r="http://schemas.openxmlformats.org/officeDocument/2006/relationships" name="Program Cost" sheetId="9" r:id="Rdf7c0d78da2b4294"/>
    <x:sheet xmlns:r="http://schemas.openxmlformats.org/officeDocument/2006/relationships" name="Evidence Gates" sheetId="10" r:id="R9a4edcf7e99b4cf3"/>
    <x:sheet xmlns:r="http://schemas.openxmlformats.org/officeDocument/2006/relationships" name="Checks" sheetId="11" r:id="R55b8c6b05f304a7d"/>
    <x:sheet xmlns:r="http://schemas.openxmlformats.org/officeDocument/2006/relationships" name="ReadMe" sheetId="12" r:id="R3ab225b9910a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0"/>
    <x:numFmt numFmtId="202" formatCode="&quot;$&quot;#,##0.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da3e41bd644ca" /><Relationship Type="http://schemas.openxmlformats.org/officeDocument/2006/relationships/theme" Target="/xl/theme/theme1.xml" Id="R03a6bfd2ac314473" /><Relationship Type="http://schemas.openxmlformats.org/officeDocument/2006/relationships/sharedStrings" Target="/xl/sharedStrings.xml" Id="R18cf5c0b85504b8c" /><Relationship Type="http://schemas.openxmlformats.org/officeDocument/2006/relationships/worksheet" Target="/xl/worksheets/sheet1.xml" Id="R4e8454ffe3824516" /><Relationship Type="http://schemas.openxmlformats.org/officeDocument/2006/relationships/worksheet" Target="/xl/worksheets/sheet2.xml" Id="R03ecf5492c8a42b9" /><Relationship Type="http://schemas.openxmlformats.org/officeDocument/2006/relationships/worksheet" Target="/xl/worksheets/sheet3.xml" Id="Rd6410fc7bc204615" /><Relationship Type="http://schemas.openxmlformats.org/officeDocument/2006/relationships/worksheet" Target="/xl/worksheets/sheet4.xml" Id="R780cc510fec14a97" /><Relationship Type="http://schemas.openxmlformats.org/officeDocument/2006/relationships/worksheet" Target="/xl/worksheets/sheet5.xml" Id="R36c8f464622644cb" /><Relationship Type="http://schemas.openxmlformats.org/officeDocument/2006/relationships/worksheet" Target="/xl/worksheets/sheet6.xml" Id="Rdbcefb36591a4141" /><Relationship Type="http://schemas.openxmlformats.org/officeDocument/2006/relationships/worksheet" Target="/xl/worksheets/sheet7.xml" Id="R8e64e29193304170" /><Relationship Type="http://schemas.openxmlformats.org/officeDocument/2006/relationships/worksheet" Target="/xl/worksheets/sheet8.xml" Id="R08f69ef85f37466f" /><Relationship Type="http://schemas.openxmlformats.org/officeDocument/2006/relationships/worksheet" Target="/xl/worksheets/sheet9.xml" Id="Rdf7c0d78da2b4294" /><Relationship Type="http://schemas.openxmlformats.org/officeDocument/2006/relationships/worksheet" Target="/xl/worksheets/sheet10.xml" Id="R9a4edcf7e99b4cf3" /><Relationship Type="http://schemas.openxmlformats.org/officeDocument/2006/relationships/worksheet" Target="/xl/worksheets/sheet11.xml" Id="R55b8c6b05f304a7d" /><Relationship Type="http://schemas.openxmlformats.org/officeDocument/2006/relationships/worksheet" Target="/xl/worksheets/sheet12.xml" Id="R3ab225b9910a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6" hidden="0" customWidth="1"/>
    <x:col min="3" max="3" width="43" hidden="0" customWidth="1"/>
    <x:col min="4" max="4" width="17" hidden="0" customWidth="1"/>
    <x:col min="5" max="5" width="55" hidden="0" customWidth="1"/>
    <x:col min="6" max="6" width="18" hidden="0" customWidth="1"/>
    <x:col min="7" max="7" width="18" hidden="0" customWidth="1"/>
    <x:col min="8" max="8" width="2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B2" s="3" t="str">
        <x:v>TAFG-1 tri-vector access group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formation closes the utility gap; concurrent-region assurance still requires VHL or a second group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10" t="str">
        <x:v>Executive result</x:v>
      </x:c>
      <x:c r="G6" s="2"/>
      <x:c r="H6" s="2"/>
      <x:c r="I6" s="2"/>
      <x:c r="J6" s="2"/>
      <x:c r="K6" s="2"/>
      <x:c r="L6" s="2"/>
      <x:c r="M6" s="2"/>
      <x:c r="N6" s="2"/>
    </x:row>
    <x:row r="7">
      <x:c r="B7" s="26" t="str">
        <x:v>Decision</x:v>
      </x:c>
      <x:c r="C7" s="27" t="str">
        <x:v>Value</x:v>
      </x:c>
      <x:c r="D7" s="27" t="str">
        <x:v>Unit</x:v>
      </x:c>
      <x:c r="E7" s="27" t="str">
        <x:v>Interpretation</x:v>
      </x:c>
      <x:c r="F7" s="27" t="str">
        <x:v>State</x:v>
      </x:c>
      <x:c r="G7" s="2"/>
      <x:c r="H7" s="2"/>
      <x:c r="I7" s="2"/>
      <x:c r="J7" s="2"/>
      <x:c r="K7" s="2"/>
      <x:c r="L7" s="2"/>
      <x:c r="M7" s="2"/>
      <x:c r="N7" s="2"/>
    </x:row>
    <x:row r="8">
      <x:c r="B8" s="28" t="str">
        <x:v>Reference formation</x:v>
      </x:c>
      <x:c r="C8" s="28" t="str">
        <x:v>F1 TAFG-1</x:v>
      </x:c>
      <x:c r="D8" s="28" t="str">
        <x:v>formation</x:v>
      </x:c>
      <x:c r="E8" s="28" t="str">
        <x:v>M1 heavy lift + M3 terrain + M5 corridor</x:v>
      </x:c>
      <x:c r="F8" s="30" t="str">
        <x:v>research</x:v>
      </x:c>
      <x:c r="G8" s="2"/>
      <x:c r="H8" s="2"/>
      <x:c r="I8" s="2"/>
      <x:c r="J8" s="2"/>
      <x:c r="K8" s="2"/>
      <x:c r="L8" s="2"/>
      <x:c r="M8" s="2"/>
      <x:c r="N8" s="2"/>
    </x:row>
    <x:row r="9">
      <x:c r="B9" s="28" t="str">
        <x:v>Behavior worlds closed</x:v>
      </x:c>
      <x:c r="C9" s="28" t="n">
        <x:v>14</x:v>
      </x:c>
      <x:c r="D9" s="28" t="str">
        <x:v>of 15</x:v>
      </x:c>
      <x:c r="E9" s="28" t="str">
        <x:v>utility-gap failure removed</x:v>
      </x:c>
      <x:c r="F9" s="30" t="str">
        <x:v>calculated</x:v>
      </x:c>
      <x:c r="G9" s="2"/>
      <x:c r="H9" s="2"/>
      <x:c r="I9" s="2"/>
      <x:c r="J9" s="2"/>
      <x:c r="K9" s="2"/>
      <x:c r="L9" s="2"/>
      <x:c r="M9" s="2"/>
      <x:c r="N9" s="2"/>
    </x:row>
    <x:row r="10">
      <x:c r="B10" s="28" t="str">
        <x:v>Remaining behavior failure</x:v>
      </x:c>
      <x:c r="C10" s="28" t="str">
        <x:v>W15 second region</x:v>
      </x:c>
      <x:c r="D10" s="28" t="str">
        <x:v>world</x:v>
      </x:c>
      <x:c r="E10" s="28" t="str">
        <x:v>one group cannot serve two regions</x:v>
      </x:c>
      <x:c r="F10" s="30" t="str">
        <x:v>calculated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B11" s="28" t="str">
        <x:v>Fielded payload</x:v>
      </x:c>
      <x:c r="C11" s="28" t="n">
        <x:v>1670</x:v>
      </x:c>
      <x:c r="D11" s="28" t="str">
        <x:v>t/group</x:v>
      </x:c>
      <x:c r="E11" s="28" t="str">
        <x:v>two complete physical cells plus bridge payload</x:v>
      </x:c>
      <x:c r="F11" s="30" t="str">
        <x:v>declared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B12" s="28" t="str">
        <x:v>Deployed workforce</x:v>
      </x:c>
      <x:c r="C12" s="28" t="n">
        <x:v>488</x:v>
      </x:c>
      <x:c r="D12" s="28" t="str">
        <x:v>people/group</x:v>
      </x:c>
      <x:c r="E12" s="28" t="str">
        <x:v>carrier, service, receiver and reset roles</x:v>
      </x:c>
      <x:c r="F12" s="30" t="str">
        <x:v>declared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28" t="str">
        <x:v>National ready groups</x:v>
      </x:c>
      <x:c r="C13" s="28" t="n">
        <x:f>Assumptions!C15</x:f>
        <x:v>43</x:v>
      </x:c>
      <x:c r="D13" s="28" t="str">
        <x:v>groups</x:v>
      </x:c>
      <x:c r="E13" s="28" t="str">
        <x:v>22 × concurrency × readiness</x:v>
      </x:c>
      <x:c r="F13" s="30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28" t="str">
        <x:v>F1 successor program</x:v>
      </x:c>
      <x:c r="C14" s="28" t="n">
        <x:f>'Program Cost'!J7</x:f>
        <x:v>1231.6999999999998</x:v>
      </x:c>
      <x:c r="D14" s="28" t="str">
        <x:v>$B</x:v>
      </x:c>
      <x:c r="E14" s="28" t="str">
        <x:v>formation lifecycle + shared + technology</x:v>
      </x:c>
      <x:c r="F14" s="30" t="str">
        <x:v>calculated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B15" s="28" t="str">
        <x:v>F1 whole-force comparator</x:v>
      </x:c>
      <x:c r="C15" s="28" t="n">
        <x:f>'Program Cost'!L7</x:f>
        <x:v>7231.411950000001</x:v>
      </x:c>
      <x:c r="D15" s="28" t="str">
        <x:v>$B</x:v>
      </x:c>
      <x:c r="E15" s="28" t="str">
        <x:v>replaces Pass 78 paired program once</x:v>
      </x:c>
      <x:c r="F15" s="30" t="str">
        <x:v>calculated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28" t="str">
        <x:v>F2 behavior worlds</x:v>
      </x:c>
      <x:c r="C16" s="28" t="n">
        <x:v>15</x:v>
      </x:c>
      <x:c r="D16" s="28" t="str">
        <x:v>of 15</x:v>
      </x:c>
      <x:c r="E16" s="28" t="str">
        <x:v>VHL squadron closes concurrent region</x:v>
      </x:c>
      <x:c r="F16" s="30" t="str">
        <x:v>calculated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28" t="str">
        <x:v>Open evidence gates</x:v>
      </x:c>
      <x:c r="C17" s="28" t="n">
        <x:v>34</x:v>
      </x:c>
      <x:c r="D17" s="28" t="str">
        <x:v>gates</x:v>
      </x:c>
      <x:c r="E17" s="28" t="str">
        <x:v>all operating credit remains zero</x:v>
      </x:c>
      <x:c r="F17" s="30" t="str">
        <x:v>calculated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32" t="str">
        <x:v>Rendering state</x:v>
      </x:c>
      <x:c r="C18" s="32" t="str">
        <x:v>BLOCKED</x:v>
      </x:c>
      <x:c r="D18" s="32" t="str">
        <x:v>governance</x:v>
      </x:c>
      <x:c r="E18" s="32" t="str">
        <x:v>configuration precedes images</x:v>
      </x:c>
      <x:c r="F18" s="34" t="str">
        <x:v>declared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8" t="str">
        <x:v>Formation comparison</x:v>
      </x:c>
      <x:c r="C21" s="9" t="str">
        <x:v>Formation comparison</x:v>
      </x:c>
      <x:c r="D21" s="9" t="str">
        <x:v>Formation comparison</x:v>
      </x:c>
      <x:c r="E21" s="9" t="str">
        <x:v>Formation comparison</x:v>
      </x:c>
      <x:c r="F21" s="9" t="str">
        <x:v>Formation comparison</x:v>
      </x:c>
      <x:c r="G21" s="9" t="str">
        <x:v>Formation comparison</x:v>
      </x:c>
      <x:c r="H21" s="9" t="str">
        <x:v>Formation comparison</x:v>
      </x:c>
      <x:c r="I21" s="9" t="str">
        <x:v>Formation comparison</x:v>
      </x:c>
      <x:c r="J21" s="9" t="str">
        <x:v>Formation comparison</x:v>
      </x:c>
      <x:c r="K21" s="9" t="str">
        <x:v>Formation comparison</x:v>
      </x:c>
      <x:c r="L21" s="9" t="str">
        <x:v>Formation comparison</x:v>
      </x:c>
      <x:c r="M21" s="9" t="str">
        <x:v>Formation comparison</x:v>
      </x:c>
      <x:c r="N21" s="10" t="str">
        <x:v>Formation comparison</x:v>
      </x:c>
    </x:row>
    <x:row r="22">
      <x:c r="B22" s="26" t="str">
        <x:v>Code</x:v>
      </x:c>
      <x:c r="C22" s="27" t="str">
        <x:v>Formation</x:v>
      </x:c>
      <x:c r="D22" s="27" t="str">
        <x:v>Behavior worlds</x:v>
      </x:c>
      <x:c r="E22" s="27" t="str">
        <x:v>Concurrent regions</x:v>
      </x:c>
      <x:c r="F22" s="27" t="str">
        <x:v>Fielded payload t</x:v>
      </x:c>
      <x:c r="G22" s="27" t="str">
        <x:v>Deployed people</x:v>
      </x:c>
      <x:c r="H22" s="27" t="str">
        <x:v>Whole-force $B</x:v>
      </x:c>
      <x:c r="I22" s="2"/>
      <x:c r="J22" s="2"/>
      <x:c r="K22" s="2"/>
      <x:c r="L22" s="2"/>
      <x:c r="M22" s="2"/>
      <x:c r="N22" s="2"/>
    </x:row>
    <x:row r="23">
      <x:c r="B23" s="28" t="str">
        <x:v>F1</x:v>
      </x:c>
      <x:c r="C23" s="28" t="str">
        <x:v>TAFG-1 tri-vector group</x:v>
      </x:c>
      <x:c r="D23" s="28" t="n">
        <x:v>14</x:v>
      </x:c>
      <x:c r="E23" s="28" t="n">
        <x:v>1</x:v>
      </x:c>
      <x:c r="F23" s="28" t="n">
        <x:v>1670</x:v>
      </x:c>
      <x:c r="G23" s="28" t="n">
        <x:v>488</x:v>
      </x:c>
      <x:c r="H23" s="44" t="n">
        <x:f>'Program Cost'!L7</x:f>
        <x:v>7231.411950000001</x:v>
      </x:c>
      <x:c r="I23" s="2"/>
      <x:c r="J23" s="2"/>
      <x:c r="K23" s="2"/>
      <x:c r="L23" s="2"/>
      <x:c r="M23" s="2"/>
      <x:c r="N23" s="2"/>
    </x:row>
    <x:row r="24">
      <x:c r="B24" s="28" t="str">
        <x:v>F2</x:v>
      </x:c>
      <x:c r="C24" s="28" t="str">
        <x:v>TAFG-1 plus VHL concurrency squadron</x:v>
      </x:c>
      <x:c r="D24" s="28" t="n">
        <x:v>15</x:v>
      </x:c>
      <x:c r="E24" s="28" t="n">
        <x:v>2</x:v>
      </x:c>
      <x:c r="F24" s="28" t="n">
        <x:v>2310</x:v>
      </x:c>
      <x:c r="G24" s="28" t="n">
        <x:v>674</x:v>
      </x:c>
      <x:c r="H24" s="44" t="n">
        <x:f>'Program Cost'!L8</x:f>
        <x:v>7811.943950000001</x:v>
      </x:c>
      <x:c r="I24" s="2"/>
      <x:c r="J24" s="2"/>
      <x:c r="K24" s="2"/>
      <x:c r="L24" s="2"/>
      <x:c r="M24" s="2"/>
      <x:c r="N24" s="2"/>
    </x:row>
    <x:row r="25">
      <x:c r="B25" s="28" t="str">
        <x:v>F3</x:v>
      </x:c>
      <x:c r="C25" s="28" t="str">
        <x:v>Dual TAFG reserve</x:v>
      </x:c>
      <x:c r="D25" s="28" t="n">
        <x:v>15</x:v>
      </x:c>
      <x:c r="E25" s="28" t="n">
        <x:v>2</x:v>
      </x:c>
      <x:c r="F25" s="28" t="n">
        <x:v>3340</x:v>
      </x:c>
      <x:c r="G25" s="28" t="n">
        <x:v>932</x:v>
      </x:c>
      <x:c r="H25" s="44" t="n">
        <x:f>'Program Cost'!L9</x:f>
        <x:v>8043.11195</x:v>
      </x:c>
      <x:c r="I25" s="2"/>
      <x:c r="J25" s="2"/>
      <x:c r="K25" s="2"/>
      <x:c r="L25" s="2"/>
      <x:c r="M25" s="2"/>
      <x:c r="N25" s="2"/>
    </x:row>
    <x:row r="26">
      <x:c r="B26" s="32" t="str">
        <x:v>F4</x:v>
      </x:c>
      <x:c r="C26" s="32" t="str">
        <x:v>VHL corridor-conversion group</x:v>
      </x:c>
      <x:c r="D26" s="32" t="n">
        <x:v>10</x:v>
      </x:c>
      <x:c r="E26" s="32" t="n">
        <x:v>2</x:v>
      </x:c>
      <x:c r="F26" s="32" t="n">
        <x:v>1190</x:v>
      </x:c>
      <x:c r="G26" s="32" t="n">
        <x:v>512</x:v>
      </x:c>
      <x:c r="H26" s="45" t="n">
        <x:f>'Program Cost'!L10</x:f>
        <x:v>7245.10655</x:v>
      </x:c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8" t="str">
        <x:v>Governing judgments</x:v>
      </x:c>
      <x:c r="C29" s="9" t="str">
        <x:v>Governing judgments</x:v>
      </x:c>
      <x:c r="D29" s="9" t="str">
        <x:v>Governing judgments</x:v>
      </x:c>
      <x:c r="E29" s="9" t="str">
        <x:v>Governing judgments</x:v>
      </x:c>
      <x:c r="F29" s="9" t="str">
        <x:v>Governing judgments</x:v>
      </x:c>
      <x:c r="G29" s="9" t="str">
        <x:v>Governing judgments</x:v>
      </x:c>
      <x:c r="H29" s="9" t="str">
        <x:v>Governing judgments</x:v>
      </x:c>
      <x:c r="I29" s="9" t="str">
        <x:v>Governing judgments</x:v>
      </x:c>
      <x:c r="J29" s="9" t="str">
        <x:v>Governing judgments</x:v>
      </x:c>
      <x:c r="K29" s="9" t="str">
        <x:v>Governing judgments</x:v>
      </x:c>
      <x:c r="L29" s="9" t="str">
        <x:v>Governing judgments</x:v>
      </x:c>
      <x:c r="M29" s="9" t="str">
        <x:v>Governing judgments</x:v>
      </x:c>
      <x:c r="N29" s="10" t="str">
        <x:v>Governing judgments</x:v>
      </x:c>
    </x:row>
    <x:row r="30">
      <x:c r="B30" s="46" t="str">
        <x:v>1. The tri-vector group is one formation, not three fleets.</x:v>
      </x:c>
      <x:c r="C30" s="2" t="str">
        <x:v>Common payload custody, receiver entry, command and reset determine whether the vectors compose.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46" t="str">
        <x:v>2. M5 removes the leading pair's utility-gap failure.</x:v>
      </x:c>
      <x:c r="C31" s="2" t="str">
        <x:v>Service bridging is a first-class access action rather than support equipment.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46" t="str">
        <x:v>3. F1 still fails concurrent regional demand.</x:v>
      </x:c>
      <x:c r="C32" s="2" t="str">
        <x:v>F2 adds eight VHL aircraft; F3 duplicates the entire tri-vector group.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46" t="str">
        <x:v>4. Common payload custody is the new critical failure.</x:v>
      </x:c>
      <x:c r="C33" s="2" t="str">
        <x:v>Two independent carriers do not help if one module pool, authority or loading node controls both.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46" t="str">
        <x:v>5. Rendering remains blocked.</x:v>
      </x:c>
      <x:c r="C34" s="2" t="str">
        <x:v>Payload layout, energy, mooring, terrain and corridor evidence still determine physical form.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</x:sheetData>
  <x:mergeCells>
    <x:mergeCell ref="B6:F6"/>
    <x:mergeCell ref="B21:N21"/>
    <x:mergeCell ref="B29:N29"/>
    <x:mergeCell ref="C30:N30"/>
    <x:mergeCell ref="C31:N31"/>
    <x:mergeCell ref="C32:N32"/>
    <x:mergeCell ref="C33:N33"/>
    <x:mergeCell ref="C34:N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40" hidden="0" customWidth="1"/>
    <x:col min="3" max="3" width="18" hidden="0" customWidth="1"/>
    <x:col min="4" max="4" width="15" hidden="0" customWidth="1"/>
    <x:col min="5" max="5" width="19" hidden="0" customWidth="1"/>
    <x:col min="6" max="6" width="43" hidden="0" customWidth="1"/>
  </x:cols>
  <x:sheetData>
    <x:row r="2">
      <x:c r="B2" s="3" t="str">
        <x:v>Tri-vector access group assumptions</x:v>
      </x:c>
      <x:c r="C2" s="2"/>
      <x:c r="D2" s="2"/>
      <x:c r="E2" s="2"/>
      <x:c r="F2" s="2"/>
    </x:row>
    <x:row r="3">
      <x:c r="B3" s="4" t="str">
        <x:v>One independent atmospheric, terrain and utility-bridge formation</x:v>
      </x:c>
      <x:c r="C3" s="4"/>
      <x:c r="D3" s="4"/>
      <x:c r="E3" s="4"/>
      <x:c r="F3" s="4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8" t="str">
        <x:v>Mission and program controls</x:v>
      </x:c>
      <x:c r="C6" s="9" t="str">
        <x:v>Mission and program controls</x:v>
      </x:c>
      <x:c r="D6" s="9" t="str">
        <x:v>Mission and program controls</x:v>
      </x:c>
      <x:c r="E6" s="9" t="str">
        <x:v>Mission and program controls</x:v>
      </x:c>
      <x:c r="F6" s="10" t="str">
        <x:v>Mission and program controls</x:v>
      </x:c>
    </x:row>
    <x:row r="7">
      <x:c r="B7" s="26" t="str">
        <x:v>Input</x:v>
      </x:c>
      <x:c r="C7" s="27" t="str">
        <x:v>Value</x:v>
      </x:c>
      <x:c r="D7" s="27" t="str">
        <x:v>Unit</x:v>
      </x:c>
      <x:c r="E7" s="27" t="str">
        <x:v>Origin</x:v>
      </x:c>
      <x:c r="F7" s="27" t="str">
        <x:v>Meaning</x:v>
      </x:c>
    </x:row>
    <x:row r="8">
      <x:c r="B8" s="28" t="str">
        <x:v>PTS-5 dry service payload</x:v>
      </x:c>
      <x:c r="C8" s="29" t="n">
        <x:v>580</x:v>
      </x:c>
      <x:c r="D8" s="28" t="str">
        <x:v>t</x:v>
      </x:c>
      <x:c r="E8" s="28" t="str">
        <x:v>Pass 78</x:v>
      </x:c>
      <x:c r="F8" s="30" t="str">
        <x:v>complete service equipment</x:v>
      </x:c>
    </x:row>
    <x:row r="9">
      <x:c r="B9" s="28" t="str">
        <x:v>Wet launch load</x:v>
      </x:c>
      <x:c r="C9" s="29" t="n">
        <x:v>55</x:v>
      </x:c>
      <x:c r="D9" s="28" t="str">
        <x:v>t</x:v>
      </x:c>
      <x:c r="E9" s="28" t="str">
        <x:v>Pass 78</x:v>
      </x:c>
      <x:c r="F9" s="30" t="str">
        <x:v>initial consumables</x:v>
      </x:c>
    </x:row>
    <x:row r="10">
      <x:c r="B10" s="28" t="str">
        <x:v>Complete launch mass</x:v>
      </x:c>
      <x:c r="C10" s="31" t="n">
        <x:f>C8+C9</x:f>
        <x:v>635</x:v>
      </x:c>
      <x:c r="D10" s="28" t="str">
        <x:v>t</x:v>
      </x:c>
      <x:c r="E10" s="28" t="str">
        <x:v>calculated</x:v>
      </x:c>
      <x:c r="F10" s="30" t="str">
        <x:v>indivisible physical article</x:v>
      </x:c>
    </x:row>
    <x:row r="11">
      <x:c r="B11" s="28" t="str">
        <x:v>Service-entry deadline</x:v>
      </x:c>
      <x:c r="C11" s="29" t="n">
        <x:v>48</x:v>
      </x:c>
      <x:c r="D11" s="28" t="str">
        <x:v>h</x:v>
      </x:c>
      <x:c r="E11" s="28" t="str">
        <x:v>Pass 78</x:v>
      </x:c>
      <x:c r="F11" s="30" t="str">
        <x:v>public service at receiver</x:v>
      </x:c>
    </x:row>
    <x:row r="12">
      <x:c r="B12" s="28" t="str">
        <x:v>Tri-vector groups assigned</x:v>
      </x:c>
      <x:c r="C12" s="29" t="n">
        <x:v>22</x:v>
      </x:c>
      <x:c r="D12" s="28" t="str">
        <x:v>groups</x:v>
      </x:c>
      <x:c r="E12" s="28" t="str">
        <x:v>Pass 78</x:v>
      </x:c>
      <x:c r="F12" s="30" t="str">
        <x:v>hard-access receiving class</x:v>
      </x:c>
    </x:row>
    <x:row r="13">
      <x:c r="B13" s="28" t="str">
        <x:v>Concurrency factor</x:v>
      </x:c>
      <x:c r="C13" s="29" t="n">
        <x:v>1.5</x:v>
      </x:c>
      <x:c r="D13" s="28" t="str">
        <x:v>factor</x:v>
      </x:c>
      <x:c r="E13" s="28" t="str">
        <x:v>Pass 78</x:v>
      </x:c>
      <x:c r="F13" s="30" t="str">
        <x:v>regional simultaneity</x:v>
      </x:c>
    </x:row>
    <x:row r="14">
      <x:c r="B14" s="28" t="str">
        <x:v>Readiness factor</x:v>
      </x:c>
      <x:c r="C14" s="29" t="n">
        <x:v>1.3</x:v>
      </x:c>
      <x:c r="D14" s="28" t="str">
        <x:v>factor</x:v>
      </x:c>
      <x:c r="E14" s="28" t="str">
        <x:v>Pass 78</x:v>
      </x:c>
      <x:c r="F14" s="30" t="str">
        <x:v>training, overhaul and attrition</x:v>
      </x:c>
    </x:row>
    <x:row r="15">
      <x:c r="B15" s="28" t="str">
        <x:v>National ready groups</x:v>
      </x:c>
      <x:c r="C15" s="31" t="n">
        <x:f>ROUNDUP(C12*C13*C14,0)</x:f>
        <x:v>43</x:v>
      </x:c>
      <x:c r="D15" s="28" t="str">
        <x:v>groups</x:v>
      </x:c>
      <x:c r="E15" s="28" t="str">
        <x:v>calculated</x:v>
      </x:c>
      <x:c r="F15" s="30" t="str">
        <x:v>ceiling of assigned demand</x:v>
      </x:c>
    </x:row>
    <x:row r="16">
      <x:c r="B16" s="28" t="str">
        <x:v>Operations factor</x:v>
      </x:c>
      <x:c r="C16" s="29" t="n">
        <x:v>15.81</x:v>
      </x:c>
      <x:c r="D16" s="28" t="str">
        <x:v>years</x:v>
      </x:c>
      <x:c r="E16" s="28" t="str">
        <x:v>Pass 78</x:v>
      </x:c>
      <x:c r="F16" s="30" t="str">
        <x:v>25-year ramp weighted</x:v>
      </x:c>
    </x:row>
    <x:row r="17">
      <x:c r="B17" s="28" t="str">
        <x:v>Pass 78 national comparator</x:v>
      </x:c>
      <x:c r="C17" s="29" t="n">
        <x:v>6848.03545</x:v>
      </x:c>
      <x:c r="D17" s="28" t="str">
        <x:v>$B</x:v>
      </x:c>
      <x:c r="E17" s="28" t="str">
        <x:v>Pass 78</x:v>
      </x:c>
      <x:c r="F17" s="30" t="str">
        <x:v>M1+M3 pair boundary</x:v>
      </x:c>
    </x:row>
    <x:row r="18">
      <x:c r="B18" s="28" t="str">
        <x:v>Pass 78 paired program</x:v>
      </x:c>
      <x:c r="C18" s="29" t="n">
        <x:v>848.3235</x:v>
      </x:c>
      <x:c r="D18" s="28" t="str">
        <x:v>$B</x:v>
      </x:c>
      <x:c r="E18" s="28" t="str">
        <x:v>Pass 78</x:v>
      </x:c>
      <x:c r="F18" s="30" t="str">
        <x:v>removed before successor</x:v>
      </x:c>
    </x:row>
    <x:row r="19">
      <x:c r="B19" s="28" t="str">
        <x:v>Shared command and base enterprise</x:v>
      </x:c>
      <x:c r="C19" s="29" t="n">
        <x:v>160</x:v>
      </x:c>
      <x:c r="D19" s="28" t="str">
        <x:v>$B</x:v>
      </x:c>
      <x:c r="E19" s="28" t="str">
        <x:v>declared</x:v>
      </x:c>
      <x:c r="F19" s="30" t="str">
        <x:v>tri-vector integration and proving</x:v>
      </x:c>
    </x:row>
    <x:row r="20">
      <x:c r="B20" s="28" t="str">
        <x:v>Technology increment</x:v>
      </x:c>
      <x:c r="C20" s="29" t="n">
        <x:v>180</x:v>
      </x:c>
      <x:c r="D20" s="28" t="str">
        <x:v>$B</x:v>
      </x:c>
      <x:c r="E20" s="28" t="str">
        <x:v>this pass</x:v>
      </x:c>
      <x:c r="F20" s="30" t="str">
        <x:v>formation-specific development</x:v>
      </x:c>
    </x:row>
    <x:row r="21">
      <x:c r="B21" s="32" t="str">
        <x:v>Rendering authorization</x:v>
      </x:c>
      <x:c r="C21" s="33" t="n">
        <x:v>0</x:v>
      </x:c>
      <x:c r="D21" s="32" t="str">
        <x:v>binary</x:v>
      </x:c>
      <x:c r="E21" s="32" t="str">
        <x:v>governance</x:v>
      </x:c>
      <x:c r="F21" s="34" t="str">
        <x:v>blocked pending configured evidence</x:v>
      </x:c>
    </x:row>
    <x:row r="22">
      <x:c r="B22" s="2"/>
      <x:c r="C22" s="2"/>
      <x:c r="D22" s="2"/>
      <x:c r="E22" s="2"/>
      <x:c r="F22" s="2"/>
    </x:row>
    <x:row r="23">
      <x:c r="B23" s="2"/>
      <x:c r="C23" s="2"/>
      <x:c r="D23" s="2"/>
      <x:c r="E23" s="2"/>
      <x:c r="F23" s="2"/>
    </x:row>
    <x:row r="24">
      <x:c r="B24" s="2"/>
      <x:c r="C24" s="2"/>
      <x:c r="D24" s="2"/>
      <x:c r="E24" s="2"/>
      <x:c r="F24" s="2"/>
    </x:row>
    <x:row r="25">
      <x:c r="B25" s="2"/>
      <x:c r="C25" s="2"/>
      <x:c r="D25" s="2"/>
      <x:c r="E25" s="2"/>
      <x:c r="F25" s="2"/>
    </x:row>
    <x:row r="26">
      <x:c r="B26" s="2"/>
      <x:c r="C26" s="2"/>
      <x:c r="D26" s="2"/>
      <x:c r="E26" s="2"/>
      <x:c r="F26" s="2"/>
    </x:row>
    <x:row r="27">
      <x:c r="B27" s="2"/>
      <x:c r="C27" s="2"/>
      <x:c r="D27" s="2"/>
      <x:c r="E27" s="2"/>
      <x:c r="F27" s="2"/>
    </x:row>
    <x:row r="28">
      <x:c r="B28" s="2"/>
      <x:c r="C28" s="2"/>
      <x:c r="D28" s="2"/>
      <x:c r="E28" s="2"/>
      <x:c r="F28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43" hidden="0" customWidth="1"/>
    <x:col min="4" max="4" width="13" hidden="0" customWidth="1"/>
    <x:col min="5" max="5" width="17" hidden="0" customWidth="1"/>
    <x:col min="6" max="6" width="20" hidden="0" customWidth="1"/>
    <x:col min="7" max="7" width="15" hidden="0" customWidth="1"/>
    <x:col min="8" max="8" width="18" hidden="0" customWidth="1"/>
    <x:col min="9" max="9" width="19" hidden="0" customWidth="1"/>
    <x:col min="10" max="10" width="16" hidden="0" customWidth="1"/>
    <x:col min="11" max="11" width="18" hidden="0" customWidth="1"/>
    <x:col min="12" max="12" width="19" hidden="0" customWidth="1"/>
    <x:col min="13" max="13" width="20" hidden="0" customWidth="1"/>
    <x:col min="14" max="14" width="18" hidden="0" customWidth="1"/>
  </x:cols>
  <x:sheetData>
    <x:row r="2">
      <x:c r="B2" s="3" t="str">
        <x:v>Tri-vector formation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F1 closes fourteen worlds; concurrency requires a VHL squadron or a second complete group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6" t="str">
        <x:v>Code</x:v>
      </x:c>
      <x:c r="C6" s="27" t="str">
        <x:v>Formation</x:v>
      </x:c>
      <x:c r="D6" s="27" t="str">
        <x:v>Liftships</x:v>
      </x:c>
      <x:c r="E6" s="27" t="str">
        <x:v>Terrain vehicles</x:v>
      </x:c>
      <x:c r="F6" s="27" t="str">
        <x:v>Corridor projectors</x:v>
      </x:c>
      <x:c r="G6" s="27" t="str">
        <x:v>VHL aircraft</x:v>
      </x:c>
      <x:c r="H6" s="27" t="str">
        <x:v>Complete air cells</x:v>
      </x:c>
      <x:c r="I6" s="27" t="str">
        <x:v>Complete terrain cells</x:v>
      </x:c>
      <x:c r="J6" s="27" t="str">
        <x:v>Utility bridges</x:v>
      </x:c>
      <x:c r="K6" s="27" t="str">
        <x:v>Behavior worlds</x:v>
      </x:c>
      <x:c r="L6" s="27" t="str">
        <x:v>Concurrent regions</x:v>
      </x:c>
      <x:c r="M6" s="27" t="str">
        <x:v>Fielded payload t</x:v>
      </x:c>
      <x:c r="N6" s="27" t="str">
        <x:v>Deployed people</x:v>
      </x:c>
    </x:row>
    <x:row r="7">
      <x:c r="B7" s="28" t="str">
        <x:v>F1</x:v>
      </x:c>
      <x:c r="C7" s="28" t="str">
        <x:v>TAFG-1 tri-vector group</x:v>
      </x:c>
      <x:c r="D7" s="28" t="n">
        <x:v>2</x:v>
      </x:c>
      <x:c r="E7" s="28" t="n">
        <x:v>4</x:v>
      </x:c>
      <x:c r="F7" s="28" t="n">
        <x:v>4</x:v>
      </x:c>
      <x:c r="G7" s="28" t="n">
        <x:v>0</x:v>
      </x:c>
      <x:c r="H7" s="28" t="n">
        <x:v>1</x:v>
      </x:c>
      <x:c r="I7" s="28" t="n">
        <x:v>1</x:v>
      </x:c>
      <x:c r="J7" s="28" t="n">
        <x:v>1</x:v>
      </x:c>
      <x:c r="K7" s="28" t="n">
        <x:v>14</x:v>
      </x:c>
      <x:c r="L7" s="28" t="n">
        <x:v>1</x:v>
      </x:c>
      <x:c r="M7" s="28" t="n">
        <x:v>1670</x:v>
      </x:c>
      <x:c r="N7" s="30" t="n">
        <x:v>488</x:v>
      </x:c>
    </x:row>
    <x:row r="8">
      <x:c r="B8" s="28" t="str">
        <x:v>F2</x:v>
      </x:c>
      <x:c r="C8" s="28" t="str">
        <x:v>TAFG-1 plus VHL concurrency squadron</x:v>
      </x:c>
      <x:c r="D8" s="28" t="n">
        <x:v>2</x:v>
      </x:c>
      <x:c r="E8" s="28" t="n">
        <x:v>4</x:v>
      </x:c>
      <x:c r="F8" s="28" t="n">
        <x:v>4</x:v>
      </x:c>
      <x:c r="G8" s="28" t="n">
        <x:v>8</x:v>
      </x:c>
      <x:c r="H8" s="28" t="n">
        <x:v>1</x:v>
      </x:c>
      <x:c r="I8" s="28" t="n">
        <x:v>1</x:v>
      </x:c>
      <x:c r="J8" s="28" t="n">
        <x:v>1</x:v>
      </x:c>
      <x:c r="K8" s="28" t="n">
        <x:v>15</x:v>
      </x:c>
      <x:c r="L8" s="28" t="n">
        <x:v>2</x:v>
      </x:c>
      <x:c r="M8" s="28" t="n">
        <x:v>2310</x:v>
      </x:c>
      <x:c r="N8" s="30" t="n">
        <x:v>674</x:v>
      </x:c>
    </x:row>
    <x:row r="9">
      <x:c r="B9" s="28" t="str">
        <x:v>F3</x:v>
      </x:c>
      <x:c r="C9" s="28" t="str">
        <x:v>Dual TAFG reserve</x:v>
      </x:c>
      <x:c r="D9" s="28" t="n">
        <x:v>4</x:v>
      </x:c>
      <x:c r="E9" s="28" t="n">
        <x:v>8</x:v>
      </x:c>
      <x:c r="F9" s="28" t="n">
        <x:v>8</x:v>
      </x:c>
      <x:c r="G9" s="28" t="n">
        <x:v>0</x:v>
      </x:c>
      <x:c r="H9" s="28" t="n">
        <x:v>2</x:v>
      </x:c>
      <x:c r="I9" s="28" t="n">
        <x:v>2</x:v>
      </x:c>
      <x:c r="J9" s="28" t="n">
        <x:v>2</x:v>
      </x:c>
      <x:c r="K9" s="28" t="n">
        <x:v>15</x:v>
      </x:c>
      <x:c r="L9" s="28" t="n">
        <x:v>2</x:v>
      </x:c>
      <x:c r="M9" s="28" t="n">
        <x:v>3340</x:v>
      </x:c>
      <x:c r="N9" s="30" t="n">
        <x:v>932</x:v>
      </x:c>
    </x:row>
    <x:row r="10">
      <x:c r="B10" s="32" t="str">
        <x:v>F4</x:v>
      </x:c>
      <x:c r="C10" s="32" t="str">
        <x:v>VHL corridor-conversion group</x:v>
      </x:c>
      <x:c r="D10" s="32" t="n">
        <x:v>0</x:v>
      </x:c>
      <x:c r="E10" s="32" t="n">
        <x:v>0</x:v>
      </x:c>
      <x:c r="F10" s="32" t="n">
        <x:v>4</x:v>
      </x:c>
      <x:c r="G10" s="32" t="n">
        <x:v>8</x:v>
      </x:c>
      <x:c r="H10" s="32" t="n">
        <x:v>0</x:v>
      </x:c>
      <x:c r="I10" s="32" t="n">
        <x:v>0</x:v>
      </x:c>
      <x:c r="J10" s="32" t="n">
        <x:v>1</x:v>
      </x:c>
      <x:c r="K10" s="32" t="n">
        <x:v>10</x:v>
      </x:c>
      <x:c r="L10" s="32" t="n">
        <x:v>2</x:v>
      </x:c>
      <x:c r="M10" s="32" t="n">
        <x:v>1190</x:v>
      </x:c>
      <x:c r="N10" s="34" t="n">
        <x:v>512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8" t="str">
        <x:v>Declared program attributes</x:v>
      </x:c>
      <x:c r="C13" s="9" t="str">
        <x:v>Declared program attributes</x:v>
      </x:c>
      <x:c r="D13" s="9" t="str">
        <x:v>Declared program attributes</x:v>
      </x:c>
      <x:c r="E13" s="9" t="str">
        <x:v>Declared program attributes</x:v>
      </x:c>
      <x:c r="F13" s="9" t="str">
        <x:v>Declared program attributes</x:v>
      </x:c>
      <x:c r="G13" s="9" t="str">
        <x:v>Declared program attributes</x:v>
      </x:c>
      <x:c r="H13" s="9" t="str">
        <x:v>Declared program attributes</x:v>
      </x:c>
      <x:c r="I13" s="9" t="str">
        <x:v>Declared program attributes</x:v>
      </x:c>
      <x:c r="J13" s="9" t="str">
        <x:v>Declared program attributes</x:v>
      </x:c>
      <x:c r="K13" s="9" t="str">
        <x:v>Declared program attributes</x:v>
      </x:c>
      <x:c r="L13" s="9" t="str">
        <x:v>Declared program attributes</x:v>
      </x:c>
      <x:c r="M13" s="9" t="str">
        <x:v>Declared program attributes</x:v>
      </x:c>
      <x:c r="N13" s="10" t="str">
        <x:v>Declared program attributes</x:v>
      </x:c>
    </x:row>
    <x:row r="14">
      <x:c r="B14" s="26" t="str">
        <x:v>Code</x:v>
      </x:c>
      <x:c r="C14" s="27" t="str">
        <x:v>Lifecycle/group $B</x:v>
      </x:c>
      <x:c r="D14" s="27" t="str">
        <x:v>RDT&amp;E $B</x:v>
      </x:c>
      <x:c r="E14" s="27" t="str">
        <x:v>Current evidence</x:v>
      </x:c>
      <x:c r="F14" s="27" t="str">
        <x:v>Strict admission</x:v>
      </x:c>
      <x:c r="G14" s="27" t="str">
        <x:v>Rendering</x:v>
      </x:c>
      <x:c r="H14" s="2"/>
      <x:c r="I14" s="2"/>
      <x:c r="J14" s="2"/>
      <x:c r="K14" s="2"/>
      <x:c r="L14" s="2"/>
      <x:c r="M14" s="2"/>
      <x:c r="N14" s="2"/>
    </x:row>
    <x:row r="15">
      <x:c r="B15" s="28" t="str">
        <x:v>F1</x:v>
      </x:c>
      <x:c r="C15" s="28" t="n">
        <x:v>16.9</x:v>
      </x:c>
      <x:c r="D15" s="28" t="n">
        <x:v>165</x:v>
      </x:c>
      <x:c r="E15" s="28" t="n">
        <x:v>0</x:v>
      </x:c>
      <x:c r="F15" s="28" t="n">
        <x:v>0</x:v>
      </x:c>
      <x:c r="G15" s="30" t="str">
        <x:v>BLOCKED</x:v>
      </x:c>
      <x:c r="H15" s="2"/>
      <x:c r="I15" s="2"/>
      <x:c r="J15" s="2"/>
      <x:c r="K15" s="2"/>
      <x:c r="L15" s="2"/>
      <x:c r="M15" s="2"/>
      <x:c r="N15" s="2"/>
    </x:row>
    <x:row r="16">
      <x:c r="B16" s="28" t="str">
        <x:v>F2</x:v>
      </x:c>
      <x:c r="C16" s="28" t="n">
        <x:v>28.424</x:v>
      </x:c>
      <x:c r="D16" s="28" t="n">
        <x:v>250</x:v>
      </x:c>
      <x:c r="E16" s="28" t="n">
        <x:v>0</x:v>
      </x:c>
      <x:c r="F16" s="28" t="n">
        <x:v>0</x:v>
      </x:c>
      <x:c r="G16" s="30" t="str">
        <x:v>BLOCKED</x:v>
      </x:c>
      <x:c r="H16" s="2"/>
      <x:c r="I16" s="2"/>
      <x:c r="J16" s="2"/>
      <x:c r="K16" s="2"/>
      <x:c r="L16" s="2"/>
      <x:c r="M16" s="2"/>
      <x:c r="N16" s="2"/>
    </x:row>
    <x:row r="17">
      <x:c r="B17" s="28" t="str">
        <x:v>F3</x:v>
      </x:c>
      <x:c r="C17" s="28" t="n">
        <x:v>33.8</x:v>
      </x:c>
      <x:c r="D17" s="28" t="n">
        <x:v>250</x:v>
      </x:c>
      <x:c r="E17" s="28" t="n">
        <x:v>0</x:v>
      </x:c>
      <x:c r="F17" s="28" t="n">
        <x:v>0</x:v>
      </x:c>
      <x:c r="G17" s="30" t="str">
        <x:v>BLOCKED</x:v>
      </x:c>
      <x:c r="H17" s="2"/>
      <x:c r="I17" s="2"/>
      <x:c r="J17" s="2"/>
      <x:c r="K17" s="2"/>
      <x:c r="L17" s="2"/>
      <x:c r="M17" s="2"/>
      <x:c r="N17" s="2"/>
    </x:row>
    <x:row r="18">
      <x:c r="B18" s="32" t="str">
        <x:v>F4</x:v>
      </x:c>
      <x:c r="C18" s="32" t="n">
        <x:v>17.1022</x:v>
      </x:c>
      <x:c r="D18" s="32" t="n">
        <x:v>170</x:v>
      </x:c>
      <x:c r="E18" s="32" t="n">
        <x:v>0</x:v>
      </x:c>
      <x:c r="F18" s="32" t="n">
        <x:v>0</x:v>
      </x:c>
      <x:c r="G18" s="34" t="str">
        <x:v>BLOCKED</x:v>
      </x:c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</x:sheetData>
  <x:mergeCells>
    <x:mergeCell ref="B13:N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8" hidden="0" customWidth="1"/>
    <x:col min="4" max="4" width="13" hidden="0" customWidth="1"/>
    <x:col min="5" max="5" width="15" hidden="0" customWidth="1"/>
    <x:col min="6" max="6" width="19" hidden="0" customWidth="1"/>
    <x:col min="7" max="7" width="18" hidden="0" customWidth="1"/>
    <x:col min="8" max="8" width="27" hidden="0" customWidth="1"/>
    <x:col min="9" max="9" width="30" hidden="0" customWidth="1"/>
    <x:col min="10" max="10" width="17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</x:cols>
  <x:sheetData>
    <x:row r="2">
      <x:c r="B2" s="3" t="str">
        <x:v>Configuration-controlled service manifest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Thirty-two positions and 580 dry tonnes plus 55 wet tonnes remain complete across carrier choices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6" t="str">
        <x:v>Package</x:v>
      </x:c>
      <x:c r="C6" s="27" t="str">
        <x:v>Function</x:v>
      </x:c>
      <x:c r="D6" s="27" t="str">
        <x:v>Positions</x:v>
      </x:c>
      <x:c r="E6" s="27" t="str">
        <x:v>Dry mass t</x:v>
      </x:c>
      <x:c r="F6" s="27" t="str">
        <x:v>Role</x:v>
      </x:c>
      <x:c r="G6" s="27" t="str">
        <x:v>Physical carriers</x:v>
      </x:c>
      <x:c r="H6" s="27" t="str">
        <x:v>Corridor substitution</x:v>
      </x:c>
      <x:c r="I6" s="27" t="str">
        <x:v>Independence rule</x:v>
      </x:c>
      <x:c r="J6" s="27" t="str">
        <x:v>Service domain</x:v>
      </x:c>
      <x:c r="K6" s="2"/>
      <x:c r="L6" s="2"/>
      <x:c r="M6" s="2"/>
      <x:c r="N6" s="2"/>
      <x:c r="O6" s="2"/>
      <x:c r="P6" s="2"/>
    </x:row>
    <x:row r="7">
      <x:c r="B7" s="28" t="str">
        <x:v>P01</x:v>
      </x:c>
      <x:c r="C7" s="28" t="str">
        <x:v>Firm power conversion</x:v>
      </x:c>
      <x:c r="D7" s="28" t="n">
        <x:v>4</x:v>
      </x:c>
      <x:c r="E7" s="28" t="n">
        <x:v>82</x:v>
      </x:c>
      <x:c r="F7" s="28" t="str">
        <x:v>cell core</x:v>
      </x:c>
      <x:c r="G7" s="28" t="str">
        <x:v>M1/M3</x:v>
      </x:c>
      <x:c r="H7" s="28" t="str">
        <x:v>M5 source-side equivalent</x:v>
      </x:c>
      <x:c r="I7" s="28" t="str">
        <x:v>two source lineages</x:v>
      </x:c>
      <x:c r="J7" s="30" t="str">
        <x:v>energy</x:v>
      </x:c>
      <x:c r="K7" s="2"/>
      <x:c r="L7" s="2"/>
      <x:c r="M7" s="2"/>
      <x:c r="N7" s="2"/>
      <x:c r="O7" s="2"/>
      <x:c r="P7" s="2"/>
    </x:row>
    <x:row r="8">
      <x:c r="B8" s="28" t="str">
        <x:v>P02</x:v>
      </x:c>
      <x:c r="C8" s="28" t="str">
        <x:v>Distributed black-start storage</x:v>
      </x:c>
      <x:c r="D8" s="28" t="n">
        <x:v>3</x:v>
      </x:c>
      <x:c r="E8" s="28" t="n">
        <x:v>42</x:v>
      </x:c>
      <x:c r="F8" s="28" t="str">
        <x:v>cell core</x:v>
      </x:c>
      <x:c r="G8" s="28" t="str">
        <x:v>M1/M3</x:v>
      </x:c>
      <x:c r="H8" s="28" t="str">
        <x:v>M5 local ride-through</x:v>
      </x:c>
      <x:c r="I8" s="28" t="str">
        <x:v>three battery partitions</x:v>
      </x:c>
      <x:c r="J8" s="30" t="str">
        <x:v>energy</x:v>
      </x:c>
      <x:c r="K8" s="2"/>
      <x:c r="L8" s="2"/>
      <x:c r="M8" s="2"/>
      <x:c r="N8" s="2"/>
      <x:c r="O8" s="2"/>
      <x:c r="P8" s="2"/>
    </x:row>
    <x:row r="9">
      <x:c r="B9" s="28" t="str">
        <x:v>P03</x:v>
      </x:c>
      <x:c r="C9" s="28" t="str">
        <x:v>Useful cooling trains</x:v>
      </x:c>
      <x:c r="D9" s="28" t="n">
        <x:v>3</x:v>
      </x:c>
      <x:c r="E9" s="28" t="n">
        <x:v>48</x:v>
      </x:c>
      <x:c r="F9" s="28" t="str">
        <x:v>cell core</x:v>
      </x:c>
      <x:c r="G9" s="28" t="str">
        <x:v>M1/M3</x:v>
      </x:c>
      <x:c r="H9" s="28" t="str">
        <x:v>M5 electrical service</x:v>
      </x:c>
      <x:c r="I9" s="28" t="str">
        <x:v>three thermal trains</x:v>
      </x:c>
      <x:c r="J9" s="30" t="str">
        <x:v>thermal</x:v>
      </x:c>
      <x:c r="K9" s="2"/>
      <x:c r="L9" s="2"/>
      <x:c r="M9" s="2"/>
      <x:c r="N9" s="2"/>
      <x:c r="O9" s="2"/>
      <x:c r="P9" s="2"/>
    </x:row>
    <x:row r="10">
      <x:c r="B10" s="28" t="str">
        <x:v>P04</x:v>
      </x:c>
      <x:c r="C10" s="28" t="str">
        <x:v>Final heat-rejection field</x:v>
      </x:c>
      <x:c r="D10" s="28" t="n">
        <x:v>3</x:v>
      </x:c>
      <x:c r="E10" s="28" t="n">
        <x:v>62</x:v>
      </x:c>
      <x:c r="F10" s="28" t="str">
        <x:v>cell core</x:v>
      </x:c>
      <x:c r="G10" s="28" t="str">
        <x:v>M1/M3</x:v>
      </x:c>
      <x:c r="H10" s="28" t="str">
        <x:v>M5 standoff sink</x:v>
      </x:c>
      <x:c r="I10" s="28" t="str">
        <x:v>three sink modules</x:v>
      </x:c>
      <x:c r="J10" s="30" t="str">
        <x:v>thermal</x:v>
      </x:c>
      <x:c r="K10" s="2"/>
      <x:c r="L10" s="2"/>
      <x:c r="M10" s="2"/>
      <x:c r="N10" s="2"/>
      <x:c r="O10" s="2"/>
      <x:c r="P10" s="2"/>
    </x:row>
    <x:row r="11">
      <x:c r="B11" s="28" t="str">
        <x:v>P05</x:v>
      </x:c>
      <x:c r="C11" s="28" t="str">
        <x:v>Water treatment and quality</x:v>
      </x:c>
      <x:c r="D11" s="28" t="n">
        <x:v>3</x:v>
      </x:c>
      <x:c r="E11" s="28" t="n">
        <x:v>43</x:v>
      </x:c>
      <x:c r="F11" s="28" t="str">
        <x:v>cell core</x:v>
      </x:c>
      <x:c r="G11" s="28" t="str">
        <x:v>M1/M3</x:v>
      </x:c>
      <x:c r="H11" s="28" t="str">
        <x:v>M5 water bridge</x:v>
      </x:c>
      <x:c r="I11" s="28" t="str">
        <x:v>three process trains</x:v>
      </x:c>
      <x:c r="J11" s="30" t="str">
        <x:v>water</x:v>
      </x:c>
      <x:c r="K11" s="2"/>
      <x:c r="L11" s="2"/>
      <x:c r="M11" s="2"/>
      <x:c r="N11" s="2"/>
      <x:c r="O11" s="2"/>
      <x:c r="P11" s="2"/>
    </x:row>
    <x:row r="12">
      <x:c r="B12" s="28" t="str">
        <x:v>P06</x:v>
      </x:c>
      <x:c r="C12" s="28" t="str">
        <x:v>Wastewater and residual custody</x:v>
      </x:c>
      <x:c r="D12" s="28" t="n">
        <x:v>2</x:v>
      </x:c>
      <x:c r="E12" s="28" t="n">
        <x:v>27</x:v>
      </x:c>
      <x:c r="F12" s="28" t="str">
        <x:v>cell core</x:v>
      </x:c>
      <x:c r="G12" s="28" t="str">
        <x:v>M1/M3</x:v>
      </x:c>
      <x:c r="H12" s="28" t="str">
        <x:v>M5 return hose</x:v>
      </x:c>
      <x:c r="I12" s="28" t="str">
        <x:v>two isolated trains</x:v>
      </x:c>
      <x:c r="J12" s="30" t="str">
        <x:v>water</x:v>
      </x:c>
      <x:c r="K12" s="2"/>
      <x:c r="L12" s="2"/>
      <x:c r="M12" s="2"/>
      <x:c r="N12" s="2"/>
      <x:c r="O12" s="2"/>
      <x:c r="P12" s="2"/>
    </x:row>
    <x:row r="13">
      <x:c r="B13" s="28" t="str">
        <x:v>P07</x:v>
      </x:c>
      <x:c r="C13" s="28" t="str">
        <x:v>Potable and fire-water storage</x:v>
      </x:c>
      <x:c r="D13" s="28" t="n">
        <x:v>2</x:v>
      </x:c>
      <x:c r="E13" s="28" t="n">
        <x:v>26</x:v>
      </x:c>
      <x:c r="F13" s="28" t="str">
        <x:v>cell core</x:v>
      </x:c>
      <x:c r="G13" s="28" t="str">
        <x:v>M1/M3</x:v>
      </x:c>
      <x:c r="H13" s="28" t="str">
        <x:v>M5 source inventory</x:v>
      </x:c>
      <x:c r="I13" s="28" t="str">
        <x:v>segmented tanks</x:v>
      </x:c>
      <x:c r="J13" s="30" t="str">
        <x:v>water</x:v>
      </x:c>
      <x:c r="K13" s="2"/>
      <x:c r="L13" s="2"/>
      <x:c r="M13" s="2"/>
      <x:c r="N13" s="2"/>
      <x:c r="O13" s="2"/>
      <x:c r="P13" s="2"/>
    </x:row>
    <x:row r="14">
      <x:c r="B14" s="28" t="str">
        <x:v>P08</x:v>
      </x:c>
      <x:c r="C14" s="28" t="str">
        <x:v>Medium-voltage distribution</x:v>
      </x:c>
      <x:c r="D14" s="28" t="n">
        <x:v>2</x:v>
      </x:c>
      <x:c r="E14" s="28" t="n">
        <x:v>36</x:v>
      </x:c>
      <x:c r="F14" s="28" t="str">
        <x:v>access edge</x:v>
      </x:c>
      <x:c r="G14" s="28" t="str">
        <x:v>M1/M3</x:v>
      </x:c>
      <x:c r="H14" s="28" t="str">
        <x:v>M5 primary function</x:v>
      </x:c>
      <x:c r="I14" s="28" t="str">
        <x:v>two protection lineages</x:v>
      </x:c>
      <x:c r="J14" s="30" t="str">
        <x:v>distribution</x:v>
      </x:c>
      <x:c r="K14" s="2"/>
      <x:c r="L14" s="2"/>
      <x:c r="M14" s="2"/>
      <x:c r="N14" s="2"/>
      <x:c r="O14" s="2"/>
      <x:c r="P14" s="2"/>
    </x:row>
    <x:row r="15">
      <x:c r="B15" s="28" t="str">
        <x:v>P09</x:v>
      </x:c>
      <x:c r="C15" s="28" t="str">
        <x:v>Water and thermal distribution</x:v>
      </x:c>
      <x:c r="D15" s="28" t="n">
        <x:v>2</x:v>
      </x:c>
      <x:c r="E15" s="28" t="n">
        <x:v>34</x:v>
      </x:c>
      <x:c r="F15" s="28" t="str">
        <x:v>access edge</x:v>
      </x:c>
      <x:c r="G15" s="28" t="str">
        <x:v>M1/M3</x:v>
      </x:c>
      <x:c r="H15" s="28" t="str">
        <x:v>M5 primary function</x:v>
      </x:c>
      <x:c r="I15" s="28" t="str">
        <x:v>separate product paths</x:v>
      </x:c>
      <x:c r="J15" s="30" t="str">
        <x:v>distribution</x:v>
      </x:c>
      <x:c r="K15" s="2"/>
      <x:c r="L15" s="2"/>
      <x:c r="M15" s="2"/>
      <x:c r="N15" s="2"/>
      <x:c r="O15" s="2"/>
      <x:c r="P15" s="2"/>
    </x:row>
    <x:row r="16">
      <x:c r="B16" s="28" t="str">
        <x:v>P10</x:v>
      </x:c>
      <x:c r="C16" s="28" t="str">
        <x:v>Building interface kits</x:v>
      </x:c>
      <x:c r="D16" s="28" t="n">
        <x:v>2</x:v>
      </x:c>
      <x:c r="E16" s="28" t="n">
        <x:v>30</x:v>
      </x:c>
      <x:c r="F16" s="28" t="str">
        <x:v>occupied edge</x:v>
      </x:c>
      <x:c r="G16" s="28" t="str">
        <x:v>M1/M3</x:v>
      </x:c>
      <x:c r="H16" s="28" t="str">
        <x:v>M5 terminators</x:v>
      </x:c>
      <x:c r="I16" s="28" t="str">
        <x:v>ten building sets</x:v>
      </x:c>
      <x:c r="J16" s="30" t="str">
        <x:v>receiver</x:v>
      </x:c>
      <x:c r="K16" s="2"/>
      <x:c r="L16" s="2"/>
      <x:c r="M16" s="2"/>
      <x:c r="N16" s="2"/>
      <x:c r="O16" s="2"/>
      <x:c r="P16" s="2"/>
    </x:row>
    <x:row r="17">
      <x:c r="B17" s="28" t="str">
        <x:v>P11</x:v>
      </x:c>
      <x:c r="C17" s="28" t="str">
        <x:v>Offline controls and communications</x:v>
      </x:c>
      <x:c r="D17" s="28" t="n">
        <x:v>1</x:v>
      </x:c>
      <x:c r="E17" s="28" t="n">
        <x:v>10</x:v>
      </x:c>
      <x:c r="F17" s="28" t="str">
        <x:v>command</x:v>
      </x:c>
      <x:c r="G17" s="28" t="str">
        <x:v>M1/M3</x:v>
      </x:c>
      <x:c r="H17" s="28" t="str">
        <x:v>M5 repeaters</x:v>
      </x:c>
      <x:c r="I17" s="28" t="str">
        <x:v>three control partitions</x:v>
      </x:c>
      <x:c r="J17" s="30" t="str">
        <x:v>control</x:v>
      </x:c>
      <x:c r="K17" s="2"/>
      <x:c r="L17" s="2"/>
      <x:c r="M17" s="2"/>
      <x:c r="N17" s="2"/>
      <x:c r="O17" s="2"/>
      <x:c r="P17" s="2"/>
    </x:row>
    <x:row r="18">
      <x:c r="B18" s="28" t="str">
        <x:v>P12</x:v>
      </x:c>
      <x:c r="C18" s="28" t="str">
        <x:v>Survey, robotics and civil works</x:v>
      </x:c>
      <x:c r="D18" s="28" t="n">
        <x:v>1</x:v>
      </x:c>
      <x:c r="E18" s="28" t="n">
        <x:v>24</x:v>
      </x:c>
      <x:c r="F18" s="28" t="str">
        <x:v>receiver</x:v>
      </x:c>
      <x:c r="G18" s="28" t="str">
        <x:v>M1/M3</x:v>
      </x:c>
      <x:c r="H18" s="28" t="str">
        <x:v>M5 route robots</x:v>
      </x:c>
      <x:c r="I18" s="28" t="str">
        <x:v>air and ground lineages</x:v>
      </x:c>
      <x:c r="J18" s="30" t="str">
        <x:v>receiver</x:v>
      </x:c>
      <x:c r="K18" s="2"/>
      <x:c r="L18" s="2"/>
      <x:c r="M18" s="2"/>
      <x:c r="N18" s="2"/>
      <x:c r="O18" s="2"/>
      <x:c r="P18" s="2"/>
    </x:row>
    <x:row r="19">
      <x:c r="B19" s="28" t="str">
        <x:v>P13</x:v>
      </x:c>
      <x:c r="C19" s="28" t="str">
        <x:v>Medical and vertical-service kits</x:v>
      </x:c>
      <x:c r="D19" s="28" t="n">
        <x:v>1</x:v>
      </x:c>
      <x:c r="E19" s="28" t="n">
        <x:v>22</x:v>
      </x:c>
      <x:c r="F19" s="28" t="str">
        <x:v>occupied edge</x:v>
      </x:c>
      <x:c r="G19" s="28" t="str">
        <x:v>M1/M3</x:v>
      </x:c>
      <x:c r="H19" s="28" t="str">
        <x:v>M5 powered interfaces</x:v>
      </x:c>
      <x:c r="I19" s="28" t="str">
        <x:v>two custody lots</x:v>
      </x:c>
      <x:c r="J19" s="30" t="str">
        <x:v>service</x:v>
      </x:c>
      <x:c r="K19" s="2"/>
      <x:c r="L19" s="2"/>
      <x:c r="M19" s="2"/>
      <x:c r="N19" s="2"/>
      <x:c r="O19" s="2"/>
      <x:c r="P19" s="2"/>
    </x:row>
    <x:row r="20">
      <x:c r="B20" s="28" t="str">
        <x:v>P14</x:v>
      </x:c>
      <x:c r="C20" s="28" t="str">
        <x:v>Crew life support and safety</x:v>
      </x:c>
      <x:c r="D20" s="28" t="n">
        <x:v>1</x:v>
      </x:c>
      <x:c r="E20" s="28" t="n">
        <x:v>20</x:v>
      </x:c>
      <x:c r="F20" s="28" t="str">
        <x:v>support</x:v>
      </x:c>
      <x:c r="G20" s="28" t="str">
        <x:v>M1/M3</x:v>
      </x:c>
      <x:c r="H20" s="28" t="str">
        <x:v>M5 field shelters</x:v>
      </x:c>
      <x:c r="I20" s="28" t="str">
        <x:v>separate crew domains</x:v>
      </x:c>
      <x:c r="J20" s="30" t="str">
        <x:v>support</x:v>
      </x:c>
      <x:c r="K20" s="2"/>
      <x:c r="L20" s="2"/>
      <x:c r="M20" s="2"/>
      <x:c r="N20" s="2"/>
      <x:c r="O20" s="2"/>
      <x:c r="P20" s="2"/>
    </x:row>
    <x:row r="21">
      <x:c r="B21" s="28" t="str">
        <x:v>P15</x:v>
      </x:c>
      <x:c r="C21" s="28" t="str">
        <x:v>Spares, tools and microrepair</x:v>
      </x:c>
      <x:c r="D21" s="28" t="n">
        <x:v>1</x:v>
      </x:c>
      <x:c r="E21" s="28" t="n">
        <x:v>26</x:v>
      </x:c>
      <x:c r="F21" s="28" t="str">
        <x:v>reset</x:v>
      </x:c>
      <x:c r="G21" s="28" t="str">
        <x:v>M1/M3</x:v>
      </x:c>
      <x:c r="H21" s="28" t="str">
        <x:v>M5 repair nodes</x:v>
      </x:c>
      <x:c r="I21" s="28" t="str">
        <x:v>three supplier lots</x:v>
      </x:c>
      <x:c r="J21" s="30" t="str">
        <x:v>reset</x:v>
      </x:c>
      <x:c r="K21" s="2"/>
      <x:c r="L21" s="2"/>
      <x:c r="M21" s="2"/>
      <x:c r="N21" s="2"/>
      <x:c r="O21" s="2"/>
      <x:c r="P21" s="2"/>
    </x:row>
    <x:row r="22">
      <x:c r="B22" s="32" t="str">
        <x:v>P16</x:v>
      </x:c>
      <x:c r="C22" s="32" t="str">
        <x:v>Dry process stocks and assay</x:v>
      </x:c>
      <x:c r="D22" s="32" t="n">
        <x:v>1</x:v>
      </x:c>
      <x:c r="E22" s="32" t="n">
        <x:v>48</x:v>
      </x:c>
      <x:c r="F22" s="32" t="str">
        <x:v>supply</x:v>
      </x:c>
      <x:c r="G22" s="32" t="str">
        <x:v>M1/M3</x:v>
      </x:c>
      <x:c r="H22" s="32" t="str">
        <x:v>M5 quality custody</x:v>
      </x:c>
      <x:c r="I22" s="32" t="str">
        <x:v>four sealed lots</x:v>
      </x:c>
      <x:c r="J22" s="34" t="str">
        <x:v>supply</x:v>
      </x:c>
      <x:c r="K22" s="2"/>
      <x:c r="L22" s="2"/>
      <x:c r="M22" s="2"/>
      <x:c r="N22" s="2"/>
      <x:c r="O22" s="2"/>
      <x:c r="P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8" t="str">
        <x:v>Manifest reconciliation</x:v>
      </x:c>
      <x:c r="C25" s="9" t="str">
        <x:v>Manifest reconciliation</x:v>
      </x:c>
      <x:c r="D25" s="9" t="str">
        <x:v>Manifest reconciliation</x:v>
      </x:c>
      <x:c r="E25" s="9" t="str">
        <x:v>Manifest reconciliation</x:v>
      </x:c>
      <x:c r="F25" s="9" t="str">
        <x:v>Manifest reconciliation</x:v>
      </x:c>
      <x:c r="G25" s="9" t="str">
        <x:v>Manifest reconciliation</x:v>
      </x:c>
      <x:c r="H25" s="9" t="str">
        <x:v>Manifest reconciliation</x:v>
      </x:c>
      <x:c r="I25" s="9" t="str">
        <x:v>Manifest reconciliation</x:v>
      </x:c>
      <x:c r="J25" s="10" t="str">
        <x:v>Manifest reconciliation</x:v>
      </x:c>
      <x:c r="K25" s="2"/>
      <x:c r="L25" s="2"/>
      <x:c r="M25" s="2"/>
      <x:c r="N25" s="2"/>
      <x:c r="O25" s="2"/>
      <x:c r="P25" s="2"/>
    </x:row>
    <x:row r="26">
      <x:c r="B26" s="26" t="str">
        <x:v>Control</x:v>
      </x:c>
      <x:c r="C26" s="27" t="str">
        <x:v>Observed</x:v>
      </x:c>
      <x:c r="D26" s="27" t="str">
        <x:v>Expected</x:v>
      </x:c>
      <x:c r="E26" s="27" t="str">
        <x:v>Status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28" t="str">
        <x:v>Module positions</x:v>
      </x:c>
      <x:c r="C27" s="28" t="n">
        <x:f>SUM(D7:D22)</x:f>
        <x:v>32</x:v>
      </x:c>
      <x:c r="D27" s="28" t="n">
        <x:v>32</x:v>
      </x:c>
      <x:c r="E27" s="30" t="str">
        <x:f>IF(ABS(C27-D27)&lt;0.000001,"PASS","FAIL")</x:f>
        <x:v>PASS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B28" s="28" t="str">
        <x:v>Dry mass</x:v>
      </x:c>
      <x:c r="C28" s="28" t="n">
        <x:f>SUM(E7:E22)</x:f>
        <x:v>580</x:v>
      </x:c>
      <x:c r="D28" s="28" t="n">
        <x:v>580</x:v>
      </x:c>
      <x:c r="E28" s="30" t="str">
        <x:f>IF(ABS(C28-D28)&lt;0.000001,"PASS","FAIL")</x:f>
        <x:v>PASS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B29" s="32" t="str">
        <x:v>Launch mass</x:v>
      </x:c>
      <x:c r="C29" s="32" t="n">
        <x:f>C28+Assumptions!C9</x:f>
        <x:v>635</x:v>
      </x:c>
      <x:c r="D29" s="32" t="n">
        <x:v>635</x:v>
      </x:c>
      <x:c r="E29" s="34" t="str">
        <x:f>IF(ABS(C29-D29)&lt;0.000001,"PASS","FAIL")</x:f>
        <x:v>PASS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</x:sheetData>
  <x:mergeCells>
    <x:mergeCell ref="B25:J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1" hidden="0" customWidth="1"/>
    <x:col min="3" max="3" width="16" hidden="0" customWidth="1"/>
    <x:col min="4" max="4" width="18" hidden="0" customWidth="1"/>
    <x:col min="5" max="5" width="19" hidden="0" customWidth="1"/>
    <x:col min="6" max="6" width="19" hidden="0" customWidth="1"/>
    <x:col min="7" max="7" width="18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</x:cols>
  <x:sheetData>
    <x:row r="2">
      <x:c r="B2" s="3" t="str">
        <x:v>TAFG-1 workforce and watch system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The formation includes carrier crews, receiver authority, service operators, recovery and relief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26" t="str">
        <x:v>Role group</x:v>
      </x:c>
      <x:c r="C6" s="27" t="str">
        <x:v>Deployed</x:v>
      </x:c>
      <x:c r="D6" s="27" t="str">
        <x:v>Local reserve</x:v>
      </x:c>
      <x:c r="E6" s="27" t="str">
        <x:v>Regional share</x:v>
      </x:c>
      <x:c r="F6" s="27" t="str">
        <x:v>Minimum on duty</x:v>
      </x:c>
      <x:c r="G6" s="27" t="str">
        <x:v>Affiliated total</x:v>
      </x:c>
      <x:c r="H6" s="2"/>
      <x:c r="I6" s="2"/>
      <x:c r="J6" s="2"/>
      <x:c r="K6" s="2"/>
      <x:c r="L6" s="2"/>
    </x:row>
    <x:row r="7">
      <x:c r="B7" s="28" t="str">
        <x:v>Command and access control</x:v>
      </x:c>
      <x:c r="C7" s="28" t="n">
        <x:v>44</x:v>
      </x:c>
      <x:c r="D7" s="28" t="n">
        <x:v>20</x:v>
      </x:c>
      <x:c r="E7" s="28" t="n">
        <x:v>12</x:v>
      </x:c>
      <x:c r="F7" s="28" t="n">
        <x:v>8</x:v>
      </x:c>
      <x:c r="G7" s="30" t="n">
        <x:v>84</x:v>
      </x:c>
      <x:c r="H7" s="2"/>
      <x:c r="I7" s="2"/>
      <x:c r="J7" s="2"/>
      <x:c r="K7" s="2"/>
      <x:c r="L7" s="2"/>
    </x:row>
    <x:row r="8">
      <x:c r="B8" s="28" t="str">
        <x:v>Liftship operations</x:v>
      </x:c>
      <x:c r="C8" s="28" t="n">
        <x:v>96</x:v>
      </x:c>
      <x:c r="D8" s="28" t="n">
        <x:v>42</x:v>
      </x:c>
      <x:c r="E8" s="28" t="n">
        <x:v>18</x:v>
      </x:c>
      <x:c r="F8" s="28" t="n">
        <x:v>24</x:v>
      </x:c>
      <x:c r="G8" s="30" t="n">
        <x:v>180</x:v>
      </x:c>
      <x:c r="H8" s="2"/>
      <x:c r="I8" s="2"/>
      <x:c r="J8" s="2"/>
      <x:c r="K8" s="2"/>
      <x:c r="L8" s="2"/>
    </x:row>
    <x:row r="9">
      <x:c r="B9" s="28" t="str">
        <x:v>Terrain-train operations</x:v>
      </x:c>
      <x:c r="C9" s="28" t="n">
        <x:v>88</x:v>
      </x:c>
      <x:c r="D9" s="28" t="n">
        <x:v>48</x:v>
      </x:c>
      <x:c r="E9" s="28" t="n">
        <x:v>22</x:v>
      </x:c>
      <x:c r="F9" s="28" t="n">
        <x:v>18</x:v>
      </x:c>
      <x:c r="G9" s="30" t="n">
        <x:v>176</x:v>
      </x:c>
      <x:c r="H9" s="2"/>
      <x:c r="I9" s="2"/>
      <x:c r="J9" s="2"/>
      <x:c r="K9" s="2"/>
      <x:c r="L9" s="2"/>
    </x:row>
    <x:row r="10">
      <x:c r="B10" s="28" t="str">
        <x:v>Utility-corridor operations</x:v>
      </x:c>
      <x:c r="C10" s="28" t="n">
        <x:v>76</x:v>
      </x:c>
      <x:c r="D10" s="28" t="n">
        <x:v>46</x:v>
      </x:c>
      <x:c r="E10" s="28" t="n">
        <x:v>24</x:v>
      </x:c>
      <x:c r="F10" s="28" t="n">
        <x:v>16</x:v>
      </x:c>
      <x:c r="G10" s="30" t="n">
        <x:v>162</x:v>
      </x:c>
      <x:c r="H10" s="2"/>
      <x:c r="I10" s="2"/>
      <x:c r="J10" s="2"/>
      <x:c r="K10" s="2"/>
      <x:c r="L10" s="2"/>
    </x:row>
    <x:row r="11">
      <x:c r="B11" s="28" t="str">
        <x:v>Receiver survey and acceptance</x:v>
      </x:c>
      <x:c r="C11" s="28" t="n">
        <x:v>64</x:v>
      </x:c>
      <x:c r="D11" s="28" t="n">
        <x:v>40</x:v>
      </x:c>
      <x:c r="E11" s="28" t="n">
        <x:v>26</x:v>
      </x:c>
      <x:c r="F11" s="28" t="n">
        <x:v>14</x:v>
      </x:c>
      <x:c r="G11" s="30" t="n">
        <x:v>144</x:v>
      </x:c>
      <x:c r="H11" s="2"/>
      <x:c r="I11" s="2"/>
      <x:c r="J11" s="2"/>
      <x:c r="K11" s="2"/>
      <x:c r="L11" s="2"/>
    </x:row>
    <x:row r="12">
      <x:c r="B12" s="28" t="str">
        <x:v>Power, water and thermal service</x:v>
      </x:c>
      <x:c r="C12" s="28" t="n">
        <x:v>52</x:v>
      </x:c>
      <x:c r="D12" s="28" t="n">
        <x:v>34</x:v>
      </x:c>
      <x:c r="E12" s="28" t="n">
        <x:v>18</x:v>
      </x:c>
      <x:c r="F12" s="28" t="n">
        <x:v>16</x:v>
      </x:c>
      <x:c r="G12" s="30" t="n">
        <x:v>120</x:v>
      </x:c>
      <x:c r="H12" s="2"/>
      <x:c r="I12" s="2"/>
      <x:c r="J12" s="2"/>
      <x:c r="K12" s="2"/>
      <x:c r="L12" s="2"/>
    </x:row>
    <x:row r="13">
      <x:c r="B13" s="28" t="str">
        <x:v>Maintenance and recovery</x:v>
      </x:c>
      <x:c r="C13" s="28" t="n">
        <x:v>34</x:v>
      </x:c>
      <x:c r="D13" s="28" t="n">
        <x:v>28</x:v>
      </x:c>
      <x:c r="E13" s="28" t="n">
        <x:v>20</x:v>
      </x:c>
      <x:c r="F13" s="28" t="n">
        <x:v>12</x:v>
      </x:c>
      <x:c r="G13" s="30" t="n">
        <x:v>94</x:v>
      </x:c>
      <x:c r="H13" s="2"/>
      <x:c r="I13" s="2"/>
      <x:c r="J13" s="2"/>
      <x:c r="K13" s="2"/>
      <x:c r="L13" s="2"/>
    </x:row>
    <x:row r="14">
      <x:c r="B14" s="28" t="str">
        <x:v>Medical, safety and civil liaison</x:v>
      </x:c>
      <x:c r="C14" s="28" t="n">
        <x:v>20</x:v>
      </x:c>
      <x:c r="D14" s="28" t="n">
        <x:v>16</x:v>
      </x:c>
      <x:c r="E14" s="28" t="n">
        <x:v>10</x:v>
      </x:c>
      <x:c r="F14" s="28" t="n">
        <x:v>8</x:v>
      </x:c>
      <x:c r="G14" s="30" t="n">
        <x:v>54</x:v>
      </x:c>
      <x:c r="H14" s="2"/>
      <x:c r="I14" s="2"/>
      <x:c r="J14" s="2"/>
      <x:c r="K14" s="2"/>
      <x:c r="L14" s="2"/>
    </x:row>
    <x:row r="15">
      <x:c r="B15" s="32" t="str">
        <x:v>Logistics and supply</x:v>
      </x:c>
      <x:c r="C15" s="32" t="n">
        <x:v>14</x:v>
      </x:c>
      <x:c r="D15" s="32" t="n">
        <x:v>12</x:v>
      </x:c>
      <x:c r="E15" s="32" t="n">
        <x:v>8</x:v>
      </x:c>
      <x:c r="F15" s="32" t="n">
        <x:v>8</x:v>
      </x:c>
      <x:c r="G15" s="34" t="n">
        <x:v>42</x:v>
      </x:c>
      <x:c r="H15" s="2"/>
      <x:c r="I15" s="2"/>
      <x:c r="J15" s="2"/>
      <x:c r="K15" s="2"/>
      <x:c r="L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B18" s="8" t="str">
        <x:v>Workforce totals</x:v>
      </x:c>
      <x:c r="C18" s="9" t="str">
        <x:v>Workforce totals</x:v>
      </x:c>
      <x:c r="D18" s="9" t="str">
        <x:v>Workforce totals</x:v>
      </x:c>
      <x:c r="E18" s="9" t="str">
        <x:v>Workforce totals</x:v>
      </x:c>
      <x:c r="F18" s="9" t="str">
        <x:v>Workforce totals</x:v>
      </x:c>
      <x:c r="G18" s="10" t="str">
        <x:v>Workforce totals</x:v>
      </x:c>
      <x:c r="H18" s="2"/>
      <x:c r="I18" s="2"/>
      <x:c r="J18" s="2"/>
      <x:c r="K18" s="2"/>
      <x:c r="L18" s="2"/>
    </x:row>
    <x:row r="19">
      <x:c r="B19" s="2" t="str">
        <x:v>TAFG-1</x:v>
      </x:c>
      <x:c r="C19" s="2" t="n">
        <x:f>SUM(C7:C15)</x:f>
        <x:v>488</x:v>
      </x:c>
      <x:c r="D19" s="2" t="n">
        <x:f>SUM(D7:D15)</x:f>
        <x:v>286</x:v>
      </x:c>
      <x:c r="E19" s="2" t="n">
        <x:f>SUM(E7:E15)</x:f>
        <x:v>158</x:v>
      </x:c>
      <x:c r="F19" s="2" t="n">
        <x:f>SUM(F7:F15)</x:f>
        <x:v>124</x:v>
      </x:c>
      <x:c r="G19" s="2" t="n">
        <x:f>SUM(G7:G15)</x:f>
        <x:v>1056</x:v>
      </x:c>
      <x:c r="H19" s="2"/>
      <x:c r="I19" s="2"/>
      <x:c r="J19" s="2"/>
      <x:c r="K19" s="2"/>
      <x:c r="L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</x:sheetData>
  <x:mergeCells>
    <x:mergeCell ref="B18:G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39" hidden="0" customWidth="1"/>
    <x:col min="4" max="4" width="17" hidden="0" customWidth="1"/>
    <x:col min="5" max="5" width="17" hidden="0" customWidth="1"/>
    <x:col min="6" max="6" width="18" hidden="0" customWidth="1"/>
    <x:col min="7" max="7" width="26" hidden="0" customWidth="1"/>
    <x:col min="8" max="8" width="38" hidden="0" customWidth="1"/>
    <x:col min="9" max="9" width="17" hidden="0" customWidth="1"/>
    <x:col min="10" max="10" width="17" hidden="0" customWidth="1"/>
  </x:cols>
  <x:sheetData>
    <x:row r="2">
      <x:c r="B2" s="3" t="str">
        <x:v>Formation mission closure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F1 adds the utility bridge; F2 or F3 adds concurrent-region depth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6" t="str">
        <x:v>World</x:v>
      </x:c>
      <x:c r="C6" s="27" t="str">
        <x:v>Condition</x:v>
      </x:c>
      <x:c r="D6" s="27" t="str">
        <x:v>F1 TAFG-1</x:v>
      </x:c>
      <x:c r="E6" s="27" t="str">
        <x:v>F2 + VHL</x:v>
      </x:c>
      <x:c r="F6" s="27" t="str">
        <x:v>F3 dual reserve</x:v>
      </x:c>
      <x:c r="G6" s="27" t="str">
        <x:v>F4 VHL corridor conversion</x:v>
      </x:c>
      <x:c r="H6" s="27" t="str">
        <x:v>F1 meaning</x:v>
      </x:c>
      <x:c r="I6" s="27" t="str">
        <x:v>Current credit</x:v>
      </x:c>
      <x:c r="J6" s="27" t="str">
        <x:v>Strict admission</x:v>
      </x:c>
    </x:row>
    <x:row r="7">
      <x:c r="B7" s="28" t="str">
        <x:v>W01</x:v>
      </x:c>
      <x:c r="C7" s="28" t="str">
        <x:v>Island terminal denial</x:v>
      </x:c>
      <x:c r="D7" s="28" t="str">
        <x:v>PASS</x:v>
      </x:c>
      <x:c r="E7" s="28" t="str">
        <x:v>PASS</x:v>
      </x:c>
      <x:c r="F7" s="28" t="str">
        <x:v>PASS</x:v>
      </x:c>
      <x:c r="G7" s="28" t="str">
        <x:v>FAIL</x:v>
      </x:c>
      <x:c r="H7" s="28" t="str">
        <x:v>one of three vectors closes</x:v>
      </x:c>
      <x:c r="I7" s="28" t="str">
        <x:v>FAIL</x:v>
      </x:c>
      <x:c r="J7" s="30" t="str">
        <x:v>FAIL</x:v>
      </x:c>
    </x:row>
    <x:row r="8">
      <x:c r="B8" s="28" t="str">
        <x:v>W02</x:v>
      </x:c>
      <x:c r="C8" s="28" t="str">
        <x:v>Open-water archipelago</x:v>
      </x:c>
      <x:c r="D8" s="28" t="str">
        <x:v>PASS</x:v>
      </x:c>
      <x:c r="E8" s="28" t="str">
        <x:v>PASS</x:v>
      </x:c>
      <x:c r="F8" s="28" t="str">
        <x:v>PASS</x:v>
      </x:c>
      <x:c r="G8" s="28" t="str">
        <x:v>FAIL</x:v>
      </x:c>
      <x:c r="H8" s="28" t="str">
        <x:v>one of three vectors closes</x:v>
      </x:c>
      <x:c r="I8" s="28" t="str">
        <x:v>FAIL</x:v>
      </x:c>
      <x:c r="J8" s="30" t="str">
        <x:v>FAIL</x:v>
      </x:c>
    </x:row>
    <x:row r="9">
      <x:c r="B9" s="28" t="str">
        <x:v>W03</x:v>
      </x:c>
      <x:c r="C9" s="28" t="str">
        <x:v>Coastal debris denial</x:v>
      </x:c>
      <x:c r="D9" s="28" t="str">
        <x:v>PASS</x:v>
      </x:c>
      <x:c r="E9" s="28" t="str">
        <x:v>PASS</x:v>
      </x:c>
      <x:c r="F9" s="28" t="str">
        <x:v>PASS</x:v>
      </x:c>
      <x:c r="G9" s="28" t="str">
        <x:v>FAIL</x:v>
      </x:c>
      <x:c r="H9" s="28" t="str">
        <x:v>one of three vectors closes</x:v>
      </x:c>
      <x:c r="I9" s="28" t="str">
        <x:v>FAIL</x:v>
      </x:c>
      <x:c r="J9" s="30" t="str">
        <x:v>FAIL</x:v>
      </x:c>
    </x:row>
    <x:row r="10">
      <x:c r="B10" s="28" t="str">
        <x:v>W04</x:v>
      </x:c>
      <x:c r="C10" s="28" t="str">
        <x:v>Inland bridge collapse</x:v>
      </x:c>
      <x:c r="D10" s="28" t="str">
        <x:v>PASS</x:v>
      </x:c>
      <x:c r="E10" s="28" t="str">
        <x:v>PASS</x:v>
      </x:c>
      <x:c r="F10" s="28" t="str">
        <x:v>PASS</x:v>
      </x:c>
      <x:c r="G10" s="28" t="str">
        <x:v>PASS</x:v>
      </x:c>
      <x:c r="H10" s="28" t="str">
        <x:v>one of three vectors closes</x:v>
      </x:c>
      <x:c r="I10" s="28" t="str">
        <x:v>FAIL</x:v>
      </x:c>
      <x:c r="J10" s="30" t="str">
        <x:v>FAIL</x:v>
      </x:c>
    </x:row>
    <x:row r="11">
      <x:c r="B11" s="28" t="str">
        <x:v>W05</x:v>
      </x:c>
      <x:c r="C11" s="28" t="str">
        <x:v>Mountain landslide</x:v>
      </x:c>
      <x:c r="D11" s="28" t="str">
        <x:v>PASS</x:v>
      </x:c>
      <x:c r="E11" s="28" t="str">
        <x:v>PASS</x:v>
      </x:c>
      <x:c r="F11" s="28" t="str">
        <x:v>PASS</x:v>
      </x:c>
      <x:c r="G11" s="28" t="str">
        <x:v>PASS</x:v>
      </x:c>
      <x:c r="H11" s="28" t="str">
        <x:v>one of three vectors closes</x:v>
      </x:c>
      <x:c r="I11" s="28" t="str">
        <x:v>FAIL</x:v>
      </x:c>
      <x:c r="J11" s="30" t="str">
        <x:v>FAIL</x:v>
      </x:c>
    </x:row>
    <x:row r="12">
      <x:c r="B12" s="28" t="str">
        <x:v>W06</x:v>
      </x:c>
      <x:c r="C12" s="28" t="str">
        <x:v>Desert heat and drought</x:v>
      </x:c>
      <x:c r="D12" s="28" t="str">
        <x:v>PASS</x:v>
      </x:c>
      <x:c r="E12" s="28" t="str">
        <x:v>PASS</x:v>
      </x:c>
      <x:c r="F12" s="28" t="str">
        <x:v>PASS</x:v>
      </x:c>
      <x:c r="G12" s="28" t="str">
        <x:v>PASS</x:v>
      </x:c>
      <x:c r="H12" s="28" t="str">
        <x:v>one of three vectors closes</x:v>
      </x:c>
      <x:c r="I12" s="28" t="str">
        <x:v>FAIL</x:v>
      </x:c>
      <x:c r="J12" s="30" t="str">
        <x:v>FAIL</x:v>
      </x:c>
    </x:row>
    <x:row r="13">
      <x:c r="B13" s="28" t="str">
        <x:v>W07</x:v>
      </x:c>
      <x:c r="C13" s="28" t="str">
        <x:v>Flood current and debris</x:v>
      </x:c>
      <x:c r="D13" s="28" t="str">
        <x:v>PASS</x:v>
      </x:c>
      <x:c r="E13" s="28" t="str">
        <x:v>PASS</x:v>
      </x:c>
      <x:c r="F13" s="28" t="str">
        <x:v>PASS</x:v>
      </x:c>
      <x:c r="G13" s="28" t="str">
        <x:v>PASS</x:v>
      </x:c>
      <x:c r="H13" s="28" t="str">
        <x:v>one of three vectors closes</x:v>
      </x:c>
      <x:c r="I13" s="28" t="str">
        <x:v>FAIL</x:v>
      </x:c>
      <x:c r="J13" s="30" t="str">
        <x:v>FAIL</x:v>
      </x:c>
    </x:row>
    <x:row r="14">
      <x:c r="B14" s="28" t="str">
        <x:v>W08</x:v>
      </x:c>
      <x:c r="C14" s="28" t="str">
        <x:v>Frozen northern range</x:v>
      </x:c>
      <x:c r="D14" s="28" t="str">
        <x:v>PASS</x:v>
      </x:c>
      <x:c r="E14" s="28" t="str">
        <x:v>PASS</x:v>
      </x:c>
      <x:c r="F14" s="28" t="str">
        <x:v>PASS</x:v>
      </x:c>
      <x:c r="G14" s="28" t="str">
        <x:v>PASS</x:v>
      </x:c>
      <x:c r="H14" s="28" t="str">
        <x:v>one of three vectors closes</x:v>
      </x:c>
      <x:c r="I14" s="28" t="str">
        <x:v>FAIL</x:v>
      </x:c>
      <x:c r="J14" s="30" t="str">
        <x:v>FAIL</x:v>
      </x:c>
    </x:row>
    <x:row r="15">
      <x:c r="B15" s="28" t="str">
        <x:v>W09</x:v>
      </x:c>
      <x:c r="C15" s="28" t="str">
        <x:v>Wildfire smoke and wind</x:v>
      </x:c>
      <x:c r="D15" s="28" t="str">
        <x:v>PASS</x:v>
      </x:c>
      <x:c r="E15" s="28" t="str">
        <x:v>PASS</x:v>
      </x:c>
      <x:c r="F15" s="28" t="str">
        <x:v>PASS</x:v>
      </x:c>
      <x:c r="G15" s="28" t="str">
        <x:v>PASS</x:v>
      </x:c>
      <x:c r="H15" s="28" t="str">
        <x:v>one of three vectors closes</x:v>
      </x:c>
      <x:c r="I15" s="28" t="str">
        <x:v>FAIL</x:v>
      </x:c>
      <x:c r="J15" s="30" t="str">
        <x:v>FAIL</x:v>
      </x:c>
    </x:row>
    <x:row r="16">
      <x:c r="B16" s="28" t="str">
        <x:v>W10</x:v>
      </x:c>
      <x:c r="C16" s="28" t="str">
        <x:v>Earthquake liquefaction</x:v>
      </x:c>
      <x:c r="D16" s="28" t="str">
        <x:v>PASS</x:v>
      </x:c>
      <x:c r="E16" s="28" t="str">
        <x:v>PASS</x:v>
      </x:c>
      <x:c r="F16" s="28" t="str">
        <x:v>PASS</x:v>
      </x:c>
      <x:c r="G16" s="28" t="str">
        <x:v>PASS</x:v>
      </x:c>
      <x:c r="H16" s="28" t="str">
        <x:v>one of three vectors closes</x:v>
      </x:c>
      <x:c r="I16" s="28" t="str">
        <x:v>FAIL</x:v>
      </x:c>
      <x:c r="J16" s="30" t="str">
        <x:v>FAIL</x:v>
      </x:c>
    </x:row>
    <x:row r="17">
      <x:c r="B17" s="28" t="str">
        <x:v>W11</x:v>
      </x:c>
      <x:c r="C17" s="28" t="str">
        <x:v>Cyclone wind</x:v>
      </x:c>
      <x:c r="D17" s="28" t="str">
        <x:v>PASS</x:v>
      </x:c>
      <x:c r="E17" s="28" t="str">
        <x:v>PASS</x:v>
      </x:c>
      <x:c r="F17" s="28" t="str">
        <x:v>PASS</x:v>
      </x:c>
      <x:c r="G17" s="28" t="str">
        <x:v>PASS</x:v>
      </x:c>
      <x:c r="H17" s="28" t="str">
        <x:v>one of three vectors closes</x:v>
      </x:c>
      <x:c r="I17" s="28" t="str">
        <x:v>FAIL</x:v>
      </x:c>
      <x:c r="J17" s="30" t="str">
        <x:v>FAIL</x:v>
      </x:c>
    </x:row>
    <x:row r="18">
      <x:c r="B18" s="28" t="str">
        <x:v>W12</x:v>
      </x:c>
      <x:c r="C18" s="28" t="str">
        <x:v>Long-range cyber denial</x:v>
      </x:c>
      <x:c r="D18" s="28" t="str">
        <x:v>PASS</x:v>
      </x:c>
      <x:c r="E18" s="28" t="str">
        <x:v>PASS</x:v>
      </x:c>
      <x:c r="F18" s="28" t="str">
        <x:v>PASS</x:v>
      </x:c>
      <x:c r="G18" s="28" t="str">
        <x:v>FAIL</x:v>
      </x:c>
      <x:c r="H18" s="28" t="str">
        <x:v>one of three vectors closes</x:v>
      </x:c>
      <x:c r="I18" s="28" t="str">
        <x:v>FAIL</x:v>
      </x:c>
      <x:c r="J18" s="30" t="str">
        <x:v>FAIL</x:v>
      </x:c>
    </x:row>
    <x:row r="19">
      <x:c r="B19" s="28" t="str">
        <x:v>W13</x:v>
      </x:c>
      <x:c r="C19" s="28" t="str">
        <x:v>80 km utility gap</x:v>
      </x:c>
      <x:c r="D19" s="28" t="str">
        <x:v>PASS</x:v>
      </x:c>
      <x:c r="E19" s="28" t="str">
        <x:v>PASS</x:v>
      </x:c>
      <x:c r="F19" s="28" t="str">
        <x:v>PASS</x:v>
      </x:c>
      <x:c r="G19" s="28" t="str">
        <x:v>PASS</x:v>
      </x:c>
      <x:c r="H19" s="28" t="str">
        <x:v>one of three vectors closes</x:v>
      </x:c>
      <x:c r="I19" s="28" t="str">
        <x:v>FAIL</x:v>
      </x:c>
      <x:c r="J19" s="30" t="str">
        <x:v>FAIL</x:v>
      </x:c>
    </x:row>
    <x:row r="20">
      <x:c r="B20" s="28" t="str">
        <x:v>W14</x:v>
      </x:c>
      <x:c r="C20" s="28" t="str">
        <x:v>Local feedstock, corridors denied</x:v>
      </x:c>
      <x:c r="D20" s="28" t="str">
        <x:v>PASS</x:v>
      </x:c>
      <x:c r="E20" s="28" t="str">
        <x:v>PASS</x:v>
      </x:c>
      <x:c r="F20" s="28" t="str">
        <x:v>PASS</x:v>
      </x:c>
      <x:c r="G20" s="28" t="str">
        <x:v>FAIL</x:v>
      </x:c>
      <x:c r="H20" s="28" t="str">
        <x:v>one of three vectors closes</x:v>
      </x:c>
      <x:c r="I20" s="28" t="str">
        <x:v>FAIL</x:v>
      </x:c>
      <x:c r="J20" s="30" t="str">
        <x:v>FAIL</x:v>
      </x:c>
    </x:row>
    <x:row r="21">
      <x:c r="B21" s="28" t="str">
        <x:v>W15</x:v>
      </x:c>
      <x:c r="C21" s="28" t="str">
        <x:v>Second simultaneous region</x:v>
      </x:c>
      <x:c r="D21" s="28" t="str">
        <x:v>FAIL</x:v>
      </x:c>
      <x:c r="E21" s="28" t="str">
        <x:v>PASS</x:v>
      </x:c>
      <x:c r="F21" s="28" t="str">
        <x:v>PASS</x:v>
      </x:c>
      <x:c r="G21" s="28" t="str">
        <x:v>PASS</x:v>
      </x:c>
      <x:c r="H21" s="28" t="str">
        <x:v>single group cannot double count</x:v>
      </x:c>
      <x:c r="I21" s="28" t="str">
        <x:v>FAIL</x:v>
      </x:c>
      <x:c r="J21" s="30" t="str">
        <x:v>FAIL</x:v>
      </x:c>
    </x:row>
    <x:row r="22">
      <x:c r="B22" s="32" t="str">
        <x:v>W16</x:v>
      </x:c>
      <x:c r="C22" s="32" t="str">
        <x:v>Evidence withheld</x:v>
      </x:c>
      <x:c r="D22" s="32" t="str">
        <x:v>PASS</x:v>
      </x:c>
      <x:c r="E22" s="32" t="str">
        <x:v>PASS</x:v>
      </x:c>
      <x:c r="F22" s="32" t="str">
        <x:v>PASS</x:v>
      </x:c>
      <x:c r="G22" s="32" t="str">
        <x:v>PASS</x:v>
      </x:c>
      <x:c r="H22" s="32" t="str">
        <x:v>universal evidence stop</x:v>
      </x:c>
      <x:c r="I22" s="32" t="str">
        <x:v>FAIL</x:v>
      </x:c>
      <x:c r="J22" s="34" t="str">
        <x:v>FAIL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conditionalFormatting sqref="D7:J22">
    <x:cfRule type="containsText" dxfId="0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33" hidden="0" customWidth="1"/>
    <x:col min="4" max="4" width="32" hidden="0" customWidth="1"/>
    <x:col min="5" max="5" width="33" hidden="0" customWidth="1"/>
    <x:col min="6" max="6" width="20" hidden="0" customWidth="1"/>
    <x:col min="7" max="7" width="42" hidden="0" customWidth="1"/>
    <x:col min="8" max="8" width="16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</x:cols>
  <x:sheetData>
    <x:row r="2">
      <x:c r="B2" s="3" t="str">
        <x:v>Tri-vector ancestry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Different propulsion is not independence unless source, base, control, workforce, supplier and reset also separate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6" t="str">
        <x:v>Domain</x:v>
      </x:c>
      <x:c r="C6" s="27" t="str">
        <x:v>M1 lineage</x:v>
      </x:c>
      <x:c r="D6" s="27" t="str">
        <x:v>M3 lineage</x:v>
      </x:c>
      <x:c r="E6" s="27" t="str">
        <x:v>M5 lineage</x:v>
      </x:c>
      <x:c r="F6" s="27" t="str">
        <x:v>Declared partitions</x:v>
      </x:c>
      <x:c r="G6" s="27" t="str">
        <x:v>Requirement</x:v>
      </x:c>
      <x:c r="H6" s="27" t="str">
        <x:v>Evidence</x:v>
      </x:c>
      <x:c r="I6" s="2"/>
      <x:c r="J6" s="2"/>
      <x:c r="K6" s="2"/>
      <x:c r="L6" s="2"/>
      <x:c r="M6" s="2"/>
      <x:c r="N6" s="2"/>
    </x:row>
    <x:row r="7">
      <x:c r="B7" s="28" t="str">
        <x:v>Energy</x:v>
      </x:c>
      <x:c r="C7" s="28" t="str">
        <x:v>M1 hydrogen/electric base</x:v>
      </x:c>
      <x:c r="D7" s="28" t="str">
        <x:v>M3 liquid/electric depot</x:v>
      </x:c>
      <x:c r="E7" s="28" t="str">
        <x:v>M5 standoff utility source</x:v>
      </x:c>
      <x:c r="F7" s="28" t="n">
        <x:v>3</x:v>
      </x:c>
      <x:c r="G7" s="28" t="str">
        <x:v>separate source contracts and conversion</x:v>
      </x:c>
      <x:c r="H7" s="30" t="str">
        <x:v>OPEN</x:v>
      </x:c>
      <x:c r="I7" s="2"/>
      <x:c r="J7" s="2"/>
      <x:c r="K7" s="2"/>
      <x:c r="L7" s="2"/>
      <x:c r="M7" s="2"/>
      <x:c r="N7" s="2"/>
    </x:row>
    <x:row r="8">
      <x:c r="B8" s="28" t="str">
        <x:v>Launch/base</x:v>
      </x:c>
      <x:c r="C8" s="28" t="str">
        <x:v>liftship base</x:v>
      </x:c>
      <x:c r="D8" s="28" t="str">
        <x:v>terrain depot</x:v>
      </x:c>
      <x:c r="E8" s="28" t="str">
        <x:v>corridor depot</x:v>
      </x:c>
      <x:c r="F8" s="28" t="n">
        <x:v>3</x:v>
      </x:c>
      <x:c r="G8" s="28" t="str">
        <x:v>no co-location or common dispatch authority</x:v>
      </x:c>
      <x:c r="H8" s="30" t="str">
        <x:v>OPEN</x:v>
      </x:c>
      <x:c r="I8" s="2"/>
      <x:c r="J8" s="2"/>
      <x:c r="K8" s="2"/>
      <x:c r="L8" s="2"/>
      <x:c r="M8" s="2"/>
      <x:c r="N8" s="2"/>
    </x:row>
    <x:row r="9">
      <x:c r="B9" s="28" t="str">
        <x:v>Control</x:v>
      </x:c>
      <x:c r="C9" s="28" t="str">
        <x:v>air control partition</x:v>
      </x:c>
      <x:c r="D9" s="28" t="str">
        <x:v>terrain autonomy stack</x:v>
      </x:c>
      <x:c r="E9" s="28" t="str">
        <x:v>utility protection stack</x:v>
      </x:c>
      <x:c r="F9" s="28" t="n">
        <x:v>3</x:v>
      </x:c>
      <x:c r="G9" s="28" t="str">
        <x:v>offline exchange only</x:v>
      </x:c>
      <x:c r="H9" s="30" t="str">
        <x:v>OPEN</x:v>
      </x:c>
      <x:c r="I9" s="2"/>
      <x:c r="J9" s="2"/>
      <x:c r="K9" s="2"/>
      <x:c r="L9" s="2"/>
      <x:c r="M9" s="2"/>
      <x:c r="N9" s="2"/>
    </x:row>
    <x:row r="10">
      <x:c r="B10" s="28" t="str">
        <x:v>Workforce</x:v>
      </x:c>
      <x:c r="C10" s="28" t="str">
        <x:v>aerostat profession</x:v>
      </x:c>
      <x:c r="D10" s="28" t="str">
        <x:v>land robotics profession</x:v>
      </x:c>
      <x:c r="E10" s="28" t="str">
        <x:v>utility field profession</x:v>
      </x:c>
      <x:c r="F10" s="28" t="n">
        <x:v>3</x:v>
      </x:c>
      <x:c r="G10" s="28" t="str">
        <x:v>separate schools and relief pools</x:v>
      </x:c>
      <x:c r="H10" s="30" t="str">
        <x:v>OPEN</x:v>
      </x:c>
      <x:c r="I10" s="2"/>
      <x:c r="J10" s="2"/>
      <x:c r="K10" s="2"/>
      <x:c r="L10" s="2"/>
      <x:c r="M10" s="2"/>
      <x:c r="N10" s="2"/>
    </x:row>
    <x:row r="11">
      <x:c r="B11" s="28" t="str">
        <x:v>Supplier</x:v>
      </x:c>
      <x:c r="C11" s="28" t="str">
        <x:v>hull/propulsion lineage</x:v>
      </x:c>
      <x:c r="D11" s="28" t="str">
        <x:v>traction/bridge lineage</x:v>
      </x:c>
      <x:c r="E11" s="28" t="str">
        <x:v>cable/hose/robot lineage</x:v>
      </x:c>
      <x:c r="F11" s="28" t="n">
        <x:v>3</x:v>
      </x:c>
      <x:c r="G11" s="28" t="str">
        <x:v>common payload interfaces only</x:v>
      </x:c>
      <x:c r="H11" s="30" t="str">
        <x:v>OPEN</x:v>
      </x:c>
      <x:c r="I11" s="2"/>
      <x:c r="J11" s="2"/>
      <x:c r="K11" s="2"/>
      <x:c r="L11" s="2"/>
      <x:c r="M11" s="2"/>
      <x:c r="N11" s="2"/>
    </x:row>
    <x:row r="12">
      <x:c r="B12" s="28" t="str">
        <x:v>Receiver</x:v>
      </x:c>
      <x:c r="C12" s="28" t="str">
        <x:v>mobile mooring zone</x:v>
      </x:c>
      <x:c r="D12" s="28" t="str">
        <x:v>terrain unloading zone</x:v>
      </x:c>
      <x:c r="E12" s="28" t="str">
        <x:v>standoff corridor terminus</x:v>
      </x:c>
      <x:c r="F12" s="28" t="n">
        <x:v>3</x:v>
      </x:c>
      <x:c r="G12" s="28" t="str">
        <x:v>loss of one zone preserves another</x:v>
      </x:c>
      <x:c r="H12" s="30" t="str">
        <x:v>OPEN</x:v>
      </x:c>
      <x:c r="I12" s="2"/>
      <x:c r="J12" s="2"/>
      <x:c r="K12" s="2"/>
      <x:c r="L12" s="2"/>
      <x:c r="M12" s="2"/>
      <x:c r="N12" s="2"/>
    </x:row>
    <x:row r="13">
      <x:c r="B13" s="28" t="str">
        <x:v>Weather</x:v>
      </x:c>
      <x:c r="C13" s="28" t="str">
        <x:v>aerological model</x:v>
      </x:c>
      <x:c r="D13" s="28" t="str">
        <x:v>ground state model</x:v>
      </x:c>
      <x:c r="E13" s="28" t="str">
        <x:v>corridor route model</x:v>
      </x:c>
      <x:c r="F13" s="28" t="n">
        <x:v>3</x:v>
      </x:c>
      <x:c r="G13" s="28" t="str">
        <x:v>independent observations and bounded fusion</x:v>
      </x:c>
      <x:c r="H13" s="30" t="str">
        <x:v>OPEN</x:v>
      </x:c>
      <x:c r="I13" s="2"/>
      <x:c r="J13" s="2"/>
      <x:c r="K13" s="2"/>
      <x:c r="L13" s="2"/>
      <x:c r="M13" s="2"/>
      <x:c r="N13" s="2"/>
    </x:row>
    <x:row r="14">
      <x:c r="B14" s="28" t="str">
        <x:v>Reset</x:v>
      </x:c>
      <x:c r="C14" s="28" t="str">
        <x:v>liftship recovery depot</x:v>
      </x:c>
      <x:c r="D14" s="28" t="str">
        <x:v>terrain recovery depot</x:v>
      </x:c>
      <x:c r="E14" s="28" t="str">
        <x:v>corridor wash/test depot</x:v>
      </x:c>
      <x:c r="F14" s="28" t="n">
        <x:v>3</x:v>
      </x:c>
      <x:c r="G14" s="28" t="str">
        <x:v>no shared bottleneck</x:v>
      </x:c>
      <x:c r="H14" s="30" t="str">
        <x:v>OPEN</x:v>
      </x:c>
      <x:c r="I14" s="2"/>
      <x:c r="J14" s="2"/>
      <x:c r="K14" s="2"/>
      <x:c r="L14" s="2"/>
      <x:c r="M14" s="2"/>
      <x:c r="N14" s="2"/>
    </x:row>
    <x:row r="15">
      <x:c r="B15" s="28" t="str">
        <x:v>Payload</x:v>
      </x:c>
      <x:c r="C15" s="28" t="str">
        <x:v>complete cell A</x:v>
      </x:c>
      <x:c r="D15" s="28" t="str">
        <x:v>complete cell B</x:v>
      </x:c>
      <x:c r="E15" s="28" t="str">
        <x:v>bridge payload C</x:v>
      </x:c>
      <x:c r="F15" s="28" t="n">
        <x:v>3</x:v>
      </x:c>
      <x:c r="G15" s="28" t="str">
        <x:v>no cross-credit without custody</x:v>
      </x:c>
      <x:c r="H15" s="30" t="str">
        <x:v>OPEN</x:v>
      </x:c>
      <x:c r="I15" s="2"/>
      <x:c r="J15" s="2"/>
      <x:c r="K15" s="2"/>
      <x:c r="L15" s="2"/>
      <x:c r="M15" s="2"/>
      <x:c r="N15" s="2"/>
    </x:row>
    <x:row r="16">
      <x:c r="B16" s="32" t="str">
        <x:v>Authority</x:v>
      </x:c>
      <x:c r="C16" s="32" t="str">
        <x:v>aviation release</x:v>
      </x:c>
      <x:c r="D16" s="32" t="str">
        <x:v>land route release</x:v>
      </x:c>
      <x:c r="E16" s="32" t="str">
        <x:v>utility energization release</x:v>
      </x:c>
      <x:c r="F16" s="32" t="n">
        <x:v>3</x:v>
      </x:c>
      <x:c r="G16" s="32" t="str">
        <x:v>federated civil appeal path</x:v>
      </x:c>
      <x:c r="H16" s="34" t="str">
        <x:v>OPEN</x:v>
      </x:c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8" t="str">
        <x:v>Compound-withholding test</x:v>
      </x:c>
      <x:c r="C19" s="9" t="str">
        <x:v>Compound-withholding test</x:v>
      </x:c>
      <x:c r="D19" s="9" t="str">
        <x:v>Compound-withholding test</x:v>
      </x:c>
      <x:c r="E19" s="9" t="str">
        <x:v>Compound-withholding test</x:v>
      </x:c>
      <x:c r="F19" s="9" t="str">
        <x:v>Compound-withholding test</x:v>
      </x:c>
      <x:c r="G19" s="9" t="str">
        <x:v>Compound-withholding test</x:v>
      </x:c>
      <x:c r="H19" s="10" t="str">
        <x:v>Compound-withholding test</x:v>
      </x:c>
      <x:c r="I19" s="2"/>
      <x:c r="J19" s="2"/>
      <x:c r="K19" s="2"/>
      <x:c r="L19" s="2"/>
      <x:c r="M19" s="2"/>
      <x:c r="N19" s="2"/>
    </x:row>
    <x:row r="20">
      <x:c r="B20" s="26" t="str">
        <x:v>Test</x:v>
      </x:c>
      <x:c r="C20" s="27" t="str">
        <x:v>M1 retained</x:v>
      </x:c>
      <x:c r="D20" s="27" t="str">
        <x:v>M3 retained</x:v>
      </x:c>
      <x:c r="E20" s="27" t="str">
        <x:v>M5 retained</x:v>
      </x:c>
      <x:c r="F20" s="27" t="str">
        <x:v>Complete effect</x:v>
      </x:c>
      <x:c r="G20" s="27" t="str">
        <x:v>Current credit</x:v>
      </x:c>
      <x:c r="H20" s="27" t="str">
        <x:v>Meaning</x:v>
      </x:c>
      <x:c r="I20" s="2"/>
      <x:c r="J20" s="2"/>
      <x:c r="K20" s="2"/>
      <x:c r="L20" s="2"/>
      <x:c r="M20" s="2"/>
      <x:c r="N20" s="2"/>
    </x:row>
    <x:row r="21">
      <x:c r="B21" s="28" t="str">
        <x:v>Withhold M1 source and base</x:v>
      </x:c>
      <x:c r="C21" s="28" t="n">
        <x:v>0</x:v>
      </x:c>
      <x:c r="D21" s="28" t="n">
        <x:v>1</x:v>
      </x:c>
      <x:c r="E21" s="28" t="n">
        <x:v>1</x:v>
      </x:c>
      <x:c r="F21" s="28" t="n">
        <x:v>1</x:v>
      </x:c>
      <x:c r="G21" s="28" t="n">
        <x:v>0</x:v>
      </x:c>
      <x:c r="H21" s="30" t="str">
        <x:v>terrain or corridor remains</x:v>
      </x:c>
      <x:c r="I21" s="2"/>
      <x:c r="J21" s="2"/>
      <x:c r="K21" s="2"/>
      <x:c r="L21" s="2"/>
      <x:c r="M21" s="2"/>
      <x:c r="N21" s="2"/>
    </x:row>
    <x:row r="22">
      <x:c r="B22" s="28" t="str">
        <x:v>Withhold M3 control and workforce</x:v>
      </x:c>
      <x:c r="C22" s="28" t="n">
        <x:v>1</x:v>
      </x:c>
      <x:c r="D22" s="28" t="n">
        <x:v>0</x:v>
      </x:c>
      <x:c r="E22" s="28" t="n">
        <x:v>1</x:v>
      </x:c>
      <x:c r="F22" s="28" t="n">
        <x:v>1</x:v>
      </x:c>
      <x:c r="G22" s="28" t="n">
        <x:v>0</x:v>
      </x:c>
      <x:c r="H22" s="30" t="str">
        <x:v>air or corridor remains</x:v>
      </x:c>
      <x:c r="I22" s="2"/>
      <x:c r="J22" s="2"/>
      <x:c r="K22" s="2"/>
      <x:c r="L22" s="2"/>
      <x:c r="M22" s="2"/>
      <x:c r="N22" s="2"/>
    </x:row>
    <x:row r="23">
      <x:c r="B23" s="28" t="str">
        <x:v>Withhold M5 source and receiver</x:v>
      </x:c>
      <x:c r="C23" s="28" t="n">
        <x:v>1</x:v>
      </x:c>
      <x:c r="D23" s="28" t="n">
        <x:v>1</x:v>
      </x:c>
      <x:c r="E23" s="28" t="n">
        <x:v>0</x:v>
      </x:c>
      <x:c r="F23" s="28" t="n">
        <x:v>1</x:v>
      </x:c>
      <x:c r="G23" s="28" t="n">
        <x:v>0</x:v>
      </x:c>
      <x:c r="H23" s="30" t="str">
        <x:v>physical carriage remains</x:v>
      </x:c>
      <x:c r="I23" s="2"/>
      <x:c r="J23" s="2"/>
      <x:c r="K23" s="2"/>
      <x:c r="L23" s="2"/>
      <x:c r="M23" s="2"/>
      <x:c r="N23" s="2"/>
    </x:row>
    <x:row r="24">
      <x:c r="B24" s="28" t="str">
        <x:v>Withhold shared payload custody</x:v>
      </x:c>
      <x:c r="C24" s="28" t="n">
        <x:v>0</x:v>
      </x:c>
      <x:c r="D24" s="28" t="n">
        <x:v>0</x:v>
      </x:c>
      <x:c r="E24" s="28" t="n">
        <x:v>0</x:v>
      </x:c>
      <x:c r="F24" s="28" t="n">
        <x:v>0</x:v>
      </x:c>
      <x:c r="G24" s="28" t="n">
        <x:v>0</x:v>
      </x:c>
      <x:c r="H24" s="30" t="str">
        <x:v>common payload can erase all vectors</x:v>
      </x:c>
      <x:c r="I24" s="2"/>
      <x:c r="J24" s="2"/>
      <x:c r="K24" s="2"/>
      <x:c r="L24" s="2"/>
      <x:c r="M24" s="2"/>
      <x:c r="N24" s="2"/>
    </x:row>
    <x:row r="25">
      <x:c r="B25" s="32" t="str">
        <x:v>Second region while F1 committed</x:v>
      </x:c>
      <x:c r="C25" s="32" t="n">
        <x:v>0</x:v>
      </x:c>
      <x:c r="D25" s="32" t="n">
        <x:v>0</x:v>
      </x:c>
      <x:c r="E25" s="32" t="n">
        <x:v>0</x:v>
      </x:c>
      <x:c r="F25" s="32" t="n">
        <x:v>0</x:v>
      </x:c>
      <x:c r="G25" s="32" t="n">
        <x:v>0</x:v>
      </x:c>
      <x:c r="H25" s="34" t="str">
        <x:v>requires F2 or F3</x:v>
      </x:c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</x:sheetData>
  <x:mergeCells>
    <x:mergeCell ref="B19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1" hidden="0" customWidth="1"/>
    <x:col min="8" max="8" width="44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</x:cols>
  <x:sheetData>
    <x:row r="2">
      <x:c r="B2" s="3" t="str">
        <x:v>TAFG-1 recovery and reset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Readiness includes return, quarantine, repair, crew relief and certified reload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26" t="str">
        <x:v>Reset function</x:v>
      </x:c>
      <x:c r="C6" s="27" t="str">
        <x:v>M1 hours</x:v>
      </x:c>
      <x:c r="D6" s="27" t="str">
        <x:v>M3 hours</x:v>
      </x:c>
      <x:c r="E6" s="27" t="str">
        <x:v>M5 hours</x:v>
      </x:c>
      <x:c r="F6" s="27" t="str">
        <x:v>Joint hours</x:v>
      </x:c>
      <x:c r="G6" s="27" t="str">
        <x:v>Critical path hours</x:v>
      </x:c>
      <x:c r="H6" s="27" t="str">
        <x:v>Requirement</x:v>
      </x:c>
      <x:c r="I6" s="2"/>
      <x:c r="J6" s="2"/>
      <x:c r="K6" s="2"/>
      <x:c r="L6" s="2"/>
      <x:c r="M6" s="2"/>
    </x:row>
    <x:row r="7">
      <x:c r="B7" s="28" t="str">
        <x:v>Mission termination and safe shutdown</x:v>
      </x:c>
      <x:c r="C7" s="28" t="n">
        <x:v>4</x:v>
      </x:c>
      <x:c r="D7" s="28" t="n">
        <x:v>18</x:v>
      </x:c>
      <x:c r="E7" s="28" t="n">
        <x:v>12</x:v>
      </x:c>
      <x:c r="F7" s="28" t="n">
        <x:v>8</x:v>
      </x:c>
      <x:c r="G7" s="28" t="n">
        <x:v>42</x:v>
      </x:c>
      <x:c r="H7" s="30" t="str">
        <x:v>separate vector checklists</x:v>
      </x:c>
      <x:c r="I7" s="2"/>
      <x:c r="J7" s="2"/>
      <x:c r="K7" s="2"/>
      <x:c r="L7" s="2"/>
      <x:c r="M7" s="2"/>
    </x:row>
    <x:row r="8">
      <x:c r="B8" s="28" t="str">
        <x:v>Payload recovery and inventory</x:v>
      </x:c>
      <x:c r="C8" s="28" t="n">
        <x:v>12</x:v>
      </x:c>
      <x:c r="D8" s="28" t="n">
        <x:v>36</x:v>
      </x:c>
      <x:c r="E8" s="28" t="n">
        <x:v>28</x:v>
      </x:c>
      <x:c r="F8" s="28" t="n">
        <x:v>20</x:v>
      </x:c>
      <x:c r="G8" s="28" t="n">
        <x:v>96</x:v>
      </x:c>
      <x:c r="H8" s="30" t="str">
        <x:v>serial position custody</x:v>
      </x:c>
      <x:c r="I8" s="2"/>
      <x:c r="J8" s="2"/>
      <x:c r="K8" s="2"/>
      <x:c r="L8" s="2"/>
      <x:c r="M8" s="2"/>
    </x:row>
    <x:row r="9">
      <x:c r="B9" s="28" t="str">
        <x:v>Decontamination and quarantine</x:v>
      </x:c>
      <x:c r="C9" s="28" t="n">
        <x:v>12</x:v>
      </x:c>
      <x:c r="D9" s="28" t="n">
        <x:v>28</x:v>
      </x:c>
      <x:c r="E9" s="28" t="n">
        <x:v>22</x:v>
      </x:c>
      <x:c r="F9" s="28" t="n">
        <x:v>16</x:v>
      </x:c>
      <x:c r="G9" s="28" t="n">
        <x:v>78</x:v>
      </x:c>
      <x:c r="H9" s="30" t="str">
        <x:v>separate wash lines</x:v>
      </x:c>
      <x:c r="I9" s="2"/>
      <x:c r="J9" s="2"/>
      <x:c r="K9" s="2"/>
      <x:c r="L9" s="2"/>
      <x:c r="M9" s="2"/>
    </x:row>
    <x:row r="10">
      <x:c r="B10" s="28" t="str">
        <x:v>Vehicle inspection and repair</x:v>
      </x:c>
      <x:c r="C10" s="28" t="n">
        <x:v>24</x:v>
      </x:c>
      <x:c r="D10" s="28" t="n">
        <x:v>46</x:v>
      </x:c>
      <x:c r="E10" s="28" t="n">
        <x:v>54</x:v>
      </x:c>
      <x:c r="F10" s="28" t="n">
        <x:v>20</x:v>
      </x:c>
      <x:c r="G10" s="28" t="n">
        <x:v>144</x:v>
      </x:c>
      <x:c r="H10" s="30" t="str">
        <x:v>mode-specific depots</x:v>
      </x:c>
      <x:c r="I10" s="2"/>
      <x:c r="J10" s="2"/>
      <x:c r="K10" s="2"/>
      <x:c r="L10" s="2"/>
      <x:c r="M10" s="2"/>
    </x:row>
    <x:row r="11">
      <x:c r="B11" s="28" t="str">
        <x:v>Energy replenishment</x:v>
      </x:c>
      <x:c r="C11" s="28" t="n">
        <x:v>18</x:v>
      </x:c>
      <x:c r="D11" s="28" t="n">
        <x:v>30</x:v>
      </x:c>
      <x:c r="E11" s="28" t="n">
        <x:v>24</x:v>
      </x:c>
      <x:c r="F11" s="28" t="n">
        <x:v>12</x:v>
      </x:c>
      <x:c r="G11" s="28" t="n">
        <x:v>84</x:v>
      </x:c>
      <x:c r="H11" s="30" t="str">
        <x:v>three source lineages</x:v>
      </x:c>
      <x:c r="I11" s="2"/>
      <x:c r="J11" s="2"/>
      <x:c r="K11" s="2"/>
      <x:c r="L11" s="2"/>
      <x:c r="M11" s="2"/>
    </x:row>
    <x:row r="12">
      <x:c r="B12" s="28" t="str">
        <x:v>Crew relief and medical reset</x:v>
      </x:c>
      <x:c r="C12" s="28" t="n">
        <x:v>12</x:v>
      </x:c>
      <x:c r="D12" s="28" t="n">
        <x:v>24</x:v>
      </x:c>
      <x:c r="E12" s="28" t="n">
        <x:v>20</x:v>
      </x:c>
      <x:c r="F12" s="28" t="n">
        <x:v>16</x:v>
      </x:c>
      <x:c r="G12" s="28" t="n">
        <x:v>72</x:v>
      </x:c>
      <x:c r="H12" s="30" t="str">
        <x:v>independent relief pools</x:v>
      </x:c>
      <x:c r="I12" s="2"/>
      <x:c r="J12" s="2"/>
      <x:c r="K12" s="2"/>
      <x:c r="L12" s="2"/>
      <x:c r="M12" s="2"/>
    </x:row>
    <x:row r="13">
      <x:c r="B13" s="28" t="str">
        <x:v>Receiver closeout and rights</x:v>
      </x:c>
      <x:c r="C13" s="28" t="n">
        <x:v>8</x:v>
      </x:c>
      <x:c r="D13" s="28" t="n">
        <x:v>16</x:v>
      </x:c>
      <x:c r="E13" s="28" t="n">
        <x:v>12</x:v>
      </x:c>
      <x:c r="F13" s="28" t="n">
        <x:v>10</x:v>
      </x:c>
      <x:c r="G13" s="28" t="n">
        <x:v>46</x:v>
      </x:c>
      <x:c r="H13" s="30" t="str">
        <x:v>civil handback</x:v>
      </x:c>
      <x:c r="I13" s="2"/>
      <x:c r="J13" s="2"/>
      <x:c r="K13" s="2"/>
      <x:c r="L13" s="2"/>
      <x:c r="M13" s="2"/>
    </x:row>
    <x:row r="14">
      <x:c r="B14" s="32" t="str">
        <x:v>Certification and reload</x:v>
      </x:c>
      <x:c r="C14" s="32" t="n">
        <x:v>12</x:v>
      </x:c>
      <x:c r="D14" s="32" t="n">
        <x:v>32</x:v>
      </x:c>
      <x:c r="E14" s="32" t="n">
        <x:v>30</x:v>
      </x:c>
      <x:c r="F14" s="32" t="n">
        <x:v>18</x:v>
      </x:c>
      <x:c r="G14" s="32" t="n">
        <x:v>92</x:v>
      </x:c>
      <x:c r="H14" s="34" t="str">
        <x:v>independent release authority</x:v>
      </x:c>
      <x:c r="I14" s="2"/>
      <x:c r="J14" s="2"/>
      <x:c r="K14" s="2"/>
      <x:c r="L14" s="2"/>
      <x:c r="M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B17" s="8" t="str">
        <x:v>Reset result</x:v>
      </x:c>
      <x:c r="C17" s="9" t="str">
        <x:v>Reset result</x:v>
      </x:c>
      <x:c r="D17" s="9" t="str">
        <x:v>Reset result</x:v>
      </x:c>
      <x:c r="E17" s="9" t="str">
        <x:v>Reset result</x:v>
      </x:c>
      <x:c r="F17" s="9" t="str">
        <x:v>Reset result</x:v>
      </x:c>
      <x:c r="G17" s="9" t="str">
        <x:v>Reset result</x:v>
      </x:c>
      <x:c r="H17" s="10" t="str">
        <x:v>Reset result</x:v>
      </x:c>
      <x:c r="I17" s="2"/>
      <x:c r="J17" s="2"/>
      <x:c r="K17" s="2"/>
      <x:c r="L17" s="2"/>
      <x:c r="M17" s="2"/>
    </x:row>
    <x:row r="18">
      <x:c r="B18" s="2" t="str">
        <x:v>Longest declared reset</x:v>
      </x:c>
      <x:c r="C18" s="2" t="n">
        <x:f>MAX(G7:G14)</x:f>
        <x:v>144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B19" s="2" t="str">
        <x:v>Target reset</x:v>
      </x:c>
      <x:c r="C19" s="2" t="n">
        <x:v>168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B20" s="2" t="str">
        <x:v>Behavior status</x:v>
      </x:c>
      <x:c r="C20" s="2" t="str">
        <x:f>IF(C18&lt;=C19,"PASS","FAIL")</x:f>
        <x:v>PASS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</x:sheetData>
  <x:mergeCells>
    <x:mergeCell ref="B17:H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43" hidden="0" customWidth="1"/>
    <x:col min="4" max="4" width="23" hidden="0" customWidth="1"/>
    <x:col min="5" max="5" width="16" hidden="0" customWidth="1"/>
    <x:col min="6" max="6" width="17" hidden="0" customWidth="1"/>
    <x:col min="7" max="7" width="24" hidden="0" customWidth="1"/>
    <x:col min="8" max="8" width="24" hidden="0" customWidth="1"/>
    <x:col min="9" max="9" width="25" hidden="0" customWidth="1"/>
    <x:col min="10" max="10" width="21" hidden="0" customWidth="1"/>
    <x:col min="11" max="11" width="24" hidden="0" customWidth="1"/>
    <x:col min="12" max="12" width="25" hidden="0" customWidth="1"/>
    <x:col min="13" max="13" width="18" hidden="0" customWidth="1"/>
    <x:col min="14" max="14" width="19" hidden="0" customWidth="1"/>
  </x:cols>
  <x:sheetData>
    <x:row r="2">
      <x:c r="B2" s="3" t="str">
        <x:v>Tri-vector program cost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Forty-three ready groups replace the Pass 78 paired research force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6" t="str">
        <x:v>Code</x:v>
      </x:c>
      <x:c r="C6" s="27" t="str">
        <x:v>Formation</x:v>
      </x:c>
      <x:c r="D6" s="27" t="str">
        <x:v>Lifecycle/group $B</x:v>
      </x:c>
      <x:c r="E6" s="27" t="str">
        <x:v>RDT&amp;E $B</x:v>
      </x:c>
      <x:c r="F6" s="27" t="str">
        <x:v>Ready groups</x:v>
      </x:c>
      <x:c r="G6" s="27" t="str">
        <x:v>Formation lifecycle $B</x:v>
      </x:c>
      <x:c r="H6" s="27" t="str">
        <x:v>Shared enterprise $B</x:v>
      </x:c>
      <x:c r="I6" s="27" t="str">
        <x:v>Technology increment $B</x:v>
      </x:c>
      <x:c r="J6" s="27" t="str">
        <x:v>Total successor $B</x:v>
      </x:c>
      <x:c r="K6" s="27" t="str">
        <x:v>Remove Pass 78 pair $B</x:v>
      </x:c>
      <x:c r="L6" s="27" t="str">
        <x:v>Recompiled national $B</x:v>
      </x:c>
      <x:c r="M6" s="27" t="str">
        <x:v>Low $B</x:v>
      </x:c>
      <x:c r="N6" s="27" t="str">
        <x:v>Behavior worlds</x:v>
      </x:c>
    </x:row>
    <x:row r="7">
      <x:c r="B7" s="28" t="str">
        <x:v>F1</x:v>
      </x:c>
      <x:c r="C7" s="28" t="str">
        <x:v>TAFG-1 tri-vector group</x:v>
      </x:c>
      <x:c r="D7" s="37" t="n">
        <x:v>16.9</x:v>
      </x:c>
      <x:c r="E7" s="37" t="n">
        <x:v>165</x:v>
      </x:c>
      <x:c r="F7" s="38" t="n">
        <x:f>Assumptions!C15</x:f>
        <x:v>43</x:v>
      </x:c>
      <x:c r="G7" s="37" t="n">
        <x:f>D7*F7</x:f>
        <x:v>726.6999999999999</x:v>
      </x:c>
      <x:c r="H7" s="37" t="n">
        <x:f>Assumptions!C19</x:f>
        <x:v>160</x:v>
      </x:c>
      <x:c r="I7" s="37" t="n">
        <x:f>Assumptions!C20</x:f>
        <x:v>180</x:v>
      </x:c>
      <x:c r="J7" s="37" t="n">
        <x:f>G7+H7+I7+E7</x:f>
        <x:v>1231.6999999999998</x:v>
      </x:c>
      <x:c r="K7" s="37" t="n">
        <x:f>Assumptions!C18</x:f>
        <x:v>848.3235</x:v>
      </x:c>
      <x:c r="L7" s="37" t="n">
        <x:f>Assumptions!C17-K7+J7</x:f>
        <x:v>7231.411950000001</x:v>
      </x:c>
      <x:c r="M7" s="37" t="n">
        <x:f>L7*0.82</x:f>
        <x:v>5929.757799</x:v>
      </x:c>
      <x:c r="N7" s="39" t="n">
        <x:v>14</x:v>
      </x:c>
    </x:row>
    <x:row r="8">
      <x:c r="B8" s="28" t="str">
        <x:v>F2</x:v>
      </x:c>
      <x:c r="C8" s="28" t="str">
        <x:v>TAFG-1 plus VHL concurrency squadron</x:v>
      </x:c>
      <x:c r="D8" s="37" t="n">
        <x:v>28.424</x:v>
      </x:c>
      <x:c r="E8" s="37" t="n">
        <x:v>250</x:v>
      </x:c>
      <x:c r="F8" s="38" t="n">
        <x:f>Assumptions!C15</x:f>
        <x:v>43</x:v>
      </x:c>
      <x:c r="G8" s="37" t="n">
        <x:f>D8*F8</x:f>
        <x:v>1222.232</x:v>
      </x:c>
      <x:c r="H8" s="37" t="n">
        <x:f>Assumptions!C19</x:f>
        <x:v>160</x:v>
      </x:c>
      <x:c r="I8" s="37" t="n">
        <x:f>Assumptions!C20</x:f>
        <x:v>180</x:v>
      </x:c>
      <x:c r="J8" s="37" t="n">
        <x:f>G8+H8+I8+E8</x:f>
        <x:v>1812.232</x:v>
      </x:c>
      <x:c r="K8" s="37" t="n">
        <x:f>Assumptions!C18</x:f>
        <x:v>848.3235</x:v>
      </x:c>
      <x:c r="L8" s="37" t="n">
        <x:f>Assumptions!C17-K8+J8</x:f>
        <x:v>7811.943950000001</x:v>
      </x:c>
      <x:c r="M8" s="37" t="n">
        <x:f>L8*0.82</x:f>
        <x:v>6405.794039</x:v>
      </x:c>
      <x:c r="N8" s="39" t="n">
        <x:v>15</x:v>
      </x:c>
    </x:row>
    <x:row r="9">
      <x:c r="B9" s="28" t="str">
        <x:v>F3</x:v>
      </x:c>
      <x:c r="C9" s="28" t="str">
        <x:v>Dual TAFG reserve</x:v>
      </x:c>
      <x:c r="D9" s="37" t="n">
        <x:v>33.8</x:v>
      </x:c>
      <x:c r="E9" s="37" t="n">
        <x:v>250</x:v>
      </x:c>
      <x:c r="F9" s="38" t="n">
        <x:f>Assumptions!C15</x:f>
        <x:v>43</x:v>
      </x:c>
      <x:c r="G9" s="37" t="n">
        <x:f>D9*F9</x:f>
        <x:v>1453.3999999999999</x:v>
      </x:c>
      <x:c r="H9" s="37" t="n">
        <x:f>Assumptions!C19</x:f>
        <x:v>160</x:v>
      </x:c>
      <x:c r="I9" s="37" t="n">
        <x:f>Assumptions!C20</x:f>
        <x:v>180</x:v>
      </x:c>
      <x:c r="J9" s="37" t="n">
        <x:f>G9+H9+I9+E9</x:f>
        <x:v>2043.3999999999999</x:v>
      </x:c>
      <x:c r="K9" s="37" t="n">
        <x:f>Assumptions!C18</x:f>
        <x:v>848.3235</x:v>
      </x:c>
      <x:c r="L9" s="37" t="n">
        <x:f>Assumptions!C17-K9+J9</x:f>
        <x:v>8043.11195</x:v>
      </x:c>
      <x:c r="M9" s="37" t="n">
        <x:f>L9*0.82</x:f>
        <x:v>6595.351799</x:v>
      </x:c>
      <x:c r="N9" s="39" t="n">
        <x:v>15</x:v>
      </x:c>
    </x:row>
    <x:row r="10">
      <x:c r="B10" s="32" t="str">
        <x:v>F4</x:v>
      </x:c>
      <x:c r="C10" s="32" t="str">
        <x:v>VHL corridor-conversion group</x:v>
      </x:c>
      <x:c r="D10" s="40" t="n">
        <x:v>17.1022</x:v>
      </x:c>
      <x:c r="E10" s="40" t="n">
        <x:v>170</x:v>
      </x:c>
      <x:c r="F10" s="41" t="n">
        <x:f>Assumptions!C15</x:f>
        <x:v>43</x:v>
      </x:c>
      <x:c r="G10" s="40" t="n">
        <x:f>D10*F10</x:f>
        <x:v>735.3946</x:v>
      </x:c>
      <x:c r="H10" s="40" t="n">
        <x:f>Assumptions!C19</x:f>
        <x:v>160</x:v>
      </x:c>
      <x:c r="I10" s="40" t="n">
        <x:f>Assumptions!C20</x:f>
        <x:v>180</x:v>
      </x:c>
      <x:c r="J10" s="40" t="n">
        <x:f>G10+H10+I10+E10</x:f>
        <x:v>1245.3946</x:v>
      </x:c>
      <x:c r="K10" s="40" t="n">
        <x:f>Assumptions!C18</x:f>
        <x:v>848.3235</x:v>
      </x:c>
      <x:c r="L10" s="40" t="n">
        <x:f>Assumptions!C17-K10+J10</x:f>
        <x:v>7245.10655</x:v>
      </x:c>
      <x:c r="M10" s="40" t="n">
        <x:f>L10*0.82</x:f>
        <x:v>5940.987371</x:v>
      </x:c>
      <x:c r="N10" s="42" t="n">
        <x:v>10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38" hidden="0" customWidth="1"/>
    <x:col min="4" max="4" width="15" hidden="0" customWidth="1"/>
    <x:col min="5" max="5" width="40" hidden="0" customWidth="1"/>
    <x:col min="6" max="6" width="31" hidden="0" customWidth="1"/>
    <x:col min="7" max="7" width="28" hidden="0" customWidth="1"/>
    <x:col min="8" max="8" width="14" hidden="0" customWidth="1"/>
    <x:col min="9" max="9" width="24" hidden="0" customWidth="1"/>
  </x:cols>
  <x:sheetData>
    <x:row r="2">
      <x:c r="B2" s="3" t="str">
        <x:v>Tri-vector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Configuration arithmetic does not authorize operating credit or rendering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6" t="str">
        <x:v>Gate</x:v>
      </x:c>
      <x:c r="C6" s="27" t="str">
        <x:v>Evidence required</x:v>
      </x:c>
      <x:c r="D6" s="27" t="str">
        <x:v>Article</x:v>
      </x:c>
      <x:c r="E6" s="27" t="str">
        <x:v>Failure insertion</x:v>
      </x:c>
      <x:c r="F6" s="27" t="str">
        <x:v>Threshold</x:v>
      </x:c>
      <x:c r="G6" s="27" t="str">
        <x:v>Owner</x:v>
      </x:c>
      <x:c r="H6" s="27" t="str">
        <x:v>State</x:v>
      </x:c>
      <x:c r="I6" s="27" t="str">
        <x:v>Consequence</x:v>
      </x:c>
    </x:row>
    <x:row r="7">
      <x:c r="B7" s="28" t="str">
        <x:v>E01</x:v>
      </x:c>
      <x:c r="C7" s="28" t="str">
        <x:v>complete M1 payload</x:v>
      </x:c>
      <x:c r="D7" s="28" t="str">
        <x:v>M1</x:v>
      </x:c>
      <x:c r="E7" s="28" t="str">
        <x:v>withhold named source, path or authority</x:v>
      </x:c>
      <x:c r="F7" s="28" t="str">
        <x:v>representative measured pass</x:v>
      </x:c>
      <x:c r="G7" s="28" t="str">
        <x:v>Test Directorate</x:v>
      </x:c>
      <x:c r="H7" s="28" t="str">
        <x:v>OPEN</x:v>
      </x:c>
      <x:c r="I7" s="30" t="str">
        <x:v>no current credit</x:v>
      </x:c>
    </x:row>
    <x:row r="8">
      <x:c r="B8" s="28" t="str">
        <x:v>E02</x:v>
      </x:c>
      <x:c r="C8" s="28" t="str">
        <x:v>complete M3 payload</x:v>
      </x:c>
      <x:c r="D8" s="28" t="str">
        <x:v>M3</x:v>
      </x:c>
      <x:c r="E8" s="28" t="str">
        <x:v>withhold named source, path or authority</x:v>
      </x:c>
      <x:c r="F8" s="28" t="str">
        <x:v>representative measured pass</x:v>
      </x:c>
      <x:c r="G8" s="28" t="str">
        <x:v>Fourth Access Command</x:v>
      </x:c>
      <x:c r="H8" s="28" t="str">
        <x:v>OPEN</x:v>
      </x:c>
      <x:c r="I8" s="30" t="str">
        <x:v>no current credit</x:v>
      </x:c>
    </x:row>
    <x:row r="9">
      <x:c r="B9" s="28" t="str">
        <x:v>E03</x:v>
      </x:c>
      <x:c r="C9" s="28" t="str">
        <x:v>complete M5 service bridge</x:v>
      </x:c>
      <x:c r="D9" s="28" t="str">
        <x:v>M5</x:v>
      </x:c>
      <x:c r="E9" s="28" t="str">
        <x:v>withhold named source, path or authority</x:v>
      </x:c>
      <x:c r="F9" s="28" t="str">
        <x:v>representative measured pass</x:v>
      </x:c>
      <x:c r="G9" s="28" t="str">
        <x:v>Test Directorate</x:v>
      </x:c>
      <x:c r="H9" s="28" t="str">
        <x:v>OPEN</x:v>
      </x:c>
      <x:c r="I9" s="30" t="str">
        <x:v>no current credit</x:v>
      </x:c>
    </x:row>
    <x:row r="10">
      <x:c r="B10" s="28" t="str">
        <x:v>E04</x:v>
      </x:c>
      <x:c r="C10" s="28" t="str">
        <x:v>cross-mode module custody</x:v>
      </x:c>
      <x:c r="D10" s="28" t="str">
        <x:v>JOINT</x:v>
      </x:c>
      <x:c r="E10" s="28" t="str">
        <x:v>withhold named source, path or authority</x:v>
      </x:c>
      <x:c r="F10" s="28" t="str">
        <x:v>representative measured pass</x:v>
      </x:c>
      <x:c r="G10" s="28" t="str">
        <x:v>Fourth Access Command</x:v>
      </x:c>
      <x:c r="H10" s="28" t="str">
        <x:v>OPEN</x:v>
      </x:c>
      <x:c r="I10" s="30" t="str">
        <x:v>no current credit</x:v>
      </x:c>
    </x:row>
    <x:row r="11">
      <x:c r="B11" s="28" t="str">
        <x:v>E05</x:v>
      </x:c>
      <x:c r="C11" s="28" t="str">
        <x:v>liftship source and base</x:v>
      </x:c>
      <x:c r="D11" s="28" t="str">
        <x:v>JOINT</x:v>
      </x:c>
      <x:c r="E11" s="28" t="str">
        <x:v>withhold named source, path or authority</x:v>
      </x:c>
      <x:c r="F11" s="28" t="str">
        <x:v>representative measured pass</x:v>
      </x:c>
      <x:c r="G11" s="28" t="str">
        <x:v>Test Directorate</x:v>
      </x:c>
      <x:c r="H11" s="28" t="str">
        <x:v>OPEN</x:v>
      </x:c>
      <x:c r="I11" s="30" t="str">
        <x:v>no current credit</x:v>
      </x:c>
    </x:row>
    <x:row r="12">
      <x:c r="B12" s="28" t="str">
        <x:v>E06</x:v>
      </x:c>
      <x:c r="C12" s="28" t="str">
        <x:v>terrain source and depot</x:v>
      </x:c>
      <x:c r="D12" s="28" t="str">
        <x:v>JOINT</x:v>
      </x:c>
      <x:c r="E12" s="28" t="str">
        <x:v>withhold named source, path or authority</x:v>
      </x:c>
      <x:c r="F12" s="28" t="str">
        <x:v>representative measured pass</x:v>
      </x:c>
      <x:c r="G12" s="28" t="str">
        <x:v>Fourth Access Command</x:v>
      </x:c>
      <x:c r="H12" s="28" t="str">
        <x:v>OPEN</x:v>
      </x:c>
      <x:c r="I12" s="30" t="str">
        <x:v>no current credit</x:v>
      </x:c>
    </x:row>
    <x:row r="13">
      <x:c r="B13" s="28" t="str">
        <x:v>E07</x:v>
      </x:c>
      <x:c r="C13" s="28" t="str">
        <x:v>corridor source and route</x:v>
      </x:c>
      <x:c r="D13" s="28" t="str">
        <x:v>JOINT</x:v>
      </x:c>
      <x:c r="E13" s="28" t="str">
        <x:v>withhold named source, path or authority</x:v>
      </x:c>
      <x:c r="F13" s="28" t="str">
        <x:v>representative measured pass</x:v>
      </x:c>
      <x:c r="G13" s="28" t="str">
        <x:v>Test Directorate</x:v>
      </x:c>
      <x:c r="H13" s="28" t="str">
        <x:v>OPEN</x:v>
      </x:c>
      <x:c r="I13" s="30" t="str">
        <x:v>no current credit</x:v>
      </x:c>
    </x:row>
    <x:row r="14">
      <x:c r="B14" s="28" t="str">
        <x:v>E08</x:v>
      </x:c>
      <x:c r="C14" s="28" t="str">
        <x:v>receiver survey</x:v>
      </x:c>
      <x:c r="D14" s="28" t="str">
        <x:v>JOINT</x:v>
      </x:c>
      <x:c r="E14" s="28" t="str">
        <x:v>withhold named source, path or authority</x:v>
      </x:c>
      <x:c r="F14" s="28" t="str">
        <x:v>representative measured pass</x:v>
      </x:c>
      <x:c r="G14" s="28" t="str">
        <x:v>Fourth Access Command</x:v>
      </x:c>
      <x:c r="H14" s="28" t="str">
        <x:v>OPEN</x:v>
      </x:c>
      <x:c r="I14" s="30" t="str">
        <x:v>no current credit</x:v>
      </x:c>
    </x:row>
    <x:row r="15">
      <x:c r="B15" s="28" t="str">
        <x:v>E09</x:v>
      </x:c>
      <x:c r="C15" s="28" t="str">
        <x:v>hour-48 service entry</x:v>
      </x:c>
      <x:c r="D15" s="28" t="str">
        <x:v>JOINT</x:v>
      </x:c>
      <x:c r="E15" s="28" t="str">
        <x:v>withhold named source, path or authority</x:v>
      </x:c>
      <x:c r="F15" s="28" t="str">
        <x:v>representative measured pass</x:v>
      </x:c>
      <x:c r="G15" s="28" t="str">
        <x:v>Test Directorate</x:v>
      </x:c>
      <x:c r="H15" s="28" t="str">
        <x:v>OPEN</x:v>
      </x:c>
      <x:c r="I15" s="30" t="str">
        <x:v>no current credit</x:v>
      </x:c>
    </x:row>
    <x:row r="16">
      <x:c r="B16" s="28" t="str">
        <x:v>E10</x:v>
      </x:c>
      <x:c r="C16" s="28" t="str">
        <x:v>seven-day operation</x:v>
      </x:c>
      <x:c r="D16" s="28" t="str">
        <x:v>JOINT</x:v>
      </x:c>
      <x:c r="E16" s="28" t="str">
        <x:v>withhold named source, path or authority</x:v>
      </x:c>
      <x:c r="F16" s="28" t="str">
        <x:v>representative measured pass</x:v>
      </x:c>
      <x:c r="G16" s="28" t="str">
        <x:v>Fourth Access Command</x:v>
      </x:c>
      <x:c r="H16" s="28" t="str">
        <x:v>OPEN</x:v>
      </x:c>
      <x:c r="I16" s="30" t="str">
        <x:v>no current credit</x:v>
      </x:c>
    </x:row>
    <x:row r="17">
      <x:c r="B17" s="28" t="str">
        <x:v>E11</x:v>
      </x:c>
      <x:c r="C17" s="28" t="str">
        <x:v>weather availability</x:v>
      </x:c>
      <x:c r="D17" s="28" t="str">
        <x:v>JOINT</x:v>
      </x:c>
      <x:c r="E17" s="28" t="str">
        <x:v>withhold named source, path or authority</x:v>
      </x:c>
      <x:c r="F17" s="28" t="str">
        <x:v>representative measured pass</x:v>
      </x:c>
      <x:c r="G17" s="28" t="str">
        <x:v>Test Directorate</x:v>
      </x:c>
      <x:c r="H17" s="28" t="str">
        <x:v>OPEN</x:v>
      </x:c>
      <x:c r="I17" s="30" t="str">
        <x:v>no current credit</x:v>
      </x:c>
    </x:row>
    <x:row r="18">
      <x:c r="B18" s="28" t="str">
        <x:v>E12</x:v>
      </x:c>
      <x:c r="C18" s="28" t="str">
        <x:v>smoke and wind</x:v>
      </x:c>
      <x:c r="D18" s="28" t="str">
        <x:v>JOINT</x:v>
      </x:c>
      <x:c r="E18" s="28" t="str">
        <x:v>withhold named source, path or authority</x:v>
      </x:c>
      <x:c r="F18" s="28" t="str">
        <x:v>representative measured pass</x:v>
      </x:c>
      <x:c r="G18" s="28" t="str">
        <x:v>Fourth Access Command</x:v>
      </x:c>
      <x:c r="H18" s="28" t="str">
        <x:v>OPEN</x:v>
      </x:c>
      <x:c r="I18" s="30" t="str">
        <x:v>no current credit</x:v>
      </x:c>
    </x:row>
    <x:row r="19">
      <x:c r="B19" s="28" t="str">
        <x:v>E13</x:v>
      </x:c>
      <x:c r="C19" s="28" t="str">
        <x:v>steep terrain</x:v>
      </x:c>
      <x:c r="D19" s="28" t="str">
        <x:v>JOINT</x:v>
      </x:c>
      <x:c r="E19" s="28" t="str">
        <x:v>withhold named source, path or authority</x:v>
      </x:c>
      <x:c r="F19" s="28" t="str">
        <x:v>representative measured pass</x:v>
      </x:c>
      <x:c r="G19" s="28" t="str">
        <x:v>Test Directorate</x:v>
      </x:c>
      <x:c r="H19" s="28" t="str">
        <x:v>OPEN</x:v>
      </x:c>
      <x:c r="I19" s="30" t="str">
        <x:v>no current credit</x:v>
      </x:c>
    </x:row>
    <x:row r="20">
      <x:c r="B20" s="28" t="str">
        <x:v>E14</x:v>
      </x:c>
      <x:c r="C20" s="28" t="str">
        <x:v>offline control</x:v>
      </x:c>
      <x:c r="D20" s="28" t="str">
        <x:v>JOINT</x:v>
      </x:c>
      <x:c r="E20" s="28" t="str">
        <x:v>withhold named source, path or authority</x:v>
      </x:c>
      <x:c r="F20" s="28" t="str">
        <x:v>representative measured pass</x:v>
      </x:c>
      <x:c r="G20" s="28" t="str">
        <x:v>Fourth Access Command</x:v>
      </x:c>
      <x:c r="H20" s="28" t="str">
        <x:v>OPEN</x:v>
      </x:c>
      <x:c r="I20" s="30" t="str">
        <x:v>no current credit</x:v>
      </x:c>
    </x:row>
    <x:row r="21">
      <x:c r="B21" s="28" t="str">
        <x:v>E15</x:v>
      </x:c>
      <x:c r="C21" s="28" t="str">
        <x:v>civil authority</x:v>
      </x:c>
      <x:c r="D21" s="28" t="str">
        <x:v>JOINT</x:v>
      </x:c>
      <x:c r="E21" s="28" t="str">
        <x:v>withhold named source, path or authority</x:v>
      </x:c>
      <x:c r="F21" s="28" t="str">
        <x:v>representative measured pass</x:v>
      </x:c>
      <x:c r="G21" s="28" t="str">
        <x:v>Test Directorate</x:v>
      </x:c>
      <x:c r="H21" s="28" t="str">
        <x:v>OPEN</x:v>
      </x:c>
      <x:c r="I21" s="30" t="str">
        <x:v>no current credit</x:v>
      </x:c>
    </x:row>
    <x:row r="22">
      <x:c r="B22" s="28" t="str">
        <x:v>E16</x:v>
      </x:c>
      <x:c r="C22" s="28" t="str">
        <x:v>crew separation</x:v>
      </x:c>
      <x:c r="D22" s="28" t="str">
        <x:v>JOINT</x:v>
      </x:c>
      <x:c r="E22" s="28" t="str">
        <x:v>withhold named source, path or authority</x:v>
      </x:c>
      <x:c r="F22" s="28" t="str">
        <x:v>representative measured pass</x:v>
      </x:c>
      <x:c r="G22" s="28" t="str">
        <x:v>Fourth Access Command</x:v>
      </x:c>
      <x:c r="H22" s="28" t="str">
        <x:v>OPEN</x:v>
      </x:c>
      <x:c r="I22" s="30" t="str">
        <x:v>no current credit</x:v>
      </x:c>
    </x:row>
    <x:row r="23">
      <x:c r="B23" s="28" t="str">
        <x:v>E17</x:v>
      </x:c>
      <x:c r="C23" s="28" t="str">
        <x:v>supplier ancestry</x:v>
      </x:c>
      <x:c r="D23" s="28" t="str">
        <x:v>JOINT</x:v>
      </x:c>
      <x:c r="E23" s="28" t="str">
        <x:v>withhold named source, path or authority</x:v>
      </x:c>
      <x:c r="F23" s="28" t="str">
        <x:v>representative measured pass</x:v>
      </x:c>
      <x:c r="G23" s="28" t="str">
        <x:v>Test Directorate</x:v>
      </x:c>
      <x:c r="H23" s="28" t="str">
        <x:v>OPEN</x:v>
      </x:c>
      <x:c r="I23" s="30" t="str">
        <x:v>no current credit</x:v>
      </x:c>
    </x:row>
    <x:row r="24">
      <x:c r="B24" s="28" t="str">
        <x:v>E18</x:v>
      </x:c>
      <x:c r="C24" s="28" t="str">
        <x:v>energy ancestry</x:v>
      </x:c>
      <x:c r="D24" s="28" t="str">
        <x:v>JOINT</x:v>
      </x:c>
      <x:c r="E24" s="28" t="str">
        <x:v>withhold named source, path or authority</x:v>
      </x:c>
      <x:c r="F24" s="28" t="str">
        <x:v>representative measured pass</x:v>
      </x:c>
      <x:c r="G24" s="28" t="str">
        <x:v>Fourth Access Command</x:v>
      </x:c>
      <x:c r="H24" s="28" t="str">
        <x:v>OPEN</x:v>
      </x:c>
      <x:c r="I24" s="30" t="str">
        <x:v>no current credit</x:v>
      </x:c>
    </x:row>
    <x:row r="25">
      <x:c r="B25" s="28" t="str">
        <x:v>E19</x:v>
      </x:c>
      <x:c r="C25" s="28" t="str">
        <x:v>payload independence</x:v>
      </x:c>
      <x:c r="D25" s="28" t="str">
        <x:v>JOINT</x:v>
      </x:c>
      <x:c r="E25" s="28" t="str">
        <x:v>withhold named source, path or authority</x:v>
      </x:c>
      <x:c r="F25" s="28" t="str">
        <x:v>representative measured pass</x:v>
      </x:c>
      <x:c r="G25" s="28" t="str">
        <x:v>Test Directorate</x:v>
      </x:c>
      <x:c r="H25" s="28" t="str">
        <x:v>OPEN</x:v>
      </x:c>
      <x:c r="I25" s="30" t="str">
        <x:v>no current credit</x:v>
      </x:c>
    </x:row>
    <x:row r="26">
      <x:c r="B26" s="28" t="str">
        <x:v>E20</x:v>
      </x:c>
      <x:c r="C26" s="28" t="str">
        <x:v>decontamination</x:v>
      </x:c>
      <x:c r="D26" s="28" t="str">
        <x:v>JOINT</x:v>
      </x:c>
      <x:c r="E26" s="28" t="str">
        <x:v>withhold named source, path or authority</x:v>
      </x:c>
      <x:c r="F26" s="28" t="str">
        <x:v>representative measured pass</x:v>
      </x:c>
      <x:c r="G26" s="28" t="str">
        <x:v>Fourth Access Command</x:v>
      </x:c>
      <x:c r="H26" s="28" t="str">
        <x:v>OPEN</x:v>
      </x:c>
      <x:c r="I26" s="30" t="str">
        <x:v>no current credit</x:v>
      </x:c>
    </x:row>
    <x:row r="27">
      <x:c r="B27" s="28" t="str">
        <x:v>E21</x:v>
      </x:c>
      <x:c r="C27" s="28" t="str">
        <x:v>vehicle recovery</x:v>
      </x:c>
      <x:c r="D27" s="28" t="str">
        <x:v>JOINT</x:v>
      </x:c>
      <x:c r="E27" s="28" t="str">
        <x:v>withhold named source, path or authority</x:v>
      </x:c>
      <x:c r="F27" s="28" t="str">
        <x:v>representative measured pass</x:v>
      </x:c>
      <x:c r="G27" s="28" t="str">
        <x:v>Test Directorate</x:v>
      </x:c>
      <x:c r="H27" s="28" t="str">
        <x:v>OPEN</x:v>
      </x:c>
      <x:c r="I27" s="30" t="str">
        <x:v>no current credit</x:v>
      </x:c>
    </x:row>
    <x:row r="28">
      <x:c r="B28" s="28" t="str">
        <x:v>E22</x:v>
      </x:c>
      <x:c r="C28" s="28" t="str">
        <x:v>168-hour reset</x:v>
      </x:c>
      <x:c r="D28" s="28" t="str">
        <x:v>JOINT</x:v>
      </x:c>
      <x:c r="E28" s="28" t="str">
        <x:v>withhold named source, path or authority</x:v>
      </x:c>
      <x:c r="F28" s="28" t="str">
        <x:v>representative measured pass</x:v>
      </x:c>
      <x:c r="G28" s="28" t="str">
        <x:v>Fourth Access Command</x:v>
      </x:c>
      <x:c r="H28" s="28" t="str">
        <x:v>OPEN</x:v>
      </x:c>
      <x:c r="I28" s="30" t="str">
        <x:v>no current credit</x:v>
      </x:c>
    </x:row>
    <x:row r="29">
      <x:c r="B29" s="28" t="str">
        <x:v>E23</x:v>
      </x:c>
      <x:c r="C29" s="28" t="str">
        <x:v>second region</x:v>
      </x:c>
      <x:c r="D29" s="28" t="str">
        <x:v>JOINT</x:v>
      </x:c>
      <x:c r="E29" s="28" t="str">
        <x:v>withhold named source, path or authority</x:v>
      </x:c>
      <x:c r="F29" s="28" t="str">
        <x:v>representative measured pass</x:v>
      </x:c>
      <x:c r="G29" s="28" t="str">
        <x:v>Test Directorate</x:v>
      </x:c>
      <x:c r="H29" s="28" t="str">
        <x:v>OPEN</x:v>
      </x:c>
      <x:c r="I29" s="30" t="str">
        <x:v>no current credit</x:v>
      </x:c>
    </x:row>
    <x:row r="30">
      <x:c r="B30" s="28" t="str">
        <x:v>E24</x:v>
      </x:c>
      <x:c r="C30" s="28" t="str">
        <x:v>VHL concurrency</x:v>
      </x:c>
      <x:c r="D30" s="28" t="str">
        <x:v>JOINT</x:v>
      </x:c>
      <x:c r="E30" s="28" t="str">
        <x:v>withhold named source, path or authority</x:v>
      </x:c>
      <x:c r="F30" s="28" t="str">
        <x:v>representative measured pass</x:v>
      </x:c>
      <x:c r="G30" s="28" t="str">
        <x:v>Fourth Access Command</x:v>
      </x:c>
      <x:c r="H30" s="28" t="str">
        <x:v>OPEN</x:v>
      </x:c>
      <x:c r="I30" s="30" t="str">
        <x:v>no current credit</x:v>
      </x:c>
    </x:row>
    <x:row r="31">
      <x:c r="B31" s="28" t="str">
        <x:v>E25</x:v>
      </x:c>
      <x:c r="C31" s="28" t="str">
        <x:v>abort and casualty</x:v>
      </x:c>
      <x:c r="D31" s="28" t="str">
        <x:v>JOINT</x:v>
      </x:c>
      <x:c r="E31" s="28" t="str">
        <x:v>withhold named source, path or authority</x:v>
      </x:c>
      <x:c r="F31" s="28" t="str">
        <x:v>representative measured pass</x:v>
      </x:c>
      <x:c r="G31" s="28" t="str">
        <x:v>Test Directorate</x:v>
      </x:c>
      <x:c r="H31" s="28" t="str">
        <x:v>OPEN</x:v>
      </x:c>
      <x:c r="I31" s="30" t="str">
        <x:v>no current credit</x:v>
      </x:c>
    </x:row>
    <x:row r="32">
      <x:c r="B32" s="28" t="str">
        <x:v>E26</x:v>
      </x:c>
      <x:c r="C32" s="28" t="str">
        <x:v>public safety</x:v>
      </x:c>
      <x:c r="D32" s="28" t="str">
        <x:v>JOINT</x:v>
      </x:c>
      <x:c r="E32" s="28" t="str">
        <x:v>withhold named source, path or authority</x:v>
      </x:c>
      <x:c r="F32" s="28" t="str">
        <x:v>representative measured pass</x:v>
      </x:c>
      <x:c r="G32" s="28" t="str">
        <x:v>Fourth Access Command</x:v>
      </x:c>
      <x:c r="H32" s="28" t="str">
        <x:v>OPEN</x:v>
      </x:c>
      <x:c r="I32" s="30" t="str">
        <x:v>no current credit</x:v>
      </x:c>
    </x:row>
    <x:row r="33">
      <x:c r="B33" s="28" t="str">
        <x:v>E27</x:v>
      </x:c>
      <x:c r="C33" s="28" t="str">
        <x:v>community rights</x:v>
      </x:c>
      <x:c r="D33" s="28" t="str">
        <x:v>JOINT</x:v>
      </x:c>
      <x:c r="E33" s="28" t="str">
        <x:v>withhold named source, path or authority</x:v>
      </x:c>
      <x:c r="F33" s="28" t="str">
        <x:v>representative measured pass</x:v>
      </x:c>
      <x:c r="G33" s="28" t="str">
        <x:v>Test Directorate</x:v>
      </x:c>
      <x:c r="H33" s="28" t="str">
        <x:v>OPEN</x:v>
      </x:c>
      <x:c r="I33" s="30" t="str">
        <x:v>no current credit</x:v>
      </x:c>
    </x:row>
    <x:row r="34">
      <x:c r="B34" s="28" t="str">
        <x:v>E28</x:v>
      </x:c>
      <x:c r="C34" s="28" t="str">
        <x:v>environmental limits</x:v>
      </x:c>
      <x:c r="D34" s="28" t="str">
        <x:v>JOINT</x:v>
      </x:c>
      <x:c r="E34" s="28" t="str">
        <x:v>withhold named source, path or authority</x:v>
      </x:c>
      <x:c r="F34" s="28" t="str">
        <x:v>representative measured pass</x:v>
      </x:c>
      <x:c r="G34" s="28" t="str">
        <x:v>Fourth Access Command</x:v>
      </x:c>
      <x:c r="H34" s="28" t="str">
        <x:v>OPEN</x:v>
      </x:c>
      <x:c r="I34" s="30" t="str">
        <x:v>no current credit</x:v>
      </x:c>
    </x:row>
    <x:row r="35">
      <x:c r="B35" s="28" t="str">
        <x:v>E29</x:v>
      </x:c>
      <x:c r="C35" s="28" t="str">
        <x:v>cyber safety</x:v>
      </x:c>
      <x:c r="D35" s="28" t="str">
        <x:v>JOINT</x:v>
      </x:c>
      <x:c r="E35" s="28" t="str">
        <x:v>withhold named source, path or authority</x:v>
      </x:c>
      <x:c r="F35" s="28" t="str">
        <x:v>representative measured pass</x:v>
      </x:c>
      <x:c r="G35" s="28" t="str">
        <x:v>Test Directorate</x:v>
      </x:c>
      <x:c r="H35" s="28" t="str">
        <x:v>OPEN</x:v>
      </x:c>
      <x:c r="I35" s="30" t="str">
        <x:v>no current credit</x:v>
      </x:c>
    </x:row>
    <x:row r="36">
      <x:c r="B36" s="28" t="str">
        <x:v>E30</x:v>
      </x:c>
      <x:c r="C36" s="28" t="str">
        <x:v>full formation trial</x:v>
      </x:c>
      <x:c r="D36" s="28" t="str">
        <x:v>JOINT</x:v>
      </x:c>
      <x:c r="E36" s="28" t="str">
        <x:v>withhold named source, path or authority</x:v>
      </x:c>
      <x:c r="F36" s="28" t="str">
        <x:v>representative measured pass</x:v>
      </x:c>
      <x:c r="G36" s="28" t="str">
        <x:v>Fourth Access Command</x:v>
      </x:c>
      <x:c r="H36" s="28" t="str">
        <x:v>OPEN</x:v>
      </x:c>
      <x:c r="I36" s="30" t="str">
        <x:v>no current credit</x:v>
      </x:c>
    </x:row>
    <x:row r="37">
      <x:c r="B37" s="28" t="str">
        <x:v>E31</x:v>
      </x:c>
      <x:c r="C37" s="28" t="str">
        <x:v>repeat mission</x:v>
      </x:c>
      <x:c r="D37" s="28" t="str">
        <x:v>JOINT</x:v>
      </x:c>
      <x:c r="E37" s="28" t="str">
        <x:v>withhold named source, path or authority</x:v>
      </x:c>
      <x:c r="F37" s="28" t="str">
        <x:v>representative measured pass</x:v>
      </x:c>
      <x:c r="G37" s="28" t="str">
        <x:v>Test Directorate</x:v>
      </x:c>
      <x:c r="H37" s="28" t="str">
        <x:v>OPEN</x:v>
      </x:c>
      <x:c r="I37" s="30" t="str">
        <x:v>no current credit</x:v>
      </x:c>
    </x:row>
    <x:row r="38">
      <x:c r="B38" s="28" t="str">
        <x:v>E32</x:v>
      </x:c>
      <x:c r="C38" s="28" t="str">
        <x:v>cost and schedule</x:v>
      </x:c>
      <x:c r="D38" s="28" t="str">
        <x:v>JOINT</x:v>
      </x:c>
      <x:c r="E38" s="28" t="str">
        <x:v>withhold named source, path or authority</x:v>
      </x:c>
      <x:c r="F38" s="28" t="str">
        <x:v>representative measured pass</x:v>
      </x:c>
      <x:c r="G38" s="28" t="str">
        <x:v>Fourth Access Command</x:v>
      </x:c>
      <x:c r="H38" s="28" t="str">
        <x:v>OPEN</x:v>
      </x:c>
      <x:c r="I38" s="30" t="str">
        <x:v>no current credit</x:v>
      </x:c>
    </x:row>
    <x:row r="39">
      <x:c r="B39" s="28" t="str">
        <x:v>E33</x:v>
      </x:c>
      <x:c r="C39" s="28" t="str">
        <x:v>independent reconstruction</x:v>
      </x:c>
      <x:c r="D39" s="28" t="str">
        <x:v>JOINT</x:v>
      </x:c>
      <x:c r="E39" s="28" t="str">
        <x:v>withhold named source, path or authority</x:v>
      </x:c>
      <x:c r="F39" s="28" t="str">
        <x:v>representative measured pass</x:v>
      </x:c>
      <x:c r="G39" s="28" t="str">
        <x:v>Test Directorate</x:v>
      </x:c>
      <x:c r="H39" s="28" t="str">
        <x:v>OPEN</x:v>
      </x:c>
      <x:c r="I39" s="30" t="str">
        <x:v>no current credit</x:v>
      </x:c>
    </x:row>
    <x:row r="40">
      <x:c r="B40" s="32" t="str">
        <x:v>E34</x:v>
      </x:c>
      <x:c r="C40" s="32" t="str">
        <x:v>universal stop</x:v>
      </x:c>
      <x:c r="D40" s="32" t="str">
        <x:v>JOINT</x:v>
      </x:c>
      <x:c r="E40" s="32" t="str">
        <x:v>withhold named source, path or authority</x:v>
      </x:c>
      <x:c r="F40" s="32" t="str">
        <x:v>representative measured pass</x:v>
      </x:c>
      <x:c r="G40" s="32" t="str">
        <x:v>Fourth Access Command</x:v>
      </x:c>
      <x:c r="H40" s="32" t="str">
        <x:v>OPEN</x:v>
      </x:c>
      <x:c r="I40" s="34" t="str">
        <x:v>no current credit</x:v>
      </x:c>
    </x:row>
    <x:row r="41">
      <x:c r="B41" s="2"/>
      <x:c r="C41" s="2"/>
      <x:c r="D41" s="2"/>
      <x:c r="E41" s="2"/>
      <x:c r="F41" s="2"/>
      <x:c r="G41" s="2"/>
      <x:c r="H41" s="2"/>
      <x:c r="I41" s="2"/>
    </x:row>
    <x:row r="42">
      <x:c r="B42" s="2"/>
      <x:c r="C42" s="2"/>
      <x:c r="D42" s="2"/>
      <x:c r="E42" s="2"/>
      <x:c r="F42" s="2"/>
      <x:c r="G42" s="2"/>
      <x:c r="H42" s="2"/>
      <x:c r="I42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7" hidden="0" customWidth="1"/>
    <x:col min="3" max="3" width="22" hidden="0" customWidth="1"/>
    <x:col min="4" max="4" width="20" hidden="0" customWidth="1"/>
    <x:col min="5" max="5" width="20" hidden="0" customWidth="1"/>
    <x:col min="6" max="6" width="15" hidden="0" customWidth="1"/>
    <x:col min="7" max="7" width="39" hidden="0" customWidth="1"/>
  </x:cols>
  <x:sheetData>
    <x:row r="2">
      <x:c r="B2" s="3" t="str">
        <x:v>Model checks</x:v>
      </x:c>
      <x:c r="C2" s="2"/>
      <x:c r="D2" s="2"/>
      <x:c r="E2" s="2"/>
      <x:c r="F2" s="2"/>
      <x:c r="G2" s="2"/>
    </x:row>
    <x:row r="3">
      <x:c r="B3" s="4" t="str">
        <x:v>Terminal controls do not feed business results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6" t="str">
        <x:v>Check</x:v>
      </x:c>
      <x:c r="C6" s="27" t="str">
        <x:v>Observed</x:v>
      </x:c>
      <x:c r="D6" s="27" t="str">
        <x:v>Expected</x:v>
      </x:c>
      <x:c r="E6" s="27" t="str">
        <x:v>Difference</x:v>
      </x:c>
      <x:c r="F6" s="27" t="str">
        <x:v>Status</x:v>
      </x:c>
      <x:c r="G6" s="27" t="str">
        <x:v>Meaning</x:v>
      </x:c>
    </x:row>
    <x:row r="7">
      <x:c r="B7" s="28" t="str">
        <x:v>C01 formation count</x:v>
      </x:c>
      <x:c r="C7" s="28" t="n">
        <x:f>COUNTA(Formation!B7:B10)</x:f>
        <x:v>4</x:v>
      </x:c>
      <x:c r="D7" s="28" t="n">
        <x:v>4</x:v>
      </x:c>
      <x:c r="E7" s="28" t="n">
        <x:f>C7-D7</x:f>
        <x:v>0</x:v>
      </x:c>
      <x:c r="F7" s="28" t="str">
        <x:f>IF(ABS(E7)&lt;0.000001,"PASS","FAIL")</x:f>
        <x:v>PASS</x:v>
      </x:c>
      <x:c r="G7" s="30" t="str">
        <x:v>four rivals</x:v>
      </x:c>
    </x:row>
    <x:row r="8">
      <x:c r="B8" s="28" t="str">
        <x:v>C02 manifest groups</x:v>
      </x:c>
      <x:c r="C8" s="28" t="n">
        <x:f>COUNTA(Manifest!B7:B22)</x:f>
        <x:v>16</x:v>
      </x:c>
      <x:c r="D8" s="28" t="n">
        <x:v>16</x:v>
      </x:c>
      <x:c r="E8" s="28" t="n">
        <x:f>C8-D8</x:f>
        <x:v>0</x:v>
      </x:c>
      <x:c r="F8" s="28" t="str">
        <x:f>IF(ABS(E8)&lt;0.000001,"PASS","FAIL")</x:f>
        <x:v>PASS</x:v>
      </x:c>
      <x:c r="G8" s="30" t="str">
        <x:v>sixteen packages</x:v>
      </x:c>
    </x:row>
    <x:row r="9">
      <x:c r="B9" s="28" t="str">
        <x:v>C03 module positions</x:v>
      </x:c>
      <x:c r="C9" s="28" t="n">
        <x:f>SUM(Manifest!D7:D22)</x:f>
        <x:v>32</x:v>
      </x:c>
      <x:c r="D9" s="28" t="n">
        <x:v>32</x:v>
      </x:c>
      <x:c r="E9" s="28" t="n">
        <x:f>C9-D9</x:f>
        <x:v>0</x:v>
      </x:c>
      <x:c r="F9" s="28" t="str">
        <x:f>IF(ABS(E9)&lt;0.000001,"PASS","FAIL")</x:f>
        <x:v>PASS</x:v>
      </x:c>
      <x:c r="G9" s="30" t="str">
        <x:v>complete payload</x:v>
      </x:c>
    </x:row>
    <x:row r="10">
      <x:c r="B10" s="28" t="str">
        <x:v>C04 dry mass</x:v>
      </x:c>
      <x:c r="C10" s="28" t="n">
        <x:f>SUM(Manifest!E7:E22)</x:f>
        <x:v>580</x:v>
      </x:c>
      <x:c r="D10" s="28" t="n">
        <x:v>580</x:v>
      </x:c>
      <x:c r="E10" s="28" t="n">
        <x:f>C10-D10</x:f>
        <x:v>0</x:v>
      </x:c>
      <x:c r="F10" s="28" t="str">
        <x:f>IF(ABS(E10)&lt;0.000001,"PASS","FAIL")</x:f>
        <x:v>PASS</x:v>
      </x:c>
      <x:c r="G10" s="30" t="str">
        <x:v>Pass 78 control</x:v>
      </x:c>
    </x:row>
    <x:row r="11">
      <x:c r="B11" s="28" t="str">
        <x:v>C05 launch mass</x:v>
      </x:c>
      <x:c r="C11" s="28" t="n">
        <x:f>Manifest!C29</x:f>
        <x:v>635</x:v>
      </x:c>
      <x:c r="D11" s="28" t="n">
        <x:v>635</x:v>
      </x:c>
      <x:c r="E11" s="28" t="n">
        <x:f>C11-D11</x:f>
        <x:v>0</x:v>
      </x:c>
      <x:c r="F11" s="28" t="str">
        <x:f>IF(ABS(E11)&lt;0.000001,"PASS","FAIL")</x:f>
        <x:v>PASS</x:v>
      </x:c>
      <x:c r="G11" s="30" t="str">
        <x:v>dry plus wet</x:v>
      </x:c>
    </x:row>
    <x:row r="12">
      <x:c r="B12" s="28" t="str">
        <x:v>C06 deployed workforce</x:v>
      </x:c>
      <x:c r="C12" s="28" t="n">
        <x:f>Workforce!C19</x:f>
        <x:v>488</x:v>
      </x:c>
      <x:c r="D12" s="28" t="n">
        <x:v>488</x:v>
      </x:c>
      <x:c r="E12" s="28" t="n">
        <x:f>C12-D12</x:f>
        <x:v>0</x:v>
      </x:c>
      <x:c r="F12" s="28" t="str">
        <x:f>IF(ABS(E12)&lt;0.000001,"PASS","FAIL")</x:f>
        <x:v>PASS</x:v>
      </x:c>
      <x:c r="G12" s="30" t="str">
        <x:v>F1 formation</x:v>
      </x:c>
    </x:row>
    <x:row r="13">
      <x:c r="B13" s="28" t="str">
        <x:v>C07 local reserve</x:v>
      </x:c>
      <x:c r="C13" s="28" t="n">
        <x:f>Workforce!D19</x:f>
        <x:v>286</x:v>
      </x:c>
      <x:c r="D13" s="28" t="n">
        <x:v>286</x:v>
      </x:c>
      <x:c r="E13" s="28" t="n">
        <x:f>C13-D13</x:f>
        <x:v>0</x:v>
      </x:c>
      <x:c r="F13" s="28" t="str">
        <x:f>IF(ABS(E13)&lt;0.000001,"PASS","FAIL")</x:f>
        <x:v>PASS</x:v>
      </x:c>
      <x:c r="G13" s="30" t="str">
        <x:v>trained local depth</x:v>
      </x:c>
    </x:row>
    <x:row r="14">
      <x:c r="B14" s="28" t="str">
        <x:v>C08 regional share</x:v>
      </x:c>
      <x:c r="C14" s="28" t="n">
        <x:f>Workforce!E19</x:f>
        <x:v>158</x:v>
      </x:c>
      <x:c r="D14" s="28" t="n">
        <x:v>158</x:v>
      </x:c>
      <x:c r="E14" s="28" t="n">
        <x:f>C14-D14</x:f>
        <x:v>0</x:v>
      </x:c>
      <x:c r="F14" s="28" t="str">
        <x:f>IF(ABS(E14)&lt;0.000001,"PASS","FAIL")</x:f>
        <x:v>PASS</x:v>
      </x:c>
      <x:c r="G14" s="30" t="str">
        <x:v>regional depth</x:v>
      </x:c>
    </x:row>
    <x:row r="15">
      <x:c r="B15" s="28" t="str">
        <x:v>C09 minimum on duty</x:v>
      </x:c>
      <x:c r="C15" s="28" t="n">
        <x:f>Workforce!F19</x:f>
        <x:v>124</x:v>
      </x:c>
      <x:c r="D15" s="28" t="n">
        <x:v>124</x:v>
      </x:c>
      <x:c r="E15" s="28" t="n">
        <x:f>C15-D15</x:f>
        <x:v>0</x:v>
      </x:c>
      <x:c r="F15" s="28" t="str">
        <x:f>IF(ABS(E15)&lt;0.000001,"PASS","FAIL")</x:f>
        <x:v>PASS</x:v>
      </x:c>
      <x:c r="G15" s="30" t="str">
        <x:v>watch and launch</x:v>
      </x:c>
    </x:row>
    <x:row r="16">
      <x:c r="B16" s="28" t="str">
        <x:v>C10 affiliated total</x:v>
      </x:c>
      <x:c r="C16" s="28" t="n">
        <x:f>Workforce!G19</x:f>
        <x:v>1056</x:v>
      </x:c>
      <x:c r="D16" s="28" t="n">
        <x:v>1056</x:v>
      </x:c>
      <x:c r="E16" s="28" t="n">
        <x:f>C16-D16</x:f>
        <x:v>0</x:v>
      </x:c>
      <x:c r="F16" s="28" t="str">
        <x:f>IF(ABS(E16)&lt;0.000001,"PASS","FAIL")</x:f>
        <x:v>PASS</x:v>
      </x:c>
      <x:c r="G16" s="30" t="str">
        <x:v>workforce system</x:v>
      </x:c>
    </x:row>
    <x:row r="17">
      <x:c r="B17" s="28" t="str">
        <x:v>C11 F1 worlds</x:v>
      </x:c>
      <x:c r="C17" s="28" t="n">
        <x:f>COUNTIF('Mission Closure'!D7:D21,"PASS")</x:f>
        <x:v>14</x:v>
      </x:c>
      <x:c r="D17" s="28" t="n">
        <x:v>14</x:v>
      </x:c>
      <x:c r="E17" s="28" t="n">
        <x:f>C17-D17</x:f>
        <x:v>0</x:v>
      </x:c>
      <x:c r="F17" s="28" t="str">
        <x:f>IF(ABS(E17)&lt;0.000001,"PASS","FAIL")</x:f>
        <x:v>PASS</x:v>
      </x:c>
      <x:c r="G17" s="30" t="str">
        <x:v>one behavior failure</x:v>
      </x:c>
    </x:row>
    <x:row r="18">
      <x:c r="B18" s="28" t="str">
        <x:v>C12 F2 worlds</x:v>
      </x:c>
      <x:c r="C18" s="28" t="n">
        <x:f>COUNTIF('Mission Closure'!E7:E21,"PASS")</x:f>
        <x:v>15</x:v>
      </x:c>
      <x:c r="D18" s="28" t="n">
        <x:v>15</x:v>
      </x:c>
      <x:c r="E18" s="28" t="n">
        <x:f>C18-D18</x:f>
        <x:v>0</x:v>
      </x:c>
      <x:c r="F18" s="28" t="str">
        <x:f>IF(ABS(E18)&lt;0.000001,"PASS","FAIL")</x:f>
        <x:v>PASS</x:v>
      </x:c>
      <x:c r="G18" s="30" t="str">
        <x:v>concurrency closes</x:v>
      </x:c>
    </x:row>
    <x:row r="19">
      <x:c r="B19" s="28" t="str">
        <x:v>C13 F3 worlds</x:v>
      </x:c>
      <x:c r="C19" s="28" t="n">
        <x:f>COUNTIF('Mission Closure'!F7:F21,"PASS")</x:f>
        <x:v>15</x:v>
      </x:c>
      <x:c r="D19" s="28" t="n">
        <x:v>15</x:v>
      </x:c>
      <x:c r="E19" s="28" t="n">
        <x:f>C19-D19</x:f>
        <x:v>0</x:v>
      </x:c>
      <x:c r="F19" s="28" t="str">
        <x:f>IF(ABS(E19)&lt;0.000001,"PASS","FAIL")</x:f>
        <x:v>PASS</x:v>
      </x:c>
      <x:c r="G19" s="30" t="str">
        <x:v>duplicate group closes</x:v>
      </x:c>
    </x:row>
    <x:row r="20">
      <x:c r="B20" s="28" t="str">
        <x:v>C14 F1 strict credit</x:v>
      </x:c>
      <x:c r="C20" s="28" t="n">
        <x:f>COUNTIF('Mission Closure'!I7:I22,"PASS")</x:f>
        <x:v>0</x:v>
      </x:c>
      <x:c r="D20" s="28" t="n">
        <x:v>0</x:v>
      </x:c>
      <x:c r="E20" s="28" t="n">
        <x:f>C20-D20</x:f>
        <x:v>0</x:v>
      </x:c>
      <x:c r="F20" s="28" t="str">
        <x:f>IF(ABS(E20)&lt;0.000001,"PASS","FAIL")</x:f>
        <x:v>PASS</x:v>
      </x:c>
      <x:c r="G20" s="30" t="str">
        <x:v>no evidence</x:v>
      </x:c>
    </x:row>
    <x:row r="21">
      <x:c r="B21" s="28" t="str">
        <x:v>C15 evidence gates</x:v>
      </x:c>
      <x:c r="C21" s="28" t="n">
        <x:f>COUNTA('Evidence Gates'!B7:B40)</x:f>
        <x:v>34</x:v>
      </x:c>
      <x:c r="D21" s="28" t="n">
        <x:v>34</x:v>
      </x:c>
      <x:c r="E21" s="28" t="n">
        <x:f>C21-D21</x:f>
        <x:v>0</x:v>
      </x:c>
      <x:c r="F21" s="28" t="str">
        <x:f>IF(ABS(E21)&lt;0.000001,"PASS","FAIL")</x:f>
        <x:v>PASS</x:v>
      </x:c>
      <x:c r="G21" s="30" t="str">
        <x:v>gate register</x:v>
      </x:c>
    </x:row>
    <x:row r="22">
      <x:c r="B22" s="28" t="str">
        <x:v>C16 open gates</x:v>
      </x:c>
      <x:c r="C22" s="28" t="n">
        <x:f>COUNTIF('Evidence Gates'!H7:H40,"OPEN")</x:f>
        <x:v>34</x:v>
      </x:c>
      <x:c r="D22" s="28" t="n">
        <x:v>34</x:v>
      </x:c>
      <x:c r="E22" s="28" t="n">
        <x:f>C22-D22</x:f>
        <x:v>0</x:v>
      </x:c>
      <x:c r="F22" s="28" t="str">
        <x:f>IF(ABS(E22)&lt;0.000001,"PASS","FAIL")</x:f>
        <x:v>PASS</x:v>
      </x:c>
      <x:c r="G22" s="30" t="str">
        <x:v>all open</x:v>
      </x:c>
    </x:row>
    <x:row r="23">
      <x:c r="B23" s="28" t="str">
        <x:v>C17 rendering</x:v>
      </x:c>
      <x:c r="C23" s="28" t="n">
        <x:f>Assumptions!C21</x:f>
        <x:v>0</x:v>
      </x:c>
      <x:c r="D23" s="28" t="n">
        <x:v>0</x:v>
      </x:c>
      <x:c r="E23" s="28" t="n">
        <x:f>C23-D23</x:f>
        <x:v>0</x:v>
      </x:c>
      <x:c r="F23" s="28" t="str">
        <x:f>IF(ABS(E23)&lt;0.000001,"PASS","FAIL")</x:f>
        <x:v>PASS</x:v>
      </x:c>
      <x:c r="G23" s="30" t="str">
        <x:v>blocked</x:v>
      </x:c>
    </x:row>
    <x:row r="24">
      <x:c r="B24" s="28" t="str">
        <x:v>C18 ready groups</x:v>
      </x:c>
      <x:c r="C24" s="28" t="n">
        <x:f>Assumptions!C15</x:f>
        <x:v>43</x:v>
      </x:c>
      <x:c r="D24" s="28" t="n">
        <x:v>43</x:v>
      </x:c>
      <x:c r="E24" s="28" t="n">
        <x:f>C24-D24</x:f>
        <x:v>0</x:v>
      </x:c>
      <x:c r="F24" s="28" t="str">
        <x:f>IF(ABS(E24)&lt;0.000001,"PASS","FAIL")</x:f>
        <x:v>PASS</x:v>
      </x:c>
      <x:c r="G24" s="30" t="str">
        <x:v>national basis</x:v>
      </x:c>
    </x:row>
    <x:row r="25">
      <x:c r="B25" s="28" t="str">
        <x:v>C19 F1 lifecycle/group</x:v>
      </x:c>
      <x:c r="C25" s="28" t="n">
        <x:f>Formation!C15</x:f>
        <x:v>16.9</x:v>
      </x:c>
      <x:c r="D25" s="28" t="n">
        <x:v>16.9</x:v>
      </x:c>
      <x:c r="E25" s="28" t="n">
        <x:f>C25-D25</x:f>
        <x:v>0</x:v>
      </x:c>
      <x:c r="F25" s="28" t="str">
        <x:f>IF(ABS(E25)&lt;0.000001,"PASS","FAIL")</x:f>
        <x:v>PASS</x:v>
      </x:c>
      <x:c r="G25" s="30" t="str">
        <x:v>declared</x:v>
      </x:c>
    </x:row>
    <x:row r="26">
      <x:c r="B26" s="28" t="str">
        <x:v>C20 F1 program</x:v>
      </x:c>
      <x:c r="C26" s="28" t="n">
        <x:f>'Program Cost'!J7</x:f>
        <x:v>1231.6999999999998</x:v>
      </x:c>
      <x:c r="D26" s="28" t="n">
        <x:v>1231.7</x:v>
      </x:c>
      <x:c r="E26" s="28" t="n">
        <x:f>C26-D26</x:f>
        <x:v>-2.2737367544323206e-13</x:v>
      </x:c>
      <x:c r="F26" s="28" t="str">
        <x:f>IF(ABS(E26)&lt;0.000001,"PASS","FAIL")</x:f>
        <x:v>PASS</x:v>
      </x:c>
      <x:c r="G26" s="30" t="str">
        <x:v>43 groups + common + tech</x:v>
      </x:c>
    </x:row>
    <x:row r="27">
      <x:c r="B27" s="28" t="str">
        <x:v>C21 F1 national</x:v>
      </x:c>
      <x:c r="C27" s="28" t="n">
        <x:f>'Program Cost'!L7</x:f>
        <x:v>7231.411950000001</x:v>
      </x:c>
      <x:c r="D27" s="28" t="n">
        <x:v>7231.41195</x:v>
      </x:c>
      <x:c r="E27" s="28" t="n">
        <x:f>C27-D27</x:f>
        <x:v>9.094947017729282e-13</x:v>
      </x:c>
      <x:c r="F27" s="28" t="str">
        <x:f>IF(ABS(E27)&lt;0.000001,"PASS","FAIL")</x:f>
        <x:v>PASS</x:v>
      </x:c>
      <x:c r="G27" s="30" t="str">
        <x:v>replace pair once</x:v>
      </x:c>
    </x:row>
    <x:row r="28">
      <x:c r="B28" s="28" t="str">
        <x:v>C22 F2 worlds value</x:v>
      </x:c>
      <x:c r="C28" s="28" t="n">
        <x:f>Formation!K8</x:f>
        <x:v>15</x:v>
      </x:c>
      <x:c r="D28" s="28" t="n">
        <x:v>15</x:v>
      </x:c>
      <x:c r="E28" s="28" t="n">
        <x:f>C28-D28</x:f>
        <x:v>0</x:v>
      </x:c>
      <x:c r="F28" s="28" t="str">
        <x:f>IF(ABS(E28)&lt;0.000001,"PASS","FAIL")</x:f>
        <x:v>PASS</x:v>
      </x:c>
      <x:c r="G28" s="30" t="str">
        <x:v>full declared closure</x:v>
      </x:c>
    </x:row>
    <x:row r="29">
      <x:c r="B29" s="28" t="str">
        <x:v>C23 longest reset</x:v>
      </x:c>
      <x:c r="C29" s="28" t="n">
        <x:f>Reset!C18</x:f>
        <x:v>144</x:v>
      </x:c>
      <x:c r="D29" s="28" t="n">
        <x:v>144</x:v>
      </x:c>
      <x:c r="E29" s="28" t="n">
        <x:f>C29-D29</x:f>
        <x:v>0</x:v>
      </x:c>
      <x:c r="F29" s="28" t="str">
        <x:f>IF(ABS(E29)&lt;0.000001,"PASS","FAIL")</x:f>
        <x:v>PASS</x:v>
      </x:c>
      <x:c r="G29" s="30" t="str">
        <x:v>vehicle repair path</x:v>
      </x:c>
    </x:row>
    <x:row r="30">
      <x:c r="B30" s="28" t="str">
        <x:v>C24 reset target</x:v>
      </x:c>
      <x:c r="C30" s="28" t="n">
        <x:f>Reset!C19</x:f>
        <x:v>168</x:v>
      </x:c>
      <x:c r="D30" s="28" t="n">
        <x:v>168</x:v>
      </x:c>
      <x:c r="E30" s="28" t="n">
        <x:f>C30-D30</x:f>
        <x:v>0</x:v>
      </x:c>
      <x:c r="F30" s="28" t="str">
        <x:f>IF(ABS(E30)&lt;0.000001,"PASS","FAIL")</x:f>
        <x:v>PASS</x:v>
      </x:c>
      <x:c r="G30" s="30" t="str">
        <x:v>seven days</x:v>
      </x:c>
    </x:row>
    <x:row r="31">
      <x:c r="B31" s="28" t="str">
        <x:v>C25 reset status</x:v>
      </x:c>
      <x:c r="C31" s="28" t="n">
        <x:f>IF(Reset!C20="PASS",1,0)</x:f>
        <x:v>1</x:v>
      </x:c>
      <x:c r="D31" s="28" t="n">
        <x:v>1</x:v>
      </x:c>
      <x:c r="E31" s="28" t="n">
        <x:f>C31-D31</x:f>
        <x:v>0</x:v>
      </x:c>
      <x:c r="F31" s="28" t="str">
        <x:f>IF(ABS(E31)&lt;0.000001,"PASS","FAIL")</x:f>
        <x:v>PASS</x:v>
      </x:c>
      <x:c r="G31" s="30" t="str">
        <x:v>behavior only</x:v>
      </x:c>
    </x:row>
    <x:row r="32">
      <x:c r="B32" s="28" t="str">
        <x:v>C26 ancestry domains</x:v>
      </x:c>
      <x:c r="C32" s="28" t="n">
        <x:f>COUNTA(Ancestry!B7:B16)</x:f>
        <x:v>10</x:v>
      </x:c>
      <x:c r="D32" s="28" t="n">
        <x:v>10</x:v>
      </x:c>
      <x:c r="E32" s="28" t="n">
        <x:f>C32-D32</x:f>
        <x:v>0</x:v>
      </x:c>
      <x:c r="F32" s="28" t="str">
        <x:f>IF(ABS(E32)&lt;0.000001,"PASS","FAIL")</x:f>
        <x:v>PASS</x:v>
      </x:c>
      <x:c r="G32" s="30" t="str">
        <x:v>ten domains</x:v>
      </x:c>
    </x:row>
    <x:row r="33">
      <x:c r="B33" s="28" t="str">
        <x:v>C27 shared payload failure</x:v>
      </x:c>
      <x:c r="C33" s="28" t="n">
        <x:f>Ancestry!F24</x:f>
        <x:v>0</x:v>
      </x:c>
      <x:c r="D33" s="28" t="n">
        <x:v>0</x:v>
      </x:c>
      <x:c r="E33" s="28" t="n">
        <x:f>C33-D33</x:f>
        <x:v>0</x:v>
      </x:c>
      <x:c r="F33" s="28" t="str">
        <x:f>IF(ABS(E33)&lt;0.000001,"PASS","FAIL")</x:f>
        <x:v>PASS</x:v>
      </x:c>
      <x:c r="G33" s="30" t="str">
        <x:v>common pool erases force</x:v>
      </x:c>
    </x:row>
    <x:row r="34">
      <x:c r="B34" s="28" t="str">
        <x:v>C28 second-region failure</x:v>
      </x:c>
      <x:c r="C34" s="28" t="n">
        <x:f>Ancestry!F25</x:f>
        <x:v>0</x:v>
      </x:c>
      <x:c r="D34" s="28" t="n">
        <x:v>0</x:v>
      </x:c>
      <x:c r="E34" s="28" t="n">
        <x:f>C34-D34</x:f>
        <x:v>0</x:v>
      </x:c>
      <x:c r="F34" s="28" t="str">
        <x:f>IF(ABS(E34)&lt;0.000001,"PASS","FAIL")</x:f>
        <x:v>PASS</x:v>
      </x:c>
      <x:c r="G34" s="30" t="str">
        <x:v>F1 cannot double count</x:v>
      </x:c>
    </x:row>
    <x:row r="35">
      <x:c r="B35" s="28" t="str">
        <x:v>C29 F1 liftships</x:v>
      </x:c>
      <x:c r="C35" s="28" t="n">
        <x:f>Formation!D7</x:f>
        <x:v>2</x:v>
      </x:c>
      <x:c r="D35" s="28" t="n">
        <x:v>2</x:v>
      </x:c>
      <x:c r="E35" s="28" t="n">
        <x:f>C35-D35</x:f>
        <x:v>0</x:v>
      </x:c>
      <x:c r="F35" s="28" t="str">
        <x:f>IF(ABS(E35)&lt;0.000001,"PASS","FAIL")</x:f>
        <x:v>PASS</x:v>
      </x:c>
      <x:c r="G35" s="30" t="str">
        <x:v>paired HBL</x:v>
      </x:c>
    </x:row>
    <x:row r="36">
      <x:c r="B36" s="28" t="str">
        <x:v>C30 F1 terrain vehicles</x:v>
      </x:c>
      <x:c r="C36" s="28" t="n">
        <x:f>Formation!E7</x:f>
        <x:v>4</x:v>
      </x:c>
      <x:c r="D36" s="28" t="n">
        <x:v>4</x:v>
      </x:c>
      <x:c r="E36" s="28" t="n">
        <x:f>C36-D36</x:f>
        <x:v>0</x:v>
      </x:c>
      <x:c r="F36" s="28" t="str">
        <x:f>IF(ABS(E36)&lt;0.000001,"PASS","FAIL")</x:f>
        <x:v>PASS</x:v>
      </x:c>
      <x:c r="G36" s="30" t="str">
        <x:v>one ATUT set</x:v>
      </x:c>
    </x:row>
    <x:row r="37">
      <x:c r="B37" s="28" t="str">
        <x:v>C31 F1 corridor projectors</x:v>
      </x:c>
      <x:c r="C37" s="28" t="n">
        <x:f>Formation!F7</x:f>
        <x:v>4</x:v>
      </x:c>
      <x:c r="D37" s="28" t="n">
        <x:v>4</x:v>
      </x:c>
      <x:c r="E37" s="28" t="n">
        <x:f>C37-D37</x:f>
        <x:v>0</x:v>
      </x:c>
      <x:c r="F37" s="28" t="str">
        <x:f>IF(ABS(E37)&lt;0.000001,"PASS","FAIL")</x:f>
        <x:v>PASS</x:v>
      </x:c>
      <x:c r="G37" s="30" t="str">
        <x:v>one RUC set</x:v>
      </x:c>
    </x:row>
    <x:row r="38">
      <x:c r="B38" s="28" t="str">
        <x:v>C32 F2 VHL aircraft</x:v>
      </x:c>
      <x:c r="C38" s="28" t="n">
        <x:f>Formation!G8</x:f>
        <x:v>8</x:v>
      </x:c>
      <x:c r="D38" s="28" t="n">
        <x:v>8</x:v>
      </x:c>
      <x:c r="E38" s="28" t="n">
        <x:f>C38-D38</x:f>
        <x:v>0</x:v>
      </x:c>
      <x:c r="F38" s="28" t="str">
        <x:f>IF(ABS(E38)&lt;0.000001,"PASS","FAIL")</x:f>
        <x:v>PASS</x:v>
      </x:c>
      <x:c r="G38" s="30" t="str">
        <x:v>concurrency squadron</x:v>
      </x:c>
    </x:row>
    <x:row r="39">
      <x:c r="B39" s="28" t="str">
        <x:v>C33 no negative cost</x:v>
      </x:c>
      <x:c r="C39" s="28" t="n">
        <x:f>MIN('Program Cost'!L7:L10)</x:f>
        <x:v>7231.411950000001</x:v>
      </x:c>
      <x:c r="D39" s="28" t="str">
        <x:v>&gt;0</x:v>
      </x:c>
      <x:c r="E39" s="28" t="n">
        <x:f>C39</x:f>
        <x:v>7231.411950000001</x:v>
      </x:c>
      <x:c r="F39" s="28" t="str">
        <x:f>IF(C39&gt;0,"PASS","FAIL")</x:f>
        <x:v>PASS</x:v>
      </x:c>
      <x:c r="G39" s="30" t="str">
        <x:v>cost schedule active</x:v>
      </x:c>
    </x:row>
    <x:row r="40">
      <x:c r="B40" s="28" t="str">
        <x:v>C34 evidence stop</x:v>
      </x:c>
      <x:c r="C40" s="28" t="n">
        <x:f>COUNTIFS('Mission Closure'!B7:B22,"W16",'Mission Closure'!J7:J22,"FAIL")</x:f>
        <x:v>1</x:v>
      </x:c>
      <x:c r="D40" s="28" t="n">
        <x:v>1</x:v>
      </x:c>
      <x:c r="E40" s="28" t="n">
        <x:f>C40-D40</x:f>
        <x:v>0</x:v>
      </x:c>
      <x:c r="F40" s="28" t="str">
        <x:f>IF(ABS(E40)&lt;0.000001,"PASS","FAIL")</x:f>
        <x:v>PASS</x:v>
      </x:c>
      <x:c r="G40" s="30" t="str">
        <x:v>universal stop</x:v>
      </x:c>
    </x:row>
    <x:row r="41">
      <x:c r="B41" s="28" t="str">
        <x:v>C35 dry control status</x:v>
      </x:c>
      <x:c r="C41" s="28" t="n">
        <x:f>IF(Manifest!E28="PASS",1,0)</x:f>
        <x:v>1</x:v>
      </x:c>
      <x:c r="D41" s="28" t="n">
        <x:v>1</x:v>
      </x:c>
      <x:c r="E41" s="28" t="n">
        <x:f>C41-D41</x:f>
        <x:v>0</x:v>
      </x:c>
      <x:c r="F41" s="28" t="str">
        <x:f>IF(ABS(E41)&lt;0.000001,"PASS","FAIL")</x:f>
        <x:v>PASS</x:v>
      </x:c>
      <x:c r="G41" s="30" t="str">
        <x:v>manifest reconciles</x:v>
      </x:c>
    </x:row>
    <x:row r="42">
      <x:c r="B42" s="32" t="str">
        <x:v>C36 position control status</x:v>
      </x:c>
      <x:c r="C42" s="32" t="n">
        <x:f>IF(Manifest!E27="PASS",1,0)</x:f>
        <x:v>1</x:v>
      </x:c>
      <x:c r="D42" s="32" t="n">
        <x:v>1</x:v>
      </x:c>
      <x:c r="E42" s="32" t="n">
        <x:f>C42-D42</x:f>
        <x:v>0</x:v>
      </x:c>
      <x:c r="F42" s="32" t="str">
        <x:f>IF(ABS(E42)&lt;0.000001,"PASS","FAIL")</x:f>
        <x:v>PASS</x:v>
      </x:c>
      <x:c r="G42" s="34" t="str">
        <x:v>positions reconcile</x:v>
      </x:c>
    </x:row>
    <x:row r="43">
      <x:c r="B43" s="2"/>
      <x:c r="C43" s="2"/>
      <x:c r="D43" s="2"/>
      <x:c r="E43" s="2"/>
      <x:c r="F43" s="2"/>
      <x:c r="G43" s="2"/>
    </x:row>
    <x:row r="44">
      <x:c r="B44" s="2"/>
      <x:c r="C44" s="2"/>
      <x:c r="D44" s="2"/>
      <x:c r="E44" s="2"/>
      <x:c r="F44" s="2"/>
      <x:c r="G44" s="2"/>
    </x:row>
    <x:row r="45">
      <x:c r="B45" s="2"/>
      <x:c r="C45" s="2"/>
      <x:c r="D45" s="2"/>
      <x:c r="E45" s="2"/>
      <x:c r="F45" s="2"/>
      <x:c r="G45" s="2"/>
    </x:row>
    <x:row r="46">
      <x:c r="B46" s="2"/>
      <x:c r="C46" s="2"/>
      <x:c r="D46" s="2"/>
      <x:c r="E46" s="2"/>
      <x:c r="F46" s="2"/>
      <x:c r="G46" s="2"/>
    </x:row>
    <x:row r="47">
      <x:c r="B47" s="2"/>
      <x:c r="C47" s="2"/>
      <x:c r="D47" s="2"/>
      <x:c r="E47" s="2"/>
      <x:c r="F47" s="2"/>
      <x:c r="G47" s="2"/>
    </x:row>
    <x:row r="48">
      <x:c r="B48" s="2"/>
      <x:c r="C48" s="2"/>
      <x:c r="D48" s="2"/>
      <x:c r="E48" s="2"/>
      <x:c r="F48" s="2"/>
      <x:c r="G48" s="2"/>
    </x:row>
    <x:row r="49">
      <x:c r="B49" s="2"/>
      <x:c r="C49" s="2"/>
      <x:c r="D49" s="2"/>
      <x:c r="E49" s="2"/>
      <x:c r="F49" s="2"/>
      <x:c r="G49" s="2"/>
    </x:row>
    <x:row r="50">
      <x:c r="B50" s="2"/>
      <x:c r="C50" s="2"/>
      <x:c r="D50" s="2"/>
      <x:c r="E50" s="2"/>
      <x:c r="F50" s="2"/>
      <x:c r="G50" s="2"/>
    </x:row>
    <x:row r="51">
      <x:c r="B51" s="2"/>
      <x:c r="C51" s="2"/>
      <x:c r="D51" s="2"/>
      <x:c r="E51" s="2"/>
      <x:c r="F51" s="2"/>
      <x:c r="G51" s="2"/>
    </x:row>
    <x:row r="52">
      <x:c r="B52" s="2"/>
      <x:c r="C52" s="2"/>
      <x:c r="D52" s="2"/>
      <x:c r="E52" s="2"/>
      <x:c r="F52" s="2"/>
      <x:c r="G52" s="2"/>
    </x:row>
  </x:sheetData>
  <x:conditionalFormatting sqref="F7:F42">
    <x:cfRule type="containsText" dxfId="1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4" hidden="0" customWidth="1"/>
    <x:col min="3" max="3" width="116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3" t="str">
        <x:v>How to read this model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workbook configures a formation; it does not admit a vehicle or authorize rendering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8" t="str">
        <x:v>Decision boundary</x:v>
      </x:c>
      <x:c r="C6" s="9" t="str">
        <x:v>Decision boundary</x:v>
      </x:c>
      <x:c r="D6" s="9" t="str">
        <x:v>Decision boundary</x:v>
      </x:c>
      <x:c r="E6" s="9" t="str">
        <x:v>Decision boundary</x:v>
      </x:c>
      <x:c r="F6" s="9" t="str">
        <x:v>Decision boundary</x:v>
      </x:c>
      <x:c r="G6" s="9" t="str">
        <x:v>Decision boundary</x:v>
      </x:c>
      <x:c r="H6" s="9" t="str">
        <x:v>Decision boundary</x:v>
      </x:c>
      <x:c r="I6" s="9" t="str">
        <x:v>Decision boundary</x:v>
      </x:c>
      <x:c r="J6" s="10" t="str">
        <x:v>Decision boundary</x:v>
      </x:c>
    </x:row>
    <x:row r="7">
      <x:c r="B7" s="47" t="str">
        <x:v>Question</x:v>
      </x:c>
      <x:c r="C7" s="48" t="str">
        <x:v>Can M1 heavy buoyant lift, M3 terrain trains and M5 utility projectors operate as one independent access formation?</x:v>
      </x:c>
      <x:c r="D7" s="2"/>
      <x:c r="E7" s="2"/>
      <x:c r="F7" s="2"/>
      <x:c r="G7" s="2"/>
      <x:c r="H7" s="2"/>
      <x:c r="I7" s="2"/>
      <x:c r="J7" s="2"/>
    </x:row>
    <x:row r="8">
      <x:c r="B8" s="49" t="str">
        <x:v>Reference formation</x:v>
      </x:c>
      <x:c r="C8" s="28" t="str">
        <x:v>F1 owns two complete physical payloads plus one service-bridge payload, common command, receiver entry and reset.</x:v>
      </x:c>
      <x:c r="D8" s="2"/>
      <x:c r="E8" s="2"/>
      <x:c r="F8" s="2"/>
      <x:c r="G8" s="2"/>
      <x:c r="H8" s="2"/>
      <x:c r="I8" s="2"/>
      <x:c r="J8" s="2"/>
    </x:row>
    <x:row r="9">
      <x:c r="B9" s="49" t="str">
        <x:v>Primary result</x:v>
      </x:c>
      <x:c r="C9" s="28" t="str">
        <x:v>F1 closes fourteen behavior worlds. F2 adds a VHL squadron and closes the concurrent-region case.</x:v>
      </x:c>
      <x:c r="D9" s="2"/>
      <x:c r="E9" s="2"/>
      <x:c r="F9" s="2"/>
      <x:c r="G9" s="2"/>
      <x:c r="H9" s="2"/>
      <x:c r="I9" s="2"/>
      <x:c r="J9" s="2"/>
    </x:row>
    <x:row r="10">
      <x:c r="B10" s="49" t="str">
        <x:v>Manifest rule</x:v>
      </x:c>
      <x:c r="C10" s="28" t="str">
        <x:v>Thirty-two positions and 580 dry tonnes define each complete physical cell. No missing function receives partial credit.</x:v>
      </x:c>
      <x:c r="D10" s="2"/>
      <x:c r="E10" s="2"/>
      <x:c r="F10" s="2"/>
      <x:c r="G10" s="2"/>
      <x:c r="H10" s="2"/>
      <x:c r="I10" s="2"/>
      <x:c r="J10" s="2"/>
    </x:row>
    <x:row r="11">
      <x:c r="B11" s="49" t="str">
        <x:v>Independence rule</x:v>
      </x:c>
      <x:c r="C11" s="28" t="str">
        <x:v>Source, base, control, workforce, supplier, receiver, weather, reset, payload and authority are separately registered.</x:v>
      </x:c>
      <x:c r="D11" s="2"/>
      <x:c r="E11" s="2"/>
      <x:c r="F11" s="2"/>
      <x:c r="G11" s="2"/>
      <x:c r="H11" s="2"/>
      <x:c r="I11" s="2"/>
      <x:c r="J11" s="2"/>
    </x:row>
    <x:row r="12">
      <x:c r="B12" s="49" t="str">
        <x:v>Cost rule</x:v>
      </x:c>
      <x:c r="C12" s="28" t="str">
        <x:v>Forty-three ready groups replace the full Pass 78 pair program once; shared enterprise and new technology are added once.</x:v>
      </x:c>
      <x:c r="D12" s="2"/>
      <x:c r="E12" s="2"/>
      <x:c r="F12" s="2"/>
      <x:c r="G12" s="2"/>
      <x:c r="H12" s="2"/>
      <x:c r="I12" s="2"/>
      <x:c r="J12" s="2"/>
    </x:row>
    <x:row r="13">
      <x:c r="B13" s="49" t="str">
        <x:v>Evidence rule</x:v>
      </x:c>
      <x:c r="C13" s="28" t="str">
        <x:v>All thirty-four gates remain open. Calculated behavior gives no current or strict credit.</x:v>
      </x:c>
      <x:c r="D13" s="2"/>
      <x:c r="E13" s="2"/>
      <x:c r="F13" s="2"/>
      <x:c r="G13" s="2"/>
      <x:c r="H13" s="2"/>
      <x:c r="I13" s="2"/>
      <x:c r="J13" s="2"/>
    </x:row>
    <x:row r="14">
      <x:c r="B14" s="49" t="str">
        <x:v>Source boundary</x:v>
      </x:c>
      <x:c r="C14" s="28" t="str">
        <x:v>Only repository requirements and declared Pass 79 hypotheses are used. No external-site research is introduced.</x:v>
      </x:c>
      <x:c r="D14" s="2"/>
      <x:c r="E14" s="2"/>
      <x:c r="F14" s="2"/>
      <x:c r="G14" s="2"/>
      <x:c r="H14" s="2"/>
      <x:c r="I14" s="2"/>
      <x:c r="J14" s="2"/>
    </x:row>
    <x:row r="15">
      <x:c r="B15" s="49" t="str">
        <x:v>Rendering</x:v>
      </x:c>
      <x:c r="C15" s="28" t="str">
        <x:v>Blocked until representative configuration evidence determines actual form.</x:v>
      </x:c>
      <x:c r="D15" s="2"/>
      <x:c r="E15" s="2"/>
      <x:c r="F15" s="2"/>
      <x:c r="G15" s="2"/>
      <x:c r="H15" s="2"/>
      <x:c r="I15" s="2"/>
      <x:c r="J15" s="2"/>
    </x:row>
    <x:row r="16">
      <x:c r="B16" s="50" t="str">
        <x:v>Next use</x:v>
      </x:c>
      <x:c r="C16" s="51" t="str">
        <x:v>Configure physical articles and loading schedules; test F2 and F3 as concurrency rivals before selecting a force.</x:v>
      </x:c>
      <x:c r="D16" s="2"/>
      <x:c r="E16" s="2"/>
      <x:c r="F16" s="2"/>
      <x:c r="G16" s="2"/>
      <x:c r="H16" s="2"/>
      <x:c r="I16" s="2"/>
      <x:c r="J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6:J6"/>
  </x:mergeCells>
  <x:pageMargins left="0.7" right="0.7" top="0.75" bottom="0.75" header="0.3" footer="0.3"/>
</x:worksheet>
</file>