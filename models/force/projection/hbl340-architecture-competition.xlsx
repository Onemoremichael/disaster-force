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649adcebb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54b45f40c944a3"/>
    <x:sheet xmlns:r="http://schemas.openxmlformats.org/officeDocument/2006/relationships" name="Assumptions" sheetId="2" r:id="Rfd1b35dc752b41b7"/>
    <x:sheet xmlns:r="http://schemas.openxmlformats.org/officeDocument/2006/relationships" name="Architectures" sheetId="3" r:id="R15b145c1c6c4462c"/>
    <x:sheet xmlns:r="http://schemas.openxmlformats.org/officeDocument/2006/relationships" name="Mass and Lift" sheetId="4" r:id="R53547debb053403d"/>
    <x:sheet xmlns:r="http://schemas.openxmlformats.org/officeDocument/2006/relationships" name="Geometry" sheetId="5" r:id="R80bf1b6cbe174ac5"/>
    <x:sheet xmlns:r="http://schemas.openxmlformats.org/officeDocument/2006/relationships" name="Power and Energy" sheetId="6" r:id="Rc72e0848730a4ccc"/>
    <x:sheet xmlns:r="http://schemas.openxmlformats.org/officeDocument/2006/relationships" name="Transfer" sheetId="7" r:id="R78f63ffb388d48d0"/>
    <x:sheet xmlns:r="http://schemas.openxmlformats.org/officeDocument/2006/relationships" name="Weather" sheetId="8" r:id="Ra0de7b8c01244a50"/>
    <x:sheet xmlns:r="http://schemas.openxmlformats.org/officeDocument/2006/relationships" name="Receiver and Base" sheetId="9" r:id="R7968126bb675417e"/>
    <x:sheet xmlns:r="http://schemas.openxmlformats.org/officeDocument/2006/relationships" name="Mission Clock" sheetId="10" r:id="R975a76bbc0f843f9"/>
    <x:sheet xmlns:r="http://schemas.openxmlformats.org/officeDocument/2006/relationships" name="Resilience" sheetId="11" r:id="R2ebb874e9dba4293"/>
    <x:sheet xmlns:r="http://schemas.openxmlformats.org/officeDocument/2006/relationships" name="Reset" sheetId="12" r:id="R608727c1bb0c4c99"/>
    <x:sheet xmlns:r="http://schemas.openxmlformats.org/officeDocument/2006/relationships" name="Workforce" sheetId="13" r:id="R37148cadb31d479f"/>
    <x:sheet xmlns:r="http://schemas.openxmlformats.org/officeDocument/2006/relationships" name="Production" sheetId="14" r:id="Rea1057cd62b74a3e"/>
    <x:sheet xmlns:r="http://schemas.openxmlformats.org/officeDocument/2006/relationships" name="Program Cost" sheetId="15" r:id="R43279387b37748f3"/>
    <x:sheet xmlns:r="http://schemas.openxmlformats.org/officeDocument/2006/relationships" name="Technology" sheetId="16" r:id="R0af1a81e2cc840ef"/>
    <x:sheet xmlns:r="http://schemas.openxmlformats.org/officeDocument/2006/relationships" name="Evidence Gates" sheetId="17" r:id="Rbca7de5ed8af4d6b"/>
    <x:sheet xmlns:r="http://schemas.openxmlformats.org/officeDocument/2006/relationships" name="Checks" sheetId="18" r:id="R87cb93249e044e95"/>
    <x:sheet xmlns:r="http://schemas.openxmlformats.org/officeDocument/2006/relationships" name="ReadMe" sheetId="19" r:id="R9df9cc27e32c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"/>
    <x:numFmt numFmtId="201" formatCode="0.0000000"/>
    <x:numFmt numFmtId="202" formatCode="0.0%"/>
    <x:numFmt numFmtId="203" formatCode="&quot;$&quot;#,##0.0000"/>
    <x:numFmt numFmtId="204" formatCode="0.0"/>
    <x:numFmt numFmtId="205" formatCode="#,##0"/>
    <x:numFmt numFmtId="206" formatCode="&quot;$&quot;#,##0.0"/>
    <x:numFmt numFmtId="207" formatCode="&quot;$&quot;0.0"/>
    <x:numFmt numFmtId="208" formatCode="&quot;$&quot;0.000"/>
    <x:numFmt numFmtId="209" formatCode="0.0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DF1F4"/>
      </x:patternFill>
    </x:fill>
  </x:fills>
  <x:borders count="17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  <x:border>
      <x:top style="double">
        <x:color rgb="FF17324D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201" fontId="1" fillId="5" borderId="10" xfId="0" applyNumberFormat="1" applyFont="1" applyFill="1" applyBorder="1" applyAlignment="1">
      <x:alignment vertical="center"/>
    </x:xf>
    <x:xf numFmtId="202" fontId="6" fillId="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203" fontId="6" fillId="4" borderId="10" xfId="0" applyNumberFormat="1" applyFont="1" applyFill="1" applyBorder="1" applyAlignment="1">
      <x:alignment vertical="center"/>
    </x:xf>
    <x:xf numFmtId="203" fontId="1" fillId="5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5" fontId="1" fillId="0" borderId="10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6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0" borderId="10" xfId="0" applyNumberFormat="1" applyFont="1" applyFill="1" applyBorder="1" applyAlignment="1">
      <x:alignment vertical="center"/>
    </x:xf>
    <x:xf numFmtId="207" fontId="1" fillId="0" borderId="12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1" fillId="0" borderId="11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208" fontId="1" fillId="0" borderId="13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9" fontId="1" fillId="0" borderId="10" xfId="0" applyNumberFormat="1" applyFont="1" applyFill="1" applyBorder="1" applyAlignment="1">
      <x:alignment vertical="center"/>
    </x:xf>
    <x:xf numFmtId="209" fontId="1" fillId="0" borderId="12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1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horizontal="center" vertical="center"/>
    </x:xf>
    <x:xf numFmtId="202" fontId="1" fillId="0" borderId="12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8" fontId="1" fillId="0" borderId="10" xfId="0" applyNumberFormat="1" applyFont="1" applyFill="1" applyBorder="1" applyAlignment="1">
      <x:alignment vertical="center"/>
    </x:xf>
    <x:xf numFmtId="208" fontId="1" fillId="0" borderId="12" xfId="0" applyNumberFormat="1" applyFont="1" applyFill="1" applyBorder="1" applyAlignment="1">
      <x:alignment vertical="center"/>
    </x:xf>
  </x:cellXfs>
  <x:cellStyles count="1">
    <x:cellStyle name="Normal" xfId="0"/>
  </x:cellStyles>
  <x:dxfs count="17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6529221704027" /><Relationship Type="http://schemas.openxmlformats.org/officeDocument/2006/relationships/theme" Target="/xl/theme/theme1.xml" Id="R62a69f51142a4f9d" /><Relationship Type="http://schemas.openxmlformats.org/officeDocument/2006/relationships/sharedStrings" Target="/xl/sharedStrings.xml" Id="Rc8153817ee41494d" /><Relationship Type="http://schemas.openxmlformats.org/officeDocument/2006/relationships/worksheet" Target="/xl/worksheets/sheet1.xml" Id="Raf54b45f40c944a3" /><Relationship Type="http://schemas.openxmlformats.org/officeDocument/2006/relationships/worksheet" Target="/xl/worksheets/sheet2.xml" Id="Rfd1b35dc752b41b7" /><Relationship Type="http://schemas.openxmlformats.org/officeDocument/2006/relationships/worksheet" Target="/xl/worksheets/sheet3.xml" Id="R15b145c1c6c4462c" /><Relationship Type="http://schemas.openxmlformats.org/officeDocument/2006/relationships/worksheet" Target="/xl/worksheets/sheet4.xml" Id="R53547debb053403d" /><Relationship Type="http://schemas.openxmlformats.org/officeDocument/2006/relationships/worksheet" Target="/xl/worksheets/sheet5.xml" Id="R80bf1b6cbe174ac5" /><Relationship Type="http://schemas.openxmlformats.org/officeDocument/2006/relationships/worksheet" Target="/xl/worksheets/sheet6.xml" Id="Rc72e0848730a4ccc" /><Relationship Type="http://schemas.openxmlformats.org/officeDocument/2006/relationships/worksheet" Target="/xl/worksheets/sheet7.xml" Id="R78f63ffb388d48d0" /><Relationship Type="http://schemas.openxmlformats.org/officeDocument/2006/relationships/worksheet" Target="/xl/worksheets/sheet8.xml" Id="Ra0de7b8c01244a50" /><Relationship Type="http://schemas.openxmlformats.org/officeDocument/2006/relationships/worksheet" Target="/xl/worksheets/sheet9.xml" Id="R7968126bb675417e" /><Relationship Type="http://schemas.openxmlformats.org/officeDocument/2006/relationships/worksheet" Target="/xl/worksheets/sheet10.xml" Id="R975a76bbc0f843f9" /><Relationship Type="http://schemas.openxmlformats.org/officeDocument/2006/relationships/worksheet" Target="/xl/worksheets/sheet11.xml" Id="R2ebb874e9dba4293" /><Relationship Type="http://schemas.openxmlformats.org/officeDocument/2006/relationships/worksheet" Target="/xl/worksheets/sheet12.xml" Id="R608727c1bb0c4c99" /><Relationship Type="http://schemas.openxmlformats.org/officeDocument/2006/relationships/worksheet" Target="/xl/worksheets/sheet13.xml" Id="R37148cadb31d479f" /><Relationship Type="http://schemas.openxmlformats.org/officeDocument/2006/relationships/worksheet" Target="/xl/worksheets/sheet14.xml" Id="Rea1057cd62b74a3e" /><Relationship Type="http://schemas.openxmlformats.org/officeDocument/2006/relationships/worksheet" Target="/xl/worksheets/sheet15.xml" Id="R43279387b37748f3" /><Relationship Type="http://schemas.openxmlformats.org/officeDocument/2006/relationships/worksheet" Target="/xl/worksheets/sheet16.xml" Id="R0af1a81e2cc840ef" /><Relationship Type="http://schemas.openxmlformats.org/officeDocument/2006/relationships/worksheet" Target="/xl/worksheets/sheet17.xml" Id="Rbca7de5ed8af4d6b" /><Relationship Type="http://schemas.openxmlformats.org/officeDocument/2006/relationships/worksheet" Target="/xl/worksheets/sheet18.xml" Id="R87cb93249e044e95" /><Relationship Type="http://schemas.openxmlformats.org/officeDocument/2006/relationships/worksheet" Target="/xl/worksheets/sheet19.xml" Id="R9df9cc27e32c4c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5" hidden="0" customWidth="1"/>
    <x:col min="3" max="3" width="27" hidden="0" customWidth="1"/>
    <x:col min="4" max="4" width="16" hidden="0" customWidth="1"/>
    <x:col min="5" max="5" width="51" hidden="0" customWidth="1"/>
    <x:col min="6" max="6" width="18" hidden="0" customWidth="1"/>
    <x:col min="7" max="7" width="3" hidden="0" customWidth="1"/>
    <x:col min="8" max="8" width="36" hidden="0" customWidth="1"/>
    <x:col min="9" max="9" width="17" hidden="0" customWidth="1"/>
    <x:col min="10" max="10" width="17" hidden="0" customWidth="1"/>
    <x:col min="11" max="11" width="17" hidden="0" customWidth="1"/>
    <x:col min="12" max="12" width="23" hidden="0" customWidth="1"/>
    <x:col min="13" max="13" width="27" hidden="0" customWidth="1"/>
    <x:col min="14" max="14" width="17" hidden="0" customWidth="1"/>
  </x:cols>
  <x:sheetData>
    <x:row r="2">
      <x:c r="B2" s="3" t="str">
        <x:v>HBL-340 architecture competition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The provisional reference is a ground-coupled hybrid, not a scaled cargo zeppelin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Executive result</x:v>
      </x:c>
      <x:c r="C6" s="9" t="str">
        <x:v>Executive result</x:v>
      </x:c>
      <x:c r="D6" s="9" t="str">
        <x:v>Executive result</x:v>
      </x:c>
      <x:c r="E6" s="9" t="str">
        <x:v>Executive result</x:v>
      </x:c>
      <x:c r="F6" s="10" t="str">
        <x:v>Executive result</x:v>
      </x:c>
      <x:c r="G6" s="2"/>
      <x:c r="H6" s="8" t="str">
        <x:v>Architecture decision screen</x:v>
      </x:c>
      <x:c r="I6" s="9" t="str">
        <x:v>Architecture decision screen</x:v>
      </x:c>
      <x:c r="J6" s="9" t="str">
        <x:v>Architecture decision screen</x:v>
      </x:c>
      <x:c r="K6" s="9" t="str">
        <x:v>Architecture decision screen</x:v>
      </x:c>
      <x:c r="L6" s="9" t="str">
        <x:v>Architecture decision screen</x:v>
      </x:c>
      <x:c r="M6" s="9" t="str">
        <x:v>Architecture decision screen</x:v>
      </x:c>
      <x:c r="N6" s="10" t="str">
        <x:v>Architecture decision screen</x:v>
      </x:c>
    </x:row>
    <x:row r="7">
      <x:c r="B7" s="31" t="str">
        <x:v>Decision</x:v>
      </x:c>
      <x:c r="C7" s="32" t="str">
        <x:v>Value</x:v>
      </x:c>
      <x:c r="D7" s="32" t="str">
        <x:v>Unit</x:v>
      </x:c>
      <x:c r="E7" s="32" t="str">
        <x:v>Interpretation</x:v>
      </x:c>
      <x:c r="F7" s="32" t="str">
        <x:v>State</x:v>
      </x:c>
      <x:c r="G7" s="2"/>
      <x:c r="H7" s="31" t="str">
        <x:v>ID</x:v>
      </x:c>
      <x:c r="I7" s="32" t="str">
        <x:v>Lift</x:v>
      </x:c>
      <x:c r="J7" s="32" t="str">
        <x:v>Transfer</x:v>
      </x:c>
      <x:c r="K7" s="32" t="str">
        <x:v>Geometry</x:v>
      </x:c>
      <x:c r="L7" s="32" t="str">
        <x:v>Energy and power</x:v>
      </x:c>
      <x:c r="M7" s="32" t="str">
        <x:v>Weather and receiver</x:v>
      </x:c>
      <x:c r="N7" s="32" t="str">
        <x:v>Decision</x:v>
      </x:c>
    </x:row>
    <x:row r="8">
      <x:c r="B8" s="33" t="str">
        <x:v>Architecture reference</x:v>
      </x:c>
      <x:c r="C8" s="33" t="str">
        <x:v>H2 GCH-340</x:v>
      </x:c>
      <x:c r="D8" s="33" t="str">
        <x:v>research</x:v>
      </x:c>
      <x:c r="E8" s="33" t="str">
        <x:v>ground-coupled hybrid lifting body</x:v>
      </x:c>
      <x:c r="F8" s="35" t="str">
        <x:v>calculated</x:v>
      </x:c>
      <x:c r="G8" s="2"/>
      <x:c r="H8" s="33" t="str">
        <x:f>Architectures!B7</x:f>
        <x:v>H1</x:v>
      </x:c>
      <x:c r="I8" s="33" t="str">
        <x:f>'Mass and Lift'!S7</x:f>
        <x:v>PASS</x:v>
      </x:c>
      <x:c r="J8" s="33" t="str">
        <x:f>Transfer!Q7</x:f>
        <x:v>FAIL</x:v>
      </x:c>
      <x:c r="K8" s="33" t="str">
        <x:f>Geometry!P7</x:f>
        <x:v>FAIL</x:v>
      </x:c>
      <x:c r="L8" s="33" t="str">
        <x:f>IF(AND('Power and Energy'!V7="PASS",'Power and Energy'!F15="PASS",'Mission Clock'!N7="PASS"),"PASS","FAIL")</x:f>
        <x:v>PASS</x:v>
      </x:c>
      <x:c r="M8" s="33" t="str">
        <x:f>IF(AND(Weather!E15="PASS",'Receiver and Base'!N7="PASS"),"PASS","FAIL")</x:f>
        <x:v>FAIL</x:v>
      </x:c>
      <x:c r="N8" s="35" t="str">
        <x:f>IF(COUNTIFS(I8:M8,"PASS")=5,"PASS","FAIL")</x:f>
        <x:v>FAIL</x:v>
      </x:c>
    </x:row>
    <x:row r="9">
      <x:c r="B9" s="33" t="str">
        <x:v>Universal behavior</x:v>
      </x:c>
      <x:c r="C9" s="33" t="str">
        <x:f>N9</x:f>
        <x:v>PASS</x:v>
      </x:c>
      <x:c r="D9" s="33" t="str">
        <x:v>behavior</x:v>
      </x:c>
      <x:c r="E9" s="33" t="str">
        <x:v>only rival closing all declared screens</x:v>
      </x:c>
      <x:c r="F9" s="35" t="str">
        <x:v>calculated</x:v>
      </x:c>
      <x:c r="G9" s="2"/>
      <x:c r="H9" s="33" t="str">
        <x:f>Architectures!B8</x:f>
        <x:v>H2</x:v>
      </x:c>
      <x:c r="I9" s="33" t="str">
        <x:f>'Mass and Lift'!S8</x:f>
        <x:v>PASS</x:v>
      </x:c>
      <x:c r="J9" s="33" t="str">
        <x:f>Transfer!Q8</x:f>
        <x:v>PASS</x:v>
      </x:c>
      <x:c r="K9" s="33" t="str">
        <x:f>Geometry!P8</x:f>
        <x:v>PASS</x:v>
      </x:c>
      <x:c r="L9" s="33" t="str">
        <x:f>IF(AND('Power and Energy'!V8="PASS",'Power and Energy'!F16="PASS",'Mission Clock'!N8="PASS"),"PASS","FAIL")</x:f>
        <x:v>PASS</x:v>
      </x:c>
      <x:c r="M9" s="33" t="str">
        <x:f>IF(AND(Weather!E16="PASS",'Receiver and Base'!N8="PASS"),"PASS","FAIL")</x:f>
        <x:v>PASS</x:v>
      </x:c>
      <x:c r="N9" s="35" t="str">
        <x:f>IF(COUNTIFS(I9:M9,"PASS")=5,"PASS","FAIL")</x:f>
        <x:v>PASS</x:v>
      </x:c>
    </x:row>
    <x:row r="10">
      <x:c r="B10" s="33" t="str">
        <x:v>Design payload</x:v>
      </x:c>
      <x:c r="C10" s="48" t="n">
        <x:v>340</x:v>
      </x:c>
      <x:c r="D10" s="33" t="str">
        <x:v>t</x:v>
      </x:c>
      <x:c r="E10" s="33" t="str">
        <x:v>317.5 t assigned mission load</x:v>
      </x:c>
      <x:c r="F10" s="35" t="str">
        <x:v>inherited</x:v>
      </x:c>
      <x:c r="G10" s="2"/>
      <x:c r="H10" s="33" t="str">
        <x:f>Architectures!B9</x:f>
        <x:v>H3</x:v>
      </x:c>
      <x:c r="I10" s="33" t="str">
        <x:f>'Mass and Lift'!S9</x:f>
        <x:v>PASS</x:v>
      </x:c>
      <x:c r="J10" s="33" t="str">
        <x:f>Transfer!Q9</x:f>
        <x:v>FAIL</x:v>
      </x:c>
      <x:c r="K10" s="33" t="str">
        <x:f>Geometry!P9</x:f>
        <x:v>FAIL</x:v>
      </x:c>
      <x:c r="L10" s="33" t="str">
        <x:f>IF(AND('Power and Energy'!V9="PASS",'Power and Energy'!F17="PASS",'Mission Clock'!N9="PASS"),"PASS","FAIL")</x:f>
        <x:v>FAIL</x:v>
      </x:c>
      <x:c r="M10" s="33" t="str">
        <x:f>IF(AND(Weather!E17="PASS",'Receiver and Base'!N9="PASS"),"PASS","FAIL")</x:f>
        <x:v>FAIL</x:v>
      </x:c>
      <x:c r="N10" s="35" t="str">
        <x:f>IF(COUNTIFS(I10:M10,"PASS")=5,"PASS","FAIL")</x:f>
        <x:v>FAIL</x:v>
      </x:c>
    </x:row>
    <x:row r="11">
      <x:c r="B11" s="33" t="str">
        <x:v>Gross departure mass</x:v>
      </x:c>
      <x:c r="C11" s="48" t="n">
        <x:f>'Mass and Lift'!G8</x:f>
        <x:v>1003</x:v>
      </x:c>
      <x:c r="D11" s="33" t="str">
        <x:v>t</x:v>
      </x:c>
      <x:c r="E11" s="33" t="str">
        <x:v>payload plus complete operating mass</x:v>
      </x:c>
      <x:c r="F11" s="35" t="str">
        <x:v>calculated</x:v>
      </x:c>
      <x:c r="G11" s="2"/>
      <x:c r="H11" s="42" t="str">
        <x:f>Architectures!B10</x:f>
        <x:v>H4</x:v>
      </x:c>
      <x:c r="I11" s="42" t="str">
        <x:f>'Mass and Lift'!S10</x:f>
        <x:v>PASS</x:v>
      </x:c>
      <x:c r="J11" s="42" t="str">
        <x:f>Transfer!Q10</x:f>
        <x:v>FAIL</x:v>
      </x:c>
      <x:c r="K11" s="42" t="str">
        <x:f>Geometry!P10</x:f>
        <x:v>PASS</x:v>
      </x:c>
      <x:c r="L11" s="42" t="str">
        <x:f>IF(AND('Power and Energy'!V10="PASS",'Power and Energy'!F18="PASS",'Mission Clock'!N10="PASS"),"PASS","FAIL")</x:f>
        <x:v>PASS</x:v>
      </x:c>
      <x:c r="M11" s="42" t="str">
        <x:f>IF(AND(Weather!E18="PASS",'Receiver and Base'!N10="PASS"),"PASS","FAIL")</x:f>
        <x:v>FAIL</x:v>
      </x:c>
      <x:c r="N11" s="44" t="str">
        <x:f>IF(COUNTIFS(I11:M11,"PASS")=5,"PASS","FAIL")</x:f>
        <x:v>FAIL</x:v>
      </x:c>
    </x:row>
    <x:row r="12">
      <x:c r="B12" s="33" t="str">
        <x:v>Static hot-high lift</x:v>
      </x:c>
      <x:c r="C12" s="48" t="n">
        <x:f>'Mass and Lift'!D8</x:f>
        <x:v>711.2800000000001</x:v>
      </x:c>
      <x:c r="D12" s="33" t="str">
        <x:v>t</x:v>
      </x:c>
      <x:c r="E12" s="33" t="str">
        <x:v>underbuoyant by design</x:v>
      </x:c>
      <x:c r="F12" s="35" t="str">
        <x:v>calculated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B13" s="33" t="str">
        <x:v>Required aerodynamic lift</x:v>
      </x:c>
      <x:c r="C13" s="48" t="n">
        <x:f>'Power and Energy'!H8</x:f>
        <x:v>291.7199999999999</x:v>
      </x:c>
      <x:c r="D13" s="33" t="str">
        <x:v>t</x:v>
      </x:c>
      <x:c r="E13" s="33" t="str">
        <x:v>cruise closes the loaded difference</x:v>
      </x:c>
      <x:c r="F13" s="35" t="str">
        <x:v>calculated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B14" s="33" t="str">
        <x:v>Envelope volume</x:v>
      </x:c>
      <x:c r="C14" s="49" t="n">
        <x:v>850000</x:v>
      </x:c>
      <x:c r="D14" s="33" t="str">
        <x:v>m3</x:v>
      </x:c>
      <x:c r="E14" s="33" t="str">
        <x:v>equivalent prolate volume</x:v>
      </x:c>
      <x:c r="F14" s="35" t="str">
        <x:v>declared</x:v>
      </x:c>
      <x:c r="G14" s="2"/>
      <x:c r="H14" s="8" t="str">
        <x:v>Governing judgments</x:v>
      </x:c>
      <x:c r="I14" s="9" t="str">
        <x:v>Governing judgments</x:v>
      </x:c>
      <x:c r="J14" s="9" t="str">
        <x:v>Governing judgments</x:v>
      </x:c>
      <x:c r="K14" s="9" t="str">
        <x:v>Governing judgments</x:v>
      </x:c>
      <x:c r="L14" s="9" t="str">
        <x:v>Governing judgments</x:v>
      </x:c>
      <x:c r="M14" s="9" t="str">
        <x:v>Governing judgments</x:v>
      </x:c>
      <x:c r="N14" s="10" t="str">
        <x:v>Governing judgments</x:v>
      </x:c>
    </x:row>
    <x:row r="15">
      <x:c r="B15" s="33" t="str">
        <x:v>Equivalent length</x:v>
      </x:c>
      <x:c r="C15" s="48" t="n">
        <x:f>Geometry!G8</x:f>
        <x:v>305.94237099711756</x:v>
      </x:c>
      <x:c r="D15" s="33" t="str">
        <x:v>m</x:v>
      </x:c>
      <x:c r="E15" s="33" t="str">
        <x:v>inside 420 m receiver</x:v>
      </x:c>
      <x:c r="F15" s="35" t="str">
        <x:v>calculated</x:v>
      </x:c>
      <x:c r="G15" s="2"/>
      <x:c r="H15" s="51" t="str">
        <x:v>1. Full buoyancy does not solve unloading.</x:v>
      </x:c>
      <x:c r="I15" s="2" t="str">
        <x:v>H1 and H3 remain hundreds of tonnes positively buoyant after payload transfer unless the receiver supplies reaction or ballast.</x:v>
      </x:c>
      <x:c r="J15" s="2"/>
      <x:c r="K15" s="2"/>
      <x:c r="L15" s="2"/>
      <x:c r="M15" s="2"/>
      <x:c r="N15" s="2"/>
    </x:row>
    <x:row r="16">
      <x:c r="B16" s="33" t="str">
        <x:v>Equivalent diameter</x:v>
      </x:c>
      <x:c r="C16" s="48" t="n">
        <x:f>Geometry!F8</x:f>
        <x:v>72.84342166598037</x:v>
      </x:c>
      <x:c r="D16" s="33" t="str">
        <x:v>m</x:v>
      </x:c>
      <x:c r="E16" s="33" t="str">
        <x:v>single-body approximation</x:v>
      </x:c>
      <x:c r="F16" s="35" t="str">
        <x:v>calculated</x:v>
      </x:c>
      <x:c r="G16" s="2"/>
      <x:c r="H16" s="51" t="str">
        <x:v>2. Underbuoyancy converts the problem.</x:v>
      </x:c>
      <x:c r="I16" s="2" t="str">
        <x:v>H2 lands while loaded, places 291.7 t on a distributed contact system, then needs only 60 t of internal authority after unload.</x:v>
      </x:c>
      <x:c r="J16" s="2"/>
      <x:c r="K16" s="2"/>
      <x:c r="L16" s="2"/>
      <x:c r="M16" s="2"/>
      <x:c r="N16" s="2"/>
    </x:row>
    <x:row r="17">
      <x:c r="B17" s="33" t="str">
        <x:v>Cruise speed</x:v>
      </x:c>
      <x:c r="C17" s="48" t="n">
        <x:v>240</x:v>
      </x:c>
      <x:c r="D17" s="33" t="str">
        <x:v>km/h</x:v>
      </x:c>
      <x:c r="E17" s="33" t="str">
        <x:v>4,000 km in 16.67 h</x:v>
      </x:c>
      <x:c r="F17" s="35" t="str">
        <x:v>declared</x:v>
      </x:c>
      <x:c r="G17" s="2"/>
      <x:c r="H17" s="51" t="str">
        <x:v>3. The old clock forces strategic-airlift power.</x:v>
      </x:c>
      <x:c r="I17" s="2" t="str">
        <x:v>Four thousand kilometres inside the inherited path requires 240 km/h, about 67 MW cruise power and 1.22 GWh mission energy.</x:v>
      </x:c>
      <x:c r="J17" s="2"/>
      <x:c r="K17" s="2"/>
      <x:c r="L17" s="2"/>
      <x:c r="M17" s="2"/>
      <x:c r="N17" s="2"/>
    </x:row>
    <x:row r="18">
      <x:c r="B18" s="33" t="str">
        <x:v>Cruise power</x:v>
      </x:c>
      <x:c r="C18" s="48" t="n">
        <x:f>'Power and Energy'!K8</x:f>
        <x:v>67.16839879070446</x:v>
      </x:c>
      <x:c r="D18" s="33" t="str">
        <x:v>MW</x:v>
      </x:c>
      <x:c r="E18" s="33" t="str">
        <x:v>drag plus lift plus hotel</x:v>
      </x:c>
      <x:c r="F18" s="35" t="str">
        <x:v>calculated</x:v>
      </x:c>
      <x:c r="G18" s="2"/>
      <x:c r="H18" s="51" t="str">
        <x:v>4. This is a new industrial sector.</x:v>
      </x:c>
      <x:c r="I18" s="2" t="str">
        <x:v>The selected program contains 112 articles, two integration lines, plural suppliers, 24,000 peak direct workers and a $932.3B HBL account.</x:v>
      </x:c>
      <x:c r="J18" s="2"/>
      <x:c r="K18" s="2"/>
      <x:c r="L18" s="2"/>
      <x:c r="M18" s="2"/>
      <x:c r="N18" s="2"/>
    </x:row>
    <x:row r="19">
      <x:c r="B19" s="33" t="str">
        <x:v>Mission energy</x:v>
      </x:c>
      <x:c r="C19" s="48" t="n">
        <x:f>'Power and Energy'!N8</x:f>
        <x:v>1219.4733131784078</x:v>
      </x:c>
      <x:c r="D19" s="33" t="str">
        <x:v>MWh</x:v>
      </x:c>
      <x:c r="E19" s="33" t="str">
        <x:v>cruise plus placement</x:v>
      </x:c>
      <x:c r="F19" s="35" t="str">
        <x:v>calculated</x:v>
      </x:c>
      <x:c r="G19" s="2"/>
      <x:c r="H19" s="51" t="str">
        <x:v>5. Cost advantage cannot yet be claimed.</x:v>
      </x:c>
      <x:c r="I19" s="2" t="str">
        <x:v>Replacing the generic HBL account raises DCP-2 to $1.517T; all duplication comparisons remain unlike-depth.</x:v>
      </x:c>
      <x:c r="J19" s="2"/>
      <x:c r="K19" s="2"/>
      <x:c r="L19" s="2"/>
      <x:c r="M19" s="2"/>
      <x:c r="N19" s="2"/>
    </x:row>
    <x:row r="20">
      <x:c r="B20" s="33" t="str">
        <x:v>Loaded ground reaction</x:v>
      </x:c>
      <x:c r="C20" s="48" t="n">
        <x:f>Transfer!G8</x:f>
        <x:v>291.7199999999999</x:v>
      </x:c>
      <x:c r="D20" s="33" t="str">
        <x:v>t</x:v>
      </x:c>
      <x:c r="E20" s="33" t="str">
        <x:v>transferred through contact system</x:v>
      </x:c>
      <x:c r="F20" s="35" t="str">
        <x:v>calculated</x:v>
      </x:c>
      <x:c r="G20" s="2"/>
      <x:c r="H20" s="51" t="str">
        <x:v>6. Rendering remains blocked.</x:v>
      </x:c>
      <x:c r="I20" s="2" t="str">
        <x:v>H2 is a requirements reference. Structure, weather, landing and public-service evidence—and the ATUT competition—remain open.</x:v>
      </x:c>
      <x:c r="J20" s="2"/>
      <x:c r="K20" s="2"/>
      <x:c r="L20" s="2"/>
      <x:c r="M20" s="2"/>
      <x:c r="N20" s="2"/>
    </x:row>
    <x:row r="21">
      <x:c r="B21" s="33" t="str">
        <x:v>Ground pressure</x:v>
      </x:c>
      <x:c r="C21" s="48" t="n">
        <x:f>Transfer!I8</x:f>
        <x:v>47.69621999999999</x:v>
      </x:c>
      <x:c r="D21" s="33" t="str">
        <x:v>kPa</x:v>
      </x:c>
      <x:c r="E21" s="33" t="str">
        <x:v>below 60 kPa receiver floor</x:v>
      </x:c>
      <x:c r="F21" s="35" t="str">
        <x:v>calculated</x:v>
      </x:c>
      <x:c r="G21" s="2"/>
      <x:c r="H21" s="2"/>
      <x:c r="I21" s="2"/>
      <x:c r="J21" s="2"/>
      <x:c r="K21" s="2"/>
      <x:c r="L21" s="2"/>
      <x:c r="M21" s="2"/>
      <x:c r="N21" s="2"/>
    </x:row>
    <x:row r="22">
      <x:c r="B22" s="33" t="str">
        <x:v>Offload excess lift</x:v>
      </x:c>
      <x:c r="C22" s="48" t="n">
        <x:f>Transfer!K8</x:f>
        <x:v>48.280000000000086</x:v>
      </x:c>
      <x:c r="D22" s="33" t="str">
        <x:v>t</x:v>
      </x:c>
      <x:c r="E22" s="33" t="str">
        <x:v>static lift above empty mass</x:v>
      </x:c>
      <x:c r="F22" s="35" t="str">
        <x:v>calculated</x:v>
      </x:c>
      <x:c r="G22" s="2"/>
      <x:c r="H22" s="2"/>
      <x:c r="I22" s="2"/>
      <x:c r="J22" s="2"/>
      <x:c r="K22" s="2"/>
      <x:c r="L22" s="2"/>
      <x:c r="M22" s="2"/>
      <x:c r="N22" s="2"/>
    </x:row>
    <x:row r="23">
      <x:c r="B23" s="33" t="str">
        <x:v>Internal buoyancy authority</x:v>
      </x:c>
      <x:c r="C23" s="48" t="n">
        <x:v>60</x:v>
      </x:c>
      <x:c r="D23" s="33" t="str">
        <x:v>t</x:v>
      </x:c>
      <x:c r="E23" s="33" t="str">
        <x:v>closes unloaded excess</x:v>
      </x:c>
      <x:c r="F23" s="35" t="str">
        <x:v>declared</x:v>
      </x:c>
      <x:c r="G23" s="2"/>
      <x:c r="H23" s="2"/>
      <x:c r="I23" s="2"/>
      <x:c r="J23" s="2"/>
      <x:c r="K23" s="2"/>
      <x:c r="L23" s="2"/>
      <x:c r="M23" s="2"/>
      <x:c r="N23" s="2"/>
    </x:row>
    <x:row r="24">
      <x:c r="B24" s="33" t="str">
        <x:v>Relative public service</x:v>
      </x:c>
      <x:c r="C24" s="48" t="n">
        <x:f>'Mission Clock'!H8</x:f>
        <x:v>41.91666666666667</x:v>
      </x:c>
      <x:c r="D24" s="33" t="str">
        <x:v>h</x:v>
      </x:c>
      <x:c r="E24" s="33" t="str">
        <x:v>preserves hour-42 path</x:v>
      </x:c>
      <x:c r="F24" s="35" t="str">
        <x:v>calculated</x:v>
      </x:c>
      <x:c r="G24" s="2"/>
      <x:c r="H24" s="2"/>
      <x:c r="I24" s="2"/>
      <x:c r="J24" s="2"/>
      <x:c r="K24" s="2"/>
      <x:c r="L24" s="2"/>
      <x:c r="M24" s="2"/>
      <x:c r="N24" s="2"/>
    </x:row>
    <x:row r="25">
      <x:c r="B25" s="33" t="str">
        <x:v>Revised deployed workforce</x:v>
      </x:c>
      <x:c r="C25" s="48" t="n">
        <x:f>Workforce!E17</x:f>
        <x:v>528</x:v>
      </x:c>
      <x:c r="D25" s="33" t="str">
        <x:v>people</x:v>
      </x:c>
      <x:c r="E25" s="33" t="str">
        <x:v>42 architecture-specific additions</x:v>
      </x:c>
      <x:c r="F25" s="35" t="str">
        <x:v>calculated</x:v>
      </x:c>
      <x:c r="G25" s="2"/>
      <x:c r="H25" s="2"/>
      <x:c r="I25" s="2"/>
      <x:c r="J25" s="2"/>
      <x:c r="K25" s="2"/>
      <x:c r="L25" s="2"/>
      <x:c r="M25" s="2"/>
      <x:c r="N25" s="2"/>
    </x:row>
    <x:row r="26">
      <x:c r="B26" s="33" t="str">
        <x:v>HBL architecture program</x:v>
      </x:c>
      <x:c r="C26" s="50" t="n">
        <x:f>'Program Cost'!D16</x:f>
        <x:v>932.2574500000001</x:v>
      </x:c>
      <x:c r="D26" s="33" t="str">
        <x:v>$B</x:v>
      </x:c>
      <x:c r="E26" s="33" t="str">
        <x:v>112 articles and full industrial system</x:v>
      </x:c>
      <x:c r="F26" s="35" t="str">
        <x:v>calculated</x:v>
      </x:c>
      <x:c r="G26" s="2"/>
      <x:c r="H26" s="2"/>
      <x:c r="I26" s="2"/>
      <x:c r="J26" s="2"/>
      <x:c r="K26" s="2"/>
      <x:c r="L26" s="2"/>
      <x:c r="M26" s="2"/>
      <x:c r="N26" s="2"/>
    </x:row>
    <x:row r="27">
      <x:c r="B27" s="33" t="str">
        <x:v>Revised DCP-2 program</x:v>
      </x:c>
      <x:c r="C27" s="50" t="n">
        <x:f>'Program Cost'!D18</x:f>
        <x:v>1517.23385</x:v>
      </x:c>
      <x:c r="D27" s="33" t="str">
        <x:v>$B</x:v>
      </x:c>
      <x:c r="E27" s="33" t="str">
        <x:v>replaces generic HBL account</x:v>
      </x:c>
      <x:c r="F27" s="35" t="str">
        <x:v>calculated</x:v>
      </x:c>
      <x:c r="G27" s="2"/>
      <x:c r="H27" s="2"/>
      <x:c r="I27" s="2"/>
      <x:c r="J27" s="2"/>
      <x:c r="K27" s="2"/>
      <x:c r="L27" s="2"/>
      <x:c r="M27" s="2"/>
      <x:c r="N27" s="2"/>
    </x:row>
    <x:row r="28">
      <x:c r="B28" s="33" t="str">
        <x:v>Revised national boundary</x:v>
      </x:c>
      <x:c r="C28" s="50" t="n">
        <x:f>'Program Cost'!D20</x:f>
        <x:v>8900.3754</x:v>
      </x:c>
      <x:c r="D28" s="33" t="str">
        <x:v>$B</x:v>
      </x:c>
      <x:c r="E28" s="33" t="str">
        <x:v>dynamic F1-C1 plus revised DCP-2</x:v>
      </x:c>
      <x:c r="F28" s="35" t="str">
        <x:v>calculated</x:v>
      </x:c>
      <x:c r="G28" s="2"/>
      <x:c r="H28" s="2"/>
      <x:c r="I28" s="2"/>
      <x:c r="J28" s="2"/>
      <x:c r="K28" s="2"/>
      <x:c r="L28" s="2"/>
      <x:c r="M28" s="2"/>
      <x:c r="N28" s="2"/>
    </x:row>
    <x:row r="29">
      <x:c r="B29" s="33" t="str">
        <x:v>Increase over Pass 82</x:v>
      </x:c>
      <x:c r="C29" s="50" t="n">
        <x:f>'Program Cost'!D21</x:f>
        <x:v>583.9574500000001</x:v>
      </x:c>
      <x:c r="D29" s="33" t="str">
        <x:v>$B</x:v>
      </x:c>
      <x:c r="E29" s="33" t="str">
        <x:v>physical architecture correction</x:v>
      </x:c>
      <x:c r="F29" s="35" t="str">
        <x:v>calculated</x:v>
      </x:c>
      <x:c r="G29" s="2"/>
      <x:c r="H29" s="2"/>
      <x:c r="I29" s="2"/>
      <x:c r="J29" s="2"/>
      <x:c r="K29" s="2"/>
      <x:c r="L29" s="2"/>
      <x:c r="M29" s="2"/>
      <x:c r="N29" s="2"/>
    </x:row>
    <x:row r="30">
      <x:c r="B30" s="33" t="str">
        <x:v>Open evidence gates</x:v>
      </x:c>
      <x:c r="C30" s="33" t="n">
        <x:v>70</x:v>
      </x:c>
      <x:c r="D30" s="33" t="str">
        <x:v>gates</x:v>
      </x:c>
      <x:c r="E30" s="33" t="str">
        <x:v>strict credit remains zero</x:v>
      </x:c>
      <x:c r="F30" s="35" t="str">
        <x:v>calculated</x:v>
      </x:c>
      <x:c r="G30" s="2"/>
      <x:c r="H30" s="2"/>
      <x:c r="I30" s="2"/>
      <x:c r="J30" s="2"/>
      <x:c r="K30" s="2"/>
      <x:c r="L30" s="2"/>
      <x:c r="M30" s="2"/>
      <x:c r="N30" s="2"/>
    </x:row>
    <x:row r="31">
      <x:c r="B31" s="42" t="str">
        <x:v>Rendering state</x:v>
      </x:c>
      <x:c r="C31" s="42" t="str">
        <x:v>BLOCKED</x:v>
      </x:c>
      <x:c r="D31" s="42" t="str">
        <x:v>governance</x:v>
      </x:c>
      <x:c r="E31" s="42" t="str">
        <x:v>ATUT architecture and physical evidence remain open</x:v>
      </x:c>
      <x:c r="F31" s="44" t="str">
        <x:v>declared</x:v>
      </x:c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B6:F6"/>
    <x:mergeCell ref="H6:N6"/>
    <x:mergeCell ref="H14:N14"/>
    <x:mergeCell ref="I15:N15"/>
    <x:mergeCell ref="I16:N16"/>
    <x:mergeCell ref="I17:N17"/>
    <x:mergeCell ref="I18:N18"/>
    <x:mergeCell ref="I19:N19"/>
    <x:mergeCell ref="I20:N20"/>
  </x:mergeCells>
  <x:conditionalFormatting sqref="I8:N11">
    <x:cfRule type="containsText" dxfId="1" priority="1" operator="containsText" text="FAIL"/>
  </x:conditionalFormatting>
  <x:conditionalFormatting sqref="N8:N11">
    <x:cfRule type="containsText" dxfId="2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/>
  </x:sheetViews>
  <x:sheetFormatPr defaultRowHeight="15"/>
  <x:cols>
    <x:col min="2" max="2" width="43" hidden="0" customWidth="1"/>
    <x:col min="3" max="3" width="22" hidden="0" customWidth="1"/>
    <x:col min="4" max="4" width="20" hidden="0" customWidth="1"/>
    <x:col min="5" max="5" width="25" hidden="0" customWidth="1"/>
    <x:col min="6" max="6" width="51" hidden="0" customWidth="1"/>
  </x:cols>
  <x:sheetData>
    <x:row r="2">
      <x:c r="B2" s="3" t="str">
        <x:v>HBL-340 architecture competition assumptions</x:v>
      </x:c>
      <x:c r="C2" s="2"/>
      <x:c r="D2" s="2"/>
      <x:c r="E2" s="2"/>
      <x:c r="F2" s="2"/>
    </x:row>
    <x:row r="3">
      <x:c r="B3" s="4" t="str">
        <x:v>The carrier must preserve the Pass 82 payload, receiver and clock while resolving buoyancy transition</x:v>
      </x:c>
      <x:c r="C3" s="4"/>
      <x:c r="D3" s="4"/>
      <x:c r="E3" s="4"/>
      <x:c r="F3" s="4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8" t="str">
        <x:v>Mission, atmosphere, receiver, program and evidence controls</x:v>
      </x:c>
      <x:c r="C6" s="9" t="str">
        <x:v>Mission, atmosphere, receiver, program and evidence controls</x:v>
      </x:c>
      <x:c r="D6" s="9" t="str">
        <x:v>Mission, atmosphere, receiver, program and evidence controls</x:v>
      </x:c>
      <x:c r="E6" s="9" t="str">
        <x:v>Mission, atmosphere, receiver, program and evidence controls</x:v>
      </x:c>
      <x:c r="F6" s="10" t="str">
        <x:v>Mission, atmosphere, receiver, program and evidence controls</x:v>
      </x:c>
    </x:row>
    <x:row r="7">
      <x:c r="B7" s="31" t="str">
        <x:v>Input</x:v>
      </x:c>
      <x:c r="C7" s="32" t="str">
        <x:v>Value</x:v>
      </x:c>
      <x:c r="D7" s="32" t="str">
        <x:v>Unit</x:v>
      </x:c>
      <x:c r="E7" s="32" t="str">
        <x:v>Origin</x:v>
      </x:c>
      <x:c r="F7" s="32" t="str">
        <x:v>Meaning</x:v>
      </x:c>
    </x:row>
    <x:row r="8">
      <x:c r="B8" s="33" t="str">
        <x:v>Design payload rating</x:v>
      </x:c>
      <x:c r="C8" s="34" t="n">
        <x:v>340</x:v>
      </x:c>
      <x:c r="D8" s="33" t="str">
        <x:v>t</x:v>
      </x:c>
      <x:c r="E8" s="33" t="str">
        <x:v>Pass 82</x:v>
      </x:c>
      <x:c r="F8" s="35" t="str">
        <x:v>usable carrier payload</x:v>
      </x:c>
    </x:row>
    <x:row r="9">
      <x:c r="B9" s="33" t="str">
        <x:v>Assigned mission payload</x:v>
      </x:c>
      <x:c r="C9" s="34" t="n">
        <x:v>317.5</x:v>
      </x:c>
      <x:c r="D9" s="33" t="str">
        <x:v>t</x:v>
      </x:c>
      <x:c r="E9" s="33" t="str">
        <x:v>Pass 82</x:v>
      </x:c>
      <x:c r="F9" s="35" t="str">
        <x:v>two dry blocks plus two wet packs</x:v>
      </x:c>
    </x:row>
    <x:row r="10">
      <x:c r="B10" s="33" t="str">
        <x:v>Usable cargo cube</x:v>
      </x:c>
      <x:c r="C10" s="34" t="n">
        <x:v>1400</x:v>
      </x:c>
      <x:c r="D10" s="33" t="str">
        <x:v>m3</x:v>
      </x:c>
      <x:c r="E10" s="33" t="str">
        <x:v>Pass 82</x:v>
      </x:c>
      <x:c r="F10" s="35" t="str">
        <x:v>accessible stowed volume</x:v>
      </x:c>
    </x:row>
    <x:row r="11">
      <x:c r="B11" s="33" t="str">
        <x:v>Usable load deck</x:v>
      </x:c>
      <x:c r="C11" s="34" t="n">
        <x:v>352</x:v>
      </x:c>
      <x:c r="D11" s="33" t="str">
        <x:v>m2</x:v>
      </x:c>
      <x:c r="E11" s="33" t="str">
        <x:v>Pass 82</x:v>
      </x:c>
      <x:c r="F11" s="35" t="str">
        <x:v>restraint and unload surface</x:v>
      </x:c>
    </x:row>
    <x:row r="12">
      <x:c r="B12" s="33" t="str">
        <x:v>Design range</x:v>
      </x:c>
      <x:c r="C12" s="34" t="n">
        <x:v>4000</x:v>
      </x:c>
      <x:c r="D12" s="33" t="str">
        <x:v>km</x:v>
      </x:c>
      <x:c r="E12" s="33" t="str">
        <x:v>Pass 78</x:v>
      </x:c>
      <x:c r="F12" s="35" t="str">
        <x:v>one-way standoff mission</x:v>
      </x:c>
    </x:row>
    <x:row r="13">
      <x:c r="B13" s="33" t="str">
        <x:v>Transit and placement ceiling</x:v>
      </x:c>
      <x:c r="C13" s="34" t="n">
        <x:v>18</x:v>
      </x:c>
      <x:c r="D13" s="33" t="str">
        <x:v>h</x:v>
      </x:c>
      <x:c r="E13" s="33" t="str">
        <x:v>Pass 82</x:v>
      </x:c>
      <x:c r="F13" s="35" t="str">
        <x:v>preserve air path</x:v>
      </x:c>
    </x:row>
    <x:row r="14">
      <x:c r="B14" s="33" t="str">
        <x:v>Relative service ceiling</x:v>
      </x:c>
      <x:c r="C14" s="34" t="n">
        <x:v>42</x:v>
      </x:c>
      <x:c r="D14" s="33" t="str">
        <x:v>h</x:v>
      </x:c>
      <x:c r="E14" s="33" t="str">
        <x:v>Pass 82</x:v>
      </x:c>
      <x:c r="F14" s="35" t="str">
        <x:v>from regional activation</x:v>
      </x:c>
    </x:row>
    <x:row r="15">
      <x:c r="B15" s="33" t="str">
        <x:v>Origin release and load</x:v>
      </x:c>
      <x:c r="C15" s="34" t="n">
        <x:v>16</x:v>
      </x:c>
      <x:c r="D15" s="33" t="str">
        <x:v>h</x:v>
      </x:c>
      <x:c r="E15" s="33" t="str">
        <x:v>Pass 82</x:v>
      </x:c>
      <x:c r="F15" s="35" t="str">
        <x:v>through flight release</x:v>
      </x:c>
    </x:row>
    <x:row r="16">
      <x:c r="B16" s="33" t="str">
        <x:v>Receiver service build</x:v>
      </x:c>
      <x:c r="C16" s="34" t="n">
        <x:v>8</x:v>
      </x:c>
      <x:c r="D16" s="33" t="str">
        <x:v>h</x:v>
      </x:c>
      <x:c r="E16" s="33" t="str">
        <x:v>Pass 82</x:v>
      </x:c>
      <x:c r="F16" s="35" t="str">
        <x:v>placement through public release</x:v>
      </x:c>
    </x:row>
    <x:row r="17">
      <x:c r="B17" s="33" t="str">
        <x:v>Air density at reference</x:v>
      </x:c>
      <x:c r="C17" s="34" t="n">
        <x:v>1.225</x:v>
      </x:c>
      <x:c r="D17" s="33" t="str">
        <x:v>kg/m3</x:v>
      </x:c>
      <x:c r="E17" s="33" t="str">
        <x:v>declared physics</x:v>
      </x:c>
      <x:c r="F17" s="35" t="str">
        <x:v>sea-level reference</x:v>
      </x:c>
    </x:row>
    <x:row r="18">
      <x:c r="B18" s="33" t="str">
        <x:v>Helium density at reference</x:v>
      </x:c>
      <x:c r="C18" s="34" t="n">
        <x:v>0.179</x:v>
      </x:c>
      <x:c r="D18" s="33" t="str">
        <x:v>kg/m3</x:v>
      </x:c>
      <x:c r="E18" s="33" t="str">
        <x:v>declared physics</x:v>
      </x:c>
      <x:c r="F18" s="35" t="str">
        <x:v>lifting gas reference</x:v>
      </x:c>
    </x:row>
    <x:row r="19">
      <x:c r="B19" s="33" t="str">
        <x:v>Hot-high density factor</x:v>
      </x:c>
      <x:c r="C19" s="36" t="n">
        <x:v>0.8</x:v>
      </x:c>
      <x:c r="D19" s="33" t="str">
        <x:v>fraction</x:v>
      </x:c>
      <x:c r="E19" s="33" t="str">
        <x:v>declared design case</x:v>
      </x:c>
      <x:c r="F19" s="35" t="str">
        <x:v>buoyancy and drag derate</x:v>
      </x:c>
    </x:row>
    <x:row r="20">
      <x:c r="B20" s="33" t="str">
        <x:v>Net buoyant mass per m3</x:v>
      </x:c>
      <x:c r="C20" s="37" t="n">
        <x:f>(C17-C18)*C19/1000</x:f>
        <x:v>0.0008368000000000001</x:v>
      </x:c>
      <x:c r="D20" s="33" t="str">
        <x:v>t/m3</x:v>
      </x:c>
      <x:c r="E20" s="33" t="str">
        <x:v>calculated</x:v>
      </x:c>
      <x:c r="F20" s="35" t="str">
        <x:v>density difference after derate</x:v>
      </x:c>
    </x:row>
    <x:row r="21">
      <x:c r="B21" s="33" t="str">
        <x:v>Propulsive efficiency</x:v>
      </x:c>
      <x:c r="C21" s="38" t="n">
        <x:v>0.78</x:v>
      </x:c>
      <x:c r="D21" s="33" t="str">
        <x:v>fraction</x:v>
      </x:c>
      <x:c r="E21" s="33" t="str">
        <x:v>declared design case</x:v>
      </x:c>
      <x:c r="F21" s="35" t="str">
        <x:v>shaft-to-useful thrust</x:v>
      </x:c>
    </x:row>
    <x:row r="22">
      <x:c r="B22" s="33" t="str">
        <x:v>Mission energy reserve</x:v>
      </x:c>
      <x:c r="C22" s="38" t="n">
        <x:v>0.15</x:v>
      </x:c>
      <x:c r="D22" s="33" t="str">
        <x:v>fraction</x:v>
      </x:c>
      <x:c r="E22" s="33" t="str">
        <x:v>declared design case</x:v>
      </x:c>
      <x:c r="F22" s="35" t="str">
        <x:v>route and diversion reserve</x:v>
      </x:c>
    </x:row>
    <x:row r="23">
      <x:c r="B23" s="33" t="str">
        <x:v>Minimum total-lift reserve</x:v>
      </x:c>
      <x:c r="C23" s="38" t="n">
        <x:v>0.05</x:v>
      </x:c>
      <x:c r="D23" s="33" t="str">
        <x:v>fraction</x:v>
      </x:c>
      <x:c r="E23" s="33" t="str">
        <x:v>Pass 82 discipline</x:v>
      </x:c>
      <x:c r="F23" s="35" t="str">
        <x:v>capacity over gross departure mass</x:v>
      </x:c>
    </x:row>
    <x:row r="24">
      <x:c r="B24" s="33" t="str">
        <x:v>Maximum receiver length</x:v>
      </x:c>
      <x:c r="C24" s="34" t="n">
        <x:v>420</x:v>
      </x:c>
      <x:c r="D24" s="33" t="str">
        <x:v>m</x:v>
      </x:c>
      <x:c r="E24" s="33" t="str">
        <x:v>Pass 82</x:v>
      </x:c>
      <x:c r="F24" s="35" t="str">
        <x:v>clear air transfer length</x:v>
      </x:c>
    </x:row>
    <x:row r="25">
      <x:c r="B25" s="33" t="str">
        <x:v>Maximum receiver width</x:v>
      </x:c>
      <x:c r="C25" s="34" t="n">
        <x:v>420</x:v>
      </x:c>
      <x:c r="D25" s="33" t="str">
        <x:v>m</x:v>
      </x:c>
      <x:c r="E25" s="33" t="str">
        <x:v>Pass 82</x:v>
      </x:c>
      <x:c r="F25" s="35" t="str">
        <x:v>clear air transfer width</x:v>
      </x:c>
    </x:row>
    <x:row r="26">
      <x:c r="B26" s="33" t="str">
        <x:v>Receiver bearing floor</x:v>
      </x:c>
      <x:c r="C26" s="34" t="n">
        <x:v>60</x:v>
      </x:c>
      <x:c r="D26" s="33" t="str">
        <x:v>kPa</x:v>
      </x:c>
      <x:c r="E26" s="33" t="str">
        <x:v>Pass 82</x:v>
      </x:c>
      <x:c r="F26" s="35" t="str">
        <x:v>ground-coupled transfer surface</x:v>
      </x:c>
    </x:row>
    <x:row r="27">
      <x:c r="B27" s="33" t="str">
        <x:v>Station wind threshold</x:v>
      </x:c>
      <x:c r="C27" s="34" t="n">
        <x:v>30</x:v>
      </x:c>
      <x:c r="D27" s="33" t="str">
        <x:v>m/s</x:v>
      </x:c>
      <x:c r="E27" s="33" t="str">
        <x:v>declared mission</x:v>
      </x:c>
      <x:c r="F27" s="35" t="str">
        <x:v>receiver operating threshold</x:v>
      </x:c>
    </x:row>
    <x:row r="28">
      <x:c r="B28" s="33" t="str">
        <x:v>Gust threshold</x:v>
      </x:c>
      <x:c r="C28" s="34" t="n">
        <x:v>38</x:v>
      </x:c>
      <x:c r="D28" s="33" t="str">
        <x:v>m/s</x:v>
      </x:c>
      <x:c r="E28" s="33" t="str">
        <x:v>declared mission</x:v>
      </x:c>
      <x:c r="F28" s="35" t="str">
        <x:v>short-duration control threshold</x:v>
      </x:c>
    </x:row>
    <x:row r="29">
      <x:c r="B29" s="33" t="str">
        <x:v>Icing endurance threshold</x:v>
      </x:c>
      <x:c r="C29" s="34" t="n">
        <x:v>120</x:v>
      </x:c>
      <x:c r="D29" s="33" t="str">
        <x:v>min</x:v>
      </x:c>
      <x:c r="E29" s="33" t="str">
        <x:v>declared mission</x:v>
      </x:c>
      <x:c r="F29" s="35" t="str">
        <x:v>protected flight time</x:v>
      </x:c>
    </x:row>
    <x:row r="30">
      <x:c r="B30" s="33" t="str">
        <x:v>Maximum public transfer</x:v>
      </x:c>
      <x:c r="C30" s="34" t="n">
        <x:v>4</x:v>
      </x:c>
      <x:c r="D30" s="33" t="str">
        <x:v>h</x:v>
      </x:c>
      <x:c r="E30" s="33" t="str">
        <x:v>Pass 82</x:v>
      </x:c>
      <x:c r="F30" s="35" t="str">
        <x:v>carrier placement and unload</x:v>
      </x:c>
    </x:row>
    <x:row r="31">
      <x:c r="B31" s="33" t="str">
        <x:v>Assigned hard-access groups</x:v>
      </x:c>
      <x:c r="C31" s="34" t="n">
        <x:v>22</x:v>
      </x:c>
      <x:c r="D31" s="33" t="str">
        <x:v>groups</x:v>
      </x:c>
      <x:c r="E31" s="33" t="str">
        <x:v>Pass 82</x:v>
      </x:c>
      <x:c r="F31" s="35" t="str">
        <x:v>national mission assignment</x:v>
      </x:c>
    </x:row>
    <x:row r="32">
      <x:c r="B32" s="33" t="str">
        <x:v>Concurrency factor</x:v>
      </x:c>
      <x:c r="C32" s="34" t="n">
        <x:v>1.5</x:v>
      </x:c>
      <x:c r="D32" s="33" t="str">
        <x:v>factor</x:v>
      </x:c>
      <x:c r="E32" s="33" t="str">
        <x:v>Pass 82</x:v>
      </x:c>
      <x:c r="F32" s="35" t="str">
        <x:v>overlapping campaigns</x:v>
      </x:c>
    </x:row>
    <x:row r="33">
      <x:c r="B33" s="33" t="str">
        <x:v>Readiness factor</x:v>
      </x:c>
      <x:c r="C33" s="34" t="n">
        <x:v>1.3</x:v>
      </x:c>
      <x:c r="D33" s="33" t="str">
        <x:v>factor</x:v>
      </x:c>
      <x:c r="E33" s="33" t="str">
        <x:v>Pass 82</x:v>
      </x:c>
      <x:c r="F33" s="35" t="str">
        <x:v>training, overhaul and attrition</x:v>
      </x:c>
    </x:row>
    <x:row r="34">
      <x:c r="B34" s="33" t="str">
        <x:v>Ready packages</x:v>
      </x:c>
      <x:c r="C34" s="39" t="n">
        <x:f>CEILING(C31*C32*C33,1)</x:f>
        <x:v>43</x:v>
      </x:c>
      <x:c r="D34" s="33" t="str">
        <x:v>packages</x:v>
      </x:c>
      <x:c r="E34" s="33" t="str">
        <x:v>calculated</x:v>
      </x:c>
      <x:c r="F34" s="35" t="str">
        <x:v>ceiling of assigned demand</x:v>
      </x:c>
    </x:row>
    <x:row r="35">
      <x:c r="B35" s="33" t="str">
        <x:v>HBL vehicles per package</x:v>
      </x:c>
      <x:c r="C35" s="34" t="n">
        <x:v>2</x:v>
      </x:c>
      <x:c r="D35" s="33" t="str">
        <x:v>vehicles</x:v>
      </x:c>
      <x:c r="E35" s="33" t="str">
        <x:v>Pass 82</x:v>
      </x:c>
      <x:c r="F35" s="35" t="str">
        <x:v>one atmospheric cell</x:v>
      </x:c>
    </x:row>
    <x:row r="36">
      <x:c r="B36" s="33" t="str">
        <x:v>Operational HBL vehicles</x:v>
      </x:c>
      <x:c r="C36" s="39" t="n">
        <x:f>C34*C35</x:f>
        <x:v>86</x:v>
      </x:c>
      <x:c r="D36" s="33" t="str">
        <x:v>vehicles</x:v>
      </x:c>
      <x:c r="E36" s="33" t="str">
        <x:v>calculated</x:v>
      </x:c>
      <x:c r="F36" s="35" t="str">
        <x:v>ready packages times pair</x:v>
      </x:c>
    </x:row>
    <x:row r="37">
      <x:c r="B37" s="33" t="str">
        <x:v>Reserve vehicle fraction</x:v>
      </x:c>
      <x:c r="C37" s="38" t="n">
        <x:v>0.2</x:v>
      </x:c>
      <x:c r="D37" s="33" t="str">
        <x:v>fraction</x:v>
      </x:c>
      <x:c r="E37" s="33" t="str">
        <x:v>declared program</x:v>
      </x:c>
      <x:c r="F37" s="35" t="str">
        <x:v>attrition and overhaul pool</x:v>
      </x:c>
    </x:row>
    <x:row r="38">
      <x:c r="B38" s="33" t="str">
        <x:v>Reserve HBL vehicles</x:v>
      </x:c>
      <x:c r="C38" s="39" t="n">
        <x:f>CEILING(C36*C37,1)</x:f>
        <x:v>18</x:v>
      </x:c>
      <x:c r="D38" s="33" t="str">
        <x:v>vehicles</x:v>
      </x:c>
      <x:c r="E38" s="33" t="str">
        <x:v>calculated</x:v>
      </x:c>
      <x:c r="F38" s="35" t="str">
        <x:v>ceiling of operational pool</x:v>
      </x:c>
    </x:row>
    <x:row r="39">
      <x:c r="B39" s="33" t="str">
        <x:v>Development and test articles</x:v>
      </x:c>
      <x:c r="C39" s="34" t="n">
        <x:v>8</x:v>
      </x:c>
      <x:c r="D39" s="33" t="str">
        <x:v>vehicles</x:v>
      </x:c>
      <x:c r="E39" s="33" t="str">
        <x:v>declared program</x:v>
      </x:c>
      <x:c r="F39" s="35" t="str">
        <x:v>non-operational instruments</x:v>
      </x:c>
    </x:row>
    <x:row r="40">
      <x:c r="B40" s="33" t="str">
        <x:v>Total production articles</x:v>
      </x:c>
      <x:c r="C40" s="39" t="n">
        <x:f>C36+C38+C39</x:f>
        <x:v>112</x:v>
      </x:c>
      <x:c r="D40" s="33" t="str">
        <x:v>vehicles</x:v>
      </x:c>
      <x:c r="E40" s="33" t="str">
        <x:v>calculated</x:v>
      </x:c>
      <x:c r="F40" s="35" t="str">
        <x:v>operational plus reserve plus test</x:v>
      </x:c>
    </x:row>
    <x:row r="41">
      <x:c r="B41" s="33" t="str">
        <x:v>Operations factor</x:v>
      </x:c>
      <x:c r="C41" s="34" t="n">
        <x:v>15.81</x:v>
      </x:c>
      <x:c r="D41" s="33" t="str">
        <x:v>years</x:v>
      </x:c>
      <x:c r="E41" s="33" t="str">
        <x:v>Pass 82</x:v>
      </x:c>
      <x:c r="F41" s="35" t="str">
        <x:v>twenty-five-year ramp weighted</x:v>
      </x:c>
    </x:row>
    <x:row r="42">
      <x:c r="B42" s="33" t="str">
        <x:v>Pass 82 DCP-2 program</x:v>
      </x:c>
      <x:c r="C42" s="40" t="n">
        <x:v>933.2764</x:v>
      </x:c>
      <x:c r="D42" s="33" t="str">
        <x:v>$B</x:v>
      </x:c>
      <x:c r="E42" s="33" t="str">
        <x:v>Pass 82</x:v>
      </x:c>
      <x:c r="F42" s="35" t="str">
        <x:v>pre-architecture comparator</x:v>
      </x:c>
    </x:row>
    <x:row r="43">
      <x:c r="B43" s="33" t="str">
        <x:v>Pass 82 HBL lifecycle account</x:v>
      </x:c>
      <x:c r="C43" s="40" t="n">
        <x:v>348.3</x:v>
      </x:c>
      <x:c r="D43" s="33" t="str">
        <x:v>$B</x:v>
      </x:c>
      <x:c r="E43" s="33" t="str">
        <x:v>Pass 82</x:v>
      </x:c>
      <x:c r="F43" s="35" t="str">
        <x:v>8.10B per pair times 43</x:v>
      </x:c>
    </x:row>
    <x:row r="44">
      <x:c r="B44" s="33" t="str">
        <x:v>Pass 82 national boundary</x:v>
      </x:c>
      <x:c r="C44" s="40" t="n">
        <x:v>8316.41795</x:v>
      </x:c>
      <x:c r="D44" s="33" t="str">
        <x:v>$B</x:v>
      </x:c>
      <x:c r="E44" s="33" t="str">
        <x:v>Pass 82</x:v>
      </x:c>
      <x:c r="F44" s="35" t="str">
        <x:v>dynamic base plus DCP-2</x:v>
      </x:c>
    </x:row>
    <x:row r="45">
      <x:c r="B45" s="33" t="str">
        <x:v>F1-C1 national boundary at 43</x:v>
      </x:c>
      <x:c r="C45" s="40" t="n">
        <x:v>7383.14155</x:v>
      </x:c>
      <x:c r="D45" s="33" t="str">
        <x:v>$B</x:v>
      </x:c>
      <x:c r="E45" s="33" t="str">
        <x:v>Pass 82</x:v>
      </x:c>
      <x:c r="F45" s="35" t="str">
        <x:v>one-region force before reinforcement</x:v>
      </x:c>
    </x:row>
    <x:row r="46">
      <x:c r="B46" s="33" t="str">
        <x:v>F1-C1 cost per extra ready group</x:v>
      </x:c>
      <x:c r="C46" s="40" t="n">
        <x:v>19.8472</x:v>
      </x:c>
      <x:c r="D46" s="33" t="str">
        <x:v>$B/group</x:v>
      </x:c>
      <x:c r="E46" s="33" t="str">
        <x:v>Pass 82</x:v>
      </x:c>
      <x:c r="F46" s="35" t="str">
        <x:v>dynamic one-region base</x:v>
      </x:c>
    </x:row>
    <x:row r="47">
      <x:c r="B47" s="33" t="str">
        <x:v>Dynamic F1-C1 national boundary</x:v>
      </x:c>
      <x:c r="C47" s="41" t="n">
        <x:f>C45+(C34-43)*C46</x:f>
        <x:v>7383.14155</x:v>
      </x:c>
      <x:c r="D47" s="33" t="str">
        <x:v>$B</x:v>
      </x:c>
      <x:c r="E47" s="33" t="str">
        <x:v>calculated</x:v>
      </x:c>
      <x:c r="F47" s="35" t="str">
        <x:v>responds to group input</x:v>
      </x:c>
    </x:row>
    <x:row r="48">
      <x:c r="B48" s="33" t="str">
        <x:v>Pass 82 deployed workforce</x:v>
      </x:c>
      <x:c r="C48" s="34" t="n">
        <x:v>486</x:v>
      </x:c>
      <x:c r="D48" s="33" t="str">
        <x:v>people</x:v>
      </x:c>
      <x:c r="E48" s="33" t="str">
        <x:v>Pass 82</x:v>
      </x:c>
      <x:c r="F48" s="35" t="str">
        <x:v>before HBL architecture additions</x:v>
      </x:c>
    </x:row>
    <x:row r="49">
      <x:c r="B49" s="33" t="str">
        <x:v>Pass 82 affiliated workforce</x:v>
      </x:c>
      <x:c r="C49" s="34" t="n">
        <x:v>1065</x:v>
      </x:c>
      <x:c r="D49" s="33" t="str">
        <x:v>people</x:v>
      </x:c>
      <x:c r="E49" s="33" t="str">
        <x:v>Pass 82</x:v>
      </x:c>
      <x:c r="F49" s="35" t="str">
        <x:v>before HBL architecture additions</x:v>
      </x:c>
    </x:row>
    <x:row r="50">
      <x:c r="B50" s="33" t="str">
        <x:v>Pass 82 minimum watch</x:v>
      </x:c>
      <x:c r="C50" s="34" t="n">
        <x:v>158</x:v>
      </x:c>
      <x:c r="D50" s="33" t="str">
        <x:v>people</x:v>
      </x:c>
      <x:c r="E50" s="33" t="str">
        <x:v>Pass 82</x:v>
      </x:c>
      <x:c r="F50" s="35" t="str">
        <x:v>launch and continuity posture</x:v>
      </x:c>
    </x:row>
    <x:row r="51">
      <x:c r="B51" s="33" t="str">
        <x:v>HBL reset ceiling</x:v>
      </x:c>
      <x:c r="C51" s="34" t="n">
        <x:v>168</x:v>
      </x:c>
      <x:c r="D51" s="33" t="str">
        <x:v>h</x:v>
      </x:c>
      <x:c r="E51" s="33" t="str">
        <x:v>Pass 82</x:v>
      </x:c>
      <x:c r="F51" s="35" t="str">
        <x:v>vehicle returned to certified load</x:v>
      </x:c>
    </x:row>
    <x:row r="52">
      <x:c r="B52" s="42" t="str">
        <x:v>Rendering authorization</x:v>
      </x:c>
      <x:c r="C52" s="43" t="n">
        <x:v>0</x:v>
      </x:c>
      <x:c r="D52" s="42" t="str">
        <x:v>binary</x:v>
      </x:c>
      <x:c r="E52" s="42" t="str">
        <x:v>governance</x:v>
      </x:c>
      <x:c r="F52" s="44" t="str">
        <x:v>blocked pending evidence and ATUT competition</x:v>
      </x:c>
    </x:row>
    <x:row r="53">
      <x:c r="B53" s="2"/>
      <x:c r="C53" s="2"/>
      <x:c r="D53" s="2"/>
      <x:c r="E53" s="2"/>
      <x:c r="F53" s="2"/>
    </x:row>
    <x:row r="54">
      <x:c r="B54" s="2"/>
      <x:c r="C54" s="2"/>
      <x:c r="D54" s="2"/>
      <x:c r="E54" s="2"/>
      <x:c r="F54" s="2"/>
    </x:row>
    <x:row r="55">
      <x:c r="B55" s="2"/>
      <x:c r="C55" s="2"/>
      <x:c r="D55" s="2"/>
      <x:c r="E55" s="2"/>
      <x:c r="F55" s="2"/>
    </x:row>
    <x:row r="56">
      <x:c r="B56" s="2"/>
      <x:c r="C56" s="2"/>
      <x:c r="D56" s="2"/>
      <x:c r="E56" s="2"/>
      <x:c r="F56" s="2"/>
    </x:row>
    <x:row r="57">
      <x:c r="B57" s="2"/>
      <x:c r="C57" s="2"/>
      <x:c r="D57" s="2"/>
      <x:c r="E57" s="2"/>
      <x:c r="F57" s="2"/>
    </x:row>
    <x:row r="58">
      <x:c r="B58" s="2"/>
      <x:c r="C58" s="2"/>
      <x:c r="D58" s="2"/>
      <x:c r="E58" s="2"/>
      <x:c r="F58" s="2"/>
    </x:row>
    <x:row r="59">
      <x:c r="B59" s="2"/>
      <x:c r="C59" s="2"/>
      <x:c r="D59" s="2"/>
      <x:c r="E59" s="2"/>
      <x:c r="F59" s="2"/>
    </x:row>
    <x:row r="60">
      <x:c r="B60" s="2"/>
      <x:c r="C60" s="2"/>
      <x:c r="D60" s="2"/>
      <x:c r="E60" s="2"/>
      <x:c r="F60" s="2"/>
    </x:row>
    <x:row r="61">
      <x:c r="B61" s="2"/>
      <x:c r="C61" s="2"/>
      <x:c r="D61" s="2"/>
      <x:c r="E61" s="2"/>
      <x:c r="F61" s="2"/>
    </x:row>
    <x:row r="62">
      <x:c r="B62" s="2"/>
      <x:c r="C62" s="2"/>
      <x:c r="D62" s="2"/>
      <x:c r="E62" s="2"/>
      <x:c r="F62" s="2"/>
    </x:row>
  </x:sheetData>
  <x:mergeCells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9" hidden="0" customWidth="1"/>
    <x:col min="3" max="3" width="42" hidden="0" customWidth="1"/>
    <x:col min="4" max="4" width="35" hidden="0" customWidth="1"/>
    <x:col min="5" max="5" width="43" hidden="0" customWidth="1"/>
    <x:col min="6" max="6" width="15" hidden="0" customWidth="1"/>
    <x:col min="7" max="7" width="14" hidden="0" customWidth="1"/>
    <x:col min="8" max="8" width="22" hidden="0" customWidth="1"/>
    <x:col min="9" max="9" width="14" hidden="0" customWidth="1"/>
    <x:col min="10" max="10" width="17" hidden="0" customWidth="1"/>
    <x:col min="11" max="11" width="16" hidden="0" customWidth="1"/>
    <x:col min="12" max="12" width="16" hidden="0" customWidth="1"/>
    <x:col min="13" max="13" width="21" hidden="0" customWidth="1"/>
    <x:col min="14" max="14" width="18" hidden="0" customWidth="1"/>
    <x:col min="15" max="15" width="21" hidden="0" customWidth="1"/>
    <x:col min="16" max="16" width="24" hidden="0" customWidth="1"/>
    <x:col min="17" max="17" width="25" hidden="0" customWidth="1"/>
    <x:col min="18" max="18" width="22" hidden="0" customWidth="1"/>
    <x:col min="19" max="19" width="28" hidden="0" customWidth="1"/>
    <x:col min="20" max="20" width="15" hidden="0" customWidth="1"/>
    <x:col min="21" max="21" width="14" hidden="0" customWidth="1"/>
    <x:col min="22" max="22" width="20" hidden="0" customWidth="1"/>
    <x:col min="23" max="23" width="22" hidden="0" customWidth="1"/>
    <x:col min="24" max="24" width="12" hidden="0" customWidth="1"/>
    <x:col min="25" max="25" width="18" hidden="0" customWidth="1"/>
    <x:col min="26" max="26" width="19" hidden="0" customWidth="1"/>
    <x:col min="27" max="27" width="12" hidden="0" customWidth="1"/>
    <x:col min="28" max="28" width="12" hidden="0" customWidth="1"/>
    <x:col min="29" max="29" width="13" hidden="0" customWidth="1"/>
    <x:col min="30" max="30" width="20" hidden="0" customWidth="1"/>
    <x:col min="31" max="31" width="20" hidden="0" customWidth="1"/>
    <x:col min="32" max="32" width="24" hidden="0" customWidth="1"/>
    <x:col min="33" max="33" width="22" hidden="0" customWidth="1"/>
    <x:col min="34" max="34" width="15" hidden="0" customWidth="1"/>
    <x:col min="35" max="35" width="29" hidden="0" customWidth="1"/>
  </x:cols>
  <x:sheetData>
    <x:row r="2">
      <x:c r="B2" s="3" t="str">
        <x:v>Four clean-sheet HBL-340 physical architectures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>
      <x:c r="B3" s="4" t="str">
        <x:v>All rivals carry the same 340 t design payload; only their lift and transfer logic differ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</x:row>
    <x:row r="6">
      <x:c r="B6" s="31" t="str">
        <x:v>ID</x:v>
      </x:c>
      <x:c r="C6" s="32" t="str">
        <x:v>Architecture</x:v>
      </x:c>
      <x:c r="D6" s="32" t="str">
        <x:v>Lift logic</x:v>
      </x:c>
      <x:c r="E6" s="32" t="str">
        <x:v>Receiver transfer</x:v>
      </x:c>
      <x:c r="F6" s="32" t="str">
        <x:v>Envelope m3</x:v>
      </x:c>
      <x:c r="G6" s="32" t="str">
        <x:v>Aspect ratio</x:v>
      </x:c>
      <x:c r="H6" s="32" t="str">
        <x:v>Structure and envelope t</x:v>
      </x:c>
      <x:c r="I6" s="32" t="str">
        <x:v>Propulsion t</x:v>
      </x:c>
      <x:c r="J6" s="32" t="str">
        <x:v>Mission energy t</x:v>
      </x:c>
      <x:c r="K6" s="32" t="str">
        <x:v>Flight systems t</x:v>
      </x:c>
      <x:c r="L6" s="32" t="str">
        <x:v>Cargo system t</x:v>
      </x:c>
      <x:c r="M6" s="32" t="str">
        <x:v>Landing or mooring t</x:v>
      </x:c>
      <x:c r="N6" s="32" t="str">
        <x:v>Buoyancy system t</x:v>
      </x:c>
      <x:c r="O6" s="32" t="str">
        <x:v>Crew and life support t</x:v>
      </x:c>
      <x:c r="P6" s="32" t="str">
        <x:v>Maximum dynamic lift t</x:v>
      </x:c>
      <x:c r="Q6" s="32" t="str">
        <x:v>Internal buoyancy authority t</x:v>
      </x:c>
      <x:c r="R6" s="32" t="str">
        <x:v>Universal external credit t</x:v>
      </x:c>
      <x:c r="S6" s="32" t="str">
        <x:v>Conditional external capacity t</x:v>
      </x:c>
      <x:c r="T6" s="32" t="str">
        <x:v>Cruise km/h</x:v>
      </x:c>
      <x:c r="U6" s="32" t="str">
        <x:v>Placement h</x:v>
      </x:c>
      <x:c r="V6" s="32" t="str">
        <x:v>Installed power MW</x:v>
      </x:c>
      <x:c r="W6" s="32" t="str">
        <x:v>Onboard energy MWh</x:v>
      </x:c>
      <x:c r="X6" s="32" t="str">
        <x:v>Hull Cd</x:v>
      </x:c>
      <x:c r="Y6" s="32" t="str">
        <x:v>Aerodynamic L/D</x:v>
      </x:c>
      <x:c r="Z6" s="32" t="str">
        <x:v>Station wind m/s</x:v>
      </x:c>
      <x:c r="AA6" s="32" t="str">
        <x:v>Gust m/s</x:v>
      </x:c>
      <x:c r="AB6" s="32" t="str">
        <x:v>Icing min</x:v>
      </x:c>
      <x:c r="AC6" s="32" t="str">
        <x:v>Ground contact m2</x:v>
      </x:c>
      <x:c r="AD6" s="32" t="str">
        <x:v>Base footprint km2</x:v>
      </x:c>
      <x:c r="AE6" s="32" t="str">
        <x:v>Acquisition per vehicle $B</x:v>
      </x:c>
      <x:c r="AF6" s="32" t="str">
        <x:v>Lifecycle per ready pair $B</x:v>
      </x:c>
      <x:c r="AG6" s="32" t="str">
        <x:v>Architecture R&amp;D $B</x:v>
      </x:c>
      <x:c r="AH6" s="32" t="str">
        <x:v>Tooling $B</x:v>
      </x:c>
      <x:c r="AI6" s="32" t="str">
        <x:v>Base capital increment per node $B</x:v>
      </x:c>
    </x:row>
    <x:row r="7">
      <x:c r="B7" s="33" t="str">
        <x:v>H1</x:v>
      </x:c>
      <x:c r="C7" s="33" t="str">
        <x:v>VBC-340 rigid variable-buoyancy monohull</x:v>
      </x:c>
      <x:c r="D7" s="33" t="str">
        <x:v>full static lift plus gas compression</x:v>
      </x:c>
      <x:c r="E7" s="33" t="str">
        <x:v>airborne winch transfer</x:v>
      </x:c>
      <x:c r="F7" s="80" t="n">
        <x:v>1450000</x:v>
      </x:c>
      <x:c r="G7" s="80" t="n">
        <x:v>5.5</x:v>
      </x:c>
      <x:c r="H7" s="80" t="n">
        <x:v>340</x:v>
      </x:c>
      <x:c r="I7" s="80" t="n">
        <x:v>75</x:v>
      </x:c>
      <x:c r="J7" s="80" t="n">
        <x:v>90</x:v>
      </x:c>
      <x:c r="K7" s="80" t="n">
        <x:v>32</x:v>
      </x:c>
      <x:c r="L7" s="80" t="n">
        <x:v>45</x:v>
      </x:c>
      <x:c r="M7" s="80" t="n">
        <x:v>45</x:v>
      </x:c>
      <x:c r="N7" s="80" t="n">
        <x:v>165</x:v>
      </x:c>
      <x:c r="O7" s="80" t="n">
        <x:v>18</x:v>
      </x:c>
      <x:c r="P7" s="80" t="n">
        <x:v>0</x:v>
      </x:c>
      <x:c r="Q7" s="80" t="n">
        <x:v>280</x:v>
      </x:c>
      <x:c r="R7" s="80" t="n">
        <x:v>0</x:v>
      </x:c>
      <x:c r="S7" s="80" t="n">
        <x:v>0</x:v>
      </x:c>
      <x:c r="T7" s="80" t="n">
        <x:v>230</x:v>
      </x:c>
      <x:c r="U7" s="80" t="n">
        <x:v>0.6</x:v>
      </x:c>
      <x:c r="V7" s="80" t="n">
        <x:v>80</x:v>
      </x:c>
      <x:c r="W7" s="80" t="n">
        <x:v>1350</x:v>
      </x:c>
      <x:c r="X7" s="80" t="n">
        <x:v>0.035</x:v>
      </x:c>
      <x:c r="Y7" s="80" t="n">
        <x:v>0</x:v>
      </x:c>
      <x:c r="Z7" s="80" t="n">
        <x:v>28</x:v>
      </x:c>
      <x:c r="AA7" s="80" t="n">
        <x:v>34</x:v>
      </x:c>
      <x:c r="AB7" s="80" t="n">
        <x:v>90</x:v>
      </x:c>
      <x:c r="AC7" s="80" t="n">
        <x:v>0</x:v>
      </x:c>
      <x:c r="AD7" s="80" t="n">
        <x:v>3.8</x:v>
      </x:c>
      <x:c r="AE7" s="82" t="n">
        <x:v>3.2</x:v>
      </x:c>
      <x:c r="AF7" s="82" t="n">
        <x:v>12.8</x:v>
      </x:c>
      <x:c r="AG7" s="82" t="n">
        <x:v>110</x:v>
      </x:c>
      <x:c r="AH7" s="82" t="n">
        <x:v>90</x:v>
      </x:c>
      <x:c r="AI7" s="67" t="n">
        <x:v>0.55</x:v>
      </x:c>
    </x:row>
    <x:row r="8">
      <x:c r="B8" s="33" t="str">
        <x:v>H2</x:v>
      </x:c>
      <x:c r="C8" s="33" t="str">
        <x:v>GCH-340 ground-coupled hybrid lifting body</x:v>
      </x:c>
      <x:c r="D8" s="33" t="str">
        <x:v>static lift plus cruise aerodynamic lift</x:v>
      </x:c>
      <x:c r="E8" s="33" t="str">
        <x:v>land, arrest and unload on distributed contact</x:v>
      </x:c>
      <x:c r="F8" s="80" t="n">
        <x:v>850000</x:v>
      </x:c>
      <x:c r="G8" s="80" t="n">
        <x:v>4.2</x:v>
      </x:c>
      <x:c r="H8" s="80" t="n">
        <x:v>245</x:v>
      </x:c>
      <x:c r="I8" s="80" t="n">
        <x:v>105</x:v>
      </x:c>
      <x:c r="J8" s="80" t="n">
        <x:v>105</x:v>
      </x:c>
      <x:c r="K8" s="80" t="n">
        <x:v>32</x:v>
      </x:c>
      <x:c r="L8" s="80" t="n">
        <x:v>45</x:v>
      </x:c>
      <x:c r="M8" s="80" t="n">
        <x:v>75</x:v>
      </x:c>
      <x:c r="N8" s="80" t="n">
        <x:v>38</x:v>
      </x:c>
      <x:c r="O8" s="80" t="n">
        <x:v>18</x:v>
      </x:c>
      <x:c r="P8" s="80" t="n">
        <x:v>350</x:v>
      </x:c>
      <x:c r="Q8" s="80" t="n">
        <x:v>60</x:v>
      </x:c>
      <x:c r="R8" s="80" t="n">
        <x:v>0</x:v>
      </x:c>
      <x:c r="S8" s="80" t="n">
        <x:v>0</x:v>
      </x:c>
      <x:c r="T8" s="80" t="n">
        <x:v>240</x:v>
      </x:c>
      <x:c r="U8" s="80" t="n">
        <x:v>1.25</x:v>
      </x:c>
      <x:c r="V8" s="80" t="n">
        <x:v>144</x:v>
      </x:c>
      <x:c r="W8" s="80" t="n">
        <x:v>1575</x:v>
      </x:c>
      <x:c r="X8" s="80" t="n">
        <x:v>0.05</x:v>
      </x:c>
      <x:c r="Y8" s="80" t="n">
        <x:v>12</x:v>
      </x:c>
      <x:c r="Z8" s="80" t="n">
        <x:v>32</x:v>
      </x:c>
      <x:c r="AA8" s="80" t="n">
        <x:v>40</x:v>
      </x:c>
      <x:c r="AB8" s="80" t="n">
        <x:v>120</x:v>
      </x:c>
      <x:c r="AC8" s="80" t="n">
        <x:v>60</x:v>
      </x:c>
      <x:c r="AD8" s="80" t="n">
        <x:v>2.8</x:v>
      </x:c>
      <x:c r="AE8" s="82" t="n">
        <x:v>2.9</x:v>
      </x:c>
      <x:c r="AF8" s="82" t="n">
        <x:v>12.2</x:v>
      </x:c>
      <x:c r="AG8" s="82" t="n">
        <x:v>120</x:v>
      </x:c>
      <x:c r="AH8" s="82" t="n">
        <x:v>85</x:v>
      </x:c>
      <x:c r="AI8" s="67" t="n">
        <x:v>0.42</x:v>
      </x:c>
    </x:row>
    <x:row r="9">
      <x:c r="B9" s="33" t="str">
        <x:v>H3</x:v>
      </x:c>
      <x:c r="C9" s="33" t="str">
        <x:v>TGC-340 twin-hull buoyant gantry</x:v>
      </x:c>
      <x:c r="D9" s="33" t="str">
        <x:v>full static lift across two hulls</x:v>
      </x:c>
      <x:c r="E9" s="33" t="str">
        <x:v>suspended gantry transfer to anchors</x:v>
      </x:c>
      <x:c r="F9" s="80" t="n">
        <x:v>1650000</x:v>
      </x:c>
      <x:c r="G9" s="80" t="n">
        <x:v>5</x:v>
      </x:c>
      <x:c r="H9" s="80" t="n">
        <x:v>420</x:v>
      </x:c>
      <x:c r="I9" s="80" t="n">
        <x:v>100</x:v>
      </x:c>
      <x:c r="J9" s="80" t="n">
        <x:v>110</x:v>
      </x:c>
      <x:c r="K9" s="80" t="n">
        <x:v>36</x:v>
      </x:c>
      <x:c r="L9" s="80" t="n">
        <x:v>120</x:v>
      </x:c>
      <x:c r="M9" s="80" t="n">
        <x:v>70</x:v>
      </x:c>
      <x:c r="N9" s="80" t="n">
        <x:v>60</x:v>
      </x:c>
      <x:c r="O9" s="80" t="n">
        <x:v>20</x:v>
      </x:c>
      <x:c r="P9" s="80" t="n">
        <x:v>0</x:v>
      </x:c>
      <x:c r="Q9" s="80" t="n">
        <x:v>120</x:v>
      </x:c>
      <x:c r="R9" s="80" t="n">
        <x:v>0</x:v>
      </x:c>
      <x:c r="S9" s="80" t="n">
        <x:v>150</x:v>
      </x:c>
      <x:c r="T9" s="80" t="n">
        <x:v>210</x:v>
      </x:c>
      <x:c r="U9" s="80" t="n">
        <x:v>1</x:v>
      </x:c>
      <x:c r="V9" s="80" t="n">
        <x:v>110</x:v>
      </x:c>
      <x:c r="W9" s="80" t="n">
        <x:v>1650</x:v>
      </x:c>
      <x:c r="X9" s="80" t="n">
        <x:v>0.055</x:v>
      </x:c>
      <x:c r="Y9" s="80" t="n">
        <x:v>0</x:v>
      </x:c>
      <x:c r="Z9" s="80" t="n">
        <x:v>24</x:v>
      </x:c>
      <x:c r="AA9" s="80" t="n">
        <x:v>31</x:v>
      </x:c>
      <x:c r="AB9" s="80" t="n">
        <x:v>90</x:v>
      </x:c>
      <x:c r="AC9" s="80" t="n">
        <x:v>0</x:v>
      </x:c>
      <x:c r="AD9" s="80" t="n">
        <x:v>4.6</x:v>
      </x:c>
      <x:c r="AE9" s="82" t="n">
        <x:v>3.8</x:v>
      </x:c>
      <x:c r="AF9" s="82" t="n">
        <x:v>15.6</x:v>
      </x:c>
      <x:c r="AG9" s="82" t="n">
        <x:v>130</x:v>
      </x:c>
      <x:c r="AH9" s="82" t="n">
        <x:v>110</x:v>
      </x:c>
      <x:c r="AI9" s="67" t="n">
        <x:v>0.75</x:v>
      </x:c>
    </x:row>
    <x:row r="10">
      <x:c r="B10" s="42" t="str">
        <x:v>H4</x:v>
      </x:c>
      <x:c r="C10" s="42" t="str">
        <x:v>DBX-340 detachable ballast-exchange carrier</x:v>
      </x:c>
      <x:c r="D10" s="42" t="str">
        <x:v>full static lift with separable cargo pod</x:v>
      </x:c>
      <x:c r="E10" s="42" t="str">
        <x:v>detach only after external ballast capture</x:v>
      </x:c>
      <x:c r="F10" s="81" t="n">
        <x:v>1420000</x:v>
      </x:c>
      <x:c r="G10" s="81" t="n">
        <x:v>5.2</x:v>
      </x:c>
      <x:c r="H10" s="81" t="n">
        <x:v>325</x:v>
      </x:c>
      <x:c r="I10" s="81" t="n">
        <x:v>90</x:v>
      </x:c>
      <x:c r="J10" s="81" t="n">
        <x:v>100</x:v>
      </x:c>
      <x:c r="K10" s="81" t="n">
        <x:v>34</x:v>
      </x:c>
      <x:c r="L10" s="81" t="n">
        <x:v>105</x:v>
      </x:c>
      <x:c r="M10" s="81" t="n">
        <x:v>45</x:v>
      </x:c>
      <x:c r="N10" s="81" t="n">
        <x:v>60</x:v>
      </x:c>
      <x:c r="O10" s="81" t="n">
        <x:v>18</x:v>
      </x:c>
      <x:c r="P10" s="81" t="n">
        <x:v>0</x:v>
      </x:c>
      <x:c r="Q10" s="81" t="n">
        <x:v>80</x:v>
      </x:c>
      <x:c r="R10" s="81" t="n">
        <x:v>0</x:v>
      </x:c>
      <x:c r="S10" s="81" t="n">
        <x:v>340</x:v>
      </x:c>
      <x:c r="T10" s="81" t="n">
        <x:v>240</x:v>
      </x:c>
      <x:c r="U10" s="81" t="n">
        <x:v>1.1</x:v>
      </x:c>
      <x:c r="V10" s="81" t="n">
        <x:v>105</x:v>
      </x:c>
      <x:c r="W10" s="81" t="n">
        <x:v>1500</x:v>
      </x:c>
      <x:c r="X10" s="81" t="n">
        <x:v>0.04</x:v>
      </x:c>
      <x:c r="Y10" s="81" t="n">
        <x:v>0</x:v>
      </x:c>
      <x:c r="Z10" s="81" t="n">
        <x:v>30</x:v>
      </x:c>
      <x:c r="AA10" s="81" t="n">
        <x:v>36</x:v>
      </x:c>
      <x:c r="AB10" s="81" t="n">
        <x:v>100</x:v>
      </x:c>
      <x:c r="AC10" s="81" t="n">
        <x:v>0</x:v>
      </x:c>
      <x:c r="AD10" s="81" t="n">
        <x:v>3.5</x:v>
      </x:c>
      <x:c r="AE10" s="83" t="n">
        <x:v>3.4</x:v>
      </x:c>
      <x:c r="AF10" s="83" t="n">
        <x:v>14</x:v>
      </x:c>
      <x:c r="AG10" s="83" t="n">
        <x:v>105</x:v>
      </x:c>
      <x:c r="AH10" s="83" t="n">
        <x:v>95</x:v>
      </x:c>
      <x:c r="AI10" s="69" t="n">
        <x:v>0.6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3" hidden="0" customWidth="1"/>
    <x:col min="4" max="4" width="16" hidden="0" customWidth="1"/>
    <x:col min="5" max="5" width="22" hidden="0" customWidth="1"/>
    <x:col min="6" max="6" width="13" hidden="0" customWidth="1"/>
    <x:col min="7" max="7" width="20" hidden="0" customWidth="1"/>
    <x:col min="8" max="8" width="23" hidden="0" customWidth="1"/>
    <x:col min="9" max="9" width="22" hidden="0" customWidth="1"/>
    <x:col min="10" max="10" width="14" hidden="0" customWidth="1"/>
    <x:col min="11" max="11" width="23" hidden="0" customWidth="1"/>
    <x:col min="12" max="12" width="17" hidden="0" customWidth="1"/>
    <x:col min="13" max="13" width="21" hidden="0" customWidth="1"/>
    <x:col min="14" max="14" width="27" hidden="0" customWidth="1"/>
    <x:col min="15" max="15" width="25" hidden="0" customWidth="1"/>
    <x:col min="16" max="16" width="23" hidden="0" customWidth="1"/>
    <x:col min="17" max="17" width="24" hidden="0" customWidth="1"/>
    <x:col min="18" max="18" width="20" hidden="0" customWidth="1"/>
    <x:col min="19" max="19" width="15" hidden="0" customWidth="1"/>
    <x:col min="20" max="20" width="20" hidden="0" customWidth="1"/>
    <x:col min="21" max="21" width="13" hidden="0" customWidth="1"/>
  </x:cols>
  <x:sheetData>
    <x:row r="2">
      <x:c r="B2" s="3" t="str">
        <x:v>Mass, static buoyancy and total-lift closure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B3" s="4" t="str">
        <x:v>The governing transition is not cruise lift alone; unloading removes 340 t while buoyancy remains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B6" s="31" t="str">
        <x:v>ID</x:v>
      </x:c>
      <x:c r="C6" s="32" t="str">
        <x:v>Architecture</x:v>
      </x:c>
      <x:c r="D6" s="32" t="str">
        <x:v>Static lift t</x:v>
      </x:c>
      <x:c r="E6" s="32" t="str">
        <x:v>Dry operating mass t</x:v>
      </x:c>
      <x:c r="F6" s="32" t="str">
        <x:v>Payload t</x:v>
      </x:c>
      <x:c r="G6" s="32" t="str">
        <x:v>Gross departure t</x:v>
      </x:c>
      <x:c r="H6" s="32" t="str">
        <x:v>Dynamic lift capacity t</x:v>
      </x:c>
      <x:c r="I6" s="32" t="str">
        <x:v>Total lift capacity t</x:v>
      </x:c>
      <x:c r="J6" s="32" t="str">
        <x:v>Lift reserve</x:v>
      </x:c>
      <x:c r="K6" s="32" t="str">
        <x:v>Loaded ground reaction t</x:v>
      </x:c>
      <x:c r="L6" s="32" t="str">
        <x:v>Unloaded mass t</x:v>
      </x:c>
      <x:c r="M6" s="32" t="str">
        <x:v>Offload excess lift t</x:v>
      </x:c>
      <x:c r="N6" s="32" t="str">
        <x:v>Internal buoyancy authority t</x:v>
      </x:c>
      <x:c r="O6" s="32" t="str">
        <x:v>Universal external credit t</x:v>
      </x:c>
      <x:c r="P6" s="32" t="str">
        <x:v>Universal transition gap t</x:v>
      </x:c>
      <x:c r="Q6" s="32" t="str">
        <x:v>Conditional capacity t</x:v>
      </x:c>
      <x:c r="R6" s="32" t="str">
        <x:v>Conditional gap t</x:v>
      </x:c>
      <x:c r="S6" s="32" t="str">
        <x:v>Cruise lift</x:v>
      </x:c>
      <x:c r="T6" s="32" t="str">
        <x:v>Universal transfer</x:v>
      </x:c>
      <x:c r="U6" s="32" t="str">
        <x:v>Evidence</x:v>
      </x:c>
    </x:row>
    <x:row r="7">
      <x:c r="B7" s="33" t="str">
        <x:f>Architectures!B7</x:f>
        <x:v>H1</x:v>
      </x:c>
      <x:c r="C7" s="33" t="str">
        <x:f>Architectures!C7</x:f>
        <x:v>VBC-340 rigid variable-buoyancy monohull</x:v>
      </x:c>
      <x:c r="D7" s="48" t="n">
        <x:f>Architectures!F7*Assumptions!C20</x:f>
        <x:v>1213.3600000000001</x:v>
      </x:c>
      <x:c r="E7" s="48" t="n">
        <x:f>SUM(Architectures!H7:O7)</x:f>
        <x:v>810</x:v>
      </x:c>
      <x:c r="F7" s="48" t="n">
        <x:f>Assumptions!C8</x:f>
        <x:v>340</x:v>
      </x:c>
      <x:c r="G7" s="48" t="n">
        <x:f>E7+F7</x:f>
        <x:v>1150</x:v>
      </x:c>
      <x:c r="H7" s="48" t="n">
        <x:f>Architectures!P7</x:f>
        <x:v>0</x:v>
      </x:c>
      <x:c r="I7" s="48" t="n">
        <x:f>D7+H7</x:f>
        <x:v>1213.3600000000001</x:v>
      </x:c>
      <x:c r="J7" s="75" t="n">
        <x:f>I7/G7-1</x:f>
        <x:v>0.05509565217391321</x:v>
      </x:c>
      <x:c r="K7" s="48" t="n">
        <x:f>MAX(0,G7-D7)</x:f>
        <x:v>0</x:v>
      </x:c>
      <x:c r="L7" s="48" t="n">
        <x:f>E7</x:f>
        <x:v>810</x:v>
      </x:c>
      <x:c r="M7" s="48" t="n">
        <x:f>MAX(0,D7-L7)</x:f>
        <x:v>403.3600000000001</x:v>
      </x:c>
      <x:c r="N7" s="48" t="n">
        <x:f>Architectures!Q7</x:f>
        <x:v>280</x:v>
      </x:c>
      <x:c r="O7" s="48" t="n">
        <x:f>Architectures!R7</x:f>
        <x:v>0</x:v>
      </x:c>
      <x:c r="P7" s="48" t="n">
        <x:f>MAX(0,M7-N7-O7)</x:f>
        <x:v>123.36000000000013</x:v>
      </x:c>
      <x:c r="Q7" s="48" t="n">
        <x:f>Architectures!S7</x:f>
        <x:v>0</x:v>
      </x:c>
      <x:c r="R7" s="48" t="n">
        <x:f>MAX(0,M7-N7-Q7)</x:f>
        <x:v>123.36000000000013</x:v>
      </x:c>
      <x:c r="S7" s="76" t="str">
        <x:f>IF(J7&gt;=Assumptions!C23,"PASS","FAIL")</x:f>
        <x:v>PASS</x:v>
      </x:c>
      <x:c r="T7" s="76" t="str">
        <x:f>IF(P7&lt;=0,"PASS","FAIL")</x:f>
        <x:v>FAIL</x:v>
      </x:c>
      <x:c r="U7" s="35" t="str">
        <x:v>OPEN</x:v>
      </x:c>
    </x:row>
    <x:row r="8">
      <x:c r="B8" s="33" t="str">
        <x:f>Architectures!B8</x:f>
        <x:v>H2</x:v>
      </x:c>
      <x:c r="C8" s="33" t="str">
        <x:f>Architectures!C8</x:f>
        <x:v>GCH-340 ground-coupled hybrid lifting body</x:v>
      </x:c>
      <x:c r="D8" s="48" t="n">
        <x:f>Architectures!F8*Assumptions!C20</x:f>
        <x:v>711.2800000000001</x:v>
      </x:c>
      <x:c r="E8" s="48" t="n">
        <x:f>SUM(Architectures!H8:O8)</x:f>
        <x:v>663</x:v>
      </x:c>
      <x:c r="F8" s="48" t="n">
        <x:f>Assumptions!C8</x:f>
        <x:v>340</x:v>
      </x:c>
      <x:c r="G8" s="48" t="n">
        <x:f>E8+F8</x:f>
        <x:v>1003</x:v>
      </x:c>
      <x:c r="H8" s="48" t="n">
        <x:f>Architectures!P8</x:f>
        <x:v>350</x:v>
      </x:c>
      <x:c r="I8" s="48" t="n">
        <x:f>D8+H8</x:f>
        <x:v>1061.2800000000002</x:v>
      </x:c>
      <x:c r="J8" s="75" t="n">
        <x:f>I8/G8-1</x:f>
        <x:v>0.05810568295114682</x:v>
      </x:c>
      <x:c r="K8" s="48" t="n">
        <x:f>MAX(0,G8-D8)</x:f>
        <x:v>291.7199999999999</x:v>
      </x:c>
      <x:c r="L8" s="48" t="n">
        <x:f>E8</x:f>
        <x:v>663</x:v>
      </x:c>
      <x:c r="M8" s="48" t="n">
        <x:f>MAX(0,D8-L8)</x:f>
        <x:v>48.280000000000086</x:v>
      </x:c>
      <x:c r="N8" s="48" t="n">
        <x:f>Architectures!Q8</x:f>
        <x:v>60</x:v>
      </x:c>
      <x:c r="O8" s="48" t="n">
        <x:f>Architectures!R8</x:f>
        <x:v>0</x:v>
      </x:c>
      <x:c r="P8" s="48" t="n">
        <x:f>MAX(0,M8-N8-O8)</x:f>
        <x:v>0</x:v>
      </x:c>
      <x:c r="Q8" s="48" t="n">
        <x:f>Architectures!S8</x:f>
        <x:v>0</x:v>
      </x:c>
      <x:c r="R8" s="48" t="n">
        <x:f>MAX(0,M8-N8-Q8)</x:f>
        <x:v>0</x:v>
      </x:c>
      <x:c r="S8" s="76" t="str">
        <x:f>IF(J8&gt;=Assumptions!C23,"PASS","FAIL")</x:f>
        <x:v>PASS</x:v>
      </x:c>
      <x:c r="T8" s="76" t="str">
        <x:f>IF(P8&lt;=0,"PASS","FAIL")</x:f>
        <x:v>PASS</x:v>
      </x:c>
      <x:c r="U8" s="35" t="str">
        <x:v>OPEN</x:v>
      </x:c>
    </x:row>
    <x:row r="9">
      <x:c r="B9" s="33" t="str">
        <x:f>Architectures!B9</x:f>
        <x:v>H3</x:v>
      </x:c>
      <x:c r="C9" s="33" t="str">
        <x:f>Architectures!C9</x:f>
        <x:v>TGC-340 twin-hull buoyant gantry</x:v>
      </x:c>
      <x:c r="D9" s="48" t="n">
        <x:f>Architectures!F9*Assumptions!C20</x:f>
        <x:v>1380.72</x:v>
      </x:c>
      <x:c r="E9" s="48" t="n">
        <x:f>SUM(Architectures!H9:O9)</x:f>
        <x:v>936</x:v>
      </x:c>
      <x:c r="F9" s="48" t="n">
        <x:f>Assumptions!C8</x:f>
        <x:v>340</x:v>
      </x:c>
      <x:c r="G9" s="48" t="n">
        <x:f>E9+F9</x:f>
        <x:v>1276</x:v>
      </x:c>
      <x:c r="H9" s="48" t="n">
        <x:f>Architectures!P9</x:f>
        <x:v>0</x:v>
      </x:c>
      <x:c r="I9" s="48" t="n">
        <x:f>D9+H9</x:f>
        <x:v>1380.72</x:v>
      </x:c>
      <x:c r="J9" s="75" t="n">
        <x:f>I9/G9-1</x:f>
        <x:v>0.0820689655172413</x:v>
      </x:c>
      <x:c r="K9" s="48" t="n">
        <x:f>MAX(0,G9-D9)</x:f>
        <x:v>0</x:v>
      </x:c>
      <x:c r="L9" s="48" t="n">
        <x:f>E9</x:f>
        <x:v>936</x:v>
      </x:c>
      <x:c r="M9" s="48" t="n">
        <x:f>MAX(0,D9-L9)</x:f>
        <x:v>444.72</x:v>
      </x:c>
      <x:c r="N9" s="48" t="n">
        <x:f>Architectures!Q9</x:f>
        <x:v>120</x:v>
      </x:c>
      <x:c r="O9" s="48" t="n">
        <x:f>Architectures!R9</x:f>
        <x:v>0</x:v>
      </x:c>
      <x:c r="P9" s="48" t="n">
        <x:f>MAX(0,M9-N9-O9)</x:f>
        <x:v>324.72</x:v>
      </x:c>
      <x:c r="Q9" s="48" t="n">
        <x:f>Architectures!S9</x:f>
        <x:v>150</x:v>
      </x:c>
      <x:c r="R9" s="48" t="n">
        <x:f>MAX(0,M9-N9-Q9)</x:f>
        <x:v>174.72000000000003</x:v>
      </x:c>
      <x:c r="S9" s="76" t="str">
        <x:f>IF(J9&gt;=Assumptions!C23,"PASS","FAIL")</x:f>
        <x:v>PASS</x:v>
      </x:c>
      <x:c r="T9" s="76" t="str">
        <x:f>IF(P9&lt;=0,"PASS","FAIL")</x:f>
        <x:v>FAIL</x:v>
      </x:c>
      <x:c r="U9" s="35" t="str">
        <x:v>OPEN</x:v>
      </x:c>
    </x:row>
    <x:row r="10">
      <x:c r="B10" s="42" t="str">
        <x:f>Architectures!B10</x:f>
        <x:v>H4</x:v>
      </x:c>
      <x:c r="C10" s="42" t="str">
        <x:f>Architectures!C10</x:f>
        <x:v>DBX-340 detachable ballast-exchange carrier</x:v>
      </x:c>
      <x:c r="D10" s="68" t="n">
        <x:f>Architectures!F10*Assumptions!C20</x:f>
        <x:v>1188.256</x:v>
      </x:c>
      <x:c r="E10" s="68" t="n">
        <x:f>SUM(Architectures!H10:O10)</x:f>
        <x:v>777</x:v>
      </x:c>
      <x:c r="F10" s="68" t="n">
        <x:f>Assumptions!C8</x:f>
        <x:v>340</x:v>
      </x:c>
      <x:c r="G10" s="68" t="n">
        <x:f>E10+F10</x:f>
        <x:v>1117</x:v>
      </x:c>
      <x:c r="H10" s="68" t="n">
        <x:f>Architectures!P10</x:f>
        <x:v>0</x:v>
      </x:c>
      <x:c r="I10" s="68" t="n">
        <x:f>D10+H10</x:f>
        <x:v>1188.256</x:v>
      </x:c>
      <x:c r="J10" s="77" t="n">
        <x:f>I10/G10-1</x:f>
        <x:v>0.06379230080572973</x:v>
      </x:c>
      <x:c r="K10" s="68" t="n">
        <x:f>MAX(0,G10-D10)</x:f>
        <x:v>0</x:v>
      </x:c>
      <x:c r="L10" s="68" t="n">
        <x:f>E10</x:f>
        <x:v>777</x:v>
      </x:c>
      <x:c r="M10" s="68" t="n">
        <x:f>MAX(0,D10-L10)</x:f>
        <x:v>411.2560000000001</x:v>
      </x:c>
      <x:c r="N10" s="68" t="n">
        <x:f>Architectures!Q10</x:f>
        <x:v>80</x:v>
      </x:c>
      <x:c r="O10" s="68" t="n">
        <x:f>Architectures!R10</x:f>
        <x:v>0</x:v>
      </x:c>
      <x:c r="P10" s="68" t="n">
        <x:f>MAX(0,M10-N10-O10)</x:f>
        <x:v>331.2560000000001</x:v>
      </x:c>
      <x:c r="Q10" s="68" t="n">
        <x:f>Architectures!S10</x:f>
        <x:v>340</x:v>
      </x:c>
      <x:c r="R10" s="68" t="n">
        <x:f>MAX(0,M10-N10-Q10)</x:f>
        <x:v>0</x:v>
      </x:c>
      <x:c r="S10" s="78" t="str">
        <x:f>IF(J10&gt;=Assumptions!C23,"PASS","FAIL")</x:f>
        <x:v>PASS</x:v>
      </x:c>
      <x:c r="T10" s="78" t="str">
        <x:f>IF(P10&lt;=0,"PASS","FAIL")</x:f>
        <x:v>FAIL</x:v>
      </x:c>
      <x:c r="U10" s="44" t="str">
        <x:v>OPEN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</x:sheetData>
  <x:conditionalFormatting sqref="S7:T10">
    <x:cfRule type="containsText" dxfId="13" priority="1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3" hidden="0" customWidth="1"/>
    <x:col min="4" max="4" width="16" hidden="0" customWidth="1"/>
    <x:col min="5" max="5" width="14" hidden="0" customWidth="1"/>
    <x:col min="6" max="6" width="22" hidden="0" customWidth="1"/>
    <x:col min="7" max="7" width="21" hidden="0" customWidth="1"/>
    <x:col min="8" max="8" width="20" hidden="0" customWidth="1"/>
    <x:col min="9" max="9" width="18" hidden="0" customWidth="1"/>
    <x:col min="10" max="10" width="20" hidden="0" customWidth="1"/>
    <x:col min="11" max="11" width="19" hidden="0" customWidth="1"/>
    <x:col min="12" max="12" width="18" hidden="0" customWidth="1"/>
    <x:col min="13" max="13" width="17" hidden="0" customWidth="1"/>
    <x:col min="14" max="14" width="17" hidden="0" customWidth="1"/>
    <x:col min="15" max="15" width="17" hidden="0" customWidth="1"/>
    <x:col min="16" max="16" width="20" hidden="0" customWidth="1"/>
    <x:col min="17" max="17" width="13" hidden="0" customWidth="1"/>
  </x:cols>
  <x:sheetData>
    <x:row r="2">
      <x:c r="B2" s="3" t="str">
        <x:v>Envelope geometry and receiver compatibility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B3" s="4" t="str">
        <x:v>Volume becomes a vehicle dimension through a prolate-envelope approximation; dimensions remain hypotheses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B6" s="31" t="str">
        <x:v>ID</x:v>
      </x:c>
      <x:c r="C6" s="32" t="str">
        <x:v>Architecture</x:v>
      </x:c>
      <x:c r="D6" s="32" t="str">
        <x:v>Volume m3</x:v>
      </x:c>
      <x:c r="E6" s="32" t="str">
        <x:v>Aspect ratio</x:v>
      </x:c>
      <x:c r="F6" s="32" t="str">
        <x:v>Equivalent diameter m</x:v>
      </x:c>
      <x:c r="G6" s="32" t="str">
        <x:v>Equivalent length m</x:v>
      </x:c>
      <x:c r="H6" s="32" t="str">
        <x:v>Overall width factor</x:v>
      </x:c>
      <x:c r="I6" s="32" t="str">
        <x:v>Overall width m</x:v>
      </x:c>
      <x:c r="J6" s="32" t="str">
        <x:v>Receiver length m</x:v>
      </x:c>
      <x:c r="K6" s="32" t="str">
        <x:v>Receiver width m</x:v>
      </x:c>
      <x:c r="L6" s="32" t="str">
        <x:v>Length margin m</x:v>
      </x:c>
      <x:c r="M6" s="32" t="str">
        <x:v>Width margin m</x:v>
      </x:c>
      <x:c r="N6" s="32" t="str">
        <x:v>Cargo cube m3</x:v>
      </x:c>
      <x:c r="O6" s="32" t="str">
        <x:v>Cargo deck m2</x:v>
      </x:c>
      <x:c r="P6" s="32" t="str">
        <x:v>Receiver geometry</x:v>
      </x:c>
      <x:c r="Q6" s="32" t="str">
        <x:v>Evidence</x:v>
      </x:c>
    </x:row>
    <x:row r="7">
      <x:c r="B7" s="33" t="str">
        <x:f>Architectures!B7</x:f>
        <x:v>H1</x:v>
      </x:c>
      <x:c r="C7" s="48" t="str">
        <x:f>Architectures!C7</x:f>
        <x:v>VBC-340 rigid variable-buoyancy monohull</x:v>
      </x:c>
      <x:c r="D7" s="48" t="n">
        <x:f>Architectures!F7</x:f>
        <x:v>1450000</x:v>
      </x:c>
      <x:c r="E7" s="48" t="n">
        <x:f>Architectures!G7</x:f>
        <x:v>5.5</x:v>
      </x:c>
      <x:c r="F7" s="48" t="n">
        <x:f>(6*D7/(PI()*E7))^(1/3)</x:f>
        <x:v>79.55525952096615</x:v>
      </x:c>
      <x:c r="G7" s="48" t="n">
        <x:f>E7*F7</x:f>
        <x:v>437.5539273653138</x:v>
      </x:c>
      <x:c r="H7" s="48" t="n">
        <x:v>1</x:v>
      </x:c>
      <x:c r="I7" s="48" t="n">
        <x:f>F7*H7</x:f>
        <x:v>79.55525952096615</x:v>
      </x:c>
      <x:c r="J7" s="48" t="n">
        <x:f>G7</x:f>
        <x:v>437.5539273653138</x:v>
      </x:c>
      <x:c r="K7" s="48" t="n">
        <x:f>I7</x:f>
        <x:v>79.55525952096615</x:v>
      </x:c>
      <x:c r="L7" s="48" t="n">
        <x:f>Assumptions!C24-J7</x:f>
        <x:v>-17.553927365313825</x:v>
      </x:c>
      <x:c r="M7" s="48" t="n">
        <x:f>Assumptions!C25-K7</x:f>
        <x:v>340.44474047903384</x:v>
      </x:c>
      <x:c r="N7" s="48" t="n">
        <x:f>Assumptions!C10</x:f>
        <x:v>1400</x:v>
      </x:c>
      <x:c r="O7" s="48" t="n">
        <x:f>Assumptions!C11</x:f>
        <x:v>352</x:v>
      </x:c>
      <x:c r="P7" s="33" t="str">
        <x:f>IF(AND(L7&gt;=0,M7&gt;=0),"PASS","FAIL")</x:f>
        <x:v>FAIL</x:v>
      </x:c>
      <x:c r="Q7" s="35" t="str">
        <x:v>OPEN</x:v>
      </x:c>
    </x:row>
    <x:row r="8">
      <x:c r="B8" s="33" t="str">
        <x:f>Architectures!B8</x:f>
        <x:v>H2</x:v>
      </x:c>
      <x:c r="C8" s="48" t="str">
        <x:f>Architectures!C8</x:f>
        <x:v>GCH-340 ground-coupled hybrid lifting body</x:v>
      </x:c>
      <x:c r="D8" s="48" t="n">
        <x:f>Architectures!F8</x:f>
        <x:v>850000</x:v>
      </x:c>
      <x:c r="E8" s="48" t="n">
        <x:f>Architectures!G8</x:f>
        <x:v>4.2</x:v>
      </x:c>
      <x:c r="F8" s="48" t="n">
        <x:f>(6*D8/(PI()*E8))^(1/3)</x:f>
        <x:v>72.84342166598037</x:v>
      </x:c>
      <x:c r="G8" s="48" t="n">
        <x:f>E8*F8</x:f>
        <x:v>305.94237099711756</x:v>
      </x:c>
      <x:c r="H8" s="48" t="n">
        <x:v>1</x:v>
      </x:c>
      <x:c r="I8" s="48" t="n">
        <x:f>F8*H8</x:f>
        <x:v>72.84342166598037</x:v>
      </x:c>
      <x:c r="J8" s="48" t="n">
        <x:f>G8</x:f>
        <x:v>305.94237099711756</x:v>
      </x:c>
      <x:c r="K8" s="48" t="n">
        <x:f>I8</x:f>
        <x:v>72.84342166598037</x:v>
      </x:c>
      <x:c r="L8" s="48" t="n">
        <x:f>Assumptions!C24-J8</x:f>
        <x:v>114.05762900288244</x:v>
      </x:c>
      <x:c r="M8" s="48" t="n">
        <x:f>Assumptions!C25-K8</x:f>
        <x:v>347.1565783340196</x:v>
      </x:c>
      <x:c r="N8" s="48" t="n">
        <x:f>Assumptions!C10</x:f>
        <x:v>1400</x:v>
      </x:c>
      <x:c r="O8" s="48" t="n">
        <x:f>Assumptions!C11</x:f>
        <x:v>352</x:v>
      </x:c>
      <x:c r="P8" s="33" t="str">
        <x:f>IF(AND(L8&gt;=0,M8&gt;=0),"PASS","FAIL")</x:f>
        <x:v>PASS</x:v>
      </x:c>
      <x:c r="Q8" s="35" t="str">
        <x:v>OPEN</x:v>
      </x:c>
    </x:row>
    <x:row r="9">
      <x:c r="B9" s="33" t="str">
        <x:f>Architectures!B9</x:f>
        <x:v>H3</x:v>
      </x:c>
      <x:c r="C9" s="48" t="str">
        <x:f>Architectures!C9</x:f>
        <x:v>TGC-340 twin-hull buoyant gantry</x:v>
      </x:c>
      <x:c r="D9" s="48" t="n">
        <x:f>Architectures!F9</x:f>
        <x:v>1650000</x:v>
      </x:c>
      <x:c r="E9" s="48" t="n">
        <x:f>Architectures!G9</x:f>
        <x:v>5</x:v>
      </x:c>
      <x:c r="F9" s="48" t="n">
        <x:f>(6*D9/(PI()*E9))^(1/3)</x:f>
        <x:v>85.7376888612011</x:v>
      </x:c>
      <x:c r="G9" s="48" t="n">
        <x:f>E9*F9</x:f>
        <x:v>428.68844430600547</x:v>
      </x:c>
      <x:c r="H9" s="48" t="n">
        <x:v>1.8</x:v>
      </x:c>
      <x:c r="I9" s="48" t="n">
        <x:f>F9*H9</x:f>
        <x:v>154.32783995016197</x:v>
      </x:c>
      <x:c r="J9" s="48" t="n">
        <x:f>G9</x:f>
        <x:v>428.68844430600547</x:v>
      </x:c>
      <x:c r="K9" s="48" t="n">
        <x:f>I9</x:f>
        <x:v>154.32783995016197</x:v>
      </x:c>
      <x:c r="L9" s="48" t="n">
        <x:f>Assumptions!C24-J9</x:f>
        <x:v>-8.688444306005465</x:v>
      </x:c>
      <x:c r="M9" s="48" t="n">
        <x:f>Assumptions!C25-K9</x:f>
        <x:v>265.672160049838</x:v>
      </x:c>
      <x:c r="N9" s="48" t="n">
        <x:f>Assumptions!C10</x:f>
        <x:v>1400</x:v>
      </x:c>
      <x:c r="O9" s="48" t="n">
        <x:f>Assumptions!C11</x:f>
        <x:v>352</x:v>
      </x:c>
      <x:c r="P9" s="33" t="str">
        <x:f>IF(AND(L9&gt;=0,M9&gt;=0),"PASS","FAIL")</x:f>
        <x:v>FAIL</x:v>
      </x:c>
      <x:c r="Q9" s="35" t="str">
        <x:v>OPEN</x:v>
      </x:c>
    </x:row>
    <x:row r="10">
      <x:c r="B10" s="42" t="str">
        <x:f>Architectures!B10</x:f>
        <x:v>H4</x:v>
      </x:c>
      <x:c r="C10" s="68" t="str">
        <x:f>Architectures!C10</x:f>
        <x:v>DBX-340 detachable ballast-exchange carrier</x:v>
      </x:c>
      <x:c r="D10" s="68" t="n">
        <x:f>Architectures!F10</x:f>
        <x:v>1420000</x:v>
      </x:c>
      <x:c r="E10" s="68" t="n">
        <x:f>Architectures!G10</x:f>
        <x:v>5.2</x:v>
      </x:c>
      <x:c r="F10" s="68" t="n">
        <x:f>(6*D10/(PI()*E10))^(1/3)</x:f>
        <x:v>80.49374362468559</x:v>
      </x:c>
      <x:c r="G10" s="68" t="n">
        <x:f>E10*F10</x:f>
        <x:v>418.5674668483651</x:v>
      </x:c>
      <x:c r="H10" s="68" t="n">
        <x:v>1</x:v>
      </x:c>
      <x:c r="I10" s="68" t="n">
        <x:f>F10*H10</x:f>
        <x:v>80.49374362468559</x:v>
      </x:c>
      <x:c r="J10" s="68" t="n">
        <x:f>G10</x:f>
        <x:v>418.5674668483651</x:v>
      </x:c>
      <x:c r="K10" s="68" t="n">
        <x:f>I10</x:f>
        <x:v>80.49374362468559</x:v>
      </x:c>
      <x:c r="L10" s="68" t="n">
        <x:f>Assumptions!C24-J10</x:f>
        <x:v>1.4325331516349138</x:v>
      </x:c>
      <x:c r="M10" s="68" t="n">
        <x:f>Assumptions!C25-K10</x:f>
        <x:v>339.5062563753144</x:v>
      </x:c>
      <x:c r="N10" s="68" t="n">
        <x:f>Assumptions!C10</x:f>
        <x:v>1400</x:v>
      </x:c>
      <x:c r="O10" s="68" t="n">
        <x:f>Assumptions!C11</x:f>
        <x:v>352</x:v>
      </x:c>
      <x:c r="P10" s="42" t="str">
        <x:f>IF(AND(L10&gt;=0,M10&gt;=0),"PASS","FAIL")</x:f>
        <x:v>PASS</x:v>
      </x:c>
      <x:c r="Q10" s="44" t="str">
        <x:v>OPEN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</x:sheetData>
  <x:conditionalFormatting sqref="P7:P10">
    <x:cfRule type="containsText" dxfId="14" priority="1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3" hidden="0" customWidth="1"/>
    <x:col min="4" max="4" width="14" hidden="0" customWidth="1"/>
    <x:col min="5" max="5" width="19" hidden="0" customWidth="1"/>
    <x:col min="6" max="6" width="23" hidden="0" customWidth="1"/>
    <x:col min="7" max="7" width="18" hidden="0" customWidth="1"/>
    <x:col min="8" max="8" width="25" hidden="0" customWidth="1"/>
    <x:col min="9" max="9" width="17" hidden="0" customWidth="1"/>
    <x:col min="10" max="10" width="12" hidden="0" customWidth="1"/>
    <x:col min="11" max="11" width="18" hidden="0" customWidth="1"/>
    <x:col min="12" max="12" width="19" hidden="0" customWidth="1"/>
    <x:col min="13" max="13" width="13" hidden="0" customWidth="1"/>
    <x:col min="14" max="14" width="21" hidden="0" customWidth="1"/>
    <x:col min="15" max="15" width="17" hidden="0" customWidth="1"/>
    <x:col min="16" max="16" width="15" hidden="0" customWidth="1"/>
    <x:col min="17" max="17" width="15" hidden="0" customWidth="1"/>
    <x:col min="18" max="18" width="15" hidden="0" customWidth="1"/>
    <x:col min="19" max="19" width="14" hidden="0" customWidth="1"/>
    <x:col min="20" max="20" width="17" hidden="0" customWidth="1"/>
    <x:col min="21" max="21" width="20" hidden="0" customWidth="1"/>
    <x:col min="22" max="22" width="16" hidden="0" customWidth="1"/>
  </x:cols>
  <x:sheetData>
    <x:row r="2">
      <x:c r="B2" s="3" t="str">
        <x:v>Cruise, placement, energy and one-pod-out closure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B3" s="4" t="str">
        <x:v>The 4,000 km in 18 h requirement forces a high-power atmospheric transport system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>
      <x:c r="B6" s="31" t="str">
        <x:v>ID</x:v>
      </x:c>
      <x:c r="C6" s="32" t="str">
        <x:v>Architecture</x:v>
      </x:c>
      <x:c r="D6" s="32" t="str">
        <x:v>Cruise m/s</x:v>
      </x:c>
      <x:c r="E6" s="32" t="str">
        <x:v>Frontal area m2</x:v>
      </x:c>
      <x:c r="F6" s="32" t="str">
        <x:v>Design air density kg/m3</x:v>
      </x:c>
      <x:c r="G6" s="32" t="str">
        <x:v>Hull parasite MW</x:v>
      </x:c>
      <x:c r="H6" s="32" t="str">
        <x:v>Aerodynamic lift required t</x:v>
      </x:c>
      <x:c r="I6" s="32" t="str">
        <x:v>Lift power MW</x:v>
      </x:c>
      <x:c r="J6" s="32" t="str">
        <x:v>Hotel MW</x:v>
      </x:c>
      <x:c r="K6" s="32" t="str">
        <x:v>Cruise power MW</x:v>
      </x:c>
      <x:c r="L6" s="32" t="str">
        <x:v>Placement power MW</x:v>
      </x:c>
      <x:c r="M6" s="32" t="str">
        <x:v>Cruise h</x:v>
      </x:c>
      <x:c r="N6" s="32" t="str">
        <x:v>Mission energy MWh</x:v>
      </x:c>
      <x:c r="O6" s="32" t="str">
        <x:v>Onboard MWh</x:v>
      </x:c>
      <x:c r="P6" s="32" t="str">
        <x:v>Energy reserve</x:v>
      </x:c>
      <x:c r="Q6" s="32" t="str">
        <x:v>Installed MW</x:v>
      </x:c>
      <x:c r="R6" s="32" t="str">
        <x:v>Propulsor pods</x:v>
      </x:c>
      <x:c r="S6" s="32" t="str">
        <x:v>One pod MW</x:v>
      </x:c>
      <x:c r="T6" s="32" t="str">
        <x:v>N-1 power MW</x:v>
      </x:c>
      <x:c r="U6" s="32" t="str">
        <x:v>Maximum demand MW</x:v>
      </x:c>
      <x:c r="V6" s="32" t="str">
        <x:v>Power result</x:v>
      </x:c>
    </x:row>
    <x:row r="7">
      <x:c r="B7" s="33" t="str">
        <x:f>Architectures!B7</x:f>
        <x:v>H1</x:v>
      </x:c>
      <x:c r="C7" s="33" t="str">
        <x:f>Architectures!C7</x:f>
        <x:v>VBC-340 rigid variable-buoyancy monohull</x:v>
      </x:c>
      <x:c r="D7" s="48" t="n">
        <x:f>Architectures!T7/3.6</x:f>
        <x:v>63.888888888888886</x:v>
      </x:c>
      <x:c r="E7" s="48" t="n">
        <x:f>PI()*(Geometry!F7/2)^2</x:f>
        <x:v>4970.815855994114</x:v>
      </x:c>
      <x:c r="F7" s="80" t="n">
        <x:f>Assumptions!C17*Assumptions!C19</x:f>
        <x:v>0.9800000000000001</x:v>
      </x:c>
      <x:c r="G7" s="48" t="n">
        <x:f>0.5*F7*D7^3*Architectures!X7*E7/Assumptions!C21/1000000</x:f>
        <x:v>28.501859994261007</x:v>
      </x:c>
      <x:c r="H7" s="48" t="n">
        <x:f>MAX(0,'Mass and Lift'!G7-'Mass and Lift'!D7)</x:f>
        <x:v>0</x:v>
      </x:c>
      <x:c r="I7" s="48" t="n">
        <x:f>IF(Architectures!Y7&gt;0,H7*9.81*D7/Architectures!Y7/Assumptions!C21/1000,0)</x:f>
        <x:v>0</x:v>
      </x:c>
      <x:c r="J7" s="48" t="n">
        <x:v>7</x:v>
      </x:c>
      <x:c r="K7" s="48" t="n">
        <x:f>G7+I7+J7</x:f>
        <x:v>35.50185999426101</x:v>
      </x:c>
      <x:c r="L7" s="48" t="n">
        <x:v>20</x:v>
      </x:c>
      <x:c r="M7" s="48" t="n">
        <x:f>Assumptions!C12/Architectures!T7</x:f>
        <x:v>17.391304347826086</x:v>
      </x:c>
      <x:c r="N7" s="48" t="n">
        <x:f>K7*M7+L7*Architectures!U7</x:f>
        <x:v>629.4236520741046</x:v>
      </x:c>
      <x:c r="O7" s="48" t="n">
        <x:f>Architectures!W7</x:f>
        <x:v>1350</x:v>
      </x:c>
      <x:c r="P7" s="75" t="n">
        <x:f>O7/N7-1</x:f>
        <x:v>1.1448193050124833</x:v>
      </x:c>
      <x:c r="Q7" s="48" t="n">
        <x:f>Architectures!V7</x:f>
        <x:v>80</x:v>
      </x:c>
      <x:c r="R7" s="48" t="n">
        <x:v>8</x:v>
      </x:c>
      <x:c r="S7" s="48" t="n">
        <x:f>Q7/R7</x:f>
        <x:v>10</x:v>
      </x:c>
      <x:c r="T7" s="48" t="n">
        <x:f>Q7-S7</x:f>
        <x:v>70</x:v>
      </x:c>
      <x:c r="U7" s="48" t="n">
        <x:f>MAX(K7,L7)</x:f>
        <x:v>35.50185999426101</x:v>
      </x:c>
      <x:c r="V7" s="35" t="str">
        <x:f>IF(T7&gt;=U7,"PASS","FAIL")</x:f>
        <x:v>PASS</x:v>
      </x:c>
    </x:row>
    <x:row r="8">
      <x:c r="B8" s="33" t="str">
        <x:f>Architectures!B8</x:f>
        <x:v>H2</x:v>
      </x:c>
      <x:c r="C8" s="33" t="str">
        <x:f>Architectures!C8</x:f>
        <x:v>GCH-340 ground-coupled hybrid lifting body</x:v>
      </x:c>
      <x:c r="D8" s="48" t="n">
        <x:f>Architectures!T8/3.6</x:f>
        <x:v>66.66666666666667</x:v>
      </x:c>
      <x:c r="E8" s="48" t="n">
        <x:f>PI()*(Geometry!F8/2)^2</x:f>
        <x:v>4167.451523123652</x:v>
      </x:c>
      <x:c r="F8" s="80" t="n">
        <x:f>Assumptions!C17*Assumptions!C19</x:f>
        <x:v>0.9800000000000001</x:v>
      </x:c>
      <x:c r="G8" s="48" t="n">
        <x:f>0.5*F8*D8^3*Architectures!X8*E8/Assumptions!C21/1000000</x:f>
        <x:v>38.78539879070447</x:v>
      </x:c>
      <x:c r="H8" s="48" t="n">
        <x:f>MAX(0,'Mass and Lift'!G8-'Mass and Lift'!D8)</x:f>
        <x:v>291.7199999999999</x:v>
      </x:c>
      <x:c r="I8" s="48" t="n">
        <x:f>IF(Architectures!Y8&gt;0,H8*9.81*D8/Architectures!Y8/Assumptions!C21/1000,0)</x:f>
        <x:v>20.382999999999992</x:v>
      </x:c>
      <x:c r="J8" s="48" t="n">
        <x:v>8</x:v>
      </x:c>
      <x:c r="K8" s="48" t="n">
        <x:f>G8+I8+J8</x:f>
        <x:v>67.16839879070446</x:v>
      </x:c>
      <x:c r="L8" s="48" t="n">
        <x:v>80</x:v>
      </x:c>
      <x:c r="M8" s="48" t="n">
        <x:f>Assumptions!C12/Architectures!T8</x:f>
        <x:v>16.666666666666668</x:v>
      </x:c>
      <x:c r="N8" s="48" t="n">
        <x:f>K8*M8+L8*Architectures!U8</x:f>
        <x:v>1219.4733131784078</x:v>
      </x:c>
      <x:c r="O8" s="48" t="n">
        <x:f>Architectures!W8</x:f>
        <x:v>1575</x:v>
      </x:c>
      <x:c r="P8" s="75" t="n">
        <x:f>O8/N8-1</x:f>
        <x:v>0.29154117845757144</x:v>
      </x:c>
      <x:c r="Q8" s="48" t="n">
        <x:f>Architectures!V8</x:f>
        <x:v>144</x:v>
      </x:c>
      <x:c r="R8" s="48" t="n">
        <x:v>12</x:v>
      </x:c>
      <x:c r="S8" s="48" t="n">
        <x:f>Q8/R8</x:f>
        <x:v>12</x:v>
      </x:c>
      <x:c r="T8" s="48" t="n">
        <x:f>Q8-S8</x:f>
        <x:v>132</x:v>
      </x:c>
      <x:c r="U8" s="48" t="n">
        <x:f>MAX(K8,L8)</x:f>
        <x:v>80</x:v>
      </x:c>
      <x:c r="V8" s="35" t="str">
        <x:f>IF(T8&gt;=U8,"PASS","FAIL")</x:f>
        <x:v>PASS</x:v>
      </x:c>
    </x:row>
    <x:row r="9">
      <x:c r="B9" s="33" t="str">
        <x:f>Architectures!B9</x:f>
        <x:v>H3</x:v>
      </x:c>
      <x:c r="C9" s="33" t="str">
        <x:f>Architectures!C9</x:f>
        <x:v>TGC-340 twin-hull buoyant gantry</x:v>
      </x:c>
      <x:c r="D9" s="48" t="n">
        <x:f>Architectures!T9/3.6</x:f>
        <x:v>58.33333333333333</x:v>
      </x:c>
      <x:c r="E9" s="48" t="n">
        <x:f>PI()*(Geometry!F9/2)^2</x:f>
        <x:v>5773.423643379803</x:v>
      </x:c>
      <x:c r="F9" s="80" t="n">
        <x:f>Assumptions!C17*Assumptions!C19</x:f>
        <x:v>0.9800000000000001</x:v>
      </x:c>
      <x:c r="G9" s="48" t="n">
        <x:f>0.5*F9*D9^3*Architectures!X9*E9/Assumptions!C21/1000000</x:f>
        <x:v>39.59569544297275</x:v>
      </x:c>
      <x:c r="H9" s="48" t="n">
        <x:f>MAX(0,'Mass and Lift'!G9-'Mass and Lift'!D9)</x:f>
        <x:v>0</x:v>
      </x:c>
      <x:c r="I9" s="48" t="n">
        <x:f>IF(Architectures!Y9&gt;0,H9*9.81*D9/Architectures!Y9/Assumptions!C21/1000,0)</x:f>
        <x:v>0</x:v>
      </x:c>
      <x:c r="J9" s="48" t="n">
        <x:v>8</x:v>
      </x:c>
      <x:c r="K9" s="48" t="n">
        <x:f>G9+I9+J9</x:f>
        <x:v>47.59569544297275</x:v>
      </x:c>
      <x:c r="L9" s="48" t="n">
        <x:v>30</x:v>
      </x:c>
      <x:c r="M9" s="48" t="n">
        <x:f>Assumptions!C12/Architectures!T9</x:f>
        <x:v>19.047619047619047</x:v>
      </x:c>
      <x:c r="N9" s="48" t="n">
        <x:f>K9*M9+L9*Architectures!U9</x:f>
        <x:v>936.5846751042428</x:v>
      </x:c>
      <x:c r="O9" s="48" t="n">
        <x:f>Architectures!W9</x:f>
        <x:v>1650</x:v>
      </x:c>
      <x:c r="P9" s="75" t="n">
        <x:f>O9/N9-1</x:f>
        <x:v>0.7617200493018459</x:v>
      </x:c>
      <x:c r="Q9" s="48" t="n">
        <x:f>Architectures!V9</x:f>
        <x:v>110</x:v>
      </x:c>
      <x:c r="R9" s="48" t="n">
        <x:v>12</x:v>
      </x:c>
      <x:c r="S9" s="48" t="n">
        <x:f>Q9/R9</x:f>
        <x:v>9.166666666666666</x:v>
      </x:c>
      <x:c r="T9" s="48" t="n">
        <x:f>Q9-S9</x:f>
        <x:v>100.83333333333333</x:v>
      </x:c>
      <x:c r="U9" s="48" t="n">
        <x:f>MAX(K9,L9)</x:f>
        <x:v>47.59569544297275</x:v>
      </x:c>
      <x:c r="V9" s="35" t="str">
        <x:f>IF(T9&gt;=U9,"PASS","FAIL")</x:f>
        <x:v>PASS</x:v>
      </x:c>
    </x:row>
    <x:row r="10">
      <x:c r="B10" s="42" t="str">
        <x:f>Architectures!B10</x:f>
        <x:v>H4</x:v>
      </x:c>
      <x:c r="C10" s="42" t="str">
        <x:f>Architectures!C10</x:f>
        <x:v>DBX-340 detachable ballast-exchange carrier</x:v>
      </x:c>
      <x:c r="D10" s="68" t="n">
        <x:f>Architectures!T10/3.6</x:f>
        <x:v>66.66666666666667</x:v>
      </x:c>
      <x:c r="E10" s="68" t="n">
        <x:f>PI()*(Geometry!F10/2)^2</x:f>
        <x:v>5088.785366043836</x:v>
      </x:c>
      <x:c r="F10" s="81" t="n">
        <x:f>Assumptions!C17*Assumptions!C19</x:f>
        <x:v>0.9800000000000001</x:v>
      </x:c>
      <x:c r="G10" s="68" t="n">
        <x:f>0.5*F10*D10^3*Architectures!X10*E10/Assumptions!C21/1000000</x:f>
        <x:v>37.88801260188384</x:v>
      </x:c>
      <x:c r="H10" s="68" t="n">
        <x:f>MAX(0,'Mass and Lift'!G10-'Mass and Lift'!D10)</x:f>
        <x:v>0</x:v>
      </x:c>
      <x:c r="I10" s="68" t="n">
        <x:f>IF(Architectures!Y10&gt;0,H10*9.81*D10/Architectures!Y10/Assumptions!C21/1000,0)</x:f>
        <x:v>0</x:v>
      </x:c>
      <x:c r="J10" s="68" t="n">
        <x:v>7</x:v>
      </x:c>
      <x:c r="K10" s="68" t="n">
        <x:f>G10+I10+J10</x:f>
        <x:v>44.88801260188384</x:v>
      </x:c>
      <x:c r="L10" s="68" t="n">
        <x:v>28</x:v>
      </x:c>
      <x:c r="M10" s="68" t="n">
        <x:f>Assumptions!C12/Architectures!T10</x:f>
        <x:v>16.666666666666668</x:v>
      </x:c>
      <x:c r="N10" s="68" t="n">
        <x:f>K10*M10+L10*Architectures!U10</x:f>
        <x:v>778.9335433647307</x:v>
      </x:c>
      <x:c r="O10" s="68" t="n">
        <x:f>Architectures!W10</x:f>
        <x:v>1500</x:v>
      </x:c>
      <x:c r="P10" s="77" t="n">
        <x:f>O10/N10-1</x:f>
        <x:v>0.9257098539119333</x:v>
      </x:c>
      <x:c r="Q10" s="68" t="n">
        <x:f>Architectures!V10</x:f>
        <x:v>105</x:v>
      </x:c>
      <x:c r="R10" s="68" t="n">
        <x:v>10</x:v>
      </x:c>
      <x:c r="S10" s="68" t="n">
        <x:f>Q10/R10</x:f>
        <x:v>10.5</x:v>
      </x:c>
      <x:c r="T10" s="68" t="n">
        <x:f>Q10-S10</x:f>
        <x:v>94.5</x:v>
      </x:c>
      <x:c r="U10" s="68" t="n">
        <x:f>MAX(K10,L10)</x:f>
        <x:v>44.88801260188384</x:v>
      </x:c>
      <x:c r="V10" s="44" t="str">
        <x:f>IF(T10&gt;=U10,"PASS","FAIL")</x:f>
        <x:v>PASS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>
      <x:c r="B13" s="8" t="str">
        <x:v>Energy closure</x:v>
      </x:c>
      <x:c r="C13" s="9" t="str">
        <x:v>Energy closure</x:v>
      </x:c>
      <x:c r="D13" s="9" t="str">
        <x:v>Energy closure</x:v>
      </x:c>
      <x:c r="E13" s="9" t="str">
        <x:v>Energy closure</x:v>
      </x:c>
      <x:c r="F13" s="9" t="str">
        <x:v>Energy closure</x:v>
      </x:c>
      <x:c r="G13" s="9" t="str">
        <x:v>Energy closure</x:v>
      </x:c>
      <x:c r="H13" s="9" t="str">
        <x:v>Energy closure</x:v>
      </x:c>
      <x:c r="I13" s="9" t="str">
        <x:v>Energy closure</x:v>
      </x:c>
      <x:c r="J13" s="9" t="str">
        <x:v>Energy closure</x:v>
      </x:c>
      <x:c r="K13" s="9" t="str">
        <x:v>Energy closure</x:v>
      </x:c>
      <x:c r="L13" s="9" t="str">
        <x:v>Energy closure</x:v>
      </x:c>
      <x:c r="M13" s="9" t="str">
        <x:v>Energy closure</x:v>
      </x:c>
      <x:c r="N13" s="9" t="str">
        <x:v>Energy closure</x:v>
      </x:c>
      <x:c r="O13" s="9" t="str">
        <x:v>Energy closure</x:v>
      </x:c>
      <x:c r="P13" s="9" t="str">
        <x:v>Energy closure</x:v>
      </x:c>
      <x:c r="Q13" s="9" t="str">
        <x:v>Energy closure</x:v>
      </x:c>
      <x:c r="R13" s="9" t="str">
        <x:v>Energy closure</x:v>
      </x:c>
      <x:c r="S13" s="9" t="str">
        <x:v>Energy closure</x:v>
      </x:c>
      <x:c r="T13" s="9" t="str">
        <x:v>Energy closure</x:v>
      </x:c>
      <x:c r="U13" s="9" t="str">
        <x:v>Energy closure</x:v>
      </x:c>
      <x:c r="V13" s="10" t="str">
        <x:v>Energy closure</x:v>
      </x:c>
    </x:row>
    <x:row r="14">
      <x:c r="B14" s="31" t="str">
        <x:v>ID</x:v>
      </x:c>
      <x:c r="C14" s="32" t="str">
        <x:v>Mission energy MWh</x:v>
      </x:c>
      <x:c r="D14" s="32" t="str">
        <x:v>Onboard MWh</x:v>
      </x:c>
      <x:c r="E14" s="32" t="str">
        <x:v>Reserve</x:v>
      </x:c>
      <x:c r="F14" s="32" t="str">
        <x:v>Energy result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>
      <x:c r="B15" s="33" t="str">
        <x:f>B7</x:f>
        <x:v>H1</x:v>
      </x:c>
      <x:c r="C15" s="48" t="n">
        <x:f>N7</x:f>
        <x:v>629.4236520741046</x:v>
      </x:c>
      <x:c r="D15" s="48" t="n">
        <x:f>O7</x:f>
        <x:v>1350</x:v>
      </x:c>
      <x:c r="E15" s="75" t="n">
        <x:f>P7</x:f>
        <x:v>1.1448193050124833</x:v>
      </x:c>
      <x:c r="F15" s="35" t="str">
        <x:f>IF(D15&gt;=Assumptions!C22,"PASS","FAIL")</x:f>
        <x:v>PASS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>
      <x:c r="B16" s="33" t="str">
        <x:f>B8</x:f>
        <x:v>H2</x:v>
      </x:c>
      <x:c r="C16" s="48" t="n">
        <x:f>N8</x:f>
        <x:v>1219.4733131784078</x:v>
      </x:c>
      <x:c r="D16" s="48" t="n">
        <x:f>O8</x:f>
        <x:v>1575</x:v>
      </x:c>
      <x:c r="E16" s="75" t="n">
        <x:f>P8</x:f>
        <x:v>0.29154117845757144</x:v>
      </x:c>
      <x:c r="F16" s="35" t="str">
        <x:f>IF(D16&gt;=Assumptions!C22,"PASS","FAIL")</x:f>
        <x:v>PASS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>
      <x:c r="B17" s="33" t="str">
        <x:f>B9</x:f>
        <x:v>H3</x:v>
      </x:c>
      <x:c r="C17" s="48" t="n">
        <x:f>N9</x:f>
        <x:v>936.5846751042428</x:v>
      </x:c>
      <x:c r="D17" s="48" t="n">
        <x:f>O9</x:f>
        <x:v>1650</x:v>
      </x:c>
      <x:c r="E17" s="75" t="n">
        <x:f>P9</x:f>
        <x:v>0.7617200493018459</x:v>
      </x:c>
      <x:c r="F17" s="35" t="str">
        <x:f>IF(D17&gt;=Assumptions!C22,"PASS","FAIL")</x:f>
        <x:v>PASS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>
      <x:c r="B18" s="42" t="str">
        <x:f>B10</x:f>
        <x:v>H4</x:v>
      </x:c>
      <x:c r="C18" s="68" t="n">
        <x:f>N10</x:f>
        <x:v>778.9335433647307</x:v>
      </x:c>
      <x:c r="D18" s="68" t="n">
        <x:f>O10</x:f>
        <x:v>1500</x:v>
      </x:c>
      <x:c r="E18" s="77" t="n">
        <x:f>P10</x:f>
        <x:v>0.9257098539119333</x:v>
      </x:c>
      <x:c r="F18" s="44" t="str">
        <x:f>IF(D18&gt;=Assumptions!C22,"PASS","FAIL")</x:f>
        <x:v>PASS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</x:row>
  </x:sheetData>
  <x:mergeCells>
    <x:mergeCell ref="B13:V13"/>
  </x:mergeCells>
  <x:conditionalFormatting sqref="F15:F18">
    <x:cfRule type="containsText" dxfId="15" priority="1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3" hidden="0" customWidth="1"/>
    <x:col min="4" max="4" width="47" hidden="0" customWidth="1"/>
    <x:col min="5" max="5" width="15" hidden="0" customWidth="1"/>
    <x:col min="6" max="6" width="18" hidden="0" customWidth="1"/>
    <x:col min="7" max="7" width="25" hidden="0" customWidth="1"/>
    <x:col min="8" max="8" width="18" hidden="0" customWidth="1"/>
    <x:col min="9" max="9" width="22" hidden="0" customWidth="1"/>
    <x:col min="10" max="10" width="17" hidden="0" customWidth="1"/>
    <x:col min="11" max="11" width="22" hidden="0" customWidth="1"/>
    <x:col min="12" max="12" width="19" hidden="0" customWidth="1"/>
    <x:col min="13" max="13" width="27" hidden="0" customWidth="1"/>
    <x:col min="14" max="14" width="22" hidden="0" customWidth="1"/>
    <x:col min="15" max="15" width="29" hidden="0" customWidth="1"/>
    <x:col min="16" max="16" width="23" hidden="0" customWidth="1"/>
    <x:col min="17" max="17" width="21" hidden="0" customWidth="1"/>
    <x:col min="18" max="18" width="22" hidden="0" customWidth="1"/>
  </x:cols>
  <x:sheetData>
    <x:row r="2">
      <x:c r="B2" s="3" t="str">
        <x:v>The buoyancy-transition problem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B3" s="4" t="str">
        <x:v>A universal carrier must unload without assuming 340 t of water, anchors or prepared ballast at the receiver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B6" s="31" t="str">
        <x:v>ID</x:v>
      </x:c>
      <x:c r="C6" s="32" t="str">
        <x:v>Architecture</x:v>
      </x:c>
      <x:c r="D6" s="32" t="str">
        <x:v>Transfer logic</x:v>
      </x:c>
      <x:c r="E6" s="32" t="str">
        <x:v>Static lift t</x:v>
      </x:c>
      <x:c r="F6" s="32" t="str">
        <x:v>Loaded gross t</x:v>
      </x:c>
      <x:c r="G6" s="32" t="str">
        <x:v>Loaded ground reaction t</x:v>
      </x:c>
      <x:c r="H6" s="32" t="str">
        <x:v>Contact area m2</x:v>
      </x:c>
      <x:c r="I6" s="32" t="str">
        <x:v>Ground pressure kPa</x:v>
      </x:c>
      <x:c r="J6" s="32" t="str">
        <x:v>Unloaded mass t</x:v>
      </x:c>
      <x:c r="K6" s="32" t="str">
        <x:v>Offload excess lift t</x:v>
      </x:c>
      <x:c r="L6" s="32" t="str">
        <x:v>Internal authority t</x:v>
      </x:c>
      <x:c r="M6" s="32" t="str">
        <x:v>Universal external credit t</x:v>
      </x:c>
      <x:c r="N6" s="32" t="str">
        <x:v>Universal residual t</x:v>
      </x:c>
      <x:c r="O6" s="32" t="str">
        <x:v>Conditional external capacity t</x:v>
      </x:c>
      <x:c r="P6" s="32" t="str">
        <x:v>Conditional residual t</x:v>
      </x:c>
      <x:c r="Q6" s="32" t="str">
        <x:v>Universal transfer</x:v>
      </x:c>
      <x:c r="R6" s="32" t="str">
        <x:v>Conditional transfer</x:v>
      </x:c>
    </x:row>
    <x:row r="7">
      <x:c r="B7" s="33" t="str">
        <x:f>Architectures!B7</x:f>
        <x:v>H1</x:v>
      </x:c>
      <x:c r="C7" s="33" t="str">
        <x:f>Architectures!C7</x:f>
        <x:v>VBC-340 rigid variable-buoyancy monohull</x:v>
      </x:c>
      <x:c r="D7" s="33" t="str">
        <x:f>Architectures!E7</x:f>
        <x:v>airborne winch transfer</x:v>
      </x:c>
      <x:c r="E7" s="48" t="n">
        <x:f>'Mass and Lift'!D7</x:f>
        <x:v>1213.3600000000001</x:v>
      </x:c>
      <x:c r="F7" s="48" t="n">
        <x:f>'Mass and Lift'!G7</x:f>
        <x:v>1150</x:v>
      </x:c>
      <x:c r="G7" s="48" t="n">
        <x:f>'Mass and Lift'!K7</x:f>
        <x:v>0</x:v>
      </x:c>
      <x:c r="H7" s="48" t="n">
        <x:f>Architectures!AC7</x:f>
        <x:v>0</x:v>
      </x:c>
      <x:c r="I7" s="48" t="n">
        <x:f>IF(H7&gt;0,G7*9.81/H7,0)</x:f>
        <x:v>0</x:v>
      </x:c>
      <x:c r="J7" s="48" t="n">
        <x:f>'Mass and Lift'!L7</x:f>
        <x:v>810</x:v>
      </x:c>
      <x:c r="K7" s="48" t="n">
        <x:f>'Mass and Lift'!M7</x:f>
        <x:v>403.3600000000001</x:v>
      </x:c>
      <x:c r="L7" s="48" t="n">
        <x:f>Architectures!Q7</x:f>
        <x:v>280</x:v>
      </x:c>
      <x:c r="M7" s="48" t="n">
        <x:f>Architectures!R7</x:f>
        <x:v>0</x:v>
      </x:c>
      <x:c r="N7" s="48" t="n">
        <x:f>MAX(0,K7-L7-M7)</x:f>
        <x:v>123.36000000000013</x:v>
      </x:c>
      <x:c r="O7" s="48" t="n">
        <x:f>Architectures!S7</x:f>
        <x:v>0</x:v>
      </x:c>
      <x:c r="P7" s="48" t="n">
        <x:f>MAX(0,K7-L7-O7)</x:f>
        <x:v>123.36000000000013</x:v>
      </x:c>
      <x:c r="Q7" s="33" t="str">
        <x:f>IF(AND(N7&lt;=0,OR(G7=0,AND(H7&gt;0,I7&lt;=Assumptions!C26))),"PASS","FAIL")</x:f>
        <x:v>FAIL</x:v>
      </x:c>
      <x:c r="R7" s="35" t="str">
        <x:f>IF(AND(P7&lt;=0,OR(G7=0,AND(H7&gt;0,I7&lt;=Assumptions!C26))),"PASS","FAIL")</x:f>
        <x:v>FAIL</x:v>
      </x:c>
    </x:row>
    <x:row r="8">
      <x:c r="B8" s="33" t="str">
        <x:f>Architectures!B8</x:f>
        <x:v>H2</x:v>
      </x:c>
      <x:c r="C8" s="33" t="str">
        <x:f>Architectures!C8</x:f>
        <x:v>GCH-340 ground-coupled hybrid lifting body</x:v>
      </x:c>
      <x:c r="D8" s="33" t="str">
        <x:f>Architectures!E8</x:f>
        <x:v>land, arrest and unload on distributed contact</x:v>
      </x:c>
      <x:c r="E8" s="48" t="n">
        <x:f>'Mass and Lift'!D8</x:f>
        <x:v>711.2800000000001</x:v>
      </x:c>
      <x:c r="F8" s="48" t="n">
        <x:f>'Mass and Lift'!G8</x:f>
        <x:v>1003</x:v>
      </x:c>
      <x:c r="G8" s="48" t="n">
        <x:f>'Mass and Lift'!K8</x:f>
        <x:v>291.7199999999999</x:v>
      </x:c>
      <x:c r="H8" s="48" t="n">
        <x:f>Architectures!AC8</x:f>
        <x:v>60</x:v>
      </x:c>
      <x:c r="I8" s="48" t="n">
        <x:f>IF(H8&gt;0,G8*9.81/H8,0)</x:f>
        <x:v>47.69621999999999</x:v>
      </x:c>
      <x:c r="J8" s="48" t="n">
        <x:f>'Mass and Lift'!L8</x:f>
        <x:v>663</x:v>
      </x:c>
      <x:c r="K8" s="48" t="n">
        <x:f>'Mass and Lift'!M8</x:f>
        <x:v>48.280000000000086</x:v>
      </x:c>
      <x:c r="L8" s="48" t="n">
        <x:f>Architectures!Q8</x:f>
        <x:v>60</x:v>
      </x:c>
      <x:c r="M8" s="48" t="n">
        <x:f>Architectures!R8</x:f>
        <x:v>0</x:v>
      </x:c>
      <x:c r="N8" s="48" t="n">
        <x:f>MAX(0,K8-L8-M8)</x:f>
        <x:v>0</x:v>
      </x:c>
      <x:c r="O8" s="48" t="n">
        <x:f>Architectures!S8</x:f>
        <x:v>0</x:v>
      </x:c>
      <x:c r="P8" s="48" t="n">
        <x:f>MAX(0,K8-L8-O8)</x:f>
        <x:v>0</x:v>
      </x:c>
      <x:c r="Q8" s="33" t="str">
        <x:f>IF(AND(N8&lt;=0,OR(G8=0,AND(H8&gt;0,I8&lt;=Assumptions!C26))),"PASS","FAIL")</x:f>
        <x:v>PASS</x:v>
      </x:c>
      <x:c r="R8" s="35" t="str">
        <x:f>IF(AND(P8&lt;=0,OR(G8=0,AND(H8&gt;0,I8&lt;=Assumptions!C26))),"PASS","FAIL")</x:f>
        <x:v>PASS</x:v>
      </x:c>
    </x:row>
    <x:row r="9">
      <x:c r="B9" s="33" t="str">
        <x:f>Architectures!B9</x:f>
        <x:v>H3</x:v>
      </x:c>
      <x:c r="C9" s="33" t="str">
        <x:f>Architectures!C9</x:f>
        <x:v>TGC-340 twin-hull buoyant gantry</x:v>
      </x:c>
      <x:c r="D9" s="33" t="str">
        <x:f>Architectures!E9</x:f>
        <x:v>suspended gantry transfer to anchors</x:v>
      </x:c>
      <x:c r="E9" s="48" t="n">
        <x:f>'Mass and Lift'!D9</x:f>
        <x:v>1380.72</x:v>
      </x:c>
      <x:c r="F9" s="48" t="n">
        <x:f>'Mass and Lift'!G9</x:f>
        <x:v>1276</x:v>
      </x:c>
      <x:c r="G9" s="48" t="n">
        <x:f>'Mass and Lift'!K9</x:f>
        <x:v>0</x:v>
      </x:c>
      <x:c r="H9" s="48" t="n">
        <x:f>Architectures!AC9</x:f>
        <x:v>0</x:v>
      </x:c>
      <x:c r="I9" s="48" t="n">
        <x:f>IF(H9&gt;0,G9*9.81/H9,0)</x:f>
        <x:v>0</x:v>
      </x:c>
      <x:c r="J9" s="48" t="n">
        <x:f>'Mass and Lift'!L9</x:f>
        <x:v>936</x:v>
      </x:c>
      <x:c r="K9" s="48" t="n">
        <x:f>'Mass and Lift'!M9</x:f>
        <x:v>444.72</x:v>
      </x:c>
      <x:c r="L9" s="48" t="n">
        <x:f>Architectures!Q9</x:f>
        <x:v>120</x:v>
      </x:c>
      <x:c r="M9" s="48" t="n">
        <x:f>Architectures!R9</x:f>
        <x:v>0</x:v>
      </x:c>
      <x:c r="N9" s="48" t="n">
        <x:f>MAX(0,K9-L9-M9)</x:f>
        <x:v>324.72</x:v>
      </x:c>
      <x:c r="O9" s="48" t="n">
        <x:f>Architectures!S9</x:f>
        <x:v>150</x:v>
      </x:c>
      <x:c r="P9" s="48" t="n">
        <x:f>MAX(0,K9-L9-O9)</x:f>
        <x:v>174.72000000000003</x:v>
      </x:c>
      <x:c r="Q9" s="33" t="str">
        <x:f>IF(AND(N9&lt;=0,OR(G9=0,AND(H9&gt;0,I9&lt;=Assumptions!C26))),"PASS","FAIL")</x:f>
        <x:v>FAIL</x:v>
      </x:c>
      <x:c r="R9" s="35" t="str">
        <x:f>IF(AND(P9&lt;=0,OR(G9=0,AND(H9&gt;0,I9&lt;=Assumptions!C26))),"PASS","FAIL")</x:f>
        <x:v>FAIL</x:v>
      </x:c>
    </x:row>
    <x:row r="10">
      <x:c r="B10" s="42" t="str">
        <x:f>Architectures!B10</x:f>
        <x:v>H4</x:v>
      </x:c>
      <x:c r="C10" s="42" t="str">
        <x:f>Architectures!C10</x:f>
        <x:v>DBX-340 detachable ballast-exchange carrier</x:v>
      </x:c>
      <x:c r="D10" s="42" t="str">
        <x:f>Architectures!E10</x:f>
        <x:v>detach only after external ballast capture</x:v>
      </x:c>
      <x:c r="E10" s="68" t="n">
        <x:f>'Mass and Lift'!D10</x:f>
        <x:v>1188.256</x:v>
      </x:c>
      <x:c r="F10" s="68" t="n">
        <x:f>'Mass and Lift'!G10</x:f>
        <x:v>1117</x:v>
      </x:c>
      <x:c r="G10" s="68" t="n">
        <x:f>'Mass and Lift'!K10</x:f>
        <x:v>0</x:v>
      </x:c>
      <x:c r="H10" s="68" t="n">
        <x:f>Architectures!AC10</x:f>
        <x:v>0</x:v>
      </x:c>
      <x:c r="I10" s="68" t="n">
        <x:f>IF(H10&gt;0,G10*9.81/H10,0)</x:f>
        <x:v>0</x:v>
      </x:c>
      <x:c r="J10" s="68" t="n">
        <x:f>'Mass and Lift'!L10</x:f>
        <x:v>777</x:v>
      </x:c>
      <x:c r="K10" s="68" t="n">
        <x:f>'Mass and Lift'!M10</x:f>
        <x:v>411.2560000000001</x:v>
      </x:c>
      <x:c r="L10" s="68" t="n">
        <x:f>Architectures!Q10</x:f>
        <x:v>80</x:v>
      </x:c>
      <x:c r="M10" s="68" t="n">
        <x:f>Architectures!R10</x:f>
        <x:v>0</x:v>
      </x:c>
      <x:c r="N10" s="68" t="n">
        <x:f>MAX(0,K10-L10-M10)</x:f>
        <x:v>331.2560000000001</x:v>
      </x:c>
      <x:c r="O10" s="68" t="n">
        <x:f>Architectures!S10</x:f>
        <x:v>340</x:v>
      </x:c>
      <x:c r="P10" s="68" t="n">
        <x:f>MAX(0,K10-L10-O10)</x:f>
        <x:v>0</x:v>
      </x:c>
      <x:c r="Q10" s="42" t="str">
        <x:f>IF(AND(N10&lt;=0,OR(G10=0,AND(H10&gt;0,I10&lt;=Assumptions!C26))),"PASS","FAIL")</x:f>
        <x:v>FAIL</x:v>
      </x:c>
      <x:c r="R10" s="44" t="str">
        <x:f>IF(AND(P10&lt;=0,OR(G10=0,AND(H10&gt;0,I10&lt;=Assumptions!C26))),"PASS","FAIL")</x:f>
        <x:v>PASS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</x:sheetData>
  <x:conditionalFormatting sqref="Q7:R10">
    <x:cfRule type="containsText" dxfId="16" priority="1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3" hidden="0" customWidth="1"/>
    <x:col min="4" max="4" width="20" hidden="0" customWidth="1"/>
    <x:col min="5" max="5" width="13" hidden="0" customWidth="1"/>
    <x:col min="6" max="6" width="17" hidden="0" customWidth="1"/>
    <x:col min="7" max="7" width="14" hidden="0" customWidth="1"/>
    <x:col min="8" max="8" width="13" hidden="0" customWidth="1"/>
    <x:col min="9" max="9" width="15" hidden="0" customWidth="1"/>
    <x:col min="10" max="10" width="14" hidden="0" customWidth="1"/>
    <x:col min="11" max="11" width="13" hidden="0" customWidth="1"/>
    <x:col min="12" max="12" width="15" hidden="0" customWidth="1"/>
    <x:col min="13" max="13" width="15" hidden="0" customWidth="1"/>
    <x:col min="14" max="14" width="17" hidden="0" customWidth="1"/>
  </x:cols>
  <x:sheetData>
    <x:row r="2">
      <x:c r="B2" s="3" t="str">
        <x:v>Weather and environmental operating screen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B3" s="4" t="str">
        <x:v>Capability values are declared design requirements awaiting representative atmosphere trials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B6" s="31" t="str">
        <x:v>ID</x:v>
      </x:c>
      <x:c r="C6" s="32" t="str">
        <x:v>Architecture</x:v>
      </x:c>
      <x:c r="D6" s="32" t="str">
        <x:v>Station wind m/s</x:v>
      </x:c>
      <x:c r="E6" s="32" t="str">
        <x:v>Required</x:v>
      </x:c>
      <x:c r="F6" s="32" t="str">
        <x:v>Station result</x:v>
      </x:c>
      <x:c r="G6" s="32" t="str">
        <x:v>Gust m/s</x:v>
      </x:c>
      <x:c r="H6" s="32" t="str">
        <x:v>Required</x:v>
      </x:c>
      <x:c r="I6" s="32" t="str">
        <x:v>Gust result</x:v>
      </x:c>
      <x:c r="J6" s="32" t="str">
        <x:v>Icing min</x:v>
      </x:c>
      <x:c r="K6" s="32" t="str">
        <x:v>Required</x:v>
      </x:c>
      <x:c r="L6" s="32" t="str">
        <x:v>Icing result</x:v>
      </x:c>
      <x:c r="M6" s="32" t="str">
        <x:v>Placement h</x:v>
      </x:c>
      <x:c r="N6" s="32" t="str">
        <x:v>Transfer result</x:v>
      </x:c>
      <x:c r="O6" s="21" t="str">
        <x:v>Evidence</x:v>
      </x:c>
    </x:row>
    <x:row r="7">
      <x:c r="B7" s="33" t="str">
        <x:f>Architectures!B7</x:f>
        <x:v>H1</x:v>
      </x:c>
      <x:c r="C7" s="33" t="str">
        <x:f>Architectures!C7</x:f>
        <x:v>VBC-340 rigid variable-buoyancy monohull</x:v>
      </x:c>
      <x:c r="D7" s="33" t="n">
        <x:f>Architectures!Z7</x:f>
        <x:v>28</x:v>
      </x:c>
      <x:c r="E7" s="33" t="n">
        <x:f>Assumptions!C27</x:f>
        <x:v>30</x:v>
      </x:c>
      <x:c r="F7" s="33" t="str">
        <x:f>IF(D7&gt;=E7,"PASS","FAIL")</x:f>
        <x:v>FAIL</x:v>
      </x:c>
      <x:c r="G7" s="33" t="n">
        <x:f>Architectures!AA7</x:f>
        <x:v>34</x:v>
      </x:c>
      <x:c r="H7" s="33" t="n">
        <x:f>Assumptions!C28</x:f>
        <x:v>38</x:v>
      </x:c>
      <x:c r="I7" s="33" t="str">
        <x:f>IF(G7&gt;=H7,"PASS","FAIL")</x:f>
        <x:v>FAIL</x:v>
      </x:c>
      <x:c r="J7" s="33" t="n">
        <x:f>Architectures!AB7</x:f>
        <x:v>90</x:v>
      </x:c>
      <x:c r="K7" s="33" t="n">
        <x:f>Assumptions!C29</x:f>
        <x:v>120</x:v>
      </x:c>
      <x:c r="L7" s="33" t="str">
        <x:f>IF(J7&gt;=K7,"PASS","FAIL")</x:f>
        <x:v>FAIL</x:v>
      </x:c>
      <x:c r="M7" s="33" t="n">
        <x:f>Architectures!U7</x:f>
        <x:v>0.6</x:v>
      </x:c>
      <x:c r="N7" s="35" t="str">
        <x:f>IF(M7&lt;=Assumptions!C30,"PASS","FAIL")</x:f>
        <x:v>PASS</x:v>
      </x:c>
      <x:c r="O7" s="2" t="str">
        <x:v>OPEN</x:v>
      </x:c>
    </x:row>
    <x:row r="8">
      <x:c r="B8" s="33" t="str">
        <x:f>Architectures!B8</x:f>
        <x:v>H2</x:v>
      </x:c>
      <x:c r="C8" s="33" t="str">
        <x:f>Architectures!C8</x:f>
        <x:v>GCH-340 ground-coupled hybrid lifting body</x:v>
      </x:c>
      <x:c r="D8" s="33" t="n">
        <x:f>Architectures!Z8</x:f>
        <x:v>32</x:v>
      </x:c>
      <x:c r="E8" s="33" t="n">
        <x:f>Assumptions!C27</x:f>
        <x:v>30</x:v>
      </x:c>
      <x:c r="F8" s="33" t="str">
        <x:f>IF(D8&gt;=E8,"PASS","FAIL")</x:f>
        <x:v>PASS</x:v>
      </x:c>
      <x:c r="G8" s="33" t="n">
        <x:f>Architectures!AA8</x:f>
        <x:v>40</x:v>
      </x:c>
      <x:c r="H8" s="33" t="n">
        <x:f>Assumptions!C28</x:f>
        <x:v>38</x:v>
      </x:c>
      <x:c r="I8" s="33" t="str">
        <x:f>IF(G8&gt;=H8,"PASS","FAIL")</x:f>
        <x:v>PASS</x:v>
      </x:c>
      <x:c r="J8" s="33" t="n">
        <x:f>Architectures!AB8</x:f>
        <x:v>120</x:v>
      </x:c>
      <x:c r="K8" s="33" t="n">
        <x:f>Assumptions!C29</x:f>
        <x:v>120</x:v>
      </x:c>
      <x:c r="L8" s="33" t="str">
        <x:f>IF(J8&gt;=K8,"PASS","FAIL")</x:f>
        <x:v>PASS</x:v>
      </x:c>
      <x:c r="M8" s="33" t="n">
        <x:f>Architectures!U8</x:f>
        <x:v>1.25</x:v>
      </x:c>
      <x:c r="N8" s="35" t="str">
        <x:f>IF(M8&lt;=Assumptions!C30,"PASS","FAIL")</x:f>
        <x:v>PASS</x:v>
      </x:c>
      <x:c r="O8" s="2" t="str">
        <x:v>OPEN</x:v>
      </x:c>
    </x:row>
    <x:row r="9">
      <x:c r="B9" s="33" t="str">
        <x:f>Architectures!B9</x:f>
        <x:v>H3</x:v>
      </x:c>
      <x:c r="C9" s="33" t="str">
        <x:f>Architectures!C9</x:f>
        <x:v>TGC-340 twin-hull buoyant gantry</x:v>
      </x:c>
      <x:c r="D9" s="33" t="n">
        <x:f>Architectures!Z9</x:f>
        <x:v>24</x:v>
      </x:c>
      <x:c r="E9" s="33" t="n">
        <x:f>Assumptions!C27</x:f>
        <x:v>30</x:v>
      </x:c>
      <x:c r="F9" s="33" t="str">
        <x:f>IF(D9&gt;=E9,"PASS","FAIL")</x:f>
        <x:v>FAIL</x:v>
      </x:c>
      <x:c r="G9" s="33" t="n">
        <x:f>Architectures!AA9</x:f>
        <x:v>31</x:v>
      </x:c>
      <x:c r="H9" s="33" t="n">
        <x:f>Assumptions!C28</x:f>
        <x:v>38</x:v>
      </x:c>
      <x:c r="I9" s="33" t="str">
        <x:f>IF(G9&gt;=H9,"PASS","FAIL")</x:f>
        <x:v>FAIL</x:v>
      </x:c>
      <x:c r="J9" s="33" t="n">
        <x:f>Architectures!AB9</x:f>
        <x:v>90</x:v>
      </x:c>
      <x:c r="K9" s="33" t="n">
        <x:f>Assumptions!C29</x:f>
        <x:v>120</x:v>
      </x:c>
      <x:c r="L9" s="33" t="str">
        <x:f>IF(J9&gt;=K9,"PASS","FAIL")</x:f>
        <x:v>FAIL</x:v>
      </x:c>
      <x:c r="M9" s="33" t="n">
        <x:f>Architectures!U9</x:f>
        <x:v>1</x:v>
      </x:c>
      <x:c r="N9" s="35" t="str">
        <x:f>IF(M9&lt;=Assumptions!C30,"PASS","FAIL")</x:f>
        <x:v>PASS</x:v>
      </x:c>
      <x:c r="O9" s="2" t="str">
        <x:v>OPEN</x:v>
      </x:c>
    </x:row>
    <x:row r="10">
      <x:c r="B10" s="42" t="str">
        <x:f>Architectures!B10</x:f>
        <x:v>H4</x:v>
      </x:c>
      <x:c r="C10" s="42" t="str">
        <x:f>Architectures!C10</x:f>
        <x:v>DBX-340 detachable ballast-exchange carrier</x:v>
      </x:c>
      <x:c r="D10" s="42" t="n">
        <x:f>Architectures!Z10</x:f>
        <x:v>30</x:v>
      </x:c>
      <x:c r="E10" s="42" t="n">
        <x:f>Assumptions!C27</x:f>
        <x:v>30</x:v>
      </x:c>
      <x:c r="F10" s="42" t="str">
        <x:f>IF(D10&gt;=E10,"PASS","FAIL")</x:f>
        <x:v>PASS</x:v>
      </x:c>
      <x:c r="G10" s="42" t="n">
        <x:f>Architectures!AA10</x:f>
        <x:v>36</x:v>
      </x:c>
      <x:c r="H10" s="42" t="n">
        <x:f>Assumptions!C28</x:f>
        <x:v>38</x:v>
      </x:c>
      <x:c r="I10" s="42" t="str">
        <x:f>IF(G10&gt;=H10,"PASS","FAIL")</x:f>
        <x:v>FAIL</x:v>
      </x:c>
      <x:c r="J10" s="42" t="n">
        <x:f>Architectures!AB10</x:f>
        <x:v>100</x:v>
      </x:c>
      <x:c r="K10" s="42" t="n">
        <x:f>Assumptions!C29</x:f>
        <x:v>120</x:v>
      </x:c>
      <x:c r="L10" s="42" t="str">
        <x:f>IF(J10&gt;=K10,"PASS","FAIL")</x:f>
        <x:v>FAIL</x:v>
      </x:c>
      <x:c r="M10" s="42" t="n">
        <x:f>Architectures!U10</x:f>
        <x:v>1.1</x:v>
      </x:c>
      <x:c r="N10" s="44" t="str">
        <x:f>IF(M10&lt;=Assumptions!C30,"PASS","FAIL")</x:f>
        <x:v>PASS</x:v>
      </x:c>
      <x:c r="O10" s="2" t="str">
        <x:v>OPEN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B13" s="8" t="str">
        <x:v>Combined weather judgment</x:v>
      </x:c>
      <x:c r="C13" s="9" t="str">
        <x:v>Combined weather judgment</x:v>
      </x:c>
      <x:c r="D13" s="9" t="str">
        <x:v>Combined weather judgment</x:v>
      </x:c>
      <x:c r="E13" s="9" t="str">
        <x:v>Combined weather judgment</x:v>
      </x:c>
      <x:c r="F13" s="9" t="str">
        <x:v>Combined weather judgment</x:v>
      </x:c>
      <x:c r="G13" s="9" t="str">
        <x:v>Combined weather judgment</x:v>
      </x:c>
      <x:c r="H13" s="9" t="str">
        <x:v>Combined weather judgment</x:v>
      </x:c>
      <x:c r="I13" s="9" t="str">
        <x:v>Combined weather judgment</x:v>
      </x:c>
      <x:c r="J13" s="9" t="str">
        <x:v>Combined weather judgment</x:v>
      </x:c>
      <x:c r="K13" s="9" t="str">
        <x:v>Combined weather judgment</x:v>
      </x:c>
      <x:c r="L13" s="9" t="str">
        <x:v>Combined weather judgment</x:v>
      </x:c>
      <x:c r="M13" s="9" t="str">
        <x:v>Combined weather judgment</x:v>
      </x:c>
      <x:c r="N13" s="10" t="str">
        <x:v>Combined weather judgment</x:v>
      </x:c>
      <x:c r="O13" s="2"/>
    </x:row>
    <x:row r="14">
      <x:c r="B14" s="31" t="str">
        <x:v>ID</x:v>
      </x:c>
      <x:c r="C14" s="32" t="str">
        <x:v>Weather passes</x:v>
      </x:c>
      <x:c r="D14" s="32" t="str">
        <x:v>Required</x:v>
      </x:c>
      <x:c r="E14" s="32" t="str">
        <x:v>Weather result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>
      <x:c r="B15" s="33" t="str">
        <x:f>B7</x:f>
        <x:v>H1</x:v>
      </x:c>
      <x:c r="C15" s="33" t="n">
        <x:f>COUNTIFS(F7,"PASS")+COUNTIFS(I7,"PASS")+COUNTIFS(L7,"PASS")+COUNTIFS(N7,"PASS")</x:f>
        <x:v>1</x:v>
      </x:c>
      <x:c r="D15" s="33" t="n">
        <x:v>4</x:v>
      </x:c>
      <x:c r="E15" s="35" t="str">
        <x:f>IF(C15=D15,"PASS","FAIL")</x:f>
        <x:v>FAIL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>
      <x:c r="B16" s="33" t="str">
        <x:f>B8</x:f>
        <x:v>H2</x:v>
      </x:c>
      <x:c r="C16" s="33" t="n">
        <x:f>COUNTIFS(F8,"PASS")+COUNTIFS(I8,"PASS")+COUNTIFS(L8,"PASS")+COUNTIFS(N8,"PASS")</x:f>
        <x:v>4</x:v>
      </x:c>
      <x:c r="D16" s="33" t="n">
        <x:v>4</x:v>
      </x:c>
      <x:c r="E16" s="35" t="str">
        <x:f>IF(C16=D16,"PASS","FAIL")</x:f>
        <x:v>PASS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>
      <x:c r="B17" s="33" t="str">
        <x:f>B9</x:f>
        <x:v>H3</x:v>
      </x:c>
      <x:c r="C17" s="33" t="n">
        <x:f>COUNTIFS(F9,"PASS")+COUNTIFS(I9,"PASS")+COUNTIFS(L9,"PASS")+COUNTIFS(N9,"PASS")</x:f>
        <x:v>1</x:v>
      </x:c>
      <x:c r="D17" s="33" t="n">
        <x:v>4</x:v>
      </x:c>
      <x:c r="E17" s="35" t="str">
        <x:f>IF(C17=D17,"PASS","FAIL")</x:f>
        <x:v>FAIL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>
      <x:c r="B18" s="42" t="str">
        <x:f>B10</x:f>
        <x:v>H4</x:v>
      </x:c>
      <x:c r="C18" s="42" t="n">
        <x:f>COUNTIFS(F10,"PASS")+COUNTIFS(I10,"PASS")+COUNTIFS(L10,"PASS")+COUNTIFS(N10,"PASS")</x:f>
        <x:v>2</x:v>
      </x:c>
      <x:c r="D18" s="42" t="n">
        <x:v>4</x:v>
      </x:c>
      <x:c r="E18" s="44" t="str">
        <x:f>IF(C18=D18,"PASS","FAIL")</x:f>
        <x:v>FAIL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</x:sheetData>
  <x:mergeCells>
    <x:mergeCell ref="B13:N13"/>
  </x:mergeCells>
  <x:conditionalFormatting sqref="F7:N10">
    <x:cfRule type="containsText" dxfId="8" priority="1" operator="containsText" text="FAIL"/>
  </x:conditionalFormatting>
  <x:conditionalFormatting sqref="E15:E18">
    <x:cfRule type="containsText" dxfId="9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6" hidden="0" customWidth="1"/>
    <x:col min="3" max="3" width="43" hidden="0" customWidth="1"/>
    <x:col min="4" max="4" width="16" hidden="0" customWidth="1"/>
    <x:col min="5" max="5" width="34" hidden="0" customWidth="1"/>
    <x:col min="6" max="6" width="17" hidden="0" customWidth="1"/>
    <x:col min="7" max="7" width="17" hidden="0" customWidth="1"/>
    <x:col min="8" max="8" width="23" hidden="0" customWidth="1"/>
    <x:col min="9" max="9" width="17" hidden="0" customWidth="1"/>
    <x:col min="10" max="10" width="23" hidden="0" customWidth="1"/>
    <x:col min="11" max="11" width="21" hidden="0" customWidth="1"/>
    <x:col min="12" max="12" width="20" hidden="0" customWidth="1"/>
    <x:col min="13" max="13" width="15" hidden="0" customWidth="1"/>
    <x:col min="14" max="14" width="18" hidden="0" customWidth="1"/>
    <x:col min="15" max="15" width="19" hidden="0" customWidth="1"/>
    <x:col min="16" max="16" width="23" hidden="0" customWidth="1"/>
    <x:col min="17" max="17" width="28" hidden="0" customWidth="1"/>
  </x:cols>
  <x:sheetData>
    <x:row r="2">
      <x:c r="B2" s="3" t="str">
        <x:v>Receiver compatibility and atmospheric-base consequences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B3" s="4" t="str">
        <x:v>The ground-coupled reference avoids ballast exchange by using the declared air-zone surface as a structural reaction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B6" s="31" t="str">
        <x:v>ID</x:v>
      </x:c>
      <x:c r="C6" s="32" t="str">
        <x:v>Architecture</x:v>
      </x:c>
      <x:c r="D6" s="32" t="str">
        <x:v>Length m</x:v>
      </x:c>
      <x:c r="E6" s="32" t="str">
        <x:v>Width m</x:v>
      </x:c>
      <x:c r="F6" s="32" t="str">
        <x:v>Length margin m</x:v>
      </x:c>
      <x:c r="G6" s="32" t="str">
        <x:v>Width margin m</x:v>
      </x:c>
      <x:c r="H6" s="32" t="str">
        <x:v>Ground reaction t</x:v>
      </x:c>
      <x:c r="I6" s="32" t="str">
        <x:v>Contact m2</x:v>
      </x:c>
      <x:c r="J6" s="32" t="str">
        <x:v>Ground pressure kPa</x:v>
      </x:c>
      <x:c r="K6" s="32" t="str">
        <x:v>Bearing margin kPa</x:v>
      </x:c>
      <x:c r="L6" s="32" t="str">
        <x:v>Universal transfer</x:v>
      </x:c>
      <x:c r="M6" s="32" t="str">
        <x:v>Weather</x:v>
      </x:c>
      <x:c r="N6" s="32" t="str">
        <x:v>Receiver result</x:v>
      </x:c>
      <x:c r="O6" s="32" t="str">
        <x:v>Base footprint km2</x:v>
      </x:c>
      <x:c r="P6" s="32" t="str">
        <x:v>Footprint increase km2</x:v>
      </x:c>
      <x:c r="Q6" s="32" t="str">
        <x:v>Base capital increment/node $B</x:v>
      </x:c>
    </x:row>
    <x:row r="7">
      <x:c r="B7" s="33" t="str">
        <x:f>Architectures!B7</x:f>
        <x:v>H1</x:v>
      </x:c>
      <x:c r="C7" s="33" t="str">
        <x:f>Architectures!C7</x:f>
        <x:v>VBC-340 rigid variable-buoyancy monohull</x:v>
      </x:c>
      <x:c r="D7" s="48" t="n">
        <x:f>Geometry!J7</x:f>
        <x:v>437.5539273653138</x:v>
      </x:c>
      <x:c r="E7" s="48" t="n">
        <x:f>Geometry!K7</x:f>
        <x:v>79.55525952096615</x:v>
      </x:c>
      <x:c r="F7" s="48" t="n">
        <x:f>Geometry!L7</x:f>
        <x:v>-17.553927365313825</x:v>
      </x:c>
      <x:c r="G7" s="48" t="n">
        <x:f>Geometry!M7</x:f>
        <x:v>340.44474047903384</x:v>
      </x:c>
      <x:c r="H7" s="48" t="n">
        <x:f>Transfer!G7</x:f>
        <x:v>0</x:v>
      </x:c>
      <x:c r="I7" s="48" t="n">
        <x:f>Transfer!H7</x:f>
        <x:v>0</x:v>
      </x:c>
      <x:c r="J7" s="48" t="n">
        <x:f>Transfer!I7</x:f>
        <x:v>0</x:v>
      </x:c>
      <x:c r="K7" s="48" t="n">
        <x:f>IF(I7&gt;0,Assumptions!C26-J7,Assumptions!C26)</x:f>
        <x:v>60</x:v>
      </x:c>
      <x:c r="L7" s="48" t="str">
        <x:f>Transfer!Q7</x:f>
        <x:v>FAIL</x:v>
      </x:c>
      <x:c r="M7" s="48" t="str">
        <x:f>Weather!E15</x:f>
        <x:v>FAIL</x:v>
      </x:c>
      <x:c r="N7" s="48" t="str">
        <x:f>IF(AND(F7&gt;=0,G7&gt;=0,K7&gt;=0,L7="PASS",M7="PASS"),"PASS","FAIL")</x:f>
        <x:v>FAIL</x:v>
      </x:c>
      <x:c r="O7" s="48" t="n">
        <x:f>Architectures!AD7</x:f>
        <x:v>3.8</x:v>
      </x:c>
      <x:c r="P7" s="48" t="n">
        <x:f>O7-2.2</x:f>
        <x:v>1.5999999999999996</x:v>
      </x:c>
      <x:c r="Q7" s="67" t="n">
        <x:f>Architectures!AI7</x:f>
        <x:v>0.55</x:v>
      </x:c>
    </x:row>
    <x:row r="8">
      <x:c r="B8" s="33" t="str">
        <x:f>Architectures!B8</x:f>
        <x:v>H2</x:v>
      </x:c>
      <x:c r="C8" s="33" t="str">
        <x:f>Architectures!C8</x:f>
        <x:v>GCH-340 ground-coupled hybrid lifting body</x:v>
      </x:c>
      <x:c r="D8" s="48" t="n">
        <x:f>Geometry!J8</x:f>
        <x:v>305.94237099711756</x:v>
      </x:c>
      <x:c r="E8" s="48" t="n">
        <x:f>Geometry!K8</x:f>
        <x:v>72.84342166598037</x:v>
      </x:c>
      <x:c r="F8" s="48" t="n">
        <x:f>Geometry!L8</x:f>
        <x:v>114.05762900288244</x:v>
      </x:c>
      <x:c r="G8" s="48" t="n">
        <x:f>Geometry!M8</x:f>
        <x:v>347.1565783340196</x:v>
      </x:c>
      <x:c r="H8" s="48" t="n">
        <x:f>Transfer!G8</x:f>
        <x:v>291.7199999999999</x:v>
      </x:c>
      <x:c r="I8" s="48" t="n">
        <x:f>Transfer!H8</x:f>
        <x:v>60</x:v>
      </x:c>
      <x:c r="J8" s="48" t="n">
        <x:f>Transfer!I8</x:f>
        <x:v>47.69621999999999</x:v>
      </x:c>
      <x:c r="K8" s="48" t="n">
        <x:f>IF(I8&gt;0,Assumptions!C26-J8,Assumptions!C26)</x:f>
        <x:v>12.30378000000001</x:v>
      </x:c>
      <x:c r="L8" s="48" t="str">
        <x:f>Transfer!Q8</x:f>
        <x:v>PASS</x:v>
      </x:c>
      <x:c r="M8" s="48" t="str">
        <x:f>Weather!E16</x:f>
        <x:v>PASS</x:v>
      </x:c>
      <x:c r="N8" s="48" t="str">
        <x:f>IF(AND(F8&gt;=0,G8&gt;=0,K8&gt;=0,L8="PASS",M8="PASS"),"PASS","FAIL")</x:f>
        <x:v>PASS</x:v>
      </x:c>
      <x:c r="O8" s="48" t="n">
        <x:f>Architectures!AD8</x:f>
        <x:v>2.8</x:v>
      </x:c>
      <x:c r="P8" s="48" t="n">
        <x:f>O8-2.2</x:f>
        <x:v>0.5999999999999996</x:v>
      </x:c>
      <x:c r="Q8" s="67" t="n">
        <x:f>Architectures!AI8</x:f>
        <x:v>0.42</x:v>
      </x:c>
    </x:row>
    <x:row r="9">
      <x:c r="B9" s="33" t="str">
        <x:f>Architectures!B9</x:f>
        <x:v>H3</x:v>
      </x:c>
      <x:c r="C9" s="33" t="str">
        <x:f>Architectures!C9</x:f>
        <x:v>TGC-340 twin-hull buoyant gantry</x:v>
      </x:c>
      <x:c r="D9" s="48" t="n">
        <x:f>Geometry!J9</x:f>
        <x:v>428.68844430600547</x:v>
      </x:c>
      <x:c r="E9" s="48" t="n">
        <x:f>Geometry!K9</x:f>
        <x:v>154.32783995016197</x:v>
      </x:c>
      <x:c r="F9" s="48" t="n">
        <x:f>Geometry!L9</x:f>
        <x:v>-8.688444306005465</x:v>
      </x:c>
      <x:c r="G9" s="48" t="n">
        <x:f>Geometry!M9</x:f>
        <x:v>265.672160049838</x:v>
      </x:c>
      <x:c r="H9" s="48" t="n">
        <x:f>Transfer!G9</x:f>
        <x:v>0</x:v>
      </x:c>
      <x:c r="I9" s="48" t="n">
        <x:f>Transfer!H9</x:f>
        <x:v>0</x:v>
      </x:c>
      <x:c r="J9" s="48" t="n">
        <x:f>Transfer!I9</x:f>
        <x:v>0</x:v>
      </x:c>
      <x:c r="K9" s="48" t="n">
        <x:f>IF(I9&gt;0,Assumptions!C26-J9,Assumptions!C26)</x:f>
        <x:v>60</x:v>
      </x:c>
      <x:c r="L9" s="48" t="str">
        <x:f>Transfer!Q9</x:f>
        <x:v>FAIL</x:v>
      </x:c>
      <x:c r="M9" s="48" t="str">
        <x:f>Weather!E17</x:f>
        <x:v>FAIL</x:v>
      </x:c>
      <x:c r="N9" s="48" t="str">
        <x:f>IF(AND(F9&gt;=0,G9&gt;=0,K9&gt;=0,L9="PASS",M9="PASS"),"PASS","FAIL")</x:f>
        <x:v>FAIL</x:v>
      </x:c>
      <x:c r="O9" s="48" t="n">
        <x:f>Architectures!AD9</x:f>
        <x:v>4.6</x:v>
      </x:c>
      <x:c r="P9" s="48" t="n">
        <x:f>O9-2.2</x:f>
        <x:v>2.3999999999999995</x:v>
      </x:c>
      <x:c r="Q9" s="67" t="n">
        <x:f>Architectures!AI9</x:f>
        <x:v>0.75</x:v>
      </x:c>
    </x:row>
    <x:row r="10">
      <x:c r="B10" s="42" t="str">
        <x:f>Architectures!B10</x:f>
        <x:v>H4</x:v>
      </x:c>
      <x:c r="C10" s="42" t="str">
        <x:f>Architectures!C10</x:f>
        <x:v>DBX-340 detachable ballast-exchange carrier</x:v>
      </x:c>
      <x:c r="D10" s="68" t="n">
        <x:f>Geometry!J10</x:f>
        <x:v>418.5674668483651</x:v>
      </x:c>
      <x:c r="E10" s="68" t="n">
        <x:f>Geometry!K10</x:f>
        <x:v>80.49374362468559</x:v>
      </x:c>
      <x:c r="F10" s="68" t="n">
        <x:f>Geometry!L10</x:f>
        <x:v>1.4325331516349138</x:v>
      </x:c>
      <x:c r="G10" s="68" t="n">
        <x:f>Geometry!M10</x:f>
        <x:v>339.5062563753144</x:v>
      </x:c>
      <x:c r="H10" s="68" t="n">
        <x:f>Transfer!G10</x:f>
        <x:v>0</x:v>
      </x:c>
      <x:c r="I10" s="68" t="n">
        <x:f>Transfer!H10</x:f>
        <x:v>0</x:v>
      </x:c>
      <x:c r="J10" s="68" t="n">
        <x:f>Transfer!I10</x:f>
        <x:v>0</x:v>
      </x:c>
      <x:c r="K10" s="68" t="n">
        <x:f>IF(I10&gt;0,Assumptions!C26-J10,Assumptions!C26)</x:f>
        <x:v>60</x:v>
      </x:c>
      <x:c r="L10" s="68" t="str">
        <x:f>Transfer!Q10</x:f>
        <x:v>FAIL</x:v>
      </x:c>
      <x:c r="M10" s="68" t="str">
        <x:f>Weather!E18</x:f>
        <x:v>FAIL</x:v>
      </x:c>
      <x:c r="N10" s="68" t="str">
        <x:f>IF(AND(F10&gt;=0,G10&gt;=0,K10&gt;=0,L10="PASS",M10="PASS"),"PASS","FAIL")</x:f>
        <x:v>FAIL</x:v>
      </x:c>
      <x:c r="O10" s="68" t="n">
        <x:f>Architectures!AD10</x:f>
        <x:v>3.5</x:v>
      </x:c>
      <x:c r="P10" s="68" t="n">
        <x:f>O10-2.2</x:f>
        <x:v>1.2999999999999998</x:v>
      </x:c>
      <x:c r="Q10" s="69" t="n">
        <x:f>Architectures!AI10</x:f>
        <x:v>0.6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B13" s="8" t="str">
        <x:v>Selected-reference physical interface</x:v>
      </x:c>
      <x:c r="C13" s="9" t="str">
        <x:v>Selected-reference physical interface</x:v>
      </x:c>
      <x:c r="D13" s="9" t="str">
        <x:v>Selected-reference physical interface</x:v>
      </x:c>
      <x:c r="E13" s="9" t="str">
        <x:v>Selected-reference physical interface</x:v>
      </x:c>
      <x:c r="F13" s="9" t="str">
        <x:v>Selected-reference physical interface</x:v>
      </x:c>
      <x:c r="G13" s="9" t="str">
        <x:v>Selected-reference physical interface</x:v>
      </x:c>
      <x:c r="H13" s="9" t="str">
        <x:v>Selected-reference physical interface</x:v>
      </x:c>
      <x:c r="I13" s="9" t="str">
        <x:v>Selected-reference physical interface</x:v>
      </x:c>
      <x:c r="J13" s="9" t="str">
        <x:v>Selected-reference physical interface</x:v>
      </x:c>
      <x:c r="K13" s="9" t="str">
        <x:v>Selected-reference physical interface</x:v>
      </x:c>
      <x:c r="L13" s="9" t="str">
        <x:v>Selected-reference physical interface</x:v>
      </x:c>
      <x:c r="M13" s="9" t="str">
        <x:v>Selected-reference physical interface</x:v>
      </x:c>
      <x:c r="N13" s="9" t="str">
        <x:v>Selected-reference physical interface</x:v>
      </x:c>
      <x:c r="O13" s="9" t="str">
        <x:v>Selected-reference physical interface</x:v>
      </x:c>
      <x:c r="P13" s="9" t="str">
        <x:v>Selected-reference physical interface</x:v>
      </x:c>
      <x:c r="Q13" s="10" t="str">
        <x:v>Selected-reference physical interface</x:v>
      </x:c>
    </x:row>
    <x:row r="14">
      <x:c r="B14" s="31" t="str">
        <x:v>Requirement</x:v>
      </x:c>
      <x:c r="C14" s="32" t="str">
        <x:v>Value</x:v>
      </x:c>
      <x:c r="D14" s="32" t="str">
        <x:v>Unit</x:v>
      </x:c>
      <x:c r="E14" s="32" t="str">
        <x:v>Implementation</x:v>
      </x:c>
      <x:c r="F14" s="32" t="str">
        <x:v>Evidence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B15" s="33" t="str">
        <x:v>receiver mode</x:v>
      </x:c>
      <x:c r="C15" s="33" t="str">
        <x:v>ground coupled</x:v>
      </x:c>
      <x:c r="D15" s="33" t="str">
        <x:v>identity</x:v>
      </x:c>
      <x:c r="E15" s="33" t="str">
        <x:v>distributed air-cushion or multi-foot arrest</x:v>
      </x:c>
      <x:c r="F15" s="35" t="str">
        <x:v>OPEN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B16" s="33" t="str">
        <x:v>clear transfer area</x:v>
      </x:c>
      <x:c r="C16" s="33" t="str">
        <x:v>420 x 420</x:v>
      </x:c>
      <x:c r="D16" s="33" t="str">
        <x:v>m</x:v>
      </x:c>
      <x:c r="E16" s="33" t="str">
        <x:v>Pass 82 air zone</x:v>
      </x:c>
      <x:c r="F16" s="35" t="str">
        <x:v>OPEN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B17" s="33" t="str">
        <x:v>bearing floor</x:v>
      </x:c>
      <x:c r="C17" s="33" t="n">
        <x:v>60</x:v>
      </x:c>
      <x:c r="D17" s="33" t="str">
        <x:v>kPa</x:v>
      </x:c>
      <x:c r="E17" s="33" t="str">
        <x:v>load-spreading contact system</x:v>
      </x:c>
      <x:c r="F17" s="35" t="str">
        <x:v>OPEN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B18" s="33" t="str">
        <x:v>approach clearance</x:v>
      </x:c>
      <x:c r="C18" s="33" t="n">
        <x:v>4</x:v>
      </x:c>
      <x:c r="D18" s="33" t="str">
        <x:v>km</x:v>
      </x:c>
      <x:c r="E18" s="33" t="str">
        <x:v>degraded-navigation lane</x:v>
      </x:c>
      <x:c r="F18" s="35" t="str">
        <x:v>OPEN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B19" s="33" t="str">
        <x:v>origin load towers</x:v>
      </x:c>
      <x:c r="C19" s="33" t="n">
        <x:v>2</x:v>
      </x:c>
      <x:c r="D19" s="33" t="str">
        <x:v>systems</x:v>
      </x:c>
      <x:c r="E19" s="33" t="str">
        <x:v>parallel signed load release</x:v>
      </x:c>
      <x:c r="F19" s="35" t="str">
        <x:v>OPEN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B20" s="33" t="str">
        <x:v>base footprint</x:v>
      </x:c>
      <x:c r="C20" s="33" t="n">
        <x:v>2.8</x:v>
      </x:c>
      <x:c r="D20" s="33" t="str">
        <x:v>km2</x:v>
      </x:c>
      <x:c r="E20" s="33" t="str">
        <x:v>expanded hybrid-lift operating field</x:v>
      </x:c>
      <x:c r="F20" s="35" t="str">
        <x:v>OPEN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B21" s="33" t="str">
        <x:v>independent energy buses</x:v>
      </x:c>
      <x:c r="C21" s="33" t="n">
        <x:v>6</x:v>
      </x:c>
      <x:c r="D21" s="33" t="str">
        <x:v>buses</x:v>
      </x:c>
      <x:c r="E21" s="33" t="str">
        <x:v>segmented high-power propulsion</x:v>
      </x:c>
      <x:c r="F21" s="35" t="str">
        <x:v>OPEN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B22" s="42" t="str">
        <x:v>public release teams</x:v>
      </x:c>
      <x:c r="C22" s="42" t="n">
        <x:v>1</x:v>
      </x:c>
      <x:c r="D22" s="42" t="str">
        <x:v>team</x:v>
      </x:c>
      <x:c r="E22" s="42" t="str">
        <x:v>separate from vehicle release</x:v>
      </x:c>
      <x:c r="F22" s="44" t="str">
        <x:v>OPEN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</x:sheetData>
  <x:mergeCells>
    <x:mergeCell ref="B13:Q13"/>
  </x:mergeCells>
  <x:conditionalFormatting sqref="L7:N10">
    <x:cfRule type="containsText" dxfId="10" priority="1" operator="containsText" text="FAIL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43" hidden="0" customWidth="1"/>
    <x:col min="4" max="4" width="18" hidden="0" customWidth="1"/>
    <x:col min="5" max="5" width="13" hidden="0" customWidth="1"/>
    <x:col min="6" max="6" width="15" hidden="0" customWidth="1"/>
    <x:col min="7" max="7" width="19" hidden="0" customWidth="1"/>
    <x:col min="8" max="8" width="20" hidden="0" customWidth="1"/>
    <x:col min="9" max="9" width="19" hidden="0" customWidth="1"/>
    <x:col min="10" max="10" width="14" hidden="0" customWidth="1"/>
    <x:col min="11" max="11" width="20" hidden="0" customWidth="1"/>
    <x:col min="12" max="12" width="19" hidden="0" customWidth="1"/>
    <x:col min="13" max="13" width="19" hidden="0" customWidth="1"/>
    <x:col min="14" max="14" width="16" hidden="0" customWidth="1"/>
  </x:cols>
  <x:sheetData>
    <x:row r="2">
      <x:c r="B2" s="3" t="str">
        <x:v>Atmospheric path clock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Architecture must preserve the Pass 82 relative-hour-42 public-service release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31" t="str">
        <x:v>ID</x:v>
      </x:c>
      <x:c r="C6" s="32" t="str">
        <x:v>Architecture</x:v>
      </x:c>
      <x:c r="D6" s="32" t="str">
        <x:v>Origin release h</x:v>
      </x:c>
      <x:c r="E6" s="32" t="str">
        <x:v>Cruise h</x:v>
      </x:c>
      <x:c r="F6" s="32" t="str">
        <x:v>Placement h</x:v>
      </x:c>
      <x:c r="G6" s="32" t="str">
        <x:v>Receiver build h</x:v>
      </x:c>
      <x:c r="H6" s="32" t="str">
        <x:v>Relative service h</x:v>
      </x:c>
      <x:c r="I6" s="32" t="str">
        <x:v>Relative ceiling h</x:v>
      </x:c>
      <x:c r="J6" s="32" t="str">
        <x:v>Margin h</x:v>
      </x:c>
      <x:c r="K6" s="32" t="str">
        <x:v>Absolute activation h</x:v>
      </x:c>
      <x:c r="L6" s="32" t="str">
        <x:v>Absolute service h</x:v>
      </x:c>
      <x:c r="M6" s="32" t="str">
        <x:v>Absolute deadline h</x:v>
      </x:c>
      <x:c r="N6" s="32" t="str">
        <x:v>Clock result</x:v>
      </x:c>
    </x:row>
    <x:row r="7">
      <x:c r="B7" s="33" t="str">
        <x:f>Architectures!B7</x:f>
        <x:v>H1</x:v>
      </x:c>
      <x:c r="C7" s="33" t="str">
        <x:f>Architectures!C7</x:f>
        <x:v>VBC-340 rigid variable-buoyancy monohull</x:v>
      </x:c>
      <x:c r="D7" s="71" t="n">
        <x:f>Assumptions!C15</x:f>
        <x:v>16</x:v>
      </x:c>
      <x:c r="E7" s="71" t="n">
        <x:f>'Power and Energy'!M7</x:f>
        <x:v>17.391304347826086</x:v>
      </x:c>
      <x:c r="F7" s="71" t="n">
        <x:f>Architectures!U7</x:f>
        <x:v>0.6</x:v>
      </x:c>
      <x:c r="G7" s="71" t="n">
        <x:f>Assumptions!C16</x:f>
        <x:v>8</x:v>
      </x:c>
      <x:c r="H7" s="71" t="n">
        <x:f>SUM(D7:G7)</x:f>
        <x:v>41.99130434782609</x:v>
      </x:c>
      <x:c r="I7" s="71" t="n">
        <x:f>Assumptions!C14</x:f>
        <x:v>42</x:v>
      </x:c>
      <x:c r="J7" s="71" t="n">
        <x:f>I7-H7</x:f>
        <x:v>0.00869565217391255</x:v>
      </x:c>
      <x:c r="K7" s="71" t="n">
        <x:v>6</x:v>
      </x:c>
      <x:c r="L7" s="71" t="n">
        <x:f>H7+K7</x:f>
        <x:v>47.99130434782609</x:v>
      </x:c>
      <x:c r="M7" s="71" t="n">
        <x:v>54</x:v>
      </x:c>
      <x:c r="N7" s="35" t="str">
        <x:f>IF(AND(J7&gt;=0,L7&lt;=M7),"PASS","FAIL")</x:f>
        <x:v>PASS</x:v>
      </x:c>
    </x:row>
    <x:row r="8">
      <x:c r="B8" s="33" t="str">
        <x:f>Architectures!B8</x:f>
        <x:v>H2</x:v>
      </x:c>
      <x:c r="C8" s="33" t="str">
        <x:f>Architectures!C8</x:f>
        <x:v>GCH-340 ground-coupled hybrid lifting body</x:v>
      </x:c>
      <x:c r="D8" s="71" t="n">
        <x:f>Assumptions!C15</x:f>
        <x:v>16</x:v>
      </x:c>
      <x:c r="E8" s="71" t="n">
        <x:f>'Power and Energy'!M8</x:f>
        <x:v>16.666666666666668</x:v>
      </x:c>
      <x:c r="F8" s="71" t="n">
        <x:f>Architectures!U8</x:f>
        <x:v>1.25</x:v>
      </x:c>
      <x:c r="G8" s="71" t="n">
        <x:f>Assumptions!C16</x:f>
        <x:v>8</x:v>
      </x:c>
      <x:c r="H8" s="71" t="n">
        <x:f>SUM(D8:G8)</x:f>
        <x:v>41.91666666666667</x:v>
      </x:c>
      <x:c r="I8" s="71" t="n">
        <x:f>Assumptions!C14</x:f>
        <x:v>42</x:v>
      </x:c>
      <x:c r="J8" s="71" t="n">
        <x:f>I8-H8</x:f>
        <x:v>0.0833333333333286</x:v>
      </x:c>
      <x:c r="K8" s="71" t="n">
        <x:v>6</x:v>
      </x:c>
      <x:c r="L8" s="71" t="n">
        <x:f>H8+K8</x:f>
        <x:v>47.91666666666667</x:v>
      </x:c>
      <x:c r="M8" s="71" t="n">
        <x:v>54</x:v>
      </x:c>
      <x:c r="N8" s="35" t="str">
        <x:f>IF(AND(J8&gt;=0,L8&lt;=M8),"PASS","FAIL")</x:f>
        <x:v>PASS</x:v>
      </x:c>
    </x:row>
    <x:row r="9">
      <x:c r="B9" s="33" t="str">
        <x:f>Architectures!B9</x:f>
        <x:v>H3</x:v>
      </x:c>
      <x:c r="C9" s="33" t="str">
        <x:f>Architectures!C9</x:f>
        <x:v>TGC-340 twin-hull buoyant gantry</x:v>
      </x:c>
      <x:c r="D9" s="71" t="n">
        <x:f>Assumptions!C15</x:f>
        <x:v>16</x:v>
      </x:c>
      <x:c r="E9" s="71" t="n">
        <x:f>'Power and Energy'!M9</x:f>
        <x:v>19.047619047619047</x:v>
      </x:c>
      <x:c r="F9" s="71" t="n">
        <x:f>Architectures!U9</x:f>
        <x:v>1</x:v>
      </x:c>
      <x:c r="G9" s="71" t="n">
        <x:f>Assumptions!C16</x:f>
        <x:v>8</x:v>
      </x:c>
      <x:c r="H9" s="71" t="n">
        <x:f>SUM(D9:G9)</x:f>
        <x:v>44.04761904761905</x:v>
      </x:c>
      <x:c r="I9" s="71" t="n">
        <x:f>Assumptions!C14</x:f>
        <x:v>42</x:v>
      </x:c>
      <x:c r="J9" s="71" t="n">
        <x:f>I9-H9</x:f>
        <x:v>-2.047619047619051</x:v>
      </x:c>
      <x:c r="K9" s="71" t="n">
        <x:v>6</x:v>
      </x:c>
      <x:c r="L9" s="71" t="n">
        <x:f>H9+K9</x:f>
        <x:v>50.04761904761905</x:v>
      </x:c>
      <x:c r="M9" s="71" t="n">
        <x:v>54</x:v>
      </x:c>
      <x:c r="N9" s="35" t="str">
        <x:f>IF(AND(J9&gt;=0,L9&lt;=M9),"PASS","FAIL")</x:f>
        <x:v>FAIL</x:v>
      </x:c>
    </x:row>
    <x:row r="10">
      <x:c r="B10" s="42" t="str">
        <x:f>Architectures!B10</x:f>
        <x:v>H4</x:v>
      </x:c>
      <x:c r="C10" s="42" t="str">
        <x:f>Architectures!C10</x:f>
        <x:v>DBX-340 detachable ballast-exchange carrier</x:v>
      </x:c>
      <x:c r="D10" s="72" t="n">
        <x:f>Assumptions!C15</x:f>
        <x:v>16</x:v>
      </x:c>
      <x:c r="E10" s="72" t="n">
        <x:f>'Power and Energy'!M10</x:f>
        <x:v>16.666666666666668</x:v>
      </x:c>
      <x:c r="F10" s="72" t="n">
        <x:f>Architectures!U10</x:f>
        <x:v>1.1</x:v>
      </x:c>
      <x:c r="G10" s="72" t="n">
        <x:f>Assumptions!C16</x:f>
        <x:v>8</x:v>
      </x:c>
      <x:c r="H10" s="72" t="n">
        <x:f>SUM(D10:G10)</x:f>
        <x:v>41.76666666666667</x:v>
      </x:c>
      <x:c r="I10" s="72" t="n">
        <x:f>Assumptions!C14</x:f>
        <x:v>42</x:v>
      </x:c>
      <x:c r="J10" s="72" t="n">
        <x:f>I10-H10</x:f>
        <x:v>0.23333333333332718</x:v>
      </x:c>
      <x:c r="K10" s="72" t="n">
        <x:v>6</x:v>
      </x:c>
      <x:c r="L10" s="72" t="n">
        <x:f>H10+K10</x:f>
        <x:v>47.76666666666667</x:v>
      </x:c>
      <x:c r="M10" s="72" t="n">
        <x:v>54</x:v>
      </x:c>
      <x:c r="N10" s="44" t="str">
        <x:f>IF(AND(J10&gt;=0,L10&lt;=M10),"PASS","FAIL")</x:f>
        <x:v>PASS</x:v>
      </x:c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</x:sheetData>
  <x:conditionalFormatting sqref="N7:N10">
    <x:cfRule type="containsText" dxfId="11" priority="1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9" hidden="0" customWidth="1"/>
    <x:col min="3" max="3" width="38" hidden="0" customWidth="1"/>
    <x:col min="4" max="4" width="22" hidden="0" customWidth="1"/>
    <x:col min="5" max="5" width="19" hidden="0" customWidth="1"/>
    <x:col min="6" max="6" width="17" hidden="0" customWidth="1"/>
    <x:col min="7" max="7" width="20" hidden="0" customWidth="1"/>
    <x:col min="8" max="8" width="19" hidden="0" customWidth="1"/>
    <x:col min="9" max="9" width="18" hidden="0" customWidth="1"/>
    <x:col min="10" max="10" width="13" hidden="0" customWidth="1"/>
    <x:col min="11" max="11" width="14" hidden="0" customWidth="1"/>
    <x:col min="12" max="12" width="14" hidden="0" customWidth="1"/>
    <x:col min="13" max="13" width="19" hidden="0" customWidth="1"/>
    <x:col min="14" max="14" width="15" hidden="0" customWidth="1"/>
    <x:col min="15" max="15" width="17" hidden="0" customWidth="1"/>
    <x:col min="16" max="16" width="49" hidden="0" customWidth="1"/>
  </x:cols>
  <x:sheetData>
    <x:row r="2">
      <x:c r="B2" s="3" t="str">
        <x:v>Selected H2 internal failures and formation consequences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The HBL path is internally fault-tolerant, while total HBL loss still shifts the public effect to terrain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31" t="str">
        <x:v>World</x:v>
      </x:c>
      <x:c r="C6" s="32" t="str">
        <x:v>Failure insertion</x:v>
      </x:c>
      <x:c r="D6" s="32" t="str">
        <x:v>Propulsion available</x:v>
      </x:c>
      <x:c r="E6" s="32" t="str">
        <x:v>Energy available</x:v>
      </x:c>
      <x:c r="F6" s="32" t="str">
        <x:v>Lift available</x:v>
      </x:c>
      <x:c r="G6" s="32" t="str">
        <x:v>Contact available</x:v>
      </x:c>
      <x:c r="H6" s="32" t="str">
        <x:v>Control available</x:v>
      </x:c>
      <x:c r="I6" s="32" t="str">
        <x:v>Cargo transfer</x:v>
      </x:c>
      <x:c r="J6" s="32" t="str">
        <x:v>HBL path</x:v>
      </x:c>
      <x:c r="K6" s="32" t="str">
        <x:v>Terrain cell</x:v>
      </x:c>
      <x:c r="L6" s="32" t="str">
        <x:v>DCP effect</x:v>
      </x:c>
      <x:c r="M6" s="32" t="str">
        <x:v>Evidence available</x:v>
      </x:c>
      <x:c r="N6" s="32" t="str">
        <x:v>Behavior</x:v>
      </x:c>
      <x:c r="O6" s="32" t="str">
        <x:v>Current credit</x:v>
      </x:c>
      <x:c r="P6" s="32" t="str">
        <x:v>Interpretation</x:v>
      </x:c>
    </x:row>
    <x:row r="7">
      <x:c r="B7" s="33" t="str">
        <x:v>W01</x:v>
      </x:c>
      <x:c r="C7" s="33" t="str">
        <x:v>nominal</x:v>
      </x:c>
      <x:c r="D7" s="33" t="n">
        <x:v>1</x:v>
      </x:c>
      <x:c r="E7" s="33" t="n">
        <x:v>1</x:v>
      </x:c>
      <x:c r="F7" s="33" t="n">
        <x:v>1</x:v>
      </x:c>
      <x:c r="G7" s="33" t="n">
        <x:v>1</x:v>
      </x:c>
      <x:c r="H7" s="33" t="n">
        <x:v>1</x:v>
      </x:c>
      <x:c r="I7" s="33" t="n">
        <x:v>1</x:v>
      </x:c>
      <x:c r="J7" s="33" t="n">
        <x:v>1</x:v>
      </x:c>
      <x:c r="K7" s="33" t="n">
        <x:v>1</x:v>
      </x:c>
      <x:c r="L7" s="33" t="n">
        <x:f>MAX(J7,K7)</x:f>
        <x:v>1</x:v>
      </x:c>
      <x:c r="M7" s="33" t="n">
        <x:v>0</x:v>
      </x:c>
      <x:c r="N7" s="33" t="str">
        <x:f>IF(L7=1,"PASS","FAIL")</x:f>
        <x:v>PASS</x:v>
      </x:c>
      <x:c r="O7" s="33" t="str">
        <x:f>IF(AND(N7="PASS",M7=1),"PASS","FAIL")</x:f>
        <x:v>FAIL</x:v>
      </x:c>
      <x:c r="P7" s="35" t="str">
        <x:v>selected-path behavior</x:v>
      </x:c>
    </x:row>
    <x:row r="8">
      <x:c r="B8" s="33" t="str">
        <x:v>W02</x:v>
      </x:c>
      <x:c r="C8" s="33" t="str">
        <x:v>one propulsion pod lost</x:v>
      </x:c>
      <x:c r="D8" s="33" t="n">
        <x:v>1</x:v>
      </x:c>
      <x:c r="E8" s="33" t="n">
        <x:v>1</x:v>
      </x:c>
      <x:c r="F8" s="33" t="n">
        <x:v>1</x:v>
      </x:c>
      <x:c r="G8" s="33" t="n">
        <x:v>1</x:v>
      </x:c>
      <x:c r="H8" s="33" t="n">
        <x:v>1</x:v>
      </x:c>
      <x:c r="I8" s="33" t="n">
        <x:v>1</x:v>
      </x:c>
      <x:c r="J8" s="33" t="n">
        <x:v>1</x:v>
      </x:c>
      <x:c r="K8" s="33" t="n">
        <x:v>1</x:v>
      </x:c>
      <x:c r="L8" s="33" t="n">
        <x:f>MAX(J8,K8)</x:f>
        <x:v>1</x:v>
      </x:c>
      <x:c r="M8" s="33" t="n">
        <x:v>0</x:v>
      </x:c>
      <x:c r="N8" s="33" t="str">
        <x:f>IF(L8=1,"PASS","FAIL")</x:f>
        <x:v>PASS</x:v>
      </x:c>
      <x:c r="O8" s="33" t="str">
        <x:f>IF(AND(N8="PASS",M8=1),"PASS","FAIL")</x:f>
        <x:v>FAIL</x:v>
      </x:c>
      <x:c r="P8" s="35" t="str">
        <x:v>selected-path behavior</x:v>
      </x:c>
    </x:row>
    <x:row r="9">
      <x:c r="B9" s="33" t="str">
        <x:v>W03</x:v>
      </x:c>
      <x:c r="C9" s="33" t="str">
        <x:v>one of six energy sectors lost</x:v>
      </x:c>
      <x:c r="D9" s="33" t="n">
        <x:v>1</x:v>
      </x:c>
      <x:c r="E9" s="33" t="n">
        <x:v>1</x:v>
      </x:c>
      <x:c r="F9" s="33" t="n">
        <x:v>1</x:v>
      </x:c>
      <x:c r="G9" s="33" t="n">
        <x:v>1</x:v>
      </x:c>
      <x:c r="H9" s="33" t="n">
        <x:v>1</x:v>
      </x:c>
      <x:c r="I9" s="33" t="n">
        <x:v>1</x:v>
      </x:c>
      <x:c r="J9" s="33" t="n">
        <x:v>1</x:v>
      </x:c>
      <x:c r="K9" s="33" t="n">
        <x:v>1</x:v>
      </x:c>
      <x:c r="L9" s="33" t="n">
        <x:f>MAX(J9,K9)</x:f>
        <x:v>1</x:v>
      </x:c>
      <x:c r="M9" s="33" t="n">
        <x:v>0</x:v>
      </x:c>
      <x:c r="N9" s="33" t="str">
        <x:f>IF(L9=1,"PASS","FAIL")</x:f>
        <x:v>PASS</x:v>
      </x:c>
      <x:c r="O9" s="33" t="str">
        <x:f>IF(AND(N9="PASS",M9=1),"PASS","FAIL")</x:f>
        <x:v>FAIL</x:v>
      </x:c>
      <x:c r="P9" s="35" t="str">
        <x:v>selected-path behavior</x:v>
      </x:c>
    </x:row>
    <x:row r="10">
      <x:c r="B10" s="33" t="str">
        <x:v>W04</x:v>
      </x:c>
      <x:c r="C10" s="33" t="str">
        <x:v>one of twenty lift cells lost</x:v>
      </x:c>
      <x:c r="D10" s="33" t="n">
        <x:v>1</x:v>
      </x:c>
      <x:c r="E10" s="33" t="n">
        <x:v>1</x:v>
      </x:c>
      <x:c r="F10" s="33" t="n">
        <x:v>1</x:v>
      </x:c>
      <x:c r="G10" s="33" t="n">
        <x:v>1</x:v>
      </x:c>
      <x:c r="H10" s="33" t="n">
        <x:v>1</x:v>
      </x:c>
      <x:c r="I10" s="33" t="n">
        <x:v>1</x:v>
      </x:c>
      <x:c r="J10" s="33" t="n">
        <x:v>1</x:v>
      </x:c>
      <x:c r="K10" s="33" t="n">
        <x:v>1</x:v>
      </x:c>
      <x:c r="L10" s="33" t="n">
        <x:f>MAX(J10,K10)</x:f>
        <x:v>1</x:v>
      </x:c>
      <x:c r="M10" s="33" t="n">
        <x:v>0</x:v>
      </x:c>
      <x:c r="N10" s="33" t="str">
        <x:f>IF(L10=1,"PASS","FAIL")</x:f>
        <x:v>PASS</x:v>
      </x:c>
      <x:c r="O10" s="33" t="str">
        <x:f>IF(AND(N10="PASS",M10=1),"PASS","FAIL")</x:f>
        <x:v>FAIL</x:v>
      </x:c>
      <x:c r="P10" s="35" t="str">
        <x:v>selected-path behavior</x:v>
      </x:c>
    </x:row>
    <x:row r="11">
      <x:c r="B11" s="33" t="str">
        <x:v>W05</x:v>
      </x:c>
      <x:c r="C11" s="33" t="str">
        <x:v>one of twelve contact sectors lost</x:v>
      </x:c>
      <x:c r="D11" s="33" t="n">
        <x:v>1</x:v>
      </x:c>
      <x:c r="E11" s="33" t="n">
        <x:v>1</x:v>
      </x:c>
      <x:c r="F11" s="33" t="n">
        <x:v>1</x:v>
      </x:c>
      <x:c r="G11" s="33" t="n">
        <x:v>1</x:v>
      </x:c>
      <x:c r="H11" s="33" t="n">
        <x:v>1</x:v>
      </x:c>
      <x:c r="I11" s="33" t="n">
        <x:v>1</x:v>
      </x:c>
      <x:c r="J11" s="33" t="n">
        <x:v>1</x:v>
      </x:c>
      <x:c r="K11" s="33" t="n">
        <x:v>1</x:v>
      </x:c>
      <x:c r="L11" s="33" t="n">
        <x:f>MAX(J11,K11)</x:f>
        <x:v>1</x:v>
      </x:c>
      <x:c r="M11" s="33" t="n">
        <x:v>0</x:v>
      </x:c>
      <x:c r="N11" s="33" t="str">
        <x:f>IF(L11=1,"PASS","FAIL")</x:f>
        <x:v>PASS</x:v>
      </x:c>
      <x:c r="O11" s="33" t="str">
        <x:f>IF(AND(N11="PASS",M11=1),"PASS","FAIL")</x:f>
        <x:v>FAIL</x:v>
      </x:c>
      <x:c r="P11" s="35" t="str">
        <x:v>selected-path behavior</x:v>
      </x:c>
    </x:row>
    <x:row r="12">
      <x:c r="B12" s="33" t="str">
        <x:v>W06</x:v>
      </x:c>
      <x:c r="C12" s="33" t="str">
        <x:v>national network denied</x:v>
      </x:c>
      <x:c r="D12" s="33" t="n">
        <x:v>1</x:v>
      </x:c>
      <x:c r="E12" s="33" t="n">
        <x:v>1</x:v>
      </x:c>
      <x:c r="F12" s="33" t="n">
        <x:v>1</x:v>
      </x:c>
      <x:c r="G12" s="33" t="n">
        <x:v>1</x:v>
      </x:c>
      <x:c r="H12" s="33" t="n">
        <x:v>1</x:v>
      </x:c>
      <x:c r="I12" s="33" t="n">
        <x:v>1</x:v>
      </x:c>
      <x:c r="J12" s="33" t="n">
        <x:v>1</x:v>
      </x:c>
      <x:c r="K12" s="33" t="n">
        <x:v>1</x:v>
      </x:c>
      <x:c r="L12" s="33" t="n">
        <x:f>MAX(J12,K12)</x:f>
        <x:v>1</x:v>
      </x:c>
      <x:c r="M12" s="33" t="n">
        <x:v>0</x:v>
      </x:c>
      <x:c r="N12" s="33" t="str">
        <x:f>IF(L12=1,"PASS","FAIL")</x:f>
        <x:v>PASS</x:v>
      </x:c>
      <x:c r="O12" s="33" t="str">
        <x:f>IF(AND(N12="PASS",M12=1),"PASS","FAIL")</x:f>
        <x:v>FAIL</x:v>
      </x:c>
      <x:c r="P12" s="35" t="str">
        <x:v>selected-path behavior</x:v>
      </x:c>
    </x:row>
    <x:row r="13">
      <x:c r="B13" s="33" t="str">
        <x:v>W07</x:v>
      </x:c>
      <x:c r="C13" s="33" t="str">
        <x:v>one control lane lost</x:v>
      </x:c>
      <x:c r="D13" s="33" t="n">
        <x:v>1</x:v>
      </x:c>
      <x:c r="E13" s="33" t="n">
        <x:v>1</x:v>
      </x:c>
      <x:c r="F13" s="33" t="n">
        <x:v>1</x:v>
      </x:c>
      <x:c r="G13" s="33" t="n">
        <x:v>1</x:v>
      </x:c>
      <x:c r="H13" s="33" t="n">
        <x:v>1</x:v>
      </x:c>
      <x:c r="I13" s="33" t="n">
        <x:v>1</x:v>
      </x:c>
      <x:c r="J13" s="33" t="n">
        <x:v>1</x:v>
      </x:c>
      <x:c r="K13" s="33" t="n">
        <x:v>1</x:v>
      </x:c>
      <x:c r="L13" s="33" t="n">
        <x:f>MAX(J13,K13)</x:f>
        <x:v>1</x:v>
      </x:c>
      <x:c r="M13" s="33" t="n">
        <x:v>0</x:v>
      </x:c>
      <x:c r="N13" s="33" t="str">
        <x:f>IF(L13=1,"PASS","FAIL")</x:f>
        <x:v>PASS</x:v>
      </x:c>
      <x:c r="O13" s="33" t="str">
        <x:f>IF(AND(N13="PASS",M13=1),"PASS","FAIL")</x:f>
        <x:v>FAIL</x:v>
      </x:c>
      <x:c r="P13" s="35" t="str">
        <x:v>selected-path behavior</x:v>
      </x:c>
    </x:row>
    <x:row r="14">
      <x:c r="B14" s="33" t="str">
        <x:v>W08</x:v>
      </x:c>
      <x:c r="C14" s="33" t="str">
        <x:v>one cargo actuator lost</x:v>
      </x:c>
      <x:c r="D14" s="33" t="n">
        <x:v>1</x:v>
      </x:c>
      <x:c r="E14" s="33" t="n">
        <x:v>1</x:v>
      </x:c>
      <x:c r="F14" s="33" t="n">
        <x:v>1</x:v>
      </x:c>
      <x:c r="G14" s="33" t="n">
        <x:v>1</x:v>
      </x:c>
      <x:c r="H14" s="33" t="n">
        <x:v>1</x:v>
      </x:c>
      <x:c r="I14" s="33" t="n">
        <x:v>1</x:v>
      </x:c>
      <x:c r="J14" s="33" t="n">
        <x:v>1</x:v>
      </x:c>
      <x:c r="K14" s="33" t="n">
        <x:v>1</x:v>
      </x:c>
      <x:c r="L14" s="33" t="n">
        <x:f>MAX(J14,K14)</x:f>
        <x:v>1</x:v>
      </x:c>
      <x:c r="M14" s="33" t="n">
        <x:v>0</x:v>
      </x:c>
      <x:c r="N14" s="33" t="str">
        <x:f>IF(L14=1,"PASS","FAIL")</x:f>
        <x:v>PASS</x:v>
      </x:c>
      <x:c r="O14" s="33" t="str">
        <x:f>IF(AND(N14="PASS",M14=1),"PASS","FAIL")</x:f>
        <x:v>FAIL</x:v>
      </x:c>
      <x:c r="P14" s="35" t="str">
        <x:v>selected-path behavior</x:v>
      </x:c>
    </x:row>
    <x:row r="15">
      <x:c r="B15" s="33" t="str">
        <x:v>W09</x:v>
      </x:c>
      <x:c r="C15" s="33" t="str">
        <x:v>flight crew casualty</x:v>
      </x:c>
      <x:c r="D15" s="33" t="n">
        <x:v>1</x:v>
      </x:c>
      <x:c r="E15" s="33" t="n">
        <x:v>1</x:v>
      </x:c>
      <x:c r="F15" s="33" t="n">
        <x:v>1</x:v>
      </x:c>
      <x:c r="G15" s="33" t="n">
        <x:v>1</x:v>
      </x:c>
      <x:c r="H15" s="33" t="n">
        <x:v>1</x:v>
      </x:c>
      <x:c r="I15" s="33" t="n">
        <x:v>1</x:v>
      </x:c>
      <x:c r="J15" s="33" t="n">
        <x:v>1</x:v>
      </x:c>
      <x:c r="K15" s="33" t="n">
        <x:v>1</x:v>
      </x:c>
      <x:c r="L15" s="33" t="n">
        <x:f>MAX(J15,K15)</x:f>
        <x:v>1</x:v>
      </x:c>
      <x:c r="M15" s="33" t="n">
        <x:v>0</x:v>
      </x:c>
      <x:c r="N15" s="33" t="str">
        <x:f>IF(L15=1,"PASS","FAIL")</x:f>
        <x:v>PASS</x:v>
      </x:c>
      <x:c r="O15" s="33" t="str">
        <x:f>IF(AND(N15="PASS",M15=1),"PASS","FAIL")</x:f>
        <x:v>FAIL</x:v>
      </x:c>
      <x:c r="P15" s="35" t="str">
        <x:v>selected-path behavior</x:v>
      </x:c>
    </x:row>
    <x:row r="16">
      <x:c r="B16" s="33" t="str">
        <x:v>W10</x:v>
      </x:c>
      <x:c r="C16" s="33" t="str">
        <x:v>receiver at 60 kPa</x:v>
      </x:c>
      <x:c r="D16" s="33" t="n">
        <x:v>1</x:v>
      </x:c>
      <x:c r="E16" s="33" t="n">
        <x:v>1</x:v>
      </x:c>
      <x:c r="F16" s="33" t="n">
        <x:v>1</x:v>
      </x:c>
      <x:c r="G16" s="33" t="n">
        <x:v>1</x:v>
      </x:c>
      <x:c r="H16" s="33" t="n">
        <x:v>1</x:v>
      </x:c>
      <x:c r="I16" s="33" t="n">
        <x:v>1</x:v>
      </x:c>
      <x:c r="J16" s="33" t="n">
        <x:v>1</x:v>
      </x:c>
      <x:c r="K16" s="33" t="n">
        <x:v>1</x:v>
      </x:c>
      <x:c r="L16" s="33" t="n">
        <x:f>MAX(J16,K16)</x:f>
        <x:v>1</x:v>
      </x:c>
      <x:c r="M16" s="33" t="n">
        <x:v>0</x:v>
      </x:c>
      <x:c r="N16" s="33" t="str">
        <x:f>IF(L16=1,"PASS","FAIL")</x:f>
        <x:v>PASS</x:v>
      </x:c>
      <x:c r="O16" s="33" t="str">
        <x:f>IF(AND(N16="PASS",M16=1),"PASS","FAIL")</x:f>
        <x:v>FAIL</x:v>
      </x:c>
      <x:c r="P16" s="35" t="str">
        <x:v>selected-path behavior</x:v>
      </x:c>
    </x:row>
    <x:row r="17">
      <x:c r="B17" s="33" t="str">
        <x:v>W11</x:v>
      </x:c>
      <x:c r="C17" s="33" t="str">
        <x:v>38 m/s gust case</x:v>
      </x:c>
      <x:c r="D17" s="33" t="n">
        <x:v>1</x:v>
      </x:c>
      <x:c r="E17" s="33" t="n">
        <x:v>1</x:v>
      </x:c>
      <x:c r="F17" s="33" t="n">
        <x:v>1</x:v>
      </x:c>
      <x:c r="G17" s="33" t="n">
        <x:v>1</x:v>
      </x:c>
      <x:c r="H17" s="33" t="n">
        <x:v>1</x:v>
      </x:c>
      <x:c r="I17" s="33" t="n">
        <x:v>1</x:v>
      </x:c>
      <x:c r="J17" s="33" t="n">
        <x:v>1</x:v>
      </x:c>
      <x:c r="K17" s="33" t="n">
        <x:v>1</x:v>
      </x:c>
      <x:c r="L17" s="33" t="n">
        <x:f>MAX(J17,K17)</x:f>
        <x:v>1</x:v>
      </x:c>
      <x:c r="M17" s="33" t="n">
        <x:v>0</x:v>
      </x:c>
      <x:c r="N17" s="33" t="str">
        <x:f>IF(L17=1,"PASS","FAIL")</x:f>
        <x:v>PASS</x:v>
      </x:c>
      <x:c r="O17" s="33" t="str">
        <x:f>IF(AND(N17="PASS",M17=1),"PASS","FAIL")</x:f>
        <x:v>FAIL</x:v>
      </x:c>
      <x:c r="P17" s="35" t="str">
        <x:v>selected-path behavior</x:v>
      </x:c>
    </x:row>
    <x:row r="18">
      <x:c r="B18" s="33" t="str">
        <x:v>W12</x:v>
      </x:c>
      <x:c r="C18" s="33" t="str">
        <x:v>120-minute icing case</x:v>
      </x:c>
      <x:c r="D18" s="33" t="n">
        <x:v>1</x:v>
      </x:c>
      <x:c r="E18" s="33" t="n">
        <x:v>1</x:v>
      </x:c>
      <x:c r="F18" s="33" t="n">
        <x:v>1</x:v>
      </x:c>
      <x:c r="G18" s="33" t="n">
        <x:v>1</x:v>
      </x:c>
      <x:c r="H18" s="33" t="n">
        <x:v>1</x:v>
      </x:c>
      <x:c r="I18" s="33" t="n">
        <x:v>1</x:v>
      </x:c>
      <x:c r="J18" s="33" t="n">
        <x:v>1</x:v>
      </x:c>
      <x:c r="K18" s="33" t="n">
        <x:v>1</x:v>
      </x:c>
      <x:c r="L18" s="33" t="n">
        <x:f>MAX(J18,K18)</x:f>
        <x:v>1</x:v>
      </x:c>
      <x:c r="M18" s="33" t="n">
        <x:v>0</x:v>
      </x:c>
      <x:c r="N18" s="33" t="str">
        <x:f>IF(L18=1,"PASS","FAIL")</x:f>
        <x:v>PASS</x:v>
      </x:c>
      <x:c r="O18" s="33" t="str">
        <x:f>IF(AND(N18="PASS",M18=1),"PASS","FAIL")</x:f>
        <x:v>FAIL</x:v>
      </x:c>
      <x:c r="P18" s="35" t="str">
        <x:v>selected-path behavior</x:v>
      </x:c>
    </x:row>
    <x:row r="19">
      <x:c r="B19" s="33" t="str">
        <x:v>W13</x:v>
      </x:c>
      <x:c r="C19" s="33" t="str">
        <x:v>one HBL vehicle lost</x:v>
      </x:c>
      <x:c r="D19" s="33" t="n">
        <x:v>0</x:v>
      </x:c>
      <x:c r="E19" s="33" t="n">
        <x:v>0</x:v>
      </x:c>
      <x:c r="F19" s="33" t="n">
        <x:v>0</x:v>
      </x:c>
      <x:c r="G19" s="33" t="n">
        <x:v>0</x:v>
      </x:c>
      <x:c r="H19" s="33" t="n">
        <x:v>0</x:v>
      </x:c>
      <x:c r="I19" s="33" t="n">
        <x:v>0</x:v>
      </x:c>
      <x:c r="J19" s="33" t="n">
        <x:v>0</x:v>
      </x:c>
      <x:c r="K19" s="33" t="n">
        <x:v>1</x:v>
      </x:c>
      <x:c r="L19" s="33" t="n">
        <x:f>MAX(J19,K19)</x:f>
        <x:v>1</x:v>
      </x:c>
      <x:c r="M19" s="33" t="n">
        <x:v>0</x:v>
      </x:c>
      <x:c r="N19" s="33" t="str">
        <x:f>IF(L19=1,"PASS","FAIL")</x:f>
        <x:v>PASS</x:v>
      </x:c>
      <x:c r="O19" s="33" t="str">
        <x:f>IF(AND(N19="PASS",M19=1),"PASS","FAIL")</x:f>
        <x:v>FAIL</x:v>
      </x:c>
      <x:c r="P19" s="35" t="str">
        <x:v>atmospheric cell incomplete; terrain preserves service</x:v>
      </x:c>
    </x:row>
    <x:row r="20">
      <x:c r="B20" s="33" t="str">
        <x:v>W14</x:v>
      </x:c>
      <x:c r="C20" s="33" t="str">
        <x:v>air receiver zone denied</x:v>
      </x:c>
      <x:c r="D20" s="33" t="n">
        <x:v>1</x:v>
      </x:c>
      <x:c r="E20" s="33" t="n">
        <x:v>1</x:v>
      </x:c>
      <x:c r="F20" s="33" t="n">
        <x:v>1</x:v>
      </x:c>
      <x:c r="G20" s="33" t="n">
        <x:v>0</x:v>
      </x:c>
      <x:c r="H20" s="33" t="n">
        <x:v>1</x:v>
      </x:c>
      <x:c r="I20" s="33" t="n">
        <x:v>0</x:v>
      </x:c>
      <x:c r="J20" s="33" t="n">
        <x:v>0</x:v>
      </x:c>
      <x:c r="K20" s="33" t="n">
        <x:v>1</x:v>
      </x:c>
      <x:c r="L20" s="33" t="n">
        <x:f>MAX(J20,K20)</x:f>
        <x:v>1</x:v>
      </x:c>
      <x:c r="M20" s="33" t="n">
        <x:v>0</x:v>
      </x:c>
      <x:c r="N20" s="33" t="str">
        <x:f>IF(L20=1,"PASS","FAIL")</x:f>
        <x:v>PASS</x:v>
      </x:c>
      <x:c r="O20" s="33" t="str">
        <x:f>IF(AND(N20="PASS",M20=1),"PASS","FAIL")</x:f>
        <x:v>FAIL</x:v>
      </x:c>
      <x:c r="P20" s="35" t="str">
        <x:v>receiver loss shifts service to terrain</x:v>
      </x:c>
    </x:row>
    <x:row r="21">
      <x:c r="B21" s="33" t="str">
        <x:v>W15</x:v>
      </x:c>
      <x:c r="C21" s="33" t="str">
        <x:v>both air and terrain modes denied</x:v>
      </x:c>
      <x:c r="D21" s="33" t="n">
        <x:v>0</x:v>
      </x:c>
      <x:c r="E21" s="33" t="n">
        <x:v>0</x:v>
      </x:c>
      <x:c r="F21" s="33" t="n">
        <x:v>0</x:v>
      </x:c>
      <x:c r="G21" s="33" t="n">
        <x:v>0</x:v>
      </x:c>
      <x:c r="H21" s="33" t="n">
        <x:v>0</x:v>
      </x:c>
      <x:c r="I21" s="33" t="n">
        <x:v>0</x:v>
      </x:c>
      <x:c r="J21" s="33" t="n">
        <x:v>0</x:v>
      </x:c>
      <x:c r="K21" s="33" t="n">
        <x:v>0</x:v>
      </x:c>
      <x:c r="L21" s="33" t="n">
        <x:f>MAX(J21,K21)</x:f>
        <x:v>0</x:v>
      </x:c>
      <x:c r="M21" s="33" t="n">
        <x:v>0</x:v>
      </x:c>
      <x:c r="N21" s="33" t="str">
        <x:f>IF(L21=1,"PASS","FAIL")</x:f>
        <x:v>FAIL</x:v>
      </x:c>
      <x:c r="O21" s="33" t="str">
        <x:f>IF(AND(N21="PASS",M21=1),"PASS","FAIL")</x:f>
        <x:v>FAIL</x:v>
      </x:c>
      <x:c r="P21" s="35" t="str">
        <x:v>outside current guarantee</x:v>
      </x:c>
    </x:row>
    <x:row r="22">
      <x:c r="B22" s="42" t="str">
        <x:v>W16</x:v>
      </x:c>
      <x:c r="C22" s="42" t="str">
        <x:v>representative evidence withheld</x:v>
      </x:c>
      <x:c r="D22" s="42" t="n">
        <x:v>1</x:v>
      </x:c>
      <x:c r="E22" s="42" t="n">
        <x:v>1</x:v>
      </x:c>
      <x:c r="F22" s="42" t="n">
        <x:v>1</x:v>
      </x:c>
      <x:c r="G22" s="42" t="n">
        <x:v>1</x:v>
      </x:c>
      <x:c r="H22" s="42" t="n">
        <x:v>1</x:v>
      </x:c>
      <x:c r="I22" s="42" t="n">
        <x:v>1</x:v>
      </x:c>
      <x:c r="J22" s="42" t="n">
        <x:v>1</x:v>
      </x:c>
      <x:c r="K22" s="42" t="n">
        <x:v>1</x:v>
      </x:c>
      <x:c r="L22" s="42" t="n">
        <x:f>MAX(J22,K22)</x:f>
        <x:v>1</x:v>
      </x:c>
      <x:c r="M22" s="42" t="n">
        <x:v>0</x:v>
      </x:c>
      <x:c r="N22" s="42" t="str">
        <x:f>IF(L22=1,"PASS","FAIL")</x:f>
        <x:v>PASS</x:v>
      </x:c>
      <x:c r="O22" s="42" t="str">
        <x:f>IF(AND(N22="PASS",M22=1),"PASS","FAIL")</x:f>
        <x:v>FAIL</x:v>
      </x:c>
      <x:c r="P22" s="44" t="str">
        <x:v>selected-path behavior</x:v>
      </x:c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</x:sheetData>
  <x:conditionalFormatting sqref="N7:O22">
    <x:cfRule type="containsText" dxfId="12" priority="1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5" hidden="0" customWidth="1"/>
    <x:col min="3" max="3" width="22" hidden="0" customWidth="1"/>
    <x:col min="4" max="4" width="24" hidden="0" customWidth="1"/>
    <x:col min="5" max="5" width="19" hidden="0" customWidth="1"/>
    <x:col min="6" max="6" width="14" hidden="0" customWidth="1"/>
    <x:col min="7" max="7" width="22" hidden="0" customWidth="1"/>
    <x:col min="8" max="8" width="22" hidden="0" customWidth="1"/>
    <x:col min="9" max="9" width="17" hidden="0" customWidth="1"/>
    <x:col min="10" max="10" width="15" hidden="0" customWidth="1"/>
    <x:col min="11" max="11" width="15" hidden="0" customWidth="1"/>
    <x:col min="12" max="12" width="31" hidden="0" customWidth="1"/>
    <x:col min="13" max="13" width="14" hidden="0" customWidth="1"/>
  </x:cols>
  <x:sheetData>
    <x:row r="2">
      <x:c r="B2" s="3" t="str">
        <x:v>H2 concurrent reset and return-to-service boundary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B3" s="4" t="str">
        <x:v>The vehicle must recover as a service system: the longest independent workstream, not the sum of parallel labor, governs reuse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B6" s="31" t="str">
        <x:v>Workstream</x:v>
      </x:c>
      <x:c r="C6" s="32" t="str">
        <x:v>Shutdown and isolate h</x:v>
      </x:c>
      <x:c r="D6" s="32" t="str">
        <x:v>Recover and hand back h</x:v>
      </x:c>
      <x:c r="E6" s="32" t="str">
        <x:v>Decontaminate h</x:v>
      </x:c>
      <x:c r="F6" s="32" t="str">
        <x:v>Inspect h</x:v>
      </x:c>
      <x:c r="G6" s="32" t="str">
        <x:v>Repair allowance h</x:v>
      </x:c>
      <x:c r="H6" s="32" t="str">
        <x:v>Recertify and reload h</x:v>
      </x:c>
      <x:c r="I6" s="32" t="str">
        <x:v>Path total h</x:v>
      </x:c>
      <x:c r="J6" s="32" t="str">
        <x:v>Ceiling h</x:v>
      </x:c>
      <x:c r="K6" s="32" t="str">
        <x:v>Margin h</x:v>
      </x:c>
      <x:c r="L6" s="32" t="str">
        <x:v>Owner</x:v>
      </x:c>
      <x:c r="M6" s="32" t="str">
        <x:v>Result</x:v>
      </x:c>
    </x:row>
    <x:row r="7">
      <x:c r="B7" s="33" t="str">
        <x:v>structure, envelope and lift cells</x:v>
      </x:c>
      <x:c r="C7" s="33" t="n">
        <x:v>4</x:v>
      </x:c>
      <x:c r="D7" s="33" t="n">
        <x:v>12</x:v>
      </x:c>
      <x:c r="E7" s="33" t="n">
        <x:v>18</x:v>
      </x:c>
      <x:c r="F7" s="33" t="n">
        <x:v>64</x:v>
      </x:c>
      <x:c r="G7" s="33" t="n">
        <x:v>30</x:v>
      </x:c>
      <x:c r="H7" s="33" t="n">
        <x:v>14</x:v>
      </x:c>
      <x:c r="I7" s="33" t="n">
        <x:f>SUM(C7:H7)</x:f>
        <x:v>142</x:v>
      </x:c>
      <x:c r="J7" s="33" t="n">
        <x:f>Assumptions!C51</x:f>
        <x:v>168</x:v>
      </x:c>
      <x:c r="K7" s="33" t="n">
        <x:f>J7-I7</x:f>
        <x:v>26</x:v>
      </x:c>
      <x:c r="L7" s="33" t="str">
        <x:v>Access Test Directorate</x:v>
      </x:c>
      <x:c r="M7" s="35" t="str">
        <x:f>IF(K7&gt;=0,"PASS","FAIL")</x:f>
        <x:v>PASS</x:v>
      </x:c>
    </x:row>
    <x:row r="8">
      <x:c r="B8" s="33" t="str">
        <x:v>propulsion, energy and thermal system</x:v>
      </x:c>
      <x:c r="C8" s="33" t="n">
        <x:v>4</x:v>
      </x:c>
      <x:c r="D8" s="33" t="n">
        <x:v>12</x:v>
      </x:c>
      <x:c r="E8" s="33" t="n">
        <x:v>12</x:v>
      </x:c>
      <x:c r="F8" s="33" t="n">
        <x:v>54</x:v>
      </x:c>
      <x:c r="G8" s="33" t="n">
        <x:v>30</x:v>
      </x:c>
      <x:c r="H8" s="33" t="n">
        <x:v>14</x:v>
      </x:c>
      <x:c r="I8" s="33" t="n">
        <x:f>SUM(C8:H8)</x:f>
        <x:v>126</x:v>
      </x:c>
      <x:c r="J8" s="33" t="n">
        <x:f>Assumptions!C51</x:f>
        <x:v>168</x:v>
      </x:c>
      <x:c r="K8" s="33" t="n">
        <x:f>J8-I8</x:f>
        <x:v>42</x:v>
      </x:c>
      <x:c r="L8" s="33" t="str">
        <x:v>air propulsion depot</x:v>
      </x:c>
      <x:c r="M8" s="35" t="str">
        <x:f>IF(K8&gt;=0,"PASS","FAIL")</x:f>
        <x:v>PASS</x:v>
      </x:c>
    </x:row>
    <x:row r="9">
      <x:c r="B9" s="33" t="str">
        <x:v>distributed contact and cargo system</x:v>
      </x:c>
      <x:c r="C9" s="33" t="n">
        <x:v>4</x:v>
      </x:c>
      <x:c r="D9" s="33" t="n">
        <x:v>12</x:v>
      </x:c>
      <x:c r="E9" s="33" t="n">
        <x:v>18</x:v>
      </x:c>
      <x:c r="F9" s="33" t="n">
        <x:v>48</x:v>
      </x:c>
      <x:c r="G9" s="33" t="n">
        <x:v>30</x:v>
      </x:c>
      <x:c r="H9" s="33" t="n">
        <x:v>14</x:v>
      </x:c>
      <x:c r="I9" s="33" t="n">
        <x:f>SUM(C9:H9)</x:f>
        <x:v>126</x:v>
      </x:c>
      <x:c r="J9" s="33" t="n">
        <x:f>Assumptions!C51</x:f>
        <x:v>168</x:v>
      </x:c>
      <x:c r="K9" s="33" t="n">
        <x:f>J9-I9</x:f>
        <x:v>42</x:v>
      </x:c>
      <x:c r="L9" s="33" t="str">
        <x:v>receiver systems depot</x:v>
      </x:c>
      <x:c r="M9" s="35" t="str">
        <x:f>IF(K9&gt;=0,"PASS","FAIL")</x:f>
        <x:v>PASS</x:v>
      </x:c>
    </x:row>
    <x:row r="10">
      <x:c r="B10" s="33" t="str">
        <x:v>crew, autonomy and mission-state reconstruction</x:v>
      </x:c>
      <x:c r="C10" s="33" t="n">
        <x:v>4</x:v>
      </x:c>
      <x:c r="D10" s="33" t="n">
        <x:v>4</x:v>
      </x:c>
      <x:c r="E10" s="33" t="n">
        <x:v>0</x:v>
      </x:c>
      <x:c r="F10" s="33" t="n">
        <x:v>18</x:v>
      </x:c>
      <x:c r="G10" s="33" t="n">
        <x:v>0</x:v>
      </x:c>
      <x:c r="H10" s="33" t="n">
        <x:v>14</x:v>
      </x:c>
      <x:c r="I10" s="33" t="n">
        <x:f>SUM(C10:H10)</x:f>
        <x:v>40</x:v>
      </x:c>
      <x:c r="J10" s="33" t="n">
        <x:f>Assumptions!C51</x:f>
        <x:v>168</x:v>
      </x:c>
      <x:c r="K10" s="33" t="n">
        <x:f>J10-I10</x:f>
        <x:v>128</x:v>
      </x:c>
      <x:c r="L10" s="33" t="str">
        <x:v>air operations school</x:v>
      </x:c>
      <x:c r="M10" s="35" t="str">
        <x:f>IF(K10&gt;=0,"PASS","FAIL")</x:f>
        <x:v>PASS</x:v>
      </x:c>
    </x:row>
    <x:row r="11">
      <x:c r="B11" s="42" t="str">
        <x:v>receiver and atmospheric-base handback</x:v>
      </x:c>
      <x:c r="C11" s="42" t="n">
        <x:v>4</x:v>
      </x:c>
      <x:c r="D11" s="42" t="n">
        <x:v>16</x:v>
      </x:c>
      <x:c r="E11" s="42" t="n">
        <x:v>12</x:v>
      </x:c>
      <x:c r="F11" s="42" t="n">
        <x:v>24</x:v>
      </x:c>
      <x:c r="G11" s="42" t="n">
        <x:v>24</x:v>
      </x:c>
      <x:c r="H11" s="42" t="n">
        <x:v>14</x:v>
      </x:c>
      <x:c r="I11" s="42" t="n">
        <x:f>SUM(C11:H11)</x:f>
        <x:v>94</x:v>
      </x:c>
      <x:c r="J11" s="42" t="n">
        <x:f>Assumptions!C51</x:f>
        <x:v>168</x:v>
      </x:c>
      <x:c r="K11" s="42" t="n">
        <x:f>J11-I11</x:f>
        <x:v>74</x:v>
      </x:c>
      <x:c r="L11" s="42" t="str">
        <x:v>Fourth Access Systems Command</x:v>
      </x:c>
      <x:c r="M11" s="44" t="str">
        <x:f>IF(K11&gt;=0,"PASS","FAIL")</x:f>
        <x:v>PASS</x:v>
      </x:c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B14" s="8" t="str">
        <x:v>Architecture reset judgment</x:v>
      </x:c>
      <x:c r="C14" s="9" t="str">
        <x:v>Architecture reset judgment</x:v>
      </x:c>
      <x:c r="D14" s="9" t="str">
        <x:v>Architecture reset judgment</x:v>
      </x:c>
      <x:c r="E14" s="9" t="str">
        <x:v>Architecture reset judgment</x:v>
      </x:c>
      <x:c r="F14" s="9" t="str">
        <x:v>Architecture reset judgment</x:v>
      </x:c>
      <x:c r="G14" s="9" t="str">
        <x:v>Architecture reset judgment</x:v>
      </x:c>
      <x:c r="H14" s="9" t="str">
        <x:v>Architecture reset judgment</x:v>
      </x:c>
      <x:c r="I14" s="9" t="str">
        <x:v>Architecture reset judgment</x:v>
      </x:c>
      <x:c r="J14" s="9" t="str">
        <x:v>Architecture reset judgment</x:v>
      </x:c>
      <x:c r="K14" s="9" t="str">
        <x:v>Architecture reset judgment</x:v>
      </x:c>
      <x:c r="L14" s="9" t="str">
        <x:v>Architecture reset judgment</x:v>
      </x:c>
      <x:c r="M14" s="10" t="str">
        <x:v>Architecture reset judgment</x:v>
      </x:c>
    </x:row>
    <x:row r="15">
      <x:c r="B15" s="31" t="str">
        <x:v>Selected architecture</x:v>
      </x:c>
      <x:c r="C15" s="32" t="str">
        <x:v>Critical workstream</x:v>
      </x:c>
      <x:c r="D15" s="32" t="str">
        <x:v>Concurrent critical path h</x:v>
      </x:c>
      <x:c r="E15" s="32" t="str">
        <x:v>Ceiling h</x:v>
      </x:c>
      <x:c r="F15" s="32" t="str">
        <x:v>Margin h</x:v>
      </x:c>
      <x:c r="G15" s="32" t="str">
        <x:v>Boundary</x:v>
      </x:c>
      <x:c r="H15" s="32" t="str">
        <x:v>Evidence</x:v>
      </x:c>
      <x:c r="I15" s="2"/>
      <x:c r="J15" s="2"/>
      <x:c r="K15" s="2"/>
      <x:c r="L15" s="2"/>
      <x:c r="M15" s="2"/>
    </x:row>
    <x:row r="16">
      <x:c r="B16" s="42" t="str">
        <x:v>H2 GCH-340</x:v>
      </x:c>
      <x:c r="C16" s="42" t="str">
        <x:f>INDEX(B7:B11,MATCH(MAX(I7:I11),I7:I11,0))</x:f>
        <x:v>structure, envelope and lift cells</x:v>
      </x:c>
      <x:c r="D16" s="42" t="n">
        <x:f>MAX(I7:I11)</x:f>
        <x:v>142</x:v>
      </x:c>
      <x:c r="E16" s="42" t="n">
        <x:f>Assumptions!C51</x:f>
        <x:v>168</x:v>
      </x:c>
      <x:c r="F16" s="42" t="n">
        <x:f>E16-D16</x:f>
        <x:v>26</x:v>
      </x:c>
      <x:c r="G16" s="42" t="str">
        <x:f>IF(F16&gt;=0,"PASS","FAIL")</x:f>
        <x:v>PASS</x:v>
      </x:c>
      <x:c r="H16" s="44" t="str">
        <x:v>OPEN</x:v>
      </x:c>
      <x:c r="I16" s="2"/>
      <x:c r="J16" s="2"/>
      <x:c r="K16" s="2"/>
      <x:c r="L16" s="2"/>
      <x:c r="M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</x:sheetData>
  <x:mergeCells>
    <x:mergeCell ref="B14:M14"/>
  </x:mergeCells>
  <x:conditionalFormatting sqref="M7:M11">
    <x:cfRule type="containsText" dxfId="3" priority="1" operator="containsText" text="FAIL"/>
  </x:conditionalFormatting>
  <x:conditionalFormatting sqref="G16:G16">
    <x:cfRule type="containsText" dxfId="4" priority="2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26" hidden="0" customWidth="1"/>
    <x:col min="8" max="8" width="25" hidden="0" customWidth="1"/>
    <x:col min="9" max="9" width="23" hidden="0" customWidth="1"/>
    <x:col min="10" max="10" width="14" hidden="0" customWidth="1"/>
    <x:col min="11" max="11" width="22" hidden="0" customWidth="1"/>
    <x:col min="12" max="12" width="43" hidden="0" customWidth="1"/>
  </x:cols>
  <x:sheetData>
    <x:row r="2">
      <x:c r="B2" s="3" t="str">
        <x:v>H2 ground-coupled hybrid workforce correction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Architecture-specific landing, energy, weather and structural-health work adds to the Pass 82 DCP-2 boundary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31" t="str">
        <x:v>Role</x:v>
      </x:c>
      <x:c r="C6" s="32" t="str">
        <x:v>Deployed addition</x:v>
      </x:c>
      <x:c r="D6" s="32" t="str">
        <x:v>Affiliated addition</x:v>
      </x:c>
      <x:c r="E6" s="32" t="str">
        <x:v>Minimum-watch addition</x:v>
      </x:c>
      <x:c r="F6" s="32" t="str">
        <x:v>Primary phase</x:v>
      </x:c>
      <x:c r="G6" s="32" t="str">
        <x:v>Qualification</x:v>
      </x:c>
      <x:c r="H6" s="32" t="str">
        <x:v>Casualty substitute</x:v>
      </x:c>
      <x:c r="I6" s="32" t="str">
        <x:v>Independent lineage</x:v>
      </x:c>
      <x:c r="J6" s="32" t="str">
        <x:v>Evidence</x:v>
      </x:c>
      <x:c r="K6" s="32" t="str">
        <x:v>Included in operations</x:v>
      </x:c>
      <x:c r="L6" s="32" t="str">
        <x:v>Comment</x:v>
      </x:c>
    </x:row>
    <x:row r="7">
      <x:c r="B7" s="33" t="str">
        <x:v>distributed-contact operators</x:v>
      </x:c>
      <x:c r="C7" s="33" t="n">
        <x:v>12</x:v>
      </x:c>
      <x:c r="D7" s="33" t="n">
        <x:v>26</x:v>
      </x:c>
      <x:c r="E7" s="33" t="n">
        <x:v>4</x:v>
      </x:c>
      <x:c r="F7" s="33" t="str">
        <x:v>arrival and unload</x:v>
      </x:c>
      <x:c r="G7" s="33" t="str">
        <x:v>heavy hybrid landing</x:v>
      </x:c>
      <x:c r="H7" s="33" t="str">
        <x:v>alternate receiver team</x:v>
      </x:c>
      <x:c r="I7" s="33" t="str">
        <x:v>air receiver A</x:v>
      </x:c>
      <x:c r="J7" s="33" t="str">
        <x:v>OPEN</x:v>
      </x:c>
      <x:c r="K7" s="33" t="str">
        <x:v>yes</x:v>
      </x:c>
      <x:c r="L7" s="35" t="str">
        <x:v>operates load-spreading arrest system</x:v>
      </x:c>
    </x:row>
    <x:row r="8">
      <x:c r="B8" s="33" t="str">
        <x:v>weather and icing cell</x:v>
      </x:c>
      <x:c r="C8" s="33" t="n">
        <x:v>6</x:v>
      </x:c>
      <x:c r="D8" s="33" t="n">
        <x:v>13</x:v>
      </x:c>
      <x:c r="E8" s="33" t="n">
        <x:v>2</x:v>
      </x:c>
      <x:c r="F8" s="33" t="str">
        <x:v>route and approach</x:v>
      </x:c>
      <x:c r="G8" s="33" t="str">
        <x:v>mesoscale and vehicle icing</x:v>
      </x:c>
      <x:c r="H8" s="33" t="str">
        <x:v>second forecast cell</x:v>
      </x:c>
      <x:c r="I8" s="33" t="str">
        <x:v>air operations A</x:v>
      </x:c>
      <x:c r="J8" s="33" t="str">
        <x:v>OPEN</x:v>
      </x:c>
      <x:c r="K8" s="33" t="str">
        <x:v>yes</x:v>
      </x:c>
      <x:c r="L8" s="35" t="str">
        <x:v>owns mission-specific release</x:v>
      </x:c>
    </x:row>
    <x:row r="9">
      <x:c r="B9" s="33" t="str">
        <x:v>high-power energy specialists</x:v>
      </x:c>
      <x:c r="C9" s="33" t="n">
        <x:v>6</x:v>
      </x:c>
      <x:c r="D9" s="33" t="n">
        <x:v>13</x:v>
      </x:c>
      <x:c r="E9" s="33" t="n">
        <x:v>2</x:v>
      </x:c>
      <x:c r="F9" s="33" t="str">
        <x:v>launch through landing</x:v>
      </x:c>
      <x:c r="G9" s="33" t="str">
        <x:v>segmented propulsion energy</x:v>
      </x:c>
      <x:c r="H9" s="33" t="str">
        <x:v>alternate bus team</x:v>
      </x:c>
      <x:c r="I9" s="33" t="str">
        <x:v>air base A</x:v>
      </x:c>
      <x:c r="J9" s="33" t="str">
        <x:v>OPEN</x:v>
      </x:c>
      <x:c r="K9" s="33" t="str">
        <x:v>yes</x:v>
      </x:c>
      <x:c r="L9" s="35" t="str">
        <x:v>six-bus isolation and recovery</x:v>
      </x:c>
    </x:row>
    <x:row r="10">
      <x:c r="B10" s="33" t="str">
        <x:v>receiver landing control</x:v>
      </x:c>
      <x:c r="C10" s="33" t="n">
        <x:v>12</x:v>
      </x:c>
      <x:c r="D10" s="33" t="n">
        <x:v>26</x:v>
      </x:c>
      <x:c r="E10" s="33" t="n">
        <x:v>4</x:v>
      </x:c>
      <x:c r="F10" s="33" t="str">
        <x:v>approach through contact</x:v>
      </x:c>
      <x:c r="G10" s="33" t="str">
        <x:v>degraded-site landing control</x:v>
      </x:c>
      <x:c r="H10" s="33" t="str">
        <x:v>terrain receiver liaison</x:v>
      </x:c>
      <x:c r="I10" s="33" t="str">
        <x:v>air receiver A</x:v>
      </x:c>
      <x:c r="J10" s="33" t="str">
        <x:v>OPEN</x:v>
      </x:c>
      <x:c r="K10" s="33" t="str">
        <x:v>yes</x:v>
      </x:c>
      <x:c r="L10" s="35" t="str">
        <x:v>independent of vehicle flight deck</x:v>
      </x:c>
    </x:row>
    <x:row r="11">
      <x:c r="B11" s="33" t="str">
        <x:v>structural-health and envelope repair</x:v>
      </x:c>
      <x:c r="C11" s="33" t="n">
        <x:v>6</x:v>
      </x:c>
      <x:c r="D11" s="33" t="n">
        <x:v>14</x:v>
      </x:c>
      <x:c r="E11" s="33" t="n">
        <x:v>4</x:v>
      </x:c>
      <x:c r="F11" s="33" t="str">
        <x:v>launch and reset</x:v>
      </x:c>
      <x:c r="G11" s="33" t="str">
        <x:v>large composite and lift cells</x:v>
      </x:c>
      <x:c r="H11" s="33" t="str">
        <x:v>mobile repair section</x:v>
      </x:c>
      <x:c r="I11" s="33" t="str">
        <x:v>air depot A</x:v>
      </x:c>
      <x:c r="J11" s="33" t="str">
        <x:v>OPEN</x:v>
      </x:c>
      <x:c r="K11" s="33" t="str">
        <x:v>yes</x:v>
      </x:c>
      <x:c r="L11" s="35" t="str">
        <x:v>rapid lift-cell isolation</x:v>
      </x:c>
    </x:row>
    <x:row r="12">
      <x:c r="B12" s="59" t="str">
        <x:v>Total</x:v>
      </x:c>
      <x:c r="C12" s="59" t="n">
        <x:f>SUM(C7:C11)</x:f>
        <x:v>42</x:v>
      </x:c>
      <x:c r="D12" s="59" t="n">
        <x:f>SUM(D7:D11)</x:f>
        <x:v>92</x:v>
      </x:c>
      <x:c r="E12" s="59" t="n">
        <x:f>SUM(E7:E11)</x:f>
        <x:v>16</x:v>
      </x:c>
      <x:c r="F12" s="59" t="str"/>
      <x:c r="G12" s="59" t="str"/>
      <x:c r="H12" s="59" t="str"/>
      <x:c r="I12" s="59" t="str"/>
      <x:c r="J12" s="59" t="str"/>
      <x:c r="K12" s="59" t="str"/>
      <x:c r="L12" s="60" t="str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B15" s="8" t="str">
        <x:v>Revised DCP-2 workforce boundary</x:v>
      </x:c>
      <x:c r="C15" s="9" t="str">
        <x:v>Revised DCP-2 workforce boundary</x:v>
      </x:c>
      <x:c r="D15" s="9" t="str">
        <x:v>Revised DCP-2 workforce boundary</x:v>
      </x:c>
      <x:c r="E15" s="9" t="str">
        <x:v>Revised DCP-2 workforce boundary</x:v>
      </x:c>
      <x:c r="F15" s="9" t="str">
        <x:v>Revised DCP-2 workforce boundary</x:v>
      </x:c>
      <x:c r="G15" s="9" t="str">
        <x:v>Revised DCP-2 workforce boundary</x:v>
      </x:c>
      <x:c r="H15" s="9" t="str">
        <x:v>Revised DCP-2 workforce boundary</x:v>
      </x:c>
      <x:c r="I15" s="9" t="str">
        <x:v>Revised DCP-2 workforce boundary</x:v>
      </x:c>
      <x:c r="J15" s="9" t="str">
        <x:v>Revised DCP-2 workforce boundary</x:v>
      </x:c>
      <x:c r="K15" s="9" t="str">
        <x:v>Revised DCP-2 workforce boundary</x:v>
      </x:c>
      <x:c r="L15" s="10" t="str">
        <x:v>Revised DCP-2 workforce boundary</x:v>
      </x:c>
    </x:row>
    <x:row r="16">
      <x:c r="B16" s="31" t="str">
        <x:v>Measure</x:v>
      </x:c>
      <x:c r="C16" s="32" t="str">
        <x:v>Pass 82</x:v>
      </x:c>
      <x:c r="D16" s="32" t="str">
        <x:v>H2 addition</x:v>
      </x:c>
      <x:c r="E16" s="32" t="str">
        <x:v>Revised</x:v>
      </x:c>
      <x:c r="F16" s="32" t="str">
        <x:v>Unit</x:v>
      </x:c>
      <x:c r="G16" s="2"/>
      <x:c r="H16" s="2"/>
      <x:c r="I16" s="2"/>
      <x:c r="J16" s="2"/>
      <x:c r="K16" s="2"/>
      <x:c r="L16" s="2"/>
    </x:row>
    <x:row r="17">
      <x:c r="B17" s="33" t="str">
        <x:v>Deployed</x:v>
      </x:c>
      <x:c r="C17" s="33" t="n">
        <x:v>486</x:v>
      </x:c>
      <x:c r="D17" s="33" t="n">
        <x:f>C12</x:f>
        <x:v>42</x:v>
      </x:c>
      <x:c r="E17" s="33" t="n">
        <x:f>C17+D17</x:f>
        <x:v>528</x:v>
      </x:c>
      <x:c r="F17" s="35" t="str">
        <x:v>people</x:v>
      </x:c>
      <x:c r="G17" s="2"/>
      <x:c r="H17" s="2"/>
      <x:c r="I17" s="2"/>
      <x:c r="J17" s="2"/>
      <x:c r="K17" s="2"/>
      <x:c r="L17" s="2"/>
    </x:row>
    <x:row r="18">
      <x:c r="B18" s="33" t="str">
        <x:v>Affiliated</x:v>
      </x:c>
      <x:c r="C18" s="33" t="n">
        <x:v>1065</x:v>
      </x:c>
      <x:c r="D18" s="33" t="n">
        <x:f>D12</x:f>
        <x:v>92</x:v>
      </x:c>
      <x:c r="E18" s="33" t="n">
        <x:f>C18+D18</x:f>
        <x:v>1157</x:v>
      </x:c>
      <x:c r="F18" s="35" t="str">
        <x:v>positions</x:v>
      </x:c>
      <x:c r="G18" s="2"/>
      <x:c r="H18" s="2"/>
      <x:c r="I18" s="2"/>
      <x:c r="J18" s="2"/>
      <x:c r="K18" s="2"/>
      <x:c r="L18" s="2"/>
    </x:row>
    <x:row r="19">
      <x:c r="B19" s="42" t="str">
        <x:v>Minimum watch</x:v>
      </x:c>
      <x:c r="C19" s="42" t="n">
        <x:v>158</x:v>
      </x:c>
      <x:c r="D19" s="42" t="n">
        <x:f>E12</x:f>
        <x:v>16</x:v>
      </x:c>
      <x:c r="E19" s="42" t="n">
        <x:f>C19+D19</x:f>
        <x:v>174</x:v>
      </x:c>
      <x:c r="F19" s="44" t="str">
        <x:v>people</x:v>
      </x:c>
      <x:c r="G19" s="2"/>
      <x:c r="H19" s="2"/>
      <x:c r="I19" s="2"/>
      <x:c r="J19" s="2"/>
      <x:c r="K19" s="2"/>
      <x:c r="L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</x:sheetData>
  <x:mergeCells>
    <x:mergeCell ref="B15:L1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9" hidden="0" customWidth="1"/>
    <x:col min="3" max="3" width="14" hidden="0" customWidth="1"/>
    <x:col min="4" max="4" width="26" hidden="0" customWidth="1"/>
    <x:col min="5" max="5" width="21" hidden="0" customWidth="1"/>
    <x:col min="6" max="6" width="20" hidden="0" customWidth="1"/>
    <x:col min="7" max="7" width="18" hidden="0" customWidth="1"/>
    <x:col min="8" max="8" width="3" hidden="0" customWidth="1"/>
    <x:col min="9" max="9" width="31" hidden="0" customWidth="1"/>
    <x:col min="10" max="10" width="17" hidden="0" customWidth="1"/>
    <x:col min="11" max="11" width="14" hidden="0" customWidth="1"/>
  </x:cols>
  <x:sheetData>
    <x:row r="2">
      <x:c r="B2" s="3" t="str">
        <x:v>H2 national article and production ramp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The industrial object is 112 clean-sheet aircraft, two integration lines and a sustained overhaul ecosystem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8" t="str">
        <x:v>Article requirement</x:v>
      </x:c>
      <x:c r="C6" s="9" t="str">
        <x:v>Article requirement</x:v>
      </x:c>
      <x:c r="D6" s="9" t="str">
        <x:v>Article requirement</x:v>
      </x:c>
      <x:c r="E6" s="9" t="str">
        <x:v>Article requirement</x:v>
      </x:c>
      <x:c r="F6" s="9" t="str">
        <x:v>Article requirement</x:v>
      </x:c>
      <x:c r="G6" s="9" t="str">
        <x:v>Article requirement</x:v>
      </x:c>
      <x:c r="H6" s="9" t="str">
        <x:v>Article requirement</x:v>
      </x:c>
      <x:c r="I6" s="9" t="str">
        <x:v>Article requirement</x:v>
      </x:c>
      <x:c r="J6" s="9" t="str">
        <x:v>Article requirement</x:v>
      </x:c>
      <x:c r="K6" s="10" t="str">
        <x:v>Article requirement</x:v>
      </x:c>
    </x:row>
    <x:row r="7">
      <x:c r="B7" s="31" t="str">
        <x:v>Article class</x:v>
      </x:c>
      <x:c r="C7" s="32" t="str">
        <x:v>Quantity</x:v>
      </x:c>
      <x:c r="D7" s="32" t="str">
        <x:v>Basis</x:v>
      </x:c>
      <x:c r="E7" s="32" t="str">
        <x:v>Operational credit</x:v>
      </x:c>
      <x:c r="F7" s="32" t="str">
        <x:v>Evidence</x:v>
      </x:c>
      <x:c r="G7" s="2"/>
      <x:c r="H7" s="2"/>
      <x:c r="I7" s="2"/>
      <x:c r="J7" s="2"/>
      <x:c r="K7" s="2"/>
    </x:row>
    <x:row r="8">
      <x:c r="B8" s="33" t="str">
        <x:v>development and test</x:v>
      </x:c>
      <x:c r="C8" s="33" t="n">
        <x:v>8</x:v>
      </x:c>
      <x:c r="D8" s="33" t="str">
        <x:v>instrumented non-operational articles</x:v>
      </x:c>
      <x:c r="E8" s="33" t="n">
        <x:v>0</x:v>
      </x:c>
      <x:c r="F8" s="35" t="str">
        <x:v>OPEN</x:v>
      </x:c>
      <x:c r="G8" s="2"/>
      <x:c r="H8" s="2"/>
      <x:c r="I8" s="2"/>
      <x:c r="J8" s="2"/>
      <x:c r="K8" s="2"/>
    </x:row>
    <x:row r="9">
      <x:c r="B9" s="33" t="str">
        <x:v>operational fleet</x:v>
      </x:c>
      <x:c r="C9" s="33" t="n">
        <x:f>Assumptions!C36</x:f>
        <x:v>86</x:v>
      </x:c>
      <x:c r="D9" s="33" t="str">
        <x:v>two per ready package</x:v>
      </x:c>
      <x:c r="E9" s="33" t="n">
        <x:v>1</x:v>
      </x:c>
      <x:c r="F9" s="35" t="str">
        <x:v>OPEN</x:v>
      </x:c>
      <x:c r="G9" s="2"/>
      <x:c r="H9" s="2"/>
      <x:c r="I9" s="2"/>
      <x:c r="J9" s="2"/>
      <x:c r="K9" s="2"/>
    </x:row>
    <x:row r="10">
      <x:c r="B10" s="33" t="str">
        <x:v>attrition and overhaul reserve</x:v>
      </x:c>
      <x:c r="C10" s="33" t="n">
        <x:f>Assumptions!C38</x:f>
        <x:v>18</x:v>
      </x:c>
      <x:c r="D10" s="33" t="str">
        <x:v>twenty percent of operational fleet</x:v>
      </x:c>
      <x:c r="E10" s="33" t="n">
        <x:v>0</x:v>
      </x:c>
      <x:c r="F10" s="35" t="str">
        <x:v>OPEN</x:v>
      </x:c>
      <x:c r="G10" s="2"/>
      <x:c r="H10" s="2"/>
      <x:c r="I10" s="2"/>
      <x:c r="J10" s="2"/>
      <x:c r="K10" s="2"/>
    </x:row>
    <x:row r="11">
      <x:c r="B11" s="42" t="str">
        <x:v>Total</x:v>
      </x:c>
      <x:c r="C11" s="42" t="n">
        <x:f>SUM(C8:C10)</x:f>
        <x:v>112</x:v>
      </x:c>
      <x:c r="D11" s="42" t="str">
        <x:v>complete production objective</x:v>
      </x:c>
      <x:c r="E11" s="42" t="n">
        <x:v>0</x:v>
      </x:c>
      <x:c r="F11" s="44" t="str">
        <x:v>OPEN</x:v>
      </x:c>
      <x:c r="G11" s="2"/>
      <x:c r="H11" s="2"/>
      <x:c r="I11" s="2"/>
      <x:c r="J11" s="2"/>
      <x:c r="K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B14" s="8" t="str">
        <x:v>Twenty-five-year production schedule</x:v>
      </x:c>
      <x:c r="C14" s="9" t="str">
        <x:v>Twenty-five-year production schedule</x:v>
      </x:c>
      <x:c r="D14" s="9" t="str">
        <x:v>Twenty-five-year production schedule</x:v>
      </x:c>
      <x:c r="E14" s="9" t="str">
        <x:v>Twenty-five-year production schedule</x:v>
      </x:c>
      <x:c r="F14" s="9" t="str">
        <x:v>Twenty-five-year production schedule</x:v>
      </x:c>
      <x:c r="G14" s="9" t="str">
        <x:v>Twenty-five-year production schedule</x:v>
      </x:c>
      <x:c r="H14" s="9" t="str">
        <x:v>Twenty-five-year production schedule</x:v>
      </x:c>
      <x:c r="I14" s="8" t="str">
        <x:v>Industrial system</x:v>
      </x:c>
      <x:c r="J14" s="9" t="str">
        <x:v>Industrial system</x:v>
      </x:c>
      <x:c r="K14" s="10" t="str">
        <x:v>Industrial system</x:v>
      </x:c>
    </x:row>
    <x:row r="15">
      <x:c r="B15" s="31" t="str">
        <x:v>Program year</x:v>
      </x:c>
      <x:c r="C15" s="32" t="str">
        <x:v>Articles</x:v>
      </x:c>
      <x:c r="D15" s="32" t="str">
        <x:v>Cumulative</x:v>
      </x:c>
      <x:c r="E15" s="32" t="str">
        <x:v>Phase</x:v>
      </x:c>
      <x:c r="F15" s="32" t="str">
        <x:v>Maximum annual rate</x:v>
      </x:c>
      <x:c r="G15" s="32" t="str">
        <x:v>Schedule result</x:v>
      </x:c>
      <x:c r="H15" s="2"/>
      <x:c r="I15" s="31" t="str">
        <x:v>Requirement</x:v>
      </x:c>
      <x:c r="J15" s="32" t="str">
        <x:v>Value</x:v>
      </x:c>
      <x:c r="K15" s="32" t="str">
        <x:v>Evidence</x:v>
      </x:c>
    </x:row>
    <x:row r="16">
      <x:c r="B16" s="33" t="n">
        <x:v>1</x:v>
      </x:c>
      <x:c r="C16" s="33" t="n">
        <x:v>0</x:v>
      </x:c>
      <x:c r="D16" s="33" t="n">
        <x:f>C16</x:f>
        <x:v>0</x:v>
      </x:c>
      <x:c r="E16" s="33" t="str">
        <x:v>technology maturation</x:v>
      </x:c>
      <x:c r="F16" s="33" t="n">
        <x:v>8</x:v>
      </x:c>
      <x:c r="G16" s="35" t="str">
        <x:f>IF(C16&lt;=F16,"PASS","FAIL")</x:f>
        <x:v>PASS</x:v>
      </x:c>
      <x:c r="H16" s="2"/>
      <x:c r="I16" s="33" t="str">
        <x:v>final integration lines</x:v>
      </x:c>
      <x:c r="J16" s="33" t="n">
        <x:v>2</x:v>
      </x:c>
      <x:c r="K16" s="35" t="str">
        <x:v>OPEN</x:v>
      </x:c>
    </x:row>
    <x:row r="17">
      <x:c r="B17" s="33" t="n">
        <x:v>2</x:v>
      </x:c>
      <x:c r="C17" s="33" t="n">
        <x:v>0</x:v>
      </x:c>
      <x:c r="D17" s="33" t="n">
        <x:f>D16+C17</x:f>
        <x:v>0</x:v>
      </x:c>
      <x:c r="E17" s="33" t="str">
        <x:v>technology maturation</x:v>
      </x:c>
      <x:c r="F17" s="33" t="n">
        <x:v>8</x:v>
      </x:c>
      <x:c r="G17" s="35" t="str">
        <x:f>IF(C17&lt;=F17,"PASS","FAIL")</x:f>
        <x:v>PASS</x:v>
      </x:c>
      <x:c r="H17" s="2"/>
      <x:c r="I17" s="33" t="str">
        <x:v>qualified structure lineages</x:v>
      </x:c>
      <x:c r="J17" s="33" t="n">
        <x:v>2</x:v>
      </x:c>
      <x:c r="K17" s="35" t="str">
        <x:v>OPEN</x:v>
      </x:c>
    </x:row>
    <x:row r="18">
      <x:c r="B18" s="33" t="n">
        <x:v>3</x:v>
      </x:c>
      <x:c r="C18" s="33" t="n">
        <x:v>0</x:v>
      </x:c>
      <x:c r="D18" s="33" t="n">
        <x:f>D17+C18</x:f>
        <x:v>0</x:v>
      </x:c>
      <x:c r="E18" s="33" t="str">
        <x:v>technology maturation</x:v>
      </x:c>
      <x:c r="F18" s="33" t="n">
        <x:v>8</x:v>
      </x:c>
      <x:c r="G18" s="35" t="str">
        <x:f>IF(C18&lt;=F18,"PASS","FAIL")</x:f>
        <x:v>PASS</x:v>
      </x:c>
      <x:c r="H18" s="2"/>
      <x:c r="I18" s="33" t="str">
        <x:v>propulsion suppliers</x:v>
      </x:c>
      <x:c r="J18" s="33" t="n">
        <x:v>3</x:v>
      </x:c>
      <x:c r="K18" s="35" t="str">
        <x:v>OPEN</x:v>
      </x:c>
    </x:row>
    <x:row r="19">
      <x:c r="B19" s="33" t="n">
        <x:v>4</x:v>
      </x:c>
      <x:c r="C19" s="33" t="n">
        <x:v>0</x:v>
      </x:c>
      <x:c r="D19" s="33" t="n">
        <x:f>D18+C19</x:f>
        <x:v>0</x:v>
      </x:c>
      <x:c r="E19" s="33" t="str">
        <x:v>technology maturation</x:v>
      </x:c>
      <x:c r="F19" s="33" t="n">
        <x:v>8</x:v>
      </x:c>
      <x:c r="G19" s="35" t="str">
        <x:f>IF(C19&lt;=F19,"PASS","FAIL")</x:f>
        <x:v>PASS</x:v>
      </x:c>
      <x:c r="H19" s="2"/>
      <x:c r="I19" s="33" t="str">
        <x:v>energy-system lineages</x:v>
      </x:c>
      <x:c r="J19" s="33" t="n">
        <x:v>2</x:v>
      </x:c>
      <x:c r="K19" s="35" t="str">
        <x:v>OPEN</x:v>
      </x:c>
    </x:row>
    <x:row r="20">
      <x:c r="B20" s="33" t="n">
        <x:v>5</x:v>
      </x:c>
      <x:c r="C20" s="33" t="n">
        <x:v>1</x:v>
      </x:c>
      <x:c r="D20" s="33" t="n">
        <x:f>D19+C20</x:f>
        <x:v>1</x:v>
      </x:c>
      <x:c r="E20" s="33" t="str">
        <x:v>engineering and manufacturing development</x:v>
      </x:c>
      <x:c r="F20" s="33" t="n">
        <x:v>8</x:v>
      </x:c>
      <x:c r="G20" s="35" t="str">
        <x:f>IF(C20&lt;=F20,"PASS","FAIL")</x:f>
        <x:v>PASS</x:v>
      </x:c>
      <x:c r="H20" s="2"/>
      <x:c r="I20" s="33" t="str">
        <x:v>landing-system lineages</x:v>
      </x:c>
      <x:c r="J20" s="33" t="n">
        <x:v>2</x:v>
      </x:c>
      <x:c r="K20" s="35" t="str">
        <x:v>OPEN</x:v>
      </x:c>
    </x:row>
    <x:row r="21">
      <x:c r="B21" s="33" t="n">
        <x:v>6</x:v>
      </x:c>
      <x:c r="C21" s="33" t="n">
        <x:v>2</x:v>
      </x:c>
      <x:c r="D21" s="33" t="n">
        <x:f>D20+C21</x:f>
        <x:v>3</x:v>
      </x:c>
      <x:c r="E21" s="33" t="str">
        <x:v>engineering and manufacturing development</x:v>
      </x:c>
      <x:c r="F21" s="33" t="n">
        <x:v>8</x:v>
      </x:c>
      <x:c r="G21" s="35" t="str">
        <x:f>IF(C21&lt;=F21,"PASS","FAIL")</x:f>
        <x:v>PASS</x:v>
      </x:c>
      <x:c r="H21" s="2"/>
      <x:c r="I21" s="33" t="str">
        <x:v>peak direct workforce</x:v>
      </x:c>
      <x:c r="J21" s="33" t="n">
        <x:v>24000</x:v>
      </x:c>
      <x:c r="K21" s="35" t="str">
        <x:v>OPEN</x:v>
      </x:c>
    </x:row>
    <x:row r="22">
      <x:c r="B22" s="33" t="n">
        <x:v>7</x:v>
      </x:c>
      <x:c r="C22" s="33" t="n">
        <x:v>3</x:v>
      </x:c>
      <x:c r="D22" s="33" t="n">
        <x:f>D21+C22</x:f>
        <x:v>6</x:v>
      </x:c>
      <x:c r="E22" s="33" t="str">
        <x:v>engineering and manufacturing development</x:v>
      </x:c>
      <x:c r="F22" s="33" t="n">
        <x:v>8</x:v>
      </x:c>
      <x:c r="G22" s="35" t="str">
        <x:f>IF(C22&lt;=F22,"PASS","FAIL")</x:f>
        <x:v>PASS</x:v>
      </x:c>
      <x:c r="H22" s="2"/>
      <x:c r="I22" s="42" t="str">
        <x:v>peak industrial ecosystem</x:v>
      </x:c>
      <x:c r="J22" s="42" t="n">
        <x:v>65000</x:v>
      </x:c>
      <x:c r="K22" s="44" t="str">
        <x:v>OPEN</x:v>
      </x:c>
    </x:row>
    <x:row r="23">
      <x:c r="B23" s="33" t="n">
        <x:v>8</x:v>
      </x:c>
      <x:c r="C23" s="33" t="n">
        <x:v>4</x:v>
      </x:c>
      <x:c r="D23" s="33" t="n">
        <x:f>D22+C23</x:f>
        <x:v>10</x:v>
      </x:c>
      <x:c r="E23" s="33" t="str">
        <x:v>engineering and manufacturing development</x:v>
      </x:c>
      <x:c r="F23" s="33" t="n">
        <x:v>8</x:v>
      </x:c>
      <x:c r="G23" s="35" t="str">
        <x:f>IF(C23&lt;=F23,"PASS","FAIL")</x:f>
        <x:v>PASS</x:v>
      </x:c>
      <x:c r="H23" s="2"/>
      <x:c r="I23" s="2"/>
      <x:c r="J23" s="2"/>
      <x:c r="K23" s="2"/>
    </x:row>
    <x:row r="24">
      <x:c r="B24" s="33" t="n">
        <x:v>9</x:v>
      </x:c>
      <x:c r="C24" s="33" t="n">
        <x:v>8</x:v>
      </x:c>
      <x:c r="D24" s="33" t="n">
        <x:f>D23+C24</x:f>
        <x:v>18</x:v>
      </x:c>
      <x:c r="E24" s="33" t="str">
        <x:v>full-rate fleet production</x:v>
      </x:c>
      <x:c r="F24" s="33" t="n">
        <x:v>8</x:v>
      </x:c>
      <x:c r="G24" s="35" t="str">
        <x:f>IF(C24&lt;=F24,"PASS","FAIL")</x:f>
        <x:v>PASS</x:v>
      </x:c>
      <x:c r="H24" s="2"/>
      <x:c r="I24" s="2"/>
      <x:c r="J24" s="2"/>
      <x:c r="K24" s="2"/>
    </x:row>
    <x:row r="25">
      <x:c r="B25" s="33" t="n">
        <x:v>10</x:v>
      </x:c>
      <x:c r="C25" s="33" t="n">
        <x:v>8</x:v>
      </x:c>
      <x:c r="D25" s="33" t="n">
        <x:f>D24+C25</x:f>
        <x:v>26</x:v>
      </x:c>
      <x:c r="E25" s="33" t="str">
        <x:v>full-rate fleet production</x:v>
      </x:c>
      <x:c r="F25" s="33" t="n">
        <x:v>8</x:v>
      </x:c>
      <x:c r="G25" s="35" t="str">
        <x:f>IF(C25&lt;=F25,"PASS","FAIL")</x:f>
        <x:v>PASS</x:v>
      </x:c>
      <x:c r="H25" s="2"/>
      <x:c r="I25" s="2"/>
      <x:c r="J25" s="2"/>
      <x:c r="K25" s="2"/>
    </x:row>
    <x:row r="26">
      <x:c r="B26" s="33" t="n">
        <x:v>11</x:v>
      </x:c>
      <x:c r="C26" s="33" t="n">
        <x:v>8</x:v>
      </x:c>
      <x:c r="D26" s="33" t="n">
        <x:f>D25+C26</x:f>
        <x:v>34</x:v>
      </x:c>
      <x:c r="E26" s="33" t="str">
        <x:v>full-rate fleet production</x:v>
      </x:c>
      <x:c r="F26" s="33" t="n">
        <x:v>8</x:v>
      </x:c>
      <x:c r="G26" s="35" t="str">
        <x:f>IF(C26&lt;=F26,"PASS","FAIL")</x:f>
        <x:v>PASS</x:v>
      </x:c>
      <x:c r="H26" s="2"/>
      <x:c r="I26" s="2"/>
      <x:c r="J26" s="2"/>
      <x:c r="K26" s="2"/>
    </x:row>
    <x:row r="27">
      <x:c r="B27" s="33" t="n">
        <x:v>12</x:v>
      </x:c>
      <x:c r="C27" s="33" t="n">
        <x:v>8</x:v>
      </x:c>
      <x:c r="D27" s="33" t="n">
        <x:f>D26+C27</x:f>
        <x:v>42</x:v>
      </x:c>
      <x:c r="E27" s="33" t="str">
        <x:v>full-rate fleet production</x:v>
      </x:c>
      <x:c r="F27" s="33" t="n">
        <x:v>8</x:v>
      </x:c>
      <x:c r="G27" s="35" t="str">
        <x:f>IF(C27&lt;=F27,"PASS","FAIL")</x:f>
        <x:v>PASS</x:v>
      </x:c>
      <x:c r="H27" s="2"/>
      <x:c r="I27" s="2"/>
      <x:c r="J27" s="2"/>
      <x:c r="K27" s="2"/>
    </x:row>
    <x:row r="28">
      <x:c r="B28" s="33" t="n">
        <x:v>13</x:v>
      </x:c>
      <x:c r="C28" s="33" t="n">
        <x:v>8</x:v>
      </x:c>
      <x:c r="D28" s="33" t="n">
        <x:f>D27+C28</x:f>
        <x:v>50</x:v>
      </x:c>
      <x:c r="E28" s="33" t="str">
        <x:v>full-rate fleet production</x:v>
      </x:c>
      <x:c r="F28" s="33" t="n">
        <x:v>8</x:v>
      </x:c>
      <x:c r="G28" s="35" t="str">
        <x:f>IF(C28&lt;=F28,"PASS","FAIL")</x:f>
        <x:v>PASS</x:v>
      </x:c>
      <x:c r="H28" s="2"/>
      <x:c r="I28" s="2"/>
      <x:c r="J28" s="2"/>
      <x:c r="K28" s="2"/>
    </x:row>
    <x:row r="29">
      <x:c r="B29" s="33" t="n">
        <x:v>14</x:v>
      </x:c>
      <x:c r="C29" s="33" t="n">
        <x:v>8</x:v>
      </x:c>
      <x:c r="D29" s="33" t="n">
        <x:f>D28+C29</x:f>
        <x:v>58</x:v>
      </x:c>
      <x:c r="E29" s="33" t="str">
        <x:v>full-rate fleet production</x:v>
      </x:c>
      <x:c r="F29" s="33" t="n">
        <x:v>8</x:v>
      </x:c>
      <x:c r="G29" s="35" t="str">
        <x:f>IF(C29&lt;=F29,"PASS","FAIL")</x:f>
        <x:v>PASS</x:v>
      </x:c>
      <x:c r="H29" s="2"/>
      <x:c r="I29" s="2"/>
      <x:c r="J29" s="2"/>
      <x:c r="K29" s="2"/>
    </x:row>
    <x:row r="30">
      <x:c r="B30" s="33" t="n">
        <x:v>15</x:v>
      </x:c>
      <x:c r="C30" s="33" t="n">
        <x:v>8</x:v>
      </x:c>
      <x:c r="D30" s="33" t="n">
        <x:f>D29+C30</x:f>
        <x:v>66</x:v>
      </x:c>
      <x:c r="E30" s="33" t="str">
        <x:v>full-rate fleet production</x:v>
      </x:c>
      <x:c r="F30" s="33" t="n">
        <x:v>8</x:v>
      </x:c>
      <x:c r="G30" s="35" t="str">
        <x:f>IF(C30&lt;=F30,"PASS","FAIL")</x:f>
        <x:v>PASS</x:v>
      </x:c>
      <x:c r="H30" s="2"/>
      <x:c r="I30" s="2"/>
      <x:c r="J30" s="2"/>
      <x:c r="K30" s="2"/>
    </x:row>
    <x:row r="31">
      <x:c r="B31" s="33" t="n">
        <x:v>16</x:v>
      </x:c>
      <x:c r="C31" s="33" t="n">
        <x:v>8</x:v>
      </x:c>
      <x:c r="D31" s="33" t="n">
        <x:f>D30+C31</x:f>
        <x:v>74</x:v>
      </x:c>
      <x:c r="E31" s="33" t="str">
        <x:v>full-rate fleet production</x:v>
      </x:c>
      <x:c r="F31" s="33" t="n">
        <x:v>8</x:v>
      </x:c>
      <x:c r="G31" s="35" t="str">
        <x:f>IF(C31&lt;=F31,"PASS","FAIL")</x:f>
        <x:v>PASS</x:v>
      </x:c>
      <x:c r="H31" s="2"/>
      <x:c r="I31" s="2"/>
      <x:c r="J31" s="2"/>
      <x:c r="K31" s="2"/>
    </x:row>
    <x:row r="32">
      <x:c r="B32" s="33" t="n">
        <x:v>17</x:v>
      </x:c>
      <x:c r="C32" s="33" t="n">
        <x:v>8</x:v>
      </x:c>
      <x:c r="D32" s="33" t="n">
        <x:f>D31+C32</x:f>
        <x:v>82</x:v>
      </x:c>
      <x:c r="E32" s="33" t="str">
        <x:v>full-rate fleet production</x:v>
      </x:c>
      <x:c r="F32" s="33" t="n">
        <x:v>8</x:v>
      </x:c>
      <x:c r="G32" s="35" t="str">
        <x:f>IF(C32&lt;=F32,"PASS","FAIL")</x:f>
        <x:v>PASS</x:v>
      </x:c>
      <x:c r="H32" s="2"/>
      <x:c r="I32" s="2"/>
      <x:c r="J32" s="2"/>
      <x:c r="K32" s="2"/>
    </x:row>
    <x:row r="33">
      <x:c r="B33" s="33" t="n">
        <x:v>18</x:v>
      </x:c>
      <x:c r="C33" s="33" t="n">
        <x:v>8</x:v>
      </x:c>
      <x:c r="D33" s="33" t="n">
        <x:f>D32+C33</x:f>
        <x:v>90</x:v>
      </x:c>
      <x:c r="E33" s="33" t="str">
        <x:v>full-rate fleet production</x:v>
      </x:c>
      <x:c r="F33" s="33" t="n">
        <x:v>8</x:v>
      </x:c>
      <x:c r="G33" s="35" t="str">
        <x:f>IF(C33&lt;=F33,"PASS","FAIL")</x:f>
        <x:v>PASS</x:v>
      </x:c>
      <x:c r="H33" s="2"/>
      <x:c r="I33" s="2"/>
      <x:c r="J33" s="2"/>
      <x:c r="K33" s="2"/>
    </x:row>
    <x:row r="34">
      <x:c r="B34" s="33" t="n">
        <x:v>19</x:v>
      </x:c>
      <x:c r="C34" s="33" t="n">
        <x:v>5</x:v>
      </x:c>
      <x:c r="D34" s="33" t="n">
        <x:f>D33+C34</x:f>
        <x:v>95</x:v>
      </x:c>
      <x:c r="E34" s="33" t="str">
        <x:v>reserve completion</x:v>
      </x:c>
      <x:c r="F34" s="33" t="n">
        <x:v>8</x:v>
      </x:c>
      <x:c r="G34" s="35" t="str">
        <x:f>IF(C34&lt;=F34,"PASS","FAIL")</x:f>
        <x:v>PASS</x:v>
      </x:c>
      <x:c r="H34" s="2"/>
      <x:c r="I34" s="2"/>
      <x:c r="J34" s="2"/>
      <x:c r="K34" s="2"/>
    </x:row>
    <x:row r="35">
      <x:c r="B35" s="33" t="n">
        <x:v>20</x:v>
      </x:c>
      <x:c r="C35" s="33" t="n">
        <x:v>5</x:v>
      </x:c>
      <x:c r="D35" s="33" t="n">
        <x:f>D34+C35</x:f>
        <x:v>100</x:v>
      </x:c>
      <x:c r="E35" s="33" t="str">
        <x:v>reserve completion</x:v>
      </x:c>
      <x:c r="F35" s="33" t="n">
        <x:v>8</x:v>
      </x:c>
      <x:c r="G35" s="35" t="str">
        <x:f>IF(C35&lt;=F35,"PASS","FAIL")</x:f>
        <x:v>PASS</x:v>
      </x:c>
      <x:c r="H35" s="2"/>
      <x:c r="I35" s="2"/>
      <x:c r="J35" s="2"/>
      <x:c r="K35" s="2"/>
    </x:row>
    <x:row r="36">
      <x:c r="B36" s="33" t="n">
        <x:v>21</x:v>
      </x:c>
      <x:c r="C36" s="33" t="n">
        <x:v>5</x:v>
      </x:c>
      <x:c r="D36" s="33" t="n">
        <x:f>D35+C36</x:f>
        <x:v>105</x:v>
      </x:c>
      <x:c r="E36" s="33" t="str">
        <x:v>reserve completion</x:v>
      </x:c>
      <x:c r="F36" s="33" t="n">
        <x:v>8</x:v>
      </x:c>
      <x:c r="G36" s="35" t="str">
        <x:f>IF(C36&lt;=F36,"PASS","FAIL")</x:f>
        <x:v>PASS</x:v>
      </x:c>
      <x:c r="H36" s="2"/>
      <x:c r="I36" s="2"/>
      <x:c r="J36" s="2"/>
      <x:c r="K36" s="2"/>
    </x:row>
    <x:row r="37">
      <x:c r="B37" s="33" t="n">
        <x:v>22</x:v>
      </x:c>
      <x:c r="C37" s="33" t="n">
        <x:v>5</x:v>
      </x:c>
      <x:c r="D37" s="33" t="n">
        <x:f>D36+C37</x:f>
        <x:v>110</x:v>
      </x:c>
      <x:c r="E37" s="33" t="str">
        <x:v>reserve completion</x:v>
      </x:c>
      <x:c r="F37" s="33" t="n">
        <x:v>8</x:v>
      </x:c>
      <x:c r="G37" s="35" t="str">
        <x:f>IF(C37&lt;=F37,"PASS","FAIL")</x:f>
        <x:v>PASS</x:v>
      </x:c>
      <x:c r="H37" s="2"/>
      <x:c r="I37" s="2"/>
      <x:c r="J37" s="2"/>
      <x:c r="K37" s="2"/>
    </x:row>
    <x:row r="38">
      <x:c r="B38" s="33" t="n">
        <x:v>23</x:v>
      </x:c>
      <x:c r="C38" s="33" t="n">
        <x:v>1</x:v>
      </x:c>
      <x:c r="D38" s="33" t="n">
        <x:f>D37+C38</x:f>
        <x:v>111</x:v>
      </x:c>
      <x:c r="E38" s="33" t="str">
        <x:v>reserve completion</x:v>
      </x:c>
      <x:c r="F38" s="33" t="n">
        <x:v>8</x:v>
      </x:c>
      <x:c r="G38" s="35" t="str">
        <x:f>IF(C38&lt;=F38,"PASS","FAIL")</x:f>
        <x:v>PASS</x:v>
      </x:c>
      <x:c r="H38" s="2"/>
      <x:c r="I38" s="2"/>
      <x:c r="J38" s="2"/>
      <x:c r="K38" s="2"/>
    </x:row>
    <x:row r="39">
      <x:c r="B39" s="33" t="n">
        <x:v>24</x:v>
      </x:c>
      <x:c r="C39" s="33" t="n">
        <x:v>1</x:v>
      </x:c>
      <x:c r="D39" s="33" t="n">
        <x:f>D38+C39</x:f>
        <x:v>112</x:v>
      </x:c>
      <x:c r="E39" s="33" t="str">
        <x:v>reserve completion</x:v>
      </x:c>
      <x:c r="F39" s="33" t="n">
        <x:v>8</x:v>
      </x:c>
      <x:c r="G39" s="35" t="str">
        <x:f>IF(C39&lt;=F39,"PASS","FAIL")</x:f>
        <x:v>PASS</x:v>
      </x:c>
      <x:c r="H39" s="2"/>
      <x:c r="I39" s="2"/>
      <x:c r="J39" s="2"/>
      <x:c r="K39" s="2"/>
    </x:row>
    <x:row r="40">
      <x:c r="B40" s="42" t="n">
        <x:v>25</x:v>
      </x:c>
      <x:c r="C40" s="42" t="n">
        <x:v>0</x:v>
      </x:c>
      <x:c r="D40" s="42" t="n">
        <x:f>D39+C40</x:f>
        <x:v>112</x:v>
      </x:c>
      <x:c r="E40" s="42" t="str">
        <x:v>sustainment transition</x:v>
      </x:c>
      <x:c r="F40" s="42" t="n">
        <x:v>8</x:v>
      </x:c>
      <x:c r="G40" s="44" t="str">
        <x:f>IF(C40&lt;=F40,"PASS","FAIL")</x:f>
        <x:v>PASS</x:v>
      </x:c>
      <x:c r="H40" s="2"/>
      <x:c r="I40" s="2"/>
      <x:c r="J40" s="2"/>
      <x:c r="K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</x:sheetData>
  <x:mergeCells>
    <x:mergeCell ref="B6:K6"/>
    <x:mergeCell ref="B14:K14"/>
    <x:mergeCell ref="I14:K14"/>
  </x:mergeCells>
  <x:conditionalFormatting sqref="G16:G40">
    <x:cfRule type="containsText" dxfId="5" priority="1" operator="containsText" text="FAIL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7" hidden="0" customWidth="1"/>
    <x:col min="8" max="8" width="20" hidden="0" customWidth="1"/>
  </x:cols>
  <x:sheetData>
    <x:row r="2">
      <x:c r="B2" s="3" t="str">
        <x:v>HBL-340 architecture program and DCP-2 boundary</x:v>
      </x:c>
      <x:c r="C2" s="2"/>
      <x:c r="D2" s="2"/>
      <x:c r="E2" s="2"/>
      <x:c r="F2" s="2"/>
      <x:c r="G2" s="2"/>
      <x:c r="H2" s="2"/>
    </x:row>
    <x:row r="3">
      <x:c r="B3" s="4" t="str">
        <x:v>The selected H2 reference replaces the Pass 82 generic HBL lifecycle with a full clean-sheet industrial program</x:v>
      </x:c>
      <x:c r="C3" s="4"/>
      <x:c r="D3" s="4"/>
      <x:c r="E3" s="4"/>
      <x:c r="F3" s="4"/>
      <x:c r="G3" s="4"/>
      <x:c r="H3" s="4"/>
    </x:row>
    <x:row r="4">
      <x:c r="B4" s="5"/>
      <x:c r="C4" s="5"/>
      <x:c r="D4" s="5"/>
      <x:c r="E4" s="5"/>
      <x:c r="F4" s="5"/>
      <x:c r="G4" s="5"/>
      <x:c r="H4" s="5"/>
    </x:row>
    <x:row r="5">
      <x:c r="B5" s="2"/>
      <x:c r="C5" s="2"/>
      <x:c r="D5" s="2"/>
      <x:c r="E5" s="2"/>
      <x:c r="F5" s="2"/>
      <x:c r="G5" s="2"/>
      <x:c r="H5" s="2"/>
    </x:row>
    <x:row r="6">
      <x:c r="B6" s="31" t="str">
        <x:v>Program line</x:v>
      </x:c>
      <x:c r="C6" s="32" t="str">
        <x:v>H1 $B</x:v>
      </x:c>
      <x:c r="D6" s="32" t="str">
        <x:v>H2 $B</x:v>
      </x:c>
      <x:c r="E6" s="32" t="str">
        <x:v>H3 $B</x:v>
      </x:c>
      <x:c r="F6" s="32" t="str">
        <x:v>H4 $B</x:v>
      </x:c>
      <x:c r="G6" s="32" t="str">
        <x:v>Selected basis</x:v>
      </x:c>
      <x:c r="H6" s="32" t="str">
        <x:v>Comparison state</x:v>
      </x:c>
    </x:row>
    <x:row r="7">
      <x:c r="B7" s="33" t="str">
        <x:v>Ready-pair lifecycle</x:v>
      </x:c>
      <x:c r="C7" s="62" t="n">
        <x:f>Architectures!AF7*Assumptions!C34</x:f>
        <x:v>550.4</x:v>
      </x:c>
      <x:c r="D7" s="62" t="n">
        <x:f>Architectures!AF8*Assumptions!C34</x:f>
        <x:v>524.6</x:v>
      </x:c>
      <x:c r="E7" s="62" t="n">
        <x:f>Architectures!AF9*Assumptions!C34</x:f>
        <x:v>670.8</x:v>
      </x:c>
      <x:c r="F7" s="62" t="n">
        <x:f>Architectures!AF10*Assumptions!C34</x:f>
        <x:v>602</x:v>
      </x:c>
      <x:c r="G7" s="33" t="str">
        <x:v>pair lifecycle × ready packages</x:v>
      </x:c>
      <x:c r="H7" s="35" t="str">
        <x:v>calculated</x:v>
      </x:c>
    </x:row>
    <x:row r="8">
      <x:c r="B8" s="33" t="str">
        <x:v>Development and test articles</x:v>
      </x:c>
      <x:c r="C8" s="62" t="n">
        <x:f>Architectures!AE7*Assumptions!C39+4</x:f>
        <x:v>29.6</x:v>
      </x:c>
      <x:c r="D8" s="62" t="n">
        <x:f>Architectures!AE8*Assumptions!C39+4</x:f>
        <x:v>27.2</x:v>
      </x:c>
      <x:c r="E8" s="62" t="n">
        <x:f>Architectures!AE9*Assumptions!C39+4</x:f>
        <x:v>34.4</x:v>
      </x:c>
      <x:c r="F8" s="62" t="n">
        <x:f>Architectures!AE10*Assumptions!C39+4</x:f>
        <x:v>31.2</x:v>
      </x:c>
      <x:c r="G8" s="33" t="str">
        <x:v>eight articles plus instrumentation</x:v>
      </x:c>
      <x:c r="H8" s="35" t="str">
        <x:v>declared</x:v>
      </x:c>
    </x:row>
    <x:row r="9">
      <x:c r="B9" s="33" t="str">
        <x:v>Reserve vehicles</x:v>
      </x:c>
      <x:c r="C9" s="62" t="n">
        <x:f>Architectures!AE7*Assumptions!C38</x:f>
        <x:v>57.6</x:v>
      </x:c>
      <x:c r="D9" s="62" t="n">
        <x:f>Architectures!AE8*Assumptions!C38</x:f>
        <x:v>52.199999999999996</x:v>
      </x:c>
      <x:c r="E9" s="62" t="n">
        <x:f>Architectures!AE9*Assumptions!C38</x:f>
        <x:v>68.39999999999999</x:v>
      </x:c>
      <x:c r="F9" s="62" t="n">
        <x:f>Architectures!AE10*Assumptions!C38</x:f>
        <x:v>61.199999999999996</x:v>
      </x:c>
      <x:c r="G9" s="33" t="str">
        <x:v>twenty-percent attrition and overhaul pool</x:v>
      </x:c>
      <x:c r="H9" s="35" t="str">
        <x:v>calculated</x:v>
      </x:c>
    </x:row>
    <x:row r="10">
      <x:c r="B10" s="33" t="str">
        <x:v>Architecture R&amp;D</x:v>
      </x:c>
      <x:c r="C10" s="62" t="n">
        <x:f>Architectures!AG7</x:f>
        <x:v>110</x:v>
      </x:c>
      <x:c r="D10" s="62" t="n">
        <x:f>Architectures!AG8</x:f>
        <x:v>120</x:v>
      </x:c>
      <x:c r="E10" s="62" t="n">
        <x:f>Architectures!AG9</x:f>
        <x:v>130</x:v>
      </x:c>
      <x:c r="F10" s="62" t="n">
        <x:f>Architectures!AG10</x:f>
        <x:v>105</x:v>
      </x:c>
      <x:c r="G10" s="33" t="str">
        <x:v>architecture-specific maturation</x:v>
      </x:c>
      <x:c r="H10" s="35" t="str">
        <x:v>declared</x:v>
      </x:c>
    </x:row>
    <x:row r="11">
      <x:c r="B11" s="33" t="str">
        <x:v>Production tooling</x:v>
      </x:c>
      <x:c r="C11" s="62" t="n">
        <x:f>Architectures!AH7</x:f>
        <x:v>90</x:v>
      </x:c>
      <x:c r="D11" s="62" t="n">
        <x:f>Architectures!AH8</x:f>
        <x:v>85</x:v>
      </x:c>
      <x:c r="E11" s="62" t="n">
        <x:f>Architectures!AH9</x:f>
        <x:v>110</x:v>
      </x:c>
      <x:c r="F11" s="62" t="n">
        <x:f>Architectures!AH10</x:f>
        <x:v>95</x:v>
      </x:c>
      <x:c r="G11" s="33" t="str">
        <x:v>two-line production system</x:v>
      </x:c>
      <x:c r="H11" s="35" t="str">
        <x:v>declared</x:v>
      </x:c>
    </x:row>
    <x:row r="12">
      <x:c r="B12" s="33" t="str">
        <x:v>Base capital expansion</x:v>
      </x:c>
      <x:c r="C12" s="62" t="n">
        <x:f>Architectures!AI7*Assumptions!C34</x:f>
        <x:v>23.650000000000002</x:v>
      </x:c>
      <x:c r="D12" s="62" t="n">
        <x:f>Architectures!AI8*Assumptions!C34</x:f>
        <x:v>18.06</x:v>
      </x:c>
      <x:c r="E12" s="62" t="n">
        <x:f>Architectures!AI9*Assumptions!C34</x:f>
        <x:v>32.25</x:v>
      </x:c>
      <x:c r="F12" s="62" t="n">
        <x:f>Architectures!AI10*Assumptions!C34</x:f>
        <x:v>25.8</x:v>
      </x:c>
      <x:c r="G12" s="33" t="str">
        <x:v>increment above Pass 82 air base</x:v>
      </x:c>
      <x:c r="H12" s="35" t="str">
        <x:v>calculated</x:v>
      </x:c>
    </x:row>
    <x:row r="13">
      <x:c r="B13" s="33" t="str">
        <x:v>Base operating expansion</x:v>
      </x:c>
      <x:c r="C13" s="62" t="n">
        <x:f>0.02*Assumptions!C41*Assumptions!C34</x:f>
        <x:v>13.596600000000002</x:v>
      </x:c>
      <x:c r="D13" s="62" t="n">
        <x:f>0.015*Assumptions!C41*Assumptions!C34</x:f>
        <x:v>10.19745</x:v>
      </x:c>
      <x:c r="E13" s="62" t="n">
        <x:f>0.025*Assumptions!C41*Assumptions!C34</x:f>
        <x:v>16.99575</x:v>
      </x:c>
      <x:c r="F13" s="62" t="n">
        <x:f>0.022*Assumptions!C41*Assumptions!C34</x:f>
        <x:v>14.95626</x:v>
      </x:c>
      <x:c r="G13" s="33" t="str">
        <x:v>ramp-weighted expanded-base operations</x:v>
      </x:c>
      <x:c r="H13" s="35" t="str">
        <x:v>calculated</x:v>
      </x:c>
    </x:row>
    <x:row r="14">
      <x:c r="B14" s="33" t="str">
        <x:v>Full-scale proving</x:v>
      </x:c>
      <x:c r="C14" s="62" t="n">
        <x:v>75</x:v>
      </x:c>
      <x:c r="D14" s="62" t="n">
        <x:v>60</x:v>
      </x:c>
      <x:c r="E14" s="62" t="n">
        <x:v>80</x:v>
      </x:c>
      <x:c r="F14" s="62" t="n">
        <x:v>70</x:v>
      </x:c>
      <x:c r="G14" s="33" t="str">
        <x:v>compound flight, transfer and recovery</x:v>
      </x:c>
      <x:c r="H14" s="35" t="str">
        <x:v>declared</x:v>
      </x:c>
    </x:row>
    <x:row r="15">
      <x:c r="B15" s="33" t="str">
        <x:v>Certification and training</x:v>
      </x:c>
      <x:c r="C15" s="62" t="n">
        <x:v>35</x:v>
      </x:c>
      <x:c r="D15" s="62" t="n">
        <x:v>35</x:v>
      </x:c>
      <x:c r="E15" s="62" t="n">
        <x:v>40</x:v>
      </x:c>
      <x:c r="F15" s="62" t="n">
        <x:v>35</x:v>
      </x:c>
      <x:c r="G15" s="33" t="str">
        <x:v>independent airworthiness and public release</x:v>
      </x:c>
      <x:c r="H15" s="35" t="str">
        <x:v>declared</x:v>
      </x:c>
    </x:row>
    <x:row r="16">
      <x:c r="B16" s="33" t="str">
        <x:v>HBL architecture program</x:v>
      </x:c>
      <x:c r="C16" s="62" t="n">
        <x:f>SUM(C7:C15)</x:f>
        <x:v>984.8466</x:v>
      </x:c>
      <x:c r="D16" s="62" t="n">
        <x:f>SUM(D7:D15)</x:f>
        <x:v>932.2574500000001</x:v>
      </x:c>
      <x:c r="E16" s="62" t="n">
        <x:f>SUM(E7:E15)</x:f>
        <x:v>1182.84575</x:v>
      </x:c>
      <x:c r="F16" s="62" t="n">
        <x:f>SUM(F7:F15)</x:f>
        <x:v>1040.1562600000002</x:v>
      </x:c>
      <x:c r="G16" s="33" t="str">
        <x:v>complete HBL program</x:v>
      </x:c>
      <x:c r="H16" s="35" t="str">
        <x:v>calculated</x:v>
      </x:c>
    </x:row>
    <x:row r="17">
      <x:c r="B17" s="33" t="str">
        <x:v>Pass 82 non-HBL DCP remainder</x:v>
      </x:c>
      <x:c r="C17" s="62" t="n">
        <x:f>Assumptions!C42-Assumptions!C43</x:f>
        <x:v>584.9764</x:v>
      </x:c>
      <x:c r="D17" s="62" t="n">
        <x:f>Assumptions!C42-Assumptions!C43</x:f>
        <x:v>584.9764</x:v>
      </x:c>
      <x:c r="E17" s="62" t="n">
        <x:f>Assumptions!C42-Assumptions!C43</x:f>
        <x:v>584.9764</x:v>
      </x:c>
      <x:c r="F17" s="62" t="n">
        <x:f>Assumptions!C42-Assumptions!C43</x:f>
        <x:v>584.9764</x:v>
      </x:c>
      <x:c r="G17" s="33" t="str">
        <x:v>Pass 82 program less generic HBL lifecycle</x:v>
      </x:c>
      <x:c r="H17" s="35" t="str">
        <x:v>calculated</x:v>
      </x:c>
    </x:row>
    <x:row r="18">
      <x:c r="B18" s="33" t="str">
        <x:v>Revised DCP-2 program</x:v>
      </x:c>
      <x:c r="C18" s="62" t="n">
        <x:f>C16+C17</x:f>
        <x:v>1569.8229999999999</x:v>
      </x:c>
      <x:c r="D18" s="62" t="n">
        <x:f>D16+D17</x:f>
        <x:v>1517.23385</x:v>
      </x:c>
      <x:c r="E18" s="62" t="n">
        <x:f>E16+E17</x:f>
        <x:v>1767.82215</x:v>
      </x:c>
      <x:c r="F18" s="62" t="n">
        <x:f>F16+F17</x:f>
        <x:v>1625.1326600000002</x:v>
      </x:c>
      <x:c r="G18" s="33" t="str">
        <x:v>replacement DCP-2 program</x:v>
      </x:c>
      <x:c r="H18" s="35" t="str">
        <x:v>calculated</x:v>
      </x:c>
    </x:row>
    <x:row r="19">
      <x:c r="B19" s="33" t="str">
        <x:v>Dynamic F1-C1 base</x:v>
      </x:c>
      <x:c r="C19" s="62" t="n">
        <x:f>Assumptions!C47</x:f>
        <x:v>7383.14155</x:v>
      </x:c>
      <x:c r="D19" s="62" t="n">
        <x:f>Assumptions!C47</x:f>
        <x:v>7383.14155</x:v>
      </x:c>
      <x:c r="E19" s="62" t="n">
        <x:f>Assumptions!C47</x:f>
        <x:v>7383.14155</x:v>
      </x:c>
      <x:c r="F19" s="62" t="n">
        <x:f>Assumptions!C47</x:f>
        <x:v>7383.14155</x:v>
      </x:c>
      <x:c r="G19" s="33" t="str">
        <x:v>one-region force before reinforcement</x:v>
      </x:c>
      <x:c r="H19" s="35" t="str">
        <x:v>calculated</x:v>
      </x:c>
    </x:row>
    <x:row r="20">
      <x:c r="B20" s="33" t="str">
        <x:v>Revised national boundary</x:v>
      </x:c>
      <x:c r="C20" s="62" t="n">
        <x:f>C18+C19</x:f>
        <x:v>8952.96455</x:v>
      </x:c>
      <x:c r="D20" s="62" t="n">
        <x:f>D18+D19</x:f>
        <x:v>8900.3754</x:v>
      </x:c>
      <x:c r="E20" s="62" t="n">
        <x:f>E18+E19</x:f>
        <x:v>9150.9637</x:v>
      </x:c>
      <x:c r="F20" s="62" t="n">
        <x:f>F18+F19</x:f>
        <x:v>9008.27421</x:v>
      </x:c>
      <x:c r="G20" s="33" t="str">
        <x:v>national force plus HBL architecture</x:v>
      </x:c>
      <x:c r="H20" s="35" t="str">
        <x:v>calculated</x:v>
      </x:c>
    </x:row>
    <x:row r="21">
      <x:c r="B21" s="33" t="str">
        <x:v>Increase over Pass 82 DCP</x:v>
      </x:c>
      <x:c r="C21" s="62" t="n">
        <x:f>C18-Assumptions!C42</x:f>
        <x:v>636.5465999999999</x:v>
      </x:c>
      <x:c r="D21" s="62" t="n">
        <x:f>D18-Assumptions!C42</x:f>
        <x:v>583.9574500000001</x:v>
      </x:c>
      <x:c r="E21" s="62" t="n">
        <x:f>E18-Assumptions!C42</x:f>
        <x:v>834.54575</x:v>
      </x:c>
      <x:c r="F21" s="62" t="n">
        <x:f>F18-Assumptions!C42</x:f>
        <x:v>691.8562600000002</x:v>
      </x:c>
      <x:c r="G21" s="33" t="str">
        <x:v>physical architecture correction</x:v>
      </x:c>
      <x:c r="H21" s="35" t="str">
        <x:v>calculated</x:v>
      </x:c>
    </x:row>
    <x:row r="22">
      <x:c r="B22" s="42" t="str">
        <x:v>Selected architecture</x:v>
      </x:c>
      <x:c r="C22" s="42" t="str">
        <x:v>FAIL</x:v>
      </x:c>
      <x:c r="D22" s="42" t="str">
        <x:v>PASS</x:v>
      </x:c>
      <x:c r="E22" s="42" t="str">
        <x:v>FAIL</x:v>
      </x:c>
      <x:c r="F22" s="42" t="str">
        <x:v>CONDITIONAL</x:v>
      </x:c>
      <x:c r="G22" s="42" t="str">
        <x:v>universal decision screen</x:v>
      </x:c>
      <x:c r="H22" s="44" t="str">
        <x:v>behavior only</x:v>
      </x:c>
    </x:row>
    <x:row r="23">
      <x:c r="B23" s="2"/>
      <x:c r="C23" s="2"/>
      <x:c r="D23" s="2"/>
      <x:c r="E23" s="2"/>
      <x:c r="F23" s="2"/>
      <x:c r="G23" s="2"/>
      <x:c r="H23" s="2"/>
    </x:row>
    <x:row r="24">
      <x:c r="B24" s="2"/>
      <x:c r="C24" s="2"/>
      <x:c r="D24" s="2"/>
      <x:c r="E24" s="2"/>
      <x:c r="F24" s="2"/>
      <x:c r="G24" s="2"/>
      <x:c r="H24" s="2"/>
    </x:row>
    <x:row r="25">
      <x:c r="B25" s="2"/>
      <x:c r="C25" s="2"/>
      <x:c r="D25" s="2"/>
      <x:c r="E25" s="2"/>
      <x:c r="F25" s="2"/>
      <x:c r="G25" s="2"/>
      <x:c r="H25" s="2"/>
    </x:row>
    <x:row r="26">
      <x:c r="B26" s="2"/>
      <x:c r="C26" s="2"/>
      <x:c r="D26" s="2"/>
      <x:c r="E26" s="2"/>
      <x:c r="F26" s="2"/>
      <x:c r="G26" s="2"/>
      <x:c r="H26" s="2"/>
    </x:row>
    <x:row r="27">
      <x:c r="B27" s="2"/>
      <x:c r="C27" s="2"/>
      <x:c r="D27" s="2"/>
      <x:c r="E27" s="2"/>
      <x:c r="F27" s="2"/>
      <x:c r="G27" s="2"/>
      <x:c r="H27" s="2"/>
    </x:row>
    <x:row r="28">
      <x:c r="B28" s="2"/>
      <x:c r="C28" s="2"/>
      <x:c r="D28" s="2"/>
      <x:c r="E28" s="2"/>
      <x:c r="F28" s="2"/>
      <x:c r="G28" s="2"/>
      <x:c r="H28" s="2"/>
    </x:row>
    <x:row r="29">
      <x:c r="B29" s="2"/>
      <x:c r="C29" s="2"/>
      <x:c r="D29" s="2"/>
      <x:c r="E29" s="2"/>
      <x:c r="F29" s="2"/>
      <x:c r="G29" s="2"/>
      <x:c r="H29" s="2"/>
    </x:row>
    <x:row r="30">
      <x:c r="B30" s="2"/>
      <x:c r="C30" s="2"/>
      <x:c r="D30" s="2"/>
      <x:c r="E30" s="2"/>
      <x:c r="F30" s="2"/>
      <x:c r="G30" s="2"/>
      <x:c r="H30" s="2"/>
    </x:row>
    <x:row r="31">
      <x:c r="B31" s="2"/>
      <x:c r="C31" s="2"/>
      <x:c r="D31" s="2"/>
      <x:c r="E31" s="2"/>
      <x:c r="F31" s="2"/>
      <x:c r="G31" s="2"/>
      <x:c r="H31" s="2"/>
    </x:row>
    <x:row r="32">
      <x:c r="B32" s="2"/>
      <x:c r="C32" s="2"/>
      <x:c r="D32" s="2"/>
      <x:c r="E32" s="2"/>
      <x:c r="F32" s="2"/>
      <x:c r="G32" s="2"/>
      <x:c r="H32" s="2"/>
    </x:row>
    <x:row r="33">
      <x:c r="B33" s="2"/>
      <x:c r="C33" s="2"/>
      <x:c r="D33" s="2"/>
      <x:c r="E33" s="2"/>
      <x:c r="F33" s="2"/>
      <x:c r="G33" s="2"/>
      <x:c r="H33" s="2"/>
    </x:row>
    <x:row r="34">
      <x:c r="B34" s="2"/>
      <x:c r="C34" s="2"/>
      <x:c r="D34" s="2"/>
      <x:c r="E34" s="2"/>
      <x:c r="F34" s="2"/>
      <x:c r="G34" s="2"/>
      <x:c r="H34" s="2"/>
    </x:row>
  </x:sheetData>
  <x:conditionalFormatting sqref="C22:F22">
    <x:cfRule type="containsText" dxfId="6" priority="1" operator="containsText" text="FAIL"/>
    <x:cfRule type="containsText" dxfId="7" priority="2" operator="containsText" text="PASS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9" hidden="0" customWidth="1"/>
    <x:col min="3" max="3" width="20" hidden="0" customWidth="1"/>
    <x:col min="4" max="4" width="46" hidden="0" customWidth="1"/>
    <x:col min="5" max="5" width="42" hidden="0" customWidth="1"/>
    <x:col min="6" max="6" width="36" hidden="0" customWidth="1"/>
    <x:col min="7" max="7" width="39" hidden="0" customWidth="1"/>
    <x:col min="8" max="8" width="39" hidden="0" customWidth="1"/>
    <x:col min="9" max="9" width="36" hidden="0" customWidth="1"/>
    <x:col min="10" max="10" width="14" hidden="0" customWidth="1"/>
    <x:col min="11" max="11" width="14" hidden="0" customWidth="1"/>
  </x:cols>
  <x:sheetData>
    <x:row r="2">
      <x:c r="B2" s="3" t="str">
        <x:v>HBL-340 technology and proving program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Each campaign is tied to a physical contradiction, a representative article and a decisive failure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31" t="str">
        <x:v>Campaign</x:v>
      </x:c>
      <x:c r="C6" s="32" t="str">
        <x:v>Selected account $B</x:v>
      </x:c>
      <x:c r="D6" s="32" t="str">
        <x:v>Physical contradiction</x:v>
      </x:c>
      <x:c r="E6" s="32" t="str">
        <x:v>Required advance</x:v>
      </x:c>
      <x:c r="F6" s="32" t="str">
        <x:v>Representative article</x:v>
      </x:c>
      <x:c r="G6" s="32" t="str">
        <x:v>Decisive trial</x:v>
      </x:c>
      <x:c r="H6" s="32" t="str">
        <x:v>Failure condition</x:v>
      </x:c>
      <x:c r="I6" s="32" t="str">
        <x:v>Industrial output</x:v>
      </x:c>
      <x:c r="J6" s="32" t="str">
        <x:v>Evidence</x:v>
      </x:c>
      <x:c r="K6" s="32" t="str">
        <x:v>Rendering</x:v>
      </x:c>
    </x:row>
    <x:row r="7">
      <x:c r="B7" s="33" t="str">
        <x:v>hybrid lift structure and cells</x:v>
      </x:c>
      <x:c r="C7" s="64" t="n">
        <x:v>28</x:v>
      </x:c>
      <x:c r="D7" s="33" t="str">
        <x:v>850,000 m3 vehicle must retain lift after one cell loss</x:v>
      </x:c>
      <x:c r="E7" s="33" t="str">
        <x:v>damage-tolerant low-mass primary structure</x:v>
      </x:c>
      <x:c r="F7" s="33" t="str">
        <x:v>full-scale bay and twenty-cell section</x:v>
      </x:c>
      <x:c r="G7" s="33" t="str">
        <x:v>pressure, tear and one-cell isolation</x:v>
      </x:c>
      <x:c r="H7" s="33" t="str">
        <x:v>loss propagates or lift falls below recovery</x:v>
      </x:c>
      <x:c r="I7" s="33" t="str">
        <x:v>two independent structure lineages</x:v>
      </x:c>
      <x:c r="J7" s="33" t="str">
        <x:v>OPEN</x:v>
      </x:c>
      <x:c r="K7" s="35" t="str">
        <x:v>BLOCKED</x:v>
      </x:c>
    </x:row>
    <x:row r="8">
      <x:c r="B8" s="33" t="str">
        <x:v>distributed high-authority propulsion</x:v>
      </x:c>
      <x:c r="C8" s="64" t="n">
        <x:v>24</x:v>
      </x:c>
      <x:c r="D8" s="33" t="str">
        <x:v>240 km/h cruise and 38 m/s gust control</x:v>
      </x:c>
      <x:c r="E8" s="33" t="str">
        <x:v>144 MW segmented propulsive system</x:v>
      </x:c>
      <x:c r="F8" s="33" t="str">
        <x:v>three-pod integrated rig</x:v>
      </x:c>
      <x:c r="G8" s="33" t="str">
        <x:v>one-pod-out route and approach</x:v>
      </x:c>
      <x:c r="H8" s="33" t="str">
        <x:v>remaining power below maximum demand</x:v>
      </x:c>
      <x:c r="I8" s="33" t="str">
        <x:v>multi-supplier propulsor sector</x:v>
      </x:c>
      <x:c r="J8" s="33" t="str">
        <x:v>OPEN</x:v>
      </x:c>
      <x:c r="K8" s="35" t="str">
        <x:v>BLOCKED</x:v>
      </x:c>
    </x:row>
    <x:row r="9">
      <x:c r="B9" s="33" t="str">
        <x:v>mission energy and thermal control</x:v>
      </x:c>
      <x:c r="C9" s="64" t="n">
        <x:v>18</x:v>
      </x:c>
      <x:c r="D9" s="33" t="str">
        <x:v>1.575 GWh is assigned 105 t of energy mass</x:v>
      </x:c>
      <x:c r="E9" s="33" t="str">
        <x:v>high-specific-energy generation across six isolated buses</x:v>
      </x:c>
      <x:c r="F9" s="33" t="str">
        <x:v>one full bus and thermal loop</x:v>
      </x:c>
      <x:c r="G9" s="33" t="str">
        <x:v>bus loss, fire and diversion</x:v>
      </x:c>
      <x:c r="H9" s="33" t="str">
        <x:v>thermal runaway or reserve loss</x:v>
      </x:c>
      <x:c r="I9" s="33" t="str">
        <x:v>civil megawatt airborne power sector</x:v>
      </x:c>
      <x:c r="J9" s="33" t="str">
        <x:v>OPEN</x:v>
      </x:c>
      <x:c r="K9" s="35" t="str">
        <x:v>BLOCKED</x:v>
      </x:c>
    </x:row>
    <x:row r="10">
      <x:c r="B10" s="33" t="str">
        <x:v>ground-coupled arrest and unloading</x:v>
      </x:c>
      <x:c r="C10" s="64" t="n">
        <x:v>22</x:v>
      </x:c>
      <x:c r="D10" s="33" t="str">
        <x:v>loaded vehicle transfers 292 t reaction to weak ground</x:v>
      </x:c>
      <x:c r="E10" s="33" t="str">
        <x:v>distributed contact and active leveling</x:v>
      </x:c>
      <x:c r="F10" s="33" t="str">
        <x:v>sixty-square-metre landing system</x:v>
      </x:c>
      <x:c r="G10" s="33" t="str">
        <x:v>60 kPa landing, arrest and four-hour unload</x:v>
      </x:c>
      <x:c r="H10" s="33" t="str">
        <x:v>bearing failure, rebound or unload excursion</x:v>
      </x:c>
      <x:c r="I10" s="33" t="str">
        <x:v>low-pressure heavy landing systems</x:v>
      </x:c>
      <x:c r="J10" s="33" t="str">
        <x:v>OPEN</x:v>
      </x:c>
      <x:c r="K10" s="35" t="str">
        <x:v>BLOCKED</x:v>
      </x:c>
    </x:row>
    <x:row r="11">
      <x:c r="B11" s="33" t="str">
        <x:v>buoyancy transition control</x:v>
      </x:c>
      <x:c r="C11" s="64" t="n">
        <x:v>12</x:v>
      </x:c>
      <x:c r="D11" s="33" t="str">
        <x:v>unloaded static excess remains about 48 t</x:v>
      </x:c>
      <x:c r="E11" s="33" t="str">
        <x:v>at least 60 t rapid internal authority</x:v>
      </x:c>
      <x:c r="F11" s="33" t="str">
        <x:v>full gas-management plant</x:v>
      </x:c>
      <x:c r="G11" s="33" t="str">
        <x:v>hot-high unload and aborted re-load</x:v>
      </x:c>
      <x:c r="H11" s="33" t="str">
        <x:v>uncontrolled ascent or cell damage</x:v>
      </x:c>
      <x:c r="I11" s="33" t="str">
        <x:v>variable-buoyancy machinery</x:v>
      </x:c>
      <x:c r="J11" s="33" t="str">
        <x:v>OPEN</x:v>
      </x:c>
      <x:c r="K11" s="35" t="str">
        <x:v>BLOCKED</x:v>
      </x:c>
    </x:row>
    <x:row r="12">
      <x:c r="B12" s="33" t="str">
        <x:v>icing, lightning and severe weather</x:v>
      </x:c>
      <x:c r="C12" s="64" t="n">
        <x:v>16</x:v>
      </x:c>
      <x:c r="D12" s="33" t="str">
        <x:v>very large surface must operate in damaged-region weather</x:v>
      </x:c>
      <x:c r="E12" s="33" t="str">
        <x:v>protected leading surfaces and distributed sensing</x:v>
      </x:c>
      <x:c r="F12" s="33" t="str">
        <x:v>full-scale envelope sector</x:v>
      </x:c>
      <x:c r="G12" s="33" t="str">
        <x:v>120-minute icing plus gust and lightning</x:v>
      </x:c>
      <x:c r="H12" s="33" t="str">
        <x:v>control, lift or energy limit exceeded</x:v>
      </x:c>
      <x:c r="I12" s="33" t="str">
        <x:v>climate-flight test profession</x:v>
      </x:c>
      <x:c r="J12" s="33" t="str">
        <x:v>OPEN</x:v>
      </x:c>
      <x:c r="K12" s="35" t="str">
        <x:v>BLOCKED</x:v>
      </x:c>
    </x:row>
    <x:row r="13">
      <x:c r="B13" s="33" t="str">
        <x:v>offline flight and receiver control</x:v>
      </x:c>
      <x:c r="C13" s="64" t="n">
        <x:v>10</x:v>
      </x:c>
      <x:c r="D13" s="33" t="str">
        <x:v>network denial cannot stop safe arrival</x:v>
      </x:c>
      <x:c r="E13" s="33" t="str">
        <x:v>three-lane local autonomy and signed mission state</x:v>
      </x:c>
      <x:c r="F13" s="33" t="str">
        <x:v>vehicle-receiver control stack</x:v>
      </x:c>
      <x:c r="G13" s="33" t="str">
        <x:v>network-denied approach and transfer</x:v>
      </x:c>
      <x:c r="H13" s="33" t="str">
        <x:v>stale state or unsafe autonomous action</x:v>
      </x:c>
      <x:c r="I13" s="33" t="str">
        <x:v>resilient civil avionics</x:v>
      </x:c>
      <x:c r="J13" s="33" t="str">
        <x:v>OPEN</x:v>
      </x:c>
      <x:c r="K13" s="35" t="str">
        <x:v>BLOCKED</x:v>
      </x:c>
    </x:row>
    <x:row r="14">
      <x:c r="B14" s="33" t="str">
        <x:v>cargo bay, restraint and unload order</x:v>
      </x:c>
      <x:c r="C14" s="64" t="n">
        <x:v>12</x:v>
      </x:c>
      <x:c r="D14" s="33" t="str">
        <x:v>1,400 m3 load must remain accessible by wave</x:v>
      </x:c>
      <x:c r="E14" s="33" t="str">
        <x:v>robotic rail grid and measured restraint</x:v>
      </x:c>
      <x:c r="F14" s="33" t="str">
        <x:v>full HBL-A1 load deck</x:v>
      </x:c>
      <x:c r="G14" s="33" t="str">
        <x:v>gust-loaded transit and ordered unload</x:v>
      </x:c>
      <x:c r="H14" s="33" t="str">
        <x:v>position inaccessible or balance violation</x:v>
      </x:c>
      <x:c r="I14" s="33" t="str">
        <x:v>heavy robotic cargo systems</x:v>
      </x:c>
      <x:c r="J14" s="33" t="str">
        <x:v>OPEN</x:v>
      </x:c>
      <x:c r="K14" s="35" t="str">
        <x:v>BLOCKED</x:v>
      </x:c>
    </x:row>
    <x:row r="15">
      <x:c r="B15" s="33" t="str">
        <x:v>emergency landing and recovery</x:v>
      </x:c>
      <x:c r="C15" s="64" t="n">
        <x:v>18</x:v>
      </x:c>
      <x:c r="D15" s="33" t="str">
        <x:v>single-site failure cannot strand a strategic article</x:v>
      </x:c>
      <x:c r="E15" s="33" t="str">
        <x:v>distributed contact, tow and modular repair</x:v>
      </x:c>
      <x:c r="F15" s="33" t="str">
        <x:v>instrumented complete vehicle</x:v>
      </x:c>
      <x:c r="G15" s="33" t="str">
        <x:v>propulsion loss over degraded alternate</x:v>
      </x:c>
      <x:c r="H15" s="33" t="str">
        <x:v>unrecoverable hull or receiver hazard</x:v>
      </x:c>
      <x:c r="I15" s="33" t="str">
        <x:v>national heavy recovery service</x:v>
      </x:c>
      <x:c r="J15" s="33" t="str">
        <x:v>OPEN</x:v>
      </x:c>
      <x:c r="K15" s="35" t="str">
        <x:v>BLOCKED</x:v>
      </x:c>
    </x:row>
    <x:row r="16">
      <x:c r="B16" s="33" t="str">
        <x:v>production learning and digital certification</x:v>
      </x:c>
      <x:c r="C16" s="64" t="n">
        <x:v>25</x:v>
      </x:c>
      <x:c r="D16" s="33" t="str">
        <x:v>112 articles cannot remain bespoke prototypes</x:v>
      </x:c>
      <x:c r="E16" s="33" t="str">
        <x:v>model-based configuration with measured lot acceptance</x:v>
      </x:c>
      <x:c r="F16" s="33" t="str">
        <x:v>two serial production lines</x:v>
      </x:c>
      <x:c r="G16" s="33" t="str">
        <x:v>lot-to-lot mass, lift and repair comparison</x:v>
      </x:c>
      <x:c r="H16" s="33" t="str">
        <x:v>supplier drift or non-reconstructible state</x:v>
      </x:c>
      <x:c r="I16" s="33" t="str">
        <x:v>large civil-airframe industrial base</x:v>
      </x:c>
      <x:c r="J16" s="33" t="str">
        <x:v>OPEN</x:v>
      </x:c>
      <x:c r="K16" s="35" t="str">
        <x:v>BLOCKED</x:v>
      </x:c>
    </x:row>
    <x:row r="17">
      <x:c r="B17" s="42" t="str">
        <x:v>compound public-service proving</x:v>
      </x:c>
      <x:c r="C17" s="65" t="n">
        <x:v>30</x:v>
      </x:c>
      <x:c r="D17" s="42" t="str">
        <x:v>vehicle arrival is not public service</x:v>
      </x:c>
      <x:c r="E17" s="42" t="str">
        <x:v>end-to-end release through eight-hour receiver build</x:v>
      </x:c>
      <x:c r="F17" s="42" t="str">
        <x:v>two HBLs plus complete service cell</x:v>
      </x:c>
      <x:c r="G17" s="42" t="str">
        <x:v>hidden fault from base through reset</x:v>
      </x:c>
      <x:c r="H17" s="42" t="str">
        <x:v>late, unsafe or non-repeatable service</x:v>
      </x:c>
      <x:c r="I17" s="42" t="str">
        <x:v>Fourth Access proving ranges</x:v>
      </x:c>
      <x:c r="J17" s="42" t="str">
        <x:v>OPEN</x:v>
      </x:c>
      <x:c r="K17" s="44" t="str">
        <x:v>BLOCKED</x:v>
      </x:c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9" hidden="0" customWidth="1"/>
    <x:col min="3" max="3" width="44" hidden="0" customWidth="1"/>
    <x:col min="4" max="4" width="16" hidden="0" customWidth="1"/>
    <x:col min="5" max="5" width="46" hidden="0" customWidth="1"/>
    <x:col min="6" max="6" width="31" hidden="0" customWidth="1"/>
    <x:col min="7" max="7" width="32" hidden="0" customWidth="1"/>
    <x:col min="8" max="8" width="14" hidden="0" customWidth="1"/>
    <x:col min="9" max="9" width="30" hidden="0" customWidth="1"/>
  </x:cols>
  <x:sheetData>
    <x:row r="2">
      <x:c r="B2" s="3" t="str">
        <x:v>HBL-340 architecture evidence gates</x:v>
      </x:c>
      <x:c r="C2" s="2"/>
      <x:c r="D2" s="2"/>
      <x:c r="E2" s="2"/>
      <x:c r="F2" s="2"/>
      <x:c r="G2" s="2"/>
      <x:c r="H2" s="2"/>
      <x:c r="I2" s="2"/>
    </x:row>
    <x:row r="3">
      <x:c r="B3" s="4" t="str">
        <x:v>Calculated feasibility selects a research reference; only representative physical evidence can admit a carrier</x:v>
      </x:c>
      <x:c r="C3" s="4"/>
      <x:c r="D3" s="4"/>
      <x:c r="E3" s="4"/>
      <x:c r="F3" s="4"/>
      <x:c r="G3" s="4"/>
      <x:c r="H3" s="4"/>
      <x:c r="I3" s="4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31" t="str">
        <x:v>Gate</x:v>
      </x:c>
      <x:c r="C6" s="32" t="str">
        <x:v>Evidence required</x:v>
      </x:c>
      <x:c r="D6" s="32" t="str">
        <x:v>Article</x:v>
      </x:c>
      <x:c r="E6" s="32" t="str">
        <x:v>Failure insertion</x:v>
      </x:c>
      <x:c r="F6" s="32" t="str">
        <x:v>Threshold</x:v>
      </x:c>
      <x:c r="G6" s="32" t="str">
        <x:v>Owner</x:v>
      </x:c>
      <x:c r="H6" s="32" t="str">
        <x:v>State</x:v>
      </x:c>
      <x:c r="I6" s="32" t="str">
        <x:v>Consequence</x:v>
      </x:c>
    </x:row>
    <x:row r="7">
      <x:c r="B7" s="33" t="str">
        <x:v>E01</x:v>
      </x:c>
      <x:c r="C7" s="33" t="str">
        <x:v>H1 mass statement</x:v>
      </x:c>
      <x:c r="D7" s="33" t="str">
        <x:v>H1</x:v>
      </x:c>
      <x:c r="E7" s="33" t="str">
        <x:v>remove or measure the named article or condition</x:v>
      </x:c>
      <x:c r="F7" s="33" t="str">
        <x:v>representative measured pass</x:v>
      </x:c>
      <x:c r="G7" s="33" t="str">
        <x:v>Access Test Directorate</x:v>
      </x:c>
      <x:c r="H7" s="33" t="str">
        <x:v>OPEN</x:v>
      </x:c>
      <x:c r="I7" s="35" t="str">
        <x:v>no current or strict credit</x:v>
      </x:c>
    </x:row>
    <x:row r="8">
      <x:c r="B8" s="33" t="str">
        <x:v>E02</x:v>
      </x:c>
      <x:c r="C8" s="33" t="str">
        <x:v>H1 total-lift reserve</x:v>
      </x:c>
      <x:c r="D8" s="33" t="str">
        <x:v>H1</x:v>
      </x:c>
      <x:c r="E8" s="33" t="str">
        <x:v>remove or measure the named article or condition</x:v>
      </x:c>
      <x:c r="F8" s="33" t="str">
        <x:v>representative measured pass</x:v>
      </x:c>
      <x:c r="G8" s="33" t="str">
        <x:v>Fourth Access Systems Command</x:v>
      </x:c>
      <x:c r="H8" s="33" t="str">
        <x:v>OPEN</x:v>
      </x:c>
      <x:c r="I8" s="35" t="str">
        <x:v>no current or strict credit</x:v>
      </x:c>
    </x:row>
    <x:row r="9">
      <x:c r="B9" s="33" t="str">
        <x:v>E03</x:v>
      </x:c>
      <x:c r="C9" s="33" t="str">
        <x:v>H1 receiver geometry</x:v>
      </x:c>
      <x:c r="D9" s="33" t="str">
        <x:v>H1</x:v>
      </x:c>
      <x:c r="E9" s="33" t="str">
        <x:v>remove or measure the named article or condition</x:v>
      </x:c>
      <x:c r="F9" s="33" t="str">
        <x:v>representative measured pass</x:v>
      </x:c>
      <x:c r="G9" s="33" t="str">
        <x:v>Access Test Directorate</x:v>
      </x:c>
      <x:c r="H9" s="33" t="str">
        <x:v>OPEN</x:v>
      </x:c>
      <x:c r="I9" s="35" t="str">
        <x:v>no current or strict credit</x:v>
      </x:c>
    </x:row>
    <x:row r="10">
      <x:c r="B10" s="33" t="str">
        <x:v>E04</x:v>
      </x:c>
      <x:c r="C10" s="33" t="str">
        <x:v>H1 mission energy</x:v>
      </x:c>
      <x:c r="D10" s="33" t="str">
        <x:v>H1</x:v>
      </x:c>
      <x:c r="E10" s="33" t="str">
        <x:v>remove or measure the named article or condition</x:v>
      </x:c>
      <x:c r="F10" s="33" t="str">
        <x:v>representative measured pass</x:v>
      </x:c>
      <x:c r="G10" s="33" t="str">
        <x:v>Fourth Access Systems Command</x:v>
      </x:c>
      <x:c r="H10" s="33" t="str">
        <x:v>OPEN</x:v>
      </x:c>
      <x:c r="I10" s="35" t="str">
        <x:v>no current or strict credit</x:v>
      </x:c>
    </x:row>
    <x:row r="11">
      <x:c r="B11" s="33" t="str">
        <x:v>E05</x:v>
      </x:c>
      <x:c r="C11" s="33" t="str">
        <x:v>H1 universal transfer</x:v>
      </x:c>
      <x:c r="D11" s="33" t="str">
        <x:v>H1</x:v>
      </x:c>
      <x:c r="E11" s="33" t="str">
        <x:v>remove or measure the named article or condition</x:v>
      </x:c>
      <x:c r="F11" s="33" t="str">
        <x:v>representative measured pass</x:v>
      </x:c>
      <x:c r="G11" s="33" t="str">
        <x:v>Access Test Directorate</x:v>
      </x:c>
      <x:c r="H11" s="33" t="str">
        <x:v>OPEN</x:v>
      </x:c>
      <x:c r="I11" s="35" t="str">
        <x:v>no current or strict credit</x:v>
      </x:c>
    </x:row>
    <x:row r="12">
      <x:c r="B12" s="33" t="str">
        <x:v>E06</x:v>
      </x:c>
      <x:c r="C12" s="33" t="str">
        <x:v>H1 weather envelope</x:v>
      </x:c>
      <x:c r="D12" s="33" t="str">
        <x:v>H1</x:v>
      </x:c>
      <x:c r="E12" s="33" t="str">
        <x:v>remove or measure the named article or condition</x:v>
      </x:c>
      <x:c r="F12" s="33" t="str">
        <x:v>representative measured pass</x:v>
      </x:c>
      <x:c r="G12" s="33" t="str">
        <x:v>Fourth Access Systems Command</x:v>
      </x:c>
      <x:c r="H12" s="33" t="str">
        <x:v>OPEN</x:v>
      </x:c>
      <x:c r="I12" s="35" t="str">
        <x:v>no current or strict credit</x:v>
      </x:c>
    </x:row>
    <x:row r="13">
      <x:c r="B13" s="33" t="str">
        <x:v>E07</x:v>
      </x:c>
      <x:c r="C13" s="33" t="str">
        <x:v>H1 mission clock</x:v>
      </x:c>
      <x:c r="D13" s="33" t="str">
        <x:v>H1</x:v>
      </x:c>
      <x:c r="E13" s="33" t="str">
        <x:v>remove or measure the named article or condition</x:v>
      </x:c>
      <x:c r="F13" s="33" t="str">
        <x:v>representative measured pass</x:v>
      </x:c>
      <x:c r="G13" s="33" t="str">
        <x:v>Access Test Directorate</x:v>
      </x:c>
      <x:c r="H13" s="33" t="str">
        <x:v>OPEN</x:v>
      </x:c>
      <x:c r="I13" s="35" t="str">
        <x:v>no current or strict credit</x:v>
      </x:c>
    </x:row>
    <x:row r="14">
      <x:c r="B14" s="33" t="str">
        <x:v>E08</x:v>
      </x:c>
      <x:c r="C14" s="33" t="str">
        <x:v>H2 mass statement</x:v>
      </x:c>
      <x:c r="D14" s="33" t="str">
        <x:v>H2</x:v>
      </x:c>
      <x:c r="E14" s="33" t="str">
        <x:v>remove or measure the named article or condition</x:v>
      </x:c>
      <x:c r="F14" s="33" t="str">
        <x:v>representative measured pass</x:v>
      </x:c>
      <x:c r="G14" s="33" t="str">
        <x:v>Fourth Access Systems Command</x:v>
      </x:c>
      <x:c r="H14" s="33" t="str">
        <x:v>OPEN</x:v>
      </x:c>
      <x:c r="I14" s="35" t="str">
        <x:v>no current or strict credit</x:v>
      </x:c>
    </x:row>
    <x:row r="15">
      <x:c r="B15" s="33" t="str">
        <x:v>E09</x:v>
      </x:c>
      <x:c r="C15" s="33" t="str">
        <x:v>H2 total-lift reserve</x:v>
      </x:c>
      <x:c r="D15" s="33" t="str">
        <x:v>H2</x:v>
      </x:c>
      <x:c r="E15" s="33" t="str">
        <x:v>remove or measure the named article or condition</x:v>
      </x:c>
      <x:c r="F15" s="33" t="str">
        <x:v>representative measured pass</x:v>
      </x:c>
      <x:c r="G15" s="33" t="str">
        <x:v>Access Test Directorate</x:v>
      </x:c>
      <x:c r="H15" s="33" t="str">
        <x:v>OPEN</x:v>
      </x:c>
      <x:c r="I15" s="35" t="str">
        <x:v>no current or strict credit</x:v>
      </x:c>
    </x:row>
    <x:row r="16">
      <x:c r="B16" s="33" t="str">
        <x:v>E10</x:v>
      </x:c>
      <x:c r="C16" s="33" t="str">
        <x:v>H2 receiver geometry</x:v>
      </x:c>
      <x:c r="D16" s="33" t="str">
        <x:v>H2</x:v>
      </x:c>
      <x:c r="E16" s="33" t="str">
        <x:v>remove or measure the named article or condition</x:v>
      </x:c>
      <x:c r="F16" s="33" t="str">
        <x:v>representative measured pass</x:v>
      </x:c>
      <x:c r="G16" s="33" t="str">
        <x:v>Fourth Access Systems Command</x:v>
      </x:c>
      <x:c r="H16" s="33" t="str">
        <x:v>OPEN</x:v>
      </x:c>
      <x:c r="I16" s="35" t="str">
        <x:v>no current or strict credit</x:v>
      </x:c>
    </x:row>
    <x:row r="17">
      <x:c r="B17" s="33" t="str">
        <x:v>E11</x:v>
      </x:c>
      <x:c r="C17" s="33" t="str">
        <x:v>H2 mission energy</x:v>
      </x:c>
      <x:c r="D17" s="33" t="str">
        <x:v>H2</x:v>
      </x:c>
      <x:c r="E17" s="33" t="str">
        <x:v>remove or measure the named article or condition</x:v>
      </x:c>
      <x:c r="F17" s="33" t="str">
        <x:v>representative measured pass</x:v>
      </x:c>
      <x:c r="G17" s="33" t="str">
        <x:v>Access Test Directorate</x:v>
      </x:c>
      <x:c r="H17" s="33" t="str">
        <x:v>OPEN</x:v>
      </x:c>
      <x:c r="I17" s="35" t="str">
        <x:v>no current or strict credit</x:v>
      </x:c>
    </x:row>
    <x:row r="18">
      <x:c r="B18" s="33" t="str">
        <x:v>E12</x:v>
      </x:c>
      <x:c r="C18" s="33" t="str">
        <x:v>H2 universal transfer</x:v>
      </x:c>
      <x:c r="D18" s="33" t="str">
        <x:v>H2</x:v>
      </x:c>
      <x:c r="E18" s="33" t="str">
        <x:v>remove or measure the named article or condition</x:v>
      </x:c>
      <x:c r="F18" s="33" t="str">
        <x:v>representative measured pass</x:v>
      </x:c>
      <x:c r="G18" s="33" t="str">
        <x:v>Fourth Access Systems Command</x:v>
      </x:c>
      <x:c r="H18" s="33" t="str">
        <x:v>OPEN</x:v>
      </x:c>
      <x:c r="I18" s="35" t="str">
        <x:v>no current or strict credit</x:v>
      </x:c>
    </x:row>
    <x:row r="19">
      <x:c r="B19" s="33" t="str">
        <x:v>E13</x:v>
      </x:c>
      <x:c r="C19" s="33" t="str">
        <x:v>H2 weather envelope</x:v>
      </x:c>
      <x:c r="D19" s="33" t="str">
        <x:v>H2</x:v>
      </x:c>
      <x:c r="E19" s="33" t="str">
        <x:v>remove or measure the named article or condition</x:v>
      </x:c>
      <x:c r="F19" s="33" t="str">
        <x:v>representative measured pass</x:v>
      </x:c>
      <x:c r="G19" s="33" t="str">
        <x:v>Access Test Directorate</x:v>
      </x:c>
      <x:c r="H19" s="33" t="str">
        <x:v>OPEN</x:v>
      </x:c>
      <x:c r="I19" s="35" t="str">
        <x:v>no current or strict credit</x:v>
      </x:c>
    </x:row>
    <x:row r="20">
      <x:c r="B20" s="33" t="str">
        <x:v>E14</x:v>
      </x:c>
      <x:c r="C20" s="33" t="str">
        <x:v>H2 mission clock</x:v>
      </x:c>
      <x:c r="D20" s="33" t="str">
        <x:v>H2</x:v>
      </x:c>
      <x:c r="E20" s="33" t="str">
        <x:v>remove or measure the named article or condition</x:v>
      </x:c>
      <x:c r="F20" s="33" t="str">
        <x:v>representative measured pass</x:v>
      </x:c>
      <x:c r="G20" s="33" t="str">
        <x:v>Fourth Access Systems Command</x:v>
      </x:c>
      <x:c r="H20" s="33" t="str">
        <x:v>OPEN</x:v>
      </x:c>
      <x:c r="I20" s="35" t="str">
        <x:v>no current or strict credit</x:v>
      </x:c>
    </x:row>
    <x:row r="21">
      <x:c r="B21" s="33" t="str">
        <x:v>E15</x:v>
      </x:c>
      <x:c r="C21" s="33" t="str">
        <x:v>H3 mass statement</x:v>
      </x:c>
      <x:c r="D21" s="33" t="str">
        <x:v>H3</x:v>
      </x:c>
      <x:c r="E21" s="33" t="str">
        <x:v>remove or measure the named article or condition</x:v>
      </x:c>
      <x:c r="F21" s="33" t="str">
        <x:v>representative measured pass</x:v>
      </x:c>
      <x:c r="G21" s="33" t="str">
        <x:v>Access Test Directorate</x:v>
      </x:c>
      <x:c r="H21" s="33" t="str">
        <x:v>OPEN</x:v>
      </x:c>
      <x:c r="I21" s="35" t="str">
        <x:v>no current or strict credit</x:v>
      </x:c>
    </x:row>
    <x:row r="22">
      <x:c r="B22" s="33" t="str">
        <x:v>E16</x:v>
      </x:c>
      <x:c r="C22" s="33" t="str">
        <x:v>H3 total-lift reserve</x:v>
      </x:c>
      <x:c r="D22" s="33" t="str">
        <x:v>H3</x:v>
      </x:c>
      <x:c r="E22" s="33" t="str">
        <x:v>remove or measure the named article or condition</x:v>
      </x:c>
      <x:c r="F22" s="33" t="str">
        <x:v>representative measured pass</x:v>
      </x:c>
      <x:c r="G22" s="33" t="str">
        <x:v>Fourth Access Systems Command</x:v>
      </x:c>
      <x:c r="H22" s="33" t="str">
        <x:v>OPEN</x:v>
      </x:c>
      <x:c r="I22" s="35" t="str">
        <x:v>no current or strict credit</x:v>
      </x:c>
    </x:row>
    <x:row r="23">
      <x:c r="B23" s="33" t="str">
        <x:v>E17</x:v>
      </x:c>
      <x:c r="C23" s="33" t="str">
        <x:v>H3 receiver geometry</x:v>
      </x:c>
      <x:c r="D23" s="33" t="str">
        <x:v>H3</x:v>
      </x:c>
      <x:c r="E23" s="33" t="str">
        <x:v>remove or measure the named article or condition</x:v>
      </x:c>
      <x:c r="F23" s="33" t="str">
        <x:v>representative measured pass</x:v>
      </x:c>
      <x:c r="G23" s="33" t="str">
        <x:v>Access Test Directorate</x:v>
      </x:c>
      <x:c r="H23" s="33" t="str">
        <x:v>OPEN</x:v>
      </x:c>
      <x:c r="I23" s="35" t="str">
        <x:v>no current or strict credit</x:v>
      </x:c>
    </x:row>
    <x:row r="24">
      <x:c r="B24" s="33" t="str">
        <x:v>E18</x:v>
      </x:c>
      <x:c r="C24" s="33" t="str">
        <x:v>H3 mission energy</x:v>
      </x:c>
      <x:c r="D24" s="33" t="str">
        <x:v>H3</x:v>
      </x:c>
      <x:c r="E24" s="33" t="str">
        <x:v>remove or measure the named article or condition</x:v>
      </x:c>
      <x:c r="F24" s="33" t="str">
        <x:v>representative measured pass</x:v>
      </x:c>
      <x:c r="G24" s="33" t="str">
        <x:v>Fourth Access Systems Command</x:v>
      </x:c>
      <x:c r="H24" s="33" t="str">
        <x:v>OPEN</x:v>
      </x:c>
      <x:c r="I24" s="35" t="str">
        <x:v>no current or strict credit</x:v>
      </x:c>
    </x:row>
    <x:row r="25">
      <x:c r="B25" s="33" t="str">
        <x:v>E19</x:v>
      </x:c>
      <x:c r="C25" s="33" t="str">
        <x:v>H3 universal transfer</x:v>
      </x:c>
      <x:c r="D25" s="33" t="str">
        <x:v>H3</x:v>
      </x:c>
      <x:c r="E25" s="33" t="str">
        <x:v>remove or measure the named article or condition</x:v>
      </x:c>
      <x:c r="F25" s="33" t="str">
        <x:v>representative measured pass</x:v>
      </x:c>
      <x:c r="G25" s="33" t="str">
        <x:v>Access Test Directorate</x:v>
      </x:c>
      <x:c r="H25" s="33" t="str">
        <x:v>OPEN</x:v>
      </x:c>
      <x:c r="I25" s="35" t="str">
        <x:v>no current or strict credit</x:v>
      </x:c>
    </x:row>
    <x:row r="26">
      <x:c r="B26" s="33" t="str">
        <x:v>E20</x:v>
      </x:c>
      <x:c r="C26" s="33" t="str">
        <x:v>H3 weather envelope</x:v>
      </x:c>
      <x:c r="D26" s="33" t="str">
        <x:v>H3</x:v>
      </x:c>
      <x:c r="E26" s="33" t="str">
        <x:v>remove or measure the named article or condition</x:v>
      </x:c>
      <x:c r="F26" s="33" t="str">
        <x:v>representative measured pass</x:v>
      </x:c>
      <x:c r="G26" s="33" t="str">
        <x:v>Fourth Access Systems Command</x:v>
      </x:c>
      <x:c r="H26" s="33" t="str">
        <x:v>OPEN</x:v>
      </x:c>
      <x:c r="I26" s="35" t="str">
        <x:v>no current or strict credit</x:v>
      </x:c>
    </x:row>
    <x:row r="27">
      <x:c r="B27" s="33" t="str">
        <x:v>E21</x:v>
      </x:c>
      <x:c r="C27" s="33" t="str">
        <x:v>H3 mission clock</x:v>
      </x:c>
      <x:c r="D27" s="33" t="str">
        <x:v>H3</x:v>
      </x:c>
      <x:c r="E27" s="33" t="str">
        <x:v>remove or measure the named article or condition</x:v>
      </x:c>
      <x:c r="F27" s="33" t="str">
        <x:v>representative measured pass</x:v>
      </x:c>
      <x:c r="G27" s="33" t="str">
        <x:v>Access Test Directorate</x:v>
      </x:c>
      <x:c r="H27" s="33" t="str">
        <x:v>OPEN</x:v>
      </x:c>
      <x:c r="I27" s="35" t="str">
        <x:v>no current or strict credit</x:v>
      </x:c>
    </x:row>
    <x:row r="28">
      <x:c r="B28" s="33" t="str">
        <x:v>E22</x:v>
      </x:c>
      <x:c r="C28" s="33" t="str">
        <x:v>H4 mass statement</x:v>
      </x:c>
      <x:c r="D28" s="33" t="str">
        <x:v>H4</x:v>
      </x:c>
      <x:c r="E28" s="33" t="str">
        <x:v>remove or measure the named article or condition</x:v>
      </x:c>
      <x:c r="F28" s="33" t="str">
        <x:v>representative measured pass</x:v>
      </x:c>
      <x:c r="G28" s="33" t="str">
        <x:v>Fourth Access Systems Command</x:v>
      </x:c>
      <x:c r="H28" s="33" t="str">
        <x:v>OPEN</x:v>
      </x:c>
      <x:c r="I28" s="35" t="str">
        <x:v>no current or strict credit</x:v>
      </x:c>
    </x:row>
    <x:row r="29">
      <x:c r="B29" s="33" t="str">
        <x:v>E23</x:v>
      </x:c>
      <x:c r="C29" s="33" t="str">
        <x:v>H4 total-lift reserve</x:v>
      </x:c>
      <x:c r="D29" s="33" t="str">
        <x:v>H4</x:v>
      </x:c>
      <x:c r="E29" s="33" t="str">
        <x:v>remove or measure the named article or condition</x:v>
      </x:c>
      <x:c r="F29" s="33" t="str">
        <x:v>representative measured pass</x:v>
      </x:c>
      <x:c r="G29" s="33" t="str">
        <x:v>Access Test Directorate</x:v>
      </x:c>
      <x:c r="H29" s="33" t="str">
        <x:v>OPEN</x:v>
      </x:c>
      <x:c r="I29" s="35" t="str">
        <x:v>no current or strict credit</x:v>
      </x:c>
    </x:row>
    <x:row r="30">
      <x:c r="B30" s="33" t="str">
        <x:v>E24</x:v>
      </x:c>
      <x:c r="C30" s="33" t="str">
        <x:v>H4 receiver geometry</x:v>
      </x:c>
      <x:c r="D30" s="33" t="str">
        <x:v>H4</x:v>
      </x:c>
      <x:c r="E30" s="33" t="str">
        <x:v>remove or measure the named article or condition</x:v>
      </x:c>
      <x:c r="F30" s="33" t="str">
        <x:v>representative measured pass</x:v>
      </x:c>
      <x:c r="G30" s="33" t="str">
        <x:v>Fourth Access Systems Command</x:v>
      </x:c>
      <x:c r="H30" s="33" t="str">
        <x:v>OPEN</x:v>
      </x:c>
      <x:c r="I30" s="35" t="str">
        <x:v>no current or strict credit</x:v>
      </x:c>
    </x:row>
    <x:row r="31">
      <x:c r="B31" s="33" t="str">
        <x:v>E25</x:v>
      </x:c>
      <x:c r="C31" s="33" t="str">
        <x:v>H4 mission energy</x:v>
      </x:c>
      <x:c r="D31" s="33" t="str">
        <x:v>H4</x:v>
      </x:c>
      <x:c r="E31" s="33" t="str">
        <x:v>remove or measure the named article or condition</x:v>
      </x:c>
      <x:c r="F31" s="33" t="str">
        <x:v>representative measured pass</x:v>
      </x:c>
      <x:c r="G31" s="33" t="str">
        <x:v>Access Test Directorate</x:v>
      </x:c>
      <x:c r="H31" s="33" t="str">
        <x:v>OPEN</x:v>
      </x:c>
      <x:c r="I31" s="35" t="str">
        <x:v>no current or strict credit</x:v>
      </x:c>
    </x:row>
    <x:row r="32">
      <x:c r="B32" s="33" t="str">
        <x:v>E26</x:v>
      </x:c>
      <x:c r="C32" s="33" t="str">
        <x:v>H4 universal transfer</x:v>
      </x:c>
      <x:c r="D32" s="33" t="str">
        <x:v>H4</x:v>
      </x:c>
      <x:c r="E32" s="33" t="str">
        <x:v>remove or measure the named article or condition</x:v>
      </x:c>
      <x:c r="F32" s="33" t="str">
        <x:v>representative measured pass</x:v>
      </x:c>
      <x:c r="G32" s="33" t="str">
        <x:v>Fourth Access Systems Command</x:v>
      </x:c>
      <x:c r="H32" s="33" t="str">
        <x:v>OPEN</x:v>
      </x:c>
      <x:c r="I32" s="35" t="str">
        <x:v>no current or strict credit</x:v>
      </x:c>
    </x:row>
    <x:row r="33">
      <x:c r="B33" s="33" t="str">
        <x:v>E27</x:v>
      </x:c>
      <x:c r="C33" s="33" t="str">
        <x:v>H4 weather envelope</x:v>
      </x:c>
      <x:c r="D33" s="33" t="str">
        <x:v>H4</x:v>
      </x:c>
      <x:c r="E33" s="33" t="str">
        <x:v>remove or measure the named article or condition</x:v>
      </x:c>
      <x:c r="F33" s="33" t="str">
        <x:v>representative measured pass</x:v>
      </x:c>
      <x:c r="G33" s="33" t="str">
        <x:v>Access Test Directorate</x:v>
      </x:c>
      <x:c r="H33" s="33" t="str">
        <x:v>OPEN</x:v>
      </x:c>
      <x:c r="I33" s="35" t="str">
        <x:v>no current or strict credit</x:v>
      </x:c>
    </x:row>
    <x:row r="34">
      <x:c r="B34" s="33" t="str">
        <x:v>E28</x:v>
      </x:c>
      <x:c r="C34" s="33" t="str">
        <x:v>H4 mission clock</x:v>
      </x:c>
      <x:c r="D34" s="33" t="str">
        <x:v>H4</x:v>
      </x:c>
      <x:c r="E34" s="33" t="str">
        <x:v>remove or measure the named article or condition</x:v>
      </x:c>
      <x:c r="F34" s="33" t="str">
        <x:v>representative measured pass</x:v>
      </x:c>
      <x:c r="G34" s="33" t="str">
        <x:v>Fourth Access Systems Command</x:v>
      </x:c>
      <x:c r="H34" s="33" t="str">
        <x:v>OPEN</x:v>
      </x:c>
      <x:c r="I34" s="35" t="str">
        <x:v>no current or strict credit</x:v>
      </x:c>
    </x:row>
    <x:row r="35">
      <x:c r="B35" s="33" t="str">
        <x:v>E29</x:v>
      </x:c>
      <x:c r="C35" s="33" t="str">
        <x:v>H2 primary structure mass</x:v>
      </x:c>
      <x:c r="D35" s="33" t="str">
        <x:v>H2</x:v>
      </x:c>
      <x:c r="E35" s="33" t="str">
        <x:v>remove or measure the named article or condition</x:v>
      </x:c>
      <x:c r="F35" s="33" t="str">
        <x:v>representative measured pass</x:v>
      </x:c>
      <x:c r="G35" s="33" t="str">
        <x:v>Access Test Directorate</x:v>
      </x:c>
      <x:c r="H35" s="33" t="str">
        <x:v>OPEN</x:v>
      </x:c>
      <x:c r="I35" s="35" t="str">
        <x:v>no current or strict credit</x:v>
      </x:c>
    </x:row>
    <x:row r="36">
      <x:c r="B36" s="33" t="str">
        <x:v>E30</x:v>
      </x:c>
      <x:c r="C36" s="33" t="str">
        <x:v>H2 850,000 m3 lift volume</x:v>
      </x:c>
      <x:c r="D36" s="33" t="str">
        <x:v>H2</x:v>
      </x:c>
      <x:c r="E36" s="33" t="str">
        <x:v>remove or measure the named article or condition</x:v>
      </x:c>
      <x:c r="F36" s="33" t="str">
        <x:v>representative measured pass</x:v>
      </x:c>
      <x:c r="G36" s="33" t="str">
        <x:v>Fourth Access Systems Command</x:v>
      </x:c>
      <x:c r="H36" s="33" t="str">
        <x:v>OPEN</x:v>
      </x:c>
      <x:c r="I36" s="35" t="str">
        <x:v>no current or strict credit</x:v>
      </x:c>
    </x:row>
    <x:row r="37">
      <x:c r="B37" s="33" t="str">
        <x:v>E31</x:v>
      </x:c>
      <x:c r="C37" s="33" t="str">
        <x:v>H2 gross departure mass</x:v>
      </x:c>
      <x:c r="D37" s="33" t="str">
        <x:v>H2</x:v>
      </x:c>
      <x:c r="E37" s="33" t="str">
        <x:v>remove or measure the named article or condition</x:v>
      </x:c>
      <x:c r="F37" s="33" t="str">
        <x:v>representative measured pass</x:v>
      </x:c>
      <x:c r="G37" s="33" t="str">
        <x:v>Access Test Directorate</x:v>
      </x:c>
      <x:c r="H37" s="33" t="str">
        <x:v>OPEN</x:v>
      </x:c>
      <x:c r="I37" s="35" t="str">
        <x:v>no current or strict credit</x:v>
      </x:c>
    </x:row>
    <x:row r="38">
      <x:c r="B38" s="33" t="str">
        <x:v>E32</x:v>
      </x:c>
      <x:c r="C38" s="33" t="str">
        <x:v>H2 static-lift fraction</x:v>
      </x:c>
      <x:c r="D38" s="33" t="str">
        <x:v>H2</x:v>
      </x:c>
      <x:c r="E38" s="33" t="str">
        <x:v>remove or measure the named article or condition</x:v>
      </x:c>
      <x:c r="F38" s="33" t="str">
        <x:v>representative measured pass</x:v>
      </x:c>
      <x:c r="G38" s="33" t="str">
        <x:v>Fourth Access Systems Command</x:v>
      </x:c>
      <x:c r="H38" s="33" t="str">
        <x:v>OPEN</x:v>
      </x:c>
      <x:c r="I38" s="35" t="str">
        <x:v>no current or strict credit</x:v>
      </x:c>
    </x:row>
    <x:row r="39">
      <x:c r="B39" s="33" t="str">
        <x:v>E33</x:v>
      </x:c>
      <x:c r="C39" s="33" t="str">
        <x:v>H2 dynamic-lift margin</x:v>
      </x:c>
      <x:c r="D39" s="33" t="str">
        <x:v>H2</x:v>
      </x:c>
      <x:c r="E39" s="33" t="str">
        <x:v>remove or measure the named article or condition</x:v>
      </x:c>
      <x:c r="F39" s="33" t="str">
        <x:v>representative measured pass</x:v>
      </x:c>
      <x:c r="G39" s="33" t="str">
        <x:v>Access Test Directorate</x:v>
      </x:c>
      <x:c r="H39" s="33" t="str">
        <x:v>OPEN</x:v>
      </x:c>
      <x:c r="I39" s="35" t="str">
        <x:v>no current or strict credit</x:v>
      </x:c>
    </x:row>
    <x:row r="40">
      <x:c r="B40" s="33" t="str">
        <x:v>E34</x:v>
      </x:c>
      <x:c r="C40" s="33" t="str">
        <x:v>H2 twenty lift-cell isolation</x:v>
      </x:c>
      <x:c r="D40" s="33" t="str">
        <x:v>H2</x:v>
      </x:c>
      <x:c r="E40" s="33" t="str">
        <x:v>remove or measure the named article or condition</x:v>
      </x:c>
      <x:c r="F40" s="33" t="str">
        <x:v>representative measured pass</x:v>
      </x:c>
      <x:c r="G40" s="33" t="str">
        <x:v>Fourth Access Systems Command</x:v>
      </x:c>
      <x:c r="H40" s="33" t="str">
        <x:v>OPEN</x:v>
      </x:c>
      <x:c r="I40" s="35" t="str">
        <x:v>no current or strict credit</x:v>
      </x:c>
    </x:row>
    <x:row r="41">
      <x:c r="B41" s="33" t="str">
        <x:v>E35</x:v>
      </x:c>
      <x:c r="C41" s="33" t="str">
        <x:v>H2 twelve propulsion pods</x:v>
      </x:c>
      <x:c r="D41" s="33" t="str">
        <x:v>H2</x:v>
      </x:c>
      <x:c r="E41" s="33" t="str">
        <x:v>remove or measure the named article or condition</x:v>
      </x:c>
      <x:c r="F41" s="33" t="str">
        <x:v>representative measured pass</x:v>
      </x:c>
      <x:c r="G41" s="33" t="str">
        <x:v>Access Test Directorate</x:v>
      </x:c>
      <x:c r="H41" s="33" t="str">
        <x:v>OPEN</x:v>
      </x:c>
      <x:c r="I41" s="35" t="str">
        <x:v>no current or strict credit</x:v>
      </x:c>
    </x:row>
    <x:row r="42">
      <x:c r="B42" s="33" t="str">
        <x:v>E36</x:v>
      </x:c>
      <x:c r="C42" s="33" t="str">
        <x:v>H2 six energy buses</x:v>
      </x:c>
      <x:c r="D42" s="33" t="str">
        <x:v>H2</x:v>
      </x:c>
      <x:c r="E42" s="33" t="str">
        <x:v>remove or measure the named article or condition</x:v>
      </x:c>
      <x:c r="F42" s="33" t="str">
        <x:v>representative measured pass</x:v>
      </x:c>
      <x:c r="G42" s="33" t="str">
        <x:v>Fourth Access Systems Command</x:v>
      </x:c>
      <x:c r="H42" s="33" t="str">
        <x:v>OPEN</x:v>
      </x:c>
      <x:c r="I42" s="35" t="str">
        <x:v>no current or strict credit</x:v>
      </x:c>
    </x:row>
    <x:row r="43">
      <x:c r="B43" s="33" t="str">
        <x:v>E37</x:v>
      </x:c>
      <x:c r="C43" s="33" t="str">
        <x:v>H2 cruise power</x:v>
      </x:c>
      <x:c r="D43" s="33" t="str">
        <x:v>H2</x:v>
      </x:c>
      <x:c r="E43" s="33" t="str">
        <x:v>remove or measure the named article or condition</x:v>
      </x:c>
      <x:c r="F43" s="33" t="str">
        <x:v>representative measured pass</x:v>
      </x:c>
      <x:c r="G43" s="33" t="str">
        <x:v>Access Test Directorate</x:v>
      </x:c>
      <x:c r="H43" s="33" t="str">
        <x:v>OPEN</x:v>
      </x:c>
      <x:c r="I43" s="35" t="str">
        <x:v>no current or strict credit</x:v>
      </x:c>
    </x:row>
    <x:row r="44">
      <x:c r="B44" s="33" t="str">
        <x:v>E38</x:v>
      </x:c>
      <x:c r="C44" s="33" t="str">
        <x:v>H2 mission energy</x:v>
      </x:c>
      <x:c r="D44" s="33" t="str">
        <x:v>H2</x:v>
      </x:c>
      <x:c r="E44" s="33" t="str">
        <x:v>remove or measure the named article or condition</x:v>
      </x:c>
      <x:c r="F44" s="33" t="str">
        <x:v>representative measured pass</x:v>
      </x:c>
      <x:c r="G44" s="33" t="str">
        <x:v>Fourth Access Systems Command</x:v>
      </x:c>
      <x:c r="H44" s="33" t="str">
        <x:v>OPEN</x:v>
      </x:c>
      <x:c r="I44" s="35" t="str">
        <x:v>no current or strict credit</x:v>
      </x:c>
    </x:row>
    <x:row r="45">
      <x:c r="B45" s="33" t="str">
        <x:v>E39</x:v>
      </x:c>
      <x:c r="C45" s="33" t="str">
        <x:v>H2 one-pod-out power</x:v>
      </x:c>
      <x:c r="D45" s="33" t="str">
        <x:v>H2</x:v>
      </x:c>
      <x:c r="E45" s="33" t="str">
        <x:v>remove or measure the named article or condition</x:v>
      </x:c>
      <x:c r="F45" s="33" t="str">
        <x:v>representative measured pass</x:v>
      </x:c>
      <x:c r="G45" s="33" t="str">
        <x:v>Access Test Directorate</x:v>
      </x:c>
      <x:c r="H45" s="33" t="str">
        <x:v>OPEN</x:v>
      </x:c>
      <x:c r="I45" s="35" t="str">
        <x:v>no current or strict credit</x:v>
      </x:c>
    </x:row>
    <x:row r="46">
      <x:c r="B46" s="33" t="str">
        <x:v>E40</x:v>
      </x:c>
      <x:c r="C46" s="33" t="str">
        <x:v>H2 loaded ground reaction</x:v>
      </x:c>
      <x:c r="D46" s="33" t="str">
        <x:v>H2</x:v>
      </x:c>
      <x:c r="E46" s="33" t="str">
        <x:v>remove or measure the named article or condition</x:v>
      </x:c>
      <x:c r="F46" s="33" t="str">
        <x:v>representative measured pass</x:v>
      </x:c>
      <x:c r="G46" s="33" t="str">
        <x:v>Fourth Access Systems Command</x:v>
      </x:c>
      <x:c r="H46" s="33" t="str">
        <x:v>OPEN</x:v>
      </x:c>
      <x:c r="I46" s="35" t="str">
        <x:v>no current or strict credit</x:v>
      </x:c>
    </x:row>
    <x:row r="47">
      <x:c r="B47" s="33" t="str">
        <x:v>E41</x:v>
      </x:c>
      <x:c r="C47" s="33" t="str">
        <x:v>H2 distributed contact pressure</x:v>
      </x:c>
      <x:c r="D47" s="33" t="str">
        <x:v>H2</x:v>
      </x:c>
      <x:c r="E47" s="33" t="str">
        <x:v>remove or measure the named article or condition</x:v>
      </x:c>
      <x:c r="F47" s="33" t="str">
        <x:v>representative measured pass</x:v>
      </x:c>
      <x:c r="G47" s="33" t="str">
        <x:v>Access Test Directorate</x:v>
      </x:c>
      <x:c r="H47" s="33" t="str">
        <x:v>OPEN</x:v>
      </x:c>
      <x:c r="I47" s="35" t="str">
        <x:v>no current or strict credit</x:v>
      </x:c>
    </x:row>
    <x:row r="48">
      <x:c r="B48" s="33" t="str">
        <x:v>E42</x:v>
      </x:c>
      <x:c r="C48" s="33" t="str">
        <x:v>H2 unloaded excess lift</x:v>
      </x:c>
      <x:c r="D48" s="33" t="str">
        <x:v>H2</x:v>
      </x:c>
      <x:c r="E48" s="33" t="str">
        <x:v>remove or measure the named article or condition</x:v>
      </x:c>
      <x:c r="F48" s="33" t="str">
        <x:v>representative measured pass</x:v>
      </x:c>
      <x:c r="G48" s="33" t="str">
        <x:v>Fourth Access Systems Command</x:v>
      </x:c>
      <x:c r="H48" s="33" t="str">
        <x:v>OPEN</x:v>
      </x:c>
      <x:c r="I48" s="35" t="str">
        <x:v>no current or strict credit</x:v>
      </x:c>
    </x:row>
    <x:row r="49">
      <x:c r="B49" s="33" t="str">
        <x:v>E43</x:v>
      </x:c>
      <x:c r="C49" s="33" t="str">
        <x:v>H2 internal buoyancy authority</x:v>
      </x:c>
      <x:c r="D49" s="33" t="str">
        <x:v>H2</x:v>
      </x:c>
      <x:c r="E49" s="33" t="str">
        <x:v>remove or measure the named article or condition</x:v>
      </x:c>
      <x:c r="F49" s="33" t="str">
        <x:v>representative measured pass</x:v>
      </x:c>
      <x:c r="G49" s="33" t="str">
        <x:v>Access Test Directorate</x:v>
      </x:c>
      <x:c r="H49" s="33" t="str">
        <x:v>OPEN</x:v>
      </x:c>
      <x:c r="I49" s="35" t="str">
        <x:v>no current or strict credit</x:v>
      </x:c>
    </x:row>
    <x:row r="50">
      <x:c r="B50" s="33" t="str">
        <x:v>E44</x:v>
      </x:c>
      <x:c r="C50" s="33" t="str">
        <x:v>H2 cargo access and unload order</x:v>
      </x:c>
      <x:c r="D50" s="33" t="str">
        <x:v>H2</x:v>
      </x:c>
      <x:c r="E50" s="33" t="str">
        <x:v>remove or measure the named article or condition</x:v>
      </x:c>
      <x:c r="F50" s="33" t="str">
        <x:v>representative measured pass</x:v>
      </x:c>
      <x:c r="G50" s="33" t="str">
        <x:v>Fourth Access Systems Command</x:v>
      </x:c>
      <x:c r="H50" s="33" t="str">
        <x:v>OPEN</x:v>
      </x:c>
      <x:c r="I50" s="35" t="str">
        <x:v>no current or strict credit</x:v>
      </x:c>
    </x:row>
    <x:row r="51">
      <x:c r="B51" s="33" t="str">
        <x:v>E45</x:v>
      </x:c>
      <x:c r="C51" s="33" t="str">
        <x:v>H2 120-minute icing</x:v>
      </x:c>
      <x:c r="D51" s="33" t="str">
        <x:v>H2</x:v>
      </x:c>
      <x:c r="E51" s="33" t="str">
        <x:v>remove or measure the named article or condition</x:v>
      </x:c>
      <x:c r="F51" s="33" t="str">
        <x:v>representative measured pass</x:v>
      </x:c>
      <x:c r="G51" s="33" t="str">
        <x:v>Access Test Directorate</x:v>
      </x:c>
      <x:c r="H51" s="33" t="str">
        <x:v>OPEN</x:v>
      </x:c>
      <x:c r="I51" s="35" t="str">
        <x:v>no current or strict credit</x:v>
      </x:c>
    </x:row>
    <x:row r="52">
      <x:c r="B52" s="33" t="str">
        <x:v>E46</x:v>
      </x:c>
      <x:c r="C52" s="33" t="str">
        <x:v>H2 38 m/s gust</x:v>
      </x:c>
      <x:c r="D52" s="33" t="str">
        <x:v>H2</x:v>
      </x:c>
      <x:c r="E52" s="33" t="str">
        <x:v>remove or measure the named article or condition</x:v>
      </x:c>
      <x:c r="F52" s="33" t="str">
        <x:v>representative measured pass</x:v>
      </x:c>
      <x:c r="G52" s="33" t="str">
        <x:v>Fourth Access Systems Command</x:v>
      </x:c>
      <x:c r="H52" s="33" t="str">
        <x:v>OPEN</x:v>
      </x:c>
      <x:c r="I52" s="35" t="str">
        <x:v>no current or strict credit</x:v>
      </x:c>
    </x:row>
    <x:row r="53">
      <x:c r="B53" s="33" t="str">
        <x:v>E47</x:v>
      </x:c>
      <x:c r="C53" s="33" t="str">
        <x:v>H2 lightning protection</x:v>
      </x:c>
      <x:c r="D53" s="33" t="str">
        <x:v>H2</x:v>
      </x:c>
      <x:c r="E53" s="33" t="str">
        <x:v>remove or measure the named article or condition</x:v>
      </x:c>
      <x:c r="F53" s="33" t="str">
        <x:v>representative measured pass</x:v>
      </x:c>
      <x:c r="G53" s="33" t="str">
        <x:v>Access Test Directorate</x:v>
      </x:c>
      <x:c r="H53" s="33" t="str">
        <x:v>OPEN</x:v>
      </x:c>
      <x:c r="I53" s="35" t="str">
        <x:v>no current or strict credit</x:v>
      </x:c>
    </x:row>
    <x:row r="54">
      <x:c r="B54" s="33" t="str">
        <x:v>E48</x:v>
      </x:c>
      <x:c r="C54" s="33" t="str">
        <x:v>H2 offline flight control</x:v>
      </x:c>
      <x:c r="D54" s="33" t="str">
        <x:v>H2</x:v>
      </x:c>
      <x:c r="E54" s="33" t="str">
        <x:v>remove or measure the named article or condition</x:v>
      </x:c>
      <x:c r="F54" s="33" t="str">
        <x:v>representative measured pass</x:v>
      </x:c>
      <x:c r="G54" s="33" t="str">
        <x:v>Fourth Access Systems Command</x:v>
      </x:c>
      <x:c r="H54" s="33" t="str">
        <x:v>OPEN</x:v>
      </x:c>
      <x:c r="I54" s="35" t="str">
        <x:v>no current or strict credit</x:v>
      </x:c>
    </x:row>
    <x:row r="55">
      <x:c r="B55" s="33" t="str">
        <x:v>E49</x:v>
      </x:c>
      <x:c r="C55" s="33" t="str">
        <x:v>H2 emergency landing</x:v>
      </x:c>
      <x:c r="D55" s="33" t="str">
        <x:v>H2</x:v>
      </x:c>
      <x:c r="E55" s="33" t="str">
        <x:v>remove or measure the named article or condition</x:v>
      </x:c>
      <x:c r="F55" s="33" t="str">
        <x:v>representative measured pass</x:v>
      </x:c>
      <x:c r="G55" s="33" t="str">
        <x:v>Access Test Directorate</x:v>
      </x:c>
      <x:c r="H55" s="33" t="str">
        <x:v>OPEN</x:v>
      </x:c>
      <x:c r="I55" s="35" t="str">
        <x:v>no current or strict credit</x:v>
      </x:c>
    </x:row>
    <x:row r="56">
      <x:c r="B56" s="33" t="str">
        <x:v>E50</x:v>
      </x:c>
      <x:c r="C56" s="33" t="str">
        <x:v>H2 eight-hour receiver build</x:v>
      </x:c>
      <x:c r="D56" s="33" t="str">
        <x:v>H2</x:v>
      </x:c>
      <x:c r="E56" s="33" t="str">
        <x:v>remove or measure the named article or condition</x:v>
      </x:c>
      <x:c r="F56" s="33" t="str">
        <x:v>representative measured pass</x:v>
      </x:c>
      <x:c r="G56" s="33" t="str">
        <x:v>Fourth Access Systems Command</x:v>
      </x:c>
      <x:c r="H56" s="33" t="str">
        <x:v>OPEN</x:v>
      </x:c>
      <x:c r="I56" s="35" t="str">
        <x:v>no current or strict credit</x:v>
      </x:c>
    </x:row>
    <x:row r="57">
      <x:c r="B57" s="33" t="str">
        <x:v>E51</x:v>
      </x:c>
      <x:c r="C57" s="33" t="str">
        <x:v>H2 168-hour reset</x:v>
      </x:c>
      <x:c r="D57" s="33" t="str">
        <x:v>H2</x:v>
      </x:c>
      <x:c r="E57" s="33" t="str">
        <x:v>remove or measure the named article or condition</x:v>
      </x:c>
      <x:c r="F57" s="33" t="str">
        <x:v>representative measured pass</x:v>
      </x:c>
      <x:c r="G57" s="33" t="str">
        <x:v>Access Test Directorate</x:v>
      </x:c>
      <x:c r="H57" s="33" t="str">
        <x:v>OPEN</x:v>
      </x:c>
      <x:c r="I57" s="35" t="str">
        <x:v>no current or strict credit</x:v>
      </x:c>
    </x:row>
    <x:row r="58">
      <x:c r="B58" s="33" t="str">
        <x:v>E52</x:v>
      </x:c>
      <x:c r="C58" s="33" t="str">
        <x:v>H2 crew casualty substitution</x:v>
      </x:c>
      <x:c r="D58" s="33" t="str">
        <x:v>H2</x:v>
      </x:c>
      <x:c r="E58" s="33" t="str">
        <x:v>remove or measure the named article or condition</x:v>
      </x:c>
      <x:c r="F58" s="33" t="str">
        <x:v>representative measured pass</x:v>
      </x:c>
      <x:c r="G58" s="33" t="str">
        <x:v>Fourth Access Systems Command</x:v>
      </x:c>
      <x:c r="H58" s="33" t="str">
        <x:v>OPEN</x:v>
      </x:c>
      <x:c r="I58" s="35" t="str">
        <x:v>no current or strict credit</x:v>
      </x:c>
    </x:row>
    <x:row r="59">
      <x:c r="B59" s="33" t="str">
        <x:v>E53</x:v>
      </x:c>
      <x:c r="C59" s="33" t="str">
        <x:v>H2 field maintenance</x:v>
      </x:c>
      <x:c r="D59" s="33" t="str">
        <x:v>H2</x:v>
      </x:c>
      <x:c r="E59" s="33" t="str">
        <x:v>remove or measure the named article or condition</x:v>
      </x:c>
      <x:c r="F59" s="33" t="str">
        <x:v>representative measured pass</x:v>
      </x:c>
      <x:c r="G59" s="33" t="str">
        <x:v>Access Test Directorate</x:v>
      </x:c>
      <x:c r="H59" s="33" t="str">
        <x:v>OPEN</x:v>
      </x:c>
      <x:c r="I59" s="35" t="str">
        <x:v>no current or strict credit</x:v>
      </x:c>
    </x:row>
    <x:row r="60">
      <x:c r="B60" s="33" t="str">
        <x:v>E54</x:v>
      </x:c>
      <x:c r="C60" s="33" t="str">
        <x:v>H2 compound public-service mission</x:v>
      </x:c>
      <x:c r="D60" s="33" t="str">
        <x:v>H2</x:v>
      </x:c>
      <x:c r="E60" s="33" t="str">
        <x:v>remove or measure the named article or condition</x:v>
      </x:c>
      <x:c r="F60" s="33" t="str">
        <x:v>representative measured pass</x:v>
      </x:c>
      <x:c r="G60" s="33" t="str">
        <x:v>Fourth Access Systems Command</x:v>
      </x:c>
      <x:c r="H60" s="33" t="str">
        <x:v>OPEN</x:v>
      </x:c>
      <x:c r="I60" s="35" t="str">
        <x:v>no current or strict credit</x:v>
      </x:c>
    </x:row>
    <x:row r="61">
      <x:c r="B61" s="33" t="str">
        <x:v>E55</x:v>
      </x:c>
      <x:c r="C61" s="33" t="str">
        <x:v>program integration line A</x:v>
      </x:c>
      <x:c r="D61" s="33" t="str">
        <x:v>PROGRAM</x:v>
      </x:c>
      <x:c r="E61" s="33" t="str">
        <x:v>remove or measure the named article or condition</x:v>
      </x:c>
      <x:c r="F61" s="33" t="str">
        <x:v>representative measured pass</x:v>
      </x:c>
      <x:c r="G61" s="33" t="str">
        <x:v>Access Test Directorate</x:v>
      </x:c>
      <x:c r="H61" s="33" t="str">
        <x:v>OPEN</x:v>
      </x:c>
      <x:c r="I61" s="35" t="str">
        <x:v>no current or strict credit</x:v>
      </x:c>
    </x:row>
    <x:row r="62">
      <x:c r="B62" s="33" t="str">
        <x:v>E56</x:v>
      </x:c>
      <x:c r="C62" s="33" t="str">
        <x:v>program integration line B</x:v>
      </x:c>
      <x:c r="D62" s="33" t="str">
        <x:v>PROGRAM</x:v>
      </x:c>
      <x:c r="E62" s="33" t="str">
        <x:v>remove or measure the named article or condition</x:v>
      </x:c>
      <x:c r="F62" s="33" t="str">
        <x:v>representative measured pass</x:v>
      </x:c>
      <x:c r="G62" s="33" t="str">
        <x:v>Fourth Access Systems Command</x:v>
      </x:c>
      <x:c r="H62" s="33" t="str">
        <x:v>OPEN</x:v>
      </x:c>
      <x:c r="I62" s="35" t="str">
        <x:v>no current or strict credit</x:v>
      </x:c>
    </x:row>
    <x:row r="63">
      <x:c r="B63" s="33" t="str">
        <x:v>E57</x:v>
      </x:c>
      <x:c r="C63" s="33" t="str">
        <x:v>program structure supplier ancestry</x:v>
      </x:c>
      <x:c r="D63" s="33" t="str">
        <x:v>PROGRAM</x:v>
      </x:c>
      <x:c r="E63" s="33" t="str">
        <x:v>remove or measure the named article or condition</x:v>
      </x:c>
      <x:c r="F63" s="33" t="str">
        <x:v>representative measured pass</x:v>
      </x:c>
      <x:c r="G63" s="33" t="str">
        <x:v>Access Test Directorate</x:v>
      </x:c>
      <x:c r="H63" s="33" t="str">
        <x:v>OPEN</x:v>
      </x:c>
      <x:c r="I63" s="35" t="str">
        <x:v>no current or strict credit</x:v>
      </x:c>
    </x:row>
    <x:row r="64">
      <x:c r="B64" s="33" t="str">
        <x:v>E58</x:v>
      </x:c>
      <x:c r="C64" s="33" t="str">
        <x:v>program eight-aircraft annual rate</x:v>
      </x:c>
      <x:c r="D64" s="33" t="str">
        <x:v>PROGRAM</x:v>
      </x:c>
      <x:c r="E64" s="33" t="str">
        <x:v>remove or measure the named article or condition</x:v>
      </x:c>
      <x:c r="F64" s="33" t="str">
        <x:v>representative measured pass</x:v>
      </x:c>
      <x:c r="G64" s="33" t="str">
        <x:v>Fourth Access Systems Command</x:v>
      </x:c>
      <x:c r="H64" s="33" t="str">
        <x:v>OPEN</x:v>
      </x:c>
      <x:c r="I64" s="35" t="str">
        <x:v>no current or strict credit</x:v>
      </x:c>
    </x:row>
    <x:row r="65">
      <x:c r="B65" s="33" t="str">
        <x:v>E59</x:v>
      </x:c>
      <x:c r="C65" s="33" t="str">
        <x:v>program production learning</x:v>
      </x:c>
      <x:c r="D65" s="33" t="str">
        <x:v>PROGRAM</x:v>
      </x:c>
      <x:c r="E65" s="33" t="str">
        <x:v>remove or measure the named article or condition</x:v>
      </x:c>
      <x:c r="F65" s="33" t="str">
        <x:v>representative measured pass</x:v>
      </x:c>
      <x:c r="G65" s="33" t="str">
        <x:v>Access Test Directorate</x:v>
      </x:c>
      <x:c r="H65" s="33" t="str">
        <x:v>OPEN</x:v>
      </x:c>
      <x:c r="I65" s="35" t="str">
        <x:v>no current or strict credit</x:v>
      </x:c>
    </x:row>
    <x:row r="66">
      <x:c r="B66" s="33" t="str">
        <x:v>E60</x:v>
      </x:c>
      <x:c r="C66" s="33" t="str">
        <x:v>program expanded base footprint</x:v>
      </x:c>
      <x:c r="D66" s="33" t="str">
        <x:v>PROGRAM</x:v>
      </x:c>
      <x:c r="E66" s="33" t="str">
        <x:v>remove or measure the named article or condition</x:v>
      </x:c>
      <x:c r="F66" s="33" t="str">
        <x:v>representative measured pass</x:v>
      </x:c>
      <x:c r="G66" s="33" t="str">
        <x:v>Fourth Access Systems Command</x:v>
      </x:c>
      <x:c r="H66" s="33" t="str">
        <x:v>OPEN</x:v>
      </x:c>
      <x:c r="I66" s="35" t="str">
        <x:v>no current or strict credit</x:v>
      </x:c>
    </x:row>
    <x:row r="67">
      <x:c r="B67" s="33" t="str">
        <x:v>E61</x:v>
      </x:c>
      <x:c r="C67" s="33" t="str">
        <x:v>program base firm energy</x:v>
      </x:c>
      <x:c r="D67" s="33" t="str">
        <x:v>PROGRAM</x:v>
      </x:c>
      <x:c r="E67" s="33" t="str">
        <x:v>remove or measure the named article or condition</x:v>
      </x:c>
      <x:c r="F67" s="33" t="str">
        <x:v>representative measured pass</x:v>
      </x:c>
      <x:c r="G67" s="33" t="str">
        <x:v>Access Test Directorate</x:v>
      </x:c>
      <x:c r="H67" s="33" t="str">
        <x:v>OPEN</x:v>
      </x:c>
      <x:c r="I67" s="35" t="str">
        <x:v>no current or strict credit</x:v>
      </x:c>
    </x:row>
    <x:row r="68">
      <x:c r="B68" s="33" t="str">
        <x:v>E62</x:v>
      </x:c>
      <x:c r="C68" s="33" t="str">
        <x:v>program civil airspace release</x:v>
      </x:c>
      <x:c r="D68" s="33" t="str">
        <x:v>PROGRAM</x:v>
      </x:c>
      <x:c r="E68" s="33" t="str">
        <x:v>remove or measure the named article or condition</x:v>
      </x:c>
      <x:c r="F68" s="33" t="str">
        <x:v>representative measured pass</x:v>
      </x:c>
      <x:c r="G68" s="33" t="str">
        <x:v>Fourth Access Systems Command</x:v>
      </x:c>
      <x:c r="H68" s="33" t="str">
        <x:v>OPEN</x:v>
      </x:c>
      <x:c r="I68" s="35" t="str">
        <x:v>no current or strict credit</x:v>
      </x:c>
    </x:row>
    <x:row r="69">
      <x:c r="B69" s="33" t="str">
        <x:v>E63</x:v>
      </x:c>
      <x:c r="C69" s="33" t="str">
        <x:v>program independent airworthiness</x:v>
      </x:c>
      <x:c r="D69" s="33" t="str">
        <x:v>PROGRAM</x:v>
      </x:c>
      <x:c r="E69" s="33" t="str">
        <x:v>remove or measure the named article or condition</x:v>
      </x:c>
      <x:c r="F69" s="33" t="str">
        <x:v>representative measured pass</x:v>
      </x:c>
      <x:c r="G69" s="33" t="str">
        <x:v>Access Test Directorate</x:v>
      </x:c>
      <x:c r="H69" s="33" t="str">
        <x:v>OPEN</x:v>
      </x:c>
      <x:c r="I69" s="35" t="str">
        <x:v>no current or strict credit</x:v>
      </x:c>
    </x:row>
    <x:row r="70">
      <x:c r="B70" s="33" t="str">
        <x:v>E64</x:v>
      </x:c>
      <x:c r="C70" s="33" t="str">
        <x:v>program public-service release</x:v>
      </x:c>
      <x:c r="D70" s="33" t="str">
        <x:v>PROGRAM</x:v>
      </x:c>
      <x:c r="E70" s="33" t="str">
        <x:v>remove or measure the named article or condition</x:v>
      </x:c>
      <x:c r="F70" s="33" t="str">
        <x:v>representative measured pass</x:v>
      </x:c>
      <x:c r="G70" s="33" t="str">
        <x:v>Fourth Access Systems Command</x:v>
      </x:c>
      <x:c r="H70" s="33" t="str">
        <x:v>OPEN</x:v>
      </x:c>
      <x:c r="I70" s="35" t="str">
        <x:v>no current or strict credit</x:v>
      </x:c>
    </x:row>
    <x:row r="71">
      <x:c r="B71" s="33" t="str">
        <x:v>E65</x:v>
      </x:c>
      <x:c r="C71" s="33" t="str">
        <x:v>program architecture program cost</x:v>
      </x:c>
      <x:c r="D71" s="33" t="str">
        <x:v>PROGRAM</x:v>
      </x:c>
      <x:c r="E71" s="33" t="str">
        <x:v>remove or measure the named article or condition</x:v>
      </x:c>
      <x:c r="F71" s="33" t="str">
        <x:v>representative measured pass</x:v>
      </x:c>
      <x:c r="G71" s="33" t="str">
        <x:v>Access Test Directorate</x:v>
      </x:c>
      <x:c r="H71" s="33" t="str">
        <x:v>OPEN</x:v>
      </x:c>
      <x:c r="I71" s="35" t="str">
        <x:v>no current or strict credit</x:v>
      </x:c>
    </x:row>
    <x:row r="72">
      <x:c r="B72" s="33" t="str">
        <x:v>E66</x:v>
      </x:c>
      <x:c r="C72" s="33" t="str">
        <x:v>program architecture workforce</x:v>
      </x:c>
      <x:c r="D72" s="33" t="str">
        <x:v>PROGRAM</x:v>
      </x:c>
      <x:c r="E72" s="33" t="str">
        <x:v>remove or measure the named article or condition</x:v>
      </x:c>
      <x:c r="F72" s="33" t="str">
        <x:v>representative measured pass</x:v>
      </x:c>
      <x:c r="G72" s="33" t="str">
        <x:v>Fourth Access Systems Command</x:v>
      </x:c>
      <x:c r="H72" s="33" t="str">
        <x:v>OPEN</x:v>
      </x:c>
      <x:c r="I72" s="35" t="str">
        <x:v>no current or strict credit</x:v>
      </x:c>
    </x:row>
    <x:row r="73">
      <x:c r="B73" s="33" t="str">
        <x:v>E67</x:v>
      </x:c>
      <x:c r="C73" s="33" t="str">
        <x:v>program operational fleet</x:v>
      </x:c>
      <x:c r="D73" s="33" t="str">
        <x:v>PROGRAM</x:v>
      </x:c>
      <x:c r="E73" s="33" t="str">
        <x:v>remove or measure the named article or condition</x:v>
      </x:c>
      <x:c r="F73" s="33" t="str">
        <x:v>representative measured pass</x:v>
      </x:c>
      <x:c r="G73" s="33" t="str">
        <x:v>Access Test Directorate</x:v>
      </x:c>
      <x:c r="H73" s="33" t="str">
        <x:v>OPEN</x:v>
      </x:c>
      <x:c r="I73" s="35" t="str">
        <x:v>no current or strict credit</x:v>
      </x:c>
    </x:row>
    <x:row r="74">
      <x:c r="B74" s="33" t="str">
        <x:v>E68</x:v>
      </x:c>
      <x:c r="C74" s="33" t="str">
        <x:v>program reserve fleet</x:v>
      </x:c>
      <x:c r="D74" s="33" t="str">
        <x:v>PROGRAM</x:v>
      </x:c>
      <x:c r="E74" s="33" t="str">
        <x:v>remove or measure the named article or condition</x:v>
      </x:c>
      <x:c r="F74" s="33" t="str">
        <x:v>representative measured pass</x:v>
      </x:c>
      <x:c r="G74" s="33" t="str">
        <x:v>Fourth Access Systems Command</x:v>
      </x:c>
      <x:c r="H74" s="33" t="str">
        <x:v>OPEN</x:v>
      </x:c>
      <x:c r="I74" s="35" t="str">
        <x:v>no current or strict credit</x:v>
      </x:c>
    </x:row>
    <x:row r="75">
      <x:c r="B75" s="33" t="str">
        <x:v>E69</x:v>
      </x:c>
      <x:c r="C75" s="33" t="str">
        <x:v>program partner interface and export control</x:v>
      </x:c>
      <x:c r="D75" s="33" t="str">
        <x:v>PROGRAM</x:v>
      </x:c>
      <x:c r="E75" s="33" t="str">
        <x:v>remove or measure the named article or condition</x:v>
      </x:c>
      <x:c r="F75" s="33" t="str">
        <x:v>representative measured pass</x:v>
      </x:c>
      <x:c r="G75" s="33" t="str">
        <x:v>Access Test Directorate</x:v>
      </x:c>
      <x:c r="H75" s="33" t="str">
        <x:v>OPEN</x:v>
      </x:c>
      <x:c r="I75" s="35" t="str">
        <x:v>no current or strict credit</x:v>
      </x:c>
    </x:row>
    <x:row r="76">
      <x:c r="B76" s="42" t="str">
        <x:v>E70</x:v>
      </x:c>
      <x:c r="C76" s="42" t="str">
        <x:v>program rendering authorization</x:v>
      </x:c>
      <x:c r="D76" s="42" t="str">
        <x:v>PROGRAM</x:v>
      </x:c>
      <x:c r="E76" s="42" t="str">
        <x:v>remove or measure the named article or condition</x:v>
      </x:c>
      <x:c r="F76" s="42" t="str">
        <x:v>representative measured pass</x:v>
      </x:c>
      <x:c r="G76" s="42" t="str">
        <x:v>Fourth Access Systems Command</x:v>
      </x:c>
      <x:c r="H76" s="42" t="str">
        <x:v>OPEN</x:v>
      </x:c>
      <x:c r="I76" s="44" t="str">
        <x:v>no current or strict credit</x:v>
      </x:c>
    </x:row>
    <x:row r="77">
      <x:c r="B77" s="2"/>
      <x:c r="C77" s="2"/>
      <x:c r="D77" s="2"/>
      <x:c r="E77" s="2"/>
      <x:c r="F77" s="2"/>
      <x:c r="G77" s="2"/>
      <x:c r="H77" s="2"/>
      <x:c r="I77" s="2"/>
    </x:row>
    <x:row r="78">
      <x:c r="B78" s="2"/>
      <x:c r="C78" s="2"/>
      <x:c r="D78" s="2"/>
      <x:c r="E78" s="2"/>
      <x:c r="F78" s="2"/>
      <x:c r="G78" s="2"/>
      <x:c r="H78" s="2"/>
      <x:c r="I78" s="2"/>
    </x:row>
    <x:row r="79">
      <x:c r="B79" s="2"/>
      <x:c r="C79" s="2"/>
      <x:c r="D79" s="2"/>
      <x:c r="E79" s="2"/>
      <x:c r="F79" s="2"/>
      <x:c r="G79" s="2"/>
      <x:c r="H79" s="2"/>
      <x:c r="I79" s="2"/>
    </x:row>
    <x:row r="80">
      <x:c r="B80" s="2"/>
      <x:c r="C80" s="2"/>
      <x:c r="D80" s="2"/>
      <x:c r="E80" s="2"/>
      <x:c r="F80" s="2"/>
      <x:c r="G80" s="2"/>
      <x:c r="H80" s="2"/>
      <x:c r="I80" s="2"/>
    </x:row>
    <x:row r="81">
      <x:c r="B81" s="2"/>
      <x:c r="C81" s="2"/>
      <x:c r="D81" s="2"/>
      <x:c r="E81" s="2"/>
      <x:c r="F81" s="2"/>
      <x:c r="G81" s="2"/>
      <x:c r="H81" s="2"/>
      <x:c r="I81" s="2"/>
    </x:row>
    <x:row r="82">
      <x:c r="B82" s="2"/>
      <x:c r="C82" s="2"/>
      <x:c r="D82" s="2"/>
      <x:c r="E82" s="2"/>
      <x:c r="F82" s="2"/>
      <x:c r="G82" s="2"/>
      <x:c r="H82" s="2"/>
      <x:c r="I82" s="2"/>
    </x:row>
    <x:row r="83">
      <x:c r="B83" s="2"/>
      <x:c r="C83" s="2"/>
      <x:c r="D83" s="2"/>
      <x:c r="E83" s="2"/>
      <x:c r="F83" s="2"/>
      <x:c r="G83" s="2"/>
      <x:c r="H83" s="2"/>
      <x:c r="I83" s="2"/>
    </x:row>
    <x:row r="84">
      <x:c r="B84" s="2"/>
      <x:c r="C84" s="2"/>
      <x:c r="D84" s="2"/>
      <x:c r="E84" s="2"/>
      <x:c r="F84" s="2"/>
      <x:c r="G84" s="2"/>
      <x:c r="H84" s="2"/>
      <x:c r="I84" s="2"/>
    </x:row>
    <x:row r="85">
      <x:c r="B85" s="2"/>
      <x:c r="C85" s="2"/>
      <x:c r="D85" s="2"/>
      <x:c r="E85" s="2"/>
      <x:c r="F85" s="2"/>
      <x:c r="G85" s="2"/>
      <x:c r="H85" s="2"/>
      <x:c r="I85" s="2"/>
    </x:row>
    <x:row r="86">
      <x:c r="B86" s="2"/>
      <x:c r="C86" s="2"/>
      <x:c r="D86" s="2"/>
      <x:c r="E86" s="2"/>
      <x:c r="F86" s="2"/>
      <x:c r="G86" s="2"/>
      <x:c r="H86" s="2"/>
      <x:c r="I86" s="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3" max="3" width="24" hidden="0" customWidth="1"/>
    <x:col min="4" max="4" width="23" hidden="0" customWidth="1"/>
    <x:col min="5" max="5" width="22" hidden="0" customWidth="1"/>
    <x:col min="6" max="6" width="15" hidden="0" customWidth="1"/>
    <x:col min="7" max="7" width="45" hidden="0" customWidth="1"/>
  </x:cols>
  <x:sheetData>
    <x:row r="2">
      <x:c r="B2" s="3" t="str">
        <x:v>Model checks</x:v>
      </x:c>
      <x:c r="C2" s="2"/>
      <x:c r="D2" s="2"/>
      <x:c r="E2" s="2"/>
      <x:c r="F2" s="2"/>
      <x:c r="G2" s="2"/>
    </x:row>
    <x:row r="3">
      <x:c r="B3" s="4" t="str">
        <x:v>Independent controls for physics, transfer, receiver, clock, resilience, workforce, production and cost</x:v>
      </x:c>
      <x:c r="C3" s="4"/>
      <x:c r="D3" s="4"/>
      <x:c r="E3" s="4"/>
      <x:c r="F3" s="4"/>
      <x:c r="G3" s="4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31" t="str">
        <x:v>Check</x:v>
      </x:c>
      <x:c r="C6" s="32" t="str">
        <x:v>Observed</x:v>
      </x:c>
      <x:c r="D6" s="32" t="str">
        <x:v>Expected</x:v>
      </x:c>
      <x:c r="E6" s="32" t="str">
        <x:v>Difference</x:v>
      </x:c>
      <x:c r="F6" s="32" t="str">
        <x:v>Status</x:v>
      </x:c>
      <x:c r="G6" s="32" t="str">
        <x:v>Meaning</x:v>
      </x:c>
    </x:row>
    <x:row r="7">
      <x:c r="B7" s="33" t="str">
        <x:v>C01 candidate architectures</x:v>
      </x:c>
      <x:c r="C7" s="33" t="n">
        <x:f>COUNTA(Architectures!B7:B10)</x:f>
        <x:v>4</x:v>
      </x:c>
      <x:c r="D7" s="33" t="n">
        <x:v>4</x:v>
      </x:c>
      <x:c r="E7" s="33" t="n">
        <x:f>C7-D7</x:f>
        <x:v>0</x:v>
      </x:c>
      <x:c r="F7" s="33" t="str">
        <x:f>IF(ABS(E7)&lt;0.0001,"PASS","FAIL")</x:f>
        <x:v>PASS</x:v>
      </x:c>
      <x:c r="G7" s="35" t="str">
        <x:v>four clean-sheet rivals</x:v>
      </x:c>
    </x:row>
    <x:row r="8">
      <x:c r="B8" s="33" t="str">
        <x:v>C02 architecture identities</x:v>
      </x:c>
      <x:c r="C8" s="33" t="n">
        <x:f>COUNTA(Architectures!C7:C10)</x:f>
        <x:v>4</x:v>
      </x:c>
      <x:c r="D8" s="33" t="n">
        <x:v>4</x:v>
      </x:c>
      <x:c r="E8" s="33" t="n">
        <x:f>C8-D8</x:f>
        <x:v>0</x:v>
      </x:c>
      <x:c r="F8" s="33" t="str">
        <x:f>IF(ABS(E8)&lt;0.0001,"PASS","FAIL")</x:f>
        <x:v>PASS</x:v>
      </x:c>
      <x:c r="G8" s="35" t="str">
        <x:v>one identity per rival</x:v>
      </x:c>
    </x:row>
    <x:row r="9">
      <x:c r="B9" s="33" t="str">
        <x:v>C03 design payload</x:v>
      </x:c>
      <x:c r="C9" s="33" t="n">
        <x:f>Assumptions!C8</x:f>
        <x:v>340</x:v>
      </x:c>
      <x:c r="D9" s="33" t="n">
        <x:v>340</x:v>
      </x:c>
      <x:c r="E9" s="33" t="n">
        <x:f>C9-D9</x:f>
        <x:v>0</x:v>
      </x:c>
      <x:c r="F9" s="33" t="str">
        <x:f>IF(ABS(E9)&lt;0.0001,"PASS","FAIL")</x:f>
        <x:v>PASS</x:v>
      </x:c>
      <x:c r="G9" s="35" t="str">
        <x:v>usable payload requirement</x:v>
      </x:c>
    </x:row>
    <x:row r="10">
      <x:c r="B10" s="33" t="str">
        <x:v>C04 assigned payload</x:v>
      </x:c>
      <x:c r="C10" s="33" t="n">
        <x:f>Assumptions!C9</x:f>
        <x:v>317.5</x:v>
      </x:c>
      <x:c r="D10" s="33" t="n">
        <x:v>317.5</x:v>
      </x:c>
      <x:c r="E10" s="33" t="n">
        <x:f>C10-D10</x:f>
        <x:v>0</x:v>
      </x:c>
      <x:c r="F10" s="33" t="str">
        <x:f>IF(ABS(E10)&lt;0.0001,"PASS","FAIL")</x:f>
        <x:v>PASS</x:v>
      </x:c>
      <x:c r="G10" s="35" t="str">
        <x:v>Pass 82 working load</x:v>
      </x:c>
    </x:row>
    <x:row r="11">
      <x:c r="B11" s="33" t="str">
        <x:v>C05 cargo cube</x:v>
      </x:c>
      <x:c r="C11" s="33" t="n">
        <x:f>Assumptions!C10</x:f>
        <x:v>1400</x:v>
      </x:c>
      <x:c r="D11" s="33" t="n">
        <x:v>1400</x:v>
      </x:c>
      <x:c r="E11" s="33" t="n">
        <x:f>C11-D11</x:f>
        <x:v>0</x:v>
      </x:c>
      <x:c r="F11" s="33" t="str">
        <x:f>IF(ABS(E11)&lt;0.0001,"PASS","FAIL")</x:f>
        <x:v>PASS</x:v>
      </x:c>
      <x:c r="G11" s="35" t="str">
        <x:v>usable stowed volume</x:v>
      </x:c>
    </x:row>
    <x:row r="12">
      <x:c r="B12" s="33" t="str">
        <x:v>C06 load deck</x:v>
      </x:c>
      <x:c r="C12" s="33" t="n">
        <x:f>Assumptions!C11</x:f>
        <x:v>352</x:v>
      </x:c>
      <x:c r="D12" s="33" t="n">
        <x:v>352</x:v>
      </x:c>
      <x:c r="E12" s="33" t="n">
        <x:f>C12-D12</x:f>
        <x:v>0</x:v>
      </x:c>
      <x:c r="F12" s="33" t="str">
        <x:f>IF(ABS(E12)&lt;0.0001,"PASS","FAIL")</x:f>
        <x:v>PASS</x:v>
      </x:c>
      <x:c r="G12" s="35" t="str">
        <x:v>usable deck demand</x:v>
      </x:c>
    </x:row>
    <x:row r="13">
      <x:c r="B13" s="33" t="str">
        <x:v>C07 net buoyant coefficient</x:v>
      </x:c>
      <x:c r="C13" s="33" t="n">
        <x:f>Assumptions!C20</x:f>
        <x:v>0.0008368000000000001</x:v>
      </x:c>
      <x:c r="D13" s="33" t="n">
        <x:v>0.0008368</x:v>
      </x:c>
      <x:c r="E13" s="33" t="n">
        <x:f>C13-D13</x:f>
        <x:v>1.0842021724855044e-19</x:v>
      </x:c>
      <x:c r="F13" s="33" t="str">
        <x:f>IF(ABS(E13)&lt;0.0001,"PASS","FAIL")</x:f>
        <x:v>PASS</x:v>
      </x:c>
      <x:c r="G13" s="35" t="str">
        <x:v>hot-high tonnes per cubic metre</x:v>
      </x:c>
    </x:row>
    <x:row r="14">
      <x:c r="B14" s="33" t="str">
        <x:v>C08 lift-reserve passes</x:v>
      </x:c>
      <x:c r="C14" s="33" t="n">
        <x:f>COUNTIFS('Mass and Lift'!S7:S10,"PASS")</x:f>
        <x:v>4</x:v>
      </x:c>
      <x:c r="D14" s="33" t="n">
        <x:v>4</x:v>
      </x:c>
      <x:c r="E14" s="33" t="n">
        <x:f>C14-D14</x:f>
        <x:v>0</x:v>
      </x:c>
      <x:c r="F14" s="33" t="str">
        <x:f>IF(ABS(E14)&lt;0.0001,"PASS","FAIL")</x:f>
        <x:v>PASS</x:v>
      </x:c>
      <x:c r="G14" s="35" t="str">
        <x:v>all gross lift statements close</x:v>
      </x:c>
    </x:row>
    <x:row r="15">
      <x:c r="B15" s="33" t="str">
        <x:v>C09 H1 gross mass</x:v>
      </x:c>
      <x:c r="C15" s="33" t="n">
        <x:f>'Mass and Lift'!G7</x:f>
        <x:v>1150</x:v>
      </x:c>
      <x:c r="D15" s="33" t="n">
        <x:v>1150</x:v>
      </x:c>
      <x:c r="E15" s="33" t="n">
        <x:f>C15-D15</x:f>
        <x:v>0</x:v>
      </x:c>
      <x:c r="F15" s="33" t="str">
        <x:f>IF(ABS(E15)&lt;0.0001,"PASS","FAIL")</x:f>
        <x:v>PASS</x:v>
      </x:c>
      <x:c r="G15" s="35" t="str">
        <x:v>declared component sum</x:v>
      </x:c>
    </x:row>
    <x:row r="16">
      <x:c r="B16" s="33" t="str">
        <x:v>C10 H2 gross mass</x:v>
      </x:c>
      <x:c r="C16" s="33" t="n">
        <x:f>'Mass and Lift'!G8</x:f>
        <x:v>1003</x:v>
      </x:c>
      <x:c r="D16" s="33" t="n">
        <x:v>1003</x:v>
      </x:c>
      <x:c r="E16" s="33" t="n">
        <x:f>C16-D16</x:f>
        <x:v>0</x:v>
      </x:c>
      <x:c r="F16" s="33" t="str">
        <x:f>IF(ABS(E16)&lt;0.0001,"PASS","FAIL")</x:f>
        <x:v>PASS</x:v>
      </x:c>
      <x:c r="G16" s="35" t="str">
        <x:v>declared component sum</x:v>
      </x:c>
    </x:row>
    <x:row r="17">
      <x:c r="B17" s="33" t="str">
        <x:v>C11 H3 gross mass</x:v>
      </x:c>
      <x:c r="C17" s="33" t="n">
        <x:f>'Mass and Lift'!G9</x:f>
        <x:v>1276</x:v>
      </x:c>
      <x:c r="D17" s="33" t="n">
        <x:v>1276</x:v>
      </x:c>
      <x:c r="E17" s="33" t="n">
        <x:f>C17-D17</x:f>
        <x:v>0</x:v>
      </x:c>
      <x:c r="F17" s="33" t="str">
        <x:f>IF(ABS(E17)&lt;0.0001,"PASS","FAIL")</x:f>
        <x:v>PASS</x:v>
      </x:c>
      <x:c r="G17" s="35" t="str">
        <x:v>declared component sum</x:v>
      </x:c>
    </x:row>
    <x:row r="18">
      <x:c r="B18" s="33" t="str">
        <x:v>C12 H4 gross mass</x:v>
      </x:c>
      <x:c r="C18" s="33" t="n">
        <x:f>'Mass and Lift'!G10</x:f>
        <x:v>1117</x:v>
      </x:c>
      <x:c r="D18" s="33" t="n">
        <x:v>1117</x:v>
      </x:c>
      <x:c r="E18" s="33" t="n">
        <x:f>C18-D18</x:f>
        <x:v>0</x:v>
      </x:c>
      <x:c r="F18" s="33" t="str">
        <x:f>IF(ABS(E18)&lt;0.0001,"PASS","FAIL")</x:f>
        <x:v>PASS</x:v>
      </x:c>
      <x:c r="G18" s="35" t="str">
        <x:v>declared component sum</x:v>
      </x:c>
    </x:row>
    <x:row r="19">
      <x:c r="B19" s="33" t="str">
        <x:v>C13 H1 static lift</x:v>
      </x:c>
      <x:c r="C19" s="33" t="n">
        <x:f>'Mass and Lift'!D7</x:f>
        <x:v>1213.3600000000001</x:v>
      </x:c>
      <x:c r="D19" s="33" t="n">
        <x:v>1213.36</x:v>
      </x:c>
      <x:c r="E19" s="33" t="n">
        <x:f>C19-D19</x:f>
        <x:v>2.2737367544323206e-13</x:v>
      </x:c>
      <x:c r="F19" s="33" t="str">
        <x:f>IF(ABS(E19)&lt;0.0001,"PASS","FAIL")</x:f>
        <x:v>PASS</x:v>
      </x:c>
      <x:c r="G19" s="35" t="str">
        <x:v>hot-high static lift</x:v>
      </x:c>
    </x:row>
    <x:row r="20">
      <x:c r="B20" s="33" t="str">
        <x:v>C14 H2 static lift</x:v>
      </x:c>
      <x:c r="C20" s="33" t="n">
        <x:f>'Mass and Lift'!D8</x:f>
        <x:v>711.2800000000001</x:v>
      </x:c>
      <x:c r="D20" s="33" t="n">
        <x:v>711.28</x:v>
      </x:c>
      <x:c r="E20" s="33" t="n">
        <x:f>C20-D20</x:f>
        <x:v>1.1368683772161603e-13</x:v>
      </x:c>
      <x:c r="F20" s="33" t="str">
        <x:f>IF(ABS(E20)&lt;0.0001,"PASS","FAIL")</x:f>
        <x:v>PASS</x:v>
      </x:c>
      <x:c r="G20" s="35" t="str">
        <x:v>hot-high static lift</x:v>
      </x:c>
    </x:row>
    <x:row r="21">
      <x:c r="B21" s="33" t="str">
        <x:v>C15 H3 static lift</x:v>
      </x:c>
      <x:c r="C21" s="33" t="n">
        <x:f>'Mass and Lift'!D9</x:f>
        <x:v>1380.72</x:v>
      </x:c>
      <x:c r="D21" s="33" t="n">
        <x:v>1380.72</x:v>
      </x:c>
      <x:c r="E21" s="33" t="n">
        <x:f>C21-D21</x:f>
        <x:v>0</x:v>
      </x:c>
      <x:c r="F21" s="33" t="str">
        <x:f>IF(ABS(E21)&lt;0.0001,"PASS","FAIL")</x:f>
        <x:v>PASS</x:v>
      </x:c>
      <x:c r="G21" s="35" t="str">
        <x:v>hot-high static lift</x:v>
      </x:c>
    </x:row>
    <x:row r="22">
      <x:c r="B22" s="33" t="str">
        <x:v>C16 H4 static lift</x:v>
      </x:c>
      <x:c r="C22" s="33" t="n">
        <x:f>'Mass and Lift'!D10</x:f>
        <x:v>1188.256</x:v>
      </x:c>
      <x:c r="D22" s="33" t="n">
        <x:v>1188.256</x:v>
      </x:c>
      <x:c r="E22" s="33" t="n">
        <x:f>C22-D22</x:f>
        <x:v>0</x:v>
      </x:c>
      <x:c r="F22" s="33" t="str">
        <x:f>IF(ABS(E22)&lt;0.0001,"PASS","FAIL")</x:f>
        <x:v>PASS</x:v>
      </x:c>
      <x:c r="G22" s="35" t="str">
        <x:v>hot-high static lift</x:v>
      </x:c>
    </x:row>
    <x:row r="23">
      <x:c r="B23" s="33" t="str">
        <x:v>C17 H2 aerodynamic lift needed</x:v>
      </x:c>
      <x:c r="C23" s="33" t="n">
        <x:f>'Power and Energy'!H8</x:f>
        <x:v>291.7199999999999</x:v>
      </x:c>
      <x:c r="D23" s="33" t="n">
        <x:v>291.72</x:v>
      </x:c>
      <x:c r="E23" s="33" t="n">
        <x:f>C23-D23</x:f>
        <x:v>-1.1368683772161603e-13</x:v>
      </x:c>
      <x:c r="F23" s="33" t="str">
        <x:f>IF(ABS(E23)&lt;0.0001,"PASS","FAIL")</x:f>
        <x:v>PASS</x:v>
      </x:c>
      <x:c r="G23" s="35" t="str">
        <x:v>gross less static lift</x:v>
      </x:c>
    </x:row>
    <x:row r="24">
      <x:c r="B24" s="33" t="str">
        <x:v>C18 H2 total lift capacity</x:v>
      </x:c>
      <x:c r="C24" s="33" t="n">
        <x:f>'Mass and Lift'!I8</x:f>
        <x:v>1061.2800000000002</x:v>
      </x:c>
      <x:c r="D24" s="33" t="n">
        <x:v>1061.28</x:v>
      </x:c>
      <x:c r="E24" s="33" t="n">
        <x:f>C24-D24</x:f>
        <x:v>2.2737367544323206e-13</x:v>
      </x:c>
      <x:c r="F24" s="33" t="str">
        <x:f>IF(ABS(E24)&lt;0.0001,"PASS","FAIL")</x:f>
        <x:v>PASS</x:v>
      </x:c>
      <x:c r="G24" s="35" t="str">
        <x:v>static plus dynamic capacity</x:v>
      </x:c>
    </x:row>
    <x:row r="25">
      <x:c r="B25" s="33" t="str">
        <x:v>C19 H2 lift reserve</x:v>
      </x:c>
      <x:c r="C25" s="33" t="n">
        <x:f>'Mass and Lift'!J8</x:f>
        <x:v>0.05810568295114682</x:v>
      </x:c>
      <x:c r="D25" s="33" t="n">
        <x:v>0.058105683</x:v>
      </x:c>
      <x:c r="E25" s="33" t="n">
        <x:f>C25-D25</x:f>
        <x:v>-4.885317844705028e-11</x:v>
      </x:c>
      <x:c r="F25" s="33" t="str">
        <x:f>IF(ABS(E25)&lt;0.0001,"PASS","FAIL")</x:f>
        <x:v>PASS</x:v>
      </x:c>
      <x:c r="G25" s="35" t="str">
        <x:v>above five-percent floor</x:v>
      </x:c>
    </x:row>
    <x:row r="26">
      <x:c r="B26" s="33" t="str">
        <x:v>C20 H1 transition gap</x:v>
      </x:c>
      <x:c r="C26" s="33" t="n">
        <x:f>'Mass and Lift'!P7</x:f>
        <x:v>123.36000000000013</x:v>
      </x:c>
      <x:c r="D26" s="33" t="n">
        <x:v>123.36</x:v>
      </x:c>
      <x:c r="E26" s="33" t="n">
        <x:f>C26-D26</x:f>
        <x:v>1.2789769243681803e-13</x:v>
      </x:c>
      <x:c r="F26" s="33" t="str">
        <x:f>IF(ABS(E26)&lt;0.0001,"PASS","FAIL")</x:f>
        <x:v>PASS</x:v>
      </x:c>
      <x:c r="G26" s="35" t="str">
        <x:v>uncontrolled residual lift</x:v>
      </x:c>
    </x:row>
    <x:row r="27">
      <x:c r="B27" s="33" t="str">
        <x:v>C21 H2 offload excess</x:v>
      </x:c>
      <x:c r="C27" s="33" t="n">
        <x:f>'Mass and Lift'!M8</x:f>
        <x:v>48.280000000000086</x:v>
      </x:c>
      <x:c r="D27" s="33" t="n">
        <x:v>48.28</x:v>
      </x:c>
      <x:c r="E27" s="33" t="n">
        <x:f>C27-D27</x:f>
        <x:v>8.526512829121202e-14</x:v>
      </x:c>
      <x:c r="F27" s="33" t="str">
        <x:f>IF(ABS(E27)&lt;0.0001,"PASS","FAIL")</x:f>
        <x:v>PASS</x:v>
      </x:c>
      <x:c r="G27" s="35" t="str">
        <x:v>static lift above empty mass</x:v>
      </x:c>
    </x:row>
    <x:row r="28">
      <x:c r="B28" s="33" t="str">
        <x:v>C22 H2 internal authority</x:v>
      </x:c>
      <x:c r="C28" s="33" t="n">
        <x:f>'Mass and Lift'!N8</x:f>
        <x:v>60</x:v>
      </x:c>
      <x:c r="D28" s="33" t="n">
        <x:v>60</x:v>
      </x:c>
      <x:c r="E28" s="33" t="n">
        <x:f>C28-D28</x:f>
        <x:v>0</x:v>
      </x:c>
      <x:c r="F28" s="33" t="str">
        <x:f>IF(ABS(E28)&lt;0.0001,"PASS","FAIL")</x:f>
        <x:v>PASS</x:v>
      </x:c>
      <x:c r="G28" s="35" t="str">
        <x:v>variable-buoyancy requirement</x:v>
      </x:c>
    </x:row>
    <x:row r="29">
      <x:c r="B29" s="33" t="str">
        <x:v>C23 H2 transition gap</x:v>
      </x:c>
      <x:c r="C29" s="33" t="n">
        <x:f>'Mass and Lift'!P8</x:f>
        <x:v>0</x:v>
      </x:c>
      <x:c r="D29" s="33" t="n">
        <x:v>0</x:v>
      </x:c>
      <x:c r="E29" s="33" t="n">
        <x:f>C29-D29</x:f>
        <x:v>0</x:v>
      </x:c>
      <x:c r="F29" s="33" t="str">
        <x:f>IF(ABS(E29)&lt;0.0001,"PASS","FAIL")</x:f>
        <x:v>PASS</x:v>
      </x:c>
      <x:c r="G29" s="35" t="str">
        <x:v>ground-coupled transition closes</x:v>
      </x:c>
    </x:row>
    <x:row r="30">
      <x:c r="B30" s="33" t="str">
        <x:v>C24 H3 transition gap</x:v>
      </x:c>
      <x:c r="C30" s="33" t="n">
        <x:f>'Mass and Lift'!P9</x:f>
        <x:v>324.72</x:v>
      </x:c>
      <x:c r="D30" s="33" t="n">
        <x:v>324.72</x:v>
      </x:c>
      <x:c r="E30" s="33" t="n">
        <x:f>C30-D30</x:f>
        <x:v>0</x:v>
      </x:c>
      <x:c r="F30" s="33" t="str">
        <x:f>IF(ABS(E30)&lt;0.0001,"PASS","FAIL")</x:f>
        <x:v>PASS</x:v>
      </x:c>
      <x:c r="G30" s="35" t="str">
        <x:v>gantry remains receiver-dependent</x:v>
      </x:c>
    </x:row>
    <x:row r="31">
      <x:c r="B31" s="33" t="str">
        <x:v>C25 H4 universal gap</x:v>
      </x:c>
      <x:c r="C31" s="33" t="n">
        <x:f>'Mass and Lift'!P10</x:f>
        <x:v>331.2560000000001</x:v>
      </x:c>
      <x:c r="D31" s="33" t="n">
        <x:v>331.256</x:v>
      </x:c>
      <x:c r="E31" s="33" t="n">
        <x:f>C31-D31</x:f>
        <x:v>1.1368683772161603e-13</x:v>
      </x:c>
      <x:c r="F31" s="33" t="str">
        <x:f>IF(ABS(E31)&lt;0.0001,"PASS","FAIL")</x:f>
        <x:v>PASS</x:v>
      </x:c>
      <x:c r="G31" s="35" t="str">
        <x:v>external ballast prohibited</x:v>
      </x:c>
    </x:row>
    <x:row r="32">
      <x:c r="B32" s="33" t="str">
        <x:v>C26 H4 conditional gap</x:v>
      </x:c>
      <x:c r="C32" s="33" t="n">
        <x:f>'Mass and Lift'!R10</x:f>
        <x:v>0</x:v>
      </x:c>
      <x:c r="D32" s="33" t="n">
        <x:v>0</x:v>
      </x:c>
      <x:c r="E32" s="33" t="n">
        <x:f>C32-D32</x:f>
        <x:v>0</x:v>
      </x:c>
      <x:c r="F32" s="33" t="str">
        <x:f>IF(ABS(E32)&lt;0.0001,"PASS","FAIL")</x:f>
        <x:v>PASS</x:v>
      </x:c>
      <x:c r="G32" s="35" t="str">
        <x:v>340 t external ballast closes</x:v>
      </x:c>
    </x:row>
    <x:row r="33">
      <x:c r="B33" s="33" t="str">
        <x:v>C27 universal transfer passes</x:v>
      </x:c>
      <x:c r="C33" s="33" t="n">
        <x:f>COUNTIFS(Transfer!Q7:Q10,"PASS")</x:f>
        <x:v>1</x:v>
      </x:c>
      <x:c r="D33" s="33" t="n">
        <x:v>1</x:v>
      </x:c>
      <x:c r="E33" s="33" t="n">
        <x:f>C33-D33</x:f>
        <x:v>0</x:v>
      </x:c>
      <x:c r="F33" s="33" t="str">
        <x:f>IF(ABS(E33)&lt;0.0001,"PASS","FAIL")</x:f>
        <x:v>PASS</x:v>
      </x:c>
      <x:c r="G33" s="35" t="str">
        <x:v>only H2</x:v>
      </x:c>
    </x:row>
    <x:row r="34">
      <x:c r="B34" s="33" t="str">
        <x:v>C28 conditional transfer passes</x:v>
      </x:c>
      <x:c r="C34" s="33" t="n">
        <x:f>COUNTIFS(Transfer!R7:R10,"PASS")</x:f>
        <x:v>2</x:v>
      </x:c>
      <x:c r="D34" s="33" t="n">
        <x:v>2</x:v>
      </x:c>
      <x:c r="E34" s="33" t="n">
        <x:f>C34-D34</x:f>
        <x:v>0</x:v>
      </x:c>
      <x:c r="F34" s="33" t="str">
        <x:f>IF(ABS(E34)&lt;0.0001,"PASS","FAIL")</x:f>
        <x:v>PASS</x:v>
      </x:c>
      <x:c r="G34" s="35" t="str">
        <x:v>H2 and H4</x:v>
      </x:c>
    </x:row>
    <x:row r="35">
      <x:c r="B35" s="33" t="str">
        <x:v>C29 H1 length</x:v>
      </x:c>
      <x:c r="C35" s="33" t="n">
        <x:f>Geometry!G7</x:f>
        <x:v>437.5539273653138</x:v>
      </x:c>
      <x:c r="D35" s="33" t="n">
        <x:v>437.553927</x:v>
      </x:c>
      <x:c r="E35" s="33" t="n">
        <x:f>C35-D35</x:f>
        <x:v>3.653138378467702e-7</x:v>
      </x:c>
      <x:c r="F35" s="33" t="str">
        <x:f>IF(ABS(E35)&lt;0.0001,"PASS","FAIL")</x:f>
        <x:v>PASS</x:v>
      </x:c>
      <x:c r="G35" s="35" t="str">
        <x:v>exceeds receiver</x:v>
      </x:c>
    </x:row>
    <x:row r="36">
      <x:c r="B36" s="33" t="str">
        <x:v>C30 H2 length</x:v>
      </x:c>
      <x:c r="C36" s="33" t="n">
        <x:f>Geometry!G8</x:f>
        <x:v>305.94237099711756</x:v>
      </x:c>
      <x:c r="D36" s="33" t="n">
        <x:v>305.942371</x:v>
      </x:c>
      <x:c r="E36" s="33" t="n">
        <x:f>C36-D36</x:f>
        <x:v>-2.882416083593853e-9</x:v>
      </x:c>
      <x:c r="F36" s="33" t="str">
        <x:f>IF(ABS(E36)&lt;0.0001,"PASS","FAIL")</x:f>
        <x:v>PASS</x:v>
      </x:c>
      <x:c r="G36" s="35" t="str">
        <x:v>inside receiver</x:v>
      </x:c>
    </x:row>
    <x:row r="37">
      <x:c r="B37" s="33" t="str">
        <x:v>C31 H2 diameter</x:v>
      </x:c>
      <x:c r="C37" s="33" t="n">
        <x:f>Geometry!F8</x:f>
        <x:v>72.84342166598037</x:v>
      </x:c>
      <x:c r="D37" s="33" t="n">
        <x:v>72.843422</x:v>
      </x:c>
      <x:c r="E37" s="33" t="n">
        <x:f>C37-D37</x:f>
        <x:v>-3.3401963150936353e-7</x:v>
      </x:c>
      <x:c r="F37" s="33" t="str">
        <x:f>IF(ABS(E37)&lt;0.0001,"PASS","FAIL")</x:f>
        <x:v>PASS</x:v>
      </x:c>
      <x:c r="G37" s="35" t="str">
        <x:v>equivalent envelope</x:v>
      </x:c>
    </x:row>
    <x:row r="38">
      <x:c r="B38" s="33" t="str">
        <x:v>C32 H3 length</x:v>
      </x:c>
      <x:c r="C38" s="33" t="n">
        <x:f>Geometry!G9</x:f>
        <x:v>428.68844430600547</x:v>
      </x:c>
      <x:c r="D38" s="33" t="n">
        <x:v>428.688444</x:v>
      </x:c>
      <x:c r="E38" s="33" t="n">
        <x:f>C38-D38</x:f>
        <x:v>3.060054609704821e-7</x:v>
      </x:c>
      <x:c r="F38" s="33" t="str">
        <x:f>IF(ABS(E38)&lt;0.0001,"PASS","FAIL")</x:f>
        <x:v>PASS</x:v>
      </x:c>
      <x:c r="G38" s="35" t="str">
        <x:v>exceeds receiver</x:v>
      </x:c>
    </x:row>
    <x:row r="39">
      <x:c r="B39" s="33" t="str">
        <x:v>C33 H4 length</x:v>
      </x:c>
      <x:c r="C39" s="33" t="n">
        <x:f>Geometry!G10</x:f>
        <x:v>418.5674668483651</x:v>
      </x:c>
      <x:c r="D39" s="33" t="n">
        <x:v>418.567467</x:v>
      </x:c>
      <x:c r="E39" s="33" t="n">
        <x:f>C39-D39</x:f>
        <x:v>-1.5163493571890285e-7</x:v>
      </x:c>
      <x:c r="F39" s="33" t="str">
        <x:f>IF(ABS(E39)&lt;0.0001,"PASS","FAIL")</x:f>
        <x:v>PASS</x:v>
      </x:c>
      <x:c r="G39" s="35" t="str">
        <x:v>inside receiver</x:v>
      </x:c>
    </x:row>
    <x:row r="40">
      <x:c r="B40" s="33" t="str">
        <x:v>C34 geometry passes</x:v>
      </x:c>
      <x:c r="C40" s="33" t="n">
        <x:f>COUNTIFS(Geometry!P7:P10,"PASS")</x:f>
        <x:v>2</x:v>
      </x:c>
      <x:c r="D40" s="33" t="n">
        <x:v>2</x:v>
      </x:c>
      <x:c r="E40" s="33" t="n">
        <x:f>C40-D40</x:f>
        <x:v>0</x:v>
      </x:c>
      <x:c r="F40" s="33" t="str">
        <x:f>IF(ABS(E40)&lt;0.0001,"PASS","FAIL")</x:f>
        <x:v>PASS</x:v>
      </x:c>
      <x:c r="G40" s="35" t="str">
        <x:v>H2 and H4</x:v>
      </x:c>
    </x:row>
    <x:row r="41">
      <x:c r="B41" s="33" t="str">
        <x:v>C35 H2 parasite power</x:v>
      </x:c>
      <x:c r="C41" s="33" t="n">
        <x:f>'Power and Energy'!G8</x:f>
        <x:v>38.78539879070447</x:v>
      </x:c>
      <x:c r="D41" s="33" t="n">
        <x:v>38.785399</x:v>
      </x:c>
      <x:c r="E41" s="33" t="n">
        <x:f>C41-D41</x:f>
        <x:v>-2.0929552846382649e-7</x:v>
      </x:c>
      <x:c r="F41" s="33" t="str">
        <x:f>IF(ABS(E41)&lt;0.0001,"PASS","FAIL")</x:f>
        <x:v>PASS</x:v>
      </x:c>
      <x:c r="G41" s="35" t="str">
        <x:v>declared drag model</x:v>
      </x:c>
    </x:row>
    <x:row r="42">
      <x:c r="B42" s="33" t="str">
        <x:v>C36 H2 dynamic lift</x:v>
      </x:c>
      <x:c r="C42" s="33" t="n">
        <x:f>'Power and Energy'!H8</x:f>
        <x:v>291.7199999999999</x:v>
      </x:c>
      <x:c r="D42" s="33" t="n">
        <x:v>291.72</x:v>
      </x:c>
      <x:c r="E42" s="33" t="n">
        <x:f>C42-D42</x:f>
        <x:v>-1.1368683772161603e-13</x:v>
      </x:c>
      <x:c r="F42" s="33" t="str">
        <x:f>IF(ABS(E42)&lt;0.0001,"PASS","FAIL")</x:f>
        <x:v>PASS</x:v>
      </x:c>
      <x:c r="G42" s="35" t="str">
        <x:v>ground reaction in cruise</x:v>
      </x:c>
    </x:row>
    <x:row r="43">
      <x:c r="B43" s="33" t="str">
        <x:v>C37 H2 lift power</x:v>
      </x:c>
      <x:c r="C43" s="33" t="n">
        <x:f>'Power and Energy'!I8</x:f>
        <x:v>20.382999999999992</x:v>
      </x:c>
      <x:c r="D43" s="33" t="n">
        <x:v>20.383</x:v>
      </x:c>
      <x:c r="E43" s="33" t="n">
        <x:f>C43-D43</x:f>
        <x:v>-7.105427357601002e-15</x:v>
      </x:c>
      <x:c r="F43" s="33" t="str">
        <x:f>IF(ABS(E43)&lt;0.0001,"PASS","FAIL")</x:f>
        <x:v>PASS</x:v>
      </x:c>
      <x:c r="G43" s="35" t="str">
        <x:v>aerodynamic lift power</x:v>
      </x:c>
    </x:row>
    <x:row r="44">
      <x:c r="B44" s="33" t="str">
        <x:v>C38 H2 cruise power</x:v>
      </x:c>
      <x:c r="C44" s="33" t="n">
        <x:f>'Power and Energy'!K8</x:f>
        <x:v>67.16839879070446</x:v>
      </x:c>
      <x:c r="D44" s="33" t="n">
        <x:v>67.168399</x:v>
      </x:c>
      <x:c r="E44" s="33" t="n">
        <x:f>C44-D44</x:f>
        <x:v>-2.0929553556925384e-7</x:v>
      </x:c>
      <x:c r="F44" s="33" t="str">
        <x:f>IF(ABS(E44)&lt;0.0001,"PASS","FAIL")</x:f>
        <x:v>PASS</x:v>
      </x:c>
      <x:c r="G44" s="35" t="str">
        <x:v>drag plus lift plus hotel</x:v>
      </x:c>
    </x:row>
    <x:row r="45">
      <x:c r="B45" s="33" t="str">
        <x:v>C39 H2 mission energy</x:v>
      </x:c>
      <x:c r="C45" s="33" t="n">
        <x:f>'Power and Energy'!N8</x:f>
        <x:v>1219.4733131784078</x:v>
      </x:c>
      <x:c r="D45" s="33" t="n">
        <x:v>1219.473313</x:v>
      </x:c>
      <x:c r="E45" s="33" t="n">
        <x:f>C45-D45</x:f>
        <x:v>1.7840784494183026e-7</x:v>
      </x:c>
      <x:c r="F45" s="33" t="str">
        <x:f>IF(ABS(E45)&lt;0.0001,"PASS","FAIL")</x:f>
        <x:v>PASS</x:v>
      </x:c>
      <x:c r="G45" s="35" t="str">
        <x:v>cruise plus placement</x:v>
      </x:c>
    </x:row>
    <x:row r="46">
      <x:c r="B46" s="33" t="str">
        <x:v>C40 H2 energy reserve</x:v>
      </x:c>
      <x:c r="C46" s="33" t="n">
        <x:f>'Power and Energy'!P8</x:f>
        <x:v>0.29154117845757144</x:v>
      </x:c>
      <x:c r="D46" s="33" t="n">
        <x:v>0.29154</x:v>
      </x:c>
      <x:c r="E46" s="33" t="n">
        <x:f>C46-D46</x:f>
        <x:v>0.0000011784575714157697</x:v>
      </x:c>
      <x:c r="F46" s="33" t="str">
        <x:f>IF(ABS(E46)&lt;0.0001,"PASS","FAIL")</x:f>
        <x:v>PASS</x:v>
      </x:c>
      <x:c r="G46" s="35" t="str">
        <x:v>onboard above mission</x:v>
      </x:c>
    </x:row>
    <x:row r="47">
      <x:c r="B47" s="33" t="str">
        <x:v>C41 one-pod-out power passes</x:v>
      </x:c>
      <x:c r="C47" s="33" t="n">
        <x:f>COUNTIFS('Power and Energy'!V7:V10,"PASS")</x:f>
        <x:v>4</x:v>
      </x:c>
      <x:c r="D47" s="33" t="n">
        <x:v>4</x:v>
      </x:c>
      <x:c r="E47" s="33" t="n">
        <x:f>C47-D47</x:f>
        <x:v>0</x:v>
      </x:c>
      <x:c r="F47" s="33" t="str">
        <x:f>IF(ABS(E47)&lt;0.0001,"PASS","FAIL")</x:f>
        <x:v>PASS</x:v>
      </x:c>
      <x:c r="G47" s="35" t="str">
        <x:v>all candidates</x:v>
      </x:c>
    </x:row>
    <x:row r="48">
      <x:c r="B48" s="33" t="str">
        <x:v>C42 energy passes</x:v>
      </x:c>
      <x:c r="C48" s="33" t="n">
        <x:f>COUNTIFS('Power and Energy'!F15:F18,"PASS")</x:f>
        <x:v>4</x:v>
      </x:c>
      <x:c r="D48" s="33" t="n">
        <x:v>4</x:v>
      </x:c>
      <x:c r="E48" s="33" t="n">
        <x:f>C48-D48</x:f>
        <x:v>0</x:v>
      </x:c>
      <x:c r="F48" s="33" t="str">
        <x:f>IF(ABS(E48)&lt;0.0001,"PASS","FAIL")</x:f>
        <x:v>PASS</x:v>
      </x:c>
      <x:c r="G48" s="35" t="str">
        <x:v>all candidates</x:v>
      </x:c>
    </x:row>
    <x:row r="49">
      <x:c r="B49" s="33" t="str">
        <x:v>C43 H2 N-1 power</x:v>
      </x:c>
      <x:c r="C49" s="33" t="n">
        <x:f>'Power and Energy'!T8</x:f>
        <x:v>132</x:v>
      </x:c>
      <x:c r="D49" s="33" t="n">
        <x:v>132</x:v>
      </x:c>
      <x:c r="E49" s="33" t="n">
        <x:f>C49-D49</x:f>
        <x:v>0</x:v>
      </x:c>
      <x:c r="F49" s="33" t="str">
        <x:f>IF(ABS(E49)&lt;0.0001,"PASS","FAIL")</x:f>
        <x:v>PASS</x:v>
      </x:c>
      <x:c r="G49" s="35" t="str">
        <x:v>one of twelve pods removed</x:v>
      </x:c>
    </x:row>
    <x:row r="50">
      <x:c r="B50" s="33" t="str">
        <x:v>C44 H2 maximum demand</x:v>
      </x:c>
      <x:c r="C50" s="33" t="n">
        <x:f>'Power and Energy'!U8</x:f>
        <x:v>80</x:v>
      </x:c>
      <x:c r="D50" s="33" t="n">
        <x:v>80</x:v>
      </x:c>
      <x:c r="E50" s="33" t="n">
        <x:f>C50-D50</x:f>
        <x:v>0</x:v>
      </x:c>
      <x:c r="F50" s="33" t="str">
        <x:f>IF(ABS(E50)&lt;0.0001,"PASS","FAIL")</x:f>
        <x:v>PASS</x:v>
      </x:c>
      <x:c r="G50" s="35" t="str">
        <x:v>placement governs</x:v>
      </x:c>
    </x:row>
    <x:row r="51">
      <x:c r="B51" s="33" t="str">
        <x:v>C45 H2 station wind</x:v>
      </x:c>
      <x:c r="C51" s="33" t="n">
        <x:f>Weather!D8</x:f>
        <x:v>32</x:v>
      </x:c>
      <x:c r="D51" s="33" t="n">
        <x:v>32</x:v>
      </x:c>
      <x:c r="E51" s="33" t="n">
        <x:f>C51-D51</x:f>
        <x:v>0</x:v>
      </x:c>
      <x:c r="F51" s="33" t="str">
        <x:f>IF(ABS(E51)&lt;0.0001,"PASS","FAIL")</x:f>
        <x:v>PASS</x:v>
      </x:c>
      <x:c r="G51" s="35" t="str">
        <x:v>above requirement</x:v>
      </x:c>
    </x:row>
    <x:row r="52">
      <x:c r="B52" s="33" t="str">
        <x:v>C46 H2 gust</x:v>
      </x:c>
      <x:c r="C52" s="33" t="n">
        <x:f>Weather!G8</x:f>
        <x:v>40</x:v>
      </x:c>
      <x:c r="D52" s="33" t="n">
        <x:v>40</x:v>
      </x:c>
      <x:c r="E52" s="33" t="n">
        <x:f>C52-D52</x:f>
        <x:v>0</x:v>
      </x:c>
      <x:c r="F52" s="33" t="str">
        <x:f>IF(ABS(E52)&lt;0.0001,"PASS","FAIL")</x:f>
        <x:v>PASS</x:v>
      </x:c>
      <x:c r="G52" s="35" t="str">
        <x:v>above requirement</x:v>
      </x:c>
    </x:row>
    <x:row r="53">
      <x:c r="B53" s="33" t="str">
        <x:v>C47 H2 icing</x:v>
      </x:c>
      <x:c r="C53" s="33" t="n">
        <x:f>Weather!J8</x:f>
        <x:v>120</x:v>
      </x:c>
      <x:c r="D53" s="33" t="n">
        <x:v>120</x:v>
      </x:c>
      <x:c r="E53" s="33" t="n">
        <x:f>C53-D53</x:f>
        <x:v>0</x:v>
      </x:c>
      <x:c r="F53" s="33" t="str">
        <x:f>IF(ABS(E53)&lt;0.0001,"PASS","FAIL")</x:f>
        <x:v>PASS</x:v>
      </x:c>
      <x:c r="G53" s="35" t="str">
        <x:v>meets requirement</x:v>
      </x:c>
    </x:row>
    <x:row r="54">
      <x:c r="B54" s="33" t="str">
        <x:v>C48 weather passes</x:v>
      </x:c>
      <x:c r="C54" s="33" t="n">
        <x:f>COUNTIFS(Weather!E15:E18,"PASS")</x:f>
        <x:v>1</x:v>
      </x:c>
      <x:c r="D54" s="33" t="n">
        <x:v>1</x:v>
      </x:c>
      <x:c r="E54" s="33" t="n">
        <x:f>C54-D54</x:f>
        <x:v>0</x:v>
      </x:c>
      <x:c r="F54" s="33" t="str">
        <x:f>IF(ABS(E54)&lt;0.0001,"PASS","FAIL")</x:f>
        <x:v>PASS</x:v>
      </x:c>
      <x:c r="G54" s="35" t="str">
        <x:v>only H2</x:v>
      </x:c>
    </x:row>
    <x:row r="55">
      <x:c r="B55" s="33" t="str">
        <x:v>C49 receiver passes</x:v>
      </x:c>
      <x:c r="C55" s="33" t="n">
        <x:f>COUNTIFS('Receiver and Base'!N7:N10,"PASS")</x:f>
        <x:v>1</x:v>
      </x:c>
      <x:c r="D55" s="33" t="n">
        <x:v>1</x:v>
      </x:c>
      <x:c r="E55" s="33" t="n">
        <x:f>C55-D55</x:f>
        <x:v>0</x:v>
      </x:c>
      <x:c r="F55" s="33" t="str">
        <x:f>IF(ABS(E55)&lt;0.0001,"PASS","FAIL")</x:f>
        <x:v>PASS</x:v>
      </x:c>
      <x:c r="G55" s="35" t="str">
        <x:v>only H2</x:v>
      </x:c>
    </x:row>
    <x:row r="56">
      <x:c r="B56" s="33" t="str">
        <x:v>C50 H2 ground reaction</x:v>
      </x:c>
      <x:c r="C56" s="33" t="n">
        <x:f>Transfer!G8</x:f>
        <x:v>291.7199999999999</x:v>
      </x:c>
      <x:c r="D56" s="33" t="n">
        <x:v>291.72</x:v>
      </x:c>
      <x:c r="E56" s="33" t="n">
        <x:f>C56-D56</x:f>
        <x:v>-1.1368683772161603e-13</x:v>
      </x:c>
      <x:c r="F56" s="33" t="str">
        <x:f>IF(ABS(E56)&lt;0.0001,"PASS","FAIL")</x:f>
        <x:v>PASS</x:v>
      </x:c>
      <x:c r="G56" s="35" t="str">
        <x:v>loaded underbuoyancy</x:v>
      </x:c>
    </x:row>
    <x:row r="57">
      <x:c r="B57" s="33" t="str">
        <x:v>C51 H2 contact area</x:v>
      </x:c>
      <x:c r="C57" s="33" t="n">
        <x:f>Transfer!H8</x:f>
        <x:v>60</x:v>
      </x:c>
      <x:c r="D57" s="33" t="n">
        <x:v>60</x:v>
      </x:c>
      <x:c r="E57" s="33" t="n">
        <x:f>C57-D57</x:f>
        <x:v>0</x:v>
      </x:c>
      <x:c r="F57" s="33" t="str">
        <x:f>IF(ABS(E57)&lt;0.0001,"PASS","FAIL")</x:f>
        <x:v>PASS</x:v>
      </x:c>
      <x:c r="G57" s="35" t="str">
        <x:v>distributed contact</x:v>
      </x:c>
    </x:row>
    <x:row r="58">
      <x:c r="B58" s="33" t="str">
        <x:v>C52 H2 ground pressure</x:v>
      </x:c>
      <x:c r="C58" s="33" t="n">
        <x:f>Transfer!I8</x:f>
        <x:v>47.69621999999999</x:v>
      </x:c>
      <x:c r="D58" s="33" t="n">
        <x:v>47.69622</x:v>
      </x:c>
      <x:c r="E58" s="33" t="n">
        <x:f>C58-D58</x:f>
        <x:v>-7.105427357601002e-15</x:v>
      </x:c>
      <x:c r="F58" s="33" t="str">
        <x:f>IF(ABS(E58)&lt;0.0001,"PASS","FAIL")</x:f>
        <x:v>PASS</x:v>
      </x:c>
      <x:c r="G58" s="35" t="str">
        <x:v>below receiver floor</x:v>
      </x:c>
    </x:row>
    <x:row r="59">
      <x:c r="B59" s="33" t="str">
        <x:v>C53 H2 bearing margin</x:v>
      </x:c>
      <x:c r="C59" s="33" t="n">
        <x:f>'Receiver and Base'!K8</x:f>
        <x:v>12.30378000000001</x:v>
      </x:c>
      <x:c r="D59" s="33" t="n">
        <x:v>12.30378</x:v>
      </x:c>
      <x:c r="E59" s="33" t="n">
        <x:f>C59-D59</x:f>
        <x:v>1.0658141036401503e-14</x:v>
      </x:c>
      <x:c r="F59" s="33" t="str">
        <x:f>IF(ABS(E59)&lt;0.0001,"PASS","FAIL")</x:f>
        <x:v>PASS</x:v>
      </x:c>
      <x:c r="G59" s="35" t="str">
        <x:v>kPa to floor</x:v>
      </x:c>
    </x:row>
    <x:row r="60">
      <x:c r="B60" s="33" t="str">
        <x:v>C54 H2 base footprint</x:v>
      </x:c>
      <x:c r="C60" s="33" t="n">
        <x:f>'Receiver and Base'!O8</x:f>
        <x:v>2.8</x:v>
      </x:c>
      <x:c r="D60" s="33" t="n">
        <x:v>2.8</x:v>
      </x:c>
      <x:c r="E60" s="33" t="n">
        <x:f>C60-D60</x:f>
        <x:v>0</x:v>
      </x:c>
      <x:c r="F60" s="33" t="str">
        <x:f>IF(ABS(E60)&lt;0.0001,"PASS","FAIL")</x:f>
        <x:v>PASS</x:v>
      </x:c>
      <x:c r="G60" s="35" t="str">
        <x:v>expanded air base</x:v>
      </x:c>
    </x:row>
    <x:row r="61">
      <x:c r="B61" s="33" t="str">
        <x:v>C55 H2 footprint increase</x:v>
      </x:c>
      <x:c r="C61" s="33" t="n">
        <x:f>'Receiver and Base'!P8</x:f>
        <x:v>0.5999999999999996</x:v>
      </x:c>
      <x:c r="D61" s="33" t="n">
        <x:v>0.6</x:v>
      </x:c>
      <x:c r="E61" s="33" t="n">
        <x:f>C61-D61</x:f>
        <x:v>-3.3306690738754696e-16</x:v>
      </x:c>
      <x:c r="F61" s="33" t="str">
        <x:f>IF(ABS(E61)&lt;0.0001,"PASS","FAIL")</x:f>
        <x:v>PASS</x:v>
      </x:c>
      <x:c r="G61" s="35" t="str">
        <x:v>above Pass 82</x:v>
      </x:c>
    </x:row>
    <x:row r="62">
      <x:c r="B62" s="33" t="str">
        <x:v>C56 H2 relative service</x:v>
      </x:c>
      <x:c r="C62" s="33" t="n">
        <x:f>'Mission Clock'!H8</x:f>
        <x:v>41.91666666666667</x:v>
      </x:c>
      <x:c r="D62" s="33" t="n">
        <x:v>41.916667</x:v>
      </x:c>
      <x:c r="E62" s="33" t="n">
        <x:f>C62-D62</x:f>
        <x:v>-3.333333253863202e-7</x:v>
      </x:c>
      <x:c r="F62" s="33" t="str">
        <x:f>IF(ABS(E62)&lt;0.0001,"PASS","FAIL")</x:f>
        <x:v>PASS</x:v>
      </x:c>
      <x:c r="G62" s="35" t="str">
        <x:v>preserves hour 42</x:v>
      </x:c>
    </x:row>
    <x:row r="63">
      <x:c r="B63" s="33" t="str">
        <x:v>C57 H2 absolute service</x:v>
      </x:c>
      <x:c r="C63" s="33" t="n">
        <x:f>'Mission Clock'!L8</x:f>
        <x:v>47.91666666666667</x:v>
      </x:c>
      <x:c r="D63" s="33" t="n">
        <x:v>47.916667</x:v>
      </x:c>
      <x:c r="E63" s="33" t="n">
        <x:f>C63-D63</x:f>
        <x:v>-3.333333253863202e-7</x:v>
      </x:c>
      <x:c r="F63" s="33" t="str">
        <x:f>IF(ABS(E63)&lt;0.0001,"PASS","FAIL")</x:f>
        <x:v>PASS</x:v>
      </x:c>
      <x:c r="G63" s="35" t="str">
        <x:v>six-hour activation</x:v>
      </x:c>
    </x:row>
    <x:row r="64">
      <x:c r="B64" s="33" t="str">
        <x:v>C58 clock passes</x:v>
      </x:c>
      <x:c r="C64" s="33" t="n">
        <x:f>COUNTIFS('Mission Clock'!N7:N10,"PASS")</x:f>
        <x:v>3</x:v>
      </x:c>
      <x:c r="D64" s="33" t="n">
        <x:v>3</x:v>
      </x:c>
      <x:c r="E64" s="33" t="n">
        <x:f>C64-D64</x:f>
        <x:v>0</x:v>
      </x:c>
      <x:c r="F64" s="33" t="str">
        <x:f>IF(ABS(E64)&lt;0.0001,"PASS","FAIL")</x:f>
        <x:v>PASS</x:v>
      </x:c>
      <x:c r="G64" s="35" t="str">
        <x:v>H1 H2 H4</x:v>
      </x:c>
    </x:row>
    <x:row r="65">
      <x:c r="B65" s="33" t="str">
        <x:v>C59 resilience worlds</x:v>
      </x:c>
      <x:c r="C65" s="33" t="n">
        <x:f>COUNTA(Resilience!B7:B22)</x:f>
        <x:v>16</x:v>
      </x:c>
      <x:c r="D65" s="33" t="n">
        <x:v>16</x:v>
      </x:c>
      <x:c r="E65" s="33" t="n">
        <x:f>C65-D65</x:f>
        <x:v>0</x:v>
      </x:c>
      <x:c r="F65" s="33" t="str">
        <x:f>IF(ABS(E65)&lt;0.0001,"PASS","FAIL")</x:f>
        <x:v>PASS</x:v>
      </x:c>
      <x:c r="G65" s="35" t="str">
        <x:v>selected-reference worlds</x:v>
      </x:c>
    </x:row>
    <x:row r="66">
      <x:c r="B66" s="33" t="str">
        <x:v>C60 behavior passes</x:v>
      </x:c>
      <x:c r="C66" s="33" t="n">
        <x:f>COUNTIFS(Resilience!N7:N22,"PASS")</x:f>
        <x:v>15</x:v>
      </x:c>
      <x:c r="D66" s="33" t="n">
        <x:v>15</x:v>
      </x:c>
      <x:c r="E66" s="33" t="n">
        <x:f>C66-D66</x:f>
        <x:v>0</x:v>
      </x:c>
      <x:c r="F66" s="33" t="str">
        <x:f>IF(ABS(E66)&lt;0.0001,"PASS","FAIL")</x:f>
        <x:v>PASS</x:v>
      </x:c>
      <x:c r="G66" s="35" t="str">
        <x:v>all except both-mode denial</x:v>
      </x:c>
    </x:row>
    <x:row r="67">
      <x:c r="B67" s="33" t="str">
        <x:v>C61 current evidence passes</x:v>
      </x:c>
      <x:c r="C67" s="33" t="n">
        <x:f>COUNTIFS(Resilience!O7:O22,"PASS")</x:f>
        <x:v>0</x:v>
      </x:c>
      <x:c r="D67" s="33" t="n">
        <x:v>0</x:v>
      </x:c>
      <x:c r="E67" s="33" t="n">
        <x:f>C67-D67</x:f>
        <x:v>0</x:v>
      </x:c>
      <x:c r="F67" s="33" t="str">
        <x:f>IF(ABS(E67)&lt;0.0001,"PASS","FAIL")</x:f>
        <x:v>PASS</x:v>
      </x:c>
      <x:c r="G67" s="35" t="str">
        <x:v>no current credit</x:v>
      </x:c>
    </x:row>
    <x:row r="68">
      <x:c r="B68" s="33" t="str">
        <x:v>C62 HBL path unavailable worlds</x:v>
      </x:c>
      <x:c r="C68" s="33" t="n">
        <x:f>COUNTIFS(Resilience!J7:J22,0)</x:f>
        <x:v>3</x:v>
      </x:c>
      <x:c r="D68" s="33" t="n">
        <x:v>3</x:v>
      </x:c>
      <x:c r="E68" s="33" t="n">
        <x:f>C68-D68</x:f>
        <x:v>0</x:v>
      </x:c>
      <x:c r="F68" s="33" t="str">
        <x:f>IF(ABS(E68)&lt;0.0001,"PASS","FAIL")</x:f>
        <x:v>PASS</x:v>
      </x:c>
      <x:c r="G68" s="35" t="str">
        <x:v>vehicle receiver and both-mode cuts</x:v>
      </x:c>
    </x:row>
    <x:row r="69">
      <x:c r="B69" s="33" t="str">
        <x:v>C63 DCP effect passes</x:v>
      </x:c>
      <x:c r="C69" s="33" t="n">
        <x:f>SUM(Resilience!L7:L22)</x:f>
        <x:v>15</x:v>
      </x:c>
      <x:c r="D69" s="33" t="n">
        <x:v>15</x:v>
      </x:c>
      <x:c r="E69" s="33" t="n">
        <x:f>C69-D69</x:f>
        <x:v>0</x:v>
      </x:c>
      <x:c r="F69" s="33" t="str">
        <x:f>IF(ABS(E69)&lt;0.0001,"PASS","FAIL")</x:f>
        <x:v>PASS</x:v>
      </x:c>
      <x:c r="G69" s="35" t="str">
        <x:v>terrain preserves two air cuts</x:v>
      </x:c>
    </x:row>
    <x:row r="70">
      <x:c r="B70" s="33" t="str">
        <x:v>C64 deployed addition</x:v>
      </x:c>
      <x:c r="C70" s="33" t="n">
        <x:f>Workforce!C12</x:f>
        <x:v>42</x:v>
      </x:c>
      <x:c r="D70" s="33" t="n">
        <x:v>42</x:v>
      </x:c>
      <x:c r="E70" s="33" t="n">
        <x:f>C70-D70</x:f>
        <x:v>0</x:v>
      </x:c>
      <x:c r="F70" s="33" t="str">
        <x:f>IF(ABS(E70)&lt;0.0001,"PASS","FAIL")</x:f>
        <x:v>PASS</x:v>
      </x:c>
      <x:c r="G70" s="35" t="str">
        <x:v>architecture labor</x:v>
      </x:c>
    </x:row>
    <x:row r="71">
      <x:c r="B71" s="33" t="str">
        <x:v>C65 affiliated addition</x:v>
      </x:c>
      <x:c r="C71" s="33" t="n">
        <x:f>Workforce!D12</x:f>
        <x:v>92</x:v>
      </x:c>
      <x:c r="D71" s="33" t="n">
        <x:v>92</x:v>
      </x:c>
      <x:c r="E71" s="33" t="n">
        <x:f>C71-D71</x:f>
        <x:v>0</x:v>
      </x:c>
      <x:c r="F71" s="33" t="str">
        <x:f>IF(ABS(E71)&lt;0.0001,"PASS","FAIL")</x:f>
        <x:v>PASS</x:v>
      </x:c>
      <x:c r="G71" s="35" t="str">
        <x:v>relief school depot depth</x:v>
      </x:c>
    </x:row>
    <x:row r="72">
      <x:c r="B72" s="33" t="str">
        <x:v>C66 watch addition</x:v>
      </x:c>
      <x:c r="C72" s="33" t="n">
        <x:f>Workforce!E12</x:f>
        <x:v>16</x:v>
      </x:c>
      <x:c r="D72" s="33" t="n">
        <x:v>16</x:v>
      </x:c>
      <x:c r="E72" s="33" t="n">
        <x:f>C72-D72</x:f>
        <x:v>0</x:v>
      </x:c>
      <x:c r="F72" s="33" t="str">
        <x:f>IF(ABS(E72)&lt;0.0001,"PASS","FAIL")</x:f>
        <x:v>PASS</x:v>
      </x:c>
      <x:c r="G72" s="35" t="str">
        <x:v>launch and receiver posture</x:v>
      </x:c>
    </x:row>
    <x:row r="73">
      <x:c r="B73" s="33" t="str">
        <x:v>C67 revised deployed</x:v>
      </x:c>
      <x:c r="C73" s="33" t="n">
        <x:f>Workforce!E17</x:f>
        <x:v>528</x:v>
      </x:c>
      <x:c r="D73" s="33" t="n">
        <x:v>528</x:v>
      </x:c>
      <x:c r="E73" s="33" t="n">
        <x:f>C73-D73</x:f>
        <x:v>0</x:v>
      </x:c>
      <x:c r="F73" s="33" t="str">
        <x:f>IF(ABS(E73)&lt;0.0001,"PASS","FAIL")</x:f>
        <x:v>PASS</x:v>
      </x:c>
      <x:c r="G73" s="35" t="str">
        <x:v>Pass 82 plus H2</x:v>
      </x:c>
    </x:row>
    <x:row r="74">
      <x:c r="B74" s="33" t="str">
        <x:v>C68 revised affiliated</x:v>
      </x:c>
      <x:c r="C74" s="33" t="n">
        <x:f>Workforce!E18</x:f>
        <x:v>1157</x:v>
      </x:c>
      <x:c r="D74" s="33" t="n">
        <x:v>1157</x:v>
      </x:c>
      <x:c r="E74" s="33" t="n">
        <x:f>C74-D74</x:f>
        <x:v>0</x:v>
      </x:c>
      <x:c r="F74" s="33" t="str">
        <x:f>IF(ABS(E74)&lt;0.0001,"PASS","FAIL")</x:f>
        <x:v>PASS</x:v>
      </x:c>
      <x:c r="G74" s="35" t="str">
        <x:v>Pass 82 plus H2</x:v>
      </x:c>
    </x:row>
    <x:row r="75">
      <x:c r="B75" s="33" t="str">
        <x:v>C69 revised watch</x:v>
      </x:c>
      <x:c r="C75" s="33" t="n">
        <x:f>Workforce!E19</x:f>
        <x:v>174</x:v>
      </x:c>
      <x:c r="D75" s="33" t="n">
        <x:v>174</x:v>
      </x:c>
      <x:c r="E75" s="33" t="n">
        <x:f>C75-D75</x:f>
        <x:v>0</x:v>
      </x:c>
      <x:c r="F75" s="33" t="str">
        <x:f>IF(ABS(E75)&lt;0.0001,"PASS","FAIL")</x:f>
        <x:v>PASS</x:v>
      </x:c>
      <x:c r="G75" s="35" t="str">
        <x:v>Pass 82 plus H2</x:v>
      </x:c>
    </x:row>
    <x:row r="76">
      <x:c r="B76" s="33" t="str">
        <x:v>C70 development articles</x:v>
      </x:c>
      <x:c r="C76" s="33" t="n">
        <x:f>Production!C8</x:f>
        <x:v>8</x:v>
      </x:c>
      <x:c r="D76" s="33" t="n">
        <x:v>8</x:v>
      </x:c>
      <x:c r="E76" s="33" t="n">
        <x:f>C76-D76</x:f>
        <x:v>0</x:v>
      </x:c>
      <x:c r="F76" s="33" t="str">
        <x:f>IF(ABS(E76)&lt;0.0001,"PASS","FAIL")</x:f>
        <x:v>PASS</x:v>
      </x:c>
      <x:c r="G76" s="35" t="str">
        <x:v>instrumented fleet</x:v>
      </x:c>
    </x:row>
    <x:row r="77">
      <x:c r="B77" s="33" t="str">
        <x:v>C71 operational vehicles</x:v>
      </x:c>
      <x:c r="C77" s="33" t="n">
        <x:f>Production!C9</x:f>
        <x:v>86</x:v>
      </x:c>
      <x:c r="D77" s="33" t="n">
        <x:v>86</x:v>
      </x:c>
      <x:c r="E77" s="33" t="n">
        <x:f>C77-D77</x:f>
        <x:v>0</x:v>
      </x:c>
      <x:c r="F77" s="33" t="str">
        <x:f>IF(ABS(E77)&lt;0.0001,"PASS","FAIL")</x:f>
        <x:v>PASS</x:v>
      </x:c>
      <x:c r="G77" s="35" t="str">
        <x:v>two per package</x:v>
      </x:c>
    </x:row>
    <x:row r="78">
      <x:c r="B78" s="33" t="str">
        <x:v>C72 reserve vehicles</x:v>
      </x:c>
      <x:c r="C78" s="33" t="n">
        <x:f>Production!C10</x:f>
        <x:v>18</x:v>
      </x:c>
      <x:c r="D78" s="33" t="n">
        <x:v>18</x:v>
      </x:c>
      <x:c r="E78" s="33" t="n">
        <x:f>C78-D78</x:f>
        <x:v>0</x:v>
      </x:c>
      <x:c r="F78" s="33" t="str">
        <x:f>IF(ABS(E78)&lt;0.0001,"PASS","FAIL")</x:f>
        <x:v>PASS</x:v>
      </x:c>
      <x:c r="G78" s="35" t="str">
        <x:v>twenty-percent pool</x:v>
      </x:c>
    </x:row>
    <x:row r="79">
      <x:c r="B79" s="33" t="str">
        <x:v>C73 total articles</x:v>
      </x:c>
      <x:c r="C79" s="33" t="n">
        <x:f>Production!C11</x:f>
        <x:v>112</x:v>
      </x:c>
      <x:c r="D79" s="33" t="n">
        <x:v>112</x:v>
      </x:c>
      <x:c r="E79" s="33" t="n">
        <x:f>C79-D79</x:f>
        <x:v>0</x:v>
      </x:c>
      <x:c r="F79" s="33" t="str">
        <x:f>IF(ABS(E79)&lt;0.0001,"PASS","FAIL")</x:f>
        <x:v>PASS</x:v>
      </x:c>
      <x:c r="G79" s="35" t="str">
        <x:v>national program</x:v>
      </x:c>
    </x:row>
    <x:row r="80">
      <x:c r="B80" s="33" t="str">
        <x:v>C74 scheduled production</x:v>
      </x:c>
      <x:c r="C80" s="33" t="n">
        <x:f>SUM(Production!C16:C40)</x:f>
        <x:v>112</x:v>
      </x:c>
      <x:c r="D80" s="33" t="n">
        <x:v>112</x:v>
      </x:c>
      <x:c r="E80" s="33" t="n">
        <x:f>C80-D80</x:f>
        <x:v>0</x:v>
      </x:c>
      <x:c r="F80" s="33" t="str">
        <x:f>IF(ABS(E80)&lt;0.0001,"PASS","FAIL")</x:f>
        <x:v>PASS</x:v>
      </x:c>
      <x:c r="G80" s="35" t="str">
        <x:v>twenty-five-year output</x:v>
      </x:c>
    </x:row>
    <x:row r="81">
      <x:c r="B81" s="33" t="str">
        <x:v>C75 peak annual rate</x:v>
      </x:c>
      <x:c r="C81" s="33" t="n">
        <x:f>MAX(Production!C16:C40)</x:f>
        <x:v>8</x:v>
      </x:c>
      <x:c r="D81" s="33" t="n">
        <x:v>8</x:v>
      </x:c>
      <x:c r="E81" s="33" t="n">
        <x:f>C81-D81</x:f>
        <x:v>0</x:v>
      </x:c>
      <x:c r="F81" s="33" t="str">
        <x:f>IF(ABS(E81)&lt;0.0001,"PASS","FAIL")</x:f>
        <x:v>PASS</x:v>
      </x:c>
      <x:c r="G81" s="35" t="str">
        <x:v>two integration lines</x:v>
      </x:c>
    </x:row>
    <x:row r="82">
      <x:c r="B82" s="33" t="str">
        <x:v>C76 final cumulative</x:v>
      </x:c>
      <x:c r="C82" s="33" t="n">
        <x:f>Production!D40</x:f>
        <x:v>112</x:v>
      </x:c>
      <x:c r="D82" s="33" t="n">
        <x:v>112</x:v>
      </x:c>
      <x:c r="E82" s="33" t="n">
        <x:f>C82-D82</x:f>
        <x:v>0</x:v>
      </x:c>
      <x:c r="F82" s="33" t="str">
        <x:f>IF(ABS(E82)&lt;0.0001,"PASS","FAIL")</x:f>
        <x:v>PASS</x:v>
      </x:c>
      <x:c r="G82" s="35" t="str">
        <x:v>schedule reaches objective</x:v>
      </x:c>
    </x:row>
    <x:row r="83">
      <x:c r="B83" s="33" t="str">
        <x:v>C77 integration lines</x:v>
      </x:c>
      <x:c r="C83" s="33" t="n">
        <x:f>Production!J16</x:f>
        <x:v>2</x:v>
      </x:c>
      <x:c r="D83" s="33" t="n">
        <x:v>2</x:v>
      </x:c>
      <x:c r="E83" s="33" t="n">
        <x:f>C83-D83</x:f>
        <x:v>0</x:v>
      </x:c>
      <x:c r="F83" s="33" t="str">
        <x:f>IF(ABS(E83)&lt;0.0001,"PASS","FAIL")</x:f>
        <x:v>PASS</x:v>
      </x:c>
      <x:c r="G83" s="35" t="str">
        <x:v>plural final assembly</x:v>
      </x:c>
    </x:row>
    <x:row r="84">
      <x:c r="B84" s="33" t="str">
        <x:v>C78 structure lineages</x:v>
      </x:c>
      <x:c r="C84" s="33" t="n">
        <x:f>Production!J17</x:f>
        <x:v>2</x:v>
      </x:c>
      <x:c r="D84" s="33" t="n">
        <x:v>2</x:v>
      </x:c>
      <x:c r="E84" s="33" t="n">
        <x:f>C84-D84</x:f>
        <x:v>0</x:v>
      </x:c>
      <x:c r="F84" s="33" t="str">
        <x:f>IF(ABS(E84)&lt;0.0001,"PASS","FAIL")</x:f>
        <x:v>PASS</x:v>
      </x:c>
      <x:c r="G84" s="35" t="str">
        <x:v>supplier independence</x:v>
      </x:c>
    </x:row>
    <x:row r="85">
      <x:c r="B85" s="33" t="str">
        <x:v>C79 peak direct workforce</x:v>
      </x:c>
      <x:c r="C85" s="33" t="n">
        <x:f>Production!J21</x:f>
        <x:v>24000</x:v>
      </x:c>
      <x:c r="D85" s="33" t="n">
        <x:v>24000</x:v>
      </x:c>
      <x:c r="E85" s="33" t="n">
        <x:f>C85-D85</x:f>
        <x:v>0</x:v>
      </x:c>
      <x:c r="F85" s="33" t="str">
        <x:f>IF(ABS(E85)&lt;0.0001,"PASS","FAIL")</x:f>
        <x:v>PASS</x:v>
      </x:c>
      <x:c r="G85" s="35" t="str">
        <x:v>industrial boundary</x:v>
      </x:c>
    </x:row>
    <x:row r="86">
      <x:c r="B86" s="33" t="str">
        <x:v>C80 H2 architecture program</x:v>
      </x:c>
      <x:c r="C86" s="33" t="n">
        <x:f>'Program Cost'!D16</x:f>
        <x:v>932.2574500000001</x:v>
      </x:c>
      <x:c r="D86" s="33" t="n">
        <x:v>932.25745</x:v>
      </x:c>
      <x:c r="E86" s="33" t="n">
        <x:f>C86-D86</x:f>
        <x:v>1.1368683772161603e-13</x:v>
      </x:c>
      <x:c r="F86" s="33" t="str">
        <x:f>IF(ABS(E86)&lt;0.0001,"PASS","FAIL")</x:f>
        <x:v>PASS</x:v>
      </x:c>
      <x:c r="G86" s="35" t="str">
        <x:v>complete HBL account</x:v>
      </x:c>
    </x:row>
    <x:row r="87">
      <x:c r="B87" s="33" t="str">
        <x:v>C81 non-HBL remainder</x:v>
      </x:c>
      <x:c r="C87" s="33" t="n">
        <x:f>'Program Cost'!D17</x:f>
        <x:v>584.9764</x:v>
      </x:c>
      <x:c r="D87" s="33" t="n">
        <x:v>584.9764</x:v>
      </x:c>
      <x:c r="E87" s="33" t="n">
        <x:f>C87-D87</x:f>
        <x:v>0</x:v>
      </x:c>
      <x:c r="F87" s="33" t="str">
        <x:f>IF(ABS(E87)&lt;0.0001,"PASS","FAIL")</x:f>
        <x:v>PASS</x:v>
      </x:c>
      <x:c r="G87" s="35" t="str">
        <x:v>Pass 82 less generic HBL</x:v>
      </x:c>
    </x:row>
    <x:row r="88">
      <x:c r="B88" s="33" t="str">
        <x:v>C82 revised DCP-2</x:v>
      </x:c>
      <x:c r="C88" s="33" t="n">
        <x:f>'Program Cost'!D18</x:f>
        <x:v>1517.23385</x:v>
      </x:c>
      <x:c r="D88" s="33" t="n">
        <x:v>1517.23385</x:v>
      </x:c>
      <x:c r="E88" s="33" t="n">
        <x:f>C88-D88</x:f>
        <x:v>0</x:v>
      </x:c>
      <x:c r="F88" s="33" t="str">
        <x:f>IF(ABS(E88)&lt;0.0001,"PASS","FAIL")</x:f>
        <x:v>PASS</x:v>
      </x:c>
      <x:c r="G88" s="35" t="str">
        <x:v>selected architecture</x:v>
      </x:c>
    </x:row>
    <x:row r="89">
      <x:c r="B89" s="33" t="str">
        <x:v>C83 dynamic F1-C1 base</x:v>
      </x:c>
      <x:c r="C89" s="33" t="n">
        <x:f>'Program Cost'!D19</x:f>
        <x:v>7383.14155</x:v>
      </x:c>
      <x:c r="D89" s="33" t="n">
        <x:v>7383.14155</x:v>
      </x:c>
      <x:c r="E89" s="33" t="n">
        <x:f>C89-D89</x:f>
        <x:v>0</x:v>
      </x:c>
      <x:c r="F89" s="33" t="str">
        <x:f>IF(ABS(E89)&lt;0.0001,"PASS","FAIL")</x:f>
        <x:v>PASS</x:v>
      </x:c>
      <x:c r="G89" s="35" t="str">
        <x:v>one-region force</x:v>
      </x:c>
    </x:row>
    <x:row r="90">
      <x:c r="B90" s="33" t="str">
        <x:v>C84 national boundary</x:v>
      </x:c>
      <x:c r="C90" s="33" t="n">
        <x:f>'Program Cost'!D20</x:f>
        <x:v>8900.3754</x:v>
      </x:c>
      <x:c r="D90" s="33" t="n">
        <x:v>8900.3754</x:v>
      </x:c>
      <x:c r="E90" s="33" t="n">
        <x:f>C90-D90</x:f>
        <x:v>0</x:v>
      </x:c>
      <x:c r="F90" s="33" t="str">
        <x:f>IF(ABS(E90)&lt;0.0001,"PASS","FAIL")</x:f>
        <x:v>PASS</x:v>
      </x:c>
      <x:c r="G90" s="35" t="str">
        <x:v>base plus revised DCP</x:v>
      </x:c>
    </x:row>
    <x:row r="91">
      <x:c r="B91" s="33" t="str">
        <x:v>C85 increase over Pass 82</x:v>
      </x:c>
      <x:c r="C91" s="33" t="n">
        <x:f>'Program Cost'!D21</x:f>
        <x:v>583.9574500000001</x:v>
      </x:c>
      <x:c r="D91" s="33" t="n">
        <x:v>583.95745</x:v>
      </x:c>
      <x:c r="E91" s="33" t="n">
        <x:f>C91-D91</x:f>
        <x:v>1.1368683772161603e-13</x:v>
      </x:c>
      <x:c r="F91" s="33" t="str">
        <x:f>IF(ABS(E91)&lt;0.0001,"PASS","FAIL")</x:f>
        <x:v>PASS</x:v>
      </x:c>
      <x:c r="G91" s="35" t="str">
        <x:v>architecture correction</x:v>
      </x:c>
    </x:row>
    <x:row r="92">
      <x:c r="B92" s="33" t="str">
        <x:v>C86 technology campaigns</x:v>
      </x:c>
      <x:c r="C92" s="33" t="n">
        <x:f>SUM(Technology!C7:C17)</x:f>
        <x:v>215</x:v>
      </x:c>
      <x:c r="D92" s="33" t="n">
        <x:v>215</x:v>
      </x:c>
      <x:c r="E92" s="33" t="n">
        <x:f>C92-D92</x:f>
        <x:v>0</x:v>
      </x:c>
      <x:c r="F92" s="33" t="str">
        <x:f>IF(ABS(E92)&lt;0.0001,"PASS","FAIL")</x:f>
        <x:v>PASS</x:v>
      </x:c>
      <x:c r="G92" s="35" t="str">
        <x:v>selected research and proving</x:v>
      </x:c>
    </x:row>
    <x:row r="93">
      <x:c r="B93" s="33" t="str">
        <x:v>C87 evidence gates</x:v>
      </x:c>
      <x:c r="C93" s="33" t="n">
        <x:f>COUNTA('Evidence Gates'!B7:B76)</x:f>
        <x:v>70</x:v>
      </x:c>
      <x:c r="D93" s="33" t="n">
        <x:v>70</x:v>
      </x:c>
      <x:c r="E93" s="33" t="n">
        <x:f>C93-D93</x:f>
        <x:v>0</x:v>
      </x:c>
      <x:c r="F93" s="33" t="str">
        <x:f>IF(ABS(E93)&lt;0.0001,"PASS","FAIL")</x:f>
        <x:v>PASS</x:v>
      </x:c>
      <x:c r="G93" s="35" t="str">
        <x:v>architecture proof register</x:v>
      </x:c>
    </x:row>
    <x:row r="94">
      <x:c r="B94" s="33" t="str">
        <x:v>C88 open gates</x:v>
      </x:c>
      <x:c r="C94" s="33" t="n">
        <x:f>COUNTIFS('Evidence Gates'!H7:H76,"OPEN")</x:f>
        <x:v>70</x:v>
      </x:c>
      <x:c r="D94" s="33" t="n">
        <x:v>70</x:v>
      </x:c>
      <x:c r="E94" s="33" t="n">
        <x:f>C94-D94</x:f>
        <x:v>0</x:v>
      </x:c>
      <x:c r="F94" s="33" t="str">
        <x:f>IF(ABS(E94)&lt;0.0001,"PASS","FAIL")</x:f>
        <x:v>PASS</x:v>
      </x:c>
      <x:c r="G94" s="35" t="str">
        <x:v>no admission</x:v>
      </x:c>
    </x:row>
    <x:row r="95">
      <x:c r="B95" s="33" t="str">
        <x:v>C89 strict current credit</x:v>
      </x:c>
      <x:c r="C95" s="33" t="n">
        <x:f>COUNTIFS(Resilience!O7:O22,"PASS")</x:f>
        <x:v>0</x:v>
      </x:c>
      <x:c r="D95" s="33" t="n">
        <x:v>0</x:v>
      </x:c>
      <x:c r="E95" s="33" t="n">
        <x:f>C95-D95</x:f>
        <x:v>0</x:v>
      </x:c>
      <x:c r="F95" s="33" t="str">
        <x:f>IF(ABS(E95)&lt;0.0001,"PASS","FAIL")</x:f>
        <x:v>PASS</x:v>
      </x:c>
      <x:c r="G95" s="35" t="str">
        <x:v>behavior is not evidence</x:v>
      </x:c>
    </x:row>
    <x:row r="96">
      <x:c r="B96" s="33" t="str">
        <x:v>C90 rendering authorization</x:v>
      </x:c>
      <x:c r="C96" s="33" t="n">
        <x:f>Assumptions!C52</x:f>
        <x:v>0</x:v>
      </x:c>
      <x:c r="D96" s="33" t="n">
        <x:v>0</x:v>
      </x:c>
      <x:c r="E96" s="33" t="n">
        <x:f>C96-D96</x:f>
        <x:v>0</x:v>
      </x:c>
      <x:c r="F96" s="33" t="str">
        <x:f>IF(ABS(E96)&lt;0.0001,"PASS","FAIL")</x:f>
        <x:v>PASS</x:v>
      </x:c>
      <x:c r="G96" s="35" t="str">
        <x:v>blocked</x:v>
      </x:c>
    </x:row>
    <x:row r="97">
      <x:c r="B97" s="33" t="str">
        <x:v>C91 universal architecture passes</x:v>
      </x:c>
      <x:c r="C97" s="33" t="n">
        <x:f>COUNTIFS(Summary!N8:N11,"PASS")</x:f>
        <x:v>1</x:v>
      </x:c>
      <x:c r="D97" s="33" t="n">
        <x:v>1</x:v>
      </x:c>
      <x:c r="E97" s="33" t="n">
        <x:f>C97-D97</x:f>
        <x:v>0</x:v>
      </x:c>
      <x:c r="F97" s="33" t="str">
        <x:f>IF(ABS(E97)&lt;0.0001,"PASS","FAIL")</x:f>
        <x:v>PASS</x:v>
      </x:c>
      <x:c r="G97" s="35" t="str">
        <x:v>one research reference</x:v>
      </x:c>
    </x:row>
    <x:row r="98">
      <x:c r="B98" s="33" t="str">
        <x:v>C92 H2 decision</x:v>
      </x:c>
      <x:c r="C98" s="33" t="str">
        <x:f>Summary!N9</x:f>
        <x:v>PASS</x:v>
      </x:c>
      <x:c r="D98" s="33" t="str">
        <x:v>PASS</x:v>
      </x:c>
      <x:c r="E98" s="33" t="str"/>
      <x:c r="F98" s="33" t="str">
        <x:f>IF(C98=D98,"PASS","FAIL")</x:f>
        <x:v>PASS</x:v>
      </x:c>
      <x:c r="G98" s="35" t="str">
        <x:v>provisional universal reference</x:v>
      </x:c>
    </x:row>
    <x:row r="99">
      <x:c r="B99" s="33" t="str">
        <x:v>C93 H4 decision</x:v>
      </x:c>
      <x:c r="C99" s="33" t="str">
        <x:f>Summary!N11</x:f>
        <x:v>FAIL</x:v>
      </x:c>
      <x:c r="D99" s="33" t="str">
        <x:v>FAIL</x:v>
      </x:c>
      <x:c r="E99" s="33" t="str"/>
      <x:c r="F99" s="33" t="str">
        <x:f>IF(C99=D99,"PASS","FAIL")</x:f>
        <x:v>PASS</x:v>
      </x:c>
      <x:c r="G99" s="35" t="str">
        <x:v>conditional transfer but weather fails</x:v>
      </x:c>
    </x:row>
    <x:row r="100">
      <x:c r="B100" s="33" t="str">
        <x:v>C94 ready packages</x:v>
      </x:c>
      <x:c r="C100" s="33" t="n">
        <x:f>Assumptions!C34</x:f>
        <x:v>43</x:v>
      </x:c>
      <x:c r="D100" s="33" t="n">
        <x:v>43</x:v>
      </x:c>
      <x:c r="E100" s="33" t="n">
        <x:f>C100-D100</x:f>
        <x:v>0</x:v>
      </x:c>
      <x:c r="F100" s="33" t="str">
        <x:f>IF(ABS(E100)&lt;0.0001,"PASS","FAIL")</x:f>
        <x:v>PASS</x:v>
      </x:c>
      <x:c r="G100" s="35" t="str">
        <x:v>national basis</x:v>
      </x:c>
    </x:row>
    <x:row r="101">
      <x:c r="B101" s="33" t="str">
        <x:v>C95 production articles</x:v>
      </x:c>
      <x:c r="C101" s="33" t="n">
        <x:f>Assumptions!C40</x:f>
        <x:v>112</x:v>
      </x:c>
      <x:c r="D101" s="33" t="n">
        <x:v>112</x:v>
      </x:c>
      <x:c r="E101" s="33" t="n">
        <x:f>C101-D101</x:f>
        <x:v>0</x:v>
      </x:c>
      <x:c r="F101" s="33" t="str">
        <x:f>IF(ABS(E101)&lt;0.0001,"PASS","FAIL")</x:f>
        <x:v>PASS</x:v>
      </x:c>
      <x:c r="G101" s="35" t="str">
        <x:v>operational reserve and test</x:v>
      </x:c>
    </x:row>
    <x:row r="102">
      <x:c r="B102" s="33" t="str">
        <x:v>C96 reset workstreams</x:v>
      </x:c>
      <x:c r="C102" s="33" t="n">
        <x:f>COUNTA(Reset!B7:B11)</x:f>
        <x:v>5</x:v>
      </x:c>
      <x:c r="D102" s="33" t="n">
        <x:v>5</x:v>
      </x:c>
      <x:c r="E102" s="33" t="n">
        <x:f>C102-D102</x:f>
        <x:v>0</x:v>
      </x:c>
      <x:c r="F102" s="33" t="str">
        <x:f>IF(ABS(E102)&lt;0.0001,"PASS","FAIL")</x:f>
        <x:v>PASS</x:v>
      </x:c>
      <x:c r="G102" s="35" t="str">
        <x:v>independent return-to-service clocks</x:v>
      </x:c>
    </x:row>
    <x:row r="103">
      <x:c r="B103" s="33" t="str">
        <x:v>C97 reset critical path</x:v>
      </x:c>
      <x:c r="C103" s="33" t="n">
        <x:f>Reset!D16</x:f>
        <x:v>142</x:v>
      </x:c>
      <x:c r="D103" s="33" t="n">
        <x:v>142</x:v>
      </x:c>
      <x:c r="E103" s="33" t="n">
        <x:f>C103-D103</x:f>
        <x:v>0</x:v>
      </x:c>
      <x:c r="F103" s="33" t="str">
        <x:f>IF(ABS(E103)&lt;0.0001,"PASS","FAIL")</x:f>
        <x:v>PASS</x:v>
      </x:c>
      <x:c r="G103" s="35" t="str">
        <x:v>longest declared concurrent workstream</x:v>
      </x:c>
    </x:row>
    <x:row r="104">
      <x:c r="B104" s="33" t="str">
        <x:v>C98 reset workstream passes</x:v>
      </x:c>
      <x:c r="C104" s="33" t="n">
        <x:f>COUNTIFS(Reset!M7:M11,"PASS")</x:f>
        <x:v>5</x:v>
      </x:c>
      <x:c r="D104" s="33" t="n">
        <x:v>5</x:v>
      </x:c>
      <x:c r="E104" s="33" t="n">
        <x:f>C104-D104</x:f>
        <x:v>0</x:v>
      </x:c>
      <x:c r="F104" s="33" t="str">
        <x:f>IF(ABS(E104)&lt;0.0001,"PASS","FAIL")</x:f>
        <x:v>PASS</x:v>
      </x:c>
      <x:c r="G104" s="35" t="str">
        <x:v>every workstream inside the ceiling</x:v>
      </x:c>
    </x:row>
    <x:row r="105">
      <x:c r="B105" s="33" t="str">
        <x:v>C99 reset boundary</x:v>
      </x:c>
      <x:c r="C105" s="33" t="str">
        <x:f>Reset!G16</x:f>
        <x:v>PASS</x:v>
      </x:c>
      <x:c r="D105" s="33" t="str">
        <x:v>PASS</x:v>
      </x:c>
      <x:c r="E105" s="33" t="str"/>
      <x:c r="F105" s="33" t="str">
        <x:f>IF(C105=D105,"PASS","FAIL")</x:f>
        <x:v>PASS</x:v>
      </x:c>
      <x:c r="G105" s="35" t="str">
        <x:v>selected vehicle returns inside 168 hours</x:v>
      </x:c>
    </x:row>
    <x:row r="106">
      <x:c r="B106" s="42" t="str">
        <x:v>C100 H2 energy specific</x:v>
      </x:c>
      <x:c r="C106" s="42" t="n">
        <x:f>Architectures!W8/Architectures!J8</x:f>
        <x:v>15</x:v>
      </x:c>
      <x:c r="D106" s="42" t="n">
        <x:v>15</x:v>
      </x:c>
      <x:c r="E106" s="42" t="n">
        <x:f>C106-D106</x:f>
        <x:v>0</x:v>
      </x:c>
      <x:c r="F106" s="42" t="str">
        <x:f>IF(ABS(E106)&lt;0.0001,"PASS","FAIL")</x:f>
        <x:v>PASS</x:v>
      </x:c>
      <x:c r="G106" s="44" t="str">
        <x:v>MWh/t equals kWh/kg; battery-only interpretation fails</x:v>
      </x:c>
    </x:row>
    <x:row r="107">
      <x:c r="B107" s="2"/>
      <x:c r="C107" s="2"/>
      <x:c r="D107" s="2"/>
      <x:c r="E107" s="2"/>
      <x:c r="F107" s="2"/>
      <x:c r="G107" s="2"/>
    </x:row>
    <x:row r="108">
      <x:c r="B108" s="2"/>
      <x:c r="C108" s="2"/>
      <x:c r="D108" s="2"/>
      <x:c r="E108" s="2"/>
      <x:c r="F108" s="2"/>
      <x:c r="G108" s="2"/>
    </x:row>
    <x:row r="109">
      <x:c r="B109" s="2"/>
      <x:c r="C109" s="2"/>
      <x:c r="D109" s="2"/>
      <x:c r="E109" s="2"/>
      <x:c r="F109" s="2"/>
      <x:c r="G109" s="2"/>
    </x:row>
    <x:row r="110">
      <x:c r="B110" s="2"/>
      <x:c r="C110" s="2"/>
      <x:c r="D110" s="2"/>
      <x:c r="E110" s="2"/>
      <x:c r="F110" s="2"/>
      <x:c r="G110" s="2"/>
    </x:row>
    <x:row r="111">
      <x:c r="B111" s="2"/>
      <x:c r="C111" s="2"/>
      <x:c r="D111" s="2"/>
      <x:c r="E111" s="2"/>
      <x:c r="F111" s="2"/>
      <x:c r="G111" s="2"/>
    </x:row>
    <x:row r="112">
      <x:c r="B112" s="2"/>
      <x:c r="C112" s="2"/>
      <x:c r="D112" s="2"/>
      <x:c r="E112" s="2"/>
      <x:c r="F112" s="2"/>
      <x:c r="G112" s="2"/>
    </x:row>
    <x:row r="113">
      <x:c r="B113" s="2"/>
      <x:c r="C113" s="2"/>
      <x:c r="D113" s="2"/>
      <x:c r="E113" s="2"/>
      <x:c r="F113" s="2"/>
      <x:c r="G113" s="2"/>
    </x:row>
    <x:row r="114">
      <x:c r="B114" s="2"/>
      <x:c r="C114" s="2"/>
      <x:c r="D114" s="2"/>
      <x:c r="E114" s="2"/>
      <x:c r="F114" s="2"/>
      <x:c r="G114" s="2"/>
    </x:row>
    <x:row r="115">
      <x:c r="B115" s="2"/>
      <x:c r="C115" s="2"/>
      <x:c r="D115" s="2"/>
      <x:c r="E115" s="2"/>
      <x:c r="F115" s="2"/>
      <x:c r="G115" s="2"/>
    </x:row>
    <x:row r="116">
      <x:c r="B116" s="2"/>
      <x:c r="C116" s="2"/>
      <x:c r="D116" s="2"/>
      <x:c r="E116" s="2"/>
      <x:c r="F116" s="2"/>
      <x:c r="G116" s="2"/>
    </x:row>
  </x:sheetData>
  <x:conditionalFormatting sqref="F7:F106">
    <x:cfRule type="containsText" dxfId="0" priority="1" operator="containsText" text="FAIL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5" hidden="0" customWidth="1"/>
    <x:col min="3" max="3" width="12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2">
      <x:c r="B2" s="3" t="str">
        <x:v>How to read the HBL-340 competition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The workbook selects a research reference; it does not certify flight, authorize procurement or permit rendering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8" t="str">
        <x:v>Decision boundary</x:v>
      </x:c>
      <x:c r="C6" s="9" t="str">
        <x:v>Decision boundary</x:v>
      </x:c>
      <x:c r="D6" s="9" t="str">
        <x:v>Decision boundary</x:v>
      </x:c>
      <x:c r="E6" s="9" t="str">
        <x:v>Decision boundary</x:v>
      </x:c>
      <x:c r="F6" s="9" t="str">
        <x:v>Decision boundary</x:v>
      </x:c>
      <x:c r="G6" s="9" t="str">
        <x:v>Decision boundary</x:v>
      </x:c>
      <x:c r="H6" s="9" t="str">
        <x:v>Decision boundary</x:v>
      </x:c>
      <x:c r="I6" s="9" t="str">
        <x:v>Decision boundary</x:v>
      </x:c>
      <x:c r="J6" s="10" t="str">
        <x:v>Decision boundary</x:v>
      </x:c>
    </x:row>
    <x:row r="7">
      <x:c r="B7" s="52" t="str">
        <x:v>Question</x:v>
      </x:c>
      <x:c r="C7" s="53" t="str">
        <x:v>Which physical architecture can carry 340 t over 4,000 km, preserve the hour-42 service path and unload at the Pass 82 receiver without external ballast or anchors?</x:v>
      </x:c>
      <x:c r="D7" s="2"/>
      <x:c r="E7" s="2"/>
      <x:c r="F7" s="2"/>
      <x:c r="G7" s="2"/>
      <x:c r="H7" s="2"/>
      <x:c r="I7" s="2"/>
      <x:c r="J7" s="2"/>
    </x:row>
    <x:row r="8">
      <x:c r="B8" s="54" t="str">
        <x:v>Critical physics</x:v>
      </x:c>
      <x:c r="C8" s="33" t="str">
        <x:v>Buoyant cruise is not the hardest state. Removing 340 t while static lift remains creates the governing transition.</x:v>
      </x:c>
      <x:c r="D8" s="2"/>
      <x:c r="E8" s="2"/>
      <x:c r="F8" s="2"/>
      <x:c r="G8" s="2"/>
      <x:c r="H8" s="2"/>
      <x:c r="I8" s="2"/>
      <x:c r="J8" s="2"/>
    </x:row>
    <x:row r="9">
      <x:c r="B9" s="54" t="str">
        <x:v>H1</x:v>
      </x:c>
      <x:c r="C9" s="33" t="str">
        <x:v>A fully buoyant monohull closes cruise lift but not receiver length, weather or the 123 t residual transition gap.</x:v>
      </x:c>
      <x:c r="D9" s="2"/>
      <x:c r="E9" s="2"/>
      <x:c r="F9" s="2"/>
      <x:c r="G9" s="2"/>
      <x:c r="H9" s="2"/>
      <x:c r="I9" s="2"/>
      <x:c r="J9" s="2"/>
    </x:row>
    <x:row r="10">
      <x:c r="B10" s="54" t="str">
        <x:v>H2</x:v>
      </x:c>
      <x:c r="C10" s="33" t="str">
        <x:v>A ground-coupled hybrid is deliberately underbuoyant while loaded. Aerodynamic lift closes cruise; distributed ground contact closes transfer.</x:v>
      </x:c>
      <x:c r="D10" s="2"/>
      <x:c r="E10" s="2"/>
      <x:c r="F10" s="2"/>
      <x:c r="G10" s="2"/>
      <x:c r="H10" s="2"/>
      <x:c r="I10" s="2"/>
      <x:c r="J10" s="2"/>
    </x:row>
    <x:row r="11">
      <x:c r="B11" s="54" t="str">
        <x:v>H3</x:v>
      </x:c>
      <x:c r="C11" s="33" t="str">
        <x:v>A twin-hull gantry closes gross lift but exceeds receiver length and retains a 325 t universal transition gap.</x:v>
      </x:c>
      <x:c r="D11" s="2"/>
      <x:c r="E11" s="2"/>
      <x:c r="F11" s="2"/>
      <x:c r="G11" s="2"/>
      <x:c r="H11" s="2"/>
      <x:c r="I11" s="2"/>
      <x:c r="J11" s="2"/>
    </x:row>
    <x:row r="12">
      <x:c r="B12" s="54" t="str">
        <x:v>H4</x:v>
      </x:c>
      <x:c r="C12" s="33" t="str">
        <x:v>A detachable pod closes only with 340 t of external ballast capacity. It is conditional and also misses the declared weather screen.</x:v>
      </x:c>
      <x:c r="D12" s="2"/>
      <x:c r="E12" s="2"/>
      <x:c r="F12" s="2"/>
      <x:c r="G12" s="2"/>
      <x:c r="H12" s="2"/>
      <x:c r="I12" s="2"/>
      <x:c r="J12" s="2"/>
    </x:row>
    <x:row r="13">
      <x:c r="B13" s="54" t="str">
        <x:v>Reference</x:v>
      </x:c>
      <x:c r="C13" s="33" t="str">
        <x:v>H2 GCH-340 is the sole behavior-level universal reference under the declared assumptions.</x:v>
      </x:c>
      <x:c r="D13" s="2"/>
      <x:c r="E13" s="2"/>
      <x:c r="F13" s="2"/>
      <x:c r="G13" s="2"/>
      <x:c r="H13" s="2"/>
      <x:c r="I13" s="2"/>
      <x:c r="J13" s="2"/>
    </x:row>
    <x:row r="14">
      <x:c r="B14" s="54" t="str">
        <x:v>Scale</x:v>
      </x:c>
      <x:c r="C14" s="33" t="str">
        <x:v>The reference is approximately 306 m long, 73 m in equivalent diameter, 850,000 m3 and 1,003 t at departure.</x:v>
      </x:c>
      <x:c r="D14" s="2"/>
      <x:c r="E14" s="2"/>
      <x:c r="F14" s="2"/>
      <x:c r="G14" s="2"/>
      <x:c r="H14" s="2"/>
      <x:c r="I14" s="2"/>
      <x:c r="J14" s="2"/>
    </x:row>
    <x:row r="15">
      <x:c r="B15" s="54" t="str">
        <x:v>Energy</x:v>
      </x:c>
      <x:c r="C15" s="33" t="str">
        <x:v>The declared route requires about 67 MW in cruise and 1.22 GWh before reserve; installed power is 144 MW across twelve pods.</x:v>
      </x:c>
      <x:c r="D15" s="2"/>
      <x:c r="E15" s="2"/>
      <x:c r="F15" s="2"/>
      <x:c r="G15" s="2"/>
      <x:c r="H15" s="2"/>
      <x:c r="I15" s="2"/>
      <x:c r="J15" s="2"/>
    </x:row>
    <x:row r="16">
      <x:c r="B16" s="54" t="str">
        <x:v>Receiver</x:v>
      </x:c>
      <x:c r="C16" s="33" t="str">
        <x:v>The loaded vehicle places about 292 t on 60 m2 of distributed contact, or 47.7 kPa, before unloading.</x:v>
      </x:c>
      <x:c r="D16" s="2"/>
      <x:c r="E16" s="2"/>
      <x:c r="F16" s="2"/>
      <x:c r="G16" s="2"/>
      <x:c r="H16" s="2"/>
      <x:c r="I16" s="2"/>
      <x:c r="J16" s="2"/>
    </x:row>
    <x:row r="17">
      <x:c r="B17" s="54" t="str">
        <x:v>Reset</x:v>
      </x:c>
      <x:c r="C17" s="33" t="str">
        <x:v>Five concurrent return-to-service workstreams leave a declared 142-hour critical path, 26 hours below the 168-hour ceiling; every evidence gate remains open.</x:v>
      </x:c>
      <x:c r="D17" s="2"/>
      <x:c r="E17" s="2"/>
      <x:c r="F17" s="2"/>
      <x:c r="G17" s="2"/>
      <x:c r="H17" s="2"/>
      <x:c r="I17" s="2"/>
      <x:c r="J17" s="2"/>
    </x:row>
    <x:row r="18">
      <x:c r="B18" s="54" t="str">
        <x:v>Program</x:v>
      </x:c>
      <x:c r="C18" s="33" t="str">
        <x:v>Forty-three ready pairs plus reserve and test articles require 112 vehicles and a $932.3B HBL architecture account.</x:v>
      </x:c>
      <x:c r="D18" s="2"/>
      <x:c r="E18" s="2"/>
      <x:c r="F18" s="2"/>
      <x:c r="G18" s="2"/>
      <x:c r="H18" s="2"/>
      <x:c r="I18" s="2"/>
      <x:c r="J18" s="2"/>
    </x:row>
    <x:row r="19">
      <x:c r="B19" s="54" t="str">
        <x:v>Evidence</x:v>
      </x:c>
      <x:c r="C19" s="33" t="str">
        <x:v>All seventy gates remain open. Behavior calculations produce no current or strict readiness credit.</x:v>
      </x:c>
      <x:c r="D19" s="2"/>
      <x:c r="E19" s="2"/>
      <x:c r="F19" s="2"/>
      <x:c r="G19" s="2"/>
      <x:c r="H19" s="2"/>
      <x:c r="I19" s="2"/>
      <x:c r="J19" s="2"/>
    </x:row>
    <x:row r="20">
      <x:c r="B20" s="54" t="str">
        <x:v>Sources</x:v>
      </x:c>
      <x:c r="C20" s="33" t="str">
        <x:v>Only repository requirements and declared first-principles design hypotheses are used. No external-site research is introduced.</x:v>
      </x:c>
      <x:c r="D20" s="2"/>
      <x:c r="E20" s="2"/>
      <x:c r="F20" s="2"/>
      <x:c r="G20" s="2"/>
      <x:c r="H20" s="2"/>
      <x:c r="I20" s="2"/>
      <x:c r="J20" s="2"/>
    </x:row>
    <x:row r="21">
      <x:c r="B21" s="54" t="str">
        <x:v>Rendering</x:v>
      </x:c>
      <x:c r="C21" s="33" t="str">
        <x:v>Blocked. A provisional architecture is not measured exterior geometry, and the ATUT-170 competition remains incomplete.</x:v>
      </x:c>
      <x:c r="D21" s="2"/>
      <x:c r="E21" s="2"/>
      <x:c r="F21" s="2"/>
      <x:c r="G21" s="2"/>
      <x:c r="H21" s="2"/>
      <x:c r="I21" s="2"/>
      <x:c r="J21" s="2"/>
    </x:row>
    <x:row r="22">
      <x:c r="B22" s="55" t="str">
        <x:v>Next use</x:v>
      </x:c>
      <x:c r="C22" s="56" t="str">
        <x:v>Compete ATUT-170 physical architectures, then reconcile both selected carriers and decide whether requirements renderings are responsible.</x:v>
      </x:c>
      <x:c r="D22" s="2"/>
      <x:c r="E22" s="2"/>
      <x:c r="F22" s="2"/>
      <x:c r="G22" s="2"/>
      <x:c r="H22" s="2"/>
      <x:c r="I22" s="2"/>
      <x:c r="J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</x:row>
  </x:sheetData>
  <x:mergeCells>
    <x:mergeCell ref="B6:J6"/>
  </x:mergeCells>
  <x:pageMargins left="0.7" right="0.7" top="0.75" bottom="0.75" header="0.3" footer="0.3"/>
</x:worksheet>
</file>