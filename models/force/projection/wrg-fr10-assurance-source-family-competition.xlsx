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3a1dbb9fe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f51870e9f3dd4080"/>
    <x:sheet xmlns:r="http://schemas.openxmlformats.org/officeDocument/2006/relationships" name="01 Controls" sheetId="2" r:id="R8808a438bfc74606"/>
    <x:sheet xmlns:r="http://schemas.openxmlformats.org/officeDocument/2006/relationships" name="02 Source Families" sheetId="3" r:id="Rb8fae87260ec4072"/>
    <x:sheet xmlns:r="http://schemas.openxmlformats.org/officeDocument/2006/relationships" name="03 Mission Worlds" sheetId="4" r:id="Re877ee9009da42a6"/>
    <x:sheet xmlns:r="http://schemas.openxmlformats.org/officeDocument/2006/relationships" name="04 Configuration" sheetId="5" r:id="R3b4e6cf5822f461b"/>
    <x:sheet xmlns:r="http://schemas.openxmlformats.org/officeDocument/2006/relationships" name="05 Portfolio" sheetId="6" r:id="R645f762fce724fdc"/>
    <x:sheet xmlns:r="http://schemas.openxmlformats.org/officeDocument/2006/relationships" name="06 Program" sheetId="7" r:id="R8c88746fd1c14436"/>
    <x:sheet xmlns:r="http://schemas.openxmlformats.org/officeDocument/2006/relationships" name="07 Test Contract" sheetId="8" r:id="R6833ccfa474e4281"/>
    <x:sheet xmlns:r="http://schemas.openxmlformats.org/officeDocument/2006/relationships" name="08 Evidence" sheetId="9" r:id="R72aaeeaabbac4d45"/>
    <x:sheet xmlns:r="http://schemas.openxmlformats.org/officeDocument/2006/relationships" name="09 Integrity" sheetId="10" r:id="R1da7dbc24f7646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"/>
    <x:numFmt numFmtId="201" formatCode="#,##0.00"/>
    <x:numFmt numFmtId="202" formatCode="$#,##0.00"/>
    <x:numFmt numFmtId="203" formatCode="#,##0"/>
    <x:numFmt numFmtId="204" formatCode="0.0"/>
    <x:numFmt numFmtId="205" formatCode="0.00"/>
    <x:numFmt numFmtId="206" formatCode="0"/>
    <x:numFmt numFmtId="207" formatCode="$#,##0.0"/>
  </x:numFmts>
  <x:fonts count="7">
    <x:font>
      <x:sz val="11"/>
      <x:name val="Carlito"/>
    </x:font>
    <x:font>
      <x:b/>
      <x:sz val="15"/>
      <x:color rgb="FF17212B"/>
      <x:name val="Arial"/>
    </x:font>
    <x:font>
      <x:i/>
      <x:sz val="10"/>
      <x:color rgb="FF5C6873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0"/>
      <x:color rgb="FF0000FF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</x:fills>
  <x:borders count="3">
    <x:border/>
    <x:border>
      <x:bottom style="medium">
        <x:color rgb="FF17324D"/>
      </x:bottom>
    </x:border>
    <x:border>
      <x:bottom style="medium">
        <x:color rgb="FFFFFFF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3" fontId="5" fillId="3" borderId="0" xfId="0" applyNumberFormat="1" applyFont="1" applyFill="1" applyBorder="1" applyAlignment="1">
      <x:alignment vertical="top"/>
    </x:xf>
    <x:xf numFmtId="204" fontId="5" fillId="3" borderId="0" xfId="0" applyNumberFormat="1" applyFont="1" applyFill="1" applyBorder="1" applyAlignment="1">
      <x:alignment vertical="top"/>
    </x:xf>
    <x:xf numFmtId="205" fontId="5" fillId="3" borderId="0" xfId="0" applyNumberFormat="1" applyFont="1" applyFill="1" applyBorder="1" applyAlignment="1">
      <x:alignment vertical="top"/>
    </x:xf>
    <x:xf numFmtId="206" fontId="5" fillId="3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2" fontId="5" fillId="3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/>
    </x:xf>
    <x:xf numFmtId="207" fontId="4" fillId="0" borderId="0" xfId="0" applyNumberFormat="1" applyFont="1" applyFill="1" applyBorder="1" applyAlignment="1">
      <x:alignment vertical="top"/>
    </x:xf>
    <x:xf numFmtId="0" fontId="6" fillId="0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77"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5fdf1ad0d4fd5" /><Relationship Type="http://schemas.openxmlformats.org/officeDocument/2006/relationships/theme" Target="/xl/theme/theme1.xml" Id="Rca19145a90984d32" /><Relationship Type="http://schemas.openxmlformats.org/officeDocument/2006/relationships/sharedStrings" Target="/xl/sharedStrings.xml" Id="Rf35bf790114c41f4" /><Relationship Type="http://schemas.openxmlformats.org/officeDocument/2006/relationships/worksheet" Target="/xl/worksheets/sheet1.xml" Id="Rf51870e9f3dd4080" /><Relationship Type="http://schemas.openxmlformats.org/officeDocument/2006/relationships/worksheet" Target="/xl/worksheets/sheet2.xml" Id="R8808a438bfc74606" /><Relationship Type="http://schemas.openxmlformats.org/officeDocument/2006/relationships/worksheet" Target="/xl/worksheets/sheet3.xml" Id="Rb8fae87260ec4072" /><Relationship Type="http://schemas.openxmlformats.org/officeDocument/2006/relationships/worksheet" Target="/xl/worksheets/sheet4.xml" Id="Re877ee9009da42a6" /><Relationship Type="http://schemas.openxmlformats.org/officeDocument/2006/relationships/worksheet" Target="/xl/worksheets/sheet5.xml" Id="R3b4e6cf5822f461b" /><Relationship Type="http://schemas.openxmlformats.org/officeDocument/2006/relationships/worksheet" Target="/xl/worksheets/sheet6.xml" Id="R645f762fce724fdc" /><Relationship Type="http://schemas.openxmlformats.org/officeDocument/2006/relationships/worksheet" Target="/xl/worksheets/sheet7.xml" Id="R8c88746fd1c14436" /><Relationship Type="http://schemas.openxmlformats.org/officeDocument/2006/relationships/worksheet" Target="/xl/worksheets/sheet8.xml" Id="R6833ccfa474e4281" /><Relationship Type="http://schemas.openxmlformats.org/officeDocument/2006/relationships/worksheet" Target="/xl/worksheets/sheet9.xml" Id="R72aaeeaabbac4d45" /><Relationship Type="http://schemas.openxmlformats.org/officeDocument/2006/relationships/worksheet" Target="/xl/worksheets/sheet10.xml" Id="R1da7dbc24f7646b9" /></Relationships>
</file>

<file path=xl/tables/table1.xml><?xml version="1.0" encoding="utf-8"?>
<x:table xmlns:x="http://schemas.openxmlformats.org/spreadsheetml/2006/main" id="1" name="SourceControlTable" displayName="SourceControlTable" ref="C5:G21" headerRowCount="1" totalsRowCount="0" totalsRowShown="0">
  <x:tableColumns count="5">
    <x:tableColumn id="1" name="Control"/>
    <x:tableColumn id="2" name="Value"/>
    <x:tableColumn id="3" name="Unit"/>
    <x:tableColumn id="4" name="Role"/>
    <x:tableColumn id="5" name="St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SourceFamilyTable" displayName="SourceFamilyTable" ref="C5:AF9" headerRowCount="1" totalsRowCount="0" totalsRowShown="0">
  <x:tableColumns count="30">
    <x:tableColumn id="1" name="ID"/>
    <x:tableColumn id="2" name="Source family"/>
    <x:tableColumn id="3" name="Deployment form"/>
    <x:tableColumn id="4" name="Capacity m³/day"/>
    <x:tableColumn id="5" name="Setup h"/>
    <x:tableColumn id="6" name="Energy kWh/m³"/>
    <x:tableColumn id="7" name="Hotel MW"/>
    <x:tableColumn id="8" name="Critical power MW"/>
    <x:tableColumn id="9" name="Self-power MW"/>
    <x:tableColumn id="10" name="Endurance days"/>
    <x:tableColumn id="11" name="Consumable autonomy days"/>
    <x:tableColumn id="12" name="Residual m³/m³ product"/>
    <x:tableColumn id="13" name="Residual buffer days"/>
    <x:tableColumn id="14" name="Cold qualified"/>
    <x:tableColumn id="15" name="Marine access required"/>
    <x:tableColumn id="16" name="Prepared wellfield required"/>
    <x:tableColumn id="17" name="Inland raw water required"/>
    <x:tableColumn id="18" name="Sealed inventory days"/>
    <x:tableColumn id="19" name="Usable stored water m³"/>
    <x:tableColumn id="20" name="Dry t"/>
    <x:tableColumn id="21" name="Land chargeable t"/>
    <x:tableColumn id="22" name="Platform displacement t"/>
    <x:tableColumn id="23" name="Crew"/>
    <x:tableColumn id="24" name="Equipment $B/chain"/>
    <x:tableColumn id="25" name="Node $B"/>
    <x:tableColumn id="26" name="Annual O&amp;S $B/chain"/>
    <x:tableColumn id="27" name="Eligible worlds"/>
    <x:tableColumn id="28" name="Strict admissions"/>
    <x:tableColumn id="29" name="Evidence"/>
    <x:tableColumn id="30" name="Render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ourceWorldTable" displayName="SourceWorldTable" ref="C5:T17" headerRowCount="1" totalsRowCount="0" totalsRowShown="0">
  <x:tableColumns count="18">
    <x:tableColumn id="1" name="World"/>
    <x:tableColumn id="2" name="Condition"/>
    <x:tableColumn id="3" name="Horizon days"/>
    <x:tableColumn id="4" name="Grid"/>
    <x:tableColumn id="5" name="External resupply"/>
    <x:tableColumn id="6" name="Residual outlet"/>
    <x:tableColumn id="7" name="Cold"/>
    <x:tableColumn id="8" name="C1 source valid"/>
    <x:tableColumn id="9" name="C1 access"/>
    <x:tableColumn id="10" name="C2 source valid"/>
    <x:tableColumn id="11" name="C2 access"/>
    <x:tableColumn id="12" name="C3 source valid"/>
    <x:tableColumn id="13" name="C3 access"/>
    <x:tableColumn id="14" name="C4 batch valid"/>
    <x:tableColumn id="15" name="C4 transfer access"/>
    <x:tableColumn id="16" name="Required behavior"/>
    <x:tableColumn id="17" name="Service target"/>
    <x:tableColumn id="18" name="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ourceWorldResultTable" displayName="SourceWorldResultTable" ref="C19:S67" headerRowCount="1" totalsRowCount="0" totalsRowShown="0">
  <x:tableColumns count="17">
    <x:tableColumn id="1" name="Family"/>
    <x:tableColumn id="2" name="World"/>
    <x:tableColumn id="3" name="Source"/>
    <x:tableColumn id="4" name="Access"/>
    <x:tableColumn id="5" name="Capacity"/>
    <x:tableColumn id="6" name="Setup"/>
    <x:tableColumn id="7" name="Power"/>
    <x:tableColumn id="8" name="Endurance"/>
    <x:tableColumn id="9" name="Consumables"/>
    <x:tableColumn id="10" name="Residual"/>
    <x:tableColumn id="11" name="Cold"/>
    <x:tableColumn id="12" name="Service"/>
    <x:tableColumn id="13" name="Result"/>
    <x:tableColumn id="14" name="Strict admission"/>
    <x:tableColumn id="15" name="Binding factor"/>
    <x:tableColumn id="16" name="Horizon days"/>
    <x:tableColumn id="17" name="Wet water moved m³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SourceConfigurationTable" displayName="SourceConfigurationTable" ref="C5:J31" headerRowCount="1" totalsRowCount="0" totalsRowShown="0">
  <x:tableColumns count="8">
    <x:tableColumn id="1" name="Family"/>
    <x:tableColumn id="2" name="Element"/>
    <x:tableColumn id="3" name="Function"/>
    <x:tableColumn id="4" name="Dry t"/>
    <x:tableColumn id="5" name="Land chargeable t"/>
    <x:tableColumn id="6" name="Crew"/>
    <x:tableColumn id="7" name="Equipment $B"/>
    <x:tableColumn id="8" name="St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PackageTable" displayName="SourcePackageTable" ref="C5:N10" headerRowCount="1" totalsRowCount="0" totalsRowShown="0">
  <x:tableColumns count="12">
    <x:tableColumn id="1" name="Package"/>
    <x:tableColumn id="2" name="Composition"/>
    <x:tableColumn id="3" name="C1"/>
    <x:tableColumn id="4" name="C2"/>
    <x:tableColumn id="5" name="C3"/>
    <x:tableColumn id="6" name="C4"/>
    <x:tableColumn id="7" name="Worlds with service"/>
    <x:tableColumn id="8" name="Worlds with two sources"/>
    <x:tableColumn id="9" name="30-day worlds served"/>
    <x:tableColumn id="10" name="Dry t"/>
    <x:tableColumn id="11" name="Land chargeable t"/>
    <x:tableColumn id="12" name="Equipment $B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PackageWorldTable" displayName="SourcePackageWorldTable" ref="C19:J79" headerRowCount="1" totalsRowCount="0" totalsRowShown="0">
  <x:tableColumns count="8">
    <x:tableColumn id="1" name="Package"/>
    <x:tableColumn id="2" name="World"/>
    <x:tableColumn id="3" name="C1 pass"/>
    <x:tableColumn id="4" name="C2 pass"/>
    <x:tableColumn id="5" name="C3 pass"/>
    <x:tableColumn id="6" name="C4 pass"/>
    <x:tableColumn id="7" name="Eligible sources"/>
    <x:tableColumn id="8" name="Horizon day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ProgramTable" displayName="SourceProgramTable" ref="C5:O10" headerRowCount="1" totalsRowCount="0" totalsRowShown="0">
  <x:tableColumns count="13">
    <x:tableColumn id="1" name="Case"/>
    <x:tableColumn id="2" name="Chains"/>
    <x:tableColumn id="3" name="Nodes"/>
    <x:tableColumn id="4" name="Equipment $B"/>
    <x:tableColumn id="5" name="Node works $B"/>
    <x:tableColumn id="6" name="25-year O&amp;S $B"/>
    <x:tableColumn id="7" name="Common program $B"/>
    <x:tableColumn id="8" name="Total $B"/>
    <x:tableColumn id="9" name="Capacity m³/day"/>
    <x:tableColumn id="10" name="Dry t"/>
    <x:tableColumn id="11" name="Land chargeable t"/>
    <x:tableColumn id="12" name="Crew"/>
    <x:tableColumn id="13" name="Initial sealed water m³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TestTable" displayName="SourceTestTable" ref="C5:H23" headerRowCount="1" totalsRowCount="0" totalsRowShown="0">
  <x:tableColumns count="6">
    <x:tableColumn id="1" name="Gate"/>
    <x:tableColumn id="2" name="Claim under test"/>
    <x:tableColumn id="3" name="Representative trial"/>
    <x:tableColumn id="4" name="Pass condition"/>
    <x:tableColumn id="5" name="State"/>
    <x:tableColumn id="6" name="Own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EvidenceTable" displayName="SourceEvidenceTable" ref="C5:H15" headerRowCount="1" totalsRowCount="0" totalsRowShown="0">
  <x:tableColumns count="6">
    <x:tableColumn id="1" name="ID"/>
    <x:tableColumn id="2" name="Item"/>
    <x:tableColumn id="3" name="Class"/>
    <x:tableColumn id="4" name="Authority"/>
    <x:tableColumn id="5" name="Present use"/>
    <x:tableColumn id="6" name="Admiss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IntegrityTable" displayName="SourceIntegrityTable" ref="C5:G40" headerRowCount="1" totalsRowCount="0" totalsRowShown="0">
  <x:tableColumns count="5">
    <x:tableColumn id="1" name="Check"/>
    <x:tableColumn id="2" name="Observed"/>
    <x:tableColumn id="3" name="Expected"/>
    <x:tableColumn id="4" name="Status"/>
    <x:tableColumn id="5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3fc63e1adf44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0121621ef841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7c9cb008f74313" /><Relationship Type="http://schemas.openxmlformats.org/officeDocument/2006/relationships/table" Target="/xl/tables/table4.xml" Id="Rf397c487b7de44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479221a895548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aa3cd9dfffc4558" /><Relationship Type="http://schemas.openxmlformats.org/officeDocument/2006/relationships/table" Target="/xl/tables/table7.xml" Id="R7281034adaf642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df9e9511a894f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a2094b54676e4e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ba3e00fd8b344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3011af4aabb847a6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3" max="3" width="38" hidden="0" customWidth="1"/>
    <x:col min="4" max="4" width="18" hidden="0" customWidth="1"/>
    <x:col min="5" max="5" width="70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</x:cols>
  <x:sheetData>
    <x:row r="2">
      <x:c r="C2" s="2" t="str">
        <x:v>Assurance sources are a portfolio, not a universal machine</x:v>
      </x:c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C3" s="3" t="str">
        <x:v>Pass 68 compares complete source chains across twelve deterministic theaters. Results are requirements, not field evidence.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</x:row>
    <x:row r="5">
      <x:c r="C5" s="9" t="str">
        <x:v>Finding</x:v>
      </x:c>
      <x:c r="D5" s="9" t="str">
        <x:v>Result</x:v>
      </x:c>
      <x:c r="E5" s="9" t="str">
        <x:v>Meaning</x:v>
      </x:c>
      <x:c r="F5" s="9" t="str">
        <x:v>Status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</x:row>
    <x:row r="6" ht="48" customHeight="1">
      <x:c r="C6" s="11" t="str">
        <x:v>Universal source family</x:v>
      </x:c>
      <x:c r="D6" s="26" t="n">
        <x:v>0</x:v>
      </x:c>
      <x:c r="E6" s="15" t="str">
        <x:v>No family has valid source, access, residual, endurance and logistics in all worlds</x:v>
      </x:c>
      <x:c r="F6" s="11" t="str">
        <x:v>FAIL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</x:row>
    <x:row r="7" ht="48" customHeight="1">
      <x:c r="C7" s="11" t="str">
        <x:v>Four-family worlds with service</x:v>
      </x:c>
      <x:c r="D7" s="26" t="n">
        <x:f>'05 Portfolio'!I10</x:f>
        <x:v>10</x:v>
      </x:c>
      <x:c r="E7" s="15" t="str">
        <x:v>The national quartet covers ten of twelve worlds</x:v>
      </x:c>
      <x:c r="F7" s="11" t="str">
        <x:v>DECLARED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</x:row>
    <x:row r="8" ht="48" customHeight="1">
      <x:c r="C8" s="11" t="str">
        <x:v>Four-family worlds with two eligible sources</x:v>
      </x:c>
      <x:c r="D8" s="26" t="n">
        <x:f>'05 Portfolio'!J10</x:f>
        <x:v>6</x:v>
      </x:c>
      <x:c r="E8" s="15" t="str">
        <x:v>Only six worlds retain two simultaneously eligible provenances</x:v>
      </x:c>
      <x:c r="F8" s="11" t="str">
        <x:v>DECLARED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</x:row>
    <x:row r="9" ht="48" customHeight="1">
      <x:c r="C9" s="11" t="str">
        <x:v>Unserved worlds</x:v>
      </x:c>
      <x:c r="D9" s="26" t="n">
        <x:f>12-D7</x:f>
        <x:v>2</x:v>
      </x:c>
      <x:c r="E9" s="15" t="str">
        <x:v>Residual-denied W7 and no-consumable W11 remain open</x:v>
      </x:c>
      <x:c r="F9" s="11" t="str">
        <x:v>OPEN</x:v>
      </x:c>
      <x:c r="G9" s="29"/>
      <x:c r="H9" s="29"/>
      <x:c r="I9" s="29"/>
      <x:c r="J9" s="29"/>
      <x:c r="K9" s="29"/>
      <x:c r="L9" s="29"/>
      <x:c r="M9" s="29"/>
      <x:c r="N9" s="29"/>
      <x:c r="O9" s="29"/>
      <x:c r="P9" s="29"/>
    </x:row>
    <x:row r="10" ht="48" customHeight="1">
      <x:c r="C10" s="11" t="str">
        <x:v>Highest single-family coverage</x:v>
      </x:c>
      <x:c r="D10" s="26" t="n">
        <x:f>MAX('02 Source Families'!AC6:AC9)</x:f>
        <x:v>9</x:v>
      </x:c>
      <x:c r="E10" s="15" t="str">
        <x:v>Sealed transfer reaches nine worlds by moving water rather than producing it locally</x:v>
      </x:c>
      <x:c r="F10" s="11" t="str">
        <x:v>DECLARED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</x:row>
    <x:row r="11" ht="48" customHeight="1">
      <x:c r="C11" s="11" t="str">
        <x:v>Mixed 24-chain program</x:v>
      </x:c>
      <x:c r="D11" s="27" t="n">
        <x:f>'06 Program'!J10</x:f>
        <x:v>208.75</x:v>
      </x:c>
      <x:c r="E11" s="15" t="str">
        <x:v>Illustrative mix; not optimized or an estimate</x:v>
      </x:c>
      <x:c r="F11" s="11" t="str">
        <x:v>DECLARED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</x:row>
    <x:row r="12" ht="48" customHeight="1">
      <x:c r="C12" s="11" t="str">
        <x:v>Strict admissions</x:v>
      </x:c>
      <x:c r="D12" s="26" t="n">
        <x:f>SUM('02 Source Families'!AD6:AD9)</x:f>
        <x:v>0</x:v>
      </x:c>
      <x:c r="E12" s="15" t="str">
        <x:v>All results remain denied pending representative trials</x:v>
      </x:c>
      <x:c r="F12" s="11" t="str">
        <x:v>DENIED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</x:row>
    <x:row r="13"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</x:row>
    <x:row r="14"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</x:row>
    <x:row r="15">
      <x:c r="C15" s="9" t="str">
        <x:v>Family</x:v>
      </x:c>
      <x:c r="D15" s="9" t="str">
        <x:v>Worlds</x:v>
      </x:c>
      <x:c r="E15" s="9" t="str">
        <x:v>Setup h</x:v>
      </x:c>
      <x:c r="F15" s="9" t="str">
        <x:v>Organic days</x:v>
      </x:c>
      <x:c r="G15" s="9" t="str">
        <x:v>Program $B</x:v>
      </x:c>
      <x:c r="H15" s="29"/>
      <x:c r="I15" s="29"/>
      <x:c r="J15" s="29"/>
      <x:c r="K15" s="29"/>
      <x:c r="L15" s="29"/>
      <x:c r="M15" s="29"/>
      <x:c r="N15" s="29"/>
      <x:c r="O15" s="29"/>
      <x:c r="P15" s="29"/>
    </x:row>
    <x:row r="16" ht="31" customHeight="1">
      <x:c r="C16" s="11" t="str">
        <x:f>'02 Source Families'!C6</x:f>
        <x:v>C1</x:v>
      </x:c>
      <x:c r="D16" s="26" t="n">
        <x:f>'02 Source Families'!AC6</x:f>
        <x:v>2</x:v>
      </x:c>
      <x:c r="E16" s="26" t="n">
        <x:f>'02 Source Families'!G6</x:f>
        <x:v>36</x:v>
      </x:c>
      <x:c r="F16" s="26" t="n">
        <x:f>'02 Source Families'!L6</x:f>
        <x:v>90</x:v>
      </x:c>
      <x:c r="G16" s="27" t="n">
        <x:f>'06 Program'!J6</x:f>
        <x:v>350.4</x:v>
      </x:c>
      <x:c r="H16" s="29"/>
      <x:c r="I16" s="29"/>
      <x:c r="J16" s="29"/>
      <x:c r="K16" s="29"/>
      <x:c r="L16" s="29"/>
      <x:c r="M16" s="29"/>
      <x:c r="N16" s="29"/>
      <x:c r="O16" s="29"/>
      <x:c r="P16" s="29"/>
    </x:row>
    <x:row r="17" ht="31" customHeight="1">
      <x:c r="C17" s="11" t="str">
        <x:f>'02 Source Families'!C7</x:f>
        <x:v>C2</x:v>
      </x:c>
      <x:c r="D17" s="26" t="n">
        <x:f>'02 Source Families'!AC7</x:f>
        <x:v>4</x:v>
      </x:c>
      <x:c r="E17" s="26" t="n">
        <x:f>'02 Source Families'!G7</x:f>
        <x:v>60</x:v>
      </x:c>
      <x:c r="F17" s="26" t="n">
        <x:f>'02 Source Families'!L7</x:f>
        <x:v>45</x:v>
      </x:c>
      <x:c r="G17" s="27" t="n">
        <x:f>'06 Program'!J7</x:f>
        <x:v>141</x:v>
      </x:c>
      <x:c r="H17" s="29"/>
      <x:c r="I17" s="29"/>
      <x:c r="J17" s="29"/>
      <x:c r="K17" s="29"/>
      <x:c r="L17" s="29"/>
      <x:c r="M17" s="29"/>
      <x:c r="N17" s="29"/>
      <x:c r="O17" s="29"/>
      <x:c r="P17" s="29"/>
    </x:row>
    <x:row r="18" ht="31" customHeight="1">
      <x:c r="C18" s="11" t="str">
        <x:f>'02 Source Families'!C8</x:f>
        <x:v>C3</x:v>
      </x:c>
      <x:c r="D18" s="26" t="n">
        <x:f>'02 Source Families'!AC8</x:f>
        <x:v>1</x:v>
      </x:c>
      <x:c r="E18" s="26" t="n">
        <x:f>'02 Source Families'!G8</x:f>
        <x:v>54</x:v>
      </x:c>
      <x:c r="F18" s="26" t="n">
        <x:f>'02 Source Families'!L8</x:f>
        <x:v>30</x:v>
      </x:c>
      <x:c r="G18" s="27" t="n">
        <x:f>'06 Program'!J8</x:f>
        <x:v>172.2</x:v>
      </x:c>
      <x:c r="H18" s="29"/>
      <x:c r="I18" s="29"/>
      <x:c r="J18" s="29"/>
      <x:c r="K18" s="29"/>
      <x:c r="L18" s="29"/>
      <x:c r="M18" s="29"/>
      <x:c r="N18" s="29"/>
      <x:c r="O18" s="29"/>
      <x:c r="P18" s="29"/>
    </x:row>
    <x:row r="19" ht="31" customHeight="1">
      <x:c r="C19" s="11" t="str">
        <x:f>'02 Source Families'!C9</x:f>
        <x:v>C4</x:v>
      </x:c>
      <x:c r="D19" s="26" t="n">
        <x:f>'02 Source Families'!AC9</x:f>
        <x:v>9</x:v>
      </x:c>
      <x:c r="E19" s="26" t="n">
        <x:f>'02 Source Families'!G9</x:f>
        <x:v>18</x:v>
      </x:c>
      <x:c r="F19" s="26" t="n">
        <x:f>'02 Source Families'!L9</x:f>
        <x:v>7</x:v>
      </x:c>
      <x:c r="G19" s="27" t="n">
        <x:f>'06 Program'!J9</x:f>
        <x:v>186.60000000000002</x:v>
      </x:c>
      <x:c r="H19" s="29"/>
      <x:c r="I19" s="29"/>
      <x:c r="J19" s="29"/>
      <x:c r="K19" s="29"/>
      <x:c r="L19" s="29"/>
      <x:c r="M19" s="29"/>
      <x:c r="N19" s="29"/>
      <x:c r="O19" s="29"/>
      <x:c r="P19" s="29"/>
    </x:row>
    <x:row r="20"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</x:row>
    <x:row r="21"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</x:row>
    <x:row r="22">
      <x:c r="C22" s="9" t="str">
        <x:v>Decision</x:v>
      </x:c>
      <x:c r="D22" s="9" t="str">
        <x:v>Current answer</x:v>
      </x:c>
      <x:c r="E22" s="9" t="str">
        <x:v>Next proof</x:v>
      </x:c>
      <x:c r="F22" s="9" t="str">
        <x:v>Rendering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</x:row>
    <x:row r="23" ht="76" customHeight="1">
      <x:c r="C23" s="15" t="str">
        <x:v>Advance four source families to representative competition; do not select a universal platform</x:v>
      </x:c>
      <x:c r="D23" s="15" t="str">
        <x:v>Coastal, groundwater, inland-treatment and sealed-transfer chains cover different failures</x:v>
      </x:c>
      <x:c r="E23" s="15" t="str">
        <x:v>Close W7 residual custody, W11 thirty-day consumables, and two-source independence</x:v>
      </x:c>
      <x:c r="F23" s="15" t="str">
        <x:v>BLOCKED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</x:row>
  </x:sheetData>
  <x:conditionalFormatting sqref="F6:F12">
    <x:cfRule type="containsText" dxfId="56" priority="1" operator="containsText" text="FAIL"/>
    <x:cfRule type="containsText" dxfId="57" priority="2" operator="containsText" text="DENIED"/>
    <x:cfRule type="containsText" dxfId="58" priority="3" operator="containsText" text="BLOCKED"/>
    <x:cfRule type="containsText" dxfId="59" priority="4" operator="containsText" text="OPEN"/>
    <x:cfRule type="containsText" dxfId="60" priority="5" operator="containsText" text="UNTESTED"/>
    <x:cfRule type="containsText" dxfId="61" priority="6" operator="containsText" text="DECLARED"/>
    <x:cfRule type="containsText" dxfId="62" priority="7" operator="containsText" text="PASS"/>
  </x:conditionalFormatting>
  <x:conditionalFormatting sqref="F23:F23">
    <x:cfRule type="containsText" dxfId="63" priority="8" operator="containsText" text="FAIL"/>
    <x:cfRule type="containsText" dxfId="64" priority="9" operator="containsText" text="DENIED"/>
    <x:cfRule type="containsText" dxfId="65" priority="10" operator="containsText" text="BLOCKED"/>
    <x:cfRule type="containsText" dxfId="66" priority="11" operator="containsText" text="OPEN"/>
    <x:cfRule type="containsText" dxfId="67" priority="12" operator="containsText" text="UNTESTED"/>
    <x:cfRule type="containsText" dxfId="68" priority="13" operator="containsText" text="DECLARED"/>
    <x:cfRule type="containsText" dxfId="69" priority="14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42" hidden="0" customWidth="1"/>
    <x:col min="4" max="4" width="18" hidden="0" customWidth="1"/>
    <x:col min="5" max="5" width="22" hidden="0" customWidth="1"/>
    <x:col min="6" max="6" width="58" hidden="0" customWidth="1"/>
    <x:col min="7" max="7" width="18" hidden="0" customWidth="1"/>
  </x:cols>
  <x:sheetData>
    <x:row r="2">
      <x:c r="C2" s="2" t="str">
        <x:v>Assurance-source mission controls</x:v>
      </x:c>
      <x:c r="D2" s="28"/>
      <x:c r="E2" s="28"/>
      <x:c r="F2" s="28"/>
      <x:c r="G2" s="28"/>
      <x:c r="H2" s="28"/>
    </x:row>
    <x:row r="3">
      <x:c r="C3" s="3" t="str">
        <x:v>Blue values are declared or inherited hypotheses. Every source must deliver 5,000 m³/day as a complete independent chain.</x:v>
      </x:c>
      <x:c r="D3" s="3"/>
      <x:c r="E3" s="3"/>
      <x:c r="F3" s="3"/>
      <x:c r="G3" s="3"/>
      <x:c r="H3" s="3"/>
    </x:row>
    <x:row r="4">
      <x:c r="C4" s="29"/>
      <x:c r="D4" s="29"/>
      <x:c r="E4" s="29"/>
      <x:c r="F4" s="29"/>
      <x:c r="G4" s="29"/>
      <x:c r="H4" s="29"/>
    </x:row>
    <x:row r="5">
      <x:c r="C5" s="9" t="str">
        <x:v>Control</x:v>
      </x:c>
      <x:c r="D5" s="9" t="str">
        <x:v>Value</x:v>
      </x:c>
      <x:c r="E5" s="9" t="str">
        <x:v>Unit</x:v>
      </x:c>
      <x:c r="F5" s="9" t="str">
        <x:v>Role</x:v>
      </x:c>
      <x:c r="G5" s="9" t="str">
        <x:v>State</x:v>
      </x:c>
      <x:c r="H5" s="29"/>
    </x:row>
    <x:row r="6" ht="32" customHeight="1">
      <x:c r="C6" s="11" t="str">
        <x:v>Assurance service requirement</x:v>
      </x:c>
      <x:c r="D6" s="14" t="n">
        <x:v>5000</x:v>
      </x:c>
      <x:c r="E6" s="15" t="str">
        <x:v>m³/day</x:v>
      </x:c>
      <x:c r="F6" s="15" t="str">
        <x:v>Half of the Pass 67 receiver demand</x:v>
      </x:c>
      <x:c r="G6" s="15" t="str">
        <x:v>INHERITED</x:v>
      </x:c>
      <x:c r="H6" s="29"/>
    </x:row>
    <x:row r="7" ht="32" customHeight="1">
      <x:c r="C7" s="11" t="str">
        <x:v>Entry-to-service target</x:v>
      </x:c>
      <x:c r="D7" s="14" t="n">
        <x:v>72</x:v>
      </x:c>
      <x:c r="E7" s="15" t="str">
        <x:v>hours</x:v>
      </x:c>
      <x:c r="F7" s="15" t="str">
        <x:v>Arrival through lawful product issue</x:v>
      </x:c>
      <x:c r="G7" s="15" t="str">
        <x:v>TARGET</x:v>
      </x:c>
      <x:c r="H7" s="29"/>
    </x:row>
    <x:row r="8" ht="32" customHeight="1">
      <x:c r="C8" s="11" t="str">
        <x:v>Reference campaign duration</x:v>
      </x:c>
      <x:c r="D8" s="14" t="n">
        <x:v>30</x:v>
      </x:c>
      <x:c r="E8" s="15" t="str">
        <x:v>days</x:v>
      </x:c>
      <x:c r="F8" s="15" t="str">
        <x:v>Sustained assurance-source comparison</x:v>
      </x:c>
      <x:c r="G8" s="15" t="str">
        <x:v>TARGET</x:v>
      </x:c>
      <x:c r="H8" s="29"/>
    </x:row>
    <x:row r="9" ht="32" customHeight="1">
      <x:c r="C9" s="11" t="str">
        <x:v>Surface position target</x:v>
      </x:c>
      <x:c r="D9" s="14" t="n">
        <x:v>40</x:v>
      </x:c>
      <x:c r="E9" s="15" t="str">
        <x:v>t/position</x:v>
      </x:c>
      <x:c r="F9" s="15" t="str">
        <x:v>Chargeable land-cargo comparator</x:v>
      </x:c>
      <x:c r="G9" s="15" t="str">
        <x:v>INHERITED</x:v>
      </x:c>
      <x:c r="H9" s="29"/>
    </x:row>
    <x:row r="10" ht="32" customHeight="1">
      <x:c r="C10" s="11" t="str">
        <x:v>Operational source chains</x:v>
      </x:c>
      <x:c r="D10" s="14" t="n">
        <x:v>24</x:v>
      </x:c>
      <x:c r="E10" s="15" t="str">
        <x:v>chains</x:v>
      </x:c>
      <x:c r="F10" s="15" t="str">
        <x:v>Alternative-program and mixed-force comparator</x:v>
      </x:c>
      <x:c r="G10" s="15" t="str">
        <x:v>DECLARED</x:v>
      </x:c>
      <x:c r="H10" s="29"/>
    </x:row>
    <x:row r="11" ht="32" customHeight="1">
      <x:c r="C11" s="11" t="str">
        <x:v>Prepared receiver nodes</x:v>
      </x:c>
      <x:c r="D11" s="14" t="n">
        <x:v>12</x:v>
      </x:c>
      <x:c r="E11" s="15" t="str">
        <x:v>nodes</x:v>
      </x:c>
      <x:c r="F11" s="15" t="str">
        <x:v>Program comparator</x:v>
      </x:c>
      <x:c r="G11" s="15" t="str">
        <x:v>INHERITED</x:v>
      </x:c>
      <x:c r="H11" s="29"/>
    </x:row>
    <x:row r="12" ht="32" customHeight="1">
      <x:c r="C12" s="11" t="str">
        <x:v>Program period</x:v>
      </x:c>
      <x:c r="D12" s="14" t="n">
        <x:v>25</x:v>
      </x:c>
      <x:c r="E12" s="15" t="str">
        <x:v>years</x:v>
      </x:c>
      <x:c r="F12" s="15" t="str">
        <x:v>Capital and operations comparison</x:v>
      </x:c>
      <x:c r="G12" s="15" t="str">
        <x:v>INHERITED</x:v>
      </x:c>
      <x:c r="H12" s="29"/>
    </x:row>
    <x:row r="13" ht="32" customHeight="1">
      <x:c r="C13" s="11" t="str">
        <x:v>Common RDT&amp;E</x:v>
      </x:c>
      <x:c r="D13" s="14" t="n">
        <x:v>18</x:v>
      </x:c>
      <x:c r="E13" s="15" t="str">
        <x:v>$B</x:v>
      </x:c>
      <x:c r="F13" s="15" t="str">
        <x:v>Four source families and enabling technology</x:v>
      </x:c>
      <x:c r="G13" s="15" t="str">
        <x:v>DECLARED</x:v>
      </x:c>
      <x:c r="H13" s="29"/>
    </x:row>
    <x:row r="14" ht="32" customHeight="1">
      <x:c r="C14" s="11" t="str">
        <x:v>Common proving enterprise</x:v>
      </x:c>
      <x:c r="D14" s="14" t="n">
        <x:v>12</x:v>
      </x:c>
      <x:c r="E14" s="15" t="str">
        <x:v>$B</x:v>
      </x:c>
      <x:c r="F14" s="15" t="str">
        <x:v>Feed, residual, endurance and mission corridors</x:v>
      </x:c>
      <x:c r="G14" s="15" t="str">
        <x:v>DECLARED</x:v>
      </x:c>
      <x:c r="H14" s="29"/>
    </x:row>
    <x:row r="15" ht="32" customHeight="1">
      <x:c r="C15" s="11" t="str">
        <x:v>Common training system</x:v>
      </x:c>
      <x:c r="D15" s="14" t="n">
        <x:v>8</x:v>
      </x:c>
      <x:c r="E15" s="15" t="str">
        <x:v>$B</x:v>
      </x:c>
      <x:c r="F15" s="15" t="str">
        <x:v>Schools, simulators and qualification</x:v>
      </x:c>
      <x:c r="G15" s="15" t="str">
        <x:v>DECLARED</x:v>
      </x:c>
      <x:c r="H15" s="29"/>
    </x:row>
    <x:row r="16" ht="32" customHeight="1">
      <x:c r="C16" s="11" t="str">
        <x:v>Common depots</x:v>
      </x:c>
      <x:c r="D16" s="14" t="n">
        <x:v>10</x:v>
      </x:c>
      <x:c r="E16" s="15" t="str">
        <x:v>$B</x:v>
      </x:c>
      <x:c r="F16" s="15" t="str">
        <x:v>Regeneration and configuration custody</x:v>
      </x:c>
      <x:c r="G16" s="15" t="str">
        <x:v>DECLARED</x:v>
      </x:c>
      <x:c r="H16" s="29"/>
    </x:row>
    <x:row r="17" ht="32" customHeight="1">
      <x:c r="C17" s="11" t="str">
        <x:v>Common industrialization</x:v>
      </x:c>
      <x:c r="D17" s="14" t="n">
        <x:v>12</x:v>
      </x:c>
      <x:c r="E17" s="15" t="str">
        <x:v>$B</x:v>
      </x:c>
      <x:c r="F17" s="15" t="str">
        <x:v>Lines, suppliers and cold-start capacity</x:v>
      </x:c>
      <x:c r="G17" s="15" t="str">
        <x:v>DECLARED</x:v>
      </x:c>
      <x:c r="H17" s="29"/>
    </x:row>
    <x:row r="18" ht="32" customHeight="1">
      <x:c r="C18" s="11" t="str">
        <x:v>Mixed-force coastal chains</x:v>
      </x:c>
      <x:c r="D18" s="14" t="n">
        <x:v>6</x:v>
      </x:c>
      <x:c r="E18" s="15" t="str">
        <x:v>chains</x:v>
      </x:c>
      <x:c r="F18" s="15" t="str">
        <x:v>Illustrative portfolio, not optimized</x:v>
      </x:c>
      <x:c r="G18" s="15" t="str">
        <x:v>DECLARED</x:v>
      </x:c>
      <x:c r="H18" s="29"/>
    </x:row>
    <x:row r="19" ht="32" customHeight="1">
      <x:c r="C19" s="11" t="str">
        <x:v>Mixed-force groundwater chains</x:v>
      </x:c>
      <x:c r="D19" s="14" t="n">
        <x:v>8</x:v>
      </x:c>
      <x:c r="E19" s="15" t="str">
        <x:v>chains</x:v>
      </x:c>
      <x:c r="F19" s="15" t="str">
        <x:v>Illustrative portfolio, not optimized</x:v>
      </x:c>
      <x:c r="G19" s="15" t="str">
        <x:v>DECLARED</x:v>
      </x:c>
      <x:c r="H19" s="29"/>
    </x:row>
    <x:row r="20" ht="32" customHeight="1">
      <x:c r="C20" s="11" t="str">
        <x:v>Mixed-force inland-treatment chains</x:v>
      </x:c>
      <x:c r="D20" s="14" t="n">
        <x:v>6</x:v>
      </x:c>
      <x:c r="E20" s="15" t="str">
        <x:v>chains</x:v>
      </x:c>
      <x:c r="F20" s="15" t="str">
        <x:v>Illustrative portfolio, not optimized</x:v>
      </x:c>
      <x:c r="G20" s="15" t="str">
        <x:v>DECLARED</x:v>
      </x:c>
      <x:c r="H20" s="29"/>
    </x:row>
    <x:row r="21" ht="32" customHeight="1">
      <x:c r="C21" s="11" t="str">
        <x:v>Mixed-force sealed-transfer chains</x:v>
      </x:c>
      <x:c r="D21" s="14" t="n">
        <x:v>4</x:v>
      </x:c>
      <x:c r="E21" s="15" t="str">
        <x:v>chains</x:v>
      </x:c>
      <x:c r="F21" s="15" t="str">
        <x:v>Illustrative portfolio, not optimized</x:v>
      </x:c>
      <x:c r="G21" s="15" t="str">
        <x:v>DECLARED</x:v>
      </x:c>
      <x:c r="H21" s="29"/>
    </x:row>
  </x:sheetData>
  <x:conditionalFormatting sqref="G6:G21">
    <x:cfRule type="containsText" dxfId="0" priority="1" operator="containsText" text="FAIL"/>
    <x:cfRule type="containsText" dxfId="1" priority="2" operator="containsText" text="DENIED"/>
    <x:cfRule type="containsText" dxfId="2" priority="3" operator="containsText" text="BLOCKED"/>
    <x:cfRule type="containsText" dxfId="3" priority="4" operator="containsText" text="OPEN"/>
    <x:cfRule type="containsText" dxfId="4" priority="5" operator="containsText" text="UNTESTED"/>
    <x:cfRule type="containsText" dxfId="5" priority="6" operator="containsText" text="DECLARED"/>
    <x:cfRule type="containsText" dxfId="6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763fc63e1adf4403"/>
  </x:tableParts>
</x:worksheet>
</file>

<file path=xl/worksheets/sheet3.xml><?xml version="1.0" encoding="utf-8"?>
<x:worksheet xmlns:x="http://schemas.openxmlformats.org/spreadsheetml/2006/main">
  <x:sheetPr>
    <x:tabColor rgb="FFCBD5DF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10" hidden="0" customWidth="1"/>
    <x:col min="4" max="4" width="40" hidden="0" customWidth="1"/>
    <x:col min="5" max="5" width="52" hidden="0" customWidth="1"/>
    <x:col min="6" max="6" width="19" hidden="0" customWidth="1"/>
    <x:col min="7" max="7" width="14" hidden="0" customWidth="1"/>
    <x:col min="8" max="8" width="20" hidden="0" customWidth="1"/>
    <x:col min="9" max="9" width="14" hidden="0" customWidth="1"/>
    <x:col min="10" max="10" width="19" hidden="0" customWidth="1"/>
    <x:col min="11" max="11" width="17" hidden="0" customWidth="1"/>
    <x:col min="12" max="12" width="18" hidden="0" customWidth="1"/>
    <x:col min="13" max="13" width="22" hidden="0" customWidth="1"/>
    <x:col min="14" max="14" width="24" hidden="0" customWidth="1"/>
    <x:col min="15" max="15" width="21" hidden="0" customWidth="1"/>
    <x:col min="16" max="16" width="18" hidden="0" customWidth="1"/>
    <x:col min="17" max="17" width="22" hidden="0" customWidth="1"/>
    <x:col min="18" max="18" width="24" hidden="0" customWidth="1"/>
    <x:col min="19" max="19" width="23" hidden="0" customWidth="1"/>
    <x:col min="20" max="20" width="21" hidden="0" customWidth="1"/>
    <x:col min="21" max="21" width="23" hidden="0" customWidth="1"/>
    <x:col min="22" max="22" width="17" hidden="0" customWidth="1"/>
    <x:col min="23" max="23" width="23" hidden="0" customWidth="1"/>
    <x:col min="24" max="24" width="22" hidden="0" customWidth="1"/>
    <x:col min="25" max="25" width="14" hidden="0" customWidth="1"/>
    <x:col min="26" max="26" width="22" hidden="0" customWidth="1"/>
    <x:col min="27" max="27" width="16" hidden="0" customWidth="1"/>
    <x:col min="28" max="28" width="23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2">
      <x:c r="C2" s="2" t="str">
        <x:v>Assurance-source families</x:v>
      </x:c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  <x:c r="AA2" s="28"/>
      <x:c r="AB2" s="28"/>
      <x:c r="AC2" s="28"/>
      <x:c r="AD2" s="28"/>
      <x:c r="AE2" s="28"/>
      <x:c r="AF2" s="28"/>
    </x:row>
    <x:row r="3">
      <x:c r="C3" s="3" t="str">
        <x:v>Four source logics compete against one half-demand mission. Geography and complete-chain independence govern eligibility.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</x:row>
    <x:row r="4"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  <x:c r="AA4" s="29"/>
      <x:c r="AB4" s="29"/>
      <x:c r="AC4" s="29"/>
      <x:c r="AD4" s="29"/>
      <x:c r="AE4" s="29"/>
      <x:c r="AF4" s="29"/>
    </x:row>
    <x:row r="5">
      <x:c r="C5" s="9" t="str">
        <x:v>ID</x:v>
      </x:c>
      <x:c r="D5" s="9" t="str">
        <x:v>Source family</x:v>
      </x:c>
      <x:c r="E5" s="9" t="str">
        <x:v>Deployment form</x:v>
      </x:c>
      <x:c r="F5" s="9" t="str">
        <x:v>Capacity m³/day</x:v>
      </x:c>
      <x:c r="G5" s="9" t="str">
        <x:v>Setup h</x:v>
      </x:c>
      <x:c r="H5" s="9" t="str">
        <x:v>Energy kWh/m³</x:v>
      </x:c>
      <x:c r="I5" s="9" t="str">
        <x:v>Hotel MW</x:v>
      </x:c>
      <x:c r="J5" s="9" t="str">
        <x:v>Critical power MW</x:v>
      </x:c>
      <x:c r="K5" s="9" t="str">
        <x:v>Self-power MW</x:v>
      </x:c>
      <x:c r="L5" s="9" t="str">
        <x:v>Endurance days</x:v>
      </x:c>
      <x:c r="M5" s="9" t="str">
        <x:v>Consumable autonomy days</x:v>
      </x:c>
      <x:c r="N5" s="9" t="str">
        <x:v>Residual m³/m³ product</x:v>
      </x:c>
      <x:c r="O5" s="9" t="str">
        <x:v>Residual buffer days</x:v>
      </x:c>
      <x:c r="P5" s="9" t="str">
        <x:v>Cold qualified</x:v>
      </x:c>
      <x:c r="Q5" s="9" t="str">
        <x:v>Marine access required</x:v>
      </x:c>
      <x:c r="R5" s="9" t="str">
        <x:v>Prepared wellfield required</x:v>
      </x:c>
      <x:c r="S5" s="9" t="str">
        <x:v>Inland raw water required</x:v>
      </x:c>
      <x:c r="T5" s="9" t="str">
        <x:v>Sealed inventory days</x:v>
      </x:c>
      <x:c r="U5" s="9" t="str">
        <x:v>Usable stored water m³</x:v>
      </x:c>
      <x:c r="V5" s="9" t="str">
        <x:v>Dry t</x:v>
      </x:c>
      <x:c r="W5" s="9" t="str">
        <x:v>Land chargeable t</x:v>
      </x:c>
      <x:c r="X5" s="9" t="str">
        <x:v>Platform displacement t</x:v>
      </x:c>
      <x:c r="Y5" s="9" t="str">
        <x:v>Crew</x:v>
      </x:c>
      <x:c r="Z5" s="9" t="str">
        <x:v>Equipment $B/chain</x:v>
      </x:c>
      <x:c r="AA5" s="9" t="str">
        <x:v>Node $B</x:v>
      </x:c>
      <x:c r="AB5" s="9" t="str">
        <x:v>Annual O&amp;S $B/chain</x:v>
      </x:c>
      <x:c r="AC5" s="9" t="str">
        <x:v>Eligible worlds</x:v>
      </x:c>
      <x:c r="AD5" s="9" t="str">
        <x:v>Strict admissions</x:v>
      </x:c>
      <x:c r="AE5" s="9" t="str">
        <x:v>Evidence</x:v>
      </x:c>
      <x:c r="AF5" s="9" t="str">
        <x:v>Rendering</x:v>
      </x:c>
    </x:row>
    <x:row r="6" ht="62" customHeight="1">
      <x:c r="C6" s="11" t="str">
        <x:v>C1</x:v>
      </x:c>
      <x:c r="D6" s="15" t="str">
        <x:v>Nuclear coastal assurance carrier</x:v>
      </x:c>
      <x:c r="E6" s="15" t="str">
        <x:v>Self-deploying offshore source and shore-export corridor</x:v>
      </x:c>
      <x:c r="F6" s="18" t="n">
        <x:v>5000</x:v>
      </x:c>
      <x:c r="G6" s="19" t="n">
        <x:v>36</x:v>
      </x:c>
      <x:c r="H6" s="20" t="n">
        <x:v>4.8</x:v>
      </x:c>
      <x:c r="I6" s="20" t="n">
        <x:v>0.8</x:v>
      </x:c>
      <x:c r="J6" s="20" t="n">
        <x:f>F6*H6/24/1000+I6</x:f>
        <x:v>1.8</x:v>
      </x:c>
      <x:c r="K6" s="20" t="n">
        <x:v>8</x:v>
      </x:c>
      <x:c r="L6" s="20" t="n">
        <x:v>90</x:v>
      </x:c>
      <x:c r="M6" s="20" t="n">
        <x:v>45</x:v>
      </x:c>
      <x:c r="N6" s="20" t="n">
        <x:v>1.2</x:v>
      </x:c>
      <x:c r="O6" s="20" t="n">
        <x:v>1</x:v>
      </x:c>
      <x:c r="P6" s="20" t="n">
        <x:v>1</x:v>
      </x:c>
      <x:c r="Q6" s="21" t="n">
        <x:v>1</x:v>
      </x:c>
      <x:c r="R6" s="21" t="n">
        <x:v>0</x:v>
      </x:c>
      <x:c r="S6" s="21" t="n">
        <x:v>0</x:v>
      </x:c>
      <x:c r="T6" s="21" t="n">
        <x:v>0</x:v>
      </x:c>
      <x:c r="U6" s="22" t="n">
        <x:f>F6*T6</x:f>
        <x:v>0</x:v>
      </x:c>
      <x:c r="V6" s="22" t="n">
        <x:f>SUMIFS('04 Configuration'!$F$6:$F$31,'04 Configuration'!$C$6:$C$31,C6)</x:f>
        <x:v>18500</x:v>
      </x:c>
      <x:c r="W6" s="22" t="n">
        <x:f>SUMIFS('04 Configuration'!$G$6:$G$31,'04 Configuration'!$C$6:$C$31,C6)</x:f>
        <x:v>800</x:v>
      </x:c>
      <x:c r="X6" s="14" t="n">
        <x:v>18000</x:v>
      </x:c>
      <x:c r="Y6" s="22" t="n">
        <x:f>SUMIFS('04 Configuration'!$H$6:$H$31,'04 Configuration'!$C$6:$C$31,C6)</x:f>
        <x:v>151</x:v>
      </x:c>
      <x:c r="Z6" s="17" t="n">
        <x:f>SUMIFS('04 Configuration'!$I$6:$I$31,'04 Configuration'!$C$6:$C$31,C6)</x:f>
        <x:v>6.199999999999999</x:v>
      </x:c>
      <x:c r="AA6" s="23" t="n">
        <x:v>0.8</x:v>
      </x:c>
      <x:c r="AB6" s="23" t="n">
        <x:v>0.22</x:v>
      </x:c>
      <x:c r="AC6" s="11" t="n">
        <x:f>COUNTIFS('03 Mission Worlds'!$C$20:$C$67,C6,'03 Mission Worlds'!$O$20:$O$67,"PASS")</x:f>
        <x:v>2</x:v>
      </x:c>
      <x:c r="AD6" s="11" t="n">
        <x:f>COUNTIFS('03 Mission Worlds'!$C$20:$C$67,C6,'03 Mission Worlds'!$P$20:$P$67,"ADMITTED")</x:f>
        <x:v>0</x:v>
      </x:c>
      <x:c r="AE6" s="11" t="str">
        <x:v>UNTESTED</x:v>
      </x:c>
      <x:c r="AF6" s="11" t="str">
        <x:v>BLOCKED</x:v>
      </x:c>
    </x:row>
    <x:row r="7" ht="62" customHeight="1">
      <x:c r="C7" s="11" t="str">
        <x:v>C2</x:v>
      </x:c>
      <x:c r="D7" s="15" t="str">
        <x:v>Protected groundwater assurance group</x:v>
      </x:c>
      <x:c r="E7" s="15" t="str">
        <x:v>Land-mobile well completion and treatment formation</x:v>
      </x:c>
      <x:c r="F7" s="18" t="n">
        <x:v>5000</x:v>
      </x:c>
      <x:c r="G7" s="19" t="n">
        <x:v>60</x:v>
      </x:c>
      <x:c r="H7" s="20" t="n">
        <x:v>1.2</x:v>
      </x:c>
      <x:c r="I7" s="20" t="n">
        <x:v>0.25</x:v>
      </x:c>
      <x:c r="J7" s="20" t="n">
        <x:f>F7*H7/24/1000+I7</x:f>
        <x:v>0.5</x:v>
      </x:c>
      <x:c r="K7" s="20" t="n">
        <x:v>1.2</x:v>
      </x:c>
      <x:c r="L7" s="20" t="n">
        <x:v>45</x:v>
      </x:c>
      <x:c r="M7" s="20" t="n">
        <x:v>21</x:v>
      </x:c>
      <x:c r="N7" s="20" t="n">
        <x:v>0.05</x:v>
      </x:c>
      <x:c r="O7" s="20" t="n">
        <x:v>7</x:v>
      </x:c>
      <x:c r="P7" s="20" t="n">
        <x:v>1</x:v>
      </x:c>
      <x:c r="Q7" s="21" t="n">
        <x:v>0</x:v>
      </x:c>
      <x:c r="R7" s="21" t="n">
        <x:v>1</x:v>
      </x:c>
      <x:c r="S7" s="21" t="n">
        <x:v>0</x:v>
      </x:c>
      <x:c r="T7" s="21" t="n">
        <x:v>0</x:v>
      </x:c>
      <x:c r="U7" s="22" t="n">
        <x:f>F7*T7</x:f>
        <x:v>0</x:v>
      </x:c>
      <x:c r="V7" s="22" t="n">
        <x:f>SUMIFS('04 Configuration'!$F$6:$F$31,'04 Configuration'!$C$6:$C$31,C7)</x:f>
        <x:v>920</x:v>
      </x:c>
      <x:c r="W7" s="22" t="n">
        <x:f>SUMIFS('04 Configuration'!$G$6:$G$31,'04 Configuration'!$C$6:$C$31,C7)</x:f>
        <x:v>1100</x:v>
      </x:c>
      <x:c r="X7" s="14" t="n">
        <x:v>0</x:v>
      </x:c>
      <x:c r="Y7" s="22" t="n">
        <x:f>SUMIFS('04 Configuration'!$H$6:$H$31,'04 Configuration'!$C$6:$C$31,C7)</x:f>
        <x:v>72</x:v>
      </x:c>
      <x:c r="Z7" s="17" t="n">
        <x:f>SUMIFS('04 Configuration'!$I$6:$I$31,'04 Configuration'!$C$6:$C$31,C7)</x:f>
        <x:v>0.95</x:v>
      </x:c>
      <x:c r="AA7" s="23" t="n">
        <x:v>0.85</x:v>
      </x:c>
      <x:c r="AB7" s="23" t="n">
        <x:v>0.08</x:v>
      </x:c>
      <x:c r="AC7" s="11" t="n">
        <x:f>COUNTIFS('03 Mission Worlds'!$C$20:$C$67,C7,'03 Mission Worlds'!$O$20:$O$67,"PASS")</x:f>
        <x:v>4</x:v>
      </x:c>
      <x:c r="AD7" s="11" t="n">
        <x:f>COUNTIFS('03 Mission Worlds'!$C$20:$C$67,C7,'03 Mission Worlds'!$P$20:$P$67,"ADMITTED")</x:f>
        <x:v>0</x:v>
      </x:c>
      <x:c r="AE7" s="11" t="str">
        <x:v>UNTESTED</x:v>
      </x:c>
      <x:c r="AF7" s="11" t="str">
        <x:v>BLOCKED</x:v>
      </x:c>
    </x:row>
    <x:row r="8" ht="62" customHeight="1">
      <x:c r="C8" s="11" t="str">
        <x:v>C3</x:v>
      </x:c>
      <x:c r="D8" s="15" t="str">
        <x:v>Variable-feed inland treatment group</x:v>
      </x:c>
      <x:c r="E8" s="15" t="str">
        <x:v>Land-mobile intake, treatment and residual formation</x:v>
      </x:c>
      <x:c r="F8" s="18" t="n">
        <x:v>5000</x:v>
      </x:c>
      <x:c r="G8" s="19" t="n">
        <x:v>54</x:v>
      </x:c>
      <x:c r="H8" s="20" t="n">
        <x:v>3</x:v>
      </x:c>
      <x:c r="I8" s="20" t="n">
        <x:v>0.35</x:v>
      </x:c>
      <x:c r="J8" s="20" t="n">
        <x:f>F8*H8/24/1000+I8</x:f>
        <x:v>0.975</x:v>
      </x:c>
      <x:c r="K8" s="20" t="n">
        <x:v>2</x:v>
      </x:c>
      <x:c r="L8" s="20" t="n">
        <x:v>30</x:v>
      </x:c>
      <x:c r="M8" s="20" t="n">
        <x:v>14</x:v>
      </x:c>
      <x:c r="N8" s="20" t="n">
        <x:v>0.25</x:v>
      </x:c>
      <x:c r="O8" s="20" t="n">
        <x:v>7</x:v>
      </x:c>
      <x:c r="P8" s="20" t="n">
        <x:v>0</x:v>
      </x:c>
      <x:c r="Q8" s="21" t="n">
        <x:v>0</x:v>
      </x:c>
      <x:c r="R8" s="21" t="n">
        <x:v>0</x:v>
      </x:c>
      <x:c r="S8" s="21" t="n">
        <x:v>1</x:v>
      </x:c>
      <x:c r="T8" s="21" t="n">
        <x:v>0</x:v>
      </x:c>
      <x:c r="U8" s="22" t="n">
        <x:f>F8*T8</x:f>
        <x:v>0</x:v>
      </x:c>
      <x:c r="V8" s="22" t="n">
        <x:f>SUMIFS('04 Configuration'!$F$6:$F$31,'04 Configuration'!$C$6:$C$31,C8)</x:f>
        <x:v>1750</x:v>
      </x:c>
      <x:c r="W8" s="22" t="n">
        <x:f>SUMIFS('04 Configuration'!$G$6:$G$31,'04 Configuration'!$C$6:$C$31,C8)</x:f>
        <x:v>2050</x:v>
      </x:c>
      <x:c r="X8" s="14" t="n">
        <x:v>0</x:v>
      </x:c>
      <x:c r="Y8" s="22" t="n">
        <x:f>SUMIFS('04 Configuration'!$H$6:$H$31,'04 Configuration'!$C$6:$C$31,C8)</x:f>
        <x:v>90</x:v>
      </x:c>
      <x:c r="Z8" s="17" t="n">
        <x:f>SUMIFS('04 Configuration'!$I$6:$I$31,'04 Configuration'!$C$6:$C$31,C8)</x:f>
        <x:v>1.5499999999999998</x:v>
      </x:c>
      <x:c r="AA8" s="23" t="n">
        <x:v>0.75</x:v>
      </x:c>
      <x:c r="AB8" s="23" t="n">
        <x:v>0.11</x:v>
      </x:c>
      <x:c r="AC8" s="11" t="n">
        <x:f>COUNTIFS('03 Mission Worlds'!$C$20:$C$67,C8,'03 Mission Worlds'!$O$20:$O$67,"PASS")</x:f>
        <x:v>1</x:v>
      </x:c>
      <x:c r="AD8" s="11" t="n">
        <x:f>COUNTIFS('03 Mission Worlds'!$C$20:$C$67,C8,'03 Mission Worlds'!$P$20:$P$67,"ADMITTED")</x:f>
        <x:v>0</x:v>
      </x:c>
      <x:c r="AE8" s="11" t="str">
        <x:v>UNTESTED</x:v>
      </x:c>
      <x:c r="AF8" s="11" t="str">
        <x:v>BLOCKED</x:v>
      </x:c>
    </x:row>
    <x:row r="9" ht="62" customHeight="1">
      <x:c r="C9" s="11" t="str">
        <x:v>C4</x:v>
      </x:c>
      <x:c r="D9" s="15" t="str">
        <x:v>Sealed-reference transfer lattice</x:v>
      </x:c>
      <x:c r="E9" s="15" t="str">
        <x:v>Sealed cells moved by road, rail, barge and air</x:v>
      </x:c>
      <x:c r="F9" s="18" t="n">
        <x:v>5000</x:v>
      </x:c>
      <x:c r="G9" s="19" t="n">
        <x:v>18</x:v>
      </x:c>
      <x:c r="H9" s="20" t="n">
        <x:v>0.3</x:v>
      </x:c>
      <x:c r="I9" s="20" t="n">
        <x:v>0.2</x:v>
      </x:c>
      <x:c r="J9" s="20" t="n">
        <x:f>F9*H9/24/1000+I9</x:f>
        <x:v>0.2625</x:v>
      </x:c>
      <x:c r="K9" s="20" t="n">
        <x:v>0.8</x:v>
      </x:c>
      <x:c r="L9" s="20" t="n">
        <x:v>7</x:v>
      </x:c>
      <x:c r="M9" s="20" t="n">
        <x:v>30</x:v>
      </x:c>
      <x:c r="N9" s="20" t="n">
        <x:v>0</x:v>
      </x:c>
      <x:c r="O9" s="20" t="n">
        <x:v>0</x:v>
      </x:c>
      <x:c r="P9" s="20" t="n">
        <x:v>1</x:v>
      </x:c>
      <x:c r="Q9" s="21" t="n">
        <x:v>0</x:v>
      </x:c>
      <x:c r="R9" s="21" t="n">
        <x:v>0</x:v>
      </x:c>
      <x:c r="S9" s="21" t="n">
        <x:v>0</x:v>
      </x:c>
      <x:c r="T9" s="21" t="n">
        <x:v>7</x:v>
      </x:c>
      <x:c r="U9" s="22" t="n">
        <x:f>F9*T9</x:f>
        <x:v>35000</x:v>
      </x:c>
      <x:c r="V9" s="22" t="n">
        <x:f>SUMIFS('04 Configuration'!$F$6:$F$31,'04 Configuration'!$C$6:$C$31,C9)</x:f>
        <x:v>2200</x:v>
      </x:c>
      <x:c r="W9" s="22" t="n">
        <x:f>SUMIFS('04 Configuration'!$G$6:$G$31,'04 Configuration'!$C$6:$C$31,C9)</x:f>
        <x:v>2500</x:v>
      </x:c>
      <x:c r="X9" s="14" t="n">
        <x:v>0</x:v>
      </x:c>
      <x:c r="Y9" s="22" t="n">
        <x:f>SUMIFS('04 Configuration'!$H$6:$H$31,'04 Configuration'!$C$6:$C$31,C9)</x:f>
        <x:v>102</x:v>
      </x:c>
      <x:c r="Z9" s="17" t="n">
        <x:f>SUMIFS('04 Configuration'!$I$6:$I$31,'04 Configuration'!$C$6:$C$31,C9)</x:f>
        <x:v>1.0999999999999999</x:v>
      </x:c>
      <x:c r="AA9" s="23" t="n">
        <x:v>1.35</x:v>
      </x:c>
      <x:c r="AB9" s="23" t="n">
        <x:v>0.14</x:v>
      </x:c>
      <x:c r="AC9" s="11" t="n">
        <x:f>COUNTIFS('03 Mission Worlds'!$C$20:$C$67,C9,'03 Mission Worlds'!$O$20:$O$67,"PASS")</x:f>
        <x:v>9</x:v>
      </x:c>
      <x:c r="AD9" s="11" t="n">
        <x:f>COUNTIFS('03 Mission Worlds'!$C$20:$C$67,C9,'03 Mission Worlds'!$P$20:$P$67,"ADMITTED")</x:f>
        <x:v>0</x:v>
      </x:c>
      <x:c r="AE9" s="11" t="str">
        <x:v>UNTESTED</x:v>
      </x:c>
      <x:c r="AF9" s="11" t="str">
        <x:v>BLOCKED</x:v>
      </x:c>
    </x:row>
  </x:sheetData>
  <x:conditionalFormatting sqref="AE6:AF9">
    <x:cfRule type="containsText" dxfId="14" priority="1" operator="containsText" text="FAIL"/>
    <x:cfRule type="containsText" dxfId="15" priority="2" operator="containsText" text="DENIED"/>
    <x:cfRule type="containsText" dxfId="16" priority="3" operator="containsText" text="BLOCKED"/>
    <x:cfRule type="containsText" dxfId="17" priority="4" operator="containsText" text="OPEN"/>
    <x:cfRule type="containsText" dxfId="18" priority="5" operator="containsText" text="UNTESTED"/>
    <x:cfRule type="containsText" dxfId="19" priority="6" operator="containsText" text="DECLARED"/>
    <x:cfRule type="containsText" dxfId="20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a40121621ef84141"/>
  </x:tableParts>
</x:worksheet>
</file>

<file path=xl/worksheets/sheet4.xml><?xml version="1.0" encoding="utf-8"?>
<x:worksheet xmlns:x="http://schemas.openxmlformats.org/spreadsheetml/2006/main">
  <x:sheetPr>
    <x:tabColor rgb="FFCBD5DF"/>
  </x:sheetPr>
  <x:sheetViews>
    <x:sheetView showGridLines="0" workbookViewId="0">
      <x:pane xSplit="4" ySplit="19" topLeftCell="E20" activePane="bottomRight" state="frozen"/>
    </x:sheetView>
  </x:sheetViews>
  <x:sheetFormatPr defaultRowHeight="15"/>
  <x:cols>
    <x:col min="3" max="3" width="11" hidden="0" customWidth="1"/>
    <x:col min="4" max="4" width="55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19" hidden="0" customWidth="1"/>
    <x:col min="12" max="12" width="16" hidden="0" customWidth="1"/>
    <x:col min="13" max="13" width="15" hidden="0" customWidth="1"/>
    <x:col min="14" max="14" width="18" hidden="0" customWidth="1"/>
    <x:col min="15" max="15" width="16" hidden="0" customWidth="1"/>
    <x:col min="16" max="16" width="20" hidden="0" customWidth="1"/>
    <x:col min="17" max="17" width="22" hidden="0" customWidth="1"/>
    <x:col min="18" max="18" width="18" hidden="0" customWidth="1"/>
    <x:col min="19" max="19" width="22" hidden="0" customWidth="1"/>
    <x:col min="20" max="20" width="48" hidden="0" customWidth="1"/>
  </x:cols>
  <x:sheetData>
    <x:row r="2">
      <x:c r="C2" s="2" t="str">
        <x:v>Assurance-source mission worlds</x:v>
      </x:c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</x:row>
    <x:row r="3">
      <x:c r="C3" s="3" t="str">
        <x:v>Twelve deterministic theaters separate source validity, access, residuals, grid, resupply, weather and duration. No probabilities are assigned.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</x:row>
    <x:row r="5">
      <x:c r="C5" s="9" t="str">
        <x:v>World</x:v>
      </x:c>
      <x:c r="D5" s="9" t="str">
        <x:v>Condition</x:v>
      </x:c>
      <x:c r="E5" s="9" t="str">
        <x:v>Horizon days</x:v>
      </x:c>
      <x:c r="F5" s="9" t="str">
        <x:v>Grid</x:v>
      </x:c>
      <x:c r="G5" s="9" t="str">
        <x:v>External resupply</x:v>
      </x:c>
      <x:c r="H5" s="9" t="str">
        <x:v>Residual outlet</x:v>
      </x:c>
      <x:c r="I5" s="9" t="str">
        <x:v>Cold</x:v>
      </x:c>
      <x:c r="J5" s="9" t="str">
        <x:v>C1 source valid</x:v>
      </x:c>
      <x:c r="K5" s="9" t="str">
        <x:v>C1 access</x:v>
      </x:c>
      <x:c r="L5" s="9" t="str">
        <x:v>C2 source valid</x:v>
      </x:c>
      <x:c r="M5" s="9" t="str">
        <x:v>C2 access</x:v>
      </x:c>
      <x:c r="N5" s="9" t="str">
        <x:v>C3 source valid</x:v>
      </x:c>
      <x:c r="O5" s="9" t="str">
        <x:v>C3 access</x:v>
      </x:c>
      <x:c r="P5" s="9" t="str">
        <x:v>C4 batch valid</x:v>
      </x:c>
      <x:c r="Q5" s="9" t="str">
        <x:v>C4 transfer access</x:v>
      </x:c>
      <x:c r="R5" s="9" t="str">
        <x:v>Required behavior</x:v>
      </x:c>
      <x:c r="S5" s="9" t="str">
        <x:v>Service target</x:v>
      </x:c>
      <x:c r="T5" s="9" t="str">
        <x:v>State</x:v>
      </x:c>
    </x:row>
    <x:row r="6" ht="50" customHeight="1">
      <x:c r="C6" s="11" t="str">
        <x:v>W1</x:v>
      </x:c>
      <x:c r="D6" s="15" t="str">
        <x:v>Coastal metro; port damaged; offshore landing corridor open</x:v>
      </x:c>
      <x:c r="E6" s="25" t="n">
        <x:v>30</x:v>
      </x:c>
      <x:c r="F6" s="25" t="n">
        <x:v>0</x:v>
      </x:c>
      <x:c r="G6" s="25" t="n">
        <x:v>1</x:v>
      </x:c>
      <x:c r="H6" s="25" t="n">
        <x:v>1</x:v>
      </x:c>
      <x:c r="I6" s="25" t="n">
        <x:v>0</x:v>
      </x:c>
      <x:c r="J6" s="25" t="n">
        <x:v>1</x:v>
      </x:c>
      <x:c r="K6" s="25" t="n">
        <x:v>1</x:v>
      </x:c>
      <x:c r="L6" s="25" t="n">
        <x:v>0</x:v>
      </x:c>
      <x:c r="M6" s="25" t="n">
        <x:v>0</x:v>
      </x:c>
      <x:c r="N6" s="25" t="n">
        <x:v>1</x:v>
      </x:c>
      <x:c r="O6" s="25" t="n">
        <x:v>0</x:v>
      </x:c>
      <x:c r="P6" s="25" t="n">
        <x:v>1</x:v>
      </x:c>
      <x:c r="Q6" s="25" t="n">
        <x:v>1</x:v>
      </x:c>
      <x:c r="R6" s="15" t="str">
        <x:v>Produce offshore or sustain sealed transfer</x:v>
      </x:c>
      <x:c r="S6" s="15" t="str">
        <x:v>5,000 m³/day by H72</x:v>
      </x:c>
      <x:c r="T6" s="15" t="str">
        <x:v>DECLARED</x:v>
      </x:c>
    </x:row>
    <x:row r="7" ht="50" customHeight="1">
      <x:c r="C7" s="11" t="str">
        <x:v>W2</x:v>
      </x:c>
      <x:c r="D7" s="15" t="str">
        <x:v>Coastal marine feed outside envelope; prepared inland wellfield</x:v>
      </x:c>
      <x:c r="E7" s="25" t="n">
        <x:v>30</x:v>
      </x:c>
      <x:c r="F7" s="25" t="n">
        <x:v>0</x:v>
      </x:c>
      <x:c r="G7" s="25" t="n">
        <x:v>1</x:v>
      </x:c>
      <x:c r="H7" s="25" t="n">
        <x:v>1</x:v>
      </x:c>
      <x:c r="I7" s="25" t="n">
        <x:v>0</x:v>
      </x:c>
      <x:c r="J7" s="25" t="n">
        <x:v>0</x:v>
      </x:c>
      <x:c r="K7" s="25" t="n">
        <x:v>1</x:v>
      </x:c>
      <x:c r="L7" s="25" t="n">
        <x:v>1</x:v>
      </x:c>
      <x:c r="M7" s="25" t="n">
        <x:v>1</x:v>
      </x:c>
      <x:c r="N7" s="25" t="n">
        <x:v>0</x:v>
      </x:c>
      <x:c r="O7" s="25" t="n">
        <x:v>0</x:v>
      </x:c>
      <x:c r="P7" s="25" t="n">
        <x:v>1</x:v>
      </x:c>
      <x:c r="Q7" s="25" t="n">
        <x:v>1</x:v>
      </x:c>
      <x:c r="R7" s="15" t="str">
        <x:v>Reject marine source and shift provenance</x:v>
      </x:c>
      <x:c r="S7" s="15" t="str">
        <x:v>5,000 m³/day by H72</x:v>
      </x:c>
      <x:c r="T7" s="15" t="str">
        <x:v>DECLARED</x:v>
      </x:c>
    </x:row>
    <x:row r="8" ht="50" customHeight="1">
      <x:c r="C8" s="11" t="str">
        <x:v>W3</x:v>
      </x:c>
      <x:c r="D8" s="15" t="str">
        <x:v>Coastal district isolated; shore landing denied; air corridor open</x:v>
      </x:c>
      <x:c r="E8" s="25" t="n">
        <x:v>7</x:v>
      </x:c>
      <x:c r="F8" s="25" t="n">
        <x:v>0</x:v>
      </x:c>
      <x:c r="G8" s="25" t="n">
        <x:v>0</x:v>
      </x:c>
      <x:c r="H8" s="25" t="n">
        <x:v>1</x:v>
      </x:c>
      <x:c r="I8" s="25" t="n">
        <x:v>0</x:v>
      </x:c>
      <x:c r="J8" s="25" t="n">
        <x:v>1</x:v>
      </x:c>
      <x:c r="K8" s="25" t="n">
        <x:v>0</x:v>
      </x:c>
      <x:c r="L8" s="25" t="n">
        <x:v>0</x:v>
      </x:c>
      <x:c r="M8" s="25" t="n">
        <x:v>0</x:v>
      </x:c>
      <x:c r="N8" s="25" t="n">
        <x:v>0</x:v>
      </x:c>
      <x:c r="O8" s="25" t="n">
        <x:v>0</x:v>
      </x:c>
      <x:c r="P8" s="25" t="n">
        <x:v>1</x:v>
      </x:c>
      <x:c r="Q8" s="25" t="n">
        <x:v>1</x:v>
      </x:c>
      <x:c r="R8" s="15" t="str">
        <x:v>Bridge with sealed inventory</x:v>
      </x:c>
      <x:c r="S8" s="15" t="str">
        <x:v>5,000 m³/day by H72</x:v>
      </x:c>
      <x:c r="T8" s="15" t="str">
        <x:v>DECLARED</x:v>
      </x:c>
    </x:row>
    <x:row r="9" ht="50" customHeight="1">
      <x:c r="C9" s="11" t="str">
        <x:v>W4</x:v>
      </x:c>
      <x:c r="D9" s="15" t="str">
        <x:v>Inland drought; prepared brackish wellfield</x:v>
      </x:c>
      <x:c r="E9" s="25" t="n">
        <x:v>30</x:v>
      </x:c>
      <x:c r="F9" s="25" t="n">
        <x:v>0</x:v>
      </x:c>
      <x:c r="G9" s="25" t="n">
        <x:v>1</x:v>
      </x:c>
      <x:c r="H9" s="25" t="n">
        <x:v>1</x:v>
      </x:c>
      <x:c r="I9" s="25" t="n">
        <x:v>0</x:v>
      </x:c>
      <x:c r="J9" s="25" t="n">
        <x:v>0</x:v>
      </x:c>
      <x:c r="K9" s="25" t="n">
        <x:v>0</x:v>
      </x:c>
      <x:c r="L9" s="25" t="n">
        <x:v>1</x:v>
      </x:c>
      <x:c r="M9" s="25" t="n">
        <x:v>1</x:v>
      </x:c>
      <x:c r="N9" s="25" t="n">
        <x:v>0</x:v>
      </x:c>
      <x:c r="O9" s="25" t="n">
        <x:v>0</x:v>
      </x:c>
      <x:c r="P9" s="25" t="n">
        <x:v>1</x:v>
      </x:c>
      <x:c r="Q9" s="25" t="n">
        <x:v>1</x:v>
      </x:c>
      <x:c r="R9" s="15" t="str">
        <x:v>Operate aquifer chain without civil grid</x:v>
      </x:c>
      <x:c r="S9" s="15" t="str">
        <x:v>5,000 m³/day by H72</x:v>
      </x:c>
      <x:c r="T9" s="15" t="str">
        <x:v>DECLARED</x:v>
      </x:c>
    </x:row>
    <x:row r="10" ht="50" customHeight="1">
      <x:c r="C10" s="11" t="str">
        <x:v>W5</x:v>
      </x:c>
      <x:c r="D10" s="15" t="str">
        <x:v>Inland flood; surface water held; protected aquifer remains valid</x:v>
      </x:c>
      <x:c r="E10" s="25" t="n">
        <x:v>30</x:v>
      </x:c>
      <x:c r="F10" s="25" t="n">
        <x:v>0</x:v>
      </x:c>
      <x:c r="G10" s="25" t="n">
        <x:v>1</x:v>
      </x:c>
      <x:c r="H10" s="25" t="n">
        <x:v>1</x:v>
      </x:c>
      <x:c r="I10" s="25" t="n">
        <x:v>0</x:v>
      </x:c>
      <x:c r="J10" s="25" t="n">
        <x:v>0</x:v>
      </x:c>
      <x:c r="K10" s="25" t="n">
        <x:v>0</x:v>
      </x:c>
      <x:c r="L10" s="25" t="n">
        <x:v>1</x:v>
      </x:c>
      <x:c r="M10" s="25" t="n">
        <x:v>1</x:v>
      </x:c>
      <x:c r="N10" s="25" t="n">
        <x:v>0</x:v>
      </x:c>
      <x:c r="O10" s="25" t="n">
        <x:v>0</x:v>
      </x:c>
      <x:c r="P10" s="25" t="n">
        <x:v>1</x:v>
      </x:c>
      <x:c r="Q10" s="25" t="n">
        <x:v>1</x:v>
      </x:c>
      <x:c r="R10" s="15" t="str">
        <x:v>Preserve service outside flood-water provenance</x:v>
      </x:c>
      <x:c r="S10" s="15" t="str">
        <x:v>5,000 m³/day by H72</x:v>
      </x:c>
      <x:c r="T10" s="15" t="str">
        <x:v>DECLARED</x:v>
      </x:c>
    </x:row>
    <x:row r="11" ht="50" customHeight="1">
      <x:c r="C11" s="11" t="str">
        <x:v>W6</x:v>
      </x:c>
      <x:c r="D11" s="15" t="str">
        <x:v>Inland flood; no prepared wells; surface feed inside envelope</x:v>
      </x:c>
      <x:c r="E11" s="25" t="n">
        <x:v>30</x:v>
      </x:c>
      <x:c r="F11" s="25" t="n">
        <x:v>0</x:v>
      </x:c>
      <x:c r="G11" s="25" t="n">
        <x:v>1</x:v>
      </x:c>
      <x:c r="H11" s="25" t="n">
        <x:v>1</x:v>
      </x:c>
      <x:c r="I11" s="25" t="n">
        <x:v>0</x:v>
      </x:c>
      <x:c r="J11" s="25" t="n">
        <x:v>0</x:v>
      </x:c>
      <x:c r="K11" s="25" t="n">
        <x:v>0</x:v>
      </x:c>
      <x:c r="L11" s="25" t="n">
        <x:v>0</x:v>
      </x:c>
      <x:c r="M11" s="25" t="n">
        <x:v>0</x:v>
      </x:c>
      <x:c r="N11" s="25" t="n">
        <x:v>1</x:v>
      </x:c>
      <x:c r="O11" s="25" t="n">
        <x:v>1</x:v>
      </x:c>
      <x:c r="P11" s="25" t="n">
        <x:v>1</x:v>
      </x:c>
      <x:c r="Q11" s="25" t="n">
        <x:v>1</x:v>
      </x:c>
      <x:c r="R11" s="15" t="str">
        <x:v>Treat variable feed or sustain sealed transfer</x:v>
      </x:c>
      <x:c r="S11" s="15" t="str">
        <x:v>5,000 m³/day by H72</x:v>
      </x:c>
      <x:c r="T11" s="15" t="str">
        <x:v>DECLARED</x:v>
      </x:c>
    </x:row>
    <x:row r="12" ht="50" customHeight="1">
      <x:c r="C12" s="11" t="str">
        <x:v>W7</x:v>
      </x:c>
      <x:c r="D12" s="15" t="str">
        <x:v>Inland earthquake; river valid; residual outlet and transfer route denied</x:v>
      </x:c>
      <x:c r="E12" s="25" t="n">
        <x:v>14</x:v>
      </x:c>
      <x:c r="F12" s="25" t="n">
        <x:v>0</x:v>
      </x:c>
      <x:c r="G12" s="25" t="n">
        <x:v>1</x:v>
      </x:c>
      <x:c r="H12" s="25" t="n">
        <x:v>0</x:v>
      </x:c>
      <x:c r="I12" s="25" t="n">
        <x:v>0</x:v>
      </x:c>
      <x:c r="J12" s="25" t="n">
        <x:v>0</x:v>
      </x:c>
      <x:c r="K12" s="25" t="n">
        <x:v>0</x:v>
      </x:c>
      <x:c r="L12" s="25" t="n">
        <x:v>0</x:v>
      </x:c>
      <x:c r="M12" s="25" t="n">
        <x:v>0</x:v>
      </x:c>
      <x:c r="N12" s="25" t="n">
        <x:v>1</x:v>
      </x:c>
      <x:c r="O12" s="25" t="n">
        <x:v>1</x:v>
      </x:c>
      <x:c r="P12" s="25" t="n">
        <x:v>1</x:v>
      </x:c>
      <x:c r="Q12" s="25" t="n">
        <x:v>0</x:v>
      </x:c>
      <x:c r="R12" s="15" t="str">
        <x:v>Retain residuals for full mission</x:v>
      </x:c>
      <x:c r="S12" s="15" t="str">
        <x:v>5,000 m³/day by H72</x:v>
      </x:c>
      <x:c r="T12" s="15" t="str">
        <x:v>DECLARED</x:v>
      </x:c>
    </x:row>
    <x:row r="13" ht="50" customHeight="1">
      <x:c r="C13" s="11" t="str">
        <x:v>W8</x:v>
      </x:c>
      <x:c r="D13" s="15" t="str">
        <x:v>River industrial spill outside treatment envelope; local sources held</x:v>
      </x:c>
      <x:c r="E13" s="25" t="n">
        <x:v>7</x:v>
      </x:c>
      <x:c r="F13" s="25" t="n">
        <x:v>0</x:v>
      </x:c>
      <x:c r="G13" s="25" t="n">
        <x:v>0</x:v>
      </x:c>
      <x:c r="H13" s="25" t="n">
        <x:v>0</x:v>
      </x:c>
      <x:c r="I13" s="25" t="n">
        <x:v>0</x:v>
      </x:c>
      <x:c r="J13" s="25" t="n">
        <x:v>0</x:v>
      </x:c>
      <x:c r="K13" s="25" t="n">
        <x:v>0</x:v>
      </x:c>
      <x:c r="L13" s="25" t="n">
        <x:v>0</x:v>
      </x:c>
      <x:c r="M13" s="25" t="n">
        <x:v>0</x:v>
      </x:c>
      <x:c r="N13" s="25" t="n">
        <x:v>0</x:v>
      </x:c>
      <x:c r="O13" s="25" t="n">
        <x:v>1</x:v>
      </x:c>
      <x:c r="P13" s="25" t="n">
        <x:v>1</x:v>
      </x:c>
      <x:c r="Q13" s="25" t="n">
        <x:v>1</x:v>
      </x:c>
      <x:c r="R13" s="15" t="str">
        <x:v>Use sealed reference without local processing</x:v>
      </x:c>
      <x:c r="S13" s="15" t="str">
        <x:v>5,000 m³/day by H72</x:v>
      </x:c>
      <x:c r="T13" s="15" t="str">
        <x:v>DECLARED</x:v>
      </x:c>
    </x:row>
    <x:row r="14" ht="50" customHeight="1">
      <x:c r="C14" s="11" t="str">
        <x:v>W9</x:v>
      </x:c>
      <x:c r="D14" s="15" t="str">
        <x:v>Winter inland outage; prepared wellfield and surface source</x:v>
      </x:c>
      <x:c r="E14" s="25" t="n">
        <x:v>30</x:v>
      </x:c>
      <x:c r="F14" s="25" t="n">
        <x:v>0</x:v>
      </x:c>
      <x:c r="G14" s="25" t="n">
        <x:v>1</x:v>
      </x:c>
      <x:c r="H14" s="25" t="n">
        <x:v>1</x:v>
      </x:c>
      <x:c r="I14" s="25" t="n">
        <x:v>1</x:v>
      </x:c>
      <x:c r="J14" s="25" t="n">
        <x:v>0</x:v>
      </x:c>
      <x:c r="K14" s="25" t="n">
        <x:v>0</x:v>
      </x:c>
      <x:c r="L14" s="25" t="n">
        <x:v>1</x:v>
      </x:c>
      <x:c r="M14" s="25" t="n">
        <x:v>1</x:v>
      </x:c>
      <x:c r="N14" s="25" t="n">
        <x:v>1</x:v>
      </x:c>
      <x:c r="O14" s="25" t="n">
        <x:v>1</x:v>
      </x:c>
      <x:c r="P14" s="25" t="n">
        <x:v>1</x:v>
      </x:c>
      <x:c r="Q14" s="25" t="n">
        <x:v>1</x:v>
      </x:c>
      <x:c r="R14" s="15" t="str">
        <x:v>Operate through freezing conditions</x:v>
      </x:c>
      <x:c r="S14" s="15" t="str">
        <x:v>5,000 m³/day by H72</x:v>
      </x:c>
      <x:c r="T14" s="15" t="str">
        <x:v>DECLARED</x:v>
      </x:c>
    </x:row>
    <x:row r="15" ht="50" customHeight="1">
      <x:c r="C15" s="11" t="str">
        <x:v>W10</x:v>
      </x:c>
      <x:c r="D15" s="15" t="str">
        <x:v>Fourteen-day coastal isolation; no grid or external resupply</x:v>
      </x:c>
      <x:c r="E15" s="25" t="n">
        <x:v>14</x:v>
      </x:c>
      <x:c r="F15" s="25" t="n">
        <x:v>0</x:v>
      </x:c>
      <x:c r="G15" s="25" t="n">
        <x:v>0</x:v>
      </x:c>
      <x:c r="H15" s="25" t="n">
        <x:v>1</x:v>
      </x:c>
      <x:c r="I15" s="25" t="n">
        <x:v>0</x:v>
      </x:c>
      <x:c r="J15" s="25" t="n">
        <x:v>1</x:v>
      </x:c>
      <x:c r="K15" s="25" t="n">
        <x:v>1</x:v>
      </x:c>
      <x:c r="L15" s="25" t="n">
        <x:v>0</x:v>
      </x:c>
      <x:c r="M15" s="25" t="n">
        <x:v>0</x:v>
      </x:c>
      <x:c r="N15" s="25" t="n">
        <x:v>0</x:v>
      </x:c>
      <x:c r="O15" s="25" t="n">
        <x:v>0</x:v>
      </x:c>
      <x:c r="P15" s="25" t="n">
        <x:v>1</x:v>
      </x:c>
      <x:c r="Q15" s="25" t="n">
        <x:v>1</x:v>
      </x:c>
      <x:c r="R15" s="15" t="str">
        <x:v>Sustain from organic source and stores</x:v>
      </x:c>
      <x:c r="S15" s="15" t="str">
        <x:v>5,000 m³/day by H72</x:v>
      </x:c>
      <x:c r="T15" s="15" t="str">
        <x:v>DECLARED</x:v>
      </x:c>
    </x:row>
    <x:row r="16" ht="50" customHeight="1">
      <x:c r="C16" s="11" t="str">
        <x:v>W11</x:v>
      </x:c>
      <x:c r="D16" s="15" t="str">
        <x:v>Thirty-day inland campaign; no external consumables</x:v>
      </x:c>
      <x:c r="E16" s="25" t="n">
        <x:v>30</x:v>
      </x:c>
      <x:c r="F16" s="25" t="n">
        <x:v>0</x:v>
      </x:c>
      <x:c r="G16" s="25" t="n">
        <x:v>0</x:v>
      </x:c>
      <x:c r="H16" s="25" t="n">
        <x:v>1</x:v>
      </x:c>
      <x:c r="I16" s="25" t="n">
        <x:v>0</x:v>
      </x:c>
      <x:c r="J16" s="25" t="n">
        <x:v>0</x:v>
      </x:c>
      <x:c r="K16" s="25" t="n">
        <x:v>0</x:v>
      </x:c>
      <x:c r="L16" s="25" t="n">
        <x:v>1</x:v>
      </x:c>
      <x:c r="M16" s="25" t="n">
        <x:v>1</x:v>
      </x:c>
      <x:c r="N16" s="25" t="n">
        <x:v>1</x:v>
      </x:c>
      <x:c r="O16" s="25" t="n">
        <x:v>1</x:v>
      </x:c>
      <x:c r="P16" s="25" t="n">
        <x:v>1</x:v>
      </x:c>
      <x:c r="Q16" s="25" t="n">
        <x:v>1</x:v>
      </x:c>
      <x:c r="R16" s="15" t="str">
        <x:v>Complete thirty days from organic stocks</x:v>
      </x:c>
      <x:c r="S16" s="15" t="str">
        <x:v>5,000 m³/day by H72</x:v>
      </x:c>
      <x:c r="T16" s="15" t="str">
        <x:v>DECLARED</x:v>
      </x:c>
    </x:row>
    <x:row r="17" ht="50" customHeight="1">
      <x:c r="C17" s="11" t="str">
        <x:v>W12</x:v>
      </x:c>
      <x:c r="D17" s="15" t="str">
        <x:v>Regional local-source hold; sealed reference batch intact</x:v>
      </x:c>
      <x:c r="E17" s="25" t="n">
        <x:v>3</x:v>
      </x:c>
      <x:c r="F17" s="25" t="n">
        <x:v>0</x:v>
      </x:c>
      <x:c r="G17" s="25" t="n">
        <x:v>0</x:v>
      </x:c>
      <x:c r="H17" s="25" t="n">
        <x:v>0</x:v>
      </x:c>
      <x:c r="I17" s="25" t="n">
        <x:v>0</x:v>
      </x:c>
      <x:c r="J17" s="25" t="n">
        <x:v>0</x:v>
      </x:c>
      <x:c r="K17" s="25" t="n">
        <x:v>0</x:v>
      </x:c>
      <x:c r="L17" s="25" t="n">
        <x:v>0</x:v>
      </x:c>
      <x:c r="M17" s="25" t="n">
        <x:v>0</x:v>
      </x:c>
      <x:c r="N17" s="25" t="n">
        <x:v>0</x:v>
      </x:c>
      <x:c r="O17" s="25" t="n">
        <x:v>0</x:v>
      </x:c>
      <x:c r="P17" s="25" t="n">
        <x:v>1</x:v>
      </x:c>
      <x:c r="Q17" s="25" t="n">
        <x:v>1</x:v>
      </x:c>
      <x:c r="R17" s="15" t="str">
        <x:v>Bridge universal local-source uncertainty</x:v>
      </x:c>
      <x:c r="S17" s="15" t="str">
        <x:v>5,000 m³/day by H72</x:v>
      </x:c>
      <x:c r="T17" s="15" t="str">
        <x:v>DECLARED</x:v>
      </x:c>
    </x:row>
    <x:row r="18"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</x:row>
    <x:row r="19">
      <x:c r="C19" s="9" t="str">
        <x:v>Family</x:v>
      </x:c>
      <x:c r="D19" s="9" t="str">
        <x:v>World</x:v>
      </x:c>
      <x:c r="E19" s="9" t="str">
        <x:v>Source</x:v>
      </x:c>
      <x:c r="F19" s="9" t="str">
        <x:v>Access</x:v>
      </x:c>
      <x:c r="G19" s="9" t="str">
        <x:v>Capacity</x:v>
      </x:c>
      <x:c r="H19" s="9" t="str">
        <x:v>Setup</x:v>
      </x:c>
      <x:c r="I19" s="9" t="str">
        <x:v>Power</x:v>
      </x:c>
      <x:c r="J19" s="9" t="str">
        <x:v>Endurance</x:v>
      </x:c>
      <x:c r="K19" s="9" t="str">
        <x:v>Consumables</x:v>
      </x:c>
      <x:c r="L19" s="9" t="str">
        <x:v>Residual</x:v>
      </x:c>
      <x:c r="M19" s="9" t="str">
        <x:v>Cold</x:v>
      </x:c>
      <x:c r="N19" s="9" t="str">
        <x:v>Service</x:v>
      </x:c>
      <x:c r="O19" s="9" t="str">
        <x:v>Result</x:v>
      </x:c>
      <x:c r="P19" s="9" t="str">
        <x:v>Strict admission</x:v>
      </x:c>
      <x:c r="Q19" s="9" t="str">
        <x:v>Binding factor</x:v>
      </x:c>
      <x:c r="R19" s="9" t="str">
        <x:v>Horizon days</x:v>
      </x:c>
      <x:c r="S19" s="9" t="str">
        <x:v>Wet water moved m³</x:v>
      </x:c>
      <x:c r="T19" s="29"/>
    </x:row>
    <x:row r="20" ht="31" customHeight="1">
      <x:c r="C20" s="11" t="str">
        <x:v>C1</x:v>
      </x:c>
      <x:c r="D20" s="11" t="str">
        <x:v>W1</x:v>
      </x:c>
      <x:c r="E20" s="24" t="n">
        <x:f>J6</x:f>
        <x:v>1</x:v>
      </x:c>
      <x:c r="F20" s="24" t="n">
        <x:f>K6</x:f>
        <x:v>1</x:v>
      </x:c>
      <x:c r="G20" s="11" t="str">
        <x:f>IF('02 Source Families'!F6&gt;='01 Controls'!$D$6,"PASS","FAIL")</x:f>
        <x:v>PASS</x:v>
      </x:c>
      <x:c r="H20" s="11" t="str">
        <x:f>IF('02 Source Families'!G6&lt;='01 Controls'!$D$7,"PASS","FAIL")</x:f>
        <x:v>PASS</x:v>
      </x:c>
      <x:c r="I20" s="11" t="str">
        <x:f>IF(OR('02 Source Families'!K6&gt;='02 Source Families'!J6,F6=1),"PASS","FAIL")</x:f>
        <x:v>PASS</x:v>
      </x:c>
      <x:c r="J20" s="11" t="str">
        <x:f>IF(OR('02 Source Families'!L6&gt;=E6,G6=1),"PASS","FAIL")</x:f>
        <x:v>PASS</x:v>
      </x:c>
      <x:c r="K20" s="11" t="str">
        <x:f>IF(OR('02 Source Families'!M6&gt;=E6,G6=1),"PASS","FAIL")</x:f>
        <x:v>PASS</x:v>
      </x:c>
      <x:c r="L20" s="11" t="str">
        <x:f>IF(OR('02 Source Families'!N6=0,H6=1,'02 Source Families'!O6&gt;=E6),"PASS","FAIL")</x:f>
        <x:v>PASS</x:v>
      </x:c>
      <x:c r="M20" s="11" t="str">
        <x:f>IF(OR(I6=0,'02 Source Families'!P6=1),"PASS","FAIL")</x:f>
        <x:v>PASS</x:v>
      </x:c>
      <x:c r="N20" s="26" t="n">
        <x:f>IF(AND(E20=1,F20=1,G20="PASS",H20="PASS",I20="PASS",J20="PASS",K20="PASS",L20="PASS",M20="PASS"),'01 Controls'!$D$6,0)</x:f>
        <x:v>5000</x:v>
      </x:c>
      <x:c r="O20" s="11" t="str">
        <x:f>IF(N20&gt;='01 Controls'!$D$6,"PASS","FAIL")</x:f>
        <x:v>PASS</x:v>
      </x:c>
      <x:c r="P20" s="11" t="str">
        <x:f>"DENIED"</x:f>
        <x:v>DENIED</x:v>
      </x:c>
      <x:c r="Q20" s="11" t="str">
        <x:f>IF(E20=0,"SOURCE",IF(F20=0,"ACCESS",IF(G20="FAIL","CAPACITY",IF(H20="FAIL","SETUP",IF(I20="FAIL","POWER",IF(J20="FAIL","ENDURANCE",IF(K20="FAIL","CONSUMABLES",IF(L20="FAIL","RESIDUAL",IF(M20="FAIL","COLD","NONE")))))))))</x:f>
        <x:v>NONE</x:v>
      </x:c>
      <x:c r="R20" s="26" t="n">
        <x:f>E6</x:f>
        <x:v>30</x:v>
      </x:c>
      <x:c r="S20" s="26" t="n">
        <x:f>IF(C20="C4",'01 Controls'!$D$6*R20,0)</x:f>
        <x:v>0</x:v>
      </x:c>
      <x:c r="T20" s="29"/>
    </x:row>
    <x:row r="21" ht="31" customHeight="1">
      <x:c r="C21" s="11" t="str">
        <x:v>C1</x:v>
      </x:c>
      <x:c r="D21" s="11" t="str">
        <x:v>W2</x:v>
      </x:c>
      <x:c r="E21" s="24" t="n">
        <x:f>J7</x:f>
        <x:v>0</x:v>
      </x:c>
      <x:c r="F21" s="24" t="n">
        <x:f>K7</x:f>
        <x:v>1</x:v>
      </x:c>
      <x:c r="G21" s="11" t="str">
        <x:f>IF('02 Source Families'!F6&gt;='01 Controls'!$D$6,"PASS","FAIL")</x:f>
        <x:v>PASS</x:v>
      </x:c>
      <x:c r="H21" s="11" t="str">
        <x:f>IF('02 Source Families'!G6&lt;='01 Controls'!$D$7,"PASS","FAIL")</x:f>
        <x:v>PASS</x:v>
      </x:c>
      <x:c r="I21" s="11" t="str">
        <x:f>IF(OR('02 Source Families'!K6&gt;='02 Source Families'!J6,F7=1),"PASS","FAIL")</x:f>
        <x:v>PASS</x:v>
      </x:c>
      <x:c r="J21" s="11" t="str">
        <x:f>IF(OR('02 Source Families'!L6&gt;=E7,G7=1),"PASS","FAIL")</x:f>
        <x:v>PASS</x:v>
      </x:c>
      <x:c r="K21" s="11" t="str">
        <x:f>IF(OR('02 Source Families'!M6&gt;=E7,G7=1),"PASS","FAIL")</x:f>
        <x:v>PASS</x:v>
      </x:c>
      <x:c r="L21" s="11" t="str">
        <x:f>IF(OR('02 Source Families'!N6=0,H7=1,'02 Source Families'!O6&gt;=E7),"PASS","FAIL")</x:f>
        <x:v>PASS</x:v>
      </x:c>
      <x:c r="M21" s="11" t="str">
        <x:f>IF(OR(I7=0,'02 Source Families'!P6=1),"PASS","FAIL")</x:f>
        <x:v>PASS</x:v>
      </x:c>
      <x:c r="N21" s="26" t="n">
        <x:f>IF(AND(E21=1,F21=1,G21="PASS",H21="PASS",I21="PASS",J21="PASS",K21="PASS",L21="PASS",M21="PASS"),'01 Controls'!$D$6,0)</x:f>
        <x:v>0</x:v>
      </x:c>
      <x:c r="O21" s="11" t="str">
        <x:f>IF(N21&gt;='01 Controls'!$D$6,"PASS","FAIL")</x:f>
        <x:v>FAIL</x:v>
      </x:c>
      <x:c r="P21" s="11" t="str">
        <x:f>"DENIED"</x:f>
        <x:v>DENIED</x:v>
      </x:c>
      <x:c r="Q21" s="11" t="str">
        <x:f>IF(E21=0,"SOURCE",IF(F21=0,"ACCESS",IF(G21="FAIL","CAPACITY",IF(H21="FAIL","SETUP",IF(I21="FAIL","POWER",IF(J21="FAIL","ENDURANCE",IF(K21="FAIL","CONSUMABLES",IF(L21="FAIL","RESIDUAL",IF(M21="FAIL","COLD","NONE")))))))))</x:f>
        <x:v>SOURCE</x:v>
      </x:c>
      <x:c r="R21" s="26" t="n">
        <x:f>E7</x:f>
        <x:v>30</x:v>
      </x:c>
      <x:c r="S21" s="26" t="n">
        <x:f>IF(C21="C4",'01 Controls'!$D$6*R21,0)</x:f>
        <x:v>0</x:v>
      </x:c>
      <x:c r="T21" s="29"/>
    </x:row>
    <x:row r="22" ht="31" customHeight="1">
      <x:c r="C22" s="11" t="str">
        <x:v>C1</x:v>
      </x:c>
      <x:c r="D22" s="11" t="str">
        <x:v>W3</x:v>
      </x:c>
      <x:c r="E22" s="24" t="n">
        <x:f>J8</x:f>
        <x:v>1</x:v>
      </x:c>
      <x:c r="F22" s="24" t="n">
        <x:f>K8</x:f>
        <x:v>0</x:v>
      </x:c>
      <x:c r="G22" s="11" t="str">
        <x:f>IF('02 Source Families'!F6&gt;='01 Controls'!$D$6,"PASS","FAIL")</x:f>
        <x:v>PASS</x:v>
      </x:c>
      <x:c r="H22" s="11" t="str">
        <x:f>IF('02 Source Families'!G6&lt;='01 Controls'!$D$7,"PASS","FAIL")</x:f>
        <x:v>PASS</x:v>
      </x:c>
      <x:c r="I22" s="11" t="str">
        <x:f>IF(OR('02 Source Families'!K6&gt;='02 Source Families'!J6,F8=1),"PASS","FAIL")</x:f>
        <x:v>PASS</x:v>
      </x:c>
      <x:c r="J22" s="11" t="str">
        <x:f>IF(OR('02 Source Families'!L6&gt;=E8,G8=1),"PASS","FAIL")</x:f>
        <x:v>PASS</x:v>
      </x:c>
      <x:c r="K22" s="11" t="str">
        <x:f>IF(OR('02 Source Families'!M6&gt;=E8,G8=1),"PASS","FAIL")</x:f>
        <x:v>PASS</x:v>
      </x:c>
      <x:c r="L22" s="11" t="str">
        <x:f>IF(OR('02 Source Families'!N6=0,H8=1,'02 Source Families'!O6&gt;=E8),"PASS","FAIL")</x:f>
        <x:v>PASS</x:v>
      </x:c>
      <x:c r="M22" s="11" t="str">
        <x:f>IF(OR(I8=0,'02 Source Families'!P6=1),"PASS","FAIL")</x:f>
        <x:v>PASS</x:v>
      </x:c>
      <x:c r="N22" s="26" t="n">
        <x:f>IF(AND(E22=1,F22=1,G22="PASS",H22="PASS",I22="PASS",J22="PASS",K22="PASS",L22="PASS",M22="PASS"),'01 Controls'!$D$6,0)</x:f>
        <x:v>0</x:v>
      </x:c>
      <x:c r="O22" s="11" t="str">
        <x:f>IF(N22&gt;='01 Controls'!$D$6,"PASS","FAIL")</x:f>
        <x:v>FAIL</x:v>
      </x:c>
      <x:c r="P22" s="11" t="str">
        <x:f>"DENIED"</x:f>
        <x:v>DENIED</x:v>
      </x:c>
      <x:c r="Q22" s="11" t="str">
        <x:f>IF(E22=0,"SOURCE",IF(F22=0,"ACCESS",IF(G22="FAIL","CAPACITY",IF(H22="FAIL","SETUP",IF(I22="FAIL","POWER",IF(J22="FAIL","ENDURANCE",IF(K22="FAIL","CONSUMABLES",IF(L22="FAIL","RESIDUAL",IF(M22="FAIL","COLD","NONE")))))))))</x:f>
        <x:v>ACCESS</x:v>
      </x:c>
      <x:c r="R22" s="26" t="n">
        <x:f>E8</x:f>
        <x:v>7</x:v>
      </x:c>
      <x:c r="S22" s="26" t="n">
        <x:f>IF(C22="C4",'01 Controls'!$D$6*R22,0)</x:f>
        <x:v>0</x:v>
      </x:c>
      <x:c r="T22" s="29"/>
    </x:row>
    <x:row r="23" ht="31" customHeight="1">
      <x:c r="C23" s="11" t="str">
        <x:v>C1</x:v>
      </x:c>
      <x:c r="D23" s="11" t="str">
        <x:v>W4</x:v>
      </x:c>
      <x:c r="E23" s="24" t="n">
        <x:f>J9</x:f>
        <x:v>0</x:v>
      </x:c>
      <x:c r="F23" s="24" t="n">
        <x:f>K9</x:f>
        <x:v>0</x:v>
      </x:c>
      <x:c r="G23" s="11" t="str">
        <x:f>IF('02 Source Families'!F6&gt;='01 Controls'!$D$6,"PASS","FAIL")</x:f>
        <x:v>PASS</x:v>
      </x:c>
      <x:c r="H23" s="11" t="str">
        <x:f>IF('02 Source Families'!G6&lt;='01 Controls'!$D$7,"PASS","FAIL")</x:f>
        <x:v>PASS</x:v>
      </x:c>
      <x:c r="I23" s="11" t="str">
        <x:f>IF(OR('02 Source Families'!K6&gt;='02 Source Families'!J6,F9=1),"PASS","FAIL")</x:f>
        <x:v>PASS</x:v>
      </x:c>
      <x:c r="J23" s="11" t="str">
        <x:f>IF(OR('02 Source Families'!L6&gt;=E9,G9=1),"PASS","FAIL")</x:f>
        <x:v>PASS</x:v>
      </x:c>
      <x:c r="K23" s="11" t="str">
        <x:f>IF(OR('02 Source Families'!M6&gt;=E9,G9=1),"PASS","FAIL")</x:f>
        <x:v>PASS</x:v>
      </x:c>
      <x:c r="L23" s="11" t="str">
        <x:f>IF(OR('02 Source Families'!N6=0,H9=1,'02 Source Families'!O6&gt;=E9),"PASS","FAIL")</x:f>
        <x:v>PASS</x:v>
      </x:c>
      <x:c r="M23" s="11" t="str">
        <x:f>IF(OR(I9=0,'02 Source Families'!P6=1),"PASS","FAIL")</x:f>
        <x:v>PASS</x:v>
      </x:c>
      <x:c r="N23" s="26" t="n">
        <x:f>IF(AND(E23=1,F23=1,G23="PASS",H23="PASS",I23="PASS",J23="PASS",K23="PASS",L23="PASS",M23="PASS"),'01 Controls'!$D$6,0)</x:f>
        <x:v>0</x:v>
      </x:c>
      <x:c r="O23" s="11" t="str">
        <x:f>IF(N23&gt;='01 Controls'!$D$6,"PASS","FAIL")</x:f>
        <x:v>FAIL</x:v>
      </x:c>
      <x:c r="P23" s="11" t="str">
        <x:f>"DENIED"</x:f>
        <x:v>DENIED</x:v>
      </x:c>
      <x:c r="Q23" s="11" t="str">
        <x:f>IF(E23=0,"SOURCE",IF(F23=0,"ACCESS",IF(G23="FAIL","CAPACITY",IF(H23="FAIL","SETUP",IF(I23="FAIL","POWER",IF(J23="FAIL","ENDURANCE",IF(K23="FAIL","CONSUMABLES",IF(L23="FAIL","RESIDUAL",IF(M23="FAIL","COLD","NONE")))))))))</x:f>
        <x:v>SOURCE</x:v>
      </x:c>
      <x:c r="R23" s="26" t="n">
        <x:f>E9</x:f>
        <x:v>30</x:v>
      </x:c>
      <x:c r="S23" s="26" t="n">
        <x:f>IF(C23="C4",'01 Controls'!$D$6*R23,0)</x:f>
        <x:v>0</x:v>
      </x:c>
      <x:c r="T23" s="29"/>
    </x:row>
    <x:row r="24" ht="31" customHeight="1">
      <x:c r="C24" s="11" t="str">
        <x:v>C1</x:v>
      </x:c>
      <x:c r="D24" s="11" t="str">
        <x:v>W5</x:v>
      </x:c>
      <x:c r="E24" s="24" t="n">
        <x:f>J10</x:f>
        <x:v>0</x:v>
      </x:c>
      <x:c r="F24" s="24" t="n">
        <x:f>K10</x:f>
        <x:v>0</x:v>
      </x:c>
      <x:c r="G24" s="11" t="str">
        <x:f>IF('02 Source Families'!F6&gt;='01 Controls'!$D$6,"PASS","FAIL")</x:f>
        <x:v>PASS</x:v>
      </x:c>
      <x:c r="H24" s="11" t="str">
        <x:f>IF('02 Source Families'!G6&lt;='01 Controls'!$D$7,"PASS","FAIL")</x:f>
        <x:v>PASS</x:v>
      </x:c>
      <x:c r="I24" s="11" t="str">
        <x:f>IF(OR('02 Source Families'!K6&gt;='02 Source Families'!J6,F10=1),"PASS","FAIL")</x:f>
        <x:v>PASS</x:v>
      </x:c>
      <x:c r="J24" s="11" t="str">
        <x:f>IF(OR('02 Source Families'!L6&gt;=E10,G10=1),"PASS","FAIL")</x:f>
        <x:v>PASS</x:v>
      </x:c>
      <x:c r="K24" s="11" t="str">
        <x:f>IF(OR('02 Source Families'!M6&gt;=E10,G10=1),"PASS","FAIL")</x:f>
        <x:v>PASS</x:v>
      </x:c>
      <x:c r="L24" s="11" t="str">
        <x:f>IF(OR('02 Source Families'!N6=0,H10=1,'02 Source Families'!O6&gt;=E10),"PASS","FAIL")</x:f>
        <x:v>PASS</x:v>
      </x:c>
      <x:c r="M24" s="11" t="str">
        <x:f>IF(OR(I10=0,'02 Source Families'!P6=1),"PASS","FAIL")</x:f>
        <x:v>PASS</x:v>
      </x:c>
      <x:c r="N24" s="26" t="n">
        <x:f>IF(AND(E24=1,F24=1,G24="PASS",H24="PASS",I24="PASS",J24="PASS",K24="PASS",L24="PASS",M24="PASS"),'01 Controls'!$D$6,0)</x:f>
        <x:v>0</x:v>
      </x:c>
      <x:c r="O24" s="11" t="str">
        <x:f>IF(N24&gt;='01 Controls'!$D$6,"PASS","FAIL")</x:f>
        <x:v>FAIL</x:v>
      </x:c>
      <x:c r="P24" s="11" t="str">
        <x:f>"DENIED"</x:f>
        <x:v>DENIED</x:v>
      </x:c>
      <x:c r="Q24" s="11" t="str">
        <x:f>IF(E24=0,"SOURCE",IF(F24=0,"ACCESS",IF(G24="FAIL","CAPACITY",IF(H24="FAIL","SETUP",IF(I24="FAIL","POWER",IF(J24="FAIL","ENDURANCE",IF(K24="FAIL","CONSUMABLES",IF(L24="FAIL","RESIDUAL",IF(M24="FAIL","COLD","NONE")))))))))</x:f>
        <x:v>SOURCE</x:v>
      </x:c>
      <x:c r="R24" s="26" t="n">
        <x:f>E10</x:f>
        <x:v>30</x:v>
      </x:c>
      <x:c r="S24" s="26" t="n">
        <x:f>IF(C24="C4",'01 Controls'!$D$6*R24,0)</x:f>
        <x:v>0</x:v>
      </x:c>
      <x:c r="T24" s="29"/>
    </x:row>
    <x:row r="25" ht="31" customHeight="1">
      <x:c r="C25" s="11" t="str">
        <x:v>C1</x:v>
      </x:c>
      <x:c r="D25" s="11" t="str">
        <x:v>W6</x:v>
      </x:c>
      <x:c r="E25" s="24" t="n">
        <x:f>J11</x:f>
        <x:v>0</x:v>
      </x:c>
      <x:c r="F25" s="24" t="n">
        <x:f>K11</x:f>
        <x:v>0</x:v>
      </x:c>
      <x:c r="G25" s="11" t="str">
        <x:f>IF('02 Source Families'!F6&gt;='01 Controls'!$D$6,"PASS","FAIL")</x:f>
        <x:v>PASS</x:v>
      </x:c>
      <x:c r="H25" s="11" t="str">
        <x:f>IF('02 Source Families'!G6&lt;='01 Controls'!$D$7,"PASS","FAIL")</x:f>
        <x:v>PASS</x:v>
      </x:c>
      <x:c r="I25" s="11" t="str">
        <x:f>IF(OR('02 Source Families'!K6&gt;='02 Source Families'!J6,F11=1),"PASS","FAIL")</x:f>
        <x:v>PASS</x:v>
      </x:c>
      <x:c r="J25" s="11" t="str">
        <x:f>IF(OR('02 Source Families'!L6&gt;=E11,G11=1),"PASS","FAIL")</x:f>
        <x:v>PASS</x:v>
      </x:c>
      <x:c r="K25" s="11" t="str">
        <x:f>IF(OR('02 Source Families'!M6&gt;=E11,G11=1),"PASS","FAIL")</x:f>
        <x:v>PASS</x:v>
      </x:c>
      <x:c r="L25" s="11" t="str">
        <x:f>IF(OR('02 Source Families'!N6=0,H11=1,'02 Source Families'!O6&gt;=E11),"PASS","FAIL")</x:f>
        <x:v>PASS</x:v>
      </x:c>
      <x:c r="M25" s="11" t="str">
        <x:f>IF(OR(I11=0,'02 Source Families'!P6=1),"PASS","FAIL")</x:f>
        <x:v>PASS</x:v>
      </x:c>
      <x:c r="N25" s="26" t="n">
        <x:f>IF(AND(E25=1,F25=1,G25="PASS",H25="PASS",I25="PASS",J25="PASS",K25="PASS",L25="PASS",M25="PASS"),'01 Controls'!$D$6,0)</x:f>
        <x:v>0</x:v>
      </x:c>
      <x:c r="O25" s="11" t="str">
        <x:f>IF(N25&gt;='01 Controls'!$D$6,"PASS","FAIL")</x:f>
        <x:v>FAIL</x:v>
      </x:c>
      <x:c r="P25" s="11" t="str">
        <x:f>"DENIED"</x:f>
        <x:v>DENIED</x:v>
      </x:c>
      <x:c r="Q25" s="11" t="str">
        <x:f>IF(E25=0,"SOURCE",IF(F25=0,"ACCESS",IF(G25="FAIL","CAPACITY",IF(H25="FAIL","SETUP",IF(I25="FAIL","POWER",IF(J25="FAIL","ENDURANCE",IF(K25="FAIL","CONSUMABLES",IF(L25="FAIL","RESIDUAL",IF(M25="FAIL","COLD","NONE")))))))))</x:f>
        <x:v>SOURCE</x:v>
      </x:c>
      <x:c r="R25" s="26" t="n">
        <x:f>E11</x:f>
        <x:v>30</x:v>
      </x:c>
      <x:c r="S25" s="26" t="n">
        <x:f>IF(C25="C4",'01 Controls'!$D$6*R25,0)</x:f>
        <x:v>0</x:v>
      </x:c>
      <x:c r="T25" s="29"/>
    </x:row>
    <x:row r="26" ht="31" customHeight="1">
      <x:c r="C26" s="11" t="str">
        <x:v>C1</x:v>
      </x:c>
      <x:c r="D26" s="11" t="str">
        <x:v>W7</x:v>
      </x:c>
      <x:c r="E26" s="24" t="n">
        <x:f>J12</x:f>
        <x:v>0</x:v>
      </x:c>
      <x:c r="F26" s="24" t="n">
        <x:f>K12</x:f>
        <x:v>0</x:v>
      </x:c>
      <x:c r="G26" s="11" t="str">
        <x:f>IF('02 Source Families'!F6&gt;='01 Controls'!$D$6,"PASS","FAIL")</x:f>
        <x:v>PASS</x:v>
      </x:c>
      <x:c r="H26" s="11" t="str">
        <x:f>IF('02 Source Families'!G6&lt;='01 Controls'!$D$7,"PASS","FAIL")</x:f>
        <x:v>PASS</x:v>
      </x:c>
      <x:c r="I26" s="11" t="str">
        <x:f>IF(OR('02 Source Families'!K6&gt;='02 Source Families'!J6,F12=1),"PASS","FAIL")</x:f>
        <x:v>PASS</x:v>
      </x:c>
      <x:c r="J26" s="11" t="str">
        <x:f>IF(OR('02 Source Families'!L6&gt;=E12,G12=1),"PASS","FAIL")</x:f>
        <x:v>PASS</x:v>
      </x:c>
      <x:c r="K26" s="11" t="str">
        <x:f>IF(OR('02 Source Families'!M6&gt;=E12,G12=1),"PASS","FAIL")</x:f>
        <x:v>PASS</x:v>
      </x:c>
      <x:c r="L26" s="11" t="str">
        <x:f>IF(OR('02 Source Families'!N6=0,H12=1,'02 Source Families'!O6&gt;=E12),"PASS","FAIL")</x:f>
        <x:v>FAIL</x:v>
      </x:c>
      <x:c r="M26" s="11" t="str">
        <x:f>IF(OR(I12=0,'02 Source Families'!P6=1),"PASS","FAIL")</x:f>
        <x:v>PASS</x:v>
      </x:c>
      <x:c r="N26" s="26" t="n">
        <x:f>IF(AND(E26=1,F26=1,G26="PASS",H26="PASS",I26="PASS",J26="PASS",K26="PASS",L26="PASS",M26="PASS"),'01 Controls'!$D$6,0)</x:f>
        <x:v>0</x:v>
      </x:c>
      <x:c r="O26" s="11" t="str">
        <x:f>IF(N26&gt;='01 Controls'!$D$6,"PASS","FAIL")</x:f>
        <x:v>FAIL</x:v>
      </x:c>
      <x:c r="P26" s="11" t="str">
        <x:f>"DENIED"</x:f>
        <x:v>DENIED</x:v>
      </x:c>
      <x:c r="Q26" s="11" t="str">
        <x:f>IF(E26=0,"SOURCE",IF(F26=0,"ACCESS",IF(G26="FAIL","CAPACITY",IF(H26="FAIL","SETUP",IF(I26="FAIL","POWER",IF(J26="FAIL","ENDURANCE",IF(K26="FAIL","CONSUMABLES",IF(L26="FAIL","RESIDUAL",IF(M26="FAIL","COLD","NONE")))))))))</x:f>
        <x:v>SOURCE</x:v>
      </x:c>
      <x:c r="R26" s="26" t="n">
        <x:f>E12</x:f>
        <x:v>14</x:v>
      </x:c>
      <x:c r="S26" s="26" t="n">
        <x:f>IF(C26="C4",'01 Controls'!$D$6*R26,0)</x:f>
        <x:v>0</x:v>
      </x:c>
      <x:c r="T26" s="29"/>
    </x:row>
    <x:row r="27" ht="31" customHeight="1">
      <x:c r="C27" s="11" t="str">
        <x:v>C1</x:v>
      </x:c>
      <x:c r="D27" s="11" t="str">
        <x:v>W8</x:v>
      </x:c>
      <x:c r="E27" s="24" t="n">
        <x:f>J13</x:f>
        <x:v>0</x:v>
      </x:c>
      <x:c r="F27" s="24" t="n">
        <x:f>K13</x:f>
        <x:v>0</x:v>
      </x:c>
      <x:c r="G27" s="11" t="str">
        <x:f>IF('02 Source Families'!F6&gt;='01 Controls'!$D$6,"PASS","FAIL")</x:f>
        <x:v>PASS</x:v>
      </x:c>
      <x:c r="H27" s="11" t="str">
        <x:f>IF('02 Source Families'!G6&lt;='01 Controls'!$D$7,"PASS","FAIL")</x:f>
        <x:v>PASS</x:v>
      </x:c>
      <x:c r="I27" s="11" t="str">
        <x:f>IF(OR('02 Source Families'!K6&gt;='02 Source Families'!J6,F13=1),"PASS","FAIL")</x:f>
        <x:v>PASS</x:v>
      </x:c>
      <x:c r="J27" s="11" t="str">
        <x:f>IF(OR('02 Source Families'!L6&gt;=E13,G13=1),"PASS","FAIL")</x:f>
        <x:v>PASS</x:v>
      </x:c>
      <x:c r="K27" s="11" t="str">
        <x:f>IF(OR('02 Source Families'!M6&gt;=E13,G13=1),"PASS","FAIL")</x:f>
        <x:v>PASS</x:v>
      </x:c>
      <x:c r="L27" s="11" t="str">
        <x:f>IF(OR('02 Source Families'!N6=0,H13=1,'02 Source Families'!O6&gt;=E13),"PASS","FAIL")</x:f>
        <x:v>FAIL</x:v>
      </x:c>
      <x:c r="M27" s="11" t="str">
        <x:f>IF(OR(I13=0,'02 Source Families'!P6=1),"PASS","FAIL")</x:f>
        <x:v>PASS</x:v>
      </x:c>
      <x:c r="N27" s="26" t="n">
        <x:f>IF(AND(E27=1,F27=1,G27="PASS",H27="PASS",I27="PASS",J27="PASS",K27="PASS",L27="PASS",M27="PASS"),'01 Controls'!$D$6,0)</x:f>
        <x:v>0</x:v>
      </x:c>
      <x:c r="O27" s="11" t="str">
        <x:f>IF(N27&gt;='01 Controls'!$D$6,"PASS","FAIL")</x:f>
        <x:v>FAIL</x:v>
      </x:c>
      <x:c r="P27" s="11" t="str">
        <x:f>"DENIED"</x:f>
        <x:v>DENIED</x:v>
      </x:c>
      <x:c r="Q27" s="11" t="str">
        <x:f>IF(E27=0,"SOURCE",IF(F27=0,"ACCESS",IF(G27="FAIL","CAPACITY",IF(H27="FAIL","SETUP",IF(I27="FAIL","POWER",IF(J27="FAIL","ENDURANCE",IF(K27="FAIL","CONSUMABLES",IF(L27="FAIL","RESIDUAL",IF(M27="FAIL","COLD","NONE")))))))))</x:f>
        <x:v>SOURCE</x:v>
      </x:c>
      <x:c r="R27" s="26" t="n">
        <x:f>E13</x:f>
        <x:v>7</x:v>
      </x:c>
      <x:c r="S27" s="26" t="n">
        <x:f>IF(C27="C4",'01 Controls'!$D$6*R27,0)</x:f>
        <x:v>0</x:v>
      </x:c>
      <x:c r="T27" s="29"/>
    </x:row>
    <x:row r="28" ht="31" customHeight="1">
      <x:c r="C28" s="11" t="str">
        <x:v>C1</x:v>
      </x:c>
      <x:c r="D28" s="11" t="str">
        <x:v>W9</x:v>
      </x:c>
      <x:c r="E28" s="24" t="n">
        <x:f>J14</x:f>
        <x:v>0</x:v>
      </x:c>
      <x:c r="F28" s="24" t="n">
        <x:f>K14</x:f>
        <x:v>0</x:v>
      </x:c>
      <x:c r="G28" s="11" t="str">
        <x:f>IF('02 Source Families'!F6&gt;='01 Controls'!$D$6,"PASS","FAIL")</x:f>
        <x:v>PASS</x:v>
      </x:c>
      <x:c r="H28" s="11" t="str">
        <x:f>IF('02 Source Families'!G6&lt;='01 Controls'!$D$7,"PASS","FAIL")</x:f>
        <x:v>PASS</x:v>
      </x:c>
      <x:c r="I28" s="11" t="str">
        <x:f>IF(OR('02 Source Families'!K6&gt;='02 Source Families'!J6,F14=1),"PASS","FAIL")</x:f>
        <x:v>PASS</x:v>
      </x:c>
      <x:c r="J28" s="11" t="str">
        <x:f>IF(OR('02 Source Families'!L6&gt;=E14,G14=1),"PASS","FAIL")</x:f>
        <x:v>PASS</x:v>
      </x:c>
      <x:c r="K28" s="11" t="str">
        <x:f>IF(OR('02 Source Families'!M6&gt;=E14,G14=1),"PASS","FAIL")</x:f>
        <x:v>PASS</x:v>
      </x:c>
      <x:c r="L28" s="11" t="str">
        <x:f>IF(OR('02 Source Families'!N6=0,H14=1,'02 Source Families'!O6&gt;=E14),"PASS","FAIL")</x:f>
        <x:v>PASS</x:v>
      </x:c>
      <x:c r="M28" s="11" t="str">
        <x:f>IF(OR(I14=0,'02 Source Families'!P6=1),"PASS","FAIL")</x:f>
        <x:v>PASS</x:v>
      </x:c>
      <x:c r="N28" s="26" t="n">
        <x:f>IF(AND(E28=1,F28=1,G28="PASS",H28="PASS",I28="PASS",J28="PASS",K28="PASS",L28="PASS",M28="PASS"),'01 Controls'!$D$6,0)</x:f>
        <x:v>0</x:v>
      </x:c>
      <x:c r="O28" s="11" t="str">
        <x:f>IF(N28&gt;='01 Controls'!$D$6,"PASS","FAIL")</x:f>
        <x:v>FAIL</x:v>
      </x:c>
      <x:c r="P28" s="11" t="str">
        <x:f>"DENIED"</x:f>
        <x:v>DENIED</x:v>
      </x:c>
      <x:c r="Q28" s="11" t="str">
        <x:f>IF(E28=0,"SOURCE",IF(F28=0,"ACCESS",IF(G28="FAIL","CAPACITY",IF(H28="FAIL","SETUP",IF(I28="FAIL","POWER",IF(J28="FAIL","ENDURANCE",IF(K28="FAIL","CONSUMABLES",IF(L28="FAIL","RESIDUAL",IF(M28="FAIL","COLD","NONE")))))))))</x:f>
        <x:v>SOURCE</x:v>
      </x:c>
      <x:c r="R28" s="26" t="n">
        <x:f>E14</x:f>
        <x:v>30</x:v>
      </x:c>
      <x:c r="S28" s="26" t="n">
        <x:f>IF(C28="C4",'01 Controls'!$D$6*R28,0)</x:f>
        <x:v>0</x:v>
      </x:c>
      <x:c r="T28" s="29"/>
    </x:row>
    <x:row r="29" ht="31" customHeight="1">
      <x:c r="C29" s="11" t="str">
        <x:v>C1</x:v>
      </x:c>
      <x:c r="D29" s="11" t="str">
        <x:v>W10</x:v>
      </x:c>
      <x:c r="E29" s="24" t="n">
        <x:f>J15</x:f>
        <x:v>1</x:v>
      </x:c>
      <x:c r="F29" s="24" t="n">
        <x:f>K15</x:f>
        <x:v>1</x:v>
      </x:c>
      <x:c r="G29" s="11" t="str">
        <x:f>IF('02 Source Families'!F6&gt;='01 Controls'!$D$6,"PASS","FAIL")</x:f>
        <x:v>PASS</x:v>
      </x:c>
      <x:c r="H29" s="11" t="str">
        <x:f>IF('02 Source Families'!G6&lt;='01 Controls'!$D$7,"PASS","FAIL")</x:f>
        <x:v>PASS</x:v>
      </x:c>
      <x:c r="I29" s="11" t="str">
        <x:f>IF(OR('02 Source Families'!K6&gt;='02 Source Families'!J6,F15=1),"PASS","FAIL")</x:f>
        <x:v>PASS</x:v>
      </x:c>
      <x:c r="J29" s="11" t="str">
        <x:f>IF(OR('02 Source Families'!L6&gt;=E15,G15=1),"PASS","FAIL")</x:f>
        <x:v>PASS</x:v>
      </x:c>
      <x:c r="K29" s="11" t="str">
        <x:f>IF(OR('02 Source Families'!M6&gt;=E15,G15=1),"PASS","FAIL")</x:f>
        <x:v>PASS</x:v>
      </x:c>
      <x:c r="L29" s="11" t="str">
        <x:f>IF(OR('02 Source Families'!N6=0,H15=1,'02 Source Families'!O6&gt;=E15),"PASS","FAIL")</x:f>
        <x:v>PASS</x:v>
      </x:c>
      <x:c r="M29" s="11" t="str">
        <x:f>IF(OR(I15=0,'02 Source Families'!P6=1),"PASS","FAIL")</x:f>
        <x:v>PASS</x:v>
      </x:c>
      <x:c r="N29" s="26" t="n">
        <x:f>IF(AND(E29=1,F29=1,G29="PASS",H29="PASS",I29="PASS",J29="PASS",K29="PASS",L29="PASS",M29="PASS"),'01 Controls'!$D$6,0)</x:f>
        <x:v>5000</x:v>
      </x:c>
      <x:c r="O29" s="11" t="str">
        <x:f>IF(N29&gt;='01 Controls'!$D$6,"PASS","FAIL")</x:f>
        <x:v>PASS</x:v>
      </x:c>
      <x:c r="P29" s="11" t="str">
        <x:f>"DENIED"</x:f>
        <x:v>DENIED</x:v>
      </x:c>
      <x:c r="Q29" s="11" t="str">
        <x:f>IF(E29=0,"SOURCE",IF(F29=0,"ACCESS",IF(G29="FAIL","CAPACITY",IF(H29="FAIL","SETUP",IF(I29="FAIL","POWER",IF(J29="FAIL","ENDURANCE",IF(K29="FAIL","CONSUMABLES",IF(L29="FAIL","RESIDUAL",IF(M29="FAIL","COLD","NONE")))))))))</x:f>
        <x:v>NONE</x:v>
      </x:c>
      <x:c r="R29" s="26" t="n">
        <x:f>E15</x:f>
        <x:v>14</x:v>
      </x:c>
      <x:c r="S29" s="26" t="n">
        <x:f>IF(C29="C4",'01 Controls'!$D$6*R29,0)</x:f>
        <x:v>0</x:v>
      </x:c>
      <x:c r="T29" s="29"/>
    </x:row>
    <x:row r="30" ht="31" customHeight="1">
      <x:c r="C30" s="11" t="str">
        <x:v>C1</x:v>
      </x:c>
      <x:c r="D30" s="11" t="str">
        <x:v>W11</x:v>
      </x:c>
      <x:c r="E30" s="24" t="n">
        <x:f>J16</x:f>
        <x:v>0</x:v>
      </x:c>
      <x:c r="F30" s="24" t="n">
        <x:f>K16</x:f>
        <x:v>0</x:v>
      </x:c>
      <x:c r="G30" s="11" t="str">
        <x:f>IF('02 Source Families'!F6&gt;='01 Controls'!$D$6,"PASS","FAIL")</x:f>
        <x:v>PASS</x:v>
      </x:c>
      <x:c r="H30" s="11" t="str">
        <x:f>IF('02 Source Families'!G6&lt;='01 Controls'!$D$7,"PASS","FAIL")</x:f>
        <x:v>PASS</x:v>
      </x:c>
      <x:c r="I30" s="11" t="str">
        <x:f>IF(OR('02 Source Families'!K6&gt;='02 Source Families'!J6,F16=1),"PASS","FAIL")</x:f>
        <x:v>PASS</x:v>
      </x:c>
      <x:c r="J30" s="11" t="str">
        <x:f>IF(OR('02 Source Families'!L6&gt;=E16,G16=1),"PASS","FAIL")</x:f>
        <x:v>PASS</x:v>
      </x:c>
      <x:c r="K30" s="11" t="str">
        <x:f>IF(OR('02 Source Families'!M6&gt;=E16,G16=1),"PASS","FAIL")</x:f>
        <x:v>PASS</x:v>
      </x:c>
      <x:c r="L30" s="11" t="str">
        <x:f>IF(OR('02 Source Families'!N6=0,H16=1,'02 Source Families'!O6&gt;=E16),"PASS","FAIL")</x:f>
        <x:v>PASS</x:v>
      </x:c>
      <x:c r="M30" s="11" t="str">
        <x:f>IF(OR(I16=0,'02 Source Families'!P6=1),"PASS","FAIL")</x:f>
        <x:v>PASS</x:v>
      </x:c>
      <x:c r="N30" s="26" t="n">
        <x:f>IF(AND(E30=1,F30=1,G30="PASS",H30="PASS",I30="PASS",J30="PASS",K30="PASS",L30="PASS",M30="PASS"),'01 Controls'!$D$6,0)</x:f>
        <x:v>0</x:v>
      </x:c>
      <x:c r="O30" s="11" t="str">
        <x:f>IF(N30&gt;='01 Controls'!$D$6,"PASS","FAIL")</x:f>
        <x:v>FAIL</x:v>
      </x:c>
      <x:c r="P30" s="11" t="str">
        <x:f>"DENIED"</x:f>
        <x:v>DENIED</x:v>
      </x:c>
      <x:c r="Q30" s="11" t="str">
        <x:f>IF(E30=0,"SOURCE",IF(F30=0,"ACCESS",IF(G30="FAIL","CAPACITY",IF(H30="FAIL","SETUP",IF(I30="FAIL","POWER",IF(J30="FAIL","ENDURANCE",IF(K30="FAIL","CONSUMABLES",IF(L30="FAIL","RESIDUAL",IF(M30="FAIL","COLD","NONE")))))))))</x:f>
        <x:v>SOURCE</x:v>
      </x:c>
      <x:c r="R30" s="26" t="n">
        <x:f>E16</x:f>
        <x:v>30</x:v>
      </x:c>
      <x:c r="S30" s="26" t="n">
        <x:f>IF(C30="C4",'01 Controls'!$D$6*R30,0)</x:f>
        <x:v>0</x:v>
      </x:c>
      <x:c r="T30" s="29"/>
    </x:row>
    <x:row r="31" ht="31" customHeight="1">
      <x:c r="C31" s="11" t="str">
        <x:v>C1</x:v>
      </x:c>
      <x:c r="D31" s="11" t="str">
        <x:v>W12</x:v>
      </x:c>
      <x:c r="E31" s="24" t="n">
        <x:f>J17</x:f>
        <x:v>0</x:v>
      </x:c>
      <x:c r="F31" s="24" t="n">
        <x:f>K17</x:f>
        <x:v>0</x:v>
      </x:c>
      <x:c r="G31" s="11" t="str">
        <x:f>IF('02 Source Families'!F6&gt;='01 Controls'!$D$6,"PASS","FAIL")</x:f>
        <x:v>PASS</x:v>
      </x:c>
      <x:c r="H31" s="11" t="str">
        <x:f>IF('02 Source Families'!G6&lt;='01 Controls'!$D$7,"PASS","FAIL")</x:f>
        <x:v>PASS</x:v>
      </x:c>
      <x:c r="I31" s="11" t="str">
        <x:f>IF(OR('02 Source Families'!K6&gt;='02 Source Families'!J6,F17=1),"PASS","FAIL")</x:f>
        <x:v>PASS</x:v>
      </x:c>
      <x:c r="J31" s="11" t="str">
        <x:f>IF(OR('02 Source Families'!L6&gt;=E17,G17=1),"PASS","FAIL")</x:f>
        <x:v>PASS</x:v>
      </x:c>
      <x:c r="K31" s="11" t="str">
        <x:f>IF(OR('02 Source Families'!M6&gt;=E17,G17=1),"PASS","FAIL")</x:f>
        <x:v>PASS</x:v>
      </x:c>
      <x:c r="L31" s="11" t="str">
        <x:f>IF(OR('02 Source Families'!N6=0,H17=1,'02 Source Families'!O6&gt;=E17),"PASS","FAIL")</x:f>
        <x:v>FAIL</x:v>
      </x:c>
      <x:c r="M31" s="11" t="str">
        <x:f>IF(OR(I17=0,'02 Source Families'!P6=1),"PASS","FAIL")</x:f>
        <x:v>PASS</x:v>
      </x:c>
      <x:c r="N31" s="26" t="n">
        <x:f>IF(AND(E31=1,F31=1,G31="PASS",H31="PASS",I31="PASS",J31="PASS",K31="PASS",L31="PASS",M31="PASS"),'01 Controls'!$D$6,0)</x:f>
        <x:v>0</x:v>
      </x:c>
      <x:c r="O31" s="11" t="str">
        <x:f>IF(N31&gt;='01 Controls'!$D$6,"PASS","FAIL")</x:f>
        <x:v>FAIL</x:v>
      </x:c>
      <x:c r="P31" s="11" t="str">
        <x:f>"DENIED"</x:f>
        <x:v>DENIED</x:v>
      </x:c>
      <x:c r="Q31" s="11" t="str">
        <x:f>IF(E31=0,"SOURCE",IF(F31=0,"ACCESS",IF(G31="FAIL","CAPACITY",IF(H31="FAIL","SETUP",IF(I31="FAIL","POWER",IF(J31="FAIL","ENDURANCE",IF(K31="FAIL","CONSUMABLES",IF(L31="FAIL","RESIDUAL",IF(M31="FAIL","COLD","NONE")))))))))</x:f>
        <x:v>SOURCE</x:v>
      </x:c>
      <x:c r="R31" s="26" t="n">
        <x:f>E17</x:f>
        <x:v>3</x:v>
      </x:c>
      <x:c r="S31" s="26" t="n">
        <x:f>IF(C31="C4",'01 Controls'!$D$6*R31,0)</x:f>
        <x:v>0</x:v>
      </x:c>
      <x:c r="T31" s="29"/>
    </x:row>
    <x:row r="32" ht="31" customHeight="1">
      <x:c r="C32" s="11" t="str">
        <x:v>C2</x:v>
      </x:c>
      <x:c r="D32" s="11" t="str">
        <x:v>W1</x:v>
      </x:c>
      <x:c r="E32" s="24" t="n">
        <x:f>L6</x:f>
        <x:v>0</x:v>
      </x:c>
      <x:c r="F32" s="24" t="n">
        <x:f>M6</x:f>
        <x:v>0</x:v>
      </x:c>
      <x:c r="G32" s="11" t="str">
        <x:f>IF('02 Source Families'!F7&gt;='01 Controls'!$D$6,"PASS","FAIL")</x:f>
        <x:v>PASS</x:v>
      </x:c>
      <x:c r="H32" s="11" t="str">
        <x:f>IF('02 Source Families'!G7&lt;='01 Controls'!$D$7,"PASS","FAIL")</x:f>
        <x:v>PASS</x:v>
      </x:c>
      <x:c r="I32" s="11" t="str">
        <x:f>IF(OR('02 Source Families'!K7&gt;='02 Source Families'!J7,F6=1),"PASS","FAIL")</x:f>
        <x:v>PASS</x:v>
      </x:c>
      <x:c r="J32" s="11" t="str">
        <x:f>IF(OR('02 Source Families'!L7&gt;=E6,G6=1),"PASS","FAIL")</x:f>
        <x:v>PASS</x:v>
      </x:c>
      <x:c r="K32" s="11" t="str">
        <x:f>IF(OR('02 Source Families'!M7&gt;=E6,G6=1),"PASS","FAIL")</x:f>
        <x:v>PASS</x:v>
      </x:c>
      <x:c r="L32" s="11" t="str">
        <x:f>IF(OR('02 Source Families'!N7=0,H6=1,'02 Source Families'!O7&gt;=E6),"PASS","FAIL")</x:f>
        <x:v>PASS</x:v>
      </x:c>
      <x:c r="M32" s="11" t="str">
        <x:f>IF(OR(I6=0,'02 Source Families'!P7=1),"PASS","FAIL")</x:f>
        <x:v>PASS</x:v>
      </x:c>
      <x:c r="N32" s="26" t="n">
        <x:f>IF(AND(E32=1,F32=1,G32="PASS",H32="PASS",I32="PASS",J32="PASS",K32="PASS",L32="PASS",M32="PASS"),'01 Controls'!$D$6,0)</x:f>
        <x:v>0</x:v>
      </x:c>
      <x:c r="O32" s="11" t="str">
        <x:f>IF(N32&gt;='01 Controls'!$D$6,"PASS","FAIL")</x:f>
        <x:v>FAIL</x:v>
      </x:c>
      <x:c r="P32" s="11" t="str">
        <x:f>"DENIED"</x:f>
        <x:v>DENIED</x:v>
      </x:c>
      <x:c r="Q32" s="11" t="str">
        <x:f>IF(E32=0,"SOURCE",IF(F32=0,"ACCESS",IF(G32="FAIL","CAPACITY",IF(H32="FAIL","SETUP",IF(I32="FAIL","POWER",IF(J32="FAIL","ENDURANCE",IF(K32="FAIL","CONSUMABLES",IF(L32="FAIL","RESIDUAL",IF(M32="FAIL","COLD","NONE")))))))))</x:f>
        <x:v>SOURCE</x:v>
      </x:c>
      <x:c r="R32" s="26" t="n">
        <x:f>E6</x:f>
        <x:v>30</x:v>
      </x:c>
      <x:c r="S32" s="26" t="n">
        <x:f>IF(C32="C4",'01 Controls'!$D$6*R32,0)</x:f>
        <x:v>0</x:v>
      </x:c>
      <x:c r="T32" s="29"/>
    </x:row>
    <x:row r="33" ht="31" customHeight="1">
      <x:c r="C33" s="11" t="str">
        <x:v>C2</x:v>
      </x:c>
      <x:c r="D33" s="11" t="str">
        <x:v>W2</x:v>
      </x:c>
      <x:c r="E33" s="24" t="n">
        <x:f>L7</x:f>
        <x:v>1</x:v>
      </x:c>
      <x:c r="F33" s="24" t="n">
        <x:f>M7</x:f>
        <x:v>1</x:v>
      </x:c>
      <x:c r="G33" s="11" t="str">
        <x:f>IF('02 Source Families'!F7&gt;='01 Controls'!$D$6,"PASS","FAIL")</x:f>
        <x:v>PASS</x:v>
      </x:c>
      <x:c r="H33" s="11" t="str">
        <x:f>IF('02 Source Families'!G7&lt;='01 Controls'!$D$7,"PASS","FAIL")</x:f>
        <x:v>PASS</x:v>
      </x:c>
      <x:c r="I33" s="11" t="str">
        <x:f>IF(OR('02 Source Families'!K7&gt;='02 Source Families'!J7,F7=1),"PASS","FAIL")</x:f>
        <x:v>PASS</x:v>
      </x:c>
      <x:c r="J33" s="11" t="str">
        <x:f>IF(OR('02 Source Families'!L7&gt;=E7,G7=1),"PASS","FAIL")</x:f>
        <x:v>PASS</x:v>
      </x:c>
      <x:c r="K33" s="11" t="str">
        <x:f>IF(OR('02 Source Families'!M7&gt;=E7,G7=1),"PASS","FAIL")</x:f>
        <x:v>PASS</x:v>
      </x:c>
      <x:c r="L33" s="11" t="str">
        <x:f>IF(OR('02 Source Families'!N7=0,H7=1,'02 Source Families'!O7&gt;=E7),"PASS","FAIL")</x:f>
        <x:v>PASS</x:v>
      </x:c>
      <x:c r="M33" s="11" t="str">
        <x:f>IF(OR(I7=0,'02 Source Families'!P7=1),"PASS","FAIL")</x:f>
        <x:v>PASS</x:v>
      </x:c>
      <x:c r="N33" s="26" t="n">
        <x:f>IF(AND(E33=1,F33=1,G33="PASS",H33="PASS",I33="PASS",J33="PASS",K33="PASS",L33="PASS",M33="PASS"),'01 Controls'!$D$6,0)</x:f>
        <x:v>5000</x:v>
      </x:c>
      <x:c r="O33" s="11" t="str">
        <x:f>IF(N33&gt;='01 Controls'!$D$6,"PASS","FAIL")</x:f>
        <x:v>PASS</x:v>
      </x:c>
      <x:c r="P33" s="11" t="str">
        <x:f>"DENIED"</x:f>
        <x:v>DENIED</x:v>
      </x:c>
      <x:c r="Q33" s="11" t="str">
        <x:f>IF(E33=0,"SOURCE",IF(F33=0,"ACCESS",IF(G33="FAIL","CAPACITY",IF(H33="FAIL","SETUP",IF(I33="FAIL","POWER",IF(J33="FAIL","ENDURANCE",IF(K33="FAIL","CONSUMABLES",IF(L33="FAIL","RESIDUAL",IF(M33="FAIL","COLD","NONE")))))))))</x:f>
        <x:v>NONE</x:v>
      </x:c>
      <x:c r="R33" s="26" t="n">
        <x:f>E7</x:f>
        <x:v>30</x:v>
      </x:c>
      <x:c r="S33" s="26" t="n">
        <x:f>IF(C33="C4",'01 Controls'!$D$6*R33,0)</x:f>
        <x:v>0</x:v>
      </x:c>
      <x:c r="T33" s="29"/>
    </x:row>
    <x:row r="34" ht="31" customHeight="1">
      <x:c r="C34" s="11" t="str">
        <x:v>C2</x:v>
      </x:c>
      <x:c r="D34" s="11" t="str">
        <x:v>W3</x:v>
      </x:c>
      <x:c r="E34" s="24" t="n">
        <x:f>L8</x:f>
        <x:v>0</x:v>
      </x:c>
      <x:c r="F34" s="24" t="n">
        <x:f>M8</x:f>
        <x:v>0</x:v>
      </x:c>
      <x:c r="G34" s="11" t="str">
        <x:f>IF('02 Source Families'!F7&gt;='01 Controls'!$D$6,"PASS","FAIL")</x:f>
        <x:v>PASS</x:v>
      </x:c>
      <x:c r="H34" s="11" t="str">
        <x:f>IF('02 Source Families'!G7&lt;='01 Controls'!$D$7,"PASS","FAIL")</x:f>
        <x:v>PASS</x:v>
      </x:c>
      <x:c r="I34" s="11" t="str">
        <x:f>IF(OR('02 Source Families'!K7&gt;='02 Source Families'!J7,F8=1),"PASS","FAIL")</x:f>
        <x:v>PASS</x:v>
      </x:c>
      <x:c r="J34" s="11" t="str">
        <x:f>IF(OR('02 Source Families'!L7&gt;=E8,G8=1),"PASS","FAIL")</x:f>
        <x:v>PASS</x:v>
      </x:c>
      <x:c r="K34" s="11" t="str">
        <x:f>IF(OR('02 Source Families'!M7&gt;=E8,G8=1),"PASS","FAIL")</x:f>
        <x:v>PASS</x:v>
      </x:c>
      <x:c r="L34" s="11" t="str">
        <x:f>IF(OR('02 Source Families'!N7=0,H8=1,'02 Source Families'!O7&gt;=E8),"PASS","FAIL")</x:f>
        <x:v>PASS</x:v>
      </x:c>
      <x:c r="M34" s="11" t="str">
        <x:f>IF(OR(I8=0,'02 Source Families'!P7=1),"PASS","FAIL")</x:f>
        <x:v>PASS</x:v>
      </x:c>
      <x:c r="N34" s="26" t="n">
        <x:f>IF(AND(E34=1,F34=1,G34="PASS",H34="PASS",I34="PASS",J34="PASS",K34="PASS",L34="PASS",M34="PASS"),'01 Controls'!$D$6,0)</x:f>
        <x:v>0</x:v>
      </x:c>
      <x:c r="O34" s="11" t="str">
        <x:f>IF(N34&gt;='01 Controls'!$D$6,"PASS","FAIL")</x:f>
        <x:v>FAIL</x:v>
      </x:c>
      <x:c r="P34" s="11" t="str">
        <x:f>"DENIED"</x:f>
        <x:v>DENIED</x:v>
      </x:c>
      <x:c r="Q34" s="11" t="str">
        <x:f>IF(E34=0,"SOURCE",IF(F34=0,"ACCESS",IF(G34="FAIL","CAPACITY",IF(H34="FAIL","SETUP",IF(I34="FAIL","POWER",IF(J34="FAIL","ENDURANCE",IF(K34="FAIL","CONSUMABLES",IF(L34="FAIL","RESIDUAL",IF(M34="FAIL","COLD","NONE")))))))))</x:f>
        <x:v>SOURCE</x:v>
      </x:c>
      <x:c r="R34" s="26" t="n">
        <x:f>E8</x:f>
        <x:v>7</x:v>
      </x:c>
      <x:c r="S34" s="26" t="n">
        <x:f>IF(C34="C4",'01 Controls'!$D$6*R34,0)</x:f>
        <x:v>0</x:v>
      </x:c>
      <x:c r="T34" s="29"/>
    </x:row>
    <x:row r="35" ht="31" customHeight="1">
      <x:c r="C35" s="11" t="str">
        <x:v>C2</x:v>
      </x:c>
      <x:c r="D35" s="11" t="str">
        <x:v>W4</x:v>
      </x:c>
      <x:c r="E35" s="24" t="n">
        <x:f>L9</x:f>
        <x:v>1</x:v>
      </x:c>
      <x:c r="F35" s="24" t="n">
        <x:f>M9</x:f>
        <x:v>1</x:v>
      </x:c>
      <x:c r="G35" s="11" t="str">
        <x:f>IF('02 Source Families'!F7&gt;='01 Controls'!$D$6,"PASS","FAIL")</x:f>
        <x:v>PASS</x:v>
      </x:c>
      <x:c r="H35" s="11" t="str">
        <x:f>IF('02 Source Families'!G7&lt;='01 Controls'!$D$7,"PASS","FAIL")</x:f>
        <x:v>PASS</x:v>
      </x:c>
      <x:c r="I35" s="11" t="str">
        <x:f>IF(OR('02 Source Families'!K7&gt;='02 Source Families'!J7,F9=1),"PASS","FAIL")</x:f>
        <x:v>PASS</x:v>
      </x:c>
      <x:c r="J35" s="11" t="str">
        <x:f>IF(OR('02 Source Families'!L7&gt;=E9,G9=1),"PASS","FAIL")</x:f>
        <x:v>PASS</x:v>
      </x:c>
      <x:c r="K35" s="11" t="str">
        <x:f>IF(OR('02 Source Families'!M7&gt;=E9,G9=1),"PASS","FAIL")</x:f>
        <x:v>PASS</x:v>
      </x:c>
      <x:c r="L35" s="11" t="str">
        <x:f>IF(OR('02 Source Families'!N7=0,H9=1,'02 Source Families'!O7&gt;=E9),"PASS","FAIL")</x:f>
        <x:v>PASS</x:v>
      </x:c>
      <x:c r="M35" s="11" t="str">
        <x:f>IF(OR(I9=0,'02 Source Families'!P7=1),"PASS","FAIL")</x:f>
        <x:v>PASS</x:v>
      </x:c>
      <x:c r="N35" s="26" t="n">
        <x:f>IF(AND(E35=1,F35=1,G35="PASS",H35="PASS",I35="PASS",J35="PASS",K35="PASS",L35="PASS",M35="PASS"),'01 Controls'!$D$6,0)</x:f>
        <x:v>5000</x:v>
      </x:c>
      <x:c r="O35" s="11" t="str">
        <x:f>IF(N35&gt;='01 Controls'!$D$6,"PASS","FAIL")</x:f>
        <x:v>PASS</x:v>
      </x:c>
      <x:c r="P35" s="11" t="str">
        <x:f>"DENIED"</x:f>
        <x:v>DENIED</x:v>
      </x:c>
      <x:c r="Q35" s="11" t="str">
        <x:f>IF(E35=0,"SOURCE",IF(F35=0,"ACCESS",IF(G35="FAIL","CAPACITY",IF(H35="FAIL","SETUP",IF(I35="FAIL","POWER",IF(J35="FAIL","ENDURANCE",IF(K35="FAIL","CONSUMABLES",IF(L35="FAIL","RESIDUAL",IF(M35="FAIL","COLD","NONE")))))))))</x:f>
        <x:v>NONE</x:v>
      </x:c>
      <x:c r="R35" s="26" t="n">
        <x:f>E9</x:f>
        <x:v>30</x:v>
      </x:c>
      <x:c r="S35" s="26" t="n">
        <x:f>IF(C35="C4",'01 Controls'!$D$6*R35,0)</x:f>
        <x:v>0</x:v>
      </x:c>
      <x:c r="T35" s="29"/>
    </x:row>
    <x:row r="36" ht="31" customHeight="1">
      <x:c r="C36" s="11" t="str">
        <x:v>C2</x:v>
      </x:c>
      <x:c r="D36" s="11" t="str">
        <x:v>W5</x:v>
      </x:c>
      <x:c r="E36" s="24" t="n">
        <x:f>L10</x:f>
        <x:v>1</x:v>
      </x:c>
      <x:c r="F36" s="24" t="n">
        <x:f>M10</x:f>
        <x:v>1</x:v>
      </x:c>
      <x:c r="G36" s="11" t="str">
        <x:f>IF('02 Source Families'!F7&gt;='01 Controls'!$D$6,"PASS","FAIL")</x:f>
        <x:v>PASS</x:v>
      </x:c>
      <x:c r="H36" s="11" t="str">
        <x:f>IF('02 Source Families'!G7&lt;='01 Controls'!$D$7,"PASS","FAIL")</x:f>
        <x:v>PASS</x:v>
      </x:c>
      <x:c r="I36" s="11" t="str">
        <x:f>IF(OR('02 Source Families'!K7&gt;='02 Source Families'!J7,F10=1),"PASS","FAIL")</x:f>
        <x:v>PASS</x:v>
      </x:c>
      <x:c r="J36" s="11" t="str">
        <x:f>IF(OR('02 Source Families'!L7&gt;=E10,G10=1),"PASS","FAIL")</x:f>
        <x:v>PASS</x:v>
      </x:c>
      <x:c r="K36" s="11" t="str">
        <x:f>IF(OR('02 Source Families'!M7&gt;=E10,G10=1),"PASS","FAIL")</x:f>
        <x:v>PASS</x:v>
      </x:c>
      <x:c r="L36" s="11" t="str">
        <x:f>IF(OR('02 Source Families'!N7=0,H10=1,'02 Source Families'!O7&gt;=E10),"PASS","FAIL")</x:f>
        <x:v>PASS</x:v>
      </x:c>
      <x:c r="M36" s="11" t="str">
        <x:f>IF(OR(I10=0,'02 Source Families'!P7=1),"PASS","FAIL")</x:f>
        <x:v>PASS</x:v>
      </x:c>
      <x:c r="N36" s="26" t="n">
        <x:f>IF(AND(E36=1,F36=1,G36="PASS",H36="PASS",I36="PASS",J36="PASS",K36="PASS",L36="PASS",M36="PASS"),'01 Controls'!$D$6,0)</x:f>
        <x:v>5000</x:v>
      </x:c>
      <x:c r="O36" s="11" t="str">
        <x:f>IF(N36&gt;='01 Controls'!$D$6,"PASS","FAIL")</x:f>
        <x:v>PASS</x:v>
      </x:c>
      <x:c r="P36" s="11" t="str">
        <x:f>"DENIED"</x:f>
        <x:v>DENIED</x:v>
      </x:c>
      <x:c r="Q36" s="11" t="str">
        <x:f>IF(E36=0,"SOURCE",IF(F36=0,"ACCESS",IF(G36="FAIL","CAPACITY",IF(H36="FAIL","SETUP",IF(I36="FAIL","POWER",IF(J36="FAIL","ENDURANCE",IF(K36="FAIL","CONSUMABLES",IF(L36="FAIL","RESIDUAL",IF(M36="FAIL","COLD","NONE")))))))))</x:f>
        <x:v>NONE</x:v>
      </x:c>
      <x:c r="R36" s="26" t="n">
        <x:f>E10</x:f>
        <x:v>30</x:v>
      </x:c>
      <x:c r="S36" s="26" t="n">
        <x:f>IF(C36="C4",'01 Controls'!$D$6*R36,0)</x:f>
        <x:v>0</x:v>
      </x:c>
      <x:c r="T36" s="29"/>
    </x:row>
    <x:row r="37" ht="31" customHeight="1">
      <x:c r="C37" s="11" t="str">
        <x:v>C2</x:v>
      </x:c>
      <x:c r="D37" s="11" t="str">
        <x:v>W6</x:v>
      </x:c>
      <x:c r="E37" s="24" t="n">
        <x:f>L11</x:f>
        <x:v>0</x:v>
      </x:c>
      <x:c r="F37" s="24" t="n">
        <x:f>M11</x:f>
        <x:v>0</x:v>
      </x:c>
      <x:c r="G37" s="11" t="str">
        <x:f>IF('02 Source Families'!F7&gt;='01 Controls'!$D$6,"PASS","FAIL")</x:f>
        <x:v>PASS</x:v>
      </x:c>
      <x:c r="H37" s="11" t="str">
        <x:f>IF('02 Source Families'!G7&lt;='01 Controls'!$D$7,"PASS","FAIL")</x:f>
        <x:v>PASS</x:v>
      </x:c>
      <x:c r="I37" s="11" t="str">
        <x:f>IF(OR('02 Source Families'!K7&gt;='02 Source Families'!J7,F11=1),"PASS","FAIL")</x:f>
        <x:v>PASS</x:v>
      </x:c>
      <x:c r="J37" s="11" t="str">
        <x:f>IF(OR('02 Source Families'!L7&gt;=E11,G11=1),"PASS","FAIL")</x:f>
        <x:v>PASS</x:v>
      </x:c>
      <x:c r="K37" s="11" t="str">
        <x:f>IF(OR('02 Source Families'!M7&gt;=E11,G11=1),"PASS","FAIL")</x:f>
        <x:v>PASS</x:v>
      </x:c>
      <x:c r="L37" s="11" t="str">
        <x:f>IF(OR('02 Source Families'!N7=0,H11=1,'02 Source Families'!O7&gt;=E11),"PASS","FAIL")</x:f>
        <x:v>PASS</x:v>
      </x:c>
      <x:c r="M37" s="11" t="str">
        <x:f>IF(OR(I11=0,'02 Source Families'!P7=1),"PASS","FAIL")</x:f>
        <x:v>PASS</x:v>
      </x:c>
      <x:c r="N37" s="26" t="n">
        <x:f>IF(AND(E37=1,F37=1,G37="PASS",H37="PASS",I37="PASS",J37="PASS",K37="PASS",L37="PASS",M37="PASS"),'01 Controls'!$D$6,0)</x:f>
        <x:v>0</x:v>
      </x:c>
      <x:c r="O37" s="11" t="str">
        <x:f>IF(N37&gt;='01 Controls'!$D$6,"PASS","FAIL")</x:f>
        <x:v>FAIL</x:v>
      </x:c>
      <x:c r="P37" s="11" t="str">
        <x:f>"DENIED"</x:f>
        <x:v>DENIED</x:v>
      </x:c>
      <x:c r="Q37" s="11" t="str">
        <x:f>IF(E37=0,"SOURCE",IF(F37=0,"ACCESS",IF(G37="FAIL","CAPACITY",IF(H37="FAIL","SETUP",IF(I37="FAIL","POWER",IF(J37="FAIL","ENDURANCE",IF(K37="FAIL","CONSUMABLES",IF(L37="FAIL","RESIDUAL",IF(M37="FAIL","COLD","NONE")))))))))</x:f>
        <x:v>SOURCE</x:v>
      </x:c>
      <x:c r="R37" s="26" t="n">
        <x:f>E11</x:f>
        <x:v>30</x:v>
      </x:c>
      <x:c r="S37" s="26" t="n">
        <x:f>IF(C37="C4",'01 Controls'!$D$6*R37,0)</x:f>
        <x:v>0</x:v>
      </x:c>
      <x:c r="T37" s="29"/>
    </x:row>
    <x:row r="38" ht="31" customHeight="1">
      <x:c r="C38" s="11" t="str">
        <x:v>C2</x:v>
      </x:c>
      <x:c r="D38" s="11" t="str">
        <x:v>W7</x:v>
      </x:c>
      <x:c r="E38" s="24" t="n">
        <x:f>L12</x:f>
        <x:v>0</x:v>
      </x:c>
      <x:c r="F38" s="24" t="n">
        <x:f>M12</x:f>
        <x:v>0</x:v>
      </x:c>
      <x:c r="G38" s="11" t="str">
        <x:f>IF('02 Source Families'!F7&gt;='01 Controls'!$D$6,"PASS","FAIL")</x:f>
        <x:v>PASS</x:v>
      </x:c>
      <x:c r="H38" s="11" t="str">
        <x:f>IF('02 Source Families'!G7&lt;='01 Controls'!$D$7,"PASS","FAIL")</x:f>
        <x:v>PASS</x:v>
      </x:c>
      <x:c r="I38" s="11" t="str">
        <x:f>IF(OR('02 Source Families'!K7&gt;='02 Source Families'!J7,F12=1),"PASS","FAIL")</x:f>
        <x:v>PASS</x:v>
      </x:c>
      <x:c r="J38" s="11" t="str">
        <x:f>IF(OR('02 Source Families'!L7&gt;=E12,G12=1),"PASS","FAIL")</x:f>
        <x:v>PASS</x:v>
      </x:c>
      <x:c r="K38" s="11" t="str">
        <x:f>IF(OR('02 Source Families'!M7&gt;=E12,G12=1),"PASS","FAIL")</x:f>
        <x:v>PASS</x:v>
      </x:c>
      <x:c r="L38" s="11" t="str">
        <x:f>IF(OR('02 Source Families'!N7=0,H12=1,'02 Source Families'!O7&gt;=E12),"PASS","FAIL")</x:f>
        <x:v>FAIL</x:v>
      </x:c>
      <x:c r="M38" s="11" t="str">
        <x:f>IF(OR(I12=0,'02 Source Families'!P7=1),"PASS","FAIL")</x:f>
        <x:v>PASS</x:v>
      </x:c>
      <x:c r="N38" s="26" t="n">
        <x:f>IF(AND(E38=1,F38=1,G38="PASS",H38="PASS",I38="PASS",J38="PASS",K38="PASS",L38="PASS",M38="PASS"),'01 Controls'!$D$6,0)</x:f>
        <x:v>0</x:v>
      </x:c>
      <x:c r="O38" s="11" t="str">
        <x:f>IF(N38&gt;='01 Controls'!$D$6,"PASS","FAIL")</x:f>
        <x:v>FAIL</x:v>
      </x:c>
      <x:c r="P38" s="11" t="str">
        <x:f>"DENIED"</x:f>
        <x:v>DENIED</x:v>
      </x:c>
      <x:c r="Q38" s="11" t="str">
        <x:f>IF(E38=0,"SOURCE",IF(F38=0,"ACCESS",IF(G38="FAIL","CAPACITY",IF(H38="FAIL","SETUP",IF(I38="FAIL","POWER",IF(J38="FAIL","ENDURANCE",IF(K38="FAIL","CONSUMABLES",IF(L38="FAIL","RESIDUAL",IF(M38="FAIL","COLD","NONE")))))))))</x:f>
        <x:v>SOURCE</x:v>
      </x:c>
      <x:c r="R38" s="26" t="n">
        <x:f>E12</x:f>
        <x:v>14</x:v>
      </x:c>
      <x:c r="S38" s="26" t="n">
        <x:f>IF(C38="C4",'01 Controls'!$D$6*R38,0)</x:f>
        <x:v>0</x:v>
      </x:c>
      <x:c r="T38" s="29"/>
    </x:row>
    <x:row r="39" ht="31" customHeight="1">
      <x:c r="C39" s="11" t="str">
        <x:v>C2</x:v>
      </x:c>
      <x:c r="D39" s="11" t="str">
        <x:v>W8</x:v>
      </x:c>
      <x:c r="E39" s="24" t="n">
        <x:f>L13</x:f>
        <x:v>0</x:v>
      </x:c>
      <x:c r="F39" s="24" t="n">
        <x:f>M13</x:f>
        <x:v>0</x:v>
      </x:c>
      <x:c r="G39" s="11" t="str">
        <x:f>IF('02 Source Families'!F7&gt;='01 Controls'!$D$6,"PASS","FAIL")</x:f>
        <x:v>PASS</x:v>
      </x:c>
      <x:c r="H39" s="11" t="str">
        <x:f>IF('02 Source Families'!G7&lt;='01 Controls'!$D$7,"PASS","FAIL")</x:f>
        <x:v>PASS</x:v>
      </x:c>
      <x:c r="I39" s="11" t="str">
        <x:f>IF(OR('02 Source Families'!K7&gt;='02 Source Families'!J7,F13=1),"PASS","FAIL")</x:f>
        <x:v>PASS</x:v>
      </x:c>
      <x:c r="J39" s="11" t="str">
        <x:f>IF(OR('02 Source Families'!L7&gt;=E13,G13=1),"PASS","FAIL")</x:f>
        <x:v>PASS</x:v>
      </x:c>
      <x:c r="K39" s="11" t="str">
        <x:f>IF(OR('02 Source Families'!M7&gt;=E13,G13=1),"PASS","FAIL")</x:f>
        <x:v>PASS</x:v>
      </x:c>
      <x:c r="L39" s="11" t="str">
        <x:f>IF(OR('02 Source Families'!N7=0,H13=1,'02 Source Families'!O7&gt;=E13),"PASS","FAIL")</x:f>
        <x:v>PASS</x:v>
      </x:c>
      <x:c r="M39" s="11" t="str">
        <x:f>IF(OR(I13=0,'02 Source Families'!P7=1),"PASS","FAIL")</x:f>
        <x:v>PASS</x:v>
      </x:c>
      <x:c r="N39" s="26" t="n">
        <x:f>IF(AND(E39=1,F39=1,G39="PASS",H39="PASS",I39="PASS",J39="PASS",K39="PASS",L39="PASS",M39="PASS"),'01 Controls'!$D$6,0)</x:f>
        <x:v>0</x:v>
      </x:c>
      <x:c r="O39" s="11" t="str">
        <x:f>IF(N39&gt;='01 Controls'!$D$6,"PASS","FAIL")</x:f>
        <x:v>FAIL</x:v>
      </x:c>
      <x:c r="P39" s="11" t="str">
        <x:f>"DENIED"</x:f>
        <x:v>DENIED</x:v>
      </x:c>
      <x:c r="Q39" s="11" t="str">
        <x:f>IF(E39=0,"SOURCE",IF(F39=0,"ACCESS",IF(G39="FAIL","CAPACITY",IF(H39="FAIL","SETUP",IF(I39="FAIL","POWER",IF(J39="FAIL","ENDURANCE",IF(K39="FAIL","CONSUMABLES",IF(L39="FAIL","RESIDUAL",IF(M39="FAIL","COLD","NONE")))))))))</x:f>
        <x:v>SOURCE</x:v>
      </x:c>
      <x:c r="R39" s="26" t="n">
        <x:f>E13</x:f>
        <x:v>7</x:v>
      </x:c>
      <x:c r="S39" s="26" t="n">
        <x:f>IF(C39="C4",'01 Controls'!$D$6*R39,0)</x:f>
        <x:v>0</x:v>
      </x:c>
      <x:c r="T39" s="29"/>
    </x:row>
    <x:row r="40" ht="31" customHeight="1">
      <x:c r="C40" s="11" t="str">
        <x:v>C2</x:v>
      </x:c>
      <x:c r="D40" s="11" t="str">
        <x:v>W9</x:v>
      </x:c>
      <x:c r="E40" s="24" t="n">
        <x:f>L14</x:f>
        <x:v>1</x:v>
      </x:c>
      <x:c r="F40" s="24" t="n">
        <x:f>M14</x:f>
        <x:v>1</x:v>
      </x:c>
      <x:c r="G40" s="11" t="str">
        <x:f>IF('02 Source Families'!F7&gt;='01 Controls'!$D$6,"PASS","FAIL")</x:f>
        <x:v>PASS</x:v>
      </x:c>
      <x:c r="H40" s="11" t="str">
        <x:f>IF('02 Source Families'!G7&lt;='01 Controls'!$D$7,"PASS","FAIL")</x:f>
        <x:v>PASS</x:v>
      </x:c>
      <x:c r="I40" s="11" t="str">
        <x:f>IF(OR('02 Source Families'!K7&gt;='02 Source Families'!J7,F14=1),"PASS","FAIL")</x:f>
        <x:v>PASS</x:v>
      </x:c>
      <x:c r="J40" s="11" t="str">
        <x:f>IF(OR('02 Source Families'!L7&gt;=E14,G14=1),"PASS","FAIL")</x:f>
        <x:v>PASS</x:v>
      </x:c>
      <x:c r="K40" s="11" t="str">
        <x:f>IF(OR('02 Source Families'!M7&gt;=E14,G14=1),"PASS","FAIL")</x:f>
        <x:v>PASS</x:v>
      </x:c>
      <x:c r="L40" s="11" t="str">
        <x:f>IF(OR('02 Source Families'!N7=0,H14=1,'02 Source Families'!O7&gt;=E14),"PASS","FAIL")</x:f>
        <x:v>PASS</x:v>
      </x:c>
      <x:c r="M40" s="11" t="str">
        <x:f>IF(OR(I14=0,'02 Source Families'!P7=1),"PASS","FAIL")</x:f>
        <x:v>PASS</x:v>
      </x:c>
      <x:c r="N40" s="26" t="n">
        <x:f>IF(AND(E40=1,F40=1,G40="PASS",H40="PASS",I40="PASS",J40="PASS",K40="PASS",L40="PASS",M40="PASS"),'01 Controls'!$D$6,0)</x:f>
        <x:v>5000</x:v>
      </x:c>
      <x:c r="O40" s="11" t="str">
        <x:f>IF(N40&gt;='01 Controls'!$D$6,"PASS","FAIL")</x:f>
        <x:v>PASS</x:v>
      </x:c>
      <x:c r="P40" s="11" t="str">
        <x:f>"DENIED"</x:f>
        <x:v>DENIED</x:v>
      </x:c>
      <x:c r="Q40" s="11" t="str">
        <x:f>IF(E40=0,"SOURCE",IF(F40=0,"ACCESS",IF(G40="FAIL","CAPACITY",IF(H40="FAIL","SETUP",IF(I40="FAIL","POWER",IF(J40="FAIL","ENDURANCE",IF(K40="FAIL","CONSUMABLES",IF(L40="FAIL","RESIDUAL",IF(M40="FAIL","COLD","NONE")))))))))</x:f>
        <x:v>NONE</x:v>
      </x:c>
      <x:c r="R40" s="26" t="n">
        <x:f>E14</x:f>
        <x:v>30</x:v>
      </x:c>
      <x:c r="S40" s="26" t="n">
        <x:f>IF(C40="C4",'01 Controls'!$D$6*R40,0)</x:f>
        <x:v>0</x:v>
      </x:c>
      <x:c r="T40" s="29"/>
    </x:row>
    <x:row r="41" ht="31" customHeight="1">
      <x:c r="C41" s="11" t="str">
        <x:v>C2</x:v>
      </x:c>
      <x:c r="D41" s="11" t="str">
        <x:v>W10</x:v>
      </x:c>
      <x:c r="E41" s="24" t="n">
        <x:f>L15</x:f>
        <x:v>0</x:v>
      </x:c>
      <x:c r="F41" s="24" t="n">
        <x:f>M15</x:f>
        <x:v>0</x:v>
      </x:c>
      <x:c r="G41" s="11" t="str">
        <x:f>IF('02 Source Families'!F7&gt;='01 Controls'!$D$6,"PASS","FAIL")</x:f>
        <x:v>PASS</x:v>
      </x:c>
      <x:c r="H41" s="11" t="str">
        <x:f>IF('02 Source Families'!G7&lt;='01 Controls'!$D$7,"PASS","FAIL")</x:f>
        <x:v>PASS</x:v>
      </x:c>
      <x:c r="I41" s="11" t="str">
        <x:f>IF(OR('02 Source Families'!K7&gt;='02 Source Families'!J7,F15=1),"PASS","FAIL")</x:f>
        <x:v>PASS</x:v>
      </x:c>
      <x:c r="J41" s="11" t="str">
        <x:f>IF(OR('02 Source Families'!L7&gt;=E15,G15=1),"PASS","FAIL")</x:f>
        <x:v>PASS</x:v>
      </x:c>
      <x:c r="K41" s="11" t="str">
        <x:f>IF(OR('02 Source Families'!M7&gt;=E15,G15=1),"PASS","FAIL")</x:f>
        <x:v>PASS</x:v>
      </x:c>
      <x:c r="L41" s="11" t="str">
        <x:f>IF(OR('02 Source Families'!N7=0,H15=1,'02 Source Families'!O7&gt;=E15),"PASS","FAIL")</x:f>
        <x:v>PASS</x:v>
      </x:c>
      <x:c r="M41" s="11" t="str">
        <x:f>IF(OR(I15=0,'02 Source Families'!P7=1),"PASS","FAIL")</x:f>
        <x:v>PASS</x:v>
      </x:c>
      <x:c r="N41" s="26" t="n">
        <x:f>IF(AND(E41=1,F41=1,G41="PASS",H41="PASS",I41="PASS",J41="PASS",K41="PASS",L41="PASS",M41="PASS"),'01 Controls'!$D$6,0)</x:f>
        <x:v>0</x:v>
      </x:c>
      <x:c r="O41" s="11" t="str">
        <x:f>IF(N41&gt;='01 Controls'!$D$6,"PASS","FAIL")</x:f>
        <x:v>FAIL</x:v>
      </x:c>
      <x:c r="P41" s="11" t="str">
        <x:f>"DENIED"</x:f>
        <x:v>DENIED</x:v>
      </x:c>
      <x:c r="Q41" s="11" t="str">
        <x:f>IF(E41=0,"SOURCE",IF(F41=0,"ACCESS",IF(G41="FAIL","CAPACITY",IF(H41="FAIL","SETUP",IF(I41="FAIL","POWER",IF(J41="FAIL","ENDURANCE",IF(K41="FAIL","CONSUMABLES",IF(L41="FAIL","RESIDUAL",IF(M41="FAIL","COLD","NONE")))))))))</x:f>
        <x:v>SOURCE</x:v>
      </x:c>
      <x:c r="R41" s="26" t="n">
        <x:f>E15</x:f>
        <x:v>14</x:v>
      </x:c>
      <x:c r="S41" s="26" t="n">
        <x:f>IF(C41="C4",'01 Controls'!$D$6*R41,0)</x:f>
        <x:v>0</x:v>
      </x:c>
      <x:c r="T41" s="29"/>
    </x:row>
    <x:row r="42" ht="31" customHeight="1">
      <x:c r="C42" s="11" t="str">
        <x:v>C2</x:v>
      </x:c>
      <x:c r="D42" s="11" t="str">
        <x:v>W11</x:v>
      </x:c>
      <x:c r="E42" s="24" t="n">
        <x:f>L16</x:f>
        <x:v>1</x:v>
      </x:c>
      <x:c r="F42" s="24" t="n">
        <x:f>M16</x:f>
        <x:v>1</x:v>
      </x:c>
      <x:c r="G42" s="11" t="str">
        <x:f>IF('02 Source Families'!F7&gt;='01 Controls'!$D$6,"PASS","FAIL")</x:f>
        <x:v>PASS</x:v>
      </x:c>
      <x:c r="H42" s="11" t="str">
        <x:f>IF('02 Source Families'!G7&lt;='01 Controls'!$D$7,"PASS","FAIL")</x:f>
        <x:v>PASS</x:v>
      </x:c>
      <x:c r="I42" s="11" t="str">
        <x:f>IF(OR('02 Source Families'!K7&gt;='02 Source Families'!J7,F16=1),"PASS","FAIL")</x:f>
        <x:v>PASS</x:v>
      </x:c>
      <x:c r="J42" s="11" t="str">
        <x:f>IF(OR('02 Source Families'!L7&gt;=E16,G16=1),"PASS","FAIL")</x:f>
        <x:v>PASS</x:v>
      </x:c>
      <x:c r="K42" s="11" t="str">
        <x:f>IF(OR('02 Source Families'!M7&gt;=E16,G16=1),"PASS","FAIL")</x:f>
        <x:v>FAIL</x:v>
      </x:c>
      <x:c r="L42" s="11" t="str">
        <x:f>IF(OR('02 Source Families'!N7=0,H16=1,'02 Source Families'!O7&gt;=E16),"PASS","FAIL")</x:f>
        <x:v>PASS</x:v>
      </x:c>
      <x:c r="M42" s="11" t="str">
        <x:f>IF(OR(I16=0,'02 Source Families'!P7=1),"PASS","FAIL")</x:f>
        <x:v>PASS</x:v>
      </x:c>
      <x:c r="N42" s="26" t="n">
        <x:f>IF(AND(E42=1,F42=1,G42="PASS",H42="PASS",I42="PASS",J42="PASS",K42="PASS",L42="PASS",M42="PASS"),'01 Controls'!$D$6,0)</x:f>
        <x:v>0</x:v>
      </x:c>
      <x:c r="O42" s="11" t="str">
        <x:f>IF(N42&gt;='01 Controls'!$D$6,"PASS","FAIL")</x:f>
        <x:v>FAIL</x:v>
      </x:c>
      <x:c r="P42" s="11" t="str">
        <x:f>"DENIED"</x:f>
        <x:v>DENIED</x:v>
      </x:c>
      <x:c r="Q42" s="11" t="str">
        <x:f>IF(E42=0,"SOURCE",IF(F42=0,"ACCESS",IF(G42="FAIL","CAPACITY",IF(H42="FAIL","SETUP",IF(I42="FAIL","POWER",IF(J42="FAIL","ENDURANCE",IF(K42="FAIL","CONSUMABLES",IF(L42="FAIL","RESIDUAL",IF(M42="FAIL","COLD","NONE")))))))))</x:f>
        <x:v>CONSUMABLES</x:v>
      </x:c>
      <x:c r="R42" s="26" t="n">
        <x:f>E16</x:f>
        <x:v>30</x:v>
      </x:c>
      <x:c r="S42" s="26" t="n">
        <x:f>IF(C42="C4",'01 Controls'!$D$6*R42,0)</x:f>
        <x:v>0</x:v>
      </x:c>
      <x:c r="T42" s="29"/>
    </x:row>
    <x:row r="43" ht="31" customHeight="1">
      <x:c r="C43" s="11" t="str">
        <x:v>C2</x:v>
      </x:c>
      <x:c r="D43" s="11" t="str">
        <x:v>W12</x:v>
      </x:c>
      <x:c r="E43" s="24" t="n">
        <x:f>L17</x:f>
        <x:v>0</x:v>
      </x:c>
      <x:c r="F43" s="24" t="n">
        <x:f>M17</x:f>
        <x:v>0</x:v>
      </x:c>
      <x:c r="G43" s="11" t="str">
        <x:f>IF('02 Source Families'!F7&gt;='01 Controls'!$D$6,"PASS","FAIL")</x:f>
        <x:v>PASS</x:v>
      </x:c>
      <x:c r="H43" s="11" t="str">
        <x:f>IF('02 Source Families'!G7&lt;='01 Controls'!$D$7,"PASS","FAIL")</x:f>
        <x:v>PASS</x:v>
      </x:c>
      <x:c r="I43" s="11" t="str">
        <x:f>IF(OR('02 Source Families'!K7&gt;='02 Source Families'!J7,F17=1),"PASS","FAIL")</x:f>
        <x:v>PASS</x:v>
      </x:c>
      <x:c r="J43" s="11" t="str">
        <x:f>IF(OR('02 Source Families'!L7&gt;=E17,G17=1),"PASS","FAIL")</x:f>
        <x:v>PASS</x:v>
      </x:c>
      <x:c r="K43" s="11" t="str">
        <x:f>IF(OR('02 Source Families'!M7&gt;=E17,G17=1),"PASS","FAIL")</x:f>
        <x:v>PASS</x:v>
      </x:c>
      <x:c r="L43" s="11" t="str">
        <x:f>IF(OR('02 Source Families'!N7=0,H17=1,'02 Source Families'!O7&gt;=E17),"PASS","FAIL")</x:f>
        <x:v>PASS</x:v>
      </x:c>
      <x:c r="M43" s="11" t="str">
        <x:f>IF(OR(I17=0,'02 Source Families'!P7=1),"PASS","FAIL")</x:f>
        <x:v>PASS</x:v>
      </x:c>
      <x:c r="N43" s="26" t="n">
        <x:f>IF(AND(E43=1,F43=1,G43="PASS",H43="PASS",I43="PASS",J43="PASS",K43="PASS",L43="PASS",M43="PASS"),'01 Controls'!$D$6,0)</x:f>
        <x:v>0</x:v>
      </x:c>
      <x:c r="O43" s="11" t="str">
        <x:f>IF(N43&gt;='01 Controls'!$D$6,"PASS","FAIL")</x:f>
        <x:v>FAIL</x:v>
      </x:c>
      <x:c r="P43" s="11" t="str">
        <x:f>"DENIED"</x:f>
        <x:v>DENIED</x:v>
      </x:c>
      <x:c r="Q43" s="11" t="str">
        <x:f>IF(E43=0,"SOURCE",IF(F43=0,"ACCESS",IF(G43="FAIL","CAPACITY",IF(H43="FAIL","SETUP",IF(I43="FAIL","POWER",IF(J43="FAIL","ENDURANCE",IF(K43="FAIL","CONSUMABLES",IF(L43="FAIL","RESIDUAL",IF(M43="FAIL","COLD","NONE")))))))))</x:f>
        <x:v>SOURCE</x:v>
      </x:c>
      <x:c r="R43" s="26" t="n">
        <x:f>E17</x:f>
        <x:v>3</x:v>
      </x:c>
      <x:c r="S43" s="26" t="n">
        <x:f>IF(C43="C4",'01 Controls'!$D$6*R43,0)</x:f>
        <x:v>0</x:v>
      </x:c>
      <x:c r="T43" s="29"/>
    </x:row>
    <x:row r="44" ht="31" customHeight="1">
      <x:c r="C44" s="11" t="str">
        <x:v>C3</x:v>
      </x:c>
      <x:c r="D44" s="11" t="str">
        <x:v>W1</x:v>
      </x:c>
      <x:c r="E44" s="24" t="n">
        <x:f>N6</x:f>
        <x:v>1</x:v>
      </x:c>
      <x:c r="F44" s="24" t="n">
        <x:f>O6</x:f>
        <x:v>0</x:v>
      </x:c>
      <x:c r="G44" s="11" t="str">
        <x:f>IF('02 Source Families'!F8&gt;='01 Controls'!$D$6,"PASS","FAIL")</x:f>
        <x:v>PASS</x:v>
      </x:c>
      <x:c r="H44" s="11" t="str">
        <x:f>IF('02 Source Families'!G8&lt;='01 Controls'!$D$7,"PASS","FAIL")</x:f>
        <x:v>PASS</x:v>
      </x:c>
      <x:c r="I44" s="11" t="str">
        <x:f>IF(OR('02 Source Families'!K8&gt;='02 Source Families'!J8,F6=1),"PASS","FAIL")</x:f>
        <x:v>PASS</x:v>
      </x:c>
      <x:c r="J44" s="11" t="str">
        <x:f>IF(OR('02 Source Families'!L8&gt;=E6,G6=1),"PASS","FAIL")</x:f>
        <x:v>PASS</x:v>
      </x:c>
      <x:c r="K44" s="11" t="str">
        <x:f>IF(OR('02 Source Families'!M8&gt;=E6,G6=1),"PASS","FAIL")</x:f>
        <x:v>PASS</x:v>
      </x:c>
      <x:c r="L44" s="11" t="str">
        <x:f>IF(OR('02 Source Families'!N8=0,H6=1,'02 Source Families'!O8&gt;=E6),"PASS","FAIL")</x:f>
        <x:v>PASS</x:v>
      </x:c>
      <x:c r="M44" s="11" t="str">
        <x:f>IF(OR(I6=0,'02 Source Families'!P8=1),"PASS","FAIL")</x:f>
        <x:v>PASS</x:v>
      </x:c>
      <x:c r="N44" s="26" t="n">
        <x:f>IF(AND(E44=1,F44=1,G44="PASS",H44="PASS",I44="PASS",J44="PASS",K44="PASS",L44="PASS",M44="PASS"),'01 Controls'!$D$6,0)</x:f>
        <x:v>0</x:v>
      </x:c>
      <x:c r="O44" s="11" t="str">
        <x:f>IF(N44&gt;='01 Controls'!$D$6,"PASS","FAIL")</x:f>
        <x:v>FAIL</x:v>
      </x:c>
      <x:c r="P44" s="11" t="str">
        <x:f>"DENIED"</x:f>
        <x:v>DENIED</x:v>
      </x:c>
      <x:c r="Q44" s="11" t="str">
        <x:f>IF(E44=0,"SOURCE",IF(F44=0,"ACCESS",IF(G44="FAIL","CAPACITY",IF(H44="FAIL","SETUP",IF(I44="FAIL","POWER",IF(J44="FAIL","ENDURANCE",IF(K44="FAIL","CONSUMABLES",IF(L44="FAIL","RESIDUAL",IF(M44="FAIL","COLD","NONE")))))))))</x:f>
        <x:v>ACCESS</x:v>
      </x:c>
      <x:c r="R44" s="26" t="n">
        <x:f>E6</x:f>
        <x:v>30</x:v>
      </x:c>
      <x:c r="S44" s="26" t="n">
        <x:f>IF(C44="C4",'01 Controls'!$D$6*R44,0)</x:f>
        <x:v>0</x:v>
      </x:c>
      <x:c r="T44" s="29"/>
    </x:row>
    <x:row r="45" ht="31" customHeight="1">
      <x:c r="C45" s="11" t="str">
        <x:v>C3</x:v>
      </x:c>
      <x:c r="D45" s="11" t="str">
        <x:v>W2</x:v>
      </x:c>
      <x:c r="E45" s="24" t="n">
        <x:f>N7</x:f>
        <x:v>0</x:v>
      </x:c>
      <x:c r="F45" s="24" t="n">
        <x:f>O7</x:f>
        <x:v>0</x:v>
      </x:c>
      <x:c r="G45" s="11" t="str">
        <x:f>IF('02 Source Families'!F8&gt;='01 Controls'!$D$6,"PASS","FAIL")</x:f>
        <x:v>PASS</x:v>
      </x:c>
      <x:c r="H45" s="11" t="str">
        <x:f>IF('02 Source Families'!G8&lt;='01 Controls'!$D$7,"PASS","FAIL")</x:f>
        <x:v>PASS</x:v>
      </x:c>
      <x:c r="I45" s="11" t="str">
        <x:f>IF(OR('02 Source Families'!K8&gt;='02 Source Families'!J8,F7=1),"PASS","FAIL")</x:f>
        <x:v>PASS</x:v>
      </x:c>
      <x:c r="J45" s="11" t="str">
        <x:f>IF(OR('02 Source Families'!L8&gt;=E7,G7=1),"PASS","FAIL")</x:f>
        <x:v>PASS</x:v>
      </x:c>
      <x:c r="K45" s="11" t="str">
        <x:f>IF(OR('02 Source Families'!M8&gt;=E7,G7=1),"PASS","FAIL")</x:f>
        <x:v>PASS</x:v>
      </x:c>
      <x:c r="L45" s="11" t="str">
        <x:f>IF(OR('02 Source Families'!N8=0,H7=1,'02 Source Families'!O8&gt;=E7),"PASS","FAIL")</x:f>
        <x:v>PASS</x:v>
      </x:c>
      <x:c r="M45" s="11" t="str">
        <x:f>IF(OR(I7=0,'02 Source Families'!P8=1),"PASS","FAIL")</x:f>
        <x:v>PASS</x:v>
      </x:c>
      <x:c r="N45" s="26" t="n">
        <x:f>IF(AND(E45=1,F45=1,G45="PASS",H45="PASS",I45="PASS",J45="PASS",K45="PASS",L45="PASS",M45="PASS"),'01 Controls'!$D$6,0)</x:f>
        <x:v>0</x:v>
      </x:c>
      <x:c r="O45" s="11" t="str">
        <x:f>IF(N45&gt;='01 Controls'!$D$6,"PASS","FAIL")</x:f>
        <x:v>FAIL</x:v>
      </x:c>
      <x:c r="P45" s="11" t="str">
        <x:f>"DENIED"</x:f>
        <x:v>DENIED</x:v>
      </x:c>
      <x:c r="Q45" s="11" t="str">
        <x:f>IF(E45=0,"SOURCE",IF(F45=0,"ACCESS",IF(G45="FAIL","CAPACITY",IF(H45="FAIL","SETUP",IF(I45="FAIL","POWER",IF(J45="FAIL","ENDURANCE",IF(K45="FAIL","CONSUMABLES",IF(L45="FAIL","RESIDUAL",IF(M45="FAIL","COLD","NONE")))))))))</x:f>
        <x:v>SOURCE</x:v>
      </x:c>
      <x:c r="R45" s="26" t="n">
        <x:f>E7</x:f>
        <x:v>30</x:v>
      </x:c>
      <x:c r="S45" s="26" t="n">
        <x:f>IF(C45="C4",'01 Controls'!$D$6*R45,0)</x:f>
        <x:v>0</x:v>
      </x:c>
      <x:c r="T45" s="29"/>
    </x:row>
    <x:row r="46" ht="31" customHeight="1">
      <x:c r="C46" s="11" t="str">
        <x:v>C3</x:v>
      </x:c>
      <x:c r="D46" s="11" t="str">
        <x:v>W3</x:v>
      </x:c>
      <x:c r="E46" s="24" t="n">
        <x:f>N8</x:f>
        <x:v>0</x:v>
      </x:c>
      <x:c r="F46" s="24" t="n">
        <x:f>O8</x:f>
        <x:v>0</x:v>
      </x:c>
      <x:c r="G46" s="11" t="str">
        <x:f>IF('02 Source Families'!F8&gt;='01 Controls'!$D$6,"PASS","FAIL")</x:f>
        <x:v>PASS</x:v>
      </x:c>
      <x:c r="H46" s="11" t="str">
        <x:f>IF('02 Source Families'!G8&lt;='01 Controls'!$D$7,"PASS","FAIL")</x:f>
        <x:v>PASS</x:v>
      </x:c>
      <x:c r="I46" s="11" t="str">
        <x:f>IF(OR('02 Source Families'!K8&gt;='02 Source Families'!J8,F8=1),"PASS","FAIL")</x:f>
        <x:v>PASS</x:v>
      </x:c>
      <x:c r="J46" s="11" t="str">
        <x:f>IF(OR('02 Source Families'!L8&gt;=E8,G8=1),"PASS","FAIL")</x:f>
        <x:v>PASS</x:v>
      </x:c>
      <x:c r="K46" s="11" t="str">
        <x:f>IF(OR('02 Source Families'!M8&gt;=E8,G8=1),"PASS","FAIL")</x:f>
        <x:v>PASS</x:v>
      </x:c>
      <x:c r="L46" s="11" t="str">
        <x:f>IF(OR('02 Source Families'!N8=0,H8=1,'02 Source Families'!O8&gt;=E8),"PASS","FAIL")</x:f>
        <x:v>PASS</x:v>
      </x:c>
      <x:c r="M46" s="11" t="str">
        <x:f>IF(OR(I8=0,'02 Source Families'!P8=1),"PASS","FAIL")</x:f>
        <x:v>PASS</x:v>
      </x:c>
      <x:c r="N46" s="26" t="n">
        <x:f>IF(AND(E46=1,F46=1,G46="PASS",H46="PASS",I46="PASS",J46="PASS",K46="PASS",L46="PASS",M46="PASS"),'01 Controls'!$D$6,0)</x:f>
        <x:v>0</x:v>
      </x:c>
      <x:c r="O46" s="11" t="str">
        <x:f>IF(N46&gt;='01 Controls'!$D$6,"PASS","FAIL")</x:f>
        <x:v>FAIL</x:v>
      </x:c>
      <x:c r="P46" s="11" t="str">
        <x:f>"DENIED"</x:f>
        <x:v>DENIED</x:v>
      </x:c>
      <x:c r="Q46" s="11" t="str">
        <x:f>IF(E46=0,"SOURCE",IF(F46=0,"ACCESS",IF(G46="FAIL","CAPACITY",IF(H46="FAIL","SETUP",IF(I46="FAIL","POWER",IF(J46="FAIL","ENDURANCE",IF(K46="FAIL","CONSUMABLES",IF(L46="FAIL","RESIDUAL",IF(M46="FAIL","COLD","NONE")))))))))</x:f>
        <x:v>SOURCE</x:v>
      </x:c>
      <x:c r="R46" s="26" t="n">
        <x:f>E8</x:f>
        <x:v>7</x:v>
      </x:c>
      <x:c r="S46" s="26" t="n">
        <x:f>IF(C46="C4",'01 Controls'!$D$6*R46,0)</x:f>
        <x:v>0</x:v>
      </x:c>
      <x:c r="T46" s="29"/>
    </x:row>
    <x:row r="47" ht="31" customHeight="1">
      <x:c r="C47" s="11" t="str">
        <x:v>C3</x:v>
      </x:c>
      <x:c r="D47" s="11" t="str">
        <x:v>W4</x:v>
      </x:c>
      <x:c r="E47" s="24" t="n">
        <x:f>N9</x:f>
        <x:v>0</x:v>
      </x:c>
      <x:c r="F47" s="24" t="n">
        <x:f>O9</x:f>
        <x:v>0</x:v>
      </x:c>
      <x:c r="G47" s="11" t="str">
        <x:f>IF('02 Source Families'!F8&gt;='01 Controls'!$D$6,"PASS","FAIL")</x:f>
        <x:v>PASS</x:v>
      </x:c>
      <x:c r="H47" s="11" t="str">
        <x:f>IF('02 Source Families'!G8&lt;='01 Controls'!$D$7,"PASS","FAIL")</x:f>
        <x:v>PASS</x:v>
      </x:c>
      <x:c r="I47" s="11" t="str">
        <x:f>IF(OR('02 Source Families'!K8&gt;='02 Source Families'!J8,F9=1),"PASS","FAIL")</x:f>
        <x:v>PASS</x:v>
      </x:c>
      <x:c r="J47" s="11" t="str">
        <x:f>IF(OR('02 Source Families'!L8&gt;=E9,G9=1),"PASS","FAIL")</x:f>
        <x:v>PASS</x:v>
      </x:c>
      <x:c r="K47" s="11" t="str">
        <x:f>IF(OR('02 Source Families'!M8&gt;=E9,G9=1),"PASS","FAIL")</x:f>
        <x:v>PASS</x:v>
      </x:c>
      <x:c r="L47" s="11" t="str">
        <x:f>IF(OR('02 Source Families'!N8=0,H9=1,'02 Source Families'!O8&gt;=E9),"PASS","FAIL")</x:f>
        <x:v>PASS</x:v>
      </x:c>
      <x:c r="M47" s="11" t="str">
        <x:f>IF(OR(I9=0,'02 Source Families'!P8=1),"PASS","FAIL")</x:f>
        <x:v>PASS</x:v>
      </x:c>
      <x:c r="N47" s="26" t="n">
        <x:f>IF(AND(E47=1,F47=1,G47="PASS",H47="PASS",I47="PASS",J47="PASS",K47="PASS",L47="PASS",M47="PASS"),'01 Controls'!$D$6,0)</x:f>
        <x:v>0</x:v>
      </x:c>
      <x:c r="O47" s="11" t="str">
        <x:f>IF(N47&gt;='01 Controls'!$D$6,"PASS","FAIL")</x:f>
        <x:v>FAIL</x:v>
      </x:c>
      <x:c r="P47" s="11" t="str">
        <x:f>"DENIED"</x:f>
        <x:v>DENIED</x:v>
      </x:c>
      <x:c r="Q47" s="11" t="str">
        <x:f>IF(E47=0,"SOURCE",IF(F47=0,"ACCESS",IF(G47="FAIL","CAPACITY",IF(H47="FAIL","SETUP",IF(I47="FAIL","POWER",IF(J47="FAIL","ENDURANCE",IF(K47="FAIL","CONSUMABLES",IF(L47="FAIL","RESIDUAL",IF(M47="FAIL","COLD","NONE")))))))))</x:f>
        <x:v>SOURCE</x:v>
      </x:c>
      <x:c r="R47" s="26" t="n">
        <x:f>E9</x:f>
        <x:v>30</x:v>
      </x:c>
      <x:c r="S47" s="26" t="n">
        <x:f>IF(C47="C4",'01 Controls'!$D$6*R47,0)</x:f>
        <x:v>0</x:v>
      </x:c>
      <x:c r="T47" s="29"/>
    </x:row>
    <x:row r="48" ht="31" customHeight="1">
      <x:c r="C48" s="11" t="str">
        <x:v>C3</x:v>
      </x:c>
      <x:c r="D48" s="11" t="str">
        <x:v>W5</x:v>
      </x:c>
      <x:c r="E48" s="24" t="n">
        <x:f>N10</x:f>
        <x:v>0</x:v>
      </x:c>
      <x:c r="F48" s="24" t="n">
        <x:f>O10</x:f>
        <x:v>0</x:v>
      </x:c>
      <x:c r="G48" s="11" t="str">
        <x:f>IF('02 Source Families'!F8&gt;='01 Controls'!$D$6,"PASS","FAIL")</x:f>
        <x:v>PASS</x:v>
      </x:c>
      <x:c r="H48" s="11" t="str">
        <x:f>IF('02 Source Families'!G8&lt;='01 Controls'!$D$7,"PASS","FAIL")</x:f>
        <x:v>PASS</x:v>
      </x:c>
      <x:c r="I48" s="11" t="str">
        <x:f>IF(OR('02 Source Families'!K8&gt;='02 Source Families'!J8,F10=1),"PASS","FAIL")</x:f>
        <x:v>PASS</x:v>
      </x:c>
      <x:c r="J48" s="11" t="str">
        <x:f>IF(OR('02 Source Families'!L8&gt;=E10,G10=1),"PASS","FAIL")</x:f>
        <x:v>PASS</x:v>
      </x:c>
      <x:c r="K48" s="11" t="str">
        <x:f>IF(OR('02 Source Families'!M8&gt;=E10,G10=1),"PASS","FAIL")</x:f>
        <x:v>PASS</x:v>
      </x:c>
      <x:c r="L48" s="11" t="str">
        <x:f>IF(OR('02 Source Families'!N8=0,H10=1,'02 Source Families'!O8&gt;=E10),"PASS","FAIL")</x:f>
        <x:v>PASS</x:v>
      </x:c>
      <x:c r="M48" s="11" t="str">
        <x:f>IF(OR(I10=0,'02 Source Families'!P8=1),"PASS","FAIL")</x:f>
        <x:v>PASS</x:v>
      </x:c>
      <x:c r="N48" s="26" t="n">
        <x:f>IF(AND(E48=1,F48=1,G48="PASS",H48="PASS",I48="PASS",J48="PASS",K48="PASS",L48="PASS",M48="PASS"),'01 Controls'!$D$6,0)</x:f>
        <x:v>0</x:v>
      </x:c>
      <x:c r="O48" s="11" t="str">
        <x:f>IF(N48&gt;='01 Controls'!$D$6,"PASS","FAIL")</x:f>
        <x:v>FAIL</x:v>
      </x:c>
      <x:c r="P48" s="11" t="str">
        <x:f>"DENIED"</x:f>
        <x:v>DENIED</x:v>
      </x:c>
      <x:c r="Q48" s="11" t="str">
        <x:f>IF(E48=0,"SOURCE",IF(F48=0,"ACCESS",IF(G48="FAIL","CAPACITY",IF(H48="FAIL","SETUP",IF(I48="FAIL","POWER",IF(J48="FAIL","ENDURANCE",IF(K48="FAIL","CONSUMABLES",IF(L48="FAIL","RESIDUAL",IF(M48="FAIL","COLD","NONE")))))))))</x:f>
        <x:v>SOURCE</x:v>
      </x:c>
      <x:c r="R48" s="26" t="n">
        <x:f>E10</x:f>
        <x:v>30</x:v>
      </x:c>
      <x:c r="S48" s="26" t="n">
        <x:f>IF(C48="C4",'01 Controls'!$D$6*R48,0)</x:f>
        <x:v>0</x:v>
      </x:c>
      <x:c r="T48" s="29"/>
    </x:row>
    <x:row r="49" ht="31" customHeight="1">
      <x:c r="C49" s="11" t="str">
        <x:v>C3</x:v>
      </x:c>
      <x:c r="D49" s="11" t="str">
        <x:v>W6</x:v>
      </x:c>
      <x:c r="E49" s="24" t="n">
        <x:f>N11</x:f>
        <x:v>1</x:v>
      </x:c>
      <x:c r="F49" s="24" t="n">
        <x:f>O11</x:f>
        <x:v>1</x:v>
      </x:c>
      <x:c r="G49" s="11" t="str">
        <x:f>IF('02 Source Families'!F8&gt;='01 Controls'!$D$6,"PASS","FAIL")</x:f>
        <x:v>PASS</x:v>
      </x:c>
      <x:c r="H49" s="11" t="str">
        <x:f>IF('02 Source Families'!G8&lt;='01 Controls'!$D$7,"PASS","FAIL")</x:f>
        <x:v>PASS</x:v>
      </x:c>
      <x:c r="I49" s="11" t="str">
        <x:f>IF(OR('02 Source Families'!K8&gt;='02 Source Families'!J8,F11=1),"PASS","FAIL")</x:f>
        <x:v>PASS</x:v>
      </x:c>
      <x:c r="J49" s="11" t="str">
        <x:f>IF(OR('02 Source Families'!L8&gt;=E11,G11=1),"PASS","FAIL")</x:f>
        <x:v>PASS</x:v>
      </x:c>
      <x:c r="K49" s="11" t="str">
        <x:f>IF(OR('02 Source Families'!M8&gt;=E11,G11=1),"PASS","FAIL")</x:f>
        <x:v>PASS</x:v>
      </x:c>
      <x:c r="L49" s="11" t="str">
        <x:f>IF(OR('02 Source Families'!N8=0,H11=1,'02 Source Families'!O8&gt;=E11),"PASS","FAIL")</x:f>
        <x:v>PASS</x:v>
      </x:c>
      <x:c r="M49" s="11" t="str">
        <x:f>IF(OR(I11=0,'02 Source Families'!P8=1),"PASS","FAIL")</x:f>
        <x:v>PASS</x:v>
      </x:c>
      <x:c r="N49" s="26" t="n">
        <x:f>IF(AND(E49=1,F49=1,G49="PASS",H49="PASS",I49="PASS",J49="PASS",K49="PASS",L49="PASS",M49="PASS"),'01 Controls'!$D$6,0)</x:f>
        <x:v>5000</x:v>
      </x:c>
      <x:c r="O49" s="11" t="str">
        <x:f>IF(N49&gt;='01 Controls'!$D$6,"PASS","FAIL")</x:f>
        <x:v>PASS</x:v>
      </x:c>
      <x:c r="P49" s="11" t="str">
        <x:f>"DENIED"</x:f>
        <x:v>DENIED</x:v>
      </x:c>
      <x:c r="Q49" s="11" t="str">
        <x:f>IF(E49=0,"SOURCE",IF(F49=0,"ACCESS",IF(G49="FAIL","CAPACITY",IF(H49="FAIL","SETUP",IF(I49="FAIL","POWER",IF(J49="FAIL","ENDURANCE",IF(K49="FAIL","CONSUMABLES",IF(L49="FAIL","RESIDUAL",IF(M49="FAIL","COLD","NONE")))))))))</x:f>
        <x:v>NONE</x:v>
      </x:c>
      <x:c r="R49" s="26" t="n">
        <x:f>E11</x:f>
        <x:v>30</x:v>
      </x:c>
      <x:c r="S49" s="26" t="n">
        <x:f>IF(C49="C4",'01 Controls'!$D$6*R49,0)</x:f>
        <x:v>0</x:v>
      </x:c>
      <x:c r="T49" s="29"/>
    </x:row>
    <x:row r="50" ht="31" customHeight="1">
      <x:c r="C50" s="11" t="str">
        <x:v>C3</x:v>
      </x:c>
      <x:c r="D50" s="11" t="str">
        <x:v>W7</x:v>
      </x:c>
      <x:c r="E50" s="24" t="n">
        <x:f>N12</x:f>
        <x:v>1</x:v>
      </x:c>
      <x:c r="F50" s="24" t="n">
        <x:f>O12</x:f>
        <x:v>1</x:v>
      </x:c>
      <x:c r="G50" s="11" t="str">
        <x:f>IF('02 Source Families'!F8&gt;='01 Controls'!$D$6,"PASS","FAIL")</x:f>
        <x:v>PASS</x:v>
      </x:c>
      <x:c r="H50" s="11" t="str">
        <x:f>IF('02 Source Families'!G8&lt;='01 Controls'!$D$7,"PASS","FAIL")</x:f>
        <x:v>PASS</x:v>
      </x:c>
      <x:c r="I50" s="11" t="str">
        <x:f>IF(OR('02 Source Families'!K8&gt;='02 Source Families'!J8,F12=1),"PASS","FAIL")</x:f>
        <x:v>PASS</x:v>
      </x:c>
      <x:c r="J50" s="11" t="str">
        <x:f>IF(OR('02 Source Families'!L8&gt;=E12,G12=1),"PASS","FAIL")</x:f>
        <x:v>PASS</x:v>
      </x:c>
      <x:c r="K50" s="11" t="str">
        <x:f>IF(OR('02 Source Families'!M8&gt;=E12,G12=1),"PASS","FAIL")</x:f>
        <x:v>PASS</x:v>
      </x:c>
      <x:c r="L50" s="11" t="str">
        <x:f>IF(OR('02 Source Families'!N8=0,H12=1,'02 Source Families'!O8&gt;=E12),"PASS","FAIL")</x:f>
        <x:v>FAIL</x:v>
      </x:c>
      <x:c r="M50" s="11" t="str">
        <x:f>IF(OR(I12=0,'02 Source Families'!P8=1),"PASS","FAIL")</x:f>
        <x:v>PASS</x:v>
      </x:c>
      <x:c r="N50" s="26" t="n">
        <x:f>IF(AND(E50=1,F50=1,G50="PASS",H50="PASS",I50="PASS",J50="PASS",K50="PASS",L50="PASS",M50="PASS"),'01 Controls'!$D$6,0)</x:f>
        <x:v>0</x:v>
      </x:c>
      <x:c r="O50" s="11" t="str">
        <x:f>IF(N50&gt;='01 Controls'!$D$6,"PASS","FAIL")</x:f>
        <x:v>FAIL</x:v>
      </x:c>
      <x:c r="P50" s="11" t="str">
        <x:f>"DENIED"</x:f>
        <x:v>DENIED</x:v>
      </x:c>
      <x:c r="Q50" s="11" t="str">
        <x:f>IF(E50=0,"SOURCE",IF(F50=0,"ACCESS",IF(G50="FAIL","CAPACITY",IF(H50="FAIL","SETUP",IF(I50="FAIL","POWER",IF(J50="FAIL","ENDURANCE",IF(K50="FAIL","CONSUMABLES",IF(L50="FAIL","RESIDUAL",IF(M50="FAIL","COLD","NONE")))))))))</x:f>
        <x:v>RESIDUAL</x:v>
      </x:c>
      <x:c r="R50" s="26" t="n">
        <x:f>E12</x:f>
        <x:v>14</x:v>
      </x:c>
      <x:c r="S50" s="26" t="n">
        <x:f>IF(C50="C4",'01 Controls'!$D$6*R50,0)</x:f>
        <x:v>0</x:v>
      </x:c>
      <x:c r="T50" s="29"/>
    </x:row>
    <x:row r="51" ht="31" customHeight="1">
      <x:c r="C51" s="11" t="str">
        <x:v>C3</x:v>
      </x:c>
      <x:c r="D51" s="11" t="str">
        <x:v>W8</x:v>
      </x:c>
      <x:c r="E51" s="24" t="n">
        <x:f>N13</x:f>
        <x:v>0</x:v>
      </x:c>
      <x:c r="F51" s="24" t="n">
        <x:f>O13</x:f>
        <x:v>1</x:v>
      </x:c>
      <x:c r="G51" s="11" t="str">
        <x:f>IF('02 Source Families'!F8&gt;='01 Controls'!$D$6,"PASS","FAIL")</x:f>
        <x:v>PASS</x:v>
      </x:c>
      <x:c r="H51" s="11" t="str">
        <x:f>IF('02 Source Families'!G8&lt;='01 Controls'!$D$7,"PASS","FAIL")</x:f>
        <x:v>PASS</x:v>
      </x:c>
      <x:c r="I51" s="11" t="str">
        <x:f>IF(OR('02 Source Families'!K8&gt;='02 Source Families'!J8,F13=1),"PASS","FAIL")</x:f>
        <x:v>PASS</x:v>
      </x:c>
      <x:c r="J51" s="11" t="str">
        <x:f>IF(OR('02 Source Families'!L8&gt;=E13,G13=1),"PASS","FAIL")</x:f>
        <x:v>PASS</x:v>
      </x:c>
      <x:c r="K51" s="11" t="str">
        <x:f>IF(OR('02 Source Families'!M8&gt;=E13,G13=1),"PASS","FAIL")</x:f>
        <x:v>PASS</x:v>
      </x:c>
      <x:c r="L51" s="11" t="str">
        <x:f>IF(OR('02 Source Families'!N8=0,H13=1,'02 Source Families'!O8&gt;=E13),"PASS","FAIL")</x:f>
        <x:v>PASS</x:v>
      </x:c>
      <x:c r="M51" s="11" t="str">
        <x:f>IF(OR(I13=0,'02 Source Families'!P8=1),"PASS","FAIL")</x:f>
        <x:v>PASS</x:v>
      </x:c>
      <x:c r="N51" s="26" t="n">
        <x:f>IF(AND(E51=1,F51=1,G51="PASS",H51="PASS",I51="PASS",J51="PASS",K51="PASS",L51="PASS",M51="PASS"),'01 Controls'!$D$6,0)</x:f>
        <x:v>0</x:v>
      </x:c>
      <x:c r="O51" s="11" t="str">
        <x:f>IF(N51&gt;='01 Controls'!$D$6,"PASS","FAIL")</x:f>
        <x:v>FAIL</x:v>
      </x:c>
      <x:c r="P51" s="11" t="str">
        <x:f>"DENIED"</x:f>
        <x:v>DENIED</x:v>
      </x:c>
      <x:c r="Q51" s="11" t="str">
        <x:f>IF(E51=0,"SOURCE",IF(F51=0,"ACCESS",IF(G51="FAIL","CAPACITY",IF(H51="FAIL","SETUP",IF(I51="FAIL","POWER",IF(J51="FAIL","ENDURANCE",IF(K51="FAIL","CONSUMABLES",IF(L51="FAIL","RESIDUAL",IF(M51="FAIL","COLD","NONE")))))))))</x:f>
        <x:v>SOURCE</x:v>
      </x:c>
      <x:c r="R51" s="26" t="n">
        <x:f>E13</x:f>
        <x:v>7</x:v>
      </x:c>
      <x:c r="S51" s="26" t="n">
        <x:f>IF(C51="C4",'01 Controls'!$D$6*R51,0)</x:f>
        <x:v>0</x:v>
      </x:c>
      <x:c r="T51" s="29"/>
    </x:row>
    <x:row r="52" ht="31" customHeight="1">
      <x:c r="C52" s="11" t="str">
        <x:v>C3</x:v>
      </x:c>
      <x:c r="D52" s="11" t="str">
        <x:v>W9</x:v>
      </x:c>
      <x:c r="E52" s="24" t="n">
        <x:f>N14</x:f>
        <x:v>1</x:v>
      </x:c>
      <x:c r="F52" s="24" t="n">
        <x:f>O14</x:f>
        <x:v>1</x:v>
      </x:c>
      <x:c r="G52" s="11" t="str">
        <x:f>IF('02 Source Families'!F8&gt;='01 Controls'!$D$6,"PASS","FAIL")</x:f>
        <x:v>PASS</x:v>
      </x:c>
      <x:c r="H52" s="11" t="str">
        <x:f>IF('02 Source Families'!G8&lt;='01 Controls'!$D$7,"PASS","FAIL")</x:f>
        <x:v>PASS</x:v>
      </x:c>
      <x:c r="I52" s="11" t="str">
        <x:f>IF(OR('02 Source Families'!K8&gt;='02 Source Families'!J8,F14=1),"PASS","FAIL")</x:f>
        <x:v>PASS</x:v>
      </x:c>
      <x:c r="J52" s="11" t="str">
        <x:f>IF(OR('02 Source Families'!L8&gt;=E14,G14=1),"PASS","FAIL")</x:f>
        <x:v>PASS</x:v>
      </x:c>
      <x:c r="K52" s="11" t="str">
        <x:f>IF(OR('02 Source Families'!M8&gt;=E14,G14=1),"PASS","FAIL")</x:f>
        <x:v>PASS</x:v>
      </x:c>
      <x:c r="L52" s="11" t="str">
        <x:f>IF(OR('02 Source Families'!N8=0,H14=1,'02 Source Families'!O8&gt;=E14),"PASS","FAIL")</x:f>
        <x:v>PASS</x:v>
      </x:c>
      <x:c r="M52" s="11" t="str">
        <x:f>IF(OR(I14=0,'02 Source Families'!P8=1),"PASS","FAIL")</x:f>
        <x:v>FAIL</x:v>
      </x:c>
      <x:c r="N52" s="26" t="n">
        <x:f>IF(AND(E52=1,F52=1,G52="PASS",H52="PASS",I52="PASS",J52="PASS",K52="PASS",L52="PASS",M52="PASS"),'01 Controls'!$D$6,0)</x:f>
        <x:v>0</x:v>
      </x:c>
      <x:c r="O52" s="11" t="str">
        <x:f>IF(N52&gt;='01 Controls'!$D$6,"PASS","FAIL")</x:f>
        <x:v>FAIL</x:v>
      </x:c>
      <x:c r="P52" s="11" t="str">
        <x:f>"DENIED"</x:f>
        <x:v>DENIED</x:v>
      </x:c>
      <x:c r="Q52" s="11" t="str">
        <x:f>IF(E52=0,"SOURCE",IF(F52=0,"ACCESS",IF(G52="FAIL","CAPACITY",IF(H52="FAIL","SETUP",IF(I52="FAIL","POWER",IF(J52="FAIL","ENDURANCE",IF(K52="FAIL","CONSUMABLES",IF(L52="FAIL","RESIDUAL",IF(M52="FAIL","COLD","NONE")))))))))</x:f>
        <x:v>COLD</x:v>
      </x:c>
      <x:c r="R52" s="26" t="n">
        <x:f>E14</x:f>
        <x:v>30</x:v>
      </x:c>
      <x:c r="S52" s="26" t="n">
        <x:f>IF(C52="C4",'01 Controls'!$D$6*R52,0)</x:f>
        <x:v>0</x:v>
      </x:c>
      <x:c r="T52" s="29"/>
    </x:row>
    <x:row r="53" ht="31" customHeight="1">
      <x:c r="C53" s="11" t="str">
        <x:v>C3</x:v>
      </x:c>
      <x:c r="D53" s="11" t="str">
        <x:v>W10</x:v>
      </x:c>
      <x:c r="E53" s="24" t="n">
        <x:f>N15</x:f>
        <x:v>0</x:v>
      </x:c>
      <x:c r="F53" s="24" t="n">
        <x:f>O15</x:f>
        <x:v>0</x:v>
      </x:c>
      <x:c r="G53" s="11" t="str">
        <x:f>IF('02 Source Families'!F8&gt;='01 Controls'!$D$6,"PASS","FAIL")</x:f>
        <x:v>PASS</x:v>
      </x:c>
      <x:c r="H53" s="11" t="str">
        <x:f>IF('02 Source Families'!G8&lt;='01 Controls'!$D$7,"PASS","FAIL")</x:f>
        <x:v>PASS</x:v>
      </x:c>
      <x:c r="I53" s="11" t="str">
        <x:f>IF(OR('02 Source Families'!K8&gt;='02 Source Families'!J8,F15=1),"PASS","FAIL")</x:f>
        <x:v>PASS</x:v>
      </x:c>
      <x:c r="J53" s="11" t="str">
        <x:f>IF(OR('02 Source Families'!L8&gt;=E15,G15=1),"PASS","FAIL")</x:f>
        <x:v>PASS</x:v>
      </x:c>
      <x:c r="K53" s="11" t="str">
        <x:f>IF(OR('02 Source Families'!M8&gt;=E15,G15=1),"PASS","FAIL")</x:f>
        <x:v>PASS</x:v>
      </x:c>
      <x:c r="L53" s="11" t="str">
        <x:f>IF(OR('02 Source Families'!N8=0,H15=1,'02 Source Families'!O8&gt;=E15),"PASS","FAIL")</x:f>
        <x:v>PASS</x:v>
      </x:c>
      <x:c r="M53" s="11" t="str">
        <x:f>IF(OR(I15=0,'02 Source Families'!P8=1),"PASS","FAIL")</x:f>
        <x:v>PASS</x:v>
      </x:c>
      <x:c r="N53" s="26" t="n">
        <x:f>IF(AND(E53=1,F53=1,G53="PASS",H53="PASS",I53="PASS",J53="PASS",K53="PASS",L53="PASS",M53="PASS"),'01 Controls'!$D$6,0)</x:f>
        <x:v>0</x:v>
      </x:c>
      <x:c r="O53" s="11" t="str">
        <x:f>IF(N53&gt;='01 Controls'!$D$6,"PASS","FAIL")</x:f>
        <x:v>FAIL</x:v>
      </x:c>
      <x:c r="P53" s="11" t="str">
        <x:f>"DENIED"</x:f>
        <x:v>DENIED</x:v>
      </x:c>
      <x:c r="Q53" s="11" t="str">
        <x:f>IF(E53=0,"SOURCE",IF(F53=0,"ACCESS",IF(G53="FAIL","CAPACITY",IF(H53="FAIL","SETUP",IF(I53="FAIL","POWER",IF(J53="FAIL","ENDURANCE",IF(K53="FAIL","CONSUMABLES",IF(L53="FAIL","RESIDUAL",IF(M53="FAIL","COLD","NONE")))))))))</x:f>
        <x:v>SOURCE</x:v>
      </x:c>
      <x:c r="R53" s="26" t="n">
        <x:f>E15</x:f>
        <x:v>14</x:v>
      </x:c>
      <x:c r="S53" s="26" t="n">
        <x:f>IF(C53="C4",'01 Controls'!$D$6*R53,0)</x:f>
        <x:v>0</x:v>
      </x:c>
      <x:c r="T53" s="29"/>
    </x:row>
    <x:row r="54" ht="31" customHeight="1">
      <x:c r="C54" s="11" t="str">
        <x:v>C3</x:v>
      </x:c>
      <x:c r="D54" s="11" t="str">
        <x:v>W11</x:v>
      </x:c>
      <x:c r="E54" s="24" t="n">
        <x:f>N16</x:f>
        <x:v>1</x:v>
      </x:c>
      <x:c r="F54" s="24" t="n">
        <x:f>O16</x:f>
        <x:v>1</x:v>
      </x:c>
      <x:c r="G54" s="11" t="str">
        <x:f>IF('02 Source Families'!F8&gt;='01 Controls'!$D$6,"PASS","FAIL")</x:f>
        <x:v>PASS</x:v>
      </x:c>
      <x:c r="H54" s="11" t="str">
        <x:f>IF('02 Source Families'!G8&lt;='01 Controls'!$D$7,"PASS","FAIL")</x:f>
        <x:v>PASS</x:v>
      </x:c>
      <x:c r="I54" s="11" t="str">
        <x:f>IF(OR('02 Source Families'!K8&gt;='02 Source Families'!J8,F16=1),"PASS","FAIL")</x:f>
        <x:v>PASS</x:v>
      </x:c>
      <x:c r="J54" s="11" t="str">
        <x:f>IF(OR('02 Source Families'!L8&gt;=E16,G16=1),"PASS","FAIL")</x:f>
        <x:v>PASS</x:v>
      </x:c>
      <x:c r="K54" s="11" t="str">
        <x:f>IF(OR('02 Source Families'!M8&gt;=E16,G16=1),"PASS","FAIL")</x:f>
        <x:v>FAIL</x:v>
      </x:c>
      <x:c r="L54" s="11" t="str">
        <x:f>IF(OR('02 Source Families'!N8=0,H16=1,'02 Source Families'!O8&gt;=E16),"PASS","FAIL")</x:f>
        <x:v>PASS</x:v>
      </x:c>
      <x:c r="M54" s="11" t="str">
        <x:f>IF(OR(I16=0,'02 Source Families'!P8=1),"PASS","FAIL")</x:f>
        <x:v>PASS</x:v>
      </x:c>
      <x:c r="N54" s="26" t="n">
        <x:f>IF(AND(E54=1,F54=1,G54="PASS",H54="PASS",I54="PASS",J54="PASS",K54="PASS",L54="PASS",M54="PASS"),'01 Controls'!$D$6,0)</x:f>
        <x:v>0</x:v>
      </x:c>
      <x:c r="O54" s="11" t="str">
        <x:f>IF(N54&gt;='01 Controls'!$D$6,"PASS","FAIL")</x:f>
        <x:v>FAIL</x:v>
      </x:c>
      <x:c r="P54" s="11" t="str">
        <x:f>"DENIED"</x:f>
        <x:v>DENIED</x:v>
      </x:c>
      <x:c r="Q54" s="11" t="str">
        <x:f>IF(E54=0,"SOURCE",IF(F54=0,"ACCESS",IF(G54="FAIL","CAPACITY",IF(H54="FAIL","SETUP",IF(I54="FAIL","POWER",IF(J54="FAIL","ENDURANCE",IF(K54="FAIL","CONSUMABLES",IF(L54="FAIL","RESIDUAL",IF(M54="FAIL","COLD","NONE")))))))))</x:f>
        <x:v>CONSUMABLES</x:v>
      </x:c>
      <x:c r="R54" s="26" t="n">
        <x:f>E16</x:f>
        <x:v>30</x:v>
      </x:c>
      <x:c r="S54" s="26" t="n">
        <x:f>IF(C54="C4",'01 Controls'!$D$6*R54,0)</x:f>
        <x:v>0</x:v>
      </x:c>
      <x:c r="T54" s="29"/>
    </x:row>
    <x:row r="55" ht="31" customHeight="1">
      <x:c r="C55" s="11" t="str">
        <x:v>C3</x:v>
      </x:c>
      <x:c r="D55" s="11" t="str">
        <x:v>W12</x:v>
      </x:c>
      <x:c r="E55" s="24" t="n">
        <x:f>N17</x:f>
        <x:v>0</x:v>
      </x:c>
      <x:c r="F55" s="24" t="n">
        <x:f>O17</x:f>
        <x:v>0</x:v>
      </x:c>
      <x:c r="G55" s="11" t="str">
        <x:f>IF('02 Source Families'!F8&gt;='01 Controls'!$D$6,"PASS","FAIL")</x:f>
        <x:v>PASS</x:v>
      </x:c>
      <x:c r="H55" s="11" t="str">
        <x:f>IF('02 Source Families'!G8&lt;='01 Controls'!$D$7,"PASS","FAIL")</x:f>
        <x:v>PASS</x:v>
      </x:c>
      <x:c r="I55" s="11" t="str">
        <x:f>IF(OR('02 Source Families'!K8&gt;='02 Source Families'!J8,F17=1),"PASS","FAIL")</x:f>
        <x:v>PASS</x:v>
      </x:c>
      <x:c r="J55" s="11" t="str">
        <x:f>IF(OR('02 Source Families'!L8&gt;=E17,G17=1),"PASS","FAIL")</x:f>
        <x:v>PASS</x:v>
      </x:c>
      <x:c r="K55" s="11" t="str">
        <x:f>IF(OR('02 Source Families'!M8&gt;=E17,G17=1),"PASS","FAIL")</x:f>
        <x:v>PASS</x:v>
      </x:c>
      <x:c r="L55" s="11" t="str">
        <x:f>IF(OR('02 Source Families'!N8=0,H17=1,'02 Source Families'!O8&gt;=E17),"PASS","FAIL")</x:f>
        <x:v>PASS</x:v>
      </x:c>
      <x:c r="M55" s="11" t="str">
        <x:f>IF(OR(I17=0,'02 Source Families'!P8=1),"PASS","FAIL")</x:f>
        <x:v>PASS</x:v>
      </x:c>
      <x:c r="N55" s="26" t="n">
        <x:f>IF(AND(E55=1,F55=1,G55="PASS",H55="PASS",I55="PASS",J55="PASS",K55="PASS",L55="PASS",M55="PASS"),'01 Controls'!$D$6,0)</x:f>
        <x:v>0</x:v>
      </x:c>
      <x:c r="O55" s="11" t="str">
        <x:f>IF(N55&gt;='01 Controls'!$D$6,"PASS","FAIL")</x:f>
        <x:v>FAIL</x:v>
      </x:c>
      <x:c r="P55" s="11" t="str">
        <x:f>"DENIED"</x:f>
        <x:v>DENIED</x:v>
      </x:c>
      <x:c r="Q55" s="11" t="str">
        <x:f>IF(E55=0,"SOURCE",IF(F55=0,"ACCESS",IF(G55="FAIL","CAPACITY",IF(H55="FAIL","SETUP",IF(I55="FAIL","POWER",IF(J55="FAIL","ENDURANCE",IF(K55="FAIL","CONSUMABLES",IF(L55="FAIL","RESIDUAL",IF(M55="FAIL","COLD","NONE")))))))))</x:f>
        <x:v>SOURCE</x:v>
      </x:c>
      <x:c r="R55" s="26" t="n">
        <x:f>E17</x:f>
        <x:v>3</x:v>
      </x:c>
      <x:c r="S55" s="26" t="n">
        <x:f>IF(C55="C4",'01 Controls'!$D$6*R55,0)</x:f>
        <x:v>0</x:v>
      </x:c>
      <x:c r="T55" s="29"/>
    </x:row>
    <x:row r="56" ht="31" customHeight="1">
      <x:c r="C56" s="11" t="str">
        <x:v>C4</x:v>
      </x:c>
      <x:c r="D56" s="11" t="str">
        <x:v>W1</x:v>
      </x:c>
      <x:c r="E56" s="24" t="n">
        <x:f>P6</x:f>
        <x:v>1</x:v>
      </x:c>
      <x:c r="F56" s="24" t="n">
        <x:f>Q6</x:f>
        <x:v>1</x:v>
      </x:c>
      <x:c r="G56" s="11" t="str">
        <x:f>IF('02 Source Families'!F9&gt;='01 Controls'!$D$6,"PASS","FAIL")</x:f>
        <x:v>PASS</x:v>
      </x:c>
      <x:c r="H56" s="11" t="str">
        <x:f>IF('02 Source Families'!G9&lt;='01 Controls'!$D$7,"PASS","FAIL")</x:f>
        <x:v>PASS</x:v>
      </x:c>
      <x:c r="I56" s="11" t="str">
        <x:f>IF(OR('02 Source Families'!K9&gt;='02 Source Families'!J9,F6=1),"PASS","FAIL")</x:f>
        <x:v>PASS</x:v>
      </x:c>
      <x:c r="J56" s="11" t="str">
        <x:f>IF(OR('02 Source Families'!L9&gt;=E6,G6=1),"PASS","FAIL")</x:f>
        <x:v>PASS</x:v>
      </x:c>
      <x:c r="K56" s="11" t="str">
        <x:f>IF(OR('02 Source Families'!M9&gt;=E6,G6=1),"PASS","FAIL")</x:f>
        <x:v>PASS</x:v>
      </x:c>
      <x:c r="L56" s="11" t="str">
        <x:f>IF(OR('02 Source Families'!N9=0,H6=1,'02 Source Families'!O9&gt;=E6),"PASS","FAIL")</x:f>
        <x:v>PASS</x:v>
      </x:c>
      <x:c r="M56" s="11" t="str">
        <x:f>IF(OR(I6=0,'02 Source Families'!P9=1),"PASS","FAIL")</x:f>
        <x:v>PASS</x:v>
      </x:c>
      <x:c r="N56" s="26" t="n">
        <x:f>IF(AND(E56=1,F56=1,G56="PASS",H56="PASS",I56="PASS",J56="PASS",K56="PASS",L56="PASS",M56="PASS"),'01 Controls'!$D$6,0)</x:f>
        <x:v>5000</x:v>
      </x:c>
      <x:c r="O56" s="11" t="str">
        <x:f>IF(N56&gt;='01 Controls'!$D$6,"PASS","FAIL")</x:f>
        <x:v>PASS</x:v>
      </x:c>
      <x:c r="P56" s="11" t="str">
        <x:f>"DENIED"</x:f>
        <x:v>DENIED</x:v>
      </x:c>
      <x:c r="Q56" s="11" t="str">
        <x:f>IF(E56=0,"SOURCE",IF(F56=0,"ACCESS",IF(G56="FAIL","CAPACITY",IF(H56="FAIL","SETUP",IF(I56="FAIL","POWER",IF(J56="FAIL","ENDURANCE",IF(K56="FAIL","CONSUMABLES",IF(L56="FAIL","RESIDUAL",IF(M56="FAIL","COLD","NONE")))))))))</x:f>
        <x:v>NONE</x:v>
      </x:c>
      <x:c r="R56" s="26" t="n">
        <x:f>E6</x:f>
        <x:v>30</x:v>
      </x:c>
      <x:c r="S56" s="26" t="n">
        <x:f>IF(C56="C4",'01 Controls'!$D$6*R56,0)</x:f>
        <x:v>150000</x:v>
      </x:c>
      <x:c r="T56" s="29"/>
    </x:row>
    <x:row r="57" ht="31" customHeight="1">
      <x:c r="C57" s="11" t="str">
        <x:v>C4</x:v>
      </x:c>
      <x:c r="D57" s="11" t="str">
        <x:v>W2</x:v>
      </x:c>
      <x:c r="E57" s="24" t="n">
        <x:f>P7</x:f>
        <x:v>1</x:v>
      </x:c>
      <x:c r="F57" s="24" t="n">
        <x:f>Q7</x:f>
        <x:v>1</x:v>
      </x:c>
      <x:c r="G57" s="11" t="str">
        <x:f>IF('02 Source Families'!F9&gt;='01 Controls'!$D$6,"PASS","FAIL")</x:f>
        <x:v>PASS</x:v>
      </x:c>
      <x:c r="H57" s="11" t="str">
        <x:f>IF('02 Source Families'!G9&lt;='01 Controls'!$D$7,"PASS","FAIL")</x:f>
        <x:v>PASS</x:v>
      </x:c>
      <x:c r="I57" s="11" t="str">
        <x:f>IF(OR('02 Source Families'!K9&gt;='02 Source Families'!J9,F7=1),"PASS","FAIL")</x:f>
        <x:v>PASS</x:v>
      </x:c>
      <x:c r="J57" s="11" t="str">
        <x:f>IF(OR('02 Source Families'!L9&gt;=E7,G7=1),"PASS","FAIL")</x:f>
        <x:v>PASS</x:v>
      </x:c>
      <x:c r="K57" s="11" t="str">
        <x:f>IF(OR('02 Source Families'!M9&gt;=E7,G7=1),"PASS","FAIL")</x:f>
        <x:v>PASS</x:v>
      </x:c>
      <x:c r="L57" s="11" t="str">
        <x:f>IF(OR('02 Source Families'!N9=0,H7=1,'02 Source Families'!O9&gt;=E7),"PASS","FAIL")</x:f>
        <x:v>PASS</x:v>
      </x:c>
      <x:c r="M57" s="11" t="str">
        <x:f>IF(OR(I7=0,'02 Source Families'!P9=1),"PASS","FAIL")</x:f>
        <x:v>PASS</x:v>
      </x:c>
      <x:c r="N57" s="26" t="n">
        <x:f>IF(AND(E57=1,F57=1,G57="PASS",H57="PASS",I57="PASS",J57="PASS",K57="PASS",L57="PASS",M57="PASS"),'01 Controls'!$D$6,0)</x:f>
        <x:v>5000</x:v>
      </x:c>
      <x:c r="O57" s="11" t="str">
        <x:f>IF(N57&gt;='01 Controls'!$D$6,"PASS","FAIL")</x:f>
        <x:v>PASS</x:v>
      </x:c>
      <x:c r="P57" s="11" t="str">
        <x:f>"DENIED"</x:f>
        <x:v>DENIED</x:v>
      </x:c>
      <x:c r="Q57" s="11" t="str">
        <x:f>IF(E57=0,"SOURCE",IF(F57=0,"ACCESS",IF(G57="FAIL","CAPACITY",IF(H57="FAIL","SETUP",IF(I57="FAIL","POWER",IF(J57="FAIL","ENDURANCE",IF(K57="FAIL","CONSUMABLES",IF(L57="FAIL","RESIDUAL",IF(M57="FAIL","COLD","NONE")))))))))</x:f>
        <x:v>NONE</x:v>
      </x:c>
      <x:c r="R57" s="26" t="n">
        <x:f>E7</x:f>
        <x:v>30</x:v>
      </x:c>
      <x:c r="S57" s="26" t="n">
        <x:f>IF(C57="C4",'01 Controls'!$D$6*R57,0)</x:f>
        <x:v>150000</x:v>
      </x:c>
      <x:c r="T57" s="29"/>
    </x:row>
    <x:row r="58" ht="31" customHeight="1">
      <x:c r="C58" s="11" t="str">
        <x:v>C4</x:v>
      </x:c>
      <x:c r="D58" s="11" t="str">
        <x:v>W3</x:v>
      </x:c>
      <x:c r="E58" s="24" t="n">
        <x:f>P8</x:f>
        <x:v>1</x:v>
      </x:c>
      <x:c r="F58" s="24" t="n">
        <x:f>Q8</x:f>
        <x:v>1</x:v>
      </x:c>
      <x:c r="G58" s="11" t="str">
        <x:f>IF('02 Source Families'!F9&gt;='01 Controls'!$D$6,"PASS","FAIL")</x:f>
        <x:v>PASS</x:v>
      </x:c>
      <x:c r="H58" s="11" t="str">
        <x:f>IF('02 Source Families'!G9&lt;='01 Controls'!$D$7,"PASS","FAIL")</x:f>
        <x:v>PASS</x:v>
      </x:c>
      <x:c r="I58" s="11" t="str">
        <x:f>IF(OR('02 Source Families'!K9&gt;='02 Source Families'!J9,F8=1),"PASS","FAIL")</x:f>
        <x:v>PASS</x:v>
      </x:c>
      <x:c r="J58" s="11" t="str">
        <x:f>IF(OR('02 Source Families'!L9&gt;=E8,G8=1),"PASS","FAIL")</x:f>
        <x:v>PASS</x:v>
      </x:c>
      <x:c r="K58" s="11" t="str">
        <x:f>IF(OR('02 Source Families'!M9&gt;=E8,G8=1),"PASS","FAIL")</x:f>
        <x:v>PASS</x:v>
      </x:c>
      <x:c r="L58" s="11" t="str">
        <x:f>IF(OR('02 Source Families'!N9=0,H8=1,'02 Source Families'!O9&gt;=E8),"PASS","FAIL")</x:f>
        <x:v>PASS</x:v>
      </x:c>
      <x:c r="M58" s="11" t="str">
        <x:f>IF(OR(I8=0,'02 Source Families'!P9=1),"PASS","FAIL")</x:f>
        <x:v>PASS</x:v>
      </x:c>
      <x:c r="N58" s="26" t="n">
        <x:f>IF(AND(E58=1,F58=1,G58="PASS",H58="PASS",I58="PASS",J58="PASS",K58="PASS",L58="PASS",M58="PASS"),'01 Controls'!$D$6,0)</x:f>
        <x:v>5000</x:v>
      </x:c>
      <x:c r="O58" s="11" t="str">
        <x:f>IF(N58&gt;='01 Controls'!$D$6,"PASS","FAIL")</x:f>
        <x:v>PASS</x:v>
      </x:c>
      <x:c r="P58" s="11" t="str">
        <x:f>"DENIED"</x:f>
        <x:v>DENIED</x:v>
      </x:c>
      <x:c r="Q58" s="11" t="str">
        <x:f>IF(E58=0,"SOURCE",IF(F58=0,"ACCESS",IF(G58="FAIL","CAPACITY",IF(H58="FAIL","SETUP",IF(I58="FAIL","POWER",IF(J58="FAIL","ENDURANCE",IF(K58="FAIL","CONSUMABLES",IF(L58="FAIL","RESIDUAL",IF(M58="FAIL","COLD","NONE")))))))))</x:f>
        <x:v>NONE</x:v>
      </x:c>
      <x:c r="R58" s="26" t="n">
        <x:f>E8</x:f>
        <x:v>7</x:v>
      </x:c>
      <x:c r="S58" s="26" t="n">
        <x:f>IF(C58="C4",'01 Controls'!$D$6*R58,0)</x:f>
        <x:v>35000</x:v>
      </x:c>
      <x:c r="T58" s="29"/>
    </x:row>
    <x:row r="59" ht="31" customHeight="1">
      <x:c r="C59" s="11" t="str">
        <x:v>C4</x:v>
      </x:c>
      <x:c r="D59" s="11" t="str">
        <x:v>W4</x:v>
      </x:c>
      <x:c r="E59" s="24" t="n">
        <x:f>P9</x:f>
        <x:v>1</x:v>
      </x:c>
      <x:c r="F59" s="24" t="n">
        <x:f>Q9</x:f>
        <x:v>1</x:v>
      </x:c>
      <x:c r="G59" s="11" t="str">
        <x:f>IF('02 Source Families'!F9&gt;='01 Controls'!$D$6,"PASS","FAIL")</x:f>
        <x:v>PASS</x:v>
      </x:c>
      <x:c r="H59" s="11" t="str">
        <x:f>IF('02 Source Families'!G9&lt;='01 Controls'!$D$7,"PASS","FAIL")</x:f>
        <x:v>PASS</x:v>
      </x:c>
      <x:c r="I59" s="11" t="str">
        <x:f>IF(OR('02 Source Families'!K9&gt;='02 Source Families'!J9,F9=1),"PASS","FAIL")</x:f>
        <x:v>PASS</x:v>
      </x:c>
      <x:c r="J59" s="11" t="str">
        <x:f>IF(OR('02 Source Families'!L9&gt;=E9,G9=1),"PASS","FAIL")</x:f>
        <x:v>PASS</x:v>
      </x:c>
      <x:c r="K59" s="11" t="str">
        <x:f>IF(OR('02 Source Families'!M9&gt;=E9,G9=1),"PASS","FAIL")</x:f>
        <x:v>PASS</x:v>
      </x:c>
      <x:c r="L59" s="11" t="str">
        <x:f>IF(OR('02 Source Families'!N9=0,H9=1,'02 Source Families'!O9&gt;=E9),"PASS","FAIL")</x:f>
        <x:v>PASS</x:v>
      </x:c>
      <x:c r="M59" s="11" t="str">
        <x:f>IF(OR(I9=0,'02 Source Families'!P9=1),"PASS","FAIL")</x:f>
        <x:v>PASS</x:v>
      </x:c>
      <x:c r="N59" s="26" t="n">
        <x:f>IF(AND(E59=1,F59=1,G59="PASS",H59="PASS",I59="PASS",J59="PASS",K59="PASS",L59="PASS",M59="PASS"),'01 Controls'!$D$6,0)</x:f>
        <x:v>5000</x:v>
      </x:c>
      <x:c r="O59" s="11" t="str">
        <x:f>IF(N59&gt;='01 Controls'!$D$6,"PASS","FAIL")</x:f>
        <x:v>PASS</x:v>
      </x:c>
      <x:c r="P59" s="11" t="str">
        <x:f>"DENIED"</x:f>
        <x:v>DENIED</x:v>
      </x:c>
      <x:c r="Q59" s="11" t="str">
        <x:f>IF(E59=0,"SOURCE",IF(F59=0,"ACCESS",IF(G59="FAIL","CAPACITY",IF(H59="FAIL","SETUP",IF(I59="FAIL","POWER",IF(J59="FAIL","ENDURANCE",IF(K59="FAIL","CONSUMABLES",IF(L59="FAIL","RESIDUAL",IF(M59="FAIL","COLD","NONE")))))))))</x:f>
        <x:v>NONE</x:v>
      </x:c>
      <x:c r="R59" s="26" t="n">
        <x:f>E9</x:f>
        <x:v>30</x:v>
      </x:c>
      <x:c r="S59" s="26" t="n">
        <x:f>IF(C59="C4",'01 Controls'!$D$6*R59,0)</x:f>
        <x:v>150000</x:v>
      </x:c>
      <x:c r="T59" s="29"/>
    </x:row>
    <x:row r="60" ht="31" customHeight="1">
      <x:c r="C60" s="11" t="str">
        <x:v>C4</x:v>
      </x:c>
      <x:c r="D60" s="11" t="str">
        <x:v>W5</x:v>
      </x:c>
      <x:c r="E60" s="24" t="n">
        <x:f>P10</x:f>
        <x:v>1</x:v>
      </x:c>
      <x:c r="F60" s="24" t="n">
        <x:f>Q10</x:f>
        <x:v>1</x:v>
      </x:c>
      <x:c r="G60" s="11" t="str">
        <x:f>IF('02 Source Families'!F9&gt;='01 Controls'!$D$6,"PASS","FAIL")</x:f>
        <x:v>PASS</x:v>
      </x:c>
      <x:c r="H60" s="11" t="str">
        <x:f>IF('02 Source Families'!G9&lt;='01 Controls'!$D$7,"PASS","FAIL")</x:f>
        <x:v>PASS</x:v>
      </x:c>
      <x:c r="I60" s="11" t="str">
        <x:f>IF(OR('02 Source Families'!K9&gt;='02 Source Families'!J9,F10=1),"PASS","FAIL")</x:f>
        <x:v>PASS</x:v>
      </x:c>
      <x:c r="J60" s="11" t="str">
        <x:f>IF(OR('02 Source Families'!L9&gt;=E10,G10=1),"PASS","FAIL")</x:f>
        <x:v>PASS</x:v>
      </x:c>
      <x:c r="K60" s="11" t="str">
        <x:f>IF(OR('02 Source Families'!M9&gt;=E10,G10=1),"PASS","FAIL")</x:f>
        <x:v>PASS</x:v>
      </x:c>
      <x:c r="L60" s="11" t="str">
        <x:f>IF(OR('02 Source Families'!N9=0,H10=1,'02 Source Families'!O9&gt;=E10),"PASS","FAIL")</x:f>
        <x:v>PASS</x:v>
      </x:c>
      <x:c r="M60" s="11" t="str">
        <x:f>IF(OR(I10=0,'02 Source Families'!P9=1),"PASS","FAIL")</x:f>
        <x:v>PASS</x:v>
      </x:c>
      <x:c r="N60" s="26" t="n">
        <x:f>IF(AND(E60=1,F60=1,G60="PASS",H60="PASS",I60="PASS",J60="PASS",K60="PASS",L60="PASS",M60="PASS"),'01 Controls'!$D$6,0)</x:f>
        <x:v>5000</x:v>
      </x:c>
      <x:c r="O60" s="11" t="str">
        <x:f>IF(N60&gt;='01 Controls'!$D$6,"PASS","FAIL")</x:f>
        <x:v>PASS</x:v>
      </x:c>
      <x:c r="P60" s="11" t="str">
        <x:f>"DENIED"</x:f>
        <x:v>DENIED</x:v>
      </x:c>
      <x:c r="Q60" s="11" t="str">
        <x:f>IF(E60=0,"SOURCE",IF(F60=0,"ACCESS",IF(G60="FAIL","CAPACITY",IF(H60="FAIL","SETUP",IF(I60="FAIL","POWER",IF(J60="FAIL","ENDURANCE",IF(K60="FAIL","CONSUMABLES",IF(L60="FAIL","RESIDUAL",IF(M60="FAIL","COLD","NONE")))))))))</x:f>
        <x:v>NONE</x:v>
      </x:c>
      <x:c r="R60" s="26" t="n">
        <x:f>E10</x:f>
        <x:v>30</x:v>
      </x:c>
      <x:c r="S60" s="26" t="n">
        <x:f>IF(C60="C4",'01 Controls'!$D$6*R60,0)</x:f>
        <x:v>150000</x:v>
      </x:c>
      <x:c r="T60" s="29"/>
    </x:row>
    <x:row r="61" ht="31" customHeight="1">
      <x:c r="C61" s="11" t="str">
        <x:v>C4</x:v>
      </x:c>
      <x:c r="D61" s="11" t="str">
        <x:v>W6</x:v>
      </x:c>
      <x:c r="E61" s="24" t="n">
        <x:f>P11</x:f>
        <x:v>1</x:v>
      </x:c>
      <x:c r="F61" s="24" t="n">
        <x:f>Q11</x:f>
        <x:v>1</x:v>
      </x:c>
      <x:c r="G61" s="11" t="str">
        <x:f>IF('02 Source Families'!F9&gt;='01 Controls'!$D$6,"PASS","FAIL")</x:f>
        <x:v>PASS</x:v>
      </x:c>
      <x:c r="H61" s="11" t="str">
        <x:f>IF('02 Source Families'!G9&lt;='01 Controls'!$D$7,"PASS","FAIL")</x:f>
        <x:v>PASS</x:v>
      </x:c>
      <x:c r="I61" s="11" t="str">
        <x:f>IF(OR('02 Source Families'!K9&gt;='02 Source Families'!J9,F11=1),"PASS","FAIL")</x:f>
        <x:v>PASS</x:v>
      </x:c>
      <x:c r="J61" s="11" t="str">
        <x:f>IF(OR('02 Source Families'!L9&gt;=E11,G11=1),"PASS","FAIL")</x:f>
        <x:v>PASS</x:v>
      </x:c>
      <x:c r="K61" s="11" t="str">
        <x:f>IF(OR('02 Source Families'!M9&gt;=E11,G11=1),"PASS","FAIL")</x:f>
        <x:v>PASS</x:v>
      </x:c>
      <x:c r="L61" s="11" t="str">
        <x:f>IF(OR('02 Source Families'!N9=0,H11=1,'02 Source Families'!O9&gt;=E11),"PASS","FAIL")</x:f>
        <x:v>PASS</x:v>
      </x:c>
      <x:c r="M61" s="11" t="str">
        <x:f>IF(OR(I11=0,'02 Source Families'!P9=1),"PASS","FAIL")</x:f>
        <x:v>PASS</x:v>
      </x:c>
      <x:c r="N61" s="26" t="n">
        <x:f>IF(AND(E61=1,F61=1,G61="PASS",H61="PASS",I61="PASS",J61="PASS",K61="PASS",L61="PASS",M61="PASS"),'01 Controls'!$D$6,0)</x:f>
        <x:v>5000</x:v>
      </x:c>
      <x:c r="O61" s="11" t="str">
        <x:f>IF(N61&gt;='01 Controls'!$D$6,"PASS","FAIL")</x:f>
        <x:v>PASS</x:v>
      </x:c>
      <x:c r="P61" s="11" t="str">
        <x:f>"DENIED"</x:f>
        <x:v>DENIED</x:v>
      </x:c>
      <x:c r="Q61" s="11" t="str">
        <x:f>IF(E61=0,"SOURCE",IF(F61=0,"ACCESS",IF(G61="FAIL","CAPACITY",IF(H61="FAIL","SETUP",IF(I61="FAIL","POWER",IF(J61="FAIL","ENDURANCE",IF(K61="FAIL","CONSUMABLES",IF(L61="FAIL","RESIDUAL",IF(M61="FAIL","COLD","NONE")))))))))</x:f>
        <x:v>NONE</x:v>
      </x:c>
      <x:c r="R61" s="26" t="n">
        <x:f>E11</x:f>
        <x:v>30</x:v>
      </x:c>
      <x:c r="S61" s="26" t="n">
        <x:f>IF(C61="C4",'01 Controls'!$D$6*R61,0)</x:f>
        <x:v>150000</x:v>
      </x:c>
      <x:c r="T61" s="29"/>
    </x:row>
    <x:row r="62" ht="31" customHeight="1">
      <x:c r="C62" s="11" t="str">
        <x:v>C4</x:v>
      </x:c>
      <x:c r="D62" s="11" t="str">
        <x:v>W7</x:v>
      </x:c>
      <x:c r="E62" s="24" t="n">
        <x:f>P12</x:f>
        <x:v>1</x:v>
      </x:c>
      <x:c r="F62" s="24" t="n">
        <x:f>Q12</x:f>
        <x:v>0</x:v>
      </x:c>
      <x:c r="G62" s="11" t="str">
        <x:f>IF('02 Source Families'!F9&gt;='01 Controls'!$D$6,"PASS","FAIL")</x:f>
        <x:v>PASS</x:v>
      </x:c>
      <x:c r="H62" s="11" t="str">
        <x:f>IF('02 Source Families'!G9&lt;='01 Controls'!$D$7,"PASS","FAIL")</x:f>
        <x:v>PASS</x:v>
      </x:c>
      <x:c r="I62" s="11" t="str">
        <x:f>IF(OR('02 Source Families'!K9&gt;='02 Source Families'!J9,F12=1),"PASS","FAIL")</x:f>
        <x:v>PASS</x:v>
      </x:c>
      <x:c r="J62" s="11" t="str">
        <x:f>IF(OR('02 Source Families'!L9&gt;=E12,G12=1),"PASS","FAIL")</x:f>
        <x:v>PASS</x:v>
      </x:c>
      <x:c r="K62" s="11" t="str">
        <x:f>IF(OR('02 Source Families'!M9&gt;=E12,G12=1),"PASS","FAIL")</x:f>
        <x:v>PASS</x:v>
      </x:c>
      <x:c r="L62" s="11" t="str">
        <x:f>IF(OR('02 Source Families'!N9=0,H12=1,'02 Source Families'!O9&gt;=E12),"PASS","FAIL")</x:f>
        <x:v>PASS</x:v>
      </x:c>
      <x:c r="M62" s="11" t="str">
        <x:f>IF(OR(I12=0,'02 Source Families'!P9=1),"PASS","FAIL")</x:f>
        <x:v>PASS</x:v>
      </x:c>
      <x:c r="N62" s="26" t="n">
        <x:f>IF(AND(E62=1,F62=1,G62="PASS",H62="PASS",I62="PASS",J62="PASS",K62="PASS",L62="PASS",M62="PASS"),'01 Controls'!$D$6,0)</x:f>
        <x:v>0</x:v>
      </x:c>
      <x:c r="O62" s="11" t="str">
        <x:f>IF(N62&gt;='01 Controls'!$D$6,"PASS","FAIL")</x:f>
        <x:v>FAIL</x:v>
      </x:c>
      <x:c r="P62" s="11" t="str">
        <x:f>"DENIED"</x:f>
        <x:v>DENIED</x:v>
      </x:c>
      <x:c r="Q62" s="11" t="str">
        <x:f>IF(E62=0,"SOURCE",IF(F62=0,"ACCESS",IF(G62="FAIL","CAPACITY",IF(H62="FAIL","SETUP",IF(I62="FAIL","POWER",IF(J62="FAIL","ENDURANCE",IF(K62="FAIL","CONSUMABLES",IF(L62="FAIL","RESIDUAL",IF(M62="FAIL","COLD","NONE")))))))))</x:f>
        <x:v>ACCESS</x:v>
      </x:c>
      <x:c r="R62" s="26" t="n">
        <x:f>E12</x:f>
        <x:v>14</x:v>
      </x:c>
      <x:c r="S62" s="26" t="n">
        <x:f>IF(C62="C4",'01 Controls'!$D$6*R62,0)</x:f>
        <x:v>70000</x:v>
      </x:c>
      <x:c r="T62" s="29"/>
    </x:row>
    <x:row r="63" ht="31" customHeight="1">
      <x:c r="C63" s="11" t="str">
        <x:v>C4</x:v>
      </x:c>
      <x:c r="D63" s="11" t="str">
        <x:v>W8</x:v>
      </x:c>
      <x:c r="E63" s="24" t="n">
        <x:f>P13</x:f>
        <x:v>1</x:v>
      </x:c>
      <x:c r="F63" s="24" t="n">
        <x:f>Q13</x:f>
        <x:v>1</x:v>
      </x:c>
      <x:c r="G63" s="11" t="str">
        <x:f>IF('02 Source Families'!F9&gt;='01 Controls'!$D$6,"PASS","FAIL")</x:f>
        <x:v>PASS</x:v>
      </x:c>
      <x:c r="H63" s="11" t="str">
        <x:f>IF('02 Source Families'!G9&lt;='01 Controls'!$D$7,"PASS","FAIL")</x:f>
        <x:v>PASS</x:v>
      </x:c>
      <x:c r="I63" s="11" t="str">
        <x:f>IF(OR('02 Source Families'!K9&gt;='02 Source Families'!J9,F13=1),"PASS","FAIL")</x:f>
        <x:v>PASS</x:v>
      </x:c>
      <x:c r="J63" s="11" t="str">
        <x:f>IF(OR('02 Source Families'!L9&gt;=E13,G13=1),"PASS","FAIL")</x:f>
        <x:v>PASS</x:v>
      </x:c>
      <x:c r="K63" s="11" t="str">
        <x:f>IF(OR('02 Source Families'!M9&gt;=E13,G13=1),"PASS","FAIL")</x:f>
        <x:v>PASS</x:v>
      </x:c>
      <x:c r="L63" s="11" t="str">
        <x:f>IF(OR('02 Source Families'!N9=0,H13=1,'02 Source Families'!O9&gt;=E13),"PASS","FAIL")</x:f>
        <x:v>PASS</x:v>
      </x:c>
      <x:c r="M63" s="11" t="str">
        <x:f>IF(OR(I13=0,'02 Source Families'!P9=1),"PASS","FAIL")</x:f>
        <x:v>PASS</x:v>
      </x:c>
      <x:c r="N63" s="26" t="n">
        <x:f>IF(AND(E63=1,F63=1,G63="PASS",H63="PASS",I63="PASS",J63="PASS",K63="PASS",L63="PASS",M63="PASS"),'01 Controls'!$D$6,0)</x:f>
        <x:v>5000</x:v>
      </x:c>
      <x:c r="O63" s="11" t="str">
        <x:f>IF(N63&gt;='01 Controls'!$D$6,"PASS","FAIL")</x:f>
        <x:v>PASS</x:v>
      </x:c>
      <x:c r="P63" s="11" t="str">
        <x:f>"DENIED"</x:f>
        <x:v>DENIED</x:v>
      </x:c>
      <x:c r="Q63" s="11" t="str">
        <x:f>IF(E63=0,"SOURCE",IF(F63=0,"ACCESS",IF(G63="FAIL","CAPACITY",IF(H63="FAIL","SETUP",IF(I63="FAIL","POWER",IF(J63="FAIL","ENDURANCE",IF(K63="FAIL","CONSUMABLES",IF(L63="FAIL","RESIDUAL",IF(M63="FAIL","COLD","NONE")))))))))</x:f>
        <x:v>NONE</x:v>
      </x:c>
      <x:c r="R63" s="26" t="n">
        <x:f>E13</x:f>
        <x:v>7</x:v>
      </x:c>
      <x:c r="S63" s="26" t="n">
        <x:f>IF(C63="C4",'01 Controls'!$D$6*R63,0)</x:f>
        <x:v>35000</x:v>
      </x:c>
      <x:c r="T63" s="29"/>
    </x:row>
    <x:row r="64" ht="31" customHeight="1">
      <x:c r="C64" s="11" t="str">
        <x:v>C4</x:v>
      </x:c>
      <x:c r="D64" s="11" t="str">
        <x:v>W9</x:v>
      </x:c>
      <x:c r="E64" s="24" t="n">
        <x:f>P14</x:f>
        <x:v>1</x:v>
      </x:c>
      <x:c r="F64" s="24" t="n">
        <x:f>Q14</x:f>
        <x:v>1</x:v>
      </x:c>
      <x:c r="G64" s="11" t="str">
        <x:f>IF('02 Source Families'!F9&gt;='01 Controls'!$D$6,"PASS","FAIL")</x:f>
        <x:v>PASS</x:v>
      </x:c>
      <x:c r="H64" s="11" t="str">
        <x:f>IF('02 Source Families'!G9&lt;='01 Controls'!$D$7,"PASS","FAIL")</x:f>
        <x:v>PASS</x:v>
      </x:c>
      <x:c r="I64" s="11" t="str">
        <x:f>IF(OR('02 Source Families'!K9&gt;='02 Source Families'!J9,F14=1),"PASS","FAIL")</x:f>
        <x:v>PASS</x:v>
      </x:c>
      <x:c r="J64" s="11" t="str">
        <x:f>IF(OR('02 Source Families'!L9&gt;=E14,G14=1),"PASS","FAIL")</x:f>
        <x:v>PASS</x:v>
      </x:c>
      <x:c r="K64" s="11" t="str">
        <x:f>IF(OR('02 Source Families'!M9&gt;=E14,G14=1),"PASS","FAIL")</x:f>
        <x:v>PASS</x:v>
      </x:c>
      <x:c r="L64" s="11" t="str">
        <x:f>IF(OR('02 Source Families'!N9=0,H14=1,'02 Source Families'!O9&gt;=E14),"PASS","FAIL")</x:f>
        <x:v>PASS</x:v>
      </x:c>
      <x:c r="M64" s="11" t="str">
        <x:f>IF(OR(I14=0,'02 Source Families'!P9=1),"PASS","FAIL")</x:f>
        <x:v>PASS</x:v>
      </x:c>
      <x:c r="N64" s="26" t="n">
        <x:f>IF(AND(E64=1,F64=1,G64="PASS",H64="PASS",I64="PASS",J64="PASS",K64="PASS",L64="PASS",M64="PASS"),'01 Controls'!$D$6,0)</x:f>
        <x:v>5000</x:v>
      </x:c>
      <x:c r="O64" s="11" t="str">
        <x:f>IF(N64&gt;='01 Controls'!$D$6,"PASS","FAIL")</x:f>
        <x:v>PASS</x:v>
      </x:c>
      <x:c r="P64" s="11" t="str">
        <x:f>"DENIED"</x:f>
        <x:v>DENIED</x:v>
      </x:c>
      <x:c r="Q64" s="11" t="str">
        <x:f>IF(E64=0,"SOURCE",IF(F64=0,"ACCESS",IF(G64="FAIL","CAPACITY",IF(H64="FAIL","SETUP",IF(I64="FAIL","POWER",IF(J64="FAIL","ENDURANCE",IF(K64="FAIL","CONSUMABLES",IF(L64="FAIL","RESIDUAL",IF(M64="FAIL","COLD","NONE")))))))))</x:f>
        <x:v>NONE</x:v>
      </x:c>
      <x:c r="R64" s="26" t="n">
        <x:f>E14</x:f>
        <x:v>30</x:v>
      </x:c>
      <x:c r="S64" s="26" t="n">
        <x:f>IF(C64="C4",'01 Controls'!$D$6*R64,0)</x:f>
        <x:v>150000</x:v>
      </x:c>
      <x:c r="T64" s="29"/>
    </x:row>
    <x:row r="65" ht="31" customHeight="1">
      <x:c r="C65" s="11" t="str">
        <x:v>C4</x:v>
      </x:c>
      <x:c r="D65" s="11" t="str">
        <x:v>W10</x:v>
      </x:c>
      <x:c r="E65" s="24" t="n">
        <x:f>P15</x:f>
        <x:v>1</x:v>
      </x:c>
      <x:c r="F65" s="24" t="n">
        <x:f>Q15</x:f>
        <x:v>1</x:v>
      </x:c>
      <x:c r="G65" s="11" t="str">
        <x:f>IF('02 Source Families'!F9&gt;='01 Controls'!$D$6,"PASS","FAIL")</x:f>
        <x:v>PASS</x:v>
      </x:c>
      <x:c r="H65" s="11" t="str">
        <x:f>IF('02 Source Families'!G9&lt;='01 Controls'!$D$7,"PASS","FAIL")</x:f>
        <x:v>PASS</x:v>
      </x:c>
      <x:c r="I65" s="11" t="str">
        <x:f>IF(OR('02 Source Families'!K9&gt;='02 Source Families'!J9,F15=1),"PASS","FAIL")</x:f>
        <x:v>PASS</x:v>
      </x:c>
      <x:c r="J65" s="11" t="str">
        <x:f>IF(OR('02 Source Families'!L9&gt;=E15,G15=1),"PASS","FAIL")</x:f>
        <x:v>FAIL</x:v>
      </x:c>
      <x:c r="K65" s="11" t="str">
        <x:f>IF(OR('02 Source Families'!M9&gt;=E15,G15=1),"PASS","FAIL")</x:f>
        <x:v>PASS</x:v>
      </x:c>
      <x:c r="L65" s="11" t="str">
        <x:f>IF(OR('02 Source Families'!N9=0,H15=1,'02 Source Families'!O9&gt;=E15),"PASS","FAIL")</x:f>
        <x:v>PASS</x:v>
      </x:c>
      <x:c r="M65" s="11" t="str">
        <x:f>IF(OR(I15=0,'02 Source Families'!P9=1),"PASS","FAIL")</x:f>
        <x:v>PASS</x:v>
      </x:c>
      <x:c r="N65" s="26" t="n">
        <x:f>IF(AND(E65=1,F65=1,G65="PASS",H65="PASS",I65="PASS",J65="PASS",K65="PASS",L65="PASS",M65="PASS"),'01 Controls'!$D$6,0)</x:f>
        <x:v>0</x:v>
      </x:c>
      <x:c r="O65" s="11" t="str">
        <x:f>IF(N65&gt;='01 Controls'!$D$6,"PASS","FAIL")</x:f>
        <x:v>FAIL</x:v>
      </x:c>
      <x:c r="P65" s="11" t="str">
        <x:f>"DENIED"</x:f>
        <x:v>DENIED</x:v>
      </x:c>
      <x:c r="Q65" s="11" t="str">
        <x:f>IF(E65=0,"SOURCE",IF(F65=0,"ACCESS",IF(G65="FAIL","CAPACITY",IF(H65="FAIL","SETUP",IF(I65="FAIL","POWER",IF(J65="FAIL","ENDURANCE",IF(K65="FAIL","CONSUMABLES",IF(L65="FAIL","RESIDUAL",IF(M65="FAIL","COLD","NONE")))))))))</x:f>
        <x:v>ENDURANCE</x:v>
      </x:c>
      <x:c r="R65" s="26" t="n">
        <x:f>E15</x:f>
        <x:v>14</x:v>
      </x:c>
      <x:c r="S65" s="26" t="n">
        <x:f>IF(C65="C4",'01 Controls'!$D$6*R65,0)</x:f>
        <x:v>70000</x:v>
      </x:c>
      <x:c r="T65" s="29"/>
    </x:row>
    <x:row r="66" ht="31" customHeight="1">
      <x:c r="C66" s="11" t="str">
        <x:v>C4</x:v>
      </x:c>
      <x:c r="D66" s="11" t="str">
        <x:v>W11</x:v>
      </x:c>
      <x:c r="E66" s="24" t="n">
        <x:f>P16</x:f>
        <x:v>1</x:v>
      </x:c>
      <x:c r="F66" s="24" t="n">
        <x:f>Q16</x:f>
        <x:v>1</x:v>
      </x:c>
      <x:c r="G66" s="11" t="str">
        <x:f>IF('02 Source Families'!F9&gt;='01 Controls'!$D$6,"PASS","FAIL")</x:f>
        <x:v>PASS</x:v>
      </x:c>
      <x:c r="H66" s="11" t="str">
        <x:f>IF('02 Source Families'!G9&lt;='01 Controls'!$D$7,"PASS","FAIL")</x:f>
        <x:v>PASS</x:v>
      </x:c>
      <x:c r="I66" s="11" t="str">
        <x:f>IF(OR('02 Source Families'!K9&gt;='02 Source Families'!J9,F16=1),"PASS","FAIL")</x:f>
        <x:v>PASS</x:v>
      </x:c>
      <x:c r="J66" s="11" t="str">
        <x:f>IF(OR('02 Source Families'!L9&gt;=E16,G16=1),"PASS","FAIL")</x:f>
        <x:v>FAIL</x:v>
      </x:c>
      <x:c r="K66" s="11" t="str">
        <x:f>IF(OR('02 Source Families'!M9&gt;=E16,G16=1),"PASS","FAIL")</x:f>
        <x:v>PASS</x:v>
      </x:c>
      <x:c r="L66" s="11" t="str">
        <x:f>IF(OR('02 Source Families'!N9=0,H16=1,'02 Source Families'!O9&gt;=E16),"PASS","FAIL")</x:f>
        <x:v>PASS</x:v>
      </x:c>
      <x:c r="M66" s="11" t="str">
        <x:f>IF(OR(I16=0,'02 Source Families'!P9=1),"PASS","FAIL")</x:f>
        <x:v>PASS</x:v>
      </x:c>
      <x:c r="N66" s="26" t="n">
        <x:f>IF(AND(E66=1,F66=1,G66="PASS",H66="PASS",I66="PASS",J66="PASS",K66="PASS",L66="PASS",M66="PASS"),'01 Controls'!$D$6,0)</x:f>
        <x:v>0</x:v>
      </x:c>
      <x:c r="O66" s="11" t="str">
        <x:f>IF(N66&gt;='01 Controls'!$D$6,"PASS","FAIL")</x:f>
        <x:v>FAIL</x:v>
      </x:c>
      <x:c r="P66" s="11" t="str">
        <x:f>"DENIED"</x:f>
        <x:v>DENIED</x:v>
      </x:c>
      <x:c r="Q66" s="11" t="str">
        <x:f>IF(E66=0,"SOURCE",IF(F66=0,"ACCESS",IF(G66="FAIL","CAPACITY",IF(H66="FAIL","SETUP",IF(I66="FAIL","POWER",IF(J66="FAIL","ENDURANCE",IF(K66="FAIL","CONSUMABLES",IF(L66="FAIL","RESIDUAL",IF(M66="FAIL","COLD","NONE")))))))))</x:f>
        <x:v>ENDURANCE</x:v>
      </x:c>
      <x:c r="R66" s="26" t="n">
        <x:f>E16</x:f>
        <x:v>30</x:v>
      </x:c>
      <x:c r="S66" s="26" t="n">
        <x:f>IF(C66="C4",'01 Controls'!$D$6*R66,0)</x:f>
        <x:v>150000</x:v>
      </x:c>
      <x:c r="T66" s="29"/>
    </x:row>
    <x:row r="67" ht="31" customHeight="1">
      <x:c r="C67" s="11" t="str">
        <x:v>C4</x:v>
      </x:c>
      <x:c r="D67" s="11" t="str">
        <x:v>W12</x:v>
      </x:c>
      <x:c r="E67" s="24" t="n">
        <x:f>P17</x:f>
        <x:v>1</x:v>
      </x:c>
      <x:c r="F67" s="24" t="n">
        <x:f>Q17</x:f>
        <x:v>1</x:v>
      </x:c>
      <x:c r="G67" s="11" t="str">
        <x:f>IF('02 Source Families'!F9&gt;='01 Controls'!$D$6,"PASS","FAIL")</x:f>
        <x:v>PASS</x:v>
      </x:c>
      <x:c r="H67" s="11" t="str">
        <x:f>IF('02 Source Families'!G9&lt;='01 Controls'!$D$7,"PASS","FAIL")</x:f>
        <x:v>PASS</x:v>
      </x:c>
      <x:c r="I67" s="11" t="str">
        <x:f>IF(OR('02 Source Families'!K9&gt;='02 Source Families'!J9,F17=1),"PASS","FAIL")</x:f>
        <x:v>PASS</x:v>
      </x:c>
      <x:c r="J67" s="11" t="str">
        <x:f>IF(OR('02 Source Families'!L9&gt;=E17,G17=1),"PASS","FAIL")</x:f>
        <x:v>PASS</x:v>
      </x:c>
      <x:c r="K67" s="11" t="str">
        <x:f>IF(OR('02 Source Families'!M9&gt;=E17,G17=1),"PASS","FAIL")</x:f>
        <x:v>PASS</x:v>
      </x:c>
      <x:c r="L67" s="11" t="str">
        <x:f>IF(OR('02 Source Families'!N9=0,H17=1,'02 Source Families'!O9&gt;=E17),"PASS","FAIL")</x:f>
        <x:v>PASS</x:v>
      </x:c>
      <x:c r="M67" s="11" t="str">
        <x:f>IF(OR(I17=0,'02 Source Families'!P9=1),"PASS","FAIL")</x:f>
        <x:v>PASS</x:v>
      </x:c>
      <x:c r="N67" s="26" t="n">
        <x:f>IF(AND(E67=1,F67=1,G67="PASS",H67="PASS",I67="PASS",J67="PASS",K67="PASS",L67="PASS",M67="PASS"),'01 Controls'!$D$6,0)</x:f>
        <x:v>5000</x:v>
      </x:c>
      <x:c r="O67" s="11" t="str">
        <x:f>IF(N67&gt;='01 Controls'!$D$6,"PASS","FAIL")</x:f>
        <x:v>PASS</x:v>
      </x:c>
      <x:c r="P67" s="11" t="str">
        <x:f>"DENIED"</x:f>
        <x:v>DENIED</x:v>
      </x:c>
      <x:c r="Q67" s="11" t="str">
        <x:f>IF(E67=0,"SOURCE",IF(F67=0,"ACCESS",IF(G67="FAIL","CAPACITY",IF(H67="FAIL","SETUP",IF(I67="FAIL","POWER",IF(J67="FAIL","ENDURANCE",IF(K67="FAIL","CONSUMABLES",IF(L67="FAIL","RESIDUAL",IF(M67="FAIL","COLD","NONE")))))))))</x:f>
        <x:v>NONE</x:v>
      </x:c>
      <x:c r="R67" s="26" t="n">
        <x:f>E17</x:f>
        <x:v>3</x:v>
      </x:c>
      <x:c r="S67" s="26" t="n">
        <x:f>IF(C67="C4",'01 Controls'!$D$6*R67,0)</x:f>
        <x:v>15000</x:v>
      </x:c>
      <x:c r="T67" s="29"/>
    </x:row>
  </x:sheetData>
  <x:conditionalFormatting sqref="T6:T17">
    <x:cfRule type="containsText" dxfId="21" priority="1" operator="containsText" text="FAIL"/>
    <x:cfRule type="containsText" dxfId="22" priority="2" operator="containsText" text="DENIED"/>
    <x:cfRule type="containsText" dxfId="23" priority="3" operator="containsText" text="BLOCKED"/>
    <x:cfRule type="containsText" dxfId="24" priority="4" operator="containsText" text="OPEN"/>
    <x:cfRule type="containsText" dxfId="25" priority="5" operator="containsText" text="UNTESTED"/>
    <x:cfRule type="containsText" dxfId="26" priority="6" operator="containsText" text="DECLARED"/>
    <x:cfRule type="containsText" dxfId="27" priority="7" operator="containsText" text="PASS"/>
  </x:conditionalFormatting>
  <x:conditionalFormatting sqref="G20:Q67">
    <x:cfRule type="containsText" dxfId="28" priority="8" operator="containsText" text="FAIL"/>
    <x:cfRule type="containsText" dxfId="29" priority="9" operator="containsText" text="DENIED"/>
    <x:cfRule type="containsText" dxfId="30" priority="10" operator="containsText" text="BLOCKED"/>
    <x:cfRule type="containsText" dxfId="31" priority="11" operator="containsText" text="OPEN"/>
    <x:cfRule type="containsText" dxfId="32" priority="12" operator="containsText" text="UNTESTED"/>
    <x:cfRule type="containsText" dxfId="33" priority="13" operator="containsText" text="DECLARED"/>
    <x:cfRule type="containsText" dxfId="34" priority="14" operator="containsText" text="PASS"/>
  </x:conditionalFormatting>
  <x:pageMargins left="0.7" right="0.7" top="0.75" bottom="0.75" header="0.3" footer="0.3"/>
  <x:tableParts count="2">
    <x:tablePart xmlns:r="http://schemas.openxmlformats.org/officeDocument/2006/relationships" r:id="R917c9cb008f74313"/>
    <x:tablePart xmlns:r="http://schemas.openxmlformats.org/officeDocument/2006/relationships" r:id="Rf397c487b7de44dd"/>
  </x:tableParts>
</x:worksheet>
</file>

<file path=xl/worksheets/sheet5.xml><?xml version="1.0" encoding="utf-8"?>
<x:worksheet xmlns:x="http://schemas.openxmlformats.org/spreadsheetml/2006/main">
  <x:sheetPr>
    <x:tabColor rgb="FFCBD5D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1" hidden="0" customWidth="1"/>
    <x:col min="4" max="4" width="39" hidden="0" customWidth="1"/>
    <x:col min="5" max="5" width="57" hidden="0" customWidth="1"/>
    <x:col min="6" max="6" width="17" hidden="0" customWidth="1"/>
    <x:col min="7" max="7" width="22" hidden="0" customWidth="1"/>
    <x:col min="8" max="8" width="15" hidden="0" customWidth="1"/>
    <x:col min="9" max="9" width="20" hidden="0" customWidth="1"/>
    <x:col min="10" max="10" width="18" hidden="0" customWidth="1"/>
  </x:cols>
  <x:sheetData>
    <x:row r="2">
      <x:c r="C2" s="2" t="str">
        <x:v>Complete source-chain configuration</x:v>
      </x:c>
      <x:c r="D2" s="28"/>
      <x:c r="E2" s="28"/>
      <x:c r="F2" s="28"/>
      <x:c r="G2" s="28"/>
      <x:c r="H2" s="28"/>
      <x:c r="I2" s="28"/>
      <x:c r="J2" s="28"/>
      <x:c r="K2" s="28"/>
      <x:c r="L2" s="28"/>
    </x:row>
    <x:row r="3">
      <x:c r="C3" s="3" t="str">
        <x:v>Every line belongs to source, intake, treatment, power, residual, quality, conveyance or regeneration. Values are declared configuration hypotheses.</x:v>
      </x:c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C4" s="29"/>
      <x:c r="D4" s="29"/>
      <x:c r="E4" s="29"/>
      <x:c r="F4" s="29"/>
      <x:c r="G4" s="29"/>
      <x:c r="H4" s="29"/>
      <x:c r="I4" s="29"/>
      <x:c r="J4" s="29"/>
      <x:c r="K4" s="29"/>
      <x:c r="L4" s="29"/>
    </x:row>
    <x:row r="5">
      <x:c r="C5" s="9" t="str">
        <x:v>Family</x:v>
      </x:c>
      <x:c r="D5" s="9" t="str">
        <x:v>Element</x:v>
      </x:c>
      <x:c r="E5" s="9" t="str">
        <x:v>Function</x:v>
      </x:c>
      <x:c r="F5" s="9" t="str">
        <x:v>Dry t</x:v>
      </x:c>
      <x:c r="G5" s="9" t="str">
        <x:v>Land chargeable t</x:v>
      </x:c>
      <x:c r="H5" s="9" t="str">
        <x:v>Crew</x:v>
      </x:c>
      <x:c r="I5" s="9" t="str">
        <x:v>Equipment $B</x:v>
      </x:c>
      <x:c r="J5" s="9" t="str">
        <x:v>State</x:v>
      </x:c>
      <x:c r="K5" s="29"/>
      <x:c r="L5" s="29"/>
    </x:row>
    <x:row r="6" ht="38" customHeight="1">
      <x:c r="C6" s="11" t="str">
        <x:v>C1</x:v>
      </x:c>
      <x:c r="D6" s="15" t="str">
        <x:v>Carrier hull and reactor</x:v>
      </x:c>
      <x:c r="E6" s="15" t="str">
        <x:v>Self-deployment, nuclear heat and electric power</x:v>
      </x:c>
      <x:c r="F6" s="16" t="n">
        <x:v>16000</x:v>
      </x:c>
      <x:c r="G6" s="16" t="n">
        <x:v>0</x:v>
      </x:c>
      <x:c r="H6" s="16" t="n">
        <x:v>95</x:v>
      </x:c>
      <x:c r="I6" s="17" t="n">
        <x:v>4.2</x:v>
      </x:c>
      <x:c r="J6" s="11" t="str">
        <x:v>DECLARED</x:v>
      </x:c>
      <x:c r="K6" s="29"/>
      <x:c r="L6" s="29"/>
    </x:row>
    <x:row r="7" ht="38" customHeight="1">
      <x:c r="C7" s="11" t="str">
        <x:v>C1</x:v>
      </x:c>
      <x:c r="D7" s="15" t="str">
        <x:v>Multi-depth seawater intake</x:v>
      </x:c>
      <x:c r="E7" s="15" t="str">
        <x:v>Select and isolate intake strata</x:v>
      </x:c>
      <x:c r="F7" s="16" t="n">
        <x:v>800</x:v>
      </x:c>
      <x:c r="G7" s="16" t="n">
        <x:v>0</x:v>
      </x:c>
      <x:c r="H7" s="16" t="n">
        <x:v>12</x:v>
      </x:c>
      <x:c r="I7" s="17" t="n">
        <x:v>0.6</x:v>
      </x:c>
      <x:c r="J7" s="11" t="str">
        <x:v>DECLARED</x:v>
      </x:c>
      <x:c r="K7" s="29"/>
      <x:c r="L7" s="29"/>
    </x:row>
    <x:row r="8" ht="38" customHeight="1">
      <x:c r="C8" s="11" t="str">
        <x:v>C1</x:v>
      </x:c>
      <x:c r="D8" s="15" t="str">
        <x:v>Desalination and stabilization train</x:v>
      </x:c>
      <x:c r="E8" s="15" t="str">
        <x:v>Pretreatment, separation and product finishing</x:v>
      </x:c>
      <x:c r="F8" s="16" t="n">
        <x:v>900</x:v>
      </x:c>
      <x:c r="G8" s="16" t="n">
        <x:v>0</x:v>
      </x:c>
      <x:c r="H8" s="16" t="n">
        <x:v>18</x:v>
      </x:c>
      <x:c r="I8" s="17" t="n">
        <x:v>0.8</x:v>
      </x:c>
      <x:c r="J8" s="11" t="str">
        <x:v>DECLARED</x:v>
      </x:c>
      <x:c r="K8" s="29"/>
      <x:c r="L8" s="29"/>
    </x:row>
    <x:row r="9" ht="38" customHeight="1">
      <x:c r="C9" s="11" t="str">
        <x:v>C1</x:v>
      </x:c>
      <x:c r="D9" s="15" t="str">
        <x:v>Laboratory and product custody</x:v>
      </x:c>
      <x:c r="E9" s="15" t="str">
        <x:v>Sampling, release and sanitary isolation</x:v>
      </x:c>
      <x:c r="F9" s="16" t="n">
        <x:v>200</x:v>
      </x:c>
      <x:c r="G9" s="16" t="n">
        <x:v>120</x:v>
      </x:c>
      <x:c r="H9" s="16" t="n">
        <x:v>10</x:v>
      </x:c>
      <x:c r="I9" s="17" t="n">
        <x:v>0.25</x:v>
      </x:c>
      <x:c r="J9" s="11" t="str">
        <x:v>DECLARED</x:v>
      </x:c>
      <x:c r="K9" s="29"/>
      <x:c r="L9" s="29"/>
    </x:row>
    <x:row r="10" ht="38" customHeight="1">
      <x:c r="C10" s="11" t="str">
        <x:v>C1</x:v>
      </x:c>
      <x:c r="D10" s="15" t="str">
        <x:v>Shore export corridor</x:v>
      </x:c>
      <x:c r="E10" s="15" t="str">
        <x:v>Floating hose, booster and landing node</x:v>
      </x:c>
      <x:c r="F10" s="16" t="n">
        <x:v>350</x:v>
      </x:c>
      <x:c r="G10" s="16" t="n">
        <x:v>430</x:v>
      </x:c>
      <x:c r="H10" s="16" t="n">
        <x:v>8</x:v>
      </x:c>
      <x:c r="I10" s="17" t="n">
        <x:v>0.25</x:v>
      </x:c>
      <x:c r="J10" s="11" t="str">
        <x:v>DECLARED</x:v>
      </x:c>
      <x:c r="K10" s="29"/>
      <x:c r="L10" s="29"/>
    </x:row>
    <x:row r="11" ht="38" customHeight="1">
      <x:c r="C11" s="11" t="str">
        <x:v>C1</x:v>
      </x:c>
      <x:c r="D11" s="15" t="str">
        <x:v>Field support and residual monitoring</x:v>
      </x:c>
      <x:c r="E11" s="15" t="str">
        <x:v>Spares, boats, brine and environmental control</x:v>
      </x:c>
      <x:c r="F11" s="16" t="n">
        <x:v>250</x:v>
      </x:c>
      <x:c r="G11" s="16" t="n">
        <x:v>250</x:v>
      </x:c>
      <x:c r="H11" s="16" t="n">
        <x:v>8</x:v>
      </x:c>
      <x:c r="I11" s="17" t="n">
        <x:v>0.1</x:v>
      </x:c>
      <x:c r="J11" s="11" t="str">
        <x:v>DECLARED</x:v>
      </x:c>
      <x:c r="K11" s="29"/>
      <x:c r="L11" s="29"/>
    </x:row>
    <x:row r="12" ht="38" customHeight="1">
      <x:c r="C12" s="11" t="str">
        <x:v>C2</x:v>
      </x:c>
      <x:c r="D12" s="15" t="str">
        <x:v>Well completion machines</x:v>
      </x:c>
      <x:c r="E12" s="15" t="str">
        <x:v>Develop and restore protected production wells</x:v>
      </x:c>
      <x:c r="F12" s="16" t="n">
        <x:v>220</x:v>
      </x:c>
      <x:c r="G12" s="16" t="n">
        <x:v>300</x:v>
      </x:c>
      <x:c r="H12" s="16" t="n">
        <x:v>12</x:v>
      </x:c>
      <x:c r="I12" s="17" t="n">
        <x:v>0.18</x:v>
      </x:c>
      <x:c r="J12" s="11" t="str">
        <x:v>DECLARED</x:v>
      </x:c>
      <x:c r="K12" s="29"/>
      <x:c r="L12" s="29"/>
    </x:row>
    <x:row r="13" ht="38" customHeight="1">
      <x:c r="C13" s="11" t="str">
        <x:v>C2</x:v>
      </x:c>
      <x:c r="D13" s="15" t="str">
        <x:v>Wellhead and aquifer isolation modules</x:v>
      </x:c>
      <x:c r="E13" s="15" t="str">
        <x:v>Screen, seal, pump and monitor source zones</x:v>
      </x:c>
      <x:c r="F13" s="16" t="n">
        <x:v>120</x:v>
      </x:c>
      <x:c r="G13" s="16" t="n">
        <x:v>150</x:v>
      </x:c>
      <x:c r="H13" s="16" t="n">
        <x:v>8</x:v>
      </x:c>
      <x:c r="I13" s="17" t="n">
        <x:v>0.12</x:v>
      </x:c>
      <x:c r="J13" s="11" t="str">
        <x:v>DECLARED</x:v>
      </x:c>
      <x:c r="K13" s="29"/>
      <x:c r="L13" s="29"/>
    </x:row>
    <x:row r="14" ht="38" customHeight="1">
      <x:c r="C14" s="11" t="str">
        <x:v>C2</x:v>
      </x:c>
      <x:c r="D14" s="15" t="str">
        <x:v>Groundwater treatment train</x:v>
      </x:c>
      <x:c r="E14" s="15" t="str">
        <x:v>Condition, remove registered solutes and stabilize</x:v>
      </x:c>
      <x:c r="F14" s="16" t="n">
        <x:v>260</x:v>
      </x:c>
      <x:c r="G14" s="16" t="n">
        <x:v>310</x:v>
      </x:c>
      <x:c r="H14" s="16" t="n">
        <x:v>18</x:v>
      </x:c>
      <x:c r="I14" s="17" t="n">
        <x:v>0.22</x:v>
      </x:c>
      <x:c r="J14" s="11" t="str">
        <x:v>DECLARED</x:v>
      </x:c>
      <x:c r="K14" s="29"/>
      <x:c r="L14" s="29"/>
    </x:row>
    <x:row r="15" ht="38" customHeight="1">
      <x:c r="C15" s="11" t="str">
        <x:v>C2</x:v>
      </x:c>
      <x:c r="D15" s="15" t="str">
        <x:v>Independent power block</x:v>
      </x:c>
      <x:c r="E15" s="15" t="str">
        <x:v>Black start and continuous pumping</x:v>
      </x:c>
      <x:c r="F15" s="16" t="n">
        <x:v>160</x:v>
      </x:c>
      <x:c r="G15" s="16" t="n">
        <x:v>190</x:v>
      </x:c>
      <x:c r="H15" s="16" t="n">
        <x:v>12</x:v>
      </x:c>
      <x:c r="I15" s="17" t="n">
        <x:v>0.16</x:v>
      </x:c>
      <x:c r="J15" s="11" t="str">
        <x:v>DECLARED</x:v>
      </x:c>
      <x:c r="K15" s="29"/>
      <x:c r="L15" s="29"/>
    </x:row>
    <x:row r="16" ht="38" customHeight="1">
      <x:c r="C16" s="11" t="str">
        <x:v>C2</x:v>
      </x:c>
      <x:c r="D16" s="15" t="str">
        <x:v>Residual containment</x:v>
      </x:c>
      <x:c r="E16" s="15" t="str">
        <x:v>Capture and transfer spent media and concentrate</x:v>
      </x:c>
      <x:c r="F16" s="16" t="n">
        <x:v>70</x:v>
      </x:c>
      <x:c r="G16" s="16" t="n">
        <x:v>80</x:v>
      </x:c>
      <x:c r="H16" s="16" t="n">
        <x:v>6</x:v>
      </x:c>
      <x:c r="I16" s="17" t="n">
        <x:v>0.08</x:v>
      </x:c>
      <x:c r="J16" s="11" t="str">
        <x:v>DECLARED</x:v>
      </x:c>
      <x:c r="K16" s="29"/>
      <x:c r="L16" s="29"/>
    </x:row>
    <x:row r="17" ht="38" customHeight="1">
      <x:c r="C17" s="11" t="str">
        <x:v>C2</x:v>
      </x:c>
      <x:c r="D17" s="15" t="str">
        <x:v>Laboratory and source surveillance</x:v>
      </x:c>
      <x:c r="E17" s="15" t="str">
        <x:v>Aquifer state, process and product release</x:v>
      </x:c>
      <x:c r="F17" s="16" t="n">
        <x:v>50</x:v>
      </x:c>
      <x:c r="G17" s="16" t="n">
        <x:v>60</x:v>
      </x:c>
      <x:c r="H17" s="16" t="n">
        <x:v>8</x:v>
      </x:c>
      <x:c r="I17" s="17" t="n">
        <x:v>0.09</x:v>
      </x:c>
      <x:c r="J17" s="11" t="str">
        <x:v>DECLARED</x:v>
      </x:c>
      <x:c r="K17" s="29"/>
      <x:c r="L17" s="29"/>
    </x:row>
    <x:row r="18" ht="38" customHeight="1">
      <x:c r="C18" s="11" t="str">
        <x:v>C2</x:v>
      </x:c>
      <x:c r="D18" s="15" t="str">
        <x:v>Product connection and support</x:v>
      </x:c>
      <x:c r="E18" s="15" t="str">
        <x:v>Sanitary landing, maintenance and spares</x:v>
      </x:c>
      <x:c r="F18" s="16" t="n">
        <x:v>40</x:v>
      </x:c>
      <x:c r="G18" s="16" t="n">
        <x:v>10</x:v>
      </x:c>
      <x:c r="H18" s="16" t="n">
        <x:v>8</x:v>
      </x:c>
      <x:c r="I18" s="17" t="n">
        <x:v>0.1</x:v>
      </x:c>
      <x:c r="J18" s="11" t="str">
        <x:v>DECLARED</x:v>
      </x:c>
      <x:c r="K18" s="29"/>
      <x:c r="L18" s="29"/>
    </x:row>
    <x:row r="19" ht="38" customHeight="1">
      <x:c r="C19" s="11" t="str">
        <x:v>C3</x:v>
      </x:c>
      <x:c r="D19" s="15" t="str">
        <x:v>Adaptive raw-water intake</x:v>
      </x:c>
      <x:c r="E19" s="15" t="str">
        <x:v>River, lake or brackish withdrawal and screening</x:v>
      </x:c>
      <x:c r="F19" s="16" t="n">
        <x:v>220</x:v>
      </x:c>
      <x:c r="G19" s="16" t="n">
        <x:v>260</x:v>
      </x:c>
      <x:c r="H19" s="16" t="n">
        <x:v>10</x:v>
      </x:c>
      <x:c r="I19" s="17" t="n">
        <x:v>0.18</x:v>
      </x:c>
      <x:c r="J19" s="11" t="str">
        <x:v>DECLARED</x:v>
      </x:c>
      <x:c r="K19" s="29"/>
      <x:c r="L19" s="29"/>
    </x:row>
    <x:row r="20" ht="38" customHeight="1">
      <x:c r="C20" s="11" t="str">
        <x:v>C3</x:v>
      </x:c>
      <x:c r="D20" s="15" t="str">
        <x:v>Pretreatment train</x:v>
      </x:c>
      <x:c r="E20" s="15" t="str">
        <x:v>Solids, organics and feed conditioning</x:v>
      </x:c>
      <x:c r="F20" s="16" t="n">
        <x:v>350</x:v>
      </x:c>
      <x:c r="G20" s="16" t="n">
        <x:v>410</x:v>
      </x:c>
      <x:c r="H20" s="16" t="n">
        <x:v>14</x:v>
      </x:c>
      <x:c r="I20" s="17" t="n">
        <x:v>0.25</x:v>
      </x:c>
      <x:c r="J20" s="11" t="str">
        <x:v>DECLARED</x:v>
      </x:c>
      <x:c r="K20" s="29"/>
      <x:c r="L20" s="29"/>
    </x:row>
    <x:row r="21" ht="38" customHeight="1">
      <x:c r="C21" s="11" t="str">
        <x:v>C3</x:v>
      </x:c>
      <x:c r="D21" s="15" t="str">
        <x:v>Advanced separation train</x:v>
      </x:c>
      <x:c r="E21" s="15" t="str">
        <x:v>Membrane, adsorption and oxidation competition</x:v>
      </x:c>
      <x:c r="F21" s="16" t="n">
        <x:v>550</x:v>
      </x:c>
      <x:c r="G21" s="16" t="n">
        <x:v>640</x:v>
      </x:c>
      <x:c r="H21" s="16" t="n">
        <x:v>22</x:v>
      </x:c>
      <x:c r="I21" s="17" t="n">
        <x:v>0.42</x:v>
      </x:c>
      <x:c r="J21" s="11" t="str">
        <x:v>DECLARED</x:v>
      </x:c>
      <x:c r="K21" s="29"/>
      <x:c r="L21" s="29"/>
    </x:row>
    <x:row r="22" ht="38" customHeight="1">
      <x:c r="C22" s="11" t="str">
        <x:v>C3</x:v>
      </x:c>
      <x:c r="D22" s="15" t="str">
        <x:v>Independent power block</x:v>
      </x:c>
      <x:c r="E22" s="15" t="str">
        <x:v>Black start, process and pumping</x:v>
      </x:c>
      <x:c r="F22" s="16" t="n">
        <x:v>300</x:v>
      </x:c>
      <x:c r="G22" s="16" t="n">
        <x:v>350</x:v>
      </x:c>
      <x:c r="H22" s="16" t="n">
        <x:v>16</x:v>
      </x:c>
      <x:c r="I22" s="17" t="n">
        <x:v>0.28</x:v>
      </x:c>
      <x:c r="J22" s="11" t="str">
        <x:v>DECLARED</x:v>
      </x:c>
      <x:c r="K22" s="29"/>
      <x:c r="L22" s="29"/>
    </x:row>
    <x:row r="23" ht="38" customHeight="1">
      <x:c r="C23" s="11" t="str">
        <x:v>C3</x:v>
      </x:c>
      <x:c r="D23" s="15" t="str">
        <x:v>Residual capture and transfer</x:v>
      </x:c>
      <x:c r="E23" s="15" t="str">
        <x:v>Concentrate, sludge, media and wash-water custody</x:v>
      </x:c>
      <x:c r="F23" s="16" t="n">
        <x:v>180</x:v>
      </x:c>
      <x:c r="G23" s="16" t="n">
        <x:v>210</x:v>
      </x:c>
      <x:c r="H23" s="16" t="n">
        <x:v>10</x:v>
      </x:c>
      <x:c r="I23" s="17" t="n">
        <x:v>0.18</x:v>
      </x:c>
      <x:c r="J23" s="11" t="str">
        <x:v>DECLARED</x:v>
      </x:c>
      <x:c r="K23" s="29"/>
      <x:c r="L23" s="29"/>
    </x:row>
    <x:row r="24" ht="38" customHeight="1">
      <x:c r="C24" s="11" t="str">
        <x:v>C3</x:v>
      </x:c>
      <x:c r="D24" s="15" t="str">
        <x:v>Laboratory and feed-envelope cell</x:v>
      </x:c>
      <x:c r="E24" s="15" t="str">
        <x:v>Characterize feed, process and product</x:v>
      </x:c>
      <x:c r="F24" s="16" t="n">
        <x:v>70</x:v>
      </x:c>
      <x:c r="G24" s="16" t="n">
        <x:v>80</x:v>
      </x:c>
      <x:c r="H24" s="16" t="n">
        <x:v>10</x:v>
      </x:c>
      <x:c r="I24" s="17" t="n">
        <x:v>0.11</x:v>
      </x:c>
      <x:c r="J24" s="11" t="str">
        <x:v>DECLARED</x:v>
      </x:c>
      <x:c r="K24" s="29"/>
      <x:c r="L24" s="29"/>
    </x:row>
    <x:row r="25" ht="38" customHeight="1">
      <x:c r="C25" s="11" t="str">
        <x:v>C3</x:v>
      </x:c>
      <x:c r="D25" s="15" t="str">
        <x:v>Conveyance and support</x:v>
      </x:c>
      <x:c r="E25" s="15" t="str">
        <x:v>Product landing, repair and spares</x:v>
      </x:c>
      <x:c r="F25" s="16" t="n">
        <x:v>80</x:v>
      </x:c>
      <x:c r="G25" s="16" t="n">
        <x:v>100</x:v>
      </x:c>
      <x:c r="H25" s="16" t="n">
        <x:v>8</x:v>
      </x:c>
      <x:c r="I25" s="17" t="n">
        <x:v>0.13</x:v>
      </x:c>
      <x:c r="J25" s="11" t="str">
        <x:v>DECLARED</x:v>
      </x:c>
      <x:c r="K25" s="29"/>
      <x:c r="L25" s="29"/>
    </x:row>
    <x:row r="26" ht="38" customHeight="1">
      <x:c r="C26" s="11" t="str">
        <x:v>C4</x:v>
      </x:c>
      <x:c r="D26" s="15" t="str">
        <x:v>Sealed sanitary cells</x:v>
      </x:c>
      <x:c r="E26" s="15" t="str">
        <x:v>Hold seven days of usable product water</x:v>
      </x:c>
      <x:c r="F26" s="16" t="n">
        <x:v>900</x:v>
      </x:c>
      <x:c r="G26" s="16" t="n">
        <x:v>1050</x:v>
      </x:c>
      <x:c r="H26" s="16" t="n">
        <x:v>12</x:v>
      </x:c>
      <x:c r="I26" s="17" t="n">
        <x:v>0.25</x:v>
      </x:c>
      <x:c r="J26" s="11" t="str">
        <x:v>DECLARED</x:v>
      </x:c>
      <x:c r="K26" s="29"/>
      <x:c r="L26" s="29"/>
    </x:row>
    <x:row r="27" ht="38" customHeight="1">
      <x:c r="C27" s="11" t="str">
        <x:v>C4</x:v>
      </x:c>
      <x:c r="D27" s="15" t="str">
        <x:v>Load and unload manifolds</x:v>
      </x:c>
      <x:c r="E27" s="15" t="str">
        <x:v>Preserve batch identity through transfer</x:v>
      </x:c>
      <x:c r="F27" s="16" t="n">
        <x:v>250</x:v>
      </x:c>
      <x:c r="G27" s="16" t="n">
        <x:v>300</x:v>
      </x:c>
      <x:c r="H27" s="16" t="n">
        <x:v>16</x:v>
      </x:c>
      <x:c r="I27" s="17" t="n">
        <x:v>0.18</x:v>
      </x:c>
      <x:c r="J27" s="11" t="str">
        <x:v>DECLARED</x:v>
      </x:c>
      <x:c r="K27" s="29"/>
      <x:c r="L27" s="29"/>
    </x:row>
    <x:row r="28" ht="38" customHeight="1">
      <x:c r="C28" s="11" t="str">
        <x:v>C4</x:v>
      </x:c>
      <x:c r="D28" s="15" t="str">
        <x:v>Rail, road and barge adapters</x:v>
      </x:c>
      <x:c r="E28" s="15" t="str">
        <x:v>Move sealed cells through surviving modes</x:v>
      </x:c>
      <x:c r="F28" s="16" t="n">
        <x:v>450</x:v>
      </x:c>
      <x:c r="G28" s="16" t="n">
        <x:v>520</x:v>
      </x:c>
      <x:c r="H28" s="16" t="n">
        <x:v>20</x:v>
      </x:c>
      <x:c r="I28" s="17" t="n">
        <x:v>0.24</x:v>
      </x:c>
      <x:c r="J28" s="11" t="str">
        <x:v>DECLARED</x:v>
      </x:c>
      <x:c r="K28" s="29"/>
      <x:c r="L28" s="29"/>
    </x:row>
    <x:row r="29" ht="38" customHeight="1">
      <x:c r="C29" s="11" t="str">
        <x:v>C4</x:v>
      </x:c>
      <x:c r="D29" s="15" t="str">
        <x:v>Local issue and distribution</x:v>
      </x:c>
      <x:c r="E29" s="15" t="str">
        <x:v>Pump, isolate and connect to receiver islands</x:v>
      </x:c>
      <x:c r="F29" s="16" t="n">
        <x:v>250</x:v>
      </x:c>
      <x:c r="G29" s="16" t="n">
        <x:v>280</x:v>
      </x:c>
      <x:c r="H29" s="16" t="n">
        <x:v>18</x:v>
      </x:c>
      <x:c r="I29" s="17" t="n">
        <x:v>0.18</x:v>
      </x:c>
      <x:c r="J29" s="11" t="str">
        <x:v>DECLARED</x:v>
      </x:c>
      <x:c r="K29" s="29"/>
      <x:c r="L29" s="29"/>
    </x:row>
    <x:row r="30" ht="38" customHeight="1">
      <x:c r="C30" s="11" t="str">
        <x:v>C4</x:v>
      </x:c>
      <x:c r="D30" s="15" t="str">
        <x:v>Power, laboratory and custody</x:v>
      </x:c>
      <x:c r="E30" s="15" t="str">
        <x:v>Black start, batch release and seal control</x:v>
      </x:c>
      <x:c r="F30" s="16" t="n">
        <x:v>150</x:v>
      </x:c>
      <x:c r="G30" s="16" t="n">
        <x:v>170</x:v>
      </x:c>
      <x:c r="H30" s="16" t="n">
        <x:v>16</x:v>
      </x:c>
      <x:c r="I30" s="17" t="n">
        <x:v>0.15</x:v>
      </x:c>
      <x:c r="J30" s="11" t="str">
        <x:v>DECLARED</x:v>
      </x:c>
      <x:c r="K30" s="29"/>
      <x:c r="L30" s="29"/>
    </x:row>
    <x:row r="31" ht="38" customHeight="1">
      <x:c r="C31" s="11" t="str">
        <x:v>C4</x:v>
      </x:c>
      <x:c r="D31" s="15" t="str">
        <x:v>Cleaning and regeneration</x:v>
      </x:c>
      <x:c r="E31" s="15" t="str">
        <x:v>Sanitize, inspect, refill and recertify</x:v>
      </x:c>
      <x:c r="F31" s="16" t="n">
        <x:v>200</x:v>
      </x:c>
      <x:c r="G31" s="16" t="n">
        <x:v>180</x:v>
      </x:c>
      <x:c r="H31" s="16" t="n">
        <x:v>20</x:v>
      </x:c>
      <x:c r="I31" s="17" t="n">
        <x:v>0.1</x:v>
      </x:c>
      <x:c r="J31" s="11" t="str">
        <x:v>DECLARED</x:v>
      </x:c>
      <x:c r="K31" s="29"/>
      <x:c r="L31" s="29"/>
    </x:row>
  </x:sheetData>
  <x:conditionalFormatting sqref="J6:J31">
    <x:cfRule type="containsText" dxfId="7" priority="1" operator="containsText" text="FAIL"/>
    <x:cfRule type="containsText" dxfId="8" priority="2" operator="containsText" text="DENIED"/>
    <x:cfRule type="containsText" dxfId="9" priority="3" operator="containsText" text="BLOCKED"/>
    <x:cfRule type="containsText" dxfId="10" priority="4" operator="containsText" text="OPEN"/>
    <x:cfRule type="containsText" dxfId="11" priority="5" operator="containsText" text="UNTESTED"/>
    <x:cfRule type="containsText" dxfId="12" priority="6" operator="containsText" text="DECLARED"/>
    <x:cfRule type="containsText" dxfId="13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6479221a89554810"/>
  </x:tableParts>
</x:worksheet>
</file>

<file path=xl/worksheets/sheet6.xml><?xml version="1.0" encoding="utf-8"?>
<x:worksheet xmlns:x="http://schemas.openxmlformats.org/spreadsheetml/2006/main">
  <x:sheetPr>
    <x:tabColor rgb="FFCBD5DF"/>
  </x:sheetPr>
  <x:sheetViews>
    <x:sheetView showGridLines="0" workbookViewId="0">
      <x:pane xSplit="4" ySplit="19" topLeftCell="E20" activePane="bottomRight" state="frozen"/>
    </x:sheetView>
  </x:sheetViews>
  <x:sheetFormatPr defaultRowHeight="15"/>
  <x:cols>
    <x:col min="3" max="3" width="12" hidden="0" customWidth="1"/>
    <x:col min="4" max="4" width="4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0" hidden="0" customWidth="1"/>
    <x:col min="10" max="10" width="23" hidden="0" customWidth="1"/>
    <x:col min="11" max="11" width="22" hidden="0" customWidth="1"/>
    <x:col min="12" max="12" width="18" hidden="0" customWidth="1"/>
    <x:col min="13" max="13" width="23" hidden="0" customWidth="1"/>
    <x:col min="14" max="14" width="19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</x:cols>
  <x:sheetData>
    <x:row r="2">
      <x:c r="C2" s="2" t="str">
        <x:v>Source-family portfolio coverage</x:v>
      </x:c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</x:row>
    <x:row r="3">
      <x:c r="C3" s="3" t="str">
        <x:v>Coverage is a set relationship, not a probability. A theater receives credit only when at least one complete source chain passes its declared world.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</x:row>
    <x:row r="5">
      <x:c r="C5" s="9" t="str">
        <x:v>Package</x:v>
      </x:c>
      <x:c r="D5" s="9" t="str">
        <x:v>Composition</x:v>
      </x:c>
      <x:c r="E5" s="9" t="str">
        <x:v>C1</x:v>
      </x:c>
      <x:c r="F5" s="9" t="str">
        <x:v>C2</x:v>
      </x:c>
      <x:c r="G5" s="9" t="str">
        <x:v>C3</x:v>
      </x:c>
      <x:c r="H5" s="9" t="str">
        <x:v>C4</x:v>
      </x:c>
      <x:c r="I5" s="9" t="str">
        <x:v>Worlds with service</x:v>
      </x:c>
      <x:c r="J5" s="9" t="str">
        <x:v>Worlds with two sources</x:v>
      </x:c>
      <x:c r="K5" s="9" t="str">
        <x:v>30-day worlds served</x:v>
      </x:c>
      <x:c r="L5" s="9" t="str">
        <x:v>Dry t</x:v>
      </x:c>
      <x:c r="M5" s="9" t="str">
        <x:v>Land chargeable t</x:v>
      </x:c>
      <x:c r="N5" s="9" t="str">
        <x:v>Equipment $B</x:v>
      </x:c>
      <x:c r="O5" s="29"/>
      <x:c r="P5" s="29"/>
      <x:c r="Q5" s="29"/>
      <x:c r="R5" s="29"/>
      <x:c r="S5" s="29"/>
      <x:c r="T5" s="29"/>
      <x:c r="U5" s="29"/>
    </x:row>
    <x:row r="6" ht="44" customHeight="1">
      <x:c r="C6" s="11" t="str">
        <x:v>P1</x:v>
      </x:c>
      <x:c r="D6" s="15" t="str">
        <x:v>Coastal carrier + sealed bridge</x:v>
      </x:c>
      <x:c r="E6" s="13" t="n">
        <x:v>1</x:v>
      </x:c>
      <x:c r="F6" s="13" t="n">
        <x:v>0</x:v>
      </x:c>
      <x:c r="G6" s="13" t="n">
        <x:v>0</x:v>
      </x:c>
      <x:c r="H6" s="13" t="n">
        <x:v>1</x:v>
      </x:c>
      <x:c r="I6" s="11" t="n">
        <x:f>COUNTIFS($I$20:$I$31,"&gt;=1")</x:f>
        <x:v>10</x:v>
      </x:c>
      <x:c r="J6" s="11" t="n">
        <x:f>COUNTIFS($I$20:$I$31,"&gt;=2")</x:f>
        <x:v>1</x:v>
      </x:c>
      <x:c r="K6" s="11" t="n">
        <x:f>COUNTIFS($I$20:$I$31,"&gt;=1",$J$20:$J$31,30)</x:f>
        <x:v>6</x:v>
      </x:c>
      <x:c r="L6" s="22" t="n">
        <x:f>E6*'02 Source Families'!$V$6+F6*'02 Source Families'!$V$7+G6*'02 Source Families'!$V$8+H6*'02 Source Families'!$V$9</x:f>
        <x:v>20700</x:v>
      </x:c>
      <x:c r="M6" s="22" t="n">
        <x:f>E6*'02 Source Families'!$W$6+F6*'02 Source Families'!$W$7+G6*'02 Source Families'!$W$8+H6*'02 Source Families'!$W$9</x:f>
        <x:v>3300</x:v>
      </x:c>
      <x:c r="N6" s="17" t="n">
        <x:f>E6*'02 Source Families'!$Z$6+F6*'02 Source Families'!$Z$7+G6*'02 Source Families'!$Z$8+H6*'02 Source Families'!$Z$9</x:f>
        <x:v>7.299999999999999</x:v>
      </x:c>
      <x:c r="O6" s="29"/>
      <x:c r="P6" s="29"/>
      <x:c r="Q6" s="29"/>
      <x:c r="R6" s="29"/>
      <x:c r="S6" s="29"/>
      <x:c r="T6" s="29"/>
      <x:c r="U6" s="29"/>
    </x:row>
    <x:row r="7" ht="44" customHeight="1">
      <x:c r="C7" s="11" t="str">
        <x:v>P2</x:v>
      </x:c>
      <x:c r="D7" s="15" t="str">
        <x:v>Prepared groundwater + sealed bridge</x:v>
      </x:c>
      <x:c r="E7" s="13" t="n">
        <x:v>0</x:v>
      </x:c>
      <x:c r="F7" s="13" t="n">
        <x:v>1</x:v>
      </x:c>
      <x:c r="G7" s="13" t="n">
        <x:v>0</x:v>
      </x:c>
      <x:c r="H7" s="13" t="n">
        <x:v>1</x:v>
      </x:c>
      <x:c r="I7" s="11" t="n">
        <x:f>COUNTIFS($I$32:$I$43,"&gt;=1")</x:f>
        <x:v>9</x:v>
      </x:c>
      <x:c r="J7" s="11" t="n">
        <x:f>COUNTIFS($I$32:$I$43,"&gt;=2")</x:f>
        <x:v>4</x:v>
      </x:c>
      <x:c r="K7" s="11" t="n">
        <x:f>COUNTIFS($I$32:$I$43,"&gt;=1",$J$32:$J$43,30)</x:f>
        <x:v>6</x:v>
      </x:c>
      <x:c r="L7" s="22" t="n">
        <x:f>E7*'02 Source Families'!$V$6+F7*'02 Source Families'!$V$7+G7*'02 Source Families'!$V$8+H7*'02 Source Families'!$V$9</x:f>
        <x:v>3120</x:v>
      </x:c>
      <x:c r="M7" s="22" t="n">
        <x:f>E7*'02 Source Families'!$W$6+F7*'02 Source Families'!$W$7+G7*'02 Source Families'!$W$8+H7*'02 Source Families'!$W$9</x:f>
        <x:v>3600</x:v>
      </x:c>
      <x:c r="N7" s="17" t="n">
        <x:f>E7*'02 Source Families'!$Z$6+F7*'02 Source Families'!$Z$7+G7*'02 Source Families'!$Z$8+H7*'02 Source Families'!$Z$9</x:f>
        <x:v>2.05</x:v>
      </x:c>
      <x:c r="O7" s="29"/>
      <x:c r="P7" s="29"/>
      <x:c r="Q7" s="29"/>
      <x:c r="R7" s="29"/>
      <x:c r="S7" s="29"/>
      <x:c r="T7" s="29"/>
      <x:c r="U7" s="29"/>
    </x:row>
    <x:row r="8" ht="44" customHeight="1">
      <x:c r="C8" s="11" t="str">
        <x:v>P3</x:v>
      </x:c>
      <x:c r="D8" s="15" t="str">
        <x:v>Variable-feed inland + sealed bridge</x:v>
      </x:c>
      <x:c r="E8" s="13" t="n">
        <x:v>0</x:v>
      </x:c>
      <x:c r="F8" s="13" t="n">
        <x:v>0</x:v>
      </x:c>
      <x:c r="G8" s="13" t="n">
        <x:v>1</x:v>
      </x:c>
      <x:c r="H8" s="13" t="n">
        <x:v>1</x:v>
      </x:c>
      <x:c r="I8" s="11" t="n">
        <x:f>COUNTIFS($I$44:$I$55,"&gt;=1")</x:f>
        <x:v>9</x:v>
      </x:c>
      <x:c r="J8" s="11" t="n">
        <x:f>COUNTIFS($I$44:$I$55,"&gt;=2")</x:f>
        <x:v>1</x:v>
      </x:c>
      <x:c r="K8" s="11" t="n">
        <x:f>COUNTIFS($I$44:$I$55,"&gt;=1",$J$44:$J$55,30)</x:f>
        <x:v>6</x:v>
      </x:c>
      <x:c r="L8" s="22" t="n">
        <x:f>E8*'02 Source Families'!$V$6+F8*'02 Source Families'!$V$7+G8*'02 Source Families'!$V$8+H8*'02 Source Families'!$V$9</x:f>
        <x:v>3950</x:v>
      </x:c>
      <x:c r="M8" s="22" t="n">
        <x:f>E8*'02 Source Families'!$W$6+F8*'02 Source Families'!$W$7+G8*'02 Source Families'!$W$8+H8*'02 Source Families'!$W$9</x:f>
        <x:v>4550</x:v>
      </x:c>
      <x:c r="N8" s="17" t="n">
        <x:f>E8*'02 Source Families'!$Z$6+F8*'02 Source Families'!$Z$7+G8*'02 Source Families'!$Z$8+H8*'02 Source Families'!$Z$9</x:f>
        <x:v>2.6499999999999995</x:v>
      </x:c>
      <x:c r="O8" s="29"/>
      <x:c r="P8" s="29"/>
      <x:c r="Q8" s="29"/>
      <x:c r="R8" s="29"/>
      <x:c r="S8" s="29"/>
      <x:c r="T8" s="29"/>
      <x:c r="U8" s="29"/>
    </x:row>
    <x:row r="9" ht="44" customHeight="1">
      <x:c r="C9" s="11" t="str">
        <x:v>P4</x:v>
      </x:c>
      <x:c r="D9" s="15" t="str">
        <x:v>Two continuous inland provenances</x:v>
      </x:c>
      <x:c r="E9" s="13" t="n">
        <x:v>0</x:v>
      </x:c>
      <x:c r="F9" s="13" t="n">
        <x:v>1</x:v>
      </x:c>
      <x:c r="G9" s="13" t="n">
        <x:v>1</x:v>
      </x:c>
      <x:c r="H9" s="13" t="n">
        <x:v>0</x:v>
      </x:c>
      <x:c r="I9" s="11" t="n">
        <x:f>COUNTIFS($I$56:$I$67,"&gt;=1")</x:f>
        <x:v>5</x:v>
      </x:c>
      <x:c r="J9" s="11" t="n">
        <x:f>COUNTIFS($I$56:$I$67,"&gt;=2")</x:f>
        <x:v>0</x:v>
      </x:c>
      <x:c r="K9" s="11" t="n">
        <x:f>COUNTIFS($I$56:$I$67,"&gt;=1",$J$56:$J$67,30)</x:f>
        <x:v>5</x:v>
      </x:c>
      <x:c r="L9" s="22" t="n">
        <x:f>E9*'02 Source Families'!$V$6+F9*'02 Source Families'!$V$7+G9*'02 Source Families'!$V$8+H9*'02 Source Families'!$V$9</x:f>
        <x:v>2670</x:v>
      </x:c>
      <x:c r="M9" s="22" t="n">
        <x:f>E9*'02 Source Families'!$W$6+F9*'02 Source Families'!$W$7+G9*'02 Source Families'!$W$8+H9*'02 Source Families'!$W$9</x:f>
        <x:v>3150</x:v>
      </x:c>
      <x:c r="N9" s="17" t="n">
        <x:f>E9*'02 Source Families'!$Z$6+F9*'02 Source Families'!$Z$7+G9*'02 Source Families'!$Z$8+H9*'02 Source Families'!$Z$9</x:f>
        <x:v>2.5</x:v>
      </x:c>
      <x:c r="O9" s="29"/>
      <x:c r="P9" s="29"/>
      <x:c r="Q9" s="29"/>
      <x:c r="R9" s="29"/>
      <x:c r="S9" s="29"/>
      <x:c r="T9" s="29"/>
      <x:c r="U9" s="29"/>
    </x:row>
    <x:row r="10" ht="44" customHeight="1">
      <x:c r="C10" s="11" t="str">
        <x:v>P5</x:v>
      </x:c>
      <x:c r="D10" s="15" t="str">
        <x:v>National four-family quartet</x:v>
      </x:c>
      <x:c r="E10" s="13" t="n">
        <x:v>1</x:v>
      </x:c>
      <x:c r="F10" s="13" t="n">
        <x:v>1</x:v>
      </x:c>
      <x:c r="G10" s="13" t="n">
        <x:v>1</x:v>
      </x:c>
      <x:c r="H10" s="13" t="n">
        <x:v>1</x:v>
      </x:c>
      <x:c r="I10" s="11" t="n">
        <x:f>COUNTIFS($I$68:$I$79,"&gt;=1")</x:f>
        <x:v>10</x:v>
      </x:c>
      <x:c r="J10" s="11" t="n">
        <x:f>COUNTIFS($I$68:$I$79,"&gt;=2")</x:f>
        <x:v>6</x:v>
      </x:c>
      <x:c r="K10" s="11" t="n">
        <x:f>COUNTIFS($I$68:$I$79,"&gt;=1",$J$68:$J$79,30)</x:f>
        <x:v>6</x:v>
      </x:c>
      <x:c r="L10" s="22" t="n">
        <x:f>E10*'02 Source Families'!$V$6+F10*'02 Source Families'!$V$7+G10*'02 Source Families'!$V$8+H10*'02 Source Families'!$V$9</x:f>
        <x:v>23370</x:v>
      </x:c>
      <x:c r="M10" s="22" t="n">
        <x:f>E10*'02 Source Families'!$W$6+F10*'02 Source Families'!$W$7+G10*'02 Source Families'!$W$8+H10*'02 Source Families'!$W$9</x:f>
        <x:v>6450</x:v>
      </x:c>
      <x:c r="N10" s="17" t="n">
        <x:f>E10*'02 Source Families'!$Z$6+F10*'02 Source Families'!$Z$7+G10*'02 Source Families'!$Z$8+H10*'02 Source Families'!$Z$9</x:f>
        <x:v>9.799999999999999</x:v>
      </x:c>
      <x:c r="O10" s="29"/>
      <x:c r="P10" s="29"/>
      <x:c r="Q10" s="29"/>
      <x:c r="R10" s="29"/>
      <x:c r="S10" s="29"/>
      <x:c r="T10" s="29"/>
      <x:c r="U10" s="29"/>
    </x:row>
    <x:row r="11"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</x:row>
    <x:row r="12"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</x:row>
    <x:row r="13"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</x:row>
    <x:row r="14"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</x:row>
    <x:row r="15"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</x:row>
    <x:row r="16"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</x:row>
    <x:row r="17"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</x:row>
    <x:row r="18"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</x:row>
    <x:row r="19">
      <x:c r="C19" s="9" t="str">
        <x:v>Package</x:v>
      </x:c>
      <x:c r="D19" s="9" t="str">
        <x:v>World</x:v>
      </x:c>
      <x:c r="E19" s="9" t="str">
        <x:v>C1 pass</x:v>
      </x:c>
      <x:c r="F19" s="9" t="str">
        <x:v>C2 pass</x:v>
      </x:c>
      <x:c r="G19" s="9" t="str">
        <x:v>C3 pass</x:v>
      </x:c>
      <x:c r="H19" s="9" t="str">
        <x:v>C4 pass</x:v>
      </x:c>
      <x:c r="I19" s="9" t="str">
        <x:v>Eligible sources</x:v>
      </x:c>
      <x:c r="J19" s="9" t="str">
        <x:v>Horizon days</x:v>
      </x:c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</x:row>
    <x:row r="20">
      <x:c r="C20" s="11" t="str">
        <x:v>P1</x:v>
      </x:c>
      <x:c r="D20" s="11" t="str">
        <x:v>W1</x:v>
      </x:c>
      <x:c r="E20" s="24" t="n">
        <x:f>IF(AND(E$6=1,'03 Mission Worlds'!$O$20="PASS"),1,0)</x:f>
        <x:v>1</x:v>
      </x:c>
      <x:c r="F20" s="24" t="n">
        <x:f>IF(AND(F$6=1,'03 Mission Worlds'!$O$32="PASS"),1,0)</x:f>
        <x:v>0</x:v>
      </x:c>
      <x:c r="G20" s="24" t="n">
        <x:f>IF(AND(G$6=1,'03 Mission Worlds'!$O$44="PASS"),1,0)</x:f>
        <x:v>0</x:v>
      </x:c>
      <x:c r="H20" s="24" t="n">
        <x:f>IF(AND(H$6=1,'03 Mission Worlds'!$O$56="PASS"),1,0)</x:f>
        <x:v>1</x:v>
      </x:c>
      <x:c r="I20" s="24" t="n">
        <x:f>SUM(E20:H20)</x:f>
        <x:v>2</x:v>
      </x:c>
      <x:c r="J20" s="24" t="n">
        <x:f>'03 Mission Worlds'!E6</x:f>
        <x:v>30</x:v>
      </x:c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</x:row>
    <x:row r="21">
      <x:c r="C21" s="11" t="str">
        <x:v>P1</x:v>
      </x:c>
      <x:c r="D21" s="11" t="str">
        <x:v>W2</x:v>
      </x:c>
      <x:c r="E21" s="24" t="n">
        <x:f>IF(AND(E$6=1,'03 Mission Worlds'!$O$21="PASS"),1,0)</x:f>
        <x:v>0</x:v>
      </x:c>
      <x:c r="F21" s="24" t="n">
        <x:f>IF(AND(F$6=1,'03 Mission Worlds'!$O$33="PASS"),1,0)</x:f>
        <x:v>0</x:v>
      </x:c>
      <x:c r="G21" s="24" t="n">
        <x:f>IF(AND(G$6=1,'03 Mission Worlds'!$O$45="PASS"),1,0)</x:f>
        <x:v>0</x:v>
      </x:c>
      <x:c r="H21" s="24" t="n">
        <x:f>IF(AND(H$6=1,'03 Mission Worlds'!$O$57="PASS"),1,0)</x:f>
        <x:v>1</x:v>
      </x:c>
      <x:c r="I21" s="24" t="n">
        <x:f>SUM(E21:H21)</x:f>
        <x:v>1</x:v>
      </x:c>
      <x:c r="J21" s="24" t="n">
        <x:f>'03 Mission Worlds'!E7</x:f>
        <x:v>30</x:v>
      </x:c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</x:row>
    <x:row r="22">
      <x:c r="C22" s="11" t="str">
        <x:v>P1</x:v>
      </x:c>
      <x:c r="D22" s="11" t="str">
        <x:v>W3</x:v>
      </x:c>
      <x:c r="E22" s="24" t="n">
        <x:f>IF(AND(E$6=1,'03 Mission Worlds'!$O$22="PASS"),1,0)</x:f>
        <x:v>0</x:v>
      </x:c>
      <x:c r="F22" s="24" t="n">
        <x:f>IF(AND(F$6=1,'03 Mission Worlds'!$O$34="PASS"),1,0)</x:f>
        <x:v>0</x:v>
      </x:c>
      <x:c r="G22" s="24" t="n">
        <x:f>IF(AND(G$6=1,'03 Mission Worlds'!$O$46="PASS"),1,0)</x:f>
        <x:v>0</x:v>
      </x:c>
      <x:c r="H22" s="24" t="n">
        <x:f>IF(AND(H$6=1,'03 Mission Worlds'!$O$58="PASS"),1,0)</x:f>
        <x:v>1</x:v>
      </x:c>
      <x:c r="I22" s="24" t="n">
        <x:f>SUM(E22:H22)</x:f>
        <x:v>1</x:v>
      </x:c>
      <x:c r="J22" s="24" t="n">
        <x:f>'03 Mission Worlds'!E8</x:f>
        <x:v>7</x:v>
      </x:c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</x:row>
    <x:row r="23">
      <x:c r="C23" s="11" t="str">
        <x:v>P1</x:v>
      </x:c>
      <x:c r="D23" s="11" t="str">
        <x:v>W4</x:v>
      </x:c>
      <x:c r="E23" s="24" t="n">
        <x:f>IF(AND(E$6=1,'03 Mission Worlds'!$O$23="PASS"),1,0)</x:f>
        <x:v>0</x:v>
      </x:c>
      <x:c r="F23" s="24" t="n">
        <x:f>IF(AND(F$6=1,'03 Mission Worlds'!$O$35="PASS"),1,0)</x:f>
        <x:v>0</x:v>
      </x:c>
      <x:c r="G23" s="24" t="n">
        <x:f>IF(AND(G$6=1,'03 Mission Worlds'!$O$47="PASS"),1,0)</x:f>
        <x:v>0</x:v>
      </x:c>
      <x:c r="H23" s="24" t="n">
        <x:f>IF(AND(H$6=1,'03 Mission Worlds'!$O$59="PASS"),1,0)</x:f>
        <x:v>1</x:v>
      </x:c>
      <x:c r="I23" s="24" t="n">
        <x:f>SUM(E23:H23)</x:f>
        <x:v>1</x:v>
      </x:c>
      <x:c r="J23" s="24" t="n">
        <x:f>'03 Mission Worlds'!E9</x:f>
        <x:v>30</x:v>
      </x:c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</x:row>
    <x:row r="24">
      <x:c r="C24" s="11" t="str">
        <x:v>P1</x:v>
      </x:c>
      <x:c r="D24" s="11" t="str">
        <x:v>W5</x:v>
      </x:c>
      <x:c r="E24" s="24" t="n">
        <x:f>IF(AND(E$6=1,'03 Mission Worlds'!$O$24="PASS"),1,0)</x:f>
        <x:v>0</x:v>
      </x:c>
      <x:c r="F24" s="24" t="n">
        <x:f>IF(AND(F$6=1,'03 Mission Worlds'!$O$36="PASS"),1,0)</x:f>
        <x:v>0</x:v>
      </x:c>
      <x:c r="G24" s="24" t="n">
        <x:f>IF(AND(G$6=1,'03 Mission Worlds'!$O$48="PASS"),1,0)</x:f>
        <x:v>0</x:v>
      </x:c>
      <x:c r="H24" s="24" t="n">
        <x:f>IF(AND(H$6=1,'03 Mission Worlds'!$O$60="PASS"),1,0)</x:f>
        <x:v>1</x:v>
      </x:c>
      <x:c r="I24" s="24" t="n">
        <x:f>SUM(E24:H24)</x:f>
        <x:v>1</x:v>
      </x:c>
      <x:c r="J24" s="24" t="n">
        <x:f>'03 Mission Worlds'!E10</x:f>
        <x:v>30</x:v>
      </x:c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</x:row>
    <x:row r="25">
      <x:c r="C25" s="11" t="str">
        <x:v>P1</x:v>
      </x:c>
      <x:c r="D25" s="11" t="str">
        <x:v>W6</x:v>
      </x:c>
      <x:c r="E25" s="24" t="n">
        <x:f>IF(AND(E$6=1,'03 Mission Worlds'!$O$25="PASS"),1,0)</x:f>
        <x:v>0</x:v>
      </x:c>
      <x:c r="F25" s="24" t="n">
        <x:f>IF(AND(F$6=1,'03 Mission Worlds'!$O$37="PASS"),1,0)</x:f>
        <x:v>0</x:v>
      </x:c>
      <x:c r="G25" s="24" t="n">
        <x:f>IF(AND(G$6=1,'03 Mission Worlds'!$O$49="PASS"),1,0)</x:f>
        <x:v>0</x:v>
      </x:c>
      <x:c r="H25" s="24" t="n">
        <x:f>IF(AND(H$6=1,'03 Mission Worlds'!$O$61="PASS"),1,0)</x:f>
        <x:v>1</x:v>
      </x:c>
      <x:c r="I25" s="24" t="n">
        <x:f>SUM(E25:H25)</x:f>
        <x:v>1</x:v>
      </x:c>
      <x:c r="J25" s="24" t="n">
        <x:f>'03 Mission Worlds'!E11</x:f>
        <x:v>30</x:v>
      </x:c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</x:row>
    <x:row r="26">
      <x:c r="C26" s="11" t="str">
        <x:v>P1</x:v>
      </x:c>
      <x:c r="D26" s="11" t="str">
        <x:v>W7</x:v>
      </x:c>
      <x:c r="E26" s="24" t="n">
        <x:f>IF(AND(E$6=1,'03 Mission Worlds'!$O$26="PASS"),1,0)</x:f>
        <x:v>0</x:v>
      </x:c>
      <x:c r="F26" s="24" t="n">
        <x:f>IF(AND(F$6=1,'03 Mission Worlds'!$O$38="PASS"),1,0)</x:f>
        <x:v>0</x:v>
      </x:c>
      <x:c r="G26" s="24" t="n">
        <x:f>IF(AND(G$6=1,'03 Mission Worlds'!$O$50="PASS"),1,0)</x:f>
        <x:v>0</x:v>
      </x:c>
      <x:c r="H26" s="24" t="n">
        <x:f>IF(AND(H$6=1,'03 Mission Worlds'!$O$62="PASS"),1,0)</x:f>
        <x:v>0</x:v>
      </x:c>
      <x:c r="I26" s="24" t="n">
        <x:f>SUM(E26:H26)</x:f>
        <x:v>0</x:v>
      </x:c>
      <x:c r="J26" s="24" t="n">
        <x:f>'03 Mission Worlds'!E12</x:f>
        <x:v>14</x:v>
      </x:c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</x:row>
    <x:row r="27">
      <x:c r="C27" s="11" t="str">
        <x:v>P1</x:v>
      </x:c>
      <x:c r="D27" s="11" t="str">
        <x:v>W8</x:v>
      </x:c>
      <x:c r="E27" s="24" t="n">
        <x:f>IF(AND(E$6=1,'03 Mission Worlds'!$O$27="PASS"),1,0)</x:f>
        <x:v>0</x:v>
      </x:c>
      <x:c r="F27" s="24" t="n">
        <x:f>IF(AND(F$6=1,'03 Mission Worlds'!$O$39="PASS"),1,0)</x:f>
        <x:v>0</x:v>
      </x:c>
      <x:c r="G27" s="24" t="n">
        <x:f>IF(AND(G$6=1,'03 Mission Worlds'!$O$51="PASS"),1,0)</x:f>
        <x:v>0</x:v>
      </x:c>
      <x:c r="H27" s="24" t="n">
        <x:f>IF(AND(H$6=1,'03 Mission Worlds'!$O$63="PASS"),1,0)</x:f>
        <x:v>1</x:v>
      </x:c>
      <x:c r="I27" s="24" t="n">
        <x:f>SUM(E27:H27)</x:f>
        <x:v>1</x:v>
      </x:c>
      <x:c r="J27" s="24" t="n">
        <x:f>'03 Mission Worlds'!E13</x:f>
        <x:v>7</x:v>
      </x:c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</x:row>
    <x:row r="28">
      <x:c r="C28" s="11" t="str">
        <x:v>P1</x:v>
      </x:c>
      <x:c r="D28" s="11" t="str">
        <x:v>W9</x:v>
      </x:c>
      <x:c r="E28" s="24" t="n">
        <x:f>IF(AND(E$6=1,'03 Mission Worlds'!$O$28="PASS"),1,0)</x:f>
        <x:v>0</x:v>
      </x:c>
      <x:c r="F28" s="24" t="n">
        <x:f>IF(AND(F$6=1,'03 Mission Worlds'!$O$40="PASS"),1,0)</x:f>
        <x:v>0</x:v>
      </x:c>
      <x:c r="G28" s="24" t="n">
        <x:f>IF(AND(G$6=1,'03 Mission Worlds'!$O$52="PASS"),1,0)</x:f>
        <x:v>0</x:v>
      </x:c>
      <x:c r="H28" s="24" t="n">
        <x:f>IF(AND(H$6=1,'03 Mission Worlds'!$O$64="PASS"),1,0)</x:f>
        <x:v>1</x:v>
      </x:c>
      <x:c r="I28" s="24" t="n">
        <x:f>SUM(E28:H28)</x:f>
        <x:v>1</x:v>
      </x:c>
      <x:c r="J28" s="24" t="n">
        <x:f>'03 Mission Worlds'!E14</x:f>
        <x:v>30</x:v>
      </x:c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</x:row>
    <x:row r="29">
      <x:c r="C29" s="11" t="str">
        <x:v>P1</x:v>
      </x:c>
      <x:c r="D29" s="11" t="str">
        <x:v>W10</x:v>
      </x:c>
      <x:c r="E29" s="24" t="n">
        <x:f>IF(AND(E$6=1,'03 Mission Worlds'!$O$29="PASS"),1,0)</x:f>
        <x:v>1</x:v>
      </x:c>
      <x:c r="F29" s="24" t="n">
        <x:f>IF(AND(F$6=1,'03 Mission Worlds'!$O$41="PASS"),1,0)</x:f>
        <x:v>0</x:v>
      </x:c>
      <x:c r="G29" s="24" t="n">
        <x:f>IF(AND(G$6=1,'03 Mission Worlds'!$O$53="PASS"),1,0)</x:f>
        <x:v>0</x:v>
      </x:c>
      <x:c r="H29" s="24" t="n">
        <x:f>IF(AND(H$6=1,'03 Mission Worlds'!$O$65="PASS"),1,0)</x:f>
        <x:v>0</x:v>
      </x:c>
      <x:c r="I29" s="24" t="n">
        <x:f>SUM(E29:H29)</x:f>
        <x:v>1</x:v>
      </x:c>
      <x:c r="J29" s="24" t="n">
        <x:f>'03 Mission Worlds'!E15</x:f>
        <x:v>14</x:v>
      </x:c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</x:row>
    <x:row r="30">
      <x:c r="C30" s="11" t="str">
        <x:v>P1</x:v>
      </x:c>
      <x:c r="D30" s="11" t="str">
        <x:v>W11</x:v>
      </x:c>
      <x:c r="E30" s="24" t="n">
        <x:f>IF(AND(E$6=1,'03 Mission Worlds'!$O$30="PASS"),1,0)</x:f>
        <x:v>0</x:v>
      </x:c>
      <x:c r="F30" s="24" t="n">
        <x:f>IF(AND(F$6=1,'03 Mission Worlds'!$O$42="PASS"),1,0)</x:f>
        <x:v>0</x:v>
      </x:c>
      <x:c r="G30" s="24" t="n">
        <x:f>IF(AND(G$6=1,'03 Mission Worlds'!$O$54="PASS"),1,0)</x:f>
        <x:v>0</x:v>
      </x:c>
      <x:c r="H30" s="24" t="n">
        <x:f>IF(AND(H$6=1,'03 Mission Worlds'!$O$66="PASS"),1,0)</x:f>
        <x:v>0</x:v>
      </x:c>
      <x:c r="I30" s="24" t="n">
        <x:f>SUM(E30:H30)</x:f>
        <x:v>0</x:v>
      </x:c>
      <x:c r="J30" s="24" t="n">
        <x:f>'03 Mission Worlds'!E16</x:f>
        <x:v>30</x:v>
      </x:c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</x:row>
    <x:row r="31">
      <x:c r="C31" s="11" t="str">
        <x:v>P1</x:v>
      </x:c>
      <x:c r="D31" s="11" t="str">
        <x:v>W12</x:v>
      </x:c>
      <x:c r="E31" s="24" t="n">
        <x:f>IF(AND(E$6=1,'03 Mission Worlds'!$O$31="PASS"),1,0)</x:f>
        <x:v>0</x:v>
      </x:c>
      <x:c r="F31" s="24" t="n">
        <x:f>IF(AND(F$6=1,'03 Mission Worlds'!$O$43="PASS"),1,0)</x:f>
        <x:v>0</x:v>
      </x:c>
      <x:c r="G31" s="24" t="n">
        <x:f>IF(AND(G$6=1,'03 Mission Worlds'!$O$55="PASS"),1,0)</x:f>
        <x:v>0</x:v>
      </x:c>
      <x:c r="H31" s="24" t="n">
        <x:f>IF(AND(H$6=1,'03 Mission Worlds'!$O$67="PASS"),1,0)</x:f>
        <x:v>1</x:v>
      </x:c>
      <x:c r="I31" s="24" t="n">
        <x:f>SUM(E31:H31)</x:f>
        <x:v>1</x:v>
      </x:c>
      <x:c r="J31" s="24" t="n">
        <x:f>'03 Mission Worlds'!E17</x:f>
        <x:v>3</x:v>
      </x:c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</x:row>
    <x:row r="32">
      <x:c r="C32" s="11" t="str">
        <x:v>P2</x:v>
      </x:c>
      <x:c r="D32" s="11" t="str">
        <x:v>W1</x:v>
      </x:c>
      <x:c r="E32" s="24" t="n">
        <x:f>IF(AND(E$7=1,'03 Mission Worlds'!$O$20="PASS"),1,0)</x:f>
        <x:v>0</x:v>
      </x:c>
      <x:c r="F32" s="24" t="n">
        <x:f>IF(AND(F$7=1,'03 Mission Worlds'!$O$32="PASS"),1,0)</x:f>
        <x:v>0</x:v>
      </x:c>
      <x:c r="G32" s="24" t="n">
        <x:f>IF(AND(G$7=1,'03 Mission Worlds'!$O$44="PASS"),1,0)</x:f>
        <x:v>0</x:v>
      </x:c>
      <x:c r="H32" s="24" t="n">
        <x:f>IF(AND(H$7=1,'03 Mission Worlds'!$O$56="PASS"),1,0)</x:f>
        <x:v>1</x:v>
      </x:c>
      <x:c r="I32" s="24" t="n">
        <x:f>SUM(E32:H32)</x:f>
        <x:v>1</x:v>
      </x:c>
      <x:c r="J32" s="24" t="n">
        <x:f>'03 Mission Worlds'!E6</x:f>
        <x:v>30</x:v>
      </x:c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</x:row>
    <x:row r="33">
      <x:c r="C33" s="11" t="str">
        <x:v>P2</x:v>
      </x:c>
      <x:c r="D33" s="11" t="str">
        <x:v>W2</x:v>
      </x:c>
      <x:c r="E33" s="24" t="n">
        <x:f>IF(AND(E$7=1,'03 Mission Worlds'!$O$21="PASS"),1,0)</x:f>
        <x:v>0</x:v>
      </x:c>
      <x:c r="F33" s="24" t="n">
        <x:f>IF(AND(F$7=1,'03 Mission Worlds'!$O$33="PASS"),1,0)</x:f>
        <x:v>1</x:v>
      </x:c>
      <x:c r="G33" s="24" t="n">
        <x:f>IF(AND(G$7=1,'03 Mission Worlds'!$O$45="PASS"),1,0)</x:f>
        <x:v>0</x:v>
      </x:c>
      <x:c r="H33" s="24" t="n">
        <x:f>IF(AND(H$7=1,'03 Mission Worlds'!$O$57="PASS"),1,0)</x:f>
        <x:v>1</x:v>
      </x:c>
      <x:c r="I33" s="24" t="n">
        <x:f>SUM(E33:H33)</x:f>
        <x:v>2</x:v>
      </x:c>
      <x:c r="J33" s="24" t="n">
        <x:f>'03 Mission Worlds'!E7</x:f>
        <x:v>30</x:v>
      </x:c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</x:row>
    <x:row r="34">
      <x:c r="C34" s="11" t="str">
        <x:v>P2</x:v>
      </x:c>
      <x:c r="D34" s="11" t="str">
        <x:v>W3</x:v>
      </x:c>
      <x:c r="E34" s="24" t="n">
        <x:f>IF(AND(E$7=1,'03 Mission Worlds'!$O$22="PASS"),1,0)</x:f>
        <x:v>0</x:v>
      </x:c>
      <x:c r="F34" s="24" t="n">
        <x:f>IF(AND(F$7=1,'03 Mission Worlds'!$O$34="PASS"),1,0)</x:f>
        <x:v>0</x:v>
      </x:c>
      <x:c r="G34" s="24" t="n">
        <x:f>IF(AND(G$7=1,'03 Mission Worlds'!$O$46="PASS"),1,0)</x:f>
        <x:v>0</x:v>
      </x:c>
      <x:c r="H34" s="24" t="n">
        <x:f>IF(AND(H$7=1,'03 Mission Worlds'!$O$58="PASS"),1,0)</x:f>
        <x:v>1</x:v>
      </x:c>
      <x:c r="I34" s="24" t="n">
        <x:f>SUM(E34:H34)</x:f>
        <x:v>1</x:v>
      </x:c>
      <x:c r="J34" s="24" t="n">
        <x:f>'03 Mission Worlds'!E8</x:f>
        <x:v>7</x:v>
      </x:c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</x:row>
    <x:row r="35">
      <x:c r="C35" s="11" t="str">
        <x:v>P2</x:v>
      </x:c>
      <x:c r="D35" s="11" t="str">
        <x:v>W4</x:v>
      </x:c>
      <x:c r="E35" s="24" t="n">
        <x:f>IF(AND(E$7=1,'03 Mission Worlds'!$O$23="PASS"),1,0)</x:f>
        <x:v>0</x:v>
      </x:c>
      <x:c r="F35" s="24" t="n">
        <x:f>IF(AND(F$7=1,'03 Mission Worlds'!$O$35="PASS"),1,0)</x:f>
        <x:v>1</x:v>
      </x:c>
      <x:c r="G35" s="24" t="n">
        <x:f>IF(AND(G$7=1,'03 Mission Worlds'!$O$47="PASS"),1,0)</x:f>
        <x:v>0</x:v>
      </x:c>
      <x:c r="H35" s="24" t="n">
        <x:f>IF(AND(H$7=1,'03 Mission Worlds'!$O$59="PASS"),1,0)</x:f>
        <x:v>1</x:v>
      </x:c>
      <x:c r="I35" s="24" t="n">
        <x:f>SUM(E35:H35)</x:f>
        <x:v>2</x:v>
      </x:c>
      <x:c r="J35" s="24" t="n">
        <x:f>'03 Mission Worlds'!E9</x:f>
        <x:v>30</x:v>
      </x:c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</x:row>
    <x:row r="36">
      <x:c r="C36" s="11" t="str">
        <x:v>P2</x:v>
      </x:c>
      <x:c r="D36" s="11" t="str">
        <x:v>W5</x:v>
      </x:c>
      <x:c r="E36" s="24" t="n">
        <x:f>IF(AND(E$7=1,'03 Mission Worlds'!$O$24="PASS"),1,0)</x:f>
        <x:v>0</x:v>
      </x:c>
      <x:c r="F36" s="24" t="n">
        <x:f>IF(AND(F$7=1,'03 Mission Worlds'!$O$36="PASS"),1,0)</x:f>
        <x:v>1</x:v>
      </x:c>
      <x:c r="G36" s="24" t="n">
        <x:f>IF(AND(G$7=1,'03 Mission Worlds'!$O$48="PASS"),1,0)</x:f>
        <x:v>0</x:v>
      </x:c>
      <x:c r="H36" s="24" t="n">
        <x:f>IF(AND(H$7=1,'03 Mission Worlds'!$O$60="PASS"),1,0)</x:f>
        <x:v>1</x:v>
      </x:c>
      <x:c r="I36" s="24" t="n">
        <x:f>SUM(E36:H36)</x:f>
        <x:v>2</x:v>
      </x:c>
      <x:c r="J36" s="24" t="n">
        <x:f>'03 Mission Worlds'!E10</x:f>
        <x:v>30</x:v>
      </x:c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</x:row>
    <x:row r="37">
      <x:c r="C37" s="11" t="str">
        <x:v>P2</x:v>
      </x:c>
      <x:c r="D37" s="11" t="str">
        <x:v>W6</x:v>
      </x:c>
      <x:c r="E37" s="24" t="n">
        <x:f>IF(AND(E$7=1,'03 Mission Worlds'!$O$25="PASS"),1,0)</x:f>
        <x:v>0</x:v>
      </x:c>
      <x:c r="F37" s="24" t="n">
        <x:f>IF(AND(F$7=1,'03 Mission Worlds'!$O$37="PASS"),1,0)</x:f>
        <x:v>0</x:v>
      </x:c>
      <x:c r="G37" s="24" t="n">
        <x:f>IF(AND(G$7=1,'03 Mission Worlds'!$O$49="PASS"),1,0)</x:f>
        <x:v>0</x:v>
      </x:c>
      <x:c r="H37" s="24" t="n">
        <x:f>IF(AND(H$7=1,'03 Mission Worlds'!$O$61="PASS"),1,0)</x:f>
        <x:v>1</x:v>
      </x:c>
      <x:c r="I37" s="24" t="n">
        <x:f>SUM(E37:H37)</x:f>
        <x:v>1</x:v>
      </x:c>
      <x:c r="J37" s="24" t="n">
        <x:f>'03 Mission Worlds'!E11</x:f>
        <x:v>30</x:v>
      </x:c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</x:row>
    <x:row r="38">
      <x:c r="C38" s="11" t="str">
        <x:v>P2</x:v>
      </x:c>
      <x:c r="D38" s="11" t="str">
        <x:v>W7</x:v>
      </x:c>
      <x:c r="E38" s="24" t="n">
        <x:f>IF(AND(E$7=1,'03 Mission Worlds'!$O$26="PASS"),1,0)</x:f>
        <x:v>0</x:v>
      </x:c>
      <x:c r="F38" s="24" t="n">
        <x:f>IF(AND(F$7=1,'03 Mission Worlds'!$O$38="PASS"),1,0)</x:f>
        <x:v>0</x:v>
      </x:c>
      <x:c r="G38" s="24" t="n">
        <x:f>IF(AND(G$7=1,'03 Mission Worlds'!$O$50="PASS"),1,0)</x:f>
        <x:v>0</x:v>
      </x:c>
      <x:c r="H38" s="24" t="n">
        <x:f>IF(AND(H$7=1,'03 Mission Worlds'!$O$62="PASS"),1,0)</x:f>
        <x:v>0</x:v>
      </x:c>
      <x:c r="I38" s="24" t="n">
        <x:f>SUM(E38:H38)</x:f>
        <x:v>0</x:v>
      </x:c>
      <x:c r="J38" s="24" t="n">
        <x:f>'03 Mission Worlds'!E12</x:f>
        <x:v>14</x:v>
      </x:c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</x:row>
    <x:row r="39">
      <x:c r="C39" s="11" t="str">
        <x:v>P2</x:v>
      </x:c>
      <x:c r="D39" s="11" t="str">
        <x:v>W8</x:v>
      </x:c>
      <x:c r="E39" s="24" t="n">
        <x:f>IF(AND(E$7=1,'03 Mission Worlds'!$O$27="PASS"),1,0)</x:f>
        <x:v>0</x:v>
      </x:c>
      <x:c r="F39" s="24" t="n">
        <x:f>IF(AND(F$7=1,'03 Mission Worlds'!$O$39="PASS"),1,0)</x:f>
        <x:v>0</x:v>
      </x:c>
      <x:c r="G39" s="24" t="n">
        <x:f>IF(AND(G$7=1,'03 Mission Worlds'!$O$51="PASS"),1,0)</x:f>
        <x:v>0</x:v>
      </x:c>
      <x:c r="H39" s="24" t="n">
        <x:f>IF(AND(H$7=1,'03 Mission Worlds'!$O$63="PASS"),1,0)</x:f>
        <x:v>1</x:v>
      </x:c>
      <x:c r="I39" s="24" t="n">
        <x:f>SUM(E39:H39)</x:f>
        <x:v>1</x:v>
      </x:c>
      <x:c r="J39" s="24" t="n">
        <x:f>'03 Mission Worlds'!E13</x:f>
        <x:v>7</x:v>
      </x:c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</x:row>
    <x:row r="40">
      <x:c r="C40" s="11" t="str">
        <x:v>P2</x:v>
      </x:c>
      <x:c r="D40" s="11" t="str">
        <x:v>W9</x:v>
      </x:c>
      <x:c r="E40" s="24" t="n">
        <x:f>IF(AND(E$7=1,'03 Mission Worlds'!$O$28="PASS"),1,0)</x:f>
        <x:v>0</x:v>
      </x:c>
      <x:c r="F40" s="24" t="n">
        <x:f>IF(AND(F$7=1,'03 Mission Worlds'!$O$40="PASS"),1,0)</x:f>
        <x:v>1</x:v>
      </x:c>
      <x:c r="G40" s="24" t="n">
        <x:f>IF(AND(G$7=1,'03 Mission Worlds'!$O$52="PASS"),1,0)</x:f>
        <x:v>0</x:v>
      </x:c>
      <x:c r="H40" s="24" t="n">
        <x:f>IF(AND(H$7=1,'03 Mission Worlds'!$O$64="PASS"),1,0)</x:f>
        <x:v>1</x:v>
      </x:c>
      <x:c r="I40" s="24" t="n">
        <x:f>SUM(E40:H40)</x:f>
        <x:v>2</x:v>
      </x:c>
      <x:c r="J40" s="24" t="n">
        <x:f>'03 Mission Worlds'!E14</x:f>
        <x:v>30</x:v>
      </x:c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</x:row>
    <x:row r="41">
      <x:c r="C41" s="11" t="str">
        <x:v>P2</x:v>
      </x:c>
      <x:c r="D41" s="11" t="str">
        <x:v>W10</x:v>
      </x:c>
      <x:c r="E41" s="24" t="n">
        <x:f>IF(AND(E$7=1,'03 Mission Worlds'!$O$29="PASS"),1,0)</x:f>
        <x:v>0</x:v>
      </x:c>
      <x:c r="F41" s="24" t="n">
        <x:f>IF(AND(F$7=1,'03 Mission Worlds'!$O$41="PASS"),1,0)</x:f>
        <x:v>0</x:v>
      </x:c>
      <x:c r="G41" s="24" t="n">
        <x:f>IF(AND(G$7=1,'03 Mission Worlds'!$O$53="PASS"),1,0)</x:f>
        <x:v>0</x:v>
      </x:c>
      <x:c r="H41" s="24" t="n">
        <x:f>IF(AND(H$7=1,'03 Mission Worlds'!$O$65="PASS"),1,0)</x:f>
        <x:v>0</x:v>
      </x:c>
      <x:c r="I41" s="24" t="n">
        <x:f>SUM(E41:H41)</x:f>
        <x:v>0</x:v>
      </x:c>
      <x:c r="J41" s="24" t="n">
        <x:f>'03 Mission Worlds'!E15</x:f>
        <x:v>14</x:v>
      </x:c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</x:row>
    <x:row r="42">
      <x:c r="C42" s="11" t="str">
        <x:v>P2</x:v>
      </x:c>
      <x:c r="D42" s="11" t="str">
        <x:v>W11</x:v>
      </x:c>
      <x:c r="E42" s="24" t="n">
        <x:f>IF(AND(E$7=1,'03 Mission Worlds'!$O$30="PASS"),1,0)</x:f>
        <x:v>0</x:v>
      </x:c>
      <x:c r="F42" s="24" t="n">
        <x:f>IF(AND(F$7=1,'03 Mission Worlds'!$O$42="PASS"),1,0)</x:f>
        <x:v>0</x:v>
      </x:c>
      <x:c r="G42" s="24" t="n">
        <x:f>IF(AND(G$7=1,'03 Mission Worlds'!$O$54="PASS"),1,0)</x:f>
        <x:v>0</x:v>
      </x:c>
      <x:c r="H42" s="24" t="n">
        <x:f>IF(AND(H$7=1,'03 Mission Worlds'!$O$66="PASS"),1,0)</x:f>
        <x:v>0</x:v>
      </x:c>
      <x:c r="I42" s="24" t="n">
        <x:f>SUM(E42:H42)</x:f>
        <x:v>0</x:v>
      </x:c>
      <x:c r="J42" s="24" t="n">
        <x:f>'03 Mission Worlds'!E16</x:f>
        <x:v>30</x:v>
      </x:c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</x:row>
    <x:row r="43">
      <x:c r="C43" s="11" t="str">
        <x:v>P2</x:v>
      </x:c>
      <x:c r="D43" s="11" t="str">
        <x:v>W12</x:v>
      </x:c>
      <x:c r="E43" s="24" t="n">
        <x:f>IF(AND(E$7=1,'03 Mission Worlds'!$O$31="PASS"),1,0)</x:f>
        <x:v>0</x:v>
      </x:c>
      <x:c r="F43" s="24" t="n">
        <x:f>IF(AND(F$7=1,'03 Mission Worlds'!$O$43="PASS"),1,0)</x:f>
        <x:v>0</x:v>
      </x:c>
      <x:c r="G43" s="24" t="n">
        <x:f>IF(AND(G$7=1,'03 Mission Worlds'!$O$55="PASS"),1,0)</x:f>
        <x:v>0</x:v>
      </x:c>
      <x:c r="H43" s="24" t="n">
        <x:f>IF(AND(H$7=1,'03 Mission Worlds'!$O$67="PASS"),1,0)</x:f>
        <x:v>1</x:v>
      </x:c>
      <x:c r="I43" s="24" t="n">
        <x:f>SUM(E43:H43)</x:f>
        <x:v>1</x:v>
      </x:c>
      <x:c r="J43" s="24" t="n">
        <x:f>'03 Mission Worlds'!E17</x:f>
        <x:v>3</x:v>
      </x:c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</x:row>
    <x:row r="44">
      <x:c r="C44" s="11" t="str">
        <x:v>P3</x:v>
      </x:c>
      <x:c r="D44" s="11" t="str">
        <x:v>W1</x:v>
      </x:c>
      <x:c r="E44" s="24" t="n">
        <x:f>IF(AND(E$8=1,'03 Mission Worlds'!$O$20="PASS"),1,0)</x:f>
        <x:v>0</x:v>
      </x:c>
      <x:c r="F44" s="24" t="n">
        <x:f>IF(AND(F$8=1,'03 Mission Worlds'!$O$32="PASS"),1,0)</x:f>
        <x:v>0</x:v>
      </x:c>
      <x:c r="G44" s="24" t="n">
        <x:f>IF(AND(G$8=1,'03 Mission Worlds'!$O$44="PASS"),1,0)</x:f>
        <x:v>0</x:v>
      </x:c>
      <x:c r="H44" s="24" t="n">
        <x:f>IF(AND(H$8=1,'03 Mission Worlds'!$O$56="PASS"),1,0)</x:f>
        <x:v>1</x:v>
      </x:c>
      <x:c r="I44" s="24" t="n">
        <x:f>SUM(E44:H44)</x:f>
        <x:v>1</x:v>
      </x:c>
      <x:c r="J44" s="24" t="n">
        <x:f>'03 Mission Worlds'!E6</x:f>
        <x:v>30</x:v>
      </x:c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</x:row>
    <x:row r="45">
      <x:c r="C45" s="11" t="str">
        <x:v>P3</x:v>
      </x:c>
      <x:c r="D45" s="11" t="str">
        <x:v>W2</x:v>
      </x:c>
      <x:c r="E45" s="24" t="n">
        <x:f>IF(AND(E$8=1,'03 Mission Worlds'!$O$21="PASS"),1,0)</x:f>
        <x:v>0</x:v>
      </x:c>
      <x:c r="F45" s="24" t="n">
        <x:f>IF(AND(F$8=1,'03 Mission Worlds'!$O$33="PASS"),1,0)</x:f>
        <x:v>0</x:v>
      </x:c>
      <x:c r="G45" s="24" t="n">
        <x:f>IF(AND(G$8=1,'03 Mission Worlds'!$O$45="PASS"),1,0)</x:f>
        <x:v>0</x:v>
      </x:c>
      <x:c r="H45" s="24" t="n">
        <x:f>IF(AND(H$8=1,'03 Mission Worlds'!$O$57="PASS"),1,0)</x:f>
        <x:v>1</x:v>
      </x:c>
      <x:c r="I45" s="24" t="n">
        <x:f>SUM(E45:H45)</x:f>
        <x:v>1</x:v>
      </x:c>
      <x:c r="J45" s="24" t="n">
        <x:f>'03 Mission Worlds'!E7</x:f>
        <x:v>30</x:v>
      </x:c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</x:row>
    <x:row r="46">
      <x:c r="C46" s="11" t="str">
        <x:v>P3</x:v>
      </x:c>
      <x:c r="D46" s="11" t="str">
        <x:v>W3</x:v>
      </x:c>
      <x:c r="E46" s="24" t="n">
        <x:f>IF(AND(E$8=1,'03 Mission Worlds'!$O$22="PASS"),1,0)</x:f>
        <x:v>0</x:v>
      </x:c>
      <x:c r="F46" s="24" t="n">
        <x:f>IF(AND(F$8=1,'03 Mission Worlds'!$O$34="PASS"),1,0)</x:f>
        <x:v>0</x:v>
      </x:c>
      <x:c r="G46" s="24" t="n">
        <x:f>IF(AND(G$8=1,'03 Mission Worlds'!$O$46="PASS"),1,0)</x:f>
        <x:v>0</x:v>
      </x:c>
      <x:c r="H46" s="24" t="n">
        <x:f>IF(AND(H$8=1,'03 Mission Worlds'!$O$58="PASS"),1,0)</x:f>
        <x:v>1</x:v>
      </x:c>
      <x:c r="I46" s="24" t="n">
        <x:f>SUM(E46:H46)</x:f>
        <x:v>1</x:v>
      </x:c>
      <x:c r="J46" s="24" t="n">
        <x:f>'03 Mission Worlds'!E8</x:f>
        <x:v>7</x:v>
      </x:c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</x:row>
    <x:row r="47">
      <x:c r="C47" s="11" t="str">
        <x:v>P3</x:v>
      </x:c>
      <x:c r="D47" s="11" t="str">
        <x:v>W4</x:v>
      </x:c>
      <x:c r="E47" s="24" t="n">
        <x:f>IF(AND(E$8=1,'03 Mission Worlds'!$O$23="PASS"),1,0)</x:f>
        <x:v>0</x:v>
      </x:c>
      <x:c r="F47" s="24" t="n">
        <x:f>IF(AND(F$8=1,'03 Mission Worlds'!$O$35="PASS"),1,0)</x:f>
        <x:v>0</x:v>
      </x:c>
      <x:c r="G47" s="24" t="n">
        <x:f>IF(AND(G$8=1,'03 Mission Worlds'!$O$47="PASS"),1,0)</x:f>
        <x:v>0</x:v>
      </x:c>
      <x:c r="H47" s="24" t="n">
        <x:f>IF(AND(H$8=1,'03 Mission Worlds'!$O$59="PASS"),1,0)</x:f>
        <x:v>1</x:v>
      </x:c>
      <x:c r="I47" s="24" t="n">
        <x:f>SUM(E47:H47)</x:f>
        <x:v>1</x:v>
      </x:c>
      <x:c r="J47" s="24" t="n">
        <x:f>'03 Mission Worlds'!E9</x:f>
        <x:v>30</x:v>
      </x:c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</x:row>
    <x:row r="48">
      <x:c r="C48" s="11" t="str">
        <x:v>P3</x:v>
      </x:c>
      <x:c r="D48" s="11" t="str">
        <x:v>W5</x:v>
      </x:c>
      <x:c r="E48" s="24" t="n">
        <x:f>IF(AND(E$8=1,'03 Mission Worlds'!$O$24="PASS"),1,0)</x:f>
        <x:v>0</x:v>
      </x:c>
      <x:c r="F48" s="24" t="n">
        <x:f>IF(AND(F$8=1,'03 Mission Worlds'!$O$36="PASS"),1,0)</x:f>
        <x:v>0</x:v>
      </x:c>
      <x:c r="G48" s="24" t="n">
        <x:f>IF(AND(G$8=1,'03 Mission Worlds'!$O$48="PASS"),1,0)</x:f>
        <x:v>0</x:v>
      </x:c>
      <x:c r="H48" s="24" t="n">
        <x:f>IF(AND(H$8=1,'03 Mission Worlds'!$O$60="PASS"),1,0)</x:f>
        <x:v>1</x:v>
      </x:c>
      <x:c r="I48" s="24" t="n">
        <x:f>SUM(E48:H48)</x:f>
        <x:v>1</x:v>
      </x:c>
      <x:c r="J48" s="24" t="n">
        <x:f>'03 Mission Worlds'!E10</x:f>
        <x:v>30</x:v>
      </x:c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</x:row>
    <x:row r="49">
      <x:c r="C49" s="11" t="str">
        <x:v>P3</x:v>
      </x:c>
      <x:c r="D49" s="11" t="str">
        <x:v>W6</x:v>
      </x:c>
      <x:c r="E49" s="24" t="n">
        <x:f>IF(AND(E$8=1,'03 Mission Worlds'!$O$25="PASS"),1,0)</x:f>
        <x:v>0</x:v>
      </x:c>
      <x:c r="F49" s="24" t="n">
        <x:f>IF(AND(F$8=1,'03 Mission Worlds'!$O$37="PASS"),1,0)</x:f>
        <x:v>0</x:v>
      </x:c>
      <x:c r="G49" s="24" t="n">
        <x:f>IF(AND(G$8=1,'03 Mission Worlds'!$O$49="PASS"),1,0)</x:f>
        <x:v>1</x:v>
      </x:c>
      <x:c r="H49" s="24" t="n">
        <x:f>IF(AND(H$8=1,'03 Mission Worlds'!$O$61="PASS"),1,0)</x:f>
        <x:v>1</x:v>
      </x:c>
      <x:c r="I49" s="24" t="n">
        <x:f>SUM(E49:H49)</x:f>
        <x:v>2</x:v>
      </x:c>
      <x:c r="J49" s="24" t="n">
        <x:f>'03 Mission Worlds'!E11</x:f>
        <x:v>30</x:v>
      </x:c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</x:row>
    <x:row r="50">
      <x:c r="C50" s="11" t="str">
        <x:v>P3</x:v>
      </x:c>
      <x:c r="D50" s="11" t="str">
        <x:v>W7</x:v>
      </x:c>
      <x:c r="E50" s="24" t="n">
        <x:f>IF(AND(E$8=1,'03 Mission Worlds'!$O$26="PASS"),1,0)</x:f>
        <x:v>0</x:v>
      </x:c>
      <x:c r="F50" s="24" t="n">
        <x:f>IF(AND(F$8=1,'03 Mission Worlds'!$O$38="PASS"),1,0)</x:f>
        <x:v>0</x:v>
      </x:c>
      <x:c r="G50" s="24" t="n">
        <x:f>IF(AND(G$8=1,'03 Mission Worlds'!$O$50="PASS"),1,0)</x:f>
        <x:v>0</x:v>
      </x:c>
      <x:c r="H50" s="24" t="n">
        <x:f>IF(AND(H$8=1,'03 Mission Worlds'!$O$62="PASS"),1,0)</x:f>
        <x:v>0</x:v>
      </x:c>
      <x:c r="I50" s="24" t="n">
        <x:f>SUM(E50:H50)</x:f>
        <x:v>0</x:v>
      </x:c>
      <x:c r="J50" s="24" t="n">
        <x:f>'03 Mission Worlds'!E12</x:f>
        <x:v>14</x:v>
      </x:c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</x:row>
    <x:row r="51">
      <x:c r="C51" s="11" t="str">
        <x:v>P3</x:v>
      </x:c>
      <x:c r="D51" s="11" t="str">
        <x:v>W8</x:v>
      </x:c>
      <x:c r="E51" s="24" t="n">
        <x:f>IF(AND(E$8=1,'03 Mission Worlds'!$O$27="PASS"),1,0)</x:f>
        <x:v>0</x:v>
      </x:c>
      <x:c r="F51" s="24" t="n">
        <x:f>IF(AND(F$8=1,'03 Mission Worlds'!$O$39="PASS"),1,0)</x:f>
        <x:v>0</x:v>
      </x:c>
      <x:c r="G51" s="24" t="n">
        <x:f>IF(AND(G$8=1,'03 Mission Worlds'!$O$51="PASS"),1,0)</x:f>
        <x:v>0</x:v>
      </x:c>
      <x:c r="H51" s="24" t="n">
        <x:f>IF(AND(H$8=1,'03 Mission Worlds'!$O$63="PASS"),1,0)</x:f>
        <x:v>1</x:v>
      </x:c>
      <x:c r="I51" s="24" t="n">
        <x:f>SUM(E51:H51)</x:f>
        <x:v>1</x:v>
      </x:c>
      <x:c r="J51" s="24" t="n">
        <x:f>'03 Mission Worlds'!E13</x:f>
        <x:v>7</x:v>
      </x:c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</x:row>
    <x:row r="52">
      <x:c r="C52" s="11" t="str">
        <x:v>P3</x:v>
      </x:c>
      <x:c r="D52" s="11" t="str">
        <x:v>W9</x:v>
      </x:c>
      <x:c r="E52" s="24" t="n">
        <x:f>IF(AND(E$8=1,'03 Mission Worlds'!$O$28="PASS"),1,0)</x:f>
        <x:v>0</x:v>
      </x:c>
      <x:c r="F52" s="24" t="n">
        <x:f>IF(AND(F$8=1,'03 Mission Worlds'!$O$40="PASS"),1,0)</x:f>
        <x:v>0</x:v>
      </x:c>
      <x:c r="G52" s="24" t="n">
        <x:f>IF(AND(G$8=1,'03 Mission Worlds'!$O$52="PASS"),1,0)</x:f>
        <x:v>0</x:v>
      </x:c>
      <x:c r="H52" s="24" t="n">
        <x:f>IF(AND(H$8=1,'03 Mission Worlds'!$O$64="PASS"),1,0)</x:f>
        <x:v>1</x:v>
      </x:c>
      <x:c r="I52" s="24" t="n">
        <x:f>SUM(E52:H52)</x:f>
        <x:v>1</x:v>
      </x:c>
      <x:c r="J52" s="24" t="n">
        <x:f>'03 Mission Worlds'!E14</x:f>
        <x:v>30</x:v>
      </x:c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</x:row>
    <x:row r="53">
      <x:c r="C53" s="11" t="str">
        <x:v>P3</x:v>
      </x:c>
      <x:c r="D53" s="11" t="str">
        <x:v>W10</x:v>
      </x:c>
      <x:c r="E53" s="24" t="n">
        <x:f>IF(AND(E$8=1,'03 Mission Worlds'!$O$29="PASS"),1,0)</x:f>
        <x:v>0</x:v>
      </x:c>
      <x:c r="F53" s="24" t="n">
        <x:f>IF(AND(F$8=1,'03 Mission Worlds'!$O$41="PASS"),1,0)</x:f>
        <x:v>0</x:v>
      </x:c>
      <x:c r="G53" s="24" t="n">
        <x:f>IF(AND(G$8=1,'03 Mission Worlds'!$O$53="PASS"),1,0)</x:f>
        <x:v>0</x:v>
      </x:c>
      <x:c r="H53" s="24" t="n">
        <x:f>IF(AND(H$8=1,'03 Mission Worlds'!$O$65="PASS"),1,0)</x:f>
        <x:v>0</x:v>
      </x:c>
      <x:c r="I53" s="24" t="n">
        <x:f>SUM(E53:H53)</x:f>
        <x:v>0</x:v>
      </x:c>
      <x:c r="J53" s="24" t="n">
        <x:f>'03 Mission Worlds'!E15</x:f>
        <x:v>14</x:v>
      </x:c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</x:row>
    <x:row r="54">
      <x:c r="C54" s="11" t="str">
        <x:v>P3</x:v>
      </x:c>
      <x:c r="D54" s="11" t="str">
        <x:v>W11</x:v>
      </x:c>
      <x:c r="E54" s="24" t="n">
        <x:f>IF(AND(E$8=1,'03 Mission Worlds'!$O$30="PASS"),1,0)</x:f>
        <x:v>0</x:v>
      </x:c>
      <x:c r="F54" s="24" t="n">
        <x:f>IF(AND(F$8=1,'03 Mission Worlds'!$O$42="PASS"),1,0)</x:f>
        <x:v>0</x:v>
      </x:c>
      <x:c r="G54" s="24" t="n">
        <x:f>IF(AND(G$8=1,'03 Mission Worlds'!$O$54="PASS"),1,0)</x:f>
        <x:v>0</x:v>
      </x:c>
      <x:c r="H54" s="24" t="n">
        <x:f>IF(AND(H$8=1,'03 Mission Worlds'!$O$66="PASS"),1,0)</x:f>
        <x:v>0</x:v>
      </x:c>
      <x:c r="I54" s="24" t="n">
        <x:f>SUM(E54:H54)</x:f>
        <x:v>0</x:v>
      </x:c>
      <x:c r="J54" s="24" t="n">
        <x:f>'03 Mission Worlds'!E16</x:f>
        <x:v>30</x:v>
      </x:c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</x:row>
    <x:row r="55">
      <x:c r="C55" s="11" t="str">
        <x:v>P3</x:v>
      </x:c>
      <x:c r="D55" s="11" t="str">
        <x:v>W12</x:v>
      </x:c>
      <x:c r="E55" s="24" t="n">
        <x:f>IF(AND(E$8=1,'03 Mission Worlds'!$O$31="PASS"),1,0)</x:f>
        <x:v>0</x:v>
      </x:c>
      <x:c r="F55" s="24" t="n">
        <x:f>IF(AND(F$8=1,'03 Mission Worlds'!$O$43="PASS"),1,0)</x:f>
        <x:v>0</x:v>
      </x:c>
      <x:c r="G55" s="24" t="n">
        <x:f>IF(AND(G$8=1,'03 Mission Worlds'!$O$55="PASS"),1,0)</x:f>
        <x:v>0</x:v>
      </x:c>
      <x:c r="H55" s="24" t="n">
        <x:f>IF(AND(H$8=1,'03 Mission Worlds'!$O$67="PASS"),1,0)</x:f>
        <x:v>1</x:v>
      </x:c>
      <x:c r="I55" s="24" t="n">
        <x:f>SUM(E55:H55)</x:f>
        <x:v>1</x:v>
      </x:c>
      <x:c r="J55" s="24" t="n">
        <x:f>'03 Mission Worlds'!E17</x:f>
        <x:v>3</x:v>
      </x:c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</x:row>
    <x:row r="56">
      <x:c r="C56" s="11" t="str">
        <x:v>P4</x:v>
      </x:c>
      <x:c r="D56" s="11" t="str">
        <x:v>W1</x:v>
      </x:c>
      <x:c r="E56" s="24" t="n">
        <x:f>IF(AND(E$9=1,'03 Mission Worlds'!$O$20="PASS"),1,0)</x:f>
        <x:v>0</x:v>
      </x:c>
      <x:c r="F56" s="24" t="n">
        <x:f>IF(AND(F$9=1,'03 Mission Worlds'!$O$32="PASS"),1,0)</x:f>
        <x:v>0</x:v>
      </x:c>
      <x:c r="G56" s="24" t="n">
        <x:f>IF(AND(G$9=1,'03 Mission Worlds'!$O$44="PASS"),1,0)</x:f>
        <x:v>0</x:v>
      </x:c>
      <x:c r="H56" s="24" t="n">
        <x:f>IF(AND(H$9=1,'03 Mission Worlds'!$O$56="PASS"),1,0)</x:f>
        <x:v>0</x:v>
      </x:c>
      <x:c r="I56" s="24" t="n">
        <x:f>SUM(E56:H56)</x:f>
        <x:v>0</x:v>
      </x:c>
      <x:c r="J56" s="24" t="n">
        <x:f>'03 Mission Worlds'!E6</x:f>
        <x:v>30</x:v>
      </x:c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</x:row>
    <x:row r="57">
      <x:c r="C57" s="11" t="str">
        <x:v>P4</x:v>
      </x:c>
      <x:c r="D57" s="11" t="str">
        <x:v>W2</x:v>
      </x:c>
      <x:c r="E57" s="24" t="n">
        <x:f>IF(AND(E$9=1,'03 Mission Worlds'!$O$21="PASS"),1,0)</x:f>
        <x:v>0</x:v>
      </x:c>
      <x:c r="F57" s="24" t="n">
        <x:f>IF(AND(F$9=1,'03 Mission Worlds'!$O$33="PASS"),1,0)</x:f>
        <x:v>1</x:v>
      </x:c>
      <x:c r="G57" s="24" t="n">
        <x:f>IF(AND(G$9=1,'03 Mission Worlds'!$O$45="PASS"),1,0)</x:f>
        <x:v>0</x:v>
      </x:c>
      <x:c r="H57" s="24" t="n">
        <x:f>IF(AND(H$9=1,'03 Mission Worlds'!$O$57="PASS"),1,0)</x:f>
        <x:v>0</x:v>
      </x:c>
      <x:c r="I57" s="24" t="n">
        <x:f>SUM(E57:H57)</x:f>
        <x:v>1</x:v>
      </x:c>
      <x:c r="J57" s="24" t="n">
        <x:f>'03 Mission Worlds'!E7</x:f>
        <x:v>30</x:v>
      </x:c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</x:row>
    <x:row r="58">
      <x:c r="C58" s="11" t="str">
        <x:v>P4</x:v>
      </x:c>
      <x:c r="D58" s="11" t="str">
        <x:v>W3</x:v>
      </x:c>
      <x:c r="E58" s="24" t="n">
        <x:f>IF(AND(E$9=1,'03 Mission Worlds'!$O$22="PASS"),1,0)</x:f>
        <x:v>0</x:v>
      </x:c>
      <x:c r="F58" s="24" t="n">
        <x:f>IF(AND(F$9=1,'03 Mission Worlds'!$O$34="PASS"),1,0)</x:f>
        <x:v>0</x:v>
      </x:c>
      <x:c r="G58" s="24" t="n">
        <x:f>IF(AND(G$9=1,'03 Mission Worlds'!$O$46="PASS"),1,0)</x:f>
        <x:v>0</x:v>
      </x:c>
      <x:c r="H58" s="24" t="n">
        <x:f>IF(AND(H$9=1,'03 Mission Worlds'!$O$58="PASS"),1,0)</x:f>
        <x:v>0</x:v>
      </x:c>
      <x:c r="I58" s="24" t="n">
        <x:f>SUM(E58:H58)</x:f>
        <x:v>0</x:v>
      </x:c>
      <x:c r="J58" s="24" t="n">
        <x:f>'03 Mission Worlds'!E8</x:f>
        <x:v>7</x:v>
      </x:c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</x:row>
    <x:row r="59">
      <x:c r="C59" s="11" t="str">
        <x:v>P4</x:v>
      </x:c>
      <x:c r="D59" s="11" t="str">
        <x:v>W4</x:v>
      </x:c>
      <x:c r="E59" s="24" t="n">
        <x:f>IF(AND(E$9=1,'03 Mission Worlds'!$O$23="PASS"),1,0)</x:f>
        <x:v>0</x:v>
      </x:c>
      <x:c r="F59" s="24" t="n">
        <x:f>IF(AND(F$9=1,'03 Mission Worlds'!$O$35="PASS"),1,0)</x:f>
        <x:v>1</x:v>
      </x:c>
      <x:c r="G59" s="24" t="n">
        <x:f>IF(AND(G$9=1,'03 Mission Worlds'!$O$47="PASS"),1,0)</x:f>
        <x:v>0</x:v>
      </x:c>
      <x:c r="H59" s="24" t="n">
        <x:f>IF(AND(H$9=1,'03 Mission Worlds'!$O$59="PASS"),1,0)</x:f>
        <x:v>0</x:v>
      </x:c>
      <x:c r="I59" s="24" t="n">
        <x:f>SUM(E59:H59)</x:f>
        <x:v>1</x:v>
      </x:c>
      <x:c r="J59" s="24" t="n">
        <x:f>'03 Mission Worlds'!E9</x:f>
        <x:v>30</x:v>
      </x:c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</x:row>
    <x:row r="60">
      <x:c r="C60" s="11" t="str">
        <x:v>P4</x:v>
      </x:c>
      <x:c r="D60" s="11" t="str">
        <x:v>W5</x:v>
      </x:c>
      <x:c r="E60" s="24" t="n">
        <x:f>IF(AND(E$9=1,'03 Mission Worlds'!$O$24="PASS"),1,0)</x:f>
        <x:v>0</x:v>
      </x:c>
      <x:c r="F60" s="24" t="n">
        <x:f>IF(AND(F$9=1,'03 Mission Worlds'!$O$36="PASS"),1,0)</x:f>
        <x:v>1</x:v>
      </x:c>
      <x:c r="G60" s="24" t="n">
        <x:f>IF(AND(G$9=1,'03 Mission Worlds'!$O$48="PASS"),1,0)</x:f>
        <x:v>0</x:v>
      </x:c>
      <x:c r="H60" s="24" t="n">
        <x:f>IF(AND(H$9=1,'03 Mission Worlds'!$O$60="PASS"),1,0)</x:f>
        <x:v>0</x:v>
      </x:c>
      <x:c r="I60" s="24" t="n">
        <x:f>SUM(E60:H60)</x:f>
        <x:v>1</x:v>
      </x:c>
      <x:c r="J60" s="24" t="n">
        <x:f>'03 Mission Worlds'!E10</x:f>
        <x:v>30</x:v>
      </x:c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</x:row>
    <x:row r="61">
      <x:c r="C61" s="11" t="str">
        <x:v>P4</x:v>
      </x:c>
      <x:c r="D61" s="11" t="str">
        <x:v>W6</x:v>
      </x:c>
      <x:c r="E61" s="24" t="n">
        <x:f>IF(AND(E$9=1,'03 Mission Worlds'!$O$25="PASS"),1,0)</x:f>
        <x:v>0</x:v>
      </x:c>
      <x:c r="F61" s="24" t="n">
        <x:f>IF(AND(F$9=1,'03 Mission Worlds'!$O$37="PASS"),1,0)</x:f>
        <x:v>0</x:v>
      </x:c>
      <x:c r="G61" s="24" t="n">
        <x:f>IF(AND(G$9=1,'03 Mission Worlds'!$O$49="PASS"),1,0)</x:f>
        <x:v>1</x:v>
      </x:c>
      <x:c r="H61" s="24" t="n">
        <x:f>IF(AND(H$9=1,'03 Mission Worlds'!$O$61="PASS"),1,0)</x:f>
        <x:v>0</x:v>
      </x:c>
      <x:c r="I61" s="24" t="n">
        <x:f>SUM(E61:H61)</x:f>
        <x:v>1</x:v>
      </x:c>
      <x:c r="J61" s="24" t="n">
        <x:f>'03 Mission Worlds'!E11</x:f>
        <x:v>30</x:v>
      </x:c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</x:row>
    <x:row r="62">
      <x:c r="C62" s="11" t="str">
        <x:v>P4</x:v>
      </x:c>
      <x:c r="D62" s="11" t="str">
        <x:v>W7</x:v>
      </x:c>
      <x:c r="E62" s="24" t="n">
        <x:f>IF(AND(E$9=1,'03 Mission Worlds'!$O$26="PASS"),1,0)</x:f>
        <x:v>0</x:v>
      </x:c>
      <x:c r="F62" s="24" t="n">
        <x:f>IF(AND(F$9=1,'03 Mission Worlds'!$O$38="PASS"),1,0)</x:f>
        <x:v>0</x:v>
      </x:c>
      <x:c r="G62" s="24" t="n">
        <x:f>IF(AND(G$9=1,'03 Mission Worlds'!$O$50="PASS"),1,0)</x:f>
        <x:v>0</x:v>
      </x:c>
      <x:c r="H62" s="24" t="n">
        <x:f>IF(AND(H$9=1,'03 Mission Worlds'!$O$62="PASS"),1,0)</x:f>
        <x:v>0</x:v>
      </x:c>
      <x:c r="I62" s="24" t="n">
        <x:f>SUM(E62:H62)</x:f>
        <x:v>0</x:v>
      </x:c>
      <x:c r="J62" s="24" t="n">
        <x:f>'03 Mission Worlds'!E12</x:f>
        <x:v>14</x:v>
      </x:c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</x:row>
    <x:row r="63">
      <x:c r="C63" s="11" t="str">
        <x:v>P4</x:v>
      </x:c>
      <x:c r="D63" s="11" t="str">
        <x:v>W8</x:v>
      </x:c>
      <x:c r="E63" s="24" t="n">
        <x:f>IF(AND(E$9=1,'03 Mission Worlds'!$O$27="PASS"),1,0)</x:f>
        <x:v>0</x:v>
      </x:c>
      <x:c r="F63" s="24" t="n">
        <x:f>IF(AND(F$9=1,'03 Mission Worlds'!$O$39="PASS"),1,0)</x:f>
        <x:v>0</x:v>
      </x:c>
      <x:c r="G63" s="24" t="n">
        <x:f>IF(AND(G$9=1,'03 Mission Worlds'!$O$51="PASS"),1,0)</x:f>
        <x:v>0</x:v>
      </x:c>
      <x:c r="H63" s="24" t="n">
        <x:f>IF(AND(H$9=1,'03 Mission Worlds'!$O$63="PASS"),1,0)</x:f>
        <x:v>0</x:v>
      </x:c>
      <x:c r="I63" s="24" t="n">
        <x:f>SUM(E63:H63)</x:f>
        <x:v>0</x:v>
      </x:c>
      <x:c r="J63" s="24" t="n">
        <x:f>'03 Mission Worlds'!E13</x:f>
        <x:v>7</x:v>
      </x:c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</x:row>
    <x:row r="64">
      <x:c r="C64" s="11" t="str">
        <x:v>P4</x:v>
      </x:c>
      <x:c r="D64" s="11" t="str">
        <x:v>W9</x:v>
      </x:c>
      <x:c r="E64" s="24" t="n">
        <x:f>IF(AND(E$9=1,'03 Mission Worlds'!$O$28="PASS"),1,0)</x:f>
        <x:v>0</x:v>
      </x:c>
      <x:c r="F64" s="24" t="n">
        <x:f>IF(AND(F$9=1,'03 Mission Worlds'!$O$40="PASS"),1,0)</x:f>
        <x:v>1</x:v>
      </x:c>
      <x:c r="G64" s="24" t="n">
        <x:f>IF(AND(G$9=1,'03 Mission Worlds'!$O$52="PASS"),1,0)</x:f>
        <x:v>0</x:v>
      </x:c>
      <x:c r="H64" s="24" t="n">
        <x:f>IF(AND(H$9=1,'03 Mission Worlds'!$O$64="PASS"),1,0)</x:f>
        <x:v>0</x:v>
      </x:c>
      <x:c r="I64" s="24" t="n">
        <x:f>SUM(E64:H64)</x:f>
        <x:v>1</x:v>
      </x:c>
      <x:c r="J64" s="24" t="n">
        <x:f>'03 Mission Worlds'!E14</x:f>
        <x:v>30</x:v>
      </x:c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</x:row>
    <x:row r="65">
      <x:c r="C65" s="11" t="str">
        <x:v>P4</x:v>
      </x:c>
      <x:c r="D65" s="11" t="str">
        <x:v>W10</x:v>
      </x:c>
      <x:c r="E65" s="24" t="n">
        <x:f>IF(AND(E$9=1,'03 Mission Worlds'!$O$29="PASS"),1,0)</x:f>
        <x:v>0</x:v>
      </x:c>
      <x:c r="F65" s="24" t="n">
        <x:f>IF(AND(F$9=1,'03 Mission Worlds'!$O$41="PASS"),1,0)</x:f>
        <x:v>0</x:v>
      </x:c>
      <x:c r="G65" s="24" t="n">
        <x:f>IF(AND(G$9=1,'03 Mission Worlds'!$O$53="PASS"),1,0)</x:f>
        <x:v>0</x:v>
      </x:c>
      <x:c r="H65" s="24" t="n">
        <x:f>IF(AND(H$9=1,'03 Mission Worlds'!$O$65="PASS"),1,0)</x:f>
        <x:v>0</x:v>
      </x:c>
      <x:c r="I65" s="24" t="n">
        <x:f>SUM(E65:H65)</x:f>
        <x:v>0</x:v>
      </x:c>
      <x:c r="J65" s="24" t="n">
        <x:f>'03 Mission Worlds'!E15</x:f>
        <x:v>14</x:v>
      </x:c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</x:row>
    <x:row r="66">
      <x:c r="C66" s="11" t="str">
        <x:v>P4</x:v>
      </x:c>
      <x:c r="D66" s="11" t="str">
        <x:v>W11</x:v>
      </x:c>
      <x:c r="E66" s="24" t="n">
        <x:f>IF(AND(E$9=1,'03 Mission Worlds'!$O$30="PASS"),1,0)</x:f>
        <x:v>0</x:v>
      </x:c>
      <x:c r="F66" s="24" t="n">
        <x:f>IF(AND(F$9=1,'03 Mission Worlds'!$O$42="PASS"),1,0)</x:f>
        <x:v>0</x:v>
      </x:c>
      <x:c r="G66" s="24" t="n">
        <x:f>IF(AND(G$9=1,'03 Mission Worlds'!$O$54="PASS"),1,0)</x:f>
        <x:v>0</x:v>
      </x:c>
      <x:c r="H66" s="24" t="n">
        <x:f>IF(AND(H$9=1,'03 Mission Worlds'!$O$66="PASS"),1,0)</x:f>
        <x:v>0</x:v>
      </x:c>
      <x:c r="I66" s="24" t="n">
        <x:f>SUM(E66:H66)</x:f>
        <x:v>0</x:v>
      </x:c>
      <x:c r="J66" s="24" t="n">
        <x:f>'03 Mission Worlds'!E16</x:f>
        <x:v>30</x:v>
      </x:c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</x:row>
    <x:row r="67">
      <x:c r="C67" s="11" t="str">
        <x:v>P4</x:v>
      </x:c>
      <x:c r="D67" s="11" t="str">
        <x:v>W12</x:v>
      </x:c>
      <x:c r="E67" s="24" t="n">
        <x:f>IF(AND(E$9=1,'03 Mission Worlds'!$O$31="PASS"),1,0)</x:f>
        <x:v>0</x:v>
      </x:c>
      <x:c r="F67" s="24" t="n">
        <x:f>IF(AND(F$9=1,'03 Mission Worlds'!$O$43="PASS"),1,0)</x:f>
        <x:v>0</x:v>
      </x:c>
      <x:c r="G67" s="24" t="n">
        <x:f>IF(AND(G$9=1,'03 Mission Worlds'!$O$55="PASS"),1,0)</x:f>
        <x:v>0</x:v>
      </x:c>
      <x:c r="H67" s="24" t="n">
        <x:f>IF(AND(H$9=1,'03 Mission Worlds'!$O$67="PASS"),1,0)</x:f>
        <x:v>0</x:v>
      </x:c>
      <x:c r="I67" s="24" t="n">
        <x:f>SUM(E67:H67)</x:f>
        <x:v>0</x:v>
      </x:c>
      <x:c r="J67" s="24" t="n">
        <x:f>'03 Mission Worlds'!E17</x:f>
        <x:v>3</x:v>
      </x:c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</x:row>
    <x:row r="68">
      <x:c r="C68" s="11" t="str">
        <x:v>P5</x:v>
      </x:c>
      <x:c r="D68" s="11" t="str">
        <x:v>W1</x:v>
      </x:c>
      <x:c r="E68" s="24" t="n">
        <x:f>IF(AND(E$10=1,'03 Mission Worlds'!$O$20="PASS"),1,0)</x:f>
        <x:v>1</x:v>
      </x:c>
      <x:c r="F68" s="24" t="n">
        <x:f>IF(AND(F$10=1,'03 Mission Worlds'!$O$32="PASS"),1,0)</x:f>
        <x:v>0</x:v>
      </x:c>
      <x:c r="G68" s="24" t="n">
        <x:f>IF(AND(G$10=1,'03 Mission Worlds'!$O$44="PASS"),1,0)</x:f>
        <x:v>0</x:v>
      </x:c>
      <x:c r="H68" s="24" t="n">
        <x:f>IF(AND(H$10=1,'03 Mission Worlds'!$O$56="PASS"),1,0)</x:f>
        <x:v>1</x:v>
      </x:c>
      <x:c r="I68" s="24" t="n">
        <x:f>SUM(E68:H68)</x:f>
        <x:v>2</x:v>
      </x:c>
      <x:c r="J68" s="24" t="n">
        <x:f>'03 Mission Worlds'!E6</x:f>
        <x:v>30</x:v>
      </x:c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</x:row>
    <x:row r="69">
      <x:c r="C69" s="11" t="str">
        <x:v>P5</x:v>
      </x:c>
      <x:c r="D69" s="11" t="str">
        <x:v>W2</x:v>
      </x:c>
      <x:c r="E69" s="24" t="n">
        <x:f>IF(AND(E$10=1,'03 Mission Worlds'!$O$21="PASS"),1,0)</x:f>
        <x:v>0</x:v>
      </x:c>
      <x:c r="F69" s="24" t="n">
        <x:f>IF(AND(F$10=1,'03 Mission Worlds'!$O$33="PASS"),1,0)</x:f>
        <x:v>1</x:v>
      </x:c>
      <x:c r="G69" s="24" t="n">
        <x:f>IF(AND(G$10=1,'03 Mission Worlds'!$O$45="PASS"),1,0)</x:f>
        <x:v>0</x:v>
      </x:c>
      <x:c r="H69" s="24" t="n">
        <x:f>IF(AND(H$10=1,'03 Mission Worlds'!$O$57="PASS"),1,0)</x:f>
        <x:v>1</x:v>
      </x:c>
      <x:c r="I69" s="24" t="n">
        <x:f>SUM(E69:H69)</x:f>
        <x:v>2</x:v>
      </x:c>
      <x:c r="J69" s="24" t="n">
        <x:f>'03 Mission Worlds'!E7</x:f>
        <x:v>30</x:v>
      </x:c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</x:row>
    <x:row r="70">
      <x:c r="C70" s="11" t="str">
        <x:v>P5</x:v>
      </x:c>
      <x:c r="D70" s="11" t="str">
        <x:v>W3</x:v>
      </x:c>
      <x:c r="E70" s="24" t="n">
        <x:f>IF(AND(E$10=1,'03 Mission Worlds'!$O$22="PASS"),1,0)</x:f>
        <x:v>0</x:v>
      </x:c>
      <x:c r="F70" s="24" t="n">
        <x:f>IF(AND(F$10=1,'03 Mission Worlds'!$O$34="PASS"),1,0)</x:f>
        <x:v>0</x:v>
      </x:c>
      <x:c r="G70" s="24" t="n">
        <x:f>IF(AND(G$10=1,'03 Mission Worlds'!$O$46="PASS"),1,0)</x:f>
        <x:v>0</x:v>
      </x:c>
      <x:c r="H70" s="24" t="n">
        <x:f>IF(AND(H$10=1,'03 Mission Worlds'!$O$58="PASS"),1,0)</x:f>
        <x:v>1</x:v>
      </x:c>
      <x:c r="I70" s="24" t="n">
        <x:f>SUM(E70:H70)</x:f>
        <x:v>1</x:v>
      </x:c>
      <x:c r="J70" s="24" t="n">
        <x:f>'03 Mission Worlds'!E8</x:f>
        <x:v>7</x:v>
      </x:c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</x:row>
    <x:row r="71">
      <x:c r="C71" s="11" t="str">
        <x:v>P5</x:v>
      </x:c>
      <x:c r="D71" s="11" t="str">
        <x:v>W4</x:v>
      </x:c>
      <x:c r="E71" s="24" t="n">
        <x:f>IF(AND(E$10=1,'03 Mission Worlds'!$O$23="PASS"),1,0)</x:f>
        <x:v>0</x:v>
      </x:c>
      <x:c r="F71" s="24" t="n">
        <x:f>IF(AND(F$10=1,'03 Mission Worlds'!$O$35="PASS"),1,0)</x:f>
        <x:v>1</x:v>
      </x:c>
      <x:c r="G71" s="24" t="n">
        <x:f>IF(AND(G$10=1,'03 Mission Worlds'!$O$47="PASS"),1,0)</x:f>
        <x:v>0</x:v>
      </x:c>
      <x:c r="H71" s="24" t="n">
        <x:f>IF(AND(H$10=1,'03 Mission Worlds'!$O$59="PASS"),1,0)</x:f>
        <x:v>1</x:v>
      </x:c>
      <x:c r="I71" s="24" t="n">
        <x:f>SUM(E71:H71)</x:f>
        <x:v>2</x:v>
      </x:c>
      <x:c r="J71" s="24" t="n">
        <x:f>'03 Mission Worlds'!E9</x:f>
        <x:v>30</x:v>
      </x:c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</x:row>
    <x:row r="72">
      <x:c r="C72" s="11" t="str">
        <x:v>P5</x:v>
      </x:c>
      <x:c r="D72" s="11" t="str">
        <x:v>W5</x:v>
      </x:c>
      <x:c r="E72" s="24" t="n">
        <x:f>IF(AND(E$10=1,'03 Mission Worlds'!$O$24="PASS"),1,0)</x:f>
        <x:v>0</x:v>
      </x:c>
      <x:c r="F72" s="24" t="n">
        <x:f>IF(AND(F$10=1,'03 Mission Worlds'!$O$36="PASS"),1,0)</x:f>
        <x:v>1</x:v>
      </x:c>
      <x:c r="G72" s="24" t="n">
        <x:f>IF(AND(G$10=1,'03 Mission Worlds'!$O$48="PASS"),1,0)</x:f>
        <x:v>0</x:v>
      </x:c>
      <x:c r="H72" s="24" t="n">
        <x:f>IF(AND(H$10=1,'03 Mission Worlds'!$O$60="PASS"),1,0)</x:f>
        <x:v>1</x:v>
      </x:c>
      <x:c r="I72" s="24" t="n">
        <x:f>SUM(E72:H72)</x:f>
        <x:v>2</x:v>
      </x:c>
      <x:c r="J72" s="24" t="n">
        <x:f>'03 Mission Worlds'!E10</x:f>
        <x:v>30</x:v>
      </x:c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</x:row>
    <x:row r="73">
      <x:c r="C73" s="11" t="str">
        <x:v>P5</x:v>
      </x:c>
      <x:c r="D73" s="11" t="str">
        <x:v>W6</x:v>
      </x:c>
      <x:c r="E73" s="24" t="n">
        <x:f>IF(AND(E$10=1,'03 Mission Worlds'!$O$25="PASS"),1,0)</x:f>
        <x:v>0</x:v>
      </x:c>
      <x:c r="F73" s="24" t="n">
        <x:f>IF(AND(F$10=1,'03 Mission Worlds'!$O$37="PASS"),1,0)</x:f>
        <x:v>0</x:v>
      </x:c>
      <x:c r="G73" s="24" t="n">
        <x:f>IF(AND(G$10=1,'03 Mission Worlds'!$O$49="PASS"),1,0)</x:f>
        <x:v>1</x:v>
      </x:c>
      <x:c r="H73" s="24" t="n">
        <x:f>IF(AND(H$10=1,'03 Mission Worlds'!$O$61="PASS"),1,0)</x:f>
        <x:v>1</x:v>
      </x:c>
      <x:c r="I73" s="24" t="n">
        <x:f>SUM(E73:H73)</x:f>
        <x:v>2</x:v>
      </x:c>
      <x:c r="J73" s="24" t="n">
        <x:f>'03 Mission Worlds'!E11</x:f>
        <x:v>30</x:v>
      </x:c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</x:row>
    <x:row r="74">
      <x:c r="C74" s="11" t="str">
        <x:v>P5</x:v>
      </x:c>
      <x:c r="D74" s="11" t="str">
        <x:v>W7</x:v>
      </x:c>
      <x:c r="E74" s="24" t="n">
        <x:f>IF(AND(E$10=1,'03 Mission Worlds'!$O$26="PASS"),1,0)</x:f>
        <x:v>0</x:v>
      </x:c>
      <x:c r="F74" s="24" t="n">
        <x:f>IF(AND(F$10=1,'03 Mission Worlds'!$O$38="PASS"),1,0)</x:f>
        <x:v>0</x:v>
      </x:c>
      <x:c r="G74" s="24" t="n">
        <x:f>IF(AND(G$10=1,'03 Mission Worlds'!$O$50="PASS"),1,0)</x:f>
        <x:v>0</x:v>
      </x:c>
      <x:c r="H74" s="24" t="n">
        <x:f>IF(AND(H$10=1,'03 Mission Worlds'!$O$62="PASS"),1,0)</x:f>
        <x:v>0</x:v>
      </x:c>
      <x:c r="I74" s="24" t="n">
        <x:f>SUM(E74:H74)</x:f>
        <x:v>0</x:v>
      </x:c>
      <x:c r="J74" s="24" t="n">
        <x:f>'03 Mission Worlds'!E12</x:f>
        <x:v>14</x:v>
      </x:c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</x:row>
    <x:row r="75">
      <x:c r="C75" s="11" t="str">
        <x:v>P5</x:v>
      </x:c>
      <x:c r="D75" s="11" t="str">
        <x:v>W8</x:v>
      </x:c>
      <x:c r="E75" s="24" t="n">
        <x:f>IF(AND(E$10=1,'03 Mission Worlds'!$O$27="PASS"),1,0)</x:f>
        <x:v>0</x:v>
      </x:c>
      <x:c r="F75" s="24" t="n">
        <x:f>IF(AND(F$10=1,'03 Mission Worlds'!$O$39="PASS"),1,0)</x:f>
        <x:v>0</x:v>
      </x:c>
      <x:c r="G75" s="24" t="n">
        <x:f>IF(AND(G$10=1,'03 Mission Worlds'!$O$51="PASS"),1,0)</x:f>
        <x:v>0</x:v>
      </x:c>
      <x:c r="H75" s="24" t="n">
        <x:f>IF(AND(H$10=1,'03 Mission Worlds'!$O$63="PASS"),1,0)</x:f>
        <x:v>1</x:v>
      </x:c>
      <x:c r="I75" s="24" t="n">
        <x:f>SUM(E75:H75)</x:f>
        <x:v>1</x:v>
      </x:c>
      <x:c r="J75" s="24" t="n">
        <x:f>'03 Mission Worlds'!E13</x:f>
        <x:v>7</x:v>
      </x:c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</x:row>
    <x:row r="76">
      <x:c r="C76" s="11" t="str">
        <x:v>P5</x:v>
      </x:c>
      <x:c r="D76" s="11" t="str">
        <x:v>W9</x:v>
      </x:c>
      <x:c r="E76" s="24" t="n">
        <x:f>IF(AND(E$10=1,'03 Mission Worlds'!$O$28="PASS"),1,0)</x:f>
        <x:v>0</x:v>
      </x:c>
      <x:c r="F76" s="24" t="n">
        <x:f>IF(AND(F$10=1,'03 Mission Worlds'!$O$40="PASS"),1,0)</x:f>
        <x:v>1</x:v>
      </x:c>
      <x:c r="G76" s="24" t="n">
        <x:f>IF(AND(G$10=1,'03 Mission Worlds'!$O$52="PASS"),1,0)</x:f>
        <x:v>0</x:v>
      </x:c>
      <x:c r="H76" s="24" t="n">
        <x:f>IF(AND(H$10=1,'03 Mission Worlds'!$O$64="PASS"),1,0)</x:f>
        <x:v>1</x:v>
      </x:c>
      <x:c r="I76" s="24" t="n">
        <x:f>SUM(E76:H76)</x:f>
        <x:v>2</x:v>
      </x:c>
      <x:c r="J76" s="24" t="n">
        <x:f>'03 Mission Worlds'!E14</x:f>
        <x:v>30</x:v>
      </x:c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</x:row>
    <x:row r="77">
      <x:c r="C77" s="11" t="str">
        <x:v>P5</x:v>
      </x:c>
      <x:c r="D77" s="11" t="str">
        <x:v>W10</x:v>
      </x:c>
      <x:c r="E77" s="24" t="n">
        <x:f>IF(AND(E$10=1,'03 Mission Worlds'!$O$29="PASS"),1,0)</x:f>
        <x:v>1</x:v>
      </x:c>
      <x:c r="F77" s="24" t="n">
        <x:f>IF(AND(F$10=1,'03 Mission Worlds'!$O$41="PASS"),1,0)</x:f>
        <x:v>0</x:v>
      </x:c>
      <x:c r="G77" s="24" t="n">
        <x:f>IF(AND(G$10=1,'03 Mission Worlds'!$O$53="PASS"),1,0)</x:f>
        <x:v>0</x:v>
      </x:c>
      <x:c r="H77" s="24" t="n">
        <x:f>IF(AND(H$10=1,'03 Mission Worlds'!$O$65="PASS"),1,0)</x:f>
        <x:v>0</x:v>
      </x:c>
      <x:c r="I77" s="24" t="n">
        <x:f>SUM(E77:H77)</x:f>
        <x:v>1</x:v>
      </x:c>
      <x:c r="J77" s="24" t="n">
        <x:f>'03 Mission Worlds'!E15</x:f>
        <x:v>14</x:v>
      </x:c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</x:row>
    <x:row r="78">
      <x:c r="C78" s="11" t="str">
        <x:v>P5</x:v>
      </x:c>
      <x:c r="D78" s="11" t="str">
        <x:v>W11</x:v>
      </x:c>
      <x:c r="E78" s="24" t="n">
        <x:f>IF(AND(E$10=1,'03 Mission Worlds'!$O$30="PASS"),1,0)</x:f>
        <x:v>0</x:v>
      </x:c>
      <x:c r="F78" s="24" t="n">
        <x:f>IF(AND(F$10=1,'03 Mission Worlds'!$O$42="PASS"),1,0)</x:f>
        <x:v>0</x:v>
      </x:c>
      <x:c r="G78" s="24" t="n">
        <x:f>IF(AND(G$10=1,'03 Mission Worlds'!$O$54="PASS"),1,0)</x:f>
        <x:v>0</x:v>
      </x:c>
      <x:c r="H78" s="24" t="n">
        <x:f>IF(AND(H$10=1,'03 Mission Worlds'!$O$66="PASS"),1,0)</x:f>
        <x:v>0</x:v>
      </x:c>
      <x:c r="I78" s="24" t="n">
        <x:f>SUM(E78:H78)</x:f>
        <x:v>0</x:v>
      </x:c>
      <x:c r="J78" s="24" t="n">
        <x:f>'03 Mission Worlds'!E16</x:f>
        <x:v>30</x:v>
      </x:c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</x:row>
    <x:row r="79">
      <x:c r="C79" s="11" t="str">
        <x:v>P5</x:v>
      </x:c>
      <x:c r="D79" s="11" t="str">
        <x:v>W12</x:v>
      </x:c>
      <x:c r="E79" s="24" t="n">
        <x:f>IF(AND(E$10=1,'03 Mission Worlds'!$O$31="PASS"),1,0)</x:f>
        <x:v>0</x:v>
      </x:c>
      <x:c r="F79" s="24" t="n">
        <x:f>IF(AND(F$10=1,'03 Mission Worlds'!$O$43="PASS"),1,0)</x:f>
        <x:v>0</x:v>
      </x:c>
      <x:c r="G79" s="24" t="n">
        <x:f>IF(AND(G$10=1,'03 Mission Worlds'!$O$55="PASS"),1,0)</x:f>
        <x:v>0</x:v>
      </x:c>
      <x:c r="H79" s="24" t="n">
        <x:f>IF(AND(H$10=1,'03 Mission Worlds'!$O$67="PASS"),1,0)</x:f>
        <x:v>1</x:v>
      </x:c>
      <x:c r="I79" s="24" t="n">
        <x:f>SUM(E79:H79)</x:f>
        <x:v>1</x:v>
      </x:c>
      <x:c r="J79" s="24" t="n">
        <x:f>'03 Mission Worlds'!E17</x:f>
        <x:v>3</x:v>
      </x:c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</x:row>
  </x:sheetData>
  <x:pageMargins left="0.7" right="0.7" top="0.75" bottom="0.75" header="0.3" footer="0.3"/>
  <x:tableParts count="2">
    <x:tablePart xmlns:r="http://schemas.openxmlformats.org/officeDocument/2006/relationships" r:id="R2aa3cd9dfffc4558"/>
    <x:tablePart xmlns:r="http://schemas.openxmlformats.org/officeDocument/2006/relationships" r:id="R7281034adaf64260"/>
  </x:tableParts>
</x:worksheet>
</file>

<file path=xl/worksheets/sheet7.xml><?xml version="1.0" encoding="utf-8"?>
<x:worksheet xmlns:x="http://schemas.openxmlformats.org/spreadsheetml/2006/main">
  <x:sheetPr>
    <x:tabColor rgb="FFCBD5DF"/>
  </x:sheetPr>
  <x:sheetViews>
    <x:sheetView showGridLines="0" workbookViewId="0"/>
  </x:sheetViews>
  <x:sheetFormatPr defaultRowHeight="15"/>
  <x:cols>
    <x:col min="3" max="3" width="39" hidden="0" customWidth="1"/>
    <x:col min="4" max="4" width="16" hidden="0" customWidth="1"/>
    <x:col min="5" max="5" width="15" hidden="0" customWidth="1"/>
    <x:col min="6" max="6" width="20" hidden="0" customWidth="1"/>
    <x:col min="7" max="7" width="20" hidden="0" customWidth="1"/>
    <x:col min="8" max="8" width="22" hidden="0" customWidth="1"/>
    <x:col min="9" max="9" width="22" hidden="0" customWidth="1"/>
    <x:col min="10" max="10" width="18" hidden="0" customWidth="1"/>
    <x:col min="11" max="11" width="22" hidden="0" customWidth="1"/>
    <x:col min="12" max="12" width="18" hidden="0" customWidth="1"/>
    <x:col min="13" max="13" width="23" hidden="0" customWidth="1"/>
    <x:col min="14" max="14" width="15" hidden="0" customWidth="1"/>
    <x:col min="15" max="15" width="26" hidden="0" customWidth="1"/>
    <x:col min="16" max="16" width="3" hidden="0" customWidth="1"/>
    <x:col min="17" max="17" width="3" hidden="0" customWidth="1"/>
  </x:cols>
  <x:sheetData>
    <x:row r="2">
      <x:c r="C2" s="2" t="str">
        <x:v>Twenty-five-year source-family program</x:v>
      </x:c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C3" s="3" t="str">
        <x:v>Alternative rows assume twenty-four chains of one family. The mixed row is one illustrative force, not an optimized procurement plan or estimate.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C5" s="9" t="str">
        <x:v>Case</x:v>
      </x:c>
      <x:c r="D5" s="9" t="str">
        <x:v>Chains</x:v>
      </x:c>
      <x:c r="E5" s="9" t="str">
        <x:v>Nodes</x:v>
      </x:c>
      <x:c r="F5" s="9" t="str">
        <x:v>Equipment $B</x:v>
      </x:c>
      <x:c r="G5" s="9" t="str">
        <x:v>Node works $B</x:v>
      </x:c>
      <x:c r="H5" s="9" t="str">
        <x:v>25-year O&amp;S $B</x:v>
      </x:c>
      <x:c r="I5" s="9" t="str">
        <x:v>Common program $B</x:v>
      </x:c>
      <x:c r="J5" s="9" t="str">
        <x:v>Total $B</x:v>
      </x:c>
      <x:c r="K5" s="9" t="str">
        <x:v>Capacity m³/day</x:v>
      </x:c>
      <x:c r="L5" s="9" t="str">
        <x:v>Dry t</x:v>
      </x:c>
      <x:c r="M5" s="9" t="str">
        <x:v>Land chargeable t</x:v>
      </x:c>
      <x:c r="N5" s="9" t="str">
        <x:v>Crew</x:v>
      </x:c>
      <x:c r="O5" s="9" t="str">
        <x:v>Initial sealed water m³</x:v>
      </x:c>
      <x:c r="P5" s="29"/>
      <x:c r="Q5" s="29"/>
    </x:row>
    <x:row r="6" ht="38" customHeight="1">
      <x:c r="C6" s="11" t="str">
        <x:f>'02 Source Families'!C6&amp;" all-family program"</x:f>
        <x:v>C1 all-family program</x:v>
      </x:c>
      <x:c r="D6" s="11" t="n">
        <x:f>'01 Controls'!$D$10</x:f>
        <x:v>24</x:v>
      </x:c>
      <x:c r="E6" s="11" t="n">
        <x:f>'01 Controls'!$D$11</x:f>
        <x:v>12</x:v>
      </x:c>
      <x:c r="F6" s="27" t="n">
        <x:f>D6*'02 Source Families'!Z6</x:f>
        <x:v>148.79999999999998</x:v>
      </x:c>
      <x:c r="G6" s="27" t="n">
        <x:f>E6*'02 Source Families'!AA6</x:f>
        <x:v>9.600000000000001</x:v>
      </x:c>
      <x:c r="H6" s="27" t="n">
        <x:f>D6*'02 Source Families'!AB6*'01 Controls'!$D$12</x:f>
        <x:v>132</x:v>
      </x:c>
      <x:c r="I6" s="27" t="n">
        <x:f>SUM('01 Controls'!$D$13:$D$17)</x:f>
        <x:v>60</x:v>
      </x:c>
      <x:c r="J6" s="27" t="n">
        <x:f>SUM(F6:I6)</x:f>
        <x:v>350.4</x:v>
      </x:c>
      <x:c r="K6" s="26" t="n">
        <x:f>D6*'02 Source Families'!F6</x:f>
        <x:v>120000</x:v>
      </x:c>
      <x:c r="L6" s="26" t="n">
        <x:f>D6*'02 Source Families'!V6</x:f>
        <x:v>444000</x:v>
      </x:c>
      <x:c r="M6" s="26" t="n">
        <x:f>D6*'02 Source Families'!W6</x:f>
        <x:v>19200</x:v>
      </x:c>
      <x:c r="N6" s="26" t="n">
        <x:f>D6*'02 Source Families'!Y6</x:f>
        <x:v>3624</x:v>
      </x:c>
      <x:c r="O6" s="26" t="n">
        <x:f>D6*'02 Source Families'!U6</x:f>
        <x:v>0</x:v>
      </x:c>
      <x:c r="P6" s="29"/>
      <x:c r="Q6" s="29"/>
    </x:row>
    <x:row r="7" ht="38" customHeight="1">
      <x:c r="C7" s="11" t="str">
        <x:f>'02 Source Families'!C7&amp;" all-family program"</x:f>
        <x:v>C2 all-family program</x:v>
      </x:c>
      <x:c r="D7" s="11" t="n">
        <x:f>'01 Controls'!$D$10</x:f>
        <x:v>24</x:v>
      </x:c>
      <x:c r="E7" s="11" t="n">
        <x:f>'01 Controls'!$D$11</x:f>
        <x:v>12</x:v>
      </x:c>
      <x:c r="F7" s="27" t="n">
        <x:f>D7*'02 Source Families'!Z7</x:f>
        <x:v>22.799999999999997</x:v>
      </x:c>
      <x:c r="G7" s="27" t="n">
        <x:f>E7*'02 Source Families'!AA7</x:f>
        <x:v>10.2</x:v>
      </x:c>
      <x:c r="H7" s="27" t="n">
        <x:f>D7*'02 Source Families'!AB7*'01 Controls'!$D$12</x:f>
        <x:v>48</x:v>
      </x:c>
      <x:c r="I7" s="27" t="n">
        <x:f>SUM('01 Controls'!$D$13:$D$17)</x:f>
        <x:v>60</x:v>
      </x:c>
      <x:c r="J7" s="27" t="n">
        <x:f>SUM(F7:I7)</x:f>
        <x:v>141</x:v>
      </x:c>
      <x:c r="K7" s="26" t="n">
        <x:f>D7*'02 Source Families'!F7</x:f>
        <x:v>120000</x:v>
      </x:c>
      <x:c r="L7" s="26" t="n">
        <x:f>D7*'02 Source Families'!V7</x:f>
        <x:v>22080</x:v>
      </x:c>
      <x:c r="M7" s="26" t="n">
        <x:f>D7*'02 Source Families'!W7</x:f>
        <x:v>26400</x:v>
      </x:c>
      <x:c r="N7" s="26" t="n">
        <x:f>D7*'02 Source Families'!Y7</x:f>
        <x:v>1728</x:v>
      </x:c>
      <x:c r="O7" s="26" t="n">
        <x:f>D7*'02 Source Families'!U7</x:f>
        <x:v>0</x:v>
      </x:c>
      <x:c r="P7" s="29"/>
      <x:c r="Q7" s="29"/>
    </x:row>
    <x:row r="8" ht="38" customHeight="1">
      <x:c r="C8" s="11" t="str">
        <x:f>'02 Source Families'!C8&amp;" all-family program"</x:f>
        <x:v>C3 all-family program</x:v>
      </x:c>
      <x:c r="D8" s="11" t="n">
        <x:f>'01 Controls'!$D$10</x:f>
        <x:v>24</x:v>
      </x:c>
      <x:c r="E8" s="11" t="n">
        <x:f>'01 Controls'!$D$11</x:f>
        <x:v>12</x:v>
      </x:c>
      <x:c r="F8" s="27" t="n">
        <x:f>D8*'02 Source Families'!Z8</x:f>
        <x:v>37.199999999999996</x:v>
      </x:c>
      <x:c r="G8" s="27" t="n">
        <x:f>E8*'02 Source Families'!AA8</x:f>
        <x:v>9</x:v>
      </x:c>
      <x:c r="H8" s="27" t="n">
        <x:f>D8*'02 Source Families'!AB8*'01 Controls'!$D$12</x:f>
        <x:v>66</x:v>
      </x:c>
      <x:c r="I8" s="27" t="n">
        <x:f>SUM('01 Controls'!$D$13:$D$17)</x:f>
        <x:v>60</x:v>
      </x:c>
      <x:c r="J8" s="27" t="n">
        <x:f>SUM(F8:I8)</x:f>
        <x:v>172.2</x:v>
      </x:c>
      <x:c r="K8" s="26" t="n">
        <x:f>D8*'02 Source Families'!F8</x:f>
        <x:v>120000</x:v>
      </x:c>
      <x:c r="L8" s="26" t="n">
        <x:f>D8*'02 Source Families'!V8</x:f>
        <x:v>42000</x:v>
      </x:c>
      <x:c r="M8" s="26" t="n">
        <x:f>D8*'02 Source Families'!W8</x:f>
        <x:v>49200</x:v>
      </x:c>
      <x:c r="N8" s="26" t="n">
        <x:f>D8*'02 Source Families'!Y8</x:f>
        <x:v>2160</x:v>
      </x:c>
      <x:c r="O8" s="26" t="n">
        <x:f>D8*'02 Source Families'!U8</x:f>
        <x:v>0</x:v>
      </x:c>
      <x:c r="P8" s="29"/>
      <x:c r="Q8" s="29"/>
    </x:row>
    <x:row r="9" ht="38" customHeight="1">
      <x:c r="C9" s="11" t="str">
        <x:f>'02 Source Families'!C9&amp;" all-family program"</x:f>
        <x:v>C4 all-family program</x:v>
      </x:c>
      <x:c r="D9" s="11" t="n">
        <x:f>'01 Controls'!$D$10</x:f>
        <x:v>24</x:v>
      </x:c>
      <x:c r="E9" s="11" t="n">
        <x:f>'01 Controls'!$D$11</x:f>
        <x:v>12</x:v>
      </x:c>
      <x:c r="F9" s="27" t="n">
        <x:f>D9*'02 Source Families'!Z9</x:f>
        <x:v>26.4</x:v>
      </x:c>
      <x:c r="G9" s="27" t="n">
        <x:f>E9*'02 Source Families'!AA9</x:f>
        <x:v>16.200000000000003</x:v>
      </x:c>
      <x:c r="H9" s="27" t="n">
        <x:f>D9*'02 Source Families'!AB9*'01 Controls'!$D$12</x:f>
        <x:v>84.00000000000001</x:v>
      </x:c>
      <x:c r="I9" s="27" t="n">
        <x:f>SUM('01 Controls'!$D$13:$D$17)</x:f>
        <x:v>60</x:v>
      </x:c>
      <x:c r="J9" s="27" t="n">
        <x:f>SUM(F9:I9)</x:f>
        <x:v>186.60000000000002</x:v>
      </x:c>
      <x:c r="K9" s="26" t="n">
        <x:f>D9*'02 Source Families'!F9</x:f>
        <x:v>120000</x:v>
      </x:c>
      <x:c r="L9" s="26" t="n">
        <x:f>D9*'02 Source Families'!V9</x:f>
        <x:v>52800</x:v>
      </x:c>
      <x:c r="M9" s="26" t="n">
        <x:f>D9*'02 Source Families'!W9</x:f>
        <x:v>60000</x:v>
      </x:c>
      <x:c r="N9" s="26" t="n">
        <x:f>D9*'02 Source Families'!Y9</x:f>
        <x:v>2448</x:v>
      </x:c>
      <x:c r="O9" s="26" t="n">
        <x:f>D9*'02 Source Families'!U9</x:f>
        <x:v>840000</x:v>
      </x:c>
      <x:c r="P9" s="29"/>
      <x:c r="Q9" s="29"/>
    </x:row>
    <x:row r="10" ht="38" customHeight="1">
      <x:c r="C10" s="11" t="str">
        <x:v>MIXED illustrative national force</x:v>
      </x:c>
      <x:c r="D10" s="11" t="n">
        <x:f>SUM('01 Controls'!$D$18:$D$21)</x:f>
        <x:v>24</x:v>
      </x:c>
      <x:c r="E10" s="11" t="n">
        <x:f>'01 Controls'!$D$11</x:f>
        <x:v>12</x:v>
      </x:c>
      <x:c r="F10" s="27" t="n">
        <x:f>SUMPRODUCT('01 Controls'!$D$18:$D$21,'02 Source Families'!$Z$6:$Z$9)</x:f>
        <x:v>58.49999999999999</x:v>
      </x:c>
      <x:c r="G10" s="27" t="n">
        <x:f>SUMPRODUCT({3;4;3;2},'02 Source Families'!$AA$6:$AA$9)</x:f>
        <x:v>10.75</x:v>
      </x:c>
      <x:c r="H10" s="27" t="n">
        <x:f>SUMPRODUCT('01 Controls'!$D$18:$D$21,'02 Source Families'!$AB$6:$AB$9)*'01 Controls'!$D$12</x:f>
        <x:v>79.5</x:v>
      </x:c>
      <x:c r="I10" s="27" t="n">
        <x:f>SUM('01 Controls'!$D$13:$D$17)</x:f>
        <x:v>60</x:v>
      </x:c>
      <x:c r="J10" s="27" t="n">
        <x:f>SUM(F10:I10)</x:f>
        <x:v>208.75</x:v>
      </x:c>
      <x:c r="K10" s="26" t="n">
        <x:f>SUMPRODUCT('01 Controls'!$D$18:$D$21,'02 Source Families'!$F$6:$F$9)</x:f>
        <x:v>120000</x:v>
      </x:c>
      <x:c r="L10" s="26" t="n">
        <x:f>SUMPRODUCT('01 Controls'!$D$18:$D$21,'02 Source Families'!$V$6:$V$9)</x:f>
        <x:v>137660</x:v>
      </x:c>
      <x:c r="M10" s="26" t="n">
        <x:f>SUMPRODUCT('01 Controls'!$D$18:$D$21,'02 Source Families'!$W$6:$W$9)</x:f>
        <x:v>35900</x:v>
      </x:c>
      <x:c r="N10" s="26" t="n">
        <x:f>SUMPRODUCT('01 Controls'!$D$18:$D$21,'02 Source Families'!$Y$6:$Y$9)</x:f>
        <x:v>2430</x:v>
      </x:c>
      <x:c r="O10" s="26" t="n">
        <x:f>'01 Controls'!$D$21*'02 Source Families'!$U$9</x:f>
        <x:v>140000</x:v>
      </x:c>
      <x:c r="P10" s="29"/>
      <x:c r="Q10" s="29"/>
    </x:row>
    <x:row r="11"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C13" s="9" t="str">
        <x:v>Sensitivity</x:v>
      </x:c>
      <x:c r="D13" s="9" t="str">
        <x:v>Base</x:v>
      </x:c>
      <x:c r="E13" s="9" t="str">
        <x:v>Changed input</x:v>
      </x:c>
      <x:c r="F13" s="9" t="str">
        <x:v>Changed result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34" customHeight="1">
      <x:c r="C14" s="11" t="str">
        <x:v>C1 setup in W1</x:v>
      </x:c>
      <x:c r="D14" s="11" t="str">
        <x:v>PASS</x:v>
      </x:c>
      <x:c r="E14" s="11" t="str">
        <x:v>36 → 84 hours</x:v>
      </x:c>
      <x:c r="F14" s="11" t="str">
        <x:f>IF(84&lt;='01 Controls'!$D$7,"PASS","FAIL")</x:f>
        <x:v>FAIL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34" customHeight="1">
      <x:c r="C15" s="11" t="str">
        <x:v>C3 residual buffer in W7</x:v>
      </x:c>
      <x:c r="D15" s="11" t="str">
        <x:v>FAIL</x:v>
      </x:c>
      <x:c r="E15" s="11" t="str">
        <x:v>7 → 14 days</x:v>
      </x:c>
      <x:c r="F15" s="11" t="str">
        <x:f>IF(14&gt;='03 Mission Worlds'!E12,"PASS","FAIL")</x:f>
        <x:v>PASS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34" customHeight="1">
      <x:c r="C16" s="11" t="str">
        <x:v>C4 organic endurance in W10</x:v>
      </x:c>
      <x:c r="D16" s="11" t="str">
        <x:v>FAIL</x:v>
      </x:c>
      <x:c r="E16" s="11" t="str">
        <x:v>7 → 14 days</x:v>
      </x:c>
      <x:c r="F16" s="11" t="str">
        <x:f>IF(14&gt;='03 Mission Worlds'!E15,"PASS","FAIL")</x:f>
        <x:v>PASS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34" customHeight="1">
      <x:c r="C17" s="11" t="str">
        <x:v>C2 consumable autonomy in W11</x:v>
      </x:c>
      <x:c r="D17" s="11" t="str">
        <x:v>FAIL</x:v>
      </x:c>
      <x:c r="E17" s="11" t="str">
        <x:v>21 → 30 days</x:v>
      </x:c>
      <x:c r="F17" s="11" t="str">
        <x:f>IF(30&gt;='03 Mission Worlds'!E16,"PASS","FAIL")</x:f>
        <x:v>PASS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</x:sheetData>
  <x:conditionalFormatting sqref="D14:F17">
    <x:cfRule type="containsText" dxfId="35" priority="1" operator="containsText" text="FAIL"/>
    <x:cfRule type="containsText" dxfId="36" priority="2" operator="containsText" text="DENIED"/>
    <x:cfRule type="containsText" dxfId="37" priority="3" operator="containsText" text="BLOCKED"/>
    <x:cfRule type="containsText" dxfId="38" priority="4" operator="containsText" text="OPEN"/>
    <x:cfRule type="containsText" dxfId="39" priority="5" operator="containsText" text="UNTESTED"/>
    <x:cfRule type="containsText" dxfId="40" priority="6" operator="containsText" text="DECLARED"/>
    <x:cfRule type="containsText" dxfId="41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bdf9e9511a894f99"/>
  </x:tableParts>
</x:worksheet>
</file>

<file path=xl/worksheets/sheet8.xml><?xml version="1.0" encoding="utf-8"?>
<x:worksheet xmlns:x="http://schemas.openxmlformats.org/spreadsheetml/2006/main">
  <x:sheetPr>
    <x:tabColor rgb="FFCBD5D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2" hidden="0" customWidth="1"/>
    <x:col min="4" max="4" width="43" hidden="0" customWidth="1"/>
    <x:col min="5" max="5" width="58" hidden="0" customWidth="1"/>
    <x:col min="6" max="6" width="52" hidden="0" customWidth="1"/>
    <x:col min="7" max="7" width="18" hidden="0" customWidth="1"/>
    <x:col min="8" max="8" width="30" hidden="0" customWidth="1"/>
  </x:cols>
  <x:sheetData>
    <x:row r="2">
      <x:c r="C2" s="2" t="str">
        <x:v>Representative source-chain test contract</x:v>
      </x:c>
      <x:c r="D2" s="28"/>
      <x:c r="E2" s="28"/>
      <x:c r="F2" s="28"/>
      <x:c r="G2" s="28"/>
      <x:c r="H2" s="28"/>
      <x:c r="I2" s="28"/>
      <x:c r="J2" s="28"/>
    </x:row>
    <x:row r="3">
      <x:c r="C3" s="3" t="str">
        <x:v>No source family, world result, cost or rendering is admitted until the relevant complete-chain gates close.</x:v>
      </x:c>
      <x:c r="D3" s="3"/>
      <x:c r="E3" s="3"/>
      <x:c r="F3" s="3"/>
      <x:c r="G3" s="3"/>
      <x:c r="H3" s="3"/>
      <x:c r="I3" s="3"/>
      <x:c r="J3" s="3"/>
    </x:row>
    <x:row r="4">
      <x:c r="C4" s="29"/>
      <x:c r="D4" s="29"/>
      <x:c r="E4" s="29"/>
      <x:c r="F4" s="29"/>
      <x:c r="G4" s="29"/>
      <x:c r="H4" s="29"/>
      <x:c r="I4" s="29"/>
      <x:c r="J4" s="29"/>
    </x:row>
    <x:row r="5">
      <x:c r="C5" s="9" t="str">
        <x:v>Gate</x:v>
      </x:c>
      <x:c r="D5" s="9" t="str">
        <x:v>Claim under test</x:v>
      </x:c>
      <x:c r="E5" s="9" t="str">
        <x:v>Representative trial</x:v>
      </x:c>
      <x:c r="F5" s="9" t="str">
        <x:v>Pass condition</x:v>
      </x:c>
      <x:c r="G5" s="9" t="str">
        <x:v>State</x:v>
      </x:c>
      <x:c r="H5" s="9" t="str">
        <x:v>Owner</x:v>
      </x:c>
      <x:c r="I5" s="29"/>
      <x:c r="J5" s="29"/>
    </x:row>
    <x:row r="6" ht="52" customHeight="1">
      <x:c r="C6" s="11" t="str">
        <x:v>G01</x:v>
      </x:c>
      <x:c r="D6" s="15" t="str">
        <x:v>Coastal intake envelope</x:v>
      </x:c>
      <x:c r="E6" s="15" t="str">
        <x:v>Blind oil, bloom, turbidity and mixed-feed trials</x:v>
      </x:c>
      <x:c r="F6" s="15" t="str">
        <x:v>No unsafe product; valid alternate intake or hold</x:v>
      </x:c>
      <x:c r="G6" s="11" t="str">
        <x:v>OPEN</x:v>
      </x:c>
      <x:c r="H6" s="11" t="str">
        <x:v>RTEA</x:v>
      </x:c>
      <x:c r="I6" s="29"/>
      <x:c r="J6" s="29"/>
    </x:row>
    <x:row r="7" ht="52" customHeight="1">
      <x:c r="C7" s="11" t="str">
        <x:v>G02</x:v>
      </x:c>
      <x:c r="D7" s="15" t="str">
        <x:v>Nuclear carrier shore export</x:v>
      </x:c>
      <x:c r="E7" s="15" t="str">
        <x:v>Damaged-port standoff and hose-landing mission</x:v>
      </x:c>
      <x:c r="F7" s="15" t="str">
        <x:v>5,000 m³/day at receiver by H72</x:v>
      </x:c>
      <x:c r="G7" s="11" t="str">
        <x:v>OPEN</x:v>
      </x:c>
      <x:c r="H7" s="11" t="str">
        <x:v>RTEA</x:v>
      </x:c>
      <x:c r="I7" s="29"/>
      <x:c r="J7" s="29"/>
    </x:row>
    <x:row r="8" ht="52" customHeight="1">
      <x:c r="C8" s="11" t="str">
        <x:v>G03</x:v>
      </x:c>
      <x:c r="D8" s="15" t="str">
        <x:v>Nuclear safety and civil interface</x:v>
      </x:c>
      <x:c r="E8" s="15" t="str">
        <x:v>Loss of port, grid, network and one operating team</x:v>
      </x:c>
      <x:c r="F8" s="15" t="str">
        <x:v>Safe reactor state and lawful water service</x:v>
      </x:c>
      <x:c r="G8" s="11" t="str">
        <x:v>OPEN</x:v>
      </x:c>
      <x:c r="H8" s="11" t="str">
        <x:v>Independent nuclear authority</x:v>
      </x:c>
      <x:c r="I8" s="29"/>
      <x:c r="J8" s="29"/>
    </x:row>
    <x:row r="9" ht="52" customHeight="1">
      <x:c r="C9" s="11" t="str">
        <x:v>G04</x:v>
      </x:c>
      <x:c r="D9" s="15" t="str">
        <x:v>Prepared aquifer yield</x:v>
      </x:c>
      <x:c r="E9" s="15" t="str">
        <x:v>Thirty-day drawdown and interference trial</x:v>
      </x:c>
      <x:c r="F9" s="15" t="str">
        <x:v>5,000 m³/day inside registered source limits</x:v>
      </x:c>
      <x:c r="G9" s="11" t="str">
        <x:v>OPEN</x:v>
      </x:c>
      <x:c r="H9" s="11" t="str">
        <x:v>RTEA</x:v>
      </x:c>
      <x:c r="I9" s="29"/>
      <x:c r="J9" s="29"/>
    </x:row>
    <x:row r="10" ht="52" customHeight="1">
      <x:c r="C10" s="11" t="str">
        <x:v>G05</x:v>
      </x:c>
      <x:c r="D10" s="15" t="str">
        <x:v>Well completion time</x:v>
      </x:c>
      <x:c r="E10" s="15" t="str">
        <x:v>Unknown damaged wellfield with locked configuration</x:v>
      </x:c>
      <x:c r="F10" s="15" t="str">
        <x:v>Released product by H72</x:v>
      </x:c>
      <x:c r="G10" s="11" t="str">
        <x:v>OPEN</x:v>
      </x:c>
      <x:c r="H10" s="11" t="str">
        <x:v>RTEA</x:v>
      </x:c>
      <x:c r="I10" s="29"/>
      <x:c r="J10" s="29"/>
    </x:row>
    <x:row r="11" ht="52" customHeight="1">
      <x:c r="C11" s="11" t="str">
        <x:v>G06</x:v>
      </x:c>
      <x:c r="D11" s="15" t="str">
        <x:v>Groundwater contamination isolation</x:v>
      </x:c>
      <x:c r="E11" s="15" t="str">
        <x:v>Seeded cross-zone and casing failures</x:v>
      </x:c>
      <x:c r="F11" s="15" t="str">
        <x:v>Affected zone isolated; no unsafe issue</x:v>
      </x:c>
      <x:c r="G11" s="11" t="str">
        <x:v>OPEN</x:v>
      </x:c>
      <x:c r="H11" s="11" t="str">
        <x:v>RTEA</x:v>
      </x:c>
      <x:c r="I11" s="29"/>
      <x:c r="J11" s="29"/>
    </x:row>
    <x:row r="12" ht="52" customHeight="1">
      <x:c r="C12" s="11" t="str">
        <x:v>G07</x:v>
      </x:c>
      <x:c r="D12" s="15" t="str">
        <x:v>Variable-feed envelope</x:v>
      </x:c>
      <x:c r="E12" s="15" t="str">
        <x:v>Blind river, lake and brackish feed tournament</x:v>
      </x:c>
      <x:c r="F12" s="15" t="str">
        <x:v>Output or hold matches registered envelope</x:v>
      </x:c>
      <x:c r="G12" s="11" t="str">
        <x:v>OPEN</x:v>
      </x:c>
      <x:c r="H12" s="11" t="str">
        <x:v>RTEA</x:v>
      </x:c>
      <x:c r="I12" s="29"/>
      <x:c r="J12" s="29"/>
    </x:row>
    <x:row r="13" ht="52" customHeight="1">
      <x:c r="C13" s="11" t="str">
        <x:v>G08</x:v>
      </x:c>
      <x:c r="D13" s="15" t="str">
        <x:v>Residual custody</x:v>
      </x:c>
      <x:c r="E13" s="15" t="str">
        <x:v>Fourteen-day no-discharge mission</x:v>
      </x:c>
      <x:c r="F13" s="15" t="str">
        <x:v>All residual mass retained and traceable</x:v>
      </x:c>
      <x:c r="G13" s="11" t="str">
        <x:v>OPEN</x:v>
      </x:c>
      <x:c r="H13" s="11" t="str">
        <x:v>RTEA</x:v>
      </x:c>
      <x:c r="I13" s="29"/>
      <x:c r="J13" s="29"/>
    </x:row>
    <x:row r="14" ht="52" customHeight="1">
      <x:c r="C14" s="11" t="str">
        <x:v>G09</x:v>
      </x:c>
      <x:c r="D14" s="15" t="str">
        <x:v>Cold operation</x:v>
      </x:c>
      <x:c r="E14" s="15" t="str">
        <x:v>Freeze, restart and sanitary recommissioning</x:v>
      </x:c>
      <x:c r="F14" s="15" t="str">
        <x:v>Qualified families meet full service</x:v>
      </x:c>
      <x:c r="G14" s="11" t="str">
        <x:v>OPEN</x:v>
      </x:c>
      <x:c r="H14" s="11" t="str">
        <x:v>RTEA</x:v>
      </x:c>
      <x:c r="I14" s="29"/>
      <x:c r="J14" s="29"/>
    </x:row>
    <x:row r="15" ht="52" customHeight="1">
      <x:c r="C15" s="11" t="str">
        <x:v>G10</x:v>
      </x:c>
      <x:c r="D15" s="15" t="str">
        <x:v>Sealed batch identity</x:v>
      </x:c>
      <x:c r="E15" s="15" t="str">
        <x:v>Multimode transfer with damaged-node reroute</x:v>
      </x:c>
      <x:c r="F15" s="15" t="str">
        <x:v>No batch or custody ambiguity</x:v>
      </x:c>
      <x:c r="G15" s="11" t="str">
        <x:v>OPEN</x:v>
      </x:c>
      <x:c r="H15" s="11" t="str">
        <x:v>RTEA</x:v>
      </x:c>
      <x:c r="I15" s="29"/>
      <x:c r="J15" s="29"/>
    </x:row>
    <x:row r="16" ht="52" customHeight="1">
      <x:c r="C16" s="11" t="str">
        <x:v>G11</x:v>
      </x:c>
      <x:c r="D16" s="15" t="str">
        <x:v>Sealed-transfer throughput</x:v>
      </x:c>
      <x:c r="E16" s="15" t="str">
        <x:v>Thirty-day road, rail and barge campaign</x:v>
      </x:c>
      <x:c r="F16" s="15" t="str">
        <x:v>5,000 m³/day with measured wet lift</x:v>
      </x:c>
      <x:c r="G16" s="11" t="str">
        <x:v>OPEN</x:v>
      </x:c>
      <x:c r="H16" s="11" t="str">
        <x:v>RTEA</x:v>
      </x:c>
      <x:c r="I16" s="29"/>
      <x:c r="J16" s="29"/>
    </x:row>
    <x:row r="17" ht="52" customHeight="1">
      <x:c r="C17" s="11" t="str">
        <x:v>G12</x:v>
      </x:c>
      <x:c r="D17" s="15" t="str">
        <x:v>Organic endurance</x:v>
      </x:c>
      <x:c r="E17" s="15" t="str">
        <x:v>No-grid, no-resupply operations</x:v>
      </x:c>
      <x:c r="F17" s="15" t="str">
        <x:v>Declared duration without hidden external service</x:v>
      </x:c>
      <x:c r="G17" s="11" t="str">
        <x:v>OPEN</x:v>
      </x:c>
      <x:c r="H17" s="11" t="str">
        <x:v>RTEA</x:v>
      </x:c>
      <x:c r="I17" s="29"/>
      <x:c r="J17" s="29"/>
    </x:row>
    <x:row r="18" ht="52" customHeight="1">
      <x:c r="C18" s="11" t="str">
        <x:v>G13</x:v>
      </x:c>
      <x:c r="D18" s="15" t="str">
        <x:v>Consumable lineage independence</x:v>
      </x:c>
      <x:c r="E18" s="15" t="str">
        <x:v>Invalidate one national supplier lineage</x:v>
      </x:c>
      <x:c r="F18" s="15" t="str">
        <x:v>Qualified alternate sustains service</x:v>
      </x:c>
      <x:c r="G18" s="11" t="str">
        <x:v>OPEN</x:v>
      </x:c>
      <x:c r="H18" s="11" t="str">
        <x:v>Campaign Assurance Command</x:v>
      </x:c>
      <x:c r="I18" s="29"/>
      <x:c r="J18" s="29"/>
    </x:row>
    <x:row r="19" ht="52" customHeight="1">
      <x:c r="C19" s="11" t="str">
        <x:v>G14</x:v>
      </x:c>
      <x:c r="D19" s="15" t="str">
        <x:v>Power independence</x:v>
      </x:c>
      <x:c r="E19" s="15" t="str">
        <x:v>Black start and islanded full-load duty</x:v>
      </x:c>
      <x:c r="F19" s="15" t="str">
        <x:v>Critical load and restart margins demonstrated</x:v>
      </x:c>
      <x:c r="G19" s="11" t="str">
        <x:v>OPEN</x:v>
      </x:c>
      <x:c r="H19" s="11" t="str">
        <x:v>RTEA</x:v>
      </x:c>
      <x:c r="I19" s="29"/>
      <x:c r="J19" s="29"/>
    </x:row>
    <x:row r="20" ht="52" customHeight="1">
      <x:c r="C20" s="11" t="str">
        <x:v>G15</x:v>
      </x:c>
      <x:c r="D20" s="15" t="str">
        <x:v>Local release authority</x:v>
      </x:c>
      <x:c r="E20" s="15" t="str">
        <x:v>Disconnected source-to-receiver commissioning</x:v>
      </x:c>
      <x:c r="F20" s="15" t="str">
        <x:v>Signed bounded release; invalid order rejected</x:v>
      </x:c>
      <x:c r="G20" s="11" t="str">
        <x:v>OPEN</x:v>
      </x:c>
      <x:c r="H20" s="11" t="str">
        <x:v>Public Health Release Authority</x:v>
      </x:c>
      <x:c r="I20" s="29"/>
      <x:c r="J20" s="29"/>
    </x:row>
    <x:row r="21" ht="52" customHeight="1">
      <x:c r="C21" s="11" t="str">
        <x:v>G16</x:v>
      </x:c>
      <x:c r="D21" s="15" t="str">
        <x:v>Two-source independence</x:v>
      </x:c>
      <x:c r="E21" s="15" t="str">
        <x:v>Shared watershed, supplier, software and laboratory faults</x:v>
      </x:c>
      <x:c r="F21" s="15" t="str">
        <x:v>One complete chain survives each registered fault</x:v>
      </x:c>
      <x:c r="G21" s="11" t="str">
        <x:v>OPEN</x:v>
      </x:c>
      <x:c r="H21" s="11" t="str">
        <x:v>Campaign Assurance Command</x:v>
      </x:c>
      <x:c r="I21" s="29"/>
      <x:c r="J21" s="29"/>
    </x:row>
    <x:row r="22" ht="52" customHeight="1">
      <x:c r="C22" s="11" t="str">
        <x:v>G17</x:v>
      </x:c>
      <x:c r="D22" s="15" t="str">
        <x:v>Regeneration</x:v>
      </x:c>
      <x:c r="E22" s="15" t="str">
        <x:v>Sanitize, repair, refill and repeat mission</x:v>
      </x:c>
      <x:c r="F22" s="15" t="str">
        <x:v>Second mission meets first-mission thresholds</x:v>
      </x:c>
      <x:c r="G22" s="11" t="str">
        <x:v>OPEN</x:v>
      </x:c>
      <x:c r="H22" s="11" t="str">
        <x:v>RTEA</x:v>
      </x:c>
      <x:c r="I22" s="29"/>
      <x:c r="J22" s="29"/>
    </x:row>
    <x:row r="23" ht="52" customHeight="1">
      <x:c r="C23" s="11" t="str">
        <x:v>G18</x:v>
      </x:c>
      <x:c r="D23" s="15" t="str">
        <x:v>Rendering release</x:v>
      </x:c>
      <x:c r="E23" s="15" t="str">
        <x:v>Configuration and evidence review</x:v>
      </x:c>
      <x:c r="F23" s="15" t="str">
        <x:v>Representative physics at R3</x:v>
      </x:c>
      <x:c r="G23" s="11" t="str">
        <x:v>BLOCKED</x:v>
      </x:c>
      <x:c r="H23" s="11" t="str">
        <x:v>Architecture Board</x:v>
      </x:c>
      <x:c r="I23" s="29"/>
      <x:c r="J23" s="29"/>
    </x:row>
  </x:sheetData>
  <x:conditionalFormatting sqref="G6:G23">
    <x:cfRule type="containsText" dxfId="42" priority="1" operator="containsText" text="FAIL"/>
    <x:cfRule type="containsText" dxfId="43" priority="2" operator="containsText" text="DENIED"/>
    <x:cfRule type="containsText" dxfId="44" priority="3" operator="containsText" text="BLOCKED"/>
    <x:cfRule type="containsText" dxfId="45" priority="4" operator="containsText" text="OPEN"/>
    <x:cfRule type="containsText" dxfId="46" priority="5" operator="containsText" text="UNTESTED"/>
    <x:cfRule type="containsText" dxfId="47" priority="6" operator="containsText" text="DECLARED"/>
    <x:cfRule type="containsText" dxfId="48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a2094b54676e4e8b"/>
  </x:tableParts>
</x:worksheet>
</file>

<file path=xl/worksheets/sheet9.xml><?xml version="1.0" encoding="utf-8"?>
<x:worksheet xmlns:x="http://schemas.openxmlformats.org/spreadsheetml/2006/main">
  <x:sheetPr>
    <x:tabColor rgb="FFCBD5DF"/>
  </x:sheetPr>
  <x:sheetViews>
    <x:sheetView showGridLines="0" workbookViewId="0"/>
  </x:sheetViews>
  <x:sheetFormatPr defaultRowHeight="15"/>
  <x:cols>
    <x:col min="3" max="3" width="11" hidden="0" customWidth="1"/>
    <x:col min="4" max="4" width="43" hidden="0" customWidth="1"/>
    <x:col min="5" max="5" width="24" hidden="0" customWidth="1"/>
    <x:col min="6" max="6" width="38" hidden="0" customWidth="1"/>
    <x:col min="7" max="7" width="48" hidden="0" customWidth="1"/>
    <x:col min="8" max="8" width="22" hidden="0" customWidth="1"/>
  </x:cols>
  <x:sheetData>
    <x:row r="2">
      <x:c r="C2" s="2" t="str">
        <x:v>Source, assumption and authority register</x:v>
      </x:c>
      <x:c r="D2" s="28"/>
      <x:c r="E2" s="28"/>
      <x:c r="F2" s="28"/>
      <x:c r="G2" s="28"/>
      <x:c r="H2" s="28"/>
      <x:c r="I2" s="28"/>
      <x:c r="J2" s="28"/>
    </x:row>
    <x:row r="3">
      <x:c r="C3" s="3" t="str">
        <x:v>Internal predecessor values remain distinct from declared Pass 68 hypotheses and calculated outputs.</x:v>
      </x:c>
      <x:c r="D3" s="3"/>
      <x:c r="E3" s="3"/>
      <x:c r="F3" s="3"/>
      <x:c r="G3" s="3"/>
      <x:c r="H3" s="3"/>
      <x:c r="I3" s="3"/>
      <x:c r="J3" s="3"/>
    </x:row>
    <x:row r="4">
      <x:c r="C4" s="29"/>
      <x:c r="D4" s="29"/>
      <x:c r="E4" s="29"/>
      <x:c r="F4" s="29"/>
      <x:c r="G4" s="29"/>
      <x:c r="H4" s="29"/>
      <x:c r="I4" s="29"/>
      <x:c r="J4" s="29"/>
    </x:row>
    <x:row r="5">
      <x:c r="C5" s="9" t="str">
        <x:v>ID</x:v>
      </x:c>
      <x:c r="D5" s="9" t="str">
        <x:v>Item</x:v>
      </x:c>
      <x:c r="E5" s="9" t="str">
        <x:v>Class</x:v>
      </x:c>
      <x:c r="F5" s="9" t="str">
        <x:v>Authority</x:v>
      </x:c>
      <x:c r="G5" s="9" t="str">
        <x:v>Present use</x:v>
      </x:c>
      <x:c r="H5" s="9" t="str">
        <x:v>Admission</x:v>
      </x:c>
      <x:c r="I5" s="29"/>
      <x:c r="J5" s="29"/>
    </x:row>
    <x:row r="6" ht="43" customHeight="1">
      <x:c r="C6" s="11" t="str">
        <x:v>E01</x:v>
      </x:c>
      <x:c r="D6" s="15" t="str">
        <x:v>5,000 m³/day assurance floor</x:v>
      </x:c>
      <x:c r="E6" s="15" t="str">
        <x:v>INHERITED</x:v>
      </x:c>
      <x:c r="F6" s="15" t="str">
        <x:v>Pass 67 unknown-agent model</x:v>
      </x:c>
      <x:c r="G6" s="15" t="str">
        <x:v>Common source-family mission</x:v>
      </x:c>
      <x:c r="H6" s="15" t="str">
        <x:v>NOT ADMITTED</x:v>
      </x:c>
      <x:c r="I6" s="29"/>
      <x:c r="J6" s="29"/>
    </x:row>
    <x:row r="7" ht="43" customHeight="1">
      <x:c r="C7" s="11" t="str">
        <x:v>E02</x:v>
      </x:c>
      <x:c r="D7" s="15" t="str">
        <x:v>72-hour entry target</x:v>
      </x:c>
      <x:c r="E7" s="15" t="str">
        <x:v>DECLARED TARGET</x:v>
      </x:c>
      <x:c r="F7" s="15" t="str">
        <x:v>Pass 68</x:v>
      </x:c>
      <x:c r="G7" s="15" t="str">
        <x:v>Deployment comparison</x:v>
      </x:c>
      <x:c r="H7" s="15" t="str">
        <x:v>NOT ADMITTED</x:v>
      </x:c>
      <x:c r="I7" s="29"/>
      <x:c r="J7" s="29"/>
    </x:row>
    <x:row r="8" ht="43" customHeight="1">
      <x:c r="C8" s="11" t="str">
        <x:v>E03</x:v>
      </x:c>
      <x:c r="D8" s="15" t="str">
        <x:v>Thirty-day campaign</x:v>
      </x:c>
      <x:c r="E8" s="15" t="str">
        <x:v>DECLARED TARGET</x:v>
      </x:c>
      <x:c r="F8" s="15" t="str">
        <x:v>Pass 68</x:v>
      </x:c>
      <x:c r="G8" s="15" t="str">
        <x:v>Endurance and wet logistics</x:v>
      </x:c>
      <x:c r="H8" s="15" t="str">
        <x:v>NOT ADMITTED</x:v>
      </x:c>
      <x:c r="I8" s="29"/>
      <x:c r="J8" s="29"/>
    </x:row>
    <x:row r="9" ht="43" customHeight="1">
      <x:c r="C9" s="11" t="str">
        <x:v>E04</x:v>
      </x:c>
      <x:c r="D9" s="15" t="str">
        <x:v>Source-family performance inputs</x:v>
      </x:c>
      <x:c r="E9" s="15" t="str">
        <x:v>DECLARED HYPOTHESIS</x:v>
      </x:c>
      <x:c r="F9" s="15" t="str">
        <x:v>Pass 68</x:v>
      </x:c>
      <x:c r="G9" s="15" t="str">
        <x:v>Configuration competition</x:v>
      </x:c>
      <x:c r="H9" s="15" t="str">
        <x:v>NOT ADMITTED</x:v>
      </x:c>
      <x:c r="I9" s="29"/>
      <x:c r="J9" s="29"/>
    </x:row>
    <x:row r="10" ht="43" customHeight="1">
      <x:c r="C10" s="11" t="str">
        <x:v>E05</x:v>
      </x:c>
      <x:c r="D10" s="15" t="str">
        <x:v>Mass, crew and cost lines</x:v>
      </x:c>
      <x:c r="E10" s="15" t="str">
        <x:v>DECLARED HYPOTHESIS</x:v>
      </x:c>
      <x:c r="F10" s="15" t="str">
        <x:v>Pass 68</x:v>
      </x:c>
      <x:c r="G10" s="15" t="str">
        <x:v>Program consequences</x:v>
      </x:c>
      <x:c r="H10" s="15" t="str">
        <x:v>NOT ADMITTED</x:v>
      </x:c>
      <x:c r="I10" s="29"/>
      <x:c r="J10" s="29"/>
    </x:row>
    <x:row r="11" ht="43" customHeight="1">
      <x:c r="C11" s="11" t="str">
        <x:v>E06</x:v>
      </x:c>
      <x:c r="D11" s="15" t="str">
        <x:v>Twelve mission worlds</x:v>
      </x:c>
      <x:c r="E11" s="15" t="str">
        <x:v>DECLARED HYPOTHESIS</x:v>
      </x:c>
      <x:c r="F11" s="15" t="str">
        <x:v>Pass 68</x:v>
      </x:c>
      <x:c r="G11" s="15" t="str">
        <x:v>Failure separation</x:v>
      </x:c>
      <x:c r="H11" s="15" t="str">
        <x:v>NOT ADMITTED</x:v>
      </x:c>
      <x:c r="I11" s="29"/>
      <x:c r="J11" s="29"/>
    </x:row>
    <x:row r="12" ht="43" customHeight="1">
      <x:c r="C12" s="11" t="str">
        <x:v>E07</x:v>
      </x:c>
      <x:c r="D12" s="15" t="str">
        <x:v>Source eligibility</x:v>
      </x:c>
      <x:c r="E12" s="15" t="str">
        <x:v>CALCULATED</x:v>
      </x:c>
      <x:c r="F12" s="15" t="str">
        <x:v>03 Mission Worlds</x:v>
      </x:c>
      <x:c r="G12" s="15" t="str">
        <x:v>Complete-chain screen</x:v>
      </x:c>
      <x:c r="H12" s="15" t="str">
        <x:v>NOT ADMITTED</x:v>
      </x:c>
      <x:c r="I12" s="29"/>
      <x:c r="J12" s="29"/>
    </x:row>
    <x:row r="13" ht="43" customHeight="1">
      <x:c r="C13" s="11" t="str">
        <x:v>E08</x:v>
      </x:c>
      <x:c r="D13" s="15" t="str">
        <x:v>Portfolio coverage</x:v>
      </x:c>
      <x:c r="E13" s="15" t="str">
        <x:v>CALCULATED</x:v>
      </x:c>
      <x:c r="F13" s="15" t="str">
        <x:v>05 Portfolio</x:v>
      </x:c>
      <x:c r="G13" s="15" t="str">
        <x:v>Set coverage and dual provenance</x:v>
      </x:c>
      <x:c r="H13" s="15" t="str">
        <x:v>NOT ADMITTED</x:v>
      </x:c>
      <x:c r="I13" s="29"/>
      <x:c r="J13" s="29"/>
    </x:row>
    <x:row r="14" ht="43" customHeight="1">
      <x:c r="C14" s="11" t="str">
        <x:v>E09</x:v>
      </x:c>
      <x:c r="D14" s="15" t="str">
        <x:v>Twenty-five-year programs</x:v>
      </x:c>
      <x:c r="E14" s="15" t="str">
        <x:v>CALCULATED</x:v>
      </x:c>
      <x:c r="F14" s="15" t="str">
        <x:v>06 Program</x:v>
      </x:c>
      <x:c r="G14" s="15" t="str">
        <x:v>Alternative and mixed comparators</x:v>
      </x:c>
      <x:c r="H14" s="15" t="str">
        <x:v>NOT ESTIMATE</x:v>
      </x:c>
      <x:c r="I14" s="29"/>
      <x:c r="J14" s="29"/>
    </x:row>
    <x:row r="15" ht="43" customHeight="1">
      <x:c r="C15" s="11" t="str">
        <x:v>E10</x:v>
      </x:c>
      <x:c r="D15" s="15" t="str">
        <x:v>Rendering authorization</x:v>
      </x:c>
      <x:c r="E15" s="15" t="str">
        <x:v>GOVERNED</x:v>
      </x:c>
      <x:c r="F15" s="15" t="str">
        <x:v>G18 and project R3</x:v>
      </x:c>
      <x:c r="G15" s="15" t="str">
        <x:v>Physical form</x:v>
      </x:c>
      <x:c r="H15" s="15" t="str">
        <x:v>BLOCKED</x:v>
      </x:c>
      <x:c r="I15" s="29"/>
      <x:c r="J15" s="29"/>
    </x:row>
  </x:sheetData>
  <x:conditionalFormatting sqref="H6:H15">
    <x:cfRule type="containsText" dxfId="49" priority="1" operator="containsText" text="FAIL"/>
    <x:cfRule type="containsText" dxfId="50" priority="2" operator="containsText" text="DENIED"/>
    <x:cfRule type="containsText" dxfId="51" priority="3" operator="containsText" text="BLOCKED"/>
    <x:cfRule type="containsText" dxfId="52" priority="4" operator="containsText" text="OPEN"/>
    <x:cfRule type="containsText" dxfId="53" priority="5" operator="containsText" text="UNTESTED"/>
    <x:cfRule type="containsText" dxfId="54" priority="6" operator="containsText" text="DECLARED"/>
    <x:cfRule type="containsText" dxfId="55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ba3e00fd8b344d16"/>
  </x:tableParts>
</x:worksheet>
</file>

<file path=xl/worksheets/sheet10.xml><?xml version="1.0" encoding="utf-8"?>
<x:worksheet xmlns:x="http://schemas.openxmlformats.org/spreadsheetml/2006/main">
  <x:sheetPr>
    <x:tabColor rgb="FF65507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41" hidden="0" customWidth="1"/>
    <x:col min="4" max="4" width="20" hidden="0" customWidth="1"/>
    <x:col min="5" max="5" width="20" hidden="0" customWidth="1"/>
    <x:col min="6" max="6" width="17" hidden="0" customWidth="1"/>
    <x:col min="7" max="7" width="52" hidden="0" customWidth="1"/>
  </x:cols>
  <x:sheetData>
    <x:row r="2">
      <x:c r="C2" s="2" t="str">
        <x:v>Workbook integrity and sensitivity</x:v>
      </x:c>
      <x:c r="D2" s="28"/>
      <x:c r="E2" s="28"/>
      <x:c r="F2" s="28"/>
      <x:c r="G2" s="28"/>
      <x:c r="H2" s="28"/>
      <x:c r="I2" s="28"/>
      <x:c r="J2" s="28"/>
    </x:row>
    <x:row r="3">
      <x:c r="C3" s="3" t="str">
        <x:v>Checks observe the model; no business result depends on this sheet.</x:v>
      </x:c>
      <x:c r="D3" s="3"/>
      <x:c r="E3" s="3"/>
      <x:c r="F3" s="3"/>
      <x:c r="G3" s="3"/>
      <x:c r="H3" s="3"/>
      <x:c r="I3" s="3"/>
      <x:c r="J3" s="3"/>
    </x:row>
    <x:row r="4">
      <x:c r="C4" s="29"/>
      <x:c r="D4" s="29"/>
      <x:c r="E4" s="29"/>
      <x:c r="F4" s="29"/>
      <x:c r="G4" s="29"/>
      <x:c r="H4" s="29"/>
      <x:c r="I4" s="29"/>
      <x:c r="J4" s="29"/>
    </x:row>
    <x:row r="5">
      <x:c r="C5" s="9" t="str">
        <x:v>Check</x:v>
      </x:c>
      <x:c r="D5" s="9" t="str">
        <x:v>Observed</x:v>
      </x:c>
      <x:c r="E5" s="9" t="str">
        <x:v>Expected</x:v>
      </x:c>
      <x:c r="F5" s="9" t="str">
        <x:v>Status</x:v>
      </x:c>
      <x:c r="G5" s="9" t="str">
        <x:v>Meaning</x:v>
      </x:c>
      <x:c r="H5" s="29"/>
      <x:c r="I5" s="29"/>
      <x:c r="J5" s="29"/>
    </x:row>
    <x:row r="6" ht="33" customHeight="1">
      <x:c r="C6" s="11" t="str">
        <x:v>Source families</x:v>
      </x:c>
      <x:c r="D6" s="16" t="n">
        <x:f>COUNTA('02 Source Families'!$C$6:$C$9)</x:f>
        <x:v>4</x:v>
      </x:c>
      <x:c r="E6" s="16" t="n">
        <x:v>4</x:v>
      </x:c>
      <x:c r="F6" s="11" t="str">
        <x:f>IF(ABS(D6-E6)&lt;0.0001,"PASS","FAIL")</x:f>
        <x:v>PASS</x:v>
      </x:c>
      <x:c r="G6" s="15" t="str">
        <x:v>Four rival source logics</x:v>
      </x:c>
      <x:c r="H6" s="29"/>
      <x:c r="I6" s="29"/>
      <x:c r="J6" s="29"/>
    </x:row>
    <x:row r="7" ht="33" customHeight="1">
      <x:c r="C7" s="11" t="str">
        <x:v>Mission worlds</x:v>
      </x:c>
      <x:c r="D7" s="16" t="n">
        <x:f>COUNTA('03 Mission Worlds'!$C$6:$C$17)</x:f>
        <x:v>12</x:v>
      </x:c>
      <x:c r="E7" s="16" t="n">
        <x:v>12</x:v>
      </x:c>
      <x:c r="F7" s="11" t="str">
        <x:f>IF(ABS(D7-E7)&lt;0.0001,"PASS","FAIL")</x:f>
        <x:v>PASS</x:v>
      </x:c>
      <x:c r="G7" s="15" t="str">
        <x:v>Twelve deterministic theaters</x:v>
      </x:c>
      <x:c r="H7" s="29"/>
      <x:c r="I7" s="29"/>
      <x:c r="J7" s="29"/>
    </x:row>
    <x:row r="8" ht="33" customHeight="1">
      <x:c r="C8" s="11" t="str">
        <x:v>Family-world records</x:v>
      </x:c>
      <x:c r="D8" s="16" t="n">
        <x:f>COUNTA('03 Mission Worlds'!$C$20:$C$67)</x:f>
        <x:v>48</x:v>
      </x:c>
      <x:c r="E8" s="16" t="n">
        <x:v>48</x:v>
      </x:c>
      <x:c r="F8" s="11" t="str">
        <x:f>IF(ABS(D8-E8)&lt;0.0001,"PASS","FAIL")</x:f>
        <x:v>PASS</x:v>
      </x:c>
      <x:c r="G8" s="15" t="str">
        <x:v>Four by twelve</x:v>
      </x:c>
      <x:c r="H8" s="29"/>
      <x:c r="I8" s="29"/>
      <x:c r="J8" s="29"/>
    </x:row>
    <x:row r="9" ht="33" customHeight="1">
      <x:c r="C9" s="11" t="str">
        <x:v>Configuration lines</x:v>
      </x:c>
      <x:c r="D9" s="16" t="n">
        <x:f>COUNTA('04 Configuration'!$D$6:$D$31)</x:f>
        <x:v>26</x:v>
      </x:c>
      <x:c r="E9" s="16" t="n">
        <x:v>26</x:v>
      </x:c>
      <x:c r="F9" s="11" t="str">
        <x:f>IF(ABS(D9-E9)&lt;0.0001,"PASS","FAIL")</x:f>
        <x:v>PASS</x:v>
      </x:c>
      <x:c r="G9" s="15" t="str">
        <x:v>Complete-chain object lines</x:v>
      </x:c>
      <x:c r="H9" s="29"/>
      <x:c r="I9" s="29"/>
      <x:c r="J9" s="29"/>
    </x:row>
    <x:row r="10" ht="33" customHeight="1">
      <x:c r="C10" s="11" t="str">
        <x:v>C1 dry reconciliation</x:v>
      </x:c>
      <x:c r="D10" s="16" t="n">
        <x:f>'02 Source Families'!V6</x:f>
        <x:v>18500</x:v>
      </x:c>
      <x:c r="E10" s="16" t="n">
        <x:v>18500</x:v>
      </x:c>
      <x:c r="F10" s="11" t="str">
        <x:f>IF(ABS(D10-E10)&lt;0.0001,"PASS","FAIL")</x:f>
        <x:v>PASS</x:v>
      </x:c>
      <x:c r="G10" s="15" t="str">
        <x:v>Configuration sum</x:v>
      </x:c>
      <x:c r="H10" s="29"/>
      <x:c r="I10" s="29"/>
      <x:c r="J10" s="29"/>
    </x:row>
    <x:row r="11" ht="33" customHeight="1">
      <x:c r="C11" s="11" t="str">
        <x:v>C1 chargeable reconciliation</x:v>
      </x:c>
      <x:c r="D11" s="16" t="n">
        <x:f>'02 Source Families'!W6</x:f>
        <x:v>800</x:v>
      </x:c>
      <x:c r="E11" s="16" t="n">
        <x:v>800</x:v>
      </x:c>
      <x:c r="F11" s="11" t="str">
        <x:f>IF(ABS(D11-E11)&lt;0.0001,"PASS","FAIL")</x:f>
        <x:v>PASS</x:v>
      </x:c>
      <x:c r="G11" s="15" t="str">
        <x:v>Land support burden</x:v>
      </x:c>
      <x:c r="H11" s="29"/>
      <x:c r="I11" s="29"/>
      <x:c r="J11" s="29"/>
    </x:row>
    <x:row r="12" ht="33" customHeight="1">
      <x:c r="C12" s="11" t="str">
        <x:v>C2 dry reconciliation</x:v>
      </x:c>
      <x:c r="D12" s="16" t="n">
        <x:f>'02 Source Families'!V7</x:f>
        <x:v>920</x:v>
      </x:c>
      <x:c r="E12" s="16" t="n">
        <x:v>920</x:v>
      </x:c>
      <x:c r="F12" s="11" t="str">
        <x:f>IF(ABS(D12-E12)&lt;0.0001,"PASS","FAIL")</x:f>
        <x:v>PASS</x:v>
      </x:c>
      <x:c r="G12" s="15" t="str">
        <x:v>Configuration sum</x:v>
      </x:c>
      <x:c r="H12" s="29"/>
      <x:c r="I12" s="29"/>
      <x:c r="J12" s="29"/>
    </x:row>
    <x:row r="13" ht="33" customHeight="1">
      <x:c r="C13" s="11" t="str">
        <x:v>C2 chargeable reconciliation</x:v>
      </x:c>
      <x:c r="D13" s="16" t="n">
        <x:f>'02 Source Families'!W7</x:f>
        <x:v>1100</x:v>
      </x:c>
      <x:c r="E13" s="16" t="n">
        <x:v>1100</x:v>
      </x:c>
      <x:c r="F13" s="11" t="str">
        <x:f>IF(ABS(D13-E13)&lt;0.0001,"PASS","FAIL")</x:f>
        <x:v>PASS</x:v>
      </x:c>
      <x:c r="G13" s="15" t="str">
        <x:v>Configuration sum</x:v>
      </x:c>
      <x:c r="H13" s="29"/>
      <x:c r="I13" s="29"/>
      <x:c r="J13" s="29"/>
    </x:row>
    <x:row r="14" ht="33" customHeight="1">
      <x:c r="C14" s="11" t="str">
        <x:v>C3 dry reconciliation</x:v>
      </x:c>
      <x:c r="D14" s="16" t="n">
        <x:f>'02 Source Families'!V8</x:f>
        <x:v>1750</x:v>
      </x:c>
      <x:c r="E14" s="16" t="n">
        <x:v>1750</x:v>
      </x:c>
      <x:c r="F14" s="11" t="str">
        <x:f>IF(ABS(D14-E14)&lt;0.0001,"PASS","FAIL")</x:f>
        <x:v>PASS</x:v>
      </x:c>
      <x:c r="G14" s="15" t="str">
        <x:v>Configuration sum</x:v>
      </x:c>
      <x:c r="H14" s="29"/>
      <x:c r="I14" s="29"/>
      <x:c r="J14" s="29"/>
    </x:row>
    <x:row r="15" ht="33" customHeight="1">
      <x:c r="C15" s="11" t="str">
        <x:v>C3 chargeable reconciliation</x:v>
      </x:c>
      <x:c r="D15" s="16" t="n">
        <x:f>'02 Source Families'!W8</x:f>
        <x:v>2050</x:v>
      </x:c>
      <x:c r="E15" s="16" t="n">
        <x:v>2050</x:v>
      </x:c>
      <x:c r="F15" s="11" t="str">
        <x:f>IF(ABS(D15-E15)&lt;0.0001,"PASS","FAIL")</x:f>
        <x:v>PASS</x:v>
      </x:c>
      <x:c r="G15" s="15" t="str">
        <x:v>Configuration sum</x:v>
      </x:c>
      <x:c r="H15" s="29"/>
      <x:c r="I15" s="29"/>
      <x:c r="J15" s="29"/>
    </x:row>
    <x:row r="16" ht="33" customHeight="1">
      <x:c r="C16" s="11" t="str">
        <x:v>C4 dry reconciliation</x:v>
      </x:c>
      <x:c r="D16" s="16" t="n">
        <x:f>'02 Source Families'!V9</x:f>
        <x:v>2200</x:v>
      </x:c>
      <x:c r="E16" s="16" t="n">
        <x:v>2200</x:v>
      </x:c>
      <x:c r="F16" s="11" t="str">
        <x:f>IF(ABS(D16-E16)&lt;0.0001,"PASS","FAIL")</x:f>
        <x:v>PASS</x:v>
      </x:c>
      <x:c r="G16" s="15" t="str">
        <x:v>Configuration sum</x:v>
      </x:c>
      <x:c r="H16" s="29"/>
      <x:c r="I16" s="29"/>
      <x:c r="J16" s="29"/>
    </x:row>
    <x:row r="17" ht="33" customHeight="1">
      <x:c r="C17" s="11" t="str">
        <x:v>C4 chargeable reconciliation</x:v>
      </x:c>
      <x:c r="D17" s="16" t="n">
        <x:f>'02 Source Families'!W9</x:f>
        <x:v>2500</x:v>
      </x:c>
      <x:c r="E17" s="16" t="n">
        <x:v>2500</x:v>
      </x:c>
      <x:c r="F17" s="11" t="str">
        <x:f>IF(ABS(D17-E17)&lt;0.0001,"PASS","FAIL")</x:f>
        <x:v>PASS</x:v>
      </x:c>
      <x:c r="G17" s="15" t="str">
        <x:v>Configuration sum</x:v>
      </x:c>
      <x:c r="H17" s="29"/>
      <x:c r="I17" s="29"/>
      <x:c r="J17" s="29"/>
    </x:row>
    <x:row r="18" ht="33" customHeight="1">
      <x:c r="C18" s="11" t="str">
        <x:v>C4 usable inventory</x:v>
      </x:c>
      <x:c r="D18" s="16" t="n">
        <x:f>'02 Source Families'!U9</x:f>
        <x:v>35000</x:v>
      </x:c>
      <x:c r="E18" s="16" t="n">
        <x:v>35000</x:v>
      </x:c>
      <x:c r="F18" s="11" t="str">
        <x:f>IF(ABS(D18-E18)&lt;0.0001,"PASS","FAIL")</x:f>
        <x:v>PASS</x:v>
      </x:c>
      <x:c r="G18" s="15" t="str">
        <x:v>Seven days at 5,000 m³/day</x:v>
      </x:c>
      <x:c r="H18" s="29"/>
      <x:c r="I18" s="29"/>
      <x:c r="J18" s="29"/>
    </x:row>
    <x:row r="19" ht="33" customHeight="1">
      <x:c r="C19" s="11" t="str">
        <x:v>All capacities meet floor</x:v>
      </x:c>
      <x:c r="D19" s="16" t="n">
        <x:f>COUNTIFS('02 Source Families'!$F$6:$F$9,"&gt;="&amp;'01 Controls'!$D$6)</x:f>
        <x:v>4</x:v>
      </x:c>
      <x:c r="E19" s="16" t="n">
        <x:v>4</x:v>
      </x:c>
      <x:c r="F19" s="11" t="str">
        <x:f>IF(ABS(D19-E19)&lt;0.0001,"PASS","FAIL")</x:f>
        <x:v>PASS</x:v>
      </x:c>
      <x:c r="G19" s="15" t="str">
        <x:v>Common output mission</x:v>
      </x:c>
      <x:c r="H19" s="29"/>
      <x:c r="I19" s="29"/>
      <x:c r="J19" s="29"/>
    </x:row>
    <x:row r="20" ht="33" customHeight="1">
      <x:c r="C20" s="11" t="str">
        <x:v>C1 eligible worlds</x:v>
      </x:c>
      <x:c r="D20" s="16" t="n">
        <x:f>'02 Source Families'!AC6</x:f>
        <x:v>2</x:v>
      </x:c>
      <x:c r="E20" s="16" t="n">
        <x:v>2</x:v>
      </x:c>
      <x:c r="F20" s="11" t="str">
        <x:f>IF(ABS(D20-E20)&lt;0.0001,"PASS","FAIL")</x:f>
        <x:v>PASS</x:v>
      </x:c>
      <x:c r="G20" s="15" t="str">
        <x:v>Coastal reach</x:v>
      </x:c>
      <x:c r="H20" s="29"/>
      <x:c r="I20" s="29"/>
      <x:c r="J20" s="29"/>
    </x:row>
    <x:row r="21" ht="33" customHeight="1">
      <x:c r="C21" s="11" t="str">
        <x:v>C2 eligible worlds</x:v>
      </x:c>
      <x:c r="D21" s="16" t="n">
        <x:f>'02 Source Families'!AC7</x:f>
        <x:v>4</x:v>
      </x:c>
      <x:c r="E21" s="16" t="n">
        <x:v>4</x:v>
      </x:c>
      <x:c r="F21" s="11" t="str">
        <x:f>IF(ABS(D21-E21)&lt;0.0001,"PASS","FAIL")</x:f>
        <x:v>PASS</x:v>
      </x:c>
      <x:c r="G21" s="15" t="str">
        <x:v>Prepared groundwater reach</x:v>
      </x:c>
      <x:c r="H21" s="29"/>
      <x:c r="I21" s="29"/>
      <x:c r="J21" s="29"/>
    </x:row>
    <x:row r="22" ht="33" customHeight="1">
      <x:c r="C22" s="11" t="str">
        <x:v>C3 eligible worlds</x:v>
      </x:c>
      <x:c r="D22" s="16" t="n">
        <x:f>'02 Source Families'!AC8</x:f>
        <x:v>1</x:v>
      </x:c>
      <x:c r="E22" s="16" t="n">
        <x:v>1</x:v>
      </x:c>
      <x:c r="F22" s="11" t="str">
        <x:f>IF(ABS(D22-E22)&lt;0.0001,"PASS","FAIL")</x:f>
        <x:v>PASS</x:v>
      </x:c>
      <x:c r="G22" s="15" t="str">
        <x:v>Feed and residual limits</x:v>
      </x:c>
      <x:c r="H22" s="29"/>
      <x:c r="I22" s="29"/>
      <x:c r="J22" s="29"/>
    </x:row>
    <x:row r="23" ht="33" customHeight="1">
      <x:c r="C23" s="11" t="str">
        <x:v>C4 eligible worlds</x:v>
      </x:c>
      <x:c r="D23" s="16" t="n">
        <x:f>'02 Source Families'!AC9</x:f>
        <x:v>9</x:v>
      </x:c>
      <x:c r="E23" s="16" t="n">
        <x:v>9</x:v>
      </x:c>
      <x:c r="F23" s="11" t="str">
        <x:f>IF(ABS(D23-E23)&lt;0.0001,"PASS","FAIL")</x:f>
        <x:v>PASS</x:v>
      </x:c>
      <x:c r="G23" s="15" t="str">
        <x:v>Transfer reach with wet logistics</x:v>
      </x:c>
      <x:c r="H23" s="29"/>
      <x:c r="I23" s="29"/>
      <x:c r="J23" s="29"/>
    </x:row>
    <x:row r="24" ht="33" customHeight="1">
      <x:c r="C24" s="11" t="str">
        <x:v>Quartet service worlds</x:v>
      </x:c>
      <x:c r="D24" s="16" t="n">
        <x:f>'05 Portfolio'!I10</x:f>
        <x:v>10</x:v>
      </x:c>
      <x:c r="E24" s="16" t="n">
        <x:v>10</x:v>
      </x:c>
      <x:c r="F24" s="11" t="str">
        <x:f>IF(ABS(D24-E24)&lt;0.0001,"PASS","FAIL")</x:f>
        <x:v>PASS</x:v>
      </x:c>
      <x:c r="G24" s="15" t="str">
        <x:v>Any complete family</x:v>
      </x:c>
      <x:c r="H24" s="29"/>
      <x:c r="I24" s="29"/>
      <x:c r="J24" s="29"/>
    </x:row>
    <x:row r="25" ht="33" customHeight="1">
      <x:c r="C25" s="11" t="str">
        <x:v>Quartet dual-source worlds</x:v>
      </x:c>
      <x:c r="D25" s="16" t="n">
        <x:f>'05 Portfolio'!J10</x:f>
        <x:v>6</x:v>
      </x:c>
      <x:c r="E25" s="16" t="n">
        <x:v>6</x:v>
      </x:c>
      <x:c r="F25" s="11" t="str">
        <x:f>IF(ABS(D25-E25)&lt;0.0001,"PASS","FAIL")</x:f>
        <x:v>PASS</x:v>
      </x:c>
      <x:c r="G25" s="15" t="str">
        <x:v>At least two complete families</x:v>
      </x:c>
      <x:c r="H25" s="29"/>
      <x:c r="I25" s="29"/>
      <x:c r="J25" s="29"/>
    </x:row>
    <x:row r="26" ht="33" customHeight="1">
      <x:c r="C26" s="11" t="str">
        <x:v>W7 baseline passes</x:v>
      </x:c>
      <x:c r="D26" s="16" t="n">
        <x:f>COUNTIFS('03 Mission Worlds'!$D$20:$D$67,"W7",'03 Mission Worlds'!$O$20:$O$67,"PASS")</x:f>
        <x:v>0</x:v>
      </x:c>
      <x:c r="E26" s="16" t="n">
        <x:v>0</x:v>
      </x:c>
      <x:c r="F26" s="11" t="str">
        <x:f>IF(ABS(D26-E26)&lt;0.0001,"PASS","FAIL")</x:f>
        <x:v>PASS</x:v>
      </x:c>
      <x:c r="G26" s="15" t="str">
        <x:v>Residual and route gap</x:v>
      </x:c>
      <x:c r="H26" s="29"/>
      <x:c r="I26" s="29"/>
      <x:c r="J26" s="29"/>
    </x:row>
    <x:row r="27" ht="33" customHeight="1">
      <x:c r="C27" s="11" t="str">
        <x:v>W11 baseline passes</x:v>
      </x:c>
      <x:c r="D27" s="16" t="n">
        <x:f>COUNTIFS('03 Mission Worlds'!$D$20:$D$67,"W11",'03 Mission Worlds'!$O$20:$O$67,"PASS")</x:f>
        <x:v>0</x:v>
      </x:c>
      <x:c r="E27" s="16" t="n">
        <x:v>0</x:v>
      </x:c>
      <x:c r="F27" s="11" t="str">
        <x:f>IF(ABS(D27-E27)&lt;0.0001,"PASS","FAIL")</x:f>
        <x:v>PASS</x:v>
      </x:c>
      <x:c r="G27" s="15" t="str">
        <x:v>Thirty-day organic gap</x:v>
      </x:c>
      <x:c r="H27" s="29"/>
      <x:c r="I27" s="29"/>
      <x:c r="J27" s="29"/>
    </x:row>
    <x:row r="28" ht="33" customHeight="1">
      <x:c r="C28" s="11" t="str">
        <x:v>C1 setup sensitivity reacts</x:v>
      </x:c>
      <x:c r="D28" s="16" t="n">
        <x:f>IF('06 Program'!D14&lt;&gt;'06 Program'!F14,1,0)</x:f>
        <x:v>1</x:v>
      </x:c>
      <x:c r="E28" s="16" t="n">
        <x:v>1</x:v>
      </x:c>
      <x:c r="F28" s="11" t="str">
        <x:f>IF(ABS(D28-E28)&lt;0.0001,"PASS","FAIL")</x:f>
        <x:v>PASS</x:v>
      </x:c>
      <x:c r="G28" s="15" t="str">
        <x:v>84 hours reverses W1</x:v>
      </x:c>
      <x:c r="H28" s="29"/>
      <x:c r="I28" s="29"/>
      <x:c r="J28" s="29"/>
    </x:row>
    <x:row r="29" ht="33" customHeight="1">
      <x:c r="C29" s="11" t="str">
        <x:v>C3 residual sensitivity reacts</x:v>
      </x:c>
      <x:c r="D29" s="16" t="n">
        <x:f>IF('06 Program'!D15&lt;&gt;'06 Program'!F15,1,0)</x:f>
        <x:v>1</x:v>
      </x:c>
      <x:c r="E29" s="16" t="n">
        <x:v>1</x:v>
      </x:c>
      <x:c r="F29" s="11" t="str">
        <x:f>IF(ABS(D29-E29)&lt;0.0001,"PASS","FAIL")</x:f>
        <x:v>PASS</x:v>
      </x:c>
      <x:c r="G29" s="15" t="str">
        <x:v>Fourteen-day buffer closes W7</x:v>
      </x:c>
      <x:c r="H29" s="29"/>
      <x:c r="I29" s="29"/>
      <x:c r="J29" s="29"/>
    </x:row>
    <x:row r="30" ht="33" customHeight="1">
      <x:c r="C30" s="11" t="str">
        <x:v>C4 endurance sensitivity reacts</x:v>
      </x:c>
      <x:c r="D30" s="16" t="n">
        <x:f>IF('06 Program'!D16&lt;&gt;'06 Program'!F16,1,0)</x:f>
        <x:v>1</x:v>
      </x:c>
      <x:c r="E30" s="16" t="n">
        <x:v>1</x:v>
      </x:c>
      <x:c r="F30" s="11" t="str">
        <x:f>IF(ABS(D30-E30)&lt;0.0001,"PASS","FAIL")</x:f>
        <x:v>PASS</x:v>
      </x:c>
      <x:c r="G30" s="15" t="str">
        <x:v>Fourteen-day inventory closes W10</x:v>
      </x:c>
      <x:c r="H30" s="29"/>
      <x:c r="I30" s="29"/>
      <x:c r="J30" s="29"/>
    </x:row>
    <x:row r="31" ht="33" customHeight="1">
      <x:c r="C31" s="11" t="str">
        <x:v>C2 consumable sensitivity reacts</x:v>
      </x:c>
      <x:c r="D31" s="16" t="n">
        <x:f>IF('06 Program'!D17&lt;&gt;'06 Program'!F17,1,0)</x:f>
        <x:v>1</x:v>
      </x:c>
      <x:c r="E31" s="16" t="n">
        <x:v>1</x:v>
      </x:c>
      <x:c r="F31" s="11" t="str">
        <x:f>IF(ABS(D31-E31)&lt;0.0001,"PASS","FAIL")</x:f>
        <x:v>PASS</x:v>
      </x:c>
      <x:c r="G31" s="15" t="str">
        <x:v>Thirty-day stores close W11</x:v>
      </x:c>
      <x:c r="H31" s="29"/>
      <x:c r="I31" s="29"/>
      <x:c r="J31" s="29"/>
    </x:row>
    <x:row r="32" ht="33" customHeight="1">
      <x:c r="C32" s="11" t="str">
        <x:v>Mixed chain count</x:v>
      </x:c>
      <x:c r="D32" s="16" t="n">
        <x:f>'06 Program'!D10</x:f>
        <x:v>24</x:v>
      </x:c>
      <x:c r="E32" s="16" t="n">
        <x:v>24</x:v>
      </x:c>
      <x:c r="F32" s="11" t="str">
        <x:f>IF(ABS(D32-E32)&lt;0.0001,"PASS","FAIL")</x:f>
        <x:v>PASS</x:v>
      </x:c>
      <x:c r="G32" s="15" t="str">
        <x:v>Illustrative force sums</x:v>
      </x:c>
      <x:c r="H32" s="29"/>
      <x:c r="I32" s="29"/>
      <x:c r="J32" s="29"/>
    </x:row>
    <x:row r="33" ht="33" customHeight="1">
      <x:c r="C33" s="11" t="str">
        <x:v>Mixed capacity</x:v>
      </x:c>
      <x:c r="D33" s="16" t="n">
        <x:f>'06 Program'!K10</x:f>
        <x:v>120000</x:v>
      </x:c>
      <x:c r="E33" s="16" t="n">
        <x:v>120000</x:v>
      </x:c>
      <x:c r="F33" s="11" t="str">
        <x:f>IF(ABS(D33-E33)&lt;0.0001,"PASS","FAIL")</x:f>
        <x:v>PASS</x:v>
      </x:c>
      <x:c r="G33" s="15" t="str">
        <x:v>Twenty-four half-demand chains</x:v>
      </x:c>
      <x:c r="H33" s="29"/>
      <x:c r="I33" s="29"/>
      <x:c r="J33" s="29"/>
    </x:row>
    <x:row r="34" ht="33" customHeight="1">
      <x:c r="C34" s="11" t="str">
        <x:v>Mixed program</x:v>
      </x:c>
      <x:c r="D34" s="16" t="n">
        <x:f>'06 Program'!J10</x:f>
        <x:v>208.75</x:v>
      </x:c>
      <x:c r="E34" s="16" t="n">
        <x:v>208.75</x:v>
      </x:c>
      <x:c r="F34" s="11" t="str">
        <x:f>IF(ABS(D34-E34)&lt;0.0001,"PASS","FAIL")</x:f>
        <x:v>PASS</x:v>
      </x:c>
      <x:c r="G34" s="15" t="str">
        <x:v>Formula-driven comparator</x:v>
      </x:c>
      <x:c r="H34" s="29"/>
      <x:c r="I34" s="29"/>
      <x:c r="J34" s="29"/>
    </x:row>
    <x:row r="35" ht="33" customHeight="1">
      <x:c r="C35" s="11" t="str">
        <x:v>Open technical gates</x:v>
      </x:c>
      <x:c r="D35" s="16" t="n">
        <x:f>COUNTIFS('07 Test Contract'!$G$6:$G$22,"OPEN")</x:f>
        <x:v>17</x:v>
      </x:c>
      <x:c r="E35" s="16" t="n">
        <x:v>17</x:v>
      </x:c>
      <x:c r="F35" s="11" t="str">
        <x:f>IF(ABS(D35-E35)&lt;0.0001,"PASS","FAIL")</x:f>
        <x:v>PASS</x:v>
      </x:c>
      <x:c r="G35" s="15" t="str">
        <x:v>No gate closed</x:v>
      </x:c>
      <x:c r="H35" s="29"/>
      <x:c r="I35" s="29"/>
      <x:c r="J35" s="29"/>
    </x:row>
    <x:row r="36" ht="33" customHeight="1">
      <x:c r="C36" s="11" t="str">
        <x:v>Blocked rendering gate</x:v>
      </x:c>
      <x:c r="D36" s="16" t="n">
        <x:f>COUNTIFS('07 Test Contract'!$G$23:$G$23,"BLOCKED")</x:f>
        <x:v>1</x:v>
      </x:c>
      <x:c r="E36" s="16" t="n">
        <x:v>1</x:v>
      </x:c>
      <x:c r="F36" s="11" t="str">
        <x:f>IF(ABS(D36-E36)&lt;0.0001,"PASS","FAIL")</x:f>
        <x:v>PASS</x:v>
      </x:c>
      <x:c r="G36" s="15" t="str">
        <x:v>Form remains withheld</x:v>
      </x:c>
      <x:c r="H36" s="29"/>
      <x:c r="I36" s="29"/>
      <x:c r="J36" s="29"/>
    </x:row>
    <x:row r="37" ht="33" customHeight="1">
      <x:c r="C37" s="11" t="str">
        <x:v>Strict admissions</x:v>
      </x:c>
      <x:c r="D37" s="16" t="n">
        <x:f>SUM('02 Source Families'!$AD$6:$AD$9)</x:f>
        <x:v>0</x:v>
      </x:c>
      <x:c r="E37" s="16" t="n">
        <x:v>0</x:v>
      </x:c>
      <x:c r="F37" s="11" t="str">
        <x:f>IF(ABS(D37-E37)&lt;0.0001,"PASS","FAIL")</x:f>
        <x:v>PASS</x:v>
      </x:c>
      <x:c r="G37" s="15" t="str">
        <x:v>No family admitted</x:v>
      </x:c>
      <x:c r="H37" s="29"/>
      <x:c r="I37" s="29"/>
      <x:c r="J37" s="29"/>
    </x:row>
    <x:row r="38" ht="33" customHeight="1">
      <x:c r="C38" s="11" t="str">
        <x:v>Rendering blocks</x:v>
      </x:c>
      <x:c r="D38" s="16" t="n">
        <x:f>COUNTIFS('02 Source Families'!$AF$6:$AF$9,"BLOCKED")</x:f>
        <x:v>4</x:v>
      </x:c>
      <x:c r="E38" s="16" t="n">
        <x:v>4</x:v>
      </x:c>
      <x:c r="F38" s="11" t="str">
        <x:f>IF(ABS(D38-E38)&lt;0.0001,"PASS","FAIL")</x:f>
        <x:v>PASS</x:v>
      </x:c>
      <x:c r="G38" s="15" t="str">
        <x:v>Every family blocked</x:v>
      </x:c>
      <x:c r="H38" s="29"/>
      <x:c r="I38" s="29"/>
      <x:c r="J38" s="29"/>
    </x:row>
    <x:row r="39" ht="33" customHeight="1">
      <x:c r="C39" s="11" t="str">
        <x:v>No universal family</x:v>
      </x:c>
      <x:c r="D39" s="16" t="n">
        <x:f>COUNTIFS('02 Source Families'!$AC$6:$AC$9,12)</x:f>
        <x:v>0</x:v>
      </x:c>
      <x:c r="E39" s="16" t="n">
        <x:v>0</x:v>
      </x:c>
      <x:c r="F39" s="11" t="str">
        <x:f>IF(ABS(D39-E39)&lt;0.0001,"PASS","FAIL")</x:f>
        <x:v>PASS</x:v>
      </x:c>
      <x:c r="G39" s="15" t="str">
        <x:v>Portfolio requirement</x:v>
      </x:c>
      <x:c r="H39" s="29"/>
      <x:c r="I39" s="29"/>
      <x:c r="J39" s="29"/>
    </x:row>
    <x:row r="40" ht="33" customHeight="1">
      <x:c r="C40" s="11" t="str">
        <x:v>Evidence rows</x:v>
      </x:c>
      <x:c r="D40" s="16" t="n">
        <x:f>COUNTA('08 Evidence'!$C$6:$C$15)</x:f>
        <x:v>10</x:v>
      </x:c>
      <x:c r="E40" s="16" t="n">
        <x:v>10</x:v>
      </x:c>
      <x:c r="F40" s="11" t="str">
        <x:f>IF(ABS(D40-E40)&lt;0.0001,"PASS","FAIL")</x:f>
        <x:v>PASS</x:v>
      </x:c>
      <x:c r="G40" s="15" t="str">
        <x:v>Authority coverage</x:v>
      </x:c>
      <x:c r="H40" s="29"/>
      <x:c r="I40" s="29"/>
      <x:c r="J40" s="29"/>
    </x:row>
  </x:sheetData>
  <x:conditionalFormatting sqref="F6:F40">
    <x:cfRule type="containsText" dxfId="70" priority="1" operator="containsText" text="FAIL"/>
    <x:cfRule type="containsText" dxfId="71" priority="2" operator="containsText" text="DENIED"/>
    <x:cfRule type="containsText" dxfId="72" priority="3" operator="containsText" text="BLOCKED"/>
    <x:cfRule type="containsText" dxfId="73" priority="4" operator="containsText" text="OPEN"/>
    <x:cfRule type="containsText" dxfId="74" priority="5" operator="containsText" text="UNTESTED"/>
    <x:cfRule type="containsText" dxfId="75" priority="6" operator="containsText" text="DECLARED"/>
    <x:cfRule type="containsText" dxfId="76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3011af4aabb847a6"/>
  </x:tableParts>
</x:worksheet>
</file>