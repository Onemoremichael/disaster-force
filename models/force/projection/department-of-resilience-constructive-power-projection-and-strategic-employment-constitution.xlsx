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37eb069d6149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25987f0fc84d49ee"/>
    <x:sheet xmlns:r="http://schemas.openxmlformats.org/officeDocument/2006/relationships" name="Controls" sheetId="2" r:id="R0f4e7ba68228406f"/>
    <x:sheet xmlns:r="http://schemas.openxmlformats.org/officeDocument/2006/relationships" name="Architecture" sheetId="3" r:id="Re019bb64a6314203"/>
    <x:sheet xmlns:r="http://schemas.openxmlformats.org/officeDocument/2006/relationships" name="Power Theory" sheetId="4" r:id="R26b90e18f1584594"/>
    <x:sheet xmlns:r="http://schemas.openxmlformats.org/officeDocument/2006/relationships" name="Strategic Modes" sheetId="5" r:id="R89422f4f9c1f460b"/>
    <x:sheet xmlns:r="http://schemas.openxmlformats.org/officeDocument/2006/relationships" name="Family Posture" sheetId="6" r:id="Rfdaaea29c0bb41e0"/>
    <x:sheet xmlns:r="http://schemas.openxmlformats.org/officeDocument/2006/relationships" name="Campaign Posture" sheetId="7" r:id="R466ddc0426a5457f"/>
    <x:sheet xmlns:r="http://schemas.openxmlformats.org/officeDocument/2006/relationships" name="Domestic Guarantee" sheetId="8" r:id="R0c2cba5df2ea4211"/>
    <x:sheet xmlns:r="http://schemas.openxmlformats.org/officeDocument/2006/relationships" name="Invited Stabilization" sheetId="9" r:id="Rc747e10ffb814679"/>
    <x:sheet xmlns:r="http://schemas.openxmlformats.org/officeDocument/2006/relationships" name="Strategic Effects" sheetId="10" r:id="Ra11e410068fc462a"/>
    <x:sheet xmlns:r="http://schemas.openxmlformats.org/officeDocument/2006/relationships" name="Measurement" sheetId="11" r:id="Rde8672e3961c45ab"/>
    <x:sheet xmlns:r="http://schemas.openxmlformats.org/officeDocument/2006/relationships" name="Treaty Contract" sheetId="12" r:id="R1fd70bb6b4e84b58"/>
    <x:sheet xmlns:r="http://schemas.openxmlformats.org/officeDocument/2006/relationships" name="Noncoercion" sheetId="13" r:id="R4562071c821649f9"/>
    <x:sheet xmlns:r="http://schemas.openxmlformats.org/officeDocument/2006/relationships" name="Partner Sovereignty" sheetId="14" r:id="Rfd9bf53567db4726"/>
    <x:sheet xmlns:r="http://schemas.openxmlformats.org/officeDocument/2006/relationships" name="Transfer" sheetId="15" r:id="R7119f580b8c04b1b"/>
    <x:sheet xmlns:r="http://schemas.openxmlformats.org/officeDocument/2006/relationships" name="Industrial Statecraft" sheetId="16" r:id="R81a23456e5c64256"/>
    <x:sheet xmlns:r="http://schemas.openxmlformats.org/officeDocument/2006/relationships" name="Economic Exposure" sheetId="17" r:id="Rfc0b7126391b4042"/>
    <x:sheet xmlns:r="http://schemas.openxmlformats.org/officeDocument/2006/relationships" name="Scenarios" sheetId="18" r:id="R0d518014ff49458a"/>
    <x:sheet xmlns:r="http://schemas.openxmlformats.org/officeDocument/2006/relationships" name="Innovation" sheetId="19" r:id="R0fb1ffb5519f4e31"/>
    <x:sheet xmlns:r="http://schemas.openxmlformats.org/officeDocument/2006/relationships" name="Audit" sheetId="20" r:id="Rdcf8edd4c2a64553"/>
    <x:sheet xmlns:r="http://schemas.openxmlformats.org/officeDocument/2006/relationships" name="Mutation Tests" sheetId="21" r:id="Rf9f53f746811418b"/>
    <x:sheet xmlns:r="http://schemas.openxmlformats.org/officeDocument/2006/relationships" name="Sources" sheetId="22" r:id="R18d392c3d730477b"/>
    <x:sheet xmlns:r="http://schemas.openxmlformats.org/officeDocument/2006/relationships" name="Read Me" sheetId="23" r:id="R5b69d1c2c1ef48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.0"/>
    <x:numFmt numFmtId="201" formatCode="#,##0"/>
    <x:numFmt numFmtId="202" formatCode="0.0%"/>
  </x:numFmts>
  <x:fonts count="6">
    <x:font>
      <x:sz val="11"/>
      <x:name val="Carlito"/>
    </x:font>
    <x:font>
      <x:b/>
      <x:sz val="15"/>
      <x:color rgb="FF17324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sz val="10"/>
      <x:color rgb="FF0000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2"/>
      </x:patternFill>
    </x:fill>
    <x:fill>
      <x:patternFill patternType="solid">
        <x:fgColor rgb="FFE2F0D9"/>
      </x:patternFill>
    </x:fill>
    <x:fill>
      <x:patternFill patternType="solid">
        <x:fgColor rgb="FFFCE8E6"/>
      </x:patternFill>
    </x:fill>
  </x:fills>
  <x:borders count="2">
    <x:border/>
    <x:border>
      <x:bottom style="thin">
        <x:color rgb="FF2F6B8A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201" fontId="5" fillId="3" borderId="0" xfId="0" applyNumberFormat="1" applyFont="1" applyFill="1" applyBorder="1"/>
    <x:xf numFmtId="0" fontId="4" fillId="4" borderId="0" xfId="0" applyNumberFormat="1" applyFont="1" applyFill="1" applyBorder="1"/>
    <x:xf numFmtId="0" fontId="4" fillId="5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9deb7469f2445b" /><Relationship Type="http://schemas.openxmlformats.org/officeDocument/2006/relationships/theme" Target="/xl/theme/theme1.xml" Id="R1a7e7e4e0f8047e6" /><Relationship Type="http://schemas.openxmlformats.org/officeDocument/2006/relationships/sharedStrings" Target="/xl/sharedStrings.xml" Id="Rf47e01e5785d48f6" /><Relationship Type="http://schemas.openxmlformats.org/officeDocument/2006/relationships/worksheet" Target="/xl/worksheets/sheet1.xml" Id="R25987f0fc84d49ee" /><Relationship Type="http://schemas.openxmlformats.org/officeDocument/2006/relationships/worksheet" Target="/xl/worksheets/sheet2.xml" Id="R0f4e7ba68228406f" /><Relationship Type="http://schemas.openxmlformats.org/officeDocument/2006/relationships/worksheet" Target="/xl/worksheets/sheet3.xml" Id="Re019bb64a6314203" /><Relationship Type="http://schemas.openxmlformats.org/officeDocument/2006/relationships/worksheet" Target="/xl/worksheets/sheet4.xml" Id="R26b90e18f1584594" /><Relationship Type="http://schemas.openxmlformats.org/officeDocument/2006/relationships/worksheet" Target="/xl/worksheets/sheet5.xml" Id="R89422f4f9c1f460b" /><Relationship Type="http://schemas.openxmlformats.org/officeDocument/2006/relationships/worksheet" Target="/xl/worksheets/sheet6.xml" Id="Rfdaaea29c0bb41e0" /><Relationship Type="http://schemas.openxmlformats.org/officeDocument/2006/relationships/worksheet" Target="/xl/worksheets/sheet7.xml" Id="R466ddc0426a5457f" /><Relationship Type="http://schemas.openxmlformats.org/officeDocument/2006/relationships/worksheet" Target="/xl/worksheets/sheet8.xml" Id="R0c2cba5df2ea4211" /><Relationship Type="http://schemas.openxmlformats.org/officeDocument/2006/relationships/worksheet" Target="/xl/worksheets/sheet9.xml" Id="Rc747e10ffb814679" /><Relationship Type="http://schemas.openxmlformats.org/officeDocument/2006/relationships/worksheet" Target="/xl/worksheets/sheet10.xml" Id="Ra11e410068fc462a" /><Relationship Type="http://schemas.openxmlformats.org/officeDocument/2006/relationships/worksheet" Target="/xl/worksheets/sheet11.xml" Id="Rde8672e3961c45ab" /><Relationship Type="http://schemas.openxmlformats.org/officeDocument/2006/relationships/worksheet" Target="/xl/worksheets/sheet12.xml" Id="R1fd70bb6b4e84b58" /><Relationship Type="http://schemas.openxmlformats.org/officeDocument/2006/relationships/worksheet" Target="/xl/worksheets/sheet13.xml" Id="R4562071c821649f9" /><Relationship Type="http://schemas.openxmlformats.org/officeDocument/2006/relationships/worksheet" Target="/xl/worksheets/sheet14.xml" Id="Rfd9bf53567db4726" /><Relationship Type="http://schemas.openxmlformats.org/officeDocument/2006/relationships/worksheet" Target="/xl/worksheets/sheet15.xml" Id="R7119f580b8c04b1b" /><Relationship Type="http://schemas.openxmlformats.org/officeDocument/2006/relationships/worksheet" Target="/xl/worksheets/sheet16.xml" Id="R81a23456e5c64256" /><Relationship Type="http://schemas.openxmlformats.org/officeDocument/2006/relationships/worksheet" Target="/xl/worksheets/sheet17.xml" Id="Rfc0b7126391b4042" /><Relationship Type="http://schemas.openxmlformats.org/officeDocument/2006/relationships/worksheet" Target="/xl/worksheets/sheet18.xml" Id="R0d518014ff49458a" /><Relationship Type="http://schemas.openxmlformats.org/officeDocument/2006/relationships/worksheet" Target="/xl/worksheets/sheet19.xml" Id="R0fb1ffb5519f4e31" /><Relationship Type="http://schemas.openxmlformats.org/officeDocument/2006/relationships/worksheet" Target="/xl/worksheets/sheet20.xml" Id="Rdcf8edd4c2a64553" /><Relationship Type="http://schemas.openxmlformats.org/officeDocument/2006/relationships/worksheet" Target="/xl/worksheets/sheet21.xml" Id="Rf9f53f746811418b" /><Relationship Type="http://schemas.openxmlformats.org/officeDocument/2006/relationships/worksheet" Target="/xl/worksheets/sheet22.xml" Id="R18d392c3d730477b" /><Relationship Type="http://schemas.openxmlformats.org/officeDocument/2006/relationships/worksheet" Target="/xl/worksheets/sheet23.xml" Id="R5b69d1c2c1ef48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fde454fbc6845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Standing force posture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Committed formations</c:v>
          </c:tx>
          <c:cat>
            <c:strRef>
              <c:f>'Decision'!$M$6:$M$9</c:f>
              <c:strCache>
                <c:ptCount val="0"/>
              </c:strCache>
            </c:strRef>
          </c:cat>
          <c:val>
            <c:numRef>
              <c:f>'Decision'!$N$6:$N$9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5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de454fbc68452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e07a2a0298648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39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3" max="13" width="22" hidden="0" customWidth="1"/>
    <x:col min="14" max="14" width="24" hidden="0" customWidth="1"/>
  </x:cols>
  <x:sheetData>
    <x:row r="2">
      <x:c r="A2" s="18" t="str">
        <x:v>Constructive-power projection and strategic-employment constitution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Pass 196 | SPC-1 | hard public service under denial without coercive mission inheritance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 t="str">
        <x:v>Strategic mode</x:v>
      </x:c>
      <x:c r="N5" s="19" t="str">
        <x:v>Committed formations</x:v>
      </x:c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Decision metric</x:v>
      </x:c>
      <x:c r="B6" s="22" t="str">
        <x:v>Value</x:v>
      </x:c>
      <x:c r="C6" s="19"/>
      <x:c r="D6" s="19"/>
      <x:c r="E6" s="19"/>
      <x:c r="F6" s="19"/>
      <x:c r="G6" s="19"/>
      <x:c r="H6" s="19"/>
      <x:c r="I6" s="19"/>
      <x:c r="J6" s="19"/>
      <x:c r="K6" s="19"/>
      <x:c r="L6" s="19"/>
      <x:c r="M6" s="19" t="str">
        <x:v>Domestic</x:v>
      </x:c>
      <x:c r="N6" s="19" t="n">
        <x:v>1745</x:v>
      </x:c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Verdict</x:v>
      </x:c>
      <x:c r="B7" s="23" t="str">
        <x:v>CLOSE</x:v>
      </x:c>
      <x:c r="C7" s="19"/>
      <x:c r="D7" s="19"/>
      <x:c r="E7" s="19"/>
      <x:c r="F7" s="19"/>
      <x:c r="G7" s="19"/>
      <x:c r="H7" s="19"/>
      <x:c r="I7" s="19"/>
      <x:c r="J7" s="19"/>
      <x:c r="K7" s="19"/>
      <x:c r="L7" s="19"/>
      <x:c r="M7" s="19" t="str">
        <x:v>Invited</x:v>
      </x:c>
      <x:c r="N7" s="19" t="n">
        <x:v>675</x:v>
      </x:c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Deepest branch</x:v>
      </x:c>
      <x:c r="B8" s="23" t="str">
        <x:v>SPC-1, first of five</x:v>
      </x:c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 t="str">
        <x:v>Reserve</x:v>
      </x:c>
      <x:c r="N8" s="19" t="n">
        <x:v>502</x:v>
      </x:c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Selected doctrine</x:v>
      </x:c>
      <x:c r="B9" s="23" t="str">
        <x:v>Sovereign constructive power</x:v>
      </x:c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 t="str">
        <x:v>Regeneration</x:v>
      </x:c>
      <x:c r="N9" s="19" t="n">
        <x:v>1584</x:v>
      </x:c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Strategic modes</x:v>
      </x:c>
      <x:c r="B10" s="23" t="n">
        <x:v>4</x:v>
      </x:c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str">
        <x:v>Domestic campaigns</x:v>
      </x:c>
      <x:c r="B11" s="23" t="n">
        <x:v>8</x:v>
      </x:c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3" t="str">
        <x:v>Invited campaigns</x:v>
      </x:c>
      <x:c r="B12" s="23" t="n">
        <x:v>2</x:v>
      </x:c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23" t="str">
        <x:v>Domestic formations</x:v>
      </x:c>
      <x:c r="B13" s="23" t="n">
        <x:v>1745</x:v>
      </x:c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23" t="str">
        <x:v>Invited formations</x:v>
      </x:c>
      <x:c r="B14" s="23" t="n">
        <x:v>675</x:v>
      </x:c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23" t="str">
        <x:v>Domestic share</x:v>
      </x:c>
      <x:c r="B15" s="24" t="n">
        <x:v>0.7210743801652892</x:v>
      </x:c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23" t="str">
        <x:v>Invited share</x:v>
      </x:c>
      <x:c r="B16" s="24" t="n">
        <x:v>0.27892561983471076</x:v>
      </x:c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23" t="str">
        <x:v>Domestic capital USD B</x:v>
      </x:c>
      <x:c r="B17" s="25" t="n">
        <x:v>2931.584</x:v>
      </x:c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23" t="str">
        <x:v>Invited capital USD B</x:v>
      </x:c>
      <x:c r="B18" s="25" t="n">
        <x:v>1252.52</x:v>
      </x:c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23" t="str">
        <x:v>Treaty seals</x:v>
      </x:c>
      <x:c r="B19" s="23" t="n">
        <x:v>12</x:v>
      </x:c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23" t="str">
        <x:v>Noncoercion laws</x:v>
      </x:c>
      <x:c r="B20" s="23" t="n">
        <x:v>10</x:v>
      </x:c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23" t="str">
        <x:v>Strategic effects</x:v>
      </x:c>
      <x:c r="B21" s="23" t="n">
        <x:v>9</x:v>
      </x:c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23" t="str">
        <x:v>Released credit</x:v>
      </x:c>
      <x:c r="B22" s="23" t="n">
        <x:v>0</x:v>
      </x:c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23" t="str">
        <x:v>Authority state</x:v>
      </x:c>
      <x:c r="B23" s="23" t="str">
        <x:v>SOURCE EMPTY / HOLD</x:v>
      </x:c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</x:sheetData>
  <x:pageMargins left="0.7" right="0.7" top="0.75" bottom="0.75" header="0.3" footer="0.3"/>
  <x:drawing xmlns:r="http://schemas.openxmlformats.org/officeDocument/2006/relationships" r:id="R8e07a2a02986482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0" hidden="0" customWidth="1"/>
    <x:col min="3" max="3" width="20" hidden="0" customWidth="1"/>
  </x:cols>
  <x:sheetData>
    <x:row r="2">
      <x:c r="A2" s="18" t="str">
        <x:v>Strategic-employment controls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Blue cells are planning inputs; no service, treaty or strategic credit is released.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Control</x:v>
      </x:c>
      <x:c r="B6" s="22" t="str">
        <x:v>Value</x:v>
      </x:c>
      <x:c r="C6" s="22" t="str">
        <x:v>Unit</x:v>
      </x:c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Domestic campaigns</x:v>
      </x:c>
      <x:c r="B7" s="26" t="n">
        <x:v>8</x:v>
      </x:c>
      <x:c r="C7" s="23" t="str">
        <x:v>campaigns</x:v>
      </x:c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Invited campaigns</x:v>
      </x:c>
      <x:c r="B8" s="26" t="n">
        <x:v>2</x:v>
      </x:c>
      <x:c r="C8" s="23" t="str">
        <x:v>campaigns</x:v>
      </x:c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Domestic commitments</x:v>
      </x:c>
      <x:c r="B9" s="26" t="n">
        <x:v>1745</x:v>
      </x:c>
      <x:c r="C9" s="23" t="str">
        <x:v>formations</x:v>
      </x:c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Invited commitments</x:v>
      </x:c>
      <x:c r="B10" s="26" t="n">
        <x:v>675</x:v>
      </x:c>
      <x:c r="C10" s="23" t="str">
        <x:v>formations</x:v>
      </x:c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str">
        <x:v>Total committed</x:v>
      </x:c>
      <x:c r="B11" s="26" t="n">
        <x:v>2420</x:v>
      </x:c>
      <x:c r="C11" s="23" t="str">
        <x:v>formations</x:v>
      </x:c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3" t="str">
        <x:v>Protected reserve</x:v>
      </x:c>
      <x:c r="B12" s="26" t="n">
        <x:v>502</x:v>
      </x:c>
      <x:c r="C12" s="23" t="str">
        <x:v>formations</x:v>
      </x:c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23" t="str">
        <x:v>Domestic committed capital</x:v>
      </x:c>
      <x:c r="B13" s="27" t="n">
        <x:v>2931.584</x:v>
      </x:c>
      <x:c r="C13" s="23" t="str">
        <x:v>USD B</x:v>
      </x:c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23" t="str">
        <x:v>Invited committed capital</x:v>
      </x:c>
      <x:c r="B14" s="27" t="n">
        <x:v>1252.52</x:v>
      </x:c>
      <x:c r="C14" s="23" t="str">
        <x:v>USD B</x:v>
      </x:c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23" t="str">
        <x:v>Domestic committed billets</x:v>
      </x:c>
      <x:c r="B15" s="28" t="n">
        <x:v>3703204.2</x:v>
      </x:c>
      <x:c r="C15" s="23" t="str">
        <x:v>billets</x:v>
      </x:c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23" t="str">
        <x:v>Invited committed billets</x:v>
      </x:c>
      <x:c r="B16" s="28" t="n">
        <x:v>1444896</x:v>
      </x:c>
      <x:c r="C16" s="23" t="str">
        <x:v>billets</x:v>
      </x:c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23" t="str">
        <x:v>Domestic useful-output market</x:v>
      </x:c>
      <x:c r="B17" s="26" t="n">
        <x:v>75</x:v>
      </x:c>
      <x:c r="C17" s="23" t="str">
        <x:v>USD B/year</x:v>
      </x:c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23" t="str">
        <x:v>Reference partner market</x:v>
      </x:c>
      <x:c r="B18" s="26" t="n">
        <x:v>12</x:v>
      </x:c>
      <x:c r="C18" s="23" t="str">
        <x:v>USD B/year</x:v>
      </x:c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23" t="str">
        <x:v>Released strategic credit</x:v>
      </x:c>
      <x:c r="B19" s="26" t="n">
        <x:v>0</x:v>
      </x:c>
      <x:c r="C19" s="23" t="str">
        <x:v>effects</x:v>
      </x:c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7" hidden="0" customWidth="1"/>
    <x:col min="3" max="3" width="15" hidden="0" customWidth="1"/>
    <x:col min="4" max="4" width="17" hidden="0" customWidth="1"/>
    <x:col min="5" max="5" width="21" hidden="0" customWidth="1"/>
    <x:col min="6" max="6" width="15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3" hidden="0" customWidth="1"/>
  </x:cols>
  <x:sheetData>
    <x:row r="2">
      <x:c r="A2" s="18" t="str">
        <x:v>Strategic-employment architecture competition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The selected doctrine must create hard public service without inheriting coercive command.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Architecture</x:v>
      </x:c>
      <x:c r="B6" s="22" t="str">
        <x:v>Domestic guarantee</x:v>
      </x:c>
      <x:c r="C6" s="22" t="str">
        <x:v>Invitation</x:v>
      </x:c>
      <x:c r="D6" s="22" t="str">
        <x:v>Noncoercion</x:v>
      </x:c>
      <x:c r="E6" s="22" t="str">
        <x:v>Independent sustainment</x:v>
      </x:c>
      <x:c r="F6" s="22" t="str">
        <x:v>Nonrecall</x:v>
      </x:c>
      <x:c r="G6" s="22" t="str">
        <x:v>Civil transfer</x:v>
      </x:c>
      <x:c r="H6" s="22" t="str">
        <x:v>Partner sovereignty</x:v>
      </x:c>
      <x:c r="I6" s="22" t="str">
        <x:v>Industrial depth</x:v>
      </x:c>
      <x:c r="J6" s="22" t="str">
        <x:v>Military separation</x:v>
      </x:c>
      <x:c r="K6" s="22" t="str">
        <x:v>Public evidence</x:v>
      </x:c>
      <x:c r="L6" s="22" t="str">
        <x:v>Decision</x:v>
      </x:c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Humanitarian auxiliary</x:v>
      </x:c>
      <x:c r="B7" s="23" t="str">
        <x:v>PASS</x:v>
      </x:c>
      <x:c r="C7" s="23" t="str">
        <x:v>FAIL</x:v>
      </x:c>
      <x:c r="D7" s="23" t="str">
        <x:v>FAIL</x:v>
      </x:c>
      <x:c r="E7" s="23" t="str">
        <x:v>FAIL</x:v>
      </x:c>
      <x:c r="F7" s="23" t="str">
        <x:v>FAIL</x:v>
      </x:c>
      <x:c r="G7" s="23" t="str">
        <x:v>FAIL</x:v>
      </x:c>
      <x:c r="H7" s="23" t="str">
        <x:v>FAIL</x:v>
      </x:c>
      <x:c r="I7" s="23" t="str">
        <x:v>FAIL</x:v>
      </x:c>
      <x:c r="J7" s="23" t="str">
        <x:v>FAIL</x:v>
      </x:c>
      <x:c r="K7" s="23" t="str">
        <x:v>FAIL</x:v>
      </x:c>
      <x:c r="L7" s="29" t="str">
        <x:v>REJECT</x:v>
      </x:c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Dual-use coercive arm</x:v>
      </x:c>
      <x:c r="B8" s="23" t="str">
        <x:v>PASS</x:v>
      </x:c>
      <x:c r="C8" s="23" t="str">
        <x:v>PASS</x:v>
      </x:c>
      <x:c r="D8" s="23" t="str">
        <x:v>FAIL</x:v>
      </x:c>
      <x:c r="E8" s="23" t="str">
        <x:v>FAIL</x:v>
      </x:c>
      <x:c r="F8" s="23" t="str">
        <x:v>FAIL</x:v>
      </x:c>
      <x:c r="G8" s="23" t="str">
        <x:v>FAIL</x:v>
      </x:c>
      <x:c r="H8" s="23" t="str">
        <x:v>FAIL</x:v>
      </x:c>
      <x:c r="I8" s="23" t="str">
        <x:v>FAIL</x:v>
      </x:c>
      <x:c r="J8" s="23" t="str">
        <x:v>FAIL</x:v>
      </x:c>
      <x:c r="K8" s="23" t="str">
        <x:v>FAIL</x:v>
      </x:c>
      <x:c r="L8" s="29" t="str">
        <x:v>REJECT</x:v>
      </x:c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Fee-for-service expeditionary contractor</x:v>
      </x:c>
      <x:c r="B9" s="23" t="str">
        <x:v>PASS</x:v>
      </x:c>
      <x:c r="C9" s="23" t="str">
        <x:v>PASS</x:v>
      </x:c>
      <x:c r="D9" s="23" t="str">
        <x:v>PASS</x:v>
      </x:c>
      <x:c r="E9" s="23" t="str">
        <x:v>FAIL</x:v>
      </x:c>
      <x:c r="F9" s="23" t="str">
        <x:v>FAIL</x:v>
      </x:c>
      <x:c r="G9" s="23" t="str">
        <x:v>FAIL</x:v>
      </x:c>
      <x:c r="H9" s="23" t="str">
        <x:v>FAIL</x:v>
      </x:c>
      <x:c r="I9" s="23" t="str">
        <x:v>FAIL</x:v>
      </x:c>
      <x:c r="J9" s="23" t="str">
        <x:v>FAIL</x:v>
      </x:c>
      <x:c r="K9" s="23" t="str">
        <x:v>FAIL</x:v>
      </x:c>
      <x:c r="L9" s="29" t="str">
        <x:v>REJECT</x:v>
      </x:c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Universal global-public-goods service</x:v>
      </x:c>
      <x:c r="B10" s="23" t="str">
        <x:v>PASS</x:v>
      </x:c>
      <x:c r="C10" s="23" t="str">
        <x:v>PASS</x:v>
      </x:c>
      <x:c r="D10" s="23" t="str">
        <x:v>PASS</x:v>
      </x:c>
      <x:c r="E10" s="23" t="str">
        <x:v>PASS</x:v>
      </x:c>
      <x:c r="F10" s="23" t="str">
        <x:v>PASS</x:v>
      </x:c>
      <x:c r="G10" s="23" t="str">
        <x:v>FAIL</x:v>
      </x:c>
      <x:c r="H10" s="23" t="str">
        <x:v>FAIL</x:v>
      </x:c>
      <x:c r="I10" s="23" t="str">
        <x:v>FAIL</x:v>
      </x:c>
      <x:c r="J10" s="23" t="str">
        <x:v>FAIL</x:v>
      </x:c>
      <x:c r="K10" s="23" t="str">
        <x:v>FAIL</x:v>
      </x:c>
      <x:c r="L10" s="29" t="str">
        <x:v>REJECT</x:v>
      </x:c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str">
        <x:v>Sovereign constructive-power doctrine</x:v>
      </x:c>
      <x:c r="B11" s="23" t="str">
        <x:v>PASS</x:v>
      </x:c>
      <x:c r="C11" s="23" t="str">
        <x:v>PASS</x:v>
      </x:c>
      <x:c r="D11" s="23" t="str">
        <x:v>PASS</x:v>
      </x:c>
      <x:c r="E11" s="23" t="str">
        <x:v>PASS</x:v>
      </x:c>
      <x:c r="F11" s="23" t="str">
        <x:v>PASS</x:v>
      </x:c>
      <x:c r="G11" s="23" t="str">
        <x:v>PASS</x:v>
      </x:c>
      <x:c r="H11" s="23" t="str">
        <x:v>PASS</x:v>
      </x:c>
      <x:c r="I11" s="23" t="str">
        <x:v>PASS</x:v>
      </x:c>
      <x:c r="J11" s="23" t="str">
        <x:v>PASS</x:v>
      </x:c>
      <x:c r="K11" s="23" t="str">
        <x:v>PASS</x:v>
      </x:c>
      <x:c r="L11" s="30" t="str">
        <x:v>SELECT</x:v>
      </x:c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1" hidden="0" customWidth="1"/>
    <x:col min="3" max="3" width="70" hidden="0" customWidth="1"/>
  </x:cols>
  <x:sheetData>
    <x:row r="2">
      <x:c r="A2" s="18" t="str">
        <x:v>Constructive power as a coequal instrument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Power is the capacity to preserve or restore sovereign public service under denial and leave independent capability.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Claim</x:v>
      </x:c>
      <x:c r="B6" s="22" t="str">
        <x:v>Constitutional meaning</x:v>
      </x:c>
      <x:c r="C6" s="22" t="str">
        <x:v>Operational consequence</x:v>
      </x:c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Constructive, not soft</x:v>
      </x:c>
      <x:c r="B7" s="31" t="str">
        <x:v>Material service under hostile physical conditions</x:v>
      </x:c>
      <x:c r="C7" s="31" t="str">
        <x:v>Credibility derives from complete performance</x:v>
      </x:c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Sovereign, not paternal</x:v>
      </x:c>
      <x:c r="B8" s="31" t="str">
        <x:v>Recipient retains invitation, stop, data, acceptance and transfer authority</x:v>
      </x:c>
      <x:c r="C8" s="31" t="str">
        <x:v>U.S. convenience cannot override host control</x:v>
      </x:c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Co-equal, not auxiliary</x:v>
      </x:c>
      <x:c r="B9" s="31" t="str">
        <x:v>Standing formations, industry, doctrine and career professions</x:v>
      </x:c>
      <x:c r="C9" s="31" t="str">
        <x:v>Military excess capacity receives no planning credit</x:v>
      </x:c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Deterrence by denial</x:v>
      </x:c>
      <x:c r="B10" s="31" t="str">
        <x:v>Reduce catastrophe's ability to fracture states, economies and alliances</x:v>
      </x:c>
      <x:c r="C10" s="31" t="str">
        <x:v>Restoration depth changes adversary and hazard leverage</x:v>
      </x:c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str">
        <x:v>Statecraft through independence</x:v>
      </x:c>
      <x:c r="B11" s="31" t="str">
        <x:v>Partner capacity after exit is the desired terminal state</x:v>
      </x:c>
      <x:c r="C11" s="31" t="str">
        <x:v>Dependency and tied reconstruction earn zero credit</x:v>
      </x:c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3" t="str">
        <x:v>Restraint by constitution</x:v>
      </x:c>
      <x:c r="B12" s="31" t="str">
        <x:v>Non-coercion limits are designed into data, control, custody and release</x:v>
      </x:c>
      <x:c r="C12" s="31" t="str">
        <x:v>No mission creep through dual-use convenience</x:v>
      </x:c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4" hidden="0" customWidth="1"/>
    <x:col min="3" max="3" width="35" hidden="0" customWidth="1"/>
    <x:col min="4" max="4" width="57" hidden="0" customWidth="1"/>
    <x:col min="5" max="5" width="31" hidden="0" customWidth="1"/>
    <x:col min="6" max="6" width="58" hidden="0" customWidth="1"/>
  </x:cols>
  <x:sheetData>
    <x:row r="2">
      <x:c r="A2" s="18" t="str">
        <x:v>Four strategic modes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Only P1 and P2 consume standing campaign formations; partnership and production support them without force credit.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Mode</x:v>
      </x:c>
      <x:c r="B6" s="22" t="str">
        <x:v>Name</x:v>
      </x:c>
      <x:c r="C6" s="22" t="str">
        <x:v>Authority</x:v>
      </x:c>
      <x:c r="D6" s="22" t="str">
        <x:v>Standing object</x:v>
      </x:c>
      <x:c r="E6" s="22" t="str">
        <x:v>Scale</x:v>
      </x:c>
      <x:c r="F6" s="22" t="str">
        <x:v>Terminal condition</x:v>
      </x:c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P1</x:v>
      </x:c>
      <x:c r="B7" s="23" t="str">
        <x:v>Guaranteed domestic continuity</x:v>
      </x:c>
      <x:c r="C7" s="31" t="str">
        <x:v>Constitutional duty</x:v>
      </x:c>
      <x:c r="D7" s="31" t="str">
        <x:v>Eight simultaneous domestic campaigns</x:v>
      </x:c>
      <x:c r="E7" s="31" t="str">
        <x:v>1,745 committed formations</x:v>
      </x:c>
      <x:c r="F7" s="31" t="str">
        <x:v>Protect life and civil systems; never replace civil sovereignty</x:v>
      </x:c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P2</x:v>
      </x:c>
      <x:c r="B8" s="23" t="str">
        <x:v>Invited stabilization</x:v>
      </x:c>
      <x:c r="C8" s="31" t="str">
        <x:v>Treaty and sovereign invitation</x:v>
      </x:c>
      <x:c r="D8" s="31" t="str">
        <x:v>Two non-recallable international campaigns</x:v>
      </x:c>
      <x:c r="E8" s="31" t="str">
        <x:v>675 committed formations</x:v>
      </x:c>
      <x:c r="F8" s="31" t="str">
        <x:v>Deliver service and leave sovereign receiver capacity</x:v>
      </x:c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P3</x:v>
      </x:c>
      <x:c r="B9" s="23" t="str">
        <x:v>Forward resilience partnership</x:v>
      </x:c>
      <x:c r="C9" s="31" t="str">
        <x:v>Standing partner compact</x:v>
      </x:c>
      <x:c r="D9" s="31" t="str">
        <x:v>Receiver preparation, exercises, pre-positioned interfaces</x:v>
      </x:c>
      <x:c r="E9" s="31" t="str">
        <x:v>No U.S. formation credit</x:v>
      </x:c>
      <x:c r="F9" s="31" t="str">
        <x:v>Reduce arrival friction without creating permanent dependency</x:v>
      </x:c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P4</x:v>
      </x:c>
      <x:c r="B10" s="23" t="str">
        <x:v>Productive statecraft</x:v>
      </x:c>
      <x:c r="C10" s="31" t="str">
        <x:v>Commercial/public industrial charter</x:v>
      </x:c>
      <x:c r="D10" s="31" t="str">
        <x:v>Useful civil output, licensed production and standards</x:v>
      </x:c>
      <x:c r="E10" s="31" t="str">
        <x:v>USD 75B domestic + optional partner market</x:v>
      </x:c>
      <x:c r="F10" s="31" t="str">
        <x:v>Expand industrial depth without conditioning relief</x:v>
      </x:c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27" hidden="0" customWidth="1"/>
    <x:col min="4" max="4" width="13" hidden="0" customWidth="1"/>
    <x:col min="5" max="5" width="14" hidden="0" customWidth="1"/>
    <x:col min="6" max="6" width="14" hidden="0" customWidth="1"/>
    <x:col min="7" max="7" width="13" hidden="0" customWidth="1"/>
    <x:col min="8" max="8" width="18" hidden="0" customWidth="1"/>
    <x:col min="9" max="9" width="24" hidden="0" customWidth="1"/>
    <x:col min="10" max="10" width="23" hidden="0" customWidth="1"/>
    <x:col min="11" max="11" width="20" hidden="0" customWidth="1"/>
    <x:col min="12" max="12" width="19" hidden="0" customWidth="1"/>
  </x:cols>
  <x:sheetData>
    <x:row r="2">
      <x:c r="A2" s="18" t="str">
        <x:v>Forty-eight family commitments by strategic mode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Capital and billets are proportional exposures of committed formations, not additional appropriations.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Family ID</x:v>
      </x:c>
      <x:c r="B6" s="22" t="str">
        <x:v>Formation family</x:v>
      </x:c>
      <x:c r="C6" s="22" t="str">
        <x:v>Service</x:v>
      </x:c>
      <x:c r="D6" s="22" t="str">
        <x:v>Mission</x:v>
      </x:c>
      <x:c r="E6" s="22" t="str">
        <x:v>Domestic</x:v>
      </x:c>
      <x:c r="F6" s="22" t="str">
        <x:v>Invited</x:v>
      </x:c>
      <x:c r="G6" s="22" t="str">
        <x:v>Total</x:v>
      </x:c>
      <x:c r="H6" s="22" t="str">
        <x:v>Owned inventory</x:v>
      </x:c>
      <x:c r="I6" s="22" t="str">
        <x:v>Domestic capital USD B</x:v>
      </x:c>
      <x:c r="J6" s="22" t="str">
        <x:v>Invited capital USD B</x:v>
      </x:c>
      <x:c r="K6" s="22" t="str">
        <x:v>Domestic billets</x:v>
      </x:c>
      <x:c r="L6" s="22" t="str">
        <x:v>Invited billets</x:v>
      </x:c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J-CIE</x:v>
      </x:c>
      <x:c r="B7" s="23" t="str">
        <x:v>Civil integration and effects group</x:v>
      </x:c>
      <x:c r="C7" s="23" t="str">
        <x:v>Joint</x:v>
      </x:c>
      <x:c r="D7" s="23" t="str">
        <x:v>MS-CT</x:v>
      </x:c>
      <x:c r="E7" s="23" t="n">
        <x:v>26</x:v>
      </x:c>
      <x:c r="F7" s="23" t="n">
        <x:v>8</x:v>
      </x:c>
      <x:c r="G7" s="23" t="n">
        <x:v>34</x:v>
      </x:c>
      <x:c r="H7" s="23" t="n">
        <x:v>66</x:v>
      </x:c>
      <x:c r="I7" s="25" t="n">
        <x:v>6.5</x:v>
      </x:c>
      <x:c r="J7" s="25" t="n">
        <x:v>2</x:v>
      </x:c>
      <x:c r="K7" s="32" t="n">
        <x:v>7800</x:v>
      </x:c>
      <x:c r="L7" s="32" t="n">
        <x:v>2400</x:v>
      </x:c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J-TOC</x:v>
      </x:c>
      <x:c r="B8" s="23" t="str">
        <x:v>Theater-opening command</x:v>
      </x:c>
      <x:c r="C8" s="23" t="str">
        <x:v>Joint</x:v>
      </x:c>
      <x:c r="D8" s="23" t="str">
        <x:v>MS-ET</x:v>
      </x:c>
      <x:c r="E8" s="23" t="n">
        <x:v>17</x:v>
      </x:c>
      <x:c r="F8" s="23" t="n">
        <x:v>6</x:v>
      </x:c>
      <x:c r="G8" s="23" t="n">
        <x:v>23</x:v>
      </x:c>
      <x:c r="H8" s="23" t="n">
        <x:v>45</x:v>
      </x:c>
      <x:c r="I8" s="25" t="n">
        <x:v>20.4</x:v>
      </x:c>
      <x:c r="J8" s="25" t="n">
        <x:v>7.2</x:v>
      </x:c>
      <x:c r="K8" s="32" t="n">
        <x:v>25500</x:v>
      </x:c>
      <x:c r="L8" s="32" t="n">
        <x:v>9000</x:v>
      </x:c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J-TSC</x:v>
      </x:c>
      <x:c r="B9" s="23" t="str">
        <x:v>Theater sustainment command</x:v>
      </x:c>
      <x:c r="C9" s="23" t="str">
        <x:v>Joint</x:v>
      </x:c>
      <x:c r="D9" s="23" t="str">
        <x:v>MS-RT</x:v>
      </x:c>
      <x:c r="E9" s="23" t="n">
        <x:v>25</x:v>
      </x:c>
      <x:c r="F9" s="23" t="n">
        <x:v>8</x:v>
      </x:c>
      <x:c r="G9" s="23" t="n">
        <x:v>33</x:v>
      </x:c>
      <x:c r="H9" s="23" t="n">
        <x:v>64</x:v>
      </x:c>
      <x:c r="I9" s="25" t="n">
        <x:v>37.5</x:v>
      </x:c>
      <x:c r="J9" s="25" t="n">
        <x:v>12</x:v>
      </x:c>
      <x:c r="K9" s="32" t="n">
        <x:v>56250</x:v>
      </x:c>
      <x:c r="L9" s="32" t="n">
        <x:v>18000</x:v>
      </x:c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J-RRG</x:v>
      </x:c>
      <x:c r="B10" s="23" t="str">
        <x:v>Replacement and reconstitution group</x:v>
      </x:c>
      <x:c r="C10" s="23" t="str">
        <x:v>Joint</x:v>
      </x:c>
      <x:c r="D10" s="23" t="str">
        <x:v>MS-RT</x:v>
      </x:c>
      <x:c r="E10" s="23" t="n">
        <x:v>25</x:v>
      </x:c>
      <x:c r="F10" s="23" t="n">
        <x:v>8</x:v>
      </x:c>
      <x:c r="G10" s="23" t="n">
        <x:v>33</x:v>
      </x:c>
      <x:c r="H10" s="23" t="n">
        <x:v>64</x:v>
      </x:c>
      <x:c r="I10" s="25" t="n">
        <x:v>20</x:v>
      </x:c>
      <x:c r="J10" s="25" t="n">
        <x:v>6.4</x:v>
      </x:c>
      <x:c r="K10" s="32" t="n">
        <x:v>25000</x:v>
      </x:c>
      <x:c r="L10" s="32" t="n">
        <x:v>8000</x:v>
      </x:c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str">
        <x:v>J-TDG</x:v>
      </x:c>
      <x:c r="B11" s="23" t="str">
        <x:v>Transfer and demobilization group</x:v>
      </x:c>
      <x:c r="C11" s="23" t="str">
        <x:v>Joint</x:v>
      </x:c>
      <x:c r="D11" s="23" t="str">
        <x:v>MS-RT</x:v>
      </x:c>
      <x:c r="E11" s="23" t="n">
        <x:v>17</x:v>
      </x:c>
      <x:c r="F11" s="23" t="n">
        <x:v>6</x:v>
      </x:c>
      <x:c r="G11" s="23" t="n">
        <x:v>23</x:v>
      </x:c>
      <x:c r="H11" s="23" t="n">
        <x:v>45</x:v>
      </x:c>
      <x:c r="I11" s="25" t="n">
        <x:v>5.1</x:v>
      </x:c>
      <x:c r="J11" s="25" t="n">
        <x:v>1.8</x:v>
      </x:c>
      <x:c r="K11" s="32" t="n">
        <x:v>6375</x:v>
      </x:c>
      <x:c r="L11" s="32" t="n">
        <x:v>2250</x:v>
      </x:c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3" t="str">
        <x:v>L-ROG</x:v>
      </x:c>
      <x:c r="B12" s="23" t="str">
        <x:v>Access and route-opening group</x:v>
      </x:c>
      <x:c r="C12" s="23" t="str">
        <x:v>Land Engineering</x:v>
      </x:c>
      <x:c r="D12" s="23" t="str">
        <x:v>MS-ET</x:v>
      </x:c>
      <x:c r="E12" s="23" t="n">
        <x:v>52</x:v>
      </x:c>
      <x:c r="F12" s="23" t="n">
        <x:v>18</x:v>
      </x:c>
      <x:c r="G12" s="23" t="n">
        <x:v>70</x:v>
      </x:c>
      <x:c r="H12" s="23" t="n">
        <x:v>151</x:v>
      </x:c>
      <x:c r="I12" s="25" t="n">
        <x:v>62.4</x:v>
      </x:c>
      <x:c r="J12" s="25" t="n">
        <x:v>21.599999999999998</x:v>
      </x:c>
      <x:c r="K12" s="32" t="n">
        <x:v>47320</x:v>
      </x:c>
      <x:c r="L12" s="32" t="n">
        <x:v>16380</x:v>
      </x:c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23" t="str">
        <x:v>L-HCG</x:v>
      </x:c>
      <x:c r="B13" s="23" t="str">
        <x:v>Flood and hydraulic-control group</x:v>
      </x:c>
      <x:c r="C13" s="23" t="str">
        <x:v>Land Engineering</x:v>
      </x:c>
      <x:c r="D13" s="23" t="str">
        <x:v>MS-HC</x:v>
      </x:c>
      <x:c r="E13" s="23" t="n">
        <x:v>34</x:v>
      </x:c>
      <x:c r="F13" s="23" t="n">
        <x:v>16</x:v>
      </x:c>
      <x:c r="G13" s="23" t="n">
        <x:v>50</x:v>
      </x:c>
      <x:c r="H13" s="23" t="n">
        <x:v>108</x:v>
      </x:c>
      <x:c r="I13" s="25" t="n">
        <x:v>61.2</x:v>
      </x:c>
      <x:c r="J13" s="25" t="n">
        <x:v>28.8</x:v>
      </x:c>
      <x:c r="K13" s="32" t="n">
        <x:v>44200</x:v>
      </x:c>
      <x:c r="L13" s="32" t="n">
        <x:v>20800</x:v>
      </x:c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23" t="str">
        <x:v>L-DMG</x:v>
      </x:c>
      <x:c r="B14" s="23" t="str">
        <x:v>Debris and materials group</x:v>
      </x:c>
      <x:c r="C14" s="23" t="str">
        <x:v>Land Engineering</x:v>
      </x:c>
      <x:c r="D14" s="23" t="str">
        <x:v>MS-HC</x:v>
      </x:c>
      <x:c r="E14" s="23" t="n">
        <x:v>47</x:v>
      </x:c>
      <x:c r="F14" s="23" t="n">
        <x:v>18</x:v>
      </x:c>
      <x:c r="G14" s="23" t="n">
        <x:v>65</x:v>
      </x:c>
      <x:c r="H14" s="23" t="n">
        <x:v>140</x:v>
      </x:c>
      <x:c r="I14" s="25" t="n">
        <x:v>65.8</x:v>
      </x:c>
      <x:c r="J14" s="25" t="n">
        <x:v>25.2</x:v>
      </x:c>
      <x:c r="K14" s="32" t="n">
        <x:v>48880</x:v>
      </x:c>
      <x:c r="L14" s="32" t="n">
        <x:v>18720</x:v>
      </x:c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23" t="str">
        <x:v>L-TWG</x:v>
      </x:c>
      <x:c r="B15" s="23" t="str">
        <x:v>Temporary works and crossing group</x:v>
      </x:c>
      <x:c r="C15" s="23" t="str">
        <x:v>Land Engineering</x:v>
      </x:c>
      <x:c r="D15" s="23" t="str">
        <x:v>MS-ET</x:v>
      </x:c>
      <x:c r="E15" s="23" t="n">
        <x:v>39</x:v>
      </x:c>
      <x:c r="F15" s="23" t="n">
        <x:v>14</x:v>
      </x:c>
      <x:c r="G15" s="23" t="n">
        <x:v>53</x:v>
      </x:c>
      <x:c r="H15" s="23" t="n">
        <x:v>114</x:v>
      </x:c>
      <x:c r="I15" s="25" t="n">
        <x:v>46.79999999999999</x:v>
      </x:c>
      <x:c r="J15" s="25" t="n">
        <x:v>16.799999999999997</x:v>
      </x:c>
      <x:c r="K15" s="32" t="n">
        <x:v>35490</x:v>
      </x:c>
      <x:c r="L15" s="32" t="n">
        <x:v>12740</x:v>
      </x:c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23" t="str">
        <x:v>L-GFG</x:v>
      </x:c>
      <x:c r="B16" s="23" t="str">
        <x:v>Ground fire and landscape group</x:v>
      </x:c>
      <x:c r="C16" s="23" t="str">
        <x:v>Land Engineering</x:v>
      </x:c>
      <x:c r="D16" s="23" t="str">
        <x:v>MS-HC</x:v>
      </x:c>
      <x:c r="E16" s="23" t="n">
        <x:v>29</x:v>
      </x:c>
      <x:c r="F16" s="23" t="n">
        <x:v>4</x:v>
      </x:c>
      <x:c r="G16" s="23" t="n">
        <x:v>33</x:v>
      </x:c>
      <x:c r="H16" s="23" t="n">
        <x:v>71</x:v>
      </x:c>
      <x:c r="I16" s="25" t="n">
        <x:v>29</x:v>
      </x:c>
      <x:c r="J16" s="25" t="n">
        <x:v>4</x:v>
      </x:c>
      <x:c r="K16" s="32" t="n">
        <x:v>33930</x:v>
      </x:c>
      <x:c r="L16" s="32" t="n">
        <x:v>4680</x:v>
      </x:c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23" t="str">
        <x:v>A-SMW</x:v>
      </x:c>
      <x:c r="B17" s="23" t="str">
        <x:v>Strategic mobility wing</x:v>
      </x:c>
      <x:c r="C17" s="23" t="str">
        <x:v>Air Response</x:v>
      </x:c>
      <x:c r="D17" s="23" t="str">
        <x:v>MS-ET</x:v>
      </x:c>
      <x:c r="E17" s="23" t="n">
        <x:v>21</x:v>
      </x:c>
      <x:c r="F17" s="23" t="n">
        <x:v>10</x:v>
      </x:c>
      <x:c r="G17" s="23" t="n">
        <x:v>31</x:v>
      </x:c>
      <x:c r="H17" s="23" t="n">
        <x:v>72</x:v>
      </x:c>
      <x:c r="I17" s="25" t="n">
        <x:v>168</x:v>
      </x:c>
      <x:c r="J17" s="25" t="n">
        <x:v>80</x:v>
      </x:c>
      <x:c r="K17" s="32" t="n">
        <x:v>56700</x:v>
      </x:c>
      <x:c r="L17" s="32" t="n">
        <x:v>27000</x:v>
      </x:c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23" t="str">
        <x:v>A-AAG</x:v>
      </x:c>
      <x:c r="B18" s="23" t="str">
        <x:v>Austere air-access group</x:v>
      </x:c>
      <x:c r="C18" s="23" t="str">
        <x:v>Air Response</x:v>
      </x:c>
      <x:c r="D18" s="23" t="str">
        <x:v>MS-ET</x:v>
      </x:c>
      <x:c r="E18" s="23" t="n">
        <x:v>26</x:v>
      </x:c>
      <x:c r="F18" s="23" t="n">
        <x:v>10</x:v>
      </x:c>
      <x:c r="G18" s="23" t="n">
        <x:v>36</x:v>
      </x:c>
      <x:c r="H18" s="23" t="n">
        <x:v>84</x:v>
      </x:c>
      <x:c r="I18" s="25" t="n">
        <x:v>65</x:v>
      </x:c>
      <x:c r="J18" s="25" t="n">
        <x:v>25</x:v>
      </x:c>
      <x:c r="K18" s="32" t="n">
        <x:v>27300</x:v>
      </x:c>
      <x:c r="L18" s="32" t="n">
        <x:v>10500</x:v>
      </x:c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23" t="str">
        <x:v>A-AHW</x:v>
      </x:c>
      <x:c r="B19" s="23" t="str">
        <x:v>Aerial hazard-control wing</x:v>
      </x:c>
      <x:c r="C19" s="23" t="str">
        <x:v>Air Response</x:v>
      </x:c>
      <x:c r="D19" s="23" t="str">
        <x:v>MS-HC</x:v>
      </x:c>
      <x:c r="E19" s="23" t="n">
        <x:v>19</x:v>
      </x:c>
      <x:c r="F19" s="23" t="n">
        <x:v>3</x:v>
      </x:c>
      <x:c r="G19" s="23" t="n">
        <x:v>22</x:v>
      </x:c>
      <x:c r="H19" s="23" t="n">
        <x:v>51</x:v>
      </x:c>
      <x:c r="I19" s="25" t="n">
        <x:v>114</x:v>
      </x:c>
      <x:c r="J19" s="25" t="n">
        <x:v>18</x:v>
      </x:c>
      <x:c r="K19" s="32" t="n">
        <x:v>34200</x:v>
      </x:c>
      <x:c r="L19" s="32" t="n">
        <x:v>5400</x:v>
      </x:c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23" t="str">
        <x:v>A-TDG</x:v>
      </x:c>
      <x:c r="B20" s="23" t="str">
        <x:v>Tactical distribution group</x:v>
      </x:c>
      <x:c r="C20" s="23" t="str">
        <x:v>Air Response</x:v>
      </x:c>
      <x:c r="D20" s="23" t="str">
        <x:v>MS-ET</x:v>
      </x:c>
      <x:c r="E20" s="23" t="n">
        <x:v>42</x:v>
      </x:c>
      <x:c r="F20" s="23" t="n">
        <x:v>16</x:v>
      </x:c>
      <x:c r="G20" s="23" t="n">
        <x:v>58</x:v>
      </x:c>
      <x:c r="H20" s="23" t="n">
        <x:v>134</x:v>
      </x:c>
      <x:c r="I20" s="25" t="n">
        <x:v>126</x:v>
      </x:c>
      <x:c r="J20" s="25" t="n">
        <x:v>48</x:v>
      </x:c>
      <x:c r="K20" s="32" t="n">
        <x:v>56700</x:v>
      </x:c>
      <x:c r="L20" s="32" t="n">
        <x:v>21600</x:v>
      </x:c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23" t="str">
        <x:v>A-SRG</x:v>
      </x:c>
      <x:c r="B21" s="23" t="str">
        <x:v>Air sensing and relay group</x:v>
      </x:c>
      <x:c r="C21" s="23" t="str">
        <x:v>Air Response</x:v>
      </x:c>
      <x:c r="D21" s="23" t="str">
        <x:v>MS-CT</x:v>
      </x:c>
      <x:c r="E21" s="23" t="n">
        <x:v>30</x:v>
      </x:c>
      <x:c r="F21" s="23" t="n">
        <x:v>10</x:v>
      </x:c>
      <x:c r="G21" s="23" t="n">
        <x:v>40</x:v>
      </x:c>
      <x:c r="H21" s="23" t="n">
        <x:v>93</x:v>
      </x:c>
      <x:c r="I21" s="25" t="n">
        <x:v>36</x:v>
      </x:c>
      <x:c r="J21" s="25" t="n">
        <x:v>12</x:v>
      </x:c>
      <x:c r="K21" s="32" t="n">
        <x:v>16200</x:v>
      </x:c>
      <x:c r="L21" s="32" t="n">
        <x:v>5400</x:v>
      </x:c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23" t="str">
        <x:v>A-AMG</x:v>
      </x:c>
      <x:c r="B22" s="23" t="str">
        <x:v>Aeromedical movement group</x:v>
      </x:c>
      <x:c r="C22" s="23" t="str">
        <x:v>Air Response</x:v>
      </x:c>
      <x:c r="D22" s="23" t="str">
        <x:v>MS-HU</x:v>
      </x:c>
      <x:c r="E22" s="23" t="n">
        <x:v>22</x:v>
      </x:c>
      <x:c r="F22" s="23" t="n">
        <x:v>9</x:v>
      </x:c>
      <x:c r="G22" s="23" t="n">
        <x:v>31</x:v>
      </x:c>
      <x:c r="H22" s="23" t="n">
        <x:v>72</x:v>
      </x:c>
      <x:c r="I22" s="25" t="n">
        <x:v>55</x:v>
      </x:c>
      <x:c r="J22" s="25" t="n">
        <x:v>22.5</x:v>
      </x:c>
      <x:c r="K22" s="32" t="n">
        <x:v>19800</x:v>
      </x:c>
      <x:c r="L22" s="32" t="n">
        <x:v>8100</x:v>
      </x:c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23" t="str">
        <x:v>M-POG</x:v>
      </x:c>
      <x:c r="B23" s="23" t="str">
        <x:v>Port-opening group</x:v>
      </x:c>
      <x:c r="C23" s="23" t="str">
        <x:v>Maritime Response</x:v>
      </x:c>
      <x:c r="D23" s="23" t="str">
        <x:v>MS-ET</x:v>
      </x:c>
      <x:c r="E23" s="23" t="n">
        <x:v>18</x:v>
      </x:c>
      <x:c r="F23" s="23" t="n">
        <x:v>14</x:v>
      </x:c>
      <x:c r="G23" s="23" t="n">
        <x:v>32</x:v>
      </x:c>
      <x:c r="H23" s="23" t="n">
        <x:v>74</x:v>
      </x:c>
      <x:c r="I23" s="25" t="n">
        <x:v>54</x:v>
      </x:c>
      <x:c r="J23" s="25" t="n">
        <x:v>42</x:v>
      </x:c>
      <x:c r="K23" s="32" t="n">
        <x:v>24300</x:v>
      </x:c>
      <x:c r="L23" s="32" t="n">
        <x:v>18900</x:v>
      </x:c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  <x:row r="24">
      <x:c r="A24" s="23" t="str">
        <x:v>M-LAG</x:v>
      </x:c>
      <x:c r="B24" s="23" t="str">
        <x:v>Littoral-access group</x:v>
      </x:c>
      <x:c r="C24" s="23" t="str">
        <x:v>Maritime Response</x:v>
      </x:c>
      <x:c r="D24" s="23" t="str">
        <x:v>MS-ET</x:v>
      </x:c>
      <x:c r="E24" s="23" t="n">
        <x:v>21</x:v>
      </x:c>
      <x:c r="F24" s="23" t="n">
        <x:v>16</x:v>
      </x:c>
      <x:c r="G24" s="23" t="n">
        <x:v>37</x:v>
      </x:c>
      <x:c r="H24" s="23" t="n">
        <x:v>86</x:v>
      </x:c>
      <x:c r="I24" s="25" t="n">
        <x:v>42</x:v>
      </x:c>
      <x:c r="J24" s="25" t="n">
        <x:v>32</x:v>
      </x:c>
      <x:c r="K24" s="32" t="n">
        <x:v>22050</x:v>
      </x:c>
      <x:c r="L24" s="32" t="n">
        <x:v>16800</x:v>
      </x:c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</x:row>
    <x:row r="25">
      <x:c r="A25" s="23" t="str">
        <x:v>M-IWG</x:v>
      </x:c>
      <x:c r="B25" s="23" t="str">
        <x:v>Inland-waterway group</x:v>
      </x:c>
      <x:c r="C25" s="23" t="str">
        <x:v>Maritime Response</x:v>
      </x:c>
      <x:c r="D25" s="23" t="str">
        <x:v>MS-ET</x:v>
      </x:c>
      <x:c r="E25" s="23" t="n">
        <x:v>22</x:v>
      </x:c>
      <x:c r="F25" s="23" t="n">
        <x:v>7</x:v>
      </x:c>
      <x:c r="G25" s="23" t="n">
        <x:v>29</x:v>
      </x:c>
      <x:c r="H25" s="23" t="n">
        <x:v>67</x:v>
      </x:c>
      <x:c r="I25" s="25" t="n">
        <x:v>33</x:v>
      </x:c>
      <x:c r="J25" s="25" t="n">
        <x:v>10.5</x:v>
      </x:c>
      <x:c r="K25" s="32" t="n">
        <x:v>16500</x:v>
      </x:c>
      <x:c r="L25" s="32" t="n">
        <x:v>5250</x:v>
      </x:c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</x:row>
    <x:row r="26">
      <x:c r="A26" s="23" t="str">
        <x:v>M-OSG</x:v>
      </x:c>
      <x:c r="B26" s="23" t="str">
        <x:v>Offshore-support group</x:v>
      </x:c>
      <x:c r="C26" s="23" t="str">
        <x:v>Maritime Response</x:v>
      </x:c>
      <x:c r="D26" s="23" t="str">
        <x:v>MS-RT</x:v>
      </x:c>
      <x:c r="E26" s="23" t="n">
        <x:v>13</x:v>
      </x:c>
      <x:c r="F26" s="23" t="n">
        <x:v>11</x:v>
      </x:c>
      <x:c r="G26" s="23" t="n">
        <x:v>24</x:v>
      </x:c>
      <x:c r="H26" s="23" t="n">
        <x:v>56</x:v>
      </x:c>
      <x:c r="I26" s="25" t="n">
        <x:v>91</x:v>
      </x:c>
      <x:c r="J26" s="25" t="n">
        <x:v>77</x:v>
      </x:c>
      <x:c r="K26" s="32" t="n">
        <x:v>27300</x:v>
      </x:c>
      <x:c r="L26" s="32" t="n">
        <x:v>23100</x:v>
      </x:c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</x:row>
    <x:row r="27">
      <x:c r="A27" s="23" t="str">
        <x:v>M-SSG</x:v>
      </x:c>
      <x:c r="B27" s="23" t="str">
        <x:v>Ocean sustainment group</x:v>
      </x:c>
      <x:c r="C27" s="23" t="str">
        <x:v>Maritime Response</x:v>
      </x:c>
      <x:c r="D27" s="23" t="str">
        <x:v>MS-RT</x:v>
      </x:c>
      <x:c r="E27" s="23" t="n">
        <x:v>22</x:v>
      </x:c>
      <x:c r="F27" s="23" t="n">
        <x:v>16</x:v>
      </x:c>
      <x:c r="G27" s="23" t="n">
        <x:v>38</x:v>
      </x:c>
      <x:c r="H27" s="23" t="n">
        <x:v>88</x:v>
      </x:c>
      <x:c r="I27" s="25" t="n">
        <x:v>198</x:v>
      </x:c>
      <x:c r="J27" s="25" t="n">
        <x:v>144</x:v>
      </x:c>
      <x:c r="K27" s="32" t="n">
        <x:v>42900</x:v>
      </x:c>
      <x:c r="L27" s="32" t="n">
        <x:v>31200</x:v>
      </x:c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</x:row>
    <x:row r="28">
      <x:c r="A28" s="23" t="str">
        <x:v>I-CUG</x:v>
      </x:c>
      <x:c r="B28" s="23" t="str">
        <x:v>Communications utility group</x:v>
      </x:c>
      <x:c r="C28" s="23" t="str">
        <x:v>Infrastructure Restoration</x:v>
      </x:c>
      <x:c r="D28" s="23" t="str">
        <x:v>MS-CT</x:v>
      </x:c>
      <x:c r="E28" s="23" t="n">
        <x:v>43</x:v>
      </x:c>
      <x:c r="F28" s="23" t="n">
        <x:v>16</x:v>
      </x:c>
      <x:c r="G28" s="23" t="n">
        <x:v>59</x:v>
      </x:c>
      <x:c r="H28" s="23" t="n">
        <x:v>127</x:v>
      </x:c>
      <x:c r="I28" s="25" t="n">
        <x:v>43</x:v>
      </x:c>
      <x:c r="J28" s="25" t="n">
        <x:v>16</x:v>
      </x:c>
      <x:c r="K28" s="32" t="n">
        <x:v>32250</x:v>
      </x:c>
      <x:c r="L28" s="32" t="n">
        <x:v>12000</x:v>
      </x:c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</x:row>
    <x:row r="29">
      <x:c r="A29" s="23" t="str">
        <x:v>I-TSG</x:v>
      </x:c>
      <x:c r="B29" s="23" t="str">
        <x:v>Thermal safety group</x:v>
      </x:c>
      <x:c r="C29" s="23" t="str">
        <x:v>Infrastructure Restoration</x:v>
      </x:c>
      <x:c r="D29" s="23" t="str">
        <x:v>MS-LF</x:v>
      </x:c>
      <x:c r="E29" s="23" t="n">
        <x:v>52</x:v>
      </x:c>
      <x:c r="F29" s="23" t="n">
        <x:v>11</x:v>
      </x:c>
      <x:c r="G29" s="23" t="n">
        <x:v>63</x:v>
      </x:c>
      <x:c r="H29" s="23" t="n">
        <x:v>135</x:v>
      </x:c>
      <x:c r="I29" s="25" t="n">
        <x:v>41.6</x:v>
      </x:c>
      <x:c r="J29" s="25" t="n">
        <x:v>8.8</x:v>
      </x:c>
      <x:c r="K29" s="32" t="n">
        <x:v>39000</x:v>
      </x:c>
      <x:c r="L29" s="32" t="n">
        <x:v>8250</x:v>
      </x:c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</x:row>
    <x:row r="30">
      <x:c r="A30" s="23" t="str">
        <x:v>I-URG</x:v>
      </x:c>
      <x:c r="B30" s="23" t="str">
        <x:v>Utility reconstruction group</x:v>
      </x:c>
      <x:c r="C30" s="23" t="str">
        <x:v>Infrastructure Restoration</x:v>
      </x:c>
      <x:c r="D30" s="23" t="str">
        <x:v>MS-RT</x:v>
      </x:c>
      <x:c r="E30" s="23" t="n">
        <x:v>55</x:v>
      </x:c>
      <x:c r="F30" s="23" t="n">
        <x:v>18</x:v>
      </x:c>
      <x:c r="G30" s="23" t="n">
        <x:v>73</x:v>
      </x:c>
      <x:c r="H30" s="23" t="n">
        <x:v>157</x:v>
      </x:c>
      <x:c r="I30" s="25" t="n">
        <x:v>110</x:v>
      </x:c>
      <x:c r="J30" s="25" t="n">
        <x:v>36</x:v>
      </x:c>
      <x:c r="K30" s="32" t="n">
        <x:v>74250</x:v>
      </x:c>
      <x:c r="L30" s="32" t="n">
        <x:v>24300</x:v>
      </x:c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</x:row>
    <x:row r="31">
      <x:c r="A31" s="23" t="str">
        <x:v>H-CHC</x:v>
      </x:c>
      <x:c r="B31" s="23" t="str">
        <x:v>Community health continuity group</x:v>
      </x:c>
      <x:c r="C31" s="23" t="str">
        <x:v>Health Protection</x:v>
      </x:c>
      <x:c r="D31" s="23" t="str">
        <x:v>MS-HU</x:v>
      </x:c>
      <x:c r="E31" s="23" t="n">
        <x:v>55</x:v>
      </x:c>
      <x:c r="F31" s="23" t="n">
        <x:v>20</x:v>
      </x:c>
      <x:c r="G31" s="23" t="n">
        <x:v>75</x:v>
      </x:c>
      <x:c r="H31" s="23" t="n">
        <x:v>174</x:v>
      </x:c>
      <x:c r="I31" s="25" t="n">
        <x:v>65.99999999999999</x:v>
      </x:c>
      <x:c r="J31" s="25" t="n">
        <x:v>24</x:v>
      </x:c>
      <x:c r="K31" s="32" t="n">
        <x:v>93500</x:v>
      </x:c>
      <x:c r="L31" s="32" t="n">
        <x:v>34000</x:v>
      </x:c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</x:row>
    <x:row r="32">
      <x:c r="A32" s="23" t="str">
        <x:v>H-MAC</x:v>
      </x:c>
      <x:c r="B32" s="23" t="str">
        <x:v>Mobile acute-care group</x:v>
      </x:c>
      <x:c r="C32" s="23" t="str">
        <x:v>Health Protection</x:v>
      </x:c>
      <x:c r="D32" s="23" t="str">
        <x:v>MS-HU</x:v>
      </x:c>
      <x:c r="E32" s="23" t="n">
        <x:v>35</x:v>
      </x:c>
      <x:c r="F32" s="23" t="n">
        <x:v>14</x:v>
      </x:c>
      <x:c r="G32" s="23" t="n">
        <x:v>49</x:v>
      </x:c>
      <x:c r="H32" s="23" t="n">
        <x:v>114</x:v>
      </x:c>
      <x:c r="I32" s="25" t="n">
        <x:v>87.5</x:v>
      </x:c>
      <x:c r="J32" s="25" t="n">
        <x:v>35</x:v>
      </x:c>
      <x:c r="K32" s="32" t="n">
        <x:v>71400</x:v>
      </x:c>
      <x:c r="L32" s="32" t="n">
        <x:v>28560</x:v>
      </x:c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</x:row>
    <x:row r="33">
      <x:c r="A33" s="23" t="str">
        <x:v>H-PHC</x:v>
      </x:c>
      <x:c r="B33" s="23" t="str">
        <x:v>Public-health control group</x:v>
      </x:c>
      <x:c r="C33" s="23" t="str">
        <x:v>Health Protection</x:v>
      </x:c>
      <x:c r="D33" s="23" t="str">
        <x:v>MS-HU</x:v>
      </x:c>
      <x:c r="E33" s="23" t="n">
        <x:v>30</x:v>
      </x:c>
      <x:c r="F33" s="23" t="n">
        <x:v>12</x:v>
      </x:c>
      <x:c r="G33" s="23" t="n">
        <x:v>42</x:v>
      </x:c>
      <x:c r="H33" s="23" t="n">
        <x:v>97</x:v>
      </x:c>
      <x:c r="I33" s="25" t="n">
        <x:v>30</x:v>
      </x:c>
      <x:c r="J33" s="25" t="n">
        <x:v>12</x:v>
      </x:c>
      <x:c r="K33" s="32" t="n">
        <x:v>25500</x:v>
      </x:c>
      <x:c r="L33" s="32" t="n">
        <x:v>10200</x:v>
      </x:c>
      <x:c r="M33" s="19"/>
      <x:c r="N33" s="19"/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</x:row>
    <x:row r="34">
      <x:c r="A34" s="23" t="str">
        <x:v>H-HWR</x:v>
      </x:c>
      <x:c r="B34" s="23" t="str">
        <x:v>Health workforce replacement group</x:v>
      </x:c>
      <x:c r="C34" s="23" t="str">
        <x:v>Health Protection</x:v>
      </x:c>
      <x:c r="D34" s="23" t="str">
        <x:v>MS-HU</x:v>
      </x:c>
      <x:c r="E34" s="23" t="n">
        <x:v>55</x:v>
      </x:c>
      <x:c r="F34" s="23" t="n">
        <x:v>20</x:v>
      </x:c>
      <x:c r="G34" s="23" t="n">
        <x:v>75</x:v>
      </x:c>
      <x:c r="H34" s="23" t="n">
        <x:v>174</x:v>
      </x:c>
      <x:c r="I34" s="25" t="n">
        <x:v>44.00000000000001</x:v>
      </x:c>
      <x:c r="J34" s="25" t="n">
        <x:v>16.000000000000004</x:v>
      </x:c>
      <x:c r="K34" s="32" t="n">
        <x:v>102850</x:v>
      </x:c>
      <x:c r="L34" s="32" t="n">
        <x:v>37400</x:v>
      </x:c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</x:row>
    <x:row r="35">
      <x:c r="A35" s="23" t="str">
        <x:v>C-PSG</x:v>
      </x:c>
      <x:c r="B35" s="23" t="str">
        <x:v>Population support group</x:v>
      </x:c>
      <x:c r="C35" s="23" t="str">
        <x:v>Community Stabilization</x:v>
      </x:c>
      <x:c r="D35" s="23" t="str">
        <x:v>MS-HU</x:v>
      </x:c>
      <x:c r="E35" s="23" t="n">
        <x:v>78</x:v>
      </x:c>
      <x:c r="F35" s="23" t="n">
        <x:v>30</x:v>
      </x:c>
      <x:c r="G35" s="23" t="n">
        <x:v>108</x:v>
      </x:c>
      <x:c r="H35" s="23" t="n">
        <x:v>216</x:v>
      </x:c>
      <x:c r="I35" s="25" t="n">
        <x:v>46.8</x:v>
      </x:c>
      <x:c r="J35" s="25" t="n">
        <x:v>18</x:v>
      </x:c>
      <x:c r="K35" s="32" t="n">
        <x:v>87750</x:v>
      </x:c>
      <x:c r="L35" s="32" t="n">
        <x:v>33750</x:v>
      </x:c>
      <x:c r="M35" s="19"/>
      <x:c r="N35" s="19"/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</x:row>
    <x:row r="36">
      <x:c r="A36" s="23" t="str">
        <x:v>C-EGG</x:v>
      </x:c>
      <x:c r="B36" s="23" t="str">
        <x:v>Essential-goods group</x:v>
      </x:c>
      <x:c r="C36" s="23" t="str">
        <x:v>Community Stabilization</x:v>
      </x:c>
      <x:c r="D36" s="23" t="str">
        <x:v>MS-HU</x:v>
      </x:c>
      <x:c r="E36" s="23" t="n">
        <x:v>78</x:v>
      </x:c>
      <x:c r="F36" s="23" t="n">
        <x:v>30</x:v>
      </x:c>
      <x:c r="G36" s="23" t="n">
        <x:v>108</x:v>
      </x:c>
      <x:c r="H36" s="23" t="n">
        <x:v>216</x:v>
      </x:c>
      <x:c r="I36" s="25" t="n">
        <x:v>39</x:v>
      </x:c>
      <x:c r="J36" s="25" t="n">
        <x:v>15</x:v>
      </x:c>
      <x:c r="K36" s="32" t="n">
        <x:v>68250</x:v>
      </x:c>
      <x:c r="L36" s="32" t="n">
        <x:v>26250</x:v>
      </x:c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</x:row>
    <x:row r="37">
      <x:c r="A37" s="23" t="str">
        <x:v>C-CAG</x:v>
      </x:c>
      <x:c r="B37" s="23" t="str">
        <x:v>Civil access group</x:v>
      </x:c>
      <x:c r="C37" s="23" t="str">
        <x:v>Community Stabilization</x:v>
      </x:c>
      <x:c r="D37" s="23" t="str">
        <x:v>MS-CT</x:v>
      </x:c>
      <x:c r="E37" s="23" t="n">
        <x:v>60</x:v>
      </x:c>
      <x:c r="F37" s="23" t="n">
        <x:v>22</x:v>
      </x:c>
      <x:c r="G37" s="23" t="n">
        <x:v>82</x:v>
      </x:c>
      <x:c r="H37" s="23" t="n">
        <x:v>164</x:v>
      </x:c>
      <x:c r="I37" s="25" t="n">
        <x:v>17.999999999999996</x:v>
      </x:c>
      <x:c r="J37" s="25" t="n">
        <x:v>6.599999999999999</x:v>
      </x:c>
      <x:c r="K37" s="32" t="n">
        <x:v>27000</x:v>
      </x:c>
      <x:c r="L37" s="32" t="n">
        <x:v>9900</x:v>
      </x:c>
      <x:c r="M37" s="19"/>
      <x:c r="N37" s="19"/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</x:row>
    <x:row r="38">
      <x:c r="A38" s="23" t="str">
        <x:v>C-DTG</x:v>
      </x:c>
      <x:c r="B38" s="23" t="str">
        <x:v>Displacement transition group</x:v>
      </x:c>
      <x:c r="C38" s="23" t="str">
        <x:v>Community Stabilization</x:v>
      </x:c>
      <x:c r="D38" s="23" t="str">
        <x:v>MS-HU</x:v>
      </x:c>
      <x:c r="E38" s="23" t="n">
        <x:v>55</x:v>
      </x:c>
      <x:c r="F38" s="23" t="n">
        <x:v>24</x:v>
      </x:c>
      <x:c r="G38" s="23" t="n">
        <x:v>79</x:v>
      </x:c>
      <x:c r="H38" s="23" t="n">
        <x:v>158</x:v>
      </x:c>
      <x:c r="I38" s="25" t="n">
        <x:v>22</x:v>
      </x:c>
      <x:c r="J38" s="25" t="n">
        <x:v>9.600000000000001</x:v>
      </x:c>
      <x:c r="K38" s="32" t="n">
        <x:v>41250</x:v>
      </x:c>
      <x:c r="L38" s="32" t="n">
        <x:v>18000</x:v>
      </x:c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</x:row>
    <x:row r="39">
      <x:c r="A39" s="23" t="str">
        <x:v>C-CIG</x:v>
      </x:c>
      <x:c r="B39" s="23" t="str">
        <x:v>Community institutions group</x:v>
      </x:c>
      <x:c r="C39" s="23" t="str">
        <x:v>Community Stabilization</x:v>
      </x:c>
      <x:c r="D39" s="23" t="str">
        <x:v>MS-RT</x:v>
      </x:c>
      <x:c r="E39" s="23" t="n">
        <x:v>48</x:v>
      </x:c>
      <x:c r="F39" s="23" t="n">
        <x:v>18</x:v>
      </x:c>
      <x:c r="G39" s="23" t="n">
        <x:v>66</x:v>
      </x:c>
      <x:c r="H39" s="23" t="n">
        <x:v>132</x:v>
      </x:c>
      <x:c r="I39" s="25" t="n">
        <x:v>19.2</x:v>
      </x:c>
      <x:c r="J39" s="25" t="n">
        <x:v>7.200000000000001</x:v>
      </x:c>
      <x:c r="K39" s="32" t="n">
        <x:v>30000</x:v>
      </x:c>
      <x:c r="L39" s="32" t="n">
        <x:v>11250</x:v>
      </x:c>
      <x:c r="M39" s="19"/>
      <x:c r="N39" s="19"/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</x:row>
    <x:row r="40">
      <x:c r="A40" s="23" t="str">
        <x:v>J-RIG</x:v>
      </x:c>
      <x:c r="B40" s="23" t="str">
        <x:v>Resilience information group</x:v>
      </x:c>
      <x:c r="C40" s="23" t="str">
        <x:v>Joint</x:v>
      </x:c>
      <x:c r="D40" s="23" t="str">
        <x:v>MS-CT</x:v>
      </x:c>
      <x:c r="E40" s="23" t="n">
        <x:v>43</x:v>
      </x:c>
      <x:c r="F40" s="23" t="n">
        <x:v>16</x:v>
      </x:c>
      <x:c r="G40" s="23" t="n">
        <x:v>59</x:v>
      </x:c>
      <x:c r="H40" s="23" t="n">
        <x:v>114</x:v>
      </x:c>
      <x:c r="I40" s="25" t="n">
        <x:v>38.7</x:v>
      </x:c>
      <x:c r="J40" s="25" t="n">
        <x:v>14.399999999999999</x:v>
      </x:c>
      <x:c r="K40" s="32" t="n">
        <x:v>38700</x:v>
      </x:c>
      <x:c r="L40" s="32" t="n">
        <x:v>14400</x:v>
      </x:c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</x:row>
    <x:row r="41">
      <x:c r="A41" s="23" t="str">
        <x:v>M-MPG</x:v>
      </x:c>
      <x:c r="B41" s="23" t="str">
        <x:v>Maritime production group</x:v>
      </x:c>
      <x:c r="C41" s="23" t="str">
        <x:v>Maritime Response</x:v>
      </x:c>
      <x:c r="D41" s="23" t="str">
        <x:v>MS-LF</x:v>
      </x:c>
      <x:c r="E41" s="23" t="n">
        <x:v>20</x:v>
      </x:c>
      <x:c r="F41" s="23" t="n">
        <x:v>8</x:v>
      </x:c>
      <x:c r="G41" s="23" t="n">
        <x:v>28</x:v>
      </x:c>
      <x:c r="H41" s="23" t="n">
        <x:v>65</x:v>
      </x:c>
      <x:c r="I41" s="25" t="n">
        <x:v>30</x:v>
      </x:c>
      <x:c r="J41" s="25" t="n">
        <x:v>12</x:v>
      </x:c>
      <x:c r="K41" s="32" t="n">
        <x:v>54000</x:v>
      </x:c>
      <x:c r="L41" s="32" t="n">
        <x:v>21600</x:v>
      </x:c>
      <x:c r="M41" s="19"/>
      <x:c r="N41" s="19"/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</x:row>
    <x:row r="42">
      <x:c r="A42" s="23" t="str">
        <x:v>I-WRG</x:v>
      </x:c>
      <x:c r="B42" s="23" t="str">
        <x:v>Water restoration group</x:v>
      </x:c>
      <x:c r="C42" s="23" t="str">
        <x:v>Infrastructure Restoration</x:v>
      </x:c>
      <x:c r="D42" s="23" t="str">
        <x:v>MS-LF</x:v>
      </x:c>
      <x:c r="E42" s="23" t="n">
        <x:v>39</x:v>
      </x:c>
      <x:c r="F42" s="23" t="n">
        <x:v>15</x:v>
      </x:c>
      <x:c r="G42" s="23" t="n">
        <x:v>54</x:v>
      </x:c>
      <x:c r="H42" s="23" t="n">
        <x:v>116</x:v>
      </x:c>
      <x:c r="I42" s="25" t="n">
        <x:v>58.5</x:v>
      </x:c>
      <x:c r="J42" s="25" t="n">
        <x:v>22.5</x:v>
      </x:c>
      <x:c r="K42" s="32" t="n">
        <x:v>248040</x:v>
      </x:c>
      <x:c r="L42" s="32" t="n">
        <x:v>95400</x:v>
      </x:c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</x:row>
    <x:row r="43">
      <x:c r="A43" s="23" t="str">
        <x:v>I-PRG</x:v>
      </x:c>
      <x:c r="B43" s="23" t="str">
        <x:v>Power restoration group</x:v>
      </x:c>
      <x:c r="C43" s="23" t="str">
        <x:v>Infrastructure Restoration</x:v>
      </x:c>
      <x:c r="D43" s="23" t="str">
        <x:v>MS-LF</x:v>
      </x:c>
      <x:c r="E43" s="23" t="n">
        <x:v>48</x:v>
      </x:c>
      <x:c r="F43" s="23" t="n">
        <x:v>15</x:v>
      </x:c>
      <x:c r="G43" s="23" t="n">
        <x:v>63</x:v>
      </x:c>
      <x:c r="H43" s="23" t="n">
        <x:v>135</x:v>
      </x:c>
      <x:c r="I43" s="25" t="n">
        <x:v>96</x:v>
      </x:c>
      <x:c r="J43" s="25" t="n">
        <x:v>30</x:v>
      </x:c>
      <x:c r="K43" s="32" t="n">
        <x:v>316800</x:v>
      </x:c>
      <x:c r="L43" s="32" t="n">
        <x:v>99000</x:v>
      </x:c>
      <x:c r="M43" s="19"/>
      <x:c r="N43" s="19"/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19"/>
    </x:row>
    <x:row r="44">
      <x:c r="A44" s="23" t="str">
        <x:v>I-GBG</x:v>
      </x:c>
      <x:c r="B44" s="23" t="str">
        <x:v>Grid bridge group</x:v>
      </x:c>
      <x:c r="C44" s="23" t="str">
        <x:v>Infrastructure Restoration</x:v>
      </x:c>
      <x:c r="D44" s="23" t="str">
        <x:v>MS-LF</x:v>
      </x:c>
      <x:c r="E44" s="23" t="n">
        <x:v>37</x:v>
      </x:c>
      <x:c r="F44" s="23" t="n">
        <x:v>11</x:v>
      </x:c>
      <x:c r="G44" s="23" t="n">
        <x:v>48</x:v>
      </x:c>
      <x:c r="H44" s="23" t="n">
        <x:v>103</x:v>
      </x:c>
      <x:c r="I44" s="25" t="n">
        <x:v>55.5</x:v>
      </x:c>
      <x:c r="J44" s="25" t="n">
        <x:v>16.5</x:v>
      </x:c>
      <x:c r="K44" s="32" t="n">
        <x:v>155400</x:v>
      </x:c>
      <x:c r="L44" s="32" t="n">
        <x:v>46200</x:v>
      </x:c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</x:row>
    <x:row r="45">
      <x:c r="A45" s="23" t="str">
        <x:v>H-THC</x:v>
      </x:c>
      <x:c r="B45" s="23" t="str">
        <x:v>Theater hospital command</x:v>
      </x:c>
      <x:c r="C45" s="23" t="str">
        <x:v>Health Protection</x:v>
      </x:c>
      <x:c r="D45" s="23" t="str">
        <x:v>MS-HU</x:v>
      </x:c>
      <x:c r="E45" s="23" t="n">
        <x:v>20</x:v>
      </x:c>
      <x:c r="F45" s="23" t="n">
        <x:v>8</x:v>
      </x:c>
      <x:c r="G45" s="23" t="n">
        <x:v>28</x:v>
      </x:c>
      <x:c r="H45" s="23" t="n">
        <x:v>65</x:v>
      </x:c>
      <x:c r="I45" s="25" t="n">
        <x:v>30</x:v>
      </x:c>
      <x:c r="J45" s="25" t="n">
        <x:v>12</x:v>
      </x:c>
      <x:c r="K45" s="32" t="n">
        <x:v>61200</x:v>
      </x:c>
      <x:c r="L45" s="32" t="n">
        <x:v>24480</x:v>
      </x:c>
      <x:c r="M45" s="19"/>
      <x:c r="N45" s="19"/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19"/>
    </x:row>
    <x:row r="46">
      <x:c r="A46" s="23" t="str">
        <x:v>H-PMG</x:v>
      </x:c>
      <x:c r="B46" s="23" t="str">
        <x:v>Patient movement group</x:v>
      </x:c>
      <x:c r="C46" s="23" t="str">
        <x:v>Health Protection</x:v>
      </x:c>
      <x:c r="D46" s="23" t="str">
        <x:v>MS-HU</x:v>
      </x:c>
      <x:c r="E46" s="23" t="n">
        <x:v>35</x:v>
      </x:c>
      <x:c r="F46" s="23" t="n">
        <x:v>14</x:v>
      </x:c>
      <x:c r="G46" s="23" t="n">
        <x:v>49</x:v>
      </x:c>
      <x:c r="H46" s="23" t="n">
        <x:v>114</x:v>
      </x:c>
      <x:c r="I46" s="25" t="n">
        <x:v>35</x:v>
      </x:c>
      <x:c r="J46" s="25" t="n">
        <x:v>14</x:v>
      </x:c>
      <x:c r="K46" s="32" t="n">
        <x:v>53550</x:v>
      </x:c>
      <x:c r="L46" s="32" t="n">
        <x:v>21420</x:v>
      </x:c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</x:row>
    <x:row r="47">
      <x:c r="A47" s="23" t="str">
        <x:v>C-ERG</x:v>
      </x:c>
      <x:c r="B47" s="23" t="str">
        <x:v>Economic restart group</x:v>
      </x:c>
      <x:c r="C47" s="23" t="str">
        <x:v>Community Stabilization</x:v>
      </x:c>
      <x:c r="D47" s="23" t="str">
        <x:v>MS-RT</x:v>
      </x:c>
      <x:c r="E47" s="23" t="n">
        <x:v>39</x:v>
      </x:c>
      <x:c r="F47" s="23" t="n">
        <x:v>16</x:v>
      </x:c>
      <x:c r="G47" s="23" t="n">
        <x:v>55</x:v>
      </x:c>
      <x:c r="H47" s="23" t="n">
        <x:v>110</x:v>
      </x:c>
      <x:c r="I47" s="25" t="n">
        <x:v>13.65</x:v>
      </x:c>
      <x:c r="J47" s="25" t="n">
        <x:v>5.6</x:v>
      </x:c>
      <x:c r="K47" s="32" t="n">
        <x:v>34125</x:v>
      </x:c>
      <x:c r="L47" s="32" t="n">
        <x:v>14000</x:v>
      </x:c>
      <x:c r="M47" s="19"/>
      <x:c r="N47" s="19"/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19"/>
    </x:row>
    <x:row r="48">
      <x:c r="A48" s="23" t="str">
        <x:v>CM-HCG</x:v>
      </x:c>
      <x:c r="B48" s="23" t="str">
        <x:v>Household collection group</x:v>
      </x:c>
      <x:c r="C48" s="23" t="str">
        <x:v>Civil Mobility and Continuity</x:v>
      </x:c>
      <x:c r="D48" s="23" t="str">
        <x:v>MS-CT</x:v>
      </x:c>
      <x:c r="E48" s="23" t="n">
        <x:v>49</x:v>
      </x:c>
      <x:c r="F48" s="23" t="n">
        <x:v>20</x:v>
      </x:c>
      <x:c r="G48" s="23" t="n">
        <x:v>69</x:v>
      </x:c>
      <x:c r="H48" s="23" t="n">
        <x:v>160</x:v>
      </x:c>
      <x:c r="I48" s="25" t="n">
        <x:v>336.43399999999997</x:v>
      </x:c>
      <x:c r="J48" s="25" t="n">
        <x:v>137.32</x:v>
      </x:c>
      <x:c r="K48" s="32" t="n">
        <x:v>930794.2</x:v>
      </x:c>
      <x:c r="L48" s="32" t="n">
        <x:v>379916</x:v>
      </x:c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</x:row>
    <x:row r="49">
      <x:c r="A49" s="23" t="str">
        <x:v>CM-CTN</x:v>
      </x:c>
      <x:c r="B49" s="23" t="str">
        <x:v>Continuity transfer-node group</x:v>
      </x:c>
      <x:c r="C49" s="23" t="str">
        <x:v>Civil Mobility and Continuity</x:v>
      </x:c>
      <x:c r="D49" s="23" t="str">
        <x:v>MS-HU</x:v>
      </x:c>
      <x:c r="E49" s="23" t="n">
        <x:v>38</x:v>
      </x:c>
      <x:c r="F49" s="23" t="n">
        <x:v>16</x:v>
      </x:c>
      <x:c r="G49" s="23" t="n">
        <x:v>54</x:v>
      </x:c>
      <x:c r="H49" s="23" t="n">
        <x:v>125</x:v>
      </x:c>
      <x:c r="I49" s="25" t="n">
        <x:v>76</x:v>
      </x:c>
      <x:c r="J49" s="25" t="n">
        <x:v>32</x:v>
      </x:c>
      <x:c r="K49" s="32" t="n">
        <x:v>205200</x:v>
      </x:c>
      <x:c r="L49" s="32" t="n">
        <x:v>86400</x:v>
      </x:c>
      <x:c r="M49" s="19"/>
      <x:c r="N49" s="19"/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19"/>
    </x:row>
    <x:row r="50">
      <x:c r="A50" s="23" t="str">
        <x:v>CM-RMG</x:v>
      </x:c>
      <x:c r="B50" s="23" t="str">
        <x:v>Civil road-mobility group</x:v>
      </x:c>
      <x:c r="C50" s="23" t="str">
        <x:v>Civil Mobility and Continuity</x:v>
      </x:c>
      <x:c r="D50" s="23" t="str">
        <x:v>MS-HU</x:v>
      </x:c>
      <x:c r="E50" s="23" t="n">
        <x:v>62</x:v>
      </x:c>
      <x:c r="F50" s="23" t="n">
        <x:v>24</x:v>
      </x:c>
      <x:c r="G50" s="23" t="n">
        <x:v>86</x:v>
      </x:c>
      <x:c r="H50" s="23" t="n">
        <x:v>199</x:v>
      </x:c>
      <x:c r="I50" s="25" t="n">
        <x:v>93</x:v>
      </x:c>
      <x:c r="J50" s="25" t="n">
        <x:v>36</x:v>
      </x:c>
      <x:c r="K50" s="32" t="n">
        <x:v>120900</x:v>
      </x:c>
      <x:c r="L50" s="32" t="n">
        <x:v>46800</x:v>
      </x:c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</x:row>
    <x:row r="51">
      <x:c r="A51" s="23" t="str">
        <x:v>CM-RLG</x:v>
      </x:c>
      <x:c r="B51" s="23" t="str">
        <x:v>Civil rail-mobility group</x:v>
      </x:c>
      <x:c r="C51" s="23" t="str">
        <x:v>Civil Mobility and Continuity</x:v>
      </x:c>
      <x:c r="D51" s="23" t="str">
        <x:v>MS-HU</x:v>
      </x:c>
      <x:c r="E51" s="23" t="n">
        <x:v>22</x:v>
      </x:c>
      <x:c r="F51" s="23" t="n">
        <x:v>10</x:v>
      </x:c>
      <x:c r="G51" s="23" t="n">
        <x:v>32</x:v>
      </x:c>
      <x:c r="H51" s="23" t="n">
        <x:v>74</x:v>
      </x:c>
      <x:c r="I51" s="25" t="n">
        <x:v>44</x:v>
      </x:c>
      <x:c r="J51" s="25" t="n">
        <x:v>20</x:v>
      </x:c>
      <x:c r="K51" s="32" t="n">
        <x:v>26400</x:v>
      </x:c>
      <x:c r="L51" s="32" t="n">
        <x:v>12000</x:v>
      </x:c>
      <x:c r="M51" s="19"/>
      <x:c r="N51" s="19"/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  <x:c r="Z51" s="19"/>
    </x:row>
    <x:row r="52">
      <x:c r="A52" s="23" t="str">
        <x:v>CM-AMG</x:v>
      </x:c>
      <x:c r="B52" s="23" t="str">
        <x:v>Civil air-mobility group</x:v>
      </x:c>
      <x:c r="C52" s="23" t="str">
        <x:v>Civil Mobility and Continuity</x:v>
      </x:c>
      <x:c r="D52" s="23" t="str">
        <x:v>MS-HU</x:v>
      </x:c>
      <x:c r="E52" s="23" t="n">
        <x:v>21</x:v>
      </x:c>
      <x:c r="F52" s="23" t="n">
        <x:v>10</x:v>
      </x:c>
      <x:c r="G52" s="23" t="n">
        <x:v>31</x:v>
      </x:c>
      <x:c r="H52" s="23" t="n">
        <x:v>72</x:v>
      </x:c>
      <x:c r="I52" s="25" t="n">
        <x:v>63</x:v>
      </x:c>
      <x:c r="J52" s="25" t="n">
        <x:v>30</x:v>
      </x:c>
      <x:c r="K52" s="32" t="n">
        <x:v>25200</x:v>
      </x:c>
      <x:c r="L52" s="32" t="n">
        <x:v>12000</x:v>
      </x:c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</x:row>
    <x:row r="53">
      <x:c r="A53" s="23" t="str">
        <x:v>CM-WMG</x:v>
      </x:c>
      <x:c r="B53" s="23" t="str">
        <x:v>Civil water-mobility group</x:v>
      </x:c>
      <x:c r="C53" s="23" t="str">
        <x:v>Civil Mobility and Continuity</x:v>
      </x:c>
      <x:c r="D53" s="23" t="str">
        <x:v>MS-HU</x:v>
      </x:c>
      <x:c r="E53" s="23" t="n">
        <x:v>21</x:v>
      </x:c>
      <x:c r="F53" s="23" t="n">
        <x:v>11</x:v>
      </x:c>
      <x:c r="G53" s="23" t="n">
        <x:v>32</x:v>
      </x:c>
      <x:c r="H53" s="23" t="n">
        <x:v>74</x:v>
      </x:c>
      <x:c r="I53" s="25" t="n">
        <x:v>42</x:v>
      </x:c>
      <x:c r="J53" s="25" t="n">
        <x:v>22</x:v>
      </x:c>
      <x:c r="K53" s="32" t="n">
        <x:v>25200</x:v>
      </x:c>
      <x:c r="L53" s="32" t="n">
        <x:v>13200</x:v>
      </x:c>
      <x:c r="M53" s="19"/>
      <x:c r="N53" s="19"/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19"/>
    </x:row>
    <x:row r="54">
      <x:c r="A54" s="23" t="str">
        <x:v>CM-RDC</x:v>
      </x:c>
      <x:c r="B54" s="23" t="str">
        <x:v>Return and durable-continuity group</x:v>
      </x:c>
      <x:c r="C54" s="23" t="str">
        <x:v>Civil Mobility and Continuity</x:v>
      </x:c>
      <x:c r="D54" s="23" t="str">
        <x:v>MS-RT</x:v>
      </x:c>
      <x:c r="E54" s="23" t="n">
        <x:v>40</x:v>
      </x:c>
      <x:c r="F54" s="23" t="n">
        <x:v>18</x:v>
      </x:c>
      <x:c r="G54" s="23" t="n">
        <x:v>58</x:v>
      </x:c>
      <x:c r="H54" s="23" t="n">
        <x:v>116</x:v>
      </x:c>
      <x:c r="I54" s="25" t="n">
        <x:v>16.000000000000004</x:v>
      </x:c>
      <x:c r="J54" s="25" t="n">
        <x:v>7.2</x:v>
      </x:c>
      <x:c r="K54" s="32" t="n">
        <x:v>40000</x:v>
      </x:c>
      <x:c r="L54" s="32" t="n">
        <x:v>18000</x:v>
      </x:c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9" hidden="0" customWidth="1"/>
    <x:col min="3" max="3" width="29" hidden="0" customWidth="1"/>
    <x:col min="4" max="4" width="16" hidden="0" customWidth="1"/>
    <x:col min="5" max="5" width="45" hidden="0" customWidth="1"/>
    <x:col min="6" max="6" width="43" hidden="0" customWidth="1"/>
  </x:cols>
  <x:sheetData>
    <x:row r="2">
      <x:c r="A2" s="18" t="str">
        <x:v>Ten simultaneous campaign claims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Eight are constitutional domestic guarantees; two become non-recallable after bilateral acceptance.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Campaign</x:v>
      </x:c>
      <x:c r="B6" s="22" t="str">
        <x:v>Design environment</x:v>
      </x:c>
      <x:c r="C6" s="22" t="str">
        <x:v>Mode</x:v>
      </x:c>
      <x:c r="D6" s="22" t="str">
        <x:v>Formations</x:v>
      </x:c>
      <x:c r="E6" s="22" t="str">
        <x:v>Admission</x:v>
      </x:c>
      <x:c r="F6" s="22" t="str">
        <x:v>Release</x:v>
      </x:c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C1</x:v>
      </x:c>
      <x:c r="B7" s="31" t="str">
        <x:v>Grid and temperature failure</x:v>
      </x:c>
      <x:c r="C7" s="31" t="str">
        <x:v>Domestic guarantee</x:v>
      </x:c>
      <x:c r="D7" s="31" t="n">
        <x:v>204</x:v>
      </x:c>
      <x:c r="E7" s="31" t="str">
        <x:v>Constitutional duty</x:v>
      </x:c>
      <x:c r="F7" s="31" t="str">
        <x:v>Domestic civil release</x:v>
      </x:c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C2</x:v>
      </x:c>
      <x:c r="B8" s="31" t="str">
        <x:v>Sequential Gulf/Atlantic hurricanes</x:v>
      </x:c>
      <x:c r="C8" s="31" t="str">
        <x:v>Domestic guarantee</x:v>
      </x:c>
      <x:c r="D8" s="31" t="n">
        <x:v>279</x:v>
      </x:c>
      <x:c r="E8" s="31" t="str">
        <x:v>Constitutional duty</x:v>
      </x:c>
      <x:c r="F8" s="31" t="str">
        <x:v>Domestic civil release</x:v>
      </x:c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C3</x:v>
      </x:c>
      <x:c r="B9" s="31" t="str">
        <x:v>Cascadia rupture</x:v>
      </x:c>
      <x:c r="C9" s="31" t="str">
        <x:v>Domestic guarantee</x:v>
      </x:c>
      <x:c r="D9" s="31" t="n">
        <x:v>362</x:v>
      </x:c>
      <x:c r="E9" s="31" t="str">
        <x:v>Constitutional duty</x:v>
      </x:c>
      <x:c r="F9" s="31" t="str">
        <x:v>Domestic civil release</x:v>
      </x:c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M1</x:v>
      </x:c>
      <x:c r="B10" s="31" t="str">
        <x:v>Western wildfire, heat and smoke</x:v>
      </x:c>
      <x:c r="C10" s="31" t="str">
        <x:v>Domestic guarantee</x:v>
      </x:c>
      <x:c r="D10" s="31" t="n">
        <x:v>134</x:v>
      </x:c>
      <x:c r="E10" s="31" t="str">
        <x:v>Constitutional duty</x:v>
      </x:c>
      <x:c r="F10" s="31" t="str">
        <x:v>Domestic civil release</x:v>
      </x:c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str">
        <x:v>M2</x:v>
      </x:c>
      <x:c r="B11" s="31" t="str">
        <x:v>Urban heat</x:v>
      </x:c>
      <x:c r="C11" s="31" t="str">
        <x:v>Domestic guarantee</x:v>
      </x:c>
      <x:c r="D11" s="31" t="n">
        <x:v>164</x:v>
      </x:c>
      <x:c r="E11" s="31" t="str">
        <x:v>Constitutional duty</x:v>
      </x:c>
      <x:c r="F11" s="31" t="str">
        <x:v>Domestic civil release</x:v>
      </x:c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3" t="str">
        <x:v>M3</x:v>
      </x:c>
      <x:c r="B12" s="31" t="str">
        <x:v>Inland flood</x:v>
      </x:c>
      <x:c r="C12" s="31" t="str">
        <x:v>Domestic guarantee</x:v>
      </x:c>
      <x:c r="D12" s="31" t="n">
        <x:v>192</x:v>
      </x:c>
      <x:c r="E12" s="31" t="str">
        <x:v>Constitutional duty</x:v>
      </x:c>
      <x:c r="F12" s="31" t="str">
        <x:v>Domestic civil release</x:v>
      </x:c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23" t="str">
        <x:v>M4</x:v>
      </x:c>
      <x:c r="B13" s="31" t="str">
        <x:v>Tornado</x:v>
      </x:c>
      <x:c r="C13" s="31" t="str">
        <x:v>Domestic guarantee</x:v>
      </x:c>
      <x:c r="D13" s="31" t="n">
        <x:v>217</x:v>
      </x:c>
      <x:c r="E13" s="31" t="str">
        <x:v>Constitutional duty</x:v>
      </x:c>
      <x:c r="F13" s="31" t="str">
        <x:v>Domestic civil release</x:v>
      </x:c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23" t="str">
        <x:v>M5</x:v>
      </x:c>
      <x:c r="B14" s="31" t="str">
        <x:v>Territorial drought and utility failure</x:v>
      </x:c>
      <x:c r="C14" s="31" t="str">
        <x:v>Domestic guarantee</x:v>
      </x:c>
      <x:c r="D14" s="31" t="n">
        <x:v>193</x:v>
      </x:c>
      <x:c r="E14" s="31" t="str">
        <x:v>Constitutional duty</x:v>
      </x:c>
      <x:c r="F14" s="31" t="str">
        <x:v>Domestic civil release</x:v>
      </x:c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23" t="str">
        <x:v>I1</x:v>
      </x:c>
      <x:c r="B15" s="31" t="str">
        <x:v>Indo-Pacific host nation</x:v>
      </x:c>
      <x:c r="C15" s="31" t="str">
        <x:v>Invited stabilization</x:v>
      </x:c>
      <x:c r="D15" s="31" t="n">
        <x:v>334</x:v>
      </x:c>
      <x:c r="E15" s="31" t="str">
        <x:v>Sovereign invitation + U.S. acceptance</x:v>
      </x:c>
      <x:c r="F15" s="31" t="str">
        <x:v>Bilateral release after acceptance</x:v>
      </x:c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23" t="str">
        <x:v>I2</x:v>
      </x:c>
      <x:c r="B16" s="31" t="str">
        <x:v>Atlantic/Americas host nation</x:v>
      </x:c>
      <x:c r="C16" s="31" t="str">
        <x:v>Invited stabilization</x:v>
      </x:c>
      <x:c r="D16" s="31" t="n">
        <x:v>341</x:v>
      </x:c>
      <x:c r="E16" s="31" t="str">
        <x:v>Sovereign invitation + U.S. acceptance</x:v>
      </x:c>
      <x:c r="F16" s="31" t="str">
        <x:v>Bilateral release after acceptance</x:v>
      </x:c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21" hidden="0" customWidth="1"/>
  </x:cols>
  <x:sheetData>
    <x:row r="2">
      <x:c r="A2" s="18" t="str">
        <x:v>P1 — guaranteed domestic continuity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Domestic service is a constitutional duty across states, tribes, territories and affected populations.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Rule</x:v>
      </x:c>
      <x:c r="B6" s="22" t="str">
        <x:v>Binding consequence</x:v>
      </x:c>
      <x:c r="C6" s="19"/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Universal duty</x:v>
      </x:c>
      <x:c r="B7" s="31" t="str">
        <x:v>Geography, status or political representation cannot lower the public-service floor</x:v>
      </x:c>
      <x:c r="C7" s="19"/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Eight-campaign claim</x:v>
      </x:c>
      <x:c r="B8" s="31" t="str">
        <x:v>1,745 formations are continuously reservable for the domestic stress constitution</x:v>
      </x:c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Civil objective</x:v>
      </x:c>
      <x:c r="B9" s="31" t="str">
        <x:v>Public authority defines population service; Department employment remains bounded by it</x:v>
      </x:c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Protected reserve</x:v>
      </x:c>
      <x:c r="B10" s="31" t="str">
        <x:v>502 formations remain distinct and family-specific; they are not discretionary surge optics</x:v>
      </x:c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str">
        <x:v>Territories domestic</x:v>
      </x:c>
      <x:c r="B11" s="31" t="str">
        <x:v>Territorial drought and utility failure is not treated as foreign assistance</x:v>
      </x:c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3" t="str">
        <x:v>No militarization</x:v>
      </x:c>
      <x:c r="B12" s="31" t="str">
        <x:v>Support to lawfully defined civil service does not create policing, combat or intelligence authority</x:v>
      </x:c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23" t="str">
        <x:v>Public stop</x:v>
      </x:c>
      <x:c r="B13" s="31" t="str">
        <x:v>Rights, evidence, safety and civil authorities retain stop and appeal power</x:v>
      </x:c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23" t="str">
        <x:v>Completion</x:v>
      </x:c>
      <x:c r="B14" s="31" t="str">
        <x:v>Credit requires civil release, safe residual handling, transfer and regeneration</x:v>
      </x:c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21" hidden="0" customWidth="1"/>
  </x:cols>
  <x:sheetData>
    <x:row r="2">
      <x:c r="A2" s="18" t="str">
        <x:v>P2 — invited stabilization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Invitation admits a claim; U.S. acceptance commits serials; neither side loses sovereignty.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Rule</x:v>
      </x:c>
      <x:c r="B6" s="22" t="str">
        <x:v>Binding consequence</x:v>
      </x:c>
      <x:c r="C6" s="19"/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Invitation first</x:v>
      </x:c>
      <x:c r="B7" s="31" t="str">
        <x:v>No unilateral entry except immediate life safety governed by separate law</x:v>
      </x:c>
      <x:c r="C7" s="19"/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Two-campaign claim</x:v>
      </x:c>
      <x:c r="B8" s="31" t="str">
        <x:v>675 formations are held for the Indo-Pacific and Atlantic/Americas design networks</x:v>
      </x:c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Acceptance lock</x:v>
      </x:c>
      <x:c r="B9" s="31" t="str">
        <x:v>After acceptance and admission, the U.S. cannot recall serials unilaterally</x:v>
      </x:c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Host stop</x:v>
      </x:c>
      <x:c r="B10" s="31" t="str">
        <x:v>Host authority may halt, narrow or revoke activity; systems safe and withdraw or transfer</x:v>
      </x:c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str">
        <x:v>Security separation</x:v>
      </x:c>
      <x:c r="B11" s="31" t="str">
        <x:v>Military or host forces may protect access; Department does not own combat</x:v>
      </x:c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3" t="str">
        <x:v>Data purpose</x:v>
      </x:c>
      <x:c r="B12" s="31" t="str">
        <x:v>Operational data cannot become unrelated intelligence or migration enforcement</x:v>
      </x:c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23" t="str">
        <x:v>Transfer terminal</x:v>
      </x:c>
      <x:c r="B13" s="31" t="str">
        <x:v>Mission succeeds when the receiver can operate and, where contracted, reproduce capacity</x:v>
      </x:c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23" t="str">
        <x:v>Bilateral closure</x:v>
      </x:c>
      <x:c r="B14" s="31" t="str">
        <x:v>Release follows completed service, lawful suspension or jointly recorded closure</x:v>
      </x:c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75" hidden="0" customWidth="1"/>
    <x:col min="4" max="4" width="61" hidden="0" customWidth="1"/>
  </x:cols>
  <x:sheetData>
    <x:row r="2">
      <x:c r="A2" s="18" t="str">
        <x:v>Nine-effect constructive-power ledger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Effects are non-fungible; favorable publicity cannot cure missing service or sovereignty.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Effect</x:v>
      </x:c>
      <x:c r="B6" s="22" t="str">
        <x:v>Strategic effect</x:v>
      </x:c>
      <x:c r="C6" s="22" t="str">
        <x:v>Test</x:v>
      </x:c>
      <x:c r="D6" s="22" t="str">
        <x:v>Evidence unit</x:v>
      </x:c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E1</x:v>
      </x:c>
      <x:c r="B7" s="23" t="str">
        <x:v>Catastrophe denial</x:v>
      </x:c>
      <x:c r="C7" s="31" t="str">
        <x:v>Keep population service above irreversible-loss thresholds</x:v>
      </x:c>
      <x:c r="D7" s="31" t="str">
        <x:v>Service-days delivered under denial</x:v>
      </x:c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E2</x:v>
      </x:c>
      <x:c r="B8" s="23" t="str">
        <x:v>Economic continuity</x:v>
      </x:c>
      <x:c r="C8" s="31" t="str">
        <x:v>Shorten interruption of utilities, care, mobility and production</x:v>
      </x:c>
      <x:c r="D8" s="31" t="str">
        <x:v>Avoided service-deficit days; not GDP alone</x:v>
      </x:c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E3</x:v>
      </x:c>
      <x:c r="B9" s="23" t="str">
        <x:v>Alliance reliability</x:v>
      </x:c>
      <x:c r="C9" s="31" t="str">
        <x:v>Honor accepted missions without unilateral recall</x:v>
      </x:c>
      <x:c r="D9" s="31" t="str">
        <x:v>Completed sovereign service contract</x:v>
      </x:c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E4</x:v>
      </x:c>
      <x:c r="B10" s="23" t="str">
        <x:v>Partner sovereignty</x:v>
      </x:c>
      <x:c r="C10" s="31" t="str">
        <x:v>Transfer operations, evidence and reproduction to recipient control</x:v>
      </x:c>
      <x:c r="D10" s="31" t="str">
        <x:v>Independent receiver and production capability</x:v>
      </x:c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str">
        <x:v>E5</x:v>
      </x:c>
      <x:c r="B11" s="23" t="str">
        <x:v>Industrial mobilization</x:v>
      </x:c>
      <x:c r="C11" s="31" t="str">
        <x:v>Keep labor, suppliers, tools and roots active between disasters</x:v>
      </x:c>
      <x:c r="D11" s="31" t="str">
        <x:v>Cold lots and qualified routes</x:v>
      </x:c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3" t="str">
        <x:v>E6</x:v>
      </x:c>
      <x:c r="B12" s="23" t="str">
        <x:v>Technology competition</x:v>
      </x:c>
      <x:c r="C12" s="31" t="str">
        <x:v>Drive high-risk civil systems through rival physical roots</x:v>
      </x:c>
      <x:c r="D12" s="31" t="str">
        <x:v>Killed/resized roots and accepted complete systems</x:v>
      </x:c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23" t="str">
        <x:v>E7</x:v>
      </x:c>
      <x:c r="B13" s="23" t="str">
        <x:v>Standards power</x:v>
      </x:c>
      <x:c r="C13" s="31" t="str">
        <x:v>Make public interfaces and evidence portable across partners</x:v>
      </x:c>
      <x:c r="D13" s="31" t="str">
        <x:v>Independent implementations and reciprocal certification</x:v>
      </x:c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23" t="str">
        <x:v>E8</x:v>
      </x:c>
      <x:c r="B14" s="23" t="str">
        <x:v>Democratic legitimacy</x:v>
      </x:c>
      <x:c r="C14" s="31" t="str">
        <x:v>Show lawful, equitable competence under stress</x:v>
      </x:c>
      <x:c r="D14" s="31" t="str">
        <x:v>Rights-complete public acceptance</x:v>
      </x:c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23" t="str">
        <x:v>E9</x:v>
      </x:c>
      <x:c r="B15" s="23" t="str">
        <x:v>Strategic restraint</x:v>
      </x:c>
      <x:c r="C15" s="31" t="str">
        <x:v>Make aid useful without coercion, extraction or armed mission creep</x:v>
      </x:c>
      <x:c r="D15" s="31" t="str">
        <x:v>Prohibited-use compliance</x:v>
      </x:c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6" hidden="0" customWidth="1"/>
    <x:col min="3" max="3" width="53" hidden="0" customWidth="1"/>
  </x:cols>
  <x:sheetData>
    <x:row r="2">
      <x:c r="A2" s="18" t="str">
        <x:v>Strategic-credit constitution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All six gates must pass; the current workbook carries no source-bearing evidence.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Gate</x:v>
      </x:c>
      <x:c r="B6" s="22" t="str">
        <x:v>Required evidence</x:v>
      </x:c>
      <x:c r="C6" s="22" t="str">
        <x:v>Anti-metric</x:v>
      </x:c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Complete service</x:v>
      </x:c>
      <x:c r="B7" s="31" t="str">
        <x:v>Declared public-service threshold met through civil release</x:v>
      </x:c>
      <x:c r="C7" s="31" t="str">
        <x:v>Tonnage, sorties or platform arrival</x:v>
      </x:c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Rights acceptance</x:v>
      </x:c>
      <x:c r="B8" s="31" t="str">
        <x:v>Host and affected public can use stop, appeal and remedy paths</x:v>
      </x:c>
      <x:c r="C8" s="31" t="str">
        <x:v>Urgency declaration</x:v>
      </x:c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Sovereign control</x:v>
      </x:c>
      <x:c r="B9" s="31" t="str">
        <x:v>Host/local authority controls admission, data and transfer</x:v>
      </x:c>
      <x:c r="C9" s="31" t="str">
        <x:v>U.S. operational convenience</x:v>
      </x:c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Durable transfer</x:v>
      </x:c>
      <x:c r="B10" s="31" t="str">
        <x:v>Receiver operates complete service after U.S. exit</x:v>
      </x:c>
      <x:c r="C10" s="31" t="str">
        <x:v>Training attendance</x:v>
      </x:c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str">
        <x:v>Independent reproduction</x:v>
      </x:c>
      <x:c r="B11" s="31" t="str">
        <x:v>Partner can source or make a qualified complete unit</x:v>
      </x:c>
      <x:c r="C11" s="31" t="str">
        <x:v>Export revenue</x:v>
      </x:c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3" t="str">
        <x:v>Non-coercion</x:v>
      </x:c>
      <x:c r="B12" s="31" t="str">
        <x:v>No political condition, unrelated collection or tied successor</x:v>
      </x:c>
      <x:c r="C12" s="31" t="str">
        <x:v>Favorable media or diplomatic statement</x:v>
      </x:c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22" t="str">
        <x:v>Effect</x:v>
      </x:c>
      <x:c r="B16" s="22" t="str">
        <x:v>Evidence state</x:v>
      </x:c>
      <x:c r="C16" s="22" t="str">
        <x:v>Released credit</x:v>
      </x:c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23" t="str">
        <x:v>Catastrophe denial</x:v>
      </x:c>
      <x:c r="B17" s="29" t="str">
        <x:v>SOURCE EMPTY / HOLD</x:v>
      </x:c>
      <x:c r="C17" s="23" t="n">
        <x:v>0</x:v>
      </x:c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23" t="str">
        <x:v>Economic continuity</x:v>
      </x:c>
      <x:c r="B18" s="29" t="str">
        <x:v>SOURCE EMPTY / HOLD</x:v>
      </x:c>
      <x:c r="C18" s="23" t="n">
        <x:v>0</x:v>
      </x:c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23" t="str">
        <x:v>Alliance reliability</x:v>
      </x:c>
      <x:c r="B19" s="29" t="str">
        <x:v>SOURCE EMPTY / HOLD</x:v>
      </x:c>
      <x:c r="C19" s="23" t="n">
        <x:v>0</x:v>
      </x:c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23" t="str">
        <x:v>Partner sovereignty</x:v>
      </x:c>
      <x:c r="B20" s="29" t="str">
        <x:v>SOURCE EMPTY / HOLD</x:v>
      </x:c>
      <x:c r="C20" s="23" t="n">
        <x:v>0</x:v>
      </x:c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23" t="str">
        <x:v>Industrial mobilization</x:v>
      </x:c>
      <x:c r="B21" s="29" t="str">
        <x:v>SOURCE EMPTY / HOLD</x:v>
      </x:c>
      <x:c r="C21" s="23" t="n">
        <x:v>0</x:v>
      </x:c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23" t="str">
        <x:v>Technology competition</x:v>
      </x:c>
      <x:c r="B22" s="29" t="str">
        <x:v>SOURCE EMPTY / HOLD</x:v>
      </x:c>
      <x:c r="C22" s="23" t="n">
        <x:v>0</x:v>
      </x:c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23" t="str">
        <x:v>Standards power</x:v>
      </x:c>
      <x:c r="B23" s="29" t="str">
        <x:v>SOURCE EMPTY / HOLD</x:v>
      </x:c>
      <x:c r="C23" s="23" t="n">
        <x:v>0</x:v>
      </x:c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  <x:row r="24">
      <x:c r="A24" s="23" t="str">
        <x:v>Democratic legitimacy</x:v>
      </x:c>
      <x:c r="B24" s="29" t="str">
        <x:v>SOURCE EMPTY / HOLD</x:v>
      </x:c>
      <x:c r="C24" s="23" t="n">
        <x:v>0</x:v>
      </x:c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</x:row>
    <x:row r="25">
      <x:c r="A25" s="23" t="str">
        <x:v>Strategic restraint</x:v>
      </x:c>
      <x:c r="B25" s="29" t="str">
        <x:v>SOURCE EMPTY / HOLD</x:v>
      </x:c>
      <x:c r="C25" s="23" t="n">
        <x:v>0</x:v>
      </x:c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1" hidden="0" customWidth="1"/>
    <x:col min="3" max="3" width="103" hidden="0" customWidth="1"/>
  </x:cols>
  <x:sheetData>
    <x:row r="2">
      <x:c r="A2" s="18" t="str">
        <x:v>Twelve-seal sovereign service contract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The treaty is an executable public-service compact, not a general license to operate.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Seal</x:v>
      </x:c>
      <x:c r="B6" s="22" t="str">
        <x:v>Domain</x:v>
      </x:c>
      <x:c r="C6" s="22" t="str">
        <x:v>Required record</x:v>
      </x:c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S1</x:v>
      </x:c>
      <x:c r="B7" s="23" t="str">
        <x:v>Invitation</x:v>
      </x:c>
      <x:c r="C7" s="31" t="str">
        <x:v>Named sovereign authority, scope and affected population</x:v>
      </x:c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S2</x:v>
      </x:c>
      <x:c r="B8" s="23" t="str">
        <x:v>Public-service vector</x:v>
      </x:c>
      <x:c r="C8" s="31" t="str">
        <x:v>Effects, thresholds, deadline, duration and denial world</x:v>
      </x:c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S3</x:v>
      </x:c>
      <x:c r="B9" s="23" t="str">
        <x:v>Authority map</x:v>
      </x:c>
      <x:c r="C9" s="31" t="str">
        <x:v>Host, U.S., local and independent powers and stop authority</x:v>
      </x:c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S4</x:v>
      </x:c>
      <x:c r="B10" s="23" t="str">
        <x:v>Rights and access</x:v>
      </x:c>
      <x:c r="C10" s="31" t="str">
        <x:v>Equal service, lawful mobility, labor, land and redress</x:v>
      </x:c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str">
        <x:v>S5</x:v>
      </x:c>
      <x:c r="B11" s="23" t="str">
        <x:v>Receiver admission</x:v>
      </x:c>
      <x:c r="C11" s="31" t="str">
        <x:v>Named civil receiver, interface state and acceptance method</x:v>
      </x:c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3" t="str">
        <x:v>S6</x:v>
      </x:c>
      <x:c r="B12" s="23" t="str">
        <x:v>Data sovereignty</x:v>
      </x:c>
      <x:c r="C12" s="31" t="str">
        <x:v>Purpose, custody, retention, deletion and prohibited use</x:v>
      </x:c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23" t="str">
        <x:v>S7</x:v>
      </x:c>
      <x:c r="B13" s="23" t="str">
        <x:v>Logistics and residuals</x:v>
      </x:c>
      <x:c r="C13" s="31" t="str">
        <x:v>Entry, sustainment, waste, quarantine, reverse flow and reset</x:v>
      </x:c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23" t="str">
        <x:v>S8</x:v>
      </x:c>
      <x:c r="B14" s="23" t="str">
        <x:v>Evidence custody</x:v>
      </x:c>
      <x:c r="C14" s="31" t="str">
        <x:v>Independent measures, adverse history and public reconstruction</x:v>
      </x:c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23" t="str">
        <x:v>S9</x:v>
      </x:c>
      <x:c r="B15" s="23" t="str">
        <x:v>Bilateral release</x:v>
      </x:c>
      <x:c r="C15" s="31" t="str">
        <x:v>No unilateral recall after U.S. acceptance and host admission</x:v>
      </x:c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23" t="str">
        <x:v>S10</x:v>
      </x:c>
      <x:c r="B16" s="23" t="str">
        <x:v>Transfer</x:v>
      </x:c>
      <x:c r="C16" s="31" t="str">
        <x:v>Local operating authority, spares, training and residual title</x:v>
      </x:c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23" t="str">
        <x:v>S11</x:v>
      </x:c>
      <x:c r="B17" s="23" t="str">
        <x:v>Partner reproduction</x:v>
      </x:c>
      <x:c r="C17" s="31" t="str">
        <x:v>Rights, tooling, suppliers and independent technical operation</x:v>
      </x:c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23" t="str">
        <x:v>S12</x:v>
      </x:c>
      <x:c r="B18" s="23" t="str">
        <x:v>Public accounting</x:v>
      </x:c>
      <x:c r="C18" s="31" t="str">
        <x:v>Service credit, cost, injury, failure, transfer and closure</x:v>
      </x:c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5" hidden="0" customWidth="1"/>
    <x:col min="3" max="3" width="99" hidden="0" customWidth="1"/>
  </x:cols>
  <x:sheetData>
    <x:row r="2">
      <x:c r="A2" s="18" t="str">
        <x:v>Ten prohibited uses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Violation blocks admission or revokes employment authority; benefits cannot offset it.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Law</x:v>
      </x:c>
      <x:c r="B6" s="22" t="str">
        <x:v>Prohibited use</x:v>
      </x:c>
      <x:c r="C6" s="22" t="str">
        <x:v>Boundary</x:v>
      </x:c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 ht="42" customHeight="1">
      <x:c r="A7" s="23" t="str">
        <x:v>N01</x:v>
      </x:c>
      <x:c r="B7" s="31" t="str">
        <x:v>Combat and coercive blockade</x:v>
      </x:c>
      <x:c r="C7" s="31" t="str">
        <x:v>Security remains outside Department mission ownership</x:v>
      </x:c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 ht="42" customHeight="1">
      <x:c r="A8" s="23" t="str">
        <x:v>N02</x:v>
      </x:c>
      <x:c r="B8" s="31" t="str">
        <x:v>Regime change or political conditionality</x:v>
      </x:c>
      <x:c r="C8" s="31" t="str">
        <x:v>Service cannot be exchanged for alignment</x:v>
      </x:c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 ht="42" customHeight="1">
      <x:c r="A9" s="23" t="str">
        <x:v>N03</x:v>
      </x:c>
      <x:c r="B9" s="31" t="str">
        <x:v>Migration interdiction or forced return</x:v>
      </x:c>
      <x:c r="C9" s="31" t="str">
        <x:v>Civil mobility serves safety, family integrity and lawful choice</x:v>
      </x:c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 ht="42" customHeight="1">
      <x:c r="A10" s="23" t="str">
        <x:v>N04</x:v>
      </x:c>
      <x:c r="B10" s="31" t="str">
        <x:v>Intelligence collection unrelated to service</x:v>
      </x:c>
      <x:c r="C10" s="31" t="str">
        <x:v>Data purpose is bounded and expires</x:v>
      </x:c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 ht="42" customHeight="1">
      <x:c r="A11" s="23" t="str">
        <x:v>N05</x:v>
      </x:c>
      <x:c r="B11" s="31" t="str">
        <x:v>Resource extraction or tied reconstruction</x:v>
      </x:c>
      <x:c r="C11" s="31" t="str">
        <x:v>Receiver chooses transfer and commercial successor</x:v>
      </x:c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 ht="42" customHeight="1">
      <x:c r="A12" s="23" t="str">
        <x:v>N06</x:v>
      </x:c>
      <x:c r="B12" s="31" t="str">
        <x:v>Prestige deployment without complete service</x:v>
      </x:c>
      <x:c r="C12" s="31" t="str">
        <x:v>Visible platforms earn zero strategic credit</x:v>
      </x:c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 ht="42" customHeight="1">
      <x:c r="A13" s="23" t="str">
        <x:v>N07</x:v>
      </x:c>
      <x:c r="B13" s="31" t="str">
        <x:v>Unilateral international recall</x:v>
      </x:c>
      <x:c r="C13" s="31" t="str">
        <x:v>Accepted serials require bilateral release</x:v>
      </x:c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 ht="42" customHeight="1">
      <x:c r="A14" s="23" t="str">
        <x:v>N08</x:v>
      </x:c>
      <x:c r="B14" s="31" t="str">
        <x:v>Permanent substitution for local government</x:v>
      </x:c>
      <x:c r="C14" s="31" t="str">
        <x:v>Every mission carries transfer and institutional restoration</x:v>
      </x:c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 ht="42" customHeight="1">
      <x:c r="A15" s="23" t="str">
        <x:v>N09</x:v>
      </x:c>
      <x:c r="B15" s="31" t="str">
        <x:v>Partner dependence by remote control</x:v>
      </x:c>
      <x:c r="C15" s="31" t="str">
        <x:v>No mandatory U.S. runtime, kill switch or evidence custody</x:v>
      </x:c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 ht="42" customHeight="1">
      <x:c r="A16" s="23" t="str">
        <x:v>N10</x:v>
      </x:c>
      <x:c r="B16" s="31" t="str">
        <x:v>Domestic militarization</x:v>
      </x:c>
      <x:c r="C16" s="31" t="str">
        <x:v>Federal formations support lawful civil objectives and public stop authority</x:v>
      </x:c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5" hidden="0" customWidth="1"/>
    <x:col min="3" max="3" width="113" hidden="0" customWidth="1"/>
  </x:cols>
  <x:sheetData>
    <x:row r="2">
      <x:c r="A2" s="18" t="str">
        <x:v>Eight partner-sovereignty gates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The desired endpoint is independent public capacity, not durable U.S. operational dependence.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Gate</x:v>
      </x:c>
      <x:c r="B6" s="22" t="str">
        <x:v>Requirement</x:v>
      </x:c>
      <x:c r="C6" s="22" t="str">
        <x:v>Proof</x:v>
      </x:c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R1</x:v>
      </x:c>
      <x:c r="B7" s="23" t="str">
        <x:v>Receiver before carrier</x:v>
      </x:c>
      <x:c r="C7" s="31" t="str">
        <x:v>A trained civil receiver and lawful admission path exist before a formation earns deployment credit</x:v>
      </x:c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R2</x:v>
      </x:c>
      <x:c r="B8" s="23" t="str">
        <x:v>Two-way interface</x:v>
      </x:c>
      <x:c r="C8" s="31" t="str">
        <x:v>Partner systems may reject, isolate, assay and release U.S. service without U.S. control</x:v>
      </x:c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R3</x:v>
      </x:c>
      <x:c r="B9" s="23" t="str">
        <x:v>Offline sovereignty</x:v>
      </x:c>
      <x:c r="C9" s="31" t="str">
        <x:v>No continuing U.S. network, key, operator or cloud is required for safe partner operation</x:v>
      </x:c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R4</x:v>
      </x:c>
      <x:c r="B10" s="23" t="str">
        <x:v>Local repair</x:v>
      </x:c>
      <x:c r="C10" s="31" t="str">
        <x:v>Tools, manuals, diagnostic rights and qualified labor cross with the system</x:v>
      </x:c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str">
        <x:v>R5</x:v>
      </x:c>
      <x:c r="B11" s="23" t="str">
        <x:v>Reproduction option</x:v>
      </x:c>
      <x:c r="C11" s="31" t="str">
        <x:v>Partner may build, source or license decisive components without tied reconstruction</x:v>
      </x:c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3" t="str">
        <x:v>R6</x:v>
      </x:c>
      <x:c r="B12" s="23" t="str">
        <x:v>Exit clock</x:v>
      </x:c>
      <x:c r="C12" s="31" t="str">
        <x:v>Every accepted mission names the service-transfer state that ends U.S. operational substitution</x:v>
      </x:c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23" t="str">
        <x:v>R7</x:v>
      </x:c>
      <x:c r="B13" s="23" t="str">
        <x:v>Independent evidence</x:v>
      </x:c>
      <x:c r="C13" s="31" t="str">
        <x:v>Host and third parties can reproduce service, injury and environmental claims</x:v>
      </x:c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23" t="str">
        <x:v>R8</x:v>
      </x:c>
      <x:c r="B14" s="23" t="str">
        <x:v>No readiness arbitrage</x:v>
      </x:c>
      <x:c r="C14" s="31" t="str">
        <x:v>Partner capacity never reduces the U.S. force floor before verified sovereign acceptance</x:v>
      </x:c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1" hidden="0" customWidth="1"/>
    <x:col min="3" max="3" width="54" hidden="0" customWidth="1"/>
    <x:col min="4" max="4" width="67" hidden="0" customWidth="1"/>
  </x:cols>
  <x:sheetData>
    <x:row r="2">
      <x:c r="A2" s="18" t="str">
        <x:v>Six-state transfer ladder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Transfer is a technical and constitutional progression; attendance or title alone does not advance it.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State</x:v>
      </x:c>
      <x:c r="B6" s="22" t="str">
        <x:v>Condition</x:v>
      </x:c>
      <x:c r="C6" s="22" t="str">
        <x:v>Transfer object</x:v>
      </x:c>
      <x:c r="D6" s="22" t="str">
        <x:v>Gate</x:v>
      </x:c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T0</x:v>
      </x:c>
      <x:c r="B7" s="31" t="str">
        <x:v>Invitation</x:v>
      </x:c>
      <x:c r="C7" s="31" t="str">
        <x:v>No transfer object</x:v>
      </x:c>
      <x:c r="D7" s="31" t="str">
        <x:v>Host can define and revoke scope</x:v>
      </x:c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T1</x:v>
      </x:c>
      <x:c r="B8" s="31" t="str">
        <x:v>Joint operation</x:v>
      </x:c>
      <x:c r="C8" s="31" t="str">
        <x:v>Interfaces and operating picture</x:v>
      </x:c>
      <x:c r="D8" s="31" t="str">
        <x:v>Host exercises stop and admission authority</x:v>
      </x:c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T2</x:v>
      </x:c>
      <x:c r="B9" s="31" t="str">
        <x:v>Supervised service</x:v>
      </x:c>
      <x:c r="C9" s="31" t="str">
        <x:v>Procedures, spares and evidence tools</x:v>
      </x:c>
      <x:c r="D9" s="31" t="str">
        <x:v>Host crew performs complete service</x:v>
      </x:c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T3</x:v>
      </x:c>
      <x:c r="B10" s="31" t="str">
        <x:v>Independent operation</x:v>
      </x:c>
      <x:c r="C10" s="31" t="str">
        <x:v>Configuration, keys, manuals and supply routes</x:v>
      </x:c>
      <x:c r="D10" s="31" t="str">
        <x:v>No U.S. runtime or operator dependency</x:v>
      </x:c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str">
        <x:v>T4</x:v>
      </x:c>
      <x:c r="B11" s="31" t="str">
        <x:v>Independent reproduction</x:v>
      </x:c>
      <x:c r="C11" s="31" t="str">
        <x:v>Technical data, tooling rights and qualification path</x:v>
      </x:c>
      <x:c r="D11" s="31" t="str">
        <x:v>Partner can reproduce a complete accepted unit</x:v>
      </x:c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3" t="str">
        <x:v>T5</x:v>
      </x:c>
      <x:c r="B12" s="31" t="str">
        <x:v>Mission closure</x:v>
      </x:c>
      <x:c r="C12" s="31" t="str">
        <x:v>Residual title, waste, claims and archive</x:v>
      </x:c>
      <x:c r="D12" s="31" t="str">
        <x:v>Bilateral release and public closure</x:v>
      </x:c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9" hidden="0" customWidth="1"/>
    <x:col min="3" max="3" width="78" hidden="0" customWidth="1"/>
    <x:col min="4" max="4" width="48" hidden="0" customWidth="1"/>
  </x:cols>
  <x:sheetData>
    <x:row r="2">
      <x:c r="A2" s="18" t="str">
        <x:v>P3/P4 partnership and productive statecraft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Industrial scale supports public power only through independent receivers, roots and useful output.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Instrument</x:v>
      </x:c>
      <x:c r="B6" s="22" t="str">
        <x:v>Scale</x:v>
      </x:c>
      <x:c r="C6" s="22" t="str">
        <x:v>Strategic value</x:v>
      </x:c>
      <x:c r="D6" s="22" t="str">
        <x:v>Force-credit rule</x:v>
      </x:c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Domestic useful-output market</x:v>
      </x:c>
      <x:c r="B7" s="23" t="str">
        <x:v>USD 75.0B/year</x:v>
      </x:c>
      <x:c r="C7" s="31" t="str">
        <x:v>Keeps labor, suppliers and tools active between disasters</x:v>
      </x:c>
      <x:c r="D7" s="31" t="str">
        <x:v>Zero</x:v>
      </x:c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Reference partner market</x:v>
      </x:c>
      <x:c r="B8" s="23" t="str">
        <x:v>USD 12.0B/year optional</x:v>
      </x:c>
      <x:c r="C8" s="31" t="str">
        <x:v>Supports sovereign manufacture and reciprocal standards</x:v>
      </x:c>
      <x:c r="D8" s="31" t="str">
        <x:v>Zero</x:v>
      </x:c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Forward receiver partnerships</x:v>
      </x:c>
      <x:c r="B9" s="23" t="str">
        <x:v>Two reach networks</x:v>
      </x:c>
      <x:c r="C9" s="31" t="str">
        <x:v>Reduce admission, interface and transfer friction</x:v>
      </x:c>
      <x:c r="D9" s="31" t="str">
        <x:v>Zero until accepted campaign</x:v>
      </x:c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Licensed partner production</x:v>
      </x:c>
      <x:c r="B10" s="23" t="str">
        <x:v>Program-specific</x:v>
      </x:c>
      <x:c r="C10" s="31" t="str">
        <x:v>Creates independent local depth and strategic resilience</x:v>
      </x:c>
      <x:c r="D10" s="31" t="str">
        <x:v>Zero until outside proof</x:v>
      </x:c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str">
        <x:v>Reciprocal certification</x:v>
      </x:c>
      <x:c r="B11" s="23" t="str">
        <x:v>Interface-specific</x:v>
      </x:c>
      <x:c r="C11" s="31" t="str">
        <x:v>Makes public service portable without centralized control</x:v>
      </x:c>
      <x:c r="D11" s="31" t="str">
        <x:v>Zero until complete-chain trial</x:v>
      </x:c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3" t="str">
        <x:v>Military interface</x:v>
      </x:c>
      <x:c r="B12" s="23" t="str">
        <x:v>Security/lift by separate authority</x:v>
      </x:c>
      <x:c r="C12" s="31" t="str">
        <x:v>Protects access without merging missions</x:v>
      </x:c>
      <x:c r="D12" s="31" t="str">
        <x:v>Zero Department combat credit</x:v>
      </x:c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5" hidden="0" customWidth="1"/>
    <x:col min="3" max="3" width="24" hidden="0" customWidth="1"/>
    <x:col min="4" max="4" width="23" hidden="0" customWidth="1"/>
    <x:col min="5" max="5" width="27" hidden="0" customWidth="1"/>
    <x:col min="6" max="6" width="20" hidden="0" customWidth="1"/>
    <x:col min="7" max="7" width="22" hidden="0" customWidth="1"/>
    <x:col min="8" max="8" width="19" hidden="0" customWidth="1"/>
  </x:cols>
  <x:sheetData>
    <x:row r="2">
      <x:c r="A2" s="18" t="str">
        <x:v>Committed-force exposure by strategic mode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This allocates inherited formation capital and billets; reserve, common capital and operations remain unsplit.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Mode</x:v>
      </x:c>
      <x:c r="B6" s="22" t="str">
        <x:v>Campaigns</x:v>
      </x:c>
      <x:c r="C6" s="22" t="str">
        <x:v>Committed formations</x:v>
      </x:c>
      <x:c r="D6" s="22" t="str">
        <x:v>Share of formations</x:v>
      </x:c>
      <x:c r="E6" s="22" t="str">
        <x:v>Formation capital USD B</x:v>
      </x:c>
      <x:c r="F6" s="22" t="str">
        <x:v>Share of capital</x:v>
      </x:c>
      <x:c r="G6" s="22" t="str">
        <x:v>Affiliated billets</x:v>
      </x:c>
      <x:c r="H6" s="22" t="str">
        <x:v>Share of billets</x:v>
      </x:c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Domestic guarantee</x:v>
      </x:c>
      <x:c r="B7" s="23" t="n">
        <x:v>8</x:v>
      </x:c>
      <x:c r="C7" s="23" t="n">
        <x:v>1745</x:v>
      </x:c>
      <x:c r="D7" s="24" t="n">
        <x:v>0.7210743801652892</x:v>
      </x:c>
      <x:c r="E7" s="25" t="n">
        <x:v>2931.584</x:v>
      </x:c>
      <x:c r="F7" s="24" t="n">
        <x:v>0.7006479762453324</x:v>
      </x:c>
      <x:c r="G7" s="32" t="n">
        <x:v>3703204.2</x:v>
      </x:c>
      <x:c r="H7" s="24" t="n">
        <x:v>0.7193341341724467</x:v>
      </x:c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Invited stabilization</x:v>
      </x:c>
      <x:c r="B8" s="23" t="n">
        <x:v>2</x:v>
      </x:c>
      <x:c r="C8" s="23" t="n">
        <x:v>675</x:v>
      </x:c>
      <x:c r="D8" s="24" t="n">
        <x:v>0.27892561983471076</x:v>
      </x:c>
      <x:c r="E8" s="25" t="n">
        <x:v>1252.52</x:v>
      </x:c>
      <x:c r="F8" s="24" t="n">
        <x:v>0.2993520237546677</x:v>
      </x:c>
      <x:c r="G8" s="32" t="n">
        <x:v>1444896</x:v>
      </x:c>
      <x:c r="H8" s="24" t="n">
        <x:v>0.2806658658275532</x:v>
      </x:c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Total</x:v>
      </x:c>
      <x:c r="B9" s="23" t="n">
        <x:v>10</x:v>
      </x:c>
      <x:c r="C9" s="23" t="n">
        <x:v>2420</x:v>
      </x:c>
      <x:c r="D9" s="24" t="n">
        <x:v>1</x:v>
      </x:c>
      <x:c r="E9" s="25" t="n">
        <x:v>4184.103999999999</x:v>
      </x:c>
      <x:c r="F9" s="24" t="n">
        <x:v>1</x:v>
      </x:c>
      <x:c r="G9" s="32" t="n">
        <x:v>5148100.2</x:v>
      </x:c>
      <x:c r="H9" s="24" t="n">
        <x:v>1</x:v>
      </x:c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0" hidden="0" customWidth="1"/>
    <x:col min="3" max="3" width="67" hidden="0" customWidth="1"/>
    <x:col min="4" max="4" width="67" hidden="0" customWidth="1"/>
  </x:cols>
  <x:sheetData>
    <x:row r="2">
      <x:c r="A2" s="18" t="str">
        <x:v>Strategic-employment decision tests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Each case preserves domestic duty, international custody, civil sovereignty and non-coercion.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Case</x:v>
      </x:c>
      <x:c r="B6" s="22" t="str">
        <x:v>Stress</x:v>
      </x:c>
      <x:c r="C6" s="22" t="str">
        <x:v>Required decision</x:v>
      </x:c>
      <x:c r="D6" s="22" t="str">
        <x:v>Constitutional result</x:v>
      </x:c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Q1</x:v>
      </x:c>
      <x:c r="B7" s="31" t="str">
        <x:v>Domestic catastrophe while invited missions are idle</x:v>
      </x:c>
      <x:c r="C7" s="31" t="str">
        <x:v>Admit domestic claim under constitutional duty</x:v>
      </x:c>
      <x:c r="D7" s="31" t="str">
        <x:v>P1 uses committed domestic serials and protected reserve</x:v>
      </x:c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Q2</x:v>
      </x:c>
      <x:c r="B8" s="31" t="str">
        <x:v>Invited mission accepted and deployed</x:v>
      </x:c>
      <x:c r="C8" s="31" t="str">
        <x:v>Lock accepted serials against unilateral recall</x:v>
      </x:c>
      <x:c r="D8" s="31" t="str">
        <x:v>P2 remains until bilateral release or lawful suspension</x:v>
      </x:c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Q3</x:v>
      </x:c>
      <x:c r="B9" s="31" t="str">
        <x:v>Domestic catastrophe after international lock</x:v>
      </x:c>
      <x:c r="C9" s="31" t="str">
        <x:v>Draw protected reserve; publish uncovered family deficits</x:v>
      </x:c>
      <x:c r="D9" s="31" t="str">
        <x:v>No conversion of invited custody into domestic readiness</x:v>
      </x:c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Q4</x:v>
      </x:c>
      <x:c r="B10" s="31" t="str">
        <x:v>Host revokes consent</x:v>
      </x:c>
      <x:c r="C10" s="31" t="str">
        <x:v>Stop new service, safe systems and execute transfer or withdrawal</x:v>
      </x:c>
      <x:c r="D10" s="31" t="str">
        <x:v>No coercive persistence</x:v>
      </x:c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str">
        <x:v>Q5</x:v>
      </x:c>
      <x:c r="B11" s="31" t="str">
        <x:v>Security environment deteriorates</x:v>
      </x:c>
      <x:c r="C11" s="31" t="str">
        <x:v>Require host/military protection or suspend exposed work</x:v>
      </x:c>
      <x:c r="D11" s="31" t="str">
        <x:v>Department does not assume combat mission</x:v>
      </x:c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3" t="str">
        <x:v>Q6</x:v>
      </x:c>
      <x:c r="B12" s="31" t="str">
        <x:v>Prestige deployment lacks complete receiver</x:v>
      </x:c>
      <x:c r="C12" s="31" t="str">
        <x:v>Reject deployment credit and hold serials</x:v>
      </x:c>
      <x:c r="D12" s="31" t="str">
        <x:v>Visible arrival is not strategic effect</x:v>
      </x:c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23" t="str">
        <x:v>Q7</x:v>
      </x:c>
      <x:c r="B13" s="31" t="str">
        <x:v>Partner can independently reproduce capability</x:v>
      </x:c>
      <x:c r="C13" s="31" t="str">
        <x:v>Credit sovereignty effect after outside proof</x:v>
      </x:c>
      <x:c r="D13" s="31" t="str">
        <x:v>No U.S. remote control or tied procurement</x:v>
      </x:c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23" t="str">
        <x:v>Q8</x:v>
      </x:c>
      <x:c r="B14" s="31" t="str">
        <x:v>Relief conditioned on political alignment</x:v>
      </x:c>
      <x:c r="C14" s="31" t="str">
        <x:v>Reject the claim</x:v>
      </x:c>
      <x:c r="D14" s="31" t="str">
        <x:v>Non-coercion is a hard gate, not a weighted cost</x:v>
      </x:c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4" hidden="0" customWidth="1"/>
    <x:col min="3" max="3" width="105" hidden="0" customWidth="1"/>
  </x:cols>
  <x:sheetData>
    <x:row r="2">
      <x:c r="A2" s="18" t="str">
        <x:v>Technology program for constructive power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Innovation must make sovereignty and transfer technically real, not merely promise new platforms.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Program</x:v>
      </x:c>
      <x:c r="B6" s="22" t="str">
        <x:v>Technology frontier</x:v>
      </x:c>
      <x:c r="C6" s="22" t="str">
        <x:v>Strategic capability</x:v>
      </x:c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 ht="43" customHeight="1">
      <x:c r="A7" s="23" t="str">
        <x:v>I1</x:v>
      </x:c>
      <x:c r="B7" s="31" t="str">
        <x:v>Sovereign receiver mesh</x:v>
      </x:c>
      <x:c r="C7" s="31" t="str">
        <x:v>Offline, rights-bounded destination admission, assay and public release across unlike national systems</x:v>
      </x:c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 ht="43" customHeight="1">
      <x:c r="A8" s="23" t="str">
        <x:v>I2</x:v>
      </x:c>
      <x:c r="B8" s="31" t="str">
        <x:v>Treaty compiler</x:v>
      </x:c>
      <x:c r="C8" s="31" t="str">
        <x:v>Translate a political invitation into executable service, authority, custody, transfer and release states</x:v>
      </x:c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 ht="43" customHeight="1">
      <x:c r="A9" s="23" t="str">
        <x:v>I3</x:v>
      </x:c>
      <x:c r="B9" s="31" t="str">
        <x:v>Non-coercion monitor</x:v>
      </x:c>
      <x:c r="C9" s="31" t="str">
        <x:v>Detect mission drift, tied relief, unrelated surveillance and dependency-producing control paths</x:v>
      </x:c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 ht="43" customHeight="1">
      <x:c r="A10" s="23" t="str">
        <x:v>I4</x:v>
      </x:c>
      <x:c r="B10" s="31" t="str">
        <x:v>Service-deficit twin</x:v>
      </x:c>
      <x:c r="C10" s="31" t="str">
        <x:v>Forecast population service loss and intervention consequences without converting people into targeting data</x:v>
      </x:c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 ht="43" customHeight="1">
      <x:c r="A11" s="23" t="str">
        <x:v>I5</x:v>
      </x:c>
      <x:c r="B11" s="31" t="str">
        <x:v>Portable public infrastructure</x:v>
      </x:c>
      <x:c r="C11" s="31" t="str">
        <x:v>Power, water, care, access and communications that transfer as complete civil utilities</x:v>
      </x:c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 ht="43" customHeight="1">
      <x:c r="A12" s="23" t="str">
        <x:v>I6</x:v>
      </x:c>
      <x:c r="B12" s="31" t="str">
        <x:v>Partner-reproducible roots</x:v>
      </x:c>
      <x:c r="C12" s="31" t="str">
        <x:v>Technical packages, tooling and qualification paths designed for sovereign manufacture</x:v>
      </x:c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 ht="43" customHeight="1">
      <x:c r="A13" s="23" t="str">
        <x:v>I7</x:v>
      </x:c>
      <x:c r="B13" s="31" t="str">
        <x:v>Adversarial public-service range</x:v>
      </x:c>
      <x:c r="C13" s="31" t="str">
        <x:v>Test consent loss, authority conflict, data compromise and security deterioration with physical denial</x:v>
      </x:c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 ht="43" customHeight="1">
      <x:c r="A14" s="23" t="str">
        <x:v>I8</x:v>
      </x:c>
      <x:c r="B14" s="31" t="str">
        <x:v>Bilateral evidence fabric</x:v>
      </x:c>
      <x:c r="C14" s="31" t="str">
        <x:v>Permit host, U.S. and independent reconstruction while keeping purpose and custody bounded</x:v>
      </x:c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 ht="43" customHeight="1">
      <x:c r="A15" s="23" t="str">
        <x:v>I9</x:v>
      </x:c>
      <x:c r="B15" s="31" t="str">
        <x:v>Residuals-to-resource systems</x:v>
      </x:c>
      <x:c r="C15" s="31" t="str">
        <x:v>Close waste, medical residual, brine, debris and damaged equipment inside the service claim</x:v>
      </x:c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 ht="43" customHeight="1">
      <x:c r="A16" s="23" t="str">
        <x:v>I10</x:v>
      </x:c>
      <x:c r="B16" s="31" t="str">
        <x:v>Constructive-power accounting</x:v>
      </x:c>
      <x:c r="C16" s="31" t="str">
        <x:v>Credit complete sovereign service and durable local capability, not visibility, tonnage or spending</x:v>
      </x:c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 ht="43" customHeight="1">
      <x:c r="A17" s="23" t="str">
        <x:v>I11</x:v>
      </x:c>
      <x:c r="B17" s="31" t="str">
        <x:v>Civil security interface</x:v>
      </x:c>
      <x:c r="C17" s="31" t="str">
        <x:v>Allow military or host protection without transferring mission command, intelligence purpose or coercive authority</x:v>
      </x:c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 ht="43" customHeight="1">
      <x:c r="A18" s="23" t="str">
        <x:v>I12</x:v>
      </x:c>
      <x:c r="B18" s="31" t="str">
        <x:v>Exit-by-design architecture</x:v>
      </x:c>
      <x:c r="C18" s="31" t="str">
        <x:v>Make local operation and reproduction the technical terminal state rather than an aspirational annex</x:v>
      </x:c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22" hidden="0" customWidth="1"/>
    <x:col min="4" max="4" width="14" hidden="0" customWidth="1"/>
  </x:cols>
  <x:sheetData>
    <x:row r="2">
      <x:c r="A2" s="18" t="str">
        <x:v>Terminal audit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One-way checks reconcile the inherited posture and constitutional counts; they issue no authority.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Audit</x:v>
      </x:c>
      <x:c r="B6" s="22" t="str">
        <x:v>Expected</x:v>
      </x:c>
      <x:c r="C6" s="22" t="str">
        <x:v>Observed</x:v>
      </x:c>
      <x:c r="D6" s="22" t="str">
        <x:v>Result</x:v>
      </x:c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Family rows</x:v>
      </x:c>
      <x:c r="B7" s="23" t="n">
        <x:v>48</x:v>
      </x:c>
      <x:c r="C7" s="23" t="n">
        <x:f>COUNTA('Family Posture'!A7:A54)</x:f>
        <x:v>48</x:v>
      </x:c>
      <x:c r="D7" s="30" t="str">
        <x:f>IF(ABS(B7-C7)&lt;0.01,"PASS","FAIL")</x:f>
        <x:v>PASS</x:v>
      </x:c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Domestic commitments</x:v>
      </x:c>
      <x:c r="B8" s="23" t="n">
        <x:v>1745</x:v>
      </x:c>
      <x:c r="C8" s="23" t="n">
        <x:f>SUM('Family Posture'!E7:E54)</x:f>
        <x:v>1745</x:v>
      </x:c>
      <x:c r="D8" s="30" t="str">
        <x:f>IF(ABS(B8-C8)&lt;0.01,"PASS","FAIL")</x:f>
        <x:v>PASS</x:v>
      </x:c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Invited commitments</x:v>
      </x:c>
      <x:c r="B9" s="23" t="n">
        <x:v>675</x:v>
      </x:c>
      <x:c r="C9" s="23" t="n">
        <x:f>SUM('Family Posture'!F7:F54)</x:f>
        <x:v>675</x:v>
      </x:c>
      <x:c r="D9" s="30" t="str">
        <x:f>IF(ABS(B9-C9)&lt;0.01,"PASS","FAIL")</x:f>
        <x:v>PASS</x:v>
      </x:c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Total commitments</x:v>
      </x:c>
      <x:c r="B10" s="23" t="n">
        <x:v>2420</x:v>
      </x:c>
      <x:c r="C10" s="23" t="n">
        <x:f>SUM('Family Posture'!G7:G54)</x:f>
        <x:v>2420</x:v>
      </x:c>
      <x:c r="D10" s="30" t="str">
        <x:f>IF(ABS(B10-C10)&lt;0.01,"PASS","FAIL")</x:f>
        <x:v>PASS</x:v>
      </x:c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str">
        <x:v>Domestic capital</x:v>
      </x:c>
      <x:c r="B11" s="25" t="n">
        <x:v>2931.584</x:v>
      </x:c>
      <x:c r="C11" s="25" t="n">
        <x:f>SUM('Family Posture'!I7:I54)</x:f>
        <x:v>2931.584</x:v>
      </x:c>
      <x:c r="D11" s="30" t="str">
        <x:f>IF(ABS(B11-C11)&lt;0.01,"PASS","FAIL")</x:f>
        <x:v>PASS</x:v>
      </x:c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3" t="str">
        <x:v>Invited capital</x:v>
      </x:c>
      <x:c r="B12" s="25" t="n">
        <x:v>1252.52</x:v>
      </x:c>
      <x:c r="C12" s="25" t="n">
        <x:f>SUM('Family Posture'!J7:J54)</x:f>
        <x:v>1252.52</x:v>
      </x:c>
      <x:c r="D12" s="30" t="str">
        <x:f>IF(ABS(B12-C12)&lt;0.01,"PASS","FAIL")</x:f>
        <x:v>PASS</x:v>
      </x:c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23" t="str">
        <x:v>Domestic billets</x:v>
      </x:c>
      <x:c r="B13" s="32" t="n">
        <x:v>3703204.2</x:v>
      </x:c>
      <x:c r="C13" s="32" t="n">
        <x:f>SUM('Family Posture'!K7:K54)</x:f>
        <x:v>3703204.2</x:v>
      </x:c>
      <x:c r="D13" s="30" t="str">
        <x:f>IF(ABS(B13-C13)&lt;0.01,"PASS","FAIL")</x:f>
        <x:v>PASS</x:v>
      </x:c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23" t="str">
        <x:v>Invited billets</x:v>
      </x:c>
      <x:c r="B14" s="32" t="n">
        <x:v>1444896</x:v>
      </x:c>
      <x:c r="C14" s="32" t="n">
        <x:f>SUM('Family Posture'!L7:L54)</x:f>
        <x:v>1444896</x:v>
      </x:c>
      <x:c r="D14" s="30" t="str">
        <x:f>IF(ABS(B14-C14)&lt;0.01,"PASS","FAIL")</x:f>
        <x:v>PASS</x:v>
      </x:c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23" t="str">
        <x:v>Campaigns</x:v>
      </x:c>
      <x:c r="B15" s="23" t="n">
        <x:v>10</x:v>
      </x:c>
      <x:c r="C15" s="23" t="n">
        <x:f>COUNTA('Campaign Posture'!A7:A16)</x:f>
        <x:v>10</x:v>
      </x:c>
      <x:c r="D15" s="30" t="str">
        <x:f>IF(ABS(B15-C15)&lt;0.01,"PASS","FAIL")</x:f>
        <x:v>PASS</x:v>
      </x:c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23" t="str">
        <x:v>Strategic modes</x:v>
      </x:c>
      <x:c r="B16" s="23" t="n">
        <x:v>4</x:v>
      </x:c>
      <x:c r="C16" s="23" t="n">
        <x:f>COUNTA('Strategic Modes'!A7:A10)</x:f>
        <x:v>4</x:v>
      </x:c>
      <x:c r="D16" s="30" t="str">
        <x:f>IF(ABS(B16-C16)&lt;0.01,"PASS","FAIL")</x:f>
        <x:v>PASS</x:v>
      </x:c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23" t="str">
        <x:v>Strategic effects</x:v>
      </x:c>
      <x:c r="B17" s="23" t="n">
        <x:v>9</x:v>
      </x:c>
      <x:c r="C17" s="23" t="n">
        <x:f>COUNTA('Strategic Effects'!A7:A15)</x:f>
        <x:v>9</x:v>
      </x:c>
      <x:c r="D17" s="30" t="str">
        <x:f>IF(ABS(B17-C17)&lt;0.01,"PASS","FAIL")</x:f>
        <x:v>PASS</x:v>
      </x:c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23" t="str">
        <x:v>Treaty seals</x:v>
      </x:c>
      <x:c r="B18" s="23" t="n">
        <x:v>12</x:v>
      </x:c>
      <x:c r="C18" s="23" t="n">
        <x:f>COUNTA('Treaty Contract'!A7:A18)</x:f>
        <x:v>12</x:v>
      </x:c>
      <x:c r="D18" s="30" t="str">
        <x:f>IF(ABS(B18-C18)&lt;0.01,"PASS","FAIL")</x:f>
        <x:v>PASS</x:v>
      </x:c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23" t="str">
        <x:v>Noncoercion laws</x:v>
      </x:c>
      <x:c r="B19" s="23" t="n">
        <x:v>10</x:v>
      </x:c>
      <x:c r="C19" s="23" t="n">
        <x:f>COUNTA(Noncoercion!A7:A16)</x:f>
        <x:v>10</x:v>
      </x:c>
      <x:c r="D19" s="30" t="str">
        <x:f>IF(ABS(B19-C19)&lt;0.01,"PASS","FAIL")</x:f>
        <x:v>PASS</x:v>
      </x:c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23" t="str">
        <x:v>Released credit</x:v>
      </x:c>
      <x:c r="B20" s="23" t="n">
        <x:v>0</x:v>
      </x:c>
      <x:c r="C20" s="23" t="n">
        <x:f>SUM(Measurement!C17:C25)</x:f>
        <x:v>0</x:v>
      </x:c>
      <x:c r="D20" s="30" t="str">
        <x:f>IF(ABS(B20-C20)&lt;0.01,"PASS","FAIL")</x:f>
        <x:v>PASS</x:v>
      </x:c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7" hidden="0" customWidth="1"/>
    <x:col min="3" max="3" width="19" hidden="0" customWidth="1"/>
    <x:col min="4" max="4" width="19" hidden="0" customWidth="1"/>
    <x:col min="5" max="5" width="15" hidden="0" customWidth="1"/>
    <x:col min="6" max="6" width="15" hidden="0" customWidth="1"/>
  </x:cols>
  <x:sheetData>
    <x:row r="2">
      <x:c r="A2" s="18" t="str">
        <x:v>Restored mutation tests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Four control mutations must fail the terminal audit and return to the inherited baseline.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Test</x:v>
      </x:c>
      <x:c r="B6" s="22" t="str">
        <x:v>Control</x:v>
      </x:c>
      <x:c r="C6" s="22" t="str">
        <x:v>Baseline</x:v>
      </x:c>
      <x:c r="D6" s="22" t="str">
        <x:v>Mutation</x:v>
      </x:c>
      <x:c r="E6" s="22" t="str">
        <x:v>Mutated</x:v>
      </x:c>
      <x:c r="F6" s="22" t="str">
        <x:v>Restored</x:v>
      </x:c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M1</x:v>
      </x:c>
      <x:c r="B7" s="23" t="str">
        <x:v>Domestic commitments</x:v>
      </x:c>
      <x:c r="C7" s="23" t="n">
        <x:v>1745</x:v>
      </x:c>
      <x:c r="D7" s="23" t="n">
        <x:v>1746</x:v>
      </x:c>
      <x:c r="E7" s="23" t="str">
        <x:v>FAIL</x:v>
      </x:c>
      <x:c r="F7" s="23" t="str">
        <x:v>PASS</x:v>
      </x:c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M2</x:v>
      </x:c>
      <x:c r="B8" s="23" t="str">
        <x:v>Invited commitments</x:v>
      </x:c>
      <x:c r="C8" s="23" t="n">
        <x:v>675</x:v>
      </x:c>
      <x:c r="D8" s="23" t="n">
        <x:v>674</x:v>
      </x:c>
      <x:c r="E8" s="23" t="str">
        <x:v>FAIL</x:v>
      </x:c>
      <x:c r="F8" s="23" t="str">
        <x:v>PASS</x:v>
      </x:c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M3</x:v>
      </x:c>
      <x:c r="B9" s="23" t="str">
        <x:v>Treaty seals</x:v>
      </x:c>
      <x:c r="C9" s="23" t="n">
        <x:v>12</x:v>
      </x:c>
      <x:c r="D9" s="23" t="n">
        <x:v>11</x:v>
      </x:c>
      <x:c r="E9" s="23" t="str">
        <x:v>FAIL</x:v>
      </x:c>
      <x:c r="F9" s="23" t="str">
        <x:v>PASS</x:v>
      </x:c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M4</x:v>
      </x:c>
      <x:c r="B10" s="23" t="str">
        <x:v>Released strategic credit</x:v>
      </x:c>
      <x:c r="C10" s="23" t="n">
        <x:v>0</x:v>
      </x:c>
      <x:c r="D10" s="23" t="n">
        <x:v>1</x:v>
      </x:c>
      <x:c r="E10" s="23" t="str">
        <x:v>FAIL</x:v>
      </x:c>
      <x:c r="F10" s="23" t="str">
        <x:v>PASS</x:v>
      </x:c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8" hidden="0" customWidth="1"/>
    <x:col min="3" max="3" width="84" hidden="0" customWidth="1"/>
  </x:cols>
  <x:sheetData>
    <x:row r="2">
      <x:c r="A2" s="18" t="str">
        <x:v>Internal source lineage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No external sites or datasets are introduced.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Pass</x:v>
      </x:c>
      <x:c r="B6" s="22" t="str">
        <x:v>Artifact</x:v>
      </x:c>
      <x:c r="C6" s="22" t="str">
        <x:v>Claims integrated</x:v>
      </x:c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n">
        <x:v>167</x:v>
      </x:c>
      <x:c r="B7" s="31" t="str">
        <x:v>national-and-invited-international-concurrency-geography-and-force-sizing constitution</x:v>
      </x:c>
      <x:c r="C7" s="31" t="str">
        <x:v>Eight domestic and two invited campaigns; non-recall; seven districts; two reach networks</x:v>
      </x:c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n">
        <x:v>168</x:v>
      </x:c>
      <x:c r="B8" s="31" t="str">
        <x:v>six-mission-system portfolio topology and technology competition constitution</x:v>
      </x:c>
      <x:c r="C8" s="31" t="str">
        <x:v>Formation-family capital and billet allocation</x:v>
      </x:c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n">
        <x:v>193</x:v>
      </x:c>
      <x:c r="B9" s="31" t="str">
        <x:v>permanent readiness-cycle constitution</x:v>
      </x:c>
      <x:c r="C9" s="31" t="str">
        <x:v>502 protected reserve; 1,584 regeneration; family-specific readiness</x:v>
      </x:c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n">
        <x:v>194</x:v>
      </x:c>
      <x:c r="B10" s="31" t="str">
        <x:v>national mobilization and allocation command</x:v>
      </x:c>
      <x:c r="C10" s="31" t="str">
        <x:v>Accepted international custody and collision-free scheduling</x:v>
      </x:c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n">
        <x:v>195</x:v>
      </x:c>
      <x:c r="B11" s="31" t="str">
        <x:v>force-generation compact and return</x:v>
      </x:c>
      <x:c r="C11" s="31" t="str">
        <x:v>Five circuits; fiscal separation; employment, transfer and regeneration interface</x:v>
      </x:c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28" hidden="0" customWidth="1"/>
  </x:cols>
  <x:sheetData>
    <x:row r="2">
      <x:c r="A2" s="18" t="str">
        <x:v>Model use and limits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This workbook constitutes strategic employment; it does not issue a deployment, treaty or procurement authority.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Topic</x:v>
      </x:c>
      <x:c r="B6" s="22" t="str">
        <x:v>Guidance</x:v>
      </x:c>
      <x:c r="C6" s="19"/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 ht="45" customHeight="1">
      <x:c r="A7" s="23" t="str">
        <x:v>Purpose</x:v>
      </x:c>
      <x:c r="B7" s="31" t="str">
        <x:v>Define the Department as a coequal constructive-power instrument with domestic guarantee, invited stabilization, forward partnership and productive statecraft modes.</x:v>
      </x:c>
      <x:c r="C7" s="19"/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 ht="45" customHeight="1">
      <x:c r="A8" s="23" t="str">
        <x:v>Unit of power</x:v>
      </x:c>
      <x:c r="B8" s="31" t="str">
        <x:v>Complete sovereign public service under denial plus durable receiver capability—not delivery volume, spending or favorable attention.</x:v>
      </x:c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 ht="45" customHeight="1">
      <x:c r="A9" s="23" t="str">
        <x:v>Posture</x:v>
      </x:c>
      <x:c r="B9" s="31" t="str">
        <x:v>1,745 domestic and 675 invited commitments are inherited from Pass 167. Capital and billets are proportional committed-force exposures.</x:v>
      </x:c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 ht="45" customHeight="1">
      <x:c r="A10" s="23" t="str">
        <x:v>International law</x:v>
      </x:c>
      <x:c r="B10" s="31" t="str">
        <x:v>Invitation admits the claim; U.S. acceptance locks assigned serials against unilateral recall; host stop and bilateral release remain active.</x:v>
      </x:c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 ht="45" customHeight="1">
      <x:c r="A11" s="23" t="str">
        <x:v>Noncoercion</x:v>
      </x:c>
      <x:c r="B11" s="31" t="str">
        <x:v>Ten prohibited uses are hard gates. Combat, regime change, forced return, unrelated intelligence, tied reconstruction and dependency cannot be traded against benefit.</x:v>
      </x:c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 ht="45" customHeight="1">
      <x:c r="A12" s="23" t="str">
        <x:v>Fiscal</x:v>
      </x:c>
      <x:c r="B12" s="31" t="str">
        <x:v>The workbook does not split common capital, reserve or annual operations between modes and does not add market revenue to appropriations.</x:v>
      </x:c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 ht="45" customHeight="1">
      <x:c r="A13" s="23" t="str">
        <x:v>Evidence</x:v>
      </x:c>
      <x:c r="B13" s="31" t="str">
        <x:v>All nine strategic effects remain SOURCE EMPTY / HOLD and released strategic credit is zero.</x:v>
      </x:c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 ht="45" customHeight="1">
      <x:c r="A14" s="23" t="str">
        <x:v>Precision</x:v>
      </x:c>
      <x:c r="B14" s="31" t="str">
        <x:v>Displayed quantities are planning screens and use no more than three significant figures in the accompanying report.</x:v>
      </x:c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 ht="45" customHeight="1">
      <x:c r="A15" s="23" t="str">
        <x:v>Rendering</x:v>
      </x:c>
      <x:c r="B15" s="31" t="str">
        <x:v>No platform exterior or rendering is authorized.</x:v>
      </x:c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 ht="45" customHeight="1">
      <x:c r="A16" s="23" t="str">
        <x:v>Next</x:v>
      </x:c>
      <x:c r="B16" s="31" t="str">
        <x:v>Constitute the forward receiver, pre-positioning and partner-production network that makes invited stabilization both fast and sovereign.</x:v>
      </x:c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</x:sheetData>
  <x:pageMargins left="0.7" right="0.7" top="0.75" bottom="0.75" header="0.3" footer="0.3"/>
</x:worksheet>
</file>